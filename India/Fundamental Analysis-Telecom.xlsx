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67E52732-4532-435F-BAA4-D0EB6D38B7C3}" xr6:coauthVersionLast="47" xr6:coauthVersionMax="47" xr10:uidLastSave="{00000000-0000-0000-0000-000000000000}"/>
  <bookViews>
    <workbookView xWindow="13728" yWindow="0" windowWidth="9408" windowHeight="12336" firstSheet="4" activeTab="4" xr2:uid="{00000000-000D-0000-FFFF-FFFF00000000}"/>
  </bookViews>
  <sheets>
    <sheet name="Company Profile" sheetId="1" r:id="rId1"/>
    <sheet name="Balance Sheet" sheetId="2" r:id="rId2"/>
    <sheet name="Income Statement" sheetId="3" r:id="rId3"/>
    <sheet name="Cash Flow Statement" sheetId="4" r:id="rId4"/>
    <sheet name="Ratio Analysis" sheetId="5" r:id="rId5"/>
    <sheet name="WACC" sheetId="6" r:id="rId6"/>
    <sheet name="DCF" sheetId="7" r:id="rId7"/>
    <sheet name="Relative Valuation Model" sheetId="8" r:id="rId8"/>
    <sheet name="Summary" sheetId="9" r:id="rId9"/>
    <sheet name="Senstivity Analysis" sheetId="10" r:id="rId10"/>
    <sheet name="Calc"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2" i="5" l="1"/>
  <c r="AX22" i="5"/>
  <c r="AY22" i="5"/>
  <c r="AZ22" i="5"/>
  <c r="BA22" i="5"/>
  <c r="AV22" i="5"/>
  <c r="AN22" i="5"/>
  <c r="AO22" i="5"/>
  <c r="AP22" i="5"/>
  <c r="AQ22" i="5"/>
  <c r="AR22" i="5"/>
  <c r="AM22" i="5"/>
  <c r="AE22" i="5"/>
  <c r="AF22" i="5"/>
  <c r="AG22" i="5"/>
  <c r="AH22" i="5"/>
  <c r="AI22" i="5"/>
  <c r="AD22" i="5"/>
  <c r="V22" i="5"/>
  <c r="W22" i="5"/>
  <c r="X22" i="5"/>
  <c r="Y22" i="5"/>
  <c r="Z22" i="5"/>
  <c r="U22" i="5"/>
  <c r="M22" i="5"/>
  <c r="N22" i="5"/>
  <c r="O22" i="5"/>
  <c r="P22" i="5"/>
  <c r="Q22" i="5"/>
  <c r="L22" i="5"/>
  <c r="D22" i="5"/>
  <c r="E22" i="5"/>
  <c r="F22" i="5"/>
  <c r="G22" i="5"/>
  <c r="H22" i="5"/>
  <c r="C22" i="5"/>
  <c r="D12" i="7"/>
  <c r="AW21" i="5"/>
  <c r="AX21" i="5"/>
  <c r="AY21" i="5"/>
  <c r="AZ21" i="5"/>
  <c r="BA21" i="5"/>
  <c r="AV21" i="5"/>
  <c r="AN21" i="5"/>
  <c r="AO21" i="5"/>
  <c r="AP21" i="5"/>
  <c r="AQ21" i="5"/>
  <c r="AR21" i="5"/>
  <c r="AM21" i="5"/>
  <c r="AE21" i="5"/>
  <c r="AF21" i="5"/>
  <c r="AG21" i="5"/>
  <c r="AH21" i="5"/>
  <c r="AI21" i="5"/>
  <c r="AD21" i="5"/>
  <c r="V21" i="5"/>
  <c r="W21" i="5"/>
  <c r="X21" i="5"/>
  <c r="Y21" i="5"/>
  <c r="Z21" i="5"/>
  <c r="U21" i="5"/>
  <c r="M21" i="5"/>
  <c r="N21" i="5"/>
  <c r="O21" i="5"/>
  <c r="P21" i="5"/>
  <c r="Q21" i="5"/>
  <c r="L21" i="5"/>
  <c r="D21" i="5"/>
  <c r="E21" i="5"/>
  <c r="F21" i="5"/>
  <c r="G21" i="5"/>
  <c r="H21" i="5"/>
  <c r="C21" i="5"/>
  <c r="O3" i="11"/>
  <c r="O8" i="11" s="1"/>
  <c r="O4" i="11"/>
  <c r="O5" i="11"/>
  <c r="O6" i="11"/>
  <c r="O7" i="11"/>
  <c r="O2" i="11"/>
  <c r="M2" i="11"/>
  <c r="D28" i="11"/>
  <c r="D27" i="11"/>
  <c r="D26" i="11"/>
  <c r="D25" i="11"/>
  <c r="D24" i="11"/>
  <c r="D23" i="11"/>
  <c r="C24" i="11"/>
  <c r="C25" i="11"/>
  <c r="C26" i="11"/>
  <c r="C27" i="11"/>
  <c r="C28" i="11"/>
  <c r="C29" i="11"/>
  <c r="C23" i="11"/>
  <c r="L7" i="11"/>
  <c r="L6" i="11"/>
  <c r="L5" i="11"/>
  <c r="L4" i="11"/>
  <c r="L3" i="11"/>
  <c r="L2" i="11"/>
  <c r="J7" i="11"/>
  <c r="J6" i="11"/>
  <c r="J5" i="11"/>
  <c r="N5" i="11" s="1"/>
  <c r="J4" i="11"/>
  <c r="J3" i="11"/>
  <c r="J2" i="11"/>
  <c r="H7" i="11"/>
  <c r="H6" i="11"/>
  <c r="H5" i="11"/>
  <c r="H4" i="11"/>
  <c r="I4" i="11" s="1"/>
  <c r="H3" i="11"/>
  <c r="H2" i="11"/>
  <c r="G7" i="11"/>
  <c r="G6" i="11"/>
  <c r="G5" i="11"/>
  <c r="G4" i="11"/>
  <c r="G3" i="11"/>
  <c r="G2" i="11"/>
  <c r="D21" i="11"/>
  <c r="D20" i="11"/>
  <c r="D19" i="11"/>
  <c r="D18" i="11"/>
  <c r="D17" i="11"/>
  <c r="D16" i="11"/>
  <c r="D14" i="11"/>
  <c r="K7" i="11" s="1"/>
  <c r="M7" i="11" s="1"/>
  <c r="D13" i="11"/>
  <c r="K6" i="11" s="1"/>
  <c r="M6" i="11" s="1"/>
  <c r="D12" i="11"/>
  <c r="K5" i="11" s="1"/>
  <c r="M5" i="11" s="1"/>
  <c r="D11" i="11"/>
  <c r="K4" i="11" s="1"/>
  <c r="M4" i="11" s="1"/>
  <c r="D10" i="11"/>
  <c r="K3" i="11" s="1"/>
  <c r="M3" i="11" s="1"/>
  <c r="D9" i="11"/>
  <c r="K2" i="11" s="1"/>
  <c r="D7" i="11"/>
  <c r="D6" i="11"/>
  <c r="D5" i="11"/>
  <c r="D4" i="11"/>
  <c r="D3" i="11"/>
  <c r="D2" i="11"/>
  <c r="C14" i="11"/>
  <c r="C21" i="11" s="1"/>
  <c r="C13" i="11"/>
  <c r="C20" i="11" s="1"/>
  <c r="C12" i="11"/>
  <c r="C19" i="11" s="1"/>
  <c r="C11" i="11"/>
  <c r="C18" i="11" s="1"/>
  <c r="C10" i="11"/>
  <c r="C17" i="11" s="1"/>
  <c r="C9" i="11"/>
  <c r="C16" i="11" s="1"/>
  <c r="L3" i="9"/>
  <c r="L4" i="9"/>
  <c r="L5" i="9"/>
  <c r="L6" i="9"/>
  <c r="L7" i="9"/>
  <c r="L8" i="9"/>
  <c r="L9" i="9" s="1"/>
  <c r="K10" i="9"/>
  <c r="K17" i="9" s="1"/>
  <c r="L10" i="9"/>
  <c r="K11" i="9"/>
  <c r="K18" i="9" s="1"/>
  <c r="L11" i="9"/>
  <c r="P11" i="9"/>
  <c r="K12" i="9"/>
  <c r="L12" i="9"/>
  <c r="L16" i="9" s="1"/>
  <c r="K13" i="9"/>
  <c r="K20" i="9" s="1"/>
  <c r="L13" i="9"/>
  <c r="K14" i="9"/>
  <c r="L14" i="9"/>
  <c r="K15" i="9"/>
  <c r="L15" i="9"/>
  <c r="L17" i="9"/>
  <c r="L23" i="9" s="1"/>
  <c r="P12" i="9" s="1"/>
  <c r="L18" i="9"/>
  <c r="K19" i="9"/>
  <c r="L19" i="9"/>
  <c r="L20" i="9"/>
  <c r="K21" i="9"/>
  <c r="L21" i="9"/>
  <c r="K22" i="9"/>
  <c r="L22" i="9"/>
  <c r="D29" i="11" l="1"/>
  <c r="N4" i="11"/>
  <c r="N2" i="11"/>
  <c r="N6" i="11"/>
  <c r="N7" i="11"/>
  <c r="N3" i="11"/>
  <c r="I5" i="11"/>
  <c r="I6" i="11"/>
  <c r="I7" i="11"/>
  <c r="I2" i="11"/>
  <c r="I3" i="11"/>
  <c r="D22" i="11"/>
  <c r="D15" i="11"/>
  <c r="D8" i="11"/>
  <c r="AW19" i="5"/>
  <c r="AX19" i="5"/>
  <c r="AY19" i="5"/>
  <c r="AZ19" i="5"/>
  <c r="BA19" i="5"/>
  <c r="AV19" i="5"/>
  <c r="AN20" i="5"/>
  <c r="AO20" i="5"/>
  <c r="AP20" i="5"/>
  <c r="AQ20" i="5"/>
  <c r="AR20" i="5"/>
  <c r="AM20" i="5"/>
  <c r="AE20" i="5"/>
  <c r="AF20" i="5"/>
  <c r="AG20" i="5"/>
  <c r="AH20" i="5"/>
  <c r="AI20" i="5"/>
  <c r="AD20" i="5"/>
  <c r="V20" i="5"/>
  <c r="W20" i="5"/>
  <c r="X20" i="5"/>
  <c r="Y20" i="5"/>
  <c r="Z20" i="5"/>
  <c r="U20" i="5"/>
  <c r="M20" i="5"/>
  <c r="N20" i="5"/>
  <c r="O20" i="5"/>
  <c r="P20" i="5"/>
  <c r="Q20" i="5"/>
  <c r="L20" i="5"/>
  <c r="D20" i="5"/>
  <c r="E20" i="5"/>
  <c r="F20" i="5"/>
  <c r="G20" i="5"/>
  <c r="H20" i="5"/>
  <c r="C20" i="5"/>
  <c r="AM44" i="10"/>
  <c r="AM36" i="10"/>
  <c r="AH22" i="10"/>
  <c r="AI22" i="10"/>
  <c r="AJ22" i="10"/>
  <c r="AK22" i="10"/>
  <c r="AL22" i="10"/>
  <c r="AM22" i="10"/>
  <c r="AH23" i="10"/>
  <c r="AI23" i="10"/>
  <c r="AJ23" i="10"/>
  <c r="AK23" i="10"/>
  <c r="AL23" i="10"/>
  <c r="AM23" i="10"/>
  <c r="AH24" i="10"/>
  <c r="AI24" i="10"/>
  <c r="AJ24" i="10"/>
  <c r="AK24" i="10"/>
  <c r="AL24" i="10"/>
  <c r="AM24" i="10"/>
  <c r="AH25" i="10"/>
  <c r="AI25" i="10"/>
  <c r="AJ25" i="10"/>
  <c r="AK25" i="10"/>
  <c r="AL25" i="10"/>
  <c r="AM25" i="10"/>
  <c r="AH26" i="10"/>
  <c r="AI26" i="10"/>
  <c r="AJ26" i="10"/>
  <c r="AK26" i="10"/>
  <c r="AL26" i="10"/>
  <c r="AM26" i="10"/>
  <c r="AM21" i="10"/>
  <c r="AL21" i="10"/>
  <c r="AK21" i="10"/>
  <c r="AJ21" i="10"/>
  <c r="AI21" i="10"/>
  <c r="AH21" i="10"/>
  <c r="AI13" i="10"/>
  <c r="AJ13" i="10"/>
  <c r="AK13" i="10"/>
  <c r="AL13" i="10"/>
  <c r="AM13" i="10"/>
  <c r="AI14" i="10"/>
  <c r="AJ14" i="10"/>
  <c r="AK14" i="10"/>
  <c r="AL14" i="10"/>
  <c r="AM14" i="10"/>
  <c r="AI15" i="10"/>
  <c r="AJ15" i="10"/>
  <c r="AK15" i="10"/>
  <c r="AL15" i="10"/>
  <c r="AM15" i="10"/>
  <c r="AI16" i="10"/>
  <c r="AJ16" i="10"/>
  <c r="AK16" i="10"/>
  <c r="AL16" i="10"/>
  <c r="AM16" i="10"/>
  <c r="AI17" i="10"/>
  <c r="AJ17" i="10"/>
  <c r="AK17" i="10"/>
  <c r="AL17" i="10"/>
  <c r="AM17" i="10"/>
  <c r="AI18" i="10"/>
  <c r="AJ18" i="10"/>
  <c r="AK18" i="10"/>
  <c r="AL18" i="10"/>
  <c r="AM18" i="10"/>
  <c r="AH18" i="10"/>
  <c r="AH17" i="10"/>
  <c r="AH16" i="10"/>
  <c r="AH15" i="10"/>
  <c r="AH14" i="10"/>
  <c r="AH13" i="10"/>
  <c r="AG14" i="10"/>
  <c r="AG15" i="10"/>
  <c r="AG16" i="10"/>
  <c r="AG17" i="10"/>
  <c r="AG18" i="10"/>
  <c r="AG13" i="10"/>
  <c r="AI12" i="10"/>
  <c r="AJ12" i="10"/>
  <c r="AK12" i="10"/>
  <c r="AL12" i="10"/>
  <c r="AM12" i="10"/>
  <c r="AH12" i="10"/>
  <c r="AG4" i="10"/>
  <c r="AH3" i="10"/>
  <c r="AE36" i="10"/>
  <c r="Z22" i="10"/>
  <c r="AA22" i="10"/>
  <c r="AB22" i="10"/>
  <c r="AC22" i="10"/>
  <c r="AD22" i="10"/>
  <c r="AE22" i="10"/>
  <c r="Z23" i="10"/>
  <c r="AA23" i="10"/>
  <c r="AB23" i="10"/>
  <c r="AC23" i="10"/>
  <c r="AD23" i="10"/>
  <c r="AE23" i="10"/>
  <c r="Z24" i="10"/>
  <c r="AA24" i="10"/>
  <c r="AB24" i="10"/>
  <c r="AC24" i="10"/>
  <c r="AD24" i="10"/>
  <c r="AE24" i="10"/>
  <c r="Z25" i="10"/>
  <c r="AA25" i="10"/>
  <c r="AB25" i="10"/>
  <c r="AC25" i="10"/>
  <c r="AD25" i="10"/>
  <c r="AE25" i="10"/>
  <c r="Z26" i="10"/>
  <c r="AA26" i="10"/>
  <c r="AB26" i="10"/>
  <c r="AC26" i="10"/>
  <c r="AD26" i="10"/>
  <c r="AE26" i="10"/>
  <c r="AE21" i="10"/>
  <c r="AD21" i="10"/>
  <c r="AC21" i="10"/>
  <c r="AB21" i="10"/>
  <c r="AA21" i="10"/>
  <c r="Z21" i="10"/>
  <c r="AA13" i="10"/>
  <c r="AB13" i="10"/>
  <c r="AC13" i="10"/>
  <c r="AD13" i="10"/>
  <c r="AE13" i="10"/>
  <c r="AA14" i="10"/>
  <c r="AB14" i="10"/>
  <c r="AC14" i="10"/>
  <c r="AD14" i="10"/>
  <c r="AE14" i="10"/>
  <c r="AA15" i="10"/>
  <c r="AB15" i="10"/>
  <c r="AC15" i="10"/>
  <c r="AD15" i="10"/>
  <c r="AE15" i="10"/>
  <c r="AA16" i="10"/>
  <c r="AB16" i="10"/>
  <c r="AC16" i="10"/>
  <c r="AD16" i="10"/>
  <c r="AE16" i="10"/>
  <c r="AA17" i="10"/>
  <c r="AB17" i="10"/>
  <c r="AC17" i="10"/>
  <c r="AD17" i="10"/>
  <c r="AE17" i="10"/>
  <c r="AA18" i="10"/>
  <c r="AB18" i="10"/>
  <c r="AC18" i="10"/>
  <c r="AD18" i="10"/>
  <c r="AE18" i="10"/>
  <c r="Z18" i="10"/>
  <c r="Z17" i="10"/>
  <c r="Z16" i="10"/>
  <c r="Z15" i="10"/>
  <c r="Z14" i="10"/>
  <c r="Z13" i="10"/>
  <c r="Y14" i="10"/>
  <c r="Y15" i="10"/>
  <c r="Y16" i="10"/>
  <c r="Y17" i="10"/>
  <c r="Y18" i="10"/>
  <c r="Y13" i="10"/>
  <c r="AA12" i="10"/>
  <c r="AB12" i="10"/>
  <c r="AC12" i="10"/>
  <c r="AD12" i="10"/>
  <c r="AE12" i="10"/>
  <c r="Z12" i="10"/>
  <c r="Z3" i="10"/>
  <c r="W36" i="10"/>
  <c r="S22" i="10"/>
  <c r="T22" i="10"/>
  <c r="U22" i="10"/>
  <c r="V22" i="10"/>
  <c r="W22" i="10"/>
  <c r="S23" i="10"/>
  <c r="T23" i="10"/>
  <c r="U23" i="10"/>
  <c r="V23" i="10"/>
  <c r="W23" i="10"/>
  <c r="S24" i="10"/>
  <c r="T24" i="10"/>
  <c r="U24" i="10"/>
  <c r="V24" i="10"/>
  <c r="W24" i="10"/>
  <c r="S25" i="10"/>
  <c r="T25" i="10"/>
  <c r="U25" i="10"/>
  <c r="V25" i="10"/>
  <c r="W25" i="10"/>
  <c r="S26" i="10"/>
  <c r="T26" i="10"/>
  <c r="U26" i="10"/>
  <c r="V26" i="10"/>
  <c r="W26" i="10"/>
  <c r="W21" i="10"/>
  <c r="V21" i="10"/>
  <c r="U21" i="10"/>
  <c r="T21" i="10"/>
  <c r="S21" i="10"/>
  <c r="R22" i="10"/>
  <c r="R23" i="10"/>
  <c r="R24" i="10"/>
  <c r="R25" i="10"/>
  <c r="R26" i="10"/>
  <c r="R21" i="10"/>
  <c r="S13" i="10"/>
  <c r="T13" i="10"/>
  <c r="U13" i="10"/>
  <c r="V13" i="10"/>
  <c r="W13" i="10"/>
  <c r="S14" i="10"/>
  <c r="T14" i="10"/>
  <c r="U14" i="10"/>
  <c r="V14" i="10"/>
  <c r="W14" i="10"/>
  <c r="S15" i="10"/>
  <c r="T15" i="10"/>
  <c r="U15" i="10"/>
  <c r="V15" i="10"/>
  <c r="W15" i="10"/>
  <c r="S16" i="10"/>
  <c r="T16" i="10"/>
  <c r="U16" i="10"/>
  <c r="V16" i="10"/>
  <c r="W16" i="10"/>
  <c r="S17" i="10"/>
  <c r="T17" i="10"/>
  <c r="U17" i="10"/>
  <c r="V17" i="10"/>
  <c r="W17" i="10"/>
  <c r="S18" i="10"/>
  <c r="T18" i="10"/>
  <c r="U18" i="10"/>
  <c r="V18" i="10"/>
  <c r="W18" i="10"/>
  <c r="R18" i="10"/>
  <c r="R17" i="10"/>
  <c r="R16" i="10"/>
  <c r="R15" i="10"/>
  <c r="R14" i="10"/>
  <c r="R13" i="10"/>
  <c r="Q14" i="10"/>
  <c r="Q15" i="10"/>
  <c r="Q16" i="10"/>
  <c r="Q17" i="10"/>
  <c r="Q18" i="10"/>
  <c r="Q13" i="10"/>
  <c r="S12" i="10"/>
  <c r="T12" i="10"/>
  <c r="U12" i="10"/>
  <c r="V12" i="10"/>
  <c r="W12" i="10"/>
  <c r="R12" i="10"/>
  <c r="Q4" i="10"/>
  <c r="R3" i="10"/>
  <c r="O36" i="10"/>
  <c r="E21" i="10"/>
  <c r="J22" i="10"/>
  <c r="K22" i="10"/>
  <c r="L22" i="10"/>
  <c r="M22" i="10"/>
  <c r="N22" i="10"/>
  <c r="O22" i="10"/>
  <c r="J23" i="10"/>
  <c r="K23" i="10"/>
  <c r="L23" i="10"/>
  <c r="M23" i="10"/>
  <c r="N23" i="10"/>
  <c r="O23" i="10"/>
  <c r="J24" i="10"/>
  <c r="K24" i="10"/>
  <c r="L24" i="10"/>
  <c r="M24" i="10"/>
  <c r="N24" i="10"/>
  <c r="O24" i="10"/>
  <c r="J25" i="10"/>
  <c r="K25" i="10"/>
  <c r="L25" i="10"/>
  <c r="M25" i="10"/>
  <c r="N25" i="10"/>
  <c r="O25" i="10"/>
  <c r="J26" i="10"/>
  <c r="K26" i="10"/>
  <c r="L26" i="10"/>
  <c r="M26" i="10"/>
  <c r="N26" i="10"/>
  <c r="O26" i="10"/>
  <c r="O21" i="10"/>
  <c r="N21" i="10"/>
  <c r="M21" i="10"/>
  <c r="L21" i="10"/>
  <c r="K21" i="10"/>
  <c r="J21" i="10"/>
  <c r="K15" i="10"/>
  <c r="L15" i="10"/>
  <c r="M15" i="10"/>
  <c r="N15" i="10"/>
  <c r="O15" i="10"/>
  <c r="K16" i="10"/>
  <c r="L16" i="10"/>
  <c r="M16" i="10"/>
  <c r="N16" i="10"/>
  <c r="O16" i="10"/>
  <c r="K17" i="10"/>
  <c r="L17" i="10"/>
  <c r="M17" i="10"/>
  <c r="N17" i="10"/>
  <c r="O17" i="10"/>
  <c r="K18" i="10"/>
  <c r="L18" i="10"/>
  <c r="M18" i="10"/>
  <c r="N18" i="10"/>
  <c r="O18" i="10"/>
  <c r="J18" i="10"/>
  <c r="J17" i="10"/>
  <c r="J16" i="10"/>
  <c r="J15" i="10"/>
  <c r="K14" i="10"/>
  <c r="L14" i="10"/>
  <c r="M14" i="10"/>
  <c r="N14" i="10"/>
  <c r="O14" i="10"/>
  <c r="J14" i="10"/>
  <c r="K13" i="10"/>
  <c r="L13" i="10"/>
  <c r="M13" i="10"/>
  <c r="N13" i="10"/>
  <c r="O13" i="10"/>
  <c r="J13" i="10"/>
  <c r="K12" i="10"/>
  <c r="L12" i="10"/>
  <c r="M12" i="10"/>
  <c r="N12" i="10"/>
  <c r="O12" i="10"/>
  <c r="I14" i="10"/>
  <c r="I15" i="10"/>
  <c r="I16" i="10"/>
  <c r="I17" i="10"/>
  <c r="I18" i="10"/>
  <c r="I13" i="10"/>
  <c r="J12" i="10"/>
  <c r="I4" i="10"/>
  <c r="J3" i="10"/>
  <c r="A4" i="10"/>
  <c r="E13" i="10" s="1"/>
  <c r="G36" i="10"/>
  <c r="A14" i="10"/>
  <c r="A15" i="10"/>
  <c r="A16" i="10"/>
  <c r="A17" i="10"/>
  <c r="A18" i="10"/>
  <c r="C12" i="10"/>
  <c r="D12" i="10"/>
  <c r="E12" i="10"/>
  <c r="F12" i="10"/>
  <c r="G12" i="10"/>
  <c r="C14" i="10"/>
  <c r="C22" i="10" s="1"/>
  <c r="D14" i="10"/>
  <c r="D22" i="10" s="1"/>
  <c r="E14" i="10"/>
  <c r="E22" i="10" s="1"/>
  <c r="F14" i="10"/>
  <c r="F22" i="10" s="1"/>
  <c r="G14" i="10"/>
  <c r="G22" i="10" s="1"/>
  <c r="C15" i="10"/>
  <c r="C23" i="10" s="1"/>
  <c r="D15" i="10"/>
  <c r="D23" i="10" s="1"/>
  <c r="E15" i="10"/>
  <c r="E23" i="10" s="1"/>
  <c r="F15" i="10"/>
  <c r="F23" i="10" s="1"/>
  <c r="G15" i="10"/>
  <c r="G23" i="10" s="1"/>
  <c r="C16" i="10"/>
  <c r="C24" i="10" s="1"/>
  <c r="D16" i="10"/>
  <c r="D24" i="10" s="1"/>
  <c r="E16" i="10"/>
  <c r="E24" i="10" s="1"/>
  <c r="F16" i="10"/>
  <c r="F24" i="10" s="1"/>
  <c r="G16" i="10"/>
  <c r="G24" i="10" s="1"/>
  <c r="C17" i="10"/>
  <c r="C25" i="10" s="1"/>
  <c r="D17" i="10"/>
  <c r="D25" i="10" s="1"/>
  <c r="E17" i="10"/>
  <c r="E25" i="10" s="1"/>
  <c r="F17" i="10"/>
  <c r="F25" i="10" s="1"/>
  <c r="G17" i="10"/>
  <c r="G25" i="10" s="1"/>
  <c r="C18" i="10"/>
  <c r="C26" i="10" s="1"/>
  <c r="D18" i="10"/>
  <c r="D26" i="10" s="1"/>
  <c r="E18" i="10"/>
  <c r="E26" i="10" s="1"/>
  <c r="F18" i="10"/>
  <c r="F26" i="10" s="1"/>
  <c r="G18" i="10"/>
  <c r="G26" i="10" s="1"/>
  <c r="B3" i="10"/>
  <c r="B18" i="10" s="1"/>
  <c r="B26" i="10" s="1"/>
  <c r="N8" i="11" l="1"/>
  <c r="I8" i="11"/>
  <c r="D13" i="10"/>
  <c r="D21" i="10" s="1"/>
  <c r="B12" i="10"/>
  <c r="C13" i="10"/>
  <c r="C21" i="10" s="1"/>
  <c r="A13" i="10"/>
  <c r="B16" i="10"/>
  <c r="B24" i="10" s="1"/>
  <c r="B14" i="10"/>
  <c r="B22" i="10" s="1"/>
  <c r="B15" i="10"/>
  <c r="B23" i="10" s="1"/>
  <c r="B13" i="10"/>
  <c r="B21" i="10" s="1"/>
  <c r="G13" i="10"/>
  <c r="G21" i="10" s="1"/>
  <c r="B17" i="10"/>
  <c r="B25" i="10" s="1"/>
  <c r="F13" i="10"/>
  <c r="F21" i="10" s="1"/>
  <c r="G11" i="8"/>
  <c r="G10" i="8"/>
  <c r="G9" i="8" a="1"/>
  <c r="G9" i="8" s="1"/>
  <c r="G8" i="8"/>
  <c r="G7" i="8"/>
  <c r="AU24" i="7" a="1"/>
  <c r="AU24" i="7" s="1"/>
  <c r="AU22" i="7"/>
  <c r="AU21" i="7"/>
  <c r="AY11" i="7"/>
  <c r="AZ11" i="7"/>
  <c r="BA11" i="7"/>
  <c r="AX11" i="7"/>
  <c r="AW11" i="7"/>
  <c r="AP51" i="2"/>
  <c r="AT51" i="2" s="1"/>
  <c r="AU6" i="7"/>
  <c r="AU5" i="7"/>
  <c r="AY4" i="7"/>
  <c r="AZ4" i="7" s="1"/>
  <c r="BA4" i="7" s="1"/>
  <c r="AX4" i="7"/>
  <c r="AU4" i="7"/>
  <c r="AU11" i="7"/>
  <c r="AU10" i="7"/>
  <c r="AU8" i="7"/>
  <c r="AU9" i="7" s="1"/>
  <c r="AU7" i="7"/>
  <c r="AW4" i="7"/>
  <c r="AW5" i="7" s="1"/>
  <c r="AV10" i="7"/>
  <c r="AV6" i="7"/>
  <c r="AV5" i="7"/>
  <c r="AV4" i="7"/>
  <c r="F10" i="8"/>
  <c r="E10" i="8"/>
  <c r="D10" i="8"/>
  <c r="C10" i="8"/>
  <c r="B10" i="8"/>
  <c r="F9" i="8" a="1"/>
  <c r="F9" i="8" s="1"/>
  <c r="E9" i="8" a="1"/>
  <c r="E9" i="8" s="1"/>
  <c r="D9" i="8" a="1"/>
  <c r="D9" i="8" s="1"/>
  <c r="C9" i="8" a="1"/>
  <c r="C9" i="8" s="1"/>
  <c r="B9" i="8" a="1"/>
  <c r="B9" i="8" s="1"/>
  <c r="F8" i="8"/>
  <c r="E8" i="8"/>
  <c r="D8" i="8"/>
  <c r="C8" i="8"/>
  <c r="B8" i="8"/>
  <c r="F7" i="8"/>
  <c r="E7" i="8"/>
  <c r="D7" i="8"/>
  <c r="C7" i="8"/>
  <c r="B7" i="8"/>
  <c r="C5" i="8"/>
  <c r="D5" i="8"/>
  <c r="E5" i="8"/>
  <c r="F5" i="8"/>
  <c r="B5" i="8"/>
  <c r="AL21" i="7"/>
  <c r="AL22" i="7"/>
  <c r="AL12" i="7"/>
  <c r="AK60" i="2"/>
  <c r="AL60" i="2" s="1"/>
  <c r="AJ60" i="2"/>
  <c r="AP11" i="7" s="1"/>
  <c r="AI60" i="2"/>
  <c r="AN11" i="7" s="1"/>
  <c r="AH60" i="2"/>
  <c r="AL11" i="7"/>
  <c r="AM6" i="7"/>
  <c r="AM10" i="7"/>
  <c r="AL10" i="7"/>
  <c r="AL9" i="7"/>
  <c r="AL8" i="7"/>
  <c r="AL7" i="7"/>
  <c r="AL6" i="7"/>
  <c r="AL5" i="7"/>
  <c r="AL4" i="7"/>
  <c r="AM5" i="7"/>
  <c r="AN6" i="7"/>
  <c r="AN4" i="7"/>
  <c r="AM4" i="7"/>
  <c r="AC22" i="7"/>
  <c r="AC21" i="7"/>
  <c r="AC9" i="7"/>
  <c r="Z60" i="2"/>
  <c r="AA60" i="2" s="1"/>
  <c r="AE11" i="7" s="1"/>
  <c r="AB60" i="2"/>
  <c r="AF11" i="7" s="1"/>
  <c r="AD60" i="2"/>
  <c r="AE60" i="2"/>
  <c r="AI11" i="7" s="1"/>
  <c r="AC11" i="7"/>
  <c r="AD6" i="7"/>
  <c r="AD5" i="7"/>
  <c r="AC8" i="7"/>
  <c r="AC7" i="7"/>
  <c r="AC6" i="7"/>
  <c r="AC5" i="7"/>
  <c r="AC4" i="7"/>
  <c r="AC10" i="7"/>
  <c r="AC12" i="7" s="1"/>
  <c r="AD10" i="7"/>
  <c r="AE4" i="7"/>
  <c r="AD4" i="7"/>
  <c r="T22" i="7"/>
  <c r="T21" i="7"/>
  <c r="X11" i="7"/>
  <c r="Y11" i="7"/>
  <c r="Z11" i="7"/>
  <c r="W11" i="7"/>
  <c r="V11" i="7"/>
  <c r="V12" i="7" s="1"/>
  <c r="T54" i="2"/>
  <c r="U54" i="2"/>
  <c r="V54" i="2"/>
  <c r="W54" i="2"/>
  <c r="S54" i="2"/>
  <c r="R54" i="2"/>
  <c r="W12" i="7"/>
  <c r="X12" i="7"/>
  <c r="Y12" i="7"/>
  <c r="Z12" i="7"/>
  <c r="W6" i="7"/>
  <c r="X6" i="7"/>
  <c r="Y6" i="7"/>
  <c r="Z6" i="7"/>
  <c r="V6" i="7"/>
  <c r="T4" i="7"/>
  <c r="T12" i="7"/>
  <c r="T11" i="7"/>
  <c r="T10" i="7"/>
  <c r="U10" i="7"/>
  <c r="T9" i="7"/>
  <c r="T6" i="7"/>
  <c r="T5" i="7"/>
  <c r="V5" i="7"/>
  <c r="X4" i="7"/>
  <c r="Y4" i="7" s="1"/>
  <c r="Z4" i="7" s="1"/>
  <c r="Z10" i="7" s="1"/>
  <c r="W4" i="7"/>
  <c r="W5" i="7" s="1"/>
  <c r="W7" i="7" s="1"/>
  <c r="V4" i="7"/>
  <c r="V10" i="7" s="1"/>
  <c r="V7" i="7"/>
  <c r="V8" i="7" s="1"/>
  <c r="U6" i="7"/>
  <c r="U5" i="7"/>
  <c r="U4" i="7"/>
  <c r="K22" i="7"/>
  <c r="K21" i="7"/>
  <c r="K12" i="7"/>
  <c r="J54" i="2"/>
  <c r="K11" i="7"/>
  <c r="K10" i="7"/>
  <c r="K9" i="7"/>
  <c r="K8" i="7"/>
  <c r="K7" i="7"/>
  <c r="K6" i="7"/>
  <c r="K5" i="7"/>
  <c r="N10" i="7"/>
  <c r="O10" i="7"/>
  <c r="P10" i="7"/>
  <c r="Q10" i="7"/>
  <c r="M10" i="7"/>
  <c r="L10" i="7"/>
  <c r="K4" i="7"/>
  <c r="M4" i="7"/>
  <c r="K54" i="2" s="1"/>
  <c r="L6" i="7"/>
  <c r="L5" i="7"/>
  <c r="L4" i="7"/>
  <c r="B22" i="7"/>
  <c r="B21" i="7"/>
  <c r="B66" i="2"/>
  <c r="C10" i="7"/>
  <c r="C6" i="7"/>
  <c r="C5" i="7"/>
  <c r="C4" i="7"/>
  <c r="B10" i="7"/>
  <c r="B6" i="7"/>
  <c r="B5" i="7"/>
  <c r="B7" i="7" s="1"/>
  <c r="B8" i="7" s="1"/>
  <c r="B9" i="7" s="1"/>
  <c r="B4" i="7"/>
  <c r="D4" i="7" s="1"/>
  <c r="E4" i="7" s="1"/>
  <c r="F4" i="7" s="1"/>
  <c r="G4" i="7" s="1"/>
  <c r="H4" i="7" s="1"/>
  <c r="H6" i="7" s="1"/>
  <c r="B11" i="7"/>
  <c r="AQ49" i="2"/>
  <c r="AR49" i="2"/>
  <c r="AS49" i="2"/>
  <c r="AT49" i="2"/>
  <c r="AU49" i="2"/>
  <c r="AP49" i="2"/>
  <c r="AI58" i="2"/>
  <c r="AJ58" i="2"/>
  <c r="AK58" i="2"/>
  <c r="AL58" i="2"/>
  <c r="AM58" i="2"/>
  <c r="AH58" i="2"/>
  <c r="AA58" i="2"/>
  <c r="AB58" i="2"/>
  <c r="AC58" i="2"/>
  <c r="AD58" i="2"/>
  <c r="AE58" i="2"/>
  <c r="Z58" i="2"/>
  <c r="S52" i="2"/>
  <c r="T52" i="2"/>
  <c r="U52" i="2"/>
  <c r="V52" i="2"/>
  <c r="W52" i="2"/>
  <c r="R52" i="2"/>
  <c r="K52" i="2"/>
  <c r="L52" i="2"/>
  <c r="M52" i="2"/>
  <c r="N52" i="2"/>
  <c r="O52" i="2"/>
  <c r="J52" i="2"/>
  <c r="C64" i="2"/>
  <c r="D64" i="2"/>
  <c r="E64" i="2"/>
  <c r="F64" i="2"/>
  <c r="G64" i="2"/>
  <c r="B64" i="2"/>
  <c r="H22" i="6"/>
  <c r="F22" i="6"/>
  <c r="E22" i="6"/>
  <c r="D22" i="6"/>
  <c r="C22" i="6"/>
  <c r="B22" i="6"/>
  <c r="H16" i="6"/>
  <c r="H12" i="6"/>
  <c r="F11" i="6"/>
  <c r="E11" i="6"/>
  <c r="E12" i="6" s="1"/>
  <c r="E14" i="6" s="1"/>
  <c r="D11" i="6"/>
  <c r="C11" i="6"/>
  <c r="B11" i="6"/>
  <c r="H11" i="6"/>
  <c r="H13" i="6" s="1"/>
  <c r="H15" i="6" s="1"/>
  <c r="F10" i="6"/>
  <c r="E10" i="6"/>
  <c r="D10" i="6"/>
  <c r="C10" i="6"/>
  <c r="C12" i="6" s="1"/>
  <c r="C14" i="6" s="1"/>
  <c r="B10" i="6"/>
  <c r="H9" i="6"/>
  <c r="H8" i="6"/>
  <c r="B3" i="6" a="1"/>
  <c r="B3" i="6" s="1"/>
  <c r="AX15" i="5"/>
  <c r="AY15" i="5"/>
  <c r="AZ15" i="5"/>
  <c r="BA15" i="5"/>
  <c r="AW15" i="5"/>
  <c r="AV15" i="5"/>
  <c r="AW14" i="5"/>
  <c r="AX14" i="5"/>
  <c r="AY14" i="5"/>
  <c r="AZ14" i="5"/>
  <c r="BA14" i="5"/>
  <c r="AV14" i="5"/>
  <c r="AW12" i="5"/>
  <c r="AX12" i="5"/>
  <c r="AY12" i="5"/>
  <c r="AZ12" i="5"/>
  <c r="BA12" i="5"/>
  <c r="AV12" i="5"/>
  <c r="AX11" i="5"/>
  <c r="AY11" i="5"/>
  <c r="AZ11" i="5"/>
  <c r="BA11" i="5"/>
  <c r="AW11" i="5"/>
  <c r="AV11" i="5"/>
  <c r="AW10" i="5"/>
  <c r="AX10" i="5"/>
  <c r="AY10" i="5"/>
  <c r="AZ10" i="5"/>
  <c r="BA10" i="5"/>
  <c r="AV10" i="5"/>
  <c r="AW9" i="5"/>
  <c r="AX9" i="5"/>
  <c r="AY9" i="5"/>
  <c r="AZ9" i="5"/>
  <c r="BA9" i="5"/>
  <c r="H6" i="6" s="1"/>
  <c r="AV9" i="5"/>
  <c r="AW7" i="5"/>
  <c r="AX7" i="5"/>
  <c r="AY7" i="5"/>
  <c r="AZ7" i="5"/>
  <c r="BA7" i="5"/>
  <c r="AV7" i="5"/>
  <c r="AW6" i="5"/>
  <c r="AX6" i="5"/>
  <c r="AY6" i="5"/>
  <c r="AZ6" i="5"/>
  <c r="BA6" i="5"/>
  <c r="AV6" i="5"/>
  <c r="AW5" i="5"/>
  <c r="AX5" i="5"/>
  <c r="AY5" i="5"/>
  <c r="AZ5" i="5"/>
  <c r="BA5" i="5"/>
  <c r="AV5" i="5"/>
  <c r="AW4" i="5"/>
  <c r="AX4" i="5"/>
  <c r="AY4" i="5"/>
  <c r="AZ4" i="5"/>
  <c r="BA4" i="5"/>
  <c r="AV4" i="5"/>
  <c r="AO15" i="5"/>
  <c r="AP15" i="5"/>
  <c r="AQ15" i="5"/>
  <c r="AR15" i="5"/>
  <c r="AN15" i="5"/>
  <c r="AM15" i="5"/>
  <c r="AN14" i="5"/>
  <c r="AO14" i="5"/>
  <c r="AP14" i="5"/>
  <c r="AQ14" i="5"/>
  <c r="AR14" i="5"/>
  <c r="AM14" i="5"/>
  <c r="AN13" i="5"/>
  <c r="AO13" i="5"/>
  <c r="AP13" i="5"/>
  <c r="AQ13" i="5"/>
  <c r="AR13" i="5"/>
  <c r="AM13" i="5"/>
  <c r="AN12" i="5"/>
  <c r="AO12" i="5"/>
  <c r="AP12" i="5"/>
  <c r="AQ12" i="5"/>
  <c r="AR12" i="5"/>
  <c r="AM12" i="5"/>
  <c r="AO11" i="5"/>
  <c r="AP11" i="5"/>
  <c r="AQ11" i="5"/>
  <c r="AR11" i="5"/>
  <c r="AN11" i="5"/>
  <c r="AM11" i="5"/>
  <c r="AN10" i="5"/>
  <c r="AO10" i="5"/>
  <c r="AP10" i="5"/>
  <c r="AQ10" i="5"/>
  <c r="AR10" i="5"/>
  <c r="AM10" i="5"/>
  <c r="AN9" i="5"/>
  <c r="AO9" i="5"/>
  <c r="AP9" i="5"/>
  <c r="AQ9" i="5"/>
  <c r="AR9" i="5"/>
  <c r="AM9" i="5"/>
  <c r="AN8" i="5"/>
  <c r="AO8" i="5"/>
  <c r="AP8" i="5"/>
  <c r="AQ8" i="5"/>
  <c r="AR8" i="5"/>
  <c r="AM8" i="5"/>
  <c r="AN7" i="5"/>
  <c r="AO7" i="5"/>
  <c r="AP7" i="5"/>
  <c r="AQ7" i="5"/>
  <c r="AR7" i="5"/>
  <c r="AM7" i="5"/>
  <c r="AN6" i="5"/>
  <c r="AO6" i="5"/>
  <c r="AP6" i="5"/>
  <c r="AQ6" i="5"/>
  <c r="AR6" i="5"/>
  <c r="AM6" i="5"/>
  <c r="AN5" i="5"/>
  <c r="AO5" i="5"/>
  <c r="AP5" i="5"/>
  <c r="AQ5" i="5"/>
  <c r="AR5" i="5"/>
  <c r="AM5" i="5"/>
  <c r="AN4" i="5"/>
  <c r="AO4" i="5"/>
  <c r="AP4" i="5"/>
  <c r="AQ4" i="5"/>
  <c r="AR4" i="5"/>
  <c r="AM4" i="5"/>
  <c r="AE12" i="5"/>
  <c r="AF12" i="5"/>
  <c r="AG12" i="5"/>
  <c r="AH12" i="5"/>
  <c r="AI12" i="5"/>
  <c r="AD12" i="5"/>
  <c r="AF11" i="5"/>
  <c r="AG11" i="5"/>
  <c r="AH11" i="5"/>
  <c r="AI11" i="5"/>
  <c r="AE11" i="5"/>
  <c r="AD11" i="5"/>
  <c r="AE10" i="5"/>
  <c r="AF10" i="5"/>
  <c r="AG10" i="5"/>
  <c r="AH10" i="5"/>
  <c r="AI10" i="5"/>
  <c r="AD10" i="5"/>
  <c r="AE9" i="5"/>
  <c r="AF9" i="5"/>
  <c r="AG9" i="5"/>
  <c r="AH9" i="5"/>
  <c r="AI9" i="5"/>
  <c r="AD9" i="5"/>
  <c r="AE8" i="5"/>
  <c r="AF8" i="5"/>
  <c r="AG8" i="5"/>
  <c r="AH8" i="5"/>
  <c r="AI8" i="5"/>
  <c r="AD8" i="5"/>
  <c r="AE7" i="5"/>
  <c r="AF7" i="5"/>
  <c r="AG7" i="5"/>
  <c r="AH7" i="5"/>
  <c r="AI7" i="5"/>
  <c r="AD7" i="5"/>
  <c r="AE6" i="5"/>
  <c r="AF6" i="5"/>
  <c r="AG6" i="5"/>
  <c r="AH6" i="5"/>
  <c r="AI6" i="5"/>
  <c r="AD6" i="5"/>
  <c r="AE5" i="5"/>
  <c r="AF5" i="5"/>
  <c r="AG5" i="5"/>
  <c r="AH5" i="5"/>
  <c r="AI5" i="5"/>
  <c r="AD5" i="5"/>
  <c r="AE4" i="5"/>
  <c r="AF4" i="5"/>
  <c r="AG4" i="5"/>
  <c r="AH4" i="5"/>
  <c r="AI4" i="5"/>
  <c r="AD4" i="5"/>
  <c r="AU51" i="2" l="1"/>
  <c r="AS51" i="2"/>
  <c r="AR51" i="2"/>
  <c r="AQ51" i="2"/>
  <c r="AW10" i="7"/>
  <c r="AW6" i="7"/>
  <c r="AW7" i="7" s="1"/>
  <c r="AU12" i="7"/>
  <c r="AM60" i="2"/>
  <c r="AR11" i="7" s="1"/>
  <c r="AQ11" i="7"/>
  <c r="AO11" i="7"/>
  <c r="AN10" i="7"/>
  <c r="AO4" i="7"/>
  <c r="AN5" i="7"/>
  <c r="AN7" i="7"/>
  <c r="AN8" i="7" s="1"/>
  <c r="AN9" i="7" s="1"/>
  <c r="AN12" i="7" s="1"/>
  <c r="AC60" i="2"/>
  <c r="AG11" i="7" s="1"/>
  <c r="AE6" i="7"/>
  <c r="AF4" i="7"/>
  <c r="AE10" i="7"/>
  <c r="AE5" i="7"/>
  <c r="AE7" i="7" s="1"/>
  <c r="W8" i="7"/>
  <c r="W9" i="7"/>
  <c r="V9" i="7"/>
  <c r="Y10" i="7"/>
  <c r="Z5" i="7"/>
  <c r="Z7" i="7" s="1"/>
  <c r="X10" i="7"/>
  <c r="Y5" i="7"/>
  <c r="Y7" i="7" s="1"/>
  <c r="W10" i="7"/>
  <c r="X5" i="7"/>
  <c r="X7" i="7" s="1"/>
  <c r="T7" i="7"/>
  <c r="T8" i="7" s="1"/>
  <c r="M5" i="7"/>
  <c r="M7" i="7" s="1"/>
  <c r="M6" i="7"/>
  <c r="N4" i="7"/>
  <c r="M8" i="7"/>
  <c r="M9" i="7" s="1"/>
  <c r="M11" i="7"/>
  <c r="D5" i="7"/>
  <c r="C66" i="2"/>
  <c r="D11" i="7" s="1"/>
  <c r="F5" i="7"/>
  <c r="E66" i="2"/>
  <c r="D10" i="7"/>
  <c r="H5" i="7"/>
  <c r="H7" i="7" s="1"/>
  <c r="E6" i="7"/>
  <c r="E5" i="7"/>
  <c r="D66" i="2"/>
  <c r="H10" i="7"/>
  <c r="G66" i="2"/>
  <c r="G10" i="7"/>
  <c r="G6" i="7"/>
  <c r="F6" i="7"/>
  <c r="F66" i="2"/>
  <c r="G11" i="7" s="1"/>
  <c r="D6" i="7"/>
  <c r="D7" i="7" s="1"/>
  <c r="F10" i="7"/>
  <c r="G5" i="7"/>
  <c r="E10" i="7"/>
  <c r="B12" i="6"/>
  <c r="B14" i="6" s="1"/>
  <c r="B12" i="7"/>
  <c r="H17" i="6"/>
  <c r="H18" i="6" s="1"/>
  <c r="D12" i="6"/>
  <c r="D14" i="6" s="1"/>
  <c r="F12" i="6"/>
  <c r="F14" i="6" s="1"/>
  <c r="AE13" i="5"/>
  <c r="AF13" i="5"/>
  <c r="AG13" i="5"/>
  <c r="AH13" i="5"/>
  <c r="AI13" i="5"/>
  <c r="AD13" i="5"/>
  <c r="W15" i="5"/>
  <c r="X15" i="5"/>
  <c r="Y15" i="5"/>
  <c r="Z15" i="5"/>
  <c r="V15" i="5"/>
  <c r="U15" i="5"/>
  <c r="V14" i="5"/>
  <c r="W14" i="5"/>
  <c r="X14" i="5"/>
  <c r="Y14" i="5"/>
  <c r="Z14" i="5"/>
  <c r="U14" i="5"/>
  <c r="V13" i="5"/>
  <c r="W13" i="5"/>
  <c r="X13" i="5"/>
  <c r="Y13" i="5"/>
  <c r="Z13" i="5"/>
  <c r="U13" i="5"/>
  <c r="V12" i="5"/>
  <c r="W12" i="5"/>
  <c r="X12" i="5"/>
  <c r="Y12" i="5"/>
  <c r="Z12" i="5"/>
  <c r="U12" i="5"/>
  <c r="W11" i="5"/>
  <c r="X11" i="5"/>
  <c r="Y11" i="5"/>
  <c r="Z11" i="5"/>
  <c r="V11" i="5"/>
  <c r="U11" i="5"/>
  <c r="V10" i="5"/>
  <c r="W10" i="5"/>
  <c r="X10" i="5"/>
  <c r="Y10" i="5"/>
  <c r="Z10" i="5"/>
  <c r="U10" i="5"/>
  <c r="V9" i="5"/>
  <c r="W9" i="5"/>
  <c r="X9" i="5"/>
  <c r="Y9" i="5"/>
  <c r="Z9" i="5"/>
  <c r="U9" i="5"/>
  <c r="V8" i="5"/>
  <c r="W8" i="5"/>
  <c r="X8" i="5"/>
  <c r="Y8" i="5"/>
  <c r="Z8" i="5"/>
  <c r="U8" i="5"/>
  <c r="V7" i="5"/>
  <c r="W7" i="5"/>
  <c r="X7" i="5"/>
  <c r="Y7" i="5"/>
  <c r="Z7" i="5"/>
  <c r="U7" i="5"/>
  <c r="V6" i="5"/>
  <c r="W6" i="5"/>
  <c r="X6" i="5"/>
  <c r="Y6" i="5"/>
  <c r="Z6" i="5"/>
  <c r="U6" i="5"/>
  <c r="V5" i="5"/>
  <c r="W5" i="5"/>
  <c r="X5" i="5"/>
  <c r="Y5" i="5"/>
  <c r="Z5" i="5"/>
  <c r="U5" i="5"/>
  <c r="V4" i="5"/>
  <c r="W4" i="5"/>
  <c r="X4" i="5"/>
  <c r="Y4" i="5"/>
  <c r="Z4" i="5"/>
  <c r="U4" i="5"/>
  <c r="N15" i="5"/>
  <c r="O15" i="5"/>
  <c r="P15" i="5"/>
  <c r="Q15" i="5"/>
  <c r="M15" i="5"/>
  <c r="L15" i="5"/>
  <c r="M14" i="5"/>
  <c r="N14" i="5"/>
  <c r="O14" i="5"/>
  <c r="P14" i="5"/>
  <c r="Q14" i="5"/>
  <c r="L14" i="5"/>
  <c r="M13" i="5"/>
  <c r="N13" i="5"/>
  <c r="O13" i="5"/>
  <c r="P13" i="5"/>
  <c r="Q13" i="5"/>
  <c r="L13" i="5"/>
  <c r="M12" i="5"/>
  <c r="N12" i="5"/>
  <c r="O12" i="5"/>
  <c r="P12" i="5"/>
  <c r="Q12" i="5"/>
  <c r="L12" i="5"/>
  <c r="N11" i="5"/>
  <c r="O11" i="5"/>
  <c r="P11" i="5"/>
  <c r="Q11" i="5"/>
  <c r="M11" i="5"/>
  <c r="L11" i="5"/>
  <c r="M10" i="5"/>
  <c r="N10" i="5"/>
  <c r="O10" i="5"/>
  <c r="P10" i="5"/>
  <c r="Q10" i="5"/>
  <c r="L10" i="5"/>
  <c r="M9" i="5"/>
  <c r="N9" i="5"/>
  <c r="O9" i="5"/>
  <c r="P9" i="5"/>
  <c r="Q9" i="5"/>
  <c r="L9" i="5"/>
  <c r="M8" i="5"/>
  <c r="N8" i="5"/>
  <c r="O8" i="5"/>
  <c r="P8" i="5"/>
  <c r="Q8" i="5"/>
  <c r="L8" i="5"/>
  <c r="M7" i="5"/>
  <c r="N7" i="5"/>
  <c r="O7" i="5"/>
  <c r="P7" i="5"/>
  <c r="Q7" i="5"/>
  <c r="L7" i="5"/>
  <c r="M6" i="5"/>
  <c r="N6" i="5"/>
  <c r="O6" i="5"/>
  <c r="P6" i="5"/>
  <c r="Q6" i="5"/>
  <c r="L6" i="5"/>
  <c r="M5" i="5"/>
  <c r="N5" i="5"/>
  <c r="O5" i="5"/>
  <c r="P5" i="5"/>
  <c r="Q5" i="5"/>
  <c r="L5" i="5"/>
  <c r="M4" i="5"/>
  <c r="N4" i="5"/>
  <c r="O4" i="5"/>
  <c r="P4" i="5"/>
  <c r="Q4" i="5"/>
  <c r="L4" i="5"/>
  <c r="C15" i="5"/>
  <c r="R35" i="3"/>
  <c r="J35" i="3"/>
  <c r="E15" i="5"/>
  <c r="F15" i="5"/>
  <c r="G15" i="5"/>
  <c r="H15" i="5"/>
  <c r="D15" i="5"/>
  <c r="D14" i="5"/>
  <c r="E14" i="5"/>
  <c r="F14" i="5"/>
  <c r="G14" i="5"/>
  <c r="H14" i="5"/>
  <c r="C14" i="5"/>
  <c r="AQ29" i="3"/>
  <c r="AR29" i="3"/>
  <c r="AS29" i="3"/>
  <c r="AT29" i="3"/>
  <c r="AU29" i="3"/>
  <c r="AP29" i="3"/>
  <c r="AI38" i="3"/>
  <c r="AJ38" i="3"/>
  <c r="AK38" i="3"/>
  <c r="AL38" i="3"/>
  <c r="AM38" i="3"/>
  <c r="AH38" i="3"/>
  <c r="S32" i="3"/>
  <c r="T32" i="3"/>
  <c r="U32" i="3"/>
  <c r="V32" i="3"/>
  <c r="W32" i="3"/>
  <c r="R32" i="3"/>
  <c r="K32" i="3"/>
  <c r="L32" i="3"/>
  <c r="M32" i="3"/>
  <c r="N32" i="3"/>
  <c r="O32" i="3"/>
  <c r="J32" i="3"/>
  <c r="C32" i="3"/>
  <c r="D32" i="3"/>
  <c r="E32" i="3"/>
  <c r="F32" i="3"/>
  <c r="G32" i="3"/>
  <c r="B32" i="3"/>
  <c r="D13" i="5" a="1"/>
  <c r="D13" i="5" s="1"/>
  <c r="E13" i="5" a="1"/>
  <c r="E13" i="5" s="1"/>
  <c r="F13" i="5" a="1"/>
  <c r="F13" i="5" s="1"/>
  <c r="G13" i="5" a="1"/>
  <c r="G13" i="5" s="1"/>
  <c r="H13" i="5" a="1"/>
  <c r="H13" i="5" s="1"/>
  <c r="C13" i="5" a="1"/>
  <c r="C13" i="5" s="1"/>
  <c r="D12" i="5"/>
  <c r="E12" i="5"/>
  <c r="F12" i="5"/>
  <c r="G12" i="5"/>
  <c r="H12" i="5"/>
  <c r="C12" i="5"/>
  <c r="E11" i="5"/>
  <c r="F11" i="5"/>
  <c r="G11" i="5"/>
  <c r="H11" i="5"/>
  <c r="D11" i="5"/>
  <c r="C11" i="5"/>
  <c r="D10" i="5"/>
  <c r="E10" i="5"/>
  <c r="F10" i="5"/>
  <c r="G10" i="5"/>
  <c r="H10" i="5"/>
  <c r="C10" i="5"/>
  <c r="D9" i="5"/>
  <c r="E9" i="5"/>
  <c r="F9" i="5"/>
  <c r="G9" i="5"/>
  <c r="H9" i="5"/>
  <c r="C3" i="6" s="1"/>
  <c r="E3" i="6" s="1"/>
  <c r="H7" i="6" s="1"/>
  <c r="H10" i="6" s="1"/>
  <c r="C9" i="5"/>
  <c r="D8" i="5"/>
  <c r="E8" i="5"/>
  <c r="F8" i="5"/>
  <c r="G8" i="5"/>
  <c r="H8" i="5"/>
  <c r="C8" i="5"/>
  <c r="D7" i="5"/>
  <c r="E7" i="5"/>
  <c r="F7" i="5"/>
  <c r="G7" i="5"/>
  <c r="H7" i="5"/>
  <c r="C7" i="5"/>
  <c r="D6" i="5"/>
  <c r="E6" i="5"/>
  <c r="F6" i="5"/>
  <c r="G6" i="5"/>
  <c r="H6" i="5"/>
  <c r="C6" i="5"/>
  <c r="D5" i="5"/>
  <c r="E5" i="5"/>
  <c r="F5" i="5"/>
  <c r="G5" i="5"/>
  <c r="H5" i="5"/>
  <c r="C5" i="5"/>
  <c r="D4" i="5"/>
  <c r="E4" i="5"/>
  <c r="F4" i="5"/>
  <c r="G4" i="5"/>
  <c r="H4" i="5"/>
  <c r="C4" i="5"/>
  <c r="AJ49" i="4"/>
  <c r="AK46" i="4"/>
  <c r="AE64" i="4"/>
  <c r="AE49" i="4"/>
  <c r="AD49" i="4"/>
  <c r="AE21" i="4"/>
  <c r="AD21" i="4"/>
  <c r="S41" i="4"/>
  <c r="T41" i="4"/>
  <c r="U41" i="4"/>
  <c r="V41" i="4"/>
  <c r="W41" i="4"/>
  <c r="R41" i="4"/>
  <c r="O20" i="4"/>
  <c r="N20" i="4"/>
  <c r="C59" i="4"/>
  <c r="D59" i="4"/>
  <c r="F59" i="4"/>
  <c r="G59" i="4"/>
  <c r="B59" i="4"/>
  <c r="E58" i="4"/>
  <c r="E59" i="4" s="1"/>
  <c r="B45" i="4"/>
  <c r="B16" i="4"/>
  <c r="B24" i="4" s="1"/>
  <c r="B26" i="4" s="1"/>
  <c r="AQ39" i="4"/>
  <c r="AR39" i="4"/>
  <c r="AS39" i="4"/>
  <c r="AT39" i="4"/>
  <c r="AU39" i="4"/>
  <c r="AP39" i="4"/>
  <c r="AQ29" i="4"/>
  <c r="AR29" i="4"/>
  <c r="AS29" i="4"/>
  <c r="AT29" i="4"/>
  <c r="AU29" i="4"/>
  <c r="AP29" i="4"/>
  <c r="AQ14" i="4"/>
  <c r="AQ18" i="4" s="1"/>
  <c r="AQ20" i="4" s="1"/>
  <c r="AR14" i="4"/>
  <c r="AR18" i="4" s="1"/>
  <c r="AR20" i="4" s="1"/>
  <c r="AS14" i="4"/>
  <c r="AS18" i="4" s="1"/>
  <c r="AS20" i="4" s="1"/>
  <c r="AT14" i="4"/>
  <c r="AT18" i="4" s="1"/>
  <c r="AT20" i="4" s="1"/>
  <c r="AQ6" i="4"/>
  <c r="AR6" i="4"/>
  <c r="AS6" i="4"/>
  <c r="AT6" i="4"/>
  <c r="AU6" i="4"/>
  <c r="AU14" i="4" s="1"/>
  <c r="AU18" i="4" s="1"/>
  <c r="AU20" i="4" s="1"/>
  <c r="AP6" i="4"/>
  <c r="AP14" i="4" s="1"/>
  <c r="AP18" i="4" s="1"/>
  <c r="AP20" i="4" s="1"/>
  <c r="C45" i="4"/>
  <c r="D45" i="4"/>
  <c r="E45" i="4"/>
  <c r="F45" i="4"/>
  <c r="G45" i="4"/>
  <c r="AI54" i="4"/>
  <c r="AJ54" i="4"/>
  <c r="AK54" i="4"/>
  <c r="AL54" i="4"/>
  <c r="AM54" i="4"/>
  <c r="AH54" i="4"/>
  <c r="AI44" i="4"/>
  <c r="AJ44" i="4"/>
  <c r="AK44" i="4"/>
  <c r="AL44" i="4"/>
  <c r="AM44" i="4"/>
  <c r="AH44" i="4"/>
  <c r="AI24" i="4"/>
  <c r="AI31" i="4" s="1"/>
  <c r="AI33" i="4" s="1"/>
  <c r="AJ24" i="4"/>
  <c r="AJ31" i="4" s="1"/>
  <c r="AJ33" i="4" s="1"/>
  <c r="AK24" i="4"/>
  <c r="AK31" i="4" s="1"/>
  <c r="AK33" i="4" s="1"/>
  <c r="AL24" i="4"/>
  <c r="AL31" i="4" s="1"/>
  <c r="AL33" i="4" s="1"/>
  <c r="AM24" i="4"/>
  <c r="AM31" i="4" s="1"/>
  <c r="AM33" i="4" s="1"/>
  <c r="AH24" i="4"/>
  <c r="AH31" i="4" s="1"/>
  <c r="AH33" i="4" s="1"/>
  <c r="AA61" i="4"/>
  <c r="AB61" i="4"/>
  <c r="AC61" i="4"/>
  <c r="AD61" i="4"/>
  <c r="AE61" i="4"/>
  <c r="Z61" i="4"/>
  <c r="AA50" i="4"/>
  <c r="AB50" i="4"/>
  <c r="AC50" i="4"/>
  <c r="AD50" i="4"/>
  <c r="AE50" i="4"/>
  <c r="Z50" i="4"/>
  <c r="AA22" i="4"/>
  <c r="AA31" i="4" s="1"/>
  <c r="AA33" i="4" s="1"/>
  <c r="AB22" i="4"/>
  <c r="AB31" i="4" s="1"/>
  <c r="AB33" i="4" s="1"/>
  <c r="AC22" i="4"/>
  <c r="AC31" i="4" s="1"/>
  <c r="AC33" i="4" s="1"/>
  <c r="AD22" i="4"/>
  <c r="AD31" i="4" s="1"/>
  <c r="AD33" i="4" s="1"/>
  <c r="AE22" i="4"/>
  <c r="AE31" i="4" s="1"/>
  <c r="AE33" i="4" s="1"/>
  <c r="Z22" i="4"/>
  <c r="Z31" i="4" s="1"/>
  <c r="Z33" i="4" s="1"/>
  <c r="S36" i="4"/>
  <c r="T36" i="4"/>
  <c r="U36" i="4"/>
  <c r="V36" i="4"/>
  <c r="W36" i="4"/>
  <c r="R36" i="4"/>
  <c r="K13" i="4"/>
  <c r="K21" i="4" s="1"/>
  <c r="K23" i="4" s="1"/>
  <c r="L13" i="4"/>
  <c r="L21" i="4" s="1"/>
  <c r="L23" i="4" s="1"/>
  <c r="M13" i="4"/>
  <c r="M21" i="4" s="1"/>
  <c r="M23" i="4" s="1"/>
  <c r="N13" i="4"/>
  <c r="O13" i="4"/>
  <c r="J13" i="4"/>
  <c r="J21" i="4" s="1"/>
  <c r="J23" i="4" s="1"/>
  <c r="S17" i="4"/>
  <c r="S26" i="4" s="1"/>
  <c r="S28" i="4" s="1"/>
  <c r="T17" i="4"/>
  <c r="T26" i="4" s="1"/>
  <c r="T28" i="4" s="1"/>
  <c r="U17" i="4"/>
  <c r="U26" i="4" s="1"/>
  <c r="U28" i="4" s="1"/>
  <c r="V17" i="4"/>
  <c r="V26" i="4" s="1"/>
  <c r="V28" i="4" s="1"/>
  <c r="W17" i="4"/>
  <c r="W26" i="4" s="1"/>
  <c r="W28" i="4" s="1"/>
  <c r="R17" i="4"/>
  <c r="R26" i="4" s="1"/>
  <c r="R28" i="4" s="1"/>
  <c r="K46" i="4"/>
  <c r="L46" i="4"/>
  <c r="M46" i="4"/>
  <c r="N46" i="4"/>
  <c r="O46" i="4"/>
  <c r="J46" i="4"/>
  <c r="K35" i="4"/>
  <c r="L35" i="4"/>
  <c r="M35" i="4"/>
  <c r="N35" i="4"/>
  <c r="O35" i="4"/>
  <c r="J35" i="4"/>
  <c r="C16" i="4"/>
  <c r="D16" i="4"/>
  <c r="E16" i="4"/>
  <c r="E24" i="4" s="1"/>
  <c r="F16" i="4"/>
  <c r="F24" i="4" s="1"/>
  <c r="G16" i="4"/>
  <c r="AA16" i="3"/>
  <c r="Z16" i="3"/>
  <c r="S20" i="3"/>
  <c r="T20" i="3"/>
  <c r="U20" i="3"/>
  <c r="V20" i="3"/>
  <c r="W20" i="3"/>
  <c r="R20" i="3"/>
  <c r="K22" i="3"/>
  <c r="J22" i="3"/>
  <c r="C24" i="3"/>
  <c r="D24" i="3"/>
  <c r="E24" i="3"/>
  <c r="F24" i="3"/>
  <c r="G24" i="3"/>
  <c r="B24" i="3"/>
  <c r="C19" i="3"/>
  <c r="D19" i="3"/>
  <c r="E19" i="3"/>
  <c r="F19" i="3"/>
  <c r="G19" i="3"/>
  <c r="B19" i="3"/>
  <c r="AQ46" i="2"/>
  <c r="AR46" i="2"/>
  <c r="AS46" i="2"/>
  <c r="AT46" i="2"/>
  <c r="AU46" i="2"/>
  <c r="AP46" i="2"/>
  <c r="AU7" i="2"/>
  <c r="AT7" i="2"/>
  <c r="AU6" i="2"/>
  <c r="AT6" i="2"/>
  <c r="AQ35" i="2"/>
  <c r="AR35" i="2"/>
  <c r="AS35" i="2"/>
  <c r="AT35" i="2"/>
  <c r="AU35" i="2"/>
  <c r="AP35" i="2"/>
  <c r="AS7" i="2"/>
  <c r="AR7" i="2"/>
  <c r="AS6" i="2"/>
  <c r="AR6" i="2"/>
  <c r="AQ22" i="3"/>
  <c r="AR22" i="3"/>
  <c r="AS22" i="3"/>
  <c r="AT22" i="3"/>
  <c r="AU22" i="3"/>
  <c r="AP22" i="3"/>
  <c r="AQ16" i="3"/>
  <c r="AR16" i="3"/>
  <c r="AS16" i="3"/>
  <c r="AT16" i="3"/>
  <c r="AU16" i="3"/>
  <c r="AP16" i="3"/>
  <c r="AQ6" i="3"/>
  <c r="AR6" i="3"/>
  <c r="AS6" i="3"/>
  <c r="AT6" i="3"/>
  <c r="AU6" i="3"/>
  <c r="AP6" i="3"/>
  <c r="AQ41" i="2"/>
  <c r="AR41" i="2"/>
  <c r="AS41" i="2"/>
  <c r="AT41" i="2"/>
  <c r="AU41" i="2"/>
  <c r="AP41" i="2"/>
  <c r="AQ26" i="2"/>
  <c r="AR26" i="2"/>
  <c r="AS26" i="2"/>
  <c r="AT26" i="2"/>
  <c r="AU26" i="2"/>
  <c r="AP26" i="2"/>
  <c r="AQ20" i="2"/>
  <c r="AR20" i="2"/>
  <c r="AS20" i="2"/>
  <c r="AT20" i="2"/>
  <c r="AU20" i="2"/>
  <c r="AP20" i="2"/>
  <c r="AQ12" i="2"/>
  <c r="AR12" i="2"/>
  <c r="AS12" i="2"/>
  <c r="AT12" i="2"/>
  <c r="AU12" i="2"/>
  <c r="AP12" i="2"/>
  <c r="AI31" i="3"/>
  <c r="AJ31" i="3"/>
  <c r="AK31" i="3"/>
  <c r="AL31" i="3"/>
  <c r="AM31" i="3"/>
  <c r="AH31" i="3"/>
  <c r="AI18" i="3"/>
  <c r="AJ18" i="3"/>
  <c r="AK18" i="3"/>
  <c r="AL18" i="3"/>
  <c r="AM18" i="3"/>
  <c r="AH18" i="3"/>
  <c r="AI8" i="3"/>
  <c r="AJ8" i="3"/>
  <c r="AK8" i="3"/>
  <c r="AL8" i="3"/>
  <c r="AM8" i="3"/>
  <c r="AH8" i="3"/>
  <c r="AA20" i="3"/>
  <c r="AB20" i="3"/>
  <c r="AC20" i="3"/>
  <c r="AD20" i="3"/>
  <c r="AE20" i="3"/>
  <c r="Z20" i="3"/>
  <c r="AA13" i="3"/>
  <c r="AB13" i="3"/>
  <c r="AC13" i="3"/>
  <c r="AD13" i="3"/>
  <c r="AE13" i="3"/>
  <c r="Z13" i="3"/>
  <c r="AE6" i="3"/>
  <c r="AD6" i="3"/>
  <c r="AC6" i="3"/>
  <c r="AB6" i="3"/>
  <c r="AA6" i="3"/>
  <c r="Z6" i="3"/>
  <c r="S24" i="3"/>
  <c r="T24" i="3"/>
  <c r="U24" i="3"/>
  <c r="V24" i="3"/>
  <c r="W24" i="3"/>
  <c r="R24" i="3"/>
  <c r="S17" i="3"/>
  <c r="T17" i="3"/>
  <c r="U17" i="3"/>
  <c r="V17" i="3"/>
  <c r="W17" i="3"/>
  <c r="R17" i="3"/>
  <c r="S7" i="3"/>
  <c r="T7" i="3"/>
  <c r="U7" i="3"/>
  <c r="V7" i="3"/>
  <c r="W7" i="3"/>
  <c r="R7" i="3"/>
  <c r="K25" i="3"/>
  <c r="L25" i="3"/>
  <c r="M25" i="3"/>
  <c r="N25" i="3"/>
  <c r="O25" i="3"/>
  <c r="J25" i="3"/>
  <c r="J26" i="3" s="1"/>
  <c r="K13" i="3"/>
  <c r="L13" i="3"/>
  <c r="M13" i="3"/>
  <c r="N13" i="3"/>
  <c r="O13" i="3"/>
  <c r="J13" i="3"/>
  <c r="O6" i="3"/>
  <c r="N6" i="3"/>
  <c r="M6" i="3"/>
  <c r="L6" i="3"/>
  <c r="K6" i="3"/>
  <c r="J6" i="3"/>
  <c r="J14" i="3" s="1"/>
  <c r="J20" i="3" s="1"/>
  <c r="C14" i="3"/>
  <c r="D14" i="3"/>
  <c r="E14" i="3"/>
  <c r="F14" i="3"/>
  <c r="G14" i="3"/>
  <c r="B14" i="3"/>
  <c r="C6" i="3"/>
  <c r="D6" i="3"/>
  <c r="E6" i="3"/>
  <c r="F6" i="3"/>
  <c r="G6" i="3"/>
  <c r="B6" i="3"/>
  <c r="AM46" i="2"/>
  <c r="AM53" i="2" s="1"/>
  <c r="AL46" i="2"/>
  <c r="AL53" i="2" s="1"/>
  <c r="K23" i="2"/>
  <c r="L23" i="2"/>
  <c r="M23" i="2"/>
  <c r="N23" i="2"/>
  <c r="O23" i="2"/>
  <c r="J23" i="2"/>
  <c r="C46" i="2"/>
  <c r="D46" i="2"/>
  <c r="E46" i="2"/>
  <c r="F46" i="2"/>
  <c r="G46" i="2"/>
  <c r="B46" i="2"/>
  <c r="F41" i="2"/>
  <c r="C37" i="2"/>
  <c r="D37" i="2"/>
  <c r="E37" i="2"/>
  <c r="F37" i="2"/>
  <c r="G37" i="2"/>
  <c r="B37" i="2"/>
  <c r="AI26" i="2"/>
  <c r="AJ26" i="2"/>
  <c r="AK26" i="2"/>
  <c r="AL26" i="2"/>
  <c r="AM26" i="2"/>
  <c r="AH26" i="2"/>
  <c r="AI14" i="2"/>
  <c r="AJ14" i="2"/>
  <c r="AK14" i="2"/>
  <c r="AL14" i="2"/>
  <c r="AM14" i="2"/>
  <c r="AH14" i="2"/>
  <c r="AI53" i="2"/>
  <c r="AJ53" i="2"/>
  <c r="AK53" i="2"/>
  <c r="AH53" i="2"/>
  <c r="AJ44" i="2"/>
  <c r="AK44" i="2"/>
  <c r="AI37" i="2"/>
  <c r="AI44" i="2" s="1"/>
  <c r="AJ37" i="2"/>
  <c r="AK37" i="2"/>
  <c r="AL37" i="2"/>
  <c r="AL44" i="2" s="1"/>
  <c r="AM37" i="2"/>
  <c r="AM44" i="2" s="1"/>
  <c r="AH37" i="2"/>
  <c r="AH44" i="2" s="1"/>
  <c r="AM33" i="2"/>
  <c r="AL33" i="2"/>
  <c r="AK33" i="2"/>
  <c r="AJ33" i="2"/>
  <c r="AI33" i="2"/>
  <c r="AH33" i="2"/>
  <c r="AA54" i="2"/>
  <c r="AB54" i="2"/>
  <c r="AC54" i="2"/>
  <c r="AD54" i="2"/>
  <c r="AE54" i="2"/>
  <c r="Z54" i="2"/>
  <c r="AA44" i="2"/>
  <c r="AB44" i="2"/>
  <c r="AC44" i="2"/>
  <c r="AD44" i="2"/>
  <c r="AE44" i="2"/>
  <c r="Z44" i="2"/>
  <c r="AA36" i="2"/>
  <c r="AB36" i="2"/>
  <c r="AC36" i="2"/>
  <c r="AD36" i="2"/>
  <c r="AE36" i="2"/>
  <c r="Z36" i="2"/>
  <c r="AA29" i="2"/>
  <c r="AB29" i="2"/>
  <c r="AC29" i="2"/>
  <c r="AD29" i="2"/>
  <c r="AE29" i="2"/>
  <c r="Z29" i="2"/>
  <c r="AA19" i="2"/>
  <c r="AB19" i="2"/>
  <c r="AB30" i="2" s="1"/>
  <c r="AC19" i="2"/>
  <c r="AD19" i="2"/>
  <c r="AE19" i="2"/>
  <c r="Z19" i="2"/>
  <c r="S37" i="2"/>
  <c r="T37" i="2"/>
  <c r="U37" i="2"/>
  <c r="V37" i="2"/>
  <c r="W37" i="2"/>
  <c r="R37" i="2"/>
  <c r="S13" i="2"/>
  <c r="T13" i="2"/>
  <c r="U13" i="2"/>
  <c r="V13" i="2"/>
  <c r="W13" i="2"/>
  <c r="S24" i="2"/>
  <c r="T24" i="2"/>
  <c r="U24" i="2"/>
  <c r="V24" i="2"/>
  <c r="W24" i="2"/>
  <c r="R24" i="2"/>
  <c r="R13" i="2"/>
  <c r="W43" i="2"/>
  <c r="W47" i="2" s="1"/>
  <c r="V43" i="2"/>
  <c r="V47" i="2" s="1"/>
  <c r="U43" i="2"/>
  <c r="U47" i="2" s="1"/>
  <c r="T43" i="2"/>
  <c r="T47" i="2" s="1"/>
  <c r="S43" i="2"/>
  <c r="S47" i="2" s="1"/>
  <c r="R43" i="2"/>
  <c r="R47" i="2" s="1"/>
  <c r="W30" i="2"/>
  <c r="V30" i="2"/>
  <c r="U30" i="2"/>
  <c r="T30" i="2"/>
  <c r="S30" i="2"/>
  <c r="R30" i="2"/>
  <c r="K37" i="2"/>
  <c r="L37" i="2"/>
  <c r="M37" i="2"/>
  <c r="N37" i="2"/>
  <c r="O37" i="2"/>
  <c r="J37" i="2"/>
  <c r="K14" i="2"/>
  <c r="L14" i="2"/>
  <c r="M14" i="2"/>
  <c r="N14" i="2"/>
  <c r="O14" i="2"/>
  <c r="J14" i="2"/>
  <c r="O42" i="2"/>
  <c r="O48" i="2" s="1"/>
  <c r="N42" i="2"/>
  <c r="N48" i="2" s="1"/>
  <c r="M42" i="2"/>
  <c r="M48" i="2" s="1"/>
  <c r="L42" i="2"/>
  <c r="L48" i="2" s="1"/>
  <c r="K42" i="2"/>
  <c r="K48" i="2" s="1"/>
  <c r="K49" i="2" s="1"/>
  <c r="J42" i="2"/>
  <c r="J48" i="2" s="1"/>
  <c r="O29" i="2"/>
  <c r="N29" i="2"/>
  <c r="M29" i="2"/>
  <c r="L29" i="2"/>
  <c r="K29" i="2"/>
  <c r="J29" i="2"/>
  <c r="C19" i="2"/>
  <c r="D19" i="2"/>
  <c r="E19" i="2"/>
  <c r="F19" i="2"/>
  <c r="G19" i="2"/>
  <c r="C54" i="2"/>
  <c r="C60" i="2" s="1"/>
  <c r="D54" i="2"/>
  <c r="D60" i="2" s="1"/>
  <c r="E54" i="2"/>
  <c r="E60" i="2" s="1"/>
  <c r="F54" i="2"/>
  <c r="F60" i="2" s="1"/>
  <c r="G54" i="2"/>
  <c r="G60" i="2" s="1"/>
  <c r="B54" i="2"/>
  <c r="B60" i="2" s="1"/>
  <c r="C30" i="2"/>
  <c r="D30" i="2"/>
  <c r="E30" i="2"/>
  <c r="F30" i="2"/>
  <c r="G30" i="2"/>
  <c r="B30" i="2"/>
  <c r="B19" i="2"/>
  <c r="C13" i="1" a="1"/>
  <c r="C13" i="1" s="1"/>
  <c r="D13" i="1" a="1"/>
  <c r="D13" i="1" s="1"/>
  <c r="E13" i="1" a="1"/>
  <c r="E13" i="1" s="1"/>
  <c r="C14" i="1" a="1"/>
  <c r="C14" i="1" s="1"/>
  <c r="D14" i="1" a="1"/>
  <c r="D14" i="1" s="1"/>
  <c r="E14" i="1" a="1"/>
  <c r="E14" i="1" s="1"/>
  <c r="F14" i="1" a="1"/>
  <c r="F14" i="1" s="1"/>
  <c r="B14" i="1" a="1"/>
  <c r="B14" i="1" s="1"/>
  <c r="B13" i="1" a="1"/>
  <c r="B13" i="1" s="1"/>
  <c r="C7" i="1" a="1"/>
  <c r="C7" i="1" s="1"/>
  <c r="C6" i="9" s="1"/>
  <c r="D7" i="1" a="1"/>
  <c r="D7" i="1" s="1"/>
  <c r="D6" i="9" s="1"/>
  <c r="E7" i="1" a="1"/>
  <c r="E7" i="1" s="1"/>
  <c r="E6" i="9" s="1"/>
  <c r="F7" i="1" a="1"/>
  <c r="F7" i="1" s="1"/>
  <c r="F6" i="9" s="1"/>
  <c r="C8" i="1" a="1"/>
  <c r="C8" i="1" s="1"/>
  <c r="D8" i="1" a="1"/>
  <c r="D8" i="1" s="1"/>
  <c r="E8" i="1" a="1"/>
  <c r="E8" i="1" s="1"/>
  <c r="F8" i="1" a="1"/>
  <c r="F8" i="1" s="1"/>
  <c r="C9" i="1" a="1"/>
  <c r="C9" i="1" s="1"/>
  <c r="D9" i="1" a="1"/>
  <c r="D9" i="1" s="1"/>
  <c r="E9" i="1" a="1"/>
  <c r="E9" i="1" s="1"/>
  <c r="F9" i="1" a="1"/>
  <c r="F9" i="1" s="1"/>
  <c r="C10" i="1" a="1"/>
  <c r="C10" i="1" s="1"/>
  <c r="D10" i="1" a="1"/>
  <c r="D10" i="1" s="1"/>
  <c r="E10" i="1" a="1"/>
  <c r="E10" i="1" s="1"/>
  <c r="F10" i="1" a="1"/>
  <c r="F10" i="1" s="1"/>
  <c r="C11" i="1" a="1"/>
  <c r="C11" i="1" s="1"/>
  <c r="C7" i="6" s="1"/>
  <c r="C9" i="6" s="1"/>
  <c r="D11" i="1" a="1"/>
  <c r="D11" i="1" s="1"/>
  <c r="D7" i="6" s="1"/>
  <c r="D9" i="6" s="1"/>
  <c r="E11" i="1" a="1"/>
  <c r="E11" i="1" s="1"/>
  <c r="E7" i="6" s="1"/>
  <c r="E9" i="6" s="1"/>
  <c r="F11" i="1" a="1"/>
  <c r="F11" i="1" s="1"/>
  <c r="F7" i="6" s="1"/>
  <c r="F9" i="6" s="1"/>
  <c r="C12" i="1" a="1"/>
  <c r="C12" i="1" s="1"/>
  <c r="D12" i="1" a="1"/>
  <c r="D12" i="1" s="1"/>
  <c r="E12" i="1" a="1"/>
  <c r="E12" i="1" s="1"/>
  <c r="F12" i="1" a="1"/>
  <c r="F12" i="1" s="1"/>
  <c r="B12" i="1" a="1"/>
  <c r="B12" i="1" s="1"/>
  <c r="B11" i="1" a="1"/>
  <c r="B11" i="1" s="1"/>
  <c r="B7" i="6" s="1"/>
  <c r="B10" i="1" a="1"/>
  <c r="B10" i="1" s="1"/>
  <c r="B9" i="1" a="1"/>
  <c r="B9" i="1" s="1"/>
  <c r="B8" i="1" a="1"/>
  <c r="B8" i="1" s="1"/>
  <c r="B7" i="1" a="1"/>
  <c r="B7" i="1" s="1"/>
  <c r="B6" i="9" s="1"/>
  <c r="C5" i="1" a="1"/>
  <c r="C5" i="1" s="1"/>
  <c r="D5" i="1" a="1"/>
  <c r="D5" i="1" s="1"/>
  <c r="E5" i="1" a="1"/>
  <c r="E5" i="1" s="1"/>
  <c r="F5" i="1" a="1"/>
  <c r="F5" i="1" s="1"/>
  <c r="C4" i="1" a="1"/>
  <c r="C4" i="1" s="1"/>
  <c r="D4" i="1" a="1"/>
  <c r="D4" i="1" s="1"/>
  <c r="E4" i="1" a="1"/>
  <c r="E4" i="1" s="1"/>
  <c r="F4" i="1" a="1"/>
  <c r="F4" i="1" s="1"/>
  <c r="B5" i="1" a="1"/>
  <c r="B5" i="1" s="1"/>
  <c r="B4" i="1" a="1"/>
  <c r="B4" i="1" s="1"/>
  <c r="B9" i="6" l="1"/>
  <c r="AN19" i="5"/>
  <c r="AO19" i="5"/>
  <c r="AP19" i="5"/>
  <c r="AQ19" i="5"/>
  <c r="AR19" i="5"/>
  <c r="AM19" i="5"/>
  <c r="AG19" i="5"/>
  <c r="AH19" i="5"/>
  <c r="AI19" i="5"/>
  <c r="AD19" i="5"/>
  <c r="AE19" i="5"/>
  <c r="AF19" i="5"/>
  <c r="V19" i="5"/>
  <c r="Y19" i="5"/>
  <c r="W19" i="5"/>
  <c r="X19" i="5"/>
  <c r="Z19" i="5"/>
  <c r="M19" i="5"/>
  <c r="N19" i="5"/>
  <c r="O19" i="5"/>
  <c r="P19" i="5"/>
  <c r="Q19" i="5"/>
  <c r="L19" i="5"/>
  <c r="E19" i="5"/>
  <c r="F19" i="5"/>
  <c r="G19" i="5"/>
  <c r="D19" i="5"/>
  <c r="H19" i="5"/>
  <c r="C19" i="5"/>
  <c r="AW8" i="7"/>
  <c r="AW9" i="7"/>
  <c r="AW12" i="7" s="1"/>
  <c r="AX10" i="7"/>
  <c r="AX5" i="7"/>
  <c r="AX6" i="7"/>
  <c r="AL24" i="7"/>
  <c r="F11" i="8"/>
  <c r="AE44" i="10" s="1"/>
  <c r="AC24" i="7"/>
  <c r="E11" i="8"/>
  <c r="T24" i="7"/>
  <c r="D11" i="8"/>
  <c r="W44" i="10" s="1"/>
  <c r="B24" i="7"/>
  <c r="B11" i="8"/>
  <c r="G44" i="10" s="1"/>
  <c r="K24" i="7"/>
  <c r="C11" i="8"/>
  <c r="O44" i="10" s="1"/>
  <c r="B15" i="6"/>
  <c r="B16" i="6" s="1"/>
  <c r="B18" i="6" s="1"/>
  <c r="B4" i="8"/>
  <c r="F15" i="6"/>
  <c r="F16" i="6" s="1"/>
  <c r="F18" i="6" s="1"/>
  <c r="F4" i="8"/>
  <c r="AL26" i="7"/>
  <c r="F3" i="8"/>
  <c r="K11" i="8" s="1"/>
  <c r="AC26" i="7"/>
  <c r="E3" i="8"/>
  <c r="D15" i="6"/>
  <c r="D16" i="6" s="1"/>
  <c r="D18" i="6" s="1"/>
  <c r="D4" i="8"/>
  <c r="T26" i="7"/>
  <c r="D3" i="8"/>
  <c r="C15" i="6"/>
  <c r="C16" i="6" s="1"/>
  <c r="C18" i="6" s="1"/>
  <c r="C4" i="8"/>
  <c r="K26" i="7"/>
  <c r="C3" i="8"/>
  <c r="E15" i="6"/>
  <c r="E16" i="6" s="1"/>
  <c r="E18" i="6" s="1"/>
  <c r="E4" i="8"/>
  <c r="B26" i="7"/>
  <c r="B3" i="8"/>
  <c r="AP4" i="7"/>
  <c r="AO5" i="7"/>
  <c r="AO10" i="7"/>
  <c r="AO6" i="7"/>
  <c r="AH11" i="7"/>
  <c r="AE8" i="7"/>
  <c r="AE9" i="7" s="1"/>
  <c r="AE12" i="7" s="1"/>
  <c r="AF10" i="7"/>
  <c r="AF6" i="7"/>
  <c r="AF5" i="7"/>
  <c r="AF7" i="7" s="1"/>
  <c r="AG4" i="7"/>
  <c r="Y8" i="7"/>
  <c r="Y9" i="7" s="1"/>
  <c r="Z8" i="7"/>
  <c r="Z9" i="7" s="1"/>
  <c r="X8" i="7"/>
  <c r="X9" i="7" s="1"/>
  <c r="L54" i="2"/>
  <c r="N11" i="7" s="1"/>
  <c r="N6" i="7"/>
  <c r="N5" i="7"/>
  <c r="O4" i="7"/>
  <c r="M12" i="7"/>
  <c r="E11" i="7"/>
  <c r="D8" i="7"/>
  <c r="D9" i="7" s="1"/>
  <c r="E7" i="7"/>
  <c r="H8" i="7"/>
  <c r="H9" i="7"/>
  <c r="F11" i="7"/>
  <c r="H11" i="7"/>
  <c r="F7" i="7"/>
  <c r="G7" i="7"/>
  <c r="H19" i="6"/>
  <c r="H20" i="6" s="1"/>
  <c r="AU40" i="4"/>
  <c r="AT40" i="4"/>
  <c r="AS40" i="4"/>
  <c r="AR40" i="4"/>
  <c r="AP40" i="4"/>
  <c r="AP42" i="4" s="1"/>
  <c r="AQ41" i="4" s="1"/>
  <c r="AQ40" i="4"/>
  <c r="O21" i="4"/>
  <c r="O23" i="4" s="1"/>
  <c r="N21" i="4"/>
  <c r="N23" i="4" s="1"/>
  <c r="AM55" i="4"/>
  <c r="AL55" i="4"/>
  <c r="AK55" i="4"/>
  <c r="AJ55" i="4"/>
  <c r="AI55" i="4"/>
  <c r="AH55" i="4"/>
  <c r="AH58" i="4" s="1"/>
  <c r="AI56" i="4" s="1"/>
  <c r="AE62" i="4"/>
  <c r="AD62" i="4"/>
  <c r="AC62" i="4"/>
  <c r="AB62" i="4"/>
  <c r="AA62" i="4"/>
  <c r="Z62" i="4"/>
  <c r="Z65" i="4" s="1"/>
  <c r="AA63" i="4" s="1"/>
  <c r="W43" i="4"/>
  <c r="V43" i="4"/>
  <c r="T43" i="4"/>
  <c r="U43" i="4"/>
  <c r="S43" i="4"/>
  <c r="R43" i="4"/>
  <c r="R45" i="4" s="1"/>
  <c r="S44" i="4" s="1"/>
  <c r="O47" i="4"/>
  <c r="N47" i="4"/>
  <c r="M47" i="4"/>
  <c r="L47" i="4"/>
  <c r="K47" i="4"/>
  <c r="J47" i="4"/>
  <c r="J50" i="4" s="1"/>
  <c r="K48" i="4" s="1"/>
  <c r="G24" i="4"/>
  <c r="G26" i="4" s="1"/>
  <c r="G60" i="4" s="1"/>
  <c r="C24" i="4"/>
  <c r="C26" i="4" s="1"/>
  <c r="C60" i="4" s="1"/>
  <c r="E26" i="4"/>
  <c r="E60" i="4" s="1"/>
  <c r="D24" i="4"/>
  <c r="D26" i="4" s="1"/>
  <c r="D60" i="4" s="1"/>
  <c r="F26" i="4"/>
  <c r="F60" i="4" s="1"/>
  <c r="B60" i="4"/>
  <c r="B62" i="4" s="1"/>
  <c r="AU17" i="3"/>
  <c r="AU19" i="3" s="1"/>
  <c r="AU23" i="3" s="1"/>
  <c r="AT17" i="3"/>
  <c r="AT19" i="3" s="1"/>
  <c r="AT23" i="3" s="1"/>
  <c r="AS17" i="3"/>
  <c r="AS19" i="3" s="1"/>
  <c r="AS23" i="3" s="1"/>
  <c r="AR17" i="3"/>
  <c r="AR19" i="3" s="1"/>
  <c r="AR23" i="3" s="1"/>
  <c r="AQ17" i="3"/>
  <c r="AQ19" i="3" s="1"/>
  <c r="AQ23" i="3" s="1"/>
  <c r="AP17" i="3"/>
  <c r="AP19" i="3" s="1"/>
  <c r="AP23" i="3" s="1"/>
  <c r="AM19" i="3"/>
  <c r="AM23" i="3" s="1"/>
  <c r="AM26" i="3" s="1"/>
  <c r="AM28" i="3" s="1"/>
  <c r="AM32" i="3" s="1"/>
  <c r="AL19" i="3"/>
  <c r="AL23" i="3" s="1"/>
  <c r="AL26" i="3" s="1"/>
  <c r="AL28" i="3" s="1"/>
  <c r="AL32" i="3" s="1"/>
  <c r="AK19" i="3"/>
  <c r="AK23" i="3" s="1"/>
  <c r="AK26" i="3" s="1"/>
  <c r="AK28" i="3" s="1"/>
  <c r="AK32" i="3" s="1"/>
  <c r="AJ19" i="3"/>
  <c r="AJ23" i="3" s="1"/>
  <c r="AJ26" i="3" s="1"/>
  <c r="AJ28" i="3" s="1"/>
  <c r="AJ32" i="3" s="1"/>
  <c r="AI19" i="3"/>
  <c r="AI23" i="3" s="1"/>
  <c r="AI26" i="3" s="1"/>
  <c r="AI28" i="3" s="1"/>
  <c r="AI32" i="3" s="1"/>
  <c r="AH19" i="3"/>
  <c r="AH23" i="3" s="1"/>
  <c r="AH26" i="3" s="1"/>
  <c r="AH28" i="3" s="1"/>
  <c r="AH32" i="3" s="1"/>
  <c r="AE14" i="3"/>
  <c r="AE16" i="3" s="1"/>
  <c r="AE21" i="3" s="1"/>
  <c r="AE23" i="3" s="1"/>
  <c r="AD14" i="3"/>
  <c r="AD16" i="3" s="1"/>
  <c r="AD21" i="3" s="1"/>
  <c r="AD23" i="3" s="1"/>
  <c r="AC14" i="3"/>
  <c r="AC16" i="3" s="1"/>
  <c r="AC21" i="3" s="1"/>
  <c r="AC23" i="3" s="1"/>
  <c r="AB14" i="3"/>
  <c r="AB16" i="3" s="1"/>
  <c r="AB21" i="3" s="1"/>
  <c r="AB23" i="3" s="1"/>
  <c r="AA14" i="3"/>
  <c r="AA21" i="3" s="1"/>
  <c r="AA23" i="3" s="1"/>
  <c r="Z14" i="3"/>
  <c r="Z21" i="3" s="1"/>
  <c r="Z23" i="3" s="1"/>
  <c r="W18" i="3"/>
  <c r="W25" i="3" s="1"/>
  <c r="V18" i="3"/>
  <c r="V25" i="3" s="1"/>
  <c r="U18" i="3"/>
  <c r="U25" i="3" s="1"/>
  <c r="T18" i="3"/>
  <c r="T25" i="3" s="1"/>
  <c r="S18" i="3"/>
  <c r="S25" i="3" s="1"/>
  <c r="R18" i="3"/>
  <c r="R25" i="3" s="1"/>
  <c r="O14" i="3"/>
  <c r="O20" i="3" s="1"/>
  <c r="O22" i="3" s="1"/>
  <c r="O26" i="3" s="1"/>
  <c r="N14" i="3"/>
  <c r="N20" i="3" s="1"/>
  <c r="N22" i="3" s="1"/>
  <c r="N26" i="3" s="1"/>
  <c r="L14" i="3"/>
  <c r="L20" i="3" s="1"/>
  <c r="L22" i="3" s="1"/>
  <c r="L26" i="3" s="1"/>
  <c r="M14" i="3"/>
  <c r="M20" i="3" s="1"/>
  <c r="M22" i="3" s="1"/>
  <c r="M26" i="3" s="1"/>
  <c r="K26" i="3"/>
  <c r="K14" i="3"/>
  <c r="K20" i="3" s="1"/>
  <c r="G15" i="3"/>
  <c r="G21" i="3" s="1"/>
  <c r="G25" i="3" s="1"/>
  <c r="F15" i="3"/>
  <c r="F21" i="3" s="1"/>
  <c r="F25" i="3" s="1"/>
  <c r="E15" i="3"/>
  <c r="E21" i="3" s="1"/>
  <c r="E25" i="3" s="1"/>
  <c r="D15" i="3"/>
  <c r="D21" i="3" s="1"/>
  <c r="D25" i="3" s="1"/>
  <c r="C15" i="3"/>
  <c r="C21" i="3" s="1"/>
  <c r="C25" i="3" s="1"/>
  <c r="B15" i="3"/>
  <c r="B21" i="3" s="1"/>
  <c r="B25" i="3" s="1"/>
  <c r="AU21" i="2"/>
  <c r="AT21" i="2"/>
  <c r="AU47" i="2"/>
  <c r="AT47" i="2"/>
  <c r="AS47" i="2"/>
  <c r="AR47" i="2"/>
  <c r="AS21" i="2"/>
  <c r="AR21" i="2"/>
  <c r="AP47" i="2"/>
  <c r="AQ47" i="2"/>
  <c r="AQ21" i="2"/>
  <c r="AP21" i="2"/>
  <c r="AM54" i="2"/>
  <c r="AM55" i="2" s="1"/>
  <c r="AL54" i="2"/>
  <c r="AL55" i="2" s="1"/>
  <c r="AM27" i="2"/>
  <c r="AJ54" i="2"/>
  <c r="AJ55" i="2" s="1"/>
  <c r="AK54" i="2"/>
  <c r="AK55" i="2" s="1"/>
  <c r="AL27" i="2"/>
  <c r="AK27" i="2"/>
  <c r="AJ27" i="2"/>
  <c r="AI54" i="2"/>
  <c r="AI55" i="2" s="1"/>
  <c r="AH54" i="2"/>
  <c r="AH55" i="2" s="1"/>
  <c r="AH27" i="2"/>
  <c r="AI27" i="2"/>
  <c r="AD55" i="2"/>
  <c r="AD56" i="2" s="1"/>
  <c r="AE55" i="2"/>
  <c r="AE56" i="2" s="1"/>
  <c r="AE30" i="2"/>
  <c r="AD30" i="2"/>
  <c r="AB55" i="2"/>
  <c r="AB56" i="2" s="1"/>
  <c r="AC55" i="2"/>
  <c r="AC56" i="2" s="1"/>
  <c r="AC30" i="2"/>
  <c r="Z55" i="2"/>
  <c r="Z56" i="2" s="1"/>
  <c r="AA55" i="2"/>
  <c r="AA56" i="2" s="1"/>
  <c r="AA30" i="2"/>
  <c r="Z30" i="2"/>
  <c r="V48" i="2"/>
  <c r="V49" i="2" s="1"/>
  <c r="W25" i="2"/>
  <c r="V25" i="2"/>
  <c r="T48" i="2"/>
  <c r="T49" i="2" s="1"/>
  <c r="U25" i="2"/>
  <c r="T25" i="2"/>
  <c r="W48" i="2"/>
  <c r="W49" i="2" s="1"/>
  <c r="S48" i="2"/>
  <c r="S49" i="2" s="1"/>
  <c r="R48" i="2"/>
  <c r="R49" i="2" s="1"/>
  <c r="U48" i="2"/>
  <c r="U49" i="2" s="1"/>
  <c r="S25" i="2"/>
  <c r="R25" i="2"/>
  <c r="O49" i="2"/>
  <c r="O50" i="2" s="1"/>
  <c r="N49" i="2"/>
  <c r="N50" i="2" s="1"/>
  <c r="O24" i="2"/>
  <c r="N24" i="2"/>
  <c r="M49" i="2"/>
  <c r="M50" i="2" s="1"/>
  <c r="L49" i="2"/>
  <c r="L50" i="2" s="1"/>
  <c r="L24" i="2"/>
  <c r="M24" i="2"/>
  <c r="J24" i="2"/>
  <c r="K24" i="2"/>
  <c r="G61" i="2"/>
  <c r="G62" i="2" s="1"/>
  <c r="F61" i="2"/>
  <c r="F62" i="2" s="1"/>
  <c r="F31" i="2"/>
  <c r="G31" i="2"/>
  <c r="E61" i="2"/>
  <c r="E62" i="2" s="1"/>
  <c r="D61" i="2"/>
  <c r="D62" i="2" s="1"/>
  <c r="D31" i="2"/>
  <c r="E31" i="2"/>
  <c r="B61" i="2"/>
  <c r="B62" i="2" s="1"/>
  <c r="C61" i="2"/>
  <c r="C62" i="2" s="1"/>
  <c r="B31" i="2"/>
  <c r="C31" i="2"/>
  <c r="J49" i="2"/>
  <c r="J50" i="2" s="1"/>
  <c r="K50" i="2"/>
  <c r="C6" i="8" l="1"/>
  <c r="C15" i="8" s="1"/>
  <c r="C4" i="9"/>
  <c r="F6" i="8"/>
  <c r="F15" i="8" s="1"/>
  <c r="F4" i="9"/>
  <c r="E6" i="8"/>
  <c r="E16" i="8" s="1"/>
  <c r="E4" i="9"/>
  <c r="D6" i="8"/>
  <c r="D15" i="8" s="1"/>
  <c r="D4" i="9"/>
  <c r="B6" i="8"/>
  <c r="B16" i="8" s="1"/>
  <c r="B4" i="9"/>
  <c r="AV13" i="7"/>
  <c r="AU18" i="7"/>
  <c r="AX7" i="7"/>
  <c r="AX8" i="7"/>
  <c r="AX9" i="7" s="1"/>
  <c r="AX12" i="7" s="1"/>
  <c r="AY6" i="7"/>
  <c r="AY10" i="7"/>
  <c r="AY5" i="7"/>
  <c r="AY7" i="7" s="1"/>
  <c r="B13" i="8"/>
  <c r="B14" i="8"/>
  <c r="B17" i="8"/>
  <c r="F13" i="8"/>
  <c r="F14" i="8"/>
  <c r="F17" i="8"/>
  <c r="D14" i="8"/>
  <c r="D17" i="8"/>
  <c r="D13" i="8"/>
  <c r="C14" i="8"/>
  <c r="C17" i="8"/>
  <c r="C13" i="8"/>
  <c r="E14" i="8"/>
  <c r="E17" i="8"/>
  <c r="E13" i="8"/>
  <c r="AO7" i="7"/>
  <c r="AO8" i="7" s="1"/>
  <c r="AO9" i="7" s="1"/>
  <c r="AO12" i="7" s="1"/>
  <c r="AQ4" i="7"/>
  <c r="AP5" i="7"/>
  <c r="AP10" i="7"/>
  <c r="AP6" i="7"/>
  <c r="AP7" i="7" s="1"/>
  <c r="AP8" i="7" s="1"/>
  <c r="AP9" i="7" s="1"/>
  <c r="AF8" i="7"/>
  <c r="AF9" i="7" s="1"/>
  <c r="AF12" i="7" s="1"/>
  <c r="AH4" i="7"/>
  <c r="AG10" i="7"/>
  <c r="AG6" i="7"/>
  <c r="AG5" i="7"/>
  <c r="P4" i="7"/>
  <c r="O5" i="7"/>
  <c r="O6" i="7"/>
  <c r="M54" i="2"/>
  <c r="O11" i="7" s="1"/>
  <c r="N7" i="7"/>
  <c r="N8" i="7" s="1"/>
  <c r="N9" i="7" s="1"/>
  <c r="N12" i="7"/>
  <c r="H12" i="7"/>
  <c r="E8" i="7"/>
  <c r="E9" i="7" s="1"/>
  <c r="E12" i="7" s="1"/>
  <c r="F8" i="7"/>
  <c r="F9" i="7" s="1"/>
  <c r="F12" i="7" s="1"/>
  <c r="G8" i="7"/>
  <c r="G9" i="7" s="1"/>
  <c r="G12" i="7" s="1"/>
  <c r="F17" i="6"/>
  <c r="F20" i="6" s="1"/>
  <c r="B17" i="6"/>
  <c r="B20" i="6" s="1"/>
  <c r="E17" i="6"/>
  <c r="E20" i="6" s="1"/>
  <c r="C17" i="6"/>
  <c r="C20" i="6" s="1"/>
  <c r="D17" i="6"/>
  <c r="D20" i="6" s="1"/>
  <c r="AQ42" i="4"/>
  <c r="AR41" i="4" s="1"/>
  <c r="AR42" i="4" s="1"/>
  <c r="AS41" i="4" s="1"/>
  <c r="AS42" i="4" s="1"/>
  <c r="AT41" i="4" s="1"/>
  <c r="AT42" i="4" s="1"/>
  <c r="AU41" i="4" s="1"/>
  <c r="AU42" i="4" s="1"/>
  <c r="K50" i="4"/>
  <c r="AI58" i="4"/>
  <c r="AJ56" i="4" s="1"/>
  <c r="AJ58" i="4" s="1"/>
  <c r="AK56" i="4" s="1"/>
  <c r="AK58" i="4" s="1"/>
  <c r="AL56" i="4" s="1"/>
  <c r="AL58" i="4" s="1"/>
  <c r="AM56" i="4" s="1"/>
  <c r="AM58" i="4" s="1"/>
  <c r="AA65" i="4"/>
  <c r="AB63" i="4" s="1"/>
  <c r="AB65" i="4" s="1"/>
  <c r="AC63" i="4" s="1"/>
  <c r="AC65" i="4" s="1"/>
  <c r="AD63" i="4" s="1"/>
  <c r="AD65" i="4" s="1"/>
  <c r="AE63" i="4" s="1"/>
  <c r="AE65" i="4" s="1"/>
  <c r="S45" i="4"/>
  <c r="T44" i="4" s="1"/>
  <c r="T45" i="4" s="1"/>
  <c r="U44" i="4" s="1"/>
  <c r="U45" i="4" s="1"/>
  <c r="V44" i="4" s="1"/>
  <c r="V45" i="4" s="1"/>
  <c r="W44" i="4" s="1"/>
  <c r="W45" i="4" s="1"/>
  <c r="L48" i="4"/>
  <c r="L50" i="4" s="1"/>
  <c r="M48" i="4" s="1"/>
  <c r="M50" i="4" s="1"/>
  <c r="N48" i="4" s="1"/>
  <c r="N50" i="4" s="1"/>
  <c r="O48" i="4" s="1"/>
  <c r="O50" i="4" s="1"/>
  <c r="C61" i="4"/>
  <c r="C62" i="4" s="1"/>
  <c r="D61" i="4" s="1"/>
  <c r="D62" i="4" s="1"/>
  <c r="E61" i="4" s="1"/>
  <c r="E62" i="4" s="1"/>
  <c r="F61" i="4" s="1"/>
  <c r="F62" i="4" s="1"/>
  <c r="G61" i="4" s="1"/>
  <c r="G62" i="4" s="1"/>
  <c r="C13" i="7" l="1"/>
  <c r="G13" i="7" s="1"/>
  <c r="G14" i="7" s="1"/>
  <c r="F16" i="8"/>
  <c r="B15" i="8"/>
  <c r="C16" i="8"/>
  <c r="D16" i="8"/>
  <c r="E15" i="8"/>
  <c r="AW13" i="7"/>
  <c r="AW14" i="7" s="1"/>
  <c r="BA13" i="7"/>
  <c r="BA14" i="7" s="1"/>
  <c r="AZ13" i="7"/>
  <c r="AZ14" i="7" s="1"/>
  <c r="AY13" i="7"/>
  <c r="AY14" i="7" s="1"/>
  <c r="AX13" i="7"/>
  <c r="AX14" i="7" s="1"/>
  <c r="AY8" i="7"/>
  <c r="AY9" i="7" s="1"/>
  <c r="AY12" i="7" s="1"/>
  <c r="AZ6" i="7"/>
  <c r="AZ10" i="7"/>
  <c r="AZ5" i="7"/>
  <c r="AZ7" i="7" s="1"/>
  <c r="G17" i="8"/>
  <c r="G13" i="8"/>
  <c r="G14" i="8"/>
  <c r="AM13" i="7"/>
  <c r="AQ13" i="7" s="1"/>
  <c r="AL18" i="7"/>
  <c r="AR4" i="7"/>
  <c r="AQ5" i="7"/>
  <c r="AQ10" i="7"/>
  <c r="AQ6" i="7"/>
  <c r="AP12" i="7"/>
  <c r="AD13" i="7"/>
  <c r="AG13" i="7" s="1"/>
  <c r="AC18" i="7"/>
  <c r="AG7" i="7"/>
  <c r="AG8" i="7"/>
  <c r="AG9" i="7" s="1"/>
  <c r="AG12" i="7" s="1"/>
  <c r="AI4" i="7"/>
  <c r="AH5" i="7"/>
  <c r="AH10" i="7"/>
  <c r="AH6" i="7"/>
  <c r="T18" i="7"/>
  <c r="U13" i="7"/>
  <c r="L13" i="7"/>
  <c r="O13" i="7" s="1"/>
  <c r="K18" i="7"/>
  <c r="O7" i="7"/>
  <c r="O8" i="7" s="1"/>
  <c r="O9" i="7" s="1"/>
  <c r="O12" i="7" s="1"/>
  <c r="P5" i="7"/>
  <c r="P6" i="7"/>
  <c r="N54" i="2"/>
  <c r="P11" i="7" s="1"/>
  <c r="Q4" i="7"/>
  <c r="E13" i="7"/>
  <c r="E14" i="7" s="1"/>
  <c r="D13" i="7"/>
  <c r="D14" i="7" s="1"/>
  <c r="H13" i="7"/>
  <c r="H14" i="7" s="1"/>
  <c r="F13" i="7" l="1"/>
  <c r="F14" i="7" s="1"/>
  <c r="B17" i="7" s="1"/>
  <c r="B18" i="7"/>
  <c r="B19" i="7" s="1"/>
  <c r="G16" i="8"/>
  <c r="L7" i="8" s="1"/>
  <c r="L8" i="8" s="1"/>
  <c r="G15" i="8"/>
  <c r="G28" i="10" s="1"/>
  <c r="O28" i="10" s="1"/>
  <c r="W28" i="10" s="1"/>
  <c r="AE28" i="10" s="1"/>
  <c r="AM28" i="10" s="1"/>
  <c r="AU17" i="7"/>
  <c r="AU19" i="7"/>
  <c r="BA6" i="7"/>
  <c r="BA10" i="7"/>
  <c r="BA5" i="7"/>
  <c r="BA7" i="7" s="1"/>
  <c r="AZ8" i="7"/>
  <c r="AZ9" i="7" s="1"/>
  <c r="AZ12" i="7" s="1"/>
  <c r="AR13" i="7"/>
  <c r="AL19" i="7" s="1"/>
  <c r="AN13" i="7"/>
  <c r="AN14" i="7" s="1"/>
  <c r="AO13" i="7"/>
  <c r="AO14" i="7" s="1"/>
  <c r="AP13" i="7"/>
  <c r="AP14" i="7" s="1"/>
  <c r="AQ7" i="7"/>
  <c r="AQ8" i="7" s="1"/>
  <c r="AQ9" i="7" s="1"/>
  <c r="AQ12" i="7" s="1"/>
  <c r="AQ14" i="7" s="1"/>
  <c r="AR10" i="7"/>
  <c r="AR6" i="7"/>
  <c r="AR5" i="7"/>
  <c r="AR7" i="7" s="1"/>
  <c r="AR8" i="7" s="1"/>
  <c r="AR9" i="7" s="1"/>
  <c r="AR12" i="7" s="1"/>
  <c r="AI13" i="7"/>
  <c r="AC19" i="7" s="1"/>
  <c r="AH13" i="7"/>
  <c r="AF13" i="7"/>
  <c r="AF14" i="7" s="1"/>
  <c r="AE13" i="7"/>
  <c r="AE14" i="7" s="1"/>
  <c r="AG14" i="7"/>
  <c r="P13" i="7"/>
  <c r="AH7" i="7"/>
  <c r="AI5" i="7"/>
  <c r="AI10" i="7"/>
  <c r="AI6" i="7"/>
  <c r="Q13" i="7"/>
  <c r="K19" i="7" s="1"/>
  <c r="M13" i="7"/>
  <c r="M14" i="7" s="1"/>
  <c r="N13" i="7"/>
  <c r="N14" i="7" s="1"/>
  <c r="Y13" i="7"/>
  <c r="Y14" i="7" s="1"/>
  <c r="W13" i="7"/>
  <c r="W14" i="7" s="1"/>
  <c r="X13" i="7"/>
  <c r="X14" i="7" s="1"/>
  <c r="V13" i="7"/>
  <c r="V14" i="7" s="1"/>
  <c r="Z13" i="7"/>
  <c r="Z14" i="7" s="1"/>
  <c r="O14" i="7"/>
  <c r="O54" i="2"/>
  <c r="Q11" i="7" s="1"/>
  <c r="Q5" i="7"/>
  <c r="Q6" i="7"/>
  <c r="P7" i="7"/>
  <c r="AI30" i="10" l="1"/>
  <c r="AI38" i="10" s="1"/>
  <c r="AI46" i="10" s="1"/>
  <c r="AI5" i="10" s="1"/>
  <c r="AM32" i="10"/>
  <c r="AM40" i="10" s="1"/>
  <c r="AM48" i="10" s="1"/>
  <c r="AM7" i="10" s="1"/>
  <c r="AK31" i="10"/>
  <c r="AK39" i="10" s="1"/>
  <c r="AK47" i="10" s="1"/>
  <c r="AK6" i="10" s="1"/>
  <c r="AL31" i="10"/>
  <c r="AL39" i="10" s="1"/>
  <c r="AL47" i="10" s="1"/>
  <c r="AL6" i="10" s="1"/>
  <c r="AK34" i="10"/>
  <c r="AK42" i="10" s="1"/>
  <c r="AK50" i="10" s="1"/>
  <c r="AK9" i="10" s="1"/>
  <c r="AH30" i="10"/>
  <c r="AH38" i="10" s="1"/>
  <c r="AH46" i="10" s="1"/>
  <c r="AH5" i="10" s="1"/>
  <c r="AJ30" i="10"/>
  <c r="AJ38" i="10" s="1"/>
  <c r="AJ46" i="10" s="1"/>
  <c r="AJ5" i="10" s="1"/>
  <c r="AH33" i="10"/>
  <c r="AH41" i="10" s="1"/>
  <c r="AH49" i="10" s="1"/>
  <c r="AH8" i="10" s="1"/>
  <c r="AK30" i="10"/>
  <c r="AK38" i="10" s="1"/>
  <c r="AK46" i="10" s="1"/>
  <c r="AK5" i="10" s="1"/>
  <c r="AI33" i="10"/>
  <c r="AI41" i="10" s="1"/>
  <c r="AI49" i="10" s="1"/>
  <c r="AI8" i="10" s="1"/>
  <c r="AI34" i="10"/>
  <c r="AI42" i="10" s="1"/>
  <c r="AI50" i="10" s="1"/>
  <c r="AI9" i="10" s="1"/>
  <c r="AJ34" i="10"/>
  <c r="AJ42" i="10" s="1"/>
  <c r="AJ50" i="10" s="1"/>
  <c r="AJ9" i="10" s="1"/>
  <c r="AM31" i="10"/>
  <c r="AM39" i="10" s="1"/>
  <c r="AM47" i="10" s="1"/>
  <c r="AM6" i="10" s="1"/>
  <c r="AL32" i="10"/>
  <c r="AL40" i="10" s="1"/>
  <c r="AL48" i="10" s="1"/>
  <c r="AL7" i="10" s="1"/>
  <c r="AJ31" i="10"/>
  <c r="AJ39" i="10" s="1"/>
  <c r="AJ47" i="10" s="1"/>
  <c r="AJ6" i="10" s="1"/>
  <c r="AH34" i="10"/>
  <c r="AH42" i="10" s="1"/>
  <c r="AH50" i="10" s="1"/>
  <c r="AH9" i="10" s="1"/>
  <c r="AJ33" i="10"/>
  <c r="AJ41" i="10" s="1"/>
  <c r="AJ49" i="10" s="1"/>
  <c r="AJ8" i="10" s="1"/>
  <c r="AH31" i="10"/>
  <c r="AH39" i="10" s="1"/>
  <c r="AH47" i="10" s="1"/>
  <c r="AH6" i="10" s="1"/>
  <c r="AL34" i="10"/>
  <c r="AL42" i="10" s="1"/>
  <c r="AL50" i="10" s="1"/>
  <c r="AL9" i="10" s="1"/>
  <c r="AH32" i="10"/>
  <c r="AH40" i="10" s="1"/>
  <c r="AH48" i="10" s="1"/>
  <c r="AH7" i="10" s="1"/>
  <c r="AL33" i="10"/>
  <c r="AL41" i="10" s="1"/>
  <c r="AL49" i="10" s="1"/>
  <c r="AL8" i="10" s="1"/>
  <c r="AL30" i="10"/>
  <c r="AL38" i="10" s="1"/>
  <c r="AL46" i="10" s="1"/>
  <c r="AL5" i="10" s="1"/>
  <c r="AM34" i="10"/>
  <c r="AM42" i="10" s="1"/>
  <c r="AM50" i="10" s="1"/>
  <c r="AM9" i="10" s="1"/>
  <c r="AM33" i="10"/>
  <c r="AM41" i="10" s="1"/>
  <c r="AM49" i="10" s="1"/>
  <c r="AM8" i="10" s="1"/>
  <c r="AK33" i="10"/>
  <c r="AK41" i="10" s="1"/>
  <c r="AK49" i="10" s="1"/>
  <c r="AK8" i="10" s="1"/>
  <c r="AM30" i="10"/>
  <c r="AM38" i="10" s="1"/>
  <c r="AM46" i="10" s="1"/>
  <c r="AM5" i="10" s="1"/>
  <c r="AK32" i="10"/>
  <c r="AK40" i="10" s="1"/>
  <c r="AK48" i="10" s="1"/>
  <c r="AK7" i="10" s="1"/>
  <c r="AI32" i="10"/>
  <c r="AI40" i="10" s="1"/>
  <c r="AI48" i="10" s="1"/>
  <c r="AI7" i="10" s="1"/>
  <c r="AI31" i="10"/>
  <c r="AI39" i="10" s="1"/>
  <c r="AI47" i="10" s="1"/>
  <c r="AI6" i="10" s="1"/>
  <c r="AJ32" i="10"/>
  <c r="AJ40" i="10" s="1"/>
  <c r="AJ48" i="10" s="1"/>
  <c r="AJ7" i="10" s="1"/>
  <c r="AI29" i="10"/>
  <c r="AI37" i="10" s="1"/>
  <c r="AI45" i="10" s="1"/>
  <c r="AI4" i="10" s="1"/>
  <c r="AJ29" i="10"/>
  <c r="AJ37" i="10" s="1"/>
  <c r="AJ45" i="10" s="1"/>
  <c r="AJ4" i="10" s="1"/>
  <c r="AK29" i="10"/>
  <c r="AK37" i="10" s="1"/>
  <c r="AK45" i="10" s="1"/>
  <c r="AK4" i="10" s="1"/>
  <c r="AL29" i="10"/>
  <c r="AL37" i="10" s="1"/>
  <c r="AL45" i="10" s="1"/>
  <c r="AL4" i="10" s="1"/>
  <c r="AM29" i="10"/>
  <c r="AM37" i="10" s="1"/>
  <c r="AM45" i="10" s="1"/>
  <c r="AM4" i="10" s="1"/>
  <c r="AH29" i="10"/>
  <c r="AH37" i="10" s="1"/>
  <c r="AH45" i="10" s="1"/>
  <c r="AH4" i="10" s="1"/>
  <c r="Z31" i="10"/>
  <c r="Z39" i="10" s="1"/>
  <c r="Z47" i="10" s="1"/>
  <c r="Z6" i="10" s="1"/>
  <c r="AB32" i="10"/>
  <c r="AB40" i="10" s="1"/>
  <c r="AB48" i="10" s="1"/>
  <c r="AB7" i="10" s="1"/>
  <c r="AD33" i="10"/>
  <c r="AD41" i="10" s="1"/>
  <c r="AD49" i="10" s="1"/>
  <c r="AD8" i="10" s="1"/>
  <c r="AA29" i="10"/>
  <c r="AA37" i="10" s="1"/>
  <c r="AA45" i="10" s="1"/>
  <c r="AA4" i="10" s="1"/>
  <c r="AB34" i="10"/>
  <c r="AB42" i="10" s="1"/>
  <c r="AB50" i="10" s="1"/>
  <c r="AB9" i="10" s="1"/>
  <c r="AE29" i="10"/>
  <c r="AE37" i="10" s="1"/>
  <c r="AE45" i="10" s="1"/>
  <c r="AE4" i="10" s="1"/>
  <c r="AC34" i="10"/>
  <c r="AC42" i="10" s="1"/>
  <c r="AC50" i="10" s="1"/>
  <c r="AC9" i="10" s="1"/>
  <c r="Z32" i="10"/>
  <c r="Z40" i="10" s="1"/>
  <c r="Z48" i="10" s="1"/>
  <c r="Z7" i="10" s="1"/>
  <c r="AA32" i="10"/>
  <c r="AA40" i="10" s="1"/>
  <c r="AA48" i="10" s="1"/>
  <c r="AA7" i="10" s="1"/>
  <c r="AA31" i="10"/>
  <c r="AA39" i="10" s="1"/>
  <c r="AA47" i="10" s="1"/>
  <c r="AA6" i="10" s="1"/>
  <c r="AC32" i="10"/>
  <c r="AC40" i="10" s="1"/>
  <c r="AC48" i="10" s="1"/>
  <c r="AC7" i="10" s="1"/>
  <c r="AE33" i="10"/>
  <c r="AE41" i="10" s="1"/>
  <c r="AE49" i="10" s="1"/>
  <c r="AE8" i="10" s="1"/>
  <c r="AB29" i="10"/>
  <c r="AB37" i="10" s="1"/>
  <c r="AB45" i="10" s="1"/>
  <c r="AB4" i="10" s="1"/>
  <c r="AB30" i="10"/>
  <c r="AB38" i="10" s="1"/>
  <c r="AB46" i="10" s="1"/>
  <c r="AB5" i="10" s="1"/>
  <c r="Z33" i="10"/>
  <c r="Z41" i="10" s="1"/>
  <c r="Z49" i="10" s="1"/>
  <c r="Z8" i="10" s="1"/>
  <c r="AE31" i="10"/>
  <c r="AE39" i="10" s="1"/>
  <c r="AE47" i="10" s="1"/>
  <c r="AE6" i="10" s="1"/>
  <c r="Z29" i="10"/>
  <c r="Z37" i="10" s="1"/>
  <c r="Z45" i="10" s="1"/>
  <c r="Z4" i="10" s="1"/>
  <c r="AD30" i="10"/>
  <c r="AD38" i="10" s="1"/>
  <c r="AD46" i="10" s="1"/>
  <c r="AD5" i="10" s="1"/>
  <c r="AB33" i="10"/>
  <c r="AB41" i="10" s="1"/>
  <c r="AB49" i="10" s="1"/>
  <c r="AB8" i="10" s="1"/>
  <c r="AC33" i="10"/>
  <c r="AC41" i="10" s="1"/>
  <c r="AC49" i="10" s="1"/>
  <c r="AC8" i="10" s="1"/>
  <c r="Z30" i="10"/>
  <c r="Z38" i="10" s="1"/>
  <c r="Z46" i="10" s="1"/>
  <c r="Z5" i="10" s="1"/>
  <c r="AB31" i="10"/>
  <c r="AB39" i="10" s="1"/>
  <c r="AB47" i="10" s="1"/>
  <c r="AB6" i="10" s="1"/>
  <c r="AD32" i="10"/>
  <c r="AD40" i="10" s="1"/>
  <c r="AD48" i="10" s="1"/>
  <c r="AD7" i="10" s="1"/>
  <c r="Z34" i="10"/>
  <c r="Z42" i="10" s="1"/>
  <c r="Z50" i="10" s="1"/>
  <c r="Z9" i="10" s="1"/>
  <c r="AC29" i="10"/>
  <c r="AC37" i="10" s="1"/>
  <c r="AC45" i="10" s="1"/>
  <c r="AC4" i="10" s="1"/>
  <c r="AA33" i="10"/>
  <c r="AA41" i="10" s="1"/>
  <c r="AA49" i="10" s="1"/>
  <c r="AA8" i="10" s="1"/>
  <c r="AE30" i="10"/>
  <c r="AE38" i="10" s="1"/>
  <c r="AE46" i="10" s="1"/>
  <c r="AE5" i="10" s="1"/>
  <c r="AA30" i="10"/>
  <c r="AA38" i="10" s="1"/>
  <c r="AA46" i="10" s="1"/>
  <c r="AA5" i="10" s="1"/>
  <c r="AC31" i="10"/>
  <c r="AC39" i="10" s="1"/>
  <c r="AC47" i="10" s="1"/>
  <c r="AC6" i="10" s="1"/>
  <c r="AE32" i="10"/>
  <c r="AE40" i="10" s="1"/>
  <c r="AE48" i="10" s="1"/>
  <c r="AE7" i="10" s="1"/>
  <c r="AA34" i="10"/>
  <c r="AA42" i="10" s="1"/>
  <c r="AA50" i="10" s="1"/>
  <c r="AA9" i="10" s="1"/>
  <c r="AD29" i="10"/>
  <c r="AD37" i="10" s="1"/>
  <c r="AD45" i="10" s="1"/>
  <c r="AD4" i="10" s="1"/>
  <c r="AE34" i="10"/>
  <c r="AE42" i="10" s="1"/>
  <c r="AE50" i="10" s="1"/>
  <c r="AE9" i="10" s="1"/>
  <c r="AD31" i="10"/>
  <c r="AD39" i="10" s="1"/>
  <c r="AD47" i="10" s="1"/>
  <c r="AD6" i="10" s="1"/>
  <c r="AC30" i="10"/>
  <c r="AC38" i="10" s="1"/>
  <c r="AC46" i="10" s="1"/>
  <c r="AC5" i="10" s="1"/>
  <c r="AD34" i="10"/>
  <c r="AD42" i="10" s="1"/>
  <c r="AD50" i="10" s="1"/>
  <c r="AD9" i="10" s="1"/>
  <c r="R30" i="10"/>
  <c r="R38" i="10" s="1"/>
  <c r="R46" i="10" s="1"/>
  <c r="R5" i="10" s="1"/>
  <c r="T31" i="10"/>
  <c r="T39" i="10" s="1"/>
  <c r="T47" i="10" s="1"/>
  <c r="T6" i="10" s="1"/>
  <c r="V32" i="10"/>
  <c r="V40" i="10" s="1"/>
  <c r="V48" i="10" s="1"/>
  <c r="V7" i="10" s="1"/>
  <c r="R34" i="10"/>
  <c r="R42" i="10" s="1"/>
  <c r="R50" i="10" s="1"/>
  <c r="R9" i="10" s="1"/>
  <c r="U29" i="10"/>
  <c r="U37" i="10" s="1"/>
  <c r="U45" i="10" s="1"/>
  <c r="U4" i="10" s="1"/>
  <c r="S30" i="10"/>
  <c r="S38" i="10" s="1"/>
  <c r="S46" i="10" s="1"/>
  <c r="S5" i="10" s="1"/>
  <c r="U31" i="10"/>
  <c r="U39" i="10" s="1"/>
  <c r="U47" i="10" s="1"/>
  <c r="U6" i="10" s="1"/>
  <c r="W32" i="10"/>
  <c r="W40" i="10" s="1"/>
  <c r="W48" i="10" s="1"/>
  <c r="W7" i="10" s="1"/>
  <c r="S34" i="10"/>
  <c r="S42" i="10" s="1"/>
  <c r="S50" i="10" s="1"/>
  <c r="S9" i="10" s="1"/>
  <c r="V29" i="10"/>
  <c r="V37" i="10" s="1"/>
  <c r="V45" i="10" s="1"/>
  <c r="V4" i="10" s="1"/>
  <c r="S29" i="10"/>
  <c r="S37" i="10" s="1"/>
  <c r="S45" i="10" s="1"/>
  <c r="S4" i="10" s="1"/>
  <c r="T30" i="10"/>
  <c r="T38" i="10" s="1"/>
  <c r="T46" i="10" s="1"/>
  <c r="T5" i="10" s="1"/>
  <c r="V31" i="10"/>
  <c r="V39" i="10" s="1"/>
  <c r="V47" i="10" s="1"/>
  <c r="V6" i="10" s="1"/>
  <c r="R33" i="10"/>
  <c r="R41" i="10" s="1"/>
  <c r="R49" i="10" s="1"/>
  <c r="R8" i="10" s="1"/>
  <c r="T34" i="10"/>
  <c r="T42" i="10" s="1"/>
  <c r="T50" i="10" s="1"/>
  <c r="T9" i="10" s="1"/>
  <c r="W29" i="10"/>
  <c r="W37" i="10" s="1"/>
  <c r="W45" i="10" s="1"/>
  <c r="W4" i="10" s="1"/>
  <c r="V33" i="10"/>
  <c r="V41" i="10" s="1"/>
  <c r="V49" i="10" s="1"/>
  <c r="V8" i="10" s="1"/>
  <c r="U30" i="10"/>
  <c r="U38" i="10" s="1"/>
  <c r="U46" i="10" s="1"/>
  <c r="U5" i="10" s="1"/>
  <c r="W31" i="10"/>
  <c r="W39" i="10" s="1"/>
  <c r="W47" i="10" s="1"/>
  <c r="W6" i="10" s="1"/>
  <c r="S33" i="10"/>
  <c r="S41" i="10" s="1"/>
  <c r="S49" i="10" s="1"/>
  <c r="S8" i="10" s="1"/>
  <c r="U34" i="10"/>
  <c r="U42" i="10" s="1"/>
  <c r="U50" i="10" s="1"/>
  <c r="U9" i="10" s="1"/>
  <c r="R29" i="10"/>
  <c r="R37" i="10" s="1"/>
  <c r="R45" i="10" s="1"/>
  <c r="R4" i="10" s="1"/>
  <c r="V30" i="10"/>
  <c r="V38" i="10" s="1"/>
  <c r="V46" i="10" s="1"/>
  <c r="V5" i="10" s="1"/>
  <c r="R32" i="10"/>
  <c r="R40" i="10" s="1"/>
  <c r="R48" i="10" s="1"/>
  <c r="R7" i="10" s="1"/>
  <c r="T33" i="10"/>
  <c r="T41" i="10" s="1"/>
  <c r="T49" i="10" s="1"/>
  <c r="T8" i="10" s="1"/>
  <c r="V34" i="10"/>
  <c r="V42" i="10" s="1"/>
  <c r="V50" i="10" s="1"/>
  <c r="V9" i="10" s="1"/>
  <c r="T32" i="10"/>
  <c r="T40" i="10" s="1"/>
  <c r="T48" i="10" s="1"/>
  <c r="T7" i="10" s="1"/>
  <c r="W30" i="10"/>
  <c r="W38" i="10" s="1"/>
  <c r="W46" i="10" s="1"/>
  <c r="W5" i="10" s="1"/>
  <c r="S32" i="10"/>
  <c r="S40" i="10" s="1"/>
  <c r="S48" i="10" s="1"/>
  <c r="S7" i="10" s="1"/>
  <c r="U33" i="10"/>
  <c r="U41" i="10" s="1"/>
  <c r="U49" i="10" s="1"/>
  <c r="U8" i="10" s="1"/>
  <c r="W34" i="10"/>
  <c r="W42" i="10" s="1"/>
  <c r="W50" i="10" s="1"/>
  <c r="W9" i="10" s="1"/>
  <c r="R31" i="10"/>
  <c r="R39" i="10" s="1"/>
  <c r="R47" i="10" s="1"/>
  <c r="R6" i="10" s="1"/>
  <c r="S31" i="10"/>
  <c r="S39" i="10" s="1"/>
  <c r="S47" i="10" s="1"/>
  <c r="S6" i="10" s="1"/>
  <c r="U32" i="10"/>
  <c r="U40" i="10" s="1"/>
  <c r="U48" i="10" s="1"/>
  <c r="U7" i="10" s="1"/>
  <c r="W33" i="10"/>
  <c r="W41" i="10" s="1"/>
  <c r="W49" i="10" s="1"/>
  <c r="W8" i="10" s="1"/>
  <c r="T29" i="10"/>
  <c r="T37" i="10" s="1"/>
  <c r="T45" i="10" s="1"/>
  <c r="T4" i="10" s="1"/>
  <c r="J31" i="10"/>
  <c r="J39" i="10" s="1"/>
  <c r="J47" i="10" s="1"/>
  <c r="J6" i="10" s="1"/>
  <c r="L32" i="10"/>
  <c r="L40" i="10" s="1"/>
  <c r="L48" i="10" s="1"/>
  <c r="L7" i="10" s="1"/>
  <c r="N33" i="10"/>
  <c r="N41" i="10" s="1"/>
  <c r="N49" i="10" s="1"/>
  <c r="N8" i="10" s="1"/>
  <c r="K29" i="10"/>
  <c r="K37" i="10" s="1"/>
  <c r="K45" i="10" s="1"/>
  <c r="K4" i="10" s="1"/>
  <c r="K34" i="10"/>
  <c r="K42" i="10" s="1"/>
  <c r="K50" i="10" s="1"/>
  <c r="K9" i="10" s="1"/>
  <c r="J32" i="10"/>
  <c r="J40" i="10" s="1"/>
  <c r="J48" i="10" s="1"/>
  <c r="J7" i="10" s="1"/>
  <c r="K32" i="10"/>
  <c r="K40" i="10" s="1"/>
  <c r="K48" i="10" s="1"/>
  <c r="K7" i="10" s="1"/>
  <c r="K31" i="10"/>
  <c r="K39" i="10" s="1"/>
  <c r="K47" i="10" s="1"/>
  <c r="K6" i="10" s="1"/>
  <c r="M32" i="10"/>
  <c r="M40" i="10" s="1"/>
  <c r="M48" i="10" s="1"/>
  <c r="M7" i="10" s="1"/>
  <c r="O33" i="10"/>
  <c r="O41" i="10" s="1"/>
  <c r="O49" i="10" s="1"/>
  <c r="O8" i="10" s="1"/>
  <c r="L29" i="10"/>
  <c r="L37" i="10" s="1"/>
  <c r="L45" i="10" s="1"/>
  <c r="L4" i="10" s="1"/>
  <c r="N29" i="10"/>
  <c r="N37" i="10" s="1"/>
  <c r="N45" i="10" s="1"/>
  <c r="N4" i="10" s="1"/>
  <c r="L33" i="10"/>
  <c r="L41" i="10" s="1"/>
  <c r="L49" i="10" s="1"/>
  <c r="L8" i="10" s="1"/>
  <c r="J30" i="10"/>
  <c r="J38" i="10" s="1"/>
  <c r="J46" i="10" s="1"/>
  <c r="J5" i="10" s="1"/>
  <c r="L31" i="10"/>
  <c r="L39" i="10" s="1"/>
  <c r="L47" i="10" s="1"/>
  <c r="L6" i="10" s="1"/>
  <c r="N32" i="10"/>
  <c r="N40" i="10" s="1"/>
  <c r="N48" i="10" s="1"/>
  <c r="N7" i="10" s="1"/>
  <c r="J34" i="10"/>
  <c r="J42" i="10" s="1"/>
  <c r="J50" i="10" s="1"/>
  <c r="J9" i="10" s="1"/>
  <c r="M29" i="10"/>
  <c r="M37" i="10" s="1"/>
  <c r="M45" i="10" s="1"/>
  <c r="M4" i="10" s="1"/>
  <c r="O32" i="10"/>
  <c r="O40" i="10" s="1"/>
  <c r="O48" i="10" s="1"/>
  <c r="O7" i="10" s="1"/>
  <c r="M33" i="10"/>
  <c r="M41" i="10" s="1"/>
  <c r="M49" i="10" s="1"/>
  <c r="M8" i="10" s="1"/>
  <c r="K30" i="10"/>
  <c r="K38" i="10" s="1"/>
  <c r="K46" i="10" s="1"/>
  <c r="K5" i="10" s="1"/>
  <c r="M31" i="10"/>
  <c r="M39" i="10" s="1"/>
  <c r="M47" i="10" s="1"/>
  <c r="M6" i="10" s="1"/>
  <c r="L30" i="10"/>
  <c r="L38" i="10" s="1"/>
  <c r="L46" i="10" s="1"/>
  <c r="L5" i="10" s="1"/>
  <c r="N31" i="10"/>
  <c r="N39" i="10" s="1"/>
  <c r="N47" i="10" s="1"/>
  <c r="N6" i="10" s="1"/>
  <c r="J33" i="10"/>
  <c r="J41" i="10" s="1"/>
  <c r="J49" i="10" s="1"/>
  <c r="J8" i="10" s="1"/>
  <c r="L34" i="10"/>
  <c r="L42" i="10" s="1"/>
  <c r="L50" i="10" s="1"/>
  <c r="L9" i="10" s="1"/>
  <c r="O29" i="10"/>
  <c r="O37" i="10" s="1"/>
  <c r="O45" i="10" s="1"/>
  <c r="O4" i="10" s="1"/>
  <c r="N30" i="10"/>
  <c r="N38" i="10" s="1"/>
  <c r="N46" i="10" s="1"/>
  <c r="N5" i="10" s="1"/>
  <c r="N34" i="10"/>
  <c r="N42" i="10" s="1"/>
  <c r="N50" i="10" s="1"/>
  <c r="N9" i="10" s="1"/>
  <c r="O34" i="10"/>
  <c r="O42" i="10" s="1"/>
  <c r="O50" i="10" s="1"/>
  <c r="O9" i="10" s="1"/>
  <c r="M30" i="10"/>
  <c r="M38" i="10" s="1"/>
  <c r="M46" i="10" s="1"/>
  <c r="M5" i="10" s="1"/>
  <c r="O31" i="10"/>
  <c r="O39" i="10" s="1"/>
  <c r="O47" i="10" s="1"/>
  <c r="O6" i="10" s="1"/>
  <c r="K33" i="10"/>
  <c r="K41" i="10" s="1"/>
  <c r="K49" i="10" s="1"/>
  <c r="K8" i="10" s="1"/>
  <c r="M34" i="10"/>
  <c r="M42" i="10" s="1"/>
  <c r="M50" i="10" s="1"/>
  <c r="M9" i="10" s="1"/>
  <c r="J29" i="10"/>
  <c r="J37" i="10" s="1"/>
  <c r="J45" i="10" s="1"/>
  <c r="J4" i="10" s="1"/>
  <c r="O30" i="10"/>
  <c r="O38" i="10" s="1"/>
  <c r="O46" i="10" s="1"/>
  <c r="O5" i="10" s="1"/>
  <c r="E30" i="10"/>
  <c r="E38" i="10" s="1"/>
  <c r="E46" i="10" s="1"/>
  <c r="E5" i="10" s="1"/>
  <c r="G31" i="10"/>
  <c r="G39" i="10" s="1"/>
  <c r="G47" i="10" s="1"/>
  <c r="G6" i="10" s="1"/>
  <c r="C33" i="10"/>
  <c r="C41" i="10" s="1"/>
  <c r="C49" i="10" s="1"/>
  <c r="C8" i="10" s="1"/>
  <c r="E34" i="10"/>
  <c r="E42" i="10" s="1"/>
  <c r="E50" i="10" s="1"/>
  <c r="E9" i="10" s="1"/>
  <c r="B29" i="10"/>
  <c r="B37" i="10" s="1"/>
  <c r="B45" i="10" s="1"/>
  <c r="B4" i="10" s="1"/>
  <c r="C29" i="10"/>
  <c r="C37" i="10" s="1"/>
  <c r="C45" i="10" s="1"/>
  <c r="C4" i="10" s="1"/>
  <c r="G33" i="10"/>
  <c r="G41" i="10" s="1"/>
  <c r="G49" i="10" s="1"/>
  <c r="G8" i="10" s="1"/>
  <c r="G29" i="10"/>
  <c r="G37" i="10" s="1"/>
  <c r="G45" i="10" s="1"/>
  <c r="G4" i="10" s="1"/>
  <c r="F30" i="10"/>
  <c r="F38" i="10" s="1"/>
  <c r="F46" i="10" s="1"/>
  <c r="F5" i="10" s="1"/>
  <c r="B32" i="10"/>
  <c r="B40" i="10" s="1"/>
  <c r="B48" i="10" s="1"/>
  <c r="B7" i="10" s="1"/>
  <c r="D33" i="10"/>
  <c r="D41" i="10" s="1"/>
  <c r="D49" i="10" s="1"/>
  <c r="D8" i="10" s="1"/>
  <c r="F34" i="10"/>
  <c r="F42" i="10" s="1"/>
  <c r="F50" i="10" s="1"/>
  <c r="F9" i="10" s="1"/>
  <c r="F33" i="10"/>
  <c r="F41" i="10" s="1"/>
  <c r="F49" i="10" s="1"/>
  <c r="F8" i="10" s="1"/>
  <c r="E32" i="10"/>
  <c r="E40" i="10" s="1"/>
  <c r="E48" i="10" s="1"/>
  <c r="E7" i="10" s="1"/>
  <c r="D34" i="10"/>
  <c r="D42" i="10" s="1"/>
  <c r="D50" i="10" s="1"/>
  <c r="D9" i="10" s="1"/>
  <c r="G30" i="10"/>
  <c r="G38" i="10" s="1"/>
  <c r="G46" i="10" s="1"/>
  <c r="G5" i="10" s="1"/>
  <c r="C32" i="10"/>
  <c r="C40" i="10" s="1"/>
  <c r="C48" i="10" s="1"/>
  <c r="C7" i="10" s="1"/>
  <c r="E33" i="10"/>
  <c r="E41" i="10" s="1"/>
  <c r="E49" i="10" s="1"/>
  <c r="E8" i="10" s="1"/>
  <c r="G34" i="10"/>
  <c r="G42" i="10" s="1"/>
  <c r="G50" i="10" s="1"/>
  <c r="G9" i="10" s="1"/>
  <c r="B31" i="10"/>
  <c r="B39" i="10" s="1"/>
  <c r="B47" i="10" s="1"/>
  <c r="B6" i="10" s="1"/>
  <c r="D32" i="10"/>
  <c r="D40" i="10" s="1"/>
  <c r="D48" i="10" s="1"/>
  <c r="D7" i="10" s="1"/>
  <c r="C31" i="10"/>
  <c r="C39" i="10" s="1"/>
  <c r="C47" i="10" s="1"/>
  <c r="C6" i="10" s="1"/>
  <c r="D29" i="10"/>
  <c r="D37" i="10" s="1"/>
  <c r="D45" i="10" s="1"/>
  <c r="D4" i="10" s="1"/>
  <c r="F31" i="10"/>
  <c r="F39" i="10" s="1"/>
  <c r="F47" i="10" s="1"/>
  <c r="F6" i="10" s="1"/>
  <c r="B30" i="10"/>
  <c r="B38" i="10" s="1"/>
  <c r="B46" i="10" s="1"/>
  <c r="B5" i="10" s="1"/>
  <c r="D31" i="10"/>
  <c r="D39" i="10" s="1"/>
  <c r="D47" i="10" s="1"/>
  <c r="D6" i="10" s="1"/>
  <c r="F32" i="10"/>
  <c r="F40" i="10" s="1"/>
  <c r="F48" i="10" s="1"/>
  <c r="F7" i="10" s="1"/>
  <c r="B34" i="10"/>
  <c r="B42" i="10" s="1"/>
  <c r="B50" i="10" s="1"/>
  <c r="B9" i="10" s="1"/>
  <c r="E29" i="10"/>
  <c r="E37" i="10" s="1"/>
  <c r="E45" i="10" s="1"/>
  <c r="E4" i="10" s="1"/>
  <c r="C30" i="10"/>
  <c r="C38" i="10" s="1"/>
  <c r="C46" i="10" s="1"/>
  <c r="C5" i="10" s="1"/>
  <c r="E31" i="10"/>
  <c r="E39" i="10" s="1"/>
  <c r="E47" i="10" s="1"/>
  <c r="E6" i="10" s="1"/>
  <c r="G32" i="10"/>
  <c r="G40" i="10" s="1"/>
  <c r="G48" i="10" s="1"/>
  <c r="G7" i="10" s="1"/>
  <c r="C34" i="10"/>
  <c r="C42" i="10" s="1"/>
  <c r="C50" i="10" s="1"/>
  <c r="C9" i="10" s="1"/>
  <c r="F29" i="10"/>
  <c r="F37" i="10" s="1"/>
  <c r="F45" i="10" s="1"/>
  <c r="F4" i="10" s="1"/>
  <c r="D30" i="10"/>
  <c r="D38" i="10" s="1"/>
  <c r="D46" i="10" s="1"/>
  <c r="D5" i="10" s="1"/>
  <c r="B33" i="10"/>
  <c r="B41" i="10" s="1"/>
  <c r="B49" i="10" s="1"/>
  <c r="B8" i="10" s="1"/>
  <c r="L5" i="8"/>
  <c r="L6" i="8" s="1"/>
  <c r="L10" i="8" s="1"/>
  <c r="AU20" i="7"/>
  <c r="AU23" i="7" s="1"/>
  <c r="AU25" i="7" s="1"/>
  <c r="AR14" i="7"/>
  <c r="AL17" i="7" s="1"/>
  <c r="AL20" i="7" s="1"/>
  <c r="AL23" i="7" s="1"/>
  <c r="AL25" i="7" s="1"/>
  <c r="AL27" i="7" s="1"/>
  <c r="BA8" i="7"/>
  <c r="BA9" i="7" s="1"/>
  <c r="BA12" i="7" s="1"/>
  <c r="B20" i="7"/>
  <c r="B23" i="7" s="1"/>
  <c r="AH8" i="7"/>
  <c r="AH9" i="7" s="1"/>
  <c r="AH12" i="7" s="1"/>
  <c r="AH14" i="7" s="1"/>
  <c r="AI7" i="7"/>
  <c r="T17" i="7"/>
  <c r="T19" i="7"/>
  <c r="P8" i="7"/>
  <c r="P9" i="7"/>
  <c r="P12" i="7" s="1"/>
  <c r="P14" i="7" s="1"/>
  <c r="Q7" i="7"/>
  <c r="G3" i="9" l="1"/>
  <c r="G5" i="9"/>
  <c r="B25" i="7"/>
  <c r="B3" i="9"/>
  <c r="T20" i="7"/>
  <c r="T23" i="7" s="1"/>
  <c r="AI8" i="7"/>
  <c r="AI9" i="7" s="1"/>
  <c r="AI12" i="7" s="1"/>
  <c r="AI14" i="7" s="1"/>
  <c r="AC17" i="7" s="1"/>
  <c r="AC20" i="7" s="1"/>
  <c r="AC23" i="7" s="1"/>
  <c r="Q8" i="7"/>
  <c r="Q9" i="7"/>
  <c r="Q12" i="7" s="1"/>
  <c r="B27" i="7" l="1"/>
  <c r="B5" i="9"/>
  <c r="B8" i="9" s="1"/>
  <c r="AC25" i="7"/>
  <c r="E3" i="9"/>
  <c r="T25" i="7"/>
  <c r="D3" i="9"/>
  <c r="Q14" i="7"/>
  <c r="K17" i="7" s="1"/>
  <c r="K20" i="7" s="1"/>
  <c r="K23" i="7" s="1"/>
  <c r="T27" i="7" l="1"/>
  <c r="D5" i="9"/>
  <c r="D8" i="9" s="1"/>
  <c r="AC27" i="7"/>
  <c r="E5" i="9"/>
  <c r="E8" i="9" s="1"/>
  <c r="K25" i="7"/>
  <c r="C3" i="9"/>
  <c r="K27" i="7" l="1"/>
  <c r="C5" i="9"/>
  <c r="C8" i="9" s="1"/>
  <c r="K3" i="8" a="1"/>
  <c r="K3" i="8" s="1"/>
  <c r="K5" i="8"/>
  <c r="K6" i="8" s="1"/>
  <c r="K7" i="8"/>
  <c r="K8" i="8" s="1"/>
  <c r="K4" i="8"/>
  <c r="K9" i="8"/>
  <c r="K10" i="8" l="1"/>
  <c r="F5" i="9" l="1"/>
  <c r="F8" i="9" s="1"/>
  <c r="K12" i="8"/>
  <c r="F3"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4"/>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<sst xmlns="http://schemas.openxmlformats.org/spreadsheetml/2006/main" count="1614" uniqueCount="587">
  <si>
    <t>Company Profile</t>
  </si>
  <si>
    <t>Logo</t>
  </si>
  <si>
    <t>Company Name</t>
  </si>
  <si>
    <t>Ticker Symbol</t>
  </si>
  <si>
    <t>Employees</t>
  </si>
  <si>
    <t>Total Subscribers/Tenants</t>
  </si>
  <si>
    <t>Share Price</t>
  </si>
  <si>
    <t>Outstanding Shares</t>
  </si>
  <si>
    <t>Market Cap</t>
  </si>
  <si>
    <t>Change (%)</t>
  </si>
  <si>
    <t>Beta</t>
  </si>
  <si>
    <t>Industry</t>
  </si>
  <si>
    <t>Year Corporated</t>
  </si>
  <si>
    <t>P/E</t>
  </si>
  <si>
    <t>Balance Sheet</t>
  </si>
  <si>
    <t>Particulars</t>
  </si>
  <si>
    <t>Non-Current assets</t>
  </si>
  <si>
    <t>Property, plant and equipment</t>
  </si>
  <si>
    <t>Capital work-in-progress</t>
  </si>
  <si>
    <t>Right-of-use assets</t>
  </si>
  <si>
    <t>Goodwill</t>
  </si>
  <si>
    <t>Other intangible assets</t>
  </si>
  <si>
    <t>Intangible assets under development</t>
  </si>
  <si>
    <t>Investments in subsidiaries, associates and Joint Ventures</t>
  </si>
  <si>
    <t>Investments</t>
  </si>
  <si>
    <t>Derivative instruments</t>
  </si>
  <si>
    <t>Loans and security deposits</t>
  </si>
  <si>
    <t>Others</t>
  </si>
  <si>
    <t>Income tax assets (net)</t>
  </si>
  <si>
    <t>Deferred tax assets (net)</t>
  </si>
  <si>
    <t>Other non-current assets</t>
  </si>
  <si>
    <t>Current Assets</t>
  </si>
  <si>
    <t>Inventories</t>
  </si>
  <si>
    <t>Trade receivables</t>
  </si>
  <si>
    <t>Cash and cash equivalents</t>
  </si>
  <si>
    <t>Other bank balances</t>
  </si>
  <si>
    <t>Loans</t>
  </si>
  <si>
    <t>Other current assets</t>
  </si>
  <si>
    <t>Total Assets</t>
  </si>
  <si>
    <t>Total Non-current assets</t>
  </si>
  <si>
    <t>Total Current assets</t>
  </si>
  <si>
    <t>Equity and Liabilities</t>
  </si>
  <si>
    <t>Equity</t>
  </si>
  <si>
    <t>Equity share capital</t>
  </si>
  <si>
    <t>Other Equity</t>
  </si>
  <si>
    <t>Total Equity</t>
  </si>
  <si>
    <t>Non-Current Liabilities</t>
  </si>
  <si>
    <t>Borrowings</t>
  </si>
  <si>
    <t>Lease Liabilities</t>
  </si>
  <si>
    <t>Deferred revenue</t>
  </si>
  <si>
    <t>Provisions</t>
  </si>
  <si>
    <t>Total Non-current Liabilities</t>
  </si>
  <si>
    <t>Current Liabilities</t>
  </si>
  <si>
    <t>Current maturities of Long term borrowings</t>
  </si>
  <si>
    <t>Total outstanding dues of micro and small enterprises</t>
  </si>
  <si>
    <t>Total outstanding dues of creditors other than above</t>
  </si>
  <si>
    <t>Total Trade Payables</t>
  </si>
  <si>
    <t>Current tax liabilities (net)</t>
  </si>
  <si>
    <t>Other current liabilities</t>
  </si>
  <si>
    <t>Total Current Liabilities</t>
  </si>
  <si>
    <t>Total Liabilities</t>
  </si>
  <si>
    <t>Total Equity and Liabilities</t>
  </si>
  <si>
    <t>2020</t>
  </si>
  <si>
    <t>2021</t>
  </si>
  <si>
    <t>2022</t>
  </si>
  <si>
    <t>2023</t>
  </si>
  <si>
    <t>2024</t>
  </si>
  <si>
    <t>2025</t>
  </si>
  <si>
    <t>Intangible assets</t>
  </si>
  <si>
    <t>Investment in joint venture</t>
  </si>
  <si>
    <t>Investment</t>
  </si>
  <si>
    <t>Other financial assets</t>
  </si>
  <si>
    <t>Total current assets</t>
  </si>
  <si>
    <t>Total assets</t>
  </si>
  <si>
    <t>Other financial liabilities</t>
  </si>
  <si>
    <t>Deferred tax liabilities (net)</t>
  </si>
  <si>
    <t>Other non-current liabilities</t>
  </si>
  <si>
    <t>Total Non-current liabilities</t>
  </si>
  <si>
    <t>Trade Payables</t>
  </si>
  <si>
    <t>Total current liabilities</t>
  </si>
  <si>
    <t>Total liabilities</t>
  </si>
  <si>
    <t>Total equity and liabilities</t>
  </si>
  <si>
    <t>Other Non-current financial assets</t>
  </si>
  <si>
    <t>Total non-current assets</t>
  </si>
  <si>
    <t>Loans and advances</t>
  </si>
  <si>
    <t>Other current financial assets</t>
  </si>
  <si>
    <t>Current tax assets (net)</t>
  </si>
  <si>
    <t>Other non current financial liabilities</t>
  </si>
  <si>
    <t>Other non current liabilities</t>
  </si>
  <si>
    <t>Total non current liabilities</t>
  </si>
  <si>
    <t>Other current financial liabilities</t>
  </si>
  <si>
    <t>Investment property</t>
  </si>
  <si>
    <t>Investment property under development</t>
  </si>
  <si>
    <t>Investments in associates</t>
  </si>
  <si>
    <t>Other investments</t>
  </si>
  <si>
    <t>Non current tax assets</t>
  </si>
  <si>
    <t>Current assets</t>
  </si>
  <si>
    <t>Bank balances other than above</t>
  </si>
  <si>
    <t>Assets classified for sale</t>
  </si>
  <si>
    <t>Other equity</t>
  </si>
  <si>
    <t>Non-controlling interests</t>
  </si>
  <si>
    <t>Total equity</t>
  </si>
  <si>
    <t>Non-current liabilities</t>
  </si>
  <si>
    <t>Lease liabilities</t>
  </si>
  <si>
    <t>Total non-current liabilities</t>
  </si>
  <si>
    <t>Liabilities relating to assets held for sale</t>
  </si>
  <si>
    <t>Investments accounted for using the equity method</t>
  </si>
  <si>
    <t>Other non-current financial assets</t>
  </si>
  <si>
    <t>Loans to joint ventures and others</t>
  </si>
  <si>
    <t>Assets classified as held for sale</t>
  </si>
  <si>
    <t>Loans from banks and others</t>
  </si>
  <si>
    <t>Deferred payment obligations</t>
  </si>
  <si>
    <t>Total Long term borrowings</t>
  </si>
  <si>
    <t>Trade payables</t>
  </si>
  <si>
    <t>Long term provisions</t>
  </si>
  <si>
    <t>Short term borrowings</t>
  </si>
  <si>
    <t>Short term provisions</t>
  </si>
  <si>
    <t>Loans and Security deposits</t>
  </si>
  <si>
    <t>Current tax liability (net)</t>
  </si>
  <si>
    <t>Income Statement</t>
  </si>
  <si>
    <t>Income</t>
  </si>
  <si>
    <t>Revenue from Operations</t>
  </si>
  <si>
    <t>Other income</t>
  </si>
  <si>
    <t>Total Income</t>
  </si>
  <si>
    <t>Expenses</t>
  </si>
  <si>
    <t>Network operating expenses</t>
  </si>
  <si>
    <t>Access charges</t>
  </si>
  <si>
    <t>License fee/Spectrum charges</t>
  </si>
  <si>
    <t>Employee benefit expenses</t>
  </si>
  <si>
    <t>Sales and marketing expenses</t>
  </si>
  <si>
    <t>Other expenses</t>
  </si>
  <si>
    <t>Total expenses</t>
  </si>
  <si>
    <t>EBITDA</t>
  </si>
  <si>
    <t>Depreciation and ammortisation expense</t>
  </si>
  <si>
    <t>Finance costs</t>
  </si>
  <si>
    <t>Profit/Loss before exceptional items and tax</t>
  </si>
  <si>
    <t>Exceptional items</t>
  </si>
  <si>
    <t>Profit/Loss before tax</t>
  </si>
  <si>
    <t>Current tax</t>
  </si>
  <si>
    <t>Deferred tax</t>
  </si>
  <si>
    <t>Total tax expense</t>
  </si>
  <si>
    <t>Profit/Loss for the year</t>
  </si>
  <si>
    <t>Earnings/Loss per share</t>
  </si>
  <si>
    <t>Basic</t>
  </si>
  <si>
    <t>Cost of material consumed</t>
  </si>
  <si>
    <t>Power and fuel</t>
  </si>
  <si>
    <t>Repairs and maintenance</t>
  </si>
  <si>
    <t>Less: adjusted with general reserve</t>
  </si>
  <si>
    <t>Finance income</t>
  </si>
  <si>
    <t>Charity and donation</t>
  </si>
  <si>
    <t>Profit before tax</t>
  </si>
  <si>
    <t>Profit for the year</t>
  </si>
  <si>
    <t>Earnings per share</t>
  </si>
  <si>
    <t>Revenue from operations</t>
  </si>
  <si>
    <t>Total income</t>
  </si>
  <si>
    <t>Access and other charges</t>
  </si>
  <si>
    <t>License fee and spectrum charges</t>
  </si>
  <si>
    <t>Expenses on project</t>
  </si>
  <si>
    <t>Administrative &amp; other expenses</t>
  </si>
  <si>
    <t>CSR</t>
  </si>
  <si>
    <t>Depreciation, amortisation and impairment</t>
  </si>
  <si>
    <t>Finance expenses</t>
  </si>
  <si>
    <t xml:space="preserve"> Tax impact of earlier years</t>
  </si>
  <si>
    <t>Network transmission expense</t>
  </si>
  <si>
    <t>Employee benefit expense</t>
  </si>
  <si>
    <t>Depreciation and amortisation expense</t>
  </si>
  <si>
    <t>Operating and other expenses</t>
  </si>
  <si>
    <t>Profit before exceptional items and tax</t>
  </si>
  <si>
    <t>Profit before tax and share of profit/loss of associates</t>
  </si>
  <si>
    <t>Profit/Loss before share in profit/loss of associates</t>
  </si>
  <si>
    <t>Share in profit/loss of associates</t>
  </si>
  <si>
    <t>Profit/Loss for the period</t>
  </si>
  <si>
    <t>Service revenue</t>
  </si>
  <si>
    <t>Sale of trading goods</t>
  </si>
  <si>
    <t>Other operating income</t>
  </si>
  <si>
    <t>Cost of trading goods</t>
  </si>
  <si>
    <t>Network expenses and IT outsourcing cost</t>
  </si>
  <si>
    <t>License fees and spectrum usage charges</t>
  </si>
  <si>
    <t>Roaming and access charges</t>
  </si>
  <si>
    <t>Subscriber acquisition and servicing expenditure</t>
  </si>
  <si>
    <t>Advertisement, business promotion expense and cotent cost</t>
  </si>
  <si>
    <t>Other expense</t>
  </si>
  <si>
    <t>Depreciation</t>
  </si>
  <si>
    <t>Amortisation</t>
  </si>
  <si>
    <t>Profit before share of profit/loss of joint ventures and associate, exceptional items and tax</t>
  </si>
  <si>
    <t>Add: Share in profits/loss of joint ventures (net)</t>
  </si>
  <si>
    <t>Add: Share in profit/loss of associate</t>
  </si>
  <si>
    <t>Exceptional items (net)</t>
  </si>
  <si>
    <t>Profit/Loss after tax</t>
  </si>
  <si>
    <t>Total Expenses</t>
  </si>
  <si>
    <t>Non-Current Assets</t>
  </si>
  <si>
    <t>Other Financial assets</t>
  </si>
  <si>
    <t xml:space="preserve">Equity </t>
  </si>
  <si>
    <t>Other Financial Liabilities</t>
  </si>
  <si>
    <t>Deferred payment liabilities</t>
  </si>
  <si>
    <t>Total outstanding dues other than above</t>
  </si>
  <si>
    <t>Total Trade payables</t>
  </si>
  <si>
    <t>Total Current liabilities</t>
  </si>
  <si>
    <t>Reliance Jio Infocomm Limited</t>
  </si>
  <si>
    <t>~</t>
  </si>
  <si>
    <t>Telecom &amp; Digital Services</t>
  </si>
  <si>
    <t>Network Operating expenses</t>
  </si>
  <si>
    <t>License fees/Spectrum charges</t>
  </si>
  <si>
    <t>Selling and Distribution expenses</t>
  </si>
  <si>
    <t>Total tax expenses</t>
  </si>
  <si>
    <t>Earnings per Share</t>
  </si>
  <si>
    <t>Share of profit of associates and joint ventures (net)</t>
  </si>
  <si>
    <t>Profit before share of profit of joint venture and tax</t>
  </si>
  <si>
    <t>Share of profit of joint venture</t>
  </si>
  <si>
    <t>Adjustments for</t>
  </si>
  <si>
    <t>Share in profit of joint ventures and associate</t>
  </si>
  <si>
    <t>Depreciation of PPE and investment property</t>
  </si>
  <si>
    <t>Amortisation of intangible assets</t>
  </si>
  <si>
    <t>Loss on disposal of PPE and intangible assets</t>
  </si>
  <si>
    <t>Impact due to cancellation of lease contract</t>
  </si>
  <si>
    <t>Accelerated depreciation on account of network</t>
  </si>
  <si>
    <t>One time spectrum charges</t>
  </si>
  <si>
    <t>Impairment of investment in associates</t>
  </si>
  <si>
    <t>Impairment of brand</t>
  </si>
  <si>
    <t>Provision for gratuity and compensated absences</t>
  </si>
  <si>
    <t>Bad debts/advances written off</t>
  </si>
  <si>
    <t>Allowance for doubtful debts/advances</t>
  </si>
  <si>
    <t>Liabilities/provisions no longer required written back</t>
  </si>
  <si>
    <t>Working capital adjustments</t>
  </si>
  <si>
    <t>decrease in inventories</t>
  </si>
  <si>
    <t>increase/decrease in trade payables</t>
  </si>
  <si>
    <t>Cash flow from operating activities</t>
  </si>
  <si>
    <t>Income tax refund</t>
  </si>
  <si>
    <t>Net cash flows from operating activities</t>
  </si>
  <si>
    <t>Investing activities</t>
  </si>
  <si>
    <t>Payment towards deferred spectrum liability</t>
  </si>
  <si>
    <t>Proceeds from sale of PPE and intangible assets</t>
  </si>
  <si>
    <t>Proceeds from sale of stake in Indus</t>
  </si>
  <si>
    <t>Net sale of current investments</t>
  </si>
  <si>
    <t>Interest received</t>
  </si>
  <si>
    <t>Net cash flows from/used in investing activities</t>
  </si>
  <si>
    <t>Financing activities</t>
  </si>
  <si>
    <t>Payment of interest and finance charges</t>
  </si>
  <si>
    <t>Repayment of long term borrowings</t>
  </si>
  <si>
    <t>Proceeds from short term borrowings</t>
  </si>
  <si>
    <t>Repayment of short term borrowings</t>
  </si>
  <si>
    <t>Payment of lease liabilities</t>
  </si>
  <si>
    <t>Net cash flows from/used in financing activities</t>
  </si>
  <si>
    <t>Net increase/decrease in Cash and cash equivalents</t>
  </si>
  <si>
    <t>Opening balance</t>
  </si>
  <si>
    <t>Add: Cash and cash equivalents of VMPL</t>
  </si>
  <si>
    <t>Closing Balance</t>
  </si>
  <si>
    <t>Operating Profit/Loss before working capital changes</t>
  </si>
  <si>
    <t>Depreciation and amortization expense</t>
  </si>
  <si>
    <t>Gain disposal of PPE</t>
  </si>
  <si>
    <t>Provision for doubtful debts and advances</t>
  </si>
  <si>
    <t>Revenue equalisation</t>
  </si>
  <si>
    <t>Operating profit before working capital changes</t>
  </si>
  <si>
    <t>Changes in other financial assets</t>
  </si>
  <si>
    <t>Changes in other non current and current assets</t>
  </si>
  <si>
    <t>Changes in trade receivables</t>
  </si>
  <si>
    <t>Changes in other financial liabilities</t>
  </si>
  <si>
    <t>Changes in provisions</t>
  </si>
  <si>
    <t>Changes in other non current and current liabilities</t>
  </si>
  <si>
    <t>Changes in trade payables</t>
  </si>
  <si>
    <t>Cash generated from operations</t>
  </si>
  <si>
    <t>Income tax paid</t>
  </si>
  <si>
    <t>Net cash flow from Operating activities</t>
  </si>
  <si>
    <t>Purchase of PPE</t>
  </si>
  <si>
    <t>Proceeds from sale of PPE</t>
  </si>
  <si>
    <t>Investments in mutual funds</t>
  </si>
  <si>
    <t>Proceeds from sale of mutual funds</t>
  </si>
  <si>
    <t>Proceeds from sale of government securities</t>
  </si>
  <si>
    <t>Redemption of certificate of deposits, commercial papers and bonds</t>
  </si>
  <si>
    <t>Investment/proceeds from bank deposits</t>
  </si>
  <si>
    <t>Proceeds from exercise of stock options</t>
  </si>
  <si>
    <t>Dividend received</t>
  </si>
  <si>
    <t>Net cash flow from/used in Investing activities</t>
  </si>
  <si>
    <t>Proceeds from borrowings</t>
  </si>
  <si>
    <t>Repayment of borrowings</t>
  </si>
  <si>
    <t>Sale/Purchase of treasury shares (net)</t>
  </si>
  <si>
    <t>Cash paid to Vodafone Idea</t>
  </si>
  <si>
    <t>Stamp duty on issue of shares pursuant to merger of erstwhile Indus towers</t>
  </si>
  <si>
    <t>Dividend paid</t>
  </si>
  <si>
    <t>Tax on dividend paid</t>
  </si>
  <si>
    <t>Interest paid</t>
  </si>
  <si>
    <t>Repayment of leasehold liabilities</t>
  </si>
  <si>
    <t>Net cash flow from/used in financing activities</t>
  </si>
  <si>
    <t>Net increase/decrease in cash and cash equivalents</t>
  </si>
  <si>
    <t>Cash and cash equivalents pursuant to merger of Indus</t>
  </si>
  <si>
    <t>Closing balance</t>
  </si>
  <si>
    <t>Other comprehensive income</t>
  </si>
  <si>
    <t>Depreciation, amortisation and Impairment</t>
  </si>
  <si>
    <t>Amortisation of deferred government grant</t>
  </si>
  <si>
    <t>Non cash income</t>
  </si>
  <si>
    <t>Non cash expense</t>
  </si>
  <si>
    <t>Non cash expense (Interest credited)</t>
  </si>
  <si>
    <t>Interest expense for Lease liabilities</t>
  </si>
  <si>
    <t>Non cash expense (Loss on sale of fixed assets)</t>
  </si>
  <si>
    <t>Non cash expense (Forex loss)</t>
  </si>
  <si>
    <t>Provision for expected credit loss</t>
  </si>
  <si>
    <t>Interest income</t>
  </si>
  <si>
    <t>Operating profit/loss before working capital changes</t>
  </si>
  <si>
    <t>increase/decrease in financial current assets</t>
  </si>
  <si>
    <t>increase/decrease in non financial current assets</t>
  </si>
  <si>
    <t>increase/decrease in financial current liabilities</t>
  </si>
  <si>
    <t>increase/decrease in non financial current liabilities</t>
  </si>
  <si>
    <t>increase/decrease in financial non current assets</t>
  </si>
  <si>
    <t>increase/decrease in non financial non current assets</t>
  </si>
  <si>
    <t>increase/decrease in financial non current liabilities</t>
  </si>
  <si>
    <t>increase/decrease in non financial non current liabilities</t>
  </si>
  <si>
    <t>Net cash generated from Operations before tax</t>
  </si>
  <si>
    <t>Net cash generated from operating activities</t>
  </si>
  <si>
    <t>Purchase of Tangible &amp; Intangible assets</t>
  </si>
  <si>
    <t>Capital advances</t>
  </si>
  <si>
    <t>Increase/decrease in short term investment</t>
  </si>
  <si>
    <t>Interest income received</t>
  </si>
  <si>
    <t>Subsidy/Advances received</t>
  </si>
  <si>
    <t>Increase/decrease in term deposit</t>
  </si>
  <si>
    <t>Net cash used in Investing activities</t>
  </si>
  <si>
    <t>Payment for lease liability of right to use assets</t>
  </si>
  <si>
    <t>Dividend distribution tax paid</t>
  </si>
  <si>
    <t>Net cash generated from/used in financing activities</t>
  </si>
  <si>
    <t>Effect of exchange difference on translation of cash and cash eq</t>
  </si>
  <si>
    <t>Operating Activities</t>
  </si>
  <si>
    <t>Income tax expense recognised in consolidated statement of P&amp;L</t>
  </si>
  <si>
    <t>Share in profit/loss of associate</t>
  </si>
  <si>
    <t>Depreciation and amortisation expenses</t>
  </si>
  <si>
    <t>Gain on disposal of PPE</t>
  </si>
  <si>
    <t>Gain on disposal of assets held for sale</t>
  </si>
  <si>
    <t>Gain on modificatio/termination lease</t>
  </si>
  <si>
    <t>Interest income on financial assets carried at amortised cost</t>
  </si>
  <si>
    <t>Finance cost</t>
  </si>
  <si>
    <t>Loss on sale of investment</t>
  </si>
  <si>
    <t>Bad debts written off</t>
  </si>
  <si>
    <t>Allowance for trade receivables</t>
  </si>
  <si>
    <t>Provision for inventories and CWIP</t>
  </si>
  <si>
    <t>Demerger of surplus land</t>
  </si>
  <si>
    <t>Allowance for doubtful advances</t>
  </si>
  <si>
    <t>Gain on investments at fair value through OCI</t>
  </si>
  <si>
    <t>Exchange fluctuation</t>
  </si>
  <si>
    <t>Operating profits before working capital changes</t>
  </si>
  <si>
    <t>Adjustments for working capital changes</t>
  </si>
  <si>
    <t xml:space="preserve">Trade receivables </t>
  </si>
  <si>
    <t>Other assets</t>
  </si>
  <si>
    <t>Other liabilities</t>
  </si>
  <si>
    <t>Adjustments of translation difference on working capital</t>
  </si>
  <si>
    <t>Cash generated from operations before tax</t>
  </si>
  <si>
    <t>Income tax refund/paid (net)</t>
  </si>
  <si>
    <t>Net cash flow from operating activities</t>
  </si>
  <si>
    <t>Payment to purchase of PPE and intangible assets</t>
  </si>
  <si>
    <t>Advance received towards assets held for sale</t>
  </si>
  <si>
    <t>Proceeds from disposal of PPE and intangible assets</t>
  </si>
  <si>
    <t>Proceeds from disposal of assets held for sale</t>
  </si>
  <si>
    <t>Purchase of investments in associates</t>
  </si>
  <si>
    <t>Purchase of non-current investments</t>
  </si>
  <si>
    <t>Fixed deposits transferred as part of land demerger</t>
  </si>
  <si>
    <t>Dividend income from investments at fair value</t>
  </si>
  <si>
    <t>Net cash outflow on acquisition of subsidiary</t>
  </si>
  <si>
    <t>Purchase of current investments</t>
  </si>
  <si>
    <t>Proceeds from sale of current investments</t>
  </si>
  <si>
    <t>Proceeds from sale of investments in associate</t>
  </si>
  <si>
    <t>Fixed deposits liquidated</t>
  </si>
  <si>
    <t>Earmarked funds</t>
  </si>
  <si>
    <t>Net cash from/used in Investing activities</t>
  </si>
  <si>
    <t>Financing Activities</t>
  </si>
  <si>
    <t>Proceeds from long term borrowings</t>
  </si>
  <si>
    <t>Repayment of lease liabilities</t>
  </si>
  <si>
    <t>Dividends paid including dividend tax</t>
  </si>
  <si>
    <t>Dividends paid to non-controlling interest</t>
  </si>
  <si>
    <t>Finance cost paid</t>
  </si>
  <si>
    <t>Net decrease/increase in working capital borrowings</t>
  </si>
  <si>
    <t>Net cash from/used in financing activties</t>
  </si>
  <si>
    <t>Net decrease/increase in cash and cash equivalents</t>
  </si>
  <si>
    <t>Exchange difference on translation of foreign currency</t>
  </si>
  <si>
    <t>Operating activities</t>
  </si>
  <si>
    <t>Loss before tax</t>
  </si>
  <si>
    <t>Share-based payment expense</t>
  </si>
  <si>
    <t>Gain on sale of stake in Indus</t>
  </si>
  <si>
    <t>License fees and SUC on AGR</t>
  </si>
  <si>
    <t>decrease/increase in trade receivables</t>
  </si>
  <si>
    <t>increase/decrease in other financial and non financial assets</t>
  </si>
  <si>
    <t>decrease/increase in financial and non-financial liabilities</t>
  </si>
  <si>
    <t>Purchase of PPE and intangible assets</t>
  </si>
  <si>
    <t>Payment towards spectrum and licenses</t>
  </si>
  <si>
    <t>Fixed deposits with banks having maturity of 3 to 12 months</t>
  </si>
  <si>
    <t>Dividend received from joint venture (Indus)</t>
  </si>
  <si>
    <t>Proceeds from allotment of equity shares under rights issue</t>
  </si>
  <si>
    <t>Operating Loss/Profit before working capital changes</t>
  </si>
  <si>
    <t>Dividend income</t>
  </si>
  <si>
    <t>Net loss/gain on derivative financial instruments</t>
  </si>
  <si>
    <t>Net gain on FVTPL investments</t>
  </si>
  <si>
    <t>Loss on sale of PPE</t>
  </si>
  <si>
    <t>Employee share-based payment expenses</t>
  </si>
  <si>
    <t>Other non-cash itmes</t>
  </si>
  <si>
    <t>Other financial and non financial liabilities</t>
  </si>
  <si>
    <t>Other financial and non financial assets</t>
  </si>
  <si>
    <t>Purchase of PPE (including CWIP)</t>
  </si>
  <si>
    <t>Purchase of intangible assets</t>
  </si>
  <si>
    <t>Payment towards spectrum</t>
  </si>
  <si>
    <t>Proceeds from sale/purchase of current investments</t>
  </si>
  <si>
    <t>Purchase/sale of non-current investments</t>
  </si>
  <si>
    <t>Investment in subsidiaries, joint ventures and associates</t>
  </si>
  <si>
    <t>Loan given to subsidiaries</t>
  </si>
  <si>
    <t>Loan repayment by subsidiaries</t>
  </si>
  <si>
    <t>Net proceeds from issue of shares</t>
  </si>
  <si>
    <t>Net proceeds from issue of shares (QIP)</t>
  </si>
  <si>
    <t>Net proceeds from issuance of FCCBs</t>
  </si>
  <si>
    <t>Interest and other finance charges paid</t>
  </si>
  <si>
    <t>Proceeds from exercise of share options</t>
  </si>
  <si>
    <t>Dividends paid</t>
  </si>
  <si>
    <t>Effect of exchange rate change</t>
  </si>
  <si>
    <t>Gain on investments (net)</t>
  </si>
  <si>
    <t>Loss on sale/discard of PPE</t>
  </si>
  <si>
    <t xml:space="preserve">Finance cost </t>
  </si>
  <si>
    <t xml:space="preserve">Trade and other receivables </t>
  </si>
  <si>
    <t>Trade and other payables</t>
  </si>
  <si>
    <t>Taxes paid</t>
  </si>
  <si>
    <t>Net cash flow from/used in operating activities</t>
  </si>
  <si>
    <t>Proceeds from disposal of PPE</t>
  </si>
  <si>
    <t>Upfront fibre payments</t>
  </si>
  <si>
    <t>Purchase of investments</t>
  </si>
  <si>
    <t>Proceeds from sale of investments</t>
  </si>
  <si>
    <t>Fixed deposit/Escrow account with banks</t>
  </si>
  <si>
    <t>Net cash flow/used in Investing activities</t>
  </si>
  <si>
    <t>Proceeds from issue of preference share capital</t>
  </si>
  <si>
    <t>Proceeds from non-current borrowings</t>
  </si>
  <si>
    <t>Repayment of non-current borrowings</t>
  </si>
  <si>
    <t>Payment towards transfer of non current borrowings</t>
  </si>
  <si>
    <t>Current borrowings (net)</t>
  </si>
  <si>
    <t>Repayment of deferred payment liabilities</t>
  </si>
  <si>
    <t>Net cash flow from/used in Financing activities</t>
  </si>
  <si>
    <t>Provision for doubtful debts/bad debts written off</t>
  </si>
  <si>
    <t>Proceeds from sale of business</t>
  </si>
  <si>
    <t>Purchase/Sale of current investments (net)</t>
  </si>
  <si>
    <t>Cash Flow Statement</t>
  </si>
  <si>
    <t xml:space="preserve">Proceeds from sale of PPE </t>
  </si>
  <si>
    <t>Acquisition of a subsidiary, net of cash proceeds</t>
  </si>
  <si>
    <t>Cash disposed off on sale of subsidiaries</t>
  </si>
  <si>
    <t>Cash acquired on acquisition of subsidiaries</t>
  </si>
  <si>
    <t>Proceeds from sale of investment in joint venture</t>
  </si>
  <si>
    <t>Payment of/proceeds from maturity of derivatives</t>
  </si>
  <si>
    <t>Purchase of treasury shares</t>
  </si>
  <si>
    <t>Proceeds from issue of shares under ESOS</t>
  </si>
  <si>
    <t>Proceeds from issue of share capital through preferential allt</t>
  </si>
  <si>
    <t>Year</t>
  </si>
  <si>
    <t>Customer Base</t>
  </si>
  <si>
    <t>Towers base</t>
  </si>
  <si>
    <t>Subscriber Base</t>
  </si>
  <si>
    <t>Subscribers base</t>
  </si>
  <si>
    <t>Ratio Analysis</t>
  </si>
  <si>
    <t>Ratio</t>
  </si>
  <si>
    <t>Type</t>
  </si>
  <si>
    <t>Profitability Ratio</t>
  </si>
  <si>
    <t>Operating Profit Margin</t>
  </si>
  <si>
    <t>Gross Profit Margin</t>
  </si>
  <si>
    <t>Net Profit Margin</t>
  </si>
  <si>
    <t>Liquidity Ratio</t>
  </si>
  <si>
    <t>Current Ratio</t>
  </si>
  <si>
    <t>Quick Ratio</t>
  </si>
  <si>
    <t>Leverage Ratio</t>
  </si>
  <si>
    <t xml:space="preserve">Debt-to-Equity </t>
  </si>
  <si>
    <t>Net Debt to EBITDA</t>
  </si>
  <si>
    <t>Efficiency Ratio</t>
  </si>
  <si>
    <t>Asset Turnover</t>
  </si>
  <si>
    <t>Return on Capital Employed</t>
  </si>
  <si>
    <t>Valuation Ratios</t>
  </si>
  <si>
    <t xml:space="preserve">Price to Earnings </t>
  </si>
  <si>
    <t>Key Performing Ratios</t>
  </si>
  <si>
    <t>Average Revenue Per user</t>
  </si>
  <si>
    <t>Subscriber Growth Rate</t>
  </si>
  <si>
    <t>Current Market Price</t>
  </si>
  <si>
    <t>In 000s</t>
  </si>
  <si>
    <t>2019 Customer</t>
  </si>
  <si>
    <t>2019</t>
  </si>
  <si>
    <t>NA</t>
  </si>
  <si>
    <t>Peer Data</t>
  </si>
  <si>
    <t>Peer Company</t>
  </si>
  <si>
    <t>Levered Beta</t>
  </si>
  <si>
    <t>Debt/Equity</t>
  </si>
  <si>
    <t>Tax Rate</t>
  </si>
  <si>
    <t>Unlevered Beta</t>
  </si>
  <si>
    <t>Parameters</t>
  </si>
  <si>
    <t>Risk Free Rate</t>
  </si>
  <si>
    <t>Market Risk Premium</t>
  </si>
  <si>
    <t>Cost of Equity</t>
  </si>
  <si>
    <t>Total Debt</t>
  </si>
  <si>
    <t>Interest Expense</t>
  </si>
  <si>
    <t>Pre-tax Cost of Debt</t>
  </si>
  <si>
    <t>After tax Cost of Debt</t>
  </si>
  <si>
    <t>Equity Value</t>
  </si>
  <si>
    <t>Total Value</t>
  </si>
  <si>
    <t>Weight of Equity</t>
  </si>
  <si>
    <t>Weight of Debt</t>
  </si>
  <si>
    <t>WACC</t>
  </si>
  <si>
    <t>Risk Free rate</t>
  </si>
  <si>
    <t>Market risk premium</t>
  </si>
  <si>
    <t>Pre-tax cost of debt</t>
  </si>
  <si>
    <t>Tax rate</t>
  </si>
  <si>
    <t>After tax cost of debt</t>
  </si>
  <si>
    <t>Equity value</t>
  </si>
  <si>
    <t>Terminal Growth</t>
  </si>
  <si>
    <t>Cash and Cash Equivalents</t>
  </si>
  <si>
    <t>Revenue</t>
  </si>
  <si>
    <t>EBIT</t>
  </si>
  <si>
    <t>Tax</t>
  </si>
  <si>
    <t>NOPAT</t>
  </si>
  <si>
    <t>CapEx</t>
  </si>
  <si>
    <t>Change in Working Capital</t>
  </si>
  <si>
    <t>Free Cash Flow</t>
  </si>
  <si>
    <t>Ratio/Growth</t>
  </si>
  <si>
    <t>2026</t>
  </si>
  <si>
    <t>2027</t>
  </si>
  <si>
    <t>2028</t>
  </si>
  <si>
    <t>2029</t>
  </si>
  <si>
    <t>2030</t>
  </si>
  <si>
    <t>Working Capital</t>
  </si>
  <si>
    <t>Working Capital Forecast</t>
  </si>
  <si>
    <t>Discount Factor</t>
  </si>
  <si>
    <t>PV of FCF</t>
  </si>
  <si>
    <t>PV of Terminal Value</t>
  </si>
  <si>
    <t>Enterprise Value</t>
  </si>
  <si>
    <t>Less: Debt</t>
  </si>
  <si>
    <t>Add: Cash</t>
  </si>
  <si>
    <t>Intrinsic Value per Share</t>
  </si>
  <si>
    <t>Parameter</t>
  </si>
  <si>
    <t>Value</t>
  </si>
  <si>
    <t>VALUATION</t>
  </si>
  <si>
    <t>Terminal Value of FCF</t>
  </si>
  <si>
    <t xml:space="preserve">PV of Terminal Value </t>
  </si>
  <si>
    <t>EV/EBITDA</t>
  </si>
  <si>
    <t>Net Debt</t>
  </si>
  <si>
    <t>EPS</t>
  </si>
  <si>
    <t>Book Value</t>
  </si>
  <si>
    <t>Valuation Multiples</t>
  </si>
  <si>
    <t>P/B</t>
  </si>
  <si>
    <t>EV/Revenue</t>
  </si>
  <si>
    <t>P/S</t>
  </si>
  <si>
    <t>Target Valuation</t>
  </si>
  <si>
    <t>P/E Valuation</t>
  </si>
  <si>
    <t>P/B Valuation</t>
  </si>
  <si>
    <t>EV/EBITDA Valuation</t>
  </si>
  <si>
    <t>Equity value (EV/EBITDA)</t>
  </si>
  <si>
    <t>EV/Revenue Valuation</t>
  </si>
  <si>
    <t>Equity Value (EV/Revenue)</t>
  </si>
  <si>
    <t>Target Price</t>
  </si>
  <si>
    <t>Average</t>
  </si>
  <si>
    <t>P/S Valuatiion</t>
  </si>
  <si>
    <t>Intrinsic Value/Share</t>
  </si>
  <si>
    <t>Valuation Method</t>
  </si>
  <si>
    <t>DCF</t>
  </si>
  <si>
    <t>Relative</t>
  </si>
  <si>
    <t>Subscribers</t>
  </si>
  <si>
    <t>ARPU Subscribers</t>
  </si>
  <si>
    <t>Margin</t>
  </si>
  <si>
    <t>Towers</t>
  </si>
  <si>
    <t>Average Revenue Per towers</t>
  </si>
  <si>
    <t>ARPT Subscribers</t>
  </si>
  <si>
    <t>in crores</t>
  </si>
  <si>
    <t>Return on Equity</t>
  </si>
  <si>
    <t>Efficiency ratio</t>
  </si>
  <si>
    <t>ROE</t>
  </si>
  <si>
    <t>Revenue CAGR</t>
  </si>
  <si>
    <t>Capex Intensity</t>
  </si>
  <si>
    <t>Earnings growth</t>
  </si>
  <si>
    <t>Bharti Airtel</t>
  </si>
  <si>
    <t>Indus Towers</t>
  </si>
  <si>
    <t>RailTel</t>
  </si>
  <si>
    <t>Tata Comm</t>
  </si>
  <si>
    <t>VI</t>
  </si>
  <si>
    <t>Jio</t>
  </si>
  <si>
    <t>GDP</t>
  </si>
  <si>
    <t>Change</t>
  </si>
  <si>
    <t>Sensitivity</t>
  </si>
  <si>
    <t>Average Capex</t>
  </si>
  <si>
    <t>2020-25</t>
  </si>
  <si>
    <t>2026-30</t>
  </si>
  <si>
    <t>Capex CAGR</t>
  </si>
  <si>
    <t>Company</t>
  </si>
  <si>
    <t>Amount</t>
  </si>
  <si>
    <t>Change in CE</t>
  </si>
  <si>
    <t>Change in EBIT (Historical)</t>
  </si>
  <si>
    <t>Change in EBIT (Forecast)</t>
  </si>
  <si>
    <t>Capex</t>
  </si>
  <si>
    <t>Effective Capital</t>
  </si>
  <si>
    <t>Raw ROCE (Forecast)</t>
  </si>
  <si>
    <t>Incremental ROCE (Historical)</t>
  </si>
  <si>
    <t>Adjusted ROCE (Forecast)</t>
  </si>
  <si>
    <t>Earnings CAGR</t>
  </si>
  <si>
    <t>Leverage ratio</t>
  </si>
  <si>
    <t>ICR</t>
  </si>
  <si>
    <t>D/CE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</si>
</sst>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_ * #,##0.000_ ;_ * \-#,##0.000_ ;_ * &quot;-&quot;??_ ;_ @_ "/>
    <numFmt numFmtId="166" formatCode="_ * #,##0.0000_ ;_ * \-#,##0.0000_ ;_ * &quot;-&quot;??_ ;_ @_ "/>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sz val="28"/>
      <color theme="5" tint="-0.249977111117893"/>
      <name val="Calibri"/>
      <family val="2"/>
      <scheme val="minor"/>
    </font>
    <font>
      <b/>
      <sz val="11"/>
      <color theme="0"/>
      <name val="Calibri"/>
      <family val="2"/>
      <scheme val="minor"/>
    </font>
    <font>
      <sz val="8"/>
      <name val="Calibri"/>
      <family val="2"/>
      <scheme val="minor"/>
    </font>
    <font>
      <b/>
      <sz val="16"/>
      <color theme="1"/>
      <name val="Calibri"/>
      <family val="2"/>
      <scheme val="minor"/>
    </font>
    <font>
      <b/>
      <sz val="22"/>
      <color theme="3" tint="-0.499984740745262"/>
      <name val="Calibri"/>
      <family val="2"/>
      <scheme val="minor"/>
    </font>
    <font>
      <b/>
      <sz val="18"/>
      <color theme="1"/>
      <name val="Calibri"/>
      <family val="2"/>
      <scheme val="minor"/>
    </font>
    <font>
      <b/>
      <sz val="11"/>
      <name val="Calibri"/>
      <family val="2"/>
      <scheme val="minor"/>
    </font>
    <font>
      <sz val="1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CC0000"/>
        <bgColor indexed="64"/>
      </patternFill>
    </fill>
    <fill>
      <patternFill patternType="solid">
        <fgColor rgb="FF00B050"/>
        <bgColor indexed="64"/>
      </patternFill>
    </fill>
    <fill>
      <patternFill patternType="solid">
        <fgColor rgb="FF0070C0"/>
        <bgColor indexed="64"/>
      </patternFill>
    </fill>
    <fill>
      <patternFill patternType="solid">
        <fgColor rgb="FFFF0000"/>
        <bgColor indexed="64"/>
      </patternFill>
    </fill>
    <fill>
      <patternFill patternType="solid">
        <fgColor theme="4"/>
        <bgColor theme="4"/>
      </patternFill>
    </fill>
    <fill>
      <patternFill patternType="solid">
        <fgColor rgb="FF002060"/>
        <bgColor indexed="64"/>
      </patternFill>
    </fill>
    <fill>
      <patternFill patternType="solid">
        <fgColor rgb="FFFFCCCC"/>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theme="1"/>
      </top>
      <bottom style="thin">
        <color indexed="64"/>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91">
    <xf numFmtId="0" fontId="0" fillId="0" borderId="0" xfId="0"/>
    <xf numFmtId="0" fontId="3" fillId="0" borderId="0" xfId="0" applyFont="1" applyAlignment="1">
      <alignment vertical="center"/>
    </xf>
    <xf numFmtId="0" fontId="0" fillId="0" borderId="0" xfId="0" applyAlignment="1">
      <alignment vertical="center"/>
    </xf>
    <xf numFmtId="0" fontId="0" fillId="0" borderId="0" xfId="0" applyAlignment="1">
      <alignment horizontal="center" vertical="center" wrapText="1"/>
    </xf>
    <xf numFmtId="43" fontId="0" fillId="0" borderId="0" xfId="1" applyFont="1" applyAlignment="1">
      <alignment horizontal="center" vertical="center" wrapText="1"/>
    </xf>
    <xf numFmtId="164" fontId="0" fillId="0" borderId="0" xfId="0" applyNumberFormat="1" applyAlignment="1">
      <alignment vertical="center"/>
    </xf>
    <xf numFmtId="0" fontId="2" fillId="0" borderId="1" xfId="0" applyFont="1" applyBorder="1" applyAlignment="1">
      <alignment vertical="center"/>
    </xf>
    <xf numFmtId="0" fontId="2" fillId="0" borderId="8" xfId="0" applyFont="1" applyBorder="1" applyAlignment="1">
      <alignment vertical="center"/>
    </xf>
    <xf numFmtId="0" fontId="0" fillId="0" borderId="1" xfId="0" applyBorder="1" applyAlignment="1">
      <alignment horizontal="center" vertical="center" wrapText="1"/>
    </xf>
    <xf numFmtId="164" fontId="0" fillId="0" borderId="1" xfId="1" applyNumberFormat="1"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1" applyNumberFormat="1" applyFont="1" applyBorder="1" applyAlignment="1">
      <alignment horizontal="center" vertical="center" wrapText="1"/>
    </xf>
    <xf numFmtId="0" fontId="2" fillId="0" borderId="3" xfId="0" applyFont="1" applyBorder="1" applyAlignment="1">
      <alignment vertical="center"/>
    </xf>
    <xf numFmtId="0" fontId="2" fillId="0" borderId="10" xfId="0" applyFont="1" applyBorder="1" applyAlignment="1">
      <alignment vertical="center"/>
    </xf>
    <xf numFmtId="0" fontId="0" fillId="0" borderId="11" xfId="0" applyBorder="1" applyAlignment="1">
      <alignment horizontal="center" vertical="center" wrapText="1"/>
    </xf>
    <xf numFmtId="0" fontId="2" fillId="0" borderId="13" xfId="0" applyFont="1" applyBorder="1" applyAlignment="1">
      <alignment vertical="center"/>
    </xf>
    <xf numFmtId="164" fontId="0" fillId="0" borderId="14" xfId="1" applyNumberFormat="1" applyFont="1" applyBorder="1" applyAlignment="1">
      <alignment horizontal="center" vertical="center" wrapText="1"/>
    </xf>
    <xf numFmtId="43" fontId="0" fillId="0" borderId="14" xfId="1" applyFont="1" applyBorder="1" applyAlignment="1">
      <alignment horizontal="center" vertical="center" wrapText="1"/>
    </xf>
    <xf numFmtId="0" fontId="2" fillId="0" borderId="15" xfId="0" applyFont="1" applyBorder="1" applyAlignment="1">
      <alignment vertical="center"/>
    </xf>
    <xf numFmtId="164" fontId="0" fillId="0" borderId="16" xfId="1" applyNumberFormat="1" applyFont="1" applyBorder="1" applyAlignment="1">
      <alignment horizontal="center" vertical="center" wrapText="1"/>
    </xf>
    <xf numFmtId="0" fontId="2" fillId="2" borderId="7" xfId="0" applyFont="1" applyFill="1" applyBorder="1" applyAlignment="1">
      <alignment vertical="center"/>
    </xf>
    <xf numFmtId="0" fontId="0" fillId="2" borderId="7" xfId="0" applyFill="1" applyBorder="1" applyAlignment="1">
      <alignment horizontal="right" vertical="center"/>
    </xf>
    <xf numFmtId="0" fontId="0" fillId="0" borderId="8" xfId="0" applyBorder="1" applyAlignment="1">
      <alignment vertical="center"/>
    </xf>
    <xf numFmtId="43" fontId="0" fillId="0" borderId="1" xfId="1" applyFont="1" applyBorder="1" applyAlignment="1">
      <alignment horizontal="right" vertical="center"/>
    </xf>
    <xf numFmtId="43" fontId="0" fillId="0" borderId="9" xfId="1" applyFont="1" applyBorder="1" applyAlignment="1">
      <alignment horizontal="right" vertical="center"/>
    </xf>
    <xf numFmtId="43" fontId="2" fillId="0" borderId="1" xfId="1" applyFont="1" applyBorder="1" applyAlignment="1">
      <alignment horizontal="right" vertical="center"/>
    </xf>
    <xf numFmtId="0" fontId="2" fillId="2" borderId="0" xfId="0" applyFont="1" applyFill="1" applyAlignment="1">
      <alignment vertical="center"/>
    </xf>
    <xf numFmtId="43" fontId="2" fillId="2" borderId="0" xfId="1" applyFont="1" applyFill="1" applyBorder="1" applyAlignment="1">
      <alignment horizontal="right" vertical="center"/>
    </xf>
    <xf numFmtId="0" fontId="0" fillId="0" borderId="1" xfId="0" applyBorder="1" applyAlignment="1">
      <alignment vertical="center"/>
    </xf>
    <xf numFmtId="0" fontId="2" fillId="2" borderId="9" xfId="0" applyFont="1" applyFill="1" applyBorder="1" applyAlignment="1">
      <alignment vertical="center"/>
    </xf>
    <xf numFmtId="43" fontId="2" fillId="2" borderId="7" xfId="1" applyFont="1" applyFill="1" applyBorder="1" applyAlignment="1">
      <alignment horizontal="right" vertical="center"/>
    </xf>
    <xf numFmtId="43" fontId="2" fillId="2" borderId="8" xfId="1" applyFont="1" applyFill="1" applyBorder="1" applyAlignment="1">
      <alignment horizontal="right" vertical="center"/>
    </xf>
    <xf numFmtId="0" fontId="4" fillId="0" borderId="0" xfId="0" applyFont="1" applyAlignment="1">
      <alignment vertical="center"/>
    </xf>
    <xf numFmtId="43" fontId="0" fillId="0" borderId="1" xfId="1" applyFont="1" applyBorder="1" applyAlignment="1">
      <alignment vertical="center"/>
    </xf>
    <xf numFmtId="43" fontId="2" fillId="0" borderId="1" xfId="1" applyFont="1" applyBorder="1" applyAlignment="1">
      <alignment vertical="center"/>
    </xf>
    <xf numFmtId="43" fontId="0" fillId="0" borderId="1" xfId="1" applyFont="1" applyFill="1" applyBorder="1" applyAlignment="1">
      <alignment horizontal="right" vertical="center"/>
    </xf>
    <xf numFmtId="0" fontId="2" fillId="3" borderId="0" xfId="0" applyFont="1" applyFill="1" applyAlignment="1">
      <alignment vertical="center"/>
    </xf>
    <xf numFmtId="0" fontId="2" fillId="3" borderId="0" xfId="0" applyFont="1" applyFill="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43" fontId="2" fillId="2" borderId="7" xfId="1" applyFont="1" applyFill="1" applyBorder="1" applyAlignment="1">
      <alignment vertical="center"/>
    </xf>
    <xf numFmtId="43" fontId="2" fillId="2" borderId="0" xfId="1" applyFont="1" applyFill="1" applyBorder="1" applyAlignment="1">
      <alignment vertical="center"/>
    </xf>
    <xf numFmtId="43" fontId="0" fillId="0" borderId="1" xfId="1" applyFont="1" applyFill="1" applyBorder="1" applyAlignment="1">
      <alignment vertical="center"/>
    </xf>
    <xf numFmtId="43" fontId="2" fillId="0" borderId="1" xfId="1" applyFont="1" applyFill="1" applyBorder="1" applyAlignment="1">
      <alignment vertical="center"/>
    </xf>
    <xf numFmtId="43" fontId="0" fillId="0" borderId="9" xfId="1" applyFont="1" applyFill="1" applyBorder="1" applyAlignment="1">
      <alignment vertical="center"/>
    </xf>
    <xf numFmtId="43" fontId="2" fillId="0" borderId="9" xfId="1" applyFont="1" applyFill="1" applyBorder="1" applyAlignment="1">
      <alignment vertical="center"/>
    </xf>
    <xf numFmtId="43" fontId="0" fillId="2" borderId="0" xfId="1" applyFont="1" applyFill="1" applyBorder="1" applyAlignment="1">
      <alignment vertical="center"/>
    </xf>
    <xf numFmtId="0" fontId="0" fillId="5" borderId="0" xfId="0" applyFill="1" applyAlignment="1">
      <alignment vertical="center"/>
    </xf>
    <xf numFmtId="0" fontId="0" fillId="5" borderId="0" xfId="0" applyFill="1" applyAlignment="1">
      <alignment horizontal="center" vertical="center"/>
    </xf>
    <xf numFmtId="0" fontId="2" fillId="0" borderId="9" xfId="0" applyFont="1" applyBorder="1" applyAlignment="1">
      <alignmen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43" fontId="2" fillId="2" borderId="8" xfId="1" applyFont="1" applyFill="1" applyBorder="1" applyAlignment="1">
      <alignment vertical="center"/>
    </xf>
    <xf numFmtId="43" fontId="0" fillId="0" borderId="0" xfId="1" applyFont="1" applyAlignment="1">
      <alignment vertical="center"/>
    </xf>
    <xf numFmtId="43" fontId="0" fillId="2" borderId="7" xfId="1" applyFont="1" applyFill="1" applyBorder="1" applyAlignment="1">
      <alignment vertical="center"/>
    </xf>
    <xf numFmtId="43" fontId="0" fillId="2" borderId="8" xfId="1" applyFont="1" applyFill="1" applyBorder="1" applyAlignment="1">
      <alignment vertical="center"/>
    </xf>
    <xf numFmtId="0" fontId="2" fillId="2" borderId="0" xfId="0" applyFont="1" applyFill="1" applyAlignment="1">
      <alignment horizontal="center" vertical="center"/>
    </xf>
    <xf numFmtId="43" fontId="0" fillId="0" borderId="1" xfId="1" applyFont="1" applyBorder="1" applyAlignment="1">
      <alignment horizontal="center" vertical="center"/>
    </xf>
    <xf numFmtId="43" fontId="0" fillId="0" borderId="9" xfId="1" applyFont="1" applyBorder="1" applyAlignment="1">
      <alignment horizontal="center" vertical="center"/>
    </xf>
    <xf numFmtId="43" fontId="0" fillId="0" borderId="1" xfId="1" applyFont="1" applyFill="1" applyBorder="1" applyAlignment="1">
      <alignment horizontal="center" vertical="center"/>
    </xf>
    <xf numFmtId="43" fontId="0" fillId="0" borderId="9" xfId="1" applyFont="1" applyFill="1" applyBorder="1" applyAlignment="1">
      <alignment horizontal="center" vertical="center"/>
    </xf>
    <xf numFmtId="43" fontId="2" fillId="0" borderId="1" xfId="1" applyFont="1" applyBorder="1" applyAlignment="1">
      <alignment horizontal="center" vertical="center"/>
    </xf>
    <xf numFmtId="43" fontId="2" fillId="0" borderId="9" xfId="1" applyFont="1" applyBorder="1" applyAlignment="1">
      <alignment horizontal="center" vertical="center"/>
    </xf>
    <xf numFmtId="43" fontId="2" fillId="2" borderId="0" xfId="1" applyFont="1" applyFill="1" applyBorder="1" applyAlignment="1">
      <alignment horizontal="center" vertical="center"/>
    </xf>
    <xf numFmtId="43" fontId="0" fillId="2" borderId="7" xfId="1" applyFont="1" applyFill="1" applyBorder="1" applyAlignment="1">
      <alignment horizontal="center" vertical="center"/>
    </xf>
    <xf numFmtId="43" fontId="2" fillId="0" borderId="5" xfId="1" applyFont="1" applyBorder="1" applyAlignment="1">
      <alignment horizontal="center" vertical="center"/>
    </xf>
    <xf numFmtId="43" fontId="2" fillId="0" borderId="2" xfId="1" applyFont="1" applyBorder="1" applyAlignment="1">
      <alignment horizontal="center" vertical="center"/>
    </xf>
    <xf numFmtId="43" fontId="2" fillId="0" borderId="1" xfId="1" applyFont="1" applyFill="1" applyBorder="1" applyAlignment="1">
      <alignment horizontal="center" vertical="center"/>
    </xf>
    <xf numFmtId="43" fontId="1" fillId="0" borderId="1" xfId="1" applyFont="1" applyBorder="1" applyAlignment="1">
      <alignment horizontal="right" vertical="center"/>
    </xf>
    <xf numFmtId="43" fontId="1" fillId="0" borderId="9" xfId="1" applyFont="1" applyBorder="1" applyAlignment="1">
      <alignment horizontal="right" vertical="center"/>
    </xf>
    <xf numFmtId="0" fontId="0" fillId="0" borderId="5" xfId="0" applyBorder="1" applyAlignment="1">
      <alignment vertical="center"/>
    </xf>
    <xf numFmtId="43" fontId="0" fillId="0" borderId="5" xfId="1" applyFont="1" applyBorder="1" applyAlignment="1">
      <alignment vertical="center"/>
    </xf>
    <xf numFmtId="0" fontId="0" fillId="0" borderId="6" xfId="0" applyBorder="1" applyAlignment="1">
      <alignment vertical="center"/>
    </xf>
    <xf numFmtId="43" fontId="0" fillId="0" borderId="6" xfId="1" applyFont="1" applyBorder="1" applyAlignment="1">
      <alignment vertical="center"/>
    </xf>
    <xf numFmtId="0" fontId="0" fillId="2" borderId="9" xfId="0" applyFill="1" applyBorder="1" applyAlignment="1">
      <alignment vertical="center"/>
    </xf>
    <xf numFmtId="0" fontId="0" fillId="6" borderId="9" xfId="0" applyFill="1" applyBorder="1" applyAlignment="1">
      <alignment vertical="center"/>
    </xf>
    <xf numFmtId="0" fontId="0" fillId="6" borderId="7" xfId="0" applyFill="1" applyBorder="1" applyAlignment="1">
      <alignment horizontal="center" vertical="center"/>
    </xf>
    <xf numFmtId="0" fontId="0" fillId="6" borderId="8" xfId="0" applyFill="1" applyBorder="1" applyAlignment="1">
      <alignment horizontal="center" vertical="center"/>
    </xf>
    <xf numFmtId="43" fontId="0" fillId="2" borderId="0" xfId="1" applyFont="1" applyFill="1" applyBorder="1" applyAlignment="1">
      <alignment horizontal="center" vertical="center"/>
    </xf>
    <xf numFmtId="0" fontId="0" fillId="0" borderId="0" xfId="0" applyAlignment="1">
      <alignment horizontal="center" vertical="center"/>
    </xf>
    <xf numFmtId="0" fontId="2" fillId="3" borderId="4" xfId="0" applyFont="1" applyFill="1" applyBorder="1" applyAlignment="1">
      <alignment vertical="center"/>
    </xf>
    <xf numFmtId="0" fontId="2" fillId="3" borderId="4" xfId="0" applyFont="1" applyFill="1" applyBorder="1" applyAlignment="1">
      <alignment horizontal="center" vertical="center"/>
    </xf>
    <xf numFmtId="43" fontId="0" fillId="0" borderId="0" xfId="1" applyFont="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9" xfId="0" applyBorder="1" applyAlignment="1">
      <alignment vertical="center"/>
    </xf>
    <xf numFmtId="49" fontId="0" fillId="0" borderId="7" xfId="1" applyNumberFormat="1" applyFont="1" applyBorder="1" applyAlignment="1">
      <alignment horizontal="center" vertical="center"/>
    </xf>
    <xf numFmtId="49" fontId="0" fillId="0" borderId="8" xfId="1" applyNumberFormat="1" applyFont="1" applyBorder="1" applyAlignment="1">
      <alignment horizontal="center" vertical="center"/>
    </xf>
    <xf numFmtId="0" fontId="0" fillId="4" borderId="9" xfId="0" applyFill="1" applyBorder="1" applyAlignment="1">
      <alignment vertical="center"/>
    </xf>
    <xf numFmtId="49" fontId="0" fillId="4" borderId="7" xfId="1" applyNumberFormat="1" applyFont="1" applyFill="1" applyBorder="1" applyAlignment="1">
      <alignment horizontal="center" vertical="center"/>
    </xf>
    <xf numFmtId="49" fontId="0" fillId="4" borderId="8" xfId="1" applyNumberFormat="1" applyFont="1" applyFill="1" applyBorder="1" applyAlignment="1">
      <alignment horizontal="center" vertical="center"/>
    </xf>
    <xf numFmtId="43" fontId="0" fillId="0" borderId="9" xfId="1" applyFont="1" applyBorder="1" applyAlignment="1">
      <alignment vertical="center"/>
    </xf>
    <xf numFmtId="43" fontId="2" fillId="0" borderId="9" xfId="1" applyFont="1" applyBorder="1" applyAlignment="1">
      <alignment vertical="center"/>
    </xf>
    <xf numFmtId="0" fontId="0" fillId="5" borderId="9" xfId="0" applyFill="1" applyBorder="1" applyAlignment="1">
      <alignment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0" borderId="1"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2" fillId="6" borderId="9" xfId="0" applyFont="1" applyFill="1" applyBorder="1" applyAlignment="1">
      <alignment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2" fillId="0" borderId="1" xfId="0" applyFont="1" applyBorder="1" applyAlignment="1">
      <alignment vertical="center" wrapText="1"/>
    </xf>
    <xf numFmtId="0" fontId="0" fillId="8" borderId="9" xfId="0" applyFill="1" applyBorder="1" applyAlignment="1">
      <alignment vertical="center"/>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0" fillId="0" borderId="12" xfId="0" applyBorder="1" applyAlignment="1">
      <alignment horizontal="center" vertical="center"/>
    </xf>
    <xf numFmtId="43" fontId="0" fillId="0" borderId="18" xfId="1" applyFont="1" applyBorder="1" applyAlignment="1">
      <alignment horizontal="center" vertical="center" wrapText="1"/>
    </xf>
    <xf numFmtId="49" fontId="0" fillId="0" borderId="17" xfId="1" applyNumberFormat="1" applyFont="1" applyBorder="1" applyAlignment="1">
      <alignment horizontal="right" vertical="center" wrapText="1"/>
    </xf>
    <xf numFmtId="0" fontId="5" fillId="8" borderId="4" xfId="0" applyFont="1" applyFill="1" applyBorder="1" applyAlignment="1">
      <alignment horizontal="center" vertical="center"/>
    </xf>
    <xf numFmtId="0" fontId="5" fillId="8" borderId="4" xfId="0" applyFont="1" applyFill="1" applyBorder="1" applyAlignment="1">
      <alignment vertical="center"/>
    </xf>
    <xf numFmtId="0" fontId="5" fillId="3" borderId="4" xfId="0" applyFont="1" applyFill="1" applyBorder="1" applyAlignment="1">
      <alignment vertical="center"/>
    </xf>
    <xf numFmtId="0" fontId="5" fillId="3" borderId="4" xfId="0" applyFont="1" applyFill="1" applyBorder="1" applyAlignment="1">
      <alignment horizontal="center" vertical="center"/>
    </xf>
    <xf numFmtId="0" fontId="5" fillId="0" borderId="0" xfId="0" applyFont="1" applyAlignment="1">
      <alignment vertical="center"/>
    </xf>
    <xf numFmtId="0" fontId="5" fillId="4" borderId="0" xfId="0" applyFont="1" applyFill="1" applyAlignment="1">
      <alignment vertical="center"/>
    </xf>
    <xf numFmtId="0" fontId="5" fillId="4" borderId="0" xfId="0" applyFont="1" applyFill="1" applyAlignment="1">
      <alignment horizontal="center" vertical="center"/>
    </xf>
    <xf numFmtId="0" fontId="5" fillId="5" borderId="4" xfId="0" applyFont="1" applyFill="1" applyBorder="1" applyAlignment="1">
      <alignment horizontal="center" vertical="center"/>
    </xf>
    <xf numFmtId="0" fontId="5" fillId="5" borderId="4" xfId="0" applyFont="1" applyFill="1" applyBorder="1" applyAlignment="1">
      <alignment vertical="center"/>
    </xf>
    <xf numFmtId="0" fontId="5" fillId="7" borderId="4" xfId="0" applyFont="1" applyFill="1" applyBorder="1" applyAlignment="1">
      <alignment horizontal="center" vertical="center"/>
    </xf>
    <xf numFmtId="0" fontId="5" fillId="7" borderId="4" xfId="0" applyFont="1" applyFill="1" applyBorder="1" applyAlignment="1">
      <alignment vertical="center"/>
    </xf>
    <xf numFmtId="0" fontId="5" fillId="6" borderId="4" xfId="0" applyFont="1" applyFill="1" applyBorder="1" applyAlignment="1">
      <alignment horizontal="center" vertical="center"/>
    </xf>
    <xf numFmtId="0" fontId="5" fillId="6" borderId="4" xfId="0" applyFont="1" applyFill="1" applyBorder="1" applyAlignment="1">
      <alignment vertical="center"/>
    </xf>
    <xf numFmtId="164" fontId="0" fillId="0" borderId="0" xfId="1" applyNumberFormat="1" applyFont="1" applyAlignment="1">
      <alignment vertical="center"/>
    </xf>
    <xf numFmtId="0" fontId="0" fillId="9" borderId="3" xfId="0" applyFill="1" applyBorder="1" applyAlignment="1">
      <alignment vertical="center"/>
    </xf>
    <xf numFmtId="164" fontId="0" fillId="9" borderId="5" xfId="1" applyNumberFormat="1" applyFont="1" applyFill="1" applyBorder="1" applyAlignment="1">
      <alignment vertical="center"/>
    </xf>
    <xf numFmtId="164" fontId="0" fillId="9" borderId="2" xfId="1" applyNumberFormat="1" applyFont="1" applyFill="1" applyBorder="1" applyAlignment="1">
      <alignment vertical="center"/>
    </xf>
    <xf numFmtId="0" fontId="4" fillId="0" borderId="0" xfId="0" applyFont="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10" borderId="3" xfId="0" applyFill="1" applyBorder="1" applyAlignment="1">
      <alignment vertical="center"/>
    </xf>
    <xf numFmtId="164" fontId="0" fillId="10" borderId="5" xfId="1" applyNumberFormat="1" applyFont="1" applyFill="1" applyBorder="1" applyAlignment="1">
      <alignment vertical="center"/>
    </xf>
    <xf numFmtId="164" fontId="0" fillId="10" borderId="2" xfId="1" applyNumberFormat="1" applyFont="1" applyFill="1" applyBorder="1" applyAlignment="1">
      <alignment vertical="center"/>
    </xf>
    <xf numFmtId="0" fontId="0" fillId="11" borderId="3" xfId="0" applyFill="1" applyBorder="1" applyAlignment="1">
      <alignment vertical="center"/>
    </xf>
    <xf numFmtId="164" fontId="0" fillId="11" borderId="5" xfId="1" applyNumberFormat="1" applyFont="1" applyFill="1" applyBorder="1" applyAlignment="1">
      <alignment vertical="center"/>
    </xf>
    <xf numFmtId="164" fontId="0" fillId="11" borderId="2" xfId="1" applyNumberFormat="1" applyFont="1" applyFill="1" applyBorder="1" applyAlignment="1">
      <alignment vertical="center"/>
    </xf>
    <xf numFmtId="0" fontId="0" fillId="12" borderId="3" xfId="0" applyFill="1" applyBorder="1" applyAlignment="1">
      <alignment vertical="center"/>
    </xf>
    <xf numFmtId="164" fontId="0" fillId="12" borderId="5" xfId="1" applyNumberFormat="1" applyFont="1" applyFill="1" applyBorder="1" applyAlignment="1">
      <alignment vertical="center"/>
    </xf>
    <xf numFmtId="164" fontId="0" fillId="12" borderId="2" xfId="1" applyNumberFormat="1" applyFont="1" applyFill="1" applyBorder="1" applyAlignment="1">
      <alignment vertical="center"/>
    </xf>
    <xf numFmtId="0" fontId="0" fillId="13" borderId="3" xfId="0" applyFill="1" applyBorder="1" applyAlignment="1">
      <alignment vertical="center"/>
    </xf>
    <xf numFmtId="164" fontId="0" fillId="13" borderId="5" xfId="1" applyNumberFormat="1" applyFont="1" applyFill="1" applyBorder="1" applyAlignment="1">
      <alignment vertical="center"/>
    </xf>
    <xf numFmtId="164" fontId="0" fillId="13" borderId="2" xfId="1" applyNumberFormat="1" applyFont="1" applyFill="1" applyBorder="1" applyAlignment="1">
      <alignment vertical="center"/>
    </xf>
    <xf numFmtId="43" fontId="0" fillId="9" borderId="5" xfId="1" applyFont="1" applyFill="1" applyBorder="1" applyAlignment="1">
      <alignment vertical="center"/>
    </xf>
    <xf numFmtId="165" fontId="0" fillId="10" borderId="5" xfId="1" applyNumberFormat="1" applyFont="1" applyFill="1" applyBorder="1" applyAlignment="1">
      <alignment vertical="center"/>
    </xf>
    <xf numFmtId="165" fontId="0" fillId="11" borderId="5" xfId="1" applyNumberFormat="1" applyFont="1" applyFill="1" applyBorder="1" applyAlignment="1">
      <alignment vertical="center"/>
    </xf>
    <xf numFmtId="43" fontId="0" fillId="12" borderId="5" xfId="1" applyFont="1" applyFill="1" applyBorder="1" applyAlignment="1">
      <alignment vertical="center"/>
    </xf>
    <xf numFmtId="43" fontId="0" fillId="13" borderId="5" xfId="1" applyFont="1" applyFill="1" applyBorder="1" applyAlignment="1">
      <alignment vertical="center"/>
    </xf>
    <xf numFmtId="49" fontId="0" fillId="0" borderId="0" xfId="1" applyNumberFormat="1" applyFont="1" applyAlignment="1">
      <alignment vertical="center"/>
    </xf>
    <xf numFmtId="165" fontId="0" fillId="0" borderId="0" xfId="1" applyNumberFormat="1" applyFont="1" applyAlignment="1">
      <alignment vertical="center"/>
    </xf>
    <xf numFmtId="165" fontId="0" fillId="0" borderId="0" xfId="0" applyNumberFormat="1" applyAlignment="1">
      <alignment vertical="center"/>
    </xf>
    <xf numFmtId="0" fontId="0" fillId="3" borderId="0" xfId="0" applyFill="1" applyAlignment="1">
      <alignment vertical="center" wrapText="1"/>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5" fillId="3" borderId="1" xfId="0" applyFont="1" applyFill="1" applyBorder="1" applyAlignment="1">
      <alignment horizontal="left" vertical="center"/>
    </xf>
    <xf numFmtId="0" fontId="0" fillId="14" borderId="1" xfId="0" applyFill="1" applyBorder="1" applyAlignment="1">
      <alignment horizontal="left" vertical="center"/>
    </xf>
    <xf numFmtId="43" fontId="0" fillId="14" borderId="1" xfId="1" applyFont="1" applyFill="1" applyBorder="1" applyAlignment="1">
      <alignment horizontal="right" vertical="center"/>
    </xf>
    <xf numFmtId="10" fontId="0" fillId="14" borderId="1" xfId="2" applyNumberFormat="1" applyFont="1" applyFill="1" applyBorder="1" applyAlignment="1">
      <alignment horizontal="right" vertical="center"/>
    </xf>
    <xf numFmtId="0" fontId="0" fillId="14" borderId="1" xfId="0" applyFill="1" applyBorder="1" applyAlignment="1">
      <alignment horizontal="right" vertical="center"/>
    </xf>
    <xf numFmtId="0" fontId="0" fillId="15" borderId="19" xfId="0" applyFill="1" applyBorder="1" applyAlignment="1">
      <alignment vertical="center" wrapText="1"/>
    </xf>
    <xf numFmtId="0" fontId="0" fillId="15" borderId="8" xfId="0" applyFill="1" applyBorder="1" applyAlignment="1">
      <alignment vertical="center" wrapText="1"/>
    </xf>
    <xf numFmtId="0" fontId="0" fillId="15" borderId="3" xfId="0" applyFill="1" applyBorder="1" applyAlignment="1">
      <alignment vertical="center" wrapText="1"/>
    </xf>
    <xf numFmtId="0" fontId="5" fillId="3" borderId="7" xfId="0" applyFont="1" applyFill="1" applyBorder="1" applyAlignment="1">
      <alignment horizontal="center" vertical="center"/>
    </xf>
    <xf numFmtId="10" fontId="0" fillId="14" borderId="21" xfId="2" applyNumberFormat="1" applyFont="1" applyFill="1" applyBorder="1" applyAlignment="1">
      <alignment horizontal="right" vertical="center"/>
    </xf>
    <xf numFmtId="0" fontId="5" fillId="4" borderId="1" xfId="0" applyFont="1" applyFill="1" applyBorder="1" applyAlignment="1">
      <alignment horizontal="left"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0" xfId="0" applyFont="1" applyFill="1" applyAlignment="1">
      <alignment vertical="center" wrapText="1"/>
    </xf>
    <xf numFmtId="0" fontId="5" fillId="5" borderId="1" xfId="0" applyFont="1" applyFill="1" applyBorder="1" applyAlignment="1">
      <alignment horizontal="left" vertical="center"/>
    </xf>
    <xf numFmtId="0" fontId="5" fillId="5" borderId="0" xfId="0" applyFont="1" applyFill="1" applyAlignment="1">
      <alignment vertical="center" wrapText="1"/>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16" borderId="1" xfId="0" applyFont="1" applyFill="1" applyBorder="1" applyAlignment="1">
      <alignment horizontal="left" vertical="center"/>
    </xf>
    <xf numFmtId="0" fontId="5" fillId="16" borderId="7" xfId="0" applyFont="1" applyFill="1" applyBorder="1" applyAlignment="1">
      <alignment horizontal="center" vertical="center"/>
    </xf>
    <xf numFmtId="0" fontId="5" fillId="16" borderId="8" xfId="0" applyFont="1" applyFill="1" applyBorder="1" applyAlignment="1">
      <alignment horizontal="center" vertical="center"/>
    </xf>
    <xf numFmtId="43" fontId="0" fillId="14" borderId="6" xfId="1" applyFont="1" applyFill="1" applyBorder="1" applyAlignment="1">
      <alignment horizontal="right" vertical="center"/>
    </xf>
    <xf numFmtId="0" fontId="5" fillId="6" borderId="1" xfId="0" applyFont="1" applyFill="1" applyBorder="1" applyAlignment="1">
      <alignment horizontal="left"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0" xfId="0" applyFont="1" applyFill="1" applyAlignment="1">
      <alignment vertical="center" wrapText="1"/>
    </xf>
    <xf numFmtId="0" fontId="5" fillId="16" borderId="0" xfId="0" applyFont="1" applyFill="1" applyAlignment="1">
      <alignment vertical="center" wrapText="1"/>
    </xf>
    <xf numFmtId="0" fontId="5" fillId="8" borderId="1" xfId="0" applyFont="1" applyFill="1" applyBorder="1" applyAlignment="1">
      <alignment horizontal="left" vertical="center"/>
    </xf>
    <xf numFmtId="0" fontId="5" fillId="8" borderId="0" xfId="0" applyFont="1" applyFill="1" applyAlignment="1">
      <alignment vertical="center" wrapText="1"/>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10" fontId="0" fillId="14" borderId="6" xfId="2" applyNumberFormat="1" applyFont="1" applyFill="1" applyBorder="1" applyAlignment="1">
      <alignment horizontal="center" vertical="center"/>
    </xf>
    <xf numFmtId="10" fontId="0" fillId="14" borderId="18" xfId="2" applyNumberFormat="1" applyFont="1" applyFill="1" applyBorder="1" applyAlignment="1">
      <alignment horizontal="center" vertical="center"/>
    </xf>
    <xf numFmtId="10" fontId="0" fillId="14" borderId="1" xfId="2" applyNumberFormat="1" applyFont="1" applyFill="1" applyBorder="1" applyAlignment="1">
      <alignment horizontal="center" vertical="center"/>
    </xf>
    <xf numFmtId="10" fontId="0" fillId="14" borderId="9" xfId="2" applyNumberFormat="1" applyFont="1" applyFill="1" applyBorder="1" applyAlignment="1">
      <alignment horizontal="center" vertical="center"/>
    </xf>
    <xf numFmtId="43" fontId="0" fillId="14" borderId="1" xfId="1" applyFont="1" applyFill="1" applyBorder="1" applyAlignment="1">
      <alignment horizontal="center" vertical="center"/>
    </xf>
    <xf numFmtId="43" fontId="0" fillId="14" borderId="9" xfId="1" applyFont="1" applyFill="1" applyBorder="1" applyAlignment="1">
      <alignment horizontal="center" vertical="center"/>
    </xf>
    <xf numFmtId="10" fontId="0" fillId="14" borderId="5" xfId="2" applyNumberFormat="1" applyFont="1" applyFill="1" applyBorder="1" applyAlignment="1">
      <alignment horizontal="center" vertical="center"/>
    </xf>
    <xf numFmtId="10" fontId="0" fillId="14" borderId="2" xfId="2" applyNumberFormat="1"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43" fontId="0" fillId="14" borderId="6" xfId="1" applyFont="1" applyFill="1" applyBorder="1" applyAlignment="1">
      <alignment horizontal="center" vertical="center"/>
    </xf>
    <xf numFmtId="10" fontId="0" fillId="14" borderId="21" xfId="2" applyNumberFormat="1" applyFont="1" applyFill="1" applyBorder="1" applyAlignment="1">
      <alignment horizontal="center" vertical="center"/>
    </xf>
    <xf numFmtId="43" fontId="0" fillId="14" borderId="1" xfId="0" applyNumberFormat="1" applyFill="1" applyBorder="1" applyAlignment="1">
      <alignment horizontal="center" vertical="center"/>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0" fillId="0" borderId="0" xfId="0" applyAlignment="1">
      <alignment horizontal="right" vertical="center"/>
    </xf>
    <xf numFmtId="10" fontId="0" fillId="0" borderId="0" xfId="2" applyNumberFormat="1" applyFont="1" applyFill="1" applyBorder="1" applyAlignment="1">
      <alignment horizontal="right" vertical="center"/>
    </xf>
    <xf numFmtId="166" fontId="0" fillId="14" borderId="1" xfId="1" applyNumberFormat="1" applyFont="1" applyFill="1" applyBorder="1" applyAlignment="1">
      <alignment horizontal="right" vertical="center"/>
    </xf>
    <xf numFmtId="0" fontId="5" fillId="8" borderId="7"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5" fillId="16" borderId="7" xfId="0" applyFont="1" applyFill="1" applyBorder="1" applyAlignment="1">
      <alignment horizontal="center" vertical="center" wrapText="1"/>
    </xf>
    <xf numFmtId="0" fontId="5" fillId="16" borderId="8"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6" borderId="8"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43"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9" xfId="0" applyBorder="1" applyAlignment="1">
      <alignment vertical="center"/>
    </xf>
    <xf numFmtId="0" fontId="0" fillId="0" borderId="3" xfId="0" applyBorder="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10" fontId="0" fillId="0" borderId="6" xfId="2" applyNumberFormat="1" applyFont="1" applyBorder="1" applyAlignment="1">
      <alignment horizontal="center" vertical="center"/>
    </xf>
    <xf numFmtId="43" fontId="0" fillId="0" borderId="1" xfId="0" applyNumberFormat="1" applyBorder="1" applyAlignment="1">
      <alignment vertical="center"/>
    </xf>
    <xf numFmtId="43" fontId="0" fillId="0" borderId="1" xfId="0" applyNumberFormat="1" applyBorder="1" applyAlignment="1">
      <alignment horizontal="center" vertical="center"/>
    </xf>
    <xf numFmtId="43" fontId="0" fillId="0" borderId="9" xfId="0" applyNumberFormat="1" applyBorder="1" applyAlignment="1">
      <alignment vertical="center"/>
    </xf>
    <xf numFmtId="43" fontId="0" fillId="0" borderId="18" xfId="0" applyNumberFormat="1" applyBorder="1" applyAlignment="1">
      <alignment vertical="center"/>
    </xf>
    <xf numFmtId="10" fontId="0" fillId="0" borderId="9" xfId="0" applyNumberFormat="1" applyBorder="1" applyAlignment="1">
      <alignment vertical="center"/>
    </xf>
    <xf numFmtId="9" fontId="0" fillId="0" borderId="1" xfId="2" applyFont="1" applyBorder="1" applyAlignment="1">
      <alignment vertical="center"/>
    </xf>
    <xf numFmtId="10" fontId="0" fillId="0" borderId="1" xfId="2" applyNumberFormat="1" applyFont="1" applyBorder="1" applyAlignment="1">
      <alignment vertical="center"/>
    </xf>
    <xf numFmtId="9" fontId="0" fillId="0" borderId="9" xfId="2" applyFont="1" applyBorder="1" applyAlignment="1">
      <alignment vertical="center"/>
    </xf>
    <xf numFmtId="10" fontId="0" fillId="0" borderId="9" xfId="2" applyNumberFormat="1" applyFont="1" applyBorder="1" applyAlignment="1">
      <alignment vertical="center"/>
    </xf>
    <xf numFmtId="10" fontId="0" fillId="0" borderId="5" xfId="2" applyNumberFormat="1" applyFont="1" applyBorder="1" applyAlignment="1">
      <alignment vertical="center"/>
    </xf>
    <xf numFmtId="0" fontId="0" fillId="2" borderId="7" xfId="0" applyFill="1" applyBorder="1" applyAlignment="1">
      <alignment vertical="center"/>
    </xf>
    <xf numFmtId="0" fontId="0" fillId="2" borderId="8" xfId="0" applyFill="1" applyBorder="1" applyAlignment="1">
      <alignment vertical="center"/>
    </xf>
    <xf numFmtId="10" fontId="0" fillId="0" borderId="2" xfId="2" applyNumberFormat="1" applyFont="1" applyBorder="1" applyAlignment="1">
      <alignment vertical="center"/>
    </xf>
    <xf numFmtId="0" fontId="0" fillId="0" borderId="5" xfId="0" applyBorder="1" applyAlignment="1">
      <alignment vertical="center" wrapText="1"/>
    </xf>
    <xf numFmtId="4" fontId="0" fillId="0" borderId="5" xfId="0" applyNumberFormat="1" applyBorder="1" applyAlignment="1">
      <alignment vertical="center" wrapText="1"/>
    </xf>
    <xf numFmtId="43" fontId="0" fillId="0" borderId="5" xfId="0" applyNumberFormat="1" applyBorder="1" applyAlignment="1">
      <alignment vertical="center" wrapText="1"/>
    </xf>
    <xf numFmtId="9" fontId="0" fillId="0" borderId="5" xfId="2" applyFont="1" applyBorder="1" applyAlignment="1">
      <alignment horizontal="center" vertical="center" wrapText="1"/>
    </xf>
    <xf numFmtId="43" fontId="0" fillId="0" borderId="5" xfId="0" applyNumberFormat="1" applyBorder="1" applyAlignment="1">
      <alignment vertical="center"/>
    </xf>
    <xf numFmtId="43" fontId="0" fillId="0" borderId="2" xfId="0" applyNumberFormat="1" applyBorder="1" applyAlignment="1">
      <alignment vertical="center"/>
    </xf>
    <xf numFmtId="10" fontId="2" fillId="0" borderId="1" xfId="2" applyNumberFormat="1" applyFont="1" applyBorder="1" applyAlignment="1">
      <alignment vertical="center"/>
    </xf>
    <xf numFmtId="10" fontId="2" fillId="0" borderId="9" xfId="2" applyNumberFormat="1" applyFont="1" applyBorder="1" applyAlignment="1">
      <alignment vertical="center"/>
    </xf>
    <xf numFmtId="0" fontId="2" fillId="0" borderId="22" xfId="0" applyFont="1" applyBorder="1" applyAlignment="1">
      <alignment vertical="center"/>
    </xf>
    <xf numFmtId="10" fontId="2" fillId="0" borderId="20" xfId="2" applyNumberFormat="1" applyFont="1" applyBorder="1" applyAlignment="1">
      <alignment vertical="center"/>
    </xf>
    <xf numFmtId="0" fontId="2" fillId="0" borderId="5" xfId="0" applyFont="1" applyBorder="1" applyAlignment="1">
      <alignment vertical="center"/>
    </xf>
    <xf numFmtId="10" fontId="2" fillId="0" borderId="2" xfId="2" applyNumberFormat="1" applyFont="1" applyBorder="1" applyAlignment="1">
      <alignment vertical="center"/>
    </xf>
    <xf numFmtId="43" fontId="0" fillId="0" borderId="0" xfId="0" applyNumberFormat="1" applyAlignment="1">
      <alignment vertical="center"/>
    </xf>
    <xf numFmtId="10" fontId="0" fillId="0" borderId="1" xfId="2" applyNumberFormat="1" applyFont="1" applyBorder="1" applyAlignment="1">
      <alignment horizontal="center" vertical="center"/>
    </xf>
    <xf numFmtId="10" fontId="0" fillId="0" borderId="0" xfId="2" applyNumberFormat="1" applyFont="1" applyAlignment="1">
      <alignment horizontal="center" vertical="center"/>
    </xf>
    <xf numFmtId="10" fontId="0" fillId="0" borderId="5" xfId="2" applyNumberFormat="1" applyFont="1" applyBorder="1" applyAlignment="1">
      <alignment horizontal="center" vertical="center"/>
    </xf>
    <xf numFmtId="0" fontId="0" fillId="3" borderId="9" xfId="0" applyFill="1" applyBorder="1" applyAlignment="1">
      <alignment vertical="center"/>
    </xf>
    <xf numFmtId="0" fontId="8" fillId="0" borderId="0" xfId="0" applyFont="1" applyAlignment="1">
      <alignment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43" fontId="2" fillId="0" borderId="1" xfId="0" applyNumberFormat="1" applyFont="1" applyBorder="1" applyAlignment="1">
      <alignment vertical="center"/>
    </xf>
    <xf numFmtId="10" fontId="2" fillId="0" borderId="1" xfId="2" applyNumberFormat="1" applyFont="1" applyBorder="1" applyAlignment="1">
      <alignment horizontal="center" vertical="center"/>
    </xf>
    <xf numFmtId="0" fontId="0" fillId="16" borderId="0" xfId="0" applyFill="1" applyAlignment="1">
      <alignment vertical="center"/>
    </xf>
    <xf numFmtId="49" fontId="0" fillId="16" borderId="0" xfId="0" applyNumberFormat="1" applyFill="1" applyAlignment="1">
      <alignment horizontal="center" vertical="center"/>
    </xf>
    <xf numFmtId="49" fontId="0" fillId="5" borderId="0" xfId="0" applyNumberFormat="1" applyFill="1" applyAlignment="1">
      <alignment horizontal="center" vertical="center"/>
    </xf>
    <xf numFmtId="49" fontId="0" fillId="4" borderId="0" xfId="0" applyNumberFormat="1" applyFill="1" applyAlignment="1">
      <alignment horizontal="center" vertical="center"/>
    </xf>
    <xf numFmtId="49" fontId="0" fillId="3" borderId="0" xfId="0" applyNumberFormat="1" applyFill="1" applyAlignment="1">
      <alignment horizontal="center" vertical="center"/>
    </xf>
    <xf numFmtId="43" fontId="0" fillId="0" borderId="1" xfId="2" applyNumberFormat="1" applyFont="1" applyBorder="1" applyAlignment="1">
      <alignment horizontal="center" vertical="center"/>
    </xf>
    <xf numFmtId="43" fontId="0" fillId="0" borderId="0" xfId="1" applyFont="1" applyAlignment="1">
      <alignment horizontal="center" vertical="center"/>
    </xf>
    <xf numFmtId="49" fontId="0" fillId="0" borderId="0" xfId="1" applyNumberFormat="1" applyFont="1" applyAlignment="1">
      <alignment horizontal="center" vertical="center"/>
    </xf>
    <xf numFmtId="0" fontId="0" fillId="6" borderId="0" xfId="0" applyFill="1" applyAlignment="1">
      <alignment vertical="center"/>
    </xf>
    <xf numFmtId="49" fontId="0" fillId="6" borderId="0" xfId="0" applyNumberFormat="1" applyFill="1" applyAlignment="1">
      <alignment horizontal="center" vertical="center"/>
    </xf>
    <xf numFmtId="43" fontId="0" fillId="0" borderId="2" xfId="1" applyFont="1" applyBorder="1" applyAlignment="1">
      <alignment vertical="center"/>
    </xf>
    <xf numFmtId="0" fontId="5" fillId="3" borderId="1" xfId="0" applyFont="1" applyFill="1" applyBorder="1" applyAlignment="1">
      <alignment horizontal="left" vertical="center" wrapText="1"/>
    </xf>
    <xf numFmtId="0" fontId="5" fillId="3" borderId="1" xfId="0" applyFont="1" applyFill="1" applyBorder="1" applyAlignment="1">
      <alignment vertical="center"/>
    </xf>
    <xf numFmtId="0" fontId="5" fillId="3" borderId="1" xfId="0" applyFont="1" applyFill="1" applyBorder="1" applyAlignment="1">
      <alignment horizontal="right" vertical="center"/>
    </xf>
    <xf numFmtId="164" fontId="0" fillId="0" borderId="9" xfId="1" applyNumberFormat="1" applyFont="1" applyBorder="1" applyAlignment="1">
      <alignment vertical="center"/>
    </xf>
    <xf numFmtId="0" fontId="5" fillId="8" borderId="1" xfId="0" applyFont="1" applyFill="1" applyBorder="1" applyAlignment="1">
      <alignment vertical="center"/>
    </xf>
    <xf numFmtId="43" fontId="5" fillId="3" borderId="1" xfId="1" applyFont="1" applyFill="1" applyBorder="1" applyAlignment="1">
      <alignment vertical="center"/>
    </xf>
    <xf numFmtId="43" fontId="10" fillId="0" borderId="1" xfId="1" applyFont="1" applyFill="1" applyBorder="1" applyAlignment="1">
      <alignment vertical="center"/>
    </xf>
    <xf numFmtId="43" fontId="11" fillId="0" borderId="1" xfId="0" applyNumberFormat="1" applyFont="1" applyBorder="1" applyAlignment="1">
      <alignment vertical="center"/>
    </xf>
    <xf numFmtId="49" fontId="5" fillId="3" borderId="1" xfId="1" applyNumberFormat="1" applyFont="1" applyFill="1" applyBorder="1" applyAlignment="1">
      <alignment horizontal="center" vertical="center" wrapText="1"/>
    </xf>
    <xf numFmtId="43" fontId="5" fillId="3" borderId="1" xfId="0" applyNumberFormat="1" applyFont="1" applyFill="1" applyBorder="1" applyAlignment="1">
      <alignment horizontal="center" vertical="center"/>
    </xf>
    <xf numFmtId="49" fontId="5" fillId="3" borderId="9" xfId="1" applyNumberFormat="1" applyFont="1" applyFill="1" applyBorder="1" applyAlignment="1">
      <alignment vertical="center"/>
    </xf>
    <xf numFmtId="0" fontId="5" fillId="3" borderId="7" xfId="0" applyFont="1" applyFill="1" applyBorder="1" applyAlignment="1">
      <alignment vertical="center"/>
    </xf>
    <xf numFmtId="43" fontId="5" fillId="3" borderId="8" xfId="0" applyNumberFormat="1" applyFont="1" applyFill="1" applyBorder="1" applyAlignment="1">
      <alignment vertical="center"/>
    </xf>
    <xf numFmtId="43" fontId="0" fillId="0" borderId="6" xfId="0" applyNumberFormat="1" applyBorder="1" applyAlignment="1">
      <alignment vertical="center"/>
    </xf>
    <xf numFmtId="43" fontId="5" fillId="3" borderId="9" xfId="1" applyFont="1" applyFill="1" applyBorder="1" applyAlignment="1">
      <alignment vertical="center"/>
    </xf>
    <xf numFmtId="0" fontId="5" fillId="3" borderId="7" xfId="0" applyFont="1" applyFill="1" applyBorder="1" applyAlignment="1">
      <alignment vertical="center" wrapText="1"/>
    </xf>
    <xf numFmtId="43" fontId="5" fillId="4" borderId="1" xfId="1" applyFont="1" applyFill="1" applyBorder="1" applyAlignment="1">
      <alignment vertical="center"/>
    </xf>
    <xf numFmtId="165" fontId="2" fillId="0" borderId="1" xfId="1" applyNumberFormat="1" applyFont="1" applyBorder="1" applyAlignment="1">
      <alignment vertical="center"/>
    </xf>
    <xf numFmtId="0" fontId="5" fillId="4" borderId="1" xfId="0" applyFont="1" applyFill="1" applyBorder="1" applyAlignment="1">
      <alignment horizontal="center" vertical="center" wrapText="1"/>
    </xf>
    <xf numFmtId="43" fontId="5" fillId="4" borderId="1" xfId="0" applyNumberFormat="1" applyFont="1" applyFill="1" applyBorder="1" applyAlignment="1">
      <alignment vertical="center"/>
    </xf>
    <xf numFmtId="165" fontId="0" fillId="0" borderId="1" xfId="0" applyNumberFormat="1" applyBorder="1" applyAlignment="1">
      <alignment vertical="center"/>
    </xf>
    <xf numFmtId="9" fontId="5" fillId="3" borderId="7" xfId="2" applyFont="1" applyFill="1" applyBorder="1" applyAlignment="1">
      <alignment horizontal="center" vertical="center"/>
    </xf>
    <xf numFmtId="9" fontId="5" fillId="3" borderId="8" xfId="2" applyFont="1" applyFill="1" applyBorder="1" applyAlignment="1">
      <alignment horizontal="center" vertical="center"/>
    </xf>
    <xf numFmtId="0" fontId="5" fillId="4" borderId="9" xfId="0" applyFont="1" applyFill="1" applyBorder="1" applyAlignment="1">
      <alignment vertical="center"/>
    </xf>
    <xf numFmtId="9" fontId="5" fillId="4" borderId="7" xfId="2" applyFont="1" applyFill="1" applyBorder="1" applyAlignment="1">
      <alignment horizontal="center" vertical="center"/>
    </xf>
    <xf numFmtId="9" fontId="5" fillId="4" borderId="8" xfId="2" applyFont="1" applyFill="1" applyBorder="1" applyAlignment="1">
      <alignment horizontal="center" vertical="center"/>
    </xf>
    <xf numFmtId="0" fontId="5" fillId="4" borderId="7" xfId="0" applyFont="1" applyFill="1" applyBorder="1" applyAlignment="1">
      <alignment vertical="center"/>
    </xf>
    <xf numFmtId="43" fontId="5" fillId="4" borderId="8" xfId="0" applyNumberFormat="1" applyFont="1" applyFill="1" applyBorder="1" applyAlignment="1">
      <alignment vertical="center"/>
    </xf>
    <xf numFmtId="0" fontId="5" fillId="4" borderId="7" xfId="0" applyFont="1" applyFill="1" applyBorder="1" applyAlignment="1">
      <alignment vertical="center" wrapText="1"/>
    </xf>
    <xf numFmtId="43" fontId="5" fillId="5" borderId="1" xfId="1" applyFont="1" applyFill="1" applyBorder="1" applyAlignment="1">
      <alignment vertical="center"/>
    </xf>
    <xf numFmtId="165" fontId="0" fillId="0" borderId="1" xfId="1" applyNumberFormat="1" applyFont="1" applyBorder="1" applyAlignment="1">
      <alignment vertical="center"/>
    </xf>
    <xf numFmtId="0" fontId="5" fillId="5" borderId="1" xfId="0" applyFont="1" applyFill="1" applyBorder="1" applyAlignment="1">
      <alignment vertical="center"/>
    </xf>
    <xf numFmtId="0" fontId="5" fillId="5" borderId="1" xfId="0" applyFont="1" applyFill="1" applyBorder="1" applyAlignment="1">
      <alignment horizontal="center" vertical="center" wrapText="1"/>
    </xf>
    <xf numFmtId="43" fontId="5" fillId="5" borderId="1" xfId="0" applyNumberFormat="1" applyFont="1" applyFill="1" applyBorder="1" applyAlignment="1">
      <alignment vertical="center"/>
    </xf>
    <xf numFmtId="9" fontId="5" fillId="5" borderId="1" xfId="2" applyFont="1" applyFill="1" applyBorder="1" applyAlignment="1">
      <alignment horizontal="center" vertical="center"/>
    </xf>
    <xf numFmtId="0" fontId="5" fillId="5" borderId="9" xfId="0" applyFont="1" applyFill="1" applyBorder="1" applyAlignment="1">
      <alignment vertical="center"/>
    </xf>
    <xf numFmtId="0" fontId="5" fillId="5" borderId="7" xfId="0" applyFont="1" applyFill="1" applyBorder="1" applyAlignment="1">
      <alignment vertical="center"/>
    </xf>
    <xf numFmtId="43" fontId="5" fillId="5" borderId="8" xfId="0" applyNumberFormat="1" applyFont="1" applyFill="1" applyBorder="1" applyAlignment="1">
      <alignment vertical="center"/>
    </xf>
    <xf numFmtId="0" fontId="5" fillId="5" borderId="7" xfId="0" applyFont="1" applyFill="1" applyBorder="1" applyAlignment="1">
      <alignment vertical="center" wrapText="1"/>
    </xf>
    <xf numFmtId="43" fontId="5" fillId="6" borderId="1" xfId="1" applyFont="1" applyFill="1" applyBorder="1" applyAlignment="1">
      <alignment vertical="center"/>
    </xf>
    <xf numFmtId="0" fontId="5" fillId="6" borderId="1" xfId="0" applyFont="1" applyFill="1" applyBorder="1" applyAlignment="1">
      <alignment horizontal="center" vertical="center" wrapText="1"/>
    </xf>
    <xf numFmtId="43" fontId="5" fillId="6" borderId="1" xfId="0" applyNumberFormat="1" applyFont="1" applyFill="1" applyBorder="1" applyAlignment="1">
      <alignment vertical="center"/>
    </xf>
    <xf numFmtId="0" fontId="5" fillId="6" borderId="1" xfId="0" applyFont="1" applyFill="1" applyBorder="1" applyAlignment="1">
      <alignment vertical="center"/>
    </xf>
    <xf numFmtId="9" fontId="5" fillId="6" borderId="1" xfId="2" applyFont="1" applyFill="1" applyBorder="1" applyAlignment="1">
      <alignment horizontal="center" vertical="center"/>
    </xf>
    <xf numFmtId="0" fontId="5" fillId="6" borderId="9" xfId="0" applyFont="1" applyFill="1" applyBorder="1" applyAlignment="1">
      <alignment vertical="center"/>
    </xf>
    <xf numFmtId="0" fontId="5" fillId="6" borderId="7" xfId="0" applyFont="1" applyFill="1" applyBorder="1" applyAlignment="1">
      <alignment vertical="center"/>
    </xf>
    <xf numFmtId="43" fontId="5" fillId="6" borderId="8" xfId="0" applyNumberFormat="1" applyFont="1" applyFill="1" applyBorder="1" applyAlignment="1">
      <alignment vertical="center"/>
    </xf>
    <xf numFmtId="0" fontId="5" fillId="6" borderId="7" xfId="0" applyFont="1" applyFill="1" applyBorder="1" applyAlignment="1">
      <alignment vertical="center" wrapText="1"/>
    </xf>
    <xf numFmtId="43" fontId="5" fillId="8" borderId="1" xfId="1" applyFont="1" applyFill="1" applyBorder="1" applyAlignment="1">
      <alignment vertical="center"/>
    </xf>
    <xf numFmtId="0" fontId="5" fillId="8" borderId="1" xfId="0" applyFont="1" applyFill="1" applyBorder="1" applyAlignment="1">
      <alignment horizontal="center" vertical="center" wrapText="1"/>
    </xf>
    <xf numFmtId="43" fontId="5" fillId="8" borderId="1" xfId="0" applyNumberFormat="1" applyFont="1" applyFill="1" applyBorder="1" applyAlignment="1">
      <alignment vertical="center"/>
    </xf>
    <xf numFmtId="0" fontId="5" fillId="8" borderId="0" xfId="0" applyFont="1" applyFill="1" applyAlignment="1">
      <alignment vertical="center"/>
    </xf>
    <xf numFmtId="9" fontId="5" fillId="8" borderId="0" xfId="2" applyFont="1" applyFill="1" applyAlignment="1">
      <alignment horizontal="center" vertical="center"/>
    </xf>
    <xf numFmtId="0" fontId="5" fillId="8" borderId="9" xfId="0" applyFont="1" applyFill="1" applyBorder="1" applyAlignment="1">
      <alignment vertical="center"/>
    </xf>
    <xf numFmtId="0" fontId="5" fillId="8" borderId="7" xfId="0" applyFont="1" applyFill="1" applyBorder="1" applyAlignment="1">
      <alignment vertical="center"/>
    </xf>
    <xf numFmtId="43" fontId="5" fillId="8" borderId="8" xfId="0" applyNumberFormat="1" applyFont="1" applyFill="1" applyBorder="1" applyAlignment="1">
      <alignment vertical="center"/>
    </xf>
    <xf numFmtId="0" fontId="5" fillId="8" borderId="7" xfId="0" applyFont="1" applyFill="1" applyBorder="1" applyAlignment="1">
      <alignment vertical="center" wrapText="1"/>
    </xf>
    <xf numFmtId="43" fontId="0" fillId="0" borderId="0" xfId="0" applyNumberFormat="1" applyAlignment="1">
      <alignment horizontal="center" vertical="center"/>
    </xf>
    <xf numFmtId="167" fontId="0" fillId="0" borderId="0" xfId="2" applyNumberFormat="1" applyFont="1" applyAlignment="1">
      <alignment vertical="center"/>
    </xf>
    <xf numFmtId="10" fontId="0" fillId="0" borderId="0" xfId="2" applyNumberFormat="1" applyFont="1" applyAlignment="1">
      <alignment vertical="center"/>
    </xf>
    <xf numFmtId="0" fontId="0" fillId="0" borderId="5" xfId="0" applyBorder="1" applyAlignment="1">
      <alignment horizontal="center" vertical="center"/>
    </xf>
    <xf numFmtId="0" fontId="2" fillId="0" borderId="1" xfId="0" applyFont="1" applyBorder="1" applyAlignment="1">
      <alignment horizontal="left" vertical="center"/>
    </xf>
    <xf numFmtId="49" fontId="0" fillId="0" borderId="1" xfId="0" applyNumberFormat="1" applyBorder="1" applyAlignment="1">
      <alignment vertical="center"/>
    </xf>
    <xf numFmtId="49" fontId="2" fillId="0" borderId="1" xfId="0" applyNumberFormat="1" applyFont="1" applyBorder="1" applyAlignment="1">
      <alignment vertical="center"/>
    </xf>
    <xf numFmtId="2" fontId="2" fillId="0" borderId="1" xfId="0" applyNumberFormat="1" applyFont="1" applyBorder="1" applyAlignment="1">
      <alignment horizontal="center" vertical="center"/>
    </xf>
    <xf numFmtId="49" fontId="0" fillId="0" borderId="1" xfId="0" applyNumberFormat="1" applyBorder="1" applyAlignment="1">
      <alignment horizontal="center" vertical="center"/>
    </xf>
    <xf numFmtId="49" fontId="2" fillId="0" borderId="1" xfId="0" applyNumberFormat="1" applyFont="1" applyBorder="1" applyAlignment="1">
      <alignment horizontal="center" vertical="center"/>
    </xf>
    <xf numFmtId="0" fontId="2" fillId="0" borderId="5" xfId="0" applyFont="1" applyBorder="1" applyAlignment="1">
      <alignment horizontal="center" vertical="center"/>
    </xf>
    <xf numFmtId="49" fontId="2" fillId="0" borderId="5" xfId="0" applyNumberFormat="1" applyFont="1" applyBorder="1" applyAlignment="1">
      <alignment horizontal="center" vertical="center"/>
    </xf>
    <xf numFmtId="10" fontId="2" fillId="0" borderId="5" xfId="2" applyNumberFormat="1" applyFont="1" applyBorder="1" applyAlignment="1">
      <alignment horizontal="center" vertical="center"/>
    </xf>
    <xf numFmtId="0" fontId="2" fillId="0" borderId="19" xfId="0" applyFont="1" applyBorder="1" applyAlignment="1">
      <alignment vertical="center" wrapText="1"/>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vertical="center"/>
    </xf>
    <xf numFmtId="0" fontId="2" fillId="0" borderId="18" xfId="0" applyFont="1" applyBorder="1" applyAlignment="1">
      <alignment horizontal="center" vertical="center" wrapText="1"/>
    </xf>
    <xf numFmtId="10" fontId="2" fillId="0" borderId="5" xfId="2" applyNumberFormat="1" applyFont="1" applyBorder="1" applyAlignment="1">
      <alignment vertical="center"/>
    </xf>
    <xf numFmtId="10" fontId="2" fillId="0" borderId="5" xfId="0" applyNumberFormat="1" applyFont="1" applyBorder="1" applyAlignment="1">
      <alignment vertical="center"/>
    </xf>
    <xf numFmtId="10" fontId="2" fillId="0" borderId="2" xfId="0" applyNumberFormat="1" applyFont="1" applyBorder="1" applyAlignment="1">
      <alignment vertical="center"/>
    </xf>
    <xf numFmtId="49" fontId="0" fillId="0" borderId="5" xfId="0" applyNumberFormat="1" applyBorder="1" applyAlignment="1">
      <alignment horizontal="center" vertical="center"/>
    </xf>
    <xf numFmtId="10" fontId="0" fillId="0" borderId="5" xfId="0" applyNumberFormat="1" applyBorder="1" applyAlignment="1">
      <alignment horizontal="center" vertical="center"/>
    </xf>
    <xf numFmtId="10" fontId="2" fillId="0" borderId="1" xfId="0" applyNumberFormat="1" applyFont="1" applyBorder="1" applyAlignment="1">
      <alignment vertical="center"/>
    </xf>
    <xf numFmtId="10" fontId="2" fillId="0" borderId="9" xfId="0" applyNumberFormat="1" applyFont="1" applyBorder="1" applyAlignment="1">
      <alignment vertical="center"/>
    </xf>
    <xf numFmtId="0" fontId="0" fillId="0" borderId="0" xfId="0" applyAlignment="1">
      <alignment horizontal="center" vertical="center"/>
    </xf>
    <xf numFmtId="0" fontId="0" fillId="0" borderId="4" xfId="0" applyBorder="1" applyAlignment="1">
      <alignment horizontal="center" vertical="center"/>
    </xf>
    <xf numFmtId="0" fontId="0" fillId="14" borderId="1" xfId="0" applyFill="1" applyBorder="1" applyAlignment="1">
      <alignment horizontal="left" vertical="center"/>
    </xf>
    <xf numFmtId="0" fontId="5" fillId="6" borderId="9" xfId="0" applyFont="1" applyFill="1" applyBorder="1" applyAlignment="1">
      <alignment horizontal="left" vertical="center"/>
    </xf>
    <xf numFmtId="0" fontId="5" fillId="6" borderId="7" xfId="0" applyFont="1" applyFill="1" applyBorder="1" applyAlignment="1">
      <alignment horizontal="left" vertical="center"/>
    </xf>
    <xf numFmtId="0" fontId="0" fillId="14" borderId="18" xfId="0" applyFill="1" applyBorder="1" applyAlignment="1">
      <alignment horizontal="left" vertical="center"/>
    </xf>
    <xf numFmtId="0" fontId="0" fillId="14" borderId="19" xfId="0" applyFill="1" applyBorder="1" applyAlignment="1">
      <alignment horizontal="left" vertical="center"/>
    </xf>
    <xf numFmtId="0" fontId="5" fillId="8" borderId="9" xfId="0" applyFont="1" applyFill="1" applyBorder="1" applyAlignment="1">
      <alignment horizontal="left" vertical="center"/>
    </xf>
    <xf numFmtId="0" fontId="5" fillId="8" borderId="7" xfId="0" applyFont="1" applyFill="1" applyBorder="1" applyAlignment="1">
      <alignment horizontal="left" vertical="center"/>
    </xf>
    <xf numFmtId="0" fontId="0" fillId="14" borderId="20" xfId="0" applyFill="1" applyBorder="1" applyAlignment="1">
      <alignment horizontal="left" vertical="center"/>
    </xf>
    <xf numFmtId="0" fontId="0" fillId="14" borderId="6" xfId="0" applyFill="1" applyBorder="1" applyAlignment="1">
      <alignment horizontal="left" vertical="center"/>
    </xf>
    <xf numFmtId="0" fontId="0" fillId="14" borderId="5" xfId="0" applyFill="1" applyBorder="1" applyAlignment="1">
      <alignment horizontal="left" vertical="center"/>
    </xf>
    <xf numFmtId="0" fontId="5" fillId="5" borderId="9" xfId="0" applyFont="1" applyFill="1" applyBorder="1" applyAlignment="1">
      <alignment horizontal="left" vertical="center"/>
    </xf>
    <xf numFmtId="0" fontId="5" fillId="5" borderId="7" xfId="0" applyFont="1" applyFill="1" applyBorder="1" applyAlignment="1">
      <alignment horizontal="left" vertical="center"/>
    </xf>
    <xf numFmtId="0" fontId="0" fillId="0" borderId="0" xfId="0" applyAlignment="1">
      <alignment horizontal="left" vertical="center"/>
    </xf>
    <xf numFmtId="0" fontId="5" fillId="16" borderId="9" xfId="0" applyFont="1" applyFill="1" applyBorder="1" applyAlignment="1">
      <alignment horizontal="left" vertical="center"/>
    </xf>
    <xf numFmtId="0" fontId="5" fillId="16" borderId="7" xfId="0" applyFont="1" applyFill="1" applyBorder="1" applyAlignment="1">
      <alignment horizontal="left" vertical="center"/>
    </xf>
    <xf numFmtId="0" fontId="4" fillId="0" borderId="0" xfId="0" applyFont="1" applyAlignment="1">
      <alignment horizontal="left" vertical="center"/>
    </xf>
    <xf numFmtId="0" fontId="5" fillId="3" borderId="9" xfId="0" applyFont="1" applyFill="1" applyBorder="1" applyAlignment="1">
      <alignment horizontal="left" vertical="center"/>
    </xf>
    <xf numFmtId="0" fontId="5" fillId="3" borderId="7" xfId="0" applyFont="1" applyFill="1" applyBorder="1" applyAlignment="1">
      <alignment horizontal="left" vertical="center"/>
    </xf>
    <xf numFmtId="0" fontId="0" fillId="14" borderId="9" xfId="0" applyFill="1" applyBorder="1" applyAlignment="1">
      <alignment horizontal="left" vertical="center"/>
    </xf>
    <xf numFmtId="0" fontId="0" fillId="14" borderId="8" xfId="0" applyFill="1" applyBorder="1" applyAlignment="1">
      <alignment horizontal="left" vertical="center"/>
    </xf>
    <xf numFmtId="0" fontId="5" fillId="4" borderId="9" xfId="0" applyFont="1" applyFill="1" applyBorder="1" applyAlignment="1">
      <alignment horizontal="left" vertical="center"/>
    </xf>
    <xf numFmtId="0" fontId="5" fillId="4" borderId="7" xfId="0" applyFont="1" applyFill="1" applyBorder="1" applyAlignment="1">
      <alignment horizontal="left" vertical="center"/>
    </xf>
    <xf numFmtId="0" fontId="7" fillId="0" borderId="1" xfId="0" applyFont="1" applyBorder="1" applyAlignment="1">
      <alignment horizontal="left" vertical="center"/>
    </xf>
    <xf numFmtId="0" fontId="7" fillId="0" borderId="9"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0" fillId="0" borderId="9"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43" fontId="0" fillId="0" borderId="6" xfId="1" applyFont="1" applyBorder="1" applyAlignment="1">
      <alignment horizontal="center" vertical="center"/>
    </xf>
    <xf numFmtId="43" fontId="0" fillId="0" borderId="1" xfId="1" applyFont="1" applyBorder="1" applyAlignment="1">
      <alignment horizontal="center" vertical="center"/>
    </xf>
    <xf numFmtId="43" fontId="0" fillId="0" borderId="6" xfId="1" applyFont="1" applyBorder="1" applyAlignment="1">
      <alignment horizontal="center" vertical="center" wrapText="1"/>
    </xf>
    <xf numFmtId="43" fontId="0" fillId="0" borderId="1" xfId="1" applyFont="1" applyBorder="1" applyAlignment="1">
      <alignment horizontal="center" vertical="center" wrapText="1"/>
    </xf>
    <xf numFmtId="43" fontId="9" fillId="0" borderId="0" xfId="1" applyFont="1" applyAlignment="1">
      <alignment horizontal="left"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wrapText="1"/>
    </xf>
    <xf numFmtId="0" fontId="0" fillId="0" borderId="20" xfId="0" applyBorder="1" applyAlignment="1">
      <alignment horizontal="center" vertical="center" wrapText="1"/>
    </xf>
    <xf numFmtId="0" fontId="0" fillId="0" borderId="6" xfId="0" applyBorder="1" applyAlignment="1">
      <alignment horizontal="center" vertical="center" wrapText="1"/>
    </xf>
  </cellXfs>
  <cellStyles count="3">
    <cellStyle name="Comma" xfId="1" builtinId="3"/>
    <cellStyle name="Normal" xfId="0" builtinId="0"/>
    <cellStyle name="Percent" xfId="2" builtinId="5"/>
  </cellStyles>
  <dxfs count="53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alignment vertical="center" textRotation="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rgb="FFFF000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rgb="FFFF000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theme="4"/>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rgb="FF0070C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70C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rgb="FF00B05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B05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indexed="64"/>
          <bgColor rgb="FFCC000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CC000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right" vertical="center" textRotation="0" wrapText="0" indent="0" justifyLastLine="0" shrinkToFit="0" readingOrder="0"/>
    </dxf>
    <dxf>
      <border>
        <bottom style="thin">
          <color indexed="64"/>
        </bottom>
      </border>
    </dxf>
    <dxf>
      <fill>
        <patternFill patternType="solid">
          <fgColor indexed="64"/>
          <bgColor rgb="FFCC000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CC000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theme="8" tint="0.79998168889431442"/>
        </patternFill>
      </fill>
      <alignment horizontal="general" vertical="center" textRotation="0" wrapText="0" indent="0" justifyLastLine="0" shrinkToFit="0" readingOrder="0"/>
      <border diagonalUp="0" diagonalDown="0">
        <left/>
        <right style="thin">
          <color indexed="64"/>
        </right>
        <top style="thin">
          <color indexed="64"/>
        </top>
        <bottom/>
        <vertical/>
        <horizontal/>
      </border>
    </dxf>
    <dxf>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8" tint="0.79998168889431442"/>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8"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theme="5" tint="0.79998168889431442"/>
        </patternFill>
      </fill>
      <alignment horizontal="general" vertical="center" textRotation="0" wrapText="0" indent="0" justifyLastLine="0" shrinkToFit="0" readingOrder="0"/>
      <border diagonalUp="0" diagonalDown="0">
        <left/>
        <right style="thin">
          <color indexed="64"/>
        </right>
        <top style="thin">
          <color indexed="64"/>
        </top>
        <bottom/>
        <vertical/>
        <horizontal/>
      </border>
    </dxf>
    <dxf>
      <fill>
        <patternFill patternType="solid">
          <fgColor indexed="64"/>
          <bgColor theme="5" tint="0.79998168889431442"/>
        </patternFill>
      </fill>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theme="4" tint="0.79998168889431442"/>
        </patternFill>
      </fill>
      <alignment horizontal="general" vertical="center" textRotation="0" wrapText="0" indent="0" justifyLastLine="0" shrinkToFit="0" readingOrder="0"/>
      <border diagonalUp="0" diagonalDown="0">
        <left/>
        <right style="thin">
          <color indexed="64"/>
        </right>
        <top style="thin">
          <color indexed="64"/>
        </top>
        <bottom/>
        <vertical/>
        <horizontal/>
      </border>
    </dxf>
    <dxf>
      <fill>
        <patternFill patternType="solid">
          <fgColor indexed="64"/>
          <bgColor theme="4" tint="0.79998168889431442"/>
        </patternFill>
      </fill>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theme="9" tint="0.79998168889431442"/>
        </patternFill>
      </fill>
      <alignment horizontal="general" vertical="center" textRotation="0" wrapText="0" indent="0" justifyLastLine="0" shrinkToFit="0" readingOrder="0"/>
      <border diagonalUp="0" diagonalDown="0">
        <left/>
        <right style="thin">
          <color indexed="64"/>
        </right>
        <top style="thin">
          <color indexed="64"/>
        </top>
        <bottom/>
        <vertical/>
        <horizontal/>
      </border>
    </dxf>
    <dxf>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9"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7C80"/>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rgb="FFFFCCCC"/>
        </patternFill>
      </fill>
      <alignment horizontal="general" vertical="center" textRotation="0" wrapText="0" indent="0" justifyLastLine="0" shrinkToFit="0" readingOrder="0"/>
      <border diagonalUp="0" diagonalDown="0" outline="0">
        <left/>
        <right style="thin">
          <color indexed="64"/>
        </right>
        <top style="thin">
          <color indexed="64"/>
        </top>
        <bottom/>
      </border>
    </dxf>
    <dxf>
      <fill>
        <patternFill patternType="solid">
          <fgColor indexed="64"/>
          <bgColor rgb="FFFF7C80"/>
        </patternFill>
      </fill>
      <alignment horizontal="general"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FFCCCC"/>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206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000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0000"/>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ill>
        <patternFill patternType="solid">
          <fgColor indexed="64"/>
          <bgColor rgb="FF00B05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rgb="FF00B05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ill>
        <patternFill patternType="solid">
          <fgColor indexed="64"/>
          <bgColor rgb="FFCC000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CC0000"/>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206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bottom style="thin">
          <color indexed="64"/>
        </bottom>
      </border>
    </dxf>
    <dxf>
      <fill>
        <patternFill patternType="solid">
          <fgColor indexed="64"/>
          <bgColor rgb="FFFF0000"/>
        </patternFill>
      </fill>
      <alignment horizontal="general"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70C0"/>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solid">
          <fgColor indexed="64"/>
          <bgColor rgb="FF00B050"/>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CC0000"/>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0000"/>
      <color rgb="FFFFCCCC"/>
      <color rgb="FFFF7C80"/>
      <color rgb="FF0099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5">
  <rv s="0">
    <v>0</v>
    <v>5</v>
  </rv>
  <rv s="0">
    <v>1</v>
    <v>5</v>
  </rv>
  <rv s="0">
    <v>2</v>
    <v>5</v>
  </rv>
  <rv s="0">
    <v>3</v>
    <v>5</v>
  </rv>
  <rv s="0">
    <v>4</v>
    <v>5</v>
  </rv>
  <rv s="0">
    <v>5</v>
    <v>5</v>
  </rv>
  <rv s="1">
    <v>https://www.bing.com/financeapi/forcetrigger?t=ahh7a2&amp;q=XNSE%3aBHARTIARTL&amp;form=skydnc</v>
    <v>Learn more on Bing</v>
  </rv>
  <rv s="2">
    <v>en-IN</v>
    <v>ahh7a2</v>
    <v>268435456</v>
    <v>1</v>
    <v>Powered by Refinitiv</v>
    <v>0</v>
    <v>Bharti Airtel Limited (XNSE:BHARTIARTL)</v>
    <v>2</v>
    <v>3</v>
    <v>Finance</v>
    <v>4</v>
    <v>2135.6</v>
    <v>1511</v>
    <v>0.74639999999999995</v>
    <v>18.600000000000001</v>
    <v>9.2940000000000002E-3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National Stock Exchange of India</v>
    <v>XNSE</v>
    <v>XNSE</v>
    <v>Bharti Crescent 1 Nelson Mandela Road, Vasant Kunj, Phase II, NEW DELHI, DELHI, 110070 IN</v>
    <v>2028.8</v>
    <v>Telecommunications Services</v>
    <v>Stock</v>
    <v>45971.582870370374</v>
    <v>6</v>
    <v>1992.2</v>
    <v>11993430000000</v>
    <v>Bharti Airtel Limited</v>
    <v>Bharti Airtel Limited</v>
    <v>1995</v>
    <v>30.35</v>
    <v>2001.2</v>
    <v>2019.8</v>
    <v>6091080000</v>
    <v>BHARTIARTL</v>
    <v>Bharti Airtel Limited (XNSE:BHARTIARTL)</v>
    <v>7457061</v>
    <v>12573160</v>
    <v>1995</v>
  </rv>
  <rv s="3">
    <v>7</v>
  </rv>
  <rv s="1">
    <v>https://www.bing.com/financeapi/forcetrigger?t=ahicfr&amp;q=XNSE%3aINDUSTOWER&amp;form=skydnc</v>
    <v>Learn more on Bing</v>
  </rv>
  <rv s="2">
    <v>en-IN</v>
    <v>ahicfr</v>
    <v>268435456</v>
    <v>1</v>
    <v>Powered by Refinitiv</v>
    <v>0</v>
    <v>Indus Towers Limited (XNSE:INDUSTOWER)</v>
    <v>2</v>
    <v>3</v>
    <v>Finance</v>
    <v>4</v>
    <v>430</v>
    <v>312.55</v>
    <v>1.0382</v>
    <v>-2.0499999999999998</v>
    <v>-5.1149999999999998E-3</v>
    <v>INR</v>
    <v>Indus Towers Limited is an India-based telecommunications (telecom) infrastructure provider. The Company deploys, owns, and manages telecom towers and communication structures. Its offerings include tower, power, space; smart cities; tower operations centers (TOC), and green technology. It deploys the passive physical infrastructure necessary to house the active equipment - the base transceiver station, transmission link, and microwave antenna. Its towers range from the traditional lattice type structure, such as the ground-based tower and rooftop tower or pole, to lightweight hybrid poles, monopoles or camouflaged towers that merge with the backdrop. Its towers are powered by either grid-sourced electricity or diesel generators. It acquires the requisite space from residential and commercial property owners for placing its passive infrastructure at various locations. It owns and operates approximately 219,736 towers with 368,588 co-locations.</v>
    <v>3732</v>
    <v>National Stock Exchange of India</v>
    <v>XNSE</v>
    <v>XNSE</v>
    <v>Building No. 10, Tower-A, 4th Floor, DLF Cyber City, GURGAON, HARYANA, 122002 IN</v>
    <v>402.4</v>
    <v>Telecommunications Services</v>
    <v>Stock</v>
    <v>45971.582881944443</v>
    <v>9</v>
    <v>397.65</v>
    <v>1056964000000</v>
    <v>Indus Towers Limited</v>
    <v>Indus Towers Limited</v>
    <v>400.45</v>
    <v>11.24</v>
    <v>400.8</v>
    <v>398.75</v>
    <v>2637135000</v>
    <v>INDUSTOWER</v>
    <v>Indus Towers Limited (XNSE:INDUSTOWER)</v>
    <v>2465473</v>
    <v>14570680</v>
    <v>2006</v>
  </rv>
  <rv s="3">
    <v>10</v>
  </rv>
  <rv s="1">
    <v>https://www.bing.com/financeapi/forcetrigger?t=bzs5r7&amp;q=XNSE%3aRAILTEL&amp;form=skydnc</v>
    <v>Learn more on Bing</v>
  </rv>
  <rv s="2">
    <v>en-IN</v>
    <v>bzs5r7</v>
    <v>268435456</v>
    <v>1</v>
    <v>Powered by Refinitiv</v>
    <v>0</v>
    <v>RAILTEL CORPORATION OF INDIA LIMITED (XNSE:RAILTEL)</v>
    <v>2</v>
    <v>3</v>
    <v>Finance</v>
    <v>4</v>
    <v>478.95</v>
    <v>265.5</v>
    <v>1.3204</v>
    <v>-2.4</v>
    <v>-6.8250000000000003E-3</v>
    <v>INR</v>
    <v>RailTel Corporation of India Limited is an India-based information and communications technology (ICT) and neutral telecommunication (telecom) infrastructure provider, which owns a presence across nation (Pan)-India optic fiber network on right of way (ROW) along a railway track. Its operating segments include Telecom Services and Project Work Services. It provides a range of telecom services to its customers, including managed data services, leased line, virtual private network, Internet leased line, data center, tower collocation, rack and space and national long-distance (NLD) for voice carriage. The Project Work Services segment includes various projects, such as railway signaling work, telecom and information technology (IT) services-related projects and enterprise-specific IT and information technology-enabled services (ITES) projects. It also provides various passenger services, including content on demand services and wireless fidelity (Wi-Fi) across railway stations in India.</v>
    <v>530</v>
    <v>National Stock Exchange of India</v>
    <v>XNSE</v>
    <v>XNSE</v>
    <v>Plate-A, 6th Floor, Office Block Tower-2, East Kidwai Nagar, NEW DELHI, DELHI, 110023 IN</v>
    <v>353.95</v>
    <v>Telecommunications Services</v>
    <v>Stock</v>
    <v>45971.58289351852</v>
    <v>12</v>
    <v>348.1</v>
    <v>112858000000</v>
    <v>RAILTEL CORPORATION OF INDIA LIMITED</v>
    <v>RAILTEL CORPORATION OF INDIA LIMITED</v>
    <v>352.05</v>
    <v>34.96</v>
    <v>351.65</v>
    <v>349.25</v>
    <v>320938400</v>
    <v>RAILTEL</v>
    <v>RAILTEL CORPORATION OF INDIA LIMITED (XNSE:RAILTEL)</v>
    <v>466528</v>
    <v>752800</v>
    <v>2000</v>
  </rv>
  <rv s="3">
    <v>13</v>
  </rv>
  <rv s="1">
    <v>https://www.bing.com/financeapi/forcetrigger?t=ah88ec&amp;q=XBOM%3a500483&amp;form=skydnc</v>
    <v>Learn more on Bing</v>
  </rv>
  <rv s="2">
    <v>en-IN</v>
    <v>ah88ec</v>
    <v>268435456</v>
    <v>1</v>
    <v>Powered by Refinitiv</v>
    <v>0</v>
    <v>Tata Communications Limited (XBOM:500483)</v>
    <v>2</v>
    <v>3</v>
    <v>Finance</v>
    <v>5</v>
    <v>2004</v>
    <v>1293</v>
    <v>1.4164000000000001</v>
    <v>0.05</v>
    <v>2.703E-5</v>
    <v>INR</v>
    <v>Tata Communications Limited is an India-based communications technology company. The Company enables digital transformation for enterprises globally. It delivers services powered by cloud, mobility, Internet of Things (IoT), collaboration, security, and network services. Its segments include Voice Solutions, Data Services, Transformation Services, Real Estate and Campaign Registry. The Voice Solutions segment includes international and national long-distance voice services. The Data Services segment includes core and Nextgen connectivity services, digital platforms and connected services. The Transformation Services segment includes the business of providing telecommunication network management and support services. The Real Estate segment includes rentals for premises given on lease. The Campaign Registry segment includes the business of collecting robotically driven campaign information and processing and sharing that information with mobile operators and the messaging ecosystem.</v>
    <v>13047</v>
    <v>Bombay Stock Exchange</v>
    <v>XBOM</v>
    <v>XBOM</v>
    <v>Plot No. C21 &amp; C36, 'G' Block, Bandra Kurla Complex,, MUMBAI, MAHARASHTRA, 400098 IN</v>
    <v>1862.8</v>
    <v>Telecommunications Services</v>
    <v>Stock</v>
    <v>45971.737187500003</v>
    <v>15</v>
    <v>1821.5</v>
    <v>527079000000</v>
    <v>Tata Communications Limited</v>
    <v>Tata Communications Limited</v>
    <v>1835</v>
    <v>36.909999999999997</v>
    <v>1849.8</v>
    <v>1849.85</v>
    <v>285000000</v>
    <v>500483</v>
    <v>Tata Communications Limited (XBOM:500483)</v>
    <v>10562</v>
    <v>303300</v>
    <v>1986</v>
  </rv>
  <rv s="3">
    <v>16</v>
  </rv>
  <rv s="1">
    <v>https://www.bing.com/financeapi/forcetrigger?t=ahe22w&amp;q=XBOM%3a532822&amp;form=skydnc</v>
    <v>Learn more on Bing</v>
  </rv>
  <rv s="4">
    <v>en-IN</v>
    <v>ahe22w</v>
    <v>268435456</v>
    <v>1</v>
    <v>Powered by Refinitiv</v>
    <v>6</v>
    <v>VODAFONE IDEA LIMITED (XBOM:532822)</v>
    <v>2</v>
    <v>7</v>
    <v>Finance</v>
    <v>5</v>
    <v>10.57</v>
    <v>6.12</v>
    <v>0.97570000000000001</v>
    <v>-0.1</v>
    <v>-1.0406E-2</v>
    <v>INR</v>
    <v>Vodafone Idea Limited is an India-based telecom service provider. The Company is engaged in the business of telecommunication services. It provides pan-India voice and data services across second-generation (2G), third generation (3G) and fourth generation (4G) platforms. Its Vodafone Idea business services provide communication solutions to global and Indian corporations, public sector and government bodies, small and medium enterprises, and start-ups. The Company’s services include Voice Services, Broadband Services, Content and Digital Offerings, and Other Value-Added Services (VAS) Offerings. It offers a variety of other VAS offerings, including Voice and SMS based services such as caller tunes, voice &amp; SMS chat and Utility services such as missed call alerts. Its subsidiaries include Vodafone Foundation, Vodafone Idea Business Services Limited, Vodafone Idea Communication Systems Limited, Vodafone Idea Manpower Services Limited, among others.</v>
    <v>9985</v>
    <v>Bombay Stock Exchange</v>
    <v>XBOM</v>
    <v>XBOM</v>
    <v>Birla Centurion, 10th Floor, Century Mills Compound, Pandurang Budhkar Marg Worli, MUMBAI, MAHARASHTRA, 400030 IN</v>
    <v>9.74</v>
    <v>Telecommunications Services</v>
    <v>Stock</v>
    <v>45971.737199074072</v>
    <v>18</v>
    <v>9.4700000000000006</v>
    <v>1041177000000</v>
    <v>VODAFONE IDEA LIMITED</v>
    <v>VODAFONE IDEA LIMITED</v>
    <v>9.6300000000000008</v>
    <v>9.61</v>
    <v>9.51</v>
    <v>108343000000</v>
    <v>532822</v>
    <v>VODAFONE IDEA LIMITED (XBOM:532822)</v>
    <v>42462487</v>
    <v>1507053140</v>
    <v>1995</v>
  </rv>
  <rv s="3">
    <v>19</v>
  </rv>
  <rv s="1">
    <v>https://www.bing.com/financeapi/forcetrigger?t=ahdj4c&amp;q=XBOM%3a532454&amp;form=skydnc</v>
    <v>Learn more on Bing</v>
  </rv>
  <rv s="2">
    <v>en-IN</v>
    <v>ahdj4c</v>
    <v>268435456</v>
    <v>1</v>
    <v>Powered by Refinitiv</v>
    <v>0</v>
    <v>Bharti Airtel Limited (XBOM:532454)</v>
    <v>2</v>
    <v>3</v>
    <v>Finance</v>
    <v>5</v>
    <v>2135.75</v>
    <v>1510.8</v>
    <v>0.74639999999999995</v>
    <v>20.05</v>
    <v>1.0019E-2</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Bombay Stock Exchange</v>
    <v>XBOM</v>
    <v>XBOM</v>
    <v>Bharti Crescent 1 Nelson Mandela Road, Vasant Kunj, Phase II, NEW DELHI, DELHI, 110070 IN</v>
    <v>2027.45</v>
    <v>Telecommunications Services</v>
    <v>Stock</v>
    <v>45971.737199074072</v>
    <v>21</v>
    <v>1994</v>
    <v>11993430000000</v>
    <v>Bharti Airtel Limited</v>
    <v>Bharti Airtel Limited</v>
    <v>1995</v>
    <v>30.07</v>
    <v>2001.1</v>
    <v>2021.15</v>
    <v>6091080000</v>
    <v>532454</v>
    <v>Bharti Airtel Limited (XBOM:532454)</v>
    <v>67953</v>
    <v>12573160</v>
    <v>1995</v>
  </rv>
  <rv s="3">
    <v>22</v>
  </rv>
  <rv s="0">
    <v>6</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 s="0">
      <v>1</v>
      <v>Name</v>
      <v>LearnMoreOnLink</v>
    </spb>
    <spb s="5">
      <v>1</v>
      <v>2</v>
      <v>1</v>
      <v>3</v>
      <v>1</v>
      <v>1</v>
      <v>1</v>
      <v>4</v>
      <v>4</v>
      <v>5</v>
      <v>6</v>
      <v>1</v>
      <v>1</v>
      <v>1</v>
      <v>4</v>
      <v>7</v>
      <v>8</v>
      <v>9</v>
      <v>4</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3E32E-1A00-4BAA-9788-D870C501E53E}" name="Table1" displayName="Table1" ref="A3:G14" headerRowCount="0" totalsRowShown="0" headerRowDxfId="534" dataDxfId="533" tableBorderDxfId="532" totalsRowBorderDxfId="531" dataCellStyle="Comma">
  <tableColumns count="7">
    <tableColumn id="1" xr3:uid="{7F7C03F0-228D-4B02-9F78-19D11DC9CBE0}" name="Column1" headerRowDxfId="530" dataDxfId="529"/>
    <tableColumn id="2" xr3:uid="{A414E388-3844-4DAA-9D8C-169F8F68225B}" name="Bharti Airtel Limited (XNSE:BHARTIARTL)2" headerRowDxfId="528" dataDxfId="527" dataCellStyle="Comma"/>
    <tableColumn id="3" xr3:uid="{E129906D-F55F-4A7E-A3F7-2F472B640184}" name="Indus Towers Limited (XNSE:INDUSTOWER)3" headerRowDxfId="526" dataDxfId="525" dataCellStyle="Comma"/>
    <tableColumn id="4" xr3:uid="{93EA11D2-164C-44F4-A966-44AABD96D633}" name="RAILTEL CORPORATION OF INDIA LIMITED (XNSE:RAILTEL)4" headerRowDxfId="524" dataDxfId="523" dataCellStyle="Comma"/>
    <tableColumn id="5" xr3:uid="{04D5D759-FCB9-4C3C-B621-9BD21FFEF470}" name="Tata Communications Limited (XBOM:500483)5" headerRowDxfId="522" dataDxfId="521" dataCellStyle="Comma"/>
    <tableColumn id="6" xr3:uid="{90B37127-322A-4B86-BD80-98CB6B9AD62E}" name="VODAFONE IDEA LIMITED (XBOM:532822)6" headerRowDxfId="520" dataDxfId="519" dataCellStyle="Comma"/>
    <tableColumn id="7" xr3:uid="{EA002DF0-EE1E-41DA-9E33-44D2AFE55307}" name="Column7" headerRowDxfId="518" dataDxfId="517" dataCellStyle="Comma"/>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C0928E-7A96-4EF2-948E-4A05CAE81B0B}" name="Table2" displayName="Table2" ref="A2:G62" totalsRowShown="0" headerRowDxfId="516" dataDxfId="515" tableBorderDxfId="514">
  <autoFilter ref="A2:G62" xr:uid="{2DC0928E-7A96-4EF2-948E-4A05CAE81B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03531F5-7354-423E-9BA6-A588CD81A163}" name="Particulars" dataDxfId="513"/>
    <tableColumn id="2" xr3:uid="{D36711A0-B1EC-4A3F-B48B-AEE0903DA636}" name="2020" dataDxfId="512"/>
    <tableColumn id="3" xr3:uid="{FAFAF15A-CF67-42B2-BFDB-E3F31FE70918}" name="2021" dataDxfId="511"/>
    <tableColumn id="4" xr3:uid="{CD11360E-2207-428D-AC67-D57C4791A91B}" name="2022" dataDxfId="510"/>
    <tableColumn id="5" xr3:uid="{FBBE8C39-5BF8-46FA-9C02-31C11FE68A1A}" name="2023" dataDxfId="509"/>
    <tableColumn id="6" xr3:uid="{7992A125-E1C9-4D2F-85BA-AD62FAC5F001}" name="2024" dataDxfId="508"/>
    <tableColumn id="7" xr3:uid="{55025463-372E-4373-AB44-C9A8ADC03CB4}" name="2025" dataDxfId="507"/>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684311-6EB6-4BF6-AA6D-2B7602D02A59}" name="Table3" displayName="Table3" ref="I2:O50" totalsRowShown="0" headerRowDxfId="506" dataDxfId="505" tableBorderDxfId="504">
  <autoFilter ref="I2:O50" xr:uid="{FC684311-6EB6-4BF6-AA6D-2B7602D02A5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0861DE-99D7-4301-9246-CCE76EC45B47}" name="Particulars" dataDxfId="503"/>
    <tableColumn id="2" xr3:uid="{F48C2515-F7A2-4A38-AA09-04198526421F}" name="2020" dataDxfId="502"/>
    <tableColumn id="3" xr3:uid="{8FF001B8-E711-491A-B33B-205C22407B34}" name="2021" dataDxfId="501"/>
    <tableColumn id="4" xr3:uid="{541AEBE1-682B-4700-994D-5759C4B6F258}" name="2022" dataDxfId="500"/>
    <tableColumn id="5" xr3:uid="{233A0457-B453-4F81-B73A-DD11A5C88612}" name="2023" dataDxfId="499"/>
    <tableColumn id="6" xr3:uid="{A833183F-F799-461D-9DCC-DFA407A97873}" name="2024" dataDxfId="498"/>
    <tableColumn id="7" xr3:uid="{A880867E-556E-4EEE-B69A-8BE8578D247A}" name="2025" dataDxfId="497"/>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AB2D86-815B-421F-AC4A-D63B165C9F83}" name="Table4" displayName="Table4" ref="Q2:W49" totalsRowShown="0" headerRowDxfId="496" dataDxfId="495" tableBorderDxfId="494">
  <autoFilter ref="Q2:W49" xr:uid="{78AB2D86-815B-421F-AC4A-D63B165C9F8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B4CA814-FF77-4A67-A637-CC20087DF7B3}" name="Particulars" dataDxfId="493"/>
    <tableColumn id="2" xr3:uid="{9B154534-5A99-497B-B1AA-03C6664943CB}" name="2020" dataDxfId="492"/>
    <tableColumn id="3" xr3:uid="{988C6B27-6D2B-4965-BF34-7C51869290CE}" name="2021" dataDxfId="491"/>
    <tableColumn id="4" xr3:uid="{DB282ED3-33EA-493F-9C68-12F630D70416}" name="2022" dataDxfId="490"/>
    <tableColumn id="5" xr3:uid="{7BA723C3-25FE-4F53-BC5C-C130DC2BDD26}" name="2023" dataDxfId="489"/>
    <tableColumn id="6" xr3:uid="{B11C93B5-7453-4DE6-BF69-81E724873FD0}" name="2024" dataDxfId="488"/>
    <tableColumn id="7" xr3:uid="{5E4C0341-7BF4-4D12-8CF9-19B23F0DD1AC}" name="2025" dataDxfId="487"/>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20581-2342-4B68-9F60-AD1C70F4F164}" name="Table5" displayName="Table5" ref="Y2:AE56" totalsRowShown="0" headerRowDxfId="486" dataDxfId="484" headerRowBorderDxfId="485" tableBorderDxfId="483">
  <autoFilter ref="Y2:AE56" xr:uid="{CD120581-2342-4B68-9F60-AD1C70F4F16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B497003-D7CD-4FD2-9F79-3BF0CF492BA5}" name="Particulars" dataDxfId="482"/>
    <tableColumn id="2" xr3:uid="{F23F8480-C8D4-4BF6-959D-056FD0804205}" name="2020" dataDxfId="481"/>
    <tableColumn id="3" xr3:uid="{506CF143-747A-491C-96A7-5ECA95C9930B}" name="2021" dataDxfId="480"/>
    <tableColumn id="4" xr3:uid="{B6FFA0C5-B863-402C-95CA-FDDEA74BEFB7}" name="2022" dataDxfId="479"/>
    <tableColumn id="5" xr3:uid="{7B36CABD-C381-4DCA-824E-18CE2967BACB}" name="2023" dataDxfId="478"/>
    <tableColumn id="6" xr3:uid="{E1101DAB-D136-4026-9E08-B5113A1B38E0}" name="2024" dataDxfId="477"/>
    <tableColumn id="7" xr3:uid="{58F85EF3-ED2A-4E1F-8F3D-C038B63BA8C1}" name="2025" dataDxfId="476"/>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E19618-92D0-475F-8F50-6EB4F92D2E3D}" name="Table6" displayName="Table6" ref="AG2:AM55" totalsRowShown="0" headerRowDxfId="475" dataDxfId="473" headerRowBorderDxfId="474" tableBorderDxfId="472" dataCellStyle="Comma">
  <autoFilter ref="AG2:AM55" xr:uid="{D1E19618-92D0-475F-8F50-6EB4F92D2E3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19A034E-0C7D-4852-8136-703F889F13F2}" name="Particulars" dataDxfId="471"/>
    <tableColumn id="2" xr3:uid="{3113C25B-EF70-4C36-9B54-EB8B117D8C66}" name="2020" dataDxfId="470" dataCellStyle="Comma"/>
    <tableColumn id="3" xr3:uid="{D87EC822-B774-45BA-BD74-A8788D7C1AED}" name="2021" dataDxfId="469" dataCellStyle="Comma"/>
    <tableColumn id="4" xr3:uid="{76E03E91-5254-458E-B8AA-DB1EDE2C75E8}" name="2022" dataDxfId="468" dataCellStyle="Comma"/>
    <tableColumn id="5" xr3:uid="{EAE13008-5315-41DB-8D45-6B6E64843339}" name="2023" dataDxfId="467" dataCellStyle="Comma"/>
    <tableColumn id="6" xr3:uid="{B1D925E3-ACAE-4BD3-B4B0-88C04F9E9A1D}" name="2024" dataDxfId="466" dataCellStyle="Comma"/>
    <tableColumn id="7" xr3:uid="{1B460F63-F113-4A3A-BBFA-36B62A0396BB}" name="2025" dataDxfId="465" dataCellStyle="Comma"/>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40D2AE7-2392-489F-8C4C-060FD4A216AB}" name="Table17" displayName="Table17" ref="AO2:AU47" totalsRowShown="0" headerRowDxfId="464" dataDxfId="462" headerRowBorderDxfId="463" tableBorderDxfId="461">
  <autoFilter ref="AO2:AU47" xr:uid="{640D2AE7-2392-489F-8C4C-060FD4A216A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18D823-B200-4908-80E3-C379C7517A56}" name="Particulars" dataDxfId="460"/>
    <tableColumn id="2" xr3:uid="{C7D9B094-79BE-45A1-B589-F77B888FA0B8}" name="2020" dataDxfId="459"/>
    <tableColumn id="3" xr3:uid="{4A8A34BF-B250-47F7-B10E-B1BBB95875C2}" name="2021" dataDxfId="458"/>
    <tableColumn id="4" xr3:uid="{12B727C0-05AC-4248-94D6-204210B59102}" name="2022" dataDxfId="457"/>
    <tableColumn id="5" xr3:uid="{F3ED1224-2C76-4689-AB46-BA5D59025EA0}" name="2023" dataDxfId="456"/>
    <tableColumn id="6" xr3:uid="{E6777C75-31C8-40DD-B83A-6A48D4D9799D}" name="2024" dataDxfId="455"/>
    <tableColumn id="7" xr3:uid="{4D6FEE9B-A08D-4FF8-9297-FA1303F50391}" name="2025" dataDxfId="454"/>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93E719-0159-4006-AEBF-7D15E6BF449E}" name="Table7" displayName="Table7" ref="A2:G25" totalsRowShown="0" headerRowDxfId="453" dataDxfId="451" headerRowBorderDxfId="452" tableBorderDxfId="450">
  <autoFilter ref="A2:G25" xr:uid="{0793E719-0159-4006-AEBF-7D15E6BF449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B2CA451-DD79-4673-8262-A2CFE03B78FE}" name="Particulars" dataDxfId="449"/>
    <tableColumn id="2" xr3:uid="{ACA641C9-2F58-4622-8CF0-5B1F7FE7272A}" name="2020" dataDxfId="448"/>
    <tableColumn id="3" xr3:uid="{109BB1DF-D237-419F-B39B-059B428DCAF2}" name="2021" dataDxfId="447"/>
    <tableColumn id="4" xr3:uid="{5F366D22-50C1-4CA0-B927-3E2A655A501F}" name="2022" dataDxfId="446"/>
    <tableColumn id="5" xr3:uid="{FE8E68E7-C19A-4011-BB3A-6D6DF8FC01E8}" name="2023" dataDxfId="445"/>
    <tableColumn id="6" xr3:uid="{672427DA-3BBB-4CA0-ADE8-8ACC91C0BA94}" name="2024" dataDxfId="444"/>
    <tableColumn id="7" xr3:uid="{0650FA94-3788-433C-BABB-D7312F829BF7}" name="2025" dataDxfId="443"/>
  </tableColumns>
  <tableStyleInfo name="TableStyleMedium1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501D18-A232-40C2-B716-E66BD4D04507}" name="Table8" displayName="Table8" ref="A27:G28" totalsRowShown="0" headerRowDxfId="442" dataDxfId="441">
  <autoFilter ref="A27:G28" xr:uid="{2B501D18-A232-40C2-B716-E66BD4D045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C3E697-DB1A-40FE-BFDC-CD8E4F096192}" name="Earnings/Loss per share" dataDxfId="440"/>
    <tableColumn id="2" xr3:uid="{E976B6F2-0B79-43D4-B586-3BD59A233747}" name="2020" dataDxfId="439" dataCellStyle="Comma"/>
    <tableColumn id="3" xr3:uid="{BC646BA1-858D-4118-979E-004BDB414AE7}" name="2021" dataDxfId="438" dataCellStyle="Comma"/>
    <tableColumn id="4" xr3:uid="{7060E291-F369-4235-B57C-BFE400FF9AE4}" name="2022" dataDxfId="437" dataCellStyle="Comma"/>
    <tableColumn id="5" xr3:uid="{AF228C2E-7038-45EE-85C9-F75D6A9F6A69}" name="2023" dataDxfId="436" dataCellStyle="Comma"/>
    <tableColumn id="6" xr3:uid="{3B344063-4C74-4DE1-8901-E05BB54AE210}" name="2024" dataDxfId="435" dataCellStyle="Comma"/>
    <tableColumn id="7" xr3:uid="{2E538A36-8089-4565-BD63-3A3308C4B44C}" name="2025" dataDxfId="434" dataCellStyle="Comma"/>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08FC3B-FEEC-422C-B067-F8F45005303B}" name="Table9" displayName="Table9" ref="I28:O29" totalsRowShown="0" headerRowDxfId="433" dataDxfId="431" headerRowBorderDxfId="432" tableBorderDxfId="430" headerRowCellStyle="Comma" dataCellStyle="Comma">
  <autoFilter ref="I28:O29" xr:uid="{E608FC3B-FEEC-422C-B067-F8F45005303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FA37D3-6BC4-427B-BC2A-29648DBFA609}" name="Earnings per share" dataDxfId="429"/>
    <tableColumn id="2" xr3:uid="{40BF483F-D67A-49DF-AFA1-C110F8AA1B37}" name="2020" dataDxfId="428" dataCellStyle="Comma"/>
    <tableColumn id="3" xr3:uid="{8F943ED5-38C6-42A7-9D38-5E43F6D4B152}" name="2021" dataDxfId="427" dataCellStyle="Comma"/>
    <tableColumn id="4" xr3:uid="{97854573-B367-4972-A3D4-6E7238994D1B}" name="2022" dataDxfId="426" dataCellStyle="Comma"/>
    <tableColumn id="5" xr3:uid="{814BEFBF-8BCC-4567-8D2D-4B4C2562DB08}" name="2023" dataDxfId="425" dataCellStyle="Comma"/>
    <tableColumn id="6" xr3:uid="{2B0ACEB6-6C27-4A43-BB2F-5BA5534E477E}" name="2024" dataDxfId="424" dataCellStyle="Comma"/>
    <tableColumn id="7" xr3:uid="{67886D48-BCCA-4CF6-AE5F-1874A9407917}" name="2025" dataDxfId="423" dataCellStyle="Comma"/>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0C2DC3-4585-4360-9B23-293B7C3734DE}" name="Table10" displayName="Table10" ref="I2:O26" totalsRowShown="0" headerRowDxfId="422" dataDxfId="421" tableBorderDxfId="420" dataCellStyle="Comma">
  <autoFilter ref="I2:O26" xr:uid="{0F0C2DC3-4585-4360-9B23-293B7C3734D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9AEAAB5-46A4-4A25-8F3A-A4B99A83623E}" name="Particulars" dataDxfId="419"/>
    <tableColumn id="2" xr3:uid="{6A7823A9-B29D-4C25-94C7-CE1063D2187C}" name="2020" dataDxfId="418" dataCellStyle="Comma"/>
    <tableColumn id="3" xr3:uid="{0ED7D8F3-6BA7-4F78-8A6E-47F0D4C2C10D}" name="2021" dataDxfId="417" dataCellStyle="Comma"/>
    <tableColumn id="4" xr3:uid="{C377AD87-7CF1-41E5-9BD5-7838AA1AEF4A}" name="2022" dataDxfId="416" dataCellStyle="Comma"/>
    <tableColumn id="5" xr3:uid="{6C477B9E-7430-4AD0-9E7B-52C6FFD1D49C}" name="2023" dataDxfId="415" dataCellStyle="Comma"/>
    <tableColumn id="6" xr3:uid="{1FE1363D-0796-49D5-A27B-2147DB5ECA27}" name="2024" dataDxfId="414" dataCellStyle="Comma"/>
    <tableColumn id="7" xr3:uid="{011D69B5-A1DA-4383-8AD0-DDB3906E5827}" name="2025" dataDxfId="413" dataCellStyle="Comm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59F8B1F-0B70-42D5-89CF-B90778C9D3DF}" name="Table11" displayName="Table11" ref="Q2:W25" totalsRowShown="0" headerRowDxfId="412" dataDxfId="410" headerRowBorderDxfId="411" tableBorderDxfId="409">
  <autoFilter ref="Q2:W25" xr:uid="{359F8B1F-0B70-42D5-89CF-B90778C9D3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9E547D-C863-41C3-9078-8BB521F6C16E}" name="Particulars" dataDxfId="408"/>
    <tableColumn id="2" xr3:uid="{98C10A45-3206-4499-B244-056996058DBF}" name="2020" dataDxfId="407"/>
    <tableColumn id="3" xr3:uid="{CCCE45CC-05A6-4B75-9E47-DE5FFDB20CEF}" name="2021" dataDxfId="406"/>
    <tableColumn id="4" xr3:uid="{DD7F0E9F-9598-4630-BE0F-1858D737404D}" name="2022" dataDxfId="405"/>
    <tableColumn id="5" xr3:uid="{22421935-8BEF-4811-83DB-5E6BDE9C4914}" name="2023" dataDxfId="404"/>
    <tableColumn id="6" xr3:uid="{39E60404-6BCA-4494-94C5-F284D94132FC}" name="2024" dataDxfId="403"/>
    <tableColumn id="7" xr3:uid="{8BEB77B5-C79D-4074-AE6F-3E9DAE657144}" name="2025" dataDxfId="402"/>
  </tableColumns>
  <tableStyleInfo name="TableStyleMedium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DEEA0E2-4D40-4D55-9E1F-26A2386305B5}" name="Table12" displayName="Table12" ref="Q27:W28" totalsRowShown="0" headerRowDxfId="401" dataDxfId="399" headerRowBorderDxfId="400" tableBorderDxfId="398">
  <autoFilter ref="Q27:W28" xr:uid="{1DEEA0E2-4D40-4D55-9E1F-26A2386305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92CB25F-9E01-453E-A3BE-A9B41B99B72F}" name="Earnings per share" dataDxfId="397"/>
    <tableColumn id="2" xr3:uid="{8AAC8E3F-6189-4B75-AD9C-D78FB46C6063}" name="2020" dataDxfId="396" dataCellStyle="Comma"/>
    <tableColumn id="3" xr3:uid="{1145C83F-2E60-467D-8B6F-FECA9D756402}" name="2021" dataDxfId="395" dataCellStyle="Comma"/>
    <tableColumn id="4" xr3:uid="{755BBBF7-E95D-450F-B8B7-CEB92C5EA558}" name="2022" dataDxfId="394" dataCellStyle="Comma"/>
    <tableColumn id="5" xr3:uid="{2159755B-6338-458C-A60B-2D42A6B25363}" name="2023" dataDxfId="393" dataCellStyle="Comma"/>
    <tableColumn id="6" xr3:uid="{EA695FF9-BB0F-48BB-A5EE-4BDBD391DCF2}" name="2024" dataDxfId="392" dataCellStyle="Comma"/>
    <tableColumn id="7" xr3:uid="{530C5D03-4E1E-4F00-B926-001251D587A8}" name="2025" dataDxfId="391" dataCellStyle="Comma"/>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9D1237-50B6-4351-B743-8AD0D4B21981}" name="Table13" displayName="Table13" ref="Y27:AE28" totalsRowShown="0" headerRowDxfId="390" dataDxfId="388" headerRowBorderDxfId="389" tableBorderDxfId="387" headerRowCellStyle="Comma" dataCellStyle="Comma">
  <autoFilter ref="Y27:AE28" xr:uid="{9E9D1237-50B6-4351-B743-8AD0D4B2198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65DF0DF-5751-4DF7-B41D-A9A47721BD22}" name="Earnings per share" dataDxfId="386"/>
    <tableColumn id="2" xr3:uid="{A3A7D248-10EB-4B86-996F-03A2362A2B72}" name="2020" dataDxfId="385" dataCellStyle="Comma"/>
    <tableColumn id="3" xr3:uid="{711C740B-D85E-4890-AB19-06340D98A89C}" name="2021" dataDxfId="384" dataCellStyle="Comma"/>
    <tableColumn id="4" xr3:uid="{9BA1D771-A74B-4962-9641-9FD27EA2C8B5}" name="2022" dataDxfId="383" dataCellStyle="Comma"/>
    <tableColumn id="5" xr3:uid="{9F2BBA7C-BA04-46AC-BB10-6D7411B7D4CE}" name="2023" dataDxfId="382" dataCellStyle="Comma"/>
    <tableColumn id="6" xr3:uid="{C3A87270-6367-48B4-810B-BF1C5AEFDA78}" name="2024" dataDxfId="381" dataCellStyle="Comma"/>
    <tableColumn id="7" xr3:uid="{3D56FEAD-071D-4075-BB03-0E2D02671D5F}" name="2025" dataDxfId="380" dataCellStyle="Comma"/>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1D9C913-AB8F-48EC-AEDD-B032145DAF53}" name="Table14" displayName="Table14" ref="Y2:AE23" totalsRowShown="0" headerRowDxfId="379" dataDxfId="377" headerRowBorderDxfId="378" tableBorderDxfId="376" dataCellStyle="Comma">
  <autoFilter ref="Y2:AE23" xr:uid="{C1D9C913-AB8F-48EC-AEDD-B032145DAF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CD3FDF-D91D-4D66-9CC4-AC013D38E67A}" name="Particulars" dataDxfId="375"/>
    <tableColumn id="2" xr3:uid="{A8083C82-3760-45F1-9885-97652C8396C6}" name="2020" dataDxfId="374" dataCellStyle="Comma"/>
    <tableColumn id="3" xr3:uid="{DE7ED98C-9DD6-42E5-B2E4-9F8F06806FFA}" name="2021" dataDxfId="373" dataCellStyle="Comma"/>
    <tableColumn id="4" xr3:uid="{155A5AC0-D278-44A1-AB49-BFEA9E978EA3}" name="2022" dataDxfId="372" dataCellStyle="Comma"/>
    <tableColumn id="5" xr3:uid="{35DA46BC-4053-439C-ADDF-5682AC4987B4}" name="2023" dataDxfId="371" dataCellStyle="Comma"/>
    <tableColumn id="6" xr3:uid="{8565C9FF-647F-42B3-B2CC-26FB5A5576C7}" name="2024" dataDxfId="370" dataCellStyle="Comma"/>
    <tableColumn id="7" xr3:uid="{FBCC4F06-946D-4652-9742-40C42C80D7D7}" name="2025" dataDxfId="369" dataCellStyle="Comma"/>
  </tableColumns>
  <tableStyleInfo name="TableStyleMedium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D48C32E-5FDC-4756-A7AA-1672A51B26B2}" name="Table15" displayName="Table15" ref="AG34:AM35" totalsRowShown="0" headerRowDxfId="368" dataDxfId="366" headerRowBorderDxfId="367" tableBorderDxfId="365">
  <autoFilter ref="AG34:AM35" xr:uid="{6D48C32E-5FDC-4756-A7AA-1672A51B26B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95D742-5E49-4121-B9F1-FBB5519B9A80}" name="Earnings/Loss per share" dataDxfId="364"/>
    <tableColumn id="2" xr3:uid="{E1176D8D-84A2-4B72-AAE1-B5BBA19CDD5B}" name="2020" dataDxfId="363" dataCellStyle="Comma"/>
    <tableColumn id="3" xr3:uid="{6770BF30-E430-4A90-82D9-4E59D0641F16}" name="2021" dataDxfId="362" dataCellStyle="Comma"/>
    <tableColumn id="4" xr3:uid="{327EFB7F-EE2A-4800-A9C8-951C17F0112D}" name="2022" dataDxfId="361" dataCellStyle="Comma"/>
    <tableColumn id="5" xr3:uid="{ADA7BC96-CF46-4C57-A564-45631E679613}" name="2023" dataDxfId="360" dataCellStyle="Comma"/>
    <tableColumn id="6" xr3:uid="{8241081B-9819-4095-BFEC-EACBA08A1F9C}" name="2024" dataDxfId="359" dataCellStyle="Comma"/>
    <tableColumn id="7" xr3:uid="{C8AA2CCE-8E1A-4D14-AF7A-310E2A1A328F}" name="2025" dataDxfId="358" dataCellStyle="Comma"/>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2E75112-3A9E-48AE-A685-A80B34C2E792}" name="Table16" displayName="Table16" ref="AG2:AM32" totalsRowShown="0" headerRowDxfId="357" dataDxfId="355" headerRowBorderDxfId="356" tableBorderDxfId="354">
  <autoFilter ref="AG2:AM32" xr:uid="{E2E75112-3A9E-48AE-A685-A80B34C2E7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DDF961-D774-4BC0-A3C2-1BAE07744601}" name="Particulars" dataDxfId="353"/>
    <tableColumn id="2" xr3:uid="{DB29D7F0-5357-4ABF-A6ED-49E2222B7375}" name="2020" dataDxfId="352"/>
    <tableColumn id="3" xr3:uid="{B903A2F0-BC8A-4BF3-BE6F-BB3091EF2BAF}" name="2021" dataDxfId="351"/>
    <tableColumn id="4" xr3:uid="{232662F3-4A23-469F-9697-5356ADCBB039}" name="2022" dataDxfId="350"/>
    <tableColumn id="5" xr3:uid="{2C8B3662-F40F-4C71-8B3F-F9199DC0A668}" name="2023" dataDxfId="349"/>
    <tableColumn id="6" xr3:uid="{84559C79-CBE6-473F-8B0E-2861767607B8}" name="2024" dataDxfId="348"/>
    <tableColumn id="7" xr3:uid="{8009D552-79CA-4855-AD7F-B56C06000763}" name="2025" dataDxfId="347"/>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CDB1F5D-04A4-4F9A-B153-B098A882F17F}" name="Table18" displayName="Table18" ref="AO2:AU23" totalsRowShown="0" headerRowDxfId="346" dataDxfId="344" headerRowBorderDxfId="345" tableBorderDxfId="343">
  <autoFilter ref="AO2:AU23" xr:uid="{ECDB1F5D-04A4-4F9A-B153-B098A882F17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6F53379-886D-44D0-AD4C-B2B86535162F}" name="Particulars" dataDxfId="342"/>
    <tableColumn id="2" xr3:uid="{3E005170-53D3-4441-96CE-64B154A36CC7}" name="2020" dataDxfId="341"/>
    <tableColumn id="3" xr3:uid="{930A092C-0A3A-4E98-A32C-F72EB9F74FC9}" name="2021" dataDxfId="340"/>
    <tableColumn id="4" xr3:uid="{159262F9-6FEF-4E0C-98DE-FD4BEA4CF864}" name="2022" dataDxfId="339"/>
    <tableColumn id="5" xr3:uid="{2A0ADAB8-4619-42CA-AAC3-A1644A976EAF}" name="2023" dataDxfId="338"/>
    <tableColumn id="6" xr3:uid="{5AB5263C-DE97-42C1-AD3E-851E1031860F}" name="2024" dataDxfId="337"/>
    <tableColumn id="7" xr3:uid="{7585E905-4229-40E0-B5ED-25C997668290}" name="2025" dataDxfId="336"/>
  </tableColumns>
  <tableStyleInfo name="TableStyleMedium2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ACD1EE6-D1D1-440B-AAC9-0EC5F8C17F91}" name="Table19" displayName="Table19" ref="AO25:AU26" totalsRowShown="0" headerRowDxfId="335" dataDxfId="333" headerRowBorderDxfId="334" tableBorderDxfId="332">
  <autoFilter ref="AO25:AU26" xr:uid="{EACD1EE6-D1D1-440B-AAC9-0EC5F8C17F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979915C-A91D-4595-93C8-94C461923860}" name="Earnings per Share" dataDxfId="331"/>
    <tableColumn id="2" xr3:uid="{88198BD0-5229-41CA-B845-7D0744D4C1E9}" name="2020" dataDxfId="330" dataCellStyle="Comma"/>
    <tableColumn id="3" xr3:uid="{5F1FD4E5-5CBD-44C4-B9AD-F8D9DE0CB23D}" name="2021" dataDxfId="329" dataCellStyle="Comma"/>
    <tableColumn id="4" xr3:uid="{1F154221-C4C6-452E-A765-3D0D7D565DFD}" name="2022" dataDxfId="328" dataCellStyle="Comma"/>
    <tableColumn id="5" xr3:uid="{22472304-7713-424B-882A-509792C1F1C8}" name="2023" dataDxfId="327" dataCellStyle="Comma"/>
    <tableColumn id="6" xr3:uid="{2D928F6C-9D3D-456A-968E-DEB5EDA3C536}" name="2024" dataDxfId="326" dataCellStyle="Comma"/>
    <tableColumn id="7" xr3:uid="{A0D313B5-EDEF-40D4-BD6E-74D6FBC3D04F}" name="2025" dataDxfId="325" dataCellStyle="Comma"/>
  </tableColumns>
  <tableStyleInfo name="TableStyleMedium2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24865E2-497C-4E1E-A582-17D20ED972E4}" name="Table26" displayName="Table26" ref="A31:G32" headerRowCount="0" totalsRowShown="0" headerRowDxfId="324" dataDxfId="322" headerRowBorderDxfId="323" tableBorderDxfId="321" totalsRowBorderDxfId="320" headerRowCellStyle="Comma" dataCellStyle="Comma">
  <tableColumns count="7">
    <tableColumn id="1" xr3:uid="{E42AAD19-F413-4E79-AD6D-3979D3909294}" name="Column1" headerRowDxfId="319" dataDxfId="318"/>
    <tableColumn id="2" xr3:uid="{FBCE04DA-6729-435C-A7E4-B9A2386C4A84}" name="Column2" headerRowDxfId="317" dataDxfId="316" headerRowCellStyle="Comma" dataCellStyle="Comma"/>
    <tableColumn id="3" xr3:uid="{53EAF687-BE4D-4067-9FE0-8F650C43E2E5}" name="Column3" headerRowDxfId="315" dataDxfId="314" headerRowCellStyle="Comma" dataCellStyle="Comma"/>
    <tableColumn id="4" xr3:uid="{E0482BCC-781A-48DE-87CB-75FFC8B71F9D}" name="Column4" headerRowDxfId="313" dataDxfId="312" headerRowCellStyle="Comma" dataCellStyle="Comma"/>
    <tableColumn id="5" xr3:uid="{EB30B0AF-6048-4B60-845D-55ADE76A9C27}" name="Column5" headerRowDxfId="311" dataDxfId="310" headerRowCellStyle="Comma" dataCellStyle="Comma"/>
    <tableColumn id="6" xr3:uid="{380CEBB6-D83D-42E5-BA7D-EA0F4B40D024}" name="Column6" headerRowDxfId="309" dataDxfId="308" headerRowCellStyle="Comma" dataCellStyle="Comma"/>
    <tableColumn id="7" xr3:uid="{BA1E1AB4-90AA-40E1-8C96-5540C2923C5C}" name="Column7" headerRowDxfId="307" dataDxfId="306" headerRowCellStyle="Comma" dataCellStyle="Comma"/>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26E17F-CBC1-4A90-BAD4-EC76DF9E735E}" name="Table27" displayName="Table27" ref="I31:O32" headerRowCount="0" totalsRowShown="0" headerRowDxfId="305" dataDxfId="303" headerRowBorderDxfId="304" tableBorderDxfId="302" totalsRowBorderDxfId="301" headerRowCellStyle="Comma" dataCellStyle="Comma">
  <tableColumns count="7">
    <tableColumn id="1" xr3:uid="{0AF4C614-1AA0-4916-B89B-60CF6D15A49D}" name="Column1" headerRowDxfId="300" dataDxfId="299"/>
    <tableColumn id="2" xr3:uid="{79DB9147-83E6-4B7A-8D85-6BD8B16B2D81}" name="Column2" headerRowDxfId="298" dataDxfId="297" headerRowCellStyle="Comma" dataCellStyle="Comma"/>
    <tableColumn id="3" xr3:uid="{561736BA-EF62-49A6-A2B5-70FD273AB619}" name="Column3" headerRowDxfId="296" dataDxfId="295" headerRowCellStyle="Comma" dataCellStyle="Comma"/>
    <tableColumn id="4" xr3:uid="{C70B8495-41C6-42A2-B090-4AB1690CFEB6}" name="Column4" headerRowDxfId="294" dataDxfId="293" headerRowCellStyle="Comma" dataCellStyle="Comma"/>
    <tableColumn id="5" xr3:uid="{857D7F72-ADE7-48A0-91E1-15D7C0C7FE77}" name="Column5" headerRowDxfId="292" dataDxfId="291" headerRowCellStyle="Comma" dataCellStyle="Comma"/>
    <tableColumn id="6" xr3:uid="{63375A4B-80C1-4773-95E1-01CEEA084946}" name="Column6" headerRowDxfId="290" dataDxfId="289" headerRowCellStyle="Comma" dataCellStyle="Comma"/>
    <tableColumn id="7" xr3:uid="{FFE81711-BC53-4E51-B4A2-19BF5CF5890D}" name="Column7" headerRowDxfId="288" dataDxfId="287" headerRowCellStyle="Comma" dataCellStyle="Comma"/>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890038-6701-4F1C-A6AE-485DCE794FFB}" name="Table28" displayName="Table28" ref="Q31:W32" headerRowCount="0" totalsRowShown="0" headerRowDxfId="286" dataDxfId="284" headerRowBorderDxfId="285" tableBorderDxfId="283" totalsRowBorderDxfId="282" headerRowCellStyle="Comma" dataCellStyle="Comma">
  <tableColumns count="7">
    <tableColumn id="1" xr3:uid="{8447320A-49A1-46D4-8EF6-DD728794693F}" name="Column1" headerRowDxfId="281" dataDxfId="280"/>
    <tableColumn id="2" xr3:uid="{29999714-7FEC-4CBE-B7B5-D39DB5953706}" name="Column2" headerRowDxfId="279" dataDxfId="278" headerRowCellStyle="Comma" dataCellStyle="Comma"/>
    <tableColumn id="3" xr3:uid="{E3F8DBB8-AA12-4064-A411-5510D9E4B695}" name="Column3" headerRowDxfId="277" dataDxfId="276" headerRowCellStyle="Comma" dataCellStyle="Comma"/>
    <tableColumn id="4" xr3:uid="{51B2B7A6-1751-4BF2-B8E9-EEADA2B30E98}" name="Column4" headerRowDxfId="275" dataDxfId="274" headerRowCellStyle="Comma" dataCellStyle="Comma"/>
    <tableColumn id="5" xr3:uid="{04832731-8A8C-4869-8E2E-D0780FF3F4A1}" name="Column5" headerRowDxfId="273" dataDxfId="272" headerRowCellStyle="Comma" dataCellStyle="Comma"/>
    <tableColumn id="6" xr3:uid="{829477D4-F04B-4DC3-B83C-D5A3737D1153}" name="Column6" headerRowDxfId="271" dataDxfId="270" headerRowCellStyle="Comma" dataCellStyle="Comma"/>
    <tableColumn id="7" xr3:uid="{61F92C3E-AEE5-4752-818E-6CEAEB5535C9}" name="Column7" headerRowDxfId="269" dataDxfId="268" headerRowCellStyle="Comma" dataCellStyle="Comma"/>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1D33DEC-2D32-49C1-BA75-F1F4F885C34B}" name="Table29" displayName="Table29" ref="AG37:AM38" headerRowCount="0" totalsRowShown="0" headerRowDxfId="267" dataDxfId="265" headerRowBorderDxfId="266" tableBorderDxfId="264" totalsRowBorderDxfId="263" headerRowCellStyle="Comma" dataCellStyle="Comma">
  <tableColumns count="7">
    <tableColumn id="1" xr3:uid="{D14731F6-C442-44E5-8F04-A86BC22F03E9}" name="Column1" headerRowDxfId="262" dataDxfId="261"/>
    <tableColumn id="2" xr3:uid="{42A4016B-53B6-44AE-88EA-43F59F98308C}" name="Column2" headerRowDxfId="260" dataDxfId="259" headerRowCellStyle="Comma" dataCellStyle="Comma"/>
    <tableColumn id="3" xr3:uid="{DD841BE2-418F-4242-91EE-F06117D313C9}" name="Column3" headerRowDxfId="258" dataDxfId="257" headerRowCellStyle="Comma" dataCellStyle="Comma"/>
    <tableColumn id="4" xr3:uid="{74605FD1-C3DB-46CB-8017-992B5CCDFD06}" name="Column4" headerRowDxfId="256" dataDxfId="255" headerRowCellStyle="Comma" dataCellStyle="Comma"/>
    <tableColumn id="5" xr3:uid="{4DDD789E-0BB3-43DC-86F5-846FC47C8130}" name="Column5" headerRowDxfId="254" dataDxfId="253" headerRowCellStyle="Comma" dataCellStyle="Comma"/>
    <tableColumn id="6" xr3:uid="{1BDBEAD8-C003-4DFF-AFF6-78C94FBA0C02}" name="Column6" headerRowDxfId="252" dataDxfId="251" headerRowCellStyle="Comma" dataCellStyle="Comma"/>
    <tableColumn id="7" xr3:uid="{5D41F0EB-C976-43FA-BEF6-635CAD4F9956}" name="Column7" headerRowDxfId="250" dataDxfId="249" headerRowCellStyle="Comma" dataCellStyle="Comma"/>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298074E-4F54-4715-99F8-052873797C63}" name="Table30" displayName="Table30" ref="AO28:AU29" headerRowCount="0" totalsRowShown="0" headerRowDxfId="248" dataDxfId="246" headerRowBorderDxfId="247" tableBorderDxfId="245" totalsRowBorderDxfId="244" headerRowCellStyle="Comma" dataCellStyle="Comma">
  <tableColumns count="7">
    <tableColumn id="1" xr3:uid="{CAD8BD76-BA80-43C7-8761-3418F0F0155D}" name="Column1" headerRowDxfId="243" dataDxfId="242"/>
    <tableColumn id="2" xr3:uid="{1FF4D4F0-E623-4C43-9D77-690E315C8C94}" name="Column2" headerRowDxfId="241" dataDxfId="240" headerRowCellStyle="Comma" dataCellStyle="Comma"/>
    <tableColumn id="3" xr3:uid="{B44741A1-4280-4640-AAA8-F3C0E46202F7}" name="Column3" headerRowDxfId="239" dataDxfId="238" headerRowCellStyle="Comma" dataCellStyle="Comma"/>
    <tableColumn id="4" xr3:uid="{49B46C30-F62E-4BD2-B4F7-E39F5C2A5C48}" name="Column4" headerRowDxfId="237" dataDxfId="236" headerRowCellStyle="Comma" dataCellStyle="Comma"/>
    <tableColumn id="5" xr3:uid="{EB193CFF-5110-4617-9418-2DFA5653C125}" name="Column5" headerRowDxfId="235" dataDxfId="234" headerRowCellStyle="Comma" dataCellStyle="Comma"/>
    <tableColumn id="6" xr3:uid="{3616D77D-08B8-45F0-B894-4E56F3F51033}" name="Column6" headerRowDxfId="233" dataDxfId="232" headerRowCellStyle="Comma" dataCellStyle="Comma"/>
    <tableColumn id="7" xr3:uid="{B59B8C13-F551-442D-A84D-E4083F931F81}" name="Column7" headerRowDxfId="231" dataDxfId="230" headerRowCellStyle="Comma" dataCellStyle="Comma"/>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3D41272-1818-4A0A-94D4-02830FBCEDCA}" name="Table20" displayName="Table20" ref="A2:G62" totalsRowShown="0" headerRowDxfId="229" dataDxfId="227" headerRowBorderDxfId="228" tableBorderDxfId="226">
  <autoFilter ref="A2:G62" xr:uid="{03D41272-1818-4A0A-94D4-02830FBCEDC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6FFBF6-FDA6-44DE-9915-F311FA166B68}" name="Particulars" dataDxfId="225"/>
    <tableColumn id="2" xr3:uid="{C184ECD6-07A2-4E3B-B8EA-BDB4EA8B6329}" name="2020" dataDxfId="224" dataCellStyle="Comma"/>
    <tableColumn id="3" xr3:uid="{1356D6F4-83AF-4059-AAD4-4E975826391C}" name="2021" dataDxfId="223" dataCellStyle="Comma"/>
    <tableColumn id="4" xr3:uid="{3896C58F-5BB9-4DB2-8B23-C23D78CD3C48}" name="2022" dataDxfId="222" dataCellStyle="Comma"/>
    <tableColumn id="5" xr3:uid="{E93C088E-9242-427D-8F69-B7AF26C05DBB}" name="2023" dataDxfId="221" dataCellStyle="Comma"/>
    <tableColumn id="6" xr3:uid="{E3DFA217-4EB3-48DB-B8DB-D8DCA3217CC7}" name="2024" dataDxfId="220" dataCellStyle="Comma"/>
    <tableColumn id="7" xr3:uid="{CCA3FA45-378A-447F-9DC3-20992A16C261}" name="2025" dataDxfId="219" dataCellStyle="Comma"/>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5EC0E16-A8CC-4D81-BECD-EB8E124B5C85}" name="Table21" displayName="Table21" ref="I2:O50" totalsRowShown="0" headerRowDxfId="218" dataDxfId="217" tableBorderDxfId="216">
  <autoFilter ref="I2:O50" xr:uid="{C5EC0E16-A8CC-4D81-BECD-EB8E124B5C8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BBE9B0-A2C2-4D8A-9777-84B484DA6016}" name="Particulars" dataDxfId="215"/>
    <tableColumn id="2" xr3:uid="{704E6AA9-1EFB-4905-A8CF-E852450E4D8E}" name="2020" dataDxfId="214" dataCellStyle="Comma"/>
    <tableColumn id="3" xr3:uid="{B7BB247E-2786-43A8-A22D-871E8450485A}" name="2021" dataDxfId="213" dataCellStyle="Comma"/>
    <tableColumn id="4" xr3:uid="{67734B6F-B04E-47C7-A6A7-3E9160790269}" name="2022" dataDxfId="212" dataCellStyle="Comma"/>
    <tableColumn id="5" xr3:uid="{CC4860A6-5B41-4EEA-A4A7-2BA4AB3391D4}" name="2023" dataDxfId="211" dataCellStyle="Comma"/>
    <tableColumn id="6" xr3:uid="{D8EAF759-2C42-472A-82FC-070D58B089FD}" name="2024" dataDxfId="210" dataCellStyle="Comma"/>
    <tableColumn id="7" xr3:uid="{A1A23210-AAC3-48E0-B8C9-D186D3426672}" name="2025" dataDxfId="209" dataCellStyle="Comma"/>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2D74F58-94DC-4E0D-9C73-B9D585A19EB7}" name="Table22" displayName="Table22" ref="Q2:W45" totalsRowShown="0" headerRowDxfId="208" dataDxfId="206" headerRowBorderDxfId="207" tableBorderDxfId="205">
  <autoFilter ref="Q2:W45" xr:uid="{B2D74F58-94DC-4E0D-9C73-B9D585A19EB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F2F52B-405F-46D2-9573-EB78DC61CA10}" name="Particulars" dataDxfId="204"/>
    <tableColumn id="2" xr3:uid="{8CA75176-F3D4-495E-B14A-A11909B24E89}" name="2020" dataDxfId="203" dataCellStyle="Comma"/>
    <tableColumn id="3" xr3:uid="{5F0E260E-E7D1-4831-B0A2-850978DE6773}" name="2021" dataDxfId="202" dataCellStyle="Comma"/>
    <tableColumn id="4" xr3:uid="{A2226C91-8503-4458-BBD1-AE0F5DD1ECC5}" name="2022" dataDxfId="201" dataCellStyle="Comma"/>
    <tableColumn id="5" xr3:uid="{07737262-52EA-4CD8-8468-FB4339085F82}" name="2023" dataDxfId="200" dataCellStyle="Comma"/>
    <tableColumn id="6" xr3:uid="{1D1014FC-B10D-4726-AEC7-F09B7F566747}" name="2024" dataDxfId="199" dataCellStyle="Comma"/>
    <tableColumn id="7" xr3:uid="{ED55E631-8749-4116-B18B-725E5386CF24}" name="2025" dataDxfId="198" dataCellStyle="Comma"/>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B758EF3-4489-45AB-8266-1FE7DEFDDD40}" name="Table23" displayName="Table23" ref="Y2:AE65" totalsRowShown="0" headerRowDxfId="197" dataDxfId="195" headerRowBorderDxfId="196" tableBorderDxfId="194">
  <autoFilter ref="Y2:AE65" xr:uid="{DB758EF3-4489-45AB-8266-1FE7DEFDDD4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0A5CE8-2C1E-4FCF-A43D-E2954CCF33D4}" name="Particulars" dataDxfId="193"/>
    <tableColumn id="2" xr3:uid="{D48AD21C-854B-485D-A340-242FA0F27F38}" name="2020" dataDxfId="192"/>
    <tableColumn id="3" xr3:uid="{A02A1C74-3748-4AC1-9E99-6A18599C0D10}" name="2021" dataDxfId="191"/>
    <tableColumn id="4" xr3:uid="{64E6F10C-4E3E-408E-A9F8-14244D321D4A}" name="2022" dataDxfId="190"/>
    <tableColumn id="5" xr3:uid="{FF3B475C-ED9E-4CBD-B3FB-B8B839E22F49}" name="2023" dataDxfId="189"/>
    <tableColumn id="6" xr3:uid="{35ABBE9B-B2F6-47A6-A32E-F00D9D5DEBB9}" name="2024" dataDxfId="188"/>
    <tableColumn id="7" xr3:uid="{956BE638-256C-4B17-81AA-635D773F28C3}" name="2025" dataDxfId="187"/>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0673F-DEE0-4D54-B420-12D448002360}" name="Table24" displayName="Table24" ref="AG2:AM58" totalsRowShown="0" headerRowDxfId="186" dataDxfId="184" headerRowBorderDxfId="185" tableBorderDxfId="183">
  <autoFilter ref="AG2:AM58" xr:uid="{29B0673F-DEE0-4D54-B420-12D4480023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7D06372-1B05-406D-A970-E1B4921CD70A}" name="Particulars" dataDxfId="182"/>
    <tableColumn id="2" xr3:uid="{2B603E7A-62D4-4C60-8020-E3601DCE3805}" name="2020" dataDxfId="181"/>
    <tableColumn id="3" xr3:uid="{F148B1C3-FE68-431F-BFB9-F30A4BC314AA}" name="2021" dataDxfId="180"/>
    <tableColumn id="4" xr3:uid="{FD1FD661-B199-437D-811B-11DC66771994}" name="2022" dataDxfId="179"/>
    <tableColumn id="5" xr3:uid="{464D2124-2446-46C1-9240-D80415121DDC}" name="2023" dataDxfId="178"/>
    <tableColumn id="6" xr3:uid="{0A374E5D-896A-41C3-8CAA-3551C2C07F08}" name="2024" dataDxfId="177"/>
    <tableColumn id="7" xr3:uid="{BA6ADCBA-4A3F-487C-B8B3-D76FAB1D9171}" name="2025" dataDxfId="17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778EDA-0217-429F-92A0-83A44EC5B288}" name="Table25" displayName="Table25" ref="AO2:AU42" totalsRowShown="0" headerRowDxfId="175" dataDxfId="173" headerRowBorderDxfId="174" tableBorderDxfId="172">
  <autoFilter ref="AO2:AU42" xr:uid="{8F778EDA-0217-429F-92A0-83A44EC5B2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CC113AF-CD76-4F51-8342-A5343CD1E201}" name="Particulars" dataDxfId="171"/>
    <tableColumn id="2" xr3:uid="{55B6D6FC-8370-48ED-B044-183BC12253B5}" name="2020" dataDxfId="170"/>
    <tableColumn id="3" xr3:uid="{B05B615A-5DA3-41F3-BB9D-C0FF7F19964D}" name="2021" dataDxfId="169"/>
    <tableColumn id="4" xr3:uid="{B369D3F1-03D7-403A-AF53-3CEAF3F0D0B4}" name="2022" dataDxfId="168"/>
    <tableColumn id="5" xr3:uid="{8E81F77F-7CDE-4925-87C3-9CCC2F93909E}" name="2023" dataDxfId="167"/>
    <tableColumn id="6" xr3:uid="{9D33A8F5-7E34-4DB2-8520-8EB428FA733B}" name="2024" dataDxfId="166"/>
    <tableColumn id="7" xr3:uid="{7FEFF78E-6125-402A-B244-0BB9294BDD1A}" name="2025" dataDxfId="165"/>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FA9C667-31AC-442A-973C-8ACA7302DE38}" name="Table32" displayName="Table32" ref="B3:H15" totalsRowShown="0" headerRowDxfId="164" dataDxfId="162" headerRowBorderDxfId="163" tableBorderDxfId="161" totalsRowBorderDxfId="160" dataCellStyle="Percent">
  <autoFilter ref="B3:H15" xr:uid="{1FA9C667-31AC-442A-973C-8ACA7302D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2F09EE-F0B7-4743-843A-1F1A8B39F599}" name="Type" dataDxfId="159"/>
    <tableColumn id="2" xr3:uid="{3E61E68F-313B-4369-B9B9-18DBD5284306}" name="2020" dataDxfId="158" dataCellStyle="Percent"/>
    <tableColumn id="3" xr3:uid="{C08EB85C-0F2B-4029-980D-A65167C30848}" name="2021" dataDxfId="157" dataCellStyle="Percent"/>
    <tableColumn id="4" xr3:uid="{B3356FE3-BC45-4D02-82D6-AB43D109CE18}" name="2022" dataDxfId="156" dataCellStyle="Percent"/>
    <tableColumn id="5" xr3:uid="{41365AB9-816B-496D-A473-D093817FE0CC}" name="2023" dataDxfId="155" dataCellStyle="Percent"/>
    <tableColumn id="6" xr3:uid="{D2E8A4FF-6E38-45A2-A034-7458505DCE42}" name="2024" dataDxfId="154" dataCellStyle="Percent"/>
    <tableColumn id="7" xr3:uid="{7A365AE3-B93B-47EB-B673-8885B419E915}" name="2025" dataDxfId="153" dataCellStyle="Percent"/>
  </tableColumns>
  <tableStyleInfo name="TableStyleMedium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F33D58-D80C-47F4-8229-F815AD6D834B}" name="Table31" displayName="Table31" ref="A6:H22" headerRowCount="0" totalsRowShown="0" headerRowDxfId="152" dataDxfId="151" tableBorderDxfId="150" totalsRowBorderDxfId="149">
  <tableColumns count="8">
    <tableColumn id="1" xr3:uid="{0E7863F8-CCF2-41CF-A6DC-FD5D80223DC4}" name="Column1" headerRowDxfId="148" dataDxfId="147"/>
    <tableColumn id="2" xr3:uid="{9DDB0CC3-40B8-4AAD-BABC-5508C1472E62}" name="Column2" headerRowDxfId="146" dataDxfId="145"/>
    <tableColumn id="3" xr3:uid="{6D2428F2-3E94-421E-A516-88B08F14D9DD}" name="Column3" headerRowDxfId="144" dataDxfId="143"/>
    <tableColumn id="4" xr3:uid="{8A2047EF-5E6E-458E-B42E-ECEE6214AE10}" name="Column4" headerRowDxfId="142" dataDxfId="141"/>
    <tableColumn id="5" xr3:uid="{8EFEDA9F-A056-4FC6-AB28-F9CA39900677}" name="Column5" headerRowDxfId="140" dataDxfId="139"/>
    <tableColumn id="6" xr3:uid="{E90BE825-B0FF-4043-9F94-0EB51D8019CE}" name="Column6" headerRowDxfId="138" dataDxfId="137"/>
    <tableColumn id="7" xr3:uid="{EAF63576-CF73-4C6E-8BD6-AD823E33D6C1}" name="Column7" headerRowDxfId="136" dataDxfId="135"/>
    <tableColumn id="8" xr3:uid="{991B50C3-F3B3-4C2F-BED0-E501A0D08045}" name="Column8" headerRowDxfId="134" dataDxfId="133"/>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C7E7231-D089-4C3B-81E1-D595E19FFF79}" name="Table33" displayName="Table33" ref="A3:H14" totalsRowShown="0" headerRowDxfId="132" dataDxfId="130" headerRowBorderDxfId="131" tableBorderDxfId="129">
  <autoFilter ref="A3:H14" xr:uid="{6C7E7231-D089-4C3B-81E1-D595E19FFF7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7A85B0C-5131-44C2-85ED-DE8FDAD034C8}" name="Year" dataDxfId="128"/>
    <tableColumn id="2" xr3:uid="{ED7D4189-7647-46F9-A40C-DDE845B7513B}" name="2025" dataDxfId="127"/>
    <tableColumn id="3" xr3:uid="{147D2C40-F7FF-465C-8F87-BF0B710269F6}" name="Ratio/Growth" dataDxfId="126" dataCellStyle="Percent"/>
    <tableColumn id="4" xr3:uid="{5E01E386-0DD6-43F4-8D7C-098FACFC68A5}" name="2026" dataDxfId="125"/>
    <tableColumn id="5" xr3:uid="{EA803B99-5327-4145-ACB4-3F61F84F1F73}" name="2027" dataDxfId="124"/>
    <tableColumn id="6" xr3:uid="{E0444271-9929-483F-9ECA-2B78D602FD78}" name="2028" dataDxfId="123"/>
    <tableColumn id="7" xr3:uid="{92F2C49A-5675-47BB-9B74-2C1CB6AC28C8}" name="2029" dataDxfId="122"/>
    <tableColumn id="8" xr3:uid="{4928BD54-5CF1-4E24-96EF-C5655E0F3CFB}" name="2030" dataDxfId="121"/>
  </tableColumns>
  <tableStyleInfo name="TableStyleMedium1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4C2213D-D664-4E9A-BB9C-32C4C208080C}" name="Table34" displayName="Table34" ref="A16:B26" totalsRowShown="0" headerRowDxfId="120" tableBorderDxfId="119">
  <autoFilter ref="A16:B26" xr:uid="{04C2213D-D664-4E9A-BB9C-32C4C208080C}">
    <filterColumn colId="0" hiddenButton="1"/>
    <filterColumn colId="1" hiddenButton="1"/>
  </autoFilter>
  <tableColumns count="2">
    <tableColumn id="1" xr3:uid="{FFF586C9-C85B-4825-AC85-C0885B2DCB15}" name="Parameter" dataDxfId="118"/>
    <tableColumn id="2" xr3:uid="{2907989F-6D88-4014-90ED-9F5475A66754}" name="Value" dataDxfId="117" dataCellStyle="Comma"/>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AEC56EF-C17A-4D6F-9850-F21FFD7B20DA}" name="Table35" displayName="Table35" ref="J3:Q14" totalsRowShown="0" headerRowDxfId="116" dataDxfId="114" headerRowBorderDxfId="115" tableBorderDxfId="113">
  <autoFilter ref="J3:Q14" xr:uid="{FAEC56EF-C17A-4D6F-9850-F21FFD7B20D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53F94E7-1DB5-4420-A8FD-975EDF0FFE4F}" name="Year" dataDxfId="112"/>
    <tableColumn id="2" xr3:uid="{2CD29B8F-2238-4A5D-BDA8-112C2D5C3453}" name="2025" dataDxfId="111" dataCellStyle="Comma"/>
    <tableColumn id="3" xr3:uid="{C6487300-9249-4722-B3D5-1D9A8DF3BC56}" name="Ratio/Growth" dataDxfId="110" dataCellStyle="Percent"/>
    <tableColumn id="4" xr3:uid="{634B6E16-E920-4C46-84F5-BD9978A58908}" name="2026" dataDxfId="109" dataCellStyle="Comma"/>
    <tableColumn id="5" xr3:uid="{419A78A4-8E4B-46A3-AF58-D2FA3AF6B02C}" name="2027" dataDxfId="108" dataCellStyle="Comma"/>
    <tableColumn id="6" xr3:uid="{2F3C8155-F832-4113-A390-E8197832802A}" name="2028" dataDxfId="107" dataCellStyle="Comma"/>
    <tableColumn id="7" xr3:uid="{36DADD74-BAA3-438E-9A22-3F425150B09B}" name="2029" dataDxfId="106" dataCellStyle="Comma"/>
    <tableColumn id="8" xr3:uid="{783D56A8-B4AC-4B4E-9CF5-4ED12BD3912D}" name="2030" dataDxfId="105" dataCellStyle="Comma"/>
  </tableColumns>
  <tableStyleInfo name="TableStyleMedium16"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DC79A3A-485B-40C0-B41A-E70D1B372CDE}" name="Table3438" displayName="Table3438" ref="J16:K26" totalsRowShown="0" headerRowDxfId="104" tableBorderDxfId="103">
  <autoFilter ref="J16:K26" xr:uid="{0DC79A3A-485B-40C0-B41A-E70D1B372CDE}">
    <filterColumn colId="0" hiddenButton="1"/>
    <filterColumn colId="1" hiddenButton="1"/>
  </autoFilter>
  <tableColumns count="2">
    <tableColumn id="1" xr3:uid="{E0BAE04F-1707-4330-938F-CFD4231AF06B}" name="Parameter" dataDxfId="102"/>
    <tableColumn id="2" xr3:uid="{D4D938AD-DA8E-4A5F-8124-31DAD34A147F}" name="Value" dataDxfId="101" dataCellStyle="Comma"/>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F452A33-C83D-4284-BA9B-B486D1FBA67B}" name="Table38" displayName="Table38" ref="S3:Z14" totalsRowShown="0" headerRowDxfId="100" dataDxfId="99" tableBorderDxfId="98">
  <autoFilter ref="S3:Z14" xr:uid="{3F452A33-C83D-4284-BA9B-B486D1FBA67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0C67924-659F-4686-A752-95DEB6324438}" name="Year" dataDxfId="97"/>
    <tableColumn id="2" xr3:uid="{CB5EEBC7-8D5A-403B-A810-AE089639F008}" name="2025" dataDxfId="96" dataCellStyle="Comma"/>
    <tableColumn id="3" xr3:uid="{95267F0B-DCB5-4F0A-958F-198AA459C201}" name="Ratio/Growth" dataDxfId="95" dataCellStyle="Percent"/>
    <tableColumn id="4" xr3:uid="{D4F0575D-5297-470A-821D-BE397FC1B319}" name="2026" dataDxfId="94" dataCellStyle="Comma"/>
    <tableColumn id="5" xr3:uid="{5ADADDC8-1A64-4834-B8B4-6D90FB9EC375}" name="2027" dataDxfId="93" dataCellStyle="Comma"/>
    <tableColumn id="6" xr3:uid="{38B5EBA9-A532-4115-BBE3-D7DCAA46DC99}" name="2028" dataDxfId="92" dataCellStyle="Comma"/>
    <tableColumn id="7" xr3:uid="{FFA4A8AB-1297-45B2-A2AA-C2233BCE55F4}" name="2029" dataDxfId="91" dataCellStyle="Comma"/>
    <tableColumn id="8" xr3:uid="{B48A864B-3393-47DD-95C7-C41CD5D9B4F9}" name="2030" dataDxfId="90" dataCellStyle="Comma"/>
  </tableColumns>
  <tableStyleInfo name="TableStyleMedium1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17B476B-50F4-4970-9C18-CE2E2190478B}" name="Table343840" displayName="Table343840" ref="S16:T26" totalsRowShown="0" headerRowDxfId="89" tableBorderDxfId="88">
  <autoFilter ref="S16:T26" xr:uid="{117B476B-50F4-4970-9C18-CE2E2190478B}">
    <filterColumn colId="0" hiddenButton="1"/>
    <filterColumn colId="1" hiddenButton="1"/>
  </autoFilter>
  <tableColumns count="2">
    <tableColumn id="1" xr3:uid="{0F8263F8-68A7-4A21-866F-ACDF1A34F7D2}" name="Parameter" dataDxfId="87"/>
    <tableColumn id="2" xr3:uid="{E4610640-09AF-42EE-96B4-AD95FD5E8D0B}" name="Value" dataDxfId="86" dataCellStyle="Comma"/>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8A03C48-6D4F-4F1B-8B0F-3F8FD3E73C58}" name="Table40" displayName="Table40" ref="AB3:AI14" totalsRowShown="0" headerRowDxfId="85" dataDxfId="84" tableBorderDxfId="83">
  <autoFilter ref="AB3:AI14" xr:uid="{78A03C48-6D4F-4F1B-8B0F-3F8FD3E73C5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F2337F6-75B8-410C-A528-C7C0073EFF05}" name="Year" dataDxfId="82"/>
    <tableColumn id="2" xr3:uid="{9F1F0B4C-6CC5-46F5-A1BF-2CBF646A12A6}" name="2025" dataDxfId="81" dataCellStyle="Comma"/>
    <tableColumn id="3" xr3:uid="{56808DE6-1655-4CC0-97D7-0B4D9C056F8A}" name="Ratio/Growth" dataDxfId="80" dataCellStyle="Percent"/>
    <tableColumn id="4" xr3:uid="{B9ED306F-0DF1-454A-A128-5A64F696CF2C}" name="2026" dataDxfId="79" dataCellStyle="Comma"/>
    <tableColumn id="5" xr3:uid="{6D47C934-658D-4707-834A-5904ABE8842A}" name="2027" dataDxfId="78" dataCellStyle="Comma"/>
    <tableColumn id="6" xr3:uid="{2324C5B9-91B0-4C95-9304-FD8439FC2677}" name="2028" dataDxfId="77" dataCellStyle="Comma"/>
    <tableColumn id="7" xr3:uid="{D04CCD86-A0A4-4C6D-9C5B-38D11D0C65FA}" name="2029" dataDxfId="76" dataCellStyle="Comma"/>
    <tableColumn id="8" xr3:uid="{8813863D-9444-476F-B499-72888FAC3A75}" name="2030" dataDxfId="75" dataCellStyle="Comma"/>
  </tableColumns>
  <tableStyleInfo name="TableStyleMedium1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1BFB384-7BF7-49F6-932C-C42FFC8B6081}" name="Table34384043" displayName="Table34384043" ref="AB16:AC26" totalsRowShown="0" headerRowDxfId="74" tableBorderDxfId="73">
  <autoFilter ref="AB16:AC26" xr:uid="{31BFB384-7BF7-49F6-932C-C42FFC8B6081}">
    <filterColumn colId="0" hiddenButton="1"/>
    <filterColumn colId="1" hiddenButton="1"/>
  </autoFilter>
  <tableColumns count="2">
    <tableColumn id="1" xr3:uid="{3C3D6F0A-013D-40B9-85F4-6FFFCEE57079}" name="Parameter" dataDxfId="72"/>
    <tableColumn id="2" xr3:uid="{DC037423-6F63-41DE-A226-F770FF7F079B}" name="Value" dataDxfId="71" dataCellStyle="Comma"/>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37618A-5C0A-4770-BCED-EC2E3B1C1A77}" name="Table36" displayName="Table36" ref="AK3:AR14" totalsRowShown="0" headerRowDxfId="70" dataDxfId="69" tableBorderDxfId="68">
  <autoFilter ref="AK3:AR14" xr:uid="{3E37618A-5C0A-4770-BCED-EC2E3B1C1A7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911E4E-E9F1-46BD-862F-FDD91A32CBC5}" name="Year" dataDxfId="67"/>
    <tableColumn id="2" xr3:uid="{874ECCC4-99DA-41A6-BCFD-33425DE17C38}" name="2025" dataDxfId="66" dataCellStyle="Comma"/>
    <tableColumn id="3" xr3:uid="{64495359-87C7-450C-A455-76D0317EFE96}" name="Ratio/Growth" dataDxfId="65" dataCellStyle="Percent"/>
    <tableColumn id="4" xr3:uid="{F59F72C9-CD44-46F3-91CB-F897D08A59B0}" name="2026" dataDxfId="64" dataCellStyle="Comma"/>
    <tableColumn id="5" xr3:uid="{A2C0C397-19C7-4682-8369-2FB3557B2A4F}" name="2027" dataDxfId="63" dataCellStyle="Comma"/>
    <tableColumn id="6" xr3:uid="{26178D9D-7D3E-420B-BC37-CC5F717C3B03}" name="2028" dataDxfId="62" dataCellStyle="Comma"/>
    <tableColumn id="7" xr3:uid="{19E97E80-D9AF-4DA4-B954-B8421A9EC06C}" name="2029" dataDxfId="61" dataCellStyle="Comma"/>
    <tableColumn id="8" xr3:uid="{E7552750-DCDD-4B12-8E30-DD9F3E7267DB}" name="2030" dataDxfId="60" dataCellStyle="Comma"/>
  </tableColumns>
  <tableStyleInfo name="TableStyleMedium1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806A201-926F-4ED0-81D4-7BBB8450E388}" name="Table3438404344" displayName="Table3438404344" ref="AK16:AL26" totalsRowShown="0" headerRowDxfId="59" tableBorderDxfId="58">
  <autoFilter ref="AK16:AL26" xr:uid="{7806A201-926F-4ED0-81D4-7BBB8450E388}">
    <filterColumn colId="0" hiddenButton="1"/>
    <filterColumn colId="1" hiddenButton="1"/>
  </autoFilter>
  <tableColumns count="2">
    <tableColumn id="1" xr3:uid="{C3FA2FFA-C5BC-471E-BF42-F4C24E64DFA9}" name="Parameter" dataDxfId="57"/>
    <tableColumn id="2" xr3:uid="{38B02BB6-6C6A-4ADD-9E09-9F9C8CF20D95}" name="Value" dataDxfId="56" dataCellStyle="Comma"/>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DA46F9D-64D2-470D-9056-7A30FD0553DC}" name="Table44" displayName="Table44" ref="AT3:BA14" totalsRowShown="0" headerRowDxfId="55" dataDxfId="54" tableBorderDxfId="53">
  <autoFilter ref="AT3:BA14" xr:uid="{2DA46F9D-64D2-470D-9056-7A30FD0553D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4C81A47-6E71-4782-A672-83E3C08373CD}" name="Year" dataDxfId="52"/>
    <tableColumn id="2" xr3:uid="{045416D0-7942-4E69-A343-45E8F1C96B4E}" name="2025" dataDxfId="51" dataCellStyle="Comma"/>
    <tableColumn id="3" xr3:uid="{8D4293BC-1A17-42D6-9FAC-D07E28358155}" name="Ratio/Growth" dataDxfId="50" dataCellStyle="Percent"/>
    <tableColumn id="4" xr3:uid="{FCB00E84-CFA8-477C-9974-DEDDD0D2D56A}" name="2026" dataDxfId="49" dataCellStyle="Comma"/>
    <tableColumn id="5" xr3:uid="{83885A25-E92D-4834-A3A1-886977DD3275}" name="2027" dataDxfId="48" dataCellStyle="Comma"/>
    <tableColumn id="6" xr3:uid="{F6003DF7-9D63-4900-B356-3384867A0A1A}" name="2028" dataDxfId="47" dataCellStyle="Comma"/>
    <tableColumn id="7" xr3:uid="{D0ECE6A2-AD23-4BC1-B2E0-AEBEAAD38A01}" name="2029" dataDxfId="46" dataCellStyle="Comma"/>
    <tableColumn id="8" xr3:uid="{40988DAC-4D2D-4757-8078-85888DC25700}" name="2030" dataDxfId="45" dataCellStyle="Comma"/>
  </tableColumns>
  <tableStyleInfo name="TableStyleMedium16"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2AA098F-6648-4AE0-AA79-AEFF2517EE8B}" name="Table343840434447" displayName="Table343840434447" ref="AT16:AU25" totalsRowShown="0" headerRowDxfId="44" tableBorderDxfId="43">
  <autoFilter ref="AT16:AU25" xr:uid="{02AA098F-6648-4AE0-AA79-AEFF2517EE8B}">
    <filterColumn colId="0" hiddenButton="1"/>
    <filterColumn colId="1" hiddenButton="1"/>
  </autoFilter>
  <tableColumns count="2">
    <tableColumn id="1" xr3:uid="{6FA22097-0C5E-40A9-8EBD-DF44B201D2A7}" name="Parameter" dataDxfId="42"/>
    <tableColumn id="2" xr3:uid="{496D75C9-B023-4DB1-8A56-26815DA9AF7E}" name="Value" dataDxfId="41" dataCellStyle="Comma"/>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8A0ECFD-D2E8-45AE-82AF-46D2130DB41A}" name="Table41" displayName="Table41" ref="A1:D30" totalsRowCount="1" headerRowDxfId="40" dataDxfId="39" tableBorderDxfId="38">
  <autoFilter ref="A1:D29" xr:uid="{58A0ECFD-D2E8-45AE-82AF-46D2130DB41A}">
    <filterColumn colId="0" hiddenButton="1"/>
    <filterColumn colId="1" hiddenButton="1"/>
    <filterColumn colId="2" hiddenButton="1"/>
    <filterColumn colId="3" hiddenButton="1"/>
  </autoFilter>
  <tableColumns count="4">
    <tableColumn id="1" xr3:uid="{1D55121F-B2AC-4570-8D69-C5F412A18187}" name="Year" dataDxfId="37" totalsRowDxfId="36"/>
    <tableColumn id="2" xr3:uid="{F49FF59A-7B8A-4521-8284-1D07D5996220}" name="Particulars" dataDxfId="35" totalsRowDxfId="34"/>
    <tableColumn id="3" xr3:uid="{85325EF9-113D-4E0A-ABCF-B2DE076303B0}" name="Company" totalsRowDxfId="33"/>
    <tableColumn id="4" xr3:uid="{402A5C86-F609-46C9-996F-6E7E452F7A54}" name="Amount" dataDxfId="32" totalsRowDxfId="31" dataCellStyle="Percent"/>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6630EEF-990B-4E49-B8C3-1D289AD3D6F5}" name="Table45" displayName="Table45" ref="F1:O8" totalsRowShown="0" headerRowDxfId="30" dataDxfId="28" headerRowBorderDxfId="29" tableBorderDxfId="27" totalsRowBorderDxfId="26">
  <autoFilter ref="F1:O8" xr:uid="{36630EEF-990B-4E49-B8C3-1D289AD3D6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ED1B4BF-163D-4DD6-B07A-C46DB00C3430}" name="Company" dataDxfId="25"/>
    <tableColumn id="2" xr3:uid="{BF6A2D23-AD2F-4BDD-A4CC-FF27D6179A3C}" name="Change in EBIT (Historical)" dataDxfId="24"/>
    <tableColumn id="3" xr3:uid="{5DA6CD0F-6EB8-4232-AA7B-3D432CEC93FB}" name="Change in CE" dataDxfId="23"/>
    <tableColumn id="4" xr3:uid="{8C9DAFA7-D704-47A9-B9F6-F2B0BEC50F85}" name="Incremental ROCE (Historical)" dataDxfId="22" dataCellStyle="Percent"/>
    <tableColumn id="5" xr3:uid="{F0D84D8F-D16A-42BF-9410-E0C82CA34E7A}" name="Change in EBIT (Forecast)" dataDxfId="21"/>
    <tableColumn id="6" xr3:uid="{D8F0286D-23C7-4130-9EDC-94F3590CAE82}" name="Capex" dataDxfId="20"/>
    <tableColumn id="7" xr3:uid="{AA57F20C-E3D9-4390-A80F-3EBDEA117228}" name="Depreciation" dataDxfId="19"/>
    <tableColumn id="8" xr3:uid="{407C1491-8392-42E6-88BB-37ACD3BAD5F4}" name="Effective Capital" dataDxfId="18"/>
    <tableColumn id="9" xr3:uid="{FD5304D1-ABD6-4D35-9606-FBD61659B76C}" name="Raw ROCE (Forecast)" dataDxfId="17" dataCellStyle="Percent"/>
    <tableColumn id="10" xr3:uid="{39660452-2095-4745-86B1-28C72D19BF49}" name="Adjusted ROCE (Forecast)"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table" Target="../tables/table8.xml"/><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12" Type="http://schemas.openxmlformats.org/officeDocument/2006/relationships/table" Target="../tables/table44.xml"/><Relationship Id="rId2" Type="http://schemas.openxmlformats.org/officeDocument/2006/relationships/table" Target="../tables/table34.xml"/><Relationship Id="rId1" Type="http://schemas.openxmlformats.org/officeDocument/2006/relationships/table" Target="../tables/table33.xml"/><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selection activeCell="I10" sqref="I10"/>
    </sheetView>
  </sheetViews>
  <sheetFormatPr defaultRowHeight="14.4" x14ac:dyDescent="0.3"/>
  <cols>
    <col min="1" max="1" width="29.44140625" style="2" bestFit="1" customWidth="1"/>
    <col min="2" max="2" width="20.44140625" style="3" bestFit="1" customWidth="1"/>
    <col min="3" max="3" width="20.77734375" style="3" bestFit="1" customWidth="1"/>
    <col min="4" max="4" width="25.77734375" style="3" bestFit="1" customWidth="1"/>
    <col min="5" max="5" width="27.77734375" style="3" bestFit="1" customWidth="1"/>
    <col min="6" max="6" width="25.77734375" style="3" bestFit="1" customWidth="1"/>
    <col min="7" max="7" width="17.6640625" style="2" customWidth="1"/>
    <col min="8" max="16384" width="8.88671875" style="2"/>
  </cols>
  <sheetData>
    <row r="1" spans="1:7" ht="29.4" thickBot="1" x14ac:dyDescent="0.35">
      <c r="A1" s="1" t="s">
        <v>0</v>
      </c>
    </row>
    <row r="2" spans="1:7" ht="46.8" customHeight="1" x14ac:dyDescent="0.3">
      <c r="A2" s="13" t="s">
        <v>1</v>
      </c>
      <c r="B2" s="14" t="e" vm="1">
        <v>#VALUE!</v>
      </c>
      <c r="C2" s="14" t="e" vm="2">
        <v>#VALUE!</v>
      </c>
      <c r="D2" s="14" t="e" vm="3">
        <v>#VALUE!</v>
      </c>
      <c r="E2" s="14" t="e" vm="4">
        <v>#VALUE!</v>
      </c>
      <c r="F2" s="14" t="e" vm="5">
        <v>#VALUE!</v>
      </c>
      <c r="G2" s="107" t="e" vm="6">
        <v>#VALUE!</v>
      </c>
    </row>
    <row r="3" spans="1:7" ht="43.2" x14ac:dyDescent="0.3">
      <c r="A3" s="15" t="s">
        <v>2</v>
      </c>
      <c r="B3" s="8" t="e" vm="7">
        <v>#VALUE!</v>
      </c>
      <c r="C3" s="8" t="e" vm="8">
        <v>#VALUE!</v>
      </c>
      <c r="D3" s="8" t="e" vm="9">
        <v>#VALUE!</v>
      </c>
      <c r="E3" s="8" t="e" vm="10">
        <v>#VALUE!</v>
      </c>
      <c r="F3" s="8" t="e" vm="11">
        <v>#VALUE!</v>
      </c>
      <c r="G3" s="108" t="s">
        <v>198</v>
      </c>
    </row>
    <row r="4" spans="1:7" s="5" customFormat="1" x14ac:dyDescent="0.3">
      <c r="A4" s="15" t="s">
        <v>3</v>
      </c>
      <c r="B4" s="8" t="str" cm="1">
        <f t="array" aca="1" ref="B4" ca="1">_FV(B3,"Ticker symbol",TRUE)</f>
        <v>BHARTIARTL</v>
      </c>
      <c r="C4" s="8" t="str" cm="1">
        <f t="array" aca="1" ref="C4" ca="1">_FV(C3,"Ticker symbol",TRUE)</f>
        <v>INDUSTOWER</v>
      </c>
      <c r="D4" s="8" t="str" cm="1">
        <f t="array" aca="1" ref="D4" ca="1">_FV(D3,"Ticker symbol",TRUE)</f>
        <v>RAILTEL</v>
      </c>
      <c r="E4" s="8" t="str" cm="1">
        <f t="array" aca="1" ref="E4" ca="1">_FV(E3,"Ticker symbol",TRUE)</f>
        <v>500483</v>
      </c>
      <c r="F4" s="8" t="str" cm="1">
        <f t="array" aca="1" ref="F4" ca="1">_FV(F3,"Ticker symbol",TRUE)</f>
        <v>532822</v>
      </c>
      <c r="G4" s="17" t="s">
        <v>199</v>
      </c>
    </row>
    <row r="5" spans="1:7" s="5" customFormat="1" x14ac:dyDescent="0.3">
      <c r="A5" s="15" t="s">
        <v>4</v>
      </c>
      <c r="B5" s="9" cm="1">
        <f t="array" aca="1" ref="B5" ca="1">_FV(B3,"Employees")</f>
        <v>28701</v>
      </c>
      <c r="C5" s="9" cm="1">
        <f t="array" aca="1" ref="C5" ca="1">_FV(C3,"Employees")</f>
        <v>3732</v>
      </c>
      <c r="D5" s="9" cm="1">
        <f t="array" aca="1" ref="D5" ca="1">_FV(D3,"Employees")</f>
        <v>530</v>
      </c>
      <c r="E5" s="9" cm="1">
        <f t="array" aca="1" ref="E5" ca="1">_FV(E3,"Employees")</f>
        <v>13047</v>
      </c>
      <c r="F5" s="9" cm="1">
        <f t="array" aca="1" ref="F5" ca="1">_FV(F3,"Employees")</f>
        <v>9985</v>
      </c>
      <c r="G5" s="16">
        <v>90067</v>
      </c>
    </row>
    <row r="6" spans="1:7" x14ac:dyDescent="0.3">
      <c r="A6" s="15" t="s">
        <v>5</v>
      </c>
      <c r="B6" s="9">
        <v>399560000</v>
      </c>
      <c r="C6" s="9">
        <v>411200</v>
      </c>
      <c r="D6" s="9">
        <v>460000</v>
      </c>
      <c r="E6" s="9">
        <v>7000</v>
      </c>
      <c r="F6" s="9">
        <v>197700000</v>
      </c>
      <c r="G6" s="16">
        <v>463780000</v>
      </c>
    </row>
    <row r="7" spans="1:7" s="5" customFormat="1" x14ac:dyDescent="0.3">
      <c r="A7" s="15" t="s">
        <v>6</v>
      </c>
      <c r="B7" s="10" cm="1">
        <f t="array" aca="1" ref="B7" ca="1">_FV(B3,"Price")</f>
        <v>2019.8</v>
      </c>
      <c r="C7" s="10" cm="1">
        <f t="array" aca="1" ref="C7" ca="1">_FV(C3,"Price")</f>
        <v>398.75</v>
      </c>
      <c r="D7" s="10" cm="1">
        <f t="array" aca="1" ref="D7" ca="1">_FV(D3,"Price")</f>
        <v>349.25</v>
      </c>
      <c r="E7" s="10" cm="1">
        <f t="array" aca="1" ref="E7" ca="1">_FV(E3,"Price")</f>
        <v>1849.85</v>
      </c>
      <c r="F7" s="10" cm="1">
        <f t="array" aca="1" ref="F7" ca="1">_FV(F3,"Price")</f>
        <v>9.51</v>
      </c>
      <c r="G7" s="17" t="s">
        <v>199</v>
      </c>
    </row>
    <row r="8" spans="1:7" x14ac:dyDescent="0.3">
      <c r="A8" s="15" t="s">
        <v>7</v>
      </c>
      <c r="B8" s="9" cm="1">
        <f t="array" aca="1" ref="B8" ca="1">_FV(B3,"Shares outstanding",TRUE)</f>
        <v>6091080000</v>
      </c>
      <c r="C8" s="9" cm="1">
        <f t="array" aca="1" ref="C8" ca="1">_FV(C3,"Shares outstanding",TRUE)</f>
        <v>2637135000</v>
      </c>
      <c r="D8" s="9" cm="1">
        <f t="array" aca="1" ref="D8" ca="1">_FV(D3,"Shares outstanding",TRUE)</f>
        <v>320938400</v>
      </c>
      <c r="E8" s="9" cm="1">
        <f t="array" aca="1" ref="E8" ca="1">_FV(E3,"Shares outstanding",TRUE)</f>
        <v>285000000</v>
      </c>
      <c r="F8" s="9" cm="1">
        <f t="array" aca="1" ref="F8" ca="1">_FV(F3,"Shares outstanding",TRUE)</f>
        <v>108343000000</v>
      </c>
      <c r="G8" s="17" t="s">
        <v>199</v>
      </c>
    </row>
    <row r="9" spans="1:7" x14ac:dyDescent="0.3">
      <c r="A9" s="15" t="s">
        <v>8</v>
      </c>
      <c r="B9" s="10" cm="1">
        <f t="array" aca="1" ref="B9" ca="1">_FV(B3,"Market cap",TRUE)</f>
        <v>11993430000000</v>
      </c>
      <c r="C9" s="10" cm="1">
        <f t="array" aca="1" ref="C9" ca="1">_FV(C3,"Market cap",TRUE)</f>
        <v>1056964000000</v>
      </c>
      <c r="D9" s="10" cm="1">
        <f t="array" aca="1" ref="D9" ca="1">_FV(D3,"Market cap",TRUE)</f>
        <v>112858000000</v>
      </c>
      <c r="E9" s="10" cm="1">
        <f t="array" aca="1" ref="E9" ca="1">_FV(E3,"Market cap",TRUE)</f>
        <v>527079000000</v>
      </c>
      <c r="F9" s="10" cm="1">
        <f t="array" aca="1" ref="F9" ca="1">_FV(F3,"Market cap",TRUE)</f>
        <v>1041177000000</v>
      </c>
      <c r="G9" s="17"/>
    </row>
    <row r="10" spans="1:7" x14ac:dyDescent="0.3">
      <c r="A10" s="15" t="s">
        <v>9</v>
      </c>
      <c r="B10" s="11" cm="1">
        <f t="array" aca="1" ref="B10" ca="1">_FV(B3,"Change (%)",TRUE)</f>
        <v>9.2940000000000002E-3</v>
      </c>
      <c r="C10" s="11" cm="1">
        <f t="array" aca="1" ref="C10" ca="1">_FV(C3,"Change (%)",TRUE)</f>
        <v>-5.1149999999999998E-3</v>
      </c>
      <c r="D10" s="11" cm="1">
        <f t="array" aca="1" ref="D10" ca="1">_FV(D3,"Change (%)",TRUE)</f>
        <v>-6.8250000000000003E-3</v>
      </c>
      <c r="E10" s="11" cm="1">
        <f t="array" aca="1" ref="E10" ca="1">_FV(E3,"Change (%)",TRUE)</f>
        <v>2.703E-5</v>
      </c>
      <c r="F10" s="11" cm="1">
        <f t="array" aca="1" ref="F10" ca="1">_FV(F3,"Change (%)",TRUE)</f>
        <v>-1.0406E-2</v>
      </c>
      <c r="G10" s="17"/>
    </row>
    <row r="11" spans="1:7" x14ac:dyDescent="0.3">
      <c r="A11" s="15" t="s">
        <v>10</v>
      </c>
      <c r="B11" s="10" cm="1">
        <f t="array" aca="1" ref="B11" ca="1">_FV(B3,"Beta")</f>
        <v>0.74639999999999995</v>
      </c>
      <c r="C11" s="10" cm="1">
        <f t="array" aca="1" ref="C11" ca="1">_FV(C3,"Beta")</f>
        <v>1.0382</v>
      </c>
      <c r="D11" s="10" cm="1">
        <f t="array" aca="1" ref="D11" ca="1">_FV(D3,"Beta")</f>
        <v>1.3204</v>
      </c>
      <c r="E11" s="10" cm="1">
        <f t="array" aca="1" ref="E11" ca="1">_FV(E3,"Beta")</f>
        <v>1.4164000000000001</v>
      </c>
      <c r="F11" s="10" cm="1">
        <f t="array" aca="1" ref="F11" ca="1">_FV(F3,"Beta")</f>
        <v>0.97570000000000001</v>
      </c>
      <c r="G11" s="17"/>
    </row>
    <row r="12" spans="1:7" ht="28.8" x14ac:dyDescent="0.3">
      <c r="A12" s="15" t="s">
        <v>11</v>
      </c>
      <c r="B12" s="10" t="str" cm="1">
        <f t="array" aca="1" ref="B12" ca="1">_FV(B3,"Industry")</f>
        <v>Telecommunications Services</v>
      </c>
      <c r="C12" s="10" t="str" cm="1">
        <f t="array" aca="1" ref="C12" ca="1">_FV(C3,"Industry")</f>
        <v>Telecommunications Services</v>
      </c>
      <c r="D12" s="10" t="str" cm="1">
        <f t="array" aca="1" ref="D12" ca="1">_FV(D3,"Industry")</f>
        <v>Telecommunications Services</v>
      </c>
      <c r="E12" s="10" t="str" cm="1">
        <f t="array" aca="1" ref="E12" ca="1">_FV(E3,"Industry")</f>
        <v>Telecommunications Services</v>
      </c>
      <c r="F12" s="10" t="str" cm="1">
        <f t="array" aca="1" ref="F12" ca="1">_FV(F3,"Industry")</f>
        <v>Telecommunications Services</v>
      </c>
      <c r="G12" s="17" t="s">
        <v>200</v>
      </c>
    </row>
    <row r="13" spans="1:7" x14ac:dyDescent="0.3">
      <c r="A13" s="15" t="s">
        <v>13</v>
      </c>
      <c r="B13" s="10" cm="1">
        <f t="array" aca="1" ref="B13" ca="1">_FV(B3,"P/E",TRUE)</f>
        <v>30.35</v>
      </c>
      <c r="C13" s="10" cm="1">
        <f t="array" aca="1" ref="C13" ca="1">_FV(C3,"P/E",TRUE)</f>
        <v>11.24</v>
      </c>
      <c r="D13" s="10" cm="1">
        <f t="array" aca="1" ref="D13" ca="1">_FV(D3,"P/E",TRUE)</f>
        <v>34.96</v>
      </c>
      <c r="E13" s="10" cm="1">
        <f t="array" aca="1" ref="E13" ca="1">_FV(E3,"P/E",TRUE)</f>
        <v>36.909999999999997</v>
      </c>
      <c r="F13" s="10">
        <v>0</v>
      </c>
      <c r="G13" s="17">
        <v>0</v>
      </c>
    </row>
    <row r="14" spans="1:7" ht="15" thickBot="1" x14ac:dyDescent="0.35">
      <c r="A14" s="18" t="s">
        <v>12</v>
      </c>
      <c r="B14" s="19" cm="1">
        <f t="array" aca="1" ref="B14" ca="1">_FV(B3,"Year incorporated",TRUE)</f>
        <v>1995</v>
      </c>
      <c r="C14" s="19" cm="1">
        <f t="array" aca="1" ref="C14" ca="1">_FV(C3,"Year incorporated",TRUE)</f>
        <v>2006</v>
      </c>
      <c r="D14" s="19" cm="1">
        <f t="array" aca="1" ref="D14" ca="1">_FV(D3,"Year incorporated",TRUE)</f>
        <v>2000</v>
      </c>
      <c r="E14" s="19" cm="1">
        <f t="array" aca="1" ref="E14" ca="1">_FV(E3,"Year incorporated",TRUE)</f>
        <v>1986</v>
      </c>
      <c r="F14" s="19" cm="1">
        <f t="array" aca="1" ref="F14" ca="1">_FV(F3,"Year incorporated",TRUE)</f>
        <v>1995</v>
      </c>
      <c r="G14" s="109">
        <v>2007</v>
      </c>
    </row>
    <row r="15" spans="1:7" x14ac:dyDescent="0.3">
      <c r="B15" s="4"/>
      <c r="C15" s="4"/>
      <c r="D15" s="4"/>
      <c r="E15" s="4"/>
      <c r="F15" s="4"/>
    </row>
    <row r="16" spans="1:7" x14ac:dyDescent="0.3">
      <c r="B16" s="4"/>
      <c r="C16" s="4"/>
      <c r="D16" s="4"/>
      <c r="E16" s="4"/>
      <c r="F16" s="4"/>
    </row>
    <row r="17" spans="2:6" x14ac:dyDescent="0.3">
      <c r="B17" s="4"/>
      <c r="C17" s="4"/>
      <c r="D17" s="4"/>
      <c r="E17" s="4"/>
      <c r="F17" s="4"/>
    </row>
    <row r="18" spans="2:6" x14ac:dyDescent="0.3">
      <c r="B18" s="4"/>
      <c r="C18" s="4"/>
      <c r="D18" s="4"/>
      <c r="E18" s="4"/>
      <c r="F18" s="4"/>
    </row>
    <row r="19" spans="2:6" x14ac:dyDescent="0.3">
      <c r="B19" s="4"/>
      <c r="C19" s="4"/>
      <c r="D19" s="4"/>
      <c r="E19" s="4"/>
      <c r="F19" s="4"/>
    </row>
  </sheetData>
  <conditionalFormatting sqref="B10:F10">
    <cfRule type="cellIs" dxfId="15" priority="1" operator="lessThan">
      <formula>0</formula>
    </cfRule>
    <cfRule type="cellIs" dxfId="14" priority="2" operator="greater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7830-78F5-4730-B6C4-D8D8CDC64075}">
  <dimension ref="A1:AU66"/>
  <sheetViews>
    <sheetView topLeftCell="AM31" workbookViewId="0">
      <selection activeCell="AP51" sqref="AP51"/>
    </sheetView>
  </sheetViews>
  <sheetFormatPr defaultRowHeight="14.4" x14ac:dyDescent="0.3"/>
  <cols>
    <col min="1" max="1" width="48.33203125" style="2" bestFit="1" customWidth="1"/>
    <col min="2" max="2" width="11" style="2" bestFit="1" customWidth="1"/>
    <col min="3" max="6" width="11.5546875" style="2" bestFit="1" customWidth="1"/>
    <col min="7" max="7" width="11.6640625" style="2" bestFit="1" customWidth="1"/>
    <col min="8" max="8" width="8.88671875" style="2"/>
    <col min="9" max="9" width="48.33203125" style="2" bestFit="1" customWidth="1"/>
    <col min="10" max="10" width="10" style="2" bestFit="1" customWidth="1"/>
    <col min="11" max="15" width="9.88671875" style="2" bestFit="1" customWidth="1"/>
    <col min="16" max="16" width="8.88671875" style="2"/>
    <col min="17" max="17" width="45.21875" style="2" bestFit="1" customWidth="1"/>
    <col min="18" max="24" width="8.88671875" style="2"/>
    <col min="25" max="25" width="34.44140625" style="2" bestFit="1" customWidth="1"/>
    <col min="26" max="31" width="10" style="2" bestFit="1" customWidth="1"/>
    <col min="32" max="32" width="8.88671875" style="2"/>
    <col min="33" max="33" width="43.5546875" style="2" bestFit="1" customWidth="1"/>
    <col min="34" max="36" width="10.88671875" style="53" bestFit="1" customWidth="1"/>
    <col min="37" max="39" width="11.5546875" style="53" bestFit="1" customWidth="1"/>
    <col min="40" max="40" width="8.88671875" style="2"/>
    <col min="41" max="41" width="45.21875" style="2" bestFit="1" customWidth="1"/>
    <col min="42" max="47" width="10.88671875" style="2" bestFit="1" customWidth="1"/>
    <col min="48" max="16384" width="8.88671875" style="2"/>
  </cols>
  <sheetData>
    <row r="1" spans="1:47" ht="56.4" customHeight="1" x14ac:dyDescent="0.3">
      <c r="A1" s="32" t="s">
        <v>14</v>
      </c>
      <c r="F1" s="347" t="e" vm="1">
        <v>#VALUE!</v>
      </c>
      <c r="G1" s="347"/>
      <c r="N1" s="347" t="e" vm="2">
        <v>#VALUE!</v>
      </c>
      <c r="O1" s="347"/>
      <c r="V1" s="347" t="e" vm="3">
        <v>#VALUE!</v>
      </c>
      <c r="W1" s="347"/>
      <c r="AD1" s="348" t="e" vm="4">
        <v>#VALUE!</v>
      </c>
      <c r="AE1" s="348"/>
      <c r="AH1" s="2"/>
      <c r="AI1" s="2"/>
      <c r="AJ1" s="2"/>
      <c r="AK1" s="2"/>
      <c r="AL1" s="347" t="e" vm="5">
        <v>#VALUE!</v>
      </c>
      <c r="AM1" s="347"/>
      <c r="AT1" s="347" t="e" vm="6">
        <v>#VALUE!</v>
      </c>
      <c r="AU1" s="347"/>
    </row>
    <row r="2" spans="1:47" x14ac:dyDescent="0.3">
      <c r="A2" s="36" t="s">
        <v>15</v>
      </c>
      <c r="B2" s="37" t="s">
        <v>62</v>
      </c>
      <c r="C2" s="37" t="s">
        <v>63</v>
      </c>
      <c r="D2" s="37" t="s">
        <v>64</v>
      </c>
      <c r="E2" s="37" t="s">
        <v>65</v>
      </c>
      <c r="F2" s="37" t="s">
        <v>66</v>
      </c>
      <c r="G2" s="37" t="s">
        <v>67</v>
      </c>
      <c r="I2" s="38" t="s">
        <v>15</v>
      </c>
      <c r="J2" s="39" t="s">
        <v>62</v>
      </c>
      <c r="K2" s="39" t="s">
        <v>63</v>
      </c>
      <c r="L2" s="39" t="s">
        <v>64</v>
      </c>
      <c r="M2" s="39" t="s">
        <v>65</v>
      </c>
      <c r="N2" s="39" t="s">
        <v>66</v>
      </c>
      <c r="O2" s="39" t="s">
        <v>67</v>
      </c>
      <c r="Q2" s="47" t="s">
        <v>15</v>
      </c>
      <c r="R2" s="48" t="s">
        <v>62</v>
      </c>
      <c r="S2" s="48" t="s">
        <v>63</v>
      </c>
      <c r="T2" s="48" t="s">
        <v>64</v>
      </c>
      <c r="U2" s="48" t="s">
        <v>65</v>
      </c>
      <c r="V2" s="48" t="s">
        <v>66</v>
      </c>
      <c r="W2" s="48" t="s">
        <v>67</v>
      </c>
      <c r="Y2" s="49" t="s">
        <v>15</v>
      </c>
      <c r="Z2" s="50" t="s">
        <v>62</v>
      </c>
      <c r="AA2" s="50" t="s">
        <v>63</v>
      </c>
      <c r="AB2" s="50" t="s">
        <v>64</v>
      </c>
      <c r="AC2" s="50" t="s">
        <v>65</v>
      </c>
      <c r="AD2" s="50" t="s">
        <v>66</v>
      </c>
      <c r="AE2" s="51" t="s">
        <v>67</v>
      </c>
      <c r="AG2" s="75" t="s">
        <v>15</v>
      </c>
      <c r="AH2" s="76" t="s">
        <v>62</v>
      </c>
      <c r="AI2" s="76" t="s">
        <v>63</v>
      </c>
      <c r="AJ2" s="76" t="s">
        <v>64</v>
      </c>
      <c r="AK2" s="76" t="s">
        <v>65</v>
      </c>
      <c r="AL2" s="76" t="s">
        <v>66</v>
      </c>
      <c r="AM2" s="77" t="s">
        <v>67</v>
      </c>
      <c r="AO2" s="104" t="s">
        <v>15</v>
      </c>
      <c r="AP2" s="105" t="s">
        <v>62</v>
      </c>
      <c r="AQ2" s="105" t="s">
        <v>63</v>
      </c>
      <c r="AR2" s="105" t="s">
        <v>64</v>
      </c>
      <c r="AS2" s="105" t="s">
        <v>65</v>
      </c>
      <c r="AT2" s="105" t="s">
        <v>66</v>
      </c>
      <c r="AU2" s="106" t="s">
        <v>67</v>
      </c>
    </row>
    <row r="3" spans="1:47" x14ac:dyDescent="0.3">
      <c r="A3" s="20" t="s">
        <v>16</v>
      </c>
      <c r="B3" s="21"/>
      <c r="C3" s="21"/>
      <c r="D3" s="21"/>
      <c r="E3" s="21"/>
      <c r="F3" s="21"/>
      <c r="G3" s="21"/>
      <c r="I3" s="20" t="s">
        <v>16</v>
      </c>
      <c r="J3" s="21"/>
      <c r="K3" s="21"/>
      <c r="L3" s="21"/>
      <c r="M3" s="21"/>
      <c r="N3" s="21"/>
      <c r="O3" s="21"/>
      <c r="Q3" s="20" t="s">
        <v>16</v>
      </c>
      <c r="R3" s="21"/>
      <c r="S3" s="21"/>
      <c r="T3" s="21"/>
      <c r="U3" s="21"/>
      <c r="V3" s="21"/>
      <c r="W3" s="21"/>
      <c r="Y3" s="26" t="s">
        <v>16</v>
      </c>
      <c r="Z3" s="26"/>
      <c r="AA3" s="26"/>
      <c r="AB3" s="26"/>
      <c r="AC3" s="26"/>
      <c r="AD3" s="26"/>
      <c r="AE3" s="26"/>
      <c r="AG3" s="26" t="s">
        <v>16</v>
      </c>
      <c r="AH3" s="56"/>
      <c r="AI3" s="56"/>
      <c r="AJ3" s="56"/>
      <c r="AK3" s="56"/>
      <c r="AL3" s="56"/>
      <c r="AM3" s="56"/>
      <c r="AO3" s="85" t="s">
        <v>190</v>
      </c>
    </row>
    <row r="4" spans="1:47" x14ac:dyDescent="0.3">
      <c r="A4" s="22" t="s">
        <v>17</v>
      </c>
      <c r="B4" s="23">
        <v>54828.6</v>
      </c>
      <c r="C4" s="23">
        <v>55567.6</v>
      </c>
      <c r="D4" s="23">
        <v>63795</v>
      </c>
      <c r="E4" s="23">
        <v>65083.7</v>
      </c>
      <c r="F4" s="23">
        <v>106612.1</v>
      </c>
      <c r="G4" s="24">
        <v>143272.4</v>
      </c>
      <c r="I4" s="28" t="s">
        <v>17</v>
      </c>
      <c r="J4" s="33">
        <v>5070.2</v>
      </c>
      <c r="K4" s="33">
        <v>21581.9</v>
      </c>
      <c r="L4" s="33">
        <v>20869.900000000001</v>
      </c>
      <c r="M4" s="33">
        <v>21172.3</v>
      </c>
      <c r="N4" s="33">
        <v>26649.3</v>
      </c>
      <c r="O4" s="33">
        <v>29408.2</v>
      </c>
      <c r="Q4" s="28" t="s">
        <v>17</v>
      </c>
      <c r="R4" s="23">
        <v>608.54</v>
      </c>
      <c r="S4" s="23">
        <v>576.58000000000004</v>
      </c>
      <c r="T4" s="23">
        <v>601.49</v>
      </c>
      <c r="U4" s="23">
        <v>646.83000000000004</v>
      </c>
      <c r="V4" s="23">
        <v>740.33</v>
      </c>
      <c r="W4" s="23">
        <v>898.56</v>
      </c>
      <c r="Y4" s="28" t="s">
        <v>17</v>
      </c>
      <c r="Z4" s="33">
        <v>9021.91</v>
      </c>
      <c r="AA4" s="33">
        <v>8209.7800000000007</v>
      </c>
      <c r="AB4" s="33">
        <v>7768.61</v>
      </c>
      <c r="AC4" s="33">
        <v>7459.8</v>
      </c>
      <c r="AD4" s="33">
        <v>7429.73</v>
      </c>
      <c r="AE4" s="33">
        <v>7637.93</v>
      </c>
      <c r="AG4" s="22" t="s">
        <v>17</v>
      </c>
      <c r="AH4" s="57">
        <v>66311.3</v>
      </c>
      <c r="AI4" s="57">
        <v>57570.400000000001</v>
      </c>
      <c r="AJ4" s="57">
        <v>53632.7</v>
      </c>
      <c r="AK4" s="57">
        <v>59821.1</v>
      </c>
      <c r="AL4" s="57">
        <v>52176</v>
      </c>
      <c r="AM4" s="58">
        <v>56195.6</v>
      </c>
      <c r="AO4" s="28" t="s">
        <v>17</v>
      </c>
      <c r="AP4" s="33">
        <v>102864</v>
      </c>
      <c r="AQ4" s="33">
        <v>115146</v>
      </c>
      <c r="AR4" s="33">
        <v>132910</v>
      </c>
      <c r="AS4" s="33">
        <v>146010</v>
      </c>
      <c r="AT4" s="33">
        <v>146635</v>
      </c>
      <c r="AU4" s="33">
        <v>184757</v>
      </c>
    </row>
    <row r="5" spans="1:47" x14ac:dyDescent="0.3">
      <c r="A5" s="22" t="s">
        <v>18</v>
      </c>
      <c r="B5" s="23">
        <v>1233.2</v>
      </c>
      <c r="C5" s="23">
        <v>1283.0999999999999</v>
      </c>
      <c r="D5" s="23">
        <v>1714.9</v>
      </c>
      <c r="E5" s="23">
        <v>6959.8</v>
      </c>
      <c r="F5" s="23">
        <v>8907.7000000000007</v>
      </c>
      <c r="G5" s="24">
        <v>10596.2</v>
      </c>
      <c r="I5" s="28" t="s">
        <v>19</v>
      </c>
      <c r="J5" s="33">
        <v>1631.9</v>
      </c>
      <c r="K5" s="33">
        <v>10211</v>
      </c>
      <c r="L5" s="33">
        <v>10921</v>
      </c>
      <c r="M5" s="33">
        <v>11188.2</v>
      </c>
      <c r="N5" s="33">
        <v>12637.7</v>
      </c>
      <c r="O5" s="33">
        <v>14933.7</v>
      </c>
      <c r="Q5" s="28" t="s">
        <v>18</v>
      </c>
      <c r="R5" s="35">
        <v>252.54</v>
      </c>
      <c r="S5" s="35">
        <v>214.84</v>
      </c>
      <c r="T5" s="35">
        <v>163.26</v>
      </c>
      <c r="U5" s="35">
        <v>156.93</v>
      </c>
      <c r="V5" s="35">
        <v>129.59</v>
      </c>
      <c r="W5" s="35">
        <v>123.71</v>
      </c>
      <c r="Y5" s="28" t="s">
        <v>18</v>
      </c>
      <c r="Z5" s="42">
        <v>285.95</v>
      </c>
      <c r="AA5" s="42">
        <v>394.46</v>
      </c>
      <c r="AB5" s="42">
        <v>778.68</v>
      </c>
      <c r="AC5" s="42">
        <v>1003.37</v>
      </c>
      <c r="AD5" s="42">
        <v>1176.53</v>
      </c>
      <c r="AE5" s="42">
        <v>1005.13</v>
      </c>
      <c r="AG5" s="22" t="s">
        <v>18</v>
      </c>
      <c r="AH5" s="59">
        <v>1041.5</v>
      </c>
      <c r="AI5" s="59">
        <v>599.6</v>
      </c>
      <c r="AJ5" s="59">
        <v>323.89999999999998</v>
      </c>
      <c r="AK5" s="59">
        <v>300.3</v>
      </c>
      <c r="AL5" s="59">
        <v>638.79999999999995</v>
      </c>
      <c r="AM5" s="60">
        <v>2471.6</v>
      </c>
      <c r="AO5" s="28" t="s">
        <v>18</v>
      </c>
      <c r="AP5" s="33">
        <v>21176</v>
      </c>
      <c r="AQ5" s="33">
        <v>16888</v>
      </c>
      <c r="AR5" s="33">
        <v>20161</v>
      </c>
      <c r="AS5" s="33">
        <v>44758</v>
      </c>
      <c r="AT5" s="33">
        <v>77862</v>
      </c>
      <c r="AU5" s="33">
        <v>56866</v>
      </c>
    </row>
    <row r="6" spans="1:47" x14ac:dyDescent="0.3">
      <c r="A6" s="22" t="s">
        <v>19</v>
      </c>
      <c r="B6" s="23">
        <v>34502.800000000003</v>
      </c>
      <c r="C6" s="23">
        <v>34836.9</v>
      </c>
      <c r="D6" s="23">
        <v>21968.2</v>
      </c>
      <c r="E6" s="23">
        <v>39702.6</v>
      </c>
      <c r="F6" s="23">
        <v>55936.7</v>
      </c>
      <c r="G6" s="24">
        <v>60241.5</v>
      </c>
      <c r="I6" s="28" t="s">
        <v>18</v>
      </c>
      <c r="J6" s="33">
        <v>54.5</v>
      </c>
      <c r="K6" s="33">
        <v>273.60000000000002</v>
      </c>
      <c r="L6" s="33">
        <v>178.7</v>
      </c>
      <c r="M6" s="33">
        <v>354.6</v>
      </c>
      <c r="N6" s="33">
        <v>421.9</v>
      </c>
      <c r="O6" s="33">
        <v>567.20000000000005</v>
      </c>
      <c r="Q6" s="28" t="s">
        <v>19</v>
      </c>
      <c r="R6" s="23">
        <v>172.96</v>
      </c>
      <c r="S6" s="23">
        <v>170.26</v>
      </c>
      <c r="T6" s="23">
        <v>165.02</v>
      </c>
      <c r="U6" s="23">
        <v>169</v>
      </c>
      <c r="V6" s="23">
        <v>167.02</v>
      </c>
      <c r="W6" s="23">
        <v>169</v>
      </c>
      <c r="Y6" s="28" t="s">
        <v>19</v>
      </c>
      <c r="Z6" s="33">
        <v>1595.62</v>
      </c>
      <c r="AA6" s="33">
        <v>1333.67</v>
      </c>
      <c r="AB6" s="33">
        <v>1148.76</v>
      </c>
      <c r="AC6" s="33">
        <v>996.8</v>
      </c>
      <c r="AD6" s="33">
        <v>1103.49</v>
      </c>
      <c r="AE6" s="33">
        <v>1430.42</v>
      </c>
      <c r="AG6" s="22" t="s">
        <v>19</v>
      </c>
      <c r="AH6" s="57">
        <v>0</v>
      </c>
      <c r="AI6" s="57">
        <v>0</v>
      </c>
      <c r="AJ6" s="59">
        <v>0</v>
      </c>
      <c r="AK6" s="59">
        <v>0</v>
      </c>
      <c r="AL6" s="59">
        <v>0</v>
      </c>
      <c r="AM6" s="59">
        <v>0</v>
      </c>
      <c r="AO6" s="28" t="s">
        <v>68</v>
      </c>
      <c r="AP6" s="33">
        <v>60563</v>
      </c>
      <c r="AQ6" s="33">
        <v>56008</v>
      </c>
      <c r="AR6" s="33">
        <f>79692+4787</f>
        <v>84479</v>
      </c>
      <c r="AS6" s="33">
        <f>75339+4704</f>
        <v>80043</v>
      </c>
      <c r="AT6" s="33">
        <f>69852+3787</f>
        <v>73639</v>
      </c>
      <c r="AU6" s="33">
        <f>147122+4376</f>
        <v>151498</v>
      </c>
    </row>
    <row r="7" spans="1:47" x14ac:dyDescent="0.3">
      <c r="A7" s="22" t="s">
        <v>20</v>
      </c>
      <c r="B7" s="23">
        <v>73.900000000000006</v>
      </c>
      <c r="C7" s="23">
        <v>73.900000000000006</v>
      </c>
      <c r="D7" s="23">
        <v>108.3</v>
      </c>
      <c r="E7" s="23">
        <v>108.3</v>
      </c>
      <c r="F7" s="23">
        <v>26501.7</v>
      </c>
      <c r="G7" s="24">
        <v>51697.4</v>
      </c>
      <c r="I7" s="28" t="s">
        <v>68</v>
      </c>
      <c r="J7" s="33">
        <v>12</v>
      </c>
      <c r="K7" s="33">
        <v>7.3</v>
      </c>
      <c r="L7" s="33">
        <v>35.200000000000003</v>
      </c>
      <c r="M7" s="33">
        <v>23.1</v>
      </c>
      <c r="N7" s="33">
        <v>13.2</v>
      </c>
      <c r="O7" s="33">
        <v>38</v>
      </c>
      <c r="Q7" s="28" t="s">
        <v>68</v>
      </c>
      <c r="R7" s="33">
        <v>7.85</v>
      </c>
      <c r="S7" s="33">
        <v>13.07</v>
      </c>
      <c r="T7" s="33">
        <v>8.41</v>
      </c>
      <c r="U7" s="33">
        <v>5.48</v>
      </c>
      <c r="V7" s="33">
        <v>5.98</v>
      </c>
      <c r="W7" s="33">
        <v>13.3</v>
      </c>
      <c r="Y7" s="28" t="s">
        <v>91</v>
      </c>
      <c r="Z7" s="33">
        <v>280.26</v>
      </c>
      <c r="AA7" s="33">
        <v>276.94</v>
      </c>
      <c r="AB7" s="33">
        <v>376.47</v>
      </c>
      <c r="AC7" s="33">
        <v>397.01</v>
      </c>
      <c r="AD7" s="33">
        <v>385.71</v>
      </c>
      <c r="AE7" s="33">
        <v>194.98</v>
      </c>
      <c r="AG7" s="22" t="s">
        <v>91</v>
      </c>
      <c r="AH7" s="59">
        <v>66</v>
      </c>
      <c r="AI7" s="59">
        <v>0</v>
      </c>
      <c r="AJ7" s="59">
        <v>0</v>
      </c>
      <c r="AK7" s="59">
        <v>0</v>
      </c>
      <c r="AL7" s="59">
        <v>0</v>
      </c>
      <c r="AM7" s="60">
        <v>0</v>
      </c>
      <c r="AO7" s="28" t="s">
        <v>22</v>
      </c>
      <c r="AP7" s="33">
        <v>82</v>
      </c>
      <c r="AQ7" s="33">
        <v>93</v>
      </c>
      <c r="AR7" s="33">
        <f>28626+63</f>
        <v>28689</v>
      </c>
      <c r="AS7" s="33">
        <f>122357+256</f>
        <v>122613</v>
      </c>
      <c r="AT7" s="33">
        <f>129602+449</f>
        <v>130051</v>
      </c>
      <c r="AU7" s="33">
        <f>54176</f>
        <v>54176</v>
      </c>
    </row>
    <row r="8" spans="1:47" x14ac:dyDescent="0.3">
      <c r="A8" s="22" t="s">
        <v>21</v>
      </c>
      <c r="B8" s="23">
        <v>72274</v>
      </c>
      <c r="C8" s="23">
        <v>66910</v>
      </c>
      <c r="D8" s="23">
        <v>77864.2</v>
      </c>
      <c r="E8" s="23">
        <v>82514.5</v>
      </c>
      <c r="F8" s="23">
        <v>114252.6</v>
      </c>
      <c r="G8" s="24">
        <v>133256.9</v>
      </c>
      <c r="I8" s="28" t="s">
        <v>69</v>
      </c>
      <c r="J8" s="33">
        <v>5731.8</v>
      </c>
      <c r="K8" s="33">
        <v>0</v>
      </c>
      <c r="L8" s="33">
        <v>0</v>
      </c>
      <c r="M8" s="33">
        <v>0</v>
      </c>
      <c r="N8" s="33">
        <v>0</v>
      </c>
      <c r="O8" s="33">
        <v>0</v>
      </c>
      <c r="Q8" s="28" t="s">
        <v>24</v>
      </c>
      <c r="R8" s="33">
        <v>0</v>
      </c>
      <c r="S8" s="33">
        <v>0</v>
      </c>
      <c r="T8" s="33">
        <v>0</v>
      </c>
      <c r="U8" s="33">
        <v>0</v>
      </c>
      <c r="V8" s="33">
        <v>0</v>
      </c>
      <c r="W8" s="33">
        <v>0</v>
      </c>
      <c r="Y8" s="28" t="s">
        <v>92</v>
      </c>
      <c r="Z8" s="33">
        <v>97.74</v>
      </c>
      <c r="AA8" s="33">
        <v>116.21</v>
      </c>
      <c r="AB8" s="33">
        <v>19.8</v>
      </c>
      <c r="AC8" s="33">
        <v>0</v>
      </c>
      <c r="AD8" s="33">
        <v>0</v>
      </c>
      <c r="AE8" s="33">
        <v>0</v>
      </c>
      <c r="AG8" s="22" t="s">
        <v>68</v>
      </c>
      <c r="AH8" s="59">
        <v>119459.2</v>
      </c>
      <c r="AI8" s="59">
        <v>109920</v>
      </c>
      <c r="AJ8" s="57">
        <v>103185.9</v>
      </c>
      <c r="AK8" s="57">
        <v>96434.1</v>
      </c>
      <c r="AL8" s="57">
        <v>87948.800000000003</v>
      </c>
      <c r="AM8" s="58">
        <v>85124</v>
      </c>
      <c r="AO8" s="28" t="s">
        <v>24</v>
      </c>
      <c r="AP8" s="33">
        <v>1108</v>
      </c>
      <c r="AQ8" s="33">
        <v>1108</v>
      </c>
      <c r="AR8" s="33">
        <v>59</v>
      </c>
      <c r="AS8" s="33">
        <v>37</v>
      </c>
      <c r="AT8" s="33">
        <v>1108</v>
      </c>
      <c r="AU8" s="33">
        <v>1108</v>
      </c>
    </row>
    <row r="9" spans="1:47" x14ac:dyDescent="0.3">
      <c r="A9" s="22" t="s">
        <v>22</v>
      </c>
      <c r="B9" s="23">
        <v>25.5</v>
      </c>
      <c r="C9" s="23">
        <v>23.2</v>
      </c>
      <c r="D9" s="23">
        <v>1670.8</v>
      </c>
      <c r="E9" s="23">
        <v>33595.9</v>
      </c>
      <c r="F9" s="23">
        <v>7996.4</v>
      </c>
      <c r="G9" s="24">
        <v>402.7</v>
      </c>
      <c r="I9" s="28" t="s">
        <v>70</v>
      </c>
      <c r="J9" s="33">
        <v>1700.2</v>
      </c>
      <c r="K9" s="33">
        <v>0</v>
      </c>
      <c r="L9" s="33">
        <v>0</v>
      </c>
      <c r="M9" s="33">
        <v>0</v>
      </c>
      <c r="N9" s="33">
        <v>2.8</v>
      </c>
      <c r="O9" s="33">
        <v>0</v>
      </c>
      <c r="Q9" s="28" t="s">
        <v>117</v>
      </c>
      <c r="R9" s="33">
        <v>3.32</v>
      </c>
      <c r="S9" s="33">
        <v>4.82</v>
      </c>
      <c r="T9" s="33">
        <v>0</v>
      </c>
      <c r="U9" s="33">
        <v>0</v>
      </c>
      <c r="V9" s="33">
        <v>0</v>
      </c>
      <c r="W9" s="33">
        <v>0</v>
      </c>
      <c r="Y9" s="28" t="s">
        <v>20</v>
      </c>
      <c r="Z9" s="33">
        <v>91.84</v>
      </c>
      <c r="AA9" s="33">
        <v>110.33</v>
      </c>
      <c r="AB9" s="33">
        <v>108.28</v>
      </c>
      <c r="AC9" s="33">
        <v>115.05</v>
      </c>
      <c r="AD9" s="33">
        <v>1783.73</v>
      </c>
      <c r="AE9" s="33">
        <v>1932.52</v>
      </c>
      <c r="AG9" s="22" t="s">
        <v>22</v>
      </c>
      <c r="AH9" s="57">
        <v>96.6</v>
      </c>
      <c r="AI9" s="57">
        <v>6.3</v>
      </c>
      <c r="AJ9" s="57">
        <v>40.4</v>
      </c>
      <c r="AK9" s="57">
        <v>17576.099999999999</v>
      </c>
      <c r="AL9" s="57">
        <v>17550.3</v>
      </c>
      <c r="AM9" s="58">
        <v>15740.6</v>
      </c>
      <c r="AO9" s="28" t="s">
        <v>191</v>
      </c>
      <c r="AP9" s="33">
        <v>3</v>
      </c>
      <c r="AQ9" s="33">
        <v>10</v>
      </c>
      <c r="AR9" s="33">
        <v>32</v>
      </c>
      <c r="AS9" s="33">
        <v>8</v>
      </c>
      <c r="AT9" s="33">
        <v>10</v>
      </c>
      <c r="AU9" s="33">
        <v>5</v>
      </c>
    </row>
    <row r="10" spans="1:47" x14ac:dyDescent="0.3">
      <c r="A10" s="22" t="s">
        <v>23</v>
      </c>
      <c r="B10" s="23">
        <v>30046.6</v>
      </c>
      <c r="C10" s="23">
        <v>33513.300000000003</v>
      </c>
      <c r="D10" s="23">
        <v>45897.4</v>
      </c>
      <c r="E10" s="23">
        <v>43115</v>
      </c>
      <c r="F10" s="23">
        <v>31240.400000000001</v>
      </c>
      <c r="G10" s="24">
        <v>3641.6</v>
      </c>
      <c r="I10" s="28" t="s">
        <v>71</v>
      </c>
      <c r="J10" s="33">
        <v>145</v>
      </c>
      <c r="K10" s="33">
        <v>1053.3</v>
      </c>
      <c r="L10" s="33">
        <v>1101.2</v>
      </c>
      <c r="M10" s="33">
        <v>1175.2</v>
      </c>
      <c r="N10" s="33">
        <v>1323.3</v>
      </c>
      <c r="O10" s="33">
        <v>1465.3</v>
      </c>
      <c r="Q10" s="28" t="s">
        <v>82</v>
      </c>
      <c r="R10" s="33">
        <v>219.3</v>
      </c>
      <c r="S10" s="33">
        <v>58.78</v>
      </c>
      <c r="T10" s="33">
        <v>339.83</v>
      </c>
      <c r="U10" s="33">
        <v>233.57</v>
      </c>
      <c r="V10" s="33">
        <v>434.16</v>
      </c>
      <c r="W10" s="33">
        <v>96.68</v>
      </c>
      <c r="Y10" s="28" t="s">
        <v>21</v>
      </c>
      <c r="Z10" s="33">
        <v>1680.81</v>
      </c>
      <c r="AA10" s="33">
        <v>1472.68</v>
      </c>
      <c r="AB10" s="33">
        <v>1514.23</v>
      </c>
      <c r="AC10" s="33">
        <v>1530.92</v>
      </c>
      <c r="AD10" s="33">
        <v>2764.75</v>
      </c>
      <c r="AE10" s="33">
        <v>2723.1</v>
      </c>
      <c r="AG10" s="22" t="s">
        <v>106</v>
      </c>
      <c r="AH10" s="57">
        <v>1524.4</v>
      </c>
      <c r="AI10" s="57">
        <v>4.0999999999999996</v>
      </c>
      <c r="AJ10" s="57">
        <v>5.3</v>
      </c>
      <c r="AK10" s="57">
        <v>5.8</v>
      </c>
      <c r="AL10" s="57">
        <v>0.3</v>
      </c>
      <c r="AM10" s="58">
        <v>0</v>
      </c>
      <c r="AO10" s="28" t="s">
        <v>29</v>
      </c>
      <c r="AP10" s="33">
        <v>1546</v>
      </c>
      <c r="AQ10" s="33">
        <v>0</v>
      </c>
      <c r="AR10" s="33">
        <v>0</v>
      </c>
      <c r="AS10" s="33">
        <v>0</v>
      </c>
      <c r="AT10" s="33">
        <v>0</v>
      </c>
      <c r="AU10" s="33">
        <v>0</v>
      </c>
    </row>
    <row r="11" spans="1:47" x14ac:dyDescent="0.3">
      <c r="A11" s="22" t="s">
        <v>24</v>
      </c>
      <c r="B11" s="23">
        <v>5.2</v>
      </c>
      <c r="C11" s="23">
        <v>15015.4</v>
      </c>
      <c r="D11" s="23">
        <v>31.2</v>
      </c>
      <c r="E11" s="23">
        <v>56.5</v>
      </c>
      <c r="F11" s="23">
        <v>92.4</v>
      </c>
      <c r="G11" s="24">
        <v>543.5</v>
      </c>
      <c r="I11" s="28" t="s">
        <v>28</v>
      </c>
      <c r="J11" s="33">
        <v>75.7</v>
      </c>
      <c r="K11" s="33">
        <v>728.2</v>
      </c>
      <c r="L11" s="33">
        <v>684.4</v>
      </c>
      <c r="M11" s="33">
        <v>725.1</v>
      </c>
      <c r="N11" s="33">
        <v>771.5</v>
      </c>
      <c r="O11" s="33">
        <v>856.1</v>
      </c>
      <c r="Q11" s="28" t="s">
        <v>29</v>
      </c>
      <c r="R11" s="33">
        <v>0</v>
      </c>
      <c r="S11" s="33">
        <v>24.23</v>
      </c>
      <c r="T11" s="33">
        <v>24.94</v>
      </c>
      <c r="U11" s="33">
        <v>31.2</v>
      </c>
      <c r="V11" s="33">
        <v>45.3</v>
      </c>
      <c r="W11" s="33">
        <v>66.150000000000006</v>
      </c>
      <c r="Y11" s="70" t="s">
        <v>22</v>
      </c>
      <c r="Z11" s="71">
        <v>62.91</v>
      </c>
      <c r="AA11" s="71">
        <v>98.46</v>
      </c>
      <c r="AB11" s="71">
        <v>73.78</v>
      </c>
      <c r="AC11" s="71">
        <v>144.69</v>
      </c>
      <c r="AD11" s="71">
        <v>150.5</v>
      </c>
      <c r="AE11" s="71">
        <v>94.79</v>
      </c>
      <c r="AG11" s="22" t="s">
        <v>107</v>
      </c>
      <c r="AH11" s="57">
        <v>8245.9</v>
      </c>
      <c r="AI11" s="57">
        <v>7732.3</v>
      </c>
      <c r="AJ11" s="57">
        <v>8849.2000000000007</v>
      </c>
      <c r="AK11" s="57">
        <v>8850.1</v>
      </c>
      <c r="AL11" s="57">
        <v>7100.2</v>
      </c>
      <c r="AM11" s="58">
        <v>728</v>
      </c>
      <c r="AO11" s="28" t="s">
        <v>30</v>
      </c>
      <c r="AP11" s="33">
        <v>25920</v>
      </c>
      <c r="AQ11" s="33">
        <v>38401</v>
      </c>
      <c r="AR11" s="33">
        <v>24058</v>
      </c>
      <c r="AS11" s="33">
        <v>23895</v>
      </c>
      <c r="AT11" s="33">
        <v>25009</v>
      </c>
      <c r="AU11" s="33">
        <v>25729</v>
      </c>
    </row>
    <row r="12" spans="1:47" x14ac:dyDescent="0.3">
      <c r="A12" s="22" t="s">
        <v>25</v>
      </c>
      <c r="B12" s="23">
        <v>3.9</v>
      </c>
      <c r="C12" s="23">
        <v>0</v>
      </c>
      <c r="D12" s="23">
        <v>0</v>
      </c>
      <c r="E12" s="23">
        <v>8.1</v>
      </c>
      <c r="F12" s="23">
        <v>6.5</v>
      </c>
      <c r="G12" s="24">
        <v>0</v>
      </c>
      <c r="I12" s="28" t="s">
        <v>29</v>
      </c>
      <c r="J12" s="33">
        <v>133.1</v>
      </c>
      <c r="K12" s="33">
        <v>0</v>
      </c>
      <c r="L12" s="33">
        <v>0</v>
      </c>
      <c r="M12" s="33">
        <v>1221.8</v>
      </c>
      <c r="N12" s="33">
        <v>1075.5999999999999</v>
      </c>
      <c r="O12" s="33">
        <v>2.2999999999999998</v>
      </c>
      <c r="Q12" s="28" t="s">
        <v>30</v>
      </c>
      <c r="R12" s="33">
        <v>18.059999999999999</v>
      </c>
      <c r="S12" s="33">
        <v>0.25</v>
      </c>
      <c r="T12" s="33">
        <v>0.68</v>
      </c>
      <c r="U12" s="33">
        <v>0.32</v>
      </c>
      <c r="V12" s="33">
        <v>3.04</v>
      </c>
      <c r="W12" s="33">
        <v>7.37</v>
      </c>
      <c r="Y12" s="74" t="s">
        <v>24</v>
      </c>
      <c r="Z12" s="54"/>
      <c r="AA12" s="54"/>
      <c r="AB12" s="54"/>
      <c r="AC12" s="54"/>
      <c r="AD12" s="54"/>
      <c r="AE12" s="55"/>
      <c r="AG12" s="22" t="s">
        <v>29</v>
      </c>
      <c r="AH12" s="57">
        <v>2</v>
      </c>
      <c r="AI12" s="57">
        <v>2.2999999999999998</v>
      </c>
      <c r="AJ12" s="57">
        <v>6</v>
      </c>
      <c r="AK12" s="57">
        <v>13.5</v>
      </c>
      <c r="AL12" s="57">
        <v>13.8</v>
      </c>
      <c r="AM12" s="58">
        <v>11.6</v>
      </c>
      <c r="AO12" s="6" t="s">
        <v>83</v>
      </c>
      <c r="AP12" s="34">
        <f>SUM(AP4:AP11)</f>
        <v>213262</v>
      </c>
      <c r="AQ12" s="34">
        <f t="shared" ref="AQ12:AU12" si="0">SUM(AQ4:AQ11)</f>
        <v>227654</v>
      </c>
      <c r="AR12" s="34">
        <f t="shared" si="0"/>
        <v>290388</v>
      </c>
      <c r="AS12" s="34">
        <f t="shared" si="0"/>
        <v>417364</v>
      </c>
      <c r="AT12" s="34">
        <f t="shared" si="0"/>
        <v>454314</v>
      </c>
      <c r="AU12" s="34">
        <f t="shared" si="0"/>
        <v>474139</v>
      </c>
    </row>
    <row r="13" spans="1:47" x14ac:dyDescent="0.3">
      <c r="A13" s="2" t="s">
        <v>33</v>
      </c>
      <c r="B13" s="23">
        <v>0</v>
      </c>
      <c r="C13" s="23">
        <v>0</v>
      </c>
      <c r="D13" s="23">
        <v>0</v>
      </c>
      <c r="E13" s="23">
        <v>0</v>
      </c>
      <c r="F13" s="23">
        <v>180.5</v>
      </c>
      <c r="G13" s="23">
        <v>213.1</v>
      </c>
      <c r="I13" s="28" t="s">
        <v>30</v>
      </c>
      <c r="J13" s="33">
        <v>248.2</v>
      </c>
      <c r="K13" s="33">
        <v>1458.6</v>
      </c>
      <c r="L13" s="33">
        <v>1865.9</v>
      </c>
      <c r="M13" s="33">
        <v>2004.5</v>
      </c>
      <c r="N13" s="33">
        <v>2482.3000000000002</v>
      </c>
      <c r="O13" s="33">
        <v>2969.6</v>
      </c>
      <c r="Q13" s="6" t="s">
        <v>83</v>
      </c>
      <c r="R13" s="34">
        <f t="shared" ref="R13:W13" si="1">SUM(R4:R12)</f>
        <v>1282.5699999999997</v>
      </c>
      <c r="S13" s="34">
        <f t="shared" si="1"/>
        <v>1062.8300000000002</v>
      </c>
      <c r="T13" s="34">
        <f t="shared" si="1"/>
        <v>1303.6300000000001</v>
      </c>
      <c r="U13" s="34">
        <f t="shared" si="1"/>
        <v>1243.33</v>
      </c>
      <c r="V13" s="34">
        <f t="shared" si="1"/>
        <v>1525.42</v>
      </c>
      <c r="W13" s="34">
        <f t="shared" si="1"/>
        <v>1374.77</v>
      </c>
      <c r="Y13" s="72" t="s">
        <v>93</v>
      </c>
      <c r="Z13" s="73">
        <v>686.5</v>
      </c>
      <c r="AA13" s="73">
        <v>718.69</v>
      </c>
      <c r="AB13" s="73">
        <v>895.1</v>
      </c>
      <c r="AC13" s="73">
        <v>1019.69</v>
      </c>
      <c r="AD13" s="73">
        <v>1306.83</v>
      </c>
      <c r="AE13" s="73">
        <v>1630.75</v>
      </c>
      <c r="AG13" s="22" t="s">
        <v>30</v>
      </c>
      <c r="AH13" s="57">
        <v>13486.6</v>
      </c>
      <c r="AI13" s="57">
        <v>13546.1</v>
      </c>
      <c r="AJ13" s="57">
        <v>11150.2</v>
      </c>
      <c r="AK13" s="57">
        <v>10338.799999999999</v>
      </c>
      <c r="AL13" s="57">
        <v>6659.7</v>
      </c>
      <c r="AM13" s="58">
        <v>6555.7</v>
      </c>
      <c r="AO13" s="85" t="s">
        <v>96</v>
      </c>
      <c r="AP13" s="82"/>
      <c r="AQ13" s="82"/>
      <c r="AR13" s="82"/>
      <c r="AS13" s="82"/>
      <c r="AT13" s="82"/>
      <c r="AU13" s="82"/>
    </row>
    <row r="14" spans="1:47" x14ac:dyDescent="0.3">
      <c r="A14" s="22" t="s">
        <v>26</v>
      </c>
      <c r="B14" s="68">
        <v>18725.2</v>
      </c>
      <c r="C14" s="68">
        <v>576.4</v>
      </c>
      <c r="D14" s="68">
        <v>1684</v>
      </c>
      <c r="E14" s="68">
        <v>1722.8</v>
      </c>
      <c r="F14" s="68">
        <v>0</v>
      </c>
      <c r="G14" s="69">
        <v>86.5</v>
      </c>
      <c r="I14" s="6" t="s">
        <v>39</v>
      </c>
      <c r="J14" s="34">
        <f>SUM(J4:J13)</f>
        <v>14802.600000000004</v>
      </c>
      <c r="K14" s="34">
        <f t="shared" ref="K14:O14" si="2">SUM(K4:K13)</f>
        <v>35313.899999999994</v>
      </c>
      <c r="L14" s="34">
        <f t="shared" si="2"/>
        <v>35656.300000000003</v>
      </c>
      <c r="M14" s="34">
        <f t="shared" si="2"/>
        <v>37864.799999999996</v>
      </c>
      <c r="N14" s="34">
        <f t="shared" si="2"/>
        <v>45377.600000000006</v>
      </c>
      <c r="O14" s="34">
        <f t="shared" si="2"/>
        <v>50240.4</v>
      </c>
      <c r="Q14" s="26" t="s">
        <v>31</v>
      </c>
      <c r="R14" s="41"/>
      <c r="S14" s="41"/>
      <c r="T14" s="41"/>
      <c r="U14" s="41"/>
      <c r="V14" s="41"/>
      <c r="W14" s="41"/>
      <c r="Y14" s="28" t="s">
        <v>94</v>
      </c>
      <c r="Z14" s="33">
        <v>214.82</v>
      </c>
      <c r="AA14" s="33">
        <v>232.24</v>
      </c>
      <c r="AB14" s="33">
        <v>237.33</v>
      </c>
      <c r="AC14" s="33">
        <v>171.3</v>
      </c>
      <c r="AD14" s="33">
        <v>152.11000000000001</v>
      </c>
      <c r="AE14" s="33">
        <v>167.48</v>
      </c>
      <c r="AG14" s="7" t="s">
        <v>83</v>
      </c>
      <c r="AH14" s="61">
        <f>SUM(AH4:AH13)</f>
        <v>210233.5</v>
      </c>
      <c r="AI14" s="61">
        <f t="shared" ref="AI14:AM14" si="3">SUM(AI4:AI13)</f>
        <v>189381.09999999998</v>
      </c>
      <c r="AJ14" s="61">
        <f t="shared" si="3"/>
        <v>177193.60000000001</v>
      </c>
      <c r="AK14" s="61">
        <f t="shared" si="3"/>
        <v>193339.8</v>
      </c>
      <c r="AL14" s="61">
        <f t="shared" si="3"/>
        <v>172087.9</v>
      </c>
      <c r="AM14" s="61">
        <f t="shared" si="3"/>
        <v>166827.10000000003</v>
      </c>
      <c r="AO14" s="28" t="s">
        <v>24</v>
      </c>
      <c r="AP14" s="33">
        <v>1381</v>
      </c>
      <c r="AQ14" s="33">
        <v>420</v>
      </c>
      <c r="AR14" s="33">
        <v>555</v>
      </c>
      <c r="AS14" s="33">
        <v>590</v>
      </c>
      <c r="AT14" s="33">
        <v>2523</v>
      </c>
      <c r="AU14" s="33">
        <v>19257</v>
      </c>
    </row>
    <row r="15" spans="1:47" x14ac:dyDescent="0.3">
      <c r="A15" s="22" t="s">
        <v>27</v>
      </c>
      <c r="B15" s="68">
        <v>1272.0999999999999</v>
      </c>
      <c r="C15" s="68">
        <v>1114.0999999999999</v>
      </c>
      <c r="D15" s="68">
        <v>0</v>
      </c>
      <c r="E15" s="68">
        <v>0</v>
      </c>
      <c r="F15" s="68">
        <v>2655.7</v>
      </c>
      <c r="G15" s="68">
        <v>3747.1</v>
      </c>
      <c r="I15" s="26" t="s">
        <v>31</v>
      </c>
      <c r="J15" s="27"/>
      <c r="K15" s="27"/>
      <c r="L15" s="27"/>
      <c r="M15" s="27"/>
      <c r="N15" s="27"/>
      <c r="O15" s="27"/>
      <c r="Q15" s="28" t="s">
        <v>32</v>
      </c>
      <c r="R15" s="33">
        <v>0.49</v>
      </c>
      <c r="S15" s="33">
        <v>1.21</v>
      </c>
      <c r="T15" s="33">
        <v>0.94</v>
      </c>
      <c r="U15" s="33">
        <v>0.92</v>
      </c>
      <c r="V15" s="33">
        <v>3.01</v>
      </c>
      <c r="W15" s="33">
        <v>0.01</v>
      </c>
      <c r="Y15" s="28" t="s">
        <v>71</v>
      </c>
      <c r="Z15" s="33">
        <v>119.85</v>
      </c>
      <c r="AA15" s="33">
        <v>126.78</v>
      </c>
      <c r="AB15" s="33">
        <v>126.02</v>
      </c>
      <c r="AC15" s="33">
        <v>146.80000000000001</v>
      </c>
      <c r="AD15" s="33">
        <v>144.02000000000001</v>
      </c>
      <c r="AE15" s="33">
        <v>154.35</v>
      </c>
      <c r="AG15" s="26" t="s">
        <v>96</v>
      </c>
      <c r="AH15" s="63"/>
      <c r="AI15" s="63"/>
      <c r="AJ15" s="63"/>
      <c r="AK15" s="63"/>
      <c r="AL15" s="63"/>
      <c r="AM15" s="63"/>
      <c r="AO15" s="28" t="s">
        <v>33</v>
      </c>
      <c r="AP15" s="33">
        <v>1609</v>
      </c>
      <c r="AQ15" s="33">
        <v>1410</v>
      </c>
      <c r="AR15" s="33">
        <v>4403</v>
      </c>
      <c r="AS15" s="33">
        <v>2609</v>
      </c>
      <c r="AT15" s="33">
        <v>1549</v>
      </c>
      <c r="AU15" s="33">
        <v>955</v>
      </c>
    </row>
    <row r="16" spans="1:47" x14ac:dyDescent="0.3">
      <c r="A16" s="22" t="s">
        <v>28</v>
      </c>
      <c r="B16" s="68">
        <v>1341</v>
      </c>
      <c r="C16" s="68">
        <v>1420.6</v>
      </c>
      <c r="D16" s="68">
        <v>1165.8</v>
      </c>
      <c r="E16" s="68">
        <v>1354</v>
      </c>
      <c r="F16" s="68">
        <v>1413.5</v>
      </c>
      <c r="G16" s="69">
        <v>2497.8000000000002</v>
      </c>
      <c r="I16" s="28" t="s">
        <v>32</v>
      </c>
      <c r="J16" s="33">
        <v>0</v>
      </c>
      <c r="K16" s="33">
        <v>0</v>
      </c>
      <c r="L16" s="33">
        <v>0</v>
      </c>
      <c r="M16" s="33">
        <v>0</v>
      </c>
      <c r="N16" s="33">
        <v>0</v>
      </c>
      <c r="O16" s="33">
        <v>7.6</v>
      </c>
      <c r="Q16" s="28" t="s">
        <v>24</v>
      </c>
      <c r="R16" s="33">
        <v>0</v>
      </c>
      <c r="S16" s="33">
        <v>0</v>
      </c>
      <c r="T16" s="33">
        <v>30.05</v>
      </c>
      <c r="U16" s="33">
        <v>40.07</v>
      </c>
      <c r="V16" s="33">
        <v>90.29</v>
      </c>
      <c r="W16" s="33">
        <v>39.229999999999997</v>
      </c>
      <c r="Y16" s="28" t="s">
        <v>29</v>
      </c>
      <c r="Z16" s="33">
        <v>279.86</v>
      </c>
      <c r="AA16" s="33">
        <v>310.23</v>
      </c>
      <c r="AB16" s="33">
        <v>217.27</v>
      </c>
      <c r="AC16" s="33">
        <v>355.17</v>
      </c>
      <c r="AD16" s="33">
        <v>717.01</v>
      </c>
      <c r="AE16" s="33">
        <v>806.58</v>
      </c>
      <c r="AG16" s="22" t="s">
        <v>32</v>
      </c>
      <c r="AH16" s="59">
        <v>2.5</v>
      </c>
      <c r="AI16" s="59">
        <v>0.6</v>
      </c>
      <c r="AJ16" s="59">
        <v>2.2999999999999998</v>
      </c>
      <c r="AK16" s="59">
        <v>16.3</v>
      </c>
      <c r="AL16" s="59">
        <v>1.2</v>
      </c>
      <c r="AM16" s="60">
        <v>1.1000000000000001</v>
      </c>
      <c r="AO16" s="28" t="s">
        <v>34</v>
      </c>
      <c r="AP16" s="33">
        <v>7066</v>
      </c>
      <c r="AQ16" s="33">
        <v>178</v>
      </c>
      <c r="AR16" s="33">
        <v>429</v>
      </c>
      <c r="AS16" s="33">
        <v>891</v>
      </c>
      <c r="AT16" s="33">
        <v>967</v>
      </c>
      <c r="AU16" s="33">
        <v>5929</v>
      </c>
    </row>
    <row r="17" spans="1:47" x14ac:dyDescent="0.3">
      <c r="A17" s="22" t="s">
        <v>29</v>
      </c>
      <c r="B17" s="68">
        <v>22701.4</v>
      </c>
      <c r="C17" s="68">
        <v>15838.6</v>
      </c>
      <c r="D17" s="68">
        <v>16017.5</v>
      </c>
      <c r="E17" s="68">
        <v>14643.9</v>
      </c>
      <c r="F17" s="68">
        <v>19242.8</v>
      </c>
      <c r="G17" s="69">
        <v>24911.1</v>
      </c>
      <c r="I17" s="28" t="s">
        <v>24</v>
      </c>
      <c r="J17" s="33">
        <v>3738.1</v>
      </c>
      <c r="K17" s="33">
        <v>2271.4</v>
      </c>
      <c r="L17" s="33">
        <v>1652.1</v>
      </c>
      <c r="M17" s="33">
        <v>275.60000000000002</v>
      </c>
      <c r="N17" s="33">
        <v>0</v>
      </c>
      <c r="O17" s="33">
        <v>1486.1</v>
      </c>
      <c r="Q17" s="28" t="s">
        <v>33</v>
      </c>
      <c r="R17" s="33">
        <v>507.07</v>
      </c>
      <c r="S17" s="33">
        <v>772.16</v>
      </c>
      <c r="T17" s="33">
        <v>684.76</v>
      </c>
      <c r="U17" s="33">
        <v>1048.3399999999999</v>
      </c>
      <c r="V17" s="33">
        <v>1267.79</v>
      </c>
      <c r="W17" s="33">
        <v>1581.36</v>
      </c>
      <c r="Y17" s="28" t="s">
        <v>95</v>
      </c>
      <c r="Z17" s="33">
        <v>1594</v>
      </c>
      <c r="AA17" s="33">
        <v>1888.71</v>
      </c>
      <c r="AB17" s="33">
        <v>1369.52</v>
      </c>
      <c r="AC17" s="33">
        <v>1268.51</v>
      </c>
      <c r="AD17" s="33">
        <v>1216.99</v>
      </c>
      <c r="AE17" s="33">
        <v>1187.0899999999999</v>
      </c>
      <c r="AG17" s="22" t="s">
        <v>94</v>
      </c>
      <c r="AH17" s="59">
        <v>454.8</v>
      </c>
      <c r="AI17" s="59">
        <v>0</v>
      </c>
      <c r="AJ17" s="59">
        <v>0</v>
      </c>
      <c r="AK17" s="59">
        <v>0</v>
      </c>
      <c r="AL17" s="59">
        <v>0.2</v>
      </c>
      <c r="AM17" s="60">
        <v>0</v>
      </c>
      <c r="AO17" s="28" t="s">
        <v>35</v>
      </c>
      <c r="AP17" s="33">
        <v>414</v>
      </c>
      <c r="AQ17" s="33">
        <v>411</v>
      </c>
      <c r="AR17" s="33">
        <v>386</v>
      </c>
      <c r="AS17" s="33">
        <v>408</v>
      </c>
      <c r="AT17" s="33">
        <v>397</v>
      </c>
      <c r="AU17" s="33">
        <v>412</v>
      </c>
    </row>
    <row r="18" spans="1:47" x14ac:dyDescent="0.3">
      <c r="A18" s="22" t="s">
        <v>30</v>
      </c>
      <c r="B18" s="68">
        <v>4558.1000000000004</v>
      </c>
      <c r="C18" s="68">
        <v>11502.1</v>
      </c>
      <c r="D18" s="68">
        <v>6032.3</v>
      </c>
      <c r="E18" s="68">
        <v>6135.1</v>
      </c>
      <c r="F18" s="68">
        <v>11215.9</v>
      </c>
      <c r="G18" s="69">
        <v>11663.8</v>
      </c>
      <c r="I18" s="28" t="s">
        <v>33</v>
      </c>
      <c r="J18" s="33">
        <v>367.2</v>
      </c>
      <c r="K18" s="33">
        <v>3828.5</v>
      </c>
      <c r="L18" s="33">
        <v>7058.6</v>
      </c>
      <c r="M18" s="33">
        <v>4868.7</v>
      </c>
      <c r="N18" s="33">
        <v>6450.7</v>
      </c>
      <c r="O18" s="33">
        <v>4767.5</v>
      </c>
      <c r="Q18" s="28" t="s">
        <v>34</v>
      </c>
      <c r="R18" s="33">
        <v>134.52000000000001</v>
      </c>
      <c r="S18" s="33">
        <v>250.97</v>
      </c>
      <c r="T18" s="33">
        <v>187.11</v>
      </c>
      <c r="U18" s="33">
        <v>187.97</v>
      </c>
      <c r="V18" s="33">
        <v>247.65</v>
      </c>
      <c r="W18" s="33">
        <v>308.04000000000002</v>
      </c>
      <c r="Y18" s="28" t="s">
        <v>30</v>
      </c>
      <c r="Z18" s="33">
        <v>207.29</v>
      </c>
      <c r="AA18" s="33">
        <v>207.09</v>
      </c>
      <c r="AB18" s="33">
        <v>164.29</v>
      </c>
      <c r="AC18" s="33">
        <v>132.52000000000001</v>
      </c>
      <c r="AD18" s="33">
        <v>231.01</v>
      </c>
      <c r="AE18" s="33">
        <v>380.68</v>
      </c>
      <c r="AG18" s="22" t="s">
        <v>33</v>
      </c>
      <c r="AH18" s="59">
        <v>3094.3</v>
      </c>
      <c r="AI18" s="59">
        <v>2507</v>
      </c>
      <c r="AJ18" s="59">
        <v>2443.9</v>
      </c>
      <c r="AK18" s="59">
        <v>2164</v>
      </c>
      <c r="AL18" s="59">
        <v>2194.8000000000002</v>
      </c>
      <c r="AM18" s="60">
        <v>2000.3</v>
      </c>
      <c r="AO18" s="28" t="s">
        <v>191</v>
      </c>
      <c r="AP18" s="33">
        <v>1067</v>
      </c>
      <c r="AQ18" s="33">
        <v>614</v>
      </c>
      <c r="AR18" s="33">
        <v>3645</v>
      </c>
      <c r="AS18" s="33">
        <v>3978</v>
      </c>
      <c r="AT18" s="33">
        <v>1567</v>
      </c>
      <c r="AU18" s="33">
        <v>2463</v>
      </c>
    </row>
    <row r="19" spans="1:47" x14ac:dyDescent="0.3">
      <c r="A19" s="7" t="s">
        <v>39</v>
      </c>
      <c r="B19" s="25">
        <f t="shared" ref="B19:G19" si="4">SUM(B4:B18)</f>
        <v>241591.50000000003</v>
      </c>
      <c r="C19" s="25">
        <f t="shared" si="4"/>
        <v>237675.2</v>
      </c>
      <c r="D19" s="25">
        <f t="shared" si="4"/>
        <v>237949.59999999998</v>
      </c>
      <c r="E19" s="25">
        <f t="shared" si="4"/>
        <v>295000.2</v>
      </c>
      <c r="F19" s="25">
        <f t="shared" si="4"/>
        <v>386254.90000000014</v>
      </c>
      <c r="G19" s="25">
        <f t="shared" si="4"/>
        <v>446771.59999999992</v>
      </c>
      <c r="I19" s="28" t="s">
        <v>34</v>
      </c>
      <c r="J19" s="33">
        <v>145.19999999999999</v>
      </c>
      <c r="K19" s="33">
        <v>14.5</v>
      </c>
      <c r="L19" s="33">
        <v>980.2</v>
      </c>
      <c r="M19" s="33">
        <v>22.4</v>
      </c>
      <c r="N19" s="33">
        <v>63.1</v>
      </c>
      <c r="O19" s="33">
        <v>149.69999999999999</v>
      </c>
      <c r="Q19" s="28" t="s">
        <v>35</v>
      </c>
      <c r="R19" s="33">
        <v>133.91</v>
      </c>
      <c r="S19" s="33">
        <v>337.44</v>
      </c>
      <c r="T19" s="33">
        <v>140.97999999999999</v>
      </c>
      <c r="U19" s="33">
        <v>84.68</v>
      </c>
      <c r="V19" s="33">
        <v>237.5</v>
      </c>
      <c r="W19" s="33">
        <v>218.34</v>
      </c>
      <c r="Y19" s="6" t="s">
        <v>83</v>
      </c>
      <c r="Z19" s="34">
        <f>SUM(Z4:Z18)</f>
        <v>16219.36</v>
      </c>
      <c r="AA19" s="34">
        <f t="shared" ref="AA19:AE19" si="5">SUM(AA4:AA18)</f>
        <v>15496.27</v>
      </c>
      <c r="AB19" s="34">
        <f t="shared" si="5"/>
        <v>14798.140000000001</v>
      </c>
      <c r="AC19" s="34">
        <f t="shared" si="5"/>
        <v>14741.63</v>
      </c>
      <c r="AD19" s="34">
        <f t="shared" si="5"/>
        <v>18562.409999999996</v>
      </c>
      <c r="AE19" s="34">
        <f t="shared" si="5"/>
        <v>19345.800000000003</v>
      </c>
      <c r="AG19" s="22" t="s">
        <v>34</v>
      </c>
      <c r="AH19" s="59">
        <v>370.8</v>
      </c>
      <c r="AI19" s="59">
        <v>350.3</v>
      </c>
      <c r="AJ19" s="59">
        <v>1453.2</v>
      </c>
      <c r="AK19" s="59">
        <v>228.8</v>
      </c>
      <c r="AL19" s="59">
        <v>167.8</v>
      </c>
      <c r="AM19" s="60">
        <v>256.8</v>
      </c>
      <c r="AO19" s="28" t="s">
        <v>37</v>
      </c>
      <c r="AP19" s="33">
        <v>16906</v>
      </c>
      <c r="AQ19" s="33">
        <v>19402</v>
      </c>
      <c r="AR19" s="33">
        <v>19917</v>
      </c>
      <c r="AS19" s="33">
        <v>22041</v>
      </c>
      <c r="AT19" s="33">
        <v>26088</v>
      </c>
      <c r="AU19" s="33">
        <v>20927</v>
      </c>
    </row>
    <row r="20" spans="1:47" x14ac:dyDescent="0.3">
      <c r="A20" s="26" t="s">
        <v>31</v>
      </c>
      <c r="B20" s="27"/>
      <c r="C20" s="27"/>
      <c r="D20" s="27"/>
      <c r="E20" s="27"/>
      <c r="F20" s="27"/>
      <c r="G20" s="27"/>
      <c r="I20" s="28" t="s">
        <v>35</v>
      </c>
      <c r="J20" s="33">
        <v>1.8</v>
      </c>
      <c r="K20" s="33">
        <v>0</v>
      </c>
      <c r="L20" s="33">
        <v>0</v>
      </c>
      <c r="M20" s="33">
        <v>0</v>
      </c>
      <c r="N20" s="33">
        <v>0</v>
      </c>
      <c r="O20" s="33">
        <v>1706.4</v>
      </c>
      <c r="Q20" s="28" t="s">
        <v>84</v>
      </c>
      <c r="R20" s="33">
        <v>4.87</v>
      </c>
      <c r="S20" s="33">
        <v>5.3</v>
      </c>
      <c r="T20" s="33">
        <v>0.37</v>
      </c>
      <c r="U20" s="33">
        <v>0.21</v>
      </c>
      <c r="V20" s="33">
        <v>0.15</v>
      </c>
      <c r="W20" s="33">
        <v>0.34</v>
      </c>
      <c r="Y20" s="26" t="s">
        <v>96</v>
      </c>
      <c r="Z20" s="41"/>
      <c r="AA20" s="41"/>
      <c r="AB20" s="41"/>
      <c r="AC20" s="41"/>
      <c r="AD20" s="41"/>
      <c r="AE20" s="41"/>
      <c r="AG20" s="22" t="s">
        <v>97</v>
      </c>
      <c r="AH20" s="59">
        <v>2292.1999999999998</v>
      </c>
      <c r="AI20" s="59">
        <v>1866.2</v>
      </c>
      <c r="AJ20" s="59">
        <v>2043.4</v>
      </c>
      <c r="AK20" s="59">
        <v>626.6</v>
      </c>
      <c r="AL20" s="59">
        <v>368.4</v>
      </c>
      <c r="AM20" s="60">
        <v>10311.700000000001</v>
      </c>
      <c r="AO20" s="6" t="s">
        <v>72</v>
      </c>
      <c r="AP20" s="34">
        <f>SUM(AP14:AP19)</f>
        <v>28443</v>
      </c>
      <c r="AQ20" s="34">
        <f t="shared" ref="AQ20:AU20" si="6">SUM(AQ14:AQ19)</f>
        <v>22435</v>
      </c>
      <c r="AR20" s="34">
        <f t="shared" si="6"/>
        <v>29335</v>
      </c>
      <c r="AS20" s="34">
        <f t="shared" si="6"/>
        <v>30517</v>
      </c>
      <c r="AT20" s="34">
        <f t="shared" si="6"/>
        <v>33091</v>
      </c>
      <c r="AU20" s="34">
        <f t="shared" si="6"/>
        <v>49943</v>
      </c>
    </row>
    <row r="21" spans="1:47" x14ac:dyDescent="0.3">
      <c r="A21" s="28" t="s">
        <v>32</v>
      </c>
      <c r="B21" s="68">
        <v>3.1</v>
      </c>
      <c r="C21" s="68">
        <v>0.8</v>
      </c>
      <c r="D21" s="68">
        <v>0.4</v>
      </c>
      <c r="E21" s="68">
        <v>0</v>
      </c>
      <c r="F21" s="68">
        <v>363.9</v>
      </c>
      <c r="G21" s="68">
        <v>451.7</v>
      </c>
      <c r="I21" s="28" t="s">
        <v>71</v>
      </c>
      <c r="J21" s="33">
        <v>446.6</v>
      </c>
      <c r="K21" s="33">
        <v>2955.9</v>
      </c>
      <c r="L21" s="33">
        <v>2375.5</v>
      </c>
      <c r="M21" s="33">
        <v>3251.8</v>
      </c>
      <c r="N21" s="33">
        <v>3576.8</v>
      </c>
      <c r="O21" s="33">
        <v>3883.9</v>
      </c>
      <c r="Q21" s="28" t="s">
        <v>85</v>
      </c>
      <c r="R21" s="33">
        <v>213.52</v>
      </c>
      <c r="S21" s="33">
        <v>136.07</v>
      </c>
      <c r="T21" s="33">
        <v>346.37</v>
      </c>
      <c r="U21" s="33">
        <v>471.55</v>
      </c>
      <c r="V21" s="33">
        <v>401.76</v>
      </c>
      <c r="W21" s="33">
        <v>1175.6400000000001</v>
      </c>
      <c r="Y21" s="28" t="s">
        <v>32</v>
      </c>
      <c r="Z21" s="33">
        <v>72.97</v>
      </c>
      <c r="AA21" s="33">
        <v>34.44</v>
      </c>
      <c r="AB21" s="33">
        <v>37.880000000000003</v>
      </c>
      <c r="AC21" s="33">
        <v>160</v>
      </c>
      <c r="AD21" s="33">
        <v>83.54</v>
      </c>
      <c r="AE21" s="33">
        <v>157.84</v>
      </c>
      <c r="AG21" s="22" t="s">
        <v>108</v>
      </c>
      <c r="AH21" s="57">
        <v>0.9</v>
      </c>
      <c r="AI21" s="57">
        <v>0.9</v>
      </c>
      <c r="AJ21" s="57">
        <v>0</v>
      </c>
      <c r="AK21" s="57">
        <v>0</v>
      </c>
      <c r="AL21" s="57">
        <v>0</v>
      </c>
      <c r="AM21" s="58">
        <v>0</v>
      </c>
      <c r="AO21" s="6" t="s">
        <v>38</v>
      </c>
      <c r="AP21" s="34">
        <f>AP12+AP20</f>
        <v>241705</v>
      </c>
      <c r="AQ21" s="34">
        <f t="shared" ref="AQ21:AU21" si="7">AQ12+AQ20</f>
        <v>250089</v>
      </c>
      <c r="AR21" s="34">
        <f t="shared" si="7"/>
        <v>319723</v>
      </c>
      <c r="AS21" s="34">
        <f t="shared" si="7"/>
        <v>447881</v>
      </c>
      <c r="AT21" s="34">
        <f t="shared" si="7"/>
        <v>487405</v>
      </c>
      <c r="AU21" s="34">
        <f t="shared" si="7"/>
        <v>524082</v>
      </c>
    </row>
    <row r="22" spans="1:47" x14ac:dyDescent="0.3">
      <c r="A22" s="28" t="s">
        <v>24</v>
      </c>
      <c r="B22" s="68">
        <v>8675</v>
      </c>
      <c r="C22" s="68">
        <v>3744.3</v>
      </c>
      <c r="D22" s="68">
        <v>797.4</v>
      </c>
      <c r="E22" s="68">
        <v>3519.9</v>
      </c>
      <c r="F22" s="68">
        <v>269.5</v>
      </c>
      <c r="G22" s="68">
        <v>1653.2</v>
      </c>
      <c r="I22" s="28" t="s">
        <v>37</v>
      </c>
      <c r="J22" s="33">
        <v>252.4</v>
      </c>
      <c r="K22" s="33">
        <v>559.5</v>
      </c>
      <c r="L22" s="33">
        <v>244.9</v>
      </c>
      <c r="M22" s="33">
        <v>289.10000000000002</v>
      </c>
      <c r="N22" s="33">
        <v>399.4</v>
      </c>
      <c r="O22" s="33">
        <v>928.6</v>
      </c>
      <c r="Q22" s="28" t="s">
        <v>86</v>
      </c>
      <c r="R22" s="33">
        <v>27.48</v>
      </c>
      <c r="S22" s="33">
        <v>16.29</v>
      </c>
      <c r="T22" s="33">
        <v>15.45</v>
      </c>
      <c r="U22" s="33">
        <v>15.44</v>
      </c>
      <c r="V22" s="33">
        <v>22.5</v>
      </c>
      <c r="W22" s="33">
        <v>8.58</v>
      </c>
      <c r="Y22" s="28" t="s">
        <v>94</v>
      </c>
      <c r="Z22" s="33">
        <v>661.78</v>
      </c>
      <c r="AA22" s="33">
        <v>1282.43</v>
      </c>
      <c r="AB22" s="33">
        <v>432.8</v>
      </c>
      <c r="AC22" s="33">
        <v>759.56</v>
      </c>
      <c r="AD22" s="33">
        <v>149.28</v>
      </c>
      <c r="AE22" s="33">
        <v>915.7</v>
      </c>
      <c r="AG22" s="22" t="s">
        <v>85</v>
      </c>
      <c r="AH22" s="57">
        <v>2303.3000000000002</v>
      </c>
      <c r="AI22" s="57">
        <v>211.7</v>
      </c>
      <c r="AJ22" s="57">
        <v>7.56</v>
      </c>
      <c r="AK22" s="57">
        <v>3.94</v>
      </c>
      <c r="AL22" s="57">
        <v>53.4</v>
      </c>
      <c r="AM22" s="58">
        <v>6926.2</v>
      </c>
      <c r="AO22" s="29" t="s">
        <v>41</v>
      </c>
      <c r="AP22" s="40"/>
      <c r="AQ22" s="40"/>
      <c r="AR22" s="40"/>
      <c r="AS22" s="40"/>
      <c r="AT22" s="40"/>
      <c r="AU22" s="52"/>
    </row>
    <row r="23" spans="1:47" x14ac:dyDescent="0.3">
      <c r="A23" s="28" t="s">
        <v>25</v>
      </c>
      <c r="B23" s="68">
        <v>189.7</v>
      </c>
      <c r="C23" s="68">
        <v>2.8</v>
      </c>
      <c r="D23" s="68">
        <v>31.6</v>
      </c>
      <c r="E23" s="68">
        <v>96.3</v>
      </c>
      <c r="F23" s="68">
        <v>116.8</v>
      </c>
      <c r="G23" s="68">
        <v>81.3</v>
      </c>
      <c r="I23" s="6" t="s">
        <v>72</v>
      </c>
      <c r="J23" s="34">
        <f>SUM(J16:J22)</f>
        <v>4951.3</v>
      </c>
      <c r="K23" s="34">
        <f t="shared" ref="K23:O23" si="8">SUM(K16:K22)</f>
        <v>9629.7999999999993</v>
      </c>
      <c r="L23" s="34">
        <f t="shared" si="8"/>
        <v>12311.300000000001</v>
      </c>
      <c r="M23" s="34">
        <f t="shared" si="8"/>
        <v>8707.6</v>
      </c>
      <c r="N23" s="34">
        <f t="shared" si="8"/>
        <v>10490</v>
      </c>
      <c r="O23" s="34">
        <f t="shared" si="8"/>
        <v>12929.8</v>
      </c>
      <c r="Q23" s="28" t="s">
        <v>37</v>
      </c>
      <c r="R23" s="33">
        <v>93.66</v>
      </c>
      <c r="S23" s="33">
        <v>127.66</v>
      </c>
      <c r="T23" s="33">
        <v>148.51</v>
      </c>
      <c r="U23" s="33">
        <v>246.63</v>
      </c>
      <c r="V23" s="33">
        <v>253.51</v>
      </c>
      <c r="W23" s="33">
        <v>454.9</v>
      </c>
      <c r="Y23" s="28" t="s">
        <v>33</v>
      </c>
      <c r="Z23" s="33">
        <v>3228.87</v>
      </c>
      <c r="AA23" s="33">
        <v>2607.6799999999998</v>
      </c>
      <c r="AB23" s="33">
        <v>2582.13</v>
      </c>
      <c r="AC23" s="33">
        <v>2734.99</v>
      </c>
      <c r="AD23" s="33">
        <v>3758.36</v>
      </c>
      <c r="AE23" s="33">
        <v>4006.1</v>
      </c>
      <c r="AG23" s="22" t="s">
        <v>37</v>
      </c>
      <c r="AH23" s="57">
        <v>8167.3</v>
      </c>
      <c r="AI23" s="57">
        <v>9097.5</v>
      </c>
      <c r="AJ23" s="57">
        <v>10214</v>
      </c>
      <c r="AK23" s="57">
        <v>10778.5</v>
      </c>
      <c r="AL23" s="57">
        <v>10068.799999999999</v>
      </c>
      <c r="AM23" s="58">
        <v>11543.4</v>
      </c>
      <c r="AO23" s="85" t="s">
        <v>192</v>
      </c>
      <c r="AP23" s="82"/>
      <c r="AQ23" s="82"/>
      <c r="AR23" s="82"/>
      <c r="AS23" s="82"/>
      <c r="AT23" s="82"/>
      <c r="AU23" s="82"/>
    </row>
    <row r="24" spans="1:47" x14ac:dyDescent="0.3">
      <c r="A24" s="28" t="s">
        <v>33</v>
      </c>
      <c r="B24" s="68">
        <v>3810</v>
      </c>
      <c r="C24" s="68">
        <v>3178.2</v>
      </c>
      <c r="D24" s="68">
        <v>2771.7</v>
      </c>
      <c r="E24" s="68">
        <v>2116.5</v>
      </c>
      <c r="F24" s="68">
        <v>4727.7</v>
      </c>
      <c r="G24" s="68">
        <v>7455.7</v>
      </c>
      <c r="I24" s="6" t="s">
        <v>73</v>
      </c>
      <c r="J24" s="34">
        <f t="shared" ref="J24:O24" si="9">J14+J23</f>
        <v>19753.900000000005</v>
      </c>
      <c r="K24" s="34">
        <f t="shared" si="9"/>
        <v>44943.7</v>
      </c>
      <c r="L24" s="34">
        <f t="shared" si="9"/>
        <v>47967.600000000006</v>
      </c>
      <c r="M24" s="34">
        <f t="shared" si="9"/>
        <v>46572.399999999994</v>
      </c>
      <c r="N24" s="34">
        <f t="shared" si="9"/>
        <v>55867.600000000006</v>
      </c>
      <c r="O24" s="34">
        <f t="shared" si="9"/>
        <v>63170.2</v>
      </c>
      <c r="Q24" s="6" t="s">
        <v>72</v>
      </c>
      <c r="R24" s="34">
        <f t="shared" ref="R24:W24" si="10">SUM(R15:R23)</f>
        <v>1115.52</v>
      </c>
      <c r="S24" s="34">
        <f t="shared" si="10"/>
        <v>1647.1</v>
      </c>
      <c r="T24" s="34">
        <f t="shared" si="10"/>
        <v>1554.54</v>
      </c>
      <c r="U24" s="34">
        <f t="shared" si="10"/>
        <v>2095.81</v>
      </c>
      <c r="V24" s="34">
        <f t="shared" si="10"/>
        <v>2524.16</v>
      </c>
      <c r="W24" s="34">
        <f t="shared" si="10"/>
        <v>3786.44</v>
      </c>
      <c r="Y24" s="28" t="s">
        <v>34</v>
      </c>
      <c r="Z24" s="33">
        <v>850</v>
      </c>
      <c r="AA24" s="33">
        <v>817.85</v>
      </c>
      <c r="AB24" s="33">
        <v>696.86</v>
      </c>
      <c r="AC24" s="33">
        <v>1004.48</v>
      </c>
      <c r="AD24" s="33">
        <v>732.05</v>
      </c>
      <c r="AE24" s="33">
        <v>533.9</v>
      </c>
      <c r="AG24" s="2" t="s">
        <v>86</v>
      </c>
      <c r="AH24" s="57">
        <v>0</v>
      </c>
      <c r="AI24" s="57">
        <v>0</v>
      </c>
      <c r="AJ24" s="57">
        <v>603.1</v>
      </c>
      <c r="AK24" s="57">
        <v>0</v>
      </c>
      <c r="AL24" s="57">
        <v>5.9</v>
      </c>
      <c r="AM24" s="57">
        <v>0</v>
      </c>
      <c r="AO24" s="28" t="s">
        <v>43</v>
      </c>
      <c r="AP24" s="33">
        <v>45000</v>
      </c>
      <c r="AQ24" s="33">
        <v>45000</v>
      </c>
      <c r="AR24" s="33">
        <v>45000</v>
      </c>
      <c r="AS24" s="33">
        <v>45000</v>
      </c>
      <c r="AT24" s="33">
        <v>45000</v>
      </c>
      <c r="AU24" s="33">
        <v>45000</v>
      </c>
    </row>
    <row r="25" spans="1:47" x14ac:dyDescent="0.3">
      <c r="A25" s="28" t="s">
        <v>34</v>
      </c>
      <c r="B25" s="68">
        <v>3366.8</v>
      </c>
      <c r="C25" s="68">
        <v>992.8</v>
      </c>
      <c r="D25" s="68">
        <v>310.2</v>
      </c>
      <c r="E25" s="68">
        <v>1392.5</v>
      </c>
      <c r="F25" s="68">
        <v>6915.5</v>
      </c>
      <c r="G25" s="68">
        <v>6105.6</v>
      </c>
      <c r="I25" s="20" t="s">
        <v>41</v>
      </c>
      <c r="J25" s="40"/>
      <c r="K25" s="40"/>
      <c r="L25" s="40"/>
      <c r="M25" s="40"/>
      <c r="N25" s="40"/>
      <c r="O25" s="40"/>
      <c r="Q25" s="6" t="s">
        <v>38</v>
      </c>
      <c r="R25" s="34">
        <f t="shared" ref="R25:W25" si="11">R13+R24</f>
        <v>2398.0899999999997</v>
      </c>
      <c r="S25" s="34">
        <f t="shared" si="11"/>
        <v>2709.9300000000003</v>
      </c>
      <c r="T25" s="34">
        <f t="shared" si="11"/>
        <v>2858.17</v>
      </c>
      <c r="U25" s="34">
        <f t="shared" si="11"/>
        <v>3339.14</v>
      </c>
      <c r="V25" s="34">
        <f t="shared" si="11"/>
        <v>4049.58</v>
      </c>
      <c r="W25" s="34">
        <f t="shared" si="11"/>
        <v>5161.21</v>
      </c>
      <c r="Y25" s="28" t="s">
        <v>97</v>
      </c>
      <c r="Z25" s="33">
        <v>59.13</v>
      </c>
      <c r="AA25" s="33">
        <v>109.25</v>
      </c>
      <c r="AB25" s="33">
        <v>46.53</v>
      </c>
      <c r="AC25" s="33">
        <v>58.09</v>
      </c>
      <c r="AD25" s="33">
        <v>110.4</v>
      </c>
      <c r="AE25" s="33">
        <v>53.51</v>
      </c>
      <c r="AG25" s="22" t="s">
        <v>109</v>
      </c>
      <c r="AH25" s="57">
        <v>0</v>
      </c>
      <c r="AI25" s="57">
        <v>65.3</v>
      </c>
      <c r="AJ25" s="57">
        <v>0</v>
      </c>
      <c r="AK25" s="57">
        <v>49.3</v>
      </c>
      <c r="AL25" s="57">
        <v>49.3</v>
      </c>
      <c r="AM25" s="58">
        <v>0</v>
      </c>
      <c r="AO25" s="28" t="s">
        <v>99</v>
      </c>
      <c r="AP25" s="33">
        <v>125956</v>
      </c>
      <c r="AQ25" s="33">
        <v>137973</v>
      </c>
      <c r="AR25" s="33">
        <v>153089</v>
      </c>
      <c r="AS25" s="33">
        <v>171519</v>
      </c>
      <c r="AT25" s="33">
        <v>191369</v>
      </c>
      <c r="AU25" s="33">
        <v>216377</v>
      </c>
    </row>
    <row r="26" spans="1:47" x14ac:dyDescent="0.3">
      <c r="A26" s="28" t="s">
        <v>35</v>
      </c>
      <c r="B26" s="68">
        <v>30.8</v>
      </c>
      <c r="C26" s="68">
        <v>43.7</v>
      </c>
      <c r="D26" s="68">
        <v>31.2</v>
      </c>
      <c r="E26" s="68">
        <v>50.5</v>
      </c>
      <c r="F26" s="68">
        <v>9424.4</v>
      </c>
      <c r="G26" s="68">
        <v>10614.3</v>
      </c>
      <c r="I26" s="26" t="s">
        <v>42</v>
      </c>
      <c r="J26" s="41"/>
      <c r="K26" s="41"/>
      <c r="L26" s="41"/>
      <c r="M26" s="41"/>
      <c r="N26" s="41"/>
      <c r="O26" s="41"/>
      <c r="Q26" s="20" t="s">
        <v>41</v>
      </c>
      <c r="R26" s="40"/>
      <c r="S26" s="40"/>
      <c r="T26" s="40"/>
      <c r="U26" s="40"/>
      <c r="V26" s="40"/>
      <c r="W26" s="40"/>
      <c r="Y26" s="28" t="s">
        <v>71</v>
      </c>
      <c r="Z26" s="42">
        <v>139.76</v>
      </c>
      <c r="AA26" s="42">
        <v>109.03</v>
      </c>
      <c r="AB26" s="42">
        <v>105.98</v>
      </c>
      <c r="AC26" s="42">
        <v>146.4</v>
      </c>
      <c r="AD26" s="42">
        <v>155.75</v>
      </c>
      <c r="AE26" s="42">
        <v>255.54</v>
      </c>
      <c r="AG26" s="7" t="s">
        <v>72</v>
      </c>
      <c r="AH26" s="61">
        <f t="shared" ref="AH26:AM26" si="12">SUM(AH16:AH25)</f>
        <v>16686.099999999999</v>
      </c>
      <c r="AI26" s="61">
        <f t="shared" si="12"/>
        <v>14099.5</v>
      </c>
      <c r="AJ26" s="61">
        <f t="shared" si="12"/>
        <v>16767.46</v>
      </c>
      <c r="AK26" s="61">
        <f t="shared" si="12"/>
        <v>13867.439999999999</v>
      </c>
      <c r="AL26" s="61">
        <f t="shared" si="12"/>
        <v>12909.8</v>
      </c>
      <c r="AM26" s="61">
        <f t="shared" si="12"/>
        <v>31039.5</v>
      </c>
      <c r="AO26" s="6" t="s">
        <v>101</v>
      </c>
      <c r="AP26" s="34">
        <f>SUM(AP24:AP25)</f>
        <v>170956</v>
      </c>
      <c r="AQ26" s="34">
        <f t="shared" ref="AQ26:AU26" si="13">SUM(AQ24:AQ25)</f>
        <v>182973</v>
      </c>
      <c r="AR26" s="34">
        <f t="shared" si="13"/>
        <v>198089</v>
      </c>
      <c r="AS26" s="34">
        <f t="shared" si="13"/>
        <v>216519</v>
      </c>
      <c r="AT26" s="34">
        <f t="shared" si="13"/>
        <v>236369</v>
      </c>
      <c r="AU26" s="34">
        <f t="shared" si="13"/>
        <v>261377</v>
      </c>
    </row>
    <row r="27" spans="1:47" x14ac:dyDescent="0.3">
      <c r="A27" s="28" t="s">
        <v>36</v>
      </c>
      <c r="B27" s="68">
        <v>758</v>
      </c>
      <c r="C27" s="68">
        <v>1566.9</v>
      </c>
      <c r="D27" s="68">
        <v>1128.8</v>
      </c>
      <c r="E27" s="68">
        <v>4176.3</v>
      </c>
      <c r="F27" s="68">
        <v>0</v>
      </c>
      <c r="G27" s="68">
        <v>0</v>
      </c>
      <c r="I27" s="22" t="s">
        <v>43</v>
      </c>
      <c r="J27" s="42">
        <v>1849.6</v>
      </c>
      <c r="K27" s="42">
        <v>2694.9</v>
      </c>
      <c r="L27" s="42">
        <v>2694.9</v>
      </c>
      <c r="M27" s="42">
        <v>2694.9</v>
      </c>
      <c r="N27" s="42">
        <v>2694.9</v>
      </c>
      <c r="O27" s="44">
        <v>2638.1</v>
      </c>
      <c r="Q27" s="26" t="s">
        <v>42</v>
      </c>
      <c r="R27" s="41"/>
      <c r="S27" s="41"/>
      <c r="T27" s="41"/>
      <c r="U27" s="41"/>
      <c r="V27" s="41"/>
      <c r="W27" s="41"/>
      <c r="Y27" s="28" t="s">
        <v>37</v>
      </c>
      <c r="Z27" s="42">
        <v>805.82</v>
      </c>
      <c r="AA27" s="42">
        <v>746.22</v>
      </c>
      <c r="AB27" s="42">
        <v>815.32</v>
      </c>
      <c r="AC27" s="42">
        <v>691.12</v>
      </c>
      <c r="AD27" s="42">
        <v>899.01</v>
      </c>
      <c r="AE27" s="42">
        <v>1261.0999999999999</v>
      </c>
      <c r="AG27" s="7" t="s">
        <v>73</v>
      </c>
      <c r="AH27" s="67">
        <f t="shared" ref="AH27:AM27" si="14">AH14+AH26</f>
        <v>226919.6</v>
      </c>
      <c r="AI27" s="67">
        <f t="shared" si="14"/>
        <v>203480.59999999998</v>
      </c>
      <c r="AJ27" s="67">
        <f t="shared" si="14"/>
        <v>193961.06</v>
      </c>
      <c r="AK27" s="67">
        <f t="shared" si="14"/>
        <v>207207.24</v>
      </c>
      <c r="AL27" s="67">
        <f t="shared" si="14"/>
        <v>184997.69999999998</v>
      </c>
      <c r="AM27" s="67">
        <f t="shared" si="14"/>
        <v>197866.60000000003</v>
      </c>
      <c r="AO27" s="85" t="s">
        <v>46</v>
      </c>
      <c r="AP27" s="82"/>
      <c r="AQ27" s="82"/>
      <c r="AR27" s="82"/>
      <c r="AS27" s="82"/>
      <c r="AT27" s="82"/>
      <c r="AU27" s="82"/>
    </row>
    <row r="28" spans="1:47" x14ac:dyDescent="0.3">
      <c r="A28" s="28" t="s">
        <v>27</v>
      </c>
      <c r="B28" s="68">
        <v>24377.200000000001</v>
      </c>
      <c r="C28" s="68">
        <v>19670</v>
      </c>
      <c r="D28" s="68">
        <v>19495</v>
      </c>
      <c r="E28" s="68">
        <v>20083.599999999999</v>
      </c>
      <c r="F28" s="68">
        <v>24954.400000000001</v>
      </c>
      <c r="G28" s="68">
        <v>26766.2</v>
      </c>
      <c r="I28" s="22" t="s">
        <v>44</v>
      </c>
      <c r="J28" s="42">
        <v>11692.7</v>
      </c>
      <c r="K28" s="42">
        <v>13182.1</v>
      </c>
      <c r="L28" s="42">
        <v>19455.599999999999</v>
      </c>
      <c r="M28" s="42">
        <v>18414.599999999999</v>
      </c>
      <c r="N28" s="42">
        <v>24343.9</v>
      </c>
      <c r="O28" s="44">
        <v>29860.2</v>
      </c>
      <c r="Q28" s="22" t="s">
        <v>43</v>
      </c>
      <c r="R28" s="42">
        <v>320.94</v>
      </c>
      <c r="S28" s="42">
        <v>320.94</v>
      </c>
      <c r="T28" s="42">
        <v>320.94</v>
      </c>
      <c r="U28" s="42">
        <v>320.94</v>
      </c>
      <c r="V28" s="42">
        <v>320.94</v>
      </c>
      <c r="W28" s="44">
        <v>320.94</v>
      </c>
      <c r="Y28" s="28" t="s">
        <v>98</v>
      </c>
      <c r="Z28" s="42">
        <v>123.78</v>
      </c>
      <c r="AA28" s="42">
        <v>130.24</v>
      </c>
      <c r="AB28" s="42">
        <v>152.28</v>
      </c>
      <c r="AC28" s="42">
        <v>256.35000000000002</v>
      </c>
      <c r="AD28" s="42">
        <v>110.54</v>
      </c>
      <c r="AE28" s="42">
        <v>54.99</v>
      </c>
      <c r="AG28" s="26" t="s">
        <v>41</v>
      </c>
      <c r="AH28" s="78"/>
      <c r="AI28" s="78"/>
      <c r="AJ28" s="78"/>
      <c r="AK28" s="78"/>
      <c r="AL28" s="78"/>
      <c r="AM28" s="78"/>
      <c r="AO28" s="28" t="s">
        <v>47</v>
      </c>
      <c r="AP28" s="33">
        <v>0</v>
      </c>
      <c r="AQ28" s="33">
        <v>364</v>
      </c>
      <c r="AR28" s="33">
        <v>16162</v>
      </c>
      <c r="AS28" s="33">
        <v>22732</v>
      </c>
      <c r="AT28" s="33">
        <v>42373</v>
      </c>
      <c r="AU28" s="33">
        <v>44244</v>
      </c>
    </row>
    <row r="29" spans="1:47" x14ac:dyDescent="0.3">
      <c r="A29" s="28" t="s">
        <v>37</v>
      </c>
      <c r="B29" s="68">
        <v>17570.7</v>
      </c>
      <c r="C29" s="68">
        <v>10872.4</v>
      </c>
      <c r="D29" s="68">
        <v>8724.9</v>
      </c>
      <c r="E29" s="68">
        <v>9141.4</v>
      </c>
      <c r="F29" s="68">
        <v>11503.9</v>
      </c>
      <c r="G29" s="68">
        <v>14460.8</v>
      </c>
      <c r="I29" s="7" t="s">
        <v>45</v>
      </c>
      <c r="J29" s="43">
        <f t="shared" ref="J29:O29" si="15">SUM(J27:J28)</f>
        <v>13542.300000000001</v>
      </c>
      <c r="K29" s="43">
        <f t="shared" si="15"/>
        <v>15877</v>
      </c>
      <c r="L29" s="43">
        <f t="shared" si="15"/>
        <v>22150.5</v>
      </c>
      <c r="M29" s="43">
        <f t="shared" si="15"/>
        <v>21109.5</v>
      </c>
      <c r="N29" s="43">
        <f t="shared" si="15"/>
        <v>27038.800000000003</v>
      </c>
      <c r="O29" s="45">
        <f t="shared" si="15"/>
        <v>32498.3</v>
      </c>
      <c r="Q29" s="22" t="s">
        <v>44</v>
      </c>
      <c r="R29" s="42">
        <v>1048.3900000000001</v>
      </c>
      <c r="S29" s="42">
        <v>1091.8800000000001</v>
      </c>
      <c r="T29" s="42">
        <v>1205.77</v>
      </c>
      <c r="U29" s="42">
        <v>1327.94</v>
      </c>
      <c r="V29" s="42">
        <v>1506.3</v>
      </c>
      <c r="W29" s="44">
        <v>1678.68</v>
      </c>
      <c r="Y29" s="6" t="s">
        <v>72</v>
      </c>
      <c r="Z29" s="34">
        <f>SUM(Z21:Z28)</f>
        <v>5942.11</v>
      </c>
      <c r="AA29" s="34">
        <f t="shared" ref="AA29:AE29" si="16">SUM(AA21:AA28)</f>
        <v>5837.14</v>
      </c>
      <c r="AB29" s="34">
        <f t="shared" si="16"/>
        <v>4869.78</v>
      </c>
      <c r="AC29" s="34">
        <f t="shared" si="16"/>
        <v>5810.99</v>
      </c>
      <c r="AD29" s="34">
        <f t="shared" si="16"/>
        <v>5998.93</v>
      </c>
      <c r="AE29" s="34">
        <f t="shared" si="16"/>
        <v>7238.6799999999985</v>
      </c>
      <c r="AG29" s="20" t="s">
        <v>42</v>
      </c>
      <c r="AH29" s="64"/>
      <c r="AI29" s="64"/>
      <c r="AJ29" s="64"/>
      <c r="AK29" s="64"/>
      <c r="AL29" s="64"/>
      <c r="AM29" s="64"/>
      <c r="AO29" s="2" t="s">
        <v>48</v>
      </c>
      <c r="AP29" s="33">
        <v>0</v>
      </c>
      <c r="AQ29" s="33">
        <v>0</v>
      </c>
      <c r="AR29" s="33">
        <v>7952</v>
      </c>
      <c r="AS29" s="33">
        <v>10302</v>
      </c>
      <c r="AT29" s="33">
        <v>9413</v>
      </c>
      <c r="AU29" s="33">
        <v>8707</v>
      </c>
    </row>
    <row r="30" spans="1:47" x14ac:dyDescent="0.3">
      <c r="A30" s="6" t="s">
        <v>40</v>
      </c>
      <c r="B30" s="25">
        <f>SUM(B21:B29)</f>
        <v>58781.3</v>
      </c>
      <c r="C30" s="25">
        <f t="shared" ref="C30:G30" si="17">SUM(C21:C29)</f>
        <v>40071.9</v>
      </c>
      <c r="D30" s="25">
        <f t="shared" si="17"/>
        <v>33291.199999999997</v>
      </c>
      <c r="E30" s="25">
        <f t="shared" si="17"/>
        <v>40577</v>
      </c>
      <c r="F30" s="25">
        <f t="shared" si="17"/>
        <v>58276.1</v>
      </c>
      <c r="G30" s="25">
        <f t="shared" si="17"/>
        <v>67588.800000000003</v>
      </c>
      <c r="I30" s="26" t="s">
        <v>46</v>
      </c>
      <c r="J30" s="41"/>
      <c r="K30" s="41"/>
      <c r="L30" s="41"/>
      <c r="M30" s="41"/>
      <c r="N30" s="41"/>
      <c r="O30" s="41"/>
      <c r="Q30" s="7" t="s">
        <v>45</v>
      </c>
      <c r="R30" s="43">
        <f t="shared" ref="R30:W30" si="18">SUM(R28:R29)</f>
        <v>1369.3300000000002</v>
      </c>
      <c r="S30" s="43">
        <f t="shared" si="18"/>
        <v>1412.8200000000002</v>
      </c>
      <c r="T30" s="43">
        <f t="shared" si="18"/>
        <v>1526.71</v>
      </c>
      <c r="U30" s="43">
        <f t="shared" si="18"/>
        <v>1648.88</v>
      </c>
      <c r="V30" s="43">
        <f t="shared" si="18"/>
        <v>1827.24</v>
      </c>
      <c r="W30" s="45">
        <f t="shared" si="18"/>
        <v>1999.6200000000001</v>
      </c>
      <c r="Y30" s="6" t="s">
        <v>38</v>
      </c>
      <c r="Z30" s="34">
        <f>Z19+Z29</f>
        <v>22161.47</v>
      </c>
      <c r="AA30" s="34">
        <f t="shared" ref="AA30:AE30" si="19">AA19+AA29</f>
        <v>21333.41</v>
      </c>
      <c r="AB30" s="34">
        <f t="shared" si="19"/>
        <v>19667.920000000002</v>
      </c>
      <c r="AC30" s="34">
        <f t="shared" si="19"/>
        <v>20552.62</v>
      </c>
      <c r="AD30" s="34">
        <f t="shared" si="19"/>
        <v>24561.339999999997</v>
      </c>
      <c r="AE30" s="34">
        <f t="shared" si="19"/>
        <v>26584.480000000003</v>
      </c>
      <c r="AG30" s="22" t="s">
        <v>43</v>
      </c>
      <c r="AH30" s="57">
        <v>28735.4</v>
      </c>
      <c r="AI30" s="57">
        <v>28735.4</v>
      </c>
      <c r="AJ30" s="57">
        <v>32118.799999999999</v>
      </c>
      <c r="AK30" s="57">
        <v>48679.7</v>
      </c>
      <c r="AL30" s="57">
        <v>50119.8</v>
      </c>
      <c r="AM30" s="58">
        <v>71393</v>
      </c>
      <c r="AO30" s="28" t="s">
        <v>193</v>
      </c>
      <c r="AP30" s="33">
        <v>13490</v>
      </c>
      <c r="AQ30" s="33">
        <v>15145</v>
      </c>
      <c r="AR30" s="33">
        <v>6225</v>
      </c>
      <c r="AS30" s="33">
        <v>5091</v>
      </c>
      <c r="AT30" s="33">
        <v>4461</v>
      </c>
      <c r="AU30" s="33">
        <v>5156</v>
      </c>
    </row>
    <row r="31" spans="1:47" x14ac:dyDescent="0.3">
      <c r="A31" s="6" t="s">
        <v>38</v>
      </c>
      <c r="B31" s="25">
        <f>B19+B30</f>
        <v>300372.80000000005</v>
      </c>
      <c r="C31" s="25">
        <f t="shared" ref="C31:G31" si="20">C19+C30</f>
        <v>277747.10000000003</v>
      </c>
      <c r="D31" s="25">
        <f t="shared" si="20"/>
        <v>271240.8</v>
      </c>
      <c r="E31" s="25">
        <f t="shared" si="20"/>
        <v>335577.2</v>
      </c>
      <c r="F31" s="25">
        <f t="shared" si="20"/>
        <v>444531.00000000012</v>
      </c>
      <c r="G31" s="25">
        <f t="shared" si="20"/>
        <v>514360.39999999991</v>
      </c>
      <c r="I31" s="28" t="s">
        <v>47</v>
      </c>
      <c r="J31" s="33">
        <v>0</v>
      </c>
      <c r="K31" s="33">
        <v>1505.1</v>
      </c>
      <c r="L31" s="33">
        <v>2373.9</v>
      </c>
      <c r="M31" s="33">
        <v>2434</v>
      </c>
      <c r="N31" s="33">
        <v>1504.4</v>
      </c>
      <c r="O31" s="33">
        <v>153.19999999999999</v>
      </c>
      <c r="Q31" s="26" t="s">
        <v>46</v>
      </c>
      <c r="R31" s="41"/>
      <c r="S31" s="41"/>
      <c r="T31" s="41"/>
      <c r="U31" s="41"/>
      <c r="V31" s="41"/>
      <c r="W31" s="41"/>
      <c r="Y31" s="26" t="s">
        <v>41</v>
      </c>
      <c r="Z31" s="41"/>
      <c r="AA31" s="41"/>
      <c r="AB31" s="41"/>
      <c r="AC31" s="41"/>
      <c r="AD31" s="41"/>
      <c r="AE31" s="41"/>
      <c r="AG31" s="22" t="s">
        <v>99</v>
      </c>
      <c r="AH31" s="57">
        <v>-22755.5</v>
      </c>
      <c r="AI31" s="57">
        <v>-66963.399999999994</v>
      </c>
      <c r="AJ31" s="57">
        <v>-94083.6</v>
      </c>
      <c r="AK31" s="57">
        <v>-123038.8</v>
      </c>
      <c r="AL31" s="57">
        <v>-154286.6</v>
      </c>
      <c r="AM31" s="58">
        <v>-141713.20000000001</v>
      </c>
      <c r="AO31" s="28" t="s">
        <v>194</v>
      </c>
      <c r="AP31" s="33">
        <v>18839</v>
      </c>
      <c r="AQ31" s="33">
        <v>18837</v>
      </c>
      <c r="AR31" s="33">
        <v>37184</v>
      </c>
      <c r="AS31" s="33">
        <v>112844</v>
      </c>
      <c r="AT31" s="33">
        <v>108270</v>
      </c>
      <c r="AU31" s="33">
        <v>104410</v>
      </c>
    </row>
    <row r="32" spans="1:47" x14ac:dyDescent="0.3">
      <c r="A32" s="29" t="s">
        <v>41</v>
      </c>
      <c r="B32" s="30"/>
      <c r="C32" s="30"/>
      <c r="D32" s="30"/>
      <c r="E32" s="30"/>
      <c r="F32" s="30"/>
      <c r="G32" s="31"/>
      <c r="I32" s="28" t="s">
        <v>48</v>
      </c>
      <c r="J32" s="33">
        <v>1967.4</v>
      </c>
      <c r="K32" s="33">
        <v>11232.7</v>
      </c>
      <c r="L32" s="33">
        <v>12087.7</v>
      </c>
      <c r="M32" s="33">
        <v>12420.6</v>
      </c>
      <c r="N32" s="33">
        <v>13820.2</v>
      </c>
      <c r="O32" s="33">
        <v>16325.7</v>
      </c>
      <c r="Q32" s="28" t="s">
        <v>47</v>
      </c>
      <c r="R32" s="33">
        <v>0</v>
      </c>
      <c r="S32" s="33">
        <v>0</v>
      </c>
      <c r="T32" s="33">
        <v>0</v>
      </c>
      <c r="U32" s="33">
        <v>0</v>
      </c>
      <c r="V32" s="33">
        <v>0</v>
      </c>
      <c r="W32" s="33">
        <v>0</v>
      </c>
      <c r="Y32" s="29" t="s">
        <v>42</v>
      </c>
      <c r="Z32" s="40"/>
      <c r="AA32" s="40"/>
      <c r="AB32" s="40"/>
      <c r="AC32" s="40"/>
      <c r="AD32" s="40"/>
      <c r="AE32" s="52"/>
      <c r="AG32" s="22" t="s">
        <v>100</v>
      </c>
      <c r="AH32" s="57">
        <v>0</v>
      </c>
      <c r="AI32" s="57">
        <v>0</v>
      </c>
      <c r="AJ32" s="57">
        <v>0</v>
      </c>
      <c r="AK32" s="57">
        <v>0</v>
      </c>
      <c r="AL32" s="57">
        <v>0</v>
      </c>
      <c r="AM32" s="58">
        <v>0</v>
      </c>
      <c r="AO32" s="28" t="s">
        <v>75</v>
      </c>
      <c r="AP32" s="33">
        <v>0</v>
      </c>
      <c r="AQ32" s="33">
        <v>2526</v>
      </c>
      <c r="AR32" s="33">
        <v>7606</v>
      </c>
      <c r="AS32" s="33">
        <v>13861</v>
      </c>
      <c r="AT32" s="33">
        <v>20784</v>
      </c>
      <c r="AU32" s="33">
        <v>29357</v>
      </c>
    </row>
    <row r="33" spans="1:47" x14ac:dyDescent="0.3">
      <c r="A33" s="26" t="s">
        <v>42</v>
      </c>
      <c r="B33" s="27"/>
      <c r="C33" s="27"/>
      <c r="D33" s="27"/>
      <c r="E33" s="27"/>
      <c r="F33" s="27"/>
      <c r="G33" s="27"/>
      <c r="I33" s="28" t="s">
        <v>74</v>
      </c>
      <c r="J33" s="33">
        <v>63.5</v>
      </c>
      <c r="K33" s="33">
        <v>523.6</v>
      </c>
      <c r="L33" s="33">
        <v>570.79999999999995</v>
      </c>
      <c r="M33" s="33">
        <v>382.4</v>
      </c>
      <c r="N33" s="33">
        <v>392.3</v>
      </c>
      <c r="O33" s="33">
        <v>397.8</v>
      </c>
      <c r="Q33" s="28" t="s">
        <v>48</v>
      </c>
      <c r="R33" s="33">
        <v>34.799999999999997</v>
      </c>
      <c r="S33" s="33">
        <v>22.17</v>
      </c>
      <c r="T33" s="33">
        <v>23.49</v>
      </c>
      <c r="U33" s="33">
        <v>36.270000000000003</v>
      </c>
      <c r="V33" s="33">
        <v>35.36</v>
      </c>
      <c r="W33" s="33">
        <v>35.25</v>
      </c>
      <c r="Y33" s="28" t="s">
        <v>43</v>
      </c>
      <c r="Z33" s="33">
        <v>285</v>
      </c>
      <c r="AA33" s="33">
        <v>285</v>
      </c>
      <c r="AB33" s="33">
        <v>285</v>
      </c>
      <c r="AC33" s="33">
        <v>285</v>
      </c>
      <c r="AD33" s="33">
        <v>285</v>
      </c>
      <c r="AE33" s="33">
        <v>285</v>
      </c>
      <c r="AG33" s="7" t="s">
        <v>101</v>
      </c>
      <c r="AH33" s="61">
        <f>SUM(AH30:AH32)</f>
        <v>5979.9000000000015</v>
      </c>
      <c r="AI33" s="61">
        <f t="shared" ref="AI33" si="21">SUM(AI30:AI32)</f>
        <v>-38227.999999999993</v>
      </c>
      <c r="AJ33" s="61">
        <f t="shared" ref="AJ33" si="22">SUM(AJ30:AJ32)</f>
        <v>-61964.800000000003</v>
      </c>
      <c r="AK33" s="61">
        <f t="shared" ref="AK33" si="23">SUM(AK30:AK32)</f>
        <v>-74359.100000000006</v>
      </c>
      <c r="AL33" s="61">
        <f t="shared" ref="AL33" si="24">SUM(AL30:AL32)</f>
        <v>-104166.8</v>
      </c>
      <c r="AM33" s="62">
        <f t="shared" ref="AM33" si="25">SUM(AM30:AM32)</f>
        <v>-70320.200000000012</v>
      </c>
      <c r="AO33" s="28" t="s">
        <v>50</v>
      </c>
      <c r="AP33" s="33">
        <v>0</v>
      </c>
      <c r="AQ33" s="33">
        <v>0</v>
      </c>
      <c r="AR33" s="33">
        <v>99</v>
      </c>
      <c r="AS33" s="33">
        <v>124</v>
      </c>
      <c r="AT33" s="33">
        <v>127</v>
      </c>
      <c r="AU33" s="33">
        <v>132</v>
      </c>
    </row>
    <row r="34" spans="1:47" x14ac:dyDescent="0.3">
      <c r="A34" s="28" t="s">
        <v>43</v>
      </c>
      <c r="B34" s="68">
        <v>2727.8</v>
      </c>
      <c r="C34" s="68">
        <v>2746</v>
      </c>
      <c r="D34" s="68">
        <v>2795</v>
      </c>
      <c r="E34" s="68">
        <v>2836.6</v>
      </c>
      <c r="F34" s="68">
        <v>2876.6</v>
      </c>
      <c r="G34" s="68">
        <v>2900.1</v>
      </c>
      <c r="I34" s="28" t="s">
        <v>50</v>
      </c>
      <c r="J34" s="33">
        <v>302.3</v>
      </c>
      <c r="K34" s="33">
        <v>1566.6</v>
      </c>
      <c r="L34" s="33">
        <v>1719.8</v>
      </c>
      <c r="M34" s="33">
        <v>1873.8</v>
      </c>
      <c r="N34" s="33">
        <v>2159.1999999999998</v>
      </c>
      <c r="O34" s="33">
        <v>2465.6</v>
      </c>
      <c r="Q34" s="28" t="s">
        <v>87</v>
      </c>
      <c r="R34" s="33">
        <v>7.4</v>
      </c>
      <c r="S34" s="33">
        <v>30.14</v>
      </c>
      <c r="T34" s="33">
        <v>38.590000000000003</v>
      </c>
      <c r="U34" s="33">
        <v>52.32</v>
      </c>
      <c r="V34" s="33">
        <v>27.91</v>
      </c>
      <c r="W34" s="33">
        <v>79.680000000000007</v>
      </c>
      <c r="Y34" s="28" t="s">
        <v>99</v>
      </c>
      <c r="Z34" s="33">
        <v>-1563.36</v>
      </c>
      <c r="AA34" s="33">
        <v>-169.54</v>
      </c>
      <c r="AB34" s="33">
        <v>642.59</v>
      </c>
      <c r="AC34" s="33">
        <v>1233.26</v>
      </c>
      <c r="AD34" s="33">
        <v>1501.42</v>
      </c>
      <c r="AE34" s="33">
        <v>2736.17</v>
      </c>
      <c r="AG34" s="26" t="s">
        <v>102</v>
      </c>
      <c r="AH34" s="78"/>
      <c r="AI34" s="78"/>
      <c r="AJ34" s="78"/>
      <c r="AK34" s="78"/>
      <c r="AL34" s="78"/>
      <c r="AM34" s="78"/>
      <c r="AO34" s="28" t="s">
        <v>76</v>
      </c>
      <c r="AP34" s="33">
        <v>0</v>
      </c>
      <c r="AQ34" s="33">
        <v>0</v>
      </c>
      <c r="AR34" s="33">
        <v>448</v>
      </c>
      <c r="AS34" s="33">
        <v>788</v>
      </c>
      <c r="AT34" s="33">
        <v>612</v>
      </c>
      <c r="AU34" s="33">
        <v>1037</v>
      </c>
    </row>
    <row r="35" spans="1:47" x14ac:dyDescent="0.3">
      <c r="A35" s="28" t="s">
        <v>44</v>
      </c>
      <c r="B35" s="68">
        <v>98701.4</v>
      </c>
      <c r="C35" s="68">
        <v>74614.100000000006</v>
      </c>
      <c r="D35" s="68">
        <v>72075.5</v>
      </c>
      <c r="E35" s="68">
        <v>76156.800000000003</v>
      </c>
      <c r="F35" s="68">
        <v>79142.2</v>
      </c>
      <c r="G35" s="68">
        <v>110771.8</v>
      </c>
      <c r="I35" s="28" t="s">
        <v>75</v>
      </c>
      <c r="J35" s="33">
        <v>0</v>
      </c>
      <c r="K35" s="33">
        <v>70.3</v>
      </c>
      <c r="L35" s="33">
        <v>91.8</v>
      </c>
      <c r="M35" s="33">
        <v>0</v>
      </c>
      <c r="N35" s="33">
        <v>0</v>
      </c>
      <c r="O35" s="33">
        <v>407.2</v>
      </c>
      <c r="Q35" s="28" t="s">
        <v>50</v>
      </c>
      <c r="R35" s="33">
        <v>9.9</v>
      </c>
      <c r="S35" s="33">
        <v>9.83</v>
      </c>
      <c r="T35" s="33">
        <v>9.51</v>
      </c>
      <c r="U35" s="33">
        <v>8.69</v>
      </c>
      <c r="V35" s="33">
        <v>0</v>
      </c>
      <c r="W35" s="33">
        <v>0</v>
      </c>
      <c r="Y35" s="28" t="s">
        <v>100</v>
      </c>
      <c r="Z35" s="33">
        <v>4.75</v>
      </c>
      <c r="AA35" s="33">
        <v>28.17</v>
      </c>
      <c r="AB35" s="33">
        <v>28.49</v>
      </c>
      <c r="AC35" s="33">
        <v>30.34</v>
      </c>
      <c r="AD35" s="33">
        <v>3.88</v>
      </c>
      <c r="AE35" s="33">
        <v>3.11</v>
      </c>
      <c r="AG35" s="22" t="s">
        <v>110</v>
      </c>
      <c r="AH35" s="57">
        <v>8627.9</v>
      </c>
      <c r="AI35" s="57">
        <v>6484.6</v>
      </c>
      <c r="AJ35" s="57">
        <v>2836.3</v>
      </c>
      <c r="AK35" s="57">
        <v>935.1</v>
      </c>
      <c r="AL35" s="57">
        <v>0</v>
      </c>
      <c r="AM35" s="58">
        <v>0</v>
      </c>
      <c r="AO35" s="6" t="s">
        <v>77</v>
      </c>
      <c r="AP35" s="34">
        <f>SUM(AP28:AP34)</f>
        <v>32329</v>
      </c>
      <c r="AQ35" s="34">
        <f t="shared" ref="AQ35:AU35" si="26">SUM(AQ28:AQ34)</f>
        <v>36872</v>
      </c>
      <c r="AR35" s="34">
        <f t="shared" si="26"/>
        <v>75676</v>
      </c>
      <c r="AS35" s="34">
        <f t="shared" si="26"/>
        <v>165742</v>
      </c>
      <c r="AT35" s="34">
        <f t="shared" si="26"/>
        <v>186040</v>
      </c>
      <c r="AU35" s="34">
        <f t="shared" si="26"/>
        <v>193043</v>
      </c>
    </row>
    <row r="36" spans="1:47" x14ac:dyDescent="0.3">
      <c r="A36" s="28" t="s">
        <v>100</v>
      </c>
      <c r="B36" s="23">
        <v>0</v>
      </c>
      <c r="C36" s="23">
        <v>0</v>
      </c>
      <c r="D36" s="23">
        <v>0</v>
      </c>
      <c r="E36" s="23">
        <v>0</v>
      </c>
      <c r="F36" s="23">
        <v>23545.1</v>
      </c>
      <c r="G36" s="23">
        <v>39795.800000000003</v>
      </c>
      <c r="I36" s="28" t="s">
        <v>76</v>
      </c>
      <c r="J36" s="33">
        <v>52.1</v>
      </c>
      <c r="K36" s="33">
        <v>217.8</v>
      </c>
      <c r="L36" s="33">
        <v>146.19999999999999</v>
      </c>
      <c r="M36" s="33">
        <v>189.3</v>
      </c>
      <c r="N36" s="33">
        <v>796.2</v>
      </c>
      <c r="O36" s="33">
        <v>1135.5999999999999</v>
      </c>
      <c r="Q36" s="28" t="s">
        <v>88</v>
      </c>
      <c r="R36" s="33">
        <v>88.69</v>
      </c>
      <c r="S36" s="33">
        <v>115.12</v>
      </c>
      <c r="T36" s="33">
        <v>73.41</v>
      </c>
      <c r="U36" s="33">
        <v>80.540000000000006</v>
      </c>
      <c r="V36" s="33">
        <v>65.22</v>
      </c>
      <c r="W36" s="33">
        <v>107.16</v>
      </c>
      <c r="Y36" s="6" t="s">
        <v>101</v>
      </c>
      <c r="Z36" s="34">
        <f>SUM(Z33:Z35)</f>
        <v>-1273.6099999999999</v>
      </c>
      <c r="AA36" s="34">
        <f t="shared" ref="AA36:AE36" si="27">SUM(AA33:AA35)</f>
        <v>143.63</v>
      </c>
      <c r="AB36" s="34">
        <f t="shared" si="27"/>
        <v>956.08</v>
      </c>
      <c r="AC36" s="34">
        <f t="shared" si="27"/>
        <v>1548.6</v>
      </c>
      <c r="AD36" s="34">
        <f t="shared" si="27"/>
        <v>1790.3000000000002</v>
      </c>
      <c r="AE36" s="34">
        <f t="shared" si="27"/>
        <v>3024.28</v>
      </c>
      <c r="AG36" s="22" t="s">
        <v>111</v>
      </c>
      <c r="AH36" s="57">
        <v>87652.5</v>
      </c>
      <c r="AI36" s="57">
        <v>150930.9</v>
      </c>
      <c r="AJ36" s="57">
        <v>173114.5</v>
      </c>
      <c r="AK36" s="57">
        <v>188355</v>
      </c>
      <c r="AL36" s="57">
        <v>202896.2</v>
      </c>
      <c r="AM36" s="58">
        <v>182768</v>
      </c>
      <c r="AO36" s="26" t="s">
        <v>52</v>
      </c>
      <c r="AP36" s="46"/>
      <c r="AQ36" s="46"/>
      <c r="AR36" s="46"/>
      <c r="AS36" s="46"/>
      <c r="AT36" s="46"/>
      <c r="AU36" s="46"/>
    </row>
    <row r="37" spans="1:47" x14ac:dyDescent="0.3">
      <c r="A37" s="6" t="s">
        <v>45</v>
      </c>
      <c r="B37" s="25">
        <f>SUM(B34:B36)</f>
        <v>101429.2</v>
      </c>
      <c r="C37" s="25">
        <f t="shared" ref="C37:G37" si="28">SUM(C34:C36)</f>
        <v>77360.100000000006</v>
      </c>
      <c r="D37" s="25">
        <f t="shared" si="28"/>
        <v>74870.5</v>
      </c>
      <c r="E37" s="25">
        <f t="shared" si="28"/>
        <v>78993.400000000009</v>
      </c>
      <c r="F37" s="25">
        <f t="shared" si="28"/>
        <v>105563.9</v>
      </c>
      <c r="G37" s="25">
        <f t="shared" si="28"/>
        <v>153467.70000000001</v>
      </c>
      <c r="I37" s="6" t="s">
        <v>77</v>
      </c>
      <c r="J37" s="34">
        <f t="shared" ref="J37:O37" si="29">SUM(J31:J36)</f>
        <v>2385.3000000000002</v>
      </c>
      <c r="K37" s="34">
        <f t="shared" si="29"/>
        <v>15116.1</v>
      </c>
      <c r="L37" s="34">
        <f t="shared" si="29"/>
        <v>16990.2</v>
      </c>
      <c r="M37" s="34">
        <f t="shared" si="29"/>
        <v>17300.099999999999</v>
      </c>
      <c r="N37" s="34">
        <f t="shared" si="29"/>
        <v>18672.3</v>
      </c>
      <c r="O37" s="34">
        <f t="shared" si="29"/>
        <v>20885.099999999999</v>
      </c>
      <c r="Q37" s="6" t="s">
        <v>89</v>
      </c>
      <c r="R37" s="34">
        <f t="shared" ref="R37:W37" si="30">SUM(R33:R36)</f>
        <v>140.79</v>
      </c>
      <c r="S37" s="34">
        <f t="shared" si="30"/>
        <v>177.26</v>
      </c>
      <c r="T37" s="34">
        <f t="shared" si="30"/>
        <v>145</v>
      </c>
      <c r="U37" s="34">
        <f t="shared" si="30"/>
        <v>177.82</v>
      </c>
      <c r="V37" s="34">
        <f t="shared" si="30"/>
        <v>128.49</v>
      </c>
      <c r="W37" s="34">
        <f t="shared" si="30"/>
        <v>222.09</v>
      </c>
      <c r="Y37" s="26" t="s">
        <v>102</v>
      </c>
      <c r="Z37" s="41"/>
      <c r="AA37" s="41"/>
      <c r="AB37" s="41"/>
      <c r="AC37" s="41"/>
      <c r="AD37" s="41"/>
      <c r="AE37" s="41"/>
      <c r="AG37" s="7" t="s">
        <v>112</v>
      </c>
      <c r="AH37" s="61">
        <f>AH35+AH36</f>
        <v>96280.4</v>
      </c>
      <c r="AI37" s="61">
        <f t="shared" ref="AI37:AM37" si="31">AI35+AI36</f>
        <v>157415.5</v>
      </c>
      <c r="AJ37" s="61">
        <f t="shared" si="31"/>
        <v>175950.8</v>
      </c>
      <c r="AK37" s="61">
        <f t="shared" si="31"/>
        <v>189290.1</v>
      </c>
      <c r="AL37" s="61">
        <f t="shared" si="31"/>
        <v>202896.2</v>
      </c>
      <c r="AM37" s="62">
        <f t="shared" si="31"/>
        <v>182768</v>
      </c>
      <c r="AO37" s="28" t="s">
        <v>47</v>
      </c>
      <c r="AP37" s="33">
        <v>23242</v>
      </c>
      <c r="AQ37" s="33">
        <v>10775</v>
      </c>
      <c r="AR37" s="33">
        <v>26324</v>
      </c>
      <c r="AS37" s="33">
        <v>12946</v>
      </c>
      <c r="AT37" s="33">
        <v>10367</v>
      </c>
      <c r="AU37" s="33">
        <v>26285</v>
      </c>
    </row>
    <row r="38" spans="1:47" x14ac:dyDescent="0.3">
      <c r="A38" s="26" t="s">
        <v>46</v>
      </c>
      <c r="B38" s="27"/>
      <c r="C38" s="27"/>
      <c r="D38" s="27"/>
      <c r="E38" s="27"/>
      <c r="F38" s="27"/>
      <c r="G38" s="27"/>
      <c r="I38" s="26" t="s">
        <v>52</v>
      </c>
      <c r="J38" s="41"/>
      <c r="K38" s="41"/>
      <c r="L38" s="41"/>
      <c r="M38" s="41"/>
      <c r="N38" s="41"/>
      <c r="O38" s="41"/>
      <c r="Q38" s="26" t="s">
        <v>52</v>
      </c>
      <c r="R38" s="46"/>
      <c r="S38" s="46"/>
      <c r="T38" s="46"/>
      <c r="U38" s="46"/>
      <c r="V38" s="46"/>
      <c r="W38" s="46"/>
      <c r="Y38" s="28" t="s">
        <v>47</v>
      </c>
      <c r="Z38" s="33">
        <v>6797.78</v>
      </c>
      <c r="AA38" s="33">
        <v>8886.39</v>
      </c>
      <c r="AB38" s="33">
        <v>5990.92</v>
      </c>
      <c r="AC38" s="33">
        <v>5008.58</v>
      </c>
      <c r="AD38" s="33">
        <v>4745.7299999999996</v>
      </c>
      <c r="AE38" s="33">
        <v>6996.71</v>
      </c>
      <c r="AG38" s="22" t="s">
        <v>113</v>
      </c>
      <c r="AH38" s="59">
        <v>666</v>
      </c>
      <c r="AI38" s="59">
        <v>126.8</v>
      </c>
      <c r="AJ38" s="59">
        <v>85.2</v>
      </c>
      <c r="AK38" s="59">
        <v>105.8</v>
      </c>
      <c r="AL38" s="59">
        <v>38.6</v>
      </c>
      <c r="AM38" s="60">
        <v>0.4</v>
      </c>
      <c r="AO38" s="28" t="s">
        <v>48</v>
      </c>
      <c r="AP38" s="33">
        <v>0</v>
      </c>
      <c r="AQ38" s="33">
        <v>0</v>
      </c>
      <c r="AR38" s="33">
        <v>2040</v>
      </c>
      <c r="AS38" s="33">
        <v>3407</v>
      </c>
      <c r="AT38" s="33">
        <v>3200</v>
      </c>
      <c r="AU38" s="33">
        <v>3794</v>
      </c>
    </row>
    <row r="39" spans="1:47" x14ac:dyDescent="0.3">
      <c r="A39" s="28" t="s">
        <v>47</v>
      </c>
      <c r="B39" s="68">
        <v>70471.199999999997</v>
      </c>
      <c r="C39" s="68">
        <v>89908.800000000003</v>
      </c>
      <c r="D39" s="68">
        <v>97322.8</v>
      </c>
      <c r="E39" s="68">
        <v>136230</v>
      </c>
      <c r="F39" s="68">
        <v>130962.6</v>
      </c>
      <c r="G39" s="68">
        <v>104863.8</v>
      </c>
      <c r="I39" s="28" t="s">
        <v>47</v>
      </c>
      <c r="J39" s="33">
        <v>2418.4</v>
      </c>
      <c r="K39" s="33">
        <v>5465.2</v>
      </c>
      <c r="L39" s="33">
        <v>3112.9</v>
      </c>
      <c r="M39" s="33">
        <v>2278.6</v>
      </c>
      <c r="N39" s="33">
        <v>2807.4</v>
      </c>
      <c r="O39" s="33">
        <v>2109.1999999999998</v>
      </c>
      <c r="Q39" s="28" t="s">
        <v>47</v>
      </c>
      <c r="R39" s="33">
        <v>0</v>
      </c>
      <c r="S39" s="33">
        <v>0</v>
      </c>
      <c r="T39" s="33">
        <v>0</v>
      </c>
      <c r="U39" s="33">
        <v>0</v>
      </c>
      <c r="V39" s="33">
        <v>0</v>
      </c>
      <c r="W39" s="33">
        <v>0</v>
      </c>
      <c r="Y39" s="28" t="s">
        <v>74</v>
      </c>
      <c r="Z39" s="33">
        <v>33.43</v>
      </c>
      <c r="AA39" s="33">
        <v>8.7899999999999991</v>
      </c>
      <c r="AB39" s="33">
        <v>49.18</v>
      </c>
      <c r="AC39" s="33">
        <v>132.59</v>
      </c>
      <c r="AD39" s="33">
        <v>159.74</v>
      </c>
      <c r="AE39" s="33">
        <v>37.25</v>
      </c>
      <c r="AG39" s="28" t="s">
        <v>48</v>
      </c>
      <c r="AH39" s="57">
        <v>0</v>
      </c>
      <c r="AI39" s="57">
        <v>0</v>
      </c>
      <c r="AJ39" s="57">
        <v>11432.5</v>
      </c>
      <c r="AK39" s="57">
        <v>25061.200000000001</v>
      </c>
      <c r="AL39" s="57">
        <v>24325</v>
      </c>
      <c r="AM39" s="57">
        <v>29216.6</v>
      </c>
      <c r="AO39" s="28" t="s">
        <v>54</v>
      </c>
      <c r="AP39" s="33">
        <v>38</v>
      </c>
      <c r="AQ39" s="33">
        <v>6</v>
      </c>
      <c r="AR39" s="33">
        <v>27</v>
      </c>
      <c r="AS39" s="33">
        <v>21</v>
      </c>
      <c r="AT39" s="33">
        <v>15</v>
      </c>
      <c r="AU39" s="33">
        <v>45</v>
      </c>
    </row>
    <row r="40" spans="1:47" x14ac:dyDescent="0.3">
      <c r="A40" s="28" t="s">
        <v>48</v>
      </c>
      <c r="B40" s="68">
        <v>30703.9</v>
      </c>
      <c r="C40" s="68">
        <v>29998.6</v>
      </c>
      <c r="D40" s="68">
        <v>17435</v>
      </c>
      <c r="E40" s="68">
        <v>35136.9</v>
      </c>
      <c r="F40" s="68">
        <v>53927.1</v>
      </c>
      <c r="G40" s="68">
        <v>55670.1</v>
      </c>
      <c r="I40" s="28" t="s">
        <v>54</v>
      </c>
      <c r="J40" s="42">
        <v>18.899999999999999</v>
      </c>
      <c r="K40" s="42">
        <v>37.4</v>
      </c>
      <c r="L40" s="42">
        <v>52.2</v>
      </c>
      <c r="M40" s="42">
        <v>49.4</v>
      </c>
      <c r="N40" s="42">
        <v>70.2</v>
      </c>
      <c r="O40" s="42">
        <v>45.3</v>
      </c>
      <c r="Q40" s="28" t="s">
        <v>48</v>
      </c>
      <c r="R40" s="33">
        <v>7.74</v>
      </c>
      <c r="S40" s="33">
        <v>8.01</v>
      </c>
      <c r="T40" s="33">
        <v>8.02</v>
      </c>
      <c r="U40" s="33">
        <v>5.52</v>
      </c>
      <c r="V40" s="33">
        <v>10.26</v>
      </c>
      <c r="W40" s="33">
        <v>9.2899999999999991</v>
      </c>
      <c r="Y40" s="28" t="s">
        <v>103</v>
      </c>
      <c r="Z40" s="33">
        <v>1394.02</v>
      </c>
      <c r="AA40" s="33">
        <v>1153.06</v>
      </c>
      <c r="AB40" s="33">
        <v>955.72</v>
      </c>
      <c r="AC40" s="33">
        <v>771.58</v>
      </c>
      <c r="AD40" s="33">
        <v>822.38</v>
      </c>
      <c r="AE40" s="33">
        <v>1162.5999999999999</v>
      </c>
      <c r="AG40" s="22" t="s">
        <v>87</v>
      </c>
      <c r="AH40" s="57">
        <v>27407.3</v>
      </c>
      <c r="AI40" s="57">
        <v>17281.900000000001</v>
      </c>
      <c r="AJ40" s="57">
        <v>6846.1</v>
      </c>
      <c r="AK40" s="57">
        <v>6662.3</v>
      </c>
      <c r="AL40" s="57">
        <v>7330.1</v>
      </c>
      <c r="AM40" s="58">
        <v>135.80000000000001</v>
      </c>
      <c r="AO40" s="28" t="s">
        <v>195</v>
      </c>
      <c r="AP40" s="33">
        <v>4662</v>
      </c>
      <c r="AQ40" s="33">
        <v>2233</v>
      </c>
      <c r="AR40" s="33">
        <v>1944</v>
      </c>
      <c r="AS40" s="33">
        <v>3396</v>
      </c>
      <c r="AT40" s="33">
        <v>4321</v>
      </c>
      <c r="AU40" s="33">
        <v>4428</v>
      </c>
    </row>
    <row r="41" spans="1:47" x14ac:dyDescent="0.3">
      <c r="A41" s="28" t="s">
        <v>27</v>
      </c>
      <c r="B41" s="68">
        <v>3146.9</v>
      </c>
      <c r="C41" s="68">
        <v>7429.1</v>
      </c>
      <c r="D41" s="68">
        <v>3420.1</v>
      </c>
      <c r="E41" s="68">
        <v>5187.3999999999996</v>
      </c>
      <c r="F41" s="68">
        <f>289+8503.6</f>
        <v>8792.6</v>
      </c>
      <c r="G41" s="68">
        <v>3864.2</v>
      </c>
      <c r="I41" s="28" t="s">
        <v>55</v>
      </c>
      <c r="J41" s="42">
        <v>788.3</v>
      </c>
      <c r="K41" s="42">
        <v>3221.4</v>
      </c>
      <c r="L41" s="42">
        <v>2077.1</v>
      </c>
      <c r="M41" s="42">
        <v>2072.5</v>
      </c>
      <c r="N41" s="42">
        <v>2209.5</v>
      </c>
      <c r="O41" s="42">
        <v>2399.6999999999998</v>
      </c>
      <c r="Q41" s="28" t="s">
        <v>54</v>
      </c>
      <c r="R41" s="33">
        <v>64.81</v>
      </c>
      <c r="S41" s="33">
        <v>140.63999999999999</v>
      </c>
      <c r="T41" s="33">
        <v>149.91999999999999</v>
      </c>
      <c r="U41" s="33">
        <v>149.02000000000001</v>
      </c>
      <c r="V41" s="33">
        <v>190.45</v>
      </c>
      <c r="W41" s="33">
        <v>206.29</v>
      </c>
      <c r="Y41" s="28" t="s">
        <v>50</v>
      </c>
      <c r="Z41" s="33">
        <v>602.23</v>
      </c>
      <c r="AA41" s="33">
        <v>547.52</v>
      </c>
      <c r="AB41" s="33">
        <v>645.36</v>
      </c>
      <c r="AC41" s="33">
        <v>687.56</v>
      </c>
      <c r="AD41" s="33">
        <v>749.68</v>
      </c>
      <c r="AE41" s="33">
        <v>713</v>
      </c>
      <c r="AG41" s="22" t="s">
        <v>114</v>
      </c>
      <c r="AH41" s="57">
        <v>342.1</v>
      </c>
      <c r="AI41" s="57">
        <v>41.6</v>
      </c>
      <c r="AJ41" s="57">
        <v>38.4</v>
      </c>
      <c r="AK41" s="57">
        <v>23.5</v>
      </c>
      <c r="AL41" s="57">
        <v>20.9</v>
      </c>
      <c r="AM41" s="58">
        <v>5</v>
      </c>
      <c r="AO41" s="6" t="s">
        <v>196</v>
      </c>
      <c r="AP41" s="34">
        <f>AP39+AP40</f>
        <v>4700</v>
      </c>
      <c r="AQ41" s="34">
        <f t="shared" ref="AQ41:AU41" si="32">AQ39+AQ40</f>
        <v>2239</v>
      </c>
      <c r="AR41" s="34">
        <f t="shared" si="32"/>
        <v>1971</v>
      </c>
      <c r="AS41" s="34">
        <f t="shared" si="32"/>
        <v>3417</v>
      </c>
      <c r="AT41" s="34">
        <f t="shared" si="32"/>
        <v>4336</v>
      </c>
      <c r="AU41" s="34">
        <f t="shared" si="32"/>
        <v>4473</v>
      </c>
    </row>
    <row r="42" spans="1:47" x14ac:dyDescent="0.3">
      <c r="A42" s="28" t="s">
        <v>49</v>
      </c>
      <c r="B42" s="68">
        <v>1218.5</v>
      </c>
      <c r="C42" s="68">
        <v>1390.6</v>
      </c>
      <c r="D42" s="68">
        <v>1751.4</v>
      </c>
      <c r="E42" s="68">
        <v>1531.1</v>
      </c>
      <c r="F42" s="68">
        <v>3413.9</v>
      </c>
      <c r="G42" s="68">
        <v>3518.5</v>
      </c>
      <c r="I42" s="6" t="s">
        <v>56</v>
      </c>
      <c r="J42" s="43">
        <f t="shared" ref="J42:O42" si="33">J40+J41</f>
        <v>807.19999999999993</v>
      </c>
      <c r="K42" s="43">
        <f t="shared" si="33"/>
        <v>3258.8</v>
      </c>
      <c r="L42" s="43">
        <f t="shared" si="33"/>
        <v>2129.2999999999997</v>
      </c>
      <c r="M42" s="43">
        <f t="shared" si="33"/>
        <v>2121.9</v>
      </c>
      <c r="N42" s="43">
        <f t="shared" si="33"/>
        <v>2279.6999999999998</v>
      </c>
      <c r="O42" s="43">
        <f t="shared" si="33"/>
        <v>2445</v>
      </c>
      <c r="Q42" s="28" t="s">
        <v>55</v>
      </c>
      <c r="R42" s="42">
        <v>314.06</v>
      </c>
      <c r="S42" s="42">
        <v>392.06</v>
      </c>
      <c r="T42" s="42">
        <v>343.11</v>
      </c>
      <c r="U42" s="42">
        <v>419.68</v>
      </c>
      <c r="V42" s="42">
        <v>580.07000000000005</v>
      </c>
      <c r="W42" s="42">
        <v>1223.46</v>
      </c>
      <c r="Y42" s="28" t="s">
        <v>75</v>
      </c>
      <c r="Z42" s="33">
        <v>30.37</v>
      </c>
      <c r="AA42" s="33">
        <v>27.84</v>
      </c>
      <c r="AB42" s="33">
        <v>30.46</v>
      </c>
      <c r="AC42" s="33">
        <v>33.31</v>
      </c>
      <c r="AD42" s="33">
        <v>195.9</v>
      </c>
      <c r="AE42" s="33">
        <v>140.72999999999999</v>
      </c>
      <c r="AG42" s="22" t="s">
        <v>75</v>
      </c>
      <c r="AH42" s="57">
        <v>3.8</v>
      </c>
      <c r="AI42" s="57">
        <v>2.2000000000000002</v>
      </c>
      <c r="AJ42" s="57">
        <v>0</v>
      </c>
      <c r="AK42" s="57">
        <v>0</v>
      </c>
      <c r="AL42" s="57">
        <v>0.4</v>
      </c>
      <c r="AM42" s="58">
        <v>16.7</v>
      </c>
      <c r="AO42" s="28" t="s">
        <v>194</v>
      </c>
      <c r="AP42" s="33">
        <v>0</v>
      </c>
      <c r="AQ42" s="33">
        <v>0</v>
      </c>
      <c r="AR42" s="33">
        <v>0</v>
      </c>
      <c r="AS42" s="33">
        <v>4423</v>
      </c>
      <c r="AT42" s="33">
        <v>4574</v>
      </c>
      <c r="AU42" s="33">
        <v>4736</v>
      </c>
    </row>
    <row r="43" spans="1:47" x14ac:dyDescent="0.3">
      <c r="A43" s="28" t="s">
        <v>50</v>
      </c>
      <c r="B43" s="68">
        <v>191.9</v>
      </c>
      <c r="C43" s="68">
        <v>220.5</v>
      </c>
      <c r="D43" s="68">
        <v>260.3</v>
      </c>
      <c r="E43" s="68">
        <v>253.4</v>
      </c>
      <c r="F43" s="68">
        <v>544.29999999999995</v>
      </c>
      <c r="G43" s="68">
        <v>3039.6</v>
      </c>
      <c r="I43" s="28" t="s">
        <v>48</v>
      </c>
      <c r="J43" s="33">
        <v>241.4</v>
      </c>
      <c r="K43" s="33">
        <v>2179.1999999999998</v>
      </c>
      <c r="L43" s="33">
        <v>2151.5</v>
      </c>
      <c r="M43" s="33">
        <v>2051.6999999999998</v>
      </c>
      <c r="N43" s="33">
        <v>2399</v>
      </c>
      <c r="O43" s="33">
        <v>2567.6999999999998</v>
      </c>
      <c r="Q43" s="6" t="s">
        <v>56</v>
      </c>
      <c r="R43" s="34">
        <f t="shared" ref="R43:W43" si="34">R41+R42</f>
        <v>378.87</v>
      </c>
      <c r="S43" s="34">
        <f t="shared" si="34"/>
        <v>532.70000000000005</v>
      </c>
      <c r="T43" s="34">
        <f t="shared" si="34"/>
        <v>493.03</v>
      </c>
      <c r="U43" s="34">
        <f t="shared" si="34"/>
        <v>568.70000000000005</v>
      </c>
      <c r="V43" s="34">
        <f t="shared" si="34"/>
        <v>770.52</v>
      </c>
      <c r="W43" s="34">
        <f t="shared" si="34"/>
        <v>1429.75</v>
      </c>
      <c r="Y43" s="28" t="s">
        <v>76</v>
      </c>
      <c r="Z43" s="33">
        <v>3206.82</v>
      </c>
      <c r="AA43" s="33">
        <v>2799.61</v>
      </c>
      <c r="AB43" s="33">
        <v>2609.6</v>
      </c>
      <c r="AC43" s="33">
        <v>2584.46</v>
      </c>
      <c r="AD43" s="33">
        <v>2426.96</v>
      </c>
      <c r="AE43" s="33">
        <v>2006.1</v>
      </c>
      <c r="AG43" s="22" t="s">
        <v>76</v>
      </c>
      <c r="AH43" s="57">
        <v>461.1</v>
      </c>
      <c r="AI43" s="57">
        <v>438.1</v>
      </c>
      <c r="AJ43" s="57">
        <v>507</v>
      </c>
      <c r="AK43" s="57">
        <v>436.2</v>
      </c>
      <c r="AL43" s="57">
        <v>412</v>
      </c>
      <c r="AM43" s="58">
        <v>430.4</v>
      </c>
      <c r="AO43" s="28" t="s">
        <v>193</v>
      </c>
      <c r="AP43" s="33">
        <v>4957</v>
      </c>
      <c r="AQ43" s="33">
        <v>8086</v>
      </c>
      <c r="AR43" s="33">
        <v>6488</v>
      </c>
      <c r="AS43" s="33">
        <v>31494</v>
      </c>
      <c r="AT43" s="33">
        <v>31828</v>
      </c>
      <c r="AU43" s="33">
        <v>17621</v>
      </c>
    </row>
    <row r="44" spans="1:47" x14ac:dyDescent="0.3">
      <c r="A44" s="28" t="s">
        <v>75</v>
      </c>
      <c r="B44" s="68">
        <v>0</v>
      </c>
      <c r="C44" s="68">
        <v>0</v>
      </c>
      <c r="D44" s="68">
        <v>0</v>
      </c>
      <c r="E44" s="68">
        <v>0</v>
      </c>
      <c r="F44" s="68">
        <v>2511.8000000000002</v>
      </c>
      <c r="G44" s="68">
        <v>9354.9</v>
      </c>
      <c r="I44" s="28" t="s">
        <v>74</v>
      </c>
      <c r="J44" s="33">
        <v>230.6</v>
      </c>
      <c r="K44" s="33">
        <v>2323.4</v>
      </c>
      <c r="L44" s="33">
        <v>651</v>
      </c>
      <c r="M44" s="33">
        <v>1159.2</v>
      </c>
      <c r="N44" s="33">
        <v>1769.7</v>
      </c>
      <c r="O44" s="33">
        <v>1860.7</v>
      </c>
      <c r="Q44" s="28" t="s">
        <v>90</v>
      </c>
      <c r="R44" s="33">
        <v>182.72</v>
      </c>
      <c r="S44" s="33">
        <v>162.80000000000001</v>
      </c>
      <c r="T44" s="33">
        <v>304.79000000000002</v>
      </c>
      <c r="U44" s="33">
        <v>406.44</v>
      </c>
      <c r="V44" s="33">
        <v>546.47</v>
      </c>
      <c r="W44" s="33">
        <v>628.99</v>
      </c>
      <c r="Y44" s="6" t="s">
        <v>104</v>
      </c>
      <c r="Z44" s="34">
        <f>SUM(Z38:Z43)</f>
        <v>12064.65</v>
      </c>
      <c r="AA44" s="34">
        <f t="shared" ref="AA44:AE44" si="35">SUM(AA38:AA43)</f>
        <v>13423.210000000001</v>
      </c>
      <c r="AB44" s="34">
        <f t="shared" si="35"/>
        <v>10281.24</v>
      </c>
      <c r="AC44" s="34">
        <f t="shared" si="35"/>
        <v>9218.08</v>
      </c>
      <c r="AD44" s="34">
        <f t="shared" si="35"/>
        <v>9100.39</v>
      </c>
      <c r="AE44" s="34">
        <f t="shared" si="35"/>
        <v>11056.39</v>
      </c>
      <c r="AG44" s="7" t="s">
        <v>104</v>
      </c>
      <c r="AH44" s="61">
        <f t="shared" ref="AH44:AM44" si="36">SUM(AH37,AH38:AH43)</f>
        <v>125160.70000000001</v>
      </c>
      <c r="AI44" s="61">
        <f t="shared" si="36"/>
        <v>175306.1</v>
      </c>
      <c r="AJ44" s="61">
        <f t="shared" si="36"/>
        <v>194860</v>
      </c>
      <c r="AK44" s="61">
        <f t="shared" si="36"/>
        <v>221579.1</v>
      </c>
      <c r="AL44" s="61">
        <f t="shared" si="36"/>
        <v>235023.2</v>
      </c>
      <c r="AM44" s="62">
        <f t="shared" si="36"/>
        <v>212572.9</v>
      </c>
      <c r="AO44" s="28" t="s">
        <v>58</v>
      </c>
      <c r="AP44" s="33">
        <v>5462</v>
      </c>
      <c r="AQ44" s="33">
        <v>9072</v>
      </c>
      <c r="AR44" s="33">
        <v>9055</v>
      </c>
      <c r="AS44" s="33">
        <v>9842</v>
      </c>
      <c r="AT44" s="33">
        <v>10605</v>
      </c>
      <c r="AU44" s="33">
        <v>12655</v>
      </c>
    </row>
    <row r="45" spans="1:47" x14ac:dyDescent="0.3">
      <c r="A45" s="28" t="s">
        <v>88</v>
      </c>
      <c r="B45" s="68">
        <v>0</v>
      </c>
      <c r="C45" s="68">
        <v>0</v>
      </c>
      <c r="D45" s="68">
        <v>0</v>
      </c>
      <c r="E45" s="68">
        <v>0</v>
      </c>
      <c r="F45" s="68">
        <v>147</v>
      </c>
      <c r="G45" s="68">
        <v>141.4</v>
      </c>
      <c r="I45" s="28" t="s">
        <v>58</v>
      </c>
      <c r="J45" s="33">
        <v>97.8</v>
      </c>
      <c r="K45" s="33">
        <v>544.1</v>
      </c>
      <c r="L45" s="33">
        <v>516.29999999999995</v>
      </c>
      <c r="M45" s="33">
        <v>417.2</v>
      </c>
      <c r="N45" s="33">
        <v>644.9</v>
      </c>
      <c r="O45" s="33">
        <v>587.6</v>
      </c>
      <c r="Q45" s="28" t="s">
        <v>58</v>
      </c>
      <c r="R45" s="33">
        <v>295.02999999999997</v>
      </c>
      <c r="S45" s="33">
        <v>403.43</v>
      </c>
      <c r="T45" s="33">
        <v>352.68</v>
      </c>
      <c r="U45" s="33">
        <v>500.63</v>
      </c>
      <c r="V45" s="33">
        <v>698.52</v>
      </c>
      <c r="W45" s="33">
        <v>785.17</v>
      </c>
      <c r="Y45" s="26" t="s">
        <v>52</v>
      </c>
      <c r="Z45" s="41"/>
      <c r="AA45" s="41"/>
      <c r="AB45" s="41"/>
      <c r="AC45" s="41"/>
      <c r="AD45" s="41"/>
      <c r="AE45" s="41"/>
      <c r="AG45" s="26" t="s">
        <v>52</v>
      </c>
      <c r="AH45" s="78"/>
      <c r="AI45" s="78"/>
      <c r="AJ45" s="78"/>
      <c r="AK45" s="78"/>
      <c r="AL45" s="78"/>
      <c r="AM45" s="78"/>
      <c r="AO45" s="28" t="s">
        <v>50</v>
      </c>
      <c r="AP45" s="33">
        <v>59</v>
      </c>
      <c r="AQ45" s="33">
        <v>72</v>
      </c>
      <c r="AR45" s="33">
        <v>80</v>
      </c>
      <c r="AS45" s="33">
        <v>91</v>
      </c>
      <c r="AT45" s="33">
        <v>86</v>
      </c>
      <c r="AU45" s="33">
        <v>98</v>
      </c>
    </row>
    <row r="46" spans="1:47" x14ac:dyDescent="0.3">
      <c r="A46" s="6" t="s">
        <v>51</v>
      </c>
      <c r="B46" s="25">
        <f>SUM(B39:B45)</f>
        <v>105732.4</v>
      </c>
      <c r="C46" s="25">
        <f t="shared" ref="C46:G46" si="37">SUM(C39:C45)</f>
        <v>128947.6</v>
      </c>
      <c r="D46" s="25">
        <f t="shared" si="37"/>
        <v>120189.6</v>
      </c>
      <c r="E46" s="25">
        <f t="shared" si="37"/>
        <v>178338.8</v>
      </c>
      <c r="F46" s="25">
        <f t="shared" si="37"/>
        <v>200299.3</v>
      </c>
      <c r="G46" s="25">
        <f t="shared" si="37"/>
        <v>180452.5</v>
      </c>
      <c r="I46" s="28" t="s">
        <v>50</v>
      </c>
      <c r="J46" s="33">
        <v>20</v>
      </c>
      <c r="K46" s="33">
        <v>48.1</v>
      </c>
      <c r="L46" s="33">
        <v>53.5</v>
      </c>
      <c r="M46" s="33">
        <v>67.599999999999994</v>
      </c>
      <c r="N46" s="33">
        <v>74</v>
      </c>
      <c r="O46" s="33">
        <v>84.3</v>
      </c>
      <c r="Q46" s="28" t="s">
        <v>50</v>
      </c>
      <c r="R46" s="33">
        <v>20.079999999999998</v>
      </c>
      <c r="S46" s="33">
        <v>12.91</v>
      </c>
      <c r="T46" s="33">
        <v>27.94</v>
      </c>
      <c r="U46" s="33">
        <v>31.15</v>
      </c>
      <c r="V46" s="33">
        <v>68.08</v>
      </c>
      <c r="W46" s="33">
        <v>86.3</v>
      </c>
      <c r="Y46" s="28" t="s">
        <v>47</v>
      </c>
      <c r="Z46" s="33">
        <v>2288.46</v>
      </c>
      <c r="AA46" s="33">
        <v>914.75</v>
      </c>
      <c r="AB46" s="33">
        <v>1905.87</v>
      </c>
      <c r="AC46" s="33">
        <v>2524.9</v>
      </c>
      <c r="AD46" s="33">
        <v>5372.03</v>
      </c>
      <c r="AE46" s="33">
        <v>3883.34</v>
      </c>
      <c r="AG46" s="22" t="s">
        <v>115</v>
      </c>
      <c r="AH46" s="57">
        <v>32.200000000000003</v>
      </c>
      <c r="AI46" s="57">
        <v>0</v>
      </c>
      <c r="AJ46" s="57">
        <v>14966.9</v>
      </c>
      <c r="AK46" s="57">
        <v>12295.9</v>
      </c>
      <c r="AL46" s="57">
        <f>4196.2+537.4</f>
        <v>4733.5999999999995</v>
      </c>
      <c r="AM46" s="58">
        <f>2326+11202.2</f>
        <v>13528.2</v>
      </c>
      <c r="AO46" s="6" t="s">
        <v>197</v>
      </c>
      <c r="AP46" s="34">
        <f>SUM(AP37:AP38,AP41,AP42:AP45)</f>
        <v>38420</v>
      </c>
      <c r="AQ46" s="34">
        <f t="shared" ref="AQ46:AU46" si="38">SUM(AQ37:AQ38,AQ41,AQ42:AQ45)</f>
        <v>30244</v>
      </c>
      <c r="AR46" s="34">
        <f t="shared" si="38"/>
        <v>45958</v>
      </c>
      <c r="AS46" s="34">
        <f t="shared" si="38"/>
        <v>65620</v>
      </c>
      <c r="AT46" s="34">
        <f t="shared" si="38"/>
        <v>64996</v>
      </c>
      <c r="AU46" s="34">
        <f t="shared" si="38"/>
        <v>69662</v>
      </c>
    </row>
    <row r="47" spans="1:47" x14ac:dyDescent="0.3">
      <c r="A47" s="26" t="s">
        <v>52</v>
      </c>
      <c r="B47" s="27"/>
      <c r="C47" s="27"/>
      <c r="D47" s="27"/>
      <c r="E47" s="27"/>
      <c r="F47" s="27"/>
      <c r="G47" s="27"/>
      <c r="I47" s="28" t="s">
        <v>57</v>
      </c>
      <c r="J47" s="33">
        <v>10.9</v>
      </c>
      <c r="K47" s="33">
        <v>131.80000000000001</v>
      </c>
      <c r="L47" s="33">
        <v>212.4</v>
      </c>
      <c r="M47" s="33">
        <v>66.599999999999994</v>
      </c>
      <c r="N47" s="33">
        <v>181.8</v>
      </c>
      <c r="O47" s="33">
        <v>132.30000000000001</v>
      </c>
      <c r="Q47" s="6" t="s">
        <v>79</v>
      </c>
      <c r="R47" s="34">
        <f t="shared" ref="R47:W47" si="39">SUM(R40,R43,R44:R46)</f>
        <v>884.44</v>
      </c>
      <c r="S47" s="34">
        <f t="shared" si="39"/>
        <v>1119.8500000000001</v>
      </c>
      <c r="T47" s="34">
        <f t="shared" si="39"/>
        <v>1186.46</v>
      </c>
      <c r="U47" s="34">
        <f t="shared" si="39"/>
        <v>1512.44</v>
      </c>
      <c r="V47" s="34">
        <f t="shared" si="39"/>
        <v>2093.85</v>
      </c>
      <c r="W47" s="34">
        <f t="shared" si="39"/>
        <v>2939.5</v>
      </c>
      <c r="Y47" s="28" t="s">
        <v>78</v>
      </c>
      <c r="Z47" s="33">
        <v>3844.99</v>
      </c>
      <c r="AA47" s="33">
        <v>3239.47</v>
      </c>
      <c r="AB47" s="33">
        <v>3006.46</v>
      </c>
      <c r="AC47" s="33">
        <v>3277.21</v>
      </c>
      <c r="AD47" s="33">
        <v>3656.23</v>
      </c>
      <c r="AE47" s="33">
        <v>3569.16</v>
      </c>
      <c r="AG47" s="28" t="s">
        <v>48</v>
      </c>
      <c r="AH47" s="57">
        <v>0</v>
      </c>
      <c r="AI47" s="57">
        <v>0</v>
      </c>
      <c r="AJ47" s="57">
        <v>11410.9</v>
      </c>
      <c r="AK47" s="57">
        <v>11118.8</v>
      </c>
      <c r="AL47" s="57">
        <v>11854.2</v>
      </c>
      <c r="AM47" s="57">
        <v>7715.9</v>
      </c>
      <c r="AO47" s="6" t="s">
        <v>61</v>
      </c>
      <c r="AP47" s="34">
        <f t="shared" ref="AP47:AU47" si="40">AP26+AP35+AP46</f>
        <v>241705</v>
      </c>
      <c r="AQ47" s="34">
        <f t="shared" si="40"/>
        <v>250089</v>
      </c>
      <c r="AR47" s="34">
        <f t="shared" si="40"/>
        <v>319723</v>
      </c>
      <c r="AS47" s="34">
        <f t="shared" si="40"/>
        <v>447881</v>
      </c>
      <c r="AT47" s="34">
        <f t="shared" si="40"/>
        <v>487405</v>
      </c>
      <c r="AU47" s="34">
        <f t="shared" si="40"/>
        <v>524082</v>
      </c>
    </row>
    <row r="48" spans="1:47" x14ac:dyDescent="0.3">
      <c r="A48" s="28" t="s">
        <v>47</v>
      </c>
      <c r="B48" s="68">
        <v>7309.2</v>
      </c>
      <c r="C48" s="68">
        <v>1693.5</v>
      </c>
      <c r="D48" s="68">
        <v>10301.1</v>
      </c>
      <c r="E48" s="68">
        <v>4411</v>
      </c>
      <c r="F48" s="68">
        <v>20953.900000000001</v>
      </c>
      <c r="G48" s="68">
        <v>43448.5</v>
      </c>
      <c r="I48" s="6" t="s">
        <v>79</v>
      </c>
      <c r="J48" s="34">
        <f t="shared" ref="J48:O48" si="41">SUM(J39,J42,J43:J47)</f>
        <v>3826.3</v>
      </c>
      <c r="K48" s="34">
        <f t="shared" si="41"/>
        <v>13950.6</v>
      </c>
      <c r="L48" s="34">
        <f t="shared" si="41"/>
        <v>8826.9</v>
      </c>
      <c r="M48" s="34">
        <f t="shared" si="41"/>
        <v>8162.8</v>
      </c>
      <c r="N48" s="34">
        <f t="shared" si="41"/>
        <v>10156.5</v>
      </c>
      <c r="O48" s="34">
        <f t="shared" si="41"/>
        <v>9786.7999999999993</v>
      </c>
      <c r="Q48" s="6" t="s">
        <v>80</v>
      </c>
      <c r="R48" s="34">
        <f t="shared" ref="R48:W48" si="42">R37+R47</f>
        <v>1025.23</v>
      </c>
      <c r="S48" s="34">
        <f t="shared" si="42"/>
        <v>1297.1100000000001</v>
      </c>
      <c r="T48" s="34">
        <f t="shared" si="42"/>
        <v>1331.46</v>
      </c>
      <c r="U48" s="34">
        <f t="shared" si="42"/>
        <v>1690.26</v>
      </c>
      <c r="V48" s="34">
        <f t="shared" si="42"/>
        <v>2222.34</v>
      </c>
      <c r="W48" s="34">
        <f t="shared" si="42"/>
        <v>3161.59</v>
      </c>
      <c r="Y48" s="28" t="s">
        <v>74</v>
      </c>
      <c r="Z48" s="33">
        <v>2599.77</v>
      </c>
      <c r="AA48" s="33">
        <v>847.58</v>
      </c>
      <c r="AB48" s="33">
        <v>717.76</v>
      </c>
      <c r="AC48" s="33">
        <v>913.47</v>
      </c>
      <c r="AD48" s="33">
        <v>928.52</v>
      </c>
      <c r="AE48" s="33">
        <v>986.7</v>
      </c>
      <c r="AG48" s="22" t="s">
        <v>113</v>
      </c>
      <c r="AH48" s="57">
        <v>11767.2</v>
      </c>
      <c r="AI48" s="57">
        <v>13275.7</v>
      </c>
      <c r="AJ48" s="57">
        <v>13169.9</v>
      </c>
      <c r="AK48" s="57">
        <v>13536.4</v>
      </c>
      <c r="AL48" s="57">
        <v>13435.9</v>
      </c>
      <c r="AM48" s="58">
        <v>10748</v>
      </c>
    </row>
    <row r="49" spans="1:47" x14ac:dyDescent="0.3">
      <c r="A49" s="28" t="s">
        <v>53</v>
      </c>
      <c r="B49" s="68">
        <v>4582.8</v>
      </c>
      <c r="C49" s="68">
        <v>2805.4</v>
      </c>
      <c r="D49" s="68">
        <v>0</v>
      </c>
      <c r="E49" s="68">
        <v>0</v>
      </c>
      <c r="F49" s="68">
        <v>0</v>
      </c>
      <c r="G49" s="68">
        <v>0</v>
      </c>
      <c r="I49" s="6" t="s">
        <v>80</v>
      </c>
      <c r="J49" s="34">
        <f>J37+J48</f>
        <v>6211.6</v>
      </c>
      <c r="K49" s="34">
        <f t="shared" ref="K49:O49" si="43">K37+K48</f>
        <v>29066.7</v>
      </c>
      <c r="L49" s="34">
        <f t="shared" si="43"/>
        <v>25817.1</v>
      </c>
      <c r="M49" s="34">
        <f t="shared" si="43"/>
        <v>25462.899999999998</v>
      </c>
      <c r="N49" s="34">
        <f t="shared" si="43"/>
        <v>28828.799999999999</v>
      </c>
      <c r="O49" s="34">
        <f t="shared" si="43"/>
        <v>30671.899999999998</v>
      </c>
      <c r="Q49" s="6" t="s">
        <v>81</v>
      </c>
      <c r="R49" s="34">
        <f t="shared" ref="R49:W49" si="44">R30+R48</f>
        <v>2394.5600000000004</v>
      </c>
      <c r="S49" s="34">
        <f t="shared" si="44"/>
        <v>2709.9300000000003</v>
      </c>
      <c r="T49" s="34">
        <f t="shared" si="44"/>
        <v>2858.17</v>
      </c>
      <c r="U49" s="34">
        <f t="shared" si="44"/>
        <v>3339.1400000000003</v>
      </c>
      <c r="V49" s="34">
        <f t="shared" si="44"/>
        <v>4049.58</v>
      </c>
      <c r="W49" s="34">
        <f t="shared" si="44"/>
        <v>5161.21</v>
      </c>
      <c r="Y49" s="28" t="s">
        <v>103</v>
      </c>
      <c r="Z49" s="33">
        <v>298.58</v>
      </c>
      <c r="AA49" s="33">
        <v>282.08</v>
      </c>
      <c r="AB49" s="33">
        <v>269.02999999999997</v>
      </c>
      <c r="AC49" s="33">
        <v>271.58</v>
      </c>
      <c r="AD49" s="33">
        <v>323.02999999999997</v>
      </c>
      <c r="AE49" s="33">
        <v>314.67</v>
      </c>
      <c r="AG49" s="22" t="s">
        <v>90</v>
      </c>
      <c r="AH49" s="57">
        <v>37713.5</v>
      </c>
      <c r="AI49" s="57">
        <v>46681.9</v>
      </c>
      <c r="AJ49" s="57">
        <v>13960.6</v>
      </c>
      <c r="AK49" s="57">
        <v>15355.7</v>
      </c>
      <c r="AL49" s="57">
        <v>15438.5</v>
      </c>
      <c r="AM49" s="58">
        <v>14809.3</v>
      </c>
      <c r="AO49" s="2" t="s">
        <v>511</v>
      </c>
      <c r="AP49" s="244">
        <f>AP20-AP46</f>
        <v>-9977</v>
      </c>
      <c r="AQ49" s="244">
        <f t="shared" ref="AQ49:AU49" si="45">AQ20-AQ46</f>
        <v>-7809</v>
      </c>
      <c r="AR49" s="244">
        <f t="shared" si="45"/>
        <v>-16623</v>
      </c>
      <c r="AS49" s="244">
        <f t="shared" si="45"/>
        <v>-35103</v>
      </c>
      <c r="AT49" s="244">
        <f t="shared" si="45"/>
        <v>-31905</v>
      </c>
      <c r="AU49" s="244">
        <f t="shared" si="45"/>
        <v>-19719</v>
      </c>
    </row>
    <row r="50" spans="1:47" x14ac:dyDescent="0.3">
      <c r="A50" s="28" t="s">
        <v>48</v>
      </c>
      <c r="B50" s="68">
        <v>5733.4</v>
      </c>
      <c r="C50" s="68">
        <v>6001.1</v>
      </c>
      <c r="D50" s="68">
        <v>4846.1000000000004</v>
      </c>
      <c r="E50" s="68">
        <v>5918.4</v>
      </c>
      <c r="F50" s="68">
        <v>9748.7000000000007</v>
      </c>
      <c r="G50" s="68">
        <v>9659.7000000000007</v>
      </c>
      <c r="I50" s="6" t="s">
        <v>81</v>
      </c>
      <c r="J50" s="34">
        <f>J29+J49</f>
        <v>19753.900000000001</v>
      </c>
      <c r="K50" s="34">
        <f t="shared" ref="K50:O50" si="46">K29+K49</f>
        <v>44943.7</v>
      </c>
      <c r="L50" s="34">
        <f t="shared" si="46"/>
        <v>47967.6</v>
      </c>
      <c r="M50" s="34">
        <f t="shared" si="46"/>
        <v>46572.399999999994</v>
      </c>
      <c r="N50" s="34">
        <f t="shared" si="46"/>
        <v>55867.600000000006</v>
      </c>
      <c r="O50" s="34">
        <f t="shared" si="46"/>
        <v>63170.2</v>
      </c>
      <c r="Y50" s="28" t="s">
        <v>50</v>
      </c>
      <c r="Z50" s="33">
        <v>123.79</v>
      </c>
      <c r="AA50" s="33">
        <v>140.57</v>
      </c>
      <c r="AB50" s="33">
        <v>121.28</v>
      </c>
      <c r="AC50" s="33">
        <v>159.61000000000001</v>
      </c>
      <c r="AD50" s="33">
        <v>179.57</v>
      </c>
      <c r="AE50" s="33">
        <v>225.42</v>
      </c>
      <c r="AG50" s="22" t="s">
        <v>58</v>
      </c>
      <c r="AH50" s="57">
        <v>46216.800000000003</v>
      </c>
      <c r="AI50" s="57">
        <v>6399.1</v>
      </c>
      <c r="AJ50" s="57">
        <v>7601.8</v>
      </c>
      <c r="AK50" s="57">
        <v>7701.1</v>
      </c>
      <c r="AL50" s="57">
        <v>8114.5</v>
      </c>
      <c r="AM50" s="58">
        <v>8480.2000000000007</v>
      </c>
      <c r="AP50" s="79" t="s">
        <v>446</v>
      </c>
      <c r="AQ50" s="79">
        <v>2026</v>
      </c>
      <c r="AR50" s="79">
        <v>2027</v>
      </c>
      <c r="AS50" s="79">
        <v>2028</v>
      </c>
      <c r="AT50" s="79">
        <v>2029</v>
      </c>
      <c r="AU50" s="79">
        <v>2030</v>
      </c>
    </row>
    <row r="51" spans="1:47" x14ac:dyDescent="0.3">
      <c r="A51" s="28" t="s">
        <v>25</v>
      </c>
      <c r="B51" s="68">
        <v>3.5</v>
      </c>
      <c r="C51" s="68">
        <v>43</v>
      </c>
      <c r="D51" s="68">
        <v>17.600000000000001</v>
      </c>
      <c r="E51" s="68">
        <v>53.2</v>
      </c>
      <c r="F51" s="68">
        <v>1220.7</v>
      </c>
      <c r="G51" s="68">
        <v>192.1</v>
      </c>
      <c r="Y51" s="28" t="s">
        <v>57</v>
      </c>
      <c r="Z51" s="33">
        <v>290.92</v>
      </c>
      <c r="AA51" s="33">
        <v>490.81</v>
      </c>
      <c r="AB51" s="33">
        <v>486.6</v>
      </c>
      <c r="AC51" s="33">
        <v>614.29999999999995</v>
      </c>
      <c r="AD51" s="33">
        <v>1140.8</v>
      </c>
      <c r="AE51" s="33">
        <v>688.05</v>
      </c>
      <c r="AG51" s="22" t="s">
        <v>116</v>
      </c>
      <c r="AH51" s="57">
        <v>4.93</v>
      </c>
      <c r="AI51" s="57">
        <v>4.58</v>
      </c>
      <c r="AJ51" s="57">
        <v>23.8</v>
      </c>
      <c r="AK51" s="57">
        <v>14.8</v>
      </c>
      <c r="AL51" s="57">
        <v>36.5</v>
      </c>
      <c r="AM51" s="58">
        <v>73.400000000000006</v>
      </c>
      <c r="AO51" s="2" t="s">
        <v>512</v>
      </c>
      <c r="AP51" s="246">
        <f>-(AVERAGE(AR49:AU49))/AVERAGE('Income Statement'!AP6:AU6)</f>
        <v>0.30407194555047762</v>
      </c>
      <c r="AQ51" s="244">
        <f>-DCF!AW4*'Balance Sheet'!$AP$51</f>
        <v>-39649.793348059415</v>
      </c>
      <c r="AR51" s="244">
        <f>-DCF!AX4*'Balance Sheet'!$AP$51</f>
        <v>-44923.69400951024</v>
      </c>
      <c r="AS51" s="244">
        <f>-DCF!AY4*'Balance Sheet'!$AP$51</f>
        <v>-50899.087058139252</v>
      </c>
      <c r="AT51" s="244">
        <f>-DCF!AZ4*'Balance Sheet'!$AP$51</f>
        <v>-57669.279440902377</v>
      </c>
      <c r="AU51" s="244">
        <f>-DCF!BA4*'Balance Sheet'!$AP$51</f>
        <v>-65339.989053911078</v>
      </c>
    </row>
    <row r="52" spans="1:47" x14ac:dyDescent="0.3">
      <c r="A52" s="28" t="s">
        <v>54</v>
      </c>
      <c r="B52" s="68">
        <v>12.2</v>
      </c>
      <c r="C52" s="68">
        <v>70.2</v>
      </c>
      <c r="D52" s="68">
        <v>48.1</v>
      </c>
      <c r="E52" s="68">
        <v>73.099999999999994</v>
      </c>
      <c r="F52" s="68">
        <v>0</v>
      </c>
      <c r="G52" s="68">
        <v>0</v>
      </c>
      <c r="I52" s="2" t="s">
        <v>511</v>
      </c>
      <c r="J52" s="244">
        <f>J23-J48</f>
        <v>1125</v>
      </c>
      <c r="K52" s="244">
        <f t="shared" ref="K52:O52" si="47">K23-K48</f>
        <v>-4320.8000000000011</v>
      </c>
      <c r="L52" s="244">
        <f t="shared" si="47"/>
        <v>3484.4000000000015</v>
      </c>
      <c r="M52" s="244">
        <f t="shared" si="47"/>
        <v>544.80000000000018</v>
      </c>
      <c r="N52" s="244">
        <f t="shared" si="47"/>
        <v>333.5</v>
      </c>
      <c r="O52" s="244">
        <f t="shared" si="47"/>
        <v>3143</v>
      </c>
      <c r="Q52" s="2" t="s">
        <v>511</v>
      </c>
      <c r="R52" s="244">
        <f>R24-R47</f>
        <v>231.07999999999993</v>
      </c>
      <c r="S52" s="244">
        <f t="shared" ref="S52:W52" si="48">S24-S47</f>
        <v>527.24999999999977</v>
      </c>
      <c r="T52" s="244">
        <f t="shared" si="48"/>
        <v>368.07999999999993</v>
      </c>
      <c r="U52" s="244">
        <f t="shared" si="48"/>
        <v>583.36999999999989</v>
      </c>
      <c r="V52" s="244">
        <f t="shared" si="48"/>
        <v>430.30999999999995</v>
      </c>
      <c r="W52" s="244">
        <f t="shared" si="48"/>
        <v>846.94</v>
      </c>
      <c r="Y52" s="28" t="s">
        <v>58</v>
      </c>
      <c r="Z52" s="33">
        <v>1895.34</v>
      </c>
      <c r="AA52" s="33">
        <v>1846.82</v>
      </c>
      <c r="AB52" s="33">
        <v>1919.13</v>
      </c>
      <c r="AC52" s="33">
        <v>2024.84</v>
      </c>
      <c r="AD52" s="33">
        <v>2070.44</v>
      </c>
      <c r="AE52" s="33">
        <v>2825.05</v>
      </c>
      <c r="AG52" s="28" t="s">
        <v>118</v>
      </c>
      <c r="AH52" s="57">
        <v>0</v>
      </c>
      <c r="AI52" s="57">
        <v>0</v>
      </c>
      <c r="AJ52" s="57">
        <v>0</v>
      </c>
      <c r="AK52" s="57">
        <v>0</v>
      </c>
      <c r="AL52" s="57">
        <v>528.1</v>
      </c>
      <c r="AM52" s="57">
        <v>258.89999999999998</v>
      </c>
    </row>
    <row r="53" spans="1:47" x14ac:dyDescent="0.3">
      <c r="A53" s="28" t="s">
        <v>55</v>
      </c>
      <c r="B53" s="68">
        <v>18643.099999999999</v>
      </c>
      <c r="C53" s="68">
        <v>22224.799999999999</v>
      </c>
      <c r="D53" s="68">
        <v>25528.2</v>
      </c>
      <c r="E53" s="68">
        <v>25925.8</v>
      </c>
      <c r="F53" s="68">
        <v>35132.5</v>
      </c>
      <c r="G53" s="68">
        <v>38153.699999999997</v>
      </c>
      <c r="J53" s="79" t="s">
        <v>446</v>
      </c>
      <c r="K53" s="79">
        <v>2026</v>
      </c>
      <c r="L53" s="79">
        <v>2027</v>
      </c>
      <c r="M53" s="79">
        <v>2028</v>
      </c>
      <c r="N53" s="79">
        <v>2029</v>
      </c>
      <c r="O53" s="79">
        <v>2030</v>
      </c>
      <c r="R53" s="79" t="s">
        <v>446</v>
      </c>
      <c r="S53" s="79">
        <v>2026</v>
      </c>
      <c r="T53" s="79">
        <v>2027</v>
      </c>
      <c r="U53" s="79">
        <v>2028</v>
      </c>
      <c r="V53" s="79">
        <v>2029</v>
      </c>
      <c r="W53" s="79">
        <v>2030</v>
      </c>
      <c r="Y53" s="28" t="s">
        <v>105</v>
      </c>
      <c r="Z53" s="33">
        <v>28.58</v>
      </c>
      <c r="AA53" s="33">
        <v>4.49</v>
      </c>
      <c r="AB53" s="33">
        <v>4.5199999999999996</v>
      </c>
      <c r="AC53" s="33">
        <v>0.03</v>
      </c>
      <c r="AD53" s="33">
        <v>0.03</v>
      </c>
      <c r="AE53" s="33">
        <v>11.52</v>
      </c>
      <c r="AG53" s="7" t="s">
        <v>79</v>
      </c>
      <c r="AH53" s="61">
        <f t="shared" ref="AH53:AM53" si="49">SUM(AH46:AH51)</f>
        <v>95734.63</v>
      </c>
      <c r="AI53" s="61">
        <f t="shared" si="49"/>
        <v>66361.280000000013</v>
      </c>
      <c r="AJ53" s="61">
        <f t="shared" si="49"/>
        <v>61133.9</v>
      </c>
      <c r="AK53" s="61">
        <f t="shared" si="49"/>
        <v>60022.700000000004</v>
      </c>
      <c r="AL53" s="61">
        <f t="shared" si="49"/>
        <v>53613.2</v>
      </c>
      <c r="AM53" s="62">
        <f t="shared" si="49"/>
        <v>55354.999999999993</v>
      </c>
    </row>
    <row r="54" spans="1:47" x14ac:dyDescent="0.3">
      <c r="A54" s="6" t="s">
        <v>56</v>
      </c>
      <c r="B54" s="25">
        <f t="shared" ref="B54:G54" si="50">B52+B53</f>
        <v>18655.3</v>
      </c>
      <c r="C54" s="25">
        <f t="shared" si="50"/>
        <v>22295</v>
      </c>
      <c r="D54" s="25">
        <f t="shared" si="50"/>
        <v>25576.3</v>
      </c>
      <c r="E54" s="25">
        <f t="shared" si="50"/>
        <v>25998.899999999998</v>
      </c>
      <c r="F54" s="25">
        <f t="shared" si="50"/>
        <v>35132.5</v>
      </c>
      <c r="G54" s="25">
        <f t="shared" si="50"/>
        <v>38153.699999999997</v>
      </c>
      <c r="I54" s="2" t="s">
        <v>512</v>
      </c>
      <c r="J54" s="246">
        <f>ABS(AVERAGE(L52:O52))/AVERAGE('Income Statement'!J6:O6)</f>
        <v>8.2019946672883315E-2</v>
      </c>
      <c r="K54" s="244">
        <f>DCF!M4*'Balance Sheet'!$J$54</f>
        <v>3203.0965764661596</v>
      </c>
      <c r="L54" s="244">
        <f>DCF!N4*'Balance Sheet'!$J$54</f>
        <v>4105.5191727965457</v>
      </c>
      <c r="M54" s="244">
        <f>DCF!O4*'Balance Sheet'!$J$54</f>
        <v>5262.1852872122117</v>
      </c>
      <c r="N54" s="244">
        <f>DCF!P4*'Balance Sheet'!$J$54</f>
        <v>6744.7240730070062</v>
      </c>
      <c r="O54" s="244">
        <f>DCF!Q4*'Balance Sheet'!$J$54</f>
        <v>8644.9450823310872</v>
      </c>
      <c r="Q54" s="2" t="s">
        <v>512</v>
      </c>
      <c r="R54" s="246">
        <f>AVERAGE('Balance Sheet'!R52:W52)/AVERAGE('Income Statement'!R7:W7)</f>
        <v>0.24225277407864571</v>
      </c>
      <c r="S54" s="244">
        <f>DCF!V4*'Balance Sheet'!$R$54</f>
        <v>1035.730732784077</v>
      </c>
      <c r="T54" s="244">
        <f>DCF!W4*'Balance Sheet'!$R$54</f>
        <v>1247.0084686216173</v>
      </c>
      <c r="U54" s="244">
        <f>DCF!X4*'Balance Sheet'!$R$54</f>
        <v>1501.3845506293526</v>
      </c>
      <c r="V54" s="244">
        <f>DCF!Y4*'Balance Sheet'!$R$54</f>
        <v>1807.6505698154056</v>
      </c>
      <c r="W54" s="244">
        <f>DCF!Z4*'Balance Sheet'!$R$54</f>
        <v>2176.3915055501557</v>
      </c>
      <c r="Y54" s="6" t="s">
        <v>59</v>
      </c>
      <c r="Z54" s="34">
        <f>SUM(Z46:Z53)</f>
        <v>11370.43</v>
      </c>
      <c r="AA54" s="34">
        <f t="shared" ref="AA54:AE54" si="51">SUM(AA46:AA53)</f>
        <v>7766.5699999999988</v>
      </c>
      <c r="AB54" s="34">
        <f t="shared" si="51"/>
        <v>8430.6500000000015</v>
      </c>
      <c r="AC54" s="34">
        <f t="shared" si="51"/>
        <v>9785.94</v>
      </c>
      <c r="AD54" s="34">
        <f t="shared" si="51"/>
        <v>13670.650000000001</v>
      </c>
      <c r="AE54" s="34">
        <f t="shared" si="51"/>
        <v>12503.91</v>
      </c>
      <c r="AG54" s="7" t="s">
        <v>60</v>
      </c>
      <c r="AH54" s="61">
        <f t="shared" ref="AH54:AM54" si="52">AH44+AH53</f>
        <v>220895.33000000002</v>
      </c>
      <c r="AI54" s="61">
        <f t="shared" si="52"/>
        <v>241667.38</v>
      </c>
      <c r="AJ54" s="61">
        <f t="shared" si="52"/>
        <v>255993.9</v>
      </c>
      <c r="AK54" s="61">
        <f t="shared" si="52"/>
        <v>281601.8</v>
      </c>
      <c r="AL54" s="61">
        <f t="shared" si="52"/>
        <v>288636.40000000002</v>
      </c>
      <c r="AM54" s="62">
        <f t="shared" si="52"/>
        <v>267927.89999999997</v>
      </c>
    </row>
    <row r="55" spans="1:47" x14ac:dyDescent="0.3">
      <c r="A55" s="28" t="s">
        <v>27</v>
      </c>
      <c r="B55" s="68">
        <v>9673.7000000000007</v>
      </c>
      <c r="C55" s="68">
        <v>11148.8</v>
      </c>
      <c r="D55" s="68">
        <v>7450.2</v>
      </c>
      <c r="E55" s="68">
        <v>12458.5</v>
      </c>
      <c r="F55" s="68">
        <v>25345.599999999999</v>
      </c>
      <c r="G55" s="68">
        <v>33302.400000000001</v>
      </c>
      <c r="Y55" s="6" t="s">
        <v>60</v>
      </c>
      <c r="Z55" s="34">
        <f>Z44+Z54</f>
        <v>23435.08</v>
      </c>
      <c r="AA55" s="34">
        <f t="shared" ref="AA55:AE55" si="53">AA44+AA54</f>
        <v>21189.78</v>
      </c>
      <c r="AB55" s="34">
        <f t="shared" si="53"/>
        <v>18711.89</v>
      </c>
      <c r="AC55" s="34">
        <f t="shared" si="53"/>
        <v>19004.02</v>
      </c>
      <c r="AD55" s="34">
        <f t="shared" si="53"/>
        <v>22771.040000000001</v>
      </c>
      <c r="AE55" s="34">
        <f t="shared" si="53"/>
        <v>23560.3</v>
      </c>
      <c r="AG55" s="12" t="s">
        <v>61</v>
      </c>
      <c r="AH55" s="65">
        <f t="shared" ref="AH55:AM55" si="54">AH33+AH54</f>
        <v>226875.23</v>
      </c>
      <c r="AI55" s="65">
        <f t="shared" si="54"/>
        <v>203439.38</v>
      </c>
      <c r="AJ55" s="65">
        <f t="shared" si="54"/>
        <v>194029.09999999998</v>
      </c>
      <c r="AK55" s="65">
        <f t="shared" si="54"/>
        <v>207242.69999999998</v>
      </c>
      <c r="AL55" s="65">
        <f t="shared" si="54"/>
        <v>184469.60000000003</v>
      </c>
      <c r="AM55" s="66">
        <f t="shared" si="54"/>
        <v>197607.69999999995</v>
      </c>
    </row>
    <row r="56" spans="1:47" x14ac:dyDescent="0.3">
      <c r="A56" s="28" t="s">
        <v>49</v>
      </c>
      <c r="B56" s="68">
        <v>3524.7</v>
      </c>
      <c r="C56" s="68">
        <v>4252</v>
      </c>
      <c r="D56" s="68">
        <v>5099.8999999999996</v>
      </c>
      <c r="E56" s="68">
        <v>5530.5</v>
      </c>
      <c r="F56" s="68">
        <v>8726.2000000000007</v>
      </c>
      <c r="G56" s="68">
        <v>9772.9</v>
      </c>
      <c r="Y56" s="6" t="s">
        <v>61</v>
      </c>
      <c r="Z56" s="34">
        <f>Z36+Z55</f>
        <v>22161.47</v>
      </c>
      <c r="AA56" s="34">
        <f t="shared" ref="AA56:AE56" si="55">AA36+AA55</f>
        <v>21333.41</v>
      </c>
      <c r="AB56" s="34">
        <f t="shared" si="55"/>
        <v>19667.97</v>
      </c>
      <c r="AC56" s="34">
        <f t="shared" si="55"/>
        <v>20552.62</v>
      </c>
      <c r="AD56" s="34">
        <f t="shared" si="55"/>
        <v>24561.34</v>
      </c>
      <c r="AE56" s="34">
        <f t="shared" si="55"/>
        <v>26584.579999999998</v>
      </c>
    </row>
    <row r="57" spans="1:47" x14ac:dyDescent="0.3">
      <c r="A57" s="28" t="s">
        <v>50</v>
      </c>
      <c r="B57" s="68">
        <v>40759</v>
      </c>
      <c r="C57" s="68">
        <v>20156.599999999999</v>
      </c>
      <c r="D57" s="68">
        <v>20914.599999999999</v>
      </c>
      <c r="E57" s="68">
        <v>21291.8</v>
      </c>
      <c r="F57" s="68">
        <v>28328.2</v>
      </c>
      <c r="G57" s="68">
        <v>36155.199999999997</v>
      </c>
    </row>
    <row r="58" spans="1:47" x14ac:dyDescent="0.3">
      <c r="A58" s="28" t="s">
        <v>57</v>
      </c>
      <c r="B58" s="68">
        <v>226.8</v>
      </c>
      <c r="C58" s="68">
        <v>41.5</v>
      </c>
      <c r="D58" s="68">
        <v>20.399999999999999</v>
      </c>
      <c r="E58" s="68">
        <v>1.8</v>
      </c>
      <c r="F58" s="68">
        <v>3303.1</v>
      </c>
      <c r="G58" s="68">
        <v>2003.5</v>
      </c>
      <c r="Y58" s="2" t="s">
        <v>511</v>
      </c>
      <c r="Z58" s="244">
        <f>Z29-Z54</f>
        <v>-5428.3200000000006</v>
      </c>
      <c r="AA58" s="244">
        <f t="shared" ref="AA58:AE58" si="56">AA29-AA54</f>
        <v>-1929.4299999999985</v>
      </c>
      <c r="AB58" s="244">
        <f t="shared" si="56"/>
        <v>-3560.8700000000017</v>
      </c>
      <c r="AC58" s="244">
        <f t="shared" si="56"/>
        <v>-3974.9500000000007</v>
      </c>
      <c r="AD58" s="244">
        <f t="shared" si="56"/>
        <v>-7671.7200000000012</v>
      </c>
      <c r="AE58" s="244">
        <f t="shared" si="56"/>
        <v>-5265.2300000000014</v>
      </c>
      <c r="AG58" s="2" t="s">
        <v>511</v>
      </c>
      <c r="AH58" s="53">
        <f>AH26-AH53</f>
        <v>-79048.53</v>
      </c>
      <c r="AI58" s="53">
        <f t="shared" ref="AI58:AM58" si="57">AI26-AI53</f>
        <v>-52261.780000000013</v>
      </c>
      <c r="AJ58" s="53">
        <f t="shared" si="57"/>
        <v>-44366.44</v>
      </c>
      <c r="AK58" s="53">
        <f t="shared" si="57"/>
        <v>-46155.260000000009</v>
      </c>
      <c r="AL58" s="53">
        <f t="shared" si="57"/>
        <v>-40703.399999999994</v>
      </c>
      <c r="AM58" s="53">
        <f t="shared" si="57"/>
        <v>-24315.499999999993</v>
      </c>
    </row>
    <row r="59" spans="1:47" x14ac:dyDescent="0.3">
      <c r="A59" s="28" t="s">
        <v>58</v>
      </c>
      <c r="B59" s="68">
        <v>2742.8</v>
      </c>
      <c r="C59" s="68">
        <v>3002.5</v>
      </c>
      <c r="D59" s="68">
        <v>1954.5</v>
      </c>
      <c r="E59" s="68">
        <v>2580.9</v>
      </c>
      <c r="F59" s="68">
        <v>5908.9</v>
      </c>
      <c r="G59" s="68">
        <v>7752.2</v>
      </c>
      <c r="Z59" s="79" t="s">
        <v>446</v>
      </c>
      <c r="AA59" s="79">
        <v>2026</v>
      </c>
      <c r="AB59" s="79">
        <v>2027</v>
      </c>
      <c r="AC59" s="79">
        <v>2028</v>
      </c>
      <c r="AD59" s="79">
        <v>2029</v>
      </c>
      <c r="AE59" s="79">
        <v>2030</v>
      </c>
      <c r="AH59" s="260" t="s">
        <v>446</v>
      </c>
      <c r="AI59" s="261">
        <v>2026</v>
      </c>
      <c r="AJ59" s="261">
        <v>2027</v>
      </c>
      <c r="AK59" s="261">
        <v>2028</v>
      </c>
      <c r="AL59" s="261">
        <v>2029</v>
      </c>
      <c r="AM59" s="261">
        <v>2030</v>
      </c>
    </row>
    <row r="60" spans="1:47" x14ac:dyDescent="0.3">
      <c r="A60" s="6" t="s">
        <v>59</v>
      </c>
      <c r="B60" s="25">
        <f t="shared" ref="B60:G60" si="58">SUM(B48:B51,B54,B55:B59)</f>
        <v>93211.199999999997</v>
      </c>
      <c r="C60" s="25">
        <f t="shared" si="58"/>
        <v>71439.399999999994</v>
      </c>
      <c r="D60" s="25">
        <f t="shared" si="58"/>
        <v>76180.699999999983</v>
      </c>
      <c r="E60" s="25">
        <f t="shared" si="58"/>
        <v>78245</v>
      </c>
      <c r="F60" s="25">
        <f t="shared" si="58"/>
        <v>138667.79999999999</v>
      </c>
      <c r="G60" s="25">
        <f t="shared" si="58"/>
        <v>180440.2</v>
      </c>
      <c r="Y60" s="2" t="s">
        <v>512</v>
      </c>
      <c r="Z60" s="246">
        <f>ABS(AVERAGE(AD58:AE58))/AVERAGE('Income Statement'!Z6:AE6)</f>
        <v>0.34062398384419235</v>
      </c>
      <c r="AA60" s="2">
        <f>-'Income Statement'!Z6*'Balance Sheet'!$Z$60</f>
        <v>-5837.5014292071</v>
      </c>
      <c r="AB60" s="2">
        <f>-'Income Statement'!AA6*'Balance Sheet'!$Z$60</f>
        <v>-5878.1004018414878</v>
      </c>
      <c r="AC60" s="2">
        <f>-'Income Statement'!AB6*'Balance Sheet'!$Z$60</f>
        <v>-5809.9619801132967</v>
      </c>
      <c r="AD60" s="2">
        <f>-'Income Statement'!AC6*'Balance Sheet'!$Z$60</f>
        <v>-6199.836785781521</v>
      </c>
      <c r="AE60" s="2">
        <f>-'Income Statement'!AD6*'Balance Sheet'!$Z$60</f>
        <v>-7169.7261111396356</v>
      </c>
      <c r="AG60" s="2" t="s">
        <v>512</v>
      </c>
      <c r="AH60" s="246">
        <f>(AM58/AH58)^(1/6)-1</f>
        <v>-0.17839154273031488</v>
      </c>
      <c r="AI60" s="53">
        <f>AM58*(1+AH60)</f>
        <v>-19977.820442741024</v>
      </c>
      <c r="AJ60" s="53">
        <f>AI60*(1+$AH$60)</f>
        <v>-16413.946233571231</v>
      </c>
      <c r="AK60" s="53">
        <f t="shared" ref="AK60:AM60" si="59">AJ60*(1+$AH$60)</f>
        <v>-13485.837042672018</v>
      </c>
      <c r="AL60" s="53">
        <f t="shared" si="59"/>
        <v>-11080.077767620129</v>
      </c>
      <c r="AM60" s="53">
        <f t="shared" si="59"/>
        <v>-9103.4856010825115</v>
      </c>
    </row>
    <row r="61" spans="1:47" x14ac:dyDescent="0.3">
      <c r="A61" s="6" t="s">
        <v>60</v>
      </c>
      <c r="B61" s="25">
        <f t="shared" ref="B61:G61" si="60">B46+B60</f>
        <v>198943.59999999998</v>
      </c>
      <c r="C61" s="25">
        <f t="shared" si="60"/>
        <v>200387</v>
      </c>
      <c r="D61" s="25">
        <f t="shared" si="60"/>
        <v>196370.3</v>
      </c>
      <c r="E61" s="25">
        <f t="shared" si="60"/>
        <v>256583.8</v>
      </c>
      <c r="F61" s="25">
        <f t="shared" si="60"/>
        <v>338967.1</v>
      </c>
      <c r="G61" s="25">
        <f t="shared" si="60"/>
        <v>360892.7</v>
      </c>
    </row>
    <row r="62" spans="1:47" x14ac:dyDescent="0.3">
      <c r="A62" s="6" t="s">
        <v>61</v>
      </c>
      <c r="B62" s="25">
        <f t="shared" ref="B62:G62" si="61">B37+B61</f>
        <v>300372.8</v>
      </c>
      <c r="C62" s="25">
        <f t="shared" si="61"/>
        <v>277747.09999999998</v>
      </c>
      <c r="D62" s="25">
        <f t="shared" si="61"/>
        <v>271240.8</v>
      </c>
      <c r="E62" s="25">
        <f t="shared" si="61"/>
        <v>335577.2</v>
      </c>
      <c r="F62" s="25">
        <f t="shared" si="61"/>
        <v>444531</v>
      </c>
      <c r="G62" s="25">
        <f t="shared" si="61"/>
        <v>514360.4</v>
      </c>
    </row>
    <row r="64" spans="1:47" x14ac:dyDescent="0.3">
      <c r="A64" s="2" t="s">
        <v>511</v>
      </c>
      <c r="B64" s="244">
        <f>B30-B60</f>
        <v>-34429.899999999994</v>
      </c>
      <c r="C64" s="244">
        <f t="shared" ref="C64:G64" si="62">C30-C60</f>
        <v>-31367.499999999993</v>
      </c>
      <c r="D64" s="244">
        <f t="shared" si="62"/>
        <v>-42889.499999999985</v>
      </c>
      <c r="E64" s="244">
        <f t="shared" si="62"/>
        <v>-37668</v>
      </c>
      <c r="F64" s="244">
        <f t="shared" si="62"/>
        <v>-80391.699999999983</v>
      </c>
      <c r="G64" s="244">
        <f t="shared" si="62"/>
        <v>-112851.40000000001</v>
      </c>
    </row>
    <row r="65" spans="1:7" x14ac:dyDescent="0.3">
      <c r="B65" s="79" t="s">
        <v>446</v>
      </c>
      <c r="C65" s="79">
        <v>2026</v>
      </c>
      <c r="D65" s="79">
        <v>2027</v>
      </c>
      <c r="E65" s="79">
        <v>2028</v>
      </c>
      <c r="F65" s="79">
        <v>2029</v>
      </c>
      <c r="G65" s="79">
        <v>2030</v>
      </c>
    </row>
    <row r="66" spans="1:7" x14ac:dyDescent="0.3">
      <c r="A66" s="2" t="s">
        <v>512</v>
      </c>
      <c r="B66" s="246">
        <f>ABS(AVERAGE(B64:G64))/AVERAGE('Income Statement'!B6:G6)</f>
        <v>0.55854658611881847</v>
      </c>
      <c r="C66" s="53">
        <f>-DCF!D4*'Balance Sheet'!$B$66</f>
        <v>-117645.14501649057</v>
      </c>
      <c r="D66" s="53">
        <f>-DCF!E4*'Balance Sheet'!$B$66</f>
        <v>-141953.66854471169</v>
      </c>
      <c r="E66" s="53">
        <f>-DCF!F4*'Balance Sheet'!$B$66</f>
        <v>-171284.96046715125</v>
      </c>
      <c r="F66" s="53">
        <f>-DCF!G4*'Balance Sheet'!$B$66</f>
        <v>-206676.85437796699</v>
      </c>
      <c r="G66" s="53">
        <f>-DCF!H4*'Balance Sheet'!$B$66</f>
        <v>-249381.62707964805</v>
      </c>
    </row>
  </sheetData>
  <mergeCells count="6">
    <mergeCell ref="AT1:AU1"/>
    <mergeCell ref="F1:G1"/>
    <mergeCell ref="N1:O1"/>
    <mergeCell ref="V1:W1"/>
    <mergeCell ref="AD1:AE1"/>
    <mergeCell ref="AL1:AM1"/>
  </mergeCells>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C023-D78B-4873-900C-7486FFAE48EC}">
  <dimension ref="A1:AU40"/>
  <sheetViews>
    <sheetView topLeftCell="AP11" workbookViewId="0">
      <selection activeCell="A33" sqref="A33"/>
    </sheetView>
  </sheetViews>
  <sheetFormatPr defaultRowHeight="14.4" x14ac:dyDescent="0.3"/>
  <cols>
    <col min="1" max="1" width="44" style="2" bestFit="1" customWidth="1"/>
    <col min="2" max="7" width="11.77734375" style="2" bestFit="1" customWidth="1"/>
    <col min="8" max="8" width="8.88671875" style="2"/>
    <col min="9" max="9" width="45.109375" style="2" bestFit="1" customWidth="1"/>
    <col min="10" max="15" width="11.33203125" style="53" customWidth="1"/>
    <col min="16" max="16" width="8.88671875" style="2"/>
    <col min="17" max="17" width="38.6640625" style="2" bestFit="1" customWidth="1"/>
    <col min="18" max="23" width="11.33203125" style="2" customWidth="1"/>
    <col min="24" max="24" width="8.88671875" style="2"/>
    <col min="25" max="25" width="46" style="2" bestFit="1" customWidth="1"/>
    <col min="26" max="31" width="9.88671875" style="53" bestFit="1" customWidth="1"/>
    <col min="32" max="32" width="8.88671875" style="2"/>
    <col min="33" max="33" width="50.88671875" style="2" bestFit="1" customWidth="1"/>
    <col min="34" max="34" width="14.44140625" style="2" bestFit="1" customWidth="1"/>
    <col min="35" max="39" width="11.77734375" style="2" bestFit="1" customWidth="1"/>
    <col min="40" max="40" width="8.88671875" style="2"/>
    <col min="41" max="41" width="45.21875" style="2" bestFit="1" customWidth="1"/>
    <col min="42" max="42" width="14.44140625" style="2" bestFit="1" customWidth="1"/>
    <col min="43" max="47" width="11.77734375" style="2" bestFit="1" customWidth="1"/>
    <col min="48" max="16384" width="8.88671875" style="2"/>
  </cols>
  <sheetData>
    <row r="1" spans="1:47" ht="58.2" customHeight="1" x14ac:dyDescent="0.3">
      <c r="A1" s="32" t="s">
        <v>119</v>
      </c>
      <c r="F1" s="347" t="e" vm="1">
        <v>#VALUE!</v>
      </c>
      <c r="G1" s="347"/>
      <c r="J1" s="2"/>
      <c r="K1" s="2"/>
      <c r="L1" s="2"/>
      <c r="M1" s="2"/>
      <c r="N1" s="347" t="e" vm="2">
        <v>#VALUE!</v>
      </c>
      <c r="O1" s="347"/>
      <c r="V1" s="347" t="e" vm="3">
        <v>#VALUE!</v>
      </c>
      <c r="W1" s="347"/>
      <c r="Z1" s="2"/>
      <c r="AA1" s="2"/>
      <c r="AB1" s="2"/>
      <c r="AC1" s="2"/>
      <c r="AD1" s="348" t="e" vm="4">
        <v>#VALUE!</v>
      </c>
      <c r="AE1" s="348"/>
      <c r="AL1" s="348" t="e" vm="5">
        <v>#VALUE!</v>
      </c>
      <c r="AM1" s="348"/>
      <c r="AT1" s="347" t="e" vm="6">
        <v>#VALUE!</v>
      </c>
      <c r="AU1" s="347"/>
    </row>
    <row r="2" spans="1:47" x14ac:dyDescent="0.3">
      <c r="A2" s="80" t="s">
        <v>15</v>
      </c>
      <c r="B2" s="81" t="s">
        <v>62</v>
      </c>
      <c r="C2" s="81" t="s">
        <v>63</v>
      </c>
      <c r="D2" s="81" t="s">
        <v>64</v>
      </c>
      <c r="E2" s="81" t="s">
        <v>65</v>
      </c>
      <c r="F2" s="81" t="s">
        <v>66</v>
      </c>
      <c r="G2" s="81" t="s">
        <v>67</v>
      </c>
      <c r="I2" s="38" t="s">
        <v>15</v>
      </c>
      <c r="J2" s="39" t="s">
        <v>62</v>
      </c>
      <c r="K2" s="39" t="s">
        <v>63</v>
      </c>
      <c r="L2" s="39" t="s">
        <v>64</v>
      </c>
      <c r="M2" s="39" t="s">
        <v>65</v>
      </c>
      <c r="N2" s="39" t="s">
        <v>66</v>
      </c>
      <c r="O2" s="39" t="s">
        <v>67</v>
      </c>
      <c r="Q2" s="94" t="s">
        <v>15</v>
      </c>
      <c r="R2" s="95" t="s">
        <v>62</v>
      </c>
      <c r="S2" s="95" t="s">
        <v>63</v>
      </c>
      <c r="T2" s="95" t="s">
        <v>64</v>
      </c>
      <c r="U2" s="95" t="s">
        <v>65</v>
      </c>
      <c r="V2" s="95" t="s">
        <v>66</v>
      </c>
      <c r="W2" s="96" t="s">
        <v>67</v>
      </c>
      <c r="Y2" s="86" t="s">
        <v>15</v>
      </c>
      <c r="Z2" s="98" t="s">
        <v>62</v>
      </c>
      <c r="AA2" s="98" t="s">
        <v>63</v>
      </c>
      <c r="AB2" s="98" t="s">
        <v>64</v>
      </c>
      <c r="AC2" s="98" t="s">
        <v>65</v>
      </c>
      <c r="AD2" s="98" t="s">
        <v>66</v>
      </c>
      <c r="AE2" s="99" t="s">
        <v>67</v>
      </c>
      <c r="AG2" s="100" t="s">
        <v>15</v>
      </c>
      <c r="AH2" s="101" t="s">
        <v>62</v>
      </c>
      <c r="AI2" s="101" t="s">
        <v>63</v>
      </c>
      <c r="AJ2" s="101" t="s">
        <v>64</v>
      </c>
      <c r="AK2" s="101" t="s">
        <v>65</v>
      </c>
      <c r="AL2" s="101" t="s">
        <v>66</v>
      </c>
      <c r="AM2" s="102" t="s">
        <v>67</v>
      </c>
      <c r="AO2" s="111" t="s">
        <v>15</v>
      </c>
      <c r="AP2" s="110" t="s">
        <v>62</v>
      </c>
      <c r="AQ2" s="110" t="s">
        <v>63</v>
      </c>
      <c r="AR2" s="110" t="s">
        <v>64</v>
      </c>
      <c r="AS2" s="110" t="s">
        <v>65</v>
      </c>
      <c r="AT2" s="110" t="s">
        <v>66</v>
      </c>
      <c r="AU2" s="110" t="s">
        <v>67</v>
      </c>
    </row>
    <row r="3" spans="1:47" x14ac:dyDescent="0.3">
      <c r="A3" s="26" t="s">
        <v>120</v>
      </c>
      <c r="B3" s="26"/>
      <c r="C3" s="26"/>
      <c r="D3" s="26"/>
      <c r="E3" s="26"/>
      <c r="F3" s="26"/>
      <c r="G3" s="26"/>
      <c r="I3" s="26" t="s">
        <v>120</v>
      </c>
      <c r="J3" s="46"/>
      <c r="K3" s="46"/>
      <c r="L3" s="46"/>
      <c r="M3" s="46"/>
      <c r="N3" s="46"/>
      <c r="O3" s="46"/>
      <c r="Q3" s="85" t="s">
        <v>120</v>
      </c>
      <c r="Y3" s="85" t="s">
        <v>120</v>
      </c>
      <c r="Z3" s="82"/>
      <c r="AA3" s="82"/>
      <c r="AB3" s="82"/>
      <c r="AC3" s="82"/>
      <c r="AD3" s="82"/>
      <c r="AE3" s="82"/>
      <c r="AG3" s="26" t="s">
        <v>120</v>
      </c>
      <c r="AH3" s="26"/>
      <c r="AI3" s="26"/>
      <c r="AJ3" s="26"/>
      <c r="AK3" s="26"/>
      <c r="AL3" s="26"/>
      <c r="AM3" s="26"/>
      <c r="AO3" s="26" t="s">
        <v>120</v>
      </c>
      <c r="AP3" s="26"/>
      <c r="AQ3" s="26"/>
      <c r="AR3" s="26"/>
      <c r="AS3" s="26"/>
      <c r="AT3" s="26"/>
      <c r="AU3" s="26"/>
    </row>
    <row r="4" spans="1:47" x14ac:dyDescent="0.3">
      <c r="A4" s="28" t="s">
        <v>121</v>
      </c>
      <c r="B4" s="33">
        <v>54317.1</v>
      </c>
      <c r="C4" s="33">
        <v>64325.9</v>
      </c>
      <c r="D4" s="33">
        <v>70795</v>
      </c>
      <c r="E4" s="33">
        <v>84720.1</v>
      </c>
      <c r="F4" s="33">
        <v>149982.39999999999</v>
      </c>
      <c r="G4" s="33">
        <v>172985.2</v>
      </c>
      <c r="I4" s="22" t="s">
        <v>121</v>
      </c>
      <c r="J4" s="33">
        <v>6743</v>
      </c>
      <c r="K4" s="33">
        <v>13954.3</v>
      </c>
      <c r="L4" s="33">
        <v>27717.200000000001</v>
      </c>
      <c r="M4" s="33">
        <v>28381.8</v>
      </c>
      <c r="N4" s="33">
        <v>28600.6</v>
      </c>
      <c r="O4" s="92">
        <v>30122.799999999999</v>
      </c>
      <c r="Q4" s="28" t="s">
        <v>153</v>
      </c>
      <c r="R4" s="33">
        <v>1128.05</v>
      </c>
      <c r="S4" s="33">
        <v>1377.82</v>
      </c>
      <c r="T4" s="33">
        <v>1548.45</v>
      </c>
      <c r="U4" s="33">
        <v>1963.51</v>
      </c>
      <c r="V4" s="33">
        <v>2567.8200000000002</v>
      </c>
      <c r="W4" s="33">
        <v>3477.5</v>
      </c>
      <c r="Y4" s="28" t="s">
        <v>121</v>
      </c>
      <c r="Z4" s="33">
        <v>17067.990000000002</v>
      </c>
      <c r="AA4" s="33">
        <v>17100.099999999999</v>
      </c>
      <c r="AB4" s="33">
        <v>16724.73</v>
      </c>
      <c r="AC4" s="33">
        <v>17838.259999999998</v>
      </c>
      <c r="AD4" s="33">
        <v>20784.68</v>
      </c>
      <c r="AE4" s="33">
        <v>23108.59</v>
      </c>
      <c r="AG4" s="28" t="s">
        <v>172</v>
      </c>
      <c r="AH4" s="33">
        <v>44912.3</v>
      </c>
      <c r="AI4" s="33">
        <v>41933.1</v>
      </c>
      <c r="AJ4" s="33">
        <v>38489.5</v>
      </c>
      <c r="AK4" s="33">
        <v>42133.9</v>
      </c>
      <c r="AL4" s="33">
        <v>42554.9</v>
      </c>
      <c r="AM4" s="33">
        <v>43453.7</v>
      </c>
      <c r="AO4" s="28" t="s">
        <v>153</v>
      </c>
      <c r="AP4" s="33">
        <v>54316</v>
      </c>
      <c r="AQ4" s="33">
        <v>69888</v>
      </c>
      <c r="AR4" s="33">
        <v>77356</v>
      </c>
      <c r="AS4" s="33">
        <v>91373</v>
      </c>
      <c r="AT4" s="33">
        <v>100119</v>
      </c>
      <c r="AU4" s="33">
        <v>114141</v>
      </c>
    </row>
    <row r="5" spans="1:47" x14ac:dyDescent="0.3">
      <c r="A5" s="28" t="s">
        <v>122</v>
      </c>
      <c r="B5" s="33">
        <v>2242.5</v>
      </c>
      <c r="C5" s="33">
        <v>2387.9</v>
      </c>
      <c r="D5" s="33">
        <v>604</v>
      </c>
      <c r="E5" s="33">
        <v>2633.8</v>
      </c>
      <c r="F5" s="33">
        <v>1435.4</v>
      </c>
      <c r="G5" s="33">
        <v>1573.7</v>
      </c>
      <c r="I5" s="22" t="s">
        <v>122</v>
      </c>
      <c r="J5" s="33">
        <v>128.69999999999999</v>
      </c>
      <c r="K5" s="33">
        <v>196.9</v>
      </c>
      <c r="L5" s="33">
        <v>352.5</v>
      </c>
      <c r="M5" s="33">
        <v>361.3</v>
      </c>
      <c r="N5" s="33">
        <v>361.1</v>
      </c>
      <c r="O5" s="92">
        <v>345.8</v>
      </c>
      <c r="Q5" s="28" t="s">
        <v>122</v>
      </c>
      <c r="R5" s="33">
        <v>37.99</v>
      </c>
      <c r="S5" s="33">
        <v>32.119999999999997</v>
      </c>
      <c r="T5" s="33">
        <v>26.83</v>
      </c>
      <c r="U5" s="33">
        <v>37.01</v>
      </c>
      <c r="V5" s="33">
        <v>56.3</v>
      </c>
      <c r="W5" s="33">
        <v>66.010000000000005</v>
      </c>
      <c r="Y5" s="28" t="s">
        <v>122</v>
      </c>
      <c r="Z5" s="33">
        <v>69.680000000000007</v>
      </c>
      <c r="AA5" s="33">
        <v>156.76</v>
      </c>
      <c r="AB5" s="33">
        <v>332.09</v>
      </c>
      <c r="AC5" s="33">
        <v>363.15</v>
      </c>
      <c r="AD5" s="33">
        <v>264.12</v>
      </c>
      <c r="AE5" s="33">
        <v>130.30000000000001</v>
      </c>
      <c r="AG5" s="28" t="s">
        <v>173</v>
      </c>
      <c r="AH5" s="33">
        <v>4.4000000000000004</v>
      </c>
      <c r="AI5" s="33">
        <v>5.0999999999999996</v>
      </c>
      <c r="AJ5" s="33">
        <v>8.9</v>
      </c>
      <c r="AK5" s="33">
        <v>8.6999999999999993</v>
      </c>
      <c r="AL5" s="33">
        <v>17.8</v>
      </c>
      <c r="AM5" s="33">
        <v>2</v>
      </c>
      <c r="AO5" s="28" t="s">
        <v>122</v>
      </c>
      <c r="AP5" s="33">
        <v>87</v>
      </c>
      <c r="AQ5" s="33">
        <v>548</v>
      </c>
      <c r="AR5" s="33">
        <v>229</v>
      </c>
      <c r="AS5" s="33">
        <v>368</v>
      </c>
      <c r="AT5" s="33">
        <v>458</v>
      </c>
      <c r="AU5" s="33">
        <v>947</v>
      </c>
    </row>
    <row r="6" spans="1:47" x14ac:dyDescent="0.3">
      <c r="A6" s="6" t="s">
        <v>123</v>
      </c>
      <c r="B6" s="34">
        <f>SUM(B4:B5)</f>
        <v>56559.6</v>
      </c>
      <c r="C6" s="34">
        <f t="shared" ref="C6:G6" si="0">SUM(C4:C5)</f>
        <v>66713.8</v>
      </c>
      <c r="D6" s="34">
        <f t="shared" si="0"/>
        <v>71399</v>
      </c>
      <c r="E6" s="34">
        <f t="shared" si="0"/>
        <v>87353.900000000009</v>
      </c>
      <c r="F6" s="34">
        <f t="shared" si="0"/>
        <v>151417.79999999999</v>
      </c>
      <c r="G6" s="34">
        <f t="shared" si="0"/>
        <v>174558.90000000002</v>
      </c>
      <c r="I6" s="7" t="s">
        <v>123</v>
      </c>
      <c r="J6" s="34">
        <f>SUM(J4:J5)</f>
        <v>6871.7</v>
      </c>
      <c r="K6" s="34">
        <f t="shared" ref="K6" si="1">SUM(K4:K5)</f>
        <v>14151.199999999999</v>
      </c>
      <c r="L6" s="34">
        <f t="shared" ref="L6" si="2">SUM(L4:L5)</f>
        <v>28069.7</v>
      </c>
      <c r="M6" s="34">
        <f t="shared" ref="M6" si="3">SUM(M4:M5)</f>
        <v>28743.1</v>
      </c>
      <c r="N6" s="34">
        <f t="shared" ref="N6" si="4">SUM(N4:N5)</f>
        <v>28961.699999999997</v>
      </c>
      <c r="O6" s="93">
        <f t="shared" ref="O6" si="5">SUM(O4:O5)</f>
        <v>30468.6</v>
      </c>
      <c r="Q6" s="28" t="s">
        <v>148</v>
      </c>
      <c r="R6" s="33">
        <v>-0.25</v>
      </c>
      <c r="S6" s="33">
        <v>1.35</v>
      </c>
      <c r="T6" s="33">
        <v>2.4500000000000002</v>
      </c>
      <c r="U6" s="33">
        <v>1.68</v>
      </c>
      <c r="V6" s="33">
        <v>-1.95</v>
      </c>
      <c r="W6" s="33">
        <v>7.53</v>
      </c>
      <c r="Y6" s="6" t="s">
        <v>123</v>
      </c>
      <c r="Z6" s="34">
        <f>SUM(Z4:Z5)</f>
        <v>17137.670000000002</v>
      </c>
      <c r="AA6" s="34">
        <f t="shared" ref="AA6" si="6">SUM(AA4:AA5)</f>
        <v>17256.859999999997</v>
      </c>
      <c r="AB6" s="34">
        <f t="shared" ref="AB6" si="7">SUM(AB4:AB5)</f>
        <v>17056.82</v>
      </c>
      <c r="AC6" s="34">
        <f t="shared" ref="AC6" si="8">SUM(AC4:AC5)</f>
        <v>18201.41</v>
      </c>
      <c r="AD6" s="34">
        <f t="shared" ref="AD6" si="9">SUM(AD4:AD5)</f>
        <v>21048.799999999999</v>
      </c>
      <c r="AE6" s="34">
        <f t="shared" ref="AE6" si="10">SUM(AE4:AE5)</f>
        <v>23238.89</v>
      </c>
      <c r="AG6" s="28" t="s">
        <v>174</v>
      </c>
      <c r="AH6" s="33">
        <v>40.799999999999997</v>
      </c>
      <c r="AI6" s="33">
        <v>14</v>
      </c>
      <c r="AJ6" s="33">
        <v>17.100000000000001</v>
      </c>
      <c r="AK6" s="33">
        <v>34.6</v>
      </c>
      <c r="AL6" s="33">
        <v>79</v>
      </c>
      <c r="AM6" s="33">
        <v>115.6</v>
      </c>
      <c r="AO6" s="6" t="s">
        <v>123</v>
      </c>
      <c r="AP6" s="34">
        <f>AP4+AP5</f>
        <v>54403</v>
      </c>
      <c r="AQ6" s="34">
        <f t="shared" ref="AQ6:AU6" si="11">AQ4+AQ5</f>
        <v>70436</v>
      </c>
      <c r="AR6" s="34">
        <f t="shared" si="11"/>
        <v>77585</v>
      </c>
      <c r="AS6" s="34">
        <f t="shared" si="11"/>
        <v>91741</v>
      </c>
      <c r="AT6" s="34">
        <f t="shared" si="11"/>
        <v>100577</v>
      </c>
      <c r="AU6" s="34">
        <f t="shared" si="11"/>
        <v>115088</v>
      </c>
    </row>
    <row r="7" spans="1:47" x14ac:dyDescent="0.3">
      <c r="A7" s="26" t="s">
        <v>124</v>
      </c>
      <c r="B7" s="41"/>
      <c r="C7" s="41"/>
      <c r="D7" s="41"/>
      <c r="E7" s="41"/>
      <c r="F7" s="41"/>
      <c r="G7" s="41"/>
      <c r="I7" s="26" t="s">
        <v>124</v>
      </c>
      <c r="J7" s="41"/>
      <c r="K7" s="41"/>
      <c r="L7" s="41"/>
      <c r="M7" s="41"/>
      <c r="N7" s="41"/>
      <c r="O7" s="41"/>
      <c r="Q7" s="6" t="s">
        <v>154</v>
      </c>
      <c r="R7" s="34">
        <f>SUM(R4:R6)</f>
        <v>1165.79</v>
      </c>
      <c r="S7" s="34">
        <f t="shared" ref="S7:W7" si="12">SUM(S4:S6)</f>
        <v>1411.2899999999997</v>
      </c>
      <c r="T7" s="34">
        <f t="shared" si="12"/>
        <v>1577.73</v>
      </c>
      <c r="U7" s="34">
        <f t="shared" si="12"/>
        <v>2002.2</v>
      </c>
      <c r="V7" s="34">
        <f t="shared" si="12"/>
        <v>2622.1700000000005</v>
      </c>
      <c r="W7" s="34">
        <f t="shared" si="12"/>
        <v>3551.0400000000004</v>
      </c>
      <c r="Y7" s="85" t="s">
        <v>124</v>
      </c>
      <c r="Z7" s="82"/>
      <c r="AA7" s="82"/>
      <c r="AB7" s="82"/>
      <c r="AC7" s="82"/>
      <c r="AD7" s="82"/>
      <c r="AE7" s="82"/>
      <c r="AG7" s="28" t="s">
        <v>122</v>
      </c>
      <c r="AH7" s="33">
        <v>1039.3</v>
      </c>
      <c r="AI7" s="33">
        <v>174.2</v>
      </c>
      <c r="AJ7" s="33">
        <v>129.4</v>
      </c>
      <c r="AK7" s="33">
        <v>311.3</v>
      </c>
      <c r="AL7" s="33">
        <v>113.2</v>
      </c>
      <c r="AM7" s="33">
        <v>1020.6</v>
      </c>
      <c r="AO7" s="85" t="s">
        <v>124</v>
      </c>
      <c r="AP7" s="82"/>
      <c r="AQ7" s="82"/>
      <c r="AR7" s="82"/>
      <c r="AS7" s="82"/>
      <c r="AT7" s="82"/>
      <c r="AU7" s="82"/>
    </row>
    <row r="8" spans="1:47" x14ac:dyDescent="0.3">
      <c r="A8" s="28" t="s">
        <v>125</v>
      </c>
      <c r="B8" s="33">
        <v>13641.9</v>
      </c>
      <c r="C8" s="33">
        <v>15120.5</v>
      </c>
      <c r="D8" s="33">
        <v>17187.7</v>
      </c>
      <c r="E8" s="33">
        <v>18385.7</v>
      </c>
      <c r="F8" s="33">
        <v>30018.799999999999</v>
      </c>
      <c r="G8" s="33">
        <v>33504.300000000003</v>
      </c>
      <c r="I8" s="28" t="s">
        <v>144</v>
      </c>
      <c r="J8" s="33">
        <v>0</v>
      </c>
      <c r="K8" s="33">
        <v>0</v>
      </c>
      <c r="L8" s="33">
        <v>0</v>
      </c>
      <c r="M8" s="33">
        <v>0</v>
      </c>
      <c r="N8" s="33">
        <v>0</v>
      </c>
      <c r="O8" s="33">
        <v>3.8</v>
      </c>
      <c r="Q8" s="26" t="s">
        <v>124</v>
      </c>
      <c r="R8" s="41"/>
      <c r="S8" s="41"/>
      <c r="T8" s="41"/>
      <c r="U8" s="41"/>
      <c r="V8" s="41"/>
      <c r="W8" s="41"/>
      <c r="Y8" s="28" t="s">
        <v>163</v>
      </c>
      <c r="Z8" s="33">
        <v>6777.56</v>
      </c>
      <c r="AA8" s="33">
        <v>6333.27</v>
      </c>
      <c r="AB8" s="33">
        <v>6199.49</v>
      </c>
      <c r="AC8" s="33">
        <v>6375.49</v>
      </c>
      <c r="AD8" s="33">
        <v>8078.73</v>
      </c>
      <c r="AE8" s="33">
        <v>10047.77</v>
      </c>
      <c r="AG8" s="6" t="s">
        <v>154</v>
      </c>
      <c r="AH8" s="34">
        <f>SUM(AH4:AH7)</f>
        <v>45996.80000000001</v>
      </c>
      <c r="AI8" s="34">
        <f t="shared" ref="AI8:AM8" si="13">SUM(AI4:AI7)</f>
        <v>42126.399999999994</v>
      </c>
      <c r="AJ8" s="34">
        <f t="shared" si="13"/>
        <v>38644.9</v>
      </c>
      <c r="AK8" s="34">
        <f t="shared" si="13"/>
        <v>42488.5</v>
      </c>
      <c r="AL8" s="34">
        <f t="shared" si="13"/>
        <v>42764.9</v>
      </c>
      <c r="AM8" s="34">
        <f t="shared" si="13"/>
        <v>44591.899999999994</v>
      </c>
      <c r="AO8" s="28" t="s">
        <v>201</v>
      </c>
      <c r="AP8" s="33">
        <v>16930</v>
      </c>
      <c r="AQ8" s="33">
        <v>22058</v>
      </c>
      <c r="AR8" s="33">
        <v>25080</v>
      </c>
      <c r="AS8" s="33">
        <v>28702</v>
      </c>
      <c r="AT8" s="33">
        <v>30558</v>
      </c>
      <c r="AU8" s="33">
        <v>32932</v>
      </c>
    </row>
    <row r="9" spans="1:47" x14ac:dyDescent="0.3">
      <c r="A9" s="28" t="s">
        <v>126</v>
      </c>
      <c r="B9" s="33">
        <v>9076.7000000000007</v>
      </c>
      <c r="C9" s="33">
        <v>8564.7000000000007</v>
      </c>
      <c r="D9" s="33">
        <v>3230.9</v>
      </c>
      <c r="E9" s="33">
        <v>4131.8</v>
      </c>
      <c r="F9" s="33">
        <v>7518.5</v>
      </c>
      <c r="G9" s="33">
        <v>7171.3</v>
      </c>
      <c r="I9" s="28" t="s">
        <v>145</v>
      </c>
      <c r="J9" s="33">
        <v>2367.1999999999998</v>
      </c>
      <c r="K9" s="33">
        <v>5153.6000000000004</v>
      </c>
      <c r="L9" s="33">
        <v>10265.799999999999</v>
      </c>
      <c r="M9" s="33">
        <v>10590.8</v>
      </c>
      <c r="N9" s="33">
        <v>11149.9</v>
      </c>
      <c r="O9" s="33">
        <v>11445</v>
      </c>
      <c r="Q9" s="28" t="s">
        <v>155</v>
      </c>
      <c r="R9" s="33">
        <v>249.03</v>
      </c>
      <c r="S9" s="33">
        <v>338.17</v>
      </c>
      <c r="T9" s="33">
        <v>432.6</v>
      </c>
      <c r="U9" s="33">
        <v>514.96</v>
      </c>
      <c r="V9" s="33">
        <v>544.14</v>
      </c>
      <c r="W9" s="33">
        <v>569.94000000000005</v>
      </c>
      <c r="Y9" s="28" t="s">
        <v>164</v>
      </c>
      <c r="Z9" s="33">
        <v>3039.14</v>
      </c>
      <c r="AA9" s="33">
        <v>3049.09</v>
      </c>
      <c r="AB9" s="33">
        <v>3040.34</v>
      </c>
      <c r="AC9" s="33">
        <v>3597.46</v>
      </c>
      <c r="AD9" s="33">
        <v>4342.82</v>
      </c>
      <c r="AE9" s="33">
        <v>4557.28</v>
      </c>
      <c r="AG9" s="26" t="s">
        <v>124</v>
      </c>
      <c r="AH9" s="41"/>
      <c r="AI9" s="41"/>
      <c r="AJ9" s="41"/>
      <c r="AK9" s="41"/>
      <c r="AL9" s="41"/>
      <c r="AM9" s="41"/>
      <c r="AO9" s="28" t="s">
        <v>126</v>
      </c>
      <c r="AP9" s="33">
        <v>5795</v>
      </c>
      <c r="AQ9" s="33">
        <v>4631</v>
      </c>
      <c r="AR9" s="33">
        <v>719</v>
      </c>
      <c r="AS9" s="33">
        <v>881</v>
      </c>
      <c r="AT9" s="33">
        <v>1135</v>
      </c>
      <c r="AU9" s="33">
        <v>1685</v>
      </c>
    </row>
    <row r="10" spans="1:47" x14ac:dyDescent="0.3">
      <c r="A10" s="28" t="s">
        <v>127</v>
      </c>
      <c r="B10" s="33">
        <v>5365.3</v>
      </c>
      <c r="C10" s="33">
        <v>6789.9</v>
      </c>
      <c r="D10" s="33">
        <v>8462.2999999999993</v>
      </c>
      <c r="E10" s="33">
        <v>8792.5</v>
      </c>
      <c r="F10" s="33">
        <v>12035.8</v>
      </c>
      <c r="G10" s="33">
        <v>13829</v>
      </c>
      <c r="I10" s="28" t="s">
        <v>128</v>
      </c>
      <c r="J10" s="33">
        <v>293.5</v>
      </c>
      <c r="K10" s="33">
        <v>512.6</v>
      </c>
      <c r="L10" s="33">
        <v>772.2</v>
      </c>
      <c r="M10" s="33">
        <v>774.1</v>
      </c>
      <c r="N10" s="33">
        <v>782.3</v>
      </c>
      <c r="O10" s="33">
        <v>841.4</v>
      </c>
      <c r="Q10" s="28" t="s">
        <v>156</v>
      </c>
      <c r="R10" s="33">
        <v>47.93</v>
      </c>
      <c r="S10" s="33">
        <v>56.56</v>
      </c>
      <c r="T10" s="33">
        <v>66.790000000000006</v>
      </c>
      <c r="U10" s="33">
        <v>77.260000000000005</v>
      </c>
      <c r="V10" s="33">
        <v>82.13</v>
      </c>
      <c r="W10" s="33">
        <v>99.52</v>
      </c>
      <c r="Y10" s="28" t="s">
        <v>134</v>
      </c>
      <c r="Z10" s="33">
        <v>470.74</v>
      </c>
      <c r="AA10" s="33">
        <v>420.2</v>
      </c>
      <c r="AB10" s="33">
        <v>360.25</v>
      </c>
      <c r="AC10" s="33">
        <v>432.46</v>
      </c>
      <c r="AD10" s="33">
        <v>630.09</v>
      </c>
      <c r="AE10" s="33">
        <v>729.06</v>
      </c>
      <c r="AG10" s="28" t="s">
        <v>175</v>
      </c>
      <c r="AH10" s="33">
        <v>3.9</v>
      </c>
      <c r="AI10" s="33">
        <v>3</v>
      </c>
      <c r="AJ10" s="33">
        <v>7</v>
      </c>
      <c r="AK10" s="33">
        <v>7.8</v>
      </c>
      <c r="AL10" s="33">
        <v>15.6</v>
      </c>
      <c r="AM10" s="33">
        <v>1.7</v>
      </c>
      <c r="AO10" s="28" t="s">
        <v>202</v>
      </c>
      <c r="AP10" s="33">
        <v>5720</v>
      </c>
      <c r="AQ10" s="33">
        <v>7755</v>
      </c>
      <c r="AR10" s="33">
        <v>9074</v>
      </c>
      <c r="AS10" s="33">
        <v>9132</v>
      </c>
      <c r="AT10" s="33">
        <v>9213</v>
      </c>
      <c r="AU10" s="33">
        <v>10494</v>
      </c>
    </row>
    <row r="11" spans="1:47" x14ac:dyDescent="0.3">
      <c r="A11" s="28" t="s">
        <v>128</v>
      </c>
      <c r="B11" s="33">
        <v>1520.2</v>
      </c>
      <c r="C11" s="33">
        <v>1664.5</v>
      </c>
      <c r="D11" s="33">
        <v>1795.4</v>
      </c>
      <c r="E11" s="33">
        <v>1966.4</v>
      </c>
      <c r="F11" s="33">
        <v>5323.1</v>
      </c>
      <c r="G11" s="33">
        <v>6308.9</v>
      </c>
      <c r="I11" s="28" t="s">
        <v>146</v>
      </c>
      <c r="J11" s="33">
        <v>250.3</v>
      </c>
      <c r="K11" s="33">
        <v>724.6</v>
      </c>
      <c r="L11" s="33">
        <v>1346.7</v>
      </c>
      <c r="M11" s="33">
        <v>1350.6</v>
      </c>
      <c r="N11" s="33">
        <v>1399.1</v>
      </c>
      <c r="O11" s="33">
        <v>1441</v>
      </c>
      <c r="Q11" s="28" t="s">
        <v>157</v>
      </c>
      <c r="R11" s="33">
        <v>340.08</v>
      </c>
      <c r="S11" s="33">
        <v>414.5</v>
      </c>
      <c r="T11" s="33">
        <v>459.47</v>
      </c>
      <c r="U11" s="33">
        <v>754.83</v>
      </c>
      <c r="V11" s="33">
        <v>1232.33</v>
      </c>
      <c r="W11" s="33">
        <v>2020.94</v>
      </c>
      <c r="Y11" s="28" t="s">
        <v>165</v>
      </c>
      <c r="Z11" s="33">
        <v>2357.7199999999998</v>
      </c>
      <c r="AA11" s="33">
        <v>2313.87</v>
      </c>
      <c r="AB11" s="33">
        <v>2204.54</v>
      </c>
      <c r="AC11" s="33">
        <v>2261.81</v>
      </c>
      <c r="AD11" s="33">
        <v>2397.35</v>
      </c>
      <c r="AE11" s="33">
        <v>2592.1</v>
      </c>
      <c r="AG11" s="28" t="s">
        <v>128</v>
      </c>
      <c r="AH11" s="33">
        <v>2164.3000000000002</v>
      </c>
      <c r="AI11" s="33">
        <v>2030</v>
      </c>
      <c r="AJ11" s="33">
        <v>1735.1</v>
      </c>
      <c r="AK11" s="33">
        <v>1866.3</v>
      </c>
      <c r="AL11" s="33">
        <v>2122.4</v>
      </c>
      <c r="AM11" s="33">
        <v>2230.9</v>
      </c>
      <c r="AO11" s="28" t="s">
        <v>128</v>
      </c>
      <c r="AP11" s="33">
        <v>1463</v>
      </c>
      <c r="AQ11" s="33">
        <v>1337</v>
      </c>
      <c r="AR11" s="33">
        <v>1539</v>
      </c>
      <c r="AS11" s="33">
        <v>1756</v>
      </c>
      <c r="AT11" s="33">
        <v>1896</v>
      </c>
      <c r="AU11" s="33">
        <v>1987</v>
      </c>
    </row>
    <row r="12" spans="1:47" x14ac:dyDescent="0.3">
      <c r="A12" s="28" t="s">
        <v>129</v>
      </c>
      <c r="B12" s="33">
        <v>1818</v>
      </c>
      <c r="C12" s="33">
        <v>2064.9</v>
      </c>
      <c r="D12" s="33">
        <v>3149.7</v>
      </c>
      <c r="E12" s="33">
        <v>4638.3</v>
      </c>
      <c r="F12" s="33">
        <v>10788.2</v>
      </c>
      <c r="G12" s="33">
        <v>11460.1</v>
      </c>
      <c r="I12" s="28" t="s">
        <v>130</v>
      </c>
      <c r="J12" s="33">
        <v>214.4</v>
      </c>
      <c r="K12" s="33">
        <v>303.60000000000002</v>
      </c>
      <c r="L12" s="33">
        <v>389.6</v>
      </c>
      <c r="M12" s="33">
        <v>5899.3</v>
      </c>
      <c r="N12" s="33">
        <v>575.4</v>
      </c>
      <c r="O12" s="33">
        <v>-4453.1000000000004</v>
      </c>
      <c r="Q12" s="28" t="s">
        <v>128</v>
      </c>
      <c r="R12" s="33">
        <v>120.53</v>
      </c>
      <c r="S12" s="33">
        <v>126.7</v>
      </c>
      <c r="T12" s="33">
        <v>185.79</v>
      </c>
      <c r="U12" s="33">
        <v>195.27</v>
      </c>
      <c r="V12" s="33">
        <v>204.53</v>
      </c>
      <c r="W12" s="33">
        <v>209.72</v>
      </c>
      <c r="Y12" s="28" t="s">
        <v>166</v>
      </c>
      <c r="Z12" s="33">
        <v>3962.34</v>
      </c>
      <c r="AA12" s="33">
        <v>3457.16</v>
      </c>
      <c r="AB12" s="33">
        <v>3258.18</v>
      </c>
      <c r="AC12" s="33">
        <v>3547.08</v>
      </c>
      <c r="AD12" s="33">
        <v>4045.93</v>
      </c>
      <c r="AE12" s="33">
        <v>3934.51</v>
      </c>
      <c r="AG12" s="28" t="s">
        <v>176</v>
      </c>
      <c r="AH12" s="33">
        <v>10991.6</v>
      </c>
      <c r="AI12" s="33">
        <v>9593.7999999999993</v>
      </c>
      <c r="AJ12" s="33">
        <v>9818.2000000000007</v>
      </c>
      <c r="AK12" s="33">
        <v>10078.299999999999</v>
      </c>
      <c r="AL12" s="33">
        <v>9810.4</v>
      </c>
      <c r="AM12" s="33">
        <v>9439.1</v>
      </c>
      <c r="AO12" s="28" t="s">
        <v>134</v>
      </c>
      <c r="AP12" s="33">
        <v>6617</v>
      </c>
      <c r="AQ12" s="33">
        <v>3840</v>
      </c>
      <c r="AR12" s="33">
        <v>4377</v>
      </c>
      <c r="AS12" s="33">
        <v>4059</v>
      </c>
      <c r="AT12" s="33">
        <v>3999</v>
      </c>
      <c r="AU12" s="33">
        <v>4837</v>
      </c>
    </row>
    <row r="13" spans="1:47" x14ac:dyDescent="0.3">
      <c r="A13" s="28" t="s">
        <v>130</v>
      </c>
      <c r="B13" s="33">
        <v>2761.4</v>
      </c>
      <c r="C13" s="33">
        <v>2137.3000000000002</v>
      </c>
      <c r="D13" s="33">
        <v>2268.5</v>
      </c>
      <c r="E13" s="33">
        <v>3006.7</v>
      </c>
      <c r="F13" s="33">
        <v>6006.2</v>
      </c>
      <c r="G13" s="33">
        <v>7552.4</v>
      </c>
      <c r="I13" s="6" t="s">
        <v>131</v>
      </c>
      <c r="J13" s="34">
        <f>SUM(J8:J12)</f>
        <v>3125.4</v>
      </c>
      <c r="K13" s="34">
        <f t="shared" ref="K13:O13" si="14">SUM(K8:K12)</f>
        <v>6694.4000000000015</v>
      </c>
      <c r="L13" s="34">
        <f t="shared" si="14"/>
        <v>12774.300000000001</v>
      </c>
      <c r="M13" s="34">
        <f t="shared" si="14"/>
        <v>18614.8</v>
      </c>
      <c r="N13" s="34">
        <f t="shared" si="14"/>
        <v>13906.699999999999</v>
      </c>
      <c r="O13" s="34">
        <f t="shared" si="14"/>
        <v>9278.0999999999985</v>
      </c>
      <c r="Q13" s="28" t="s">
        <v>158</v>
      </c>
      <c r="R13" s="33">
        <v>31.49</v>
      </c>
      <c r="S13" s="33">
        <v>109.9</v>
      </c>
      <c r="T13" s="33">
        <v>34.11</v>
      </c>
      <c r="U13" s="33">
        <v>35.700000000000003</v>
      </c>
      <c r="V13" s="33">
        <v>35.979999999999997</v>
      </c>
      <c r="W13" s="33">
        <v>38.18</v>
      </c>
      <c r="Y13" s="6" t="s">
        <v>131</v>
      </c>
      <c r="Z13" s="34">
        <f>SUM(Z8:Z12)</f>
        <v>16607.5</v>
      </c>
      <c r="AA13" s="34">
        <f t="shared" ref="AA13:AE13" si="15">SUM(AA8:AA12)</f>
        <v>15573.59</v>
      </c>
      <c r="AB13" s="34">
        <f t="shared" si="15"/>
        <v>15062.8</v>
      </c>
      <c r="AC13" s="34">
        <f t="shared" si="15"/>
        <v>16214.3</v>
      </c>
      <c r="AD13" s="34">
        <f t="shared" si="15"/>
        <v>19494.919999999998</v>
      </c>
      <c r="AE13" s="34">
        <f t="shared" si="15"/>
        <v>21860.720000000001</v>
      </c>
      <c r="AG13" s="28" t="s">
        <v>177</v>
      </c>
      <c r="AH13" s="33">
        <v>4848.2</v>
      </c>
      <c r="AI13" s="33">
        <v>4129.5</v>
      </c>
      <c r="AJ13" s="33">
        <v>4198.8</v>
      </c>
      <c r="AK13" s="33">
        <v>4002.1</v>
      </c>
      <c r="AL13" s="33">
        <v>3672.6</v>
      </c>
      <c r="AM13" s="33">
        <v>3696.2</v>
      </c>
      <c r="AO13" s="28" t="s">
        <v>165</v>
      </c>
      <c r="AP13" s="33">
        <v>7396</v>
      </c>
      <c r="AQ13" s="33">
        <v>11534</v>
      </c>
      <c r="AR13" s="33">
        <v>13702</v>
      </c>
      <c r="AS13" s="33">
        <v>18641</v>
      </c>
      <c r="AT13" s="33">
        <v>21394</v>
      </c>
      <c r="AU13" s="33">
        <v>23098</v>
      </c>
    </row>
    <row r="14" spans="1:47" x14ac:dyDescent="0.3">
      <c r="A14" s="6" t="s">
        <v>131</v>
      </c>
      <c r="B14" s="34">
        <f>SUM(B8:B13)</f>
        <v>34183.5</v>
      </c>
      <c r="C14" s="34">
        <f t="shared" ref="C14:G14" si="16">SUM(C8:C13)</f>
        <v>36341.800000000003</v>
      </c>
      <c r="D14" s="34">
        <f t="shared" si="16"/>
        <v>36094.5</v>
      </c>
      <c r="E14" s="34">
        <f t="shared" si="16"/>
        <v>40921.4</v>
      </c>
      <c r="F14" s="34">
        <f t="shared" si="16"/>
        <v>71690.600000000006</v>
      </c>
      <c r="G14" s="34">
        <f t="shared" si="16"/>
        <v>79826</v>
      </c>
      <c r="I14" s="6" t="s">
        <v>132</v>
      </c>
      <c r="J14" s="34">
        <f>J6-J13</f>
        <v>3746.2999999999997</v>
      </c>
      <c r="K14" s="34">
        <f t="shared" ref="K14:O14" si="17">K6-K13</f>
        <v>7456.7999999999975</v>
      </c>
      <c r="L14" s="34">
        <f t="shared" si="17"/>
        <v>15295.4</v>
      </c>
      <c r="M14" s="34">
        <f t="shared" si="17"/>
        <v>10128.299999999999</v>
      </c>
      <c r="N14" s="34">
        <f t="shared" si="17"/>
        <v>15054.999999999998</v>
      </c>
      <c r="O14" s="34">
        <f t="shared" si="17"/>
        <v>21190.5</v>
      </c>
      <c r="Q14" s="28" t="s">
        <v>159</v>
      </c>
      <c r="R14" s="33">
        <v>5.19</v>
      </c>
      <c r="S14" s="33">
        <v>4.9000000000000004</v>
      </c>
      <c r="T14" s="33">
        <v>2.78</v>
      </c>
      <c r="U14" s="33">
        <v>7.01</v>
      </c>
      <c r="V14" s="33">
        <v>4.84</v>
      </c>
      <c r="W14" s="33">
        <v>5.73</v>
      </c>
      <c r="Y14" s="6" t="s">
        <v>167</v>
      </c>
      <c r="Z14" s="34">
        <f>Z6-Z13</f>
        <v>530.17000000000189</v>
      </c>
      <c r="AA14" s="34">
        <f t="shared" ref="AA14:AE14" si="18">AA6-AA13</f>
        <v>1683.2699999999968</v>
      </c>
      <c r="AB14" s="34">
        <f t="shared" si="18"/>
        <v>1994.0200000000004</v>
      </c>
      <c r="AC14" s="34">
        <f t="shared" si="18"/>
        <v>1987.1100000000006</v>
      </c>
      <c r="AD14" s="34">
        <f t="shared" si="18"/>
        <v>1553.880000000001</v>
      </c>
      <c r="AE14" s="34">
        <f t="shared" si="18"/>
        <v>1378.1699999999983</v>
      </c>
      <c r="AG14" s="28" t="s">
        <v>178</v>
      </c>
      <c r="AH14" s="33">
        <v>5997.6</v>
      </c>
      <c r="AI14" s="33">
        <v>5290.6</v>
      </c>
      <c r="AJ14" s="33">
        <v>2915.5</v>
      </c>
      <c r="AK14" s="33">
        <v>3899.1</v>
      </c>
      <c r="AL14" s="33">
        <v>4117.7</v>
      </c>
      <c r="AM14" s="33">
        <v>4597.3999999999996</v>
      </c>
      <c r="AO14" s="28" t="s">
        <v>203</v>
      </c>
      <c r="AP14" s="33">
        <v>1277</v>
      </c>
      <c r="AQ14" s="33">
        <v>1172</v>
      </c>
      <c r="AR14" s="33">
        <v>1100</v>
      </c>
      <c r="AS14" s="33">
        <v>1822</v>
      </c>
      <c r="AT14" s="33">
        <v>2493</v>
      </c>
      <c r="AU14" s="33">
        <v>3641</v>
      </c>
    </row>
    <row r="15" spans="1:47" x14ac:dyDescent="0.3">
      <c r="A15" s="6" t="s">
        <v>132</v>
      </c>
      <c r="B15" s="34">
        <f>B6-B14</f>
        <v>22376.1</v>
      </c>
      <c r="C15" s="34">
        <f t="shared" ref="C15:G15" si="19">C6-C14</f>
        <v>30372</v>
      </c>
      <c r="D15" s="34">
        <f t="shared" si="19"/>
        <v>35304.5</v>
      </c>
      <c r="E15" s="34">
        <f t="shared" si="19"/>
        <v>46432.500000000007</v>
      </c>
      <c r="F15" s="34">
        <f t="shared" si="19"/>
        <v>79727.199999999983</v>
      </c>
      <c r="G15" s="34">
        <f t="shared" si="19"/>
        <v>94732.900000000023</v>
      </c>
      <c r="I15" s="28" t="s">
        <v>133</v>
      </c>
      <c r="J15" s="33">
        <v>1321.7</v>
      </c>
      <c r="K15" s="33">
        <v>2991.3</v>
      </c>
      <c r="L15" s="33">
        <v>5422.2</v>
      </c>
      <c r="M15" s="33">
        <v>5441</v>
      </c>
      <c r="N15" s="33">
        <v>6160</v>
      </c>
      <c r="O15" s="33">
        <v>6489.9</v>
      </c>
      <c r="Q15" s="28" t="s">
        <v>160</v>
      </c>
      <c r="R15" s="33">
        <v>130.88999999999999</v>
      </c>
      <c r="S15" s="33">
        <v>159.32</v>
      </c>
      <c r="T15" s="33">
        <v>160.18</v>
      </c>
      <c r="U15" s="33">
        <v>154.31</v>
      </c>
      <c r="V15" s="33">
        <v>157.69999999999999</v>
      </c>
      <c r="W15" s="33">
        <v>180.4</v>
      </c>
      <c r="Y15" s="28" t="s">
        <v>136</v>
      </c>
      <c r="Z15" s="33">
        <v>-390.51</v>
      </c>
      <c r="AA15" s="33">
        <v>-74.72</v>
      </c>
      <c r="AB15" s="33">
        <v>5.96</v>
      </c>
      <c r="AC15" s="33">
        <v>76.349999999999994</v>
      </c>
      <c r="AD15" s="33">
        <v>-235.66</v>
      </c>
      <c r="AE15" s="33">
        <v>691.47</v>
      </c>
      <c r="AG15" s="28" t="s">
        <v>179</v>
      </c>
      <c r="AH15" s="33">
        <v>2929.9</v>
      </c>
      <c r="AI15" s="33">
        <v>1767.7</v>
      </c>
      <c r="AJ15" s="33">
        <v>1971.1</v>
      </c>
      <c r="AK15" s="33">
        <v>3678</v>
      </c>
      <c r="AL15" s="33">
        <v>4280.6000000000004</v>
      </c>
      <c r="AM15" s="33">
        <v>4092.3</v>
      </c>
      <c r="AO15" s="28" t="s">
        <v>130</v>
      </c>
      <c r="AP15" s="33">
        <v>1564</v>
      </c>
      <c r="AQ15" s="33">
        <v>2022</v>
      </c>
      <c r="AR15" s="33">
        <v>2013</v>
      </c>
      <c r="AS15" s="33">
        <v>2183</v>
      </c>
      <c r="AT15" s="33">
        <v>2404</v>
      </c>
      <c r="AU15" s="33">
        <v>3116</v>
      </c>
    </row>
    <row r="16" spans="1:47" x14ac:dyDescent="0.3">
      <c r="A16" s="28" t="s">
        <v>133</v>
      </c>
      <c r="B16" s="33">
        <v>20392.099999999999</v>
      </c>
      <c r="C16" s="33">
        <v>21997.5</v>
      </c>
      <c r="D16" s="33">
        <v>24329.8</v>
      </c>
      <c r="E16" s="33">
        <v>26355</v>
      </c>
      <c r="F16" s="33">
        <v>39537.599999999999</v>
      </c>
      <c r="G16" s="33">
        <v>45570.3</v>
      </c>
      <c r="I16" s="28" t="s">
        <v>147</v>
      </c>
      <c r="J16" s="33">
        <v>-40.200000000000003</v>
      </c>
      <c r="K16" s="33">
        <v>-142.9</v>
      </c>
      <c r="L16" s="33">
        <v>-97</v>
      </c>
      <c r="M16" s="33">
        <v>-117.1</v>
      </c>
      <c r="N16" s="33">
        <v>-100.1</v>
      </c>
      <c r="O16" s="33">
        <v>-87.8</v>
      </c>
      <c r="Q16" s="28" t="s">
        <v>161</v>
      </c>
      <c r="R16" s="33">
        <v>6.59</v>
      </c>
      <c r="S16" s="33">
        <v>4.0599999999999996</v>
      </c>
      <c r="T16" s="33">
        <v>5.49</v>
      </c>
      <c r="U16" s="33">
        <v>6.02</v>
      </c>
      <c r="V16" s="33">
        <v>5.71</v>
      </c>
      <c r="W16" s="33">
        <v>3.11</v>
      </c>
      <c r="Y16" s="6" t="s">
        <v>168</v>
      </c>
      <c r="Z16" s="34">
        <f>Z14+Z15</f>
        <v>139.6600000000019</v>
      </c>
      <c r="AA16" s="34">
        <f t="shared" ref="AA16:AE16" si="20">AA14+AA15</f>
        <v>1608.5499999999968</v>
      </c>
      <c r="AB16" s="34">
        <f t="shared" si="20"/>
        <v>1999.9800000000005</v>
      </c>
      <c r="AC16" s="34">
        <f t="shared" si="20"/>
        <v>2063.4600000000005</v>
      </c>
      <c r="AD16" s="34">
        <f t="shared" si="20"/>
        <v>1318.2200000000009</v>
      </c>
      <c r="AE16" s="34">
        <f t="shared" si="20"/>
        <v>2069.6399999999985</v>
      </c>
      <c r="AG16" s="28" t="s">
        <v>180</v>
      </c>
      <c r="AH16" s="33">
        <v>1177.4000000000001</v>
      </c>
      <c r="AI16" s="33">
        <v>787.5</v>
      </c>
      <c r="AJ16" s="33">
        <v>979.1</v>
      </c>
      <c r="AK16" s="33">
        <v>941.2</v>
      </c>
      <c r="AL16" s="33">
        <v>564.70000000000005</v>
      </c>
      <c r="AM16" s="33">
        <v>500</v>
      </c>
      <c r="AO16" s="6" t="s">
        <v>131</v>
      </c>
      <c r="AP16" s="34">
        <f>SUM(AP8:AP15)</f>
        <v>46762</v>
      </c>
      <c r="AQ16" s="34">
        <f t="shared" ref="AQ16:AU16" si="21">SUM(AQ8:AQ15)</f>
        <v>54349</v>
      </c>
      <c r="AR16" s="34">
        <f t="shared" si="21"/>
        <v>57604</v>
      </c>
      <c r="AS16" s="34">
        <f t="shared" si="21"/>
        <v>67176</v>
      </c>
      <c r="AT16" s="34">
        <f t="shared" si="21"/>
        <v>73092</v>
      </c>
      <c r="AU16" s="34">
        <f t="shared" si="21"/>
        <v>81790</v>
      </c>
    </row>
    <row r="17" spans="1:47" x14ac:dyDescent="0.3">
      <c r="A17" s="28" t="s">
        <v>134</v>
      </c>
      <c r="B17" s="33">
        <v>11463.1</v>
      </c>
      <c r="C17" s="33">
        <v>11816.7</v>
      </c>
      <c r="D17" s="33">
        <v>13220.8</v>
      </c>
      <c r="E17" s="33">
        <v>14531.8</v>
      </c>
      <c r="F17" s="33">
        <v>22647.7</v>
      </c>
      <c r="G17" s="33">
        <v>21753.9</v>
      </c>
      <c r="I17" s="28" t="s">
        <v>134</v>
      </c>
      <c r="J17" s="33">
        <v>335</v>
      </c>
      <c r="K17" s="33">
        <v>836.4</v>
      </c>
      <c r="L17" s="33">
        <v>1603.3</v>
      </c>
      <c r="M17" s="33">
        <v>1670.4</v>
      </c>
      <c r="N17" s="33">
        <v>1863.8</v>
      </c>
      <c r="O17" s="33">
        <v>1857.9</v>
      </c>
      <c r="Q17" s="6" t="s">
        <v>131</v>
      </c>
      <c r="R17" s="34">
        <f>SUM(R9:R16)</f>
        <v>931.73</v>
      </c>
      <c r="S17" s="34">
        <f t="shared" ref="S17:W17" si="22">SUM(S9:S16)</f>
        <v>1214.1100000000001</v>
      </c>
      <c r="T17" s="34">
        <f t="shared" si="22"/>
        <v>1347.21</v>
      </c>
      <c r="U17" s="34">
        <f t="shared" si="22"/>
        <v>1745.3600000000001</v>
      </c>
      <c r="V17" s="34">
        <f t="shared" si="22"/>
        <v>2267.36</v>
      </c>
      <c r="W17" s="34">
        <f t="shared" si="22"/>
        <v>3127.54</v>
      </c>
      <c r="Y17" s="28" t="s">
        <v>138</v>
      </c>
      <c r="Z17" s="33">
        <v>334.18</v>
      </c>
      <c r="AA17" s="33">
        <v>406.49</v>
      </c>
      <c r="AB17" s="33">
        <v>431.31</v>
      </c>
      <c r="AC17" s="33">
        <v>432.77</v>
      </c>
      <c r="AD17" s="33">
        <v>601.63</v>
      </c>
      <c r="AE17" s="33">
        <v>610.53</v>
      </c>
      <c r="AG17" s="28" t="s">
        <v>181</v>
      </c>
      <c r="AH17" s="33">
        <v>1932.1</v>
      </c>
      <c r="AI17" s="33">
        <v>1404.4</v>
      </c>
      <c r="AJ17" s="33">
        <v>854.6</v>
      </c>
      <c r="AK17" s="33">
        <v>887.4</v>
      </c>
      <c r="AL17" s="33">
        <v>941.7</v>
      </c>
      <c r="AM17" s="33">
        <v>887.1</v>
      </c>
      <c r="AO17" s="6" t="s">
        <v>167</v>
      </c>
      <c r="AP17" s="34">
        <f>AP6-AP16</f>
        <v>7641</v>
      </c>
      <c r="AQ17" s="34">
        <f t="shared" ref="AQ17:AU17" si="23">AQ6-AQ16</f>
        <v>16087</v>
      </c>
      <c r="AR17" s="34">
        <f t="shared" si="23"/>
        <v>19981</v>
      </c>
      <c r="AS17" s="34">
        <f t="shared" si="23"/>
        <v>24565</v>
      </c>
      <c r="AT17" s="34">
        <f t="shared" si="23"/>
        <v>27485</v>
      </c>
      <c r="AU17" s="34">
        <f t="shared" si="23"/>
        <v>33298</v>
      </c>
    </row>
    <row r="18" spans="1:47" x14ac:dyDescent="0.3">
      <c r="A18" s="28" t="s">
        <v>206</v>
      </c>
      <c r="B18" s="33">
        <v>0</v>
      </c>
      <c r="C18" s="33">
        <v>0</v>
      </c>
      <c r="D18" s="33">
        <v>0</v>
      </c>
      <c r="E18" s="33">
        <v>0</v>
      </c>
      <c r="F18" s="33">
        <v>-2709.4</v>
      </c>
      <c r="G18" s="33">
        <v>-3703</v>
      </c>
      <c r="I18" s="28" t="s">
        <v>148</v>
      </c>
      <c r="J18" s="33">
        <v>-337</v>
      </c>
      <c r="K18" s="33">
        <v>-199.2</v>
      </c>
      <c r="L18" s="33">
        <v>-106</v>
      </c>
      <c r="M18" s="33">
        <v>-216.5</v>
      </c>
      <c r="N18" s="33">
        <v>-1128.4000000000001</v>
      </c>
      <c r="O18" s="33">
        <v>-417.9</v>
      </c>
      <c r="Q18" s="6" t="s">
        <v>135</v>
      </c>
      <c r="R18" s="34">
        <f>R7-R17</f>
        <v>234.05999999999995</v>
      </c>
      <c r="S18" s="34">
        <f t="shared" ref="S18:W18" si="24">S7-S17</f>
        <v>197.17999999999961</v>
      </c>
      <c r="T18" s="34">
        <f t="shared" si="24"/>
        <v>230.51999999999998</v>
      </c>
      <c r="U18" s="34">
        <f t="shared" si="24"/>
        <v>256.83999999999992</v>
      </c>
      <c r="V18" s="34">
        <f t="shared" si="24"/>
        <v>354.8100000000004</v>
      </c>
      <c r="W18" s="34">
        <f t="shared" si="24"/>
        <v>423.50000000000045</v>
      </c>
      <c r="Y18" s="28" t="s">
        <v>139</v>
      </c>
      <c r="Z18" s="33">
        <v>-107.51</v>
      </c>
      <c r="AA18" s="33">
        <v>-51.6</v>
      </c>
      <c r="AB18" s="33">
        <v>90.82</v>
      </c>
      <c r="AC18" s="33">
        <v>-136.15</v>
      </c>
      <c r="AD18" s="33">
        <v>-388.13</v>
      </c>
      <c r="AE18" s="33">
        <v>-124.04</v>
      </c>
      <c r="AG18" s="6" t="s">
        <v>189</v>
      </c>
      <c r="AH18" s="34">
        <f>SUM(AH10:AH17)</f>
        <v>30045</v>
      </c>
      <c r="AI18" s="34">
        <f t="shared" ref="AI18:AM18" si="25">SUM(AI10:AI17)</f>
        <v>25006.500000000004</v>
      </c>
      <c r="AJ18" s="34">
        <f t="shared" si="25"/>
        <v>22479.399999999998</v>
      </c>
      <c r="AK18" s="34">
        <f t="shared" si="25"/>
        <v>25360.2</v>
      </c>
      <c r="AL18" s="34">
        <f t="shared" si="25"/>
        <v>25525.700000000004</v>
      </c>
      <c r="AM18" s="34">
        <f t="shared" si="25"/>
        <v>25444.7</v>
      </c>
      <c r="AO18" s="28" t="s">
        <v>136</v>
      </c>
      <c r="AP18" s="33">
        <v>146</v>
      </c>
      <c r="AQ18" s="33">
        <v>0</v>
      </c>
      <c r="AR18" s="33">
        <v>0</v>
      </c>
      <c r="AS18" s="33">
        <v>0</v>
      </c>
      <c r="AT18" s="33">
        <v>0</v>
      </c>
      <c r="AU18" s="33">
        <v>0</v>
      </c>
    </row>
    <row r="19" spans="1:47" x14ac:dyDescent="0.3">
      <c r="A19" s="6" t="s">
        <v>135</v>
      </c>
      <c r="B19" s="34">
        <f>B15-(B16+B17+B18)</f>
        <v>-9479.0999999999985</v>
      </c>
      <c r="C19" s="34">
        <f t="shared" ref="C19:G19" si="26">C15-(C16+C17+C18)</f>
        <v>-3442.1999999999971</v>
      </c>
      <c r="D19" s="34">
        <f t="shared" si="26"/>
        <v>-2246.0999999999985</v>
      </c>
      <c r="E19" s="34">
        <f t="shared" si="26"/>
        <v>5545.7000000000044</v>
      </c>
      <c r="F19" s="34">
        <f t="shared" si="26"/>
        <v>20251.299999999981</v>
      </c>
      <c r="G19" s="34">
        <f t="shared" si="26"/>
        <v>31111.700000000012</v>
      </c>
      <c r="I19" s="28" t="s">
        <v>149</v>
      </c>
      <c r="J19" s="33">
        <v>59.8</v>
      </c>
      <c r="K19" s="33">
        <v>80.599999999999994</v>
      </c>
      <c r="L19" s="33">
        <v>42.2</v>
      </c>
      <c r="M19" s="33">
        <v>98.4</v>
      </c>
      <c r="N19" s="33">
        <v>137.30000000000001</v>
      </c>
      <c r="O19" s="33">
        <v>194.7</v>
      </c>
      <c r="Q19" s="28" t="s">
        <v>136</v>
      </c>
      <c r="R19" s="33">
        <v>49.3</v>
      </c>
      <c r="S19" s="33">
        <v>0</v>
      </c>
      <c r="T19" s="33">
        <v>50.1</v>
      </c>
      <c r="U19" s="33">
        <v>2.06</v>
      </c>
      <c r="V19" s="33">
        <v>26.72</v>
      </c>
      <c r="W19" s="33">
        <v>21.72</v>
      </c>
      <c r="Y19" s="28"/>
      <c r="Z19" s="33"/>
      <c r="AA19" s="33"/>
      <c r="AB19" s="33"/>
      <c r="AC19" s="33"/>
      <c r="AD19" s="33"/>
      <c r="AE19" s="33"/>
      <c r="AG19" s="6" t="s">
        <v>132</v>
      </c>
      <c r="AH19" s="34">
        <f>AH8-AH18</f>
        <v>15951.80000000001</v>
      </c>
      <c r="AI19" s="34">
        <f t="shared" ref="AI19:AM19" si="27">AI8-AI18</f>
        <v>17119.899999999991</v>
      </c>
      <c r="AJ19" s="34">
        <f t="shared" si="27"/>
        <v>16165.500000000004</v>
      </c>
      <c r="AK19" s="34">
        <f t="shared" si="27"/>
        <v>17128.3</v>
      </c>
      <c r="AL19" s="34">
        <f t="shared" si="27"/>
        <v>17239.199999999997</v>
      </c>
      <c r="AM19" s="34">
        <f t="shared" si="27"/>
        <v>19147.199999999993</v>
      </c>
      <c r="AO19" s="6" t="s">
        <v>150</v>
      </c>
      <c r="AP19" s="34">
        <f>AP17-AP18</f>
        <v>7495</v>
      </c>
      <c r="AQ19" s="34">
        <f t="shared" ref="AQ19:AU19" si="28">AQ17-AQ18</f>
        <v>16087</v>
      </c>
      <c r="AR19" s="34">
        <f t="shared" si="28"/>
        <v>19981</v>
      </c>
      <c r="AS19" s="34">
        <f t="shared" si="28"/>
        <v>24565</v>
      </c>
      <c r="AT19" s="34">
        <f t="shared" si="28"/>
        <v>27485</v>
      </c>
      <c r="AU19" s="34">
        <f t="shared" si="28"/>
        <v>33298</v>
      </c>
    </row>
    <row r="20" spans="1:47" x14ac:dyDescent="0.3">
      <c r="A20" s="28" t="s">
        <v>136</v>
      </c>
      <c r="B20" s="33">
        <v>41541.800000000003</v>
      </c>
      <c r="C20" s="33">
        <v>15023</v>
      </c>
      <c r="D20" s="33">
        <v>2009.6</v>
      </c>
      <c r="E20" s="33">
        <v>4276.3999999999996</v>
      </c>
      <c r="F20" s="33">
        <v>7572.3</v>
      </c>
      <c r="G20" s="33">
        <v>-7286.8</v>
      </c>
      <c r="I20" s="6" t="s">
        <v>207</v>
      </c>
      <c r="J20" s="34">
        <f>J14-(SUM(J15:J19))</f>
        <v>2407</v>
      </c>
      <c r="K20" s="34">
        <f t="shared" ref="K20:O20" si="29">K14-(SUM(K15:K19))</f>
        <v>3890.5999999999972</v>
      </c>
      <c r="L20" s="34">
        <f t="shared" si="29"/>
        <v>8430.7000000000007</v>
      </c>
      <c r="M20" s="34">
        <f t="shared" si="29"/>
        <v>3252.1000000000004</v>
      </c>
      <c r="N20" s="34">
        <f t="shared" si="29"/>
        <v>8122.3999999999987</v>
      </c>
      <c r="O20" s="34">
        <f t="shared" si="29"/>
        <v>13153.7</v>
      </c>
      <c r="Q20" s="6" t="s">
        <v>137</v>
      </c>
      <c r="R20" s="34">
        <f>R18-R19</f>
        <v>184.75999999999993</v>
      </c>
      <c r="S20" s="34">
        <f t="shared" ref="S20:W20" si="30">S18-S19</f>
        <v>197.17999999999961</v>
      </c>
      <c r="T20" s="34">
        <f t="shared" si="30"/>
        <v>180.42</v>
      </c>
      <c r="U20" s="34">
        <f t="shared" si="30"/>
        <v>254.77999999999992</v>
      </c>
      <c r="V20" s="34">
        <f t="shared" si="30"/>
        <v>328.09000000000037</v>
      </c>
      <c r="W20" s="34">
        <f t="shared" si="30"/>
        <v>401.78000000000043</v>
      </c>
      <c r="Y20" s="6" t="s">
        <v>140</v>
      </c>
      <c r="Z20" s="34">
        <f>SUM(Z17:Z19)</f>
        <v>226.67000000000002</v>
      </c>
      <c r="AA20" s="34">
        <f t="shared" ref="AA20:AE20" si="31">SUM(AA17:AA19)</f>
        <v>354.89</v>
      </c>
      <c r="AB20" s="34">
        <f t="shared" si="31"/>
        <v>522.13</v>
      </c>
      <c r="AC20" s="34">
        <f t="shared" si="31"/>
        <v>296.62</v>
      </c>
      <c r="AD20" s="34">
        <f t="shared" si="31"/>
        <v>213.5</v>
      </c>
      <c r="AE20" s="34">
        <f t="shared" si="31"/>
        <v>486.48999999999995</v>
      </c>
      <c r="AG20" s="28" t="s">
        <v>134</v>
      </c>
      <c r="AH20" s="33">
        <v>15392</v>
      </c>
      <c r="AI20" s="33">
        <v>17998.099999999999</v>
      </c>
      <c r="AJ20" s="33">
        <v>20980.799999999999</v>
      </c>
      <c r="AK20" s="33">
        <v>23354.3</v>
      </c>
      <c r="AL20" s="33">
        <v>25765.5</v>
      </c>
      <c r="AM20" s="33">
        <v>24543.4</v>
      </c>
      <c r="AO20" s="28" t="s">
        <v>138</v>
      </c>
      <c r="AP20" s="33">
        <v>0</v>
      </c>
      <c r="AQ20" s="33">
        <v>0</v>
      </c>
      <c r="AR20" s="33">
        <v>58</v>
      </c>
      <c r="AS20" s="33">
        <v>16</v>
      </c>
      <c r="AT20" s="33">
        <v>0</v>
      </c>
      <c r="AU20" s="33">
        <v>0</v>
      </c>
    </row>
    <row r="21" spans="1:47" x14ac:dyDescent="0.3">
      <c r="A21" s="6" t="s">
        <v>137</v>
      </c>
      <c r="B21" s="34">
        <f>B19-B20</f>
        <v>-51020.9</v>
      </c>
      <c r="C21" s="34">
        <f t="shared" ref="C21:G21" si="32">C19-C20</f>
        <v>-18465.199999999997</v>
      </c>
      <c r="D21" s="34">
        <f t="shared" si="32"/>
        <v>-4255.6999999999989</v>
      </c>
      <c r="E21" s="34">
        <f t="shared" si="32"/>
        <v>1269.3000000000047</v>
      </c>
      <c r="F21" s="34">
        <f t="shared" si="32"/>
        <v>12678.999999999982</v>
      </c>
      <c r="G21" s="34">
        <f t="shared" si="32"/>
        <v>38398.500000000015</v>
      </c>
      <c r="I21" s="28" t="s">
        <v>208</v>
      </c>
      <c r="J21" s="33">
        <v>1380.5</v>
      </c>
      <c r="K21" s="33">
        <v>866.3</v>
      </c>
      <c r="L21" s="33">
        <v>0</v>
      </c>
      <c r="M21" s="33">
        <v>-492.8</v>
      </c>
      <c r="N21" s="33">
        <v>0</v>
      </c>
      <c r="O21" s="33">
        <v>0</v>
      </c>
      <c r="Q21" s="28" t="s">
        <v>138</v>
      </c>
      <c r="R21" s="33">
        <v>55.98</v>
      </c>
      <c r="S21" s="33">
        <v>83.06</v>
      </c>
      <c r="T21" s="33">
        <v>72.5</v>
      </c>
      <c r="U21" s="33">
        <v>71.510000000000005</v>
      </c>
      <c r="V21" s="33">
        <v>96.71</v>
      </c>
      <c r="W21" s="33">
        <v>121.45</v>
      </c>
      <c r="Y21" s="6" t="s">
        <v>169</v>
      </c>
      <c r="Z21" s="34">
        <f>Z16-Z20</f>
        <v>-87.009999999998115</v>
      </c>
      <c r="AA21" s="34">
        <f t="shared" ref="AA21:AE21" si="33">AA16-AA20</f>
        <v>1253.6599999999967</v>
      </c>
      <c r="AB21" s="34">
        <f t="shared" si="33"/>
        <v>1477.8500000000004</v>
      </c>
      <c r="AC21" s="34">
        <f t="shared" si="33"/>
        <v>1766.8400000000006</v>
      </c>
      <c r="AD21" s="34">
        <f t="shared" si="33"/>
        <v>1104.7200000000009</v>
      </c>
      <c r="AE21" s="34">
        <f t="shared" si="33"/>
        <v>1583.1499999999985</v>
      </c>
      <c r="AG21" s="28" t="s">
        <v>182</v>
      </c>
      <c r="AH21" s="33">
        <v>15208</v>
      </c>
      <c r="AI21" s="33">
        <v>14501.3</v>
      </c>
      <c r="AJ21" s="33">
        <v>14656.9</v>
      </c>
      <c r="AK21" s="33">
        <v>14258.4</v>
      </c>
      <c r="AL21" s="33">
        <v>13871.5</v>
      </c>
      <c r="AM21" s="33">
        <v>13393.7</v>
      </c>
      <c r="AO21" s="28" t="s">
        <v>139</v>
      </c>
      <c r="AP21" s="33">
        <v>1933</v>
      </c>
      <c r="AQ21" s="33">
        <v>4072</v>
      </c>
      <c r="AR21" s="33">
        <v>5069</v>
      </c>
      <c r="AS21" s="33">
        <v>6250</v>
      </c>
      <c r="AT21" s="33">
        <v>7019</v>
      </c>
      <c r="AU21" s="33">
        <v>8503</v>
      </c>
    </row>
    <row r="22" spans="1:47" x14ac:dyDescent="0.3">
      <c r="A22" s="28" t="s">
        <v>138</v>
      </c>
      <c r="B22" s="33">
        <v>0</v>
      </c>
      <c r="C22" s="33">
        <v>-131.19999999999999</v>
      </c>
      <c r="D22" s="33">
        <v>0</v>
      </c>
      <c r="E22" s="33">
        <v>-17.8</v>
      </c>
      <c r="F22" s="33">
        <v>4149.8</v>
      </c>
      <c r="G22" s="33">
        <v>4112.1000000000004</v>
      </c>
      <c r="I22" s="6" t="s">
        <v>150</v>
      </c>
      <c r="J22" s="34">
        <f>J20+J21</f>
        <v>3787.5</v>
      </c>
      <c r="K22" s="34">
        <f t="shared" ref="K22:O22" si="34">K20+K21</f>
        <v>4756.8999999999969</v>
      </c>
      <c r="L22" s="34">
        <f t="shared" si="34"/>
        <v>8430.7000000000007</v>
      </c>
      <c r="M22" s="34">
        <f t="shared" si="34"/>
        <v>2759.3</v>
      </c>
      <c r="N22" s="34">
        <f t="shared" si="34"/>
        <v>8122.3999999999987</v>
      </c>
      <c r="O22" s="34">
        <f t="shared" si="34"/>
        <v>13153.7</v>
      </c>
      <c r="Q22" s="28" t="s">
        <v>139</v>
      </c>
      <c r="R22" s="33">
        <v>-13.41</v>
      </c>
      <c r="S22" s="33">
        <v>-27.77</v>
      </c>
      <c r="T22" s="33">
        <v>-0.71</v>
      </c>
      <c r="U22" s="33">
        <v>-6.25</v>
      </c>
      <c r="V22" s="33">
        <v>-0.74</v>
      </c>
      <c r="W22" s="33">
        <v>1.38</v>
      </c>
      <c r="Y22" s="28" t="s">
        <v>170</v>
      </c>
      <c r="Z22" s="33">
        <v>2.1800000000000002</v>
      </c>
      <c r="AA22" s="33">
        <v>-2.14</v>
      </c>
      <c r="AB22" s="33">
        <v>6.82</v>
      </c>
      <c r="AC22" s="33">
        <v>34.03</v>
      </c>
      <c r="AD22" s="33">
        <v>19.989999999999998</v>
      </c>
      <c r="AE22" s="33">
        <v>42.54</v>
      </c>
      <c r="AG22" s="28" t="s">
        <v>183</v>
      </c>
      <c r="AH22" s="33">
        <v>9148.4</v>
      </c>
      <c r="AI22" s="33">
        <v>9137.2000000000007</v>
      </c>
      <c r="AJ22" s="33">
        <v>8927.4</v>
      </c>
      <c r="AK22" s="33">
        <v>8791.2999999999993</v>
      </c>
      <c r="AL22" s="33">
        <v>8762</v>
      </c>
      <c r="AM22" s="33">
        <v>8579.5</v>
      </c>
      <c r="AO22" s="6" t="s">
        <v>204</v>
      </c>
      <c r="AP22" s="34">
        <f>SUM(AP20:AP21)</f>
        <v>1933</v>
      </c>
      <c r="AQ22" s="34">
        <f t="shared" ref="AQ22:AU22" si="35">SUM(AQ20:AQ21)</f>
        <v>4072</v>
      </c>
      <c r="AR22" s="34">
        <f t="shared" si="35"/>
        <v>5127</v>
      </c>
      <c r="AS22" s="34">
        <f t="shared" si="35"/>
        <v>6266</v>
      </c>
      <c r="AT22" s="34">
        <f t="shared" si="35"/>
        <v>7019</v>
      </c>
      <c r="AU22" s="34">
        <f t="shared" si="35"/>
        <v>8503</v>
      </c>
    </row>
    <row r="23" spans="1:47" ht="28.8" x14ac:dyDescent="0.3">
      <c r="A23" s="28" t="s">
        <v>139</v>
      </c>
      <c r="B23" s="33">
        <v>-14932.7</v>
      </c>
      <c r="C23" s="33">
        <v>6863.6</v>
      </c>
      <c r="D23" s="33">
        <v>-392</v>
      </c>
      <c r="E23" s="33">
        <v>1376.7</v>
      </c>
      <c r="F23" s="33">
        <v>-28.8</v>
      </c>
      <c r="G23" s="33">
        <v>-3194.9</v>
      </c>
      <c r="I23" s="28" t="s">
        <v>138</v>
      </c>
      <c r="J23" s="33">
        <v>580.6</v>
      </c>
      <c r="K23" s="33">
        <v>985.2</v>
      </c>
      <c r="L23" s="33">
        <v>2037.3</v>
      </c>
      <c r="M23" s="33">
        <v>2032.7</v>
      </c>
      <c r="N23" s="33">
        <v>1938.8</v>
      </c>
      <c r="O23" s="33">
        <v>1740.5</v>
      </c>
      <c r="Q23" s="97" t="s">
        <v>162</v>
      </c>
      <c r="R23" s="33">
        <v>1.1200000000000001</v>
      </c>
      <c r="S23" s="33">
        <v>-0.56000000000000005</v>
      </c>
      <c r="T23" s="33">
        <v>-0.11</v>
      </c>
      <c r="U23" s="33">
        <v>0.45</v>
      </c>
      <c r="V23" s="33">
        <v>-14.09</v>
      </c>
      <c r="W23" s="33">
        <v>-20.86</v>
      </c>
      <c r="Y23" s="6" t="s">
        <v>171</v>
      </c>
      <c r="Z23" s="34">
        <f>Z21+Z22</f>
        <v>-84.829999999998108</v>
      </c>
      <c r="AA23" s="34">
        <f t="shared" ref="AA23:AE23" si="36">AA21+AA22</f>
        <v>1251.5199999999966</v>
      </c>
      <c r="AB23" s="34">
        <f t="shared" si="36"/>
        <v>1484.6700000000003</v>
      </c>
      <c r="AC23" s="34">
        <f t="shared" si="36"/>
        <v>1800.8700000000006</v>
      </c>
      <c r="AD23" s="34">
        <f t="shared" si="36"/>
        <v>1124.7100000000009</v>
      </c>
      <c r="AE23" s="34">
        <f t="shared" si="36"/>
        <v>1625.6899999999985</v>
      </c>
      <c r="AG23" s="103" t="s">
        <v>184</v>
      </c>
      <c r="AH23" s="34">
        <f>AH19-(SUM(AH20:AH22))</f>
        <v>-23796.599999999991</v>
      </c>
      <c r="AI23" s="34">
        <f t="shared" ref="AI23:AM23" si="37">AI19-(SUM(AI20:AI22))</f>
        <v>-24516.700000000008</v>
      </c>
      <c r="AJ23" s="34">
        <f t="shared" si="37"/>
        <v>-28399.599999999995</v>
      </c>
      <c r="AK23" s="34">
        <f t="shared" si="37"/>
        <v>-29275.7</v>
      </c>
      <c r="AL23" s="34">
        <f t="shared" si="37"/>
        <v>-31159.800000000003</v>
      </c>
      <c r="AM23" s="34">
        <f t="shared" si="37"/>
        <v>-27369.400000000012</v>
      </c>
      <c r="AO23" s="6" t="s">
        <v>151</v>
      </c>
      <c r="AP23" s="34">
        <f>AP19-AP22</f>
        <v>5562</v>
      </c>
      <c r="AQ23" s="34">
        <f t="shared" ref="AQ23:AU23" si="38">AQ19-AQ22</f>
        <v>12015</v>
      </c>
      <c r="AR23" s="34">
        <f t="shared" si="38"/>
        <v>14854</v>
      </c>
      <c r="AS23" s="34">
        <f t="shared" si="38"/>
        <v>18299</v>
      </c>
      <c r="AT23" s="34">
        <f t="shared" si="38"/>
        <v>20466</v>
      </c>
      <c r="AU23" s="34">
        <f t="shared" si="38"/>
        <v>24795</v>
      </c>
    </row>
    <row r="24" spans="1:47" x14ac:dyDescent="0.3">
      <c r="A24" s="6" t="s">
        <v>140</v>
      </c>
      <c r="B24" s="34">
        <f>B22+B23</f>
        <v>-14932.7</v>
      </c>
      <c r="C24" s="34">
        <f t="shared" ref="C24:G24" si="39">C22+C23</f>
        <v>6732.4000000000005</v>
      </c>
      <c r="D24" s="34">
        <f t="shared" si="39"/>
        <v>-392</v>
      </c>
      <c r="E24" s="34">
        <f t="shared" si="39"/>
        <v>1358.9</v>
      </c>
      <c r="F24" s="34">
        <f t="shared" si="39"/>
        <v>4121</v>
      </c>
      <c r="G24" s="34">
        <f t="shared" si="39"/>
        <v>917.20000000000027</v>
      </c>
      <c r="I24" s="28" t="s">
        <v>139</v>
      </c>
      <c r="J24" s="33">
        <v>-91.8</v>
      </c>
      <c r="K24" s="33">
        <v>-7.3</v>
      </c>
      <c r="L24" s="33">
        <v>20.3</v>
      </c>
      <c r="M24" s="33">
        <v>-1313.4</v>
      </c>
      <c r="N24" s="33">
        <v>147.4</v>
      </c>
      <c r="O24" s="33">
        <v>1481.5</v>
      </c>
      <c r="Q24" s="6" t="s">
        <v>140</v>
      </c>
      <c r="R24" s="34">
        <f>SUM(R21:R23)</f>
        <v>43.689999999999991</v>
      </c>
      <c r="S24" s="34">
        <f t="shared" ref="S24:W24" si="40">SUM(S21:S23)</f>
        <v>54.730000000000004</v>
      </c>
      <c r="T24" s="34">
        <f t="shared" si="40"/>
        <v>71.680000000000007</v>
      </c>
      <c r="U24" s="34">
        <f t="shared" si="40"/>
        <v>65.710000000000008</v>
      </c>
      <c r="V24" s="34">
        <f t="shared" si="40"/>
        <v>81.88</v>
      </c>
      <c r="W24" s="34">
        <f t="shared" si="40"/>
        <v>101.97</v>
      </c>
      <c r="AG24" s="28" t="s">
        <v>185</v>
      </c>
      <c r="AH24" s="33">
        <v>367.7</v>
      </c>
      <c r="AI24" s="33">
        <v>231.4</v>
      </c>
      <c r="AJ24" s="33">
        <v>1.2</v>
      </c>
      <c r="AK24" s="33">
        <v>0.5</v>
      </c>
      <c r="AL24" s="33">
        <v>-5.5</v>
      </c>
      <c r="AM24" s="33">
        <v>1.8</v>
      </c>
    </row>
    <row r="25" spans="1:47" x14ac:dyDescent="0.3">
      <c r="A25" s="6" t="s">
        <v>141</v>
      </c>
      <c r="B25" s="34">
        <f>B21-B24</f>
        <v>-36088.199999999997</v>
      </c>
      <c r="C25" s="34">
        <f t="shared" ref="C25:G25" si="41">C21-C24</f>
        <v>-25197.599999999999</v>
      </c>
      <c r="D25" s="34">
        <f t="shared" si="41"/>
        <v>-3863.6999999999989</v>
      </c>
      <c r="E25" s="34">
        <f t="shared" si="41"/>
        <v>-89.599999999995362</v>
      </c>
      <c r="F25" s="34">
        <f t="shared" si="41"/>
        <v>8557.9999999999818</v>
      </c>
      <c r="G25" s="34">
        <f t="shared" si="41"/>
        <v>37481.300000000017</v>
      </c>
      <c r="I25" s="6" t="s">
        <v>140</v>
      </c>
      <c r="J25" s="34">
        <f>SUM(J23:J24)</f>
        <v>488.8</v>
      </c>
      <c r="K25" s="34">
        <f t="shared" ref="K25:O25" si="42">SUM(K23:K24)</f>
        <v>977.90000000000009</v>
      </c>
      <c r="L25" s="34">
        <f t="shared" si="42"/>
        <v>2057.6</v>
      </c>
      <c r="M25" s="34">
        <f t="shared" si="42"/>
        <v>719.3</v>
      </c>
      <c r="N25" s="34">
        <f t="shared" si="42"/>
        <v>2086.1999999999998</v>
      </c>
      <c r="O25" s="34">
        <f t="shared" si="42"/>
        <v>3222</v>
      </c>
      <c r="Q25" s="6" t="s">
        <v>141</v>
      </c>
      <c r="R25" s="34">
        <f>R20-R24</f>
        <v>141.06999999999994</v>
      </c>
      <c r="S25" s="34">
        <f t="shared" ref="S25:W25" si="43">S20-S24</f>
        <v>142.44999999999959</v>
      </c>
      <c r="T25" s="34">
        <f t="shared" si="43"/>
        <v>108.73999999999998</v>
      </c>
      <c r="U25" s="34">
        <f t="shared" si="43"/>
        <v>189.06999999999991</v>
      </c>
      <c r="V25" s="34">
        <f t="shared" si="43"/>
        <v>246.21000000000038</v>
      </c>
      <c r="W25" s="34">
        <f t="shared" si="43"/>
        <v>299.8100000000004</v>
      </c>
      <c r="AG25" s="28" t="s">
        <v>186</v>
      </c>
      <c r="AH25" s="33">
        <v>-12.4</v>
      </c>
      <c r="AI25" s="33">
        <v>0</v>
      </c>
      <c r="AJ25" s="33">
        <v>0</v>
      </c>
      <c r="AK25" s="33">
        <v>0</v>
      </c>
      <c r="AL25" s="33">
        <v>0</v>
      </c>
      <c r="AM25" s="33">
        <v>0</v>
      </c>
      <c r="AO25" s="104" t="s">
        <v>205</v>
      </c>
      <c r="AP25" s="105" t="s">
        <v>62</v>
      </c>
      <c r="AQ25" s="105" t="s">
        <v>63</v>
      </c>
      <c r="AR25" s="105" t="s">
        <v>64</v>
      </c>
      <c r="AS25" s="105" t="s">
        <v>65</v>
      </c>
      <c r="AT25" s="105" t="s">
        <v>66</v>
      </c>
      <c r="AU25" s="106" t="s">
        <v>67</v>
      </c>
    </row>
    <row r="26" spans="1:47" x14ac:dyDescent="0.3">
      <c r="I26" s="6" t="s">
        <v>151</v>
      </c>
      <c r="J26" s="34">
        <f>J22-J25</f>
        <v>3298.7</v>
      </c>
      <c r="K26" s="34">
        <f t="shared" ref="K26:O26" si="44">K22-K25</f>
        <v>3778.9999999999968</v>
      </c>
      <c r="L26" s="34">
        <f t="shared" si="44"/>
        <v>6373.1</v>
      </c>
      <c r="M26" s="34">
        <f t="shared" si="44"/>
        <v>2040.0000000000002</v>
      </c>
      <c r="N26" s="34">
        <f t="shared" si="44"/>
        <v>6036.1999999999989</v>
      </c>
      <c r="O26" s="34">
        <f t="shared" si="44"/>
        <v>9931.7000000000007</v>
      </c>
      <c r="AG26" s="6" t="s">
        <v>135</v>
      </c>
      <c r="AH26" s="34">
        <f>AH23+(SUM(AH24:AH25))</f>
        <v>-23441.299999999992</v>
      </c>
      <c r="AI26" s="34">
        <f t="shared" ref="AI26:AM26" si="45">AI23+(SUM(AI24:AI25))</f>
        <v>-24285.300000000007</v>
      </c>
      <c r="AJ26" s="34">
        <f t="shared" si="45"/>
        <v>-28398.399999999994</v>
      </c>
      <c r="AK26" s="34">
        <f t="shared" si="45"/>
        <v>-29275.200000000001</v>
      </c>
      <c r="AL26" s="34">
        <f t="shared" si="45"/>
        <v>-31165.300000000003</v>
      </c>
      <c r="AM26" s="34">
        <f t="shared" si="45"/>
        <v>-27367.600000000013</v>
      </c>
      <c r="AO26" s="28" t="s">
        <v>143</v>
      </c>
      <c r="AP26" s="33">
        <v>1.24</v>
      </c>
      <c r="AQ26" s="33">
        <v>2.67</v>
      </c>
      <c r="AR26" s="33">
        <v>3.3</v>
      </c>
      <c r="AS26" s="33">
        <v>4.07</v>
      </c>
      <c r="AT26" s="33">
        <v>4.55</v>
      </c>
      <c r="AU26" s="33">
        <v>5.51</v>
      </c>
    </row>
    <row r="27" spans="1:47" x14ac:dyDescent="0.3">
      <c r="A27" s="83" t="s">
        <v>142</v>
      </c>
      <c r="B27" s="84" t="s">
        <v>62</v>
      </c>
      <c r="C27" s="84" t="s">
        <v>63</v>
      </c>
      <c r="D27" s="84" t="s">
        <v>64</v>
      </c>
      <c r="E27" s="84" t="s">
        <v>65</v>
      </c>
      <c r="F27" s="84" t="s">
        <v>66</v>
      </c>
      <c r="G27" s="84" t="s">
        <v>67</v>
      </c>
      <c r="Q27" s="94" t="s">
        <v>152</v>
      </c>
      <c r="R27" s="95" t="s">
        <v>62</v>
      </c>
      <c r="S27" s="95" t="s">
        <v>63</v>
      </c>
      <c r="T27" s="95" t="s">
        <v>64</v>
      </c>
      <c r="U27" s="95" t="s">
        <v>65</v>
      </c>
      <c r="V27" s="95" t="s">
        <v>66</v>
      </c>
      <c r="W27" s="96" t="s">
        <v>67</v>
      </c>
      <c r="Y27" s="86" t="s">
        <v>152</v>
      </c>
      <c r="Z27" s="87" t="s">
        <v>62</v>
      </c>
      <c r="AA27" s="87" t="s">
        <v>63</v>
      </c>
      <c r="AB27" s="87" t="s">
        <v>64</v>
      </c>
      <c r="AC27" s="87" t="s">
        <v>65</v>
      </c>
      <c r="AD27" s="87" t="s">
        <v>66</v>
      </c>
      <c r="AE27" s="88" t="s">
        <v>67</v>
      </c>
      <c r="AG27" s="28" t="s">
        <v>187</v>
      </c>
      <c r="AH27" s="33">
        <v>-38355.699999999997</v>
      </c>
      <c r="AI27" s="33">
        <v>-19968.099999999999</v>
      </c>
      <c r="AJ27" s="33">
        <v>164.3</v>
      </c>
      <c r="AK27" s="33">
        <v>-22.4</v>
      </c>
      <c r="AL27" s="33">
        <v>755.5</v>
      </c>
      <c r="AM27" s="33">
        <v>0</v>
      </c>
    </row>
    <row r="28" spans="1:47" s="123" customFormat="1" x14ac:dyDescent="0.3">
      <c r="A28" s="28" t="s">
        <v>143</v>
      </c>
      <c r="B28" s="33">
        <v>-71.08</v>
      </c>
      <c r="C28" s="33">
        <v>-46.18</v>
      </c>
      <c r="D28" s="33">
        <v>-6.96</v>
      </c>
      <c r="E28" s="33">
        <v>-0.16</v>
      </c>
      <c r="F28" s="33">
        <v>13.09</v>
      </c>
      <c r="G28" s="33">
        <v>58</v>
      </c>
      <c r="H28" s="2"/>
      <c r="I28" s="89" t="s">
        <v>152</v>
      </c>
      <c r="J28" s="90" t="s">
        <v>62</v>
      </c>
      <c r="K28" s="90" t="s">
        <v>63</v>
      </c>
      <c r="L28" s="90" t="s">
        <v>64</v>
      </c>
      <c r="M28" s="90" t="s">
        <v>65</v>
      </c>
      <c r="N28" s="90" t="s">
        <v>66</v>
      </c>
      <c r="O28" s="91" t="s">
        <v>67</v>
      </c>
      <c r="P28" s="2"/>
      <c r="Q28" s="28" t="s">
        <v>143</v>
      </c>
      <c r="R28" s="33">
        <v>4.4000000000000004</v>
      </c>
      <c r="S28" s="33">
        <v>4.4400000000000004</v>
      </c>
      <c r="T28" s="33">
        <v>6.51</v>
      </c>
      <c r="U28" s="33">
        <v>5.89</v>
      </c>
      <c r="V28" s="33">
        <v>7.67</v>
      </c>
      <c r="W28" s="33">
        <v>9.34</v>
      </c>
      <c r="X28" s="2"/>
      <c r="Y28" s="28" t="s">
        <v>143</v>
      </c>
      <c r="Z28" s="33">
        <v>-3.02</v>
      </c>
      <c r="AA28" s="33">
        <v>43.88</v>
      </c>
      <c r="AB28" s="33">
        <v>51.99</v>
      </c>
      <c r="AC28" s="33">
        <v>63.02</v>
      </c>
      <c r="AD28" s="33">
        <v>39.42</v>
      </c>
      <c r="AE28" s="33">
        <v>57.03</v>
      </c>
      <c r="AF28" s="2"/>
      <c r="AG28" s="6" t="s">
        <v>137</v>
      </c>
      <c r="AH28" s="34">
        <f>AH26+AH27</f>
        <v>-61796.999999999985</v>
      </c>
      <c r="AI28" s="34">
        <f t="shared" ref="AI28:AM28" si="46">AI26+AI27</f>
        <v>-44253.400000000009</v>
      </c>
      <c r="AJ28" s="34">
        <f t="shared" si="46"/>
        <v>-28234.099999999995</v>
      </c>
      <c r="AK28" s="34">
        <f t="shared" si="46"/>
        <v>-29297.600000000002</v>
      </c>
      <c r="AL28" s="34">
        <f t="shared" si="46"/>
        <v>-30409.800000000003</v>
      </c>
      <c r="AM28" s="34">
        <f t="shared" si="46"/>
        <v>-27367.600000000013</v>
      </c>
      <c r="AN28" s="2"/>
      <c r="AO28" s="139" t="s">
        <v>444</v>
      </c>
      <c r="AP28" s="140">
        <v>387500000</v>
      </c>
      <c r="AQ28" s="140">
        <v>422900000</v>
      </c>
      <c r="AR28" s="140">
        <v>409280000</v>
      </c>
      <c r="AS28" s="140">
        <v>438560000</v>
      </c>
      <c r="AT28" s="140">
        <v>481800000</v>
      </c>
      <c r="AU28" s="141">
        <v>476580000</v>
      </c>
    </row>
    <row r="29" spans="1:47" x14ac:dyDescent="0.3">
      <c r="I29" s="28" t="s">
        <v>143</v>
      </c>
      <c r="J29" s="33">
        <v>17.84</v>
      </c>
      <c r="K29" s="33">
        <v>17.515999999999998</v>
      </c>
      <c r="L29" s="33">
        <v>23.65</v>
      </c>
      <c r="M29" s="33">
        <v>7.57</v>
      </c>
      <c r="N29" s="33">
        <v>22.4</v>
      </c>
      <c r="O29" s="33">
        <v>37.31</v>
      </c>
      <c r="AG29" s="28" t="s">
        <v>138</v>
      </c>
      <c r="AH29" s="33">
        <v>0.4</v>
      </c>
      <c r="AI29" s="33">
        <v>-18</v>
      </c>
      <c r="AJ29" s="33">
        <v>17.3</v>
      </c>
      <c r="AK29" s="33">
        <v>11.5</v>
      </c>
      <c r="AL29" s="33">
        <v>828.5</v>
      </c>
      <c r="AM29" s="33">
        <v>-2.7</v>
      </c>
      <c r="AO29" s="139" t="s">
        <v>467</v>
      </c>
      <c r="AP29" s="146">
        <f>AP28/10000000</f>
        <v>38.75</v>
      </c>
      <c r="AQ29" s="146">
        <f t="shared" ref="AQ29:AU29" si="47">AQ28/10000000</f>
        <v>42.29</v>
      </c>
      <c r="AR29" s="146">
        <f t="shared" si="47"/>
        <v>40.927999999999997</v>
      </c>
      <c r="AS29" s="146">
        <f t="shared" si="47"/>
        <v>43.856000000000002</v>
      </c>
      <c r="AT29" s="146">
        <f t="shared" si="47"/>
        <v>48.18</v>
      </c>
      <c r="AU29" s="146">
        <f t="shared" si="47"/>
        <v>47.658000000000001</v>
      </c>
    </row>
    <row r="30" spans="1:47" x14ac:dyDescent="0.3">
      <c r="A30"/>
      <c r="B30"/>
      <c r="C30"/>
      <c r="D30"/>
      <c r="E30"/>
      <c r="F30"/>
      <c r="G30"/>
      <c r="AG30" s="28" t="s">
        <v>139</v>
      </c>
      <c r="AH30" s="33">
        <v>12080.7</v>
      </c>
      <c r="AI30" s="33">
        <v>-2.2999999999999998</v>
      </c>
      <c r="AJ30" s="33">
        <v>-6</v>
      </c>
      <c r="AK30" s="33">
        <v>-8</v>
      </c>
      <c r="AL30" s="33">
        <v>0.1</v>
      </c>
      <c r="AM30" s="33">
        <v>18.5</v>
      </c>
    </row>
    <row r="31" spans="1:47" x14ac:dyDescent="0.3">
      <c r="A31" s="124" t="s">
        <v>441</v>
      </c>
      <c r="B31" s="125">
        <v>423287000</v>
      </c>
      <c r="C31" s="125">
        <v>471362000</v>
      </c>
      <c r="D31" s="125">
        <v>489729000</v>
      </c>
      <c r="E31" s="125">
        <v>518446000</v>
      </c>
      <c r="F31" s="125">
        <v>561970000</v>
      </c>
      <c r="G31" s="126">
        <v>590514000</v>
      </c>
      <c r="I31" s="130" t="s">
        <v>442</v>
      </c>
      <c r="J31" s="131">
        <v>95372</v>
      </c>
      <c r="K31" s="131">
        <v>179225</v>
      </c>
      <c r="L31" s="131">
        <v>188447</v>
      </c>
      <c r="M31" s="131">
        <v>192874</v>
      </c>
      <c r="N31" s="131">
        <v>219736</v>
      </c>
      <c r="O31" s="132">
        <v>260000</v>
      </c>
      <c r="Q31" s="133" t="s">
        <v>443</v>
      </c>
      <c r="R31" s="134">
        <v>300000</v>
      </c>
      <c r="S31" s="134">
        <v>400000</v>
      </c>
      <c r="T31" s="134">
        <v>472000</v>
      </c>
      <c r="U31" s="134">
        <v>516000</v>
      </c>
      <c r="V31" s="134">
        <v>568000</v>
      </c>
      <c r="W31" s="135">
        <v>575000</v>
      </c>
      <c r="Z31" s="123"/>
      <c r="AA31" s="123"/>
      <c r="AB31" s="123"/>
      <c r="AC31" s="123"/>
      <c r="AD31" s="123"/>
      <c r="AE31" s="123"/>
      <c r="AG31" s="6" t="s">
        <v>140</v>
      </c>
      <c r="AH31" s="34">
        <f>SUM(AH29:AH30)</f>
        <v>12081.1</v>
      </c>
      <c r="AI31" s="34">
        <f t="shared" ref="AI31:AM31" si="48">SUM(AI29:AI30)</f>
        <v>-20.3</v>
      </c>
      <c r="AJ31" s="34">
        <f t="shared" si="48"/>
        <v>11.3</v>
      </c>
      <c r="AK31" s="34">
        <f t="shared" si="48"/>
        <v>3.5</v>
      </c>
      <c r="AL31" s="34">
        <f t="shared" si="48"/>
        <v>828.6</v>
      </c>
      <c r="AM31" s="34">
        <f t="shared" si="48"/>
        <v>15.8</v>
      </c>
      <c r="AO31" s="2">
        <v>2019</v>
      </c>
      <c r="AP31" s="2">
        <v>30.67</v>
      </c>
    </row>
    <row r="32" spans="1:47" x14ac:dyDescent="0.3">
      <c r="A32" s="124" t="s">
        <v>553</v>
      </c>
      <c r="B32" s="142">
        <f>B31/10000000</f>
        <v>42.328699999999998</v>
      </c>
      <c r="C32" s="142">
        <f t="shared" ref="C32:G32" si="49">C31/10000000</f>
        <v>47.136200000000002</v>
      </c>
      <c r="D32" s="142">
        <f t="shared" si="49"/>
        <v>48.972900000000003</v>
      </c>
      <c r="E32" s="142">
        <f t="shared" si="49"/>
        <v>51.8446</v>
      </c>
      <c r="F32" s="142">
        <f t="shared" si="49"/>
        <v>56.197000000000003</v>
      </c>
      <c r="G32" s="142">
        <f t="shared" si="49"/>
        <v>59.051400000000001</v>
      </c>
      <c r="I32" s="130" t="s">
        <v>467</v>
      </c>
      <c r="J32" s="143">
        <f>J31/10000000</f>
        <v>9.5371999999999992E-3</v>
      </c>
      <c r="K32" s="143">
        <f t="shared" ref="K32:O32" si="50">K31/10000000</f>
        <v>1.7922500000000001E-2</v>
      </c>
      <c r="L32" s="143">
        <f t="shared" si="50"/>
        <v>1.8844699999999999E-2</v>
      </c>
      <c r="M32" s="143">
        <f t="shared" si="50"/>
        <v>1.92874E-2</v>
      </c>
      <c r="N32" s="143">
        <f t="shared" si="50"/>
        <v>2.1973599999999999E-2</v>
      </c>
      <c r="O32" s="143">
        <f t="shared" si="50"/>
        <v>2.5999999999999999E-2</v>
      </c>
      <c r="Q32" s="133" t="s">
        <v>467</v>
      </c>
      <c r="R32" s="144">
        <f>R31/10000000</f>
        <v>0.03</v>
      </c>
      <c r="S32" s="144">
        <f t="shared" ref="S32:W32" si="51">S31/10000000</f>
        <v>0.04</v>
      </c>
      <c r="T32" s="144">
        <f t="shared" si="51"/>
        <v>4.7199999999999999E-2</v>
      </c>
      <c r="U32" s="144">
        <f t="shared" si="51"/>
        <v>5.16E-2</v>
      </c>
      <c r="V32" s="144">
        <f t="shared" si="51"/>
        <v>5.6800000000000003E-2</v>
      </c>
      <c r="W32" s="144">
        <f t="shared" si="51"/>
        <v>5.7500000000000002E-2</v>
      </c>
      <c r="AG32" s="6" t="s">
        <v>188</v>
      </c>
      <c r="AH32" s="34">
        <f>AH28-AH31</f>
        <v>-73878.099999999991</v>
      </c>
      <c r="AI32" s="34">
        <f t="shared" ref="AI32:AM32" si="52">AI28-AI31</f>
        <v>-44233.100000000006</v>
      </c>
      <c r="AJ32" s="34">
        <f t="shared" si="52"/>
        <v>-28245.399999999994</v>
      </c>
      <c r="AK32" s="34">
        <f t="shared" si="52"/>
        <v>-29301.100000000002</v>
      </c>
      <c r="AL32" s="34">
        <f t="shared" si="52"/>
        <v>-31238.400000000001</v>
      </c>
      <c r="AM32" s="34">
        <f t="shared" si="52"/>
        <v>-27383.400000000012</v>
      </c>
    </row>
    <row r="34" spans="1:39" x14ac:dyDescent="0.3">
      <c r="A34" s="2" t="s">
        <v>468</v>
      </c>
      <c r="B34" s="53">
        <v>32.729999999999997</v>
      </c>
      <c r="C34" s="53"/>
      <c r="D34" s="53"/>
      <c r="E34" s="53"/>
      <c r="F34" s="53"/>
      <c r="G34" s="53"/>
      <c r="H34" s="53"/>
      <c r="I34" s="147">
        <v>2019</v>
      </c>
      <c r="J34" s="123">
        <v>123546</v>
      </c>
      <c r="P34" s="53"/>
      <c r="Q34" s="147" t="s">
        <v>469</v>
      </c>
      <c r="R34" s="123">
        <v>142000</v>
      </c>
      <c r="S34" s="53"/>
      <c r="T34" s="53"/>
      <c r="U34" s="53"/>
      <c r="V34" s="53"/>
      <c r="W34" s="53"/>
      <c r="X34" s="53"/>
      <c r="Y34" s="53"/>
      <c r="AG34" s="100" t="s">
        <v>142</v>
      </c>
      <c r="AH34" s="101" t="s">
        <v>62</v>
      </c>
      <c r="AI34" s="101" t="s">
        <v>63</v>
      </c>
      <c r="AJ34" s="101" t="s">
        <v>64</v>
      </c>
      <c r="AK34" s="101" t="s">
        <v>65</v>
      </c>
      <c r="AL34" s="101" t="s">
        <v>66</v>
      </c>
      <c r="AM34" s="102" t="s">
        <v>67</v>
      </c>
    </row>
    <row r="35" spans="1:39" x14ac:dyDescent="0.3">
      <c r="J35" s="148">
        <f>J34/10000000</f>
        <v>1.23546E-2</v>
      </c>
      <c r="R35" s="149">
        <f>R34/10000000</f>
        <v>1.4200000000000001E-2</v>
      </c>
      <c r="AG35" s="28" t="s">
        <v>143</v>
      </c>
      <c r="AH35" s="33">
        <v>-27.26</v>
      </c>
      <c r="AI35" s="33">
        <v>-15.4</v>
      </c>
      <c r="AJ35" s="33">
        <v>-9.83</v>
      </c>
      <c r="AK35" s="33">
        <v>-8.43</v>
      </c>
      <c r="AL35" s="33">
        <v>-6.41</v>
      </c>
      <c r="AM35" s="33">
        <v>-4.01</v>
      </c>
    </row>
    <row r="37" spans="1:39" x14ac:dyDescent="0.3">
      <c r="AG37" s="136" t="s">
        <v>443</v>
      </c>
      <c r="AH37" s="137">
        <v>293700000</v>
      </c>
      <c r="AI37" s="137">
        <v>247200000</v>
      </c>
      <c r="AJ37" s="137">
        <v>243800000</v>
      </c>
      <c r="AK37" s="137">
        <v>223000000</v>
      </c>
      <c r="AL37" s="137">
        <v>212600000</v>
      </c>
      <c r="AM37" s="138">
        <v>198200000</v>
      </c>
    </row>
    <row r="38" spans="1:39" x14ac:dyDescent="0.3">
      <c r="AG38" s="136" t="s">
        <v>467</v>
      </c>
      <c r="AH38" s="145">
        <f>AH37/10000000</f>
        <v>29.37</v>
      </c>
      <c r="AI38" s="145">
        <f t="shared" ref="AI38:AM38" si="53">AI37/10000000</f>
        <v>24.72</v>
      </c>
      <c r="AJ38" s="145">
        <f t="shared" si="53"/>
        <v>24.38</v>
      </c>
      <c r="AK38" s="145">
        <f t="shared" si="53"/>
        <v>22.3</v>
      </c>
      <c r="AL38" s="145">
        <f t="shared" si="53"/>
        <v>21.26</v>
      </c>
      <c r="AM38" s="145">
        <f t="shared" si="53"/>
        <v>19.82</v>
      </c>
    </row>
    <row r="40" spans="1:39" x14ac:dyDescent="0.3">
      <c r="AG40" s="2">
        <v>2019</v>
      </c>
      <c r="AH40" s="53">
        <v>39.479999999999997</v>
      </c>
    </row>
  </sheetData>
  <mergeCells count="6">
    <mergeCell ref="AT1:AU1"/>
    <mergeCell ref="F1:G1"/>
    <mergeCell ref="N1:O1"/>
    <mergeCell ref="V1:W1"/>
    <mergeCell ref="AD1:AE1"/>
    <mergeCell ref="AL1:AM1"/>
  </mergeCells>
  <phoneticPr fontId="6" type="noConversion"/>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406B-C0A0-4B3E-AF5D-F414BEACCF84}">
  <dimension ref="A1:AU65"/>
  <sheetViews>
    <sheetView topLeftCell="AN23" workbookViewId="0"/>
  </sheetViews>
  <sheetFormatPr defaultRowHeight="14.4" x14ac:dyDescent="0.3"/>
  <cols>
    <col min="1" max="1" width="48.88671875" style="2" bestFit="1" customWidth="1"/>
    <col min="2" max="6" width="11.21875" style="2" bestFit="1" customWidth="1"/>
    <col min="7" max="7" width="11.6640625" style="2" bestFit="1" customWidth="1"/>
    <col min="8" max="8" width="8.88671875" style="2"/>
    <col min="9" max="9" width="65.6640625" style="2" bestFit="1" customWidth="1"/>
    <col min="10" max="10" width="10" style="2" bestFit="1" customWidth="1"/>
    <col min="11" max="13" width="11.21875" style="2" bestFit="1" customWidth="1"/>
    <col min="14" max="14" width="11.109375" style="2" bestFit="1" customWidth="1"/>
    <col min="15" max="15" width="11.21875" style="2" bestFit="1" customWidth="1"/>
    <col min="16" max="16" width="8.88671875" style="2"/>
    <col min="17" max="17" width="54.6640625" style="2" bestFit="1" customWidth="1"/>
    <col min="18" max="18" width="10.5546875" style="2" bestFit="1" customWidth="1"/>
    <col min="19" max="24" width="8.88671875" style="2"/>
    <col min="25" max="25" width="56.109375" style="2" bestFit="1" customWidth="1"/>
    <col min="26" max="28" width="9.88671875" style="2" bestFit="1" customWidth="1"/>
    <col min="29" max="31" width="10.6640625" style="2" bestFit="1" customWidth="1"/>
    <col min="32" max="32" width="8.88671875" style="2"/>
    <col min="33" max="33" width="52.77734375" style="2" bestFit="1" customWidth="1"/>
    <col min="34" max="34" width="11.21875" style="2" bestFit="1" customWidth="1"/>
    <col min="35" max="35" width="12.33203125" style="2" bestFit="1" customWidth="1"/>
    <col min="36" max="37" width="11.109375" style="2" bestFit="1" customWidth="1"/>
    <col min="38" max="39" width="11.21875" style="2" bestFit="1" customWidth="1"/>
    <col min="40" max="40" width="8.88671875" style="2"/>
    <col min="41" max="41" width="45.21875" style="2" bestFit="1" customWidth="1"/>
    <col min="42" max="42" width="12.21875" style="2" bestFit="1" customWidth="1"/>
    <col min="43" max="44" width="11.21875" style="2" bestFit="1" customWidth="1"/>
    <col min="45" max="45" width="12.21875" style="2" bestFit="1" customWidth="1"/>
    <col min="46" max="46" width="11.21875" style="2" bestFit="1" customWidth="1"/>
    <col min="47" max="47" width="12.21875" style="2" bestFit="1" customWidth="1"/>
    <col min="48" max="16384" width="8.88671875" style="2"/>
  </cols>
  <sheetData>
    <row r="1" spans="1:47" ht="49.8" customHeight="1" x14ac:dyDescent="0.3">
      <c r="A1" s="32" t="s">
        <v>430</v>
      </c>
      <c r="F1" s="347" t="e" vm="1">
        <v>#VALUE!</v>
      </c>
      <c r="G1" s="347"/>
      <c r="N1" s="347" t="e" vm="2">
        <v>#VALUE!</v>
      </c>
      <c r="O1" s="347"/>
      <c r="V1" s="347" t="e" vm="3">
        <v>#VALUE!</v>
      </c>
      <c r="W1" s="347"/>
      <c r="AD1" s="348" t="e" vm="4">
        <v>#VALUE!</v>
      </c>
      <c r="AE1" s="348"/>
      <c r="AL1" s="348" t="e" vm="5">
        <v>#VALUE!</v>
      </c>
      <c r="AM1" s="348"/>
      <c r="AT1" s="347" t="e" vm="6">
        <v>#VALUE!</v>
      </c>
      <c r="AU1" s="347"/>
    </row>
    <row r="2" spans="1:47" s="114" customFormat="1" x14ac:dyDescent="0.3">
      <c r="A2" s="112" t="s">
        <v>15</v>
      </c>
      <c r="B2" s="113" t="s">
        <v>62</v>
      </c>
      <c r="C2" s="113" t="s">
        <v>63</v>
      </c>
      <c r="D2" s="113" t="s">
        <v>64</v>
      </c>
      <c r="E2" s="113" t="s">
        <v>65</v>
      </c>
      <c r="F2" s="113" t="s">
        <v>66</v>
      </c>
      <c r="G2" s="113" t="s">
        <v>67</v>
      </c>
      <c r="I2" s="115" t="s">
        <v>15</v>
      </c>
      <c r="J2" s="116" t="s">
        <v>62</v>
      </c>
      <c r="K2" s="116" t="s">
        <v>63</v>
      </c>
      <c r="L2" s="116" t="s">
        <v>64</v>
      </c>
      <c r="M2" s="116" t="s">
        <v>65</v>
      </c>
      <c r="N2" s="116" t="s">
        <v>66</v>
      </c>
      <c r="O2" s="116" t="s">
        <v>67</v>
      </c>
      <c r="Q2" s="118" t="s">
        <v>15</v>
      </c>
      <c r="R2" s="117" t="s">
        <v>62</v>
      </c>
      <c r="S2" s="117" t="s">
        <v>63</v>
      </c>
      <c r="T2" s="117" t="s">
        <v>64</v>
      </c>
      <c r="U2" s="117" t="s">
        <v>65</v>
      </c>
      <c r="V2" s="117" t="s">
        <v>66</v>
      </c>
      <c r="W2" s="117" t="s">
        <v>67</v>
      </c>
      <c r="Y2" s="120" t="s">
        <v>15</v>
      </c>
      <c r="Z2" s="119" t="s">
        <v>62</v>
      </c>
      <c r="AA2" s="119" t="s">
        <v>63</v>
      </c>
      <c r="AB2" s="119" t="s">
        <v>64</v>
      </c>
      <c r="AC2" s="119" t="s">
        <v>65</v>
      </c>
      <c r="AD2" s="119" t="s">
        <v>66</v>
      </c>
      <c r="AE2" s="119" t="s">
        <v>67</v>
      </c>
      <c r="AG2" s="122" t="s">
        <v>15</v>
      </c>
      <c r="AH2" s="121" t="s">
        <v>62</v>
      </c>
      <c r="AI2" s="121" t="s">
        <v>63</v>
      </c>
      <c r="AJ2" s="121" t="s">
        <v>64</v>
      </c>
      <c r="AK2" s="121" t="s">
        <v>65</v>
      </c>
      <c r="AL2" s="121" t="s">
        <v>66</v>
      </c>
      <c r="AM2" s="121" t="s">
        <v>67</v>
      </c>
      <c r="AO2" s="111" t="s">
        <v>15</v>
      </c>
      <c r="AP2" s="110" t="s">
        <v>62</v>
      </c>
      <c r="AQ2" s="110" t="s">
        <v>63</v>
      </c>
      <c r="AR2" s="110" t="s">
        <v>64</v>
      </c>
      <c r="AS2" s="110" t="s">
        <v>65</v>
      </c>
      <c r="AT2" s="110" t="s">
        <v>66</v>
      </c>
      <c r="AU2" s="110" t="s">
        <v>67</v>
      </c>
    </row>
    <row r="3" spans="1:47" x14ac:dyDescent="0.3">
      <c r="A3" s="28" t="s">
        <v>137</v>
      </c>
      <c r="B3" s="33">
        <v>-51020.9</v>
      </c>
      <c r="C3" s="33">
        <v>-18465.2</v>
      </c>
      <c r="D3" s="33">
        <v>-4255.7</v>
      </c>
      <c r="E3" s="33">
        <v>1269.3</v>
      </c>
      <c r="F3" s="33">
        <v>12679</v>
      </c>
      <c r="G3" s="33">
        <v>38398.5</v>
      </c>
      <c r="I3" s="28" t="s">
        <v>150</v>
      </c>
      <c r="J3" s="33">
        <v>3787.5</v>
      </c>
      <c r="K3" s="33">
        <v>4756.8999999999996</v>
      </c>
      <c r="L3" s="33">
        <v>8430.7000000000007</v>
      </c>
      <c r="M3" s="33">
        <v>2759.3</v>
      </c>
      <c r="N3" s="33">
        <v>8122.4</v>
      </c>
      <c r="O3" s="33">
        <v>13153.7</v>
      </c>
      <c r="Q3" s="28" t="s">
        <v>150</v>
      </c>
      <c r="R3" s="33">
        <v>141.07</v>
      </c>
      <c r="S3" s="33">
        <v>142.44999999999999</v>
      </c>
      <c r="T3" s="33">
        <v>208.94</v>
      </c>
      <c r="U3" s="33">
        <v>189.07</v>
      </c>
      <c r="V3" s="33">
        <v>246.21</v>
      </c>
      <c r="W3" s="33">
        <v>299.81</v>
      </c>
      <c r="Y3" s="85" t="s">
        <v>319</v>
      </c>
      <c r="AG3" s="85" t="s">
        <v>370</v>
      </c>
      <c r="AO3" s="85" t="s">
        <v>370</v>
      </c>
    </row>
    <row r="4" spans="1:47" x14ac:dyDescent="0.3">
      <c r="A4" s="26" t="s">
        <v>209</v>
      </c>
      <c r="B4" s="41"/>
      <c r="C4" s="41"/>
      <c r="D4" s="41"/>
      <c r="E4" s="41"/>
      <c r="F4" s="41"/>
      <c r="G4" s="41"/>
      <c r="I4" s="26" t="s">
        <v>209</v>
      </c>
      <c r="J4" s="46"/>
      <c r="K4" s="46"/>
      <c r="L4" s="46"/>
      <c r="M4" s="46"/>
      <c r="N4" s="46"/>
      <c r="O4" s="46"/>
      <c r="Q4" s="26" t="s">
        <v>209</v>
      </c>
      <c r="R4" s="41"/>
      <c r="S4" s="41"/>
      <c r="T4" s="41"/>
      <c r="U4" s="41"/>
      <c r="V4" s="41"/>
      <c r="W4" s="41"/>
      <c r="Y4" s="28" t="s">
        <v>141</v>
      </c>
      <c r="Z4" s="33">
        <v>-84.83</v>
      </c>
      <c r="AA4" s="33">
        <v>1251.52</v>
      </c>
      <c r="AB4" s="33">
        <v>1999.98</v>
      </c>
      <c r="AC4" s="33">
        <v>2063.46</v>
      </c>
      <c r="AD4" s="33">
        <v>1163.0899999999999</v>
      </c>
      <c r="AE4" s="33">
        <v>2280.73</v>
      </c>
      <c r="AG4" s="28" t="s">
        <v>371</v>
      </c>
      <c r="AH4" s="33">
        <v>-61797</v>
      </c>
      <c r="AI4" s="33">
        <v>-44253.4</v>
      </c>
      <c r="AJ4" s="33">
        <v>-28234.1</v>
      </c>
      <c r="AK4" s="33">
        <v>-29297.599999999999</v>
      </c>
      <c r="AL4" s="33">
        <v>-30409.8</v>
      </c>
      <c r="AM4" s="33">
        <v>-27367.599999999999</v>
      </c>
      <c r="AO4" s="6" t="s">
        <v>135</v>
      </c>
      <c r="AP4" s="34">
        <v>7641</v>
      </c>
      <c r="AQ4" s="34">
        <v>16087</v>
      </c>
      <c r="AR4" s="34">
        <v>19981</v>
      </c>
      <c r="AS4" s="34">
        <v>24565</v>
      </c>
      <c r="AT4" s="34">
        <v>27485</v>
      </c>
      <c r="AU4" s="34">
        <v>33298</v>
      </c>
    </row>
    <row r="5" spans="1:47" x14ac:dyDescent="0.3">
      <c r="A5" s="28" t="s">
        <v>165</v>
      </c>
      <c r="B5" s="33">
        <v>20392.099999999999</v>
      </c>
      <c r="C5" s="33">
        <v>21997.5</v>
      </c>
      <c r="D5" s="33">
        <v>24329.8</v>
      </c>
      <c r="E5" s="33">
        <v>26355</v>
      </c>
      <c r="F5" s="33">
        <v>39537.599999999999</v>
      </c>
      <c r="G5" s="33">
        <v>45570.3</v>
      </c>
      <c r="I5" s="28" t="s">
        <v>248</v>
      </c>
      <c r="J5" s="33">
        <v>1281.5</v>
      </c>
      <c r="K5" s="33">
        <v>2848.4</v>
      </c>
      <c r="L5" s="33">
        <v>5325.2</v>
      </c>
      <c r="M5" s="33">
        <v>5323.9</v>
      </c>
      <c r="N5" s="33">
        <v>6059.9</v>
      </c>
      <c r="O5" s="33">
        <v>6402.1</v>
      </c>
      <c r="Q5" s="28" t="s">
        <v>286</v>
      </c>
      <c r="R5" s="33">
        <v>-5.01</v>
      </c>
      <c r="S5" s="33">
        <v>1.19</v>
      </c>
      <c r="T5" s="33">
        <v>-0.38</v>
      </c>
      <c r="U5" s="33">
        <v>2.1</v>
      </c>
      <c r="V5" s="33">
        <v>-2.06</v>
      </c>
      <c r="W5" s="33">
        <v>-3.87</v>
      </c>
      <c r="Y5" s="85" t="s">
        <v>209</v>
      </c>
      <c r="Z5" s="82"/>
      <c r="AA5" s="82"/>
      <c r="AB5" s="82"/>
      <c r="AC5" s="82"/>
      <c r="AD5" s="82"/>
      <c r="AE5" s="82"/>
      <c r="AG5" s="85" t="s">
        <v>209</v>
      </c>
      <c r="AH5" s="82"/>
      <c r="AI5" s="82"/>
      <c r="AJ5" s="82"/>
      <c r="AK5" s="82"/>
      <c r="AL5" s="82"/>
      <c r="AM5" s="82"/>
      <c r="AO5" s="28" t="s">
        <v>136</v>
      </c>
      <c r="AP5" s="33">
        <v>-195</v>
      </c>
      <c r="AQ5" s="33">
        <v>0</v>
      </c>
      <c r="AR5" s="33"/>
      <c r="AS5" s="33"/>
      <c r="AT5" s="33"/>
      <c r="AU5" s="33"/>
    </row>
    <row r="6" spans="1:47" x14ac:dyDescent="0.3">
      <c r="A6" s="28" t="s">
        <v>134</v>
      </c>
      <c r="B6" s="33">
        <v>11248.5</v>
      </c>
      <c r="C6" s="33">
        <v>11754.3</v>
      </c>
      <c r="D6" s="33">
        <v>13155.7</v>
      </c>
      <c r="E6" s="33">
        <v>14397.3</v>
      </c>
      <c r="F6" s="33">
        <v>21933.7</v>
      </c>
      <c r="G6" s="33">
        <v>21625.8</v>
      </c>
      <c r="I6" s="28" t="s">
        <v>148</v>
      </c>
      <c r="J6" s="33">
        <v>-337</v>
      </c>
      <c r="K6" s="33">
        <v>-199.2</v>
      </c>
      <c r="L6" s="33">
        <v>-106</v>
      </c>
      <c r="M6" s="33">
        <v>-83</v>
      </c>
      <c r="N6" s="33">
        <v>-647.9</v>
      </c>
      <c r="O6" s="33">
        <v>-417.9</v>
      </c>
      <c r="Q6" s="28" t="s">
        <v>287</v>
      </c>
      <c r="R6" s="33">
        <v>180.19</v>
      </c>
      <c r="S6" s="33">
        <v>159.32</v>
      </c>
      <c r="T6" s="33">
        <v>160.18</v>
      </c>
      <c r="U6" s="33">
        <v>154.31</v>
      </c>
      <c r="V6" s="33">
        <v>157.69999999999999</v>
      </c>
      <c r="W6" s="33">
        <v>180.4</v>
      </c>
      <c r="Y6" s="28" t="s">
        <v>320</v>
      </c>
      <c r="Z6" s="33">
        <v>226.67</v>
      </c>
      <c r="AA6" s="33">
        <v>354.89</v>
      </c>
      <c r="AB6" s="33">
        <v>2204.54</v>
      </c>
      <c r="AC6" s="33">
        <v>2261.81</v>
      </c>
      <c r="AD6" s="33">
        <v>2469.67</v>
      </c>
      <c r="AE6" s="33">
        <v>2628.32</v>
      </c>
      <c r="AG6" s="28" t="s">
        <v>210</v>
      </c>
      <c r="AH6" s="33">
        <v>-355.3</v>
      </c>
      <c r="AI6" s="33">
        <v>-231.4</v>
      </c>
      <c r="AJ6" s="33">
        <v>-1.2</v>
      </c>
      <c r="AK6" s="33">
        <v>-0.5</v>
      </c>
      <c r="AL6" s="33">
        <v>5.5</v>
      </c>
      <c r="AM6" s="33">
        <v>-1.8</v>
      </c>
      <c r="AO6" s="6" t="s">
        <v>137</v>
      </c>
      <c r="AP6" s="34">
        <f>AP4+AP5</f>
        <v>7446</v>
      </c>
      <c r="AQ6" s="34">
        <f t="shared" ref="AQ6:AU6" si="0">AQ4+AQ5</f>
        <v>16087</v>
      </c>
      <c r="AR6" s="34">
        <f t="shared" si="0"/>
        <v>19981</v>
      </c>
      <c r="AS6" s="34">
        <f t="shared" si="0"/>
        <v>24565</v>
      </c>
      <c r="AT6" s="34">
        <f t="shared" si="0"/>
        <v>27485</v>
      </c>
      <c r="AU6" s="34">
        <f t="shared" si="0"/>
        <v>33298</v>
      </c>
    </row>
    <row r="7" spans="1:47" x14ac:dyDescent="0.3">
      <c r="A7" s="28" t="s">
        <v>296</v>
      </c>
      <c r="B7" s="33">
        <v>-239</v>
      </c>
      <c r="C7" s="33">
        <v>-332.2</v>
      </c>
      <c r="D7" s="33">
        <v>-142.80000000000001</v>
      </c>
      <c r="E7" s="33">
        <v>-249.9</v>
      </c>
      <c r="F7" s="33">
        <v>-264.5</v>
      </c>
      <c r="G7" s="33">
        <v>-204.8</v>
      </c>
      <c r="I7" s="28" t="s">
        <v>134</v>
      </c>
      <c r="J7" s="33">
        <v>335</v>
      </c>
      <c r="K7" s="33">
        <v>836.4</v>
      </c>
      <c r="L7" s="33">
        <v>1603.3</v>
      </c>
      <c r="M7" s="33">
        <v>1670.4</v>
      </c>
      <c r="N7" s="33">
        <v>1863.8</v>
      </c>
      <c r="O7" s="33">
        <v>1857.9</v>
      </c>
      <c r="Q7" s="28" t="s">
        <v>288</v>
      </c>
      <c r="R7" s="33">
        <v>-2.13</v>
      </c>
      <c r="S7" s="33">
        <v>-3.02</v>
      </c>
      <c r="T7" s="33">
        <v>-2.66</v>
      </c>
      <c r="U7" s="33">
        <v>-3.59</v>
      </c>
      <c r="V7" s="33">
        <v>-3.19</v>
      </c>
      <c r="W7" s="33">
        <v>-6.3</v>
      </c>
      <c r="Y7" s="28" t="s">
        <v>321</v>
      </c>
      <c r="Z7" s="33">
        <v>-2.1800000000000002</v>
      </c>
      <c r="AA7" s="33">
        <v>2.14</v>
      </c>
      <c r="AB7" s="33">
        <v>-4.33</v>
      </c>
      <c r="AC7" s="33">
        <v>-6</v>
      </c>
      <c r="AD7" s="33">
        <v>-8.9</v>
      </c>
      <c r="AE7" s="33">
        <v>-5.2</v>
      </c>
      <c r="AG7" s="28" t="s">
        <v>211</v>
      </c>
      <c r="AH7" s="33">
        <v>15208</v>
      </c>
      <c r="AI7" s="33">
        <v>14501.3</v>
      </c>
      <c r="AJ7" s="33">
        <v>14656.9</v>
      </c>
      <c r="AK7" s="33">
        <v>14258.4</v>
      </c>
      <c r="AL7" s="33">
        <v>13871.5</v>
      </c>
      <c r="AM7" s="33">
        <v>13393.7</v>
      </c>
      <c r="AO7" s="85" t="s">
        <v>209</v>
      </c>
      <c r="AP7" s="82"/>
      <c r="AQ7" s="82"/>
      <c r="AR7" s="82"/>
      <c r="AS7" s="82"/>
      <c r="AT7" s="82"/>
      <c r="AU7" s="82"/>
    </row>
    <row r="8" spans="1:47" x14ac:dyDescent="0.3">
      <c r="A8" s="28" t="s">
        <v>384</v>
      </c>
      <c r="B8" s="33">
        <v>-863.1</v>
      </c>
      <c r="C8" s="33">
        <v>-1716.3</v>
      </c>
      <c r="D8" s="33">
        <v>-45</v>
      </c>
      <c r="E8" s="33">
        <v>-1518.1</v>
      </c>
      <c r="F8" s="33">
        <v>-649.29999999999995</v>
      </c>
      <c r="G8" s="33">
        <v>-530.6</v>
      </c>
      <c r="I8" s="28" t="s">
        <v>208</v>
      </c>
      <c r="J8" s="33">
        <v>-1380.5</v>
      </c>
      <c r="K8" s="33">
        <v>-866.3</v>
      </c>
      <c r="L8" s="33">
        <v>-255.1</v>
      </c>
      <c r="M8" s="33">
        <v>-261.39999999999998</v>
      </c>
      <c r="N8" s="33">
        <v>-279.3</v>
      </c>
      <c r="O8" s="33">
        <v>-268.7</v>
      </c>
      <c r="Q8" s="28" t="s">
        <v>289</v>
      </c>
      <c r="R8" s="33">
        <v>0.25</v>
      </c>
      <c r="S8" s="33">
        <v>-1.35</v>
      </c>
      <c r="T8" s="33">
        <v>-2.4500000000000002</v>
      </c>
      <c r="U8" s="33">
        <v>-1.68</v>
      </c>
      <c r="V8" s="33">
        <v>1.95</v>
      </c>
      <c r="W8" s="33">
        <v>-7.53</v>
      </c>
      <c r="Y8" s="28" t="s">
        <v>322</v>
      </c>
      <c r="Z8" s="33">
        <v>2357.7199999999998</v>
      </c>
      <c r="AA8" s="33">
        <v>2313.87</v>
      </c>
      <c r="AB8" s="33">
        <v>0</v>
      </c>
      <c r="AC8" s="33">
        <v>-46.74</v>
      </c>
      <c r="AD8" s="33">
        <v>-1.97</v>
      </c>
      <c r="AE8" s="33">
        <v>-733.02</v>
      </c>
      <c r="AG8" s="28" t="s">
        <v>212</v>
      </c>
      <c r="AH8" s="33">
        <v>9148.4</v>
      </c>
      <c r="AI8" s="33">
        <v>9137.2000000000007</v>
      </c>
      <c r="AJ8" s="33">
        <v>8927.4</v>
      </c>
      <c r="AK8" s="33">
        <v>8791.2999999999993</v>
      </c>
      <c r="AL8" s="33">
        <v>8762</v>
      </c>
      <c r="AM8" s="33">
        <v>8579.5</v>
      </c>
      <c r="AO8" s="28" t="s">
        <v>165</v>
      </c>
      <c r="AP8" s="33">
        <v>7396</v>
      </c>
      <c r="AQ8" s="33">
        <v>11534</v>
      </c>
      <c r="AR8" s="33">
        <v>13702</v>
      </c>
      <c r="AS8" s="33">
        <v>18641</v>
      </c>
      <c r="AT8" s="33">
        <v>21394</v>
      </c>
      <c r="AU8" s="33">
        <v>23098</v>
      </c>
    </row>
    <row r="9" spans="1:47" x14ac:dyDescent="0.3">
      <c r="A9" s="28" t="s">
        <v>385</v>
      </c>
      <c r="B9" s="33">
        <v>-381</v>
      </c>
      <c r="C9" s="33">
        <v>271.3</v>
      </c>
      <c r="D9" s="33">
        <v>-8.6999999999999993</v>
      </c>
      <c r="E9" s="33">
        <v>-350.2</v>
      </c>
      <c r="F9" s="33">
        <v>631.9</v>
      </c>
      <c r="G9" s="33">
        <v>42</v>
      </c>
      <c r="I9" s="28" t="s">
        <v>249</v>
      </c>
      <c r="J9" s="33">
        <v>-38.4</v>
      </c>
      <c r="K9" s="33">
        <v>-82.3</v>
      </c>
      <c r="L9" s="33">
        <v>-117</v>
      </c>
      <c r="M9" s="33">
        <v>5307.7</v>
      </c>
      <c r="N9" s="33">
        <v>0</v>
      </c>
      <c r="O9" s="33">
        <v>0</v>
      </c>
      <c r="Q9" s="28" t="s">
        <v>290</v>
      </c>
      <c r="R9" s="33">
        <v>0.04</v>
      </c>
      <c r="S9" s="33">
        <v>-0.66</v>
      </c>
      <c r="T9" s="33">
        <v>0.55000000000000004</v>
      </c>
      <c r="U9" s="33">
        <v>0.59</v>
      </c>
      <c r="V9" s="33">
        <v>3.02</v>
      </c>
      <c r="W9" s="33">
        <v>0.1</v>
      </c>
      <c r="Y9" s="28" t="s">
        <v>323</v>
      </c>
      <c r="Z9" s="33">
        <v>-8.51</v>
      </c>
      <c r="AA9" s="33">
        <v>-42.27</v>
      </c>
      <c r="AB9" s="33">
        <v>-3.59</v>
      </c>
      <c r="AC9" s="33">
        <v>-6.53</v>
      </c>
      <c r="AD9" s="33">
        <v>0</v>
      </c>
      <c r="AE9" s="33">
        <v>-311.2</v>
      </c>
      <c r="AG9" s="28" t="s">
        <v>372</v>
      </c>
      <c r="AH9" s="33">
        <v>-10.199999999999999</v>
      </c>
      <c r="AI9" s="33">
        <v>3.5</v>
      </c>
      <c r="AJ9" s="33">
        <v>-1.6</v>
      </c>
      <c r="AK9" s="33">
        <v>0.2</v>
      </c>
      <c r="AL9" s="33">
        <v>-48.6</v>
      </c>
      <c r="AM9" s="33">
        <v>-77.900000000000006</v>
      </c>
      <c r="AO9" s="28" t="s">
        <v>406</v>
      </c>
      <c r="AP9" s="33">
        <v>58</v>
      </c>
      <c r="AQ9" s="33">
        <v>-160</v>
      </c>
      <c r="AR9" s="33">
        <v>60</v>
      </c>
      <c r="AS9" s="33">
        <v>73</v>
      </c>
      <c r="AT9" s="33">
        <v>-72</v>
      </c>
      <c r="AU9" s="33">
        <v>13</v>
      </c>
    </row>
    <row r="10" spans="1:47" x14ac:dyDescent="0.3">
      <c r="A10" s="28" t="s">
        <v>386</v>
      </c>
      <c r="B10" s="33">
        <v>-446.2</v>
      </c>
      <c r="C10" s="33">
        <v>-255.4</v>
      </c>
      <c r="D10" s="33">
        <v>-97.5</v>
      </c>
      <c r="E10" s="33">
        <v>-198.7</v>
      </c>
      <c r="F10" s="33">
        <v>-2709.4</v>
      </c>
      <c r="G10" s="33">
        <v>-3703</v>
      </c>
      <c r="I10" s="28" t="s">
        <v>250</v>
      </c>
      <c r="J10" s="33">
        <v>68.099999999999994</v>
      </c>
      <c r="K10" s="33">
        <v>-46.1</v>
      </c>
      <c r="L10" s="33">
        <v>0</v>
      </c>
      <c r="M10" s="33">
        <v>492.8</v>
      </c>
      <c r="N10" s="33">
        <v>-80.900000000000006</v>
      </c>
      <c r="O10" s="33">
        <v>-5077.1000000000004</v>
      </c>
      <c r="Q10" s="28" t="s">
        <v>291</v>
      </c>
      <c r="R10" s="33">
        <v>3.14</v>
      </c>
      <c r="S10" s="33">
        <v>2.23</v>
      </c>
      <c r="T10" s="33">
        <v>2.27</v>
      </c>
      <c r="U10" s="33">
        <v>2.17</v>
      </c>
      <c r="V10" s="33">
        <v>2.69</v>
      </c>
      <c r="W10" s="33">
        <v>3.01</v>
      </c>
      <c r="Y10" s="28" t="s">
        <v>324</v>
      </c>
      <c r="Z10" s="33">
        <v>0</v>
      </c>
      <c r="AA10" s="33">
        <v>-67.38</v>
      </c>
      <c r="AB10" s="33">
        <v>-6.45</v>
      </c>
      <c r="AC10" s="33">
        <v>-18</v>
      </c>
      <c r="AD10" s="33">
        <v>-7.65</v>
      </c>
      <c r="AE10" s="33">
        <v>-1.71</v>
      </c>
      <c r="AG10" s="28" t="s">
        <v>213</v>
      </c>
      <c r="AH10" s="33">
        <v>2.6</v>
      </c>
      <c r="AI10" s="33">
        <v>0.5</v>
      </c>
      <c r="AJ10" s="33">
        <v>-67.900000000000006</v>
      </c>
      <c r="AK10" s="33">
        <v>-64.2</v>
      </c>
      <c r="AL10" s="33">
        <v>-755.5</v>
      </c>
      <c r="AM10" s="33">
        <v>0</v>
      </c>
      <c r="AO10" s="28" t="s">
        <v>296</v>
      </c>
      <c r="AP10" s="33">
        <v>0</v>
      </c>
      <c r="AQ10" s="33">
        <v>-9</v>
      </c>
      <c r="AR10" s="33">
        <v>-6</v>
      </c>
      <c r="AS10" s="33">
        <v>-12</v>
      </c>
      <c r="AT10" s="33">
        <v>-8</v>
      </c>
      <c r="AU10" s="33">
        <v>-717</v>
      </c>
    </row>
    <row r="11" spans="1:47" x14ac:dyDescent="0.3">
      <c r="A11" s="28" t="s">
        <v>136</v>
      </c>
      <c r="B11" s="33">
        <v>41525.199999999997</v>
      </c>
      <c r="C11" s="33">
        <v>15023</v>
      </c>
      <c r="D11" s="33">
        <v>970.2</v>
      </c>
      <c r="E11" s="33">
        <v>4276.3999999999996</v>
      </c>
      <c r="F11" s="33">
        <v>7572.3</v>
      </c>
      <c r="G11" s="33">
        <v>-7286.8</v>
      </c>
      <c r="I11" s="28" t="s">
        <v>251</v>
      </c>
      <c r="J11" s="33">
        <v>-129.69999999999999</v>
      </c>
      <c r="K11" s="33">
        <v>-207.4</v>
      </c>
      <c r="L11" s="33">
        <v>-343.6</v>
      </c>
      <c r="M11" s="33">
        <v>-616.5</v>
      </c>
      <c r="N11" s="33">
        <v>-490.7</v>
      </c>
      <c r="O11" s="33">
        <v>-533</v>
      </c>
      <c r="Q11" s="28" t="s">
        <v>292</v>
      </c>
      <c r="R11" s="33">
        <v>3.41</v>
      </c>
      <c r="S11" s="33">
        <v>2.4900000000000002</v>
      </c>
      <c r="T11" s="33">
        <v>2.67</v>
      </c>
      <c r="U11" s="33">
        <v>2.35</v>
      </c>
      <c r="V11" s="33">
        <v>7.0000000000000007E-2</v>
      </c>
      <c r="W11" s="33">
        <v>0.09</v>
      </c>
      <c r="Y11" s="28" t="s">
        <v>325</v>
      </c>
      <c r="Z11" s="33">
        <v>-3.01</v>
      </c>
      <c r="AA11" s="33">
        <v>-31.94</v>
      </c>
      <c r="AB11" s="33">
        <v>360.25</v>
      </c>
      <c r="AC11" s="33">
        <v>432.46</v>
      </c>
      <c r="AD11" s="33">
        <v>-15.01</v>
      </c>
      <c r="AE11" s="33">
        <v>-15.66</v>
      </c>
      <c r="AG11" s="28" t="s">
        <v>373</v>
      </c>
      <c r="AH11" s="33">
        <v>0</v>
      </c>
      <c r="AI11" s="33">
        <v>-2118.9</v>
      </c>
      <c r="AJ11" s="33">
        <v>-126.6</v>
      </c>
      <c r="AK11" s="33">
        <v>22.4</v>
      </c>
      <c r="AL11" s="33">
        <v>0</v>
      </c>
      <c r="AM11" s="33">
        <v>0</v>
      </c>
      <c r="AO11" s="28" t="s">
        <v>407</v>
      </c>
      <c r="AP11" s="33">
        <v>-83</v>
      </c>
      <c r="AQ11" s="33">
        <v>-473</v>
      </c>
      <c r="AR11" s="33">
        <v>-55</v>
      </c>
      <c r="AS11" s="33">
        <v>-155</v>
      </c>
      <c r="AT11" s="33">
        <v>-362</v>
      </c>
      <c r="AU11" s="33">
        <v>-201</v>
      </c>
    </row>
    <row r="12" spans="1:47" x14ac:dyDescent="0.3">
      <c r="A12" s="28" t="s">
        <v>387</v>
      </c>
      <c r="B12" s="33">
        <v>0.1</v>
      </c>
      <c r="C12" s="33">
        <v>7.3</v>
      </c>
      <c r="D12" s="33">
        <v>-24.3</v>
      </c>
      <c r="E12" s="33">
        <v>-6.1</v>
      </c>
      <c r="F12" s="33">
        <v>119.4</v>
      </c>
      <c r="G12" s="33">
        <v>166.9</v>
      </c>
      <c r="I12" s="28" t="s">
        <v>27</v>
      </c>
      <c r="J12" s="33">
        <v>-187.9</v>
      </c>
      <c r="K12" s="33">
        <v>-123.7</v>
      </c>
      <c r="L12" s="33">
        <v>-113.8</v>
      </c>
      <c r="M12" s="33">
        <v>-64.400000000000006</v>
      </c>
      <c r="N12" s="33">
        <v>-50.7</v>
      </c>
      <c r="O12" s="33">
        <v>-37.1</v>
      </c>
      <c r="Q12" s="28" t="s">
        <v>293</v>
      </c>
      <c r="R12" s="33">
        <v>0.02</v>
      </c>
      <c r="S12" s="33">
        <v>0.03</v>
      </c>
      <c r="T12" s="33">
        <v>0.09</v>
      </c>
      <c r="U12" s="33">
        <v>0.14000000000000001</v>
      </c>
      <c r="V12" s="33">
        <v>0.03</v>
      </c>
      <c r="W12" s="33">
        <v>0.01</v>
      </c>
      <c r="Y12" s="28" t="s">
        <v>326</v>
      </c>
      <c r="Z12" s="33">
        <v>-4.75</v>
      </c>
      <c r="AA12" s="33">
        <v>-11.53</v>
      </c>
      <c r="AB12" s="33">
        <v>0</v>
      </c>
      <c r="AC12" s="33">
        <v>-29.61</v>
      </c>
      <c r="AD12" s="33">
        <v>634.73</v>
      </c>
      <c r="AE12" s="33">
        <v>747.53</v>
      </c>
      <c r="AG12" s="28" t="s">
        <v>214</v>
      </c>
      <c r="AH12" s="33">
        <v>-217.2</v>
      </c>
      <c r="AI12" s="33">
        <v>-169.6</v>
      </c>
      <c r="AJ12" s="33">
        <v>13.7</v>
      </c>
      <c r="AK12" s="33">
        <v>0</v>
      </c>
      <c r="AL12" s="33">
        <v>0</v>
      </c>
      <c r="AM12" s="33">
        <v>0</v>
      </c>
      <c r="AO12" s="28" t="s">
        <v>408</v>
      </c>
      <c r="AP12" s="33">
        <v>1</v>
      </c>
      <c r="AQ12" s="33">
        <v>0</v>
      </c>
      <c r="AR12" s="33">
        <v>-13</v>
      </c>
      <c r="AS12" s="33">
        <v>-14</v>
      </c>
      <c r="AT12" s="33">
        <v>13</v>
      </c>
      <c r="AU12" s="33">
        <v>28</v>
      </c>
    </row>
    <row r="13" spans="1:47" x14ac:dyDescent="0.3">
      <c r="A13" s="28" t="s">
        <v>388</v>
      </c>
      <c r="B13" s="33">
        <v>30.2</v>
      </c>
      <c r="C13" s="33">
        <v>64.8</v>
      </c>
      <c r="D13" s="33">
        <v>61.7</v>
      </c>
      <c r="E13" s="33">
        <v>96.1</v>
      </c>
      <c r="F13" s="33">
        <v>4.4000000000000004</v>
      </c>
      <c r="G13" s="33">
        <v>-103.1</v>
      </c>
      <c r="I13" s="6" t="s">
        <v>252</v>
      </c>
      <c r="J13" s="34">
        <f>SUM(J3,J5:J12)</f>
        <v>3398.6</v>
      </c>
      <c r="K13" s="34">
        <f t="shared" ref="K13:O13" si="1">SUM(K3,K5:K12)</f>
        <v>6916.7</v>
      </c>
      <c r="L13" s="34">
        <f t="shared" si="1"/>
        <v>14423.7</v>
      </c>
      <c r="M13" s="34">
        <f t="shared" si="1"/>
        <v>14528.800000000001</v>
      </c>
      <c r="N13" s="34">
        <f t="shared" si="1"/>
        <v>14496.599999999999</v>
      </c>
      <c r="O13" s="34">
        <f t="shared" si="1"/>
        <v>15079.900000000001</v>
      </c>
      <c r="Q13" s="28" t="s">
        <v>294</v>
      </c>
      <c r="R13" s="33">
        <v>0.12</v>
      </c>
      <c r="S13" s="33">
        <v>0.02</v>
      </c>
      <c r="T13" s="33">
        <v>0</v>
      </c>
      <c r="U13" s="33">
        <v>7.0000000000000007E-2</v>
      </c>
      <c r="V13" s="33">
        <v>0</v>
      </c>
      <c r="W13" s="33">
        <v>0</v>
      </c>
      <c r="Y13" s="28" t="s">
        <v>327</v>
      </c>
      <c r="Z13" s="33">
        <v>470.74</v>
      </c>
      <c r="AA13" s="33">
        <v>420.2</v>
      </c>
      <c r="AB13" s="33">
        <v>23.12</v>
      </c>
      <c r="AC13" s="33">
        <v>46.32</v>
      </c>
      <c r="AD13" s="33">
        <v>0</v>
      </c>
      <c r="AE13" s="33">
        <v>12.85</v>
      </c>
      <c r="AG13" s="28" t="s">
        <v>215</v>
      </c>
      <c r="AH13" s="33">
        <v>5974.3</v>
      </c>
      <c r="AI13" s="33">
        <v>574.5</v>
      </c>
      <c r="AJ13" s="33">
        <v>20980.799999999999</v>
      </c>
      <c r="AK13" s="33">
        <v>23354.3</v>
      </c>
      <c r="AL13" s="33">
        <v>25765.5</v>
      </c>
      <c r="AM13" s="33">
        <v>24543.4</v>
      </c>
      <c r="AO13" s="28" t="s">
        <v>409</v>
      </c>
      <c r="AP13" s="33">
        <v>6617</v>
      </c>
      <c r="AQ13" s="33">
        <v>3840</v>
      </c>
      <c r="AR13" s="33">
        <v>4377</v>
      </c>
      <c r="AS13" s="33">
        <v>4059</v>
      </c>
      <c r="AT13" s="33">
        <v>3999</v>
      </c>
      <c r="AU13" s="33">
        <v>4837</v>
      </c>
    </row>
    <row r="14" spans="1:47" x14ac:dyDescent="0.3">
      <c r="A14" s="28" t="s">
        <v>427</v>
      </c>
      <c r="B14" s="33">
        <v>0</v>
      </c>
      <c r="C14" s="33">
        <v>0</v>
      </c>
      <c r="D14" s="33">
        <v>173.7</v>
      </c>
      <c r="E14" s="33">
        <v>274.10000000000002</v>
      </c>
      <c r="F14" s="33">
        <v>427.8</v>
      </c>
      <c r="G14" s="33">
        <v>374.1</v>
      </c>
      <c r="I14" s="28" t="s">
        <v>253</v>
      </c>
      <c r="J14" s="33">
        <v>33.6</v>
      </c>
      <c r="K14" s="33">
        <v>-312.89999999999998</v>
      </c>
      <c r="L14" s="33">
        <v>538</v>
      </c>
      <c r="M14" s="33">
        <v>-950</v>
      </c>
      <c r="N14" s="33">
        <v>-450</v>
      </c>
      <c r="O14" s="33">
        <v>-385.2</v>
      </c>
      <c r="Q14" s="28" t="s">
        <v>289</v>
      </c>
      <c r="R14" s="33">
        <v>-0.26</v>
      </c>
      <c r="S14" s="33">
        <v>-0.12</v>
      </c>
      <c r="T14" s="33">
        <v>-0.6</v>
      </c>
      <c r="U14" s="33">
        <v>-0.73</v>
      </c>
      <c r="V14" s="33">
        <v>-3.9</v>
      </c>
      <c r="W14" s="33">
        <v>-2.69</v>
      </c>
      <c r="Y14" s="28" t="s">
        <v>328</v>
      </c>
      <c r="Z14" s="33">
        <v>6.48</v>
      </c>
      <c r="AA14" s="33">
        <v>0</v>
      </c>
      <c r="AB14" s="33">
        <v>-10.56</v>
      </c>
      <c r="AC14" s="33">
        <v>-41.82</v>
      </c>
      <c r="AD14" s="33">
        <v>194.94</v>
      </c>
      <c r="AE14" s="33">
        <v>-194.94</v>
      </c>
      <c r="AG14" s="28" t="s">
        <v>374</v>
      </c>
      <c r="AH14" s="33">
        <v>27514.3</v>
      </c>
      <c r="AI14" s="33">
        <v>19440.5</v>
      </c>
      <c r="AJ14" s="33">
        <v>175.6</v>
      </c>
      <c r="AK14" s="33">
        <v>117</v>
      </c>
      <c r="AL14" s="33">
        <v>211.9</v>
      </c>
      <c r="AM14" s="33">
        <v>152.80000000000001</v>
      </c>
      <c r="AO14" s="6" t="s">
        <v>252</v>
      </c>
      <c r="AP14" s="34">
        <f>SUM(AP6,AP8:AP13)</f>
        <v>21435</v>
      </c>
      <c r="AQ14" s="34">
        <f t="shared" ref="AQ14:AU14" si="2">SUM(AQ6,AQ8:AQ13)</f>
        <v>30819</v>
      </c>
      <c r="AR14" s="34">
        <f t="shared" si="2"/>
        <v>38046</v>
      </c>
      <c r="AS14" s="34">
        <f t="shared" si="2"/>
        <v>47157</v>
      </c>
      <c r="AT14" s="34">
        <f t="shared" si="2"/>
        <v>52449</v>
      </c>
      <c r="AU14" s="34">
        <f t="shared" si="2"/>
        <v>60356</v>
      </c>
    </row>
    <row r="15" spans="1:47" x14ac:dyDescent="0.3">
      <c r="A15" s="28" t="s">
        <v>389</v>
      </c>
      <c r="B15" s="33">
        <v>493.5</v>
      </c>
      <c r="C15" s="33">
        <v>260.7</v>
      </c>
      <c r="D15" s="33">
        <v>114.5</v>
      </c>
      <c r="E15" s="33">
        <v>79.7</v>
      </c>
      <c r="F15" s="33">
        <v>82.3</v>
      </c>
      <c r="G15" s="33">
        <v>39.6</v>
      </c>
      <c r="I15" s="28" t="s">
        <v>254</v>
      </c>
      <c r="J15" s="33">
        <v>61</v>
      </c>
      <c r="K15" s="33">
        <v>-106.9</v>
      </c>
      <c r="L15" s="33">
        <v>253.1</v>
      </c>
      <c r="M15" s="33">
        <v>-49.4</v>
      </c>
      <c r="N15" s="33">
        <v>-91.1</v>
      </c>
      <c r="O15" s="33">
        <v>-481.7</v>
      </c>
      <c r="Q15" s="28" t="s">
        <v>295</v>
      </c>
      <c r="R15" s="33">
        <v>12.51</v>
      </c>
      <c r="S15" s="33">
        <v>83.16</v>
      </c>
      <c r="T15" s="33">
        <v>-50.1</v>
      </c>
      <c r="U15" s="33">
        <v>2.06</v>
      </c>
      <c r="V15" s="33">
        <v>0</v>
      </c>
      <c r="W15" s="33">
        <v>0</v>
      </c>
      <c r="Y15" s="28" t="s">
        <v>329</v>
      </c>
      <c r="Z15" s="33">
        <v>18.010000000000002</v>
      </c>
      <c r="AA15" s="33">
        <v>47.33</v>
      </c>
      <c r="AB15" s="33">
        <v>2.71</v>
      </c>
      <c r="AC15" s="33">
        <v>46.46</v>
      </c>
      <c r="AD15" s="33">
        <v>54.3</v>
      </c>
      <c r="AE15" s="33">
        <v>132.55000000000001</v>
      </c>
      <c r="AG15" s="28" t="s">
        <v>216</v>
      </c>
      <c r="AH15" s="33">
        <v>3887.1</v>
      </c>
      <c r="AI15" s="33">
        <v>502.7</v>
      </c>
      <c r="AJ15" s="33">
        <v>47.9</v>
      </c>
      <c r="AK15" s="33">
        <v>8.6</v>
      </c>
      <c r="AL15" s="33">
        <v>-47.8</v>
      </c>
      <c r="AM15" s="33">
        <v>-49.9</v>
      </c>
      <c r="AO15" s="85" t="s">
        <v>209</v>
      </c>
      <c r="AP15" s="82"/>
      <c r="AQ15" s="82"/>
      <c r="AR15" s="82"/>
      <c r="AS15" s="82"/>
      <c r="AT15" s="82"/>
      <c r="AU15" s="82"/>
    </row>
    <row r="16" spans="1:47" x14ac:dyDescent="0.3">
      <c r="A16" s="6" t="s">
        <v>247</v>
      </c>
      <c r="B16" s="34">
        <f t="shared" ref="B16:G16" si="3">SUM(B3,B5:B15)</f>
        <v>20739.399999999994</v>
      </c>
      <c r="C16" s="34">
        <f t="shared" si="3"/>
        <v>28609.8</v>
      </c>
      <c r="D16" s="34">
        <f t="shared" si="3"/>
        <v>34231.599999999991</v>
      </c>
      <c r="E16" s="34">
        <f t="shared" si="3"/>
        <v>44424.9</v>
      </c>
      <c r="F16" s="34">
        <f t="shared" si="3"/>
        <v>79365.2</v>
      </c>
      <c r="G16" s="34">
        <f t="shared" si="3"/>
        <v>94388.9</v>
      </c>
      <c r="I16" s="28" t="s">
        <v>255</v>
      </c>
      <c r="J16" s="33">
        <v>-187.3</v>
      </c>
      <c r="K16" s="33">
        <v>2425.1</v>
      </c>
      <c r="L16" s="33">
        <v>-3099.2</v>
      </c>
      <c r="M16" s="33">
        <v>-3118.4</v>
      </c>
      <c r="N16" s="33">
        <v>0</v>
      </c>
      <c r="O16" s="33">
        <v>-7.6</v>
      </c>
      <c r="Q16" s="28" t="s">
        <v>296</v>
      </c>
      <c r="R16" s="33">
        <v>-27.66</v>
      </c>
      <c r="S16" s="33">
        <v>-26.43</v>
      </c>
      <c r="T16" s="33">
        <v>-23.37</v>
      </c>
      <c r="U16" s="33">
        <v>-29.59</v>
      </c>
      <c r="V16" s="33">
        <v>-37.93</v>
      </c>
      <c r="W16" s="33">
        <v>-49.21</v>
      </c>
      <c r="Y16" s="28" t="s">
        <v>330</v>
      </c>
      <c r="Z16" s="33">
        <v>64.900000000000006</v>
      </c>
      <c r="AA16" s="33">
        <v>20.02</v>
      </c>
      <c r="AB16" s="33">
        <v>0</v>
      </c>
      <c r="AC16" s="33">
        <v>-11.52</v>
      </c>
      <c r="AD16" s="33">
        <v>40.58</v>
      </c>
      <c r="AE16" s="33">
        <v>129.07</v>
      </c>
      <c r="AG16" s="28" t="s">
        <v>217</v>
      </c>
      <c r="AH16" s="33">
        <v>159.6</v>
      </c>
      <c r="AI16" s="33">
        <v>0</v>
      </c>
      <c r="AJ16" s="33">
        <v>-7</v>
      </c>
      <c r="AK16" s="33">
        <v>-17.5</v>
      </c>
      <c r="AL16" s="33">
        <v>-74.3</v>
      </c>
      <c r="AM16" s="33">
        <v>-110.7</v>
      </c>
      <c r="AO16" s="28" t="s">
        <v>410</v>
      </c>
      <c r="AP16" s="33">
        <v>-6805</v>
      </c>
      <c r="AQ16" s="33">
        <v>813</v>
      </c>
      <c r="AR16" s="33">
        <v>-6367</v>
      </c>
      <c r="AS16" s="33">
        <v>-2349</v>
      </c>
      <c r="AT16" s="33">
        <v>-208</v>
      </c>
      <c r="AU16" s="33">
        <v>3285</v>
      </c>
    </row>
    <row r="17" spans="1:47" x14ac:dyDescent="0.3">
      <c r="A17" s="26" t="s">
        <v>223</v>
      </c>
      <c r="B17" s="46"/>
      <c r="C17" s="46"/>
      <c r="D17" s="46"/>
      <c r="E17" s="46"/>
      <c r="F17" s="46"/>
      <c r="G17" s="46"/>
      <c r="I17" s="28" t="s">
        <v>256</v>
      </c>
      <c r="J17" s="33">
        <v>-228.1</v>
      </c>
      <c r="K17" s="33">
        <v>-11.1</v>
      </c>
      <c r="L17" s="33">
        <v>-11</v>
      </c>
      <c r="M17" s="33">
        <v>-220.8</v>
      </c>
      <c r="N17" s="33">
        <v>-1505.2</v>
      </c>
      <c r="O17" s="33">
        <v>6770</v>
      </c>
      <c r="Q17" s="6" t="s">
        <v>297</v>
      </c>
      <c r="R17" s="34">
        <f>SUM(R3,R5:R16)</f>
        <v>305.69</v>
      </c>
      <c r="S17" s="34">
        <f t="shared" ref="S17:W17" si="4">SUM(S3,S5:S16)</f>
        <v>359.30999999999989</v>
      </c>
      <c r="T17" s="34">
        <f t="shared" si="4"/>
        <v>295.13999999999993</v>
      </c>
      <c r="U17" s="34">
        <f t="shared" si="4"/>
        <v>317.27000000000004</v>
      </c>
      <c r="V17" s="34">
        <f t="shared" si="4"/>
        <v>364.59</v>
      </c>
      <c r="W17" s="34">
        <f t="shared" si="4"/>
        <v>413.82000000000005</v>
      </c>
      <c r="Y17" s="28" t="s">
        <v>331</v>
      </c>
      <c r="Z17" s="33">
        <v>30.23</v>
      </c>
      <c r="AA17" s="33">
        <v>15.09</v>
      </c>
      <c r="AB17" s="33">
        <v>0.52</v>
      </c>
      <c r="AC17" s="33">
        <v>-0.8</v>
      </c>
      <c r="AD17" s="33">
        <v>0</v>
      </c>
      <c r="AE17" s="33">
        <v>102.95</v>
      </c>
      <c r="AG17" s="28" t="s">
        <v>218</v>
      </c>
      <c r="AH17" s="33">
        <v>0</v>
      </c>
      <c r="AI17" s="33">
        <v>724.6</v>
      </c>
      <c r="AJ17" s="33">
        <v>-105.7</v>
      </c>
      <c r="AK17" s="33">
        <v>-276.10000000000002</v>
      </c>
      <c r="AL17" s="33">
        <v>-43.3</v>
      </c>
      <c r="AM17" s="33">
        <v>-970.3</v>
      </c>
      <c r="AO17" s="28" t="s">
        <v>411</v>
      </c>
      <c r="AP17" s="33">
        <v>3119</v>
      </c>
      <c r="AQ17" s="33">
        <v>1110</v>
      </c>
      <c r="AR17" s="33">
        <v>303</v>
      </c>
      <c r="AS17" s="33">
        <v>2490</v>
      </c>
      <c r="AT17" s="33">
        <v>3205</v>
      </c>
      <c r="AU17" s="33">
        <v>2510</v>
      </c>
    </row>
    <row r="18" spans="1:47" x14ac:dyDescent="0.3">
      <c r="A18" s="28" t="s">
        <v>33</v>
      </c>
      <c r="B18" s="33">
        <v>-631.5</v>
      </c>
      <c r="C18" s="33">
        <v>451</v>
      </c>
      <c r="D18" s="33">
        <v>168.8</v>
      </c>
      <c r="E18" s="33">
        <v>373.8</v>
      </c>
      <c r="F18" s="33">
        <v>-1494.1</v>
      </c>
      <c r="G18" s="33">
        <v>2965.8</v>
      </c>
      <c r="I18" s="28" t="s">
        <v>257</v>
      </c>
      <c r="J18" s="33">
        <v>7.7</v>
      </c>
      <c r="K18" s="33">
        <v>-19.3</v>
      </c>
      <c r="L18" s="33">
        <v>36.200000000000003</v>
      </c>
      <c r="M18" s="33">
        <v>5.0999999999999996</v>
      </c>
      <c r="N18" s="33">
        <v>-14.8</v>
      </c>
      <c r="O18" s="33">
        <v>-1.8</v>
      </c>
      <c r="Q18" s="28" t="s">
        <v>298</v>
      </c>
      <c r="R18" s="33">
        <v>-151.18</v>
      </c>
      <c r="S18" s="33">
        <v>-268.39999999999998</v>
      </c>
      <c r="T18" s="33">
        <v>-51.36</v>
      </c>
      <c r="U18" s="33">
        <v>-340.88</v>
      </c>
      <c r="V18" s="33">
        <v>-280.91000000000003</v>
      </c>
      <c r="W18" s="33">
        <v>-977.32</v>
      </c>
      <c r="Y18" s="28" t="s">
        <v>332</v>
      </c>
      <c r="Z18" s="33">
        <v>5.92</v>
      </c>
      <c r="AA18" s="33">
        <v>22.1</v>
      </c>
      <c r="AB18" s="33">
        <v>-29.42</v>
      </c>
      <c r="AC18" s="33">
        <v>-28.4</v>
      </c>
      <c r="AD18" s="33">
        <v>6.06</v>
      </c>
      <c r="AE18" s="33">
        <v>11.16</v>
      </c>
      <c r="AG18" s="28" t="s">
        <v>134</v>
      </c>
      <c r="AH18" s="33">
        <v>15392</v>
      </c>
      <c r="AI18" s="33">
        <v>17998.099999999999</v>
      </c>
      <c r="AJ18" s="33">
        <v>0</v>
      </c>
      <c r="AK18" s="33">
        <v>0</v>
      </c>
      <c r="AL18" s="33">
        <v>-23.9</v>
      </c>
      <c r="AM18" s="33">
        <v>-19.2</v>
      </c>
      <c r="AO18" s="6" t="s">
        <v>260</v>
      </c>
      <c r="AP18" s="34">
        <f>SUM(AP14,AP16:AP17)</f>
        <v>17749</v>
      </c>
      <c r="AQ18" s="34">
        <f t="shared" ref="AQ18:AU18" si="5">SUM(AQ14,AQ16:AQ17)</f>
        <v>32742</v>
      </c>
      <c r="AR18" s="34">
        <f t="shared" si="5"/>
        <v>31982</v>
      </c>
      <c r="AS18" s="34">
        <f t="shared" si="5"/>
        <v>47298</v>
      </c>
      <c r="AT18" s="34">
        <f t="shared" si="5"/>
        <v>55446</v>
      </c>
      <c r="AU18" s="34">
        <f t="shared" si="5"/>
        <v>66151</v>
      </c>
    </row>
    <row r="19" spans="1:47" x14ac:dyDescent="0.3">
      <c r="A19" s="28" t="s">
        <v>113</v>
      </c>
      <c r="B19" s="33">
        <v>-718.4</v>
      </c>
      <c r="C19" s="33">
        <v>351.6</v>
      </c>
      <c r="D19" s="33">
        <v>1472</v>
      </c>
      <c r="E19" s="33">
        <v>-1103.3</v>
      </c>
      <c r="F19" s="33">
        <v>639.79999999999995</v>
      </c>
      <c r="G19" s="33">
        <v>858.6</v>
      </c>
      <c r="I19" s="28" t="s">
        <v>258</v>
      </c>
      <c r="J19" s="33">
        <v>-98.3</v>
      </c>
      <c r="K19" s="33">
        <v>-339.6</v>
      </c>
      <c r="L19" s="33">
        <v>-55.7</v>
      </c>
      <c r="M19" s="33">
        <v>-28.7</v>
      </c>
      <c r="N19" s="33">
        <v>15.6</v>
      </c>
      <c r="O19" s="33">
        <v>18.2</v>
      </c>
      <c r="Q19" s="28" t="s">
        <v>299</v>
      </c>
      <c r="R19" s="33">
        <v>22.31</v>
      </c>
      <c r="S19" s="33">
        <v>21.4</v>
      </c>
      <c r="T19" s="33">
        <v>28.59</v>
      </c>
      <c r="U19" s="33">
        <v>-67.08</v>
      </c>
      <c r="V19" s="33">
        <v>20.43</v>
      </c>
      <c r="W19" s="33">
        <v>-146.69</v>
      </c>
      <c r="Y19" s="28" t="s">
        <v>333</v>
      </c>
      <c r="Z19" s="33">
        <v>3.45</v>
      </c>
      <c r="AA19" s="33">
        <v>0.28999999999999998</v>
      </c>
      <c r="AB19" s="33">
        <v>-16.48</v>
      </c>
      <c r="AC19" s="33">
        <v>-17.809999999999999</v>
      </c>
      <c r="AD19" s="33">
        <v>4.63</v>
      </c>
      <c r="AE19" s="33">
        <v>28.35</v>
      </c>
      <c r="AG19" s="28" t="s">
        <v>219</v>
      </c>
      <c r="AH19" s="33">
        <v>-28.5</v>
      </c>
      <c r="AI19" s="33">
        <v>8.9</v>
      </c>
      <c r="AJ19" s="33">
        <v>0</v>
      </c>
      <c r="AK19" s="33">
        <v>0</v>
      </c>
      <c r="AL19" s="33">
        <v>0</v>
      </c>
      <c r="AM19" s="33">
        <v>-1.3</v>
      </c>
      <c r="AO19" s="28" t="s">
        <v>412</v>
      </c>
      <c r="AP19" s="33">
        <v>-1167</v>
      </c>
      <c r="AQ19" s="33">
        <v>-138</v>
      </c>
      <c r="AR19" s="33">
        <v>-134</v>
      </c>
      <c r="AS19" s="33">
        <v>1344</v>
      </c>
      <c r="AT19" s="33">
        <v>-105</v>
      </c>
      <c r="AU19" s="33">
        <v>57</v>
      </c>
    </row>
    <row r="20" spans="1:47" x14ac:dyDescent="0.3">
      <c r="A20" s="28" t="s">
        <v>32</v>
      </c>
      <c r="B20" s="33">
        <v>2.9</v>
      </c>
      <c r="C20" s="33">
        <v>15</v>
      </c>
      <c r="D20" s="33">
        <v>-11.3</v>
      </c>
      <c r="E20" s="33">
        <v>-2</v>
      </c>
      <c r="F20" s="33">
        <v>-77.099999999999994</v>
      </c>
      <c r="G20" s="33">
        <v>-141.6</v>
      </c>
      <c r="I20" s="28" t="s">
        <v>259</v>
      </c>
      <c r="J20" s="33">
        <v>-125.6</v>
      </c>
      <c r="K20" s="33">
        <v>7.9</v>
      </c>
      <c r="L20" s="33">
        <v>-1051</v>
      </c>
      <c r="M20" s="33">
        <v>-42.6</v>
      </c>
      <c r="N20" s="33">
        <f>814.8+186.2</f>
        <v>1001</v>
      </c>
      <c r="O20" s="33">
        <f>303+224.8</f>
        <v>527.79999999999995</v>
      </c>
      <c r="Q20" s="28" t="s">
        <v>300</v>
      </c>
      <c r="R20" s="33">
        <v>139.53</v>
      </c>
      <c r="S20" s="33">
        <v>134.15</v>
      </c>
      <c r="T20" s="33">
        <v>102.34</v>
      </c>
      <c r="U20" s="33">
        <v>177.33</v>
      </c>
      <c r="V20" s="33">
        <v>341.62</v>
      </c>
      <c r="W20" s="33">
        <v>741.74</v>
      </c>
      <c r="Y20" s="28" t="s">
        <v>334</v>
      </c>
      <c r="Z20" s="33">
        <v>-25.53</v>
      </c>
      <c r="AA20" s="33">
        <v>-44.54</v>
      </c>
      <c r="AB20" s="33">
        <v>0</v>
      </c>
      <c r="AC20" s="33">
        <v>0</v>
      </c>
      <c r="AD20" s="33">
        <v>4.1100000000000003</v>
      </c>
      <c r="AE20" s="33">
        <v>5</v>
      </c>
      <c r="AG20" s="28" t="s">
        <v>220</v>
      </c>
      <c r="AH20" s="33">
        <v>533.20000000000005</v>
      </c>
      <c r="AI20" s="33">
        <v>387.3</v>
      </c>
      <c r="AJ20" s="33">
        <v>0</v>
      </c>
      <c r="AK20" s="33">
        <v>0</v>
      </c>
      <c r="AL20" s="33">
        <v>0</v>
      </c>
      <c r="AM20" s="33">
        <v>0</v>
      </c>
      <c r="AO20" s="6" t="s">
        <v>413</v>
      </c>
      <c r="AP20" s="34">
        <f>AP18+AP19</f>
        <v>16582</v>
      </c>
      <c r="AQ20" s="34">
        <f t="shared" ref="AQ20:AU20" si="6">AQ18+AQ19</f>
        <v>32604</v>
      </c>
      <c r="AR20" s="34">
        <f t="shared" si="6"/>
        <v>31848</v>
      </c>
      <c r="AS20" s="34">
        <f t="shared" si="6"/>
        <v>48642</v>
      </c>
      <c r="AT20" s="34">
        <f t="shared" si="6"/>
        <v>55341</v>
      </c>
      <c r="AU20" s="34">
        <f t="shared" si="6"/>
        <v>66208</v>
      </c>
    </row>
    <row r="21" spans="1:47" x14ac:dyDescent="0.3">
      <c r="A21" s="28" t="s">
        <v>50</v>
      </c>
      <c r="B21" s="33">
        <v>-12146</v>
      </c>
      <c r="C21" s="33">
        <v>-6686.1</v>
      </c>
      <c r="D21" s="33">
        <v>376.4</v>
      </c>
      <c r="E21" s="33">
        <v>342.2</v>
      </c>
      <c r="F21" s="33">
        <v>1733.2</v>
      </c>
      <c r="G21" s="33">
        <v>2269.9</v>
      </c>
      <c r="I21" s="6" t="s">
        <v>260</v>
      </c>
      <c r="J21" s="34">
        <f>SUM(J13:J20)</f>
        <v>2861.5999999999995</v>
      </c>
      <c r="K21" s="34">
        <f t="shared" ref="K21:O21" si="7">SUM(K13:K20)</f>
        <v>8559.9</v>
      </c>
      <c r="L21" s="34">
        <f t="shared" si="7"/>
        <v>11034.100000000002</v>
      </c>
      <c r="M21" s="34">
        <f t="shared" si="7"/>
        <v>10124.000000000002</v>
      </c>
      <c r="N21" s="34">
        <f t="shared" si="7"/>
        <v>13452.099999999999</v>
      </c>
      <c r="O21" s="34">
        <f t="shared" si="7"/>
        <v>21519.600000000002</v>
      </c>
      <c r="Q21" s="28" t="s">
        <v>301</v>
      </c>
      <c r="R21" s="33">
        <v>-52.17</v>
      </c>
      <c r="S21" s="33">
        <v>99</v>
      </c>
      <c r="T21" s="33">
        <v>-38.08</v>
      </c>
      <c r="U21" s="33">
        <v>150.88999999999999</v>
      </c>
      <c r="V21" s="33">
        <v>225.88</v>
      </c>
      <c r="W21" s="33">
        <v>116.12</v>
      </c>
      <c r="Y21" s="28" t="s">
        <v>335</v>
      </c>
      <c r="Z21" s="33">
        <v>0</v>
      </c>
      <c r="AA21" s="33">
        <v>-20.93</v>
      </c>
      <c r="AB21" s="33">
        <v>0</v>
      </c>
      <c r="AC21" s="33">
        <v>0</v>
      </c>
      <c r="AD21" s="33">
        <f>-24.2-8.33-3.9</f>
        <v>-36.43</v>
      </c>
      <c r="AE21" s="33">
        <f>-26.44-38.35+8.14</f>
        <v>-56.650000000000006</v>
      </c>
      <c r="AG21" s="28" t="s">
        <v>221</v>
      </c>
      <c r="AH21" s="33">
        <v>-196</v>
      </c>
      <c r="AI21" s="33">
        <v>-43.7</v>
      </c>
      <c r="AJ21" s="33">
        <v>0</v>
      </c>
      <c r="AK21" s="33">
        <v>0</v>
      </c>
      <c r="AL21" s="33">
        <v>0</v>
      </c>
      <c r="AM21" s="33">
        <v>0</v>
      </c>
      <c r="AO21" s="85" t="s">
        <v>229</v>
      </c>
      <c r="AP21" s="82"/>
      <c r="AQ21" s="82"/>
      <c r="AR21" s="82"/>
      <c r="AS21" s="82"/>
      <c r="AT21" s="82"/>
      <c r="AU21" s="82"/>
    </row>
    <row r="22" spans="1:47" x14ac:dyDescent="0.3">
      <c r="A22" s="28" t="s">
        <v>390</v>
      </c>
      <c r="B22" s="33">
        <v>964.6</v>
      </c>
      <c r="C22" s="33">
        <v>1069.2</v>
      </c>
      <c r="D22" s="33">
        <v>-237.2</v>
      </c>
      <c r="E22" s="33">
        <v>613.79999999999995</v>
      </c>
      <c r="F22" s="33">
        <v>4151.6000000000004</v>
      </c>
      <c r="G22" s="33">
        <v>4815.3999999999996</v>
      </c>
      <c r="I22" s="28" t="s">
        <v>261</v>
      </c>
      <c r="J22" s="33">
        <v>-546.5</v>
      </c>
      <c r="K22" s="33">
        <v>-1078.8</v>
      </c>
      <c r="L22" s="33">
        <v>-1912.9</v>
      </c>
      <c r="M22" s="33">
        <v>-2219.1999999999998</v>
      </c>
      <c r="N22" s="33">
        <v>-1870</v>
      </c>
      <c r="O22" s="33">
        <v>-1874.6</v>
      </c>
      <c r="Q22" s="28" t="s">
        <v>302</v>
      </c>
      <c r="R22" s="33">
        <v>-21.52</v>
      </c>
      <c r="S22" s="33">
        <v>16.190000000000001</v>
      </c>
      <c r="T22" s="33">
        <v>-6.14</v>
      </c>
      <c r="U22" s="33">
        <v>7.09</v>
      </c>
      <c r="V22" s="33">
        <v>-50.31</v>
      </c>
      <c r="W22" s="33">
        <v>52.04</v>
      </c>
      <c r="Y22" s="6" t="s">
        <v>336</v>
      </c>
      <c r="Z22" s="34">
        <f>SUM(Z4,Z6:Z21)</f>
        <v>3055.3099999999995</v>
      </c>
      <c r="AA22" s="34">
        <f t="shared" ref="AA22:AE22" si="8">SUM(AA4,AA6:AA21)</f>
        <v>4228.8600000000006</v>
      </c>
      <c r="AB22" s="34">
        <f t="shared" si="8"/>
        <v>4520.2900000000009</v>
      </c>
      <c r="AC22" s="34">
        <f t="shared" si="8"/>
        <v>4643.2800000000007</v>
      </c>
      <c r="AD22" s="34">
        <f t="shared" si="8"/>
        <v>4502.1499999999996</v>
      </c>
      <c r="AE22" s="34">
        <f t="shared" si="8"/>
        <v>4760.130000000001</v>
      </c>
      <c r="AG22" s="28" t="s">
        <v>222</v>
      </c>
      <c r="AH22" s="33">
        <v>-22.9</v>
      </c>
      <c r="AI22" s="33">
        <v>-4.5999999999999996</v>
      </c>
      <c r="AJ22" s="33">
        <v>0</v>
      </c>
      <c r="AK22" s="33">
        <v>0</v>
      </c>
      <c r="AL22" s="33">
        <v>0</v>
      </c>
      <c r="AM22" s="33">
        <v>0</v>
      </c>
      <c r="AO22" s="28" t="s">
        <v>378</v>
      </c>
      <c r="AP22" s="33">
        <v>-51771</v>
      </c>
      <c r="AQ22" s="33">
        <v>-26116</v>
      </c>
      <c r="AR22" s="33">
        <v>-29511</v>
      </c>
      <c r="AS22" s="33">
        <v>-33905</v>
      </c>
      <c r="AT22" s="33">
        <v>-49016</v>
      </c>
      <c r="AU22" s="33">
        <v>-41622</v>
      </c>
    </row>
    <row r="23" spans="1:47" x14ac:dyDescent="0.3">
      <c r="A23" s="28" t="s">
        <v>391</v>
      </c>
      <c r="B23" s="33">
        <v>-3875.4</v>
      </c>
      <c r="C23" s="33">
        <v>10715.5</v>
      </c>
      <c r="D23" s="33">
        <v>420.6</v>
      </c>
      <c r="E23" s="33">
        <v>-877.8</v>
      </c>
      <c r="F23" s="33">
        <v>-2539.8000000000002</v>
      </c>
      <c r="G23" s="33">
        <v>-2386.8000000000002</v>
      </c>
      <c r="I23" s="6" t="s">
        <v>262</v>
      </c>
      <c r="J23" s="34">
        <f>J21+J22</f>
        <v>2315.0999999999995</v>
      </c>
      <c r="K23" s="34">
        <f t="shared" ref="K23:O23" si="9">K21+K22</f>
        <v>7481.0999999999995</v>
      </c>
      <c r="L23" s="34">
        <f t="shared" si="9"/>
        <v>9121.2000000000025</v>
      </c>
      <c r="M23" s="34">
        <f t="shared" si="9"/>
        <v>7904.800000000002</v>
      </c>
      <c r="N23" s="34">
        <f t="shared" si="9"/>
        <v>11582.099999999999</v>
      </c>
      <c r="O23" s="34">
        <f t="shared" si="9"/>
        <v>19645.000000000004</v>
      </c>
      <c r="Q23" s="28" t="s">
        <v>303</v>
      </c>
      <c r="R23" s="33">
        <v>-0.62</v>
      </c>
      <c r="S23" s="33">
        <v>-9.26</v>
      </c>
      <c r="T23" s="33">
        <v>-1.1399999999999999</v>
      </c>
      <c r="U23" s="33">
        <v>-5.9</v>
      </c>
      <c r="V23" s="33">
        <v>-16.82</v>
      </c>
      <c r="W23" s="33">
        <v>-25.17</v>
      </c>
      <c r="Y23" s="85" t="s">
        <v>337</v>
      </c>
      <c r="Z23" s="82"/>
      <c r="AA23" s="82"/>
      <c r="AB23" s="82"/>
      <c r="AC23" s="82"/>
      <c r="AD23" s="82"/>
      <c r="AE23" s="82"/>
      <c r="AG23" s="28" t="s">
        <v>122</v>
      </c>
      <c r="AH23" s="33">
        <v>-1025.8</v>
      </c>
      <c r="AI23" s="33">
        <v>-163.6</v>
      </c>
      <c r="AJ23" s="33">
        <v>0</v>
      </c>
      <c r="AK23" s="33">
        <v>0</v>
      </c>
      <c r="AL23" s="33">
        <v>0</v>
      </c>
      <c r="AM23" s="33">
        <v>0</v>
      </c>
      <c r="AO23" s="28" t="s">
        <v>414</v>
      </c>
      <c r="AP23" s="33">
        <v>967</v>
      </c>
      <c r="AQ23" s="33">
        <v>369</v>
      </c>
      <c r="AR23" s="33">
        <v>31</v>
      </c>
      <c r="AS23" s="33">
        <v>94</v>
      </c>
      <c r="AT23" s="33">
        <v>94</v>
      </c>
      <c r="AU23" s="33">
        <v>78</v>
      </c>
    </row>
    <row r="24" spans="1:47" x14ac:dyDescent="0.3">
      <c r="A24" s="6" t="s">
        <v>226</v>
      </c>
      <c r="B24" s="34">
        <f>SUM(B16,B18:B23)</f>
        <v>4335.5999999999949</v>
      </c>
      <c r="C24" s="34">
        <f t="shared" ref="C24:G24" si="10">SUM(C16,C18:C23)</f>
        <v>34526</v>
      </c>
      <c r="D24" s="34">
        <f t="shared" si="10"/>
        <v>36420.899999999994</v>
      </c>
      <c r="E24" s="34">
        <f t="shared" si="10"/>
        <v>43771.6</v>
      </c>
      <c r="F24" s="34">
        <f t="shared" si="10"/>
        <v>81778.799999999988</v>
      </c>
      <c r="G24" s="34">
        <f t="shared" si="10"/>
        <v>102770.19999999998</v>
      </c>
      <c r="I24" s="26" t="s">
        <v>229</v>
      </c>
      <c r="J24" s="46"/>
      <c r="K24" s="46"/>
      <c r="L24" s="46"/>
      <c r="M24" s="46"/>
      <c r="N24" s="46"/>
      <c r="O24" s="46"/>
      <c r="Q24" s="28" t="s">
        <v>304</v>
      </c>
      <c r="R24" s="33">
        <v>-0.09</v>
      </c>
      <c r="S24" s="33">
        <v>17.73</v>
      </c>
      <c r="T24" s="33">
        <v>10.9</v>
      </c>
      <c r="U24" s="33">
        <v>15.34</v>
      </c>
      <c r="V24" s="33">
        <v>-26.36</v>
      </c>
      <c r="W24" s="33">
        <v>59.29</v>
      </c>
      <c r="Y24" s="28" t="s">
        <v>32</v>
      </c>
      <c r="Z24" s="33">
        <v>-6.32</v>
      </c>
      <c r="AA24" s="33">
        <v>31.51</v>
      </c>
      <c r="AB24" s="33">
        <v>-5.41</v>
      </c>
      <c r="AC24" s="33">
        <v>-120.87</v>
      </c>
      <c r="AD24" s="33">
        <v>75.42</v>
      </c>
      <c r="AE24" s="33">
        <v>-78.73</v>
      </c>
      <c r="AG24" s="6" t="s">
        <v>383</v>
      </c>
      <c r="AH24" s="34">
        <f>SUM(AH4,AH6:AH23)</f>
        <v>14166.600000000004</v>
      </c>
      <c r="AI24" s="34">
        <f t="shared" ref="AI24:AM24" si="11">SUM(AI4,AI6:AI23)</f>
        <v>16293.899999999996</v>
      </c>
      <c r="AJ24" s="34">
        <f t="shared" si="11"/>
        <v>16258.199999999997</v>
      </c>
      <c r="AK24" s="34">
        <f t="shared" si="11"/>
        <v>16896.3</v>
      </c>
      <c r="AL24" s="34">
        <f t="shared" si="11"/>
        <v>17213.2</v>
      </c>
      <c r="AM24" s="34">
        <f t="shared" si="11"/>
        <v>18070.7</v>
      </c>
      <c r="AO24" s="28" t="s">
        <v>415</v>
      </c>
      <c r="AP24" s="33">
        <v>-16439</v>
      </c>
      <c r="AQ24" s="33">
        <v>0</v>
      </c>
      <c r="AR24" s="33">
        <v>-19306</v>
      </c>
      <c r="AS24" s="33">
        <v>0</v>
      </c>
      <c r="AT24" s="33">
        <v>-4423</v>
      </c>
      <c r="AU24" s="33">
        <v>-4574</v>
      </c>
    </row>
    <row r="25" spans="1:47" x14ac:dyDescent="0.3">
      <c r="A25" s="28" t="s">
        <v>261</v>
      </c>
      <c r="B25" s="33">
        <v>-309.2</v>
      </c>
      <c r="C25" s="33">
        <v>-133.69999999999999</v>
      </c>
      <c r="D25" s="33">
        <v>333.5</v>
      </c>
      <c r="E25" s="33">
        <v>-189</v>
      </c>
      <c r="F25" s="33">
        <v>-2880.6</v>
      </c>
      <c r="G25" s="33">
        <v>-4438</v>
      </c>
      <c r="I25" s="28" t="s">
        <v>263</v>
      </c>
      <c r="J25" s="33">
        <v>-829.8</v>
      </c>
      <c r="K25" s="33">
        <v>-2118.4</v>
      </c>
      <c r="L25" s="33">
        <v>-3285.1</v>
      </c>
      <c r="M25" s="33">
        <v>-3622.6</v>
      </c>
      <c r="N25" s="33">
        <v>-8952.9</v>
      </c>
      <c r="O25" s="33">
        <v>-6784</v>
      </c>
      <c r="Q25" s="28" t="s">
        <v>305</v>
      </c>
      <c r="R25" s="33">
        <v>-30.36</v>
      </c>
      <c r="S25" s="33">
        <v>23.58</v>
      </c>
      <c r="T25" s="33">
        <v>-42.16</v>
      </c>
      <c r="U25" s="33">
        <v>6.48</v>
      </c>
      <c r="V25" s="33">
        <v>-21.7</v>
      </c>
      <c r="W25" s="33">
        <v>37.58</v>
      </c>
      <c r="Y25" s="28" t="s">
        <v>338</v>
      </c>
      <c r="Z25" s="33">
        <v>-205.15</v>
      </c>
      <c r="AA25" s="33">
        <v>515.76</v>
      </c>
      <c r="AB25" s="33">
        <v>52.67</v>
      </c>
      <c r="AC25" s="33">
        <v>-67.819999999999993</v>
      </c>
      <c r="AD25" s="33">
        <v>-303.24</v>
      </c>
      <c r="AE25" s="33">
        <v>-465.06</v>
      </c>
      <c r="AG25" s="85" t="s">
        <v>223</v>
      </c>
      <c r="AH25" s="82"/>
      <c r="AI25" s="82"/>
      <c r="AJ25" s="82"/>
      <c r="AK25" s="82"/>
      <c r="AL25" s="82"/>
      <c r="AM25" s="82"/>
      <c r="AO25" s="28" t="s">
        <v>416</v>
      </c>
      <c r="AP25" s="33">
        <v>-102638</v>
      </c>
      <c r="AQ25" s="33">
        <v>-93806</v>
      </c>
      <c r="AR25" s="33">
        <v>-71362</v>
      </c>
      <c r="AS25" s="33">
        <v>-107695</v>
      </c>
      <c r="AT25" s="33">
        <v>-89154</v>
      </c>
      <c r="AU25" s="33">
        <v>-150048</v>
      </c>
    </row>
    <row r="26" spans="1:47" x14ac:dyDescent="0.3">
      <c r="A26" s="6" t="s">
        <v>228</v>
      </c>
      <c r="B26" s="34">
        <f>B24+B25</f>
        <v>4026.3999999999951</v>
      </c>
      <c r="C26" s="34">
        <f t="shared" ref="C26:G26" si="12">C24+C25</f>
        <v>34392.300000000003</v>
      </c>
      <c r="D26" s="34">
        <f t="shared" si="12"/>
        <v>36754.399999999994</v>
      </c>
      <c r="E26" s="34">
        <f t="shared" si="12"/>
        <v>43582.6</v>
      </c>
      <c r="F26" s="34">
        <f t="shared" si="12"/>
        <v>78898.199999999983</v>
      </c>
      <c r="G26" s="34">
        <f t="shared" si="12"/>
        <v>98332.199999999983</v>
      </c>
      <c r="I26" s="28" t="s">
        <v>264</v>
      </c>
      <c r="J26" s="33">
        <v>101</v>
      </c>
      <c r="K26" s="33">
        <v>166.6</v>
      </c>
      <c r="L26" s="33">
        <v>415.4</v>
      </c>
      <c r="M26" s="33">
        <v>454.5</v>
      </c>
      <c r="N26" s="33">
        <v>506.4</v>
      </c>
      <c r="O26" s="33">
        <v>526.9</v>
      </c>
      <c r="Q26" s="6" t="s">
        <v>306</v>
      </c>
      <c r="R26" s="34">
        <f>SUM(R17:R25)</f>
        <v>211.58999999999997</v>
      </c>
      <c r="S26" s="34">
        <f t="shared" ref="S26:W26" si="13">SUM(S17:S25)</f>
        <v>393.69999999999993</v>
      </c>
      <c r="T26" s="34">
        <f t="shared" si="13"/>
        <v>298.08999999999992</v>
      </c>
      <c r="U26" s="34">
        <f t="shared" si="13"/>
        <v>260.54000000000002</v>
      </c>
      <c r="V26" s="34">
        <f t="shared" si="13"/>
        <v>556.41999999999985</v>
      </c>
      <c r="W26" s="34">
        <f t="shared" si="13"/>
        <v>271.40999999999997</v>
      </c>
      <c r="Y26" s="28" t="s">
        <v>339</v>
      </c>
      <c r="Z26" s="33">
        <v>-145.22999999999999</v>
      </c>
      <c r="AA26" s="33">
        <v>70.2</v>
      </c>
      <c r="AB26" s="33">
        <v>-23.18</v>
      </c>
      <c r="AC26" s="33">
        <v>178.22</v>
      </c>
      <c r="AD26" s="33">
        <v>-232.81</v>
      </c>
      <c r="AE26" s="33">
        <v>-446.47</v>
      </c>
      <c r="AG26" s="28" t="s">
        <v>375</v>
      </c>
      <c r="AH26" s="33">
        <v>-80.7</v>
      </c>
      <c r="AI26" s="33">
        <v>313.60000000000002</v>
      </c>
      <c r="AJ26" s="33">
        <v>-38.299999999999997</v>
      </c>
      <c r="AK26" s="33">
        <v>184.7</v>
      </c>
      <c r="AL26" s="33">
        <v>-170.7</v>
      </c>
      <c r="AM26" s="33">
        <v>103.5</v>
      </c>
      <c r="AO26" s="28" t="s">
        <v>417</v>
      </c>
      <c r="AP26" s="33">
        <v>101503</v>
      </c>
      <c r="AQ26" s="33">
        <v>95240</v>
      </c>
      <c r="AR26" s="33">
        <v>71282</v>
      </c>
      <c r="AS26" s="33">
        <v>107814</v>
      </c>
      <c r="AT26" s="33">
        <v>87599</v>
      </c>
      <c r="AU26" s="33">
        <v>133816</v>
      </c>
    </row>
    <row r="27" spans="1:47" x14ac:dyDescent="0.3">
      <c r="A27" s="26" t="s">
        <v>229</v>
      </c>
      <c r="B27" s="41"/>
      <c r="C27" s="41"/>
      <c r="D27" s="41"/>
      <c r="E27" s="41"/>
      <c r="F27" s="41"/>
      <c r="G27" s="41"/>
      <c r="I27" s="28" t="s">
        <v>265</v>
      </c>
      <c r="J27" s="33">
        <v>-8016.2</v>
      </c>
      <c r="K27" s="33">
        <v>-9832.9</v>
      </c>
      <c r="L27" s="33">
        <v>-10553.5</v>
      </c>
      <c r="M27" s="33">
        <v>-19504</v>
      </c>
      <c r="N27" s="33">
        <v>-15757.2</v>
      </c>
      <c r="O27" s="33">
        <v>-31911.4</v>
      </c>
      <c r="Q27" s="28" t="s">
        <v>261</v>
      </c>
      <c r="R27" s="33">
        <v>-38.270000000000003</v>
      </c>
      <c r="S27" s="33">
        <v>-44.93</v>
      </c>
      <c r="T27" s="33">
        <v>-48.33</v>
      </c>
      <c r="U27" s="33">
        <v>-31</v>
      </c>
      <c r="V27" s="33">
        <v>-26.8</v>
      </c>
      <c r="W27" s="33">
        <v>-37.79</v>
      </c>
      <c r="Y27" s="28" t="s">
        <v>113</v>
      </c>
      <c r="Z27" s="33">
        <v>-25.5</v>
      </c>
      <c r="AA27" s="33">
        <v>-554.66999999999996</v>
      </c>
      <c r="AB27" s="33">
        <v>-296.7</v>
      </c>
      <c r="AC27" s="33">
        <v>133.09</v>
      </c>
      <c r="AD27" s="33">
        <v>-424.9</v>
      </c>
      <c r="AE27" s="33">
        <v>-213.01</v>
      </c>
      <c r="AG27" s="28" t="s">
        <v>224</v>
      </c>
      <c r="AH27" s="33">
        <v>1.7</v>
      </c>
      <c r="AI27" s="33">
        <v>1.9</v>
      </c>
      <c r="AJ27" s="33">
        <v>-1.7</v>
      </c>
      <c r="AK27" s="33">
        <v>-14</v>
      </c>
      <c r="AL27" s="33">
        <v>15.1</v>
      </c>
      <c r="AM27" s="33">
        <v>0.1</v>
      </c>
      <c r="AO27" s="28" t="s">
        <v>296</v>
      </c>
      <c r="AP27" s="33">
        <v>10</v>
      </c>
      <c r="AQ27" s="33">
        <v>7</v>
      </c>
      <c r="AR27" s="33">
        <v>6</v>
      </c>
      <c r="AS27" s="33">
        <v>13</v>
      </c>
      <c r="AT27" s="33">
        <v>84</v>
      </c>
      <c r="AU27" s="33">
        <v>789</v>
      </c>
    </row>
    <row r="28" spans="1:47" x14ac:dyDescent="0.3">
      <c r="A28" s="28" t="s">
        <v>392</v>
      </c>
      <c r="B28" s="33">
        <v>-11434.2</v>
      </c>
      <c r="C28" s="33">
        <v>-14766.6</v>
      </c>
      <c r="D28" s="33">
        <v>-16736.7</v>
      </c>
      <c r="E28" s="33">
        <v>-16173.8</v>
      </c>
      <c r="F28" s="33">
        <v>-38191.5</v>
      </c>
      <c r="G28" s="33">
        <v>-37907.699999999997</v>
      </c>
      <c r="I28" s="28" t="s">
        <v>266</v>
      </c>
      <c r="J28" s="33">
        <v>6407.8</v>
      </c>
      <c r="K28" s="33">
        <v>13126.8</v>
      </c>
      <c r="L28" s="33">
        <v>11192.6</v>
      </c>
      <c r="M28" s="33">
        <v>20886.400000000001</v>
      </c>
      <c r="N28" s="33">
        <v>15763.9</v>
      </c>
      <c r="O28" s="33">
        <v>30496.7</v>
      </c>
      <c r="Q28" s="6" t="s">
        <v>307</v>
      </c>
      <c r="R28" s="34">
        <f>R26+R27</f>
        <v>173.31999999999996</v>
      </c>
      <c r="S28" s="34">
        <f t="shared" ref="S28:W28" si="14">S26+S27</f>
        <v>348.76999999999992</v>
      </c>
      <c r="T28" s="34">
        <f t="shared" si="14"/>
        <v>249.75999999999993</v>
      </c>
      <c r="U28" s="34">
        <f t="shared" si="14"/>
        <v>229.54000000000002</v>
      </c>
      <c r="V28" s="34">
        <f t="shared" si="14"/>
        <v>529.61999999999989</v>
      </c>
      <c r="W28" s="34">
        <f t="shared" si="14"/>
        <v>233.61999999999998</v>
      </c>
      <c r="Y28" s="28" t="s">
        <v>340</v>
      </c>
      <c r="Z28" s="33">
        <v>8.34</v>
      </c>
      <c r="AA28" s="33">
        <v>-553.58000000000004</v>
      </c>
      <c r="AB28" s="33">
        <v>-160.1</v>
      </c>
      <c r="AC28" s="33">
        <v>-180.9</v>
      </c>
      <c r="AD28" s="33">
        <v>-179.55</v>
      </c>
      <c r="AE28" s="33">
        <v>226.54</v>
      </c>
      <c r="AG28" s="28" t="s">
        <v>376</v>
      </c>
      <c r="AH28" s="33">
        <v>-2806.7</v>
      </c>
      <c r="AI28" s="33">
        <v>-683.6</v>
      </c>
      <c r="AJ28" s="33">
        <v>-3005.1</v>
      </c>
      <c r="AK28" s="33">
        <v>1062.5999999999999</v>
      </c>
      <c r="AL28" s="33">
        <v>1117.4000000000001</v>
      </c>
      <c r="AM28" s="33">
        <v>-5081.8</v>
      </c>
      <c r="AO28" s="28" t="s">
        <v>418</v>
      </c>
      <c r="AP28" s="33">
        <v>-2</v>
      </c>
      <c r="AQ28" s="33">
        <v>-4</v>
      </c>
      <c r="AR28" s="33">
        <v>2</v>
      </c>
      <c r="AS28" s="33">
        <v>2</v>
      </c>
      <c r="AT28" s="33">
        <v>8</v>
      </c>
      <c r="AU28" s="33">
        <v>-10</v>
      </c>
    </row>
    <row r="29" spans="1:47" x14ac:dyDescent="0.3">
      <c r="A29" s="28" t="s">
        <v>431</v>
      </c>
      <c r="B29" s="33">
        <v>487.2</v>
      </c>
      <c r="C29" s="33">
        <v>82.1</v>
      </c>
      <c r="D29" s="33">
        <v>89</v>
      </c>
      <c r="E29" s="33">
        <v>82.7</v>
      </c>
      <c r="F29" s="33">
        <v>122.8</v>
      </c>
      <c r="G29" s="33">
        <v>338.2</v>
      </c>
      <c r="I29" s="28" t="s">
        <v>267</v>
      </c>
      <c r="J29" s="33">
        <v>946.7</v>
      </c>
      <c r="K29" s="33">
        <v>0</v>
      </c>
      <c r="L29" s="33">
        <v>0</v>
      </c>
      <c r="M29" s="33">
        <v>0</v>
      </c>
      <c r="N29" s="33">
        <v>275</v>
      </c>
      <c r="O29" s="33">
        <v>0</v>
      </c>
      <c r="Q29" s="85" t="s">
        <v>229</v>
      </c>
      <c r="R29" s="82"/>
      <c r="S29" s="82"/>
      <c r="T29" s="82"/>
      <c r="U29" s="82"/>
      <c r="V29" s="82"/>
      <c r="W29" s="82"/>
      <c r="Y29" s="28" t="s">
        <v>50</v>
      </c>
      <c r="Z29" s="33">
        <v>2.79</v>
      </c>
      <c r="AA29" s="33">
        <v>-25.85</v>
      </c>
      <c r="AB29" s="33">
        <v>-39.07</v>
      </c>
      <c r="AC29" s="33">
        <v>-20.38</v>
      </c>
      <c r="AD29" s="33">
        <v>-40.49</v>
      </c>
      <c r="AE29" s="33">
        <v>-20.72</v>
      </c>
      <c r="AG29" s="28" t="s">
        <v>225</v>
      </c>
      <c r="AH29" s="33">
        <v>-1097.4000000000001</v>
      </c>
      <c r="AI29" s="33">
        <v>552.20000000000005</v>
      </c>
      <c r="AJ29" s="33">
        <v>-343.2</v>
      </c>
      <c r="AK29" s="33">
        <v>-247.7</v>
      </c>
      <c r="AL29" s="33">
        <v>-1057.7</v>
      </c>
      <c r="AM29" s="33">
        <v>-3440</v>
      </c>
      <c r="AO29" s="6" t="s">
        <v>419</v>
      </c>
      <c r="AP29" s="34">
        <f>SUM(AP22:AP28)</f>
        <v>-68370</v>
      </c>
      <c r="AQ29" s="34">
        <f t="shared" ref="AQ29:AU29" si="15">SUM(AQ22:AQ28)</f>
        <v>-24310</v>
      </c>
      <c r="AR29" s="34">
        <f t="shared" si="15"/>
        <v>-48858</v>
      </c>
      <c r="AS29" s="34">
        <f t="shared" si="15"/>
        <v>-33677</v>
      </c>
      <c r="AT29" s="34">
        <f t="shared" si="15"/>
        <v>-54808</v>
      </c>
      <c r="AU29" s="34">
        <f t="shared" si="15"/>
        <v>-61571</v>
      </c>
    </row>
    <row r="30" spans="1:47" x14ac:dyDescent="0.3">
      <c r="A30" s="28" t="s">
        <v>393</v>
      </c>
      <c r="B30" s="33">
        <v>-441.1</v>
      </c>
      <c r="C30" s="33">
        <v>-382.5</v>
      </c>
      <c r="D30" s="33">
        <v>-677.8</v>
      </c>
      <c r="E30" s="33">
        <v>-282.60000000000002</v>
      </c>
      <c r="F30" s="33">
        <v>-1860</v>
      </c>
      <c r="G30" s="33">
        <v>-1772.2</v>
      </c>
      <c r="I30" s="28" t="s">
        <v>268</v>
      </c>
      <c r="J30" s="33">
        <v>293.8</v>
      </c>
      <c r="K30" s="33">
        <v>0</v>
      </c>
      <c r="L30" s="33">
        <v>0</v>
      </c>
      <c r="M30" s="33">
        <v>0</v>
      </c>
      <c r="N30" s="33">
        <v>0</v>
      </c>
      <c r="O30" s="33">
        <v>-1828.8</v>
      </c>
      <c r="Q30" s="28" t="s">
        <v>308</v>
      </c>
      <c r="R30" s="33">
        <v>-61.74</v>
      </c>
      <c r="S30" s="33">
        <v>-89.36</v>
      </c>
      <c r="T30" s="33">
        <v>-115.82</v>
      </c>
      <c r="U30" s="33">
        <v>-177.07</v>
      </c>
      <c r="V30" s="33">
        <v>-209.67</v>
      </c>
      <c r="W30" s="33">
        <v>-325.05</v>
      </c>
      <c r="Y30" s="28" t="s">
        <v>341</v>
      </c>
      <c r="Z30" s="33">
        <v>119.78</v>
      </c>
      <c r="AA30" s="33">
        <v>-35.979999999999997</v>
      </c>
      <c r="AB30" s="33">
        <v>66.63</v>
      </c>
      <c r="AC30" s="33">
        <v>23.51</v>
      </c>
      <c r="AD30" s="33">
        <v>5.16</v>
      </c>
      <c r="AE30" s="33">
        <v>-13.86</v>
      </c>
      <c r="AG30" s="28" t="s">
        <v>377</v>
      </c>
      <c r="AH30" s="33">
        <v>-5262.4</v>
      </c>
      <c r="AI30" s="33">
        <v>-1628.6</v>
      </c>
      <c r="AJ30" s="33">
        <v>3047.6</v>
      </c>
      <c r="AK30" s="33">
        <v>-358.1</v>
      </c>
      <c r="AL30" s="33">
        <v>738.4</v>
      </c>
      <c r="AM30" s="33">
        <v>-837.4</v>
      </c>
      <c r="AO30" s="26" t="s">
        <v>236</v>
      </c>
      <c r="AP30" s="41"/>
      <c r="AQ30" s="41"/>
      <c r="AR30" s="41"/>
      <c r="AS30" s="41"/>
      <c r="AT30" s="41"/>
      <c r="AU30" s="41"/>
    </row>
    <row r="31" spans="1:47" x14ac:dyDescent="0.3">
      <c r="A31" s="28" t="s">
        <v>394</v>
      </c>
      <c r="B31" s="33">
        <v>-1542.4</v>
      </c>
      <c r="C31" s="33">
        <v>-6241.2</v>
      </c>
      <c r="D31" s="33">
        <v>-17444.2</v>
      </c>
      <c r="E31" s="33">
        <v>-8312.4</v>
      </c>
      <c r="F31" s="33">
        <v>-12154.7</v>
      </c>
      <c r="G31" s="33">
        <v>-21348.7</v>
      </c>
      <c r="I31" s="28" t="s">
        <v>269</v>
      </c>
      <c r="J31" s="33">
        <v>-0.7</v>
      </c>
      <c r="K31" s="33">
        <v>-4.2</v>
      </c>
      <c r="L31" s="33">
        <v>-1.6</v>
      </c>
      <c r="M31" s="33">
        <v>-2.1</v>
      </c>
      <c r="N31" s="33">
        <v>-2.8</v>
      </c>
      <c r="O31" s="33">
        <v>2.8</v>
      </c>
      <c r="Q31" s="28" t="s">
        <v>309</v>
      </c>
      <c r="R31" s="33">
        <v>-15.41</v>
      </c>
      <c r="S31" s="33">
        <v>0</v>
      </c>
      <c r="T31" s="33">
        <v>0.55000000000000004</v>
      </c>
      <c r="U31" s="33">
        <v>0.66</v>
      </c>
      <c r="V31" s="33">
        <v>3.61</v>
      </c>
      <c r="W31" s="33">
        <v>2.5</v>
      </c>
      <c r="Y31" s="6" t="s">
        <v>342</v>
      </c>
      <c r="Z31" s="34">
        <f>SUM(Z22,Z24:Z30)</f>
        <v>2804.0199999999995</v>
      </c>
      <c r="AA31" s="34">
        <f t="shared" ref="AA31:AE31" si="16">SUM(AA22,AA24:AA30)</f>
        <v>3676.2500000000009</v>
      </c>
      <c r="AB31" s="34">
        <f t="shared" si="16"/>
        <v>4115.130000000001</v>
      </c>
      <c r="AC31" s="34">
        <f t="shared" si="16"/>
        <v>4588.1300000000019</v>
      </c>
      <c r="AD31" s="34">
        <f t="shared" si="16"/>
        <v>3401.74</v>
      </c>
      <c r="AE31" s="34">
        <f t="shared" si="16"/>
        <v>3748.8200000000006</v>
      </c>
      <c r="AG31" s="6" t="s">
        <v>226</v>
      </c>
      <c r="AH31" s="34">
        <f>SUM(AH24,AH26:AH30)</f>
        <v>4921.1000000000058</v>
      </c>
      <c r="AI31" s="34">
        <f t="shared" ref="AI31:AM31" si="17">SUM(AI24,AI26:AI30)</f>
        <v>14849.399999999996</v>
      </c>
      <c r="AJ31" s="34">
        <f t="shared" si="17"/>
        <v>15917.499999999996</v>
      </c>
      <c r="AK31" s="34">
        <f t="shared" si="17"/>
        <v>17523.8</v>
      </c>
      <c r="AL31" s="34">
        <f t="shared" si="17"/>
        <v>17855.7</v>
      </c>
      <c r="AM31" s="34">
        <f t="shared" si="17"/>
        <v>8815.1</v>
      </c>
      <c r="AO31" s="28" t="s">
        <v>420</v>
      </c>
      <c r="AP31" s="33">
        <v>125000</v>
      </c>
      <c r="AQ31" s="33">
        <v>0</v>
      </c>
      <c r="AR31" s="33">
        <v>0</v>
      </c>
      <c r="AS31" s="33">
        <v>0</v>
      </c>
      <c r="AT31" s="33">
        <v>0</v>
      </c>
      <c r="AU31" s="33">
        <v>0</v>
      </c>
    </row>
    <row r="32" spans="1:47" x14ac:dyDescent="0.3">
      <c r="A32" s="28" t="s">
        <v>395</v>
      </c>
      <c r="B32" s="33">
        <v>-6545.5</v>
      </c>
      <c r="C32" s="33">
        <v>5187.5</v>
      </c>
      <c r="D32" s="33">
        <v>1004.8</v>
      </c>
      <c r="E32" s="33">
        <v>0</v>
      </c>
      <c r="F32" s="33">
        <v>1901.5</v>
      </c>
      <c r="G32" s="33">
        <v>710</v>
      </c>
      <c r="I32" s="28" t="s">
        <v>270</v>
      </c>
      <c r="J32" s="33">
        <v>0</v>
      </c>
      <c r="K32" s="33">
        <v>0.6</v>
      </c>
      <c r="L32" s="33">
        <v>0</v>
      </c>
      <c r="M32" s="33">
        <v>0</v>
      </c>
      <c r="N32" s="33">
        <v>0</v>
      </c>
      <c r="O32" s="33">
        <v>0</v>
      </c>
      <c r="Q32" s="28" t="s">
        <v>310</v>
      </c>
      <c r="R32" s="33">
        <v>7.01</v>
      </c>
      <c r="S32" s="33">
        <v>0</v>
      </c>
      <c r="T32" s="33">
        <v>154.37</v>
      </c>
      <c r="U32" s="33">
        <v>-103.41</v>
      </c>
      <c r="V32" s="33">
        <v>-96.79</v>
      </c>
      <c r="W32" s="33">
        <v>-93.73</v>
      </c>
      <c r="Y32" s="28" t="s">
        <v>343</v>
      </c>
      <c r="Z32" s="33">
        <v>-279.26</v>
      </c>
      <c r="AA32" s="33">
        <v>-496.42</v>
      </c>
      <c r="AB32" s="33">
        <v>88.69</v>
      </c>
      <c r="AC32" s="33">
        <v>-203.78</v>
      </c>
      <c r="AD32" s="33">
        <v>-219.74</v>
      </c>
      <c r="AE32" s="33">
        <v>-838.01</v>
      </c>
      <c r="AG32" s="28" t="s">
        <v>227</v>
      </c>
      <c r="AH32" s="33">
        <v>2406.4</v>
      </c>
      <c r="AI32" s="33">
        <v>790.3</v>
      </c>
      <c r="AJ32" s="33">
        <v>1469.5</v>
      </c>
      <c r="AK32" s="33">
        <v>1344.9</v>
      </c>
      <c r="AL32" s="33">
        <v>2970.4</v>
      </c>
      <c r="AM32" s="33">
        <v>475.5</v>
      </c>
      <c r="AO32" s="28" t="s">
        <v>421</v>
      </c>
      <c r="AP32" s="33">
        <v>8343</v>
      </c>
      <c r="AQ32" s="33">
        <v>421</v>
      </c>
      <c r="AR32" s="33">
        <v>24447</v>
      </c>
      <c r="AS32" s="33">
        <v>9288</v>
      </c>
      <c r="AT32" s="33">
        <v>23626</v>
      </c>
      <c r="AU32" s="33">
        <v>10737</v>
      </c>
    </row>
    <row r="33" spans="1:47" x14ac:dyDescent="0.3">
      <c r="A33" s="28" t="s">
        <v>428</v>
      </c>
      <c r="B33" s="33">
        <v>0</v>
      </c>
      <c r="C33" s="33">
        <v>0</v>
      </c>
      <c r="D33" s="33">
        <v>66.3</v>
      </c>
      <c r="E33" s="33">
        <v>0</v>
      </c>
      <c r="F33" s="33">
        <v>0</v>
      </c>
      <c r="G33" s="33">
        <v>0</v>
      </c>
      <c r="I33" s="28" t="s">
        <v>234</v>
      </c>
      <c r="J33" s="33">
        <v>85.2</v>
      </c>
      <c r="K33" s="33">
        <v>39.200000000000003</v>
      </c>
      <c r="L33" s="33">
        <v>58.5</v>
      </c>
      <c r="M33" s="33">
        <v>57.8</v>
      </c>
      <c r="N33" s="33">
        <v>626.1</v>
      </c>
      <c r="O33" s="33">
        <v>284.10000000000002</v>
      </c>
      <c r="Q33" s="28" t="s">
        <v>311</v>
      </c>
      <c r="R33" s="33">
        <v>27.8</v>
      </c>
      <c r="S33" s="33">
        <v>15.56</v>
      </c>
      <c r="T33" s="33">
        <v>37</v>
      </c>
      <c r="U33" s="33">
        <v>18.88</v>
      </c>
      <c r="V33" s="33">
        <v>29.28</v>
      </c>
      <c r="W33" s="33">
        <v>50.34</v>
      </c>
      <c r="Y33" s="6" t="s">
        <v>344</v>
      </c>
      <c r="Z33" s="34">
        <f>Z31+Z32</f>
        <v>2524.7599999999993</v>
      </c>
      <c r="AA33" s="34">
        <f t="shared" ref="AA33:AE33" si="18">AA31+AA32</f>
        <v>3179.8300000000008</v>
      </c>
      <c r="AB33" s="34">
        <f t="shared" si="18"/>
        <v>4203.8200000000006</v>
      </c>
      <c r="AC33" s="34">
        <f t="shared" si="18"/>
        <v>4384.3500000000022</v>
      </c>
      <c r="AD33" s="34">
        <f t="shared" si="18"/>
        <v>3182</v>
      </c>
      <c r="AE33" s="34">
        <f t="shared" si="18"/>
        <v>2910.8100000000004</v>
      </c>
      <c r="AG33" s="6" t="s">
        <v>228</v>
      </c>
      <c r="AH33" s="34">
        <f>AH31+AH32</f>
        <v>7327.5000000000055</v>
      </c>
      <c r="AI33" s="34">
        <f t="shared" ref="AI33:AM33" si="19">AI31+AI32</f>
        <v>15639.699999999995</v>
      </c>
      <c r="AJ33" s="34">
        <f t="shared" si="19"/>
        <v>17386.999999999996</v>
      </c>
      <c r="AK33" s="34">
        <f t="shared" si="19"/>
        <v>18868.7</v>
      </c>
      <c r="AL33" s="34">
        <f t="shared" si="19"/>
        <v>20826.100000000002</v>
      </c>
      <c r="AM33" s="34">
        <f t="shared" si="19"/>
        <v>9290.6</v>
      </c>
      <c r="AO33" s="28" t="s">
        <v>422</v>
      </c>
      <c r="AP33" s="33">
        <v>-14770</v>
      </c>
      <c r="AQ33" s="33">
        <v>0</v>
      </c>
      <c r="AR33" s="33">
        <v>-159</v>
      </c>
      <c r="AS33" s="33">
        <v>-8499</v>
      </c>
      <c r="AT33" s="33">
        <v>-2613</v>
      </c>
      <c r="AU33" s="33">
        <v>-8798</v>
      </c>
    </row>
    <row r="34" spans="1:47" x14ac:dyDescent="0.3">
      <c r="A34" s="28" t="s">
        <v>429</v>
      </c>
      <c r="B34" s="33">
        <v>0</v>
      </c>
      <c r="C34" s="33">
        <v>0</v>
      </c>
      <c r="D34" s="33">
        <v>3119.5</v>
      </c>
      <c r="E34" s="33">
        <v>-2523.8000000000002</v>
      </c>
      <c r="F34" s="33">
        <v>-30.4</v>
      </c>
      <c r="G34" s="33">
        <v>-73.400000000000006</v>
      </c>
      <c r="I34" s="28" t="s">
        <v>271</v>
      </c>
      <c r="J34" s="33">
        <v>0</v>
      </c>
      <c r="K34" s="33">
        <v>420</v>
      </c>
      <c r="L34" s="33">
        <v>0</v>
      </c>
      <c r="M34" s="33">
        <v>0</v>
      </c>
      <c r="N34" s="33">
        <v>-4.7</v>
      </c>
      <c r="O34" s="33">
        <v>-1696.8</v>
      </c>
      <c r="Q34" s="28" t="s">
        <v>312</v>
      </c>
      <c r="R34" s="33">
        <v>0.92</v>
      </c>
      <c r="S34" s="33">
        <v>2.25</v>
      </c>
      <c r="T34" s="33">
        <v>2.66</v>
      </c>
      <c r="U34" s="33">
        <v>1.49</v>
      </c>
      <c r="V34" s="33">
        <v>0.37</v>
      </c>
      <c r="W34" s="33">
        <v>-0.57999999999999996</v>
      </c>
      <c r="Y34" s="26" t="s">
        <v>229</v>
      </c>
      <c r="Z34" s="46"/>
      <c r="AA34" s="46"/>
      <c r="AB34" s="46"/>
      <c r="AC34" s="46"/>
      <c r="AD34" s="46"/>
      <c r="AE34" s="46"/>
      <c r="AG34" s="26" t="s">
        <v>229</v>
      </c>
      <c r="AH34" s="46"/>
      <c r="AI34" s="46"/>
      <c r="AJ34" s="46"/>
      <c r="AK34" s="46"/>
      <c r="AL34" s="46"/>
      <c r="AM34" s="46"/>
      <c r="AO34" s="28" t="s">
        <v>423</v>
      </c>
      <c r="AP34" s="33">
        <v>-66987</v>
      </c>
      <c r="AQ34" s="33">
        <v>0</v>
      </c>
      <c r="AR34" s="33">
        <v>0</v>
      </c>
      <c r="AS34" s="33">
        <v>0</v>
      </c>
      <c r="AT34" s="33">
        <v>0</v>
      </c>
      <c r="AU34" s="33">
        <v>0</v>
      </c>
    </row>
    <row r="35" spans="1:47" x14ac:dyDescent="0.3">
      <c r="A35" s="28" t="s">
        <v>432</v>
      </c>
      <c r="B35" s="33">
        <v>0</v>
      </c>
      <c r="C35" s="33">
        <v>0</v>
      </c>
      <c r="D35" s="33">
        <v>0</v>
      </c>
      <c r="E35" s="33">
        <v>0</v>
      </c>
      <c r="F35" s="33">
        <v>-642.79999999999995</v>
      </c>
      <c r="G35" s="33">
        <v>0</v>
      </c>
      <c r="I35" s="6" t="s">
        <v>272</v>
      </c>
      <c r="J35" s="34">
        <f>SUM(J25:J34)</f>
        <v>-1012.1999999999998</v>
      </c>
      <c r="K35" s="34">
        <f t="shared" ref="K35:O35" si="20">SUM(K25:K34)</f>
        <v>1797.6999999999985</v>
      </c>
      <c r="L35" s="34">
        <f t="shared" si="20"/>
        <v>-2173.7000000000003</v>
      </c>
      <c r="M35" s="34">
        <f t="shared" si="20"/>
        <v>-1729.999999999997</v>
      </c>
      <c r="N35" s="34">
        <f t="shared" si="20"/>
        <v>-7546.2000000000007</v>
      </c>
      <c r="O35" s="34">
        <f t="shared" si="20"/>
        <v>-10910.499999999998</v>
      </c>
      <c r="Q35" s="28" t="s">
        <v>313</v>
      </c>
      <c r="R35" s="33">
        <v>-6.56</v>
      </c>
      <c r="S35" s="33">
        <v>-51.17</v>
      </c>
      <c r="T35" s="33">
        <v>-287.39</v>
      </c>
      <c r="U35" s="33">
        <v>109.28</v>
      </c>
      <c r="V35" s="33">
        <v>-145.86000000000001</v>
      </c>
      <c r="W35" s="33">
        <v>284.22000000000003</v>
      </c>
      <c r="Y35" s="28" t="s">
        <v>345</v>
      </c>
      <c r="Z35" s="33">
        <v>-1680.98</v>
      </c>
      <c r="AA35" s="33">
        <v>-1363.63</v>
      </c>
      <c r="AB35" s="33">
        <v>-1656.44</v>
      </c>
      <c r="AC35" s="33">
        <v>-1493.14</v>
      </c>
      <c r="AD35" s="33">
        <v>-2082.34</v>
      </c>
      <c r="AE35" s="33">
        <v>-2205.59</v>
      </c>
      <c r="AG35" s="28" t="s">
        <v>378</v>
      </c>
      <c r="AH35" s="33">
        <v>-7966.2</v>
      </c>
      <c r="AI35" s="33">
        <v>-4709.7</v>
      </c>
      <c r="AJ35" s="33">
        <v>-6008.9</v>
      </c>
      <c r="AK35" s="33">
        <v>-3942.2</v>
      </c>
      <c r="AL35" s="33">
        <v>-1613.9</v>
      </c>
      <c r="AM35" s="33">
        <v>-10005</v>
      </c>
      <c r="AO35" s="28" t="s">
        <v>424</v>
      </c>
      <c r="AP35" s="33">
        <v>19641</v>
      </c>
      <c r="AQ35" s="33">
        <v>-12467</v>
      </c>
      <c r="AR35" s="33">
        <v>7062</v>
      </c>
      <c r="AS35" s="33">
        <v>-7382</v>
      </c>
      <c r="AT35" s="33">
        <v>-3796</v>
      </c>
      <c r="AU35" s="33">
        <v>15240</v>
      </c>
    </row>
    <row r="36" spans="1:47" x14ac:dyDescent="0.3">
      <c r="A36" s="28" t="s">
        <v>433</v>
      </c>
      <c r="B36" s="33">
        <v>0</v>
      </c>
      <c r="C36" s="33">
        <v>0</v>
      </c>
      <c r="D36" s="33">
        <v>0</v>
      </c>
      <c r="E36" s="33">
        <v>0</v>
      </c>
      <c r="F36" s="33">
        <v>0</v>
      </c>
      <c r="G36" s="33">
        <v>-6.9</v>
      </c>
      <c r="I36" s="26" t="s">
        <v>236</v>
      </c>
      <c r="J36" s="46"/>
      <c r="K36" s="46"/>
      <c r="L36" s="46"/>
      <c r="M36" s="46"/>
      <c r="N36" s="46"/>
      <c r="O36" s="46"/>
      <c r="Q36" s="6" t="s">
        <v>314</v>
      </c>
      <c r="R36" s="34">
        <f>SUM(R30:R35)</f>
        <v>-47.980000000000004</v>
      </c>
      <c r="S36" s="34">
        <f t="shared" ref="S36:W36" si="21">SUM(S30:S35)</f>
        <v>-122.72</v>
      </c>
      <c r="T36" s="34">
        <f t="shared" si="21"/>
        <v>-208.63</v>
      </c>
      <c r="U36" s="34">
        <f t="shared" si="21"/>
        <v>-150.16999999999999</v>
      </c>
      <c r="V36" s="34">
        <f t="shared" si="21"/>
        <v>-419.05999999999995</v>
      </c>
      <c r="W36" s="34">
        <f t="shared" si="21"/>
        <v>-82.300000000000011</v>
      </c>
      <c r="Y36" s="28" t="s">
        <v>346</v>
      </c>
      <c r="Z36" s="33">
        <v>176.79</v>
      </c>
      <c r="AA36" s="33">
        <v>9.11</v>
      </c>
      <c r="AB36" s="33">
        <v>6.2</v>
      </c>
      <c r="AC36" s="33">
        <v>8.1199999999999992</v>
      </c>
      <c r="AD36" s="33">
        <v>34.229999999999997</v>
      </c>
      <c r="AE36" s="33">
        <v>33.99</v>
      </c>
      <c r="AG36" s="28" t="s">
        <v>379</v>
      </c>
      <c r="AH36" s="33">
        <v>0</v>
      </c>
      <c r="AI36" s="33">
        <v>-574.70000000000005</v>
      </c>
      <c r="AJ36" s="33">
        <v>-103.5</v>
      </c>
      <c r="AK36" s="33">
        <v>-1680</v>
      </c>
      <c r="AL36" s="33">
        <v>0</v>
      </c>
      <c r="AM36" s="33">
        <v>-331.5</v>
      </c>
      <c r="AO36" s="28" t="s">
        <v>425</v>
      </c>
      <c r="AP36" s="33">
        <v>-1370</v>
      </c>
      <c r="AQ36" s="33">
        <v>-2</v>
      </c>
      <c r="AR36" s="33">
        <v>0</v>
      </c>
      <c r="AS36" s="33">
        <v>0</v>
      </c>
      <c r="AT36" s="33">
        <v>0</v>
      </c>
      <c r="AU36" s="33">
        <v>0</v>
      </c>
    </row>
    <row r="37" spans="1:47" x14ac:dyDescent="0.3">
      <c r="A37" s="28" t="s">
        <v>434</v>
      </c>
      <c r="B37" s="33">
        <v>0</v>
      </c>
      <c r="C37" s="33">
        <v>0</v>
      </c>
      <c r="D37" s="33">
        <v>0</v>
      </c>
      <c r="E37" s="33">
        <v>0</v>
      </c>
      <c r="F37" s="33">
        <v>0</v>
      </c>
      <c r="G37" s="33">
        <v>102.3</v>
      </c>
      <c r="I37" s="28" t="s">
        <v>273</v>
      </c>
      <c r="J37" s="33">
        <v>2385.3000000000002</v>
      </c>
      <c r="K37" s="33">
        <v>14964</v>
      </c>
      <c r="L37" s="33">
        <v>16242.2</v>
      </c>
      <c r="M37" s="33">
        <v>12931.5</v>
      </c>
      <c r="N37" s="33">
        <v>8555.7999999999993</v>
      </c>
      <c r="O37" s="33">
        <v>6258.4</v>
      </c>
      <c r="Q37" s="85" t="s">
        <v>236</v>
      </c>
      <c r="R37" s="82"/>
      <c r="S37" s="82"/>
      <c r="T37" s="82"/>
      <c r="U37" s="82"/>
      <c r="V37" s="82"/>
      <c r="W37" s="82"/>
      <c r="Y37" s="28" t="s">
        <v>347</v>
      </c>
      <c r="Z37" s="33">
        <v>3.55</v>
      </c>
      <c r="AA37" s="33">
        <v>11.36</v>
      </c>
      <c r="AB37" s="33">
        <v>3.44</v>
      </c>
      <c r="AC37" s="33">
        <v>41.67</v>
      </c>
      <c r="AD37" s="33">
        <v>10.5</v>
      </c>
      <c r="AE37" s="33">
        <v>6.21</v>
      </c>
      <c r="AG37" s="28" t="s">
        <v>230</v>
      </c>
      <c r="AH37" s="33">
        <v>-397.8</v>
      </c>
      <c r="AI37" s="33">
        <v>0</v>
      </c>
      <c r="AJ37" s="33">
        <v>120.7</v>
      </c>
      <c r="AK37" s="33">
        <v>85.7</v>
      </c>
      <c r="AL37" s="33">
        <v>-448.3</v>
      </c>
      <c r="AM37" s="33">
        <v>-503.7</v>
      </c>
      <c r="AO37" s="28" t="s">
        <v>362</v>
      </c>
      <c r="AP37" s="33">
        <v>-672</v>
      </c>
      <c r="AQ37" s="33">
        <v>-789</v>
      </c>
      <c r="AR37" s="33">
        <v>-1458</v>
      </c>
      <c r="AS37" s="33">
        <v>-4067</v>
      </c>
      <c r="AT37" s="33">
        <v>-3657</v>
      </c>
      <c r="AU37" s="33">
        <v>-3547</v>
      </c>
    </row>
    <row r="38" spans="1:47" x14ac:dyDescent="0.3">
      <c r="A38" s="28" t="s">
        <v>435</v>
      </c>
      <c r="B38" s="33">
        <v>0</v>
      </c>
      <c r="C38" s="33">
        <v>0</v>
      </c>
      <c r="D38" s="33">
        <v>0</v>
      </c>
      <c r="E38" s="33">
        <v>0</v>
      </c>
      <c r="F38" s="33">
        <v>0</v>
      </c>
      <c r="G38" s="33">
        <v>4.5</v>
      </c>
      <c r="I38" s="28" t="s">
        <v>274</v>
      </c>
      <c r="J38" s="33">
        <v>0</v>
      </c>
      <c r="K38" s="33">
        <v>-13332.5</v>
      </c>
      <c r="L38" s="33">
        <v>-18914.400000000001</v>
      </c>
      <c r="M38" s="33">
        <v>-13698.4</v>
      </c>
      <c r="N38" s="33">
        <v>-8958.4</v>
      </c>
      <c r="O38" s="33">
        <v>-8309.1</v>
      </c>
      <c r="Q38" s="28" t="s">
        <v>315</v>
      </c>
      <c r="R38" s="33">
        <v>-6.67</v>
      </c>
      <c r="S38" s="33">
        <v>-9.4499999999999993</v>
      </c>
      <c r="T38" s="33">
        <v>-9.09</v>
      </c>
      <c r="U38" s="33">
        <v>-9.51</v>
      </c>
      <c r="V38" s="33">
        <v>-11.63</v>
      </c>
      <c r="W38" s="33">
        <v>-21.19</v>
      </c>
      <c r="Y38" s="28" t="s">
        <v>348</v>
      </c>
      <c r="Z38" s="33">
        <v>15.09</v>
      </c>
      <c r="AA38" s="33">
        <v>0.41</v>
      </c>
      <c r="AB38" s="33">
        <v>-169.59</v>
      </c>
      <c r="AC38" s="33">
        <v>-90.51</v>
      </c>
      <c r="AD38" s="33">
        <v>4.93</v>
      </c>
      <c r="AE38" s="33">
        <v>829.55</v>
      </c>
      <c r="AG38" s="28" t="s">
        <v>231</v>
      </c>
      <c r="AH38" s="33">
        <v>165.1</v>
      </c>
      <c r="AI38" s="33">
        <v>178.2</v>
      </c>
      <c r="AJ38" s="33">
        <v>187</v>
      </c>
      <c r="AK38" s="33">
        <v>0</v>
      </c>
      <c r="AL38" s="33">
        <v>84</v>
      </c>
      <c r="AM38" s="33">
        <v>114.7</v>
      </c>
      <c r="AO38" s="28" t="s">
        <v>365</v>
      </c>
      <c r="AP38" s="33">
        <v>-10348</v>
      </c>
      <c r="AQ38" s="33">
        <v>-2345</v>
      </c>
      <c r="AR38" s="33">
        <v>-12977</v>
      </c>
      <c r="AS38" s="33">
        <v>-3843</v>
      </c>
      <c r="AT38" s="33">
        <v>-13573</v>
      </c>
      <c r="AU38" s="33">
        <v>-13307</v>
      </c>
    </row>
    <row r="39" spans="1:47" x14ac:dyDescent="0.3">
      <c r="A39" s="28" t="s">
        <v>396</v>
      </c>
      <c r="B39" s="33">
        <v>1.1000000000000001</v>
      </c>
      <c r="C39" s="33">
        <v>-10.199999999999999</v>
      </c>
      <c r="D39" s="33">
        <v>-8.9</v>
      </c>
      <c r="E39" s="33">
        <v>-25.3</v>
      </c>
      <c r="F39" s="33">
        <v>6.9</v>
      </c>
      <c r="G39" s="33">
        <v>30</v>
      </c>
      <c r="I39" s="28" t="s">
        <v>275</v>
      </c>
      <c r="J39" s="33">
        <v>-3.9</v>
      </c>
      <c r="K39" s="33">
        <v>7.8</v>
      </c>
      <c r="L39" s="33">
        <v>-15.4</v>
      </c>
      <c r="M39" s="33">
        <v>-7.5</v>
      </c>
      <c r="N39" s="33">
        <v>-13</v>
      </c>
      <c r="O39" s="33">
        <v>-25.8</v>
      </c>
      <c r="Q39" s="28" t="s">
        <v>278</v>
      </c>
      <c r="R39" s="33">
        <v>-46.2</v>
      </c>
      <c r="S39" s="33">
        <v>-100.15</v>
      </c>
      <c r="T39" s="33">
        <v>-94.67</v>
      </c>
      <c r="U39" s="33">
        <v>-69</v>
      </c>
      <c r="V39" s="33">
        <v>-65.790000000000006</v>
      </c>
      <c r="W39" s="33">
        <v>-91.46</v>
      </c>
      <c r="Y39" s="28" t="s">
        <v>349</v>
      </c>
      <c r="Z39" s="33">
        <v>-49.38</v>
      </c>
      <c r="AA39" s="33">
        <v>-34.31</v>
      </c>
      <c r="AB39" s="33">
        <v>-29.56</v>
      </c>
      <c r="AC39" s="33">
        <v>-1.84</v>
      </c>
      <c r="AD39" s="33">
        <v>-267.20999999999998</v>
      </c>
      <c r="AE39" s="33">
        <v>-281.44</v>
      </c>
      <c r="AG39" s="28" t="s">
        <v>232</v>
      </c>
      <c r="AH39" s="33">
        <v>0</v>
      </c>
      <c r="AI39" s="33">
        <v>3747.2</v>
      </c>
      <c r="AJ39" s="33">
        <v>18</v>
      </c>
      <c r="AK39" s="33">
        <v>29</v>
      </c>
      <c r="AL39" s="33">
        <v>0</v>
      </c>
      <c r="AM39" s="33">
        <v>55</v>
      </c>
      <c r="AO39" s="6" t="s">
        <v>426</v>
      </c>
      <c r="AP39" s="34">
        <f>SUM(AP31:AP38)</f>
        <v>58837</v>
      </c>
      <c r="AQ39" s="34">
        <f t="shared" ref="AQ39:AU39" si="22">SUM(AQ31:AQ38)</f>
        <v>-15182</v>
      </c>
      <c r="AR39" s="34">
        <f t="shared" si="22"/>
        <v>16915</v>
      </c>
      <c r="AS39" s="34">
        <f t="shared" si="22"/>
        <v>-14503</v>
      </c>
      <c r="AT39" s="34">
        <f t="shared" si="22"/>
        <v>-13</v>
      </c>
      <c r="AU39" s="34">
        <f t="shared" si="22"/>
        <v>325</v>
      </c>
    </row>
    <row r="40" spans="1:47" x14ac:dyDescent="0.3">
      <c r="A40" s="28" t="s">
        <v>397</v>
      </c>
      <c r="B40" s="33">
        <v>-440.5</v>
      </c>
      <c r="C40" s="33">
        <v>-1178.5</v>
      </c>
      <c r="D40" s="33">
        <v>-2653.5</v>
      </c>
      <c r="E40" s="33">
        <v>-1183.2</v>
      </c>
      <c r="F40" s="33">
        <v>-30</v>
      </c>
      <c r="G40" s="33">
        <v>-878.8</v>
      </c>
      <c r="I40" s="28" t="s">
        <v>276</v>
      </c>
      <c r="J40" s="33">
        <v>0</v>
      </c>
      <c r="K40" s="33">
        <v>-3764.2</v>
      </c>
      <c r="L40" s="33">
        <v>0</v>
      </c>
      <c r="M40" s="33">
        <v>0</v>
      </c>
      <c r="N40" s="33">
        <v>0</v>
      </c>
      <c r="O40" s="33">
        <v>0</v>
      </c>
      <c r="Q40" s="28" t="s">
        <v>316</v>
      </c>
      <c r="R40" s="33">
        <v>-9.59</v>
      </c>
      <c r="S40" s="33">
        <v>0</v>
      </c>
      <c r="T40" s="33">
        <v>0</v>
      </c>
      <c r="U40" s="33">
        <v>0</v>
      </c>
      <c r="V40" s="33">
        <v>0</v>
      </c>
      <c r="W40" s="33">
        <v>0</v>
      </c>
      <c r="Y40" s="28" t="s">
        <v>350</v>
      </c>
      <c r="Z40" s="33">
        <v>-37.94</v>
      </c>
      <c r="AA40" s="33">
        <v>-29.25</v>
      </c>
      <c r="AB40" s="33">
        <v>0</v>
      </c>
      <c r="AC40" s="33">
        <v>0</v>
      </c>
      <c r="AD40" s="33">
        <v>0</v>
      </c>
      <c r="AE40" s="33">
        <v>228.76</v>
      </c>
      <c r="AG40" s="28" t="s">
        <v>233</v>
      </c>
      <c r="AH40" s="33">
        <v>6542.3</v>
      </c>
      <c r="AI40" s="33">
        <v>495.2</v>
      </c>
      <c r="AJ40" s="33">
        <v>0.8</v>
      </c>
      <c r="AK40" s="33">
        <v>0</v>
      </c>
      <c r="AL40" s="33">
        <v>0</v>
      </c>
      <c r="AM40" s="33">
        <v>3.4</v>
      </c>
      <c r="AO40" s="6" t="s">
        <v>243</v>
      </c>
      <c r="AP40" s="34">
        <f>AP20+AP29+AP39</f>
        <v>7049</v>
      </c>
      <c r="AQ40" s="34">
        <f t="shared" ref="AQ40:AU40" si="23">AQ20+AQ29+AQ39</f>
        <v>-6888</v>
      </c>
      <c r="AR40" s="34">
        <f t="shared" si="23"/>
        <v>-95</v>
      </c>
      <c r="AS40" s="34">
        <f t="shared" si="23"/>
        <v>462</v>
      </c>
      <c r="AT40" s="34">
        <f t="shared" si="23"/>
        <v>520</v>
      </c>
      <c r="AU40" s="34">
        <f t="shared" si="23"/>
        <v>4962</v>
      </c>
    </row>
    <row r="41" spans="1:47" x14ac:dyDescent="0.3">
      <c r="A41" s="28" t="s">
        <v>398</v>
      </c>
      <c r="B41" s="33">
        <v>-6718.4</v>
      </c>
      <c r="C41" s="33">
        <v>-6132.2</v>
      </c>
      <c r="D41" s="33">
        <v>-5605</v>
      </c>
      <c r="E41" s="33">
        <v>-4790.8</v>
      </c>
      <c r="F41" s="33">
        <v>0</v>
      </c>
      <c r="G41" s="33">
        <v>0</v>
      </c>
      <c r="I41" s="28" t="s">
        <v>277</v>
      </c>
      <c r="J41" s="33">
        <v>0</v>
      </c>
      <c r="K41" s="33">
        <v>-0.8</v>
      </c>
      <c r="L41" s="33">
        <v>0</v>
      </c>
      <c r="M41" s="33">
        <v>0</v>
      </c>
      <c r="N41" s="33">
        <v>0.4</v>
      </c>
      <c r="O41" s="33">
        <v>0.8</v>
      </c>
      <c r="Q41" s="6" t="s">
        <v>317</v>
      </c>
      <c r="R41" s="34">
        <f>SUM(R38:R40)</f>
        <v>-62.460000000000008</v>
      </c>
      <c r="S41" s="34">
        <f t="shared" ref="S41:W41" si="24">SUM(S38:S40)</f>
        <v>-109.60000000000001</v>
      </c>
      <c r="T41" s="34">
        <f t="shared" si="24"/>
        <v>-103.76</v>
      </c>
      <c r="U41" s="34">
        <f t="shared" si="24"/>
        <v>-78.510000000000005</v>
      </c>
      <c r="V41" s="34">
        <f t="shared" si="24"/>
        <v>-77.42</v>
      </c>
      <c r="W41" s="34">
        <f t="shared" si="24"/>
        <v>-112.64999999999999</v>
      </c>
      <c r="Y41" s="28" t="s">
        <v>351</v>
      </c>
      <c r="Z41" s="33">
        <v>-2.9</v>
      </c>
      <c r="AA41" s="33">
        <v>0</v>
      </c>
      <c r="AB41" s="33">
        <v>0</v>
      </c>
      <c r="AC41" s="33">
        <v>0</v>
      </c>
      <c r="AD41" s="33">
        <v>-99.06</v>
      </c>
      <c r="AE41" s="33">
        <v>0</v>
      </c>
      <c r="AG41" s="28" t="s">
        <v>234</v>
      </c>
      <c r="AH41" s="33">
        <v>517.20000000000005</v>
      </c>
      <c r="AI41" s="33">
        <v>179.7</v>
      </c>
      <c r="AJ41" s="33">
        <v>58.6</v>
      </c>
      <c r="AK41" s="33">
        <v>94.1</v>
      </c>
      <c r="AL41" s="33">
        <v>23.7</v>
      </c>
      <c r="AM41" s="33">
        <v>19.399999999999999</v>
      </c>
      <c r="AO41" s="28" t="s">
        <v>244</v>
      </c>
      <c r="AP41" s="33">
        <v>17</v>
      </c>
      <c r="AQ41" s="33">
        <f>AP42</f>
        <v>7066</v>
      </c>
      <c r="AR41" s="33">
        <f t="shared" ref="AR41:AU41" si="25">AQ42</f>
        <v>178</v>
      </c>
      <c r="AS41" s="33">
        <f t="shared" si="25"/>
        <v>83</v>
      </c>
      <c r="AT41" s="33">
        <f t="shared" si="25"/>
        <v>545</v>
      </c>
      <c r="AU41" s="33">
        <f t="shared" si="25"/>
        <v>1065</v>
      </c>
    </row>
    <row r="42" spans="1:47" x14ac:dyDescent="0.3">
      <c r="A42" s="28" t="s">
        <v>399</v>
      </c>
      <c r="B42" s="33">
        <v>3286.7</v>
      </c>
      <c r="C42" s="33">
        <v>8153.9</v>
      </c>
      <c r="D42" s="33">
        <v>5494</v>
      </c>
      <c r="E42" s="33">
        <v>1566.8</v>
      </c>
      <c r="F42" s="33">
        <v>0</v>
      </c>
      <c r="G42" s="33">
        <v>0</v>
      </c>
      <c r="I42" s="28" t="s">
        <v>278</v>
      </c>
      <c r="J42" s="33">
        <v>-2570.1</v>
      </c>
      <c r="K42" s="33">
        <v>-5985.4</v>
      </c>
      <c r="L42" s="33">
        <v>0</v>
      </c>
      <c r="M42" s="33">
        <v>-2963.8</v>
      </c>
      <c r="N42" s="33">
        <v>0</v>
      </c>
      <c r="O42" s="33">
        <v>-2640</v>
      </c>
      <c r="Q42" s="28" t="s">
        <v>318</v>
      </c>
      <c r="R42" s="33">
        <v>0</v>
      </c>
      <c r="S42" s="33">
        <v>0</v>
      </c>
      <c r="T42" s="33">
        <v>0</v>
      </c>
      <c r="U42" s="33">
        <v>0</v>
      </c>
      <c r="V42" s="33">
        <v>0</v>
      </c>
      <c r="W42" s="33">
        <v>0</v>
      </c>
      <c r="Y42" s="28" t="s">
        <v>352</v>
      </c>
      <c r="Z42" s="33">
        <v>0</v>
      </c>
      <c r="AA42" s="33">
        <v>20.93</v>
      </c>
      <c r="AB42" s="33">
        <v>65.040000000000006</v>
      </c>
      <c r="AC42" s="33">
        <v>43.07</v>
      </c>
      <c r="AD42" s="33">
        <v>-904.53</v>
      </c>
      <c r="AE42" s="33">
        <v>0</v>
      </c>
      <c r="AG42" s="28" t="s">
        <v>380</v>
      </c>
      <c r="AH42" s="33">
        <v>-1650.4</v>
      </c>
      <c r="AI42" s="33">
        <v>1647.7</v>
      </c>
      <c r="AJ42" s="33">
        <v>-3</v>
      </c>
      <c r="AK42" s="33">
        <v>-0.2</v>
      </c>
      <c r="AL42" s="33">
        <v>42.2</v>
      </c>
      <c r="AM42" s="33">
        <v>452.3</v>
      </c>
      <c r="AO42" s="6" t="s">
        <v>285</v>
      </c>
      <c r="AP42" s="34">
        <f>SUM(AP40:AP41)</f>
        <v>7066</v>
      </c>
      <c r="AQ42" s="34">
        <f t="shared" ref="AQ42:AU42" si="26">SUM(AQ40:AQ41)</f>
        <v>178</v>
      </c>
      <c r="AR42" s="34">
        <f t="shared" si="26"/>
        <v>83</v>
      </c>
      <c r="AS42" s="34">
        <f t="shared" si="26"/>
        <v>545</v>
      </c>
      <c r="AT42" s="34">
        <f t="shared" si="26"/>
        <v>1065</v>
      </c>
      <c r="AU42" s="34">
        <f t="shared" si="26"/>
        <v>6027</v>
      </c>
    </row>
    <row r="43" spans="1:47" x14ac:dyDescent="0.3">
      <c r="A43" s="28" t="s">
        <v>271</v>
      </c>
      <c r="B43" s="33">
        <v>863.1</v>
      </c>
      <c r="C43" s="33">
        <v>1716.3</v>
      </c>
      <c r="D43" s="33">
        <v>45</v>
      </c>
      <c r="E43" s="33">
        <v>1518.1</v>
      </c>
      <c r="F43" s="33">
        <v>107.2</v>
      </c>
      <c r="G43" s="33">
        <v>109</v>
      </c>
      <c r="I43" s="28" t="s">
        <v>279</v>
      </c>
      <c r="J43" s="33">
        <v>-528.5</v>
      </c>
      <c r="K43" s="33">
        <v>0</v>
      </c>
      <c r="L43" s="33">
        <v>0</v>
      </c>
      <c r="M43" s="33">
        <v>0</v>
      </c>
      <c r="N43" s="33">
        <v>0</v>
      </c>
      <c r="O43" s="33">
        <v>-108.7</v>
      </c>
      <c r="Q43" s="6" t="s">
        <v>283</v>
      </c>
      <c r="R43" s="34">
        <f>R28+R36+R41</f>
        <v>62.879999999999953</v>
      </c>
      <c r="S43" s="34">
        <f t="shared" ref="S43:W43" si="27">S28+S36+S41</f>
        <v>116.44999999999992</v>
      </c>
      <c r="T43" s="34">
        <f t="shared" si="27"/>
        <v>-62.630000000000067</v>
      </c>
      <c r="U43" s="34">
        <f t="shared" si="27"/>
        <v>0.86000000000002785</v>
      </c>
      <c r="V43" s="34">
        <f t="shared" si="27"/>
        <v>33.139999999999944</v>
      </c>
      <c r="W43" s="34">
        <f t="shared" si="27"/>
        <v>38.669999999999973</v>
      </c>
      <c r="Y43" s="28" t="s">
        <v>353</v>
      </c>
      <c r="Z43" s="33">
        <v>0</v>
      </c>
      <c r="AA43" s="33">
        <v>-1.58</v>
      </c>
      <c r="AB43" s="33">
        <v>-0.22</v>
      </c>
      <c r="AC43" s="33">
        <v>-50.8</v>
      </c>
      <c r="AD43" s="33">
        <v>-11.67</v>
      </c>
      <c r="AE43" s="33">
        <v>-14.07</v>
      </c>
      <c r="AG43" s="28" t="s">
        <v>381</v>
      </c>
      <c r="AH43" s="33">
        <v>0</v>
      </c>
      <c r="AI43" s="33">
        <v>111.5</v>
      </c>
      <c r="AJ43" s="33">
        <v>0</v>
      </c>
      <c r="AK43" s="33">
        <v>0</v>
      </c>
      <c r="AL43" s="33">
        <v>5.5</v>
      </c>
      <c r="AM43" s="33">
        <v>-6052.9</v>
      </c>
    </row>
    <row r="44" spans="1:47" x14ac:dyDescent="0.3">
      <c r="A44" s="28" t="s">
        <v>234</v>
      </c>
      <c r="B44" s="33">
        <v>212.5</v>
      </c>
      <c r="C44" s="33">
        <v>348.1</v>
      </c>
      <c r="D44" s="33">
        <v>137.80000000000001</v>
      </c>
      <c r="E44" s="33">
        <v>118</v>
      </c>
      <c r="F44" s="33">
        <v>567.1</v>
      </c>
      <c r="G44" s="33">
        <v>423.9</v>
      </c>
      <c r="I44" s="28" t="s">
        <v>280</v>
      </c>
      <c r="J44" s="33">
        <v>-130</v>
      </c>
      <c r="K44" s="33">
        <v>-145</v>
      </c>
      <c r="L44" s="33">
        <v>-441.8</v>
      </c>
      <c r="M44" s="33">
        <v>-366.6</v>
      </c>
      <c r="N44" s="33">
        <v>-406.6</v>
      </c>
      <c r="O44" s="33">
        <v>-276.2</v>
      </c>
      <c r="Q44" s="28" t="s">
        <v>244</v>
      </c>
      <c r="R44" s="33">
        <v>71.64</v>
      </c>
      <c r="S44" s="33">
        <f>R45</f>
        <v>134.51999999999995</v>
      </c>
      <c r="T44" s="33">
        <f t="shared" ref="T44:W44" si="28">S45</f>
        <v>250.96999999999986</v>
      </c>
      <c r="U44" s="33">
        <f t="shared" si="28"/>
        <v>188.3399999999998</v>
      </c>
      <c r="V44" s="33">
        <f t="shared" si="28"/>
        <v>189.19999999999982</v>
      </c>
      <c r="W44" s="33">
        <f t="shared" si="28"/>
        <v>222.33999999999975</v>
      </c>
      <c r="Y44" s="28" t="s">
        <v>354</v>
      </c>
      <c r="Z44" s="33">
        <v>-7260.75</v>
      </c>
      <c r="AA44" s="33">
        <v>-6389.26</v>
      </c>
      <c r="AB44" s="33">
        <v>-6071.27</v>
      </c>
      <c r="AC44" s="33">
        <v>-7608.75</v>
      </c>
      <c r="AD44" s="33">
        <v>-7593.63</v>
      </c>
      <c r="AE44" s="33">
        <v>-7700.81</v>
      </c>
      <c r="AG44" s="6" t="s">
        <v>235</v>
      </c>
      <c r="AH44" s="34">
        <f>SUM(AH35:AH43)</f>
        <v>-2789.7999999999993</v>
      </c>
      <c r="AI44" s="34">
        <f t="shared" ref="AI44:AM44" si="29">SUM(AI35:AI43)</f>
        <v>1075.1000000000001</v>
      </c>
      <c r="AJ44" s="34">
        <f t="shared" si="29"/>
        <v>-5730.2999999999993</v>
      </c>
      <c r="AK44" s="34">
        <f t="shared" si="29"/>
        <v>-5413.5999999999995</v>
      </c>
      <c r="AL44" s="34">
        <f t="shared" si="29"/>
        <v>-1906.8000000000002</v>
      </c>
      <c r="AM44" s="34">
        <f t="shared" si="29"/>
        <v>-16248.300000000001</v>
      </c>
    </row>
    <row r="45" spans="1:47" x14ac:dyDescent="0.3">
      <c r="A45" s="6" t="s">
        <v>235</v>
      </c>
      <c r="B45" s="34">
        <f t="shared" ref="B45:G45" si="30">SUM(B28:B44)</f>
        <v>-22271.500000000004</v>
      </c>
      <c r="C45" s="34">
        <f t="shared" si="30"/>
        <v>-13223.300000000003</v>
      </c>
      <c r="D45" s="34">
        <f t="shared" si="30"/>
        <v>-33169.69999999999</v>
      </c>
      <c r="E45" s="34">
        <f t="shared" si="30"/>
        <v>-30006.3</v>
      </c>
      <c r="F45" s="34">
        <f t="shared" si="30"/>
        <v>-50203.9</v>
      </c>
      <c r="G45" s="34">
        <f t="shared" si="30"/>
        <v>-60269.799999999996</v>
      </c>
      <c r="I45" s="28" t="s">
        <v>281</v>
      </c>
      <c r="J45" s="33">
        <v>-338.2</v>
      </c>
      <c r="K45" s="33">
        <v>-1120.7</v>
      </c>
      <c r="L45" s="33">
        <v>-2852.2</v>
      </c>
      <c r="M45" s="33">
        <v>-3027.8</v>
      </c>
      <c r="N45" s="33">
        <v>-3173.4</v>
      </c>
      <c r="O45" s="33">
        <v>-3547.3</v>
      </c>
      <c r="Q45" s="6" t="s">
        <v>285</v>
      </c>
      <c r="R45" s="34">
        <f>SUM(R42:R44)</f>
        <v>134.51999999999995</v>
      </c>
      <c r="S45" s="34">
        <f t="shared" ref="S45:W45" si="31">SUM(S42:S44)</f>
        <v>250.96999999999986</v>
      </c>
      <c r="T45" s="34">
        <f t="shared" si="31"/>
        <v>188.3399999999998</v>
      </c>
      <c r="U45" s="34">
        <f t="shared" si="31"/>
        <v>189.19999999999982</v>
      </c>
      <c r="V45" s="34">
        <f t="shared" si="31"/>
        <v>222.33999999999975</v>
      </c>
      <c r="W45" s="34">
        <f t="shared" si="31"/>
        <v>261.00999999999971</v>
      </c>
      <c r="Y45" s="28" t="s">
        <v>355</v>
      </c>
      <c r="Z45" s="33">
        <v>7220.48</v>
      </c>
      <c r="AA45" s="33">
        <v>5813.14</v>
      </c>
      <c r="AB45" s="33">
        <v>6950.32</v>
      </c>
      <c r="AC45" s="33">
        <v>7299.27</v>
      </c>
      <c r="AD45" s="33">
        <v>8233.06</v>
      </c>
      <c r="AE45" s="33">
        <v>6960.83</v>
      </c>
      <c r="AG45" s="85" t="s">
        <v>236</v>
      </c>
      <c r="AH45" s="82"/>
      <c r="AI45" s="82"/>
      <c r="AJ45" s="82"/>
      <c r="AK45" s="82"/>
      <c r="AL45" s="82"/>
      <c r="AM45" s="82"/>
    </row>
    <row r="46" spans="1:47" x14ac:dyDescent="0.3">
      <c r="A46" s="26" t="s">
        <v>236</v>
      </c>
      <c r="B46" s="46"/>
      <c r="C46" s="46"/>
      <c r="D46" s="46"/>
      <c r="E46" s="46"/>
      <c r="F46" s="46"/>
      <c r="G46" s="46"/>
      <c r="I46" s="6" t="s">
        <v>282</v>
      </c>
      <c r="J46" s="34">
        <f>SUM(J37:J45)</f>
        <v>-1185.3999999999999</v>
      </c>
      <c r="K46" s="34">
        <f t="shared" ref="K46:O46" si="32">SUM(K37:K45)</f>
        <v>-9376.7999999999993</v>
      </c>
      <c r="L46" s="34">
        <f t="shared" si="32"/>
        <v>-5981.6</v>
      </c>
      <c r="M46" s="34">
        <f t="shared" si="32"/>
        <v>-7132.6</v>
      </c>
      <c r="N46" s="34">
        <f t="shared" si="32"/>
        <v>-3995.2000000000007</v>
      </c>
      <c r="O46" s="34">
        <f t="shared" si="32"/>
        <v>-8647.9000000000015</v>
      </c>
      <c r="Y46" s="28" t="s">
        <v>356</v>
      </c>
      <c r="Z46" s="33">
        <v>72.099999999999994</v>
      </c>
      <c r="AA46" s="33">
        <v>0</v>
      </c>
      <c r="AB46" s="33">
        <v>0</v>
      </c>
      <c r="AC46" s="33">
        <v>0</v>
      </c>
      <c r="AD46" s="33">
        <v>5.63</v>
      </c>
      <c r="AE46" s="33">
        <v>0</v>
      </c>
      <c r="AG46" s="28" t="s">
        <v>382</v>
      </c>
      <c r="AH46" s="33">
        <v>24916.400000000001</v>
      </c>
      <c r="AI46" s="33">
        <v>0</v>
      </c>
      <c r="AJ46" s="33">
        <v>4499.7</v>
      </c>
      <c r="AK46" s="33">
        <f>-2750-7903.9</f>
        <v>-10653.9</v>
      </c>
      <c r="AL46" s="33">
        <v>0</v>
      </c>
      <c r="AM46" s="33">
        <v>17695.900000000001</v>
      </c>
    </row>
    <row r="47" spans="1:47" x14ac:dyDescent="0.3">
      <c r="A47" s="28" t="s">
        <v>400</v>
      </c>
      <c r="B47" s="33">
        <v>24875.9</v>
      </c>
      <c r="C47" s="33">
        <v>0</v>
      </c>
      <c r="D47" s="33">
        <v>5222.6000000000004</v>
      </c>
      <c r="E47" s="33">
        <v>5224.2</v>
      </c>
      <c r="F47" s="33">
        <v>-87</v>
      </c>
      <c r="G47" s="33">
        <v>-3734.8</v>
      </c>
      <c r="I47" s="6" t="s">
        <v>283</v>
      </c>
      <c r="J47" s="34">
        <f>J23+J35+J46</f>
        <v>117.49999999999977</v>
      </c>
      <c r="K47" s="34">
        <f t="shared" ref="K47:O47" si="33">K23+K35+K46</f>
        <v>-98.000000000001819</v>
      </c>
      <c r="L47" s="34">
        <f t="shared" si="33"/>
        <v>965.90000000000146</v>
      </c>
      <c r="M47" s="34">
        <f t="shared" si="33"/>
        <v>-957.79999999999563</v>
      </c>
      <c r="N47" s="34">
        <f t="shared" si="33"/>
        <v>40.69999999999709</v>
      </c>
      <c r="O47" s="34">
        <f t="shared" si="33"/>
        <v>86.600000000004002</v>
      </c>
      <c r="Y47" s="28" t="s">
        <v>357</v>
      </c>
      <c r="Z47" s="33">
        <v>6.54</v>
      </c>
      <c r="AA47" s="33">
        <v>-50.96</v>
      </c>
      <c r="AB47" s="33">
        <v>0</v>
      </c>
      <c r="AC47" s="33">
        <v>0</v>
      </c>
      <c r="AD47" s="33">
        <v>48.33</v>
      </c>
      <c r="AE47" s="33">
        <v>39.04</v>
      </c>
      <c r="AG47" s="28" t="s">
        <v>438</v>
      </c>
      <c r="AH47" s="33">
        <v>0</v>
      </c>
      <c r="AI47" s="33">
        <v>0</v>
      </c>
      <c r="AJ47" s="33">
        <v>0</v>
      </c>
      <c r="AK47" s="33">
        <v>0</v>
      </c>
      <c r="AL47" s="33">
        <v>0.1</v>
      </c>
      <c r="AM47" s="33">
        <v>0.1</v>
      </c>
    </row>
    <row r="48" spans="1:47" x14ac:dyDescent="0.3">
      <c r="A48" s="28" t="s">
        <v>401</v>
      </c>
      <c r="B48" s="33">
        <v>14305.5</v>
      </c>
      <c r="C48" s="33">
        <v>0</v>
      </c>
      <c r="D48" s="33">
        <v>0</v>
      </c>
      <c r="E48" s="33">
        <v>0</v>
      </c>
      <c r="F48" s="33">
        <v>439.1</v>
      </c>
      <c r="G48" s="33">
        <v>82.9</v>
      </c>
      <c r="I48" s="28" t="s">
        <v>244</v>
      </c>
      <c r="J48" s="33">
        <v>-5.4</v>
      </c>
      <c r="K48" s="33">
        <f>J50</f>
        <v>112.09999999999977</v>
      </c>
      <c r="L48" s="33">
        <f t="shared" ref="L48:O48" si="34">K50</f>
        <v>14.299999999997951</v>
      </c>
      <c r="M48" s="33">
        <f t="shared" si="34"/>
        <v>980.19999999999936</v>
      </c>
      <c r="N48" s="33">
        <f t="shared" si="34"/>
        <v>22.400000000003729</v>
      </c>
      <c r="O48" s="33">
        <f t="shared" si="34"/>
        <v>63.100000000000819</v>
      </c>
      <c r="Y48" s="28" t="s">
        <v>358</v>
      </c>
      <c r="Z48" s="33">
        <v>2.72</v>
      </c>
      <c r="AA48" s="33">
        <v>-0.98</v>
      </c>
      <c r="AB48" s="33">
        <v>0</v>
      </c>
      <c r="AC48" s="33">
        <v>0</v>
      </c>
      <c r="AD48" s="33">
        <v>-49.74</v>
      </c>
      <c r="AE48" s="33">
        <v>-95.32</v>
      </c>
      <c r="AG48" s="28" t="s">
        <v>439</v>
      </c>
      <c r="AH48" s="33">
        <v>0</v>
      </c>
      <c r="AI48" s="33">
        <v>0</v>
      </c>
      <c r="AJ48" s="33">
        <v>0</v>
      </c>
      <c r="AK48" s="33">
        <v>0</v>
      </c>
      <c r="AL48" s="33">
        <v>0</v>
      </c>
      <c r="AM48" s="53">
        <v>6441.2</v>
      </c>
    </row>
    <row r="49" spans="1:39" x14ac:dyDescent="0.3">
      <c r="A49" s="28" t="s">
        <v>402</v>
      </c>
      <c r="B49" s="33">
        <v>7045.6</v>
      </c>
      <c r="C49" s="33">
        <v>0</v>
      </c>
      <c r="D49" s="33">
        <v>0</v>
      </c>
      <c r="E49" s="33">
        <v>0</v>
      </c>
      <c r="F49" s="33">
        <v>-169.3</v>
      </c>
      <c r="G49" s="33">
        <v>-8629.2000000000007</v>
      </c>
      <c r="I49" s="28" t="s">
        <v>284</v>
      </c>
      <c r="J49" s="33">
        <v>0</v>
      </c>
      <c r="K49" s="33">
        <v>0.2</v>
      </c>
      <c r="L49" s="33">
        <v>0</v>
      </c>
      <c r="M49" s="33">
        <v>0</v>
      </c>
      <c r="N49" s="33">
        <v>0</v>
      </c>
      <c r="O49" s="33">
        <v>0</v>
      </c>
      <c r="Y49" s="28" t="s">
        <v>234</v>
      </c>
      <c r="Z49" s="33">
        <v>4.9000000000000004</v>
      </c>
      <c r="AA49" s="33">
        <v>10.42</v>
      </c>
      <c r="AB49" s="33">
        <v>7.11</v>
      </c>
      <c r="AC49" s="33">
        <v>11.28</v>
      </c>
      <c r="AD49" s="33">
        <f>-0.28+27.81</f>
        <v>27.529999999999998</v>
      </c>
      <c r="AE49" s="33">
        <f>2.31+17.77</f>
        <v>20.079999999999998</v>
      </c>
      <c r="AG49" s="28" t="s">
        <v>237</v>
      </c>
      <c r="AH49" s="33">
        <v>-15258.5</v>
      </c>
      <c r="AI49" s="33">
        <v>-2825.6</v>
      </c>
      <c r="AJ49" s="33">
        <f>-6939.7</f>
        <v>-6939.7</v>
      </c>
      <c r="AK49" s="33">
        <v>432</v>
      </c>
      <c r="AL49" s="33">
        <v>-2867.8</v>
      </c>
      <c r="AM49" s="33">
        <v>-2090.1999999999998</v>
      </c>
    </row>
    <row r="50" spans="1:39" x14ac:dyDescent="0.3">
      <c r="A50" s="28" t="s">
        <v>273</v>
      </c>
      <c r="B50" s="33">
        <v>24604.7</v>
      </c>
      <c r="C50" s="33">
        <v>13854</v>
      </c>
      <c r="D50" s="33">
        <v>10661.3</v>
      </c>
      <c r="E50" s="33">
        <v>5738.3</v>
      </c>
      <c r="F50" s="33">
        <v>6712.3</v>
      </c>
      <c r="G50" s="33">
        <v>23559.7</v>
      </c>
      <c r="I50" s="6" t="s">
        <v>285</v>
      </c>
      <c r="J50" s="34">
        <f>SUM(J47:J49)</f>
        <v>112.09999999999977</v>
      </c>
      <c r="K50" s="34">
        <f>K48+K49+K47</f>
        <v>14.299999999997951</v>
      </c>
      <c r="L50" s="34">
        <f t="shared" ref="L50:O50" si="35">SUM(L47:L49)</f>
        <v>980.19999999999936</v>
      </c>
      <c r="M50" s="34">
        <f t="shared" si="35"/>
        <v>22.400000000003729</v>
      </c>
      <c r="N50" s="34">
        <f t="shared" si="35"/>
        <v>63.100000000000819</v>
      </c>
      <c r="O50" s="34">
        <f t="shared" si="35"/>
        <v>149.70000000000482</v>
      </c>
      <c r="Y50" s="6" t="s">
        <v>359</v>
      </c>
      <c r="Z50" s="34">
        <f>SUM(Z35:Z49)</f>
        <v>-1529.7800000000009</v>
      </c>
      <c r="AA50" s="34">
        <f t="shared" ref="AA50:AE50" si="36">SUM(AA35:AA49)</f>
        <v>-2004.6</v>
      </c>
      <c r="AB50" s="34">
        <f t="shared" si="36"/>
        <v>-894.97000000000082</v>
      </c>
      <c r="AC50" s="34">
        <f t="shared" si="36"/>
        <v>-1841.6299999999999</v>
      </c>
      <c r="AD50" s="34">
        <f t="shared" si="36"/>
        <v>-2643.9699999999989</v>
      </c>
      <c r="AE50" s="34">
        <f t="shared" si="36"/>
        <v>-2178.7700000000018</v>
      </c>
      <c r="AG50" s="28" t="s">
        <v>238</v>
      </c>
      <c r="AH50" s="33">
        <v>-4051.7</v>
      </c>
      <c r="AI50" s="33">
        <v>-4322</v>
      </c>
      <c r="AJ50" s="33">
        <v>-2799.7</v>
      </c>
      <c r="AK50" s="33">
        <v>-2094</v>
      </c>
      <c r="AL50" s="33">
        <v>-5916.4</v>
      </c>
      <c r="AM50" s="33">
        <v>-1711.4</v>
      </c>
    </row>
    <row r="51" spans="1:39" x14ac:dyDescent="0.3">
      <c r="A51" s="28" t="s">
        <v>274</v>
      </c>
      <c r="B51" s="33">
        <v>-25203.200000000001</v>
      </c>
      <c r="C51" s="33">
        <v>-23707.4</v>
      </c>
      <c r="D51" s="33">
        <v>-11138.9</v>
      </c>
      <c r="E51" s="33">
        <v>-6812.4</v>
      </c>
      <c r="F51" s="33">
        <v>-10080.299999999999</v>
      </c>
      <c r="G51" s="33">
        <v>-17859.400000000001</v>
      </c>
      <c r="Y51" s="85" t="s">
        <v>360</v>
      </c>
      <c r="Z51" s="82"/>
      <c r="AA51" s="82"/>
      <c r="AB51" s="82"/>
      <c r="AC51" s="82"/>
      <c r="AD51" s="82"/>
      <c r="AE51" s="82"/>
      <c r="AG51" s="28" t="s">
        <v>239</v>
      </c>
      <c r="AH51" s="33">
        <v>3391.6</v>
      </c>
      <c r="AI51" s="33">
        <v>0</v>
      </c>
      <c r="AJ51" s="33">
        <v>500</v>
      </c>
      <c r="AK51" s="33">
        <v>1600</v>
      </c>
      <c r="AL51" s="33">
        <v>2000</v>
      </c>
      <c r="AM51" s="33">
        <v>1000</v>
      </c>
    </row>
    <row r="52" spans="1:39" x14ac:dyDescent="0.3">
      <c r="A52" s="28" t="s">
        <v>241</v>
      </c>
      <c r="B52" s="33">
        <v>-4312.6000000000004</v>
      </c>
      <c r="C52" s="33">
        <v>-5184.6000000000004</v>
      </c>
      <c r="D52" s="33">
        <v>-4984.5</v>
      </c>
      <c r="E52" s="33">
        <v>-4449.8999999999996</v>
      </c>
      <c r="F52" s="33">
        <v>-7855.2</v>
      </c>
      <c r="G52" s="33">
        <v>-7153.8</v>
      </c>
      <c r="Y52" s="28" t="s">
        <v>239</v>
      </c>
      <c r="Z52" s="33">
        <v>3417.16</v>
      </c>
      <c r="AA52" s="33">
        <v>2929.55</v>
      </c>
      <c r="AB52" s="33">
        <v>1098.6099999999999</v>
      </c>
      <c r="AC52" s="33">
        <v>0</v>
      </c>
      <c r="AD52" s="33">
        <v>5294.03</v>
      </c>
      <c r="AE52" s="33">
        <v>9682.5499999999993</v>
      </c>
      <c r="AG52" s="28" t="s">
        <v>240</v>
      </c>
      <c r="AH52" s="33">
        <v>-7422.5</v>
      </c>
      <c r="AI52" s="33">
        <v>-28.3</v>
      </c>
      <c r="AJ52" s="33">
        <v>-8064.1</v>
      </c>
      <c r="AK52" s="33">
        <v>-5946</v>
      </c>
      <c r="AL52" s="33">
        <v>-3482.4</v>
      </c>
      <c r="AM52" s="33">
        <v>-1000</v>
      </c>
    </row>
    <row r="53" spans="1:39" x14ac:dyDescent="0.3">
      <c r="A53" s="28" t="s">
        <v>240</v>
      </c>
      <c r="B53" s="33">
        <v>-12736.8</v>
      </c>
      <c r="C53" s="33">
        <v>-1409.7</v>
      </c>
      <c r="D53" s="33">
        <v>6482.4</v>
      </c>
      <c r="E53" s="33">
        <v>-6950.1</v>
      </c>
      <c r="F53" s="33">
        <v>1551.6</v>
      </c>
      <c r="G53" s="33">
        <v>3692.7</v>
      </c>
      <c r="Y53" s="28" t="s">
        <v>240</v>
      </c>
      <c r="Z53" s="33">
        <v>-3171.84</v>
      </c>
      <c r="AA53" s="33">
        <v>-4064.45</v>
      </c>
      <c r="AB53" s="33">
        <v>-1435.78</v>
      </c>
      <c r="AC53" s="33">
        <v>-341.5</v>
      </c>
      <c r="AD53" s="33">
        <v>-4123.63</v>
      </c>
      <c r="AE53" s="33">
        <v>-9550.2099999999991</v>
      </c>
      <c r="AG53" s="28" t="s">
        <v>241</v>
      </c>
      <c r="AH53" s="33">
        <v>-6594</v>
      </c>
      <c r="AI53" s="33">
        <v>-9555.5</v>
      </c>
      <c r="AJ53" s="33">
        <v>2250</v>
      </c>
      <c r="AK53" s="33">
        <v>1982.4</v>
      </c>
      <c r="AL53" s="33">
        <v>-8713.7999999999993</v>
      </c>
      <c r="AM53" s="33">
        <v>-13288.9</v>
      </c>
    </row>
    <row r="54" spans="1:39" x14ac:dyDescent="0.3">
      <c r="A54" s="28" t="s">
        <v>403</v>
      </c>
      <c r="B54" s="33">
        <v>-7465.3</v>
      </c>
      <c r="C54" s="33">
        <v>-5679.3</v>
      </c>
      <c r="D54" s="33">
        <v>-10442.700000000001</v>
      </c>
      <c r="E54" s="33">
        <v>-3487.8</v>
      </c>
      <c r="F54" s="33">
        <v>-14026.3</v>
      </c>
      <c r="G54" s="33">
        <v>-17547.599999999999</v>
      </c>
      <c r="Y54" s="28" t="s">
        <v>361</v>
      </c>
      <c r="Z54" s="33">
        <v>1139.52</v>
      </c>
      <c r="AA54" s="33">
        <v>5372.55</v>
      </c>
      <c r="AB54" s="33">
        <v>3418.07</v>
      </c>
      <c r="AC54" s="33">
        <v>1239.3800000000001</v>
      </c>
      <c r="AD54" s="33">
        <v>1807.19</v>
      </c>
      <c r="AE54" s="33">
        <v>4373.47</v>
      </c>
      <c r="AG54" s="6" t="s">
        <v>242</v>
      </c>
      <c r="AH54" s="34">
        <f t="shared" ref="AH54:AM54" si="37">SUM(AH46:AH53)</f>
        <v>-5018.6999999999989</v>
      </c>
      <c r="AI54" s="34">
        <f t="shared" si="37"/>
        <v>-16731.400000000001</v>
      </c>
      <c r="AJ54" s="34">
        <f t="shared" si="37"/>
        <v>-10553.8</v>
      </c>
      <c r="AK54" s="34">
        <f t="shared" si="37"/>
        <v>-14679.500000000002</v>
      </c>
      <c r="AL54" s="34">
        <f t="shared" si="37"/>
        <v>-18980.3</v>
      </c>
      <c r="AM54" s="34">
        <f t="shared" si="37"/>
        <v>7046.6999999999989</v>
      </c>
    </row>
    <row r="55" spans="1:39" x14ac:dyDescent="0.3">
      <c r="A55" s="28" t="s">
        <v>404</v>
      </c>
      <c r="B55" s="33">
        <v>0.3</v>
      </c>
      <c r="C55" s="33">
        <v>0.5</v>
      </c>
      <c r="D55" s="33">
        <v>0.7</v>
      </c>
      <c r="E55" s="33">
        <v>0.3</v>
      </c>
      <c r="F55" s="33">
        <v>0.6</v>
      </c>
      <c r="G55" s="33">
        <v>1.4</v>
      </c>
      <c r="Y55" s="28" t="s">
        <v>238</v>
      </c>
      <c r="Z55" s="33">
        <v>-969.41</v>
      </c>
      <c r="AA55" s="33">
        <v>-4517.3500000000004</v>
      </c>
      <c r="AB55" s="33">
        <v>-5498.8</v>
      </c>
      <c r="AC55" s="33">
        <v>-1844.29</v>
      </c>
      <c r="AD55" s="33">
        <v>-2309.5500000000002</v>
      </c>
      <c r="AE55" s="33">
        <v>-4001.83</v>
      </c>
      <c r="AG55" s="6" t="s">
        <v>283</v>
      </c>
      <c r="AH55" s="34">
        <f t="shared" ref="AH55:AM55" si="38">AH33+AH44+AH54</f>
        <v>-480.99999999999272</v>
      </c>
      <c r="AI55" s="34">
        <f t="shared" si="38"/>
        <v>-16.600000000005821</v>
      </c>
      <c r="AJ55" s="34">
        <f t="shared" si="38"/>
        <v>1102.8999999999978</v>
      </c>
      <c r="AK55" s="34">
        <f t="shared" si="38"/>
        <v>-1224.3999999999996</v>
      </c>
      <c r="AL55" s="34">
        <f t="shared" si="38"/>
        <v>-60.999999999996362</v>
      </c>
      <c r="AM55" s="34">
        <f t="shared" si="38"/>
        <v>88.999999999998181</v>
      </c>
    </row>
    <row r="56" spans="1:39" x14ac:dyDescent="0.3">
      <c r="A56" s="28" t="s">
        <v>437</v>
      </c>
      <c r="B56" s="33">
        <v>0</v>
      </c>
      <c r="C56" s="33">
        <v>0</v>
      </c>
      <c r="D56" s="33">
        <v>0</v>
      </c>
      <c r="E56" s="33">
        <v>0</v>
      </c>
      <c r="F56" s="33">
        <v>-136.80000000000001</v>
      </c>
      <c r="G56" s="33">
        <v>-367.5</v>
      </c>
      <c r="Y56" s="28" t="s">
        <v>362</v>
      </c>
      <c r="Z56" s="33">
        <v>-314.27999999999997</v>
      </c>
      <c r="AA56" s="33">
        <v>-369.94</v>
      </c>
      <c r="AB56" s="33">
        <v>-364.11</v>
      </c>
      <c r="AC56" s="33">
        <v>-352.67</v>
      </c>
      <c r="AD56" s="33">
        <v>-351.77</v>
      </c>
      <c r="AE56" s="33">
        <v>-398.95</v>
      </c>
      <c r="AG56" s="28" t="s">
        <v>244</v>
      </c>
      <c r="AH56" s="33">
        <v>755.8</v>
      </c>
      <c r="AI56" s="33">
        <f>AH58</f>
        <v>366.90000000000725</v>
      </c>
      <c r="AJ56" s="33">
        <f>AI58</f>
        <v>350.30000000000143</v>
      </c>
      <c r="AK56" s="33">
        <f>AJ58</f>
        <v>1453.1999999999994</v>
      </c>
      <c r="AL56" s="33">
        <f>AK58</f>
        <v>228.79999999999973</v>
      </c>
      <c r="AM56" s="33">
        <f>AL58</f>
        <v>167.80000000000337</v>
      </c>
    </row>
    <row r="57" spans="1:39" x14ac:dyDescent="0.3">
      <c r="A57" s="28" t="s">
        <v>436</v>
      </c>
      <c r="B57" s="33">
        <v>0</v>
      </c>
      <c r="C57" s="33">
        <v>0</v>
      </c>
      <c r="D57" s="33">
        <v>0</v>
      </c>
      <c r="E57" s="33">
        <v>0</v>
      </c>
      <c r="F57" s="33">
        <v>57.3</v>
      </c>
      <c r="G57" s="33">
        <v>-1642.7</v>
      </c>
      <c r="Y57" s="28" t="s">
        <v>363</v>
      </c>
      <c r="Z57" s="33">
        <v>-150.77000000000001</v>
      </c>
      <c r="AA57" s="33">
        <v>-114</v>
      </c>
      <c r="AB57" s="33">
        <v>-399</v>
      </c>
      <c r="AC57" s="33">
        <v>-589.95000000000005</v>
      </c>
      <c r="AD57" s="33">
        <v>-598.5</v>
      </c>
      <c r="AE57" s="33">
        <v>-475.95</v>
      </c>
      <c r="AG57" s="28" t="s">
        <v>245</v>
      </c>
      <c r="AH57" s="33">
        <v>92.1</v>
      </c>
      <c r="AI57" s="33">
        <v>0</v>
      </c>
      <c r="AJ57" s="33">
        <v>0</v>
      </c>
      <c r="AK57" s="33">
        <v>0</v>
      </c>
      <c r="AL57" s="33">
        <v>0</v>
      </c>
      <c r="AM57" s="33">
        <v>0</v>
      </c>
    </row>
    <row r="58" spans="1:39" x14ac:dyDescent="0.3">
      <c r="A58" s="28" t="s">
        <v>405</v>
      </c>
      <c r="B58" s="33">
        <v>0</v>
      </c>
      <c r="C58" s="33">
        <v>-1091.0999999999999</v>
      </c>
      <c r="D58" s="33">
        <v>-89.8</v>
      </c>
      <c r="E58" s="33">
        <f>-1698.4-64.6</f>
        <v>-1763</v>
      </c>
      <c r="F58" s="33">
        <v>-4184.5</v>
      </c>
      <c r="G58" s="33">
        <v>-6934.9</v>
      </c>
      <c r="Y58" s="28" t="s">
        <v>364</v>
      </c>
      <c r="Z58" s="33">
        <v>-2.14</v>
      </c>
      <c r="AA58" s="33">
        <v>-1.21</v>
      </c>
      <c r="AB58" s="33">
        <v>-2.59</v>
      </c>
      <c r="AC58" s="33">
        <v>-3.06</v>
      </c>
      <c r="AD58" s="33">
        <v>-2.91</v>
      </c>
      <c r="AE58" s="33">
        <v>-1.24</v>
      </c>
      <c r="AG58" s="6" t="s">
        <v>285</v>
      </c>
      <c r="AH58" s="34">
        <f t="shared" ref="AH58:AM58" si="39">SUM(AH55:AH57)</f>
        <v>366.90000000000725</v>
      </c>
      <c r="AI58" s="34">
        <f t="shared" si="39"/>
        <v>350.30000000000143</v>
      </c>
      <c r="AJ58" s="34">
        <f t="shared" si="39"/>
        <v>1453.1999999999994</v>
      </c>
      <c r="AK58" s="34">
        <f t="shared" si="39"/>
        <v>228.79999999999973</v>
      </c>
      <c r="AL58" s="34">
        <f t="shared" si="39"/>
        <v>167.80000000000337</v>
      </c>
      <c r="AM58" s="34">
        <f t="shared" si="39"/>
        <v>256.80000000000155</v>
      </c>
    </row>
    <row r="59" spans="1:39" x14ac:dyDescent="0.3">
      <c r="A59" s="6" t="s">
        <v>242</v>
      </c>
      <c r="B59" s="34">
        <f>SUM(B47:B58)</f>
        <v>21114.100000000002</v>
      </c>
      <c r="C59" s="34">
        <f t="shared" ref="C59:G59" si="40">SUM(C47:C58)</f>
        <v>-23217.599999999999</v>
      </c>
      <c r="D59" s="34">
        <f t="shared" si="40"/>
        <v>-4288.9000000000015</v>
      </c>
      <c r="E59" s="34">
        <f t="shared" si="40"/>
        <v>-12500.400000000001</v>
      </c>
      <c r="F59" s="34">
        <f t="shared" si="40"/>
        <v>-27778.5</v>
      </c>
      <c r="G59" s="34">
        <f t="shared" si="40"/>
        <v>-36533.199999999997</v>
      </c>
      <c r="Y59" s="28" t="s">
        <v>365</v>
      </c>
      <c r="Z59" s="33">
        <v>-385.01</v>
      </c>
      <c r="AA59" s="33">
        <v>-251.5</v>
      </c>
      <c r="AB59" s="33">
        <v>-247.63</v>
      </c>
      <c r="AC59" s="33">
        <v>-348.71</v>
      </c>
      <c r="AD59" s="33">
        <v>-527.80999999999995</v>
      </c>
      <c r="AE59" s="33">
        <v>-563.47</v>
      </c>
    </row>
    <row r="60" spans="1:39" x14ac:dyDescent="0.3">
      <c r="A60" s="6" t="s">
        <v>243</v>
      </c>
      <c r="B60" s="34">
        <f t="shared" ref="B60:G60" si="41">B26+B45+B59</f>
        <v>2868.9999999999927</v>
      </c>
      <c r="C60" s="34">
        <f t="shared" si="41"/>
        <v>-2048.5999999999985</v>
      </c>
      <c r="D60" s="34">
        <f t="shared" si="41"/>
        <v>-704.19999999999709</v>
      </c>
      <c r="E60" s="34">
        <f t="shared" si="41"/>
        <v>1075.8999999999978</v>
      </c>
      <c r="F60" s="34">
        <f t="shared" si="41"/>
        <v>915.79999999998108</v>
      </c>
      <c r="G60" s="34">
        <f t="shared" si="41"/>
        <v>1529.1999999999898</v>
      </c>
      <c r="Y60" s="28" t="s">
        <v>366</v>
      </c>
      <c r="Z60" s="33">
        <v>-505.56</v>
      </c>
      <c r="AA60" s="33">
        <v>-188.42</v>
      </c>
      <c r="AB60" s="33">
        <v>0</v>
      </c>
      <c r="AC60" s="33">
        <v>0</v>
      </c>
      <c r="AD60" s="33">
        <v>0</v>
      </c>
      <c r="AE60" s="33">
        <v>0</v>
      </c>
    </row>
    <row r="61" spans="1:39" x14ac:dyDescent="0.3">
      <c r="A61" s="28" t="s">
        <v>244</v>
      </c>
      <c r="B61" s="33">
        <v>170.7</v>
      </c>
      <c r="C61" s="33">
        <f>B62</f>
        <v>3039.6999999999925</v>
      </c>
      <c r="D61" s="33">
        <f>C62</f>
        <v>991.099999999994</v>
      </c>
      <c r="E61" s="33">
        <f>D62</f>
        <v>286.89999999999691</v>
      </c>
      <c r="F61" s="33">
        <f>E62</f>
        <v>1362.7999999999947</v>
      </c>
      <c r="G61" s="33">
        <f>F62</f>
        <v>2278.5999999999758</v>
      </c>
      <c r="Y61" s="6" t="s">
        <v>367</v>
      </c>
      <c r="Z61" s="34">
        <f>SUM(Z52:Z60)</f>
        <v>-942.33000000000027</v>
      </c>
      <c r="AA61" s="34">
        <f t="shared" ref="AA61:AE61" si="42">SUM(AA52:AA60)</f>
        <v>-1204.77</v>
      </c>
      <c r="AB61" s="34">
        <f t="shared" si="42"/>
        <v>-3431.2300000000005</v>
      </c>
      <c r="AC61" s="34">
        <f t="shared" si="42"/>
        <v>-2240.7999999999997</v>
      </c>
      <c r="AD61" s="34">
        <f t="shared" si="42"/>
        <v>-812.9500000000005</v>
      </c>
      <c r="AE61" s="34">
        <f t="shared" si="42"/>
        <v>-935.62999999999954</v>
      </c>
    </row>
    <row r="62" spans="1:39" x14ac:dyDescent="0.3">
      <c r="A62" s="6" t="s">
        <v>246</v>
      </c>
      <c r="B62" s="34">
        <f t="shared" ref="B62:G62" si="43">SUM(B60:B61)</f>
        <v>3039.6999999999925</v>
      </c>
      <c r="C62" s="34">
        <f t="shared" si="43"/>
        <v>991.099999999994</v>
      </c>
      <c r="D62" s="34">
        <f t="shared" si="43"/>
        <v>286.89999999999691</v>
      </c>
      <c r="E62" s="34">
        <f t="shared" si="43"/>
        <v>1362.7999999999947</v>
      </c>
      <c r="F62" s="34">
        <f t="shared" si="43"/>
        <v>2278.5999999999758</v>
      </c>
      <c r="G62" s="34">
        <f t="shared" si="43"/>
        <v>3807.7999999999656</v>
      </c>
      <c r="Y62" s="6" t="s">
        <v>368</v>
      </c>
      <c r="Z62" s="34">
        <f>Z33+Z50+Z61</f>
        <v>52.649999999998158</v>
      </c>
      <c r="AA62" s="34">
        <f t="shared" ref="AA62:AE62" si="44">AA33+AA50+AA61</f>
        <v>-29.539999999999054</v>
      </c>
      <c r="AB62" s="34">
        <f t="shared" si="44"/>
        <v>-122.38000000000056</v>
      </c>
      <c r="AC62" s="34">
        <f t="shared" si="44"/>
        <v>301.92000000000235</v>
      </c>
      <c r="AD62" s="34">
        <f t="shared" si="44"/>
        <v>-274.91999999999939</v>
      </c>
      <c r="AE62" s="34">
        <f t="shared" si="44"/>
        <v>-203.59000000000094</v>
      </c>
    </row>
    <row r="63" spans="1:39" x14ac:dyDescent="0.3">
      <c r="Y63" s="28" t="s">
        <v>244</v>
      </c>
      <c r="Z63" s="33">
        <v>789.06</v>
      </c>
      <c r="AA63" s="33">
        <f>Z65</f>
        <v>849.99999999999807</v>
      </c>
      <c r="AB63" s="33">
        <f t="shared" ref="AB63:AE63" si="45">AA65</f>
        <v>817.849999999999</v>
      </c>
      <c r="AC63" s="33">
        <f t="shared" si="45"/>
        <v>696.85999999999842</v>
      </c>
      <c r="AD63" s="33">
        <f t="shared" si="45"/>
        <v>1004.4800000000008</v>
      </c>
      <c r="AE63" s="33">
        <f t="shared" si="45"/>
        <v>732.05000000000143</v>
      </c>
    </row>
    <row r="64" spans="1:39" x14ac:dyDescent="0.3">
      <c r="Y64" s="28" t="s">
        <v>369</v>
      </c>
      <c r="Z64" s="33">
        <v>8.2899999999999991</v>
      </c>
      <c r="AA64" s="33">
        <v>-2.61</v>
      </c>
      <c r="AB64" s="33">
        <v>1.39</v>
      </c>
      <c r="AC64" s="33">
        <v>5.7</v>
      </c>
      <c r="AD64" s="33">
        <v>2.4900000000000002</v>
      </c>
      <c r="AE64" s="33">
        <f>5.56-0.12</f>
        <v>5.4399999999999995</v>
      </c>
    </row>
    <row r="65" spans="25:31" x14ac:dyDescent="0.3">
      <c r="Y65" s="6" t="s">
        <v>285</v>
      </c>
      <c r="Z65" s="34">
        <f>SUM(Z62:Z64)</f>
        <v>849.99999999999807</v>
      </c>
      <c r="AA65" s="34">
        <f t="shared" ref="AA65:AE65" si="46">SUM(AA62:AA64)</f>
        <v>817.849999999999</v>
      </c>
      <c r="AB65" s="34">
        <f t="shared" si="46"/>
        <v>696.85999999999842</v>
      </c>
      <c r="AC65" s="34">
        <f t="shared" si="46"/>
        <v>1004.4800000000008</v>
      </c>
      <c r="AD65" s="34">
        <f t="shared" si="46"/>
        <v>732.05000000000143</v>
      </c>
      <c r="AE65" s="34">
        <f t="shared" si="46"/>
        <v>533.90000000000055</v>
      </c>
    </row>
  </sheetData>
  <mergeCells count="6">
    <mergeCell ref="AT1:AU1"/>
    <mergeCell ref="F1:G1"/>
    <mergeCell ref="N1:O1"/>
    <mergeCell ref="V1:W1"/>
    <mergeCell ref="AD1:AE1"/>
    <mergeCell ref="AL1:AM1"/>
  </mergeCells>
  <pageMargins left="0.7" right="0.7" top="0.75" bottom="0.75" header="0.3" footer="0.3"/>
  <tableParts count="6">
    <tablePart r:id="rId1"/>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5B90-AB77-4807-AE6B-4BF6B5F808AC}">
  <dimension ref="A1:BA22"/>
  <sheetViews>
    <sheetView tabSelected="1" topLeftCell="A2" zoomScaleNormal="85" workbookViewId="0">
      <selection activeCell="AY24" sqref="AY24"/>
    </sheetView>
  </sheetViews>
  <sheetFormatPr defaultRowHeight="14.4" x14ac:dyDescent="0.3"/>
  <cols>
    <col min="1" max="1" width="19.109375" style="129" bestFit="1" customWidth="1"/>
    <col min="2" max="2" width="16.88671875" style="128" customWidth="1"/>
    <col min="3" max="3" width="10.88671875" style="79" bestFit="1" customWidth="1"/>
    <col min="4" max="7" width="12" style="79" bestFit="1" customWidth="1"/>
    <col min="8" max="8" width="12.33203125" style="79" bestFit="1" customWidth="1"/>
    <col min="9" max="9" width="8.88671875" style="2"/>
    <col min="10" max="10" width="19.109375" style="2" bestFit="1" customWidth="1"/>
    <col min="11" max="11" width="16.88671875" style="2" customWidth="1"/>
    <col min="12" max="13" width="11.33203125" style="79" bestFit="1" customWidth="1"/>
    <col min="14" max="17" width="12.88671875" style="79" bestFit="1" customWidth="1"/>
    <col min="18" max="18" width="8.88671875" style="2"/>
    <col min="19" max="19" width="19.109375" style="2" bestFit="1" customWidth="1"/>
    <col min="20" max="20" width="16.88671875" style="2" customWidth="1"/>
    <col min="21" max="26" width="10.33203125" style="79" bestFit="1" customWidth="1"/>
    <col min="27" max="27" width="8.88671875" style="2"/>
    <col min="28" max="28" width="19.109375" style="2" bestFit="1" customWidth="1"/>
    <col min="29" max="29" width="16.88671875" style="2" customWidth="1"/>
    <col min="30" max="30" width="12.21875" style="2" bestFit="1" customWidth="1"/>
    <col min="31" max="35" width="9.88671875" style="2" bestFit="1" customWidth="1"/>
    <col min="36" max="36" width="8.88671875" style="2"/>
    <col min="37" max="37" width="19.109375" style="2" bestFit="1" customWidth="1"/>
    <col min="38" max="38" width="16.88671875" style="2" customWidth="1"/>
    <col min="39" max="39" width="9.88671875" style="2" bestFit="1" customWidth="1"/>
    <col min="40" max="44" width="12" style="2" bestFit="1" customWidth="1"/>
    <col min="45" max="45" width="8.88671875" style="2"/>
    <col min="46" max="46" width="19.109375" style="2" bestFit="1" customWidth="1"/>
    <col min="47" max="47" width="16.88671875" style="2" customWidth="1"/>
    <col min="48" max="50" width="9" style="2" bestFit="1" customWidth="1"/>
    <col min="51" max="51" width="9.5546875" style="2" bestFit="1" customWidth="1"/>
    <col min="52" max="53" width="9" style="2" bestFit="1" customWidth="1"/>
    <col min="54" max="16384" width="8.88671875" style="2"/>
  </cols>
  <sheetData>
    <row r="1" spans="1:53" ht="36.6" x14ac:dyDescent="0.3">
      <c r="A1" s="364" t="s">
        <v>445</v>
      </c>
      <c r="B1" s="364"/>
      <c r="C1" s="364"/>
      <c r="D1" s="364"/>
      <c r="E1" s="364"/>
      <c r="F1" s="364"/>
      <c r="G1" s="364"/>
      <c r="H1" s="364"/>
    </row>
    <row r="2" spans="1:53" ht="52.8" customHeight="1" x14ac:dyDescent="0.3">
      <c r="A2" s="127"/>
      <c r="G2" s="348" t="e" vm="1">
        <v>#VALUE!</v>
      </c>
      <c r="H2" s="348"/>
      <c r="P2" s="348" t="e" vm="2">
        <v>#VALUE!</v>
      </c>
      <c r="Q2" s="348"/>
      <c r="Y2" s="348" t="e" vm="3">
        <v>#VALUE!</v>
      </c>
      <c r="Z2" s="348"/>
      <c r="AH2" s="348" t="e" vm="4">
        <v>#VALUE!</v>
      </c>
      <c r="AI2" s="348"/>
      <c r="AQ2" s="348" t="e" vm="5">
        <v>#VALUE!</v>
      </c>
      <c r="AR2" s="348"/>
      <c r="AZ2" s="348" t="e" vm="6">
        <v>#VALUE!</v>
      </c>
      <c r="BA2" s="348"/>
    </row>
    <row r="3" spans="1:53" x14ac:dyDescent="0.3">
      <c r="A3" s="153" t="s">
        <v>446</v>
      </c>
      <c r="B3" s="150" t="s">
        <v>447</v>
      </c>
      <c r="C3" s="151" t="s">
        <v>62</v>
      </c>
      <c r="D3" s="151" t="s">
        <v>63</v>
      </c>
      <c r="E3" s="151" t="s">
        <v>64</v>
      </c>
      <c r="F3" s="151" t="s">
        <v>65</v>
      </c>
      <c r="G3" s="151" t="s">
        <v>66</v>
      </c>
      <c r="H3" s="152" t="s">
        <v>67</v>
      </c>
      <c r="J3" s="163" t="s">
        <v>446</v>
      </c>
      <c r="K3" s="166" t="s">
        <v>447</v>
      </c>
      <c r="L3" s="164" t="s">
        <v>62</v>
      </c>
      <c r="M3" s="164" t="s">
        <v>63</v>
      </c>
      <c r="N3" s="164" t="s">
        <v>64</v>
      </c>
      <c r="O3" s="164" t="s">
        <v>65</v>
      </c>
      <c r="P3" s="164" t="s">
        <v>66</v>
      </c>
      <c r="Q3" s="165" t="s">
        <v>67</v>
      </c>
      <c r="S3" s="167" t="s">
        <v>446</v>
      </c>
      <c r="T3" s="168" t="s">
        <v>447</v>
      </c>
      <c r="U3" s="169" t="s">
        <v>62</v>
      </c>
      <c r="V3" s="169" t="s">
        <v>63</v>
      </c>
      <c r="W3" s="169" t="s">
        <v>64</v>
      </c>
      <c r="X3" s="169" t="s">
        <v>65</v>
      </c>
      <c r="Y3" s="169" t="s">
        <v>66</v>
      </c>
      <c r="Z3" s="170" t="s">
        <v>67</v>
      </c>
      <c r="AB3" s="171" t="s">
        <v>446</v>
      </c>
      <c r="AC3" s="179" t="s">
        <v>447</v>
      </c>
      <c r="AD3" s="172" t="s">
        <v>62</v>
      </c>
      <c r="AE3" s="172" t="s">
        <v>63</v>
      </c>
      <c r="AF3" s="172" t="s">
        <v>64</v>
      </c>
      <c r="AG3" s="172" t="s">
        <v>65</v>
      </c>
      <c r="AH3" s="172" t="s">
        <v>66</v>
      </c>
      <c r="AI3" s="173" t="s">
        <v>67</v>
      </c>
      <c r="AK3" s="175" t="s">
        <v>446</v>
      </c>
      <c r="AL3" s="178" t="s">
        <v>447</v>
      </c>
      <c r="AM3" s="176" t="s">
        <v>62</v>
      </c>
      <c r="AN3" s="176" t="s">
        <v>63</v>
      </c>
      <c r="AO3" s="176" t="s">
        <v>64</v>
      </c>
      <c r="AP3" s="176" t="s">
        <v>65</v>
      </c>
      <c r="AQ3" s="176" t="s">
        <v>66</v>
      </c>
      <c r="AR3" s="177" t="s">
        <v>67</v>
      </c>
      <c r="AT3" s="180" t="s">
        <v>446</v>
      </c>
      <c r="AU3" s="181" t="s">
        <v>447</v>
      </c>
      <c r="AV3" s="182" t="s">
        <v>62</v>
      </c>
      <c r="AW3" s="182" t="s">
        <v>63</v>
      </c>
      <c r="AX3" s="182" t="s">
        <v>64</v>
      </c>
      <c r="AY3" s="182" t="s">
        <v>65</v>
      </c>
      <c r="AZ3" s="182" t="s">
        <v>66</v>
      </c>
      <c r="BA3" s="183" t="s">
        <v>67</v>
      </c>
    </row>
    <row r="4" spans="1:53" ht="28.8" x14ac:dyDescent="0.3">
      <c r="A4" s="356" t="s">
        <v>448</v>
      </c>
      <c r="B4" s="158" t="s">
        <v>449</v>
      </c>
      <c r="C4" s="184">
        <f>('Income Statement'!B6-(SUM('Income Statement'!B8:B13)))/'Income Statement'!B6</f>
        <v>0.39561984172448178</v>
      </c>
      <c r="D4" s="184">
        <f>('Income Statement'!C6-(SUM('Income Statement'!C8:C13)))/'Income Statement'!C6</f>
        <v>0.45525813250032227</v>
      </c>
      <c r="E4" s="184">
        <f>('Income Statement'!D6-(SUM('Income Statement'!D8:D13)))/'Income Statement'!D6</f>
        <v>0.49446770963178754</v>
      </c>
      <c r="F4" s="184">
        <f>('Income Statement'!E6-(SUM('Income Statement'!E8:E13)))/'Income Statement'!E6</f>
        <v>0.53154467058711752</v>
      </c>
      <c r="G4" s="184">
        <f>('Income Statement'!F6-(SUM('Income Statement'!F8:F13)))/'Income Statement'!F6</f>
        <v>0.52653783108723007</v>
      </c>
      <c r="H4" s="185">
        <f>('Income Statement'!G6-(SUM('Income Statement'!G8:G13)))/'Income Statement'!G6</f>
        <v>0.54269876815218254</v>
      </c>
      <c r="J4" s="356" t="s">
        <v>448</v>
      </c>
      <c r="K4" s="158" t="s">
        <v>449</v>
      </c>
      <c r="L4" s="195">
        <f>('Income Statement'!J6-'Income Statement'!J13)/'Income Statement'!J6</f>
        <v>0.54517804909993162</v>
      </c>
      <c r="M4" s="195">
        <f>('Income Statement'!K6-'Income Statement'!K13)/'Income Statement'!K6</f>
        <v>0.52693764486403971</v>
      </c>
      <c r="N4" s="195">
        <f>('Income Statement'!L6-'Income Statement'!L13)/'Income Statement'!L6</f>
        <v>0.54490785437678346</v>
      </c>
      <c r="O4" s="195">
        <f>('Income Statement'!M6-'Income Statement'!M13)/'Income Statement'!M6</f>
        <v>0.35237326523583051</v>
      </c>
      <c r="P4" s="195">
        <f>('Income Statement'!N6-'Income Statement'!N13)/'Income Statement'!N6</f>
        <v>0.51982445781842912</v>
      </c>
      <c r="Q4" s="195">
        <f>('Income Statement'!O6-'Income Statement'!O13)/'Income Statement'!O6</f>
        <v>0.69548650085661967</v>
      </c>
      <c r="S4" s="356" t="s">
        <v>448</v>
      </c>
      <c r="T4" s="158" t="s">
        <v>449</v>
      </c>
      <c r="U4" s="195">
        <f>('Income Statement'!R7-'Income Statement'!R9-'Income Statement'!R10-'Income Statement'!R11-'Income Statement'!R12-'Income Statement'!R13)/'Income Statement'!R7</f>
        <v>0.32315425591229985</v>
      </c>
      <c r="V4" s="195">
        <f>('Income Statement'!S7-'Income Statement'!S9-'Income Statement'!S10-'Income Statement'!S11-'Income Statement'!S12-'Income Statement'!S13)/'Income Statement'!S7</f>
        <v>0.25895457347533091</v>
      </c>
      <c r="W4" s="195">
        <f>('Income Statement'!T7-'Income Statement'!T9-'Income Statement'!T10-'Income Statement'!T11-'Income Statement'!T12-'Income Statement'!T13)/'Income Statement'!T7</f>
        <v>0.252875967370843</v>
      </c>
      <c r="X4" s="195">
        <f>('Income Statement'!U7-'Income Statement'!U9-'Income Statement'!U10-'Income Statement'!U11-'Income Statement'!U12-'Income Statement'!U13)/'Income Statement'!U7</f>
        <v>0.2118569573469184</v>
      </c>
      <c r="Y4" s="195">
        <f>('Income Statement'!V7-'Income Statement'!V9-'Income Statement'!V10-'Income Statement'!V11-'Income Statement'!V12-'Income Statement'!V13)/'Income Statement'!V7</f>
        <v>0.19947600651368924</v>
      </c>
      <c r="Z4" s="195">
        <f>('Income Statement'!W7-'Income Statement'!W9-'Income Statement'!W10-'Income Statement'!W11-'Income Statement'!W12-'Income Statement'!W13)/'Income Statement'!W7</f>
        <v>0.17255226637830051</v>
      </c>
      <c r="AB4" s="356" t="s">
        <v>448</v>
      </c>
      <c r="AC4" s="158" t="s">
        <v>449</v>
      </c>
      <c r="AD4" s="162">
        <f>('Income Statement'!Z6-(SUM('Income Statement'!Z8+'Income Statement'!Z9+'Income Statement'!Z12)))/'Income Statement'!Z6</f>
        <v>0.19597938342843577</v>
      </c>
      <c r="AE4" s="162">
        <f>('Income Statement'!AA6-(SUM('Income Statement'!AA8+'Income Statement'!AA9+'Income Statement'!AA12)))/'Income Statement'!AA6</f>
        <v>0.25597588437293906</v>
      </c>
      <c r="AF4" s="162">
        <f>('Income Statement'!AB6-(SUM('Income Statement'!AB8+'Income Statement'!AB9+'Income Statement'!AB12)))/'Income Statement'!AB6</f>
        <v>0.26727197683976261</v>
      </c>
      <c r="AG4" s="162">
        <f>('Income Statement'!AC6-(SUM('Income Statement'!AC8+'Income Statement'!AC9+'Income Statement'!AC12)))/'Income Statement'!AC6</f>
        <v>0.25719875548103138</v>
      </c>
      <c r="AH4" s="162">
        <f>('Income Statement'!AD6-(SUM('Income Statement'!AD8+'Income Statement'!AD9+'Income Statement'!AD12)))/'Income Statement'!AD6</f>
        <v>0.2176523127209152</v>
      </c>
      <c r="AI4" s="162">
        <f>('Income Statement'!AE6-(SUM('Income Statement'!AE8+'Income Statement'!AE9+'Income Statement'!AE12)))/'Income Statement'!AE6</f>
        <v>0.20221835036010763</v>
      </c>
      <c r="AK4" s="356" t="s">
        <v>448</v>
      </c>
      <c r="AL4" s="158" t="s">
        <v>449</v>
      </c>
      <c r="AM4" s="162">
        <f>'Income Statement'!AH19/'Income Statement'!AH8</f>
        <v>0.3468023862529569</v>
      </c>
      <c r="AN4" s="162">
        <f>'Income Statement'!AI19/'Income Statement'!AI8</f>
        <v>0.40639361540506647</v>
      </c>
      <c r="AO4" s="162">
        <f>'Income Statement'!AJ19/'Income Statement'!AJ8</f>
        <v>0.41830875484216556</v>
      </c>
      <c r="AP4" s="162">
        <f>'Income Statement'!AK19/'Income Statement'!AK8</f>
        <v>0.40312790519787706</v>
      </c>
      <c r="AQ4" s="162">
        <f>'Income Statement'!AL19/'Income Statement'!AL8</f>
        <v>0.40311563922749721</v>
      </c>
      <c r="AR4" s="162">
        <f>'Income Statement'!AM19/'Income Statement'!AM8</f>
        <v>0.42938739995380321</v>
      </c>
      <c r="AT4" s="356" t="s">
        <v>448</v>
      </c>
      <c r="AU4" s="158" t="s">
        <v>449</v>
      </c>
      <c r="AV4" s="162">
        <f>('Income Statement'!AP6-'Income Statement'!AP8-'Income Statement'!AP9-'Income Statement'!AP10-'Income Statement'!AP11-'Income Statement'!AP14-'Income Statement'!AP15)/'Income Statement'!AP6</f>
        <v>0.3980295204308586</v>
      </c>
      <c r="AW4" s="162">
        <f>('Income Statement'!AQ6-'Income Statement'!AQ8-'Income Statement'!AQ9-'Income Statement'!AQ10-'Income Statement'!AQ11-'Income Statement'!AQ14-'Income Statement'!AQ15)/'Income Statement'!AQ6</f>
        <v>0.44666079845533535</v>
      </c>
      <c r="AX4" s="162">
        <f>('Income Statement'!AR6-'Income Statement'!AR8-'Income Statement'!AR9-'Income Statement'!AR10-'Income Statement'!AR11-'Income Statement'!AR14-'Income Statement'!AR15)/'Income Statement'!AR6</f>
        <v>0.49055874202487593</v>
      </c>
      <c r="AY4" s="162">
        <f>('Income Statement'!AS6-'Income Statement'!AS8-'Income Statement'!AS9-'Income Statement'!AS10-'Income Statement'!AS11-'Income Statement'!AS14-'Income Statement'!AS15)/'Income Statement'!AS6</f>
        <v>0.51520040112926613</v>
      </c>
      <c r="AZ4" s="162">
        <f>('Income Statement'!AT6-'Income Statement'!AT8-'Income Statement'!AT9-'Income Statement'!AT10-'Income Statement'!AT11-'Income Statement'!AT14-'Income Statement'!AT15)/'Income Statement'!AT6</f>
        <v>0.52574644302375295</v>
      </c>
      <c r="BA4" s="162">
        <f>('Income Statement'!AU6-'Income Statement'!AU8-'Income Statement'!AU9-'Income Statement'!AU10-'Income Statement'!AU11-'Income Statement'!AU14-'Income Statement'!AU15)/'Income Statement'!AU6</f>
        <v>0.53205373279577362</v>
      </c>
    </row>
    <row r="5" spans="1:53" x14ac:dyDescent="0.3">
      <c r="A5" s="356"/>
      <c r="B5" s="159" t="s">
        <v>450</v>
      </c>
      <c r="C5" s="186">
        <f>('Income Statement'!B6-'Income Statement'!B8)/'Income Statement'!B6</f>
        <v>0.75880487132157937</v>
      </c>
      <c r="D5" s="186">
        <f>('Income Statement'!C6-'Income Statement'!C8)/'Income Statement'!C6</f>
        <v>0.77335273961309359</v>
      </c>
      <c r="E5" s="186">
        <f>('Income Statement'!D6-'Income Statement'!D8)/'Income Statement'!D6</f>
        <v>0.75927253883107615</v>
      </c>
      <c r="F5" s="186">
        <f>('Income Statement'!E6-'Income Statement'!E8)/'Income Statement'!E6</f>
        <v>0.78952628331419672</v>
      </c>
      <c r="G5" s="186">
        <f>('Income Statement'!F6-'Income Statement'!F8)/'Income Statement'!F6</f>
        <v>0.8017485394715812</v>
      </c>
      <c r="H5" s="187">
        <f>('Income Statement'!G6-'Income Statement'!G8)/'Income Statement'!G6</f>
        <v>0.80806306639191705</v>
      </c>
      <c r="J5" s="356"/>
      <c r="K5" s="159" t="s">
        <v>450</v>
      </c>
      <c r="L5" s="186">
        <f>('Income Statement'!J6-'Income Statement'!J8-'Income Statement'!J9-'Income Statement'!J11)/'Income Statement'!J6</f>
        <v>0.61908989042012896</v>
      </c>
      <c r="M5" s="186">
        <f>('Income Statement'!K6-'Income Statement'!K8-'Income Statement'!K9-'Income Statement'!K11)/'Income Statement'!K6</f>
        <v>0.58461473231952055</v>
      </c>
      <c r="N5" s="186">
        <f>('Income Statement'!L6-'Income Statement'!L8-'Income Statement'!L9-'Income Statement'!L11)/'Income Statement'!L6</f>
        <v>0.58629768041696206</v>
      </c>
      <c r="O5" s="186">
        <f>('Income Statement'!M6-'Income Statement'!M8-'Income Statement'!M9-'Income Statement'!M11)/'Income Statement'!M6</f>
        <v>0.58454724786122592</v>
      </c>
      <c r="P5" s="186">
        <f>('Income Statement'!N6-'Income Statement'!N8-'Income Statement'!N9-'Income Statement'!N11)/'Income Statement'!N6</f>
        <v>0.56670361201172581</v>
      </c>
      <c r="Q5" s="186">
        <f>('Income Statement'!O6-'Income Statement'!O8-'Income Statement'!O9-'Income Statement'!O11)/'Income Statement'!O6</f>
        <v>0.57694807112896551</v>
      </c>
      <c r="S5" s="356"/>
      <c r="T5" s="159" t="s">
        <v>450</v>
      </c>
      <c r="U5" s="186">
        <f>('Income Statement'!R7-'Income Statement'!R9-'Income Statement'!R10-'Income Statement'!R11)/'Income Statement'!R7</f>
        <v>0.45355509997512417</v>
      </c>
      <c r="V5" s="186">
        <f>('Income Statement'!S7-'Income Statement'!S9-'Income Statement'!S10-'Income Statement'!S11)/'Income Statement'!S7</f>
        <v>0.42660261179488257</v>
      </c>
      <c r="W5" s="186">
        <f>('Income Statement'!T7-'Income Statement'!T9-'Income Statement'!T10-'Income Statement'!T11)/'Income Statement'!T7</f>
        <v>0.39225342739251973</v>
      </c>
      <c r="X5" s="186">
        <f>('Income Statement'!U7-'Income Statement'!U9-'Income Statement'!U10-'Income Statement'!U11)/'Income Statement'!U7</f>
        <v>0.32721506343022672</v>
      </c>
      <c r="Y5" s="186">
        <f>('Income Statement'!V7-'Income Statement'!V9-'Income Statement'!V10-'Income Statement'!V11)/'Income Statement'!V7</f>
        <v>0.29119774842973584</v>
      </c>
      <c r="Z5" s="186">
        <f>('Income Statement'!W7-'Income Statement'!W9-'Income Statement'!W10-'Income Statement'!W11)/'Income Statement'!W7</f>
        <v>0.2423628007569614</v>
      </c>
      <c r="AB5" s="356"/>
      <c r="AC5" s="159" t="s">
        <v>450</v>
      </c>
      <c r="AD5" s="156">
        <f>('Income Statement'!Z6-'Income Statement'!Z8)/'Income Statement'!Z6</f>
        <v>0.60452266848410541</v>
      </c>
      <c r="AE5" s="156">
        <f>('Income Statement'!AA6-'Income Statement'!AA8)/'Income Statement'!AA6</f>
        <v>0.63299986208383208</v>
      </c>
      <c r="AF5" s="156">
        <f>('Income Statement'!AB6-'Income Statement'!AB8)/'Income Statement'!AB6</f>
        <v>0.63653893281397123</v>
      </c>
      <c r="AG5" s="156">
        <f>('Income Statement'!AC6-'Income Statement'!AC8)/'Income Statement'!AC6</f>
        <v>0.64972548830008225</v>
      </c>
      <c r="AH5" s="156">
        <f>('Income Statement'!AD6-'Income Statement'!AD8)/'Income Statement'!AD6</f>
        <v>0.61619047166584318</v>
      </c>
      <c r="AI5" s="156">
        <f>('Income Statement'!AE6-'Income Statement'!AE8)/'Income Statement'!AE6</f>
        <v>0.56763124228394723</v>
      </c>
      <c r="AK5" s="356"/>
      <c r="AL5" s="159" t="s">
        <v>450</v>
      </c>
      <c r="AM5" s="156">
        <f>('Income Statement'!AH8-'Income Statement'!AH10-'Income Statement'!AH12-'Income Statement'!AH13-'Income Statement'!AH14)/'Income Statement'!AH8</f>
        <v>0.52515609781550021</v>
      </c>
      <c r="AN5" s="156">
        <f>('Income Statement'!AI8-'Income Statement'!AI10-'Income Statement'!AI12-'Income Statement'!AI13-'Income Statement'!AI14)/'Income Statement'!AI8</f>
        <v>0.54857524022940474</v>
      </c>
      <c r="AO5" s="156">
        <f>('Income Statement'!AJ8-'Income Statement'!AJ10-'Income Statement'!AJ12-'Income Statement'!AJ13-'Income Statement'!AJ14)/'Income Statement'!AJ8</f>
        <v>0.5616627291052636</v>
      </c>
      <c r="AP5" s="156">
        <f>('Income Statement'!AK8-'Income Statement'!AK10-'Income Statement'!AK12-'Income Statement'!AK13-'Income Statement'!AK14)/'Income Statement'!AK8</f>
        <v>0.57665485955023121</v>
      </c>
      <c r="AQ5" s="156">
        <f>('Income Statement'!AL8-'Income Statement'!AL10-'Income Statement'!AL12-'Income Statement'!AL13-'Income Statement'!AL14)/'Income Statement'!AL8</f>
        <v>0.58806638154187196</v>
      </c>
      <c r="AR5" s="156">
        <f>('Income Statement'!AM8-'Income Statement'!AM10-'Income Statement'!AM12-'Income Statement'!AM13-'Income Statement'!AM14)/'Income Statement'!AM8</f>
        <v>0.60229548415743672</v>
      </c>
      <c r="AT5" s="356"/>
      <c r="AU5" s="159" t="s">
        <v>450</v>
      </c>
      <c r="AV5" s="156">
        <f>('Income Statement'!AP6-'Income Statement'!AP8-'Income Statement'!AP9-'Income Statement'!AP10)/'Income Statement'!AP6</f>
        <v>0.47714280462474495</v>
      </c>
      <c r="AW5" s="156">
        <f>('Income Statement'!AQ6-'Income Statement'!AQ8-'Income Statement'!AQ9-'Income Statement'!AQ10)/'Income Statement'!AQ6</f>
        <v>0.51098869896075871</v>
      </c>
      <c r="AX5" s="156">
        <f>('Income Statement'!AR6-'Income Statement'!AR8-'Income Statement'!AR9-'Income Statement'!AR10)/'Income Statement'!AR6</f>
        <v>0.5505187858477798</v>
      </c>
      <c r="AY5" s="156">
        <f>('Income Statement'!AS6-'Income Statement'!AS8-'Income Statement'!AS9-'Income Statement'!AS10)/'Income Statement'!AS6</f>
        <v>0.5779967517249649</v>
      </c>
      <c r="AZ5" s="156">
        <f>('Income Statement'!AT6-'Income Statement'!AT8-'Income Statement'!AT9-'Income Statement'!AT10)/'Income Statement'!AT6</f>
        <v>0.59328673553595757</v>
      </c>
      <c r="BA5" s="156">
        <f>('Income Statement'!AU6-'Income Statement'!AU8-'Income Statement'!AU9-'Income Statement'!AU10)/'Income Statement'!AU6</f>
        <v>0.60803037675517868</v>
      </c>
    </row>
    <row r="6" spans="1:53" x14ac:dyDescent="0.3">
      <c r="A6" s="357"/>
      <c r="B6" s="159" t="s">
        <v>451</v>
      </c>
      <c r="C6" s="186">
        <f>'Income Statement'!B25/Table7[[#This Row],[2020]]</f>
        <v>-0.63805613901088409</v>
      </c>
      <c r="D6" s="186">
        <f>'Income Statement'!C25/Table7[[#This Row],[2021]]</f>
        <v>-0.37769696824345184</v>
      </c>
      <c r="E6" s="186">
        <f>'Income Statement'!D25/Table7[[#This Row],[2022]]</f>
        <v>-5.4114203280157973E-2</v>
      </c>
      <c r="F6" s="186">
        <f>'Income Statement'!E25/Table7[[#This Row],[2023]]</f>
        <v>-1.0257126470597803E-3</v>
      </c>
      <c r="G6" s="186">
        <f>'Income Statement'!F25/Table7[[#This Row],[2024]]</f>
        <v>5.6519114661552225E-2</v>
      </c>
      <c r="H6" s="187">
        <f>'Income Statement'!G25/Table7[[#This Row],[2025]]</f>
        <v>0.21472007442760016</v>
      </c>
      <c r="J6" s="357"/>
      <c r="K6" s="159" t="s">
        <v>451</v>
      </c>
      <c r="L6" s="186">
        <f>'Income Statement'!J26/Table10[[#This Row],[2020]]</f>
        <v>0.48004132892879492</v>
      </c>
      <c r="M6" s="186">
        <f>'Income Statement'!K26/Table10[[#This Row],[2021]]</f>
        <v>0.26704449092656435</v>
      </c>
      <c r="N6" s="186">
        <f>'Income Statement'!L26/Table10[[#This Row],[2022]]</f>
        <v>0.22704553308371661</v>
      </c>
      <c r="O6" s="186">
        <f>'Income Statement'!M26/Table10[[#This Row],[2023]]</f>
        <v>7.0973555392424628E-2</v>
      </c>
      <c r="P6" s="186">
        <f>'Income Statement'!N26/Table10[[#This Row],[2024]]</f>
        <v>0.20842008583750263</v>
      </c>
      <c r="Q6" s="186">
        <f>'Income Statement'!O26/Table10[[#This Row],[2025]]</f>
        <v>0.32596509193070905</v>
      </c>
      <c r="S6" s="357"/>
      <c r="T6" s="159" t="s">
        <v>451</v>
      </c>
      <c r="U6" s="186">
        <f>'Income Statement'!R25/'Income Statement'!R7</f>
        <v>0.12100807177965152</v>
      </c>
      <c r="V6" s="186">
        <f>'Income Statement'!S25/'Income Statement'!S7</f>
        <v>0.10093602307109072</v>
      </c>
      <c r="W6" s="186">
        <f>'Income Statement'!T25/'Income Statement'!T7</f>
        <v>6.892180537861356E-2</v>
      </c>
      <c r="X6" s="186">
        <f>'Income Statement'!U25/'Income Statement'!U7</f>
        <v>9.4431125761662127E-2</v>
      </c>
      <c r="Y6" s="186">
        <f>'Income Statement'!V25/'Income Statement'!V7</f>
        <v>9.3895514020830198E-2</v>
      </c>
      <c r="Z6" s="186">
        <f>'Income Statement'!W25/'Income Statement'!W7</f>
        <v>8.4428787059565746E-2</v>
      </c>
      <c r="AB6" s="357"/>
      <c r="AC6" s="159" t="s">
        <v>451</v>
      </c>
      <c r="AD6" s="156">
        <f>'Income Statement'!Z23/Table14[[#This Row],[2020]]</f>
        <v>-4.9499144282739776E-3</v>
      </c>
      <c r="AE6" s="156">
        <f>'Income Statement'!AA23/Table14[[#This Row],[2021]]</f>
        <v>7.2523043010141869E-2</v>
      </c>
      <c r="AF6" s="156">
        <f>'Income Statement'!AB23/Table14[[#This Row],[2022]]</f>
        <v>8.704260231391317E-2</v>
      </c>
      <c r="AG6" s="156">
        <f>'Income Statement'!AC23/Table14[[#This Row],[2023]]</f>
        <v>9.8941235871286934E-2</v>
      </c>
      <c r="AH6" s="156">
        <f>'Income Statement'!AD23/Table14[[#This Row],[2024]]</f>
        <v>5.3433449887879639E-2</v>
      </c>
      <c r="AI6" s="156">
        <f>'Income Statement'!AE23/Table14[[#This Row],[2025]]</f>
        <v>6.995557877334066E-2</v>
      </c>
      <c r="AK6" s="357"/>
      <c r="AL6" s="159" t="s">
        <v>451</v>
      </c>
      <c r="AM6" s="156">
        <f>'Income Statement'!AH32/'Income Statement'!AH8</f>
        <v>-1.6061573848615551</v>
      </c>
      <c r="AN6" s="156">
        <f>'Income Statement'!AI32/'Income Statement'!AI8</f>
        <v>-1.0500090204717234</v>
      </c>
      <c r="AO6" s="156">
        <f>'Income Statement'!AJ32/'Income Statement'!AJ8</f>
        <v>-0.73089592675877002</v>
      </c>
      <c r="AP6" s="156">
        <f>'Income Statement'!AK32/'Income Statement'!AK8</f>
        <v>-0.68962425126799021</v>
      </c>
      <c r="AQ6" s="156">
        <f>'Income Statement'!AL32/'Income Statement'!AL8</f>
        <v>-0.7304682110796471</v>
      </c>
      <c r="AR6" s="156">
        <f>'Income Statement'!AM32/'Income Statement'!AM8</f>
        <v>-0.61408910586900345</v>
      </c>
      <c r="AT6" s="357"/>
      <c r="AU6" s="159" t="s">
        <v>451</v>
      </c>
      <c r="AV6" s="156">
        <f>'Income Statement'!AP23/Table18[[#This Row],[2020]]</f>
        <v>0.1022370089884749</v>
      </c>
      <c r="AW6" s="156">
        <f>'Income Statement'!AQ23/Table18[[#This Row],[2021]]</f>
        <v>0.1705803850303822</v>
      </c>
      <c r="AX6" s="156">
        <f>'Income Statement'!AR23/Table18[[#This Row],[2022]]</f>
        <v>0.19145453373719146</v>
      </c>
      <c r="AY6" s="156">
        <f>'Income Statement'!AS23/Table18[[#This Row],[2023]]</f>
        <v>0.19946370761164584</v>
      </c>
      <c r="AZ6" s="156">
        <f>'Income Statement'!AT23/Table18[[#This Row],[2024]]</f>
        <v>0.20348588643526849</v>
      </c>
      <c r="BA6" s="156">
        <f>'Income Statement'!AU23/Table18[[#This Row],[2025]]</f>
        <v>0.21544383428333103</v>
      </c>
    </row>
    <row r="7" spans="1:53" x14ac:dyDescent="0.3">
      <c r="A7" s="358" t="s">
        <v>452</v>
      </c>
      <c r="B7" s="159" t="s">
        <v>453</v>
      </c>
      <c r="C7" s="188">
        <f>'Balance Sheet'!B30/'Balance Sheet'!B60</f>
        <v>0.63062486053178168</v>
      </c>
      <c r="D7" s="188">
        <f>'Balance Sheet'!C30/'Balance Sheet'!C60</f>
        <v>0.5609215642908536</v>
      </c>
      <c r="E7" s="188">
        <f>'Balance Sheet'!D30/'Balance Sheet'!D60</f>
        <v>0.43700307295679885</v>
      </c>
      <c r="F7" s="188">
        <f>'Balance Sheet'!E30/'Balance Sheet'!E60</f>
        <v>0.51858904722346477</v>
      </c>
      <c r="G7" s="188">
        <f>'Balance Sheet'!F30/'Balance Sheet'!F60</f>
        <v>0.42025690174647612</v>
      </c>
      <c r="H7" s="189">
        <f>'Balance Sheet'!G30/'Balance Sheet'!G60</f>
        <v>0.37457728377601002</v>
      </c>
      <c r="J7" s="358" t="s">
        <v>452</v>
      </c>
      <c r="K7" s="159" t="s">
        <v>453</v>
      </c>
      <c r="L7" s="188">
        <f>'Balance Sheet'!J23/'Balance Sheet'!J48</f>
        <v>1.2940177194678932</v>
      </c>
      <c r="M7" s="188">
        <f>'Balance Sheet'!K23/'Balance Sheet'!K48</f>
        <v>0.69027855432741236</v>
      </c>
      <c r="N7" s="188">
        <f>'Balance Sheet'!L23/'Balance Sheet'!L48</f>
        <v>1.3947478729791889</v>
      </c>
      <c r="O7" s="188">
        <f>'Balance Sheet'!M23/'Balance Sheet'!M48</f>
        <v>1.066741804282844</v>
      </c>
      <c r="P7" s="188">
        <f>'Balance Sheet'!N23/'Balance Sheet'!N48</f>
        <v>1.0328361148033278</v>
      </c>
      <c r="Q7" s="188">
        <f>'Balance Sheet'!O23/'Balance Sheet'!O48</f>
        <v>1.3211468508603426</v>
      </c>
      <c r="S7" s="358" t="s">
        <v>452</v>
      </c>
      <c r="T7" s="159" t="s">
        <v>453</v>
      </c>
      <c r="U7" s="188">
        <f>'Balance Sheet'!R24/'Balance Sheet'!R47</f>
        <v>1.2612726697119081</v>
      </c>
      <c r="V7" s="188">
        <f>'Balance Sheet'!S24/'Balance Sheet'!S47</f>
        <v>1.4708219850872881</v>
      </c>
      <c r="W7" s="188">
        <f>'Balance Sheet'!T24/'Balance Sheet'!T47</f>
        <v>1.310233804763751</v>
      </c>
      <c r="X7" s="188">
        <f>'Balance Sheet'!U24/'Balance Sheet'!U47</f>
        <v>1.3857144746237866</v>
      </c>
      <c r="Y7" s="188">
        <f>'Balance Sheet'!V24/'Balance Sheet'!V47</f>
        <v>1.2055113785610239</v>
      </c>
      <c r="Z7" s="188">
        <f>'Balance Sheet'!W24/'Balance Sheet'!W47</f>
        <v>1.2881238305834326</v>
      </c>
      <c r="AB7" s="358" t="s">
        <v>452</v>
      </c>
      <c r="AC7" s="159" t="s">
        <v>453</v>
      </c>
      <c r="AD7" s="155">
        <f>'Balance Sheet'!Z29/'Balance Sheet'!Z54</f>
        <v>0.52259325284971625</v>
      </c>
      <c r="AE7" s="155">
        <f>'Balance Sheet'!AA29/'Balance Sheet'!AA54</f>
        <v>0.75157244446390126</v>
      </c>
      <c r="AF7" s="155">
        <f>'Balance Sheet'!AB29/'Balance Sheet'!AB54</f>
        <v>0.57762805952091467</v>
      </c>
      <c r="AG7" s="155">
        <f>'Balance Sheet'!AC29/'Balance Sheet'!AC54</f>
        <v>0.59381009897873882</v>
      </c>
      <c r="AH7" s="155">
        <f>'Balance Sheet'!AD29/'Balance Sheet'!AD54</f>
        <v>0.43881819811055067</v>
      </c>
      <c r="AI7" s="155">
        <f>'Balance Sheet'!AE29/'Balance Sheet'!AE54</f>
        <v>0.57891331591478179</v>
      </c>
      <c r="AK7" s="358" t="s">
        <v>452</v>
      </c>
      <c r="AL7" s="159" t="s">
        <v>453</v>
      </c>
      <c r="AM7" s="155">
        <f>'Balance Sheet'!AH26/'Balance Sheet'!AH53</f>
        <v>0.17429534119471707</v>
      </c>
      <c r="AN7" s="155">
        <f>'Balance Sheet'!AI26/'Balance Sheet'!AI53</f>
        <v>0.21246576316791957</v>
      </c>
      <c r="AO7" s="155">
        <f>'Balance Sheet'!AJ26/'Balance Sheet'!AJ53</f>
        <v>0.27427433878748125</v>
      </c>
      <c r="AP7" s="155">
        <f>'Balance Sheet'!AK26/'Balance Sheet'!AK53</f>
        <v>0.23103659115634581</v>
      </c>
      <c r="AQ7" s="155">
        <f>'Balance Sheet'!AL26/'Balance Sheet'!AL53</f>
        <v>0.24079517730708108</v>
      </c>
      <c r="AR7" s="155">
        <f>'Balance Sheet'!AM26/'Balance Sheet'!AM53</f>
        <v>0.56073525426790727</v>
      </c>
      <c r="AT7" s="358" t="s">
        <v>452</v>
      </c>
      <c r="AU7" s="159" t="s">
        <v>453</v>
      </c>
      <c r="AV7" s="155">
        <f>'Balance Sheet'!AP20/'Balance Sheet'!AP46</f>
        <v>0.74031754294638208</v>
      </c>
      <c r="AW7" s="155">
        <f>'Balance Sheet'!AQ20/'Balance Sheet'!AQ46</f>
        <v>0.74180002645152754</v>
      </c>
      <c r="AX7" s="155">
        <f>'Balance Sheet'!AR20/'Balance Sheet'!AR46</f>
        <v>0.63830018712737713</v>
      </c>
      <c r="AY7" s="155">
        <f>'Balance Sheet'!AS20/'Balance Sheet'!AS46</f>
        <v>0.46505638524839987</v>
      </c>
      <c r="AZ7" s="155">
        <f>'Balance Sheet'!AT20/'Balance Sheet'!AT46</f>
        <v>0.50912363837774632</v>
      </c>
      <c r="BA7" s="155">
        <f>'Balance Sheet'!AU20/'Balance Sheet'!AU46</f>
        <v>0.7169331916970515</v>
      </c>
    </row>
    <row r="8" spans="1:53" x14ac:dyDescent="0.3">
      <c r="A8" s="357"/>
      <c r="B8" s="159" t="s">
        <v>454</v>
      </c>
      <c r="C8" s="188">
        <f>('Balance Sheet'!B30-'Balance Sheet'!B21)/'Balance Sheet'!B60</f>
        <v>0.6305916027258528</v>
      </c>
      <c r="D8" s="188">
        <f>('Balance Sheet'!C30-'Balance Sheet'!C21)/'Balance Sheet'!C60</f>
        <v>0.56091036598851618</v>
      </c>
      <c r="E8" s="188">
        <f>('Balance Sheet'!D30-'Balance Sheet'!D21)/'Balance Sheet'!D60</f>
        <v>0.43699782228307171</v>
      </c>
      <c r="F8" s="188">
        <f>('Balance Sheet'!E30-'Balance Sheet'!E21)/'Balance Sheet'!E60</f>
        <v>0.51858904722346477</v>
      </c>
      <c r="G8" s="188">
        <f>('Balance Sheet'!F30-'Balance Sheet'!F21)/'Balance Sheet'!F60</f>
        <v>0.41763264434857988</v>
      </c>
      <c r="H8" s="189">
        <f>('Balance Sheet'!G30-'Balance Sheet'!G21)/'Balance Sheet'!G60</f>
        <v>0.37207396134564252</v>
      </c>
      <c r="J8" s="357"/>
      <c r="K8" s="159" t="s">
        <v>454</v>
      </c>
      <c r="L8" s="188">
        <f>('Balance Sheet'!J23-'Balance Sheet'!J16)/'Balance Sheet'!J48</f>
        <v>1.2940177194678932</v>
      </c>
      <c r="M8" s="188">
        <f>('Balance Sheet'!K23-'Balance Sheet'!K16)/'Balance Sheet'!K48</f>
        <v>0.69027855432741236</v>
      </c>
      <c r="N8" s="188">
        <f>('Balance Sheet'!L23-'Balance Sheet'!L16)/'Balance Sheet'!L48</f>
        <v>1.3947478729791889</v>
      </c>
      <c r="O8" s="188">
        <f>('Balance Sheet'!M23-'Balance Sheet'!M16)/'Balance Sheet'!M48</f>
        <v>1.066741804282844</v>
      </c>
      <c r="P8" s="188">
        <f>('Balance Sheet'!N23-'Balance Sheet'!N16)/'Balance Sheet'!N48</f>
        <v>1.0328361148033278</v>
      </c>
      <c r="Q8" s="188">
        <f>('Balance Sheet'!O23-'Balance Sheet'!O16)/'Balance Sheet'!O48</f>
        <v>1.3203702946826337</v>
      </c>
      <c r="S8" s="357"/>
      <c r="T8" s="159" t="s">
        <v>454</v>
      </c>
      <c r="U8" s="188">
        <f>('Balance Sheet'!R24-'Balance Sheet'!R15)/'Balance Sheet'!R47</f>
        <v>1.2607186468273708</v>
      </c>
      <c r="V8" s="188">
        <f>('Balance Sheet'!S24-'Balance Sheet'!S15)/'Balance Sheet'!S47</f>
        <v>1.4697414832343614</v>
      </c>
      <c r="W8" s="188">
        <f>('Balance Sheet'!T24-'Balance Sheet'!T15)/'Balance Sheet'!T47</f>
        <v>1.3094415319521937</v>
      </c>
      <c r="X8" s="188">
        <f>('Balance Sheet'!U24-'Balance Sheet'!U15)/'Balance Sheet'!U47</f>
        <v>1.38510618603052</v>
      </c>
      <c r="Y8" s="188">
        <f>('Balance Sheet'!V24-'Balance Sheet'!V15)/'Balance Sheet'!V47</f>
        <v>1.2040738352795088</v>
      </c>
      <c r="Z8" s="188">
        <f>('Balance Sheet'!W24-'Balance Sheet'!W15)/'Balance Sheet'!W47</f>
        <v>1.2881204286443273</v>
      </c>
      <c r="AB8" s="357"/>
      <c r="AC8" s="159" t="s">
        <v>454</v>
      </c>
      <c r="AD8" s="155">
        <f>('Balance Sheet'!Z29-'Balance Sheet'!Z21)/'Balance Sheet'!Z54</f>
        <v>0.51617572950187451</v>
      </c>
      <c r="AE8" s="155">
        <f>('Balance Sheet'!AA29-'Balance Sheet'!AA21)/'Balance Sheet'!AA54</f>
        <v>0.74713805450797477</v>
      </c>
      <c r="AF8" s="155">
        <f>('Balance Sheet'!AB29-'Balance Sheet'!AB21)/'Balance Sheet'!AB54</f>
        <v>0.57313493028414164</v>
      </c>
      <c r="AG8" s="155">
        <f>('Balance Sheet'!AC29-'Balance Sheet'!AC21)/'Balance Sheet'!AC54</f>
        <v>0.57746011113904228</v>
      </c>
      <c r="AH8" s="155">
        <f>('Balance Sheet'!AD29-'Balance Sheet'!AD21)/'Balance Sheet'!AD54</f>
        <v>0.43270729628803312</v>
      </c>
      <c r="AI8" s="155">
        <f>('Balance Sheet'!AE29-'Balance Sheet'!AE21)/'Balance Sheet'!AE54</f>
        <v>0.56629006446783436</v>
      </c>
      <c r="AK8" s="357"/>
      <c r="AL8" s="159" t="s">
        <v>454</v>
      </c>
      <c r="AM8" s="155">
        <f>('Balance Sheet'!AH26-'Balance Sheet'!AH16)/'Balance Sheet'!AH53</f>
        <v>0.17426922734228981</v>
      </c>
      <c r="AN8" s="155">
        <f>('Balance Sheet'!AI26-'Balance Sheet'!AI16)/'Balance Sheet'!AI53</f>
        <v>0.21245672175099692</v>
      </c>
      <c r="AO8" s="155">
        <f>('Balance Sheet'!AJ26-'Balance Sheet'!AJ16)/'Balance Sheet'!AJ53</f>
        <v>0.27423671645355524</v>
      </c>
      <c r="AP8" s="155">
        <f>('Balance Sheet'!AK26-'Balance Sheet'!AK16)/'Balance Sheet'!AK53</f>
        <v>0.23076502723136411</v>
      </c>
      <c r="AQ8" s="155">
        <f>('Balance Sheet'!AL26-'Balance Sheet'!AL16)/'Balance Sheet'!AL53</f>
        <v>0.2407727947594995</v>
      </c>
      <c r="AR8" s="155">
        <f>('Balance Sheet'!AM26-'Balance Sheet'!AM16)/'Balance Sheet'!AM53</f>
        <v>0.56071538253093678</v>
      </c>
      <c r="AT8" s="357"/>
      <c r="AU8" s="159" t="s">
        <v>454</v>
      </c>
      <c r="AV8" s="155">
        <v>0</v>
      </c>
      <c r="AW8" s="155">
        <v>0</v>
      </c>
      <c r="AX8" s="155">
        <v>0</v>
      </c>
      <c r="AY8" s="155">
        <v>0</v>
      </c>
      <c r="AZ8" s="155">
        <v>0</v>
      </c>
      <c r="BA8" s="155">
        <v>0</v>
      </c>
    </row>
    <row r="9" spans="1:53" x14ac:dyDescent="0.3">
      <c r="A9" s="349" t="s">
        <v>455</v>
      </c>
      <c r="B9" s="159" t="s">
        <v>456</v>
      </c>
      <c r="C9" s="188">
        <f>('Balance Sheet'!B39+'Balance Sheet'!B48+'Balance Sheet'!B49)/'Balance Sheet'!B37</f>
        <v>0.81202651701876771</v>
      </c>
      <c r="D9" s="188">
        <f>('Balance Sheet'!C39+'Balance Sheet'!C48+'Balance Sheet'!C49)/'Balance Sheet'!C37</f>
        <v>1.2203668299291235</v>
      </c>
      <c r="E9" s="188">
        <f>('Balance Sheet'!D39+'Balance Sheet'!D48+'Balance Sheet'!D49)/'Balance Sheet'!D37</f>
        <v>1.4374673603088</v>
      </c>
      <c r="F9" s="188">
        <f>('Balance Sheet'!E39+'Balance Sheet'!E48+'Balance Sheet'!E49)/'Balance Sheet'!E37</f>
        <v>1.7804145662802207</v>
      </c>
      <c r="G9" s="188">
        <f>('Balance Sheet'!F39+'Balance Sheet'!F48+'Balance Sheet'!F49)/'Balance Sheet'!F37</f>
        <v>1.4390951831071039</v>
      </c>
      <c r="H9" s="189">
        <f>('Balance Sheet'!G39+'Balance Sheet'!G48+'Balance Sheet'!G49)/'Balance Sheet'!G37</f>
        <v>0.96640726354796469</v>
      </c>
      <c r="J9" s="349" t="s">
        <v>455</v>
      </c>
      <c r="K9" s="159" t="s">
        <v>456</v>
      </c>
      <c r="L9" s="188">
        <f>('Balance Sheet'!J31+'Balance Sheet'!J39)/'Balance Sheet'!J29</f>
        <v>0.17858118635682269</v>
      </c>
      <c r="M9" s="188">
        <f>('Balance Sheet'!K31+'Balance Sheet'!K39)/'Balance Sheet'!K29</f>
        <v>0.43901870630471745</v>
      </c>
      <c r="N9" s="188">
        <f>('Balance Sheet'!L31+'Balance Sheet'!L39)/'Balance Sheet'!L29</f>
        <v>0.24770546940249658</v>
      </c>
      <c r="O9" s="188">
        <f>('Balance Sheet'!M31+'Balance Sheet'!M39)/'Balance Sheet'!M29</f>
        <v>0.22324545820602101</v>
      </c>
      <c r="P9" s="188">
        <f>('Balance Sheet'!N31+'Balance Sheet'!N39)/'Balance Sheet'!N29</f>
        <v>0.15946713611550808</v>
      </c>
      <c r="Q9" s="188">
        <f>('Balance Sheet'!O31+'Balance Sheet'!O39)/'Balance Sheet'!O29</f>
        <v>6.9615949141955111E-2</v>
      </c>
      <c r="S9" s="349" t="s">
        <v>455</v>
      </c>
      <c r="T9" s="159" t="s">
        <v>456</v>
      </c>
      <c r="U9" s="188">
        <f>('Balance Sheet'!R33+'Balance Sheet'!R40)/'Balance Sheet'!R30</f>
        <v>3.1066287892619015E-2</v>
      </c>
      <c r="V9" s="188">
        <f>('Balance Sheet'!S33+'Balance Sheet'!S40)/'Balance Sheet'!S30</f>
        <v>2.1361532254639656E-2</v>
      </c>
      <c r="W9" s="188">
        <f>('Balance Sheet'!T33+'Balance Sheet'!T40)/'Balance Sheet'!T30</f>
        <v>2.0639152163803208E-2</v>
      </c>
      <c r="X9" s="188">
        <f>('Balance Sheet'!U33+'Balance Sheet'!U40)/'Balance Sheet'!U30</f>
        <v>2.5344476250545828E-2</v>
      </c>
      <c r="Y9" s="188">
        <f>('Balance Sheet'!V33+'Balance Sheet'!V40)/'Balance Sheet'!V30</f>
        <v>2.4966616317506182E-2</v>
      </c>
      <c r="Z9" s="188">
        <f>('Balance Sheet'!W33+'Balance Sheet'!W40)/'Balance Sheet'!W30</f>
        <v>2.2274232104099779E-2</v>
      </c>
      <c r="AB9" s="349" t="s">
        <v>455</v>
      </c>
      <c r="AC9" s="159" t="s">
        <v>456</v>
      </c>
      <c r="AD9" s="155">
        <f>('Balance Sheet'!Z38+'Balance Sheet'!Z46+'Balance Sheet'!Z40+'Balance Sheet'!Z49)/'Balance Sheet'!Z36</f>
        <v>-8.4632187247273514</v>
      </c>
      <c r="AE9" s="155">
        <f>('Balance Sheet'!AA38+'Balance Sheet'!AA46+'Balance Sheet'!AA40+'Balance Sheet'!AA49)/'Balance Sheet'!AA36</f>
        <v>78.230731741279669</v>
      </c>
      <c r="AF9" s="155">
        <f>('Balance Sheet'!AB38+'Balance Sheet'!AB46+'Balance Sheet'!AB40+'Balance Sheet'!AB49)/'Balance Sheet'!AB36</f>
        <v>9.5405614592921104</v>
      </c>
      <c r="AG9" s="155">
        <f>('Balance Sheet'!AC38+'Balance Sheet'!AC46+'Balance Sheet'!AC40+'Balance Sheet'!AC49)/'Balance Sheet'!AC36</f>
        <v>5.538318481208834</v>
      </c>
      <c r="AH9" s="155">
        <f>('Balance Sheet'!AD38+'Balance Sheet'!AD46+'Balance Sheet'!AD40+'Balance Sheet'!AD49)/'Balance Sheet'!AD36</f>
        <v>6.291219348712505</v>
      </c>
      <c r="AI9" s="155">
        <f>('Balance Sheet'!AE38+'Balance Sheet'!AE46+'Balance Sheet'!AE40+'Balance Sheet'!AE49)/'Balance Sheet'!AE36</f>
        <v>4.0860370071554222</v>
      </c>
      <c r="AK9" s="349" t="s">
        <v>455</v>
      </c>
      <c r="AL9" s="159" t="s">
        <v>456</v>
      </c>
      <c r="AM9" s="155">
        <f>('Balance Sheet'!AH37+'Balance Sheet'!AH46+'Balance Sheet'!AH39+'Balance Sheet'!AH47)/'Balance Sheet'!AH33</f>
        <v>16.106055285205432</v>
      </c>
      <c r="AN9" s="155">
        <f>('Balance Sheet'!AI37+'Balance Sheet'!AI46+'Balance Sheet'!AI39+'Balance Sheet'!AI47)/'Balance Sheet'!AI33</f>
        <v>-4.1178063199748882</v>
      </c>
      <c r="AO9" s="155">
        <f>('Balance Sheet'!AJ37+'Balance Sheet'!AJ46+'Balance Sheet'!AJ39+'Balance Sheet'!AJ47)/'Balance Sheet'!AJ33</f>
        <v>-3.4497182271224949</v>
      </c>
      <c r="AP9" s="155">
        <f>('Balance Sheet'!AK37+'Balance Sheet'!AK46+'Balance Sheet'!AK39+'Balance Sheet'!AK47)/'Balance Sheet'!AK33</f>
        <v>-3.197537355885157</v>
      </c>
      <c r="AQ9" s="155">
        <f>('Balance Sheet'!AL37+'Balance Sheet'!AL46+'Balance Sheet'!AL39+'Balance Sheet'!AL47)/'Balance Sheet'!AL33</f>
        <v>-2.3405634040788428</v>
      </c>
      <c r="AR9" s="155">
        <f>('Balance Sheet'!AM37+'Balance Sheet'!AM46+'Balance Sheet'!AM39+'Balance Sheet'!AM47)/'Balance Sheet'!AM33</f>
        <v>-3.3166671880910461</v>
      </c>
      <c r="AT9" s="349" t="s">
        <v>455</v>
      </c>
      <c r="AU9" s="159" t="s">
        <v>456</v>
      </c>
      <c r="AV9" s="155">
        <f>('Balance Sheet'!AP28+'Balance Sheet'!AP29+'Balance Sheet'!AP37+'Balance Sheet'!AP38)/'Balance Sheet'!AP26</f>
        <v>0.1359531107419453</v>
      </c>
      <c r="AW9" s="155">
        <f>('Balance Sheet'!AQ28+'Balance Sheet'!AQ29+'Balance Sheet'!AQ37+'Balance Sheet'!AQ38)/'Balance Sheet'!AQ26</f>
        <v>6.0877834434588711E-2</v>
      </c>
      <c r="AX9" s="155">
        <f>('Balance Sheet'!AR28+'Balance Sheet'!AR29+'Balance Sheet'!AR37+'Balance Sheet'!AR38)/'Balance Sheet'!AR26</f>
        <v>0.26492132324359252</v>
      </c>
      <c r="AY9" s="155">
        <f>('Balance Sheet'!AS28+'Balance Sheet'!AS29+'Balance Sheet'!AS37+'Balance Sheet'!AS38)/'Balance Sheet'!AS26</f>
        <v>0.22809545582604759</v>
      </c>
      <c r="AZ9" s="155">
        <f>('Balance Sheet'!AT28+'Balance Sheet'!AT29+'Balance Sheet'!AT37+'Balance Sheet'!AT38)/'Balance Sheet'!AT26</f>
        <v>0.27648718740613193</v>
      </c>
      <c r="BA9" s="155">
        <f>('Balance Sheet'!AU28+'Balance Sheet'!AU29+'Balance Sheet'!AU37+'Balance Sheet'!AU38)/'Balance Sheet'!AU26</f>
        <v>0.31766375771395339</v>
      </c>
    </row>
    <row r="10" spans="1:53" ht="28.8" x14ac:dyDescent="0.3">
      <c r="A10" s="349"/>
      <c r="B10" s="159" t="s">
        <v>457</v>
      </c>
      <c r="C10" s="188">
        <f>('Balance Sheet'!B39+'Balance Sheet'!B40+'Balance Sheet'!B48+'Balance Sheet'!B49+'Balance Sheet'!B50-'Balance Sheet'!B25)/'Income Statement'!B15</f>
        <v>5.1587944279834286</v>
      </c>
      <c r="D10" s="188">
        <f>('Balance Sheet'!C39+'Balance Sheet'!C40+'Balance Sheet'!C48+'Balance Sheet'!C49+'Balance Sheet'!C50-'Balance Sheet'!C25)/'Income Statement'!C15</f>
        <v>4.2609838008692211</v>
      </c>
      <c r="E10" s="188">
        <f>('Balance Sheet'!D39+'Balance Sheet'!D40+'Balance Sheet'!D48+'Balance Sheet'!D49+'Balance Sheet'!D50-'Balance Sheet'!D25)/'Income Statement'!D15</f>
        <v>3.6707728476539825</v>
      </c>
      <c r="F10" s="188">
        <f>('Balance Sheet'!E39+'Balance Sheet'!E40+'Balance Sheet'!E48+'Balance Sheet'!E49+'Balance Sheet'!E50-'Balance Sheet'!E25)/'Income Statement'!E15</f>
        <v>3.8831378883325249</v>
      </c>
      <c r="G10" s="188">
        <f>('Balance Sheet'!F39+'Balance Sheet'!F40+'Balance Sheet'!F48+'Balance Sheet'!F49+'Balance Sheet'!F50-'Balance Sheet'!F25)/'Income Statement'!F15</f>
        <v>2.6173852838178195</v>
      </c>
      <c r="H10" s="189">
        <f>('Balance Sheet'!G39+'Balance Sheet'!G40+'Balance Sheet'!G48+'Balance Sheet'!G49+'Balance Sheet'!G50-'Balance Sheet'!G25)/'Income Statement'!G15</f>
        <v>2.1907542152726238</v>
      </c>
      <c r="J10" s="349"/>
      <c r="K10" s="159" t="s">
        <v>457</v>
      </c>
      <c r="L10" s="188">
        <f>('Balance Sheet'!J31+'Balance Sheet'!J32+'Balance Sheet'!J39+'Balance Sheet'!J43-'Balance Sheet'!J19)/'Income Statement'!J14</f>
        <v>1.1963804286896405</v>
      </c>
      <c r="M10" s="188">
        <f>('Balance Sheet'!K31+'Balance Sheet'!K32+'Balance Sheet'!K39+'Balance Sheet'!K43-'Balance Sheet'!K19)/'Income Statement'!K14</f>
        <v>2.7314263491041744</v>
      </c>
      <c r="N10" s="188">
        <f>('Balance Sheet'!L31+'Balance Sheet'!L32+'Balance Sheet'!L39+'Balance Sheet'!L43-'Balance Sheet'!L19)/'Income Statement'!L14</f>
        <v>1.2255841625586779</v>
      </c>
      <c r="O10" s="188">
        <f>('Balance Sheet'!M31+'Balance Sheet'!M32+'Balance Sheet'!M39+'Balance Sheet'!M43-'Balance Sheet'!M19)/'Income Statement'!M14</f>
        <v>1.8919759485797223</v>
      </c>
      <c r="P10" s="188">
        <f>('Balance Sheet'!N31+'Balance Sheet'!N32+'Balance Sheet'!N39+'Balance Sheet'!N43-'Balance Sheet'!N19)/'Income Statement'!N14</f>
        <v>1.3595416805048159</v>
      </c>
      <c r="Q10" s="188">
        <f>('Balance Sheet'!O31+'Balance Sheet'!O32+'Balance Sheet'!O39+'Balance Sheet'!O43-'Balance Sheet'!O19)/'Income Statement'!O14</f>
        <v>0.99129798730563234</v>
      </c>
      <c r="S10" s="349"/>
      <c r="T10" s="159" t="s">
        <v>457</v>
      </c>
      <c r="U10" s="188">
        <f>('Balance Sheet'!R33+'Balance Sheet'!R40-'Balance Sheet'!R18)/('Income Statement'!R18+'Income Statement'!R15+'Income Statement'!R16)</f>
        <v>-0.24756419228077742</v>
      </c>
      <c r="V10" s="188">
        <f>('Balance Sheet'!S33+'Balance Sheet'!S40-'Balance Sheet'!S18)/('Income Statement'!S18+'Income Statement'!S15+'Income Statement'!S16)</f>
        <v>-0.61235300643443602</v>
      </c>
      <c r="W10" s="188">
        <f>('Balance Sheet'!T33+'Balance Sheet'!T40-'Balance Sheet'!T18)/('Income Statement'!T18+'Income Statement'!T15+'Income Statement'!T16)</f>
        <v>-0.39274085665968356</v>
      </c>
      <c r="X10" s="188">
        <f>('Balance Sheet'!U33+'Balance Sheet'!U40-'Balance Sheet'!U18)/('Income Statement'!U18+'Income Statement'!U15+'Income Statement'!U16)</f>
        <v>-0.35040870628281046</v>
      </c>
      <c r="Y10" s="188">
        <f>('Balance Sheet'!V33+'Balance Sheet'!V40-'Balance Sheet'!V18)/('Income Statement'!V18+'Income Statement'!V15+'Income Statement'!V16)</f>
        <v>-0.38985373007602914</v>
      </c>
      <c r="Z10" s="188">
        <f>('Balance Sheet'!W33+'Balance Sheet'!W40-'Balance Sheet'!W18)/('Income Statement'!W18+'Income Statement'!W15+'Income Statement'!W16)</f>
        <v>-0.43409499019785475</v>
      </c>
      <c r="AB10" s="349"/>
      <c r="AC10" s="159" t="s">
        <v>457</v>
      </c>
      <c r="AD10" s="155">
        <f>('Balance Sheet'!Z38+'Balance Sheet'!Z40+'Balance Sheet'!Z46+'Balance Sheet'!Z49-'Balance Sheet'!Z24)/('Income Statement'!Z14+'Income Statement'!Z11+Table14[[#This Row],[2020]])</f>
        <v>2.9562172671595244</v>
      </c>
      <c r="AE10" s="155">
        <f>('Balance Sheet'!AA38+'Balance Sheet'!AA40+'Balance Sheet'!AA46+'Balance Sheet'!AA49-'Balance Sheet'!AA24)/('Income Statement'!AA14+'Income Statement'!AA11+Table14[[#This Row],[2021]])</f>
        <v>2.3585302467095599</v>
      </c>
      <c r="AF10" s="155">
        <f>('Balance Sheet'!AB38+'Balance Sheet'!AB40+'Balance Sheet'!AB46+'Balance Sheet'!AB49-'Balance Sheet'!AB24)/('Income Statement'!AB14+'Income Statement'!AB11+Table14[[#This Row],[2022]])</f>
        <v>1.847999806967169</v>
      </c>
      <c r="AG10" s="155">
        <f>('Balance Sheet'!AC38+'Balance Sheet'!AC40+'Balance Sheet'!AC46+'Balance Sheet'!AC49-'Balance Sheet'!AC24)/('Income Statement'!AC14+'Income Statement'!AC11+Table14[[#This Row],[2023]])</f>
        <v>1.6175059491004788</v>
      </c>
      <c r="AH10" s="155">
        <f>('Balance Sheet'!AD38+'Balance Sheet'!AD40+'Balance Sheet'!AD46+'Balance Sheet'!AD49-'Balance Sheet'!AD24)/('Income Statement'!AD14+'Income Statement'!AD11+Table14[[#This Row],[2024]])</f>
        <v>2.2987086691171976</v>
      </c>
      <c r="AI10" s="155">
        <f>('Balance Sheet'!AE38+'Balance Sheet'!AE40+'Balance Sheet'!AE46+'Balance Sheet'!AE49-'Balance Sheet'!AE24)/('Income Statement'!AE14+'Income Statement'!AE11+Table14[[#This Row],[2025]])</f>
        <v>2.5159799375655689</v>
      </c>
      <c r="AK10" s="349"/>
      <c r="AL10" s="159" t="s">
        <v>457</v>
      </c>
      <c r="AM10" s="155">
        <f>('Balance Sheet'!AH37+'Balance Sheet'!AH39+'Balance Sheet'!AH46+'Balance Sheet'!AH47-'Balance Sheet'!AH19)/('Income Statement'!AH19)</f>
        <v>6.0144811243872116</v>
      </c>
      <c r="AN10" s="155">
        <f>('Balance Sheet'!AI37+'Balance Sheet'!AI39+'Balance Sheet'!AI46+'Balance Sheet'!AI47-'Balance Sheet'!AI19)/('Income Statement'!AI19)</f>
        <v>9.1744227477964291</v>
      </c>
      <c r="AO10" s="155">
        <f>('Balance Sheet'!AJ37+'Balance Sheet'!AJ39+'Balance Sheet'!AJ46+'Balance Sheet'!AJ47-'Balance Sheet'!AJ19)/('Income Statement'!AJ19)</f>
        <v>13.133395193467564</v>
      </c>
      <c r="AP10" s="155">
        <f>('Balance Sheet'!AK37+'Balance Sheet'!AK39+'Balance Sheet'!AK46+'Balance Sheet'!AK47-'Balance Sheet'!AK19)/('Income Statement'!AK19)</f>
        <v>13.868113005960897</v>
      </c>
      <c r="AQ10" s="155">
        <f>('Balance Sheet'!AL37+'Balance Sheet'!AL39+'Balance Sheet'!AL46+'Balance Sheet'!AL47-'Balance Sheet'!AL19)/('Income Statement'!AL19)</f>
        <v>14.132976008167438</v>
      </c>
      <c r="AR10" s="155">
        <f>('Balance Sheet'!AM37+'Balance Sheet'!AM39+'Balance Sheet'!AM46+'Balance Sheet'!AM47-'Balance Sheet'!AM19)/('Income Statement'!AM19)</f>
        <v>12.167413512158442</v>
      </c>
      <c r="AT10" s="349"/>
      <c r="AU10" s="159" t="s">
        <v>457</v>
      </c>
      <c r="AV10" s="155">
        <f>('Balance Sheet'!AP28+'Balance Sheet'!AP29+'Balance Sheet'!AP37+'Balance Sheet'!AP38-'Balance Sheet'!AP16)/('Income Statement'!AP17+'Income Statement'!AP12+'Income Statement'!AP13)</f>
        <v>0.74702133555001382</v>
      </c>
      <c r="AW10" s="155">
        <f>('Balance Sheet'!AQ28+'Balance Sheet'!AQ29+'Balance Sheet'!AQ37+'Balance Sheet'!AQ38-'Balance Sheet'!AQ16)/('Income Statement'!AQ17+'Income Statement'!AQ12+'Income Statement'!AQ13)</f>
        <v>0.34839960586122498</v>
      </c>
      <c r="AX10" s="155">
        <f>('Balance Sheet'!AR28+'Balance Sheet'!AR29+'Balance Sheet'!AR37+'Balance Sheet'!AR38-'Balance Sheet'!AR16)/('Income Statement'!AR17+'Income Statement'!AR12+'Income Statement'!AR13)</f>
        <v>1.3675512348922754</v>
      </c>
      <c r="AY10" s="155">
        <f>('Balance Sheet'!AS28+'Balance Sheet'!AS29+'Balance Sheet'!AS37+'Balance Sheet'!AS38-'Balance Sheet'!AS16)/('Income Statement'!AS17+'Income Statement'!AS12+'Income Statement'!AS13)</f>
        <v>1.0260446419126203</v>
      </c>
      <c r="AZ10" s="155">
        <f>('Balance Sheet'!AT28+'Balance Sheet'!AT29+'Balance Sheet'!AT37+'Balance Sheet'!AT38-'Balance Sheet'!AT16)/('Income Statement'!AT17+'Income Statement'!AT12+'Income Statement'!AT13)</f>
        <v>1.2176330420969024</v>
      </c>
      <c r="BA10" s="155">
        <f>('Balance Sheet'!AU28+'Balance Sheet'!AU29+'Balance Sheet'!AU37+'Balance Sheet'!AU38-'Balance Sheet'!AU16)/('Income Statement'!AU17+'Income Statement'!AU12+'Income Statement'!AU13)</f>
        <v>1.2591413126908693</v>
      </c>
    </row>
    <row r="11" spans="1:53" x14ac:dyDescent="0.3">
      <c r="A11" s="349" t="s">
        <v>458</v>
      </c>
      <c r="B11" s="159" t="s">
        <v>459</v>
      </c>
      <c r="C11" s="186">
        <f>'Income Statement'!B6/'Balance Sheet'!B31</f>
        <v>0.1882980083416341</v>
      </c>
      <c r="D11" s="186">
        <f>'Income Statement'!C6/AVERAGE('Balance Sheet'!B31:C31)</f>
        <v>0.23079572247902205</v>
      </c>
      <c r="E11" s="186">
        <f>'Income Statement'!D6/AVERAGE('Balance Sheet'!C31:D31)</f>
        <v>0.26011137950399271</v>
      </c>
      <c r="F11" s="186">
        <f>'Income Statement'!E6/AVERAGE('Balance Sheet'!D31:E31)</f>
        <v>0.28790807128331725</v>
      </c>
      <c r="G11" s="186">
        <f>'Income Statement'!F6/AVERAGE('Balance Sheet'!E31:F31)</f>
        <v>0.38819691935041817</v>
      </c>
      <c r="H11" s="187">
        <f>'Income Statement'!G6/AVERAGE('Balance Sheet'!F31:G31)</f>
        <v>0.36408481711276169</v>
      </c>
      <c r="J11" s="349" t="s">
        <v>458</v>
      </c>
      <c r="K11" s="159" t="s">
        <v>459</v>
      </c>
      <c r="L11" s="186">
        <f>'Income Statement'!J6/'Balance Sheet'!J24</f>
        <v>0.34786548479034513</v>
      </c>
      <c r="M11" s="186">
        <f>'Income Statement'!K6/AVERAGE('Balance Sheet'!J24:K24)</f>
        <v>0.43745672173310901</v>
      </c>
      <c r="N11" s="186">
        <f>'Income Statement'!L6/AVERAGE('Balance Sheet'!K24:L24)</f>
        <v>0.60422575079672758</v>
      </c>
      <c r="O11" s="186">
        <f>'Income Statement'!M6/AVERAGE('Balance Sheet'!L24:M24)</f>
        <v>0.60806219589591703</v>
      </c>
      <c r="P11" s="186">
        <f>'Income Statement'!N6/AVERAGE('Balance Sheet'!M24:N24)</f>
        <v>0.56543732916829359</v>
      </c>
      <c r="Q11" s="186">
        <f>'Income Statement'!O6/AVERAGE('Balance Sheet'!N24:O24)</f>
        <v>0.51191470272468065</v>
      </c>
      <c r="S11" s="349" t="s">
        <v>458</v>
      </c>
      <c r="T11" s="159" t="s">
        <v>459</v>
      </c>
      <c r="U11" s="186">
        <f>'Income Statement'!R7/'Balance Sheet'!Z30</f>
        <v>5.2604362436246326E-2</v>
      </c>
      <c r="V11" s="186">
        <f>'Income Statement'!R7/AVERAGE('Balance Sheet'!Z30:AA30)</f>
        <v>5.3605849700010658E-2</v>
      </c>
      <c r="W11" s="186">
        <f>'Income Statement'!S7/AVERAGE('Balance Sheet'!AA30:AB30)</f>
        <v>6.884118149338081E-2</v>
      </c>
      <c r="X11" s="186">
        <f>'Income Statement'!T7/AVERAGE('Balance Sheet'!AB30:AC30)</f>
        <v>7.8453944178770343E-2</v>
      </c>
      <c r="Y11" s="186">
        <f>'Income Statement'!U7/AVERAGE('Balance Sheet'!AC30:AD30)</f>
        <v>8.8761882131384626E-2</v>
      </c>
      <c r="Z11" s="186">
        <f>'Income Statement'!V7/AVERAGE('Balance Sheet'!AD30:AE30)</f>
        <v>0.10253702062064898</v>
      </c>
      <c r="AB11" s="349" t="s">
        <v>458</v>
      </c>
      <c r="AC11" s="159" t="s">
        <v>459</v>
      </c>
      <c r="AD11" s="156">
        <f>'Income Statement'!Z6/'Balance Sheet'!Z30</f>
        <v>0.7733092615246191</v>
      </c>
      <c r="AE11" s="156">
        <f>'Income Statement'!AA6/AVERAGE('Balance Sheet'!Z30:AA30)</f>
        <v>0.79351224787837071</v>
      </c>
      <c r="AF11" s="156">
        <f>'Income Statement'!AB6/AVERAGE('Balance Sheet'!AA30:AB30)</f>
        <v>0.83201301030966557</v>
      </c>
      <c r="AG11" s="156">
        <f>'Income Statement'!AC6/AVERAGE('Balance Sheet'!AB30:AC30)</f>
        <v>0.90508033954790257</v>
      </c>
      <c r="AH11" s="156">
        <f>'Income Statement'!AD6/AVERAGE('Balance Sheet'!AC30:AD30)</f>
        <v>0.9331390992943206</v>
      </c>
      <c r="AI11" s="156">
        <f>'Income Statement'!AE6/AVERAGE('Balance Sheet'!AD30:AE30)</f>
        <v>0.90873076235751038</v>
      </c>
      <c r="AK11" s="349" t="s">
        <v>458</v>
      </c>
      <c r="AL11" s="159" t="s">
        <v>459</v>
      </c>
      <c r="AM11" s="156">
        <f>'Income Statement'!AH8/'Balance Sheet'!AH27</f>
        <v>0.20270086850144284</v>
      </c>
      <c r="AN11" s="156">
        <f>'Income Statement'!AI8/AVERAGE('Balance Sheet'!AH27:AI27)</f>
        <v>0.19575455587613574</v>
      </c>
      <c r="AO11" s="156">
        <f>'Income Statement'!AJ8/AVERAGE('Balance Sheet'!AI27:AJ27)</f>
        <v>0.1944682900126776</v>
      </c>
      <c r="AP11" s="156">
        <f>'Income Statement'!AK8/AVERAGE('Balance Sheet'!AJ27:AK27)</f>
        <v>0.21182381559061372</v>
      </c>
      <c r="AQ11" s="156">
        <f>'Income Statement'!AL8/AVERAGE('Balance Sheet'!AK27:AL27)</f>
        <v>0.21807425475059039</v>
      </c>
      <c r="AR11" s="156">
        <f>'Income Statement'!AM8/AVERAGE('Balance Sheet'!AL27:AM27)</f>
        <v>0.23293840663650275</v>
      </c>
      <c r="AT11" s="349" t="s">
        <v>458</v>
      </c>
      <c r="AU11" s="159" t="s">
        <v>459</v>
      </c>
      <c r="AV11" s="156">
        <f>'Income Statement'!AP6/'Balance Sheet'!AP21</f>
        <v>0.2250801596988064</v>
      </c>
      <c r="AW11" s="156">
        <f>'Income Statement'!AQ6/AVERAGE('Balance Sheet'!AP21:AQ21)</f>
        <v>0.28644513759826268</v>
      </c>
      <c r="AX11" s="156">
        <f>'Income Statement'!AR6/AVERAGE('Balance Sheet'!AQ21:AR21)</f>
        <v>0.27231788730318068</v>
      </c>
      <c r="AY11" s="156">
        <f>'Income Statement'!AS6/AVERAGE('Balance Sheet'!AR21:AS21)</f>
        <v>0.23903210509585671</v>
      </c>
      <c r="AZ11" s="156">
        <f>'Income Statement'!AT6/AVERAGE('Balance Sheet'!AS21:AT21)</f>
        <v>0.21507218112962237</v>
      </c>
      <c r="BA11" s="156">
        <f>'Income Statement'!AU6/AVERAGE('Balance Sheet'!AT21:AU21)</f>
        <v>0.22756199535930763</v>
      </c>
    </row>
    <row r="12" spans="1:53" ht="28.8" x14ac:dyDescent="0.3">
      <c r="A12" s="349"/>
      <c r="B12" s="159" t="s">
        <v>460</v>
      </c>
      <c r="C12" s="186">
        <f>('Income Statement'!B19+'Income Statement'!B16)/('Balance Sheet'!B31-'Balance Sheet'!B60)</f>
        <v>5.2678681763415607E-2</v>
      </c>
      <c r="D12" s="186">
        <f>('Income Statement'!C19+'Income Statement'!C16)/('Balance Sheet'!C31-'Balance Sheet'!C60)</f>
        <v>8.9939929532441107E-2</v>
      </c>
      <c r="E12" s="186">
        <f>('Income Statement'!D19+'Income Statement'!D16)/('Balance Sheet'!D31-'Balance Sheet'!D60)</f>
        <v>0.11321485019232534</v>
      </c>
      <c r="F12" s="186">
        <f>('Income Statement'!E19+'Income Statement'!E16)/('Balance Sheet'!E31-'Balance Sheet'!E60)</f>
        <v>0.12396699674584061</v>
      </c>
      <c r="G12" s="186">
        <f>('Income Statement'!F19+'Income Statement'!F16)/('Balance Sheet'!F31-'Balance Sheet'!F60)</f>
        <v>0.19547595134033763</v>
      </c>
      <c r="H12" s="187">
        <f>('Income Statement'!G19+'Income Statement'!G16)/('Balance Sheet'!G31-'Balance Sheet'!G60)</f>
        <v>0.22964169283559377</v>
      </c>
      <c r="J12" s="349"/>
      <c r="K12" s="159" t="s">
        <v>460</v>
      </c>
      <c r="L12" s="186">
        <f>('Income Statement'!J20+'Income Statement'!J15)/('Balance Sheet'!J24-'Balance Sheet'!J48)</f>
        <v>0.23410306637534836</v>
      </c>
      <c r="M12" s="186">
        <f>('Income Statement'!K20+'Income Statement'!K15)/('Balance Sheet'!K24-'Balance Sheet'!K48)</f>
        <v>0.22204619737941664</v>
      </c>
      <c r="N12" s="186">
        <f>('Income Statement'!L20+'Income Statement'!L15)/('Balance Sheet'!L24-'Balance Sheet'!L48)</f>
        <v>0.35392570904454951</v>
      </c>
      <c r="O12" s="186">
        <f>('Income Statement'!M20+'Income Statement'!M15)/('Balance Sheet'!M24-'Balance Sheet'!M48)</f>
        <v>0.22632623094226451</v>
      </c>
      <c r="P12" s="186">
        <f>('Income Statement'!N20+'Income Statement'!N15)/('Balance Sheet'!N24-'Balance Sheet'!N48)</f>
        <v>0.31244927380876847</v>
      </c>
      <c r="Q12" s="186">
        <f>('Income Statement'!O20+'Income Statement'!O15)/('Balance Sheet'!O24-'Balance Sheet'!O48)</f>
        <v>0.36797206622283335</v>
      </c>
      <c r="S12" s="349"/>
      <c r="T12" s="159" t="s">
        <v>460</v>
      </c>
      <c r="U12" s="186">
        <f>('Income Statement'!R18+'Income Statement'!R16)/('Balance Sheet'!R25-'Balance Sheet'!R47)</f>
        <v>0.15898655567667558</v>
      </c>
      <c r="V12" s="186">
        <f>('Income Statement'!S18+'Income Statement'!S16)/('Balance Sheet'!S25-'Balance Sheet'!S47)</f>
        <v>0.12655966995371276</v>
      </c>
      <c r="W12" s="186">
        <f>('Income Statement'!T18+'Income Statement'!T16)/('Balance Sheet'!T25-'Balance Sheet'!T47)</f>
        <v>0.1411787929724653</v>
      </c>
      <c r="X12" s="186">
        <f>('Income Statement'!U18+'Income Statement'!U16)/('Balance Sheet'!U25-'Balance Sheet'!U47)</f>
        <v>0.14389883396288386</v>
      </c>
      <c r="Y12" s="186">
        <f>('Income Statement'!V18+'Income Statement'!V16)/('Balance Sheet'!V25-'Balance Sheet'!V47)</f>
        <v>0.18434037418253049</v>
      </c>
      <c r="Z12" s="186">
        <f>('Income Statement'!W18+'Income Statement'!W16)/('Balance Sheet'!W25-'Balance Sheet'!W47)</f>
        <v>0.19201876032425494</v>
      </c>
      <c r="AB12" s="349"/>
      <c r="AC12" s="159" t="s">
        <v>460</v>
      </c>
      <c r="AD12" s="156">
        <f>('Income Statement'!Z14+'Income Statement'!Z10)/('Balance Sheet'!Z30-'Balance Sheet'!Z54)</f>
        <v>9.2753803155210424E-2</v>
      </c>
      <c r="AE12" s="156">
        <f>('Income Statement'!AA14+'Income Statement'!AA10)/('Balance Sheet'!AA30-'Balance Sheet'!AA54)</f>
        <v>0.15504494782867614</v>
      </c>
      <c r="AF12" s="156">
        <f>('Income Statement'!AB14+'Income Statement'!AB10)/('Balance Sheet'!AB30-'Balance Sheet'!AB54)</f>
        <v>0.20950551156998098</v>
      </c>
      <c r="AG12" s="156">
        <f>('Income Statement'!AC14+'Income Statement'!AC10)/('Balance Sheet'!AC30-'Balance Sheet'!AC54)</f>
        <v>0.22472758547667443</v>
      </c>
      <c r="AH12" s="156">
        <f>('Income Statement'!AD14+'Income Statement'!AD10)/('Balance Sheet'!AD30-'Balance Sheet'!AD54)</f>
        <v>0.2005355032601242</v>
      </c>
      <c r="AI12" s="156">
        <f>('Income Statement'!AE14+'Income Statement'!AE10)/('Balance Sheet'!AE30-'Balance Sheet'!AE54)</f>
        <v>0.14965516310774335</v>
      </c>
      <c r="AK12" s="349"/>
      <c r="AL12" s="159" t="s">
        <v>460</v>
      </c>
      <c r="AM12" s="156">
        <f>('Income Statement'!AH19+'Income Statement'!AH21)/('Balance Sheet'!AH27-'Balance Sheet'!AH53)</f>
        <v>0.23752568605991989</v>
      </c>
      <c r="AN12" s="156">
        <f>('Income Statement'!AI19+'Income Statement'!AI21)/('Balance Sheet'!AI27-'Balance Sheet'!AI53)</f>
        <v>0.23061082858345563</v>
      </c>
      <c r="AO12" s="156">
        <f>('Income Statement'!AJ19+'Income Statement'!AJ21)/('Balance Sheet'!AJ27-'Balance Sheet'!AJ53)</f>
        <v>0.23204892734287175</v>
      </c>
      <c r="AP12" s="156">
        <f>('Income Statement'!AK19+'Income Statement'!AK21)/('Balance Sheet'!AK27-'Balance Sheet'!AK53)</f>
        <v>0.21324726088759052</v>
      </c>
      <c r="AQ12" s="156">
        <f>('Income Statement'!AL19+'Income Statement'!AL21)/('Balance Sheet'!AL27-'Balance Sheet'!AL53)</f>
        <v>0.23679125010941166</v>
      </c>
      <c r="AR12" s="156">
        <f>('Income Statement'!AM19+'Income Statement'!AM21)/('Balance Sheet'!AM27-'Balance Sheet'!AM53)</f>
        <v>0.22833860541878687</v>
      </c>
      <c r="AT12" s="349"/>
      <c r="AU12" s="159" t="s">
        <v>460</v>
      </c>
      <c r="AV12" s="156">
        <f>('Income Statement'!AP17+Table18[[#This Row],[2020]])/('Balance Sheet'!AP21-'Balance Sheet'!AP46)</f>
        <v>7.0137983619056987E-2</v>
      </c>
      <c r="AW12" s="156">
        <f>('Income Statement'!AQ17+Table18[[#This Row],[2021]])/('Balance Sheet'!AQ21-'Balance Sheet'!AQ46)</f>
        <v>9.0641133525893244E-2</v>
      </c>
      <c r="AX12" s="156">
        <f>('Income Statement'!AR17+Table18[[#This Row],[2022]])/('Balance Sheet'!AR21-'Balance Sheet'!AR46)</f>
        <v>8.8974120139535734E-2</v>
      </c>
      <c r="AY12" s="156">
        <f>('Income Statement'!AS17+Table18[[#This Row],[2023]])/('Balance Sheet'!AS21-'Balance Sheet'!AS46)</f>
        <v>7.4880775177169526E-2</v>
      </c>
      <c r="AZ12" s="156">
        <f>('Income Statement'!AT17+Table18[[#This Row],[2024]])/('Balance Sheet'!AT21-'Balance Sheet'!AT46)</f>
        <v>7.4534396757644839E-2</v>
      </c>
      <c r="BA12" s="156">
        <f>('Income Statement'!AU17+Table18[[#This Row],[2025]])/('Balance Sheet'!AU21-'Balance Sheet'!AU46)</f>
        <v>8.3920161964702256E-2</v>
      </c>
    </row>
    <row r="13" spans="1:53" x14ac:dyDescent="0.3">
      <c r="A13" s="154" t="s">
        <v>461</v>
      </c>
      <c r="B13" s="159" t="s">
        <v>462</v>
      </c>
      <c r="C13" s="188" cm="1">
        <f t="array" ref="C13">C18/Table8[2020]</f>
        <v>-5.8545301069217786</v>
      </c>
      <c r="D13" s="188" cm="1">
        <f t="array" ref="D13">D18/Table8[2021]</f>
        <v>-11.069727154612385</v>
      </c>
      <c r="E13" s="188" cm="1">
        <f t="array" ref="E13">E18/Table8[2022]</f>
        <v>-106.90086206896551</v>
      </c>
      <c r="F13" s="188" cm="1">
        <f t="array" ref="F13">F18/Table8[2023]</f>
        <v>-4634</v>
      </c>
      <c r="G13" s="188" cm="1">
        <f t="array" ref="G13">G18/Table8[2024]</f>
        <v>93.337662337662337</v>
      </c>
      <c r="H13" s="189" cm="1">
        <f t="array" ref="H13">H18/Table8[2025]</f>
        <v>29.886206896551727</v>
      </c>
      <c r="J13" s="154" t="s">
        <v>461</v>
      </c>
      <c r="K13" s="159" t="s">
        <v>462</v>
      </c>
      <c r="L13" s="188">
        <f>L18/'Income Statement'!J26</f>
        <v>7.0073059083881534E-2</v>
      </c>
      <c r="M13" s="188">
        <f>M18/'Income Statement'!K26</f>
        <v>6.759724794919296E-2</v>
      </c>
      <c r="N13" s="188">
        <f>N18/'Income Statement'!L26</f>
        <v>3.473192010167736E-2</v>
      </c>
      <c r="O13" s="188">
        <f>O18/'Income Statement'!M26</f>
        <v>7.0098039215686261E-2</v>
      </c>
      <c r="P13" s="188">
        <f>P18/'Income Statement'!N26</f>
        <v>5.2019482455849718E-2</v>
      </c>
      <c r="Q13" s="188">
        <f>Q18/'Income Statement'!O26</f>
        <v>3.6297914757795743E-2</v>
      </c>
      <c r="S13" s="154" t="s">
        <v>461</v>
      </c>
      <c r="T13" s="159" t="s">
        <v>462</v>
      </c>
      <c r="U13" s="188">
        <f>U18/'Income Statement'!R25</f>
        <v>0</v>
      </c>
      <c r="V13" s="188">
        <f>V18/'Income Statement'!S25</f>
        <v>0.90417690417690688</v>
      </c>
      <c r="W13" s="188">
        <f>W18/'Income Statement'!T25</f>
        <v>0.79087732205260264</v>
      </c>
      <c r="X13" s="188">
        <f>X18/'Income Statement'!U25</f>
        <v>0.53472258951711027</v>
      </c>
      <c r="Y13" s="188">
        <f>Y18/'Income Statement'!V25</f>
        <v>1.6065553795540368</v>
      </c>
      <c r="Z13" s="188">
        <f>Z18/'Income Statement'!W25</f>
        <v>0.99246189253193562</v>
      </c>
      <c r="AB13" s="154" t="s">
        <v>461</v>
      </c>
      <c r="AC13" s="159" t="s">
        <v>462</v>
      </c>
      <c r="AD13" s="155">
        <f>AD18/'Income Statement'!Z23</f>
        <v>-2.9535541671579111</v>
      </c>
      <c r="AE13" s="155">
        <f>AE18/'Income Statement'!AA23</f>
        <v>0.89127620813091524</v>
      </c>
      <c r="AF13" s="155">
        <f>AF18/'Income Statement'!AB23</f>
        <v>0.90882148895040626</v>
      </c>
      <c r="AG13" s="155">
        <f>AG18/'Income Statement'!AC23</f>
        <v>0.70302131747433161</v>
      </c>
      <c r="AH13" s="155">
        <f>AH18/'Income Statement'!AD23</f>
        <v>1.8331836651225635</v>
      </c>
      <c r="AI13" s="155">
        <f>AI18/'Income Statement'!AE23</f>
        <v>0.98299798854640275</v>
      </c>
      <c r="AK13" s="154" t="s">
        <v>461</v>
      </c>
      <c r="AL13" s="159" t="s">
        <v>462</v>
      </c>
      <c r="AM13" s="203">
        <f>AM18/'Income Statement'!AH32</f>
        <v>-4.2637804708025792E-5</v>
      </c>
      <c r="AN13" s="203">
        <f>AN18/'Income Statement'!AI32</f>
        <v>-2.2607504334988952E-4</v>
      </c>
      <c r="AO13" s="203">
        <f>AO18/'Income Statement'!AJ32</f>
        <v>-3.9652474385209633E-4</v>
      </c>
      <c r="AP13" s="203">
        <f>AP18/'Income Statement'!AK32</f>
        <v>-1.9794478705577605E-4</v>
      </c>
      <c r="AQ13" s="203">
        <f>AQ18/'Income Statement'!AL32</f>
        <v>-4.2575804138496212E-4</v>
      </c>
      <c r="AR13" s="203">
        <f>AR18/'Income Statement'!AM32</f>
        <v>-2.669500500303102E-4</v>
      </c>
      <c r="AT13" s="154" t="s">
        <v>461</v>
      </c>
      <c r="AU13" s="159" t="s">
        <v>462</v>
      </c>
      <c r="AV13" s="188" t="s">
        <v>470</v>
      </c>
      <c r="AW13" s="188" t="s">
        <v>470</v>
      </c>
      <c r="AX13" s="188" t="s">
        <v>470</v>
      </c>
      <c r="AY13" s="188" t="s">
        <v>470</v>
      </c>
      <c r="AZ13" s="188" t="s">
        <v>470</v>
      </c>
      <c r="BA13" s="188" t="s">
        <v>470</v>
      </c>
    </row>
    <row r="14" spans="1:53" ht="28.8" x14ac:dyDescent="0.3">
      <c r="A14" s="349" t="s">
        <v>463</v>
      </c>
      <c r="B14" s="159" t="s">
        <v>464</v>
      </c>
      <c r="C14" s="188">
        <f>'Income Statement'!B6/'Income Statement'!B32</f>
        <v>1336.1997887957816</v>
      </c>
      <c r="D14" s="188">
        <f>'Income Statement'!C6/'Income Statement'!C32</f>
        <v>1415.3410754367133</v>
      </c>
      <c r="E14" s="188">
        <f>'Income Statement'!D6/'Income Statement'!D32</f>
        <v>1457.9287728519241</v>
      </c>
      <c r="F14" s="188">
        <f>'Income Statement'!E6/'Income Statement'!E32</f>
        <v>1684.9180049609797</v>
      </c>
      <c r="G14" s="188">
        <f>'Income Statement'!F6/'Income Statement'!F32</f>
        <v>2694.4107336690568</v>
      </c>
      <c r="H14" s="189">
        <f>'Income Statement'!G6/'Income Statement'!G32</f>
        <v>2956.0501529176281</v>
      </c>
      <c r="J14" s="349" t="s">
        <v>463</v>
      </c>
      <c r="K14" s="159" t="s">
        <v>551</v>
      </c>
      <c r="L14" s="196">
        <f>'Income Statement'!J6/'Income Statement'!J32</f>
        <v>720515.4552698906</v>
      </c>
      <c r="M14" s="196">
        <f>'Income Statement'!K6/'Income Statement'!K32</f>
        <v>789577.34691030812</v>
      </c>
      <c r="N14" s="196">
        <f>'Income Statement'!L6/'Income Statement'!L32</f>
        <v>1489527.5594729553</v>
      </c>
      <c r="O14" s="196">
        <f>'Income Statement'!M6/'Income Statement'!M32</f>
        <v>1490252.7038377386</v>
      </c>
      <c r="P14" s="196">
        <f>'Income Statement'!N6/'Income Statement'!N32</f>
        <v>1318022.53613427</v>
      </c>
      <c r="Q14" s="196">
        <f>'Income Statement'!O6/'Income Statement'!O32</f>
        <v>1171869.2307692308</v>
      </c>
      <c r="S14" s="349" t="s">
        <v>463</v>
      </c>
      <c r="T14" s="159" t="s">
        <v>464</v>
      </c>
      <c r="U14" s="196">
        <f>'Income Statement'!R7/'Income Statement'!R32</f>
        <v>38859.666666666664</v>
      </c>
      <c r="V14" s="196">
        <f>'Income Statement'!S7/'Income Statement'!S32</f>
        <v>35282.249999999993</v>
      </c>
      <c r="W14" s="196">
        <f>'Income Statement'!T7/'Income Statement'!T32</f>
        <v>33426.483050847455</v>
      </c>
      <c r="X14" s="196">
        <f>'Income Statement'!U7/'Income Statement'!U32</f>
        <v>38802.325581395351</v>
      </c>
      <c r="Y14" s="196">
        <f>'Income Statement'!V7/'Income Statement'!V32</f>
        <v>46164.964788732403</v>
      </c>
      <c r="Z14" s="196">
        <f>'Income Statement'!W7/'Income Statement'!W32</f>
        <v>61757.217391304352</v>
      </c>
      <c r="AB14" s="361"/>
      <c r="AC14" s="128"/>
      <c r="AD14" s="201"/>
      <c r="AE14" s="201"/>
      <c r="AF14" s="201"/>
      <c r="AG14" s="201"/>
      <c r="AH14" s="201"/>
      <c r="AI14" s="201"/>
      <c r="AK14" s="349" t="s">
        <v>463</v>
      </c>
      <c r="AL14" s="159" t="s">
        <v>464</v>
      </c>
      <c r="AM14" s="157">
        <f>'Income Statement'!AH8/'Income Statement'!AH38</f>
        <v>1566.1150834184546</v>
      </c>
      <c r="AN14" s="157">
        <f>'Income Statement'!AI8/'Income Statement'!AI38</f>
        <v>1704.1423948220063</v>
      </c>
      <c r="AO14" s="157">
        <f>'Income Statement'!AJ8/'Income Statement'!AJ38</f>
        <v>1585.1066447908122</v>
      </c>
      <c r="AP14" s="157">
        <f>'Income Statement'!AK8/'Income Statement'!AK38</f>
        <v>1905.3139013452915</v>
      </c>
      <c r="AQ14" s="157">
        <f>'Income Statement'!AL8/'Income Statement'!AL38</f>
        <v>2011.519285042333</v>
      </c>
      <c r="AR14" s="157">
        <f>'Income Statement'!AM8/'Income Statement'!AM38</f>
        <v>2249.8435923309785</v>
      </c>
      <c r="AT14" s="349" t="s">
        <v>463</v>
      </c>
      <c r="AU14" s="159" t="s">
        <v>464</v>
      </c>
      <c r="AV14" s="157">
        <f>'Income Statement'!AP6/'Income Statement'!AP29</f>
        <v>1403.9483870967742</v>
      </c>
      <c r="AW14" s="157">
        <f>'Income Statement'!AQ6/'Income Statement'!AQ29</f>
        <v>1665.5474107353984</v>
      </c>
      <c r="AX14" s="157">
        <f>'Income Statement'!AR6/'Income Statement'!AR29</f>
        <v>1895.6460125097733</v>
      </c>
      <c r="AY14" s="157">
        <f>'Income Statement'!AS6/'Income Statement'!AS29</f>
        <v>2091.8688434877781</v>
      </c>
      <c r="AZ14" s="157">
        <f>'Income Statement'!AT6/'Income Statement'!AT29</f>
        <v>2087.5259443752593</v>
      </c>
      <c r="BA14" s="157">
        <f>'Income Statement'!AU6/'Income Statement'!AU29</f>
        <v>2414.8726341852366</v>
      </c>
    </row>
    <row r="15" spans="1:53" ht="28.8" x14ac:dyDescent="0.3">
      <c r="A15" s="349"/>
      <c r="B15" s="160" t="s">
        <v>465</v>
      </c>
      <c r="C15" s="190">
        <f>('Income Statement'!B32-'Income Statement'!B34)/'Income Statement'!B34</f>
        <v>0.29326917201344338</v>
      </c>
      <c r="D15" s="190">
        <f>('Income Statement'!C32-'Income Statement'!B32)/'Income Statement'!B32</f>
        <v>0.11357542282186801</v>
      </c>
      <c r="E15" s="190">
        <f>('Income Statement'!D32-'Income Statement'!C32)/'Income Statement'!C32</f>
        <v>3.8965805474348809E-2</v>
      </c>
      <c r="F15" s="190">
        <f>('Income Statement'!E32-'Income Statement'!D32)/'Income Statement'!D32</f>
        <v>5.8638553158991948E-2</v>
      </c>
      <c r="G15" s="190">
        <f>('Income Statement'!F32-'Income Statement'!E32)/'Income Statement'!E32</f>
        <v>8.3950883987917793E-2</v>
      </c>
      <c r="H15" s="191">
        <f>('Income Statement'!G32-'Income Statement'!F32)/'Income Statement'!F32</f>
        <v>5.0792746943787E-2</v>
      </c>
      <c r="J15" s="349"/>
      <c r="K15" s="160" t="s">
        <v>465</v>
      </c>
      <c r="L15" s="186">
        <f>('Income Statement'!J32-'Income Statement'!J35)/'Income Statement'!J35</f>
        <v>-0.2280446149612291</v>
      </c>
      <c r="M15" s="186">
        <f>('Income Statement'!K32-'Income Statement'!J32)/'Income Statement'!J32</f>
        <v>0.87922031623537333</v>
      </c>
      <c r="N15" s="186">
        <f>('Income Statement'!L32-'Income Statement'!K32)/'Income Statement'!K32</f>
        <v>5.1454875156925539E-2</v>
      </c>
      <c r="O15" s="186">
        <f>('Income Statement'!M32-'Income Statement'!L32)/'Income Statement'!L32</f>
        <v>2.3492016322891888E-2</v>
      </c>
      <c r="P15" s="186">
        <f>('Income Statement'!N32-'Income Statement'!M32)/'Income Statement'!M32</f>
        <v>0.13927227101631115</v>
      </c>
      <c r="Q15" s="186">
        <f>('Income Statement'!O32-'Income Statement'!N32)/'Income Statement'!N32</f>
        <v>0.18323806749918081</v>
      </c>
      <c r="S15" s="349"/>
      <c r="T15" s="160" t="s">
        <v>465</v>
      </c>
      <c r="U15" s="186">
        <f>('Income Statement'!R32-'Income Statement'!R35)/'Income Statement'!R35</f>
        <v>1.112676056338028</v>
      </c>
      <c r="V15" s="186">
        <f>('Income Statement'!S32-'Income Statement'!R32)/'Income Statement'!R32</f>
        <v>0.33333333333333343</v>
      </c>
      <c r="W15" s="186">
        <f>('Income Statement'!T32-'Income Statement'!S32)/'Income Statement'!S32</f>
        <v>0.17999999999999994</v>
      </c>
      <c r="X15" s="186">
        <f>('Income Statement'!U32-'Income Statement'!T32)/'Income Statement'!T32</f>
        <v>9.3220338983050877E-2</v>
      </c>
      <c r="Y15" s="186">
        <f>('Income Statement'!V32-'Income Statement'!U32)/'Income Statement'!U32</f>
        <v>0.10077519379844968</v>
      </c>
      <c r="Z15" s="186">
        <f>('Income Statement'!W32-'Income Statement'!V32)/'Income Statement'!V32</f>
        <v>1.2323943661971816E-2</v>
      </c>
      <c r="AB15" s="361"/>
      <c r="AC15" s="128"/>
      <c r="AD15" s="202"/>
      <c r="AE15" s="202"/>
      <c r="AF15" s="202"/>
      <c r="AG15" s="202"/>
      <c r="AH15" s="202"/>
      <c r="AI15" s="202"/>
      <c r="AK15" s="349"/>
      <c r="AL15" s="160" t="s">
        <v>465</v>
      </c>
      <c r="AM15" s="156">
        <f>('Income Statement'!AH38-'Income Statement'!AH40)/'Income Statement'!AH40</f>
        <v>-0.25607902735562299</v>
      </c>
      <c r="AN15" s="156">
        <f>('Income Statement'!AI38-'Income Statement'!AH38)/'Income Statement'!AH38</f>
        <v>-0.15832482124616962</v>
      </c>
      <c r="AO15" s="156">
        <f>('Income Statement'!AJ38-'Income Statement'!AI38)/'Income Statement'!AI38</f>
        <v>-1.375404530744336E-2</v>
      </c>
      <c r="AP15" s="156">
        <f>('Income Statement'!AK38-'Income Statement'!AJ38)/'Income Statement'!AJ38</f>
        <v>-8.5315832649712819E-2</v>
      </c>
      <c r="AQ15" s="156">
        <f>('Income Statement'!AL38-'Income Statement'!AK38)/'Income Statement'!AK38</f>
        <v>-4.6636771300448389E-2</v>
      </c>
      <c r="AR15" s="156">
        <f>('Income Statement'!AM38-'Income Statement'!AL38)/'Income Statement'!AL38</f>
        <v>-6.77328316086548E-2</v>
      </c>
      <c r="AT15" s="349"/>
      <c r="AU15" s="160" t="s">
        <v>465</v>
      </c>
      <c r="AV15" s="156">
        <f>('Income Statement'!AP29-'Income Statement'!AP31)/'Income Statement'!AP31</f>
        <v>0.26344962504075636</v>
      </c>
      <c r="AW15" s="156">
        <f>('Income Statement'!AQ29-'Income Statement'!AP29)/'Income Statement'!AP29</f>
        <v>9.1354838709677394E-2</v>
      </c>
      <c r="AX15" s="156">
        <f>('Income Statement'!AR29-'Income Statement'!AQ29)/'Income Statement'!AQ29</f>
        <v>-3.2206195318042134E-2</v>
      </c>
      <c r="AY15" s="156">
        <f>('Income Statement'!AS29-'Income Statement'!AR29)/'Income Statement'!AR29</f>
        <v>7.1540265832681887E-2</v>
      </c>
      <c r="AZ15" s="156">
        <f>('Income Statement'!AT29-'Income Statement'!AS29)/'Income Statement'!AS29</f>
        <v>9.8595403137540991E-2</v>
      </c>
      <c r="BA15" s="156">
        <f>('Income Statement'!AU29-'Income Statement'!AT29)/'Income Statement'!AT29</f>
        <v>-1.083437110834368E-2</v>
      </c>
    </row>
    <row r="17" spans="1:53" s="79" customFormat="1" x14ac:dyDescent="0.3">
      <c r="A17" s="365" t="s">
        <v>440</v>
      </c>
      <c r="B17" s="366"/>
      <c r="C17" s="161">
        <v>2020</v>
      </c>
      <c r="D17" s="192">
        <v>2021</v>
      </c>
      <c r="E17" s="161">
        <v>2022</v>
      </c>
      <c r="F17" s="192">
        <v>2023</v>
      </c>
      <c r="G17" s="161">
        <v>2024</v>
      </c>
      <c r="H17" s="193">
        <v>2025</v>
      </c>
      <c r="J17" s="369" t="s">
        <v>440</v>
      </c>
      <c r="K17" s="370"/>
      <c r="L17" s="164">
        <v>2020</v>
      </c>
      <c r="M17" s="197">
        <v>2021</v>
      </c>
      <c r="N17" s="164">
        <v>2022</v>
      </c>
      <c r="O17" s="197">
        <v>2023</v>
      </c>
      <c r="P17" s="164">
        <v>2024</v>
      </c>
      <c r="Q17" s="198">
        <v>2025</v>
      </c>
      <c r="S17" s="359" t="s">
        <v>440</v>
      </c>
      <c r="T17" s="360"/>
      <c r="U17" s="169">
        <v>2020</v>
      </c>
      <c r="V17" s="199">
        <v>2021</v>
      </c>
      <c r="W17" s="169">
        <v>2022</v>
      </c>
      <c r="X17" s="199">
        <v>2023</v>
      </c>
      <c r="Y17" s="169">
        <v>2024</v>
      </c>
      <c r="Z17" s="200">
        <v>2025</v>
      </c>
      <c r="AB17" s="362" t="s">
        <v>440</v>
      </c>
      <c r="AC17" s="363"/>
      <c r="AD17" s="172">
        <v>2020</v>
      </c>
      <c r="AE17" s="206">
        <v>2021</v>
      </c>
      <c r="AF17" s="172">
        <v>2022</v>
      </c>
      <c r="AG17" s="206">
        <v>2023</v>
      </c>
      <c r="AH17" s="172">
        <v>2024</v>
      </c>
      <c r="AI17" s="207">
        <v>2025</v>
      </c>
      <c r="AK17" s="350" t="s">
        <v>440</v>
      </c>
      <c r="AL17" s="351"/>
      <c r="AM17" s="176">
        <v>2020</v>
      </c>
      <c r="AN17" s="208">
        <v>2021</v>
      </c>
      <c r="AO17" s="176">
        <v>2022</v>
      </c>
      <c r="AP17" s="208">
        <v>2023</v>
      </c>
      <c r="AQ17" s="176">
        <v>2024</v>
      </c>
      <c r="AR17" s="209">
        <v>2025</v>
      </c>
      <c r="AT17" s="354" t="s">
        <v>440</v>
      </c>
      <c r="AU17" s="355"/>
      <c r="AV17" s="182">
        <v>2020</v>
      </c>
      <c r="AW17" s="204">
        <v>2021</v>
      </c>
      <c r="AX17" s="182">
        <v>2022</v>
      </c>
      <c r="AY17" s="204">
        <v>2023</v>
      </c>
      <c r="AZ17" s="182">
        <v>2024</v>
      </c>
      <c r="BA17" s="205">
        <v>2025</v>
      </c>
    </row>
    <row r="18" spans="1:53" x14ac:dyDescent="0.3">
      <c r="A18" s="367" t="s">
        <v>466</v>
      </c>
      <c r="B18" s="368"/>
      <c r="C18" s="194">
        <v>416.14</v>
      </c>
      <c r="D18" s="194">
        <v>511.2</v>
      </c>
      <c r="E18" s="194">
        <v>744.03</v>
      </c>
      <c r="F18" s="194">
        <v>741.44</v>
      </c>
      <c r="G18" s="194">
        <v>1221.79</v>
      </c>
      <c r="H18" s="194">
        <v>1733.4</v>
      </c>
      <c r="J18" s="352" t="s">
        <v>466</v>
      </c>
      <c r="K18" s="353"/>
      <c r="L18" s="194">
        <v>231.15</v>
      </c>
      <c r="M18" s="194">
        <v>255.45</v>
      </c>
      <c r="N18" s="194">
        <v>221.35</v>
      </c>
      <c r="O18" s="194">
        <v>143</v>
      </c>
      <c r="P18" s="194">
        <v>314</v>
      </c>
      <c r="Q18" s="194">
        <v>360.5</v>
      </c>
      <c r="S18" s="352" t="s">
        <v>466</v>
      </c>
      <c r="T18" s="353"/>
      <c r="U18" s="194">
        <v>0</v>
      </c>
      <c r="V18" s="194">
        <v>128.80000000000001</v>
      </c>
      <c r="W18" s="194">
        <v>86</v>
      </c>
      <c r="X18" s="194">
        <v>101.1</v>
      </c>
      <c r="Y18" s="194">
        <v>395.55</v>
      </c>
      <c r="Z18" s="194">
        <v>297.55</v>
      </c>
      <c r="AB18" s="352" t="s">
        <v>466</v>
      </c>
      <c r="AC18" s="353"/>
      <c r="AD18" s="174">
        <v>250.55</v>
      </c>
      <c r="AE18" s="174">
        <v>1115.45</v>
      </c>
      <c r="AF18" s="174">
        <v>1349.3</v>
      </c>
      <c r="AG18" s="174">
        <v>1266.05</v>
      </c>
      <c r="AH18" s="174">
        <v>2061.8000000000002</v>
      </c>
      <c r="AI18" s="174">
        <v>1598.05</v>
      </c>
      <c r="AK18" s="352" t="s">
        <v>466</v>
      </c>
      <c r="AL18" s="353"/>
      <c r="AM18" s="174">
        <v>3.15</v>
      </c>
      <c r="AN18" s="174">
        <v>10</v>
      </c>
      <c r="AO18" s="174">
        <v>11.2</v>
      </c>
      <c r="AP18" s="174">
        <v>5.8</v>
      </c>
      <c r="AQ18" s="174">
        <v>13.3</v>
      </c>
      <c r="AR18" s="174">
        <v>7.31</v>
      </c>
      <c r="AT18" s="352" t="s">
        <v>466</v>
      </c>
      <c r="AU18" s="353"/>
      <c r="AV18" s="194" t="s">
        <v>470</v>
      </c>
      <c r="AW18" s="194" t="s">
        <v>470</v>
      </c>
      <c r="AX18" s="194" t="s">
        <v>470</v>
      </c>
      <c r="AY18" s="194" t="s">
        <v>470</v>
      </c>
      <c r="AZ18" s="194" t="s">
        <v>470</v>
      </c>
      <c r="BA18" s="194" t="s">
        <v>470</v>
      </c>
    </row>
    <row r="19" spans="1:53" x14ac:dyDescent="0.3">
      <c r="A19" s="349" t="s">
        <v>8</v>
      </c>
      <c r="B19" s="349"/>
      <c r="C19" s="196">
        <f ca="1">C18*('Company Profile'!$B$8/10000000)</f>
        <v>253474.20311999996</v>
      </c>
      <c r="D19" s="196">
        <f ca="1">D18*('Company Profile'!$B$8/10000000)</f>
        <v>311376.00959999999</v>
      </c>
      <c r="E19" s="196">
        <f ca="1">E18*('Company Profile'!$B$8/10000000)</f>
        <v>453194.62523999996</v>
      </c>
      <c r="F19" s="196">
        <f ca="1">F18*('Company Profile'!$B$8/10000000)</f>
        <v>451617.03551999998</v>
      </c>
      <c r="G19" s="196">
        <f ca="1">G18*('Company Profile'!$B$8/10000000)</f>
        <v>744202.06331999996</v>
      </c>
      <c r="H19" s="196">
        <f ca="1">H18*('Company Profile'!$B$8/10000000)</f>
        <v>1055827.8071999999</v>
      </c>
      <c r="L19" s="322">
        <f ca="1">L18*('Company Profile'!$C$8/10000000)</f>
        <v>60957.375525000003</v>
      </c>
      <c r="M19" s="322">
        <f ca="1">M18*('Company Profile'!$C$8/10000000)</f>
        <v>67365.613574999996</v>
      </c>
      <c r="N19" s="322">
        <f ca="1">N18*('Company Profile'!$C$8/10000000)</f>
        <v>58372.983225000004</v>
      </c>
      <c r="O19" s="322">
        <f ca="1">O18*('Company Profile'!$C$8/10000000)</f>
        <v>37711.030500000001</v>
      </c>
      <c r="P19" s="322">
        <f ca="1">P18*('Company Profile'!$C$8/10000000)</f>
        <v>82806.039000000004</v>
      </c>
      <c r="Q19" s="322">
        <f ca="1">Q18*('Company Profile'!$C$8/10000000)</f>
        <v>95068.716750000007</v>
      </c>
      <c r="U19" s="260">
        <v>0</v>
      </c>
      <c r="V19" s="260">
        <f ca="1">V18*('Company Profile'!$D$8/10000000)</f>
        <v>4133.686592</v>
      </c>
      <c r="W19" s="260">
        <f ca="1">W18*('Company Profile'!$D$8/10000000)</f>
        <v>2760.07024</v>
      </c>
      <c r="X19" s="260">
        <f ca="1">X18*('Company Profile'!$D$8/10000000)</f>
        <v>3244.6872239999998</v>
      </c>
      <c r="Y19" s="260">
        <f ca="1">Y18*('Company Profile'!$D$8/10000000)</f>
        <v>12694.718412</v>
      </c>
      <c r="Z19" s="260">
        <f ca="1">Z18*('Company Profile'!$D$8/10000000)</f>
        <v>9549.5220920000011</v>
      </c>
      <c r="AD19" s="244">
        <f ca="1">AD18*('Company Profile'!$E$8/10000000)</f>
        <v>7140.6750000000002</v>
      </c>
      <c r="AE19" s="244">
        <f ca="1">AE18*('Company Profile'!$E$8/10000000)</f>
        <v>31790.325000000001</v>
      </c>
      <c r="AF19" s="244">
        <f ca="1">AF18*('Company Profile'!$E$8/10000000)</f>
        <v>38455.049999999996</v>
      </c>
      <c r="AG19" s="244">
        <f ca="1">AG18*('Company Profile'!$E$8/10000000)</f>
        <v>36082.424999999996</v>
      </c>
      <c r="AH19" s="244">
        <f ca="1">AH18*('Company Profile'!$E$8/10000000)</f>
        <v>58761.3</v>
      </c>
      <c r="AI19" s="244">
        <f ca="1">AI18*('Company Profile'!$E$8/10000000)</f>
        <v>45544.424999999996</v>
      </c>
      <c r="AM19" s="244">
        <f ca="1">AM18*('Company Profile'!$F$8/10000000)</f>
        <v>34128.044999999998</v>
      </c>
      <c r="AN19" s="244">
        <f ca="1">AN18*('Company Profile'!$F$8/10000000)</f>
        <v>108343</v>
      </c>
      <c r="AO19" s="244">
        <f ca="1">AO18*('Company Profile'!$F$8/10000000)</f>
        <v>121344.15999999999</v>
      </c>
      <c r="AP19" s="244">
        <f ca="1">AP18*('Company Profile'!$F$8/10000000)</f>
        <v>62838.939999999995</v>
      </c>
      <c r="AQ19" s="244">
        <f ca="1">AQ18*('Company Profile'!$F$8/10000000)</f>
        <v>144096.19</v>
      </c>
      <c r="AR19" s="244">
        <f ca="1">AR18*('Company Profile'!$F$8/10000000)</f>
        <v>79198.732999999993</v>
      </c>
      <c r="AU19" s="2" t="s">
        <v>556</v>
      </c>
      <c r="AV19" s="324">
        <f>'Income Statement'!AP23/'Balance Sheet'!AP26</f>
        <v>3.2534687287957137E-2</v>
      </c>
      <c r="AW19" s="324">
        <f>'Income Statement'!AQ23/'Balance Sheet'!AQ26</f>
        <v>6.5665426046465872E-2</v>
      </c>
      <c r="AX19" s="324">
        <f>'Income Statement'!AR23/'Balance Sheet'!AR26</f>
        <v>7.4986495968983644E-2</v>
      </c>
      <c r="AY19" s="324">
        <f>'Income Statement'!AS23/'Balance Sheet'!AS26</f>
        <v>8.4514522974889039E-2</v>
      </c>
      <c r="AZ19" s="324">
        <f>'Income Statement'!AT23/'Balance Sheet'!AT26</f>
        <v>8.658495826440861E-2</v>
      </c>
      <c r="BA19" s="324">
        <f>'Income Statement'!AU23/'Balance Sheet'!AU26</f>
        <v>9.4862975701764121E-2</v>
      </c>
    </row>
    <row r="20" spans="1:53" x14ac:dyDescent="0.3">
      <c r="A20" s="129" t="s">
        <v>555</v>
      </c>
      <c r="B20" s="128" t="s">
        <v>554</v>
      </c>
      <c r="C20" s="246">
        <f>'Income Statement'!B25/'Balance Sheet'!B37</f>
        <v>-0.35579694999073241</v>
      </c>
      <c r="D20" s="246">
        <f>'Income Statement'!C25/'Balance Sheet'!C37</f>
        <v>-0.32571829664129176</v>
      </c>
      <c r="E20" s="246">
        <f>'Income Statement'!D25/'Balance Sheet'!D37</f>
        <v>-5.1605104814312699E-2</v>
      </c>
      <c r="F20" s="246">
        <f>'Income Statement'!E25/'Balance Sheet'!E37</f>
        <v>-1.1342719771524627E-3</v>
      </c>
      <c r="G20" s="246">
        <f>'Income Statement'!F25/'Balance Sheet'!F37</f>
        <v>8.1069380725797197E-2</v>
      </c>
      <c r="H20" s="246">
        <f>'Income Statement'!G25/'Balance Sheet'!G37</f>
        <v>0.24422924172317703</v>
      </c>
      <c r="K20" s="2" t="s">
        <v>556</v>
      </c>
      <c r="L20" s="246">
        <f>'Income Statement'!J26/'Balance Sheet'!J29</f>
        <v>0.2435849154131868</v>
      </c>
      <c r="M20" s="246">
        <f>'Income Statement'!K26/'Balance Sheet'!K29</f>
        <v>0.23801725766832504</v>
      </c>
      <c r="N20" s="246">
        <f>'Income Statement'!L26/'Balance Sheet'!L29</f>
        <v>0.28771811020067267</v>
      </c>
      <c r="O20" s="246">
        <f>'Income Statement'!M26/'Balance Sheet'!M29</f>
        <v>9.6638954025438789E-2</v>
      </c>
      <c r="P20" s="246">
        <f>'Income Statement'!N26/'Balance Sheet'!N29</f>
        <v>0.22324215571696962</v>
      </c>
      <c r="Q20" s="246">
        <f>'Income Statement'!O26/'Balance Sheet'!O29</f>
        <v>0.30560675481486727</v>
      </c>
      <c r="T20" s="2" t="s">
        <v>556</v>
      </c>
      <c r="U20" s="246">
        <f>'Income Statement'!R25/'Balance Sheet'!R30</f>
        <v>0.10302118554329484</v>
      </c>
      <c r="V20" s="246">
        <f>'Income Statement'!S25/'Balance Sheet'!S30</f>
        <v>0.10082671536359875</v>
      </c>
      <c r="W20" s="246">
        <f>'Income Statement'!T25/'Balance Sheet'!T30</f>
        <v>7.1225052564010183E-2</v>
      </c>
      <c r="X20" s="246">
        <f>'Income Statement'!U25/'Balance Sheet'!U30</f>
        <v>0.11466571248362518</v>
      </c>
      <c r="Y20" s="246">
        <f>'Income Statement'!V25/'Balance Sheet'!V30</f>
        <v>0.13474420437380988</v>
      </c>
      <c r="Z20" s="246">
        <f>'Income Statement'!W25/'Balance Sheet'!W30</f>
        <v>0.14993348736259909</v>
      </c>
      <c r="AC20" s="2" t="s">
        <v>556</v>
      </c>
      <c r="AD20" s="323">
        <f>'Income Statement'!Z23/'Balance Sheet'!Z36</f>
        <v>6.6605946875415642E-2</v>
      </c>
      <c r="AE20" s="323">
        <f>'Income Statement'!AA23/'Balance Sheet'!AA36</f>
        <v>8.7134999651883067</v>
      </c>
      <c r="AF20" s="323">
        <f>'Income Statement'!AB23/'Balance Sheet'!AB36</f>
        <v>1.552872144590411</v>
      </c>
      <c r="AG20" s="323">
        <f>'Income Statement'!AC23/'Balance Sheet'!AC36</f>
        <v>1.1629019759783035</v>
      </c>
      <c r="AH20" s="323">
        <f>'Income Statement'!AD23/'Balance Sheet'!AD36</f>
        <v>0.62822431994637817</v>
      </c>
      <c r="AI20" s="323">
        <f>'Income Statement'!AE23/'Balance Sheet'!AE36</f>
        <v>0.53754612668139135</v>
      </c>
      <c r="AL20" s="2" t="s">
        <v>556</v>
      </c>
      <c r="AM20" s="324">
        <f>'Income Statement'!AH32/'Balance Sheet'!AH33</f>
        <v>-12.354403919797985</v>
      </c>
      <c r="AN20" s="324">
        <f>'Income Statement'!AI32/'Balance Sheet'!AI33</f>
        <v>1.1570864287956475</v>
      </c>
      <c r="AO20" s="324">
        <f>'Income Statement'!AJ32/'Balance Sheet'!AJ33</f>
        <v>0.45582976141293108</v>
      </c>
      <c r="AP20" s="324">
        <f>'Income Statement'!AK32/'Balance Sheet'!AK33</f>
        <v>0.39404861005579678</v>
      </c>
      <c r="AQ20" s="324">
        <f>'Income Statement'!AL32/'Balance Sheet'!AL33</f>
        <v>0.29988825614303216</v>
      </c>
      <c r="AR20" s="324">
        <f>'Income Statement'!AM32/'Balance Sheet'!AM33</f>
        <v>0.38941015526121953</v>
      </c>
    </row>
    <row r="21" spans="1:53" x14ac:dyDescent="0.3">
      <c r="A21" s="129" t="s">
        <v>584</v>
      </c>
      <c r="B21" s="128" t="s">
        <v>585</v>
      </c>
      <c r="C21" s="79">
        <f>('Income Statement'!B15+'Income Statement'!B16)/'Income Statement'!B17</f>
        <v>3.7309453812668472</v>
      </c>
      <c r="D21" s="79">
        <f>('Income Statement'!C15+'Income Statement'!C16)/'Income Statement'!C17</f>
        <v>4.4318210667952975</v>
      </c>
      <c r="E21" s="79">
        <f>('Income Statement'!D15+'Income Statement'!D16)/'Income Statement'!D17</f>
        <v>4.5106423211908515</v>
      </c>
      <c r="F21" s="79">
        <f>('Income Statement'!E15+'Income Statement'!E16)/'Income Statement'!E17</f>
        <v>5.0088426760621534</v>
      </c>
      <c r="G21" s="79">
        <f>('Income Statement'!F15+'Income Statement'!F16)/'Income Statement'!F17</f>
        <v>5.2660888302123388</v>
      </c>
      <c r="H21" s="79">
        <f>('Income Statement'!G15+'Income Statement'!G16)/'Income Statement'!G17</f>
        <v>6.4495653652908214</v>
      </c>
      <c r="L21" s="79">
        <f>('Income Statement'!J14+'Income Statement'!J15)/'Income Statement'!J17</f>
        <v>15.128358208955223</v>
      </c>
      <c r="M21" s="79">
        <f>('Income Statement'!K14+'Income Statement'!K15)/'Income Statement'!K17</f>
        <v>12.491750358680056</v>
      </c>
      <c r="N21" s="79">
        <f>('Income Statement'!L14+'Income Statement'!L15)/'Income Statement'!L17</f>
        <v>12.921848687082891</v>
      </c>
      <c r="O21" s="79">
        <f>('Income Statement'!M14+'Income Statement'!M15)/'Income Statement'!M17</f>
        <v>9.3207016283524897</v>
      </c>
      <c r="P21" s="79">
        <f>('Income Statement'!N14+'Income Statement'!N15)/'Income Statement'!N17</f>
        <v>11.38265908359266</v>
      </c>
      <c r="Q21" s="79">
        <f>('Income Statement'!O14+'Income Statement'!O15)/'Income Statement'!O17</f>
        <v>14.898756660746004</v>
      </c>
      <c r="U21" s="79">
        <f>('Income Statement'!R18+'Income Statement'!R15)/'Income Statement'!R16</f>
        <v>55.379362670713192</v>
      </c>
      <c r="V21" s="79">
        <f>('Income Statement'!S18+'Income Statement'!S15)/'Income Statement'!S16</f>
        <v>87.807881773398918</v>
      </c>
      <c r="W21" s="79">
        <f>('Income Statement'!T18+'Income Statement'!T15)/'Income Statement'!T16</f>
        <v>71.165755919854277</v>
      </c>
      <c r="X21" s="79">
        <f>('Income Statement'!U18+'Income Statement'!U15)/'Income Statement'!U16</f>
        <v>68.297342192691019</v>
      </c>
      <c r="Y21" s="79">
        <f>('Income Statement'!V18+'Income Statement'!V15)/'Income Statement'!V16</f>
        <v>89.756567425569258</v>
      </c>
      <c r="Z21" s="79">
        <f>('Income Statement'!W18+'Income Statement'!W15)/'Income Statement'!W16</f>
        <v>194.18006430868181</v>
      </c>
      <c r="AD21" s="2">
        <f>('Income Statement'!Z14+'Income Statement'!Z11)/'Income Statement'!Z10</f>
        <v>6.1347877809406501</v>
      </c>
      <c r="AE21" s="2">
        <f>('Income Statement'!AA14+'Income Statement'!AA11)/'Income Statement'!AA10</f>
        <v>9.5124702522608207</v>
      </c>
      <c r="AF21" s="2">
        <f>('Income Statement'!AB14+'Income Statement'!AB11)/'Income Statement'!AB10</f>
        <v>11.654573213046497</v>
      </c>
      <c r="AG21" s="2">
        <f>('Income Statement'!AC14+'Income Statement'!AC11)/'Income Statement'!AC10</f>
        <v>9.8250011561762935</v>
      </c>
      <c r="AH21" s="2">
        <f>('Income Statement'!AD14+'Income Statement'!AD11)/'Income Statement'!AD10</f>
        <v>6.2708978082496163</v>
      </c>
      <c r="AI21" s="2">
        <f>('Income Statement'!AE14+'Income Statement'!AE11)/'Income Statement'!AE10</f>
        <v>5.4457383480097636</v>
      </c>
      <c r="AM21" s="2">
        <f>('Income Statement'!AH19+Table16[[#This Row],[2020]]+'Income Statement'!AH22)/'Income Statement'!AH20</f>
        <v>2.6187759875259884</v>
      </c>
      <c r="AN21" s="2">
        <f>('Income Statement'!AI19+Table16[[#This Row],[2021]]+'Income Statement'!AI22)/'Income Statement'!AI20</f>
        <v>2.2645945960962544</v>
      </c>
      <c r="AO21" s="2">
        <f>('Income Statement'!AJ19+Table16[[#This Row],[2022]]+'Income Statement'!AJ22)/'Income Statement'!AJ20</f>
        <v>1.8945798062990926</v>
      </c>
      <c r="AP21" s="2">
        <f>('Income Statement'!AK19+Table16[[#This Row],[2023]]+'Income Statement'!AK22)/'Income Statement'!AK20</f>
        <v>1.720368411812814</v>
      </c>
      <c r="AQ21" s="2">
        <f>('Income Statement'!AL19+Table16[[#This Row],[2024]]+'Income Statement'!AL22)/'Income Statement'!AL20</f>
        <v>1.5475228503231064</v>
      </c>
      <c r="AR21" s="2">
        <f>('Income Statement'!AM19+Table16[[#This Row],[2025]]+'Income Statement'!AM22)/'Income Statement'!AM20</f>
        <v>1.6754157940627619</v>
      </c>
      <c r="AV21" s="2">
        <f>('Income Statement'!AP17+'Income Statement'!AP13)/'Income Statement'!AP12</f>
        <v>2.2724799758198579</v>
      </c>
      <c r="AW21" s="2">
        <f>('Income Statement'!AQ17+'Income Statement'!AQ13)/'Income Statement'!AQ12</f>
        <v>7.1929687500000004</v>
      </c>
      <c r="AX21" s="2">
        <f>('Income Statement'!AR17+'Income Statement'!AR13)/'Income Statement'!AR12</f>
        <v>7.695453506968243</v>
      </c>
      <c r="AY21" s="2">
        <f>('Income Statement'!AS17+'Income Statement'!AS13)/'Income Statement'!AS12</f>
        <v>10.644493717664449</v>
      </c>
      <c r="AZ21" s="2">
        <f>('Income Statement'!AT17+'Income Statement'!AT13)/'Income Statement'!AT12</f>
        <v>12.222805701425356</v>
      </c>
      <c r="BA21" s="2">
        <f>('Income Statement'!AU17+'Income Statement'!AU13)/'Income Statement'!AU12</f>
        <v>11.659292950175729</v>
      </c>
    </row>
    <row r="22" spans="1:53" s="53" customFormat="1" x14ac:dyDescent="0.3">
      <c r="A22" s="129"/>
      <c r="B22" s="128" t="s">
        <v>586</v>
      </c>
      <c r="C22" s="260">
        <f>('Balance Sheet'!B39+'Balance Sheet'!B48)/('Balance Sheet'!B31-'Balance Sheet'!B60)</f>
        <v>0.37545761376625775</v>
      </c>
      <c r="D22" s="260">
        <f>('Balance Sheet'!C39+'Balance Sheet'!C48)/('Balance Sheet'!C31-'Balance Sheet'!C60)</f>
        <v>0.44400814899298469</v>
      </c>
      <c r="E22" s="260">
        <f>('Balance Sheet'!D39+'Balance Sheet'!D48)/('Balance Sheet'!D31-'Balance Sheet'!D60)</f>
        <v>0.55174738452405181</v>
      </c>
      <c r="F22" s="260">
        <f>('Balance Sheet'!E39+'Balance Sheet'!E48)/('Balance Sheet'!E31-'Balance Sheet'!E60)</f>
        <v>0.54653479043819619</v>
      </c>
      <c r="G22" s="260">
        <f>('Balance Sheet'!F39+'Balance Sheet'!F48)/('Balance Sheet'!F31-'Balance Sheet'!F60)</f>
        <v>0.49668119603796707</v>
      </c>
      <c r="H22" s="260">
        <f>('Balance Sheet'!G39+'Balance Sheet'!G48)/('Balance Sheet'!G31-'Balance Sheet'!G60)</f>
        <v>0.44415492084635799</v>
      </c>
      <c r="L22" s="260">
        <f>('Balance Sheet'!J31+'Balance Sheet'!J39)/('Balance Sheet'!J24-'Balance Sheet'!J48)</f>
        <v>0.15183706270875708</v>
      </c>
      <c r="M22" s="260">
        <f>('Balance Sheet'!K31+'Balance Sheet'!K39)/('Balance Sheet'!K24-'Balance Sheet'!K48)</f>
        <v>0.22489844513778873</v>
      </c>
      <c r="N22" s="260">
        <f>('Balance Sheet'!L31+'Balance Sheet'!L39)/('Balance Sheet'!L24-'Balance Sheet'!L48)</f>
        <v>0.1401814479557085</v>
      </c>
      <c r="O22" s="260">
        <f>('Balance Sheet'!M31+'Balance Sheet'!M39)/('Balance Sheet'!M24-'Balance Sheet'!M48)</f>
        <v>0.12269328501208035</v>
      </c>
      <c r="P22" s="260">
        <f>('Balance Sheet'!N31+'Balance Sheet'!N39)/('Balance Sheet'!N24-'Balance Sheet'!N48)</f>
        <v>9.4327198426640349E-2</v>
      </c>
      <c r="Q22" s="260">
        <f>('Balance Sheet'!O31+'Balance Sheet'!O39)/('Balance Sheet'!O24-'Balance Sheet'!O48)</f>
        <v>4.2380215572631191E-2</v>
      </c>
      <c r="U22" s="260">
        <f>('Balance Sheet'!R32+'Balance Sheet'!R39)/('Balance Sheet'!R25-'Balance Sheet'!R47)</f>
        <v>0</v>
      </c>
      <c r="V22" s="260">
        <f>('Balance Sheet'!S32+'Balance Sheet'!S39)/('Balance Sheet'!S25-'Balance Sheet'!S47)</f>
        <v>0</v>
      </c>
      <c r="W22" s="260">
        <f>('Balance Sheet'!T32+'Balance Sheet'!T39)/('Balance Sheet'!T25-'Balance Sheet'!T47)</f>
        <v>0</v>
      </c>
      <c r="X22" s="260">
        <f>('Balance Sheet'!U32+'Balance Sheet'!U39)/('Balance Sheet'!U25-'Balance Sheet'!U47)</f>
        <v>0</v>
      </c>
      <c r="Y22" s="260">
        <f>('Balance Sheet'!V32+'Balance Sheet'!V39)/('Balance Sheet'!V25-'Balance Sheet'!V47)</f>
        <v>0</v>
      </c>
      <c r="Z22" s="260">
        <f>('Balance Sheet'!W32+'Balance Sheet'!W39)/('Balance Sheet'!W25-'Balance Sheet'!W47)</f>
        <v>0</v>
      </c>
      <c r="AD22" s="53">
        <f>('Balance Sheet'!Z38+'Balance Sheet'!Z46)/('Balance Sheet'!Z30-'Balance Sheet'!Z54)</f>
        <v>0.84201708083743543</v>
      </c>
      <c r="AE22" s="53">
        <f>('Balance Sheet'!AA38+'Balance Sheet'!AA46)/('Balance Sheet'!AA30-'Balance Sheet'!AA54)</f>
        <v>0.72243352173387465</v>
      </c>
      <c r="AF22" s="53">
        <f>('Balance Sheet'!AB38+'Balance Sheet'!AB46)/('Balance Sheet'!AB30-'Balance Sheet'!AB54)</f>
        <v>0.70273206926593379</v>
      </c>
      <c r="AG22" s="53">
        <f>('Balance Sheet'!AC38+'Balance Sheet'!AC46)/('Balance Sheet'!AC30-'Balance Sheet'!AC54)</f>
        <v>0.69970315826234275</v>
      </c>
      <c r="AH22" s="53">
        <f>('Balance Sheet'!AD38+'Balance Sheet'!AD46)/('Balance Sheet'!AD30-'Balance Sheet'!AD54)</f>
        <v>0.92902837193970289</v>
      </c>
      <c r="AI22" s="53">
        <f>('Balance Sheet'!AE38+'Balance Sheet'!AE46)/('Balance Sheet'!AE30-'Balance Sheet'!AE54)</f>
        <v>0.77269954270317154</v>
      </c>
      <c r="AM22" s="53">
        <f>('Balance Sheet'!AH37+'Balance Sheet'!AH46)/('Balance Sheet'!AH27-'Balance Sheet'!AH53)</f>
        <v>0.73417404448085777</v>
      </c>
      <c r="AN22" s="53">
        <f>('Balance Sheet'!AI37+'Balance Sheet'!AI46)/('Balance Sheet'!AI27-'Balance Sheet'!AI53)</f>
        <v>1.1480183828216188</v>
      </c>
      <c r="AO22" s="53">
        <f>('Balance Sheet'!AJ37+'Balance Sheet'!AJ46)/('Balance Sheet'!AJ27-'Balance Sheet'!AJ53)</f>
        <v>1.4373393212653194</v>
      </c>
      <c r="AP22" s="53">
        <f>('Balance Sheet'!AK37+'Balance Sheet'!AK46)/('Balance Sheet'!AK27-'Balance Sheet'!AK53)</f>
        <v>1.3696139553787376</v>
      </c>
      <c r="AQ22" s="53">
        <f>('Balance Sheet'!AL37+'Balance Sheet'!AL46)/('Balance Sheet'!AL27-'Balance Sheet'!AL53)</f>
        <v>1.5803218796737821</v>
      </c>
      <c r="AR22" s="53">
        <f>('Balance Sheet'!AM37+'Balance Sheet'!AM46)/('Balance Sheet'!AM27-'Balance Sheet'!AM53)</f>
        <v>1.3774050673769711</v>
      </c>
      <c r="AV22" s="53">
        <f>('Balance Sheet'!AP28+'Balance Sheet'!AP37)/('Balance Sheet'!AP21-'Balance Sheet'!AP46)</f>
        <v>0.1143320953341368</v>
      </c>
      <c r="AW22" s="53">
        <f>('Balance Sheet'!AQ28+'Balance Sheet'!AQ37)/('Balance Sheet'!AQ21-'Balance Sheet'!AQ46)</f>
        <v>5.0667515749732765E-2</v>
      </c>
      <c r="AX22" s="53">
        <f>('Balance Sheet'!AR28+'Balance Sheet'!AR37)/('Balance Sheet'!AR21-'Balance Sheet'!AR46)</f>
        <v>0.15519149635636403</v>
      </c>
      <c r="AY22" s="53">
        <f>('Balance Sheet'!AS28+'Balance Sheet'!AS37)/('Balance Sheet'!AS21-'Balance Sheet'!AS46)</f>
        <v>9.3334135577524263E-2</v>
      </c>
      <c r="AZ22" s="53">
        <f>('Balance Sheet'!AT28+'Balance Sheet'!AT37)/('Balance Sheet'!AT21-'Balance Sheet'!AT46)</f>
        <v>0.12485529427640037</v>
      </c>
      <c r="BA22" s="53">
        <f>('Balance Sheet'!AU28+'Balance Sheet'!AU37)/('Balance Sheet'!AU21-'Balance Sheet'!AU46)</f>
        <v>0.15520663703182078</v>
      </c>
    </row>
  </sheetData>
  <mergeCells count="50">
    <mergeCell ref="A17:B17"/>
    <mergeCell ref="A18:B18"/>
    <mergeCell ref="J4:J6"/>
    <mergeCell ref="J7:J8"/>
    <mergeCell ref="J9:J10"/>
    <mergeCell ref="J11:J12"/>
    <mergeCell ref="J14:J15"/>
    <mergeCell ref="A14:A15"/>
    <mergeCell ref="J17:K17"/>
    <mergeCell ref="J18:K18"/>
    <mergeCell ref="A1:H1"/>
    <mergeCell ref="A4:A6"/>
    <mergeCell ref="A7:A8"/>
    <mergeCell ref="A9:A10"/>
    <mergeCell ref="A11:A12"/>
    <mergeCell ref="G2:H2"/>
    <mergeCell ref="P2:Q2"/>
    <mergeCell ref="S4:S6"/>
    <mergeCell ref="S7:S8"/>
    <mergeCell ref="S9:S10"/>
    <mergeCell ref="S11:S12"/>
    <mergeCell ref="S18:T18"/>
    <mergeCell ref="AB4:AB6"/>
    <mergeCell ref="AB7:AB8"/>
    <mergeCell ref="AB9:AB10"/>
    <mergeCell ref="AB11:AB12"/>
    <mergeCell ref="AB14:AB15"/>
    <mergeCell ref="AB17:AC17"/>
    <mergeCell ref="AB18:AC18"/>
    <mergeCell ref="AT7:AT8"/>
    <mergeCell ref="AK4:AK6"/>
    <mergeCell ref="AK7:AK8"/>
    <mergeCell ref="S14:S15"/>
    <mergeCell ref="S17:T17"/>
    <mergeCell ref="A19:B19"/>
    <mergeCell ref="AZ2:BA2"/>
    <mergeCell ref="AK17:AL17"/>
    <mergeCell ref="AK18:AL18"/>
    <mergeCell ref="AT17:AU17"/>
    <mergeCell ref="AT18:AU18"/>
    <mergeCell ref="AT9:AT10"/>
    <mergeCell ref="AT11:AT12"/>
    <mergeCell ref="AT14:AT15"/>
    <mergeCell ref="AK9:AK10"/>
    <mergeCell ref="AK11:AK12"/>
    <mergeCell ref="AK14:AK15"/>
    <mergeCell ref="Y2:Z2"/>
    <mergeCell ref="AH2:AI2"/>
    <mergeCell ref="AQ2:AR2"/>
    <mergeCell ref="AT4:AT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8426-D4A8-449A-B903-23D361E69873}">
  <dimension ref="A1:H22"/>
  <sheetViews>
    <sheetView workbookViewId="0">
      <selection activeCell="B7" sqref="B7"/>
    </sheetView>
  </sheetViews>
  <sheetFormatPr defaultRowHeight="14.4" x14ac:dyDescent="0.3"/>
  <cols>
    <col min="1" max="1" width="22.6640625" style="2" bestFit="1" customWidth="1"/>
    <col min="2" max="6" width="14.77734375" style="2" customWidth="1"/>
    <col min="7" max="7" width="22.6640625" style="2" bestFit="1" customWidth="1"/>
    <col min="8" max="8" width="10.88671875" style="2" bestFit="1" customWidth="1"/>
    <col min="9" max="16384" width="8.88671875" style="2"/>
  </cols>
  <sheetData>
    <row r="1" spans="1:8" ht="28.8" customHeight="1" x14ac:dyDescent="0.3">
      <c r="A1" s="371" t="s">
        <v>471</v>
      </c>
      <c r="B1" s="371"/>
      <c r="C1" s="371"/>
      <c r="D1" s="371"/>
      <c r="E1" s="371"/>
    </row>
    <row r="2" spans="1:8" x14ac:dyDescent="0.3">
      <c r="A2" s="6" t="s">
        <v>472</v>
      </c>
      <c r="B2" s="217" t="s">
        <v>473</v>
      </c>
      <c r="C2" s="217" t="s">
        <v>474</v>
      </c>
      <c r="D2" s="217" t="s">
        <v>475</v>
      </c>
      <c r="E2" s="217" t="s">
        <v>476</v>
      </c>
    </row>
    <row r="3" spans="1:8" s="128" customFormat="1" ht="28.8" x14ac:dyDescent="0.3">
      <c r="A3" s="232" t="e" vm="12">
        <v>#VALUE!</v>
      </c>
      <c r="B3" s="233" cm="1">
        <f t="array" aca="1" ref="B3" ca="1">_FV(A3,"Beta")</f>
        <v>0.74639999999999995</v>
      </c>
      <c r="C3" s="234">
        <f>'Ratio Analysis'!H9</f>
        <v>0.96640726354796469</v>
      </c>
      <c r="D3" s="235">
        <v>0.25</v>
      </c>
      <c r="E3" s="234">
        <f ca="1">B3/(1+(1-D3)*C3)</f>
        <v>0.43274445880965917</v>
      </c>
    </row>
    <row r="4" spans="1:8" s="128" customFormat="1" ht="21" x14ac:dyDescent="0.3">
      <c r="A4" s="372" t="s">
        <v>489</v>
      </c>
      <c r="B4" s="373"/>
      <c r="C4" s="373"/>
      <c r="D4" s="373"/>
      <c r="E4" s="373"/>
      <c r="F4" s="373"/>
      <c r="G4" s="373"/>
      <c r="H4" s="374"/>
    </row>
    <row r="5" spans="1:8" s="128" customFormat="1" ht="45" customHeight="1" x14ac:dyDescent="0.3">
      <c r="A5" s="103" t="s">
        <v>477</v>
      </c>
      <c r="B5" s="210" t="e" vm="1">
        <v>#VALUE!</v>
      </c>
      <c r="C5" s="211" t="e" vm="2">
        <v>#VALUE!</v>
      </c>
      <c r="D5" s="212" t="e" vm="3">
        <v>#VALUE!</v>
      </c>
      <c r="E5" s="212" t="e" vm="4">
        <v>#VALUE!</v>
      </c>
      <c r="F5" s="212" t="e" vm="5">
        <v>#VALUE!</v>
      </c>
      <c r="G5" s="213" t="s">
        <v>477</v>
      </c>
      <c r="H5" s="212" t="e" vm="6">
        <v>#VALUE!</v>
      </c>
    </row>
    <row r="6" spans="1:8" x14ac:dyDescent="0.3">
      <c r="A6" s="214" t="s">
        <v>478</v>
      </c>
      <c r="B6" s="218">
        <v>6.3299999999999995E-2</v>
      </c>
      <c r="C6" s="218">
        <v>6.3299999999999995E-2</v>
      </c>
      <c r="D6" s="218">
        <v>6.3299999999999995E-2</v>
      </c>
      <c r="E6" s="218">
        <v>6.3299999999999995E-2</v>
      </c>
      <c r="F6" s="218">
        <v>6.3299999999999995E-2</v>
      </c>
      <c r="G6" s="72" t="s">
        <v>474</v>
      </c>
      <c r="H6" s="222">
        <f>'Ratio Analysis'!BA9</f>
        <v>0.31766375771395339</v>
      </c>
    </row>
    <row r="7" spans="1:8" x14ac:dyDescent="0.3">
      <c r="A7" s="22" t="s">
        <v>473</v>
      </c>
      <c r="B7" s="220">
        <f ca="1">'Company Profile'!B11</f>
        <v>0.74639999999999995</v>
      </c>
      <c r="C7" s="220">
        <f ca="1">'Company Profile'!C11</f>
        <v>1.0382</v>
      </c>
      <c r="D7" s="220">
        <f ca="1">'Company Profile'!D11</f>
        <v>1.3204</v>
      </c>
      <c r="E7" s="220">
        <f ca="1">'Company Profile'!E11</f>
        <v>1.4164000000000001</v>
      </c>
      <c r="F7" s="220">
        <f ca="1">'Company Profile'!F11</f>
        <v>0.97570000000000001</v>
      </c>
      <c r="G7" s="28" t="s">
        <v>473</v>
      </c>
      <c r="H7" s="221">
        <f ca="1">E3*(1+(1-D3)*H6)</f>
        <v>0.53584488199618474</v>
      </c>
    </row>
    <row r="8" spans="1:8" x14ac:dyDescent="0.3">
      <c r="A8" s="22" t="s">
        <v>479</v>
      </c>
      <c r="B8" s="225">
        <v>7.2599999999999998E-2</v>
      </c>
      <c r="C8" s="225">
        <v>7.2599999999999998E-2</v>
      </c>
      <c r="D8" s="225">
        <v>7.2599999999999998E-2</v>
      </c>
      <c r="E8" s="225">
        <v>7.2599999999999998E-2</v>
      </c>
      <c r="F8" s="225">
        <v>7.2599999999999998E-2</v>
      </c>
      <c r="G8" s="28" t="s">
        <v>490</v>
      </c>
      <c r="H8" s="223">
        <f>F6</f>
        <v>6.3299999999999995E-2</v>
      </c>
    </row>
    <row r="9" spans="1:8" x14ac:dyDescent="0.3">
      <c r="A9" s="7" t="s">
        <v>480</v>
      </c>
      <c r="B9" s="238">
        <f ca="1">B6+(B7*B8)</f>
        <v>0.11748863999999999</v>
      </c>
      <c r="C9" s="238">
        <f t="shared" ref="C9:F9" ca="1" si="0">C6+(C7*C8)</f>
        <v>0.13867331999999999</v>
      </c>
      <c r="D9" s="238">
        <f t="shared" ca="1" si="0"/>
        <v>0.15916103999999998</v>
      </c>
      <c r="E9" s="238">
        <f t="shared" ca="1" si="0"/>
        <v>0.16613064</v>
      </c>
      <c r="F9" s="238">
        <f t="shared" ca="1" si="0"/>
        <v>0.13413581999999999</v>
      </c>
      <c r="G9" s="28" t="s">
        <v>491</v>
      </c>
      <c r="H9" s="227">
        <f>F8</f>
        <v>7.2599999999999998E-2</v>
      </c>
    </row>
    <row r="10" spans="1:8" x14ac:dyDescent="0.3">
      <c r="A10" s="22" t="s">
        <v>481</v>
      </c>
      <c r="B10" s="219">
        <f>'Balance Sheet'!G39+'Balance Sheet'!G40+'Balance Sheet'!G48+'Balance Sheet'!G49+'Balance Sheet'!G50</f>
        <v>213642.1</v>
      </c>
      <c r="C10" s="219">
        <f>'Balance Sheet'!O31+'Balance Sheet'!O32+'Balance Sheet'!O39+'Balance Sheet'!O43</f>
        <v>21155.800000000003</v>
      </c>
      <c r="D10" s="219">
        <f>'Balance Sheet'!W32+'Balance Sheet'!W33+'Balance Sheet'!W39+'Balance Sheet'!W40</f>
        <v>44.54</v>
      </c>
      <c r="E10" s="219">
        <f>'Balance Sheet'!AE38+'Balance Sheet'!AE40+'Balance Sheet'!AE46+'Balance Sheet'!AE49</f>
        <v>12357.32</v>
      </c>
      <c r="F10" s="219">
        <f>'Balance Sheet'!AM37+'Balance Sheet'!AM39+'Balance Sheet'!AM46+'Balance Sheet'!AM47</f>
        <v>233228.7</v>
      </c>
      <c r="G10" s="6" t="s">
        <v>480</v>
      </c>
      <c r="H10" s="239">
        <f ca="1">H8+(H7*H9)</f>
        <v>0.10220233843292301</v>
      </c>
    </row>
    <row r="11" spans="1:8" x14ac:dyDescent="0.3">
      <c r="A11" s="22" t="s">
        <v>482</v>
      </c>
      <c r="B11" s="219">
        <f>'Income Statement'!G17</f>
        <v>21753.9</v>
      </c>
      <c r="C11" s="219">
        <f>'Income Statement'!O17</f>
        <v>1857.9</v>
      </c>
      <c r="D11" s="219">
        <f>'Income Statement'!W16</f>
        <v>3.11</v>
      </c>
      <c r="E11" s="219">
        <f>Table14[[#This Row],[2025]]</f>
        <v>2592.1</v>
      </c>
      <c r="F11" s="219">
        <f>'Income Statement'!AM20</f>
        <v>24543.4</v>
      </c>
      <c r="G11" s="28" t="s">
        <v>481</v>
      </c>
      <c r="H11" s="221">
        <f>'Balance Sheet'!AU28+'Balance Sheet'!AU29+'Balance Sheet'!AU37+'Balance Sheet'!AU38</f>
        <v>83030</v>
      </c>
    </row>
    <row r="12" spans="1:8" x14ac:dyDescent="0.3">
      <c r="A12" s="22" t="s">
        <v>483</v>
      </c>
      <c r="B12" s="225">
        <f>B11/B10</f>
        <v>0.10182403187386756</v>
      </c>
      <c r="C12" s="225">
        <f t="shared" ref="C12:F12" si="1">C11/C10</f>
        <v>8.7819888635740542E-2</v>
      </c>
      <c r="D12" s="225">
        <f t="shared" si="1"/>
        <v>6.9824876515491685E-2</v>
      </c>
      <c r="E12" s="225">
        <f t="shared" si="1"/>
        <v>0.20976231092178563</v>
      </c>
      <c r="F12" s="225">
        <f t="shared" si="1"/>
        <v>0.10523318956886524</v>
      </c>
      <c r="G12" s="28" t="s">
        <v>482</v>
      </c>
      <c r="H12" s="221">
        <f>'Income Statement'!AU12</f>
        <v>4837</v>
      </c>
    </row>
    <row r="13" spans="1:8" x14ac:dyDescent="0.3">
      <c r="A13" s="22" t="s">
        <v>475</v>
      </c>
      <c r="B13" s="224">
        <v>0.25</v>
      </c>
      <c r="C13" s="224">
        <v>0.25</v>
      </c>
      <c r="D13" s="224">
        <v>0.25</v>
      </c>
      <c r="E13" s="224">
        <v>0.25</v>
      </c>
      <c r="F13" s="224">
        <v>0.25</v>
      </c>
      <c r="G13" s="28" t="s">
        <v>492</v>
      </c>
      <c r="H13" s="227">
        <f>H12/H11</f>
        <v>5.8256052029386968E-2</v>
      </c>
    </row>
    <row r="14" spans="1:8" x14ac:dyDescent="0.3">
      <c r="A14" s="7" t="s">
        <v>484</v>
      </c>
      <c r="B14" s="345">
        <f>B12*(1-B13)</f>
        <v>7.6368023905400664E-2</v>
      </c>
      <c r="C14" s="345">
        <f t="shared" ref="C14:F14" si="2">C12*(1-C13)</f>
        <v>6.586491647680541E-2</v>
      </c>
      <c r="D14" s="345">
        <f t="shared" si="2"/>
        <v>5.2368657386618764E-2</v>
      </c>
      <c r="E14" s="345">
        <f t="shared" si="2"/>
        <v>0.15732173319133921</v>
      </c>
      <c r="F14" s="345">
        <f t="shared" si="2"/>
        <v>7.8924892176648928E-2</v>
      </c>
      <c r="G14" s="28" t="s">
        <v>493</v>
      </c>
      <c r="H14" s="226">
        <v>0.25</v>
      </c>
    </row>
    <row r="15" spans="1:8" x14ac:dyDescent="0.3">
      <c r="A15" s="22" t="s">
        <v>485</v>
      </c>
      <c r="B15" s="219">
        <f ca="1">'Company Profile'!B9/10000000</f>
        <v>1199343</v>
      </c>
      <c r="C15" s="219">
        <f ca="1">'Company Profile'!C9/10000000</f>
        <v>105696.4</v>
      </c>
      <c r="D15" s="219">
        <f ca="1">'Company Profile'!D9/10000000</f>
        <v>11285.8</v>
      </c>
      <c r="E15" s="219">
        <f ca="1">'Company Profile'!E9/10000000</f>
        <v>52707.9</v>
      </c>
      <c r="F15" s="219">
        <f ca="1">'Company Profile'!F9/10000000</f>
        <v>104117.7</v>
      </c>
      <c r="G15" s="6" t="s">
        <v>494</v>
      </c>
      <c r="H15" s="346">
        <f>H13*(1-H14)</f>
        <v>4.3692039022040226E-2</v>
      </c>
    </row>
    <row r="16" spans="1:8" x14ac:dyDescent="0.3">
      <c r="A16" s="22" t="s">
        <v>486</v>
      </c>
      <c r="B16" s="219">
        <f ca="1">B10+B15</f>
        <v>1412985.1</v>
      </c>
      <c r="C16" s="219">
        <f t="shared" ref="C16:F16" ca="1" si="3">C10+C15</f>
        <v>126852.2</v>
      </c>
      <c r="D16" s="219">
        <f t="shared" ca="1" si="3"/>
        <v>11330.34</v>
      </c>
      <c r="E16" s="219">
        <f t="shared" ca="1" si="3"/>
        <v>65065.22</v>
      </c>
      <c r="F16" s="219">
        <f t="shared" ca="1" si="3"/>
        <v>337346.4</v>
      </c>
      <c r="G16" s="28" t="s">
        <v>495</v>
      </c>
      <c r="H16" s="221">
        <f>'Balance Sheet'!AU26</f>
        <v>261377</v>
      </c>
    </row>
    <row r="17" spans="1:8" x14ac:dyDescent="0.3">
      <c r="A17" s="22" t="s">
        <v>487</v>
      </c>
      <c r="B17" s="225">
        <f ca="1">B15/B16</f>
        <v>0.84880088261369491</v>
      </c>
      <c r="C17" s="225">
        <f t="shared" ref="C17:F17" ca="1" si="4">C15/C16</f>
        <v>0.83322480808373833</v>
      </c>
      <c r="D17" s="225">
        <f t="shared" ca="1" si="4"/>
        <v>0.99606896174342507</v>
      </c>
      <c r="E17" s="225">
        <f t="shared" ca="1" si="4"/>
        <v>0.81007794947899969</v>
      </c>
      <c r="F17" s="225">
        <f t="shared" ca="1" si="4"/>
        <v>0.30863735317762392</v>
      </c>
      <c r="G17" s="28" t="s">
        <v>486</v>
      </c>
      <c r="H17" s="221">
        <f>H11+H16</f>
        <v>344407</v>
      </c>
    </row>
    <row r="18" spans="1:8" x14ac:dyDescent="0.3">
      <c r="A18" s="215" t="s">
        <v>488</v>
      </c>
      <c r="B18" s="228">
        <f ca="1">B10/B16</f>
        <v>0.15119911738630507</v>
      </c>
      <c r="C18" s="228">
        <f t="shared" ref="C18:F18" ca="1" si="5">C10/C16</f>
        <v>0.16677519191626164</v>
      </c>
      <c r="D18" s="228">
        <f t="shared" ca="1" si="5"/>
        <v>3.9310382565748243E-3</v>
      </c>
      <c r="E18" s="228">
        <f t="shared" ca="1" si="5"/>
        <v>0.18992205052100031</v>
      </c>
      <c r="F18" s="228">
        <f t="shared" ca="1" si="5"/>
        <v>0.69136264682237603</v>
      </c>
      <c r="G18" s="28" t="s">
        <v>487</v>
      </c>
      <c r="H18" s="227">
        <f>H16/H17</f>
        <v>0.75891895344751992</v>
      </c>
    </row>
    <row r="19" spans="1:8" x14ac:dyDescent="0.3">
      <c r="A19" s="74"/>
      <c r="B19" s="229"/>
      <c r="C19" s="229"/>
      <c r="D19" s="229"/>
      <c r="E19" s="229"/>
      <c r="F19" s="230"/>
      <c r="G19" s="22" t="s">
        <v>488</v>
      </c>
      <c r="H19" s="227">
        <f>H11/H17</f>
        <v>0.24108104655248005</v>
      </c>
    </row>
    <row r="20" spans="1:8" x14ac:dyDescent="0.3">
      <c r="A20" s="240" t="s">
        <v>489</v>
      </c>
      <c r="B20" s="241">
        <f ca="1">(B9*B17)+(B14*B18)</f>
        <v>0.11127123914011548</v>
      </c>
      <c r="C20" s="241">
        <f t="shared" ref="C20:F20" ca="1" si="6">(C9*C17)+(C14*C18)</f>
        <v>0.12653068452930258</v>
      </c>
      <c r="D20" s="241">
        <f t="shared" ca="1" si="6"/>
        <v>0.15874123505843599</v>
      </c>
      <c r="E20" s="241">
        <f t="shared" ca="1" si="6"/>
        <v>0.16445763435605074</v>
      </c>
      <c r="F20" s="241">
        <f t="shared" ca="1" si="6"/>
        <v>9.5965046806528828E-2</v>
      </c>
      <c r="G20" s="242" t="s">
        <v>489</v>
      </c>
      <c r="H20" s="243">
        <f ca="1">(H10*H18)+(H15*H19)</f>
        <v>8.8096614216848432E-2</v>
      </c>
    </row>
    <row r="21" spans="1:8" x14ac:dyDescent="0.3">
      <c r="A21" s="215" t="s">
        <v>496</v>
      </c>
      <c r="B21" s="228">
        <v>3.2500000000000001E-2</v>
      </c>
      <c r="C21" s="228">
        <v>3.5000000000000003E-2</v>
      </c>
      <c r="D21" s="228">
        <v>3.2500000000000001E-2</v>
      </c>
      <c r="E21" s="228">
        <v>0.03</v>
      </c>
      <c r="F21" s="228">
        <v>2.75E-2</v>
      </c>
      <c r="G21" s="228" t="s">
        <v>496</v>
      </c>
      <c r="H21" s="231">
        <v>3.2500000000000001E-2</v>
      </c>
    </row>
    <row r="22" spans="1:8" x14ac:dyDescent="0.3">
      <c r="A22" s="215" t="s">
        <v>497</v>
      </c>
      <c r="B22" s="236">
        <f>'Balance Sheet'!G25</f>
        <v>6105.6</v>
      </c>
      <c r="C22" s="236">
        <f>'Balance Sheet'!O19</f>
        <v>149.69999999999999</v>
      </c>
      <c r="D22" s="236">
        <f>'Balance Sheet'!W18</f>
        <v>308.04000000000002</v>
      </c>
      <c r="E22" s="236">
        <f>'Balance Sheet'!AE24</f>
        <v>533.9</v>
      </c>
      <c r="F22" s="236">
        <f>'Balance Sheet'!AM19</f>
        <v>256.8</v>
      </c>
      <c r="G22" s="70" t="s">
        <v>497</v>
      </c>
      <c r="H22" s="237">
        <f>'Balance Sheet'!AU16</f>
        <v>5929</v>
      </c>
    </row>
  </sheetData>
  <mergeCells count="2">
    <mergeCell ref="A1:E1"/>
    <mergeCell ref="A4:H4"/>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E542-F854-45F1-A5F1-4D65670A9A09}">
  <dimension ref="A1:BA27"/>
  <sheetViews>
    <sheetView topLeftCell="AV2" workbookViewId="0">
      <selection activeCell="D7" sqref="D7"/>
    </sheetView>
  </sheetViews>
  <sheetFormatPr defaultRowHeight="14.4" x14ac:dyDescent="0.3"/>
  <cols>
    <col min="1" max="1" width="22.5546875" style="2" bestFit="1" customWidth="1"/>
    <col min="2" max="2" width="12.33203125" style="2" bestFit="1" customWidth="1"/>
    <col min="3" max="3" width="14.33203125" style="79" customWidth="1"/>
    <col min="4" max="8" width="10.88671875" style="2" bestFit="1" customWidth="1"/>
    <col min="9" max="9" width="8.88671875" style="2"/>
    <col min="10" max="10" width="22.5546875" style="2" bestFit="1" customWidth="1"/>
    <col min="11" max="11" width="12.33203125" style="2" bestFit="1" customWidth="1"/>
    <col min="12" max="12" width="14.33203125" style="79" customWidth="1"/>
    <col min="13" max="16" width="10" style="2" bestFit="1" customWidth="1"/>
    <col min="17" max="17" width="10.88671875" style="2" bestFit="1" customWidth="1"/>
    <col min="18" max="18" width="8.88671875" style="2"/>
    <col min="19" max="19" width="22.5546875" style="2" bestFit="1" customWidth="1"/>
    <col min="20" max="20" width="12.33203125" style="2" bestFit="1" customWidth="1"/>
    <col min="21" max="21" width="14.33203125" style="2" customWidth="1"/>
    <col min="22" max="24" width="8.88671875" style="2"/>
    <col min="25" max="26" width="9.6640625" style="2" bestFit="1" customWidth="1"/>
    <col min="27" max="27" width="8.88671875" style="2"/>
    <col min="28" max="28" width="22.5546875" style="2" bestFit="1" customWidth="1"/>
    <col min="29" max="29" width="12.33203125" style="2" bestFit="1" customWidth="1"/>
    <col min="30" max="30" width="14.33203125" style="2" customWidth="1"/>
    <col min="31" max="35" width="9.88671875" style="2" bestFit="1" customWidth="1"/>
    <col min="36" max="36" width="8.88671875" style="2"/>
    <col min="37" max="37" width="22.5546875" style="2" bestFit="1" customWidth="1"/>
    <col min="38" max="38" width="12.33203125" style="2" bestFit="1" customWidth="1"/>
    <col min="39" max="39" width="14.33203125" style="2" customWidth="1"/>
    <col min="40" max="40" width="10.6640625" style="2" bestFit="1" customWidth="1"/>
    <col min="41" max="44" width="10" style="2" bestFit="1" customWidth="1"/>
    <col min="45" max="45" width="8.88671875" style="2"/>
    <col min="46" max="46" width="22.5546875" style="2" bestFit="1" customWidth="1"/>
    <col min="47" max="47" width="12.33203125" style="2" bestFit="1" customWidth="1"/>
    <col min="48" max="48" width="14.33203125" style="2" customWidth="1"/>
    <col min="49" max="53" width="10.88671875" style="2" bestFit="1" customWidth="1"/>
    <col min="54" max="16384" width="8.88671875" style="2"/>
  </cols>
  <sheetData>
    <row r="1" spans="1:53" ht="27" customHeight="1" x14ac:dyDescent="0.3">
      <c r="A1" s="249" t="s">
        <v>522</v>
      </c>
      <c r="B1" s="249"/>
      <c r="C1" s="249"/>
      <c r="D1" s="249"/>
      <c r="E1" s="249"/>
      <c r="F1" s="249"/>
      <c r="G1" s="249"/>
      <c r="H1" s="249"/>
    </row>
    <row r="2" spans="1:53" ht="42.6" customHeight="1" x14ac:dyDescent="0.3">
      <c r="A2" s="375" t="e" vm="1">
        <v>#VALUE!</v>
      </c>
      <c r="B2" s="376"/>
      <c r="C2" s="376"/>
      <c r="D2" s="376"/>
      <c r="E2" s="376"/>
      <c r="F2" s="376"/>
      <c r="G2" s="376"/>
      <c r="H2" s="377"/>
      <c r="J2" s="375" t="e" vm="2">
        <v>#VALUE!</v>
      </c>
      <c r="K2" s="376"/>
      <c r="L2" s="376"/>
      <c r="M2" s="376"/>
      <c r="N2" s="376"/>
      <c r="O2" s="376"/>
      <c r="P2" s="376"/>
      <c r="Q2" s="377"/>
      <c r="S2" s="375" t="e" vm="3">
        <v>#VALUE!</v>
      </c>
      <c r="T2" s="376"/>
      <c r="U2" s="376"/>
      <c r="V2" s="376"/>
      <c r="W2" s="376"/>
      <c r="X2" s="376"/>
      <c r="Y2" s="376"/>
      <c r="Z2" s="377"/>
      <c r="AB2" s="375" t="e" vm="4">
        <v>#VALUE!</v>
      </c>
      <c r="AC2" s="376"/>
      <c r="AD2" s="376"/>
      <c r="AE2" s="376"/>
      <c r="AF2" s="376"/>
      <c r="AG2" s="376"/>
      <c r="AH2" s="376"/>
      <c r="AI2" s="377"/>
      <c r="AK2" s="375" t="e" vm="5">
        <v>#VALUE!</v>
      </c>
      <c r="AL2" s="376"/>
      <c r="AM2" s="376"/>
      <c r="AN2" s="376"/>
      <c r="AO2" s="376"/>
      <c r="AP2" s="376"/>
      <c r="AQ2" s="376"/>
      <c r="AR2" s="377"/>
      <c r="AT2" s="347" t="e" vm="6">
        <v>#VALUE!</v>
      </c>
      <c r="AU2" s="347"/>
      <c r="AV2" s="347"/>
      <c r="AW2" s="347"/>
      <c r="AX2" s="347"/>
      <c r="AY2" s="347"/>
      <c r="AZ2" s="347"/>
      <c r="BA2" s="347"/>
    </row>
    <row r="3" spans="1:53" x14ac:dyDescent="0.3">
      <c r="A3" s="248" t="s">
        <v>440</v>
      </c>
      <c r="B3" s="151" t="s">
        <v>67</v>
      </c>
      <c r="C3" s="151" t="s">
        <v>505</v>
      </c>
      <c r="D3" s="151" t="s">
        <v>506</v>
      </c>
      <c r="E3" s="151" t="s">
        <v>507</v>
      </c>
      <c r="F3" s="151" t="s">
        <v>508</v>
      </c>
      <c r="G3" s="151" t="s">
        <v>509</v>
      </c>
      <c r="H3" s="152" t="s">
        <v>510</v>
      </c>
      <c r="J3" s="89" t="s">
        <v>440</v>
      </c>
      <c r="K3" s="250" t="s">
        <v>67</v>
      </c>
      <c r="L3" s="250" t="s">
        <v>505</v>
      </c>
      <c r="M3" s="250" t="s">
        <v>506</v>
      </c>
      <c r="N3" s="250" t="s">
        <v>507</v>
      </c>
      <c r="O3" s="250" t="s">
        <v>508</v>
      </c>
      <c r="P3" s="250" t="s">
        <v>509</v>
      </c>
      <c r="Q3" s="251" t="s">
        <v>510</v>
      </c>
      <c r="S3" s="47" t="s">
        <v>440</v>
      </c>
      <c r="T3" s="48" t="s">
        <v>67</v>
      </c>
      <c r="U3" s="48" t="s">
        <v>505</v>
      </c>
      <c r="V3" s="48" t="s">
        <v>506</v>
      </c>
      <c r="W3" s="48" t="s">
        <v>507</v>
      </c>
      <c r="X3" s="48" t="s">
        <v>508</v>
      </c>
      <c r="Y3" s="48" t="s">
        <v>509</v>
      </c>
      <c r="Z3" s="48" t="s">
        <v>510</v>
      </c>
      <c r="AB3" s="2" t="s">
        <v>440</v>
      </c>
      <c r="AC3" s="79" t="s">
        <v>67</v>
      </c>
      <c r="AD3" s="79" t="s">
        <v>505</v>
      </c>
      <c r="AE3" s="79" t="s">
        <v>506</v>
      </c>
      <c r="AF3" s="79" t="s">
        <v>507</v>
      </c>
      <c r="AG3" s="79" t="s">
        <v>508</v>
      </c>
      <c r="AH3" s="79" t="s">
        <v>509</v>
      </c>
      <c r="AI3" s="79" t="s">
        <v>510</v>
      </c>
      <c r="AK3" s="2" t="s">
        <v>440</v>
      </c>
      <c r="AL3" s="79" t="s">
        <v>67</v>
      </c>
      <c r="AM3" s="79" t="s">
        <v>505</v>
      </c>
      <c r="AN3" s="79" t="s">
        <v>506</v>
      </c>
      <c r="AO3" s="79" t="s">
        <v>507</v>
      </c>
      <c r="AP3" s="79" t="s">
        <v>508</v>
      </c>
      <c r="AQ3" s="79" t="s">
        <v>509</v>
      </c>
      <c r="AR3" s="79" t="s">
        <v>510</v>
      </c>
      <c r="AT3" s="2" t="s">
        <v>440</v>
      </c>
      <c r="AU3" s="79" t="s">
        <v>67</v>
      </c>
      <c r="AV3" s="79" t="s">
        <v>505</v>
      </c>
      <c r="AW3" s="79" t="s">
        <v>506</v>
      </c>
      <c r="AX3" s="79" t="s">
        <v>507</v>
      </c>
      <c r="AY3" s="79" t="s">
        <v>508</v>
      </c>
      <c r="AZ3" s="79" t="s">
        <v>509</v>
      </c>
      <c r="BA3" s="79" t="s">
        <v>510</v>
      </c>
    </row>
    <row r="4" spans="1:53" x14ac:dyDescent="0.3">
      <c r="A4" s="28" t="s">
        <v>498</v>
      </c>
      <c r="B4" s="219">
        <f>'Income Statement'!G6</f>
        <v>174558.90000000002</v>
      </c>
      <c r="C4" s="245">
        <f>('Income Statement'!G6/'Income Statement'!B6)^(1/6)-1</f>
        <v>0.20662581124630108</v>
      </c>
      <c r="D4" s="219">
        <f>Table33[[#This Row],[2025]]*(1+Table33[[#This Row],[Ratio/Growth]])</f>
        <v>210627.27432276198</v>
      </c>
      <c r="E4" s="219">
        <f>Table33[[#This Row],[2026]]*(1+$C$4)</f>
        <v>254148.30575029989</v>
      </c>
      <c r="F4" s="219">
        <f>Table33[[#This Row],[2027]]*(1+$C$4)</f>
        <v>306661.90560282854</v>
      </c>
      <c r="G4" s="219">
        <f>Table33[[#This Row],[2028]]*(1+$C$4)</f>
        <v>370026.17062634957</v>
      </c>
      <c r="H4" s="219">
        <f>Table33[[#This Row],[2029]]*(1+$C$4)</f>
        <v>446483.12831438129</v>
      </c>
      <c r="J4" s="28" t="s">
        <v>498</v>
      </c>
      <c r="K4" s="33">
        <f>'Income Statement'!O6</f>
        <v>30468.6</v>
      </c>
      <c r="L4" s="245">
        <f>('Income Statement'!O6/'Income Statement'!J6)^(1/6)-1</f>
        <v>0.28173443253652697</v>
      </c>
      <c r="M4" s="33">
        <f>Table35[[#This Row],[2025]]*(1+Table35[[#This Row],[Ratio/Growth]])</f>
        <v>39052.653731182421</v>
      </c>
      <c r="N4" s="33">
        <f>Table35[[#This Row],[2026]]*(1+$L$4)</f>
        <v>50055.130969182581</v>
      </c>
      <c r="O4" s="33">
        <f>Table35[[#This Row],[2027]]*(1+$L$4)</f>
        <v>64157.384888326771</v>
      </c>
      <c r="P4" s="33">
        <f>Table35[[#This Row],[2028]]*(1+$L$4)</f>
        <v>82232.729312867072</v>
      </c>
      <c r="Q4" s="33">
        <f>Table35[[#This Row],[2029]]*(1+$L$4)</f>
        <v>105400.52064175751</v>
      </c>
      <c r="S4" s="28" t="s">
        <v>498</v>
      </c>
      <c r="T4" s="33">
        <f>'Income Statement'!W7</f>
        <v>3551.0400000000004</v>
      </c>
      <c r="U4" s="245">
        <f>('Income Statement'!W7/'Income Statement'!R7)^(1/6)-1</f>
        <v>0.20398905733888895</v>
      </c>
      <c r="V4" s="33">
        <f>Table38[[#This Row],[2025]]*(1+U4)</f>
        <v>4275.4133021726884</v>
      </c>
      <c r="W4" s="33">
        <f>Table38[[#This Row],[2026]]*(1+$U$4)</f>
        <v>5147.5508314170411</v>
      </c>
      <c r="X4" s="33">
        <f>Table38[[#This Row],[2027]]*(1+$U$4)</f>
        <v>6197.5948731218177</v>
      </c>
      <c r="Y4" s="33">
        <f>Table38[[#This Row],[2028]]*(1+$U$4)</f>
        <v>7461.8364090582681</v>
      </c>
      <c r="Z4" s="33">
        <f>Table38[[#This Row],[2029]]*(1+$U$4)</f>
        <v>8983.9693841590652</v>
      </c>
      <c r="AB4" s="28" t="s">
        <v>498</v>
      </c>
      <c r="AC4" s="33">
        <f>'Income Statement'!AE6</f>
        <v>23238.89</v>
      </c>
      <c r="AD4" s="245">
        <f>('Income Statement'!AE6/'Income Statement'!Z6)^(1/6)-1</f>
        <v>5.2068297682679843E-2</v>
      </c>
      <c r="AE4" s="33">
        <f>Table40[[#This Row],[2025]]*(1+Table40[[#This Row],[Ratio/Growth]])</f>
        <v>24448.899442335052</v>
      </c>
      <c r="AF4" s="33">
        <f>Table40[[#This Row],[2026]]*(1+$AD$4)</f>
        <v>25721.912016512459</v>
      </c>
      <c r="AG4" s="33">
        <f>Table40[[#This Row],[2027]]*(1+$AD$4)</f>
        <v>27061.208188355929</v>
      </c>
      <c r="AH4" s="33">
        <f>Table40[[#This Row],[2028]]*(1+$AD$4)</f>
        <v>28470.239231960219</v>
      </c>
      <c r="AI4" s="33">
        <f>Table40[[#This Row],[2029]]*(1+$AD$4)</f>
        <v>29952.636123387034</v>
      </c>
      <c r="AK4" s="28" t="s">
        <v>498</v>
      </c>
      <c r="AL4" s="33">
        <f>'Income Statement'!AM8</f>
        <v>44591.899999999994</v>
      </c>
      <c r="AM4" s="245">
        <f>('Income Statement'!AM8/'Income Statement'!AJ8)^(1/4)-1</f>
        <v>3.6432319720838269E-2</v>
      </c>
      <c r="AN4" s="33">
        <f>Table36[[#This Row],[2025]]*(1+Table36[[#This Row],[Ratio/Growth]])</f>
        <v>46216.486357759641</v>
      </c>
      <c r="AO4" s="33">
        <f>Table36[[#This Row],[2026]]*(1+$AM$4)</f>
        <v>47900.260165119304</v>
      </c>
      <c r="AP4" s="33">
        <f>Table36[[#This Row],[2027]]*(1+$AM$4)</f>
        <v>49645.377758166265</v>
      </c>
      <c r="AQ4" s="33">
        <f>Table36[[#This Row],[2028]]*(1+$AM$4)</f>
        <v>51454.074033313569</v>
      </c>
      <c r="AR4" s="33">
        <f>Table36[[#This Row],[2029]]*(1+$AM$4)</f>
        <v>53328.665309434931</v>
      </c>
      <c r="AT4" s="28" t="s">
        <v>498</v>
      </c>
      <c r="AU4" s="33">
        <f>'Income Statement'!AU6</f>
        <v>115088</v>
      </c>
      <c r="AV4" s="245">
        <f>('Income Statement'!AU6/'Income Statement'!AP6)^(1/6)-1</f>
        <v>0.13301205923457737</v>
      </c>
      <c r="AW4" s="33">
        <f>Table44[[#This Row],[2025]]*(1+AV4)</f>
        <v>130396.09187318904</v>
      </c>
      <c r="AX4" s="33">
        <f>Table44[[#This Row],[2026]]*(1+$AV$4)</f>
        <v>147740.34456938304</v>
      </c>
      <c r="AY4" s="33">
        <f>Table44[[#This Row],[2027]]*(1+$AV$4)</f>
        <v>167391.5920325827</v>
      </c>
      <c r="AZ4" s="33">
        <f>Table44[[#This Row],[2028]]*(1+$AV$4)</f>
        <v>189656.69238739079</v>
      </c>
      <c r="BA4" s="33">
        <f>Table44[[#This Row],[2029]]*(1+$AV$4)</f>
        <v>214883.31958945643</v>
      </c>
    </row>
    <row r="5" spans="1:53" x14ac:dyDescent="0.3">
      <c r="A5" s="28" t="s">
        <v>132</v>
      </c>
      <c r="B5" s="219">
        <f>'Income Statement'!G15</f>
        <v>94732.900000000023</v>
      </c>
      <c r="C5" s="245">
        <f>AVERAGE('Income Statement'!B15:G15)/AVERAGE('Income Statement'!B6:G6)</f>
        <v>0.50813104540602605</v>
      </c>
      <c r="D5" s="219">
        <f>D4*$C$5</f>
        <v>107026.25709264688</v>
      </c>
      <c r="E5" s="219">
        <f t="shared" ref="E5:H5" si="0">E4*$C$5</f>
        <v>129140.64428907022</v>
      </c>
      <c r="F5" s="219">
        <f t="shared" si="0"/>
        <v>155824.43468016933</v>
      </c>
      <c r="G5" s="219">
        <f t="shared" si="0"/>
        <v>188021.78490795559</v>
      </c>
      <c r="H5" s="219">
        <f t="shared" si="0"/>
        <v>226871.93874653944</v>
      </c>
      <c r="J5" s="28" t="s">
        <v>132</v>
      </c>
      <c r="K5" s="33">
        <f>'Income Statement'!O14</f>
        <v>21190.5</v>
      </c>
      <c r="L5" s="245">
        <f>AVERAGE('Income Statement'!J14:O14)/AVERAGE('Income Statement'!J6:O6)</f>
        <v>0.5308838313930615</v>
      </c>
      <c r="M5" s="33">
        <f>M4*$L$5</f>
        <v>20732.422438876663</v>
      </c>
      <c r="N5" s="33">
        <f t="shared" ref="N5:Q5" si="1">N4*$L$5</f>
        <v>26573.459709801136</v>
      </c>
      <c r="O5" s="33">
        <f t="shared" si="1"/>
        <v>34060.118301674222</v>
      </c>
      <c r="P5" s="33">
        <f t="shared" si="1"/>
        <v>43656.026403523392</v>
      </c>
      <c r="Q5" s="33">
        <f t="shared" si="1"/>
        <v>55955.432229119695</v>
      </c>
      <c r="S5" s="28" t="s">
        <v>132</v>
      </c>
      <c r="T5" s="33">
        <f>'Income Statement'!W18+'Income Statement'!W16+'Income Statement'!W15</f>
        <v>607.01000000000045</v>
      </c>
      <c r="U5" s="245">
        <f>(AVERAGE('Income Statement'!R18:W18)+AVERAGE('Income Statement'!R16:W16)+AVERAGE('Income Statement'!R15:W15))/AVERAGE('Income Statement'!R7:W7)</f>
        <v>0.21659710856740597</v>
      </c>
      <c r="V5" s="33">
        <f>V4*$U$5</f>
        <v>926.04215918122941</v>
      </c>
      <c r="W5" s="33">
        <f t="shared" ref="W5:Z5" si="2">W4*$U$5</f>
        <v>1114.9446262886777</v>
      </c>
      <c r="X5" s="33">
        <f t="shared" si="2"/>
        <v>1342.3811295903649</v>
      </c>
      <c r="Y5" s="33">
        <f t="shared" si="2"/>
        <v>1616.2121908050165</v>
      </c>
      <c r="Z5" s="33">
        <f t="shared" si="2"/>
        <v>1945.9017920669523</v>
      </c>
      <c r="AB5" s="28" t="s">
        <v>132</v>
      </c>
      <c r="AC5" s="33">
        <f>'Income Statement'!AE14+'Income Statement'!AE11+'Income Statement'!AE10</f>
        <v>4699.3299999999981</v>
      </c>
      <c r="AD5" s="245">
        <f>(AVERAGE('Income Statement'!Z14:AE14)+AVERAGE('Income Statement'!Z10:AE10)+AVERAGE('Income Statement'!Z11:AE11))/AVERAGE('Income Statement'!Z6:AE6)</f>
        <v>0.23079433160041055</v>
      </c>
      <c r="AE5" s="33">
        <f>AE4*$AD$5</f>
        <v>5642.6674051593682</v>
      </c>
      <c r="AF5" s="33">
        <f t="shared" ref="AF5:AI5" si="3">AF4*$AD$5</f>
        <v>5936.471491335561</v>
      </c>
      <c r="AG5" s="33">
        <f t="shared" si="3"/>
        <v>6245.5734561311638</v>
      </c>
      <c r="AH5" s="33">
        <f t="shared" si="3"/>
        <v>6570.7698340440447</v>
      </c>
      <c r="AI5" s="33">
        <f t="shared" si="3"/>
        <v>6912.8986337674223</v>
      </c>
      <c r="AK5" s="28" t="s">
        <v>132</v>
      </c>
      <c r="AL5" s="33">
        <f>'Income Statement'!AM19</f>
        <v>19147.199999999993</v>
      </c>
      <c r="AM5" s="245">
        <f>AVERAGE('Income Statement'!AH19:AM19)/AVERAGE('Income Statement'!AH8:AM8)</f>
        <v>0.40041517707181307</v>
      </c>
      <c r="AN5" s="33">
        <f>AN4*$AM$5</f>
        <v>18505.782568579358</v>
      </c>
      <c r="AO5" s="33">
        <f t="shared" ref="AO5:AR5" si="4">AO4*$AM$5</f>
        <v>19179.991155802159</v>
      </c>
      <c r="AP5" s="33">
        <f t="shared" si="4"/>
        <v>19878.762725833196</v>
      </c>
      <c r="AQ5" s="33">
        <f t="shared" si="4"/>
        <v>20602.992165115433</v>
      </c>
      <c r="AR5" s="33">
        <f t="shared" si="4"/>
        <v>21353.606962880844</v>
      </c>
      <c r="AT5" s="28" t="s">
        <v>132</v>
      </c>
      <c r="AU5" s="33">
        <f>'Income Statement'!AU17+'Income Statement'!AU12+'Income Statement'!AU13</f>
        <v>61233</v>
      </c>
      <c r="AV5" s="245">
        <f>(AVERAGE('Income Statement'!AP17:AU17)+AVERAGE('Income Statement'!AP13:AU13)+AVERAGE('Income Statement'!AP12:AU12))/AVERAGE('Income Statement'!AP6:AU6)</f>
        <v>0.49536316026910931</v>
      </c>
      <c r="AW5" s="33">
        <f>AW4*$AV$5</f>
        <v>64593.420157044049</v>
      </c>
      <c r="AX5" s="33">
        <f t="shared" ref="AX5:BA5" si="5">AX4*$AV$5</f>
        <v>73185.123985136728</v>
      </c>
      <c r="AY5" s="33">
        <f t="shared" si="5"/>
        <v>82919.628031737622</v>
      </c>
      <c r="AZ5" s="33">
        <f t="shared" si="5"/>
        <v>93948.938507204235</v>
      </c>
      <c r="BA5" s="33">
        <f t="shared" si="5"/>
        <v>106445.28028095014</v>
      </c>
    </row>
    <row r="6" spans="1:53" x14ac:dyDescent="0.3">
      <c r="A6" s="28" t="s">
        <v>182</v>
      </c>
      <c r="B6" s="219">
        <f>'Income Statement'!G16</f>
        <v>45570.3</v>
      </c>
      <c r="C6" s="245">
        <f>AVERAGE('Income Statement'!B16:G16)/AVERAGE(Table7[[#This Row],[2020]:[2025]])</f>
        <v>0.29306154739368062</v>
      </c>
      <c r="D6" s="219">
        <f>D4*$C$6</f>
        <v>61726.75493634188</v>
      </c>
      <c r="E6" s="219">
        <f t="shared" ref="E6:H6" si="6">E4*$C$6</f>
        <v>74481.095750665147</v>
      </c>
      <c r="F6" s="219">
        <f t="shared" si="6"/>
        <v>89870.812582659753</v>
      </c>
      <c r="G6" s="219">
        <f t="shared" si="6"/>
        <v>108440.44213991609</v>
      </c>
      <c r="H6" s="219">
        <f t="shared" si="6"/>
        <v>130847.03646898383</v>
      </c>
      <c r="J6" s="28" t="s">
        <v>182</v>
      </c>
      <c r="K6" s="33">
        <f>'Income Statement'!O15</f>
        <v>6489.9</v>
      </c>
      <c r="L6" s="245">
        <f>AVERAGE('Income Statement'!J15:O15)/AVERAGE(Table10[[#This Row],[2020]:[2025]])</f>
        <v>0.20271662319875278</v>
      </c>
      <c r="M6" s="33">
        <f>M4*$L$6</f>
        <v>7916.6220913354737</v>
      </c>
      <c r="N6" s="33">
        <f t="shared" ref="N6:Q6" si="7">N4*$L$6</f>
        <v>10147.007123844007</v>
      </c>
      <c r="O6" s="33">
        <f t="shared" si="7"/>
        <v>13005.768417824294</v>
      </c>
      <c r="P6" s="33">
        <f t="shared" si="7"/>
        <v>16669.941202721508</v>
      </c>
      <c r="Q6" s="33">
        <f t="shared" si="7"/>
        <v>21366.437627887521</v>
      </c>
      <c r="S6" s="28" t="s">
        <v>182</v>
      </c>
      <c r="T6" s="33">
        <f>'Income Statement'!W15</f>
        <v>180.4</v>
      </c>
      <c r="U6" s="245">
        <f>AVERAGE('Income Statement'!R15:W15)/AVERAGE('Income Statement'!R7:W7)</f>
        <v>7.6462544869434615E-2</v>
      </c>
      <c r="V6" s="33">
        <f>V4*$U$6</f>
        <v>326.90898145275679</v>
      </c>
      <c r="W6" s="33">
        <f t="shared" ref="W6:Z6" si="8">W4*$U$6</f>
        <v>393.59483641492096</v>
      </c>
      <c r="X6" s="33">
        <f t="shared" si="8"/>
        <v>473.8838760686549</v>
      </c>
      <c r="Y6" s="33">
        <f t="shared" si="8"/>
        <v>570.55100123599868</v>
      </c>
      <c r="Z6" s="33">
        <f t="shared" si="8"/>
        <v>686.93716214188942</v>
      </c>
      <c r="AB6" s="28" t="s">
        <v>182</v>
      </c>
      <c r="AC6" s="33">
        <f>'Income Statement'!AE11</f>
        <v>2592.1</v>
      </c>
      <c r="AD6" s="245">
        <f>AVERAGE('Income Statement'!Z11:AE11)/AVERAGE(Table14[[#This Row],[2020]:[2025]])</f>
        <v>0.12398924174865028</v>
      </c>
      <c r="AE6" s="33">
        <f>AE4*$AD$6</f>
        <v>3031.400503444122</v>
      </c>
      <c r="AF6" s="33">
        <f t="shared" ref="AF6:AI6" si="9">AF4*$AD$6</f>
        <v>3189.2403672528758</v>
      </c>
      <c r="AG6" s="33">
        <f t="shared" si="9"/>
        <v>3355.298684076618</v>
      </c>
      <c r="AH6" s="33">
        <f t="shared" si="9"/>
        <v>3530.0033747734228</v>
      </c>
      <c r="AI6" s="33">
        <f t="shared" si="9"/>
        <v>3713.8046413119901</v>
      </c>
      <c r="AK6" s="28" t="s">
        <v>182</v>
      </c>
      <c r="AL6" s="33">
        <f>'Income Statement'!AM21</f>
        <v>13393.7</v>
      </c>
      <c r="AM6" s="245">
        <f>AVERAGE('Income Statement'!AM21:AM21)/AVERAGE('Income Statement'!AH8:AM8)</f>
        <v>0.31316447231516359</v>
      </c>
      <c r="AN6" s="33">
        <f>AN4*$AM$6</f>
        <v>14473.361562488755</v>
      </c>
      <c r="AO6" s="33">
        <f t="shared" ref="AO6:AR6" si="10">AO4*$AM$6</f>
        <v>15000.659698368638</v>
      </c>
      <c r="AP6" s="33">
        <f t="shared" si="10"/>
        <v>15547.168528523098</v>
      </c>
      <c r="AQ6" s="33">
        <f t="shared" si="10"/>
        <v>16113.587943108005</v>
      </c>
      <c r="AR6" s="33">
        <f t="shared" si="10"/>
        <v>16700.643330901159</v>
      </c>
      <c r="AT6" s="28" t="s">
        <v>182</v>
      </c>
      <c r="AU6" s="33">
        <f>'Income Statement'!AU13</f>
        <v>23098</v>
      </c>
      <c r="AV6" s="245">
        <f>AVERAGE('Income Statement'!AP13:AU13)/AVERAGE(Table18[[#This Row],[2020]:[2025]])</f>
        <v>0.1878371221779809</v>
      </c>
      <c r="AW6" s="33">
        <f>AW4*$AV$6</f>
        <v>24493.226640715431</v>
      </c>
      <c r="AX6" s="33">
        <f t="shared" ref="AX6:BA6" si="11">AX4*$AV$6</f>
        <v>27751.121153496199</v>
      </c>
      <c r="AY6" s="33">
        <f t="shared" si="11"/>
        <v>31442.354924190971</v>
      </c>
      <c r="AZ6" s="33">
        <f t="shared" si="11"/>
        <v>35624.567299842063</v>
      </c>
      <c r="BA6" s="33">
        <f t="shared" si="11"/>
        <v>40363.064355734845</v>
      </c>
    </row>
    <row r="7" spans="1:53" x14ac:dyDescent="0.3">
      <c r="A7" s="28" t="s">
        <v>499</v>
      </c>
      <c r="B7" s="219">
        <f>B5-B6</f>
        <v>49162.60000000002</v>
      </c>
      <c r="C7" s="245"/>
      <c r="D7" s="219">
        <f>D5-D6</f>
        <v>45299.502156304996</v>
      </c>
      <c r="E7" s="219">
        <f t="shared" ref="E7:H7" si="12">E5-E6</f>
        <v>54659.54853840507</v>
      </c>
      <c r="F7" s="219">
        <f t="shared" si="12"/>
        <v>65953.622097509578</v>
      </c>
      <c r="G7" s="219">
        <f t="shared" si="12"/>
        <v>79581.342768039496</v>
      </c>
      <c r="H7" s="219">
        <f t="shared" si="12"/>
        <v>96024.902277555608</v>
      </c>
      <c r="J7" s="28" t="s">
        <v>499</v>
      </c>
      <c r="K7" s="33">
        <f>K5-K6</f>
        <v>14700.6</v>
      </c>
      <c r="L7" s="245"/>
      <c r="M7" s="33">
        <f>M5-M6</f>
        <v>12815.80034754119</v>
      </c>
      <c r="N7" s="33">
        <f t="shared" ref="N7:Q7" si="13">N5-N6</f>
        <v>16426.452585957129</v>
      </c>
      <c r="O7" s="33">
        <f t="shared" si="13"/>
        <v>21054.349883849929</v>
      </c>
      <c r="P7" s="33">
        <f t="shared" si="13"/>
        <v>26986.085200801885</v>
      </c>
      <c r="Q7" s="33">
        <f t="shared" si="13"/>
        <v>34588.994601232174</v>
      </c>
      <c r="S7" s="28" t="s">
        <v>499</v>
      </c>
      <c r="T7" s="33">
        <f>T5-T6</f>
        <v>426.61000000000047</v>
      </c>
      <c r="U7" s="245"/>
      <c r="V7" s="33">
        <f>V5-V6</f>
        <v>599.13317772847267</v>
      </c>
      <c r="W7" s="33">
        <f t="shared" ref="W7:Z7" si="14">W5-W6</f>
        <v>721.34978987375666</v>
      </c>
      <c r="X7" s="33">
        <f t="shared" si="14"/>
        <v>868.49725352171004</v>
      </c>
      <c r="Y7" s="33">
        <f t="shared" si="14"/>
        <v>1045.6611895690178</v>
      </c>
      <c r="Z7" s="33">
        <f t="shared" si="14"/>
        <v>1258.964629925063</v>
      </c>
      <c r="AB7" s="28" t="s">
        <v>499</v>
      </c>
      <c r="AC7" s="33">
        <f>DCF!AC5-DCF!AC6</f>
        <v>2107.2299999999982</v>
      </c>
      <c r="AD7" s="245"/>
      <c r="AE7" s="33">
        <f>AE5-AE6</f>
        <v>2611.2669017152461</v>
      </c>
      <c r="AF7" s="33">
        <f t="shared" ref="AF7:AI7" si="15">AF5-AF6</f>
        <v>2747.2311240826853</v>
      </c>
      <c r="AG7" s="33">
        <f t="shared" si="15"/>
        <v>2890.2747720545458</v>
      </c>
      <c r="AH7" s="33">
        <f t="shared" si="15"/>
        <v>3040.7664592706219</v>
      </c>
      <c r="AI7" s="33">
        <f t="shared" si="15"/>
        <v>3199.0939924554323</v>
      </c>
      <c r="AK7" s="28" t="s">
        <v>499</v>
      </c>
      <c r="AL7" s="33">
        <f>AL5-AL6</f>
        <v>5753.4999999999927</v>
      </c>
      <c r="AM7" s="245"/>
      <c r="AN7" s="33">
        <f>AN5-AN6</f>
        <v>4032.4210060906025</v>
      </c>
      <c r="AO7" s="33">
        <f t="shared" ref="AO7:AR7" si="16">AO5-AO6</f>
        <v>4179.3314574335218</v>
      </c>
      <c r="AP7" s="33">
        <f t="shared" si="16"/>
        <v>4331.594197310098</v>
      </c>
      <c r="AQ7" s="33">
        <f t="shared" si="16"/>
        <v>4489.404222007428</v>
      </c>
      <c r="AR7" s="33">
        <f t="shared" si="16"/>
        <v>4652.9636319796846</v>
      </c>
      <c r="AT7" s="28" t="s">
        <v>499</v>
      </c>
      <c r="AU7" s="33">
        <f>AU5-AU6</f>
        <v>38135</v>
      </c>
      <c r="AV7" s="245"/>
      <c r="AW7" s="33">
        <f>AW5-AW6</f>
        <v>40100.193516328618</v>
      </c>
      <c r="AX7" s="33">
        <f t="shared" ref="AX7:BA7" si="17">AX5-AX6</f>
        <v>45434.00283164053</v>
      </c>
      <c r="AY7" s="33">
        <f t="shared" si="17"/>
        <v>51477.273107546651</v>
      </c>
      <c r="AZ7" s="33">
        <f t="shared" si="17"/>
        <v>58324.371207362172</v>
      </c>
      <c r="BA7" s="33">
        <f t="shared" si="17"/>
        <v>66082.215925215307</v>
      </c>
    </row>
    <row r="8" spans="1:53" x14ac:dyDescent="0.3">
      <c r="A8" s="28" t="s">
        <v>500</v>
      </c>
      <c r="B8" s="219">
        <f>B7*Table33[[#This Row],[Ratio/Growth]]</f>
        <v>12290.650000000005</v>
      </c>
      <c r="C8" s="245">
        <v>0.25</v>
      </c>
      <c r="D8" s="219">
        <f>D7*$C$8</f>
        <v>11324.875539076249</v>
      </c>
      <c r="E8" s="219">
        <f t="shared" ref="E8:H8" si="18">E7*$C$8</f>
        <v>13664.887134601267</v>
      </c>
      <c r="F8" s="219">
        <f t="shared" si="18"/>
        <v>16488.405524377395</v>
      </c>
      <c r="G8" s="219">
        <f t="shared" si="18"/>
        <v>19895.335692009874</v>
      </c>
      <c r="H8" s="219">
        <f t="shared" si="18"/>
        <v>24006.225569388902</v>
      </c>
      <c r="J8" s="28" t="s">
        <v>500</v>
      </c>
      <c r="K8" s="33">
        <f>K7*Table35[[#This Row],[Ratio/Growth]]</f>
        <v>3675.15</v>
      </c>
      <c r="L8" s="245">
        <v>0.25</v>
      </c>
      <c r="M8" s="33">
        <f>M7*$C$8</f>
        <v>3203.9500868852974</v>
      </c>
      <c r="N8" s="33">
        <f t="shared" ref="N8:Q8" si="19">N7*$C$8</f>
        <v>4106.6131464892824</v>
      </c>
      <c r="O8" s="33">
        <f t="shared" si="19"/>
        <v>5263.5874709624823</v>
      </c>
      <c r="P8" s="33">
        <f t="shared" si="19"/>
        <v>6746.5213002004712</v>
      </c>
      <c r="Q8" s="33">
        <f t="shared" si="19"/>
        <v>8647.2486503080436</v>
      </c>
      <c r="S8" s="28" t="s">
        <v>500</v>
      </c>
      <c r="T8" s="33">
        <f>T7*Table38[[#This Row],[Ratio/Growth]]</f>
        <v>106.65250000000012</v>
      </c>
      <c r="U8" s="245">
        <v>0.25</v>
      </c>
      <c r="V8" s="33">
        <f>V7*$U$8</f>
        <v>149.78329443211817</v>
      </c>
      <c r="W8" s="33">
        <f t="shared" ref="W8:Z8" si="20">W7*$U$8</f>
        <v>180.33744746843917</v>
      </c>
      <c r="X8" s="33">
        <f t="shared" si="20"/>
        <v>217.12431338042751</v>
      </c>
      <c r="Y8" s="33">
        <f t="shared" si="20"/>
        <v>261.41529739225444</v>
      </c>
      <c r="Z8" s="33">
        <f t="shared" si="20"/>
        <v>314.74115748126576</v>
      </c>
      <c r="AB8" s="28" t="s">
        <v>500</v>
      </c>
      <c r="AC8" s="33">
        <f>AC7*Table40[[#This Row],[Ratio/Growth]]</f>
        <v>526.80749999999955</v>
      </c>
      <c r="AD8" s="245">
        <v>0.25</v>
      </c>
      <c r="AE8" s="33">
        <f>AE7*$AD$8</f>
        <v>652.81672542881154</v>
      </c>
      <c r="AF8" s="33">
        <f t="shared" ref="AF8:AI8" si="21">AF7*$AD$8</f>
        <v>686.80778102067131</v>
      </c>
      <c r="AG8" s="33">
        <f t="shared" si="21"/>
        <v>722.56869301363645</v>
      </c>
      <c r="AH8" s="33">
        <f t="shared" si="21"/>
        <v>760.19161481765548</v>
      </c>
      <c r="AI8" s="33">
        <f t="shared" si="21"/>
        <v>799.77349811385807</v>
      </c>
      <c r="AK8" s="28" t="s">
        <v>500</v>
      </c>
      <c r="AL8" s="33">
        <f>AL7*Table36[[#This Row],[Ratio/Growth]]</f>
        <v>1438.3749999999982</v>
      </c>
      <c r="AM8" s="245">
        <v>0.25</v>
      </c>
      <c r="AN8" s="33">
        <f>AN7*$AM$8</f>
        <v>1008.1052515226506</v>
      </c>
      <c r="AO8" s="33">
        <f t="shared" ref="AO8:AR8" si="22">AO7*$AM$8</f>
        <v>1044.8328643583804</v>
      </c>
      <c r="AP8" s="33">
        <f t="shared" si="22"/>
        <v>1082.8985493275245</v>
      </c>
      <c r="AQ8" s="33">
        <f t="shared" si="22"/>
        <v>1122.351055501857</v>
      </c>
      <c r="AR8" s="33">
        <f t="shared" si="22"/>
        <v>1163.2409079949211</v>
      </c>
      <c r="AT8" s="28" t="s">
        <v>500</v>
      </c>
      <c r="AU8" s="33">
        <f>Table44[[#This Row],[Ratio/Growth]]*AU7</f>
        <v>9533.75</v>
      </c>
      <c r="AV8" s="245">
        <v>0.25</v>
      </c>
      <c r="AW8" s="33">
        <f>AW7*$AV$8</f>
        <v>10025.048379082154</v>
      </c>
      <c r="AX8" s="33">
        <f t="shared" ref="AX8:BA8" si="23">AX7*$AV$8</f>
        <v>11358.500707910132</v>
      </c>
      <c r="AY8" s="33">
        <f t="shared" si="23"/>
        <v>12869.318276886663</v>
      </c>
      <c r="AZ8" s="33">
        <f t="shared" si="23"/>
        <v>14581.092801840543</v>
      </c>
      <c r="BA8" s="33">
        <f t="shared" si="23"/>
        <v>16520.553981303827</v>
      </c>
    </row>
    <row r="9" spans="1:53" x14ac:dyDescent="0.3">
      <c r="A9" s="28" t="s">
        <v>501</v>
      </c>
      <c r="B9" s="219">
        <f>B7-B8</f>
        <v>36871.950000000012</v>
      </c>
      <c r="C9" s="245"/>
      <c r="D9" s="219">
        <f>D7-D8</f>
        <v>33974.626617228743</v>
      </c>
      <c r="E9" s="219">
        <f t="shared" ref="E9:H9" si="24">E7-E8</f>
        <v>40994.661403803802</v>
      </c>
      <c r="F9" s="219">
        <f t="shared" si="24"/>
        <v>49465.216573132187</v>
      </c>
      <c r="G9" s="219">
        <f t="shared" si="24"/>
        <v>59686.007076029622</v>
      </c>
      <c r="H9" s="219">
        <f t="shared" si="24"/>
        <v>72018.676708166706</v>
      </c>
      <c r="J9" s="28" t="s">
        <v>501</v>
      </c>
      <c r="K9" s="33">
        <f>K7-K8</f>
        <v>11025.45</v>
      </c>
      <c r="L9" s="245"/>
      <c r="M9" s="33">
        <f>M7-M8</f>
        <v>9611.8502606558923</v>
      </c>
      <c r="N9" s="33">
        <f t="shared" ref="N9:Q9" si="25">N7-N8</f>
        <v>12319.839439467847</v>
      </c>
      <c r="O9" s="33">
        <f t="shared" si="25"/>
        <v>15790.762412887447</v>
      </c>
      <c r="P9" s="33">
        <f t="shared" si="25"/>
        <v>20239.563900601413</v>
      </c>
      <c r="Q9" s="33">
        <f t="shared" si="25"/>
        <v>25941.745950924131</v>
      </c>
      <c r="S9" s="28" t="s">
        <v>501</v>
      </c>
      <c r="T9" s="33">
        <f>T7-T8</f>
        <v>319.95750000000032</v>
      </c>
      <c r="U9" s="245"/>
      <c r="V9" s="33">
        <f>V7-V8</f>
        <v>449.34988329635451</v>
      </c>
      <c r="W9" s="33">
        <f t="shared" ref="W9:Z9" si="26">W7-W8</f>
        <v>541.01234240531744</v>
      </c>
      <c r="X9" s="33">
        <f t="shared" si="26"/>
        <v>651.37294014128247</v>
      </c>
      <c r="Y9" s="33">
        <f t="shared" si="26"/>
        <v>784.24589217676339</v>
      </c>
      <c r="Z9" s="33">
        <f t="shared" si="26"/>
        <v>944.22347244379728</v>
      </c>
      <c r="AB9" s="28" t="s">
        <v>501</v>
      </c>
      <c r="AC9" s="33">
        <f>AC7-AC8</f>
        <v>1580.4224999999988</v>
      </c>
      <c r="AD9" s="245"/>
      <c r="AE9" s="33">
        <f>AE7-AE8</f>
        <v>1958.4501762864347</v>
      </c>
      <c r="AF9" s="33">
        <f t="shared" ref="AF9:AI9" si="27">AF7-AF8</f>
        <v>2060.4233430620138</v>
      </c>
      <c r="AG9" s="33">
        <f t="shared" si="27"/>
        <v>2167.7060790409096</v>
      </c>
      <c r="AH9" s="33">
        <f t="shared" si="27"/>
        <v>2280.5748444529663</v>
      </c>
      <c r="AI9" s="33">
        <f t="shared" si="27"/>
        <v>2399.320494341574</v>
      </c>
      <c r="AK9" s="28" t="s">
        <v>501</v>
      </c>
      <c r="AL9" s="33">
        <f>AL7-AL8</f>
        <v>4315.1249999999945</v>
      </c>
      <c r="AM9" s="245"/>
      <c r="AN9" s="33">
        <f>AN7-AN8</f>
        <v>3024.3157545679519</v>
      </c>
      <c r="AO9" s="33">
        <f t="shared" ref="AO9:AR9" si="28">AO7-AO8</f>
        <v>3134.4985930751413</v>
      </c>
      <c r="AP9" s="33">
        <f t="shared" si="28"/>
        <v>3248.6956479825735</v>
      </c>
      <c r="AQ9" s="33">
        <f t="shared" si="28"/>
        <v>3367.053166505571</v>
      </c>
      <c r="AR9" s="33">
        <f t="shared" si="28"/>
        <v>3489.7227239847634</v>
      </c>
      <c r="AT9" s="28" t="s">
        <v>501</v>
      </c>
      <c r="AU9" s="33">
        <f>AU7-AU8</f>
        <v>28601.25</v>
      </c>
      <c r="AV9" s="245"/>
      <c r="AW9" s="33">
        <f>AW7-AW8</f>
        <v>30075.145137246465</v>
      </c>
      <c r="AX9" s="33">
        <f t="shared" ref="AX9:BA9" si="29">AX7-AX8</f>
        <v>34075.502123730395</v>
      </c>
      <c r="AY9" s="33">
        <f t="shared" si="29"/>
        <v>38607.95483065999</v>
      </c>
      <c r="AZ9" s="33">
        <f t="shared" si="29"/>
        <v>43743.278405521633</v>
      </c>
      <c r="BA9" s="33">
        <f t="shared" si="29"/>
        <v>49561.66194391148</v>
      </c>
    </row>
    <row r="10" spans="1:53" x14ac:dyDescent="0.3">
      <c r="A10" s="28" t="s">
        <v>502</v>
      </c>
      <c r="B10" s="33">
        <f>ABS('Cash Flow Statement'!G28)</f>
        <v>37907.699999999997</v>
      </c>
      <c r="C10" s="245">
        <f>ABS(AVERAGE('Cash Flow Statement'!B28:G28))/AVERAGE('Income Statement'!B6:G6)</f>
        <v>0.22238459349707157</v>
      </c>
      <c r="D10" s="219">
        <f>D4*$C$10</f>
        <v>46840.2607796636</v>
      </c>
      <c r="E10" s="219">
        <f t="shared" ref="E10:H10" si="30">E4*$C$10</f>
        <v>56518.6676622499</v>
      </c>
      <c r="F10" s="219">
        <f t="shared" si="30"/>
        <v>68196.883218522358</v>
      </c>
      <c r="G10" s="219">
        <f t="shared" si="30"/>
        <v>82288.1195380188</v>
      </c>
      <c r="H10" s="219">
        <f t="shared" si="30"/>
        <v>99290.968993494535</v>
      </c>
      <c r="J10" s="28" t="s">
        <v>502</v>
      </c>
      <c r="K10" s="33">
        <f>ABS('Cash Flow Statement'!O25)</f>
        <v>6784</v>
      </c>
      <c r="L10" s="245">
        <f>ABS(AVERAGE('Cash Flow Statement'!J25:O25))/AVERAGE('Income Statement'!J6:O6)</f>
        <v>0.18644675301968439</v>
      </c>
      <c r="M10" s="33">
        <f>M4*$L$10</f>
        <v>7281.2404849810246</v>
      </c>
      <c r="N10" s="33">
        <f t="shared" ref="N10:Q10" si="31">N4*$L$10</f>
        <v>9332.6166411791401</v>
      </c>
      <c r="O10" s="33">
        <f t="shared" si="31"/>
        <v>11961.936094662693</v>
      </c>
      <c r="P10" s="33">
        <f t="shared" si="31"/>
        <v>15332.025372330687</v>
      </c>
      <c r="Q10" s="33">
        <f t="shared" si="31"/>
        <v>19651.58484023991</v>
      </c>
      <c r="S10" s="28" t="s">
        <v>502</v>
      </c>
      <c r="T10" s="33">
        <f>ABS('Cash Flow Statement'!W30)</f>
        <v>325.05</v>
      </c>
      <c r="U10" s="245">
        <f>ABS(AVERAGE('Cash Flow Statement'!R30:W30))/AVERAGE('Income Statement'!R7:W7)</f>
        <v>7.9374901664366088E-2</v>
      </c>
      <c r="V10" s="33">
        <f>V4*$U$10</f>
        <v>339.36051043447986</v>
      </c>
      <c r="W10" s="33">
        <f t="shared" ref="W10:Z10" si="32">W4*$U$10</f>
        <v>408.58634105605353</v>
      </c>
      <c r="X10" s="33">
        <f t="shared" si="32"/>
        <v>491.93348360962369</v>
      </c>
      <c r="Y10" s="33">
        <f t="shared" si="32"/>
        <v>592.28253120458658</v>
      </c>
      <c r="Z10" s="33">
        <f t="shared" si="32"/>
        <v>713.10168642330132</v>
      </c>
      <c r="AB10" s="28" t="s">
        <v>502</v>
      </c>
      <c r="AC10" s="33">
        <f>ABS('Cash Flow Statement'!AE35)</f>
        <v>2205.59</v>
      </c>
      <c r="AD10" s="245">
        <f>ABS(AVERAGE('Cash Flow Statement'!Z35:AE35))/AVERAGE('Income Statement'!Z6:AE6)</f>
        <v>9.1996477107120431E-2</v>
      </c>
      <c r="AE10" s="33">
        <f>AE4*$AD$10</f>
        <v>2249.2126178410663</v>
      </c>
      <c r="AF10" s="33">
        <f t="shared" ref="AF10:AI10" si="33">AF4*$AD$10</f>
        <v>2366.3252899784543</v>
      </c>
      <c r="AG10" s="33">
        <f t="shared" si="33"/>
        <v>2489.5358195911062</v>
      </c>
      <c r="AH10" s="33">
        <f t="shared" si="33"/>
        <v>2619.1617117372703</v>
      </c>
      <c r="AI10" s="33">
        <f t="shared" si="33"/>
        <v>2755.5370034230837</v>
      </c>
      <c r="AK10" s="28" t="s">
        <v>502</v>
      </c>
      <c r="AL10" s="33">
        <f>-'Cash Flow Statement'!AM35</f>
        <v>10005</v>
      </c>
      <c r="AM10" s="245">
        <f>ABS(AVERAGE('Cash Flow Statement'!AM35:AM35))/AVERAGE('Income Statement'!AH8:AM8)</f>
        <v>0.23393166529885032</v>
      </c>
      <c r="AN10" s="33">
        <f>AN4*$AM$10</f>
        <v>10811.49961793231</v>
      </c>
      <c r="AO10" s="33">
        <f t="shared" ref="AO10:AR10" si="34">AO4*$AM$10</f>
        <v>11205.387628674542</v>
      </c>
      <c r="AP10" s="33">
        <f t="shared" si="34"/>
        <v>11613.625893358339</v>
      </c>
      <c r="AQ10" s="33">
        <f t="shared" si="34"/>
        <v>12036.737225023375</v>
      </c>
      <c r="AR10" s="33">
        <f t="shared" si="34"/>
        <v>12475.263484001141</v>
      </c>
      <c r="AT10" s="28" t="s">
        <v>502</v>
      </c>
      <c r="AU10" s="33">
        <f>ABS('Cash Flow Statement'!AU22)</f>
        <v>41622</v>
      </c>
      <c r="AV10" s="245">
        <f>ABS(AVERAGE('Cash Flow Statement'!AP22:AU22))/AVERAGE('Income Statement'!AP6:AU6)</f>
        <v>0.45493792048329834</v>
      </c>
      <c r="AW10" s="33">
        <f>AW4*$AV$10</f>
        <v>59322.126875937742</v>
      </c>
      <c r="AX10" s="33">
        <f t="shared" ref="AX10:BA10" si="35">AX4*$AV$10</f>
        <v>67212.68512988108</v>
      </c>
      <c r="AY10" s="33">
        <f t="shared" si="35"/>
        <v>76152.78278569183</v>
      </c>
      <c r="AZ10" s="33">
        <f t="shared" si="35"/>
        <v>86282.021240460163</v>
      </c>
      <c r="BA10" s="33">
        <f t="shared" si="35"/>
        <v>97758.570560575317</v>
      </c>
    </row>
    <row r="11" spans="1:53" x14ac:dyDescent="0.3">
      <c r="A11" s="28" t="s">
        <v>503</v>
      </c>
      <c r="B11" s="219">
        <f>('Balance Sheet'!G64-'Balance Sheet'!F64)</f>
        <v>-32459.700000000026</v>
      </c>
      <c r="C11" s="245"/>
      <c r="D11" s="219">
        <f>('Balance Sheet'!C66-'Balance Sheet'!G64)</f>
        <v>-4793.7450164905604</v>
      </c>
      <c r="E11" s="219">
        <f>('Balance Sheet'!D66-'Balance Sheet'!C66)</f>
        <v>-24308.523528221122</v>
      </c>
      <c r="F11" s="219">
        <f>('Balance Sheet'!E66-'Balance Sheet'!D66)</f>
        <v>-29331.291922439559</v>
      </c>
      <c r="G11" s="219">
        <f>('Balance Sheet'!F66-'Balance Sheet'!E66)</f>
        <v>-35391.893910815736</v>
      </c>
      <c r="H11" s="219">
        <f>('Balance Sheet'!G66-'Balance Sheet'!F66)</f>
        <v>-42704.772701681068</v>
      </c>
      <c r="J11" s="28" t="s">
        <v>503</v>
      </c>
      <c r="K11" s="33">
        <f>'Balance Sheet'!O52-'Balance Sheet'!N52</f>
        <v>2809.5</v>
      </c>
      <c r="L11" s="245"/>
      <c r="M11" s="33">
        <f>('Balance Sheet'!K54-'Balance Sheet'!O52)</f>
        <v>60.096576466159604</v>
      </c>
      <c r="N11" s="33">
        <f>'Balance Sheet'!L54-'Balance Sheet'!K54</f>
        <v>902.42259633038611</v>
      </c>
      <c r="O11" s="33">
        <f>'Balance Sheet'!M54-'Balance Sheet'!L54</f>
        <v>1156.666114415666</v>
      </c>
      <c r="P11" s="33">
        <f>'Balance Sheet'!N54-'Balance Sheet'!M54</f>
        <v>1482.5387857947944</v>
      </c>
      <c r="Q11" s="33">
        <f>'Balance Sheet'!O54-'Balance Sheet'!N54</f>
        <v>1900.221009324081</v>
      </c>
      <c r="S11" s="28" t="s">
        <v>503</v>
      </c>
      <c r="T11" s="33">
        <f>'Balance Sheet'!W52-'Balance Sheet'!V52</f>
        <v>416.63000000000011</v>
      </c>
      <c r="U11" s="245"/>
      <c r="V11" s="33">
        <f>'Balance Sheet'!S54-'Balance Sheet'!W52</f>
        <v>188.79073278407691</v>
      </c>
      <c r="W11" s="33">
        <f>'Balance Sheet'!T54-'Balance Sheet'!S54</f>
        <v>211.27773583754038</v>
      </c>
      <c r="X11" s="33">
        <f>'Balance Sheet'!U54-'Balance Sheet'!T54</f>
        <v>254.37608200773525</v>
      </c>
      <c r="Y11" s="33">
        <f>'Balance Sheet'!V54-'Balance Sheet'!U54</f>
        <v>306.26601918605297</v>
      </c>
      <c r="Z11" s="33">
        <f>'Balance Sheet'!W54-'Balance Sheet'!V54</f>
        <v>368.74093573475011</v>
      </c>
      <c r="AB11" s="28" t="s">
        <v>503</v>
      </c>
      <c r="AC11" s="33">
        <f>'Balance Sheet'!AE58-'Balance Sheet'!AD58</f>
        <v>2406.4899999999998</v>
      </c>
      <c r="AD11" s="245"/>
      <c r="AE11" s="33">
        <f>'Balance Sheet'!AA60-'Balance Sheet'!AE58</f>
        <v>-572.27142920709866</v>
      </c>
      <c r="AF11" s="33">
        <f>'Balance Sheet'!AB60-'Balance Sheet'!AA60</f>
        <v>-40.598972634387792</v>
      </c>
      <c r="AG11" s="33">
        <f>'Balance Sheet'!AC60-'Balance Sheet'!AB60</f>
        <v>68.138421728191133</v>
      </c>
      <c r="AH11" s="33">
        <f>'Balance Sheet'!AD60-'Balance Sheet'!AC60</f>
        <v>-389.87480566822433</v>
      </c>
      <c r="AI11" s="33">
        <f>'Balance Sheet'!AE60-'Balance Sheet'!AD60</f>
        <v>-969.88932535811455</v>
      </c>
      <c r="AK11" s="28" t="s">
        <v>503</v>
      </c>
      <c r="AL11" s="33">
        <f>'Balance Sheet'!AM58-'Balance Sheet'!AL58</f>
        <v>16387.900000000001</v>
      </c>
      <c r="AM11" s="259"/>
      <c r="AN11" s="33">
        <f>'Balance Sheet'!AI60-'Balance Sheet'!AM58</f>
        <v>4337.679557258969</v>
      </c>
      <c r="AO11" s="33">
        <f>'Balance Sheet'!AJ60-'Balance Sheet'!AI60</f>
        <v>3563.8742091697932</v>
      </c>
      <c r="AP11" s="33">
        <f>'Balance Sheet'!AK60-'Balance Sheet'!AJ60</f>
        <v>2928.109190899213</v>
      </c>
      <c r="AQ11" s="33">
        <f>'Balance Sheet'!AL60-'Balance Sheet'!AK60</f>
        <v>2405.7592750518888</v>
      </c>
      <c r="AR11" s="33">
        <f>'Balance Sheet'!AM60-'Balance Sheet'!AL60</f>
        <v>1976.5921665376172</v>
      </c>
      <c r="AT11" s="28" t="s">
        <v>503</v>
      </c>
      <c r="AU11" s="33">
        <f>'Balance Sheet'!AU49-'Balance Sheet'!AT49</f>
        <v>12186</v>
      </c>
      <c r="AV11" s="245"/>
      <c r="AW11" s="33">
        <f>'Balance Sheet'!AQ51-'Balance Sheet'!AU49</f>
        <v>-19930.793348059415</v>
      </c>
      <c r="AX11" s="33">
        <f>'Balance Sheet'!AR51-'Balance Sheet'!AQ51</f>
        <v>-5273.9006614508253</v>
      </c>
      <c r="AY11" s="33">
        <f>'Balance Sheet'!AS51-'Balance Sheet'!AR51</f>
        <v>-5975.3930486290119</v>
      </c>
      <c r="AZ11" s="33">
        <f>'Balance Sheet'!AT51-'Balance Sheet'!AS51</f>
        <v>-6770.1923827631254</v>
      </c>
      <c r="BA11" s="33">
        <f>'Balance Sheet'!AU51-'Balance Sheet'!AT51</f>
        <v>-7670.7096130087011</v>
      </c>
    </row>
    <row r="12" spans="1:53" s="85" customFormat="1" x14ac:dyDescent="0.3">
      <c r="A12" s="6" t="s">
        <v>504</v>
      </c>
      <c r="B12" s="252">
        <f>B9+B6-B10-B11</f>
        <v>76994.250000000044</v>
      </c>
      <c r="C12" s="252"/>
      <c r="D12" s="252">
        <f>D9+D6-D10-D11</f>
        <v>53654.865790397584</v>
      </c>
      <c r="E12" s="252">
        <f t="shared" ref="E12:H12" si="36">E9+E6-E10-E11</f>
        <v>83265.613020440156</v>
      </c>
      <c r="F12" s="252">
        <f t="shared" si="36"/>
        <v>100470.43785970914</v>
      </c>
      <c r="G12" s="252">
        <f t="shared" si="36"/>
        <v>121230.22358874267</v>
      </c>
      <c r="H12" s="252">
        <f t="shared" si="36"/>
        <v>146279.51688533707</v>
      </c>
      <c r="J12" s="6" t="s">
        <v>504</v>
      </c>
      <c r="K12" s="34">
        <f>K9+K6-K10-K11</f>
        <v>7921.8499999999985</v>
      </c>
      <c r="L12" s="253"/>
      <c r="M12" s="34">
        <f>M9+M6-M10-M11</f>
        <v>10187.135290544184</v>
      </c>
      <c r="N12" s="34">
        <f t="shared" ref="N12:Q12" si="37">N9+N6-N10-N11</f>
        <v>12231.807325802329</v>
      </c>
      <c r="O12" s="34">
        <f t="shared" si="37"/>
        <v>15677.92862163338</v>
      </c>
      <c r="P12" s="34">
        <f t="shared" si="37"/>
        <v>20094.940945197442</v>
      </c>
      <c r="Q12" s="34">
        <f t="shared" si="37"/>
        <v>25756.377729247659</v>
      </c>
      <c r="S12" s="6" t="s">
        <v>504</v>
      </c>
      <c r="T12" s="34">
        <f>T9+T6-T10-T11</f>
        <v>-241.32249999999982</v>
      </c>
      <c r="U12" s="253"/>
      <c r="V12" s="34">
        <f>V9+V6-V10-V11</f>
        <v>248.10762153055458</v>
      </c>
      <c r="W12" s="34">
        <f t="shared" ref="W12:Z12" si="38">W9+W6-W10-W11</f>
        <v>314.74310192664461</v>
      </c>
      <c r="X12" s="34">
        <f t="shared" si="38"/>
        <v>378.94725059257848</v>
      </c>
      <c r="Y12" s="34">
        <f t="shared" si="38"/>
        <v>456.24834302212253</v>
      </c>
      <c r="Z12" s="34">
        <f t="shared" si="38"/>
        <v>549.31801242763527</v>
      </c>
      <c r="AB12" s="6" t="s">
        <v>504</v>
      </c>
      <c r="AC12" s="34">
        <f>AC9+AC6-AC10-AC11</f>
        <v>-439.5575000000008</v>
      </c>
      <c r="AD12" s="253"/>
      <c r="AE12" s="34">
        <f>AE9+AE6-AE10-AE11</f>
        <v>3312.9094910965887</v>
      </c>
      <c r="AF12" s="34">
        <f t="shared" ref="AF12:AI12" si="39">AF9+AF6-AF10-AF11</f>
        <v>2923.9373929708231</v>
      </c>
      <c r="AG12" s="34">
        <f t="shared" si="39"/>
        <v>2965.3305217982302</v>
      </c>
      <c r="AH12" s="34">
        <f t="shared" si="39"/>
        <v>3581.2913131573428</v>
      </c>
      <c r="AI12" s="34">
        <f t="shared" si="39"/>
        <v>4327.4774575885949</v>
      </c>
      <c r="AK12" s="6" t="s">
        <v>504</v>
      </c>
      <c r="AL12" s="34">
        <f>AL9+AL6-AL10-AL11</f>
        <v>-8684.0750000000044</v>
      </c>
      <c r="AM12" s="253"/>
      <c r="AN12" s="34">
        <f>AN9+AN6-AN10-AN11</f>
        <v>2348.4981418654279</v>
      </c>
      <c r="AO12" s="34">
        <f t="shared" ref="AO12:AR12" si="40">AO9+AO6-AO10-AO11</f>
        <v>3365.8964535994437</v>
      </c>
      <c r="AP12" s="34">
        <f t="shared" si="40"/>
        <v>4254.1290922481185</v>
      </c>
      <c r="AQ12" s="34">
        <f t="shared" si="40"/>
        <v>5038.1446095383108</v>
      </c>
      <c r="AR12" s="34">
        <f t="shared" si="40"/>
        <v>5738.5104043471638</v>
      </c>
      <c r="AT12" s="6" t="s">
        <v>504</v>
      </c>
      <c r="AU12" s="34">
        <f>AU9+AU6-AU10-AU11</f>
        <v>-2108.75</v>
      </c>
      <c r="AV12" s="253"/>
      <c r="AW12" s="34">
        <f>AW9+AW6-AW10-AW11</f>
        <v>15177.038250083569</v>
      </c>
      <c r="AX12" s="34">
        <f t="shared" ref="AX12:BA12" si="41">AX9+AX6-AX10-AX11</f>
        <v>-112.16119120366056</v>
      </c>
      <c r="AY12" s="34">
        <f t="shared" si="41"/>
        <v>-127.07998221186426</v>
      </c>
      <c r="AZ12" s="34">
        <f t="shared" si="41"/>
        <v>-143.98315233334142</v>
      </c>
      <c r="BA12" s="34">
        <f t="shared" si="41"/>
        <v>-163.13464792029117</v>
      </c>
    </row>
    <row r="13" spans="1:53" x14ac:dyDescent="0.3">
      <c r="A13" s="70" t="s">
        <v>513</v>
      </c>
      <c r="B13" s="70"/>
      <c r="C13" s="247">
        <f ca="1">WACC!B20</f>
        <v>0.11127123914011548</v>
      </c>
      <c r="D13" s="228">
        <f ca="1">1/(1+$C$13)^1</f>
        <v>0.8998703149860916</v>
      </c>
      <c r="E13" s="228">
        <f ca="1">1/(1+$C$13)^2</f>
        <v>0.80976658379316779</v>
      </c>
      <c r="F13" s="228">
        <f ca="1">1/(1+$C$13)^3</f>
        <v>0.72868491082316922</v>
      </c>
      <c r="G13" s="228">
        <f ca="1">1/(1+$C$13)^4</f>
        <v>0.65572192022805742</v>
      </c>
      <c r="H13" s="228">
        <f ca="1">1/(1+$C$13)^5</f>
        <v>0.5900646908989069</v>
      </c>
      <c r="J13" s="28" t="s">
        <v>513</v>
      </c>
      <c r="K13" s="225"/>
      <c r="L13" s="245">
        <f ca="1">WACC!C20</f>
        <v>0.12653068452930258</v>
      </c>
      <c r="M13" s="225">
        <f ca="1">1/(1+$L$13)^1</f>
        <v>0.88768110246178444</v>
      </c>
      <c r="N13" s="225">
        <f ca="1">1/(1+$L$13)^2</f>
        <v>0.78797773966776896</v>
      </c>
      <c r="O13" s="225">
        <f ca="1">1/(1+$L$13)^3</f>
        <v>0.69947294866363008</v>
      </c>
      <c r="P13" s="225">
        <f ca="1">1/(1+$L$13)^4</f>
        <v>0.62090891821192629</v>
      </c>
      <c r="Q13" s="225">
        <f ca="1">1/(1+$L$13)^5</f>
        <v>0.55116911304671667</v>
      </c>
      <c r="S13" s="28" t="s">
        <v>513</v>
      </c>
      <c r="T13" s="33"/>
      <c r="U13" s="245">
        <f ca="1">WACC!D20</f>
        <v>0.15874123505843599</v>
      </c>
      <c r="V13" s="225">
        <f ca="1">1/(1+$U$13)^1</f>
        <v>0.86300544914117028</v>
      </c>
      <c r="W13" s="225">
        <f ca="1">1/(1+$U$13)^2</f>
        <v>0.74477840524735306</v>
      </c>
      <c r="X13" s="225">
        <f ca="1">1/(1+$U$13)^3</f>
        <v>0.64274782213113646</v>
      </c>
      <c r="Y13" s="225">
        <f ca="1">1/(1+$U$13)^4</f>
        <v>0.55469487292279041</v>
      </c>
      <c r="Z13" s="225">
        <f ca="1">1/(1+$U$13)^5</f>
        <v>0.47870469794303716</v>
      </c>
      <c r="AB13" s="28" t="s">
        <v>513</v>
      </c>
      <c r="AC13" s="33"/>
      <c r="AD13" s="245">
        <f ca="1">WACC!E20</f>
        <v>0.16445763435605074</v>
      </c>
      <c r="AE13" s="225">
        <f ca="1">1/(1+$AD$13)^1</f>
        <v>0.8587688984949664</v>
      </c>
      <c r="AF13" s="225">
        <f ca="1">1/(1+$AD$13)^2</f>
        <v>0.73748402102225796</v>
      </c>
      <c r="AG13" s="225">
        <f ca="1">1/(1+$AD$13)^3</f>
        <v>0.63332834039092323</v>
      </c>
      <c r="AH13" s="225">
        <f ca="1">1/(1+$AD$13)^4</f>
        <v>0.54388268126315831</v>
      </c>
      <c r="AI13" s="225">
        <f ca="1">1/(1+$AD$13)^5</f>
        <v>0.46706953109885135</v>
      </c>
      <c r="AK13" s="28" t="s">
        <v>513</v>
      </c>
      <c r="AL13" s="33"/>
      <c r="AM13" s="245">
        <f ca="1">WACC!F20</f>
        <v>9.5965046806528828E-2</v>
      </c>
      <c r="AN13" s="225">
        <f ca="1">1/(1+$AM$13)^1</f>
        <v>0.91243785822717982</v>
      </c>
      <c r="AO13" s="225">
        <f ca="1">1/(1+$AM$13)^2</f>
        <v>0.83254284512620325</v>
      </c>
      <c r="AP13" s="225">
        <f ca="1">1/(1+$AM$13)^3</f>
        <v>0.7596436104893155</v>
      </c>
      <c r="AQ13" s="225">
        <f ca="1">1/(1+$AM$13)^4</f>
        <v>0.69312758897083326</v>
      </c>
      <c r="AR13" s="225">
        <f ca="1">1/(1+$AM$13)^5</f>
        <v>0.63243585275871617</v>
      </c>
      <c r="AT13" s="28" t="s">
        <v>513</v>
      </c>
      <c r="AU13" s="33"/>
      <c r="AV13" s="245">
        <f ca="1">WACC!H20</f>
        <v>8.8096614216848432E-2</v>
      </c>
      <c r="AW13" s="225">
        <f ca="1">1/(1+$AV$13)^1</f>
        <v>0.91903603681346302</v>
      </c>
      <c r="AX13" s="225">
        <f ca="1">1/(1+$AV$13)^2</f>
        <v>0.84462723696179687</v>
      </c>
      <c r="AY13" s="225">
        <f ca="1">1/(1+$AV$13)^3</f>
        <v>0.77624286844207546</v>
      </c>
      <c r="AZ13" s="225">
        <f ca="1">1/(1+$AV$13)^4</f>
        <v>0.71339516941771941</v>
      </c>
      <c r="BA13" s="225">
        <f ca="1">1/(1+$AV$13)^5</f>
        <v>0.6556358691835299</v>
      </c>
    </row>
    <row r="14" spans="1:53" x14ac:dyDescent="0.3">
      <c r="A14" s="70" t="s">
        <v>514</v>
      </c>
      <c r="B14" s="70"/>
      <c r="C14" s="247"/>
      <c r="D14" s="236">
        <f ca="1">D12*D13</f>
        <v>48282.420979341543</v>
      </c>
      <c r="E14" s="236">
        <f t="shared" ref="E14:H14" ca="1" si="42">E12*E13</f>
        <v>67425.711003005737</v>
      </c>
      <c r="F14" s="236">
        <f t="shared" ca="1" si="42"/>
        <v>73211.292052166915</v>
      </c>
      <c r="G14" s="236">
        <f t="shared" ca="1" si="42"/>
        <v>79493.315001287076</v>
      </c>
      <c r="H14" s="236">
        <f t="shared" ca="1" si="42"/>
        <v>86314.377915787845</v>
      </c>
      <c r="J14" s="28" t="s">
        <v>514</v>
      </c>
      <c r="K14" s="33"/>
      <c r="L14" s="245"/>
      <c r="M14" s="33">
        <f ca="1">M12*M13</f>
        <v>9042.9274856376123</v>
      </c>
      <c r="N14" s="33">
        <f t="shared" ref="N14:Q14" ca="1" si="43">N12*N13</f>
        <v>9638.3918886373758</v>
      </c>
      <c r="O14" s="33">
        <f t="shared" ca="1" si="43"/>
        <v>10966.286961911823</v>
      </c>
      <c r="P14" s="33">
        <f t="shared" ca="1" si="43"/>
        <v>12477.128043815088</v>
      </c>
      <c r="Q14" s="33">
        <f t="shared" ca="1" si="43"/>
        <v>14196.119868325639</v>
      </c>
      <c r="S14" s="28" t="s">
        <v>514</v>
      </c>
      <c r="T14" s="33"/>
      <c r="U14" s="245"/>
      <c r="V14" s="33">
        <f ca="1">V12*V13</f>
        <v>214.11822935432374</v>
      </c>
      <c r="W14" s="33">
        <f t="shared" ref="W14:Z14" ca="1" si="44">W12*W13</f>
        <v>234.41386551553148</v>
      </c>
      <c r="X14" s="33">
        <f t="shared" ca="1" si="44"/>
        <v>243.56752002096184</v>
      </c>
      <c r="Y14" s="33">
        <f t="shared" ca="1" si="44"/>
        <v>253.07861665388995</v>
      </c>
      <c r="Z14" s="33">
        <f t="shared" ca="1" si="44"/>
        <v>262.96111321384069</v>
      </c>
      <c r="AB14" s="28" t="s">
        <v>514</v>
      </c>
      <c r="AC14" s="33"/>
      <c r="AD14" s="245"/>
      <c r="AE14" s="33">
        <f ca="1">AE12*AE13</f>
        <v>2845.0236344825371</v>
      </c>
      <c r="AF14" s="33">
        <f t="shared" ref="AF14:AI14" ca="1" si="45">AF12*AF13</f>
        <v>2156.3571057854606</v>
      </c>
      <c r="AG14" s="33">
        <f t="shared" ca="1" si="45"/>
        <v>1878.0278580810234</v>
      </c>
      <c r="AH14" s="33">
        <f t="shared" ca="1" si="45"/>
        <v>1947.8023217844727</v>
      </c>
      <c r="AI14" s="33">
        <f t="shared" ca="1" si="45"/>
        <v>2021.2328669567544</v>
      </c>
      <c r="AK14" s="28" t="s">
        <v>514</v>
      </c>
      <c r="AL14" s="33"/>
      <c r="AM14" s="245"/>
      <c r="AN14" s="33">
        <f ca="1">AN12*AN13</f>
        <v>2142.8586146142025</v>
      </c>
      <c r="AO14" s="33">
        <f t="shared" ref="AO14:AR14" ca="1" si="46">AO12*AO13</f>
        <v>2802.2530098798784</v>
      </c>
      <c r="AP14" s="33">
        <f t="shared" ca="1" si="46"/>
        <v>3231.6219831229951</v>
      </c>
      <c r="AQ14" s="33">
        <f t="shared" ca="1" si="46"/>
        <v>3492.0770260956897</v>
      </c>
      <c r="AR14" s="33">
        <f t="shared" ca="1" si="46"/>
        <v>3629.2397211380635</v>
      </c>
      <c r="AT14" s="28" t="s">
        <v>514</v>
      </c>
      <c r="AU14" s="33"/>
      <c r="AV14" s="245"/>
      <c r="AW14" s="33">
        <f ca="1">AW12*AW13</f>
        <v>13948.245083923141</v>
      </c>
      <c r="AX14" s="33">
        <f t="shared" ref="AX14:BA14" ca="1" si="47">AX12*AX13</f>
        <v>-94.734397020691617</v>
      </c>
      <c r="AY14" s="33">
        <f t="shared" ca="1" si="47"/>
        <v>-98.64492991370544</v>
      </c>
      <c r="AZ14" s="33">
        <f t="shared" ca="1" si="47"/>
        <v>-102.7168853521414</v>
      </c>
      <c r="BA14" s="33">
        <f t="shared" ca="1" si="47"/>
        <v>-106.95692668316923</v>
      </c>
    </row>
    <row r="16" spans="1:53" x14ac:dyDescent="0.3">
      <c r="A16" s="83" t="s">
        <v>520</v>
      </c>
      <c r="B16" s="258" t="s">
        <v>521</v>
      </c>
      <c r="J16" s="38" t="s">
        <v>520</v>
      </c>
      <c r="K16" s="257" t="s">
        <v>521</v>
      </c>
      <c r="S16" s="47" t="s">
        <v>520</v>
      </c>
      <c r="T16" s="256" t="s">
        <v>521</v>
      </c>
      <c r="AB16" s="254" t="s">
        <v>520</v>
      </c>
      <c r="AC16" s="255" t="s">
        <v>521</v>
      </c>
      <c r="AK16" s="262" t="s">
        <v>520</v>
      </c>
      <c r="AL16" s="263" t="s">
        <v>521</v>
      </c>
      <c r="AT16" s="262" t="s">
        <v>520</v>
      </c>
      <c r="AU16" s="263" t="s">
        <v>521</v>
      </c>
    </row>
    <row r="17" spans="1:47" x14ac:dyDescent="0.3">
      <c r="A17" s="28" t="s">
        <v>514</v>
      </c>
      <c r="B17" s="33">
        <f ca="1">SUM(D14:H14)</f>
        <v>354727.11695158912</v>
      </c>
      <c r="J17" s="28" t="s">
        <v>514</v>
      </c>
      <c r="K17" s="33">
        <f ca="1">SUM(M14:Q14)</f>
        <v>56320.854248327531</v>
      </c>
      <c r="S17" s="28" t="s">
        <v>514</v>
      </c>
      <c r="T17" s="33">
        <f ca="1">SUM(V14:Z14)</f>
        <v>1208.1393447585478</v>
      </c>
      <c r="AB17" s="28" t="s">
        <v>514</v>
      </c>
      <c r="AC17" s="33">
        <f ca="1">SUM(AE14:AI14)</f>
        <v>10848.443787090247</v>
      </c>
      <c r="AK17" s="28" t="s">
        <v>514</v>
      </c>
      <c r="AL17" s="92">
        <f ca="1">SUM(AN14:AR14)</f>
        <v>15298.050354850828</v>
      </c>
      <c r="AT17" s="28" t="s">
        <v>514</v>
      </c>
      <c r="AU17" s="92">
        <f ca="1">SUM(AW14:BA14)</f>
        <v>13545.191944953433</v>
      </c>
    </row>
    <row r="18" spans="1:47" x14ac:dyDescent="0.3">
      <c r="A18" s="28" t="s">
        <v>523</v>
      </c>
      <c r="B18" s="33">
        <f ca="1">(H12*(1+WACC!B21))/(DCF!C13-WACC!B21)</f>
        <v>1917369.8780522842</v>
      </c>
      <c r="J18" s="28" t="s">
        <v>523</v>
      </c>
      <c r="K18" s="33">
        <f ca="1">(Q12*(1+WACC!C21))/(WACC!C20-WACC!C21)</f>
        <v>291244.96431835485</v>
      </c>
      <c r="S18" s="28" t="s">
        <v>523</v>
      </c>
      <c r="T18" s="33">
        <f ca="1">(Z12*(1+WACC!D21))/(WACC!D20-WACC!D21)</f>
        <v>4492.7542697835206</v>
      </c>
      <c r="AB18" s="28" t="s">
        <v>523</v>
      </c>
      <c r="AC18" s="33">
        <f ca="1">(AI12*(1+WACC!E21))/(WACC!E20-WACC!E21)</f>
        <v>33150.23206129812</v>
      </c>
      <c r="AK18" s="28" t="s">
        <v>523</v>
      </c>
      <c r="AL18" s="92">
        <f ca="1">(AR12*(1+WACC!F21))/(WACC!F20-WACC!F21)</f>
        <v>86121.600955429967</v>
      </c>
      <c r="AT18" s="28" t="s">
        <v>523</v>
      </c>
      <c r="AU18" s="92">
        <f ca="1">(AW12*(1+WACC!H21))/(WACC!H20-WACC!H21)</f>
        <v>281856.94783662632</v>
      </c>
    </row>
    <row r="19" spans="1:47" x14ac:dyDescent="0.3">
      <c r="A19" s="28" t="s">
        <v>515</v>
      </c>
      <c r="B19" s="33">
        <f ca="1">B18*H13</f>
        <v>1131372.2644317958</v>
      </c>
      <c r="J19" s="28" t="s">
        <v>524</v>
      </c>
      <c r="K19" s="33">
        <f ca="1">K18*Q13</f>
        <v>160525.2286626703</v>
      </c>
      <c r="S19" s="28" t="s">
        <v>524</v>
      </c>
      <c r="T19" s="33">
        <f ca="1">T18*Z13</f>
        <v>2150.7025756490107</v>
      </c>
      <c r="AB19" s="28" t="s">
        <v>524</v>
      </c>
      <c r="AC19" s="33">
        <f ca="1">AC18*AI13</f>
        <v>15483.463344688622</v>
      </c>
      <c r="AK19" s="28" t="s">
        <v>524</v>
      </c>
      <c r="AL19" s="92">
        <f ca="1">AL18*AR13</f>
        <v>54466.388141193216</v>
      </c>
      <c r="AT19" s="28" t="s">
        <v>524</v>
      </c>
      <c r="AU19" s="92">
        <f ca="1">AU18*BA13</f>
        <v>184795.52498028334</v>
      </c>
    </row>
    <row r="20" spans="1:47" x14ac:dyDescent="0.3">
      <c r="A20" s="28" t="s">
        <v>516</v>
      </c>
      <c r="B20" s="33">
        <f ca="1">B17+B19</f>
        <v>1486099.381383385</v>
      </c>
      <c r="J20" s="28" t="s">
        <v>516</v>
      </c>
      <c r="K20" s="33">
        <f ca="1">K17+K19</f>
        <v>216846.08291099782</v>
      </c>
      <c r="S20" s="28" t="s">
        <v>516</v>
      </c>
      <c r="T20" s="33">
        <f ca="1">T17+T19</f>
        <v>3358.8419204075585</v>
      </c>
      <c r="AB20" s="28" t="s">
        <v>516</v>
      </c>
      <c r="AC20" s="33">
        <f ca="1">AC17+AC19</f>
        <v>26331.907131778869</v>
      </c>
      <c r="AK20" s="28" t="s">
        <v>516</v>
      </c>
      <c r="AL20" s="92">
        <f ca="1">AL17+AL19</f>
        <v>69764.438496044051</v>
      </c>
      <c r="AT20" s="28" t="s">
        <v>516</v>
      </c>
      <c r="AU20" s="92">
        <f ca="1">AU17+AU19</f>
        <v>198340.71692523677</v>
      </c>
    </row>
    <row r="21" spans="1:47" x14ac:dyDescent="0.3">
      <c r="A21" s="28" t="s">
        <v>517</v>
      </c>
      <c r="B21" s="33">
        <f>WACC!B10</f>
        <v>213642.1</v>
      </c>
      <c r="J21" s="28" t="s">
        <v>517</v>
      </c>
      <c r="K21" s="33">
        <f>WACC!C10</f>
        <v>21155.800000000003</v>
      </c>
      <c r="S21" s="28" t="s">
        <v>517</v>
      </c>
      <c r="T21" s="33">
        <f>WACC!D10</f>
        <v>44.54</v>
      </c>
      <c r="AB21" s="28" t="s">
        <v>517</v>
      </c>
      <c r="AC21" s="33">
        <f>WACC!E10</f>
        <v>12357.32</v>
      </c>
      <c r="AK21" s="28" t="s">
        <v>517</v>
      </c>
      <c r="AL21" s="92">
        <f>WACC!F10</f>
        <v>233228.7</v>
      </c>
      <c r="AT21" s="28" t="s">
        <v>517</v>
      </c>
      <c r="AU21" s="92">
        <f>WACC!H11</f>
        <v>83030</v>
      </c>
    </row>
    <row r="22" spans="1:47" x14ac:dyDescent="0.3">
      <c r="A22" s="28" t="s">
        <v>518</v>
      </c>
      <c r="B22" s="33">
        <f>WACC!B22</f>
        <v>6105.6</v>
      </c>
      <c r="J22" s="28" t="s">
        <v>518</v>
      </c>
      <c r="K22" s="33">
        <f>Table31[[#This Row],[Column3]]</f>
        <v>149.69999999999999</v>
      </c>
      <c r="S22" s="28" t="s">
        <v>518</v>
      </c>
      <c r="T22" s="33">
        <f>Table31[[#This Row],[Column4]]</f>
        <v>308.04000000000002</v>
      </c>
      <c r="AB22" s="28" t="s">
        <v>518</v>
      </c>
      <c r="AC22" s="33">
        <f>Table31[[#This Row],[Column5]]</f>
        <v>533.9</v>
      </c>
      <c r="AK22" s="28" t="s">
        <v>518</v>
      </c>
      <c r="AL22" s="92">
        <f>Table31[[#This Row],[Column6]]</f>
        <v>256.8</v>
      </c>
      <c r="AT22" s="28" t="s">
        <v>518</v>
      </c>
      <c r="AU22" s="92">
        <f>Table31[[#This Row],[Column8]]</f>
        <v>5929</v>
      </c>
    </row>
    <row r="23" spans="1:47" x14ac:dyDescent="0.3">
      <c r="A23" s="28" t="s">
        <v>485</v>
      </c>
      <c r="B23" s="33">
        <f ca="1">B20-B21+B22</f>
        <v>1278562.881383385</v>
      </c>
      <c r="J23" s="28" t="s">
        <v>485</v>
      </c>
      <c r="K23" s="33">
        <f ca="1">K20-K21+K22</f>
        <v>195839.98291099782</v>
      </c>
      <c r="S23" s="28" t="s">
        <v>485</v>
      </c>
      <c r="T23" s="33">
        <f ca="1">T20-T21+T22</f>
        <v>3622.3419204075585</v>
      </c>
      <c r="AB23" s="28" t="s">
        <v>485</v>
      </c>
      <c r="AC23" s="33">
        <f ca="1">AC20-AC21+AC22</f>
        <v>14508.487131778869</v>
      </c>
      <c r="AK23" s="28" t="s">
        <v>485</v>
      </c>
      <c r="AL23" s="92">
        <f ca="1">AL20-AL21+AL22</f>
        <v>-163207.46150395597</v>
      </c>
      <c r="AT23" s="28" t="s">
        <v>485</v>
      </c>
      <c r="AU23" s="92">
        <f ca="1">AU20-AU21+AU22</f>
        <v>121239.71692523677</v>
      </c>
    </row>
    <row r="24" spans="1:47" x14ac:dyDescent="0.3">
      <c r="A24" s="28" t="s">
        <v>7</v>
      </c>
      <c r="B24" s="33">
        <f ca="1">'Company Profile'!B8/10000000</f>
        <v>609.10799999999995</v>
      </c>
      <c r="J24" s="28" t="s">
        <v>7</v>
      </c>
      <c r="K24" s="33">
        <f ca="1">'Company Profile'!C8/10000000</f>
        <v>263.71350000000001</v>
      </c>
      <c r="S24" s="28" t="s">
        <v>7</v>
      </c>
      <c r="T24" s="33">
        <f ca="1">'Company Profile'!D8/10000000</f>
        <v>32.09384</v>
      </c>
      <c r="AB24" s="28" t="s">
        <v>7</v>
      </c>
      <c r="AC24" s="33">
        <f ca="1">'Company Profile'!E8/10000000</f>
        <v>28.5</v>
      </c>
      <c r="AK24" s="28" t="s">
        <v>7</v>
      </c>
      <c r="AL24" s="92">
        <f ca="1">'Company Profile'!F8/10000000</f>
        <v>10834.3</v>
      </c>
      <c r="AT24" s="28" t="s">
        <v>7</v>
      </c>
      <c r="AU24" s="268" cm="1">
        <f t="array" ref="AU24">'Income Statement'!AU23/Table19[2025]</f>
        <v>4500</v>
      </c>
    </row>
    <row r="25" spans="1:47" x14ac:dyDescent="0.3">
      <c r="A25" s="70" t="s">
        <v>519</v>
      </c>
      <c r="B25" s="71">
        <f ca="1">B23/B24</f>
        <v>2099.0741894432272</v>
      </c>
      <c r="J25" s="70" t="s">
        <v>519</v>
      </c>
      <c r="K25" s="71">
        <f ca="1">K23/K24</f>
        <v>742.6240329410432</v>
      </c>
      <c r="S25" s="70" t="s">
        <v>519</v>
      </c>
      <c r="T25" s="71">
        <f ca="1">T23/T24</f>
        <v>112.86720194303824</v>
      </c>
      <c r="AB25" s="70" t="s">
        <v>519</v>
      </c>
      <c r="AC25" s="71">
        <f ca="1">AC23/AC24</f>
        <v>509.06972392206558</v>
      </c>
      <c r="AK25" s="70" t="s">
        <v>519</v>
      </c>
      <c r="AL25" s="264">
        <f ca="1">AL23/AL24</f>
        <v>-15.063959970090913</v>
      </c>
      <c r="AT25" s="70" t="s">
        <v>519</v>
      </c>
      <c r="AU25" s="264">
        <f ca="1">AU23/AU24</f>
        <v>26.942159316719284</v>
      </c>
    </row>
    <row r="26" spans="1:47" x14ac:dyDescent="0.3">
      <c r="A26" s="28" t="s">
        <v>466</v>
      </c>
      <c r="B26" s="219">
        <f ca="1">'Company Profile'!B7</f>
        <v>2019.8</v>
      </c>
      <c r="J26" s="28" t="s">
        <v>466</v>
      </c>
      <c r="K26" s="219">
        <f ca="1">'Company Profile'!C7</f>
        <v>398.75</v>
      </c>
      <c r="S26" s="28" t="s">
        <v>466</v>
      </c>
      <c r="T26" s="219">
        <f ca="1">'Company Profile'!D7</f>
        <v>349.25</v>
      </c>
      <c r="AB26" s="28" t="s">
        <v>466</v>
      </c>
      <c r="AC26" s="33">
        <f ca="1">'Company Profile'!E7</f>
        <v>1849.85</v>
      </c>
      <c r="AK26" s="28" t="s">
        <v>466</v>
      </c>
      <c r="AL26" s="92">
        <f ca="1">'Company Profile'!F7</f>
        <v>9.51</v>
      </c>
      <c r="AU26" s="82"/>
    </row>
    <row r="27" spans="1:47" x14ac:dyDescent="0.3">
      <c r="A27" s="216" t="e" vm="13">
        <v>#VALUE!</v>
      </c>
      <c r="B27" s="224">
        <f ca="1">(B25-B26)/B26</f>
        <v>3.9248534232709784E-2</v>
      </c>
      <c r="J27" s="216" t="e" vm="13">
        <v>#VALUE!</v>
      </c>
      <c r="K27" s="224">
        <f ca="1">(K25-K26)/K26</f>
        <v>0.86238001991484192</v>
      </c>
      <c r="S27" s="216" t="e" vm="13">
        <v>#VALUE!</v>
      </c>
      <c r="T27" s="224">
        <f ca="1">(T25-T26)/T26</f>
        <v>-0.67682977253246024</v>
      </c>
      <c r="AB27" s="216" t="e" vm="13">
        <v>#VALUE!</v>
      </c>
      <c r="AC27" s="224">
        <f ca="1">(AC25-AC26)/AC26</f>
        <v>-0.72480486313913794</v>
      </c>
      <c r="AK27" s="216" t="e" vm="13">
        <v>#VALUE!</v>
      </c>
      <c r="AL27" s="224">
        <f ca="1">(AL25-AL26)/AL26</f>
        <v>-2.5840126151515155</v>
      </c>
    </row>
  </sheetData>
  <mergeCells count="6">
    <mergeCell ref="AK2:AR2"/>
    <mergeCell ref="AT2:BA2"/>
    <mergeCell ref="A2:H2"/>
    <mergeCell ref="J2:Q2"/>
    <mergeCell ref="S2:Z2"/>
    <mergeCell ref="AB2:AI2"/>
  </mergeCells>
  <conditionalFormatting sqref="B27">
    <cfRule type="cellIs" dxfId="13" priority="9" operator="lessThan">
      <formula>0</formula>
    </cfRule>
    <cfRule type="cellIs" dxfId="12" priority="10" operator="greaterThan">
      <formula>0</formula>
    </cfRule>
  </conditionalFormatting>
  <conditionalFormatting sqref="K27">
    <cfRule type="cellIs" dxfId="11" priority="7" operator="lessThan">
      <formula>0</formula>
    </cfRule>
    <cfRule type="cellIs" dxfId="10" priority="8" operator="greaterThan">
      <formula>0</formula>
    </cfRule>
  </conditionalFormatting>
  <conditionalFormatting sqref="T27">
    <cfRule type="cellIs" dxfId="9" priority="5" operator="lessThan">
      <formula>0</formula>
    </cfRule>
    <cfRule type="cellIs" dxfId="8" priority="6" operator="greaterThan">
      <formula>0</formula>
    </cfRule>
  </conditionalFormatting>
  <conditionalFormatting sqref="AC27">
    <cfRule type="cellIs" dxfId="7" priority="3" operator="lessThan">
      <formula>0</formula>
    </cfRule>
    <cfRule type="cellIs" dxfId="6" priority="4" operator="greaterThan">
      <formula>0</formula>
    </cfRule>
  </conditionalFormatting>
  <conditionalFormatting sqref="AL27">
    <cfRule type="cellIs" dxfId="5" priority="1" operator="lessThan">
      <formula>0</formula>
    </cfRule>
    <cfRule type="cellIs" dxfId="4" priority="2" operator="greaterThan">
      <formula>0</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628A-4A6B-4E71-BEFE-FEDC599EA5BE}">
  <dimension ref="A1:L17"/>
  <sheetViews>
    <sheetView workbookViewId="0">
      <selection activeCell="I14" sqref="I14"/>
    </sheetView>
  </sheetViews>
  <sheetFormatPr defaultRowHeight="14.4" x14ac:dyDescent="0.3"/>
  <cols>
    <col min="1" max="1" width="18.77734375" style="2" customWidth="1"/>
    <col min="2" max="2" width="12.21875" style="53" customWidth="1"/>
    <col min="3" max="7" width="12.21875" style="2" customWidth="1"/>
    <col min="8" max="9" width="8.88671875" style="2"/>
    <col min="10" max="10" width="22.77734375" style="2" bestFit="1" customWidth="1"/>
    <col min="11" max="11" width="10.88671875" style="2" bestFit="1" customWidth="1"/>
    <col min="12" max="12" width="11.6640625" style="2" customWidth="1"/>
    <col min="13" max="16384" width="8.88671875" style="2"/>
  </cols>
  <sheetData>
    <row r="1" spans="1:12" x14ac:dyDescent="0.3">
      <c r="B1" s="2"/>
    </row>
    <row r="2" spans="1:12" s="3" customFormat="1" ht="27" customHeight="1" x14ac:dyDescent="0.3">
      <c r="A2" s="265" t="s">
        <v>15</v>
      </c>
      <c r="B2" s="10" t="e" vm="1">
        <v>#VALUE!</v>
      </c>
      <c r="C2" s="8" t="e" vm="2">
        <v>#VALUE!</v>
      </c>
      <c r="D2" s="8" t="e" vm="3">
        <v>#VALUE!</v>
      </c>
      <c r="E2" s="8" t="e" vm="4">
        <v>#VALUE!</v>
      </c>
      <c r="F2" s="8" t="e" vm="5">
        <v>#VALUE!</v>
      </c>
      <c r="G2" s="3" t="e" vm="6">
        <v>#VALUE!</v>
      </c>
      <c r="J2" s="265" t="s">
        <v>533</v>
      </c>
      <c r="K2" s="8" t="e" vm="5">
        <v>#VALUE!</v>
      </c>
      <c r="L2" s="8" t="e" vm="6">
        <v>#VALUE!</v>
      </c>
    </row>
    <row r="3" spans="1:12" ht="15.6" customHeight="1" x14ac:dyDescent="0.3">
      <c r="A3" s="28" t="s">
        <v>466</v>
      </c>
      <c r="B3" s="57">
        <f ca="1">'Company Profile'!B7</f>
        <v>2019.8</v>
      </c>
      <c r="C3" s="57">
        <f ca="1">'Company Profile'!C7</f>
        <v>398.75</v>
      </c>
      <c r="D3" s="57">
        <f ca="1">'Company Profile'!D7</f>
        <v>349.25</v>
      </c>
      <c r="E3" s="57">
        <f ca="1">'Company Profile'!E7</f>
        <v>1849.85</v>
      </c>
      <c r="F3" s="57">
        <f ca="1">'Company Profile'!F7</f>
        <v>9.51</v>
      </c>
      <c r="G3" s="260"/>
      <c r="J3" s="28" t="s">
        <v>534</v>
      </c>
      <c r="K3" s="33" cm="1">
        <f t="array" aca="1" ref="K3" ca="1">G13*Table19[2025]</f>
        <v>124.49230159929976</v>
      </c>
      <c r="L3" s="33">
        <v>0</v>
      </c>
    </row>
    <row r="4" spans="1:12" x14ac:dyDescent="0.3">
      <c r="A4" s="28" t="s">
        <v>8</v>
      </c>
      <c r="B4" s="33">
        <f ca="1">'Company Profile'!B9/10000000</f>
        <v>1199343</v>
      </c>
      <c r="C4" s="33">
        <f ca="1">'Company Profile'!C9/10000000</f>
        <v>105696.4</v>
      </c>
      <c r="D4" s="33">
        <f ca="1">'Company Profile'!D9/10000000</f>
        <v>11285.8</v>
      </c>
      <c r="E4" s="33">
        <f ca="1">'Company Profile'!E9/10000000</f>
        <v>52707.9</v>
      </c>
      <c r="F4" s="33">
        <f ca="1">'Company Profile'!F9/10000000</f>
        <v>104117.7</v>
      </c>
      <c r="G4" s="53"/>
      <c r="J4" s="28" t="s">
        <v>535</v>
      </c>
      <c r="K4" s="33">
        <f ca="1">G14*(F10/F11)</f>
        <v>-42.610203550339982</v>
      </c>
      <c r="L4" s="33">
        <v>0</v>
      </c>
    </row>
    <row r="5" spans="1:12" x14ac:dyDescent="0.3">
      <c r="A5" s="28" t="s">
        <v>526</v>
      </c>
      <c r="B5" s="33">
        <f>WACC!B10-WACC!B22</f>
        <v>207536.5</v>
      </c>
      <c r="C5" s="33">
        <f>WACC!C10-WACC!C22</f>
        <v>21006.100000000002</v>
      </c>
      <c r="D5" s="33">
        <f>WACC!D10-WACC!D22</f>
        <v>-263.5</v>
      </c>
      <c r="E5" s="33">
        <f>WACC!E10-WACC!E22</f>
        <v>11823.42</v>
      </c>
      <c r="F5" s="33">
        <f>WACC!F10-WACC!F22</f>
        <v>232971.90000000002</v>
      </c>
      <c r="J5" s="28" t="s">
        <v>536</v>
      </c>
      <c r="K5" s="33">
        <f ca="1">G15*F8</f>
        <v>269308.29693883559</v>
      </c>
      <c r="L5" s="33">
        <f ca="1">G15*G8</f>
        <v>861251.51178531186</v>
      </c>
    </row>
    <row r="6" spans="1:12" x14ac:dyDescent="0.3">
      <c r="A6" s="28" t="s">
        <v>516</v>
      </c>
      <c r="B6" s="33">
        <f ca="1">B4+B5</f>
        <v>1406879.5</v>
      </c>
      <c r="C6" s="33">
        <f t="shared" ref="C6:F6" ca="1" si="0">C4+C5</f>
        <v>126702.5</v>
      </c>
      <c r="D6" s="33">
        <f t="shared" ca="1" si="0"/>
        <v>11022.3</v>
      </c>
      <c r="E6" s="33">
        <f t="shared" ca="1" si="0"/>
        <v>64531.32</v>
      </c>
      <c r="F6" s="33">
        <f t="shared" ca="1" si="0"/>
        <v>337089.60000000003</v>
      </c>
      <c r="J6" s="28" t="s">
        <v>537</v>
      </c>
      <c r="K6" s="33">
        <f ca="1">(K5-F5)/F11</f>
        <v>3.3538296833976875</v>
      </c>
      <c r="L6" s="33">
        <f ca="1">(L5-WACC!H11)/'Relative Valuation Model'!G11</f>
        <v>172.93811373006929</v>
      </c>
    </row>
    <row r="7" spans="1:12" x14ac:dyDescent="0.3">
      <c r="A7" s="28" t="s">
        <v>498</v>
      </c>
      <c r="B7" s="33">
        <f>'Income Statement'!G6</f>
        <v>174558.90000000002</v>
      </c>
      <c r="C7" s="219">
        <f>'Income Statement'!O6</f>
        <v>30468.6</v>
      </c>
      <c r="D7" s="219">
        <f>Table11[[#This Row],[2025]]</f>
        <v>3551.0400000000004</v>
      </c>
      <c r="E7" s="219">
        <f>'Income Statement'!AE6</f>
        <v>23238.89</v>
      </c>
      <c r="F7" s="219">
        <f>'Income Statement'!AM8</f>
        <v>44591.899999999994</v>
      </c>
      <c r="G7" s="244">
        <f>'Income Statement'!AU6</f>
        <v>115088</v>
      </c>
      <c r="J7" s="28" t="s">
        <v>538</v>
      </c>
      <c r="K7" s="33">
        <f ca="1">G16*F7</f>
        <v>228830.95963380422</v>
      </c>
      <c r="L7" s="33">
        <f ca="1">G16*G7</f>
        <v>590593.75093537755</v>
      </c>
    </row>
    <row r="8" spans="1:12" x14ac:dyDescent="0.3">
      <c r="A8" s="28" t="s">
        <v>132</v>
      </c>
      <c r="B8" s="33">
        <f>'Income Statement'!G15</f>
        <v>94732.900000000023</v>
      </c>
      <c r="C8" s="219">
        <f>'Income Statement'!O14</f>
        <v>21190.5</v>
      </c>
      <c r="D8" s="219">
        <f>'Income Statement'!W18+'Income Statement'!W16+'Income Statement'!W15</f>
        <v>607.01000000000045</v>
      </c>
      <c r="E8" s="219">
        <f>'Income Statement'!AE14+'Income Statement'!AE11+'Income Statement'!AE10</f>
        <v>4699.3299999999981</v>
      </c>
      <c r="F8" s="219">
        <f>'Income Statement'!AM19</f>
        <v>19147.199999999993</v>
      </c>
      <c r="G8" s="244">
        <f>'Income Statement'!AU17+'Income Statement'!AU12+'Income Statement'!AU13</f>
        <v>61233</v>
      </c>
      <c r="J8" s="28" t="s">
        <v>539</v>
      </c>
      <c r="K8" s="33">
        <f ca="1">(K7-F5)/F11</f>
        <v>-0.3822065446033252</v>
      </c>
      <c r="L8" s="33">
        <f ca="1">(L7-WACC!H11)/'Relative Valuation Model'!G11</f>
        <v>112.79194465230613</v>
      </c>
    </row>
    <row r="9" spans="1:12" x14ac:dyDescent="0.3">
      <c r="A9" s="28" t="s">
        <v>527</v>
      </c>
      <c r="B9" s="33" cm="1">
        <f t="array" ref="B9">Table8[2025]</f>
        <v>58</v>
      </c>
      <c r="C9" s="219" cm="1">
        <f t="array" ref="C9">Table9[2025]</f>
        <v>37.31</v>
      </c>
      <c r="D9" s="219" cm="1">
        <f t="array" ref="D9">Table12[2025]</f>
        <v>9.34</v>
      </c>
      <c r="E9" s="219" cm="1">
        <f t="array" ref="E9">Table13[2025]</f>
        <v>57.03</v>
      </c>
      <c r="F9" s="219" cm="1">
        <f t="array" ref="F9">Table15[2025]</f>
        <v>-4.01</v>
      </c>
      <c r="G9" s="244" cm="1">
        <f t="array" ref="G9">Table19[2025]</f>
        <v>5.51</v>
      </c>
      <c r="J9" s="28" t="s">
        <v>542</v>
      </c>
      <c r="K9" s="219">
        <f ca="1">G17*(F7/F11)</f>
        <v>15.010286352769981</v>
      </c>
      <c r="L9" s="33">
        <v>0</v>
      </c>
    </row>
    <row r="10" spans="1:12" x14ac:dyDescent="0.3">
      <c r="A10" s="28" t="s">
        <v>528</v>
      </c>
      <c r="B10" s="33">
        <f>'Balance Sheet'!G37</f>
        <v>153467.70000000001</v>
      </c>
      <c r="C10" s="219">
        <f>'Balance Sheet'!O29</f>
        <v>32498.3</v>
      </c>
      <c r="D10" s="219">
        <f>'Balance Sheet'!W30</f>
        <v>1999.6200000000001</v>
      </c>
      <c r="E10" s="219">
        <f>'Balance Sheet'!AE36</f>
        <v>3024.28</v>
      </c>
      <c r="F10" s="219">
        <f>'Balance Sheet'!AM33</f>
        <v>-70320.200000000012</v>
      </c>
      <c r="G10" s="244">
        <f>'Balance Sheet'!AU26</f>
        <v>261377</v>
      </c>
      <c r="J10" s="28" t="s">
        <v>540</v>
      </c>
      <c r="K10" s="33">
        <f ca="1">AVERAGE(K3:K4,K6,K8:K9)</f>
        <v>19.97280150810483</v>
      </c>
      <c r="L10" s="33">
        <f ca="1">AVERAGE(L6,L8)</f>
        <v>142.86502919118772</v>
      </c>
    </row>
    <row r="11" spans="1:12" x14ac:dyDescent="0.3">
      <c r="A11" s="70" t="s">
        <v>7</v>
      </c>
      <c r="B11" s="71">
        <f ca="1">'Company Profile'!B8/10000000</f>
        <v>609.10799999999995</v>
      </c>
      <c r="C11" s="71">
        <f ca="1">'Company Profile'!C8/10000000</f>
        <v>263.71350000000001</v>
      </c>
      <c r="D11" s="71">
        <f ca="1">'Company Profile'!D8/10000000</f>
        <v>32.09384</v>
      </c>
      <c r="E11" s="71">
        <f ca="1">'Company Profile'!E8/10000000</f>
        <v>28.5</v>
      </c>
      <c r="F11" s="71">
        <f ca="1">'Company Profile'!F8/10000000</f>
        <v>10834.3</v>
      </c>
      <c r="G11" s="53">
        <f>DCF!AU24</f>
        <v>4500</v>
      </c>
      <c r="J11" s="28" t="s">
        <v>466</v>
      </c>
      <c r="K11" s="219">
        <f ca="1">F3</f>
        <v>9.51</v>
      </c>
      <c r="L11" s="33">
        <v>0</v>
      </c>
    </row>
    <row r="12" spans="1:12" ht="28.2" customHeight="1" x14ac:dyDescent="0.3">
      <c r="A12" s="153" t="s">
        <v>529</v>
      </c>
      <c r="B12" s="57" t="e" vm="1">
        <v>#VALUE!</v>
      </c>
      <c r="C12" s="216" t="e" vm="2">
        <v>#VALUE!</v>
      </c>
      <c r="D12" s="216" t="e" vm="3">
        <v>#VALUE!</v>
      </c>
      <c r="E12" s="216" t="e" vm="4">
        <v>#VALUE!</v>
      </c>
      <c r="F12" s="216" t="e" vm="5">
        <v>#VALUE!</v>
      </c>
      <c r="G12" s="267" t="s">
        <v>541</v>
      </c>
      <c r="J12" s="216" t="e" vm="13">
        <v>#VALUE!</v>
      </c>
      <c r="K12" s="225">
        <f ca="1">(K10-K11)/K11</f>
        <v>1.100189433028899</v>
      </c>
      <c r="L12" s="33">
        <v>0</v>
      </c>
    </row>
    <row r="13" spans="1:12" x14ac:dyDescent="0.3">
      <c r="A13" s="28" t="s">
        <v>13</v>
      </c>
      <c r="B13" s="33">
        <f ca="1">B3/B9</f>
        <v>34.824137931034485</v>
      </c>
      <c r="C13" s="33">
        <f t="shared" ref="C13:F13" ca="1" si="1">C3/C9</f>
        <v>10.687483248458857</v>
      </c>
      <c r="D13" s="33">
        <f t="shared" ca="1" si="1"/>
        <v>37.392933618843685</v>
      </c>
      <c r="E13" s="33">
        <f t="shared" ca="1" si="1"/>
        <v>32.436436963001924</v>
      </c>
      <c r="F13" s="33">
        <f t="shared" ca="1" si="1"/>
        <v>-2.3715710723192021</v>
      </c>
      <c r="G13" s="219">
        <f ca="1">AVERAGE(B13:F13)</f>
        <v>22.593884137803951</v>
      </c>
    </row>
    <row r="14" spans="1:12" x14ac:dyDescent="0.3">
      <c r="A14" s="28" t="s">
        <v>530</v>
      </c>
      <c r="B14" s="33">
        <f ca="1">B3/(B10/B11)</f>
        <v>8.0165164291899842</v>
      </c>
      <c r="C14" s="33">
        <f t="shared" ref="C14:F14" ca="1" si="2">C3/(C10/C11)</f>
        <v>3.2357310420852783</v>
      </c>
      <c r="D14" s="33">
        <f t="shared" ca="1" si="2"/>
        <v>5.6054518458507117</v>
      </c>
      <c r="E14" s="33">
        <f t="shared" ca="1" si="2"/>
        <v>17.432488063274562</v>
      </c>
      <c r="F14" s="33">
        <f t="shared" ca="1" si="2"/>
        <v>-1.4652147320400111</v>
      </c>
      <c r="G14" s="219">
        <f t="shared" ref="G14:G17" ca="1" si="3">AVERAGE(B14:F14)</f>
        <v>6.5649945296721057</v>
      </c>
    </row>
    <row r="15" spans="1:12" x14ac:dyDescent="0.3">
      <c r="A15" s="28" t="s">
        <v>525</v>
      </c>
      <c r="B15" s="33">
        <f ca="1">B6/B8</f>
        <v>14.851012689361347</v>
      </c>
      <c r="C15" s="33">
        <f t="shared" ref="C15:F15" ca="1" si="4">C6/C8</f>
        <v>5.9792123829074351</v>
      </c>
      <c r="D15" s="33">
        <f t="shared" ca="1" si="4"/>
        <v>18.158349944811437</v>
      </c>
      <c r="E15" s="33">
        <f t="shared" ca="1" si="4"/>
        <v>13.732025629185442</v>
      </c>
      <c r="F15" s="33">
        <f t="shared" ca="1" si="4"/>
        <v>17.605164201554281</v>
      </c>
      <c r="G15" s="219">
        <f t="shared" ca="1" si="3"/>
        <v>14.065152969563991</v>
      </c>
    </row>
    <row r="16" spans="1:12" x14ac:dyDescent="0.3">
      <c r="A16" s="28" t="s">
        <v>531</v>
      </c>
      <c r="B16" s="33">
        <f ca="1">B6/B7</f>
        <v>8.0596262923288347</v>
      </c>
      <c r="C16" s="33">
        <f t="shared" ref="C16:F16" ca="1" si="5">C6/C7</f>
        <v>4.1584614980668624</v>
      </c>
      <c r="D16" s="33">
        <f t="shared" ca="1" si="5"/>
        <v>3.1039639091646385</v>
      </c>
      <c r="E16" s="33">
        <f t="shared" ca="1" si="5"/>
        <v>2.7768675698365972</v>
      </c>
      <c r="F16" s="33">
        <f t="shared" ca="1" si="5"/>
        <v>7.5594356822651667</v>
      </c>
      <c r="G16" s="219">
        <f t="shared" ca="1" si="3"/>
        <v>5.1316709903324202</v>
      </c>
    </row>
    <row r="17" spans="1:7" x14ac:dyDescent="0.3">
      <c r="A17" s="28" t="s">
        <v>532</v>
      </c>
      <c r="B17" s="33">
        <f ca="1">B3/(B7/B11)</f>
        <v>7.047915279026161</v>
      </c>
      <c r="C17" s="33">
        <f t="shared" ref="C17:F17" ca="1" si="6">C3/(C7/C11)</f>
        <v>3.4512828986235009</v>
      </c>
      <c r="D17" s="33">
        <f t="shared" ca="1" si="6"/>
        <v>3.1564763055330265</v>
      </c>
      <c r="E17" s="33">
        <f t="shared" ca="1" si="6"/>
        <v>2.2686421339401321</v>
      </c>
      <c r="F17" s="33">
        <f t="shared" ca="1" si="6"/>
        <v>2.31060333827444</v>
      </c>
      <c r="G17" s="219">
        <f t="shared" ca="1" si="3"/>
        <v>3.6469839910794519</v>
      </c>
    </row>
  </sheetData>
  <conditionalFormatting sqref="K12">
    <cfRule type="cellIs" dxfId="3" priority="1" operator="lessThan">
      <formula>0</formula>
    </cfRule>
    <cfRule type="cellIs" dxfId="2" priority="2"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629B-D34C-4615-8BA2-9A121ECE876A}">
  <dimension ref="A2:P23"/>
  <sheetViews>
    <sheetView workbookViewId="0">
      <selection activeCell="L6" sqref="L6"/>
    </sheetView>
  </sheetViews>
  <sheetFormatPr defaultRowHeight="14.4" x14ac:dyDescent="0.3"/>
  <cols>
    <col min="1" max="1" width="18.109375" style="2" bestFit="1" customWidth="1"/>
    <col min="2" max="7" width="12.21875" style="2" customWidth="1"/>
    <col min="8" max="9" width="8.88671875" style="2"/>
    <col min="10" max="10" width="14.6640625" style="2" bestFit="1" customWidth="1"/>
    <col min="11" max="11" width="11.77734375" style="2" bestFit="1" customWidth="1"/>
    <col min="12" max="12" width="8.88671875" style="79"/>
    <col min="13" max="14" width="8.88671875" style="2"/>
    <col min="15" max="15" width="9.109375" style="2" bestFit="1" customWidth="1"/>
    <col min="16" max="16384" width="8.88671875" style="2"/>
  </cols>
  <sheetData>
    <row r="2" spans="1:16" ht="33.6" customHeight="1" x14ac:dyDescent="0.3">
      <c r="A2" s="269" t="s">
        <v>520</v>
      </c>
      <c r="B2" s="10" t="e" vm="1">
        <v>#VALUE!</v>
      </c>
      <c r="C2" s="8" t="e" vm="2">
        <v>#VALUE!</v>
      </c>
      <c r="D2" s="8" t="e" vm="3">
        <v>#VALUE!</v>
      </c>
      <c r="E2" s="8" t="e" vm="4">
        <v>#VALUE!</v>
      </c>
      <c r="F2" s="8" t="e" vm="5">
        <v>#VALUE!</v>
      </c>
      <c r="G2" s="8" t="e" vm="6">
        <v>#VALUE!</v>
      </c>
    </row>
    <row r="3" spans="1:16" x14ac:dyDescent="0.3">
      <c r="A3" s="28" t="s">
        <v>485</v>
      </c>
      <c r="B3" s="219">
        <f ca="1">DCF!B23</f>
        <v>1278562.881383385</v>
      </c>
      <c r="C3" s="219">
        <f ca="1">DCF!K23</f>
        <v>195839.98291099782</v>
      </c>
      <c r="D3" s="219">
        <f ca="1">DCF!T23</f>
        <v>3622.3419204075585</v>
      </c>
      <c r="E3" s="219">
        <f ca="1">DCF!AC23</f>
        <v>14508.487131778869</v>
      </c>
      <c r="F3" s="33">
        <f ca="1">'Relative Valuation Model'!K10*'Relative Valuation Model'!F11</f>
        <v>216391.32337926014</v>
      </c>
      <c r="G3" s="33">
        <f ca="1">'Relative Valuation Model'!L10*'Relative Valuation Model'!G11</f>
        <v>642892.63136034471</v>
      </c>
      <c r="J3" s="28" t="s">
        <v>557</v>
      </c>
      <c r="K3" s="327" t="s">
        <v>560</v>
      </c>
      <c r="L3" s="245">
        <f>(DCF!H4/DCF!D4)^(1/5)-1</f>
        <v>0.16213903508775074</v>
      </c>
    </row>
    <row r="4" spans="1:16" x14ac:dyDescent="0.3">
      <c r="A4" s="28" t="s">
        <v>8</v>
      </c>
      <c r="B4" s="219">
        <f ca="1">'Relative Valuation Model'!B4</f>
        <v>1199343</v>
      </c>
      <c r="C4" s="219">
        <f ca="1">'Relative Valuation Model'!C4</f>
        <v>105696.4</v>
      </c>
      <c r="D4" s="219">
        <f ca="1">'Relative Valuation Model'!D4</f>
        <v>11285.8</v>
      </c>
      <c r="E4" s="219">
        <f ca="1">'Relative Valuation Model'!E4</f>
        <v>52707.9</v>
      </c>
      <c r="F4" s="219">
        <f ca="1">'Relative Valuation Model'!F4</f>
        <v>104117.7</v>
      </c>
      <c r="G4" s="28"/>
      <c r="J4" s="28" t="s">
        <v>557</v>
      </c>
      <c r="K4" s="327" t="s">
        <v>561</v>
      </c>
      <c r="L4" s="245">
        <f>(Table35[[#This Row],[2030]]/Table35[[#This Row],[2026]])^(1/5)-1</f>
        <v>0.21965904564821326</v>
      </c>
    </row>
    <row r="5" spans="1:16" x14ac:dyDescent="0.3">
      <c r="A5" s="28" t="s">
        <v>543</v>
      </c>
      <c r="B5" s="219">
        <f ca="1">DCF!B25</f>
        <v>2099.0741894432272</v>
      </c>
      <c r="C5" s="219">
        <f ca="1">DCF!K25</f>
        <v>742.6240329410432</v>
      </c>
      <c r="D5" s="219">
        <f ca="1">DCF!T25</f>
        <v>112.86720194303824</v>
      </c>
      <c r="E5" s="219">
        <f ca="1">DCF!AC25</f>
        <v>509.06972392206558</v>
      </c>
      <c r="F5" s="219">
        <f ca="1">'Relative Valuation Model'!K10</f>
        <v>19.97280150810483</v>
      </c>
      <c r="G5" s="219">
        <f ca="1">'Relative Valuation Model'!L10</f>
        <v>142.86502919118772</v>
      </c>
      <c r="J5" s="28" t="s">
        <v>557</v>
      </c>
      <c r="K5" s="327" t="s">
        <v>562</v>
      </c>
      <c r="L5" s="245">
        <f>(DCF!Z4/DCF!V4)^(1/5)-1</f>
        <v>0.1601069586555075</v>
      </c>
    </row>
    <row r="6" spans="1:16" x14ac:dyDescent="0.3">
      <c r="A6" s="28" t="s">
        <v>466</v>
      </c>
      <c r="B6" s="219">
        <f ca="1">'Company Profile'!B7</f>
        <v>2019.8</v>
      </c>
      <c r="C6" s="219">
        <f ca="1">'Company Profile'!C7</f>
        <v>398.75</v>
      </c>
      <c r="D6" s="219">
        <f ca="1">'Company Profile'!D7</f>
        <v>349.25</v>
      </c>
      <c r="E6" s="219">
        <f ca="1">'Company Profile'!E7</f>
        <v>1849.85</v>
      </c>
      <c r="F6" s="219">
        <f ca="1">'Company Profile'!F7</f>
        <v>9.51</v>
      </c>
      <c r="G6" s="28"/>
      <c r="J6" s="28" t="s">
        <v>557</v>
      </c>
      <c r="K6" s="327" t="s">
        <v>563</v>
      </c>
      <c r="L6" s="245">
        <f>(DCF!AI4/DCF!AE4)^(1/5)-1</f>
        <v>4.1442141542237909E-2</v>
      </c>
    </row>
    <row r="7" spans="1:16" x14ac:dyDescent="0.3">
      <c r="A7" s="28" t="s">
        <v>544</v>
      </c>
      <c r="B7" s="216" t="s">
        <v>545</v>
      </c>
      <c r="C7" s="216" t="s">
        <v>545</v>
      </c>
      <c r="D7" s="216" t="s">
        <v>545</v>
      </c>
      <c r="E7" s="216" t="s">
        <v>545</v>
      </c>
      <c r="F7" s="216" t="s">
        <v>546</v>
      </c>
      <c r="G7" s="216" t="s">
        <v>546</v>
      </c>
      <c r="J7" s="28" t="s">
        <v>557</v>
      </c>
      <c r="K7" s="327" t="s">
        <v>564</v>
      </c>
      <c r="L7" s="245">
        <f>(DCF!AR4/DCF!AN4)^(1/5)-1</f>
        <v>2.9041187789067724E-2</v>
      </c>
    </row>
    <row r="8" spans="1:16" x14ac:dyDescent="0.3">
      <c r="A8" s="28" t="e" vm="13">
        <v>#VALUE!</v>
      </c>
      <c r="B8" s="225">
        <f ca="1">(B5-B6)/B6</f>
        <v>3.9248534232709784E-2</v>
      </c>
      <c r="C8" s="225">
        <f ca="1">(C5-C6)/C6</f>
        <v>0.86238001991484192</v>
      </c>
      <c r="D8" s="225">
        <f ca="1">(D5-D6)/D6</f>
        <v>-0.67682977253246024</v>
      </c>
      <c r="E8" s="225">
        <f ca="1">(E5-E6)/E6</f>
        <v>-0.72480486313913794</v>
      </c>
      <c r="F8" s="225">
        <f ca="1">(F5-F6)/F6</f>
        <v>1.100189433028899</v>
      </c>
      <c r="G8" s="28"/>
      <c r="J8" s="28" t="s">
        <v>557</v>
      </c>
      <c r="K8" s="327" t="s">
        <v>565</v>
      </c>
      <c r="L8" s="245">
        <f>(DCF!BA4/DCF!AW4)^(1/5)-1</f>
        <v>0.10506449578940114</v>
      </c>
    </row>
    <row r="9" spans="1:16" x14ac:dyDescent="0.3">
      <c r="J9" s="6" t="s">
        <v>557</v>
      </c>
      <c r="K9" s="328" t="s">
        <v>541</v>
      </c>
      <c r="L9" s="253">
        <f>AVERAGE(L3:L8)</f>
        <v>0.11957547741869638</v>
      </c>
      <c r="N9" s="28" t="s">
        <v>566</v>
      </c>
      <c r="O9" s="97">
        <v>2020</v>
      </c>
      <c r="P9" s="245">
        <v>1.95E-2</v>
      </c>
    </row>
    <row r="10" spans="1:16" x14ac:dyDescent="0.3">
      <c r="J10" s="28" t="s">
        <v>558</v>
      </c>
      <c r="K10" s="327" t="str">
        <f t="shared" ref="K10:K15" si="0">K3</f>
        <v>Bharti Airtel</v>
      </c>
      <c r="L10" s="245">
        <f>AVERAGE(Table33[[#This Row],[2026]:[2030]])/AVERAGE(DCF!D4:H4)</f>
        <v>0.2223845934970716</v>
      </c>
      <c r="N10" s="28" t="s">
        <v>566</v>
      </c>
      <c r="O10" s="97">
        <v>2025</v>
      </c>
      <c r="P10" s="245">
        <v>7.8E-2</v>
      </c>
    </row>
    <row r="11" spans="1:16" x14ac:dyDescent="0.3">
      <c r="J11" s="28" t="s">
        <v>558</v>
      </c>
      <c r="K11" s="327" t="str">
        <f t="shared" si="0"/>
        <v>Indus Towers</v>
      </c>
      <c r="L11" s="245">
        <f>AVERAGE(DCF!M10:Q10)/AVERAGE(DCF!M4:Q4)</f>
        <v>0.18644675301968439</v>
      </c>
      <c r="N11" s="6" t="s">
        <v>566</v>
      </c>
      <c r="O11" s="326" t="s">
        <v>567</v>
      </c>
      <c r="P11" s="253">
        <f>P10-P9</f>
        <v>5.8499999999999996E-2</v>
      </c>
    </row>
    <row r="12" spans="1:16" x14ac:dyDescent="0.3">
      <c r="J12" s="28" t="s">
        <v>558</v>
      </c>
      <c r="K12" s="327" t="str">
        <f t="shared" si="0"/>
        <v>RailTel</v>
      </c>
      <c r="L12" s="245">
        <f>AVERAGE(DCF!V10:Z10)/AVERAGE(DCF!V4:Z4)</f>
        <v>7.9374901664366088E-2</v>
      </c>
      <c r="N12" s="6" t="s">
        <v>566</v>
      </c>
      <c r="O12" s="326" t="s">
        <v>568</v>
      </c>
      <c r="P12" s="329">
        <f>L23/P11</f>
        <v>83.834806004028593</v>
      </c>
    </row>
    <row r="13" spans="1:16" x14ac:dyDescent="0.3">
      <c r="J13" s="28" t="s">
        <v>558</v>
      </c>
      <c r="K13" s="327" t="str">
        <f t="shared" si="0"/>
        <v>Tata Comm</v>
      </c>
      <c r="L13" s="245">
        <f>AVERAGE(DCF!AE10:AI10)/AVERAGE(DCF!AE4:AI4)</f>
        <v>9.1996477107120403E-2</v>
      </c>
    </row>
    <row r="14" spans="1:16" x14ac:dyDescent="0.3">
      <c r="J14" s="28" t="s">
        <v>558</v>
      </c>
      <c r="K14" s="327" t="str">
        <f t="shared" si="0"/>
        <v>VI</v>
      </c>
      <c r="L14" s="245">
        <f>AVERAGE(DCF!AN10:AR10)/AVERAGE(DCF!AN4:AR4)</f>
        <v>0.23393166529885032</v>
      </c>
    </row>
    <row r="15" spans="1:16" x14ac:dyDescent="0.3">
      <c r="J15" s="28" t="s">
        <v>558</v>
      </c>
      <c r="K15" s="327" t="str">
        <f t="shared" si="0"/>
        <v>Jio</v>
      </c>
      <c r="L15" s="245">
        <f>AVERAGE(DCF!AW10:BA10)/AVERAGE(DCF!AW4:BA4)</f>
        <v>0.4549379204832984</v>
      </c>
    </row>
    <row r="16" spans="1:16" x14ac:dyDescent="0.3">
      <c r="J16" s="6" t="s">
        <v>558</v>
      </c>
      <c r="K16" s="328" t="s">
        <v>541</v>
      </c>
      <c r="L16" s="253">
        <f>AVERAGE(L10:L15)</f>
        <v>0.21151205184506519</v>
      </c>
    </row>
    <row r="17" spans="10:12" x14ac:dyDescent="0.3">
      <c r="J17" s="28" t="s">
        <v>559</v>
      </c>
      <c r="K17" s="327" t="str">
        <f t="shared" ref="K17:K22" si="1">K10</f>
        <v>Bharti Airtel</v>
      </c>
      <c r="L17" s="245">
        <f>('Income Statement'!G25-'Income Statement'!B25)/ABS('Income Statement'!B25)</f>
        <v>2.0386026457401596</v>
      </c>
    </row>
    <row r="18" spans="10:12" x14ac:dyDescent="0.3">
      <c r="J18" s="28" t="s">
        <v>559</v>
      </c>
      <c r="K18" s="327" t="str">
        <f t="shared" si="1"/>
        <v>Indus Towers</v>
      </c>
      <c r="L18" s="245">
        <f>('Income Statement'!O26-'Income Statement'!J26)/'Income Statement'!J26</f>
        <v>2.0107921302331224</v>
      </c>
    </row>
    <row r="19" spans="10:12" x14ac:dyDescent="0.3">
      <c r="J19" s="28" t="s">
        <v>559</v>
      </c>
      <c r="K19" s="327" t="str">
        <f t="shared" si="1"/>
        <v>RailTel</v>
      </c>
      <c r="L19" s="245">
        <f>('Income Statement'!W25-'Income Statement'!R25)/'Income Statement'!R25</f>
        <v>1.1252569646274937</v>
      </c>
    </row>
    <row r="20" spans="10:12" x14ac:dyDescent="0.3">
      <c r="J20" s="28" t="s">
        <v>559</v>
      </c>
      <c r="K20" s="327" t="str">
        <f t="shared" si="1"/>
        <v>Tata Comm</v>
      </c>
      <c r="L20" s="245">
        <f>('Income Statement'!AE23-'Income Statement'!Z23)/ABS('Income Statement'!Z23)</f>
        <v>20.164092891666094</v>
      </c>
    </row>
    <row r="21" spans="10:12" x14ac:dyDescent="0.3">
      <c r="J21" s="28" t="s">
        <v>559</v>
      </c>
      <c r="K21" s="327" t="str">
        <f t="shared" si="1"/>
        <v>VI</v>
      </c>
      <c r="L21" s="245">
        <f>('Income Statement'!AM32-'Income Statement'!AH32)/ABS('Income Statement'!AH32)</f>
        <v>0.62934347255817336</v>
      </c>
    </row>
    <row r="22" spans="10:12" x14ac:dyDescent="0.3">
      <c r="J22" s="28" t="s">
        <v>559</v>
      </c>
      <c r="K22" s="327" t="str">
        <f t="shared" si="1"/>
        <v>Jio</v>
      </c>
      <c r="L22" s="245">
        <f>('Income Statement'!AU23-'Income Statement'!AP23)/'Income Statement'!AP23</f>
        <v>3.4579288025889969</v>
      </c>
    </row>
    <row r="23" spans="10:12" x14ac:dyDescent="0.3">
      <c r="J23" s="6" t="s">
        <v>559</v>
      </c>
      <c r="K23" s="328" t="s">
        <v>541</v>
      </c>
      <c r="L23" s="253">
        <f>AVERAGE(L17:L22)</f>
        <v>4.9043361512356727</v>
      </c>
    </row>
  </sheetData>
  <conditionalFormatting sqref="B8:F8">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D4E14-C1F2-4391-8161-4B46E331CAD8}">
  <dimension ref="A1:AM50"/>
  <sheetViews>
    <sheetView workbookViewId="0">
      <selection activeCell="AJ10" sqref="AJ10"/>
    </sheetView>
  </sheetViews>
  <sheetFormatPr defaultRowHeight="14.4" x14ac:dyDescent="0.3"/>
  <cols>
    <col min="1" max="1" width="14.77734375" style="53" bestFit="1" customWidth="1"/>
    <col min="2" max="3" width="11" style="2" bestFit="1" customWidth="1"/>
    <col min="4" max="7" width="12.33203125" style="2" bestFit="1" customWidth="1"/>
    <col min="8" max="8" width="8.88671875" style="2"/>
    <col min="9" max="9" width="11.109375" style="2" customWidth="1"/>
    <col min="10" max="15" width="12.5546875" style="2" bestFit="1" customWidth="1"/>
    <col min="16" max="16" width="8.88671875" style="2"/>
    <col min="17" max="17" width="11.44140625" style="2" bestFit="1" customWidth="1"/>
    <col min="18" max="21" width="10" style="2" bestFit="1" customWidth="1"/>
    <col min="22" max="22" width="11.88671875" style="2" customWidth="1"/>
    <col min="23" max="23" width="10" style="2" bestFit="1" customWidth="1"/>
    <col min="24" max="24" width="8.88671875" style="2"/>
    <col min="25" max="25" width="11" style="2" bestFit="1" customWidth="1"/>
    <col min="26" max="28" width="11.5546875" style="2" bestFit="1" customWidth="1"/>
    <col min="29" max="29" width="11" style="2" bestFit="1" customWidth="1"/>
    <col min="30" max="30" width="12.33203125" style="2" customWidth="1"/>
    <col min="31" max="31" width="11" style="2" bestFit="1" customWidth="1"/>
    <col min="32" max="32" width="8.88671875" style="2"/>
    <col min="33" max="33" width="11.44140625" style="2" bestFit="1" customWidth="1"/>
    <col min="34" max="37" width="10.88671875" style="2" bestFit="1" customWidth="1"/>
    <col min="38" max="39" width="12.33203125" style="2" bestFit="1" customWidth="1"/>
    <col min="40" max="16384" width="8.88671875" style="2"/>
  </cols>
  <sheetData>
    <row r="1" spans="1:39" x14ac:dyDescent="0.3">
      <c r="A1" s="2"/>
    </row>
    <row r="2" spans="1:39" ht="34.799999999999997" customHeight="1" x14ac:dyDescent="0.3">
      <c r="A2" s="347" t="e" vm="1">
        <v>#VALUE!</v>
      </c>
      <c r="B2" s="347"/>
      <c r="C2" s="347"/>
      <c r="I2" s="347" t="e" vm="2">
        <v>#VALUE!</v>
      </c>
      <c r="J2" s="347"/>
      <c r="K2" s="347"/>
      <c r="Q2" s="348" t="e" vm="3">
        <v>#VALUE!</v>
      </c>
      <c r="R2" s="348"/>
      <c r="S2" s="348"/>
      <c r="Y2" s="347" t="e" vm="5">
        <v>#VALUE!</v>
      </c>
      <c r="Z2" s="347"/>
      <c r="AA2" s="347"/>
      <c r="AG2" s="347" t="e" vm="6">
        <v>#VALUE!</v>
      </c>
      <c r="AH2" s="347"/>
      <c r="AI2" s="347"/>
    </row>
    <row r="3" spans="1:39" s="53" customFormat="1" x14ac:dyDescent="0.3">
      <c r="A3" s="266" t="s">
        <v>547</v>
      </c>
      <c r="B3" s="270">
        <f>'Ratio Analysis'!H14</f>
        <v>2956.0501529176281</v>
      </c>
      <c r="C3" s="270">
        <v>3200</v>
      </c>
      <c r="D3" s="270">
        <v>3400</v>
      </c>
      <c r="E3" s="270">
        <v>3600</v>
      </c>
      <c r="F3" s="270">
        <v>3800</v>
      </c>
      <c r="G3" s="270">
        <v>4000</v>
      </c>
      <c r="I3" s="281" t="s">
        <v>550</v>
      </c>
      <c r="J3" s="281">
        <f>'Ratio Analysis'!Q14</f>
        <v>1171869.2307692308</v>
      </c>
      <c r="K3" s="281">
        <v>1300000</v>
      </c>
      <c r="L3" s="281">
        <v>1500000</v>
      </c>
      <c r="M3" s="281">
        <v>1700000</v>
      </c>
      <c r="N3" s="281">
        <v>1900000</v>
      </c>
      <c r="O3" s="281">
        <v>2100000</v>
      </c>
      <c r="Q3" s="294" t="s">
        <v>547</v>
      </c>
      <c r="R3" s="294">
        <f>'Ratio Analysis'!Z14</f>
        <v>61757.217391304352</v>
      </c>
      <c r="S3" s="294">
        <v>63000</v>
      </c>
      <c r="T3" s="294">
        <v>65000</v>
      </c>
      <c r="U3" s="294">
        <v>67000</v>
      </c>
      <c r="V3" s="294">
        <v>69000</v>
      </c>
      <c r="W3" s="294">
        <v>71000</v>
      </c>
      <c r="Y3" s="304" t="s">
        <v>547</v>
      </c>
      <c r="Z3" s="304">
        <f>'Ratio Analysis'!AR14</f>
        <v>2249.8435923309785</v>
      </c>
      <c r="AA3" s="304">
        <v>2500</v>
      </c>
      <c r="AB3" s="304">
        <v>2750</v>
      </c>
      <c r="AC3" s="304">
        <v>3000</v>
      </c>
      <c r="AD3" s="304">
        <v>3250</v>
      </c>
      <c r="AE3" s="304">
        <v>3500</v>
      </c>
      <c r="AG3" s="313" t="s">
        <v>547</v>
      </c>
      <c r="AH3" s="313">
        <f>'Ratio Analysis'!BA14</f>
        <v>2414.8726341852366</v>
      </c>
      <c r="AI3" s="313">
        <v>2600</v>
      </c>
      <c r="AJ3" s="313">
        <v>2800</v>
      </c>
      <c r="AK3" s="313">
        <v>3000</v>
      </c>
      <c r="AL3" s="313">
        <v>3200</v>
      </c>
      <c r="AM3" s="313">
        <v>3400</v>
      </c>
    </row>
    <row r="4" spans="1:39" x14ac:dyDescent="0.3">
      <c r="A4" s="271">
        <f>'Income Statement'!G31/10000000</f>
        <v>59.051400000000001</v>
      </c>
      <c r="B4" s="272">
        <f ca="1">B45</f>
        <v>465.43966938501029</v>
      </c>
      <c r="C4" s="272">
        <f t="shared" ref="C4:G4" ca="1" si="0">C45</f>
        <v>968.31398553989561</v>
      </c>
      <c r="D4" s="272">
        <f t="shared" ca="1" si="0"/>
        <v>1281.9371919916077</v>
      </c>
      <c r="E4" s="272">
        <f t="shared" ca="1" si="0"/>
        <v>1622.8319816130343</v>
      </c>
      <c r="F4" s="272">
        <f t="shared" ca="1" si="0"/>
        <v>2250.078394516459</v>
      </c>
      <c r="G4" s="272">
        <f t="shared" ca="1" si="0"/>
        <v>2931.8679737593111</v>
      </c>
      <c r="I4" s="282">
        <f>'Income Statement'!O32</f>
        <v>2.5999999999999999E-2</v>
      </c>
      <c r="J4" s="219">
        <f ca="1">J45</f>
        <v>245.35340038978467</v>
      </c>
      <c r="K4" s="219">
        <f t="shared" ref="K4:O4" ca="1" si="1">K45</f>
        <v>461.16164364501191</v>
      </c>
      <c r="L4" s="219">
        <f t="shared" ca="1" si="1"/>
        <v>648.36740642609675</v>
      </c>
      <c r="M4" s="219">
        <f t="shared" ca="1" si="1"/>
        <v>863.30735628586081</v>
      </c>
      <c r="N4" s="219">
        <f t="shared" ca="1" si="1"/>
        <v>1237.7188818480306</v>
      </c>
      <c r="O4" s="219">
        <f t="shared" ca="1" si="1"/>
        <v>1667.5987815675587</v>
      </c>
      <c r="Q4" s="282">
        <f>'Income Statement'!W32</f>
        <v>5.7500000000000002E-2</v>
      </c>
      <c r="R4" s="295">
        <f ca="1">R45</f>
        <v>163.83493156643306</v>
      </c>
      <c r="S4" s="295">
        <f t="shared" ref="S4:W4" ca="1" si="2">S45</f>
        <v>246.34485916415215</v>
      </c>
      <c r="T4" s="295">
        <f t="shared" ca="1" si="2"/>
        <v>335.80281589080903</v>
      </c>
      <c r="U4" s="295">
        <f t="shared" ca="1" si="2"/>
        <v>430.30065750347478</v>
      </c>
      <c r="V4" s="295">
        <f t="shared" ca="1" si="2"/>
        <v>529.83838400214927</v>
      </c>
      <c r="W4" s="295">
        <f t="shared" ca="1" si="2"/>
        <v>634.41599538683272</v>
      </c>
      <c r="Y4" s="34">
        <v>10</v>
      </c>
      <c r="Z4" s="33">
        <f ca="1">Z45</f>
        <v>-15.661658938052561</v>
      </c>
      <c r="AA4" s="33">
        <f t="shared" ref="AA4:AE4" ca="1" si="3">AA45</f>
        <v>-11.766634921339643</v>
      </c>
      <c r="AB4" s="33">
        <f t="shared" ca="1" si="3"/>
        <v>-9.0079472294422924</v>
      </c>
      <c r="AC4" s="33">
        <f t="shared" ca="1" si="3"/>
        <v>-5.9247080443805444</v>
      </c>
      <c r="AD4" s="33">
        <f t="shared" ca="1" si="3"/>
        <v>-0.40733266058584089</v>
      </c>
      <c r="AE4" s="33">
        <f t="shared" ca="1" si="3"/>
        <v>5.7591457095376555</v>
      </c>
      <c r="AG4" s="34">
        <f>'Income Statement'!AU29</f>
        <v>47.658000000000001</v>
      </c>
      <c r="AH4" s="219">
        <f ca="1">AH45</f>
        <v>54.810014442719158</v>
      </c>
      <c r="AI4" s="219">
        <f t="shared" ref="AI4:AM4" ca="1" si="4">AI45</f>
        <v>99.054734883181098</v>
      </c>
      <c r="AJ4" s="219">
        <f t="shared" ca="1" si="4"/>
        <v>128.84660422644689</v>
      </c>
      <c r="AK4" s="219">
        <f t="shared" ca="1" si="4"/>
        <v>161.61766050403932</v>
      </c>
      <c r="AL4" s="219">
        <f t="shared" ca="1" si="4"/>
        <v>221.2013991905709</v>
      </c>
      <c r="AM4" s="219">
        <f t="shared" ca="1" si="4"/>
        <v>286.74351174575571</v>
      </c>
    </row>
    <row r="5" spans="1:39" x14ac:dyDescent="0.3">
      <c r="A5" s="271">
        <v>61</v>
      </c>
      <c r="B5" s="272">
        <f t="shared" ref="B5:G9" ca="1" si="5">B46</f>
        <v>492.04169138341899</v>
      </c>
      <c r="C5" s="272">
        <f t="shared" ca="1" si="5"/>
        <v>1011.5100407442808</v>
      </c>
      <c r="D5" s="272">
        <f t="shared" ca="1" si="5"/>
        <v>1335.4823020887102</v>
      </c>
      <c r="E5" s="272">
        <f t="shared" ca="1" si="5"/>
        <v>1687.6260644196122</v>
      </c>
      <c r="F5" s="272">
        <f t="shared" ca="1" si="5"/>
        <v>2335.570587108471</v>
      </c>
      <c r="G5" s="272">
        <f t="shared" ca="1" si="5"/>
        <v>3039.8581117702747</v>
      </c>
      <c r="I5" s="282">
        <v>0.03</v>
      </c>
      <c r="J5" s="219">
        <f t="shared" ref="J5:O9" ca="1" si="6">J46</f>
        <v>295.35469343271052</v>
      </c>
      <c r="K5" s="219">
        <f t="shared" ca="1" si="6"/>
        <v>544.36420488104966</v>
      </c>
      <c r="L5" s="219">
        <f t="shared" ca="1" si="6"/>
        <v>760.37085424383974</v>
      </c>
      <c r="M5" s="219">
        <f t="shared" ca="1" si="6"/>
        <v>1008.3784886974137</v>
      </c>
      <c r="N5" s="219">
        <f t="shared" ca="1" si="6"/>
        <v>1440.391787422994</v>
      </c>
      <c r="O5" s="219">
        <f t="shared" ca="1" si="6"/>
        <v>1936.407056330142</v>
      </c>
      <c r="Q5" s="282">
        <v>6.2E-2</v>
      </c>
      <c r="R5" s="295">
        <f t="shared" ref="R5:W5" ca="1" si="7">R46</f>
        <v>176.01425069161385</v>
      </c>
      <c r="S5" s="295">
        <f t="shared" ca="1" si="7"/>
        <v>264.98147697089354</v>
      </c>
      <c r="T5" s="295">
        <f t="shared" ca="1" si="7"/>
        <v>361.44049118050617</v>
      </c>
      <c r="U5" s="295">
        <f t="shared" ca="1" si="7"/>
        <v>463.33381604981531</v>
      </c>
      <c r="V5" s="295">
        <f t="shared" ca="1" si="7"/>
        <v>570.6614515788209</v>
      </c>
      <c r="W5" s="295">
        <f t="shared" ca="1" si="7"/>
        <v>683.42339776752294</v>
      </c>
      <c r="Y5" s="34">
        <v>15</v>
      </c>
      <c r="Z5" s="33">
        <f t="shared" ref="Z5:AE5" ca="1" si="8">Z46</f>
        <v>-12.740898548943107</v>
      </c>
      <c r="AA5" s="33">
        <f t="shared" ca="1" si="8"/>
        <v>-6.8983625238737281</v>
      </c>
      <c r="AB5" s="33">
        <f t="shared" ca="1" si="8"/>
        <v>-2.7603309860277028</v>
      </c>
      <c r="AC5" s="33">
        <f t="shared" ca="1" si="8"/>
        <v>1.8645277915649203</v>
      </c>
      <c r="AD5" s="33">
        <f t="shared" ca="1" si="8"/>
        <v>10.140590867256977</v>
      </c>
      <c r="AE5" s="33">
        <f t="shared" ca="1" si="8"/>
        <v>19.390308422442217</v>
      </c>
      <c r="AG5" s="34">
        <v>50</v>
      </c>
      <c r="AH5" s="219">
        <f t="shared" ref="AH5:AM5" ca="1" si="9">AH46</f>
        <v>58.345451115176211</v>
      </c>
      <c r="AI5" s="219">
        <f t="shared" ca="1" si="9"/>
        <v>104.76443684733238</v>
      </c>
      <c r="AJ5" s="219">
        <f t="shared" ca="1" si="9"/>
        <v>136.02033233525233</v>
      </c>
      <c r="AK5" s="219">
        <f t="shared" ca="1" si="9"/>
        <v>170.40181737196431</v>
      </c>
      <c r="AL5" s="219">
        <f t="shared" ca="1" si="9"/>
        <v>232.91360834780428</v>
      </c>
      <c r="AM5" s="219">
        <f t="shared" ca="1" si="9"/>
        <v>301.67657842122827</v>
      </c>
    </row>
    <row r="6" spans="1:39" x14ac:dyDescent="0.3">
      <c r="A6" s="271">
        <v>63</v>
      </c>
      <c r="B6" s="272">
        <f t="shared" ca="1" si="5"/>
        <v>519.34541918636319</v>
      </c>
      <c r="C6" s="272">
        <f t="shared" ca="1" si="5"/>
        <v>1055.8455177065975</v>
      </c>
      <c r="D6" s="272">
        <f t="shared" ca="1" si="5"/>
        <v>1390.4398204065822</v>
      </c>
      <c r="E6" s="272">
        <f t="shared" ca="1" si="5"/>
        <v>1754.1292798630873</v>
      </c>
      <c r="F6" s="272">
        <f t="shared" ca="1" si="5"/>
        <v>2423.3178852630567</v>
      </c>
      <c r="G6" s="272">
        <f t="shared" ca="1" si="5"/>
        <v>3150.696804176067</v>
      </c>
      <c r="I6" s="282">
        <v>3.4000000000000002E-2</v>
      </c>
      <c r="J6" s="219">
        <f t="shared" ca="1" si="6"/>
        <v>345.35598647563626</v>
      </c>
      <c r="K6" s="219">
        <f t="shared" ca="1" si="6"/>
        <v>627.56676611708724</v>
      </c>
      <c r="L6" s="219">
        <f t="shared" ca="1" si="6"/>
        <v>872.37430206158285</v>
      </c>
      <c r="M6" s="219">
        <f t="shared" ca="1" si="6"/>
        <v>1153.4496211089668</v>
      </c>
      <c r="N6" s="219">
        <f t="shared" ca="1" si="6"/>
        <v>1643.0646929979578</v>
      </c>
      <c r="O6" s="219">
        <f t="shared" ca="1" si="6"/>
        <v>2205.2153310927251</v>
      </c>
      <c r="Q6" s="282">
        <v>6.6000000000000003E-2</v>
      </c>
      <c r="R6" s="295">
        <f t="shared" ref="R6:W6" ca="1" si="10">R47</f>
        <v>186.84031213621893</v>
      </c>
      <c r="S6" s="295">
        <f t="shared" ca="1" si="10"/>
        <v>281.54735946577472</v>
      </c>
      <c r="T6" s="295">
        <f t="shared" ca="1" si="10"/>
        <v>384.22953588245917</v>
      </c>
      <c r="U6" s="295">
        <f t="shared" ca="1" si="10"/>
        <v>492.6966236465625</v>
      </c>
      <c r="V6" s="295">
        <f t="shared" ca="1" si="10"/>
        <v>606.94862275808464</v>
      </c>
      <c r="W6" s="295">
        <f t="shared" ca="1" si="10"/>
        <v>726.98553321702548</v>
      </c>
      <c r="Y6" s="34">
        <v>19.82</v>
      </c>
      <c r="Z6" s="33">
        <f t="shared" ref="Z6:AE6" ca="1" si="11">Z47</f>
        <v>-9.9252855338415884</v>
      </c>
      <c r="AA6" s="33">
        <f t="shared" ca="1" si="11"/>
        <v>-2.2053479327165855</v>
      </c>
      <c r="AB6" s="33">
        <f t="shared" ca="1" si="11"/>
        <v>3.2623710726239699</v>
      </c>
      <c r="AC6" s="33">
        <f t="shared" ca="1" si="11"/>
        <v>9.3733511374163463</v>
      </c>
      <c r="AD6" s="33">
        <f t="shared" ca="1" si="11"/>
        <v>20.308789148097453</v>
      </c>
      <c r="AE6" s="33">
        <f t="shared" ca="1" si="11"/>
        <v>32.530749277682212</v>
      </c>
      <c r="AG6" s="34">
        <v>52</v>
      </c>
      <c r="AH6" s="219">
        <f t="shared" ref="AH6:AM6" ca="1" si="12">AH47</f>
        <v>61.364611382005492</v>
      </c>
      <c r="AI6" s="219">
        <f t="shared" ca="1" si="12"/>
        <v>109.64035654344788</v>
      </c>
      <c r="AJ6" s="219">
        <f t="shared" ca="1" si="12"/>
        <v>142.14648785088468</v>
      </c>
      <c r="AK6" s="219">
        <f t="shared" ca="1" si="12"/>
        <v>177.9032322890651</v>
      </c>
      <c r="AL6" s="219">
        <f t="shared" ca="1" si="12"/>
        <v>242.91549490393868</v>
      </c>
      <c r="AM6" s="219">
        <f t="shared" ca="1" si="12"/>
        <v>314.42898378029957</v>
      </c>
    </row>
    <row r="7" spans="1:39" x14ac:dyDescent="0.3">
      <c r="A7" s="271">
        <v>65</v>
      </c>
      <c r="B7" s="272">
        <f t="shared" ca="1" si="5"/>
        <v>546.6491469893075</v>
      </c>
      <c r="C7" s="272">
        <f t="shared" ca="1" si="5"/>
        <v>1100.1809946689143</v>
      </c>
      <c r="D7" s="272">
        <f t="shared" ca="1" si="5"/>
        <v>1445.3973387244539</v>
      </c>
      <c r="E7" s="272">
        <f t="shared" ca="1" si="5"/>
        <v>1820.6324953065625</v>
      </c>
      <c r="F7" s="272">
        <f t="shared" ca="1" si="5"/>
        <v>2511.0651834176419</v>
      </c>
      <c r="G7" s="272">
        <f t="shared" ca="1" si="5"/>
        <v>3261.5354965818588</v>
      </c>
      <c r="I7" s="282">
        <v>3.7999999999999999E-2</v>
      </c>
      <c r="J7" s="219">
        <f t="shared" ca="1" si="6"/>
        <v>395.35727951856205</v>
      </c>
      <c r="K7" s="219">
        <f t="shared" ca="1" si="6"/>
        <v>710.76932735312505</v>
      </c>
      <c r="L7" s="219">
        <f t="shared" ca="1" si="6"/>
        <v>984.37774987932585</v>
      </c>
      <c r="M7" s="219">
        <f t="shared" ca="1" si="6"/>
        <v>1298.5207535205197</v>
      </c>
      <c r="N7" s="219">
        <f t="shared" ca="1" si="6"/>
        <v>1845.7375985729213</v>
      </c>
      <c r="O7" s="219">
        <f t="shared" ca="1" si="6"/>
        <v>2474.0236058553087</v>
      </c>
      <c r="Q7" s="282">
        <v>7.0000000000000007E-2</v>
      </c>
      <c r="R7" s="295">
        <f t="shared" ref="R7:W7" ca="1" si="13">R48</f>
        <v>197.66637358082406</v>
      </c>
      <c r="S7" s="295">
        <f t="shared" ca="1" si="13"/>
        <v>298.11324196065601</v>
      </c>
      <c r="T7" s="295">
        <f t="shared" ca="1" si="13"/>
        <v>407.01858058441223</v>
      </c>
      <c r="U7" s="295">
        <f t="shared" ca="1" si="13"/>
        <v>522.05943124330963</v>
      </c>
      <c r="V7" s="295">
        <f t="shared" ca="1" si="13"/>
        <v>643.23579393734826</v>
      </c>
      <c r="W7" s="295">
        <f t="shared" ca="1" si="13"/>
        <v>770.54766866652812</v>
      </c>
      <c r="Y7" s="34">
        <v>25</v>
      </c>
      <c r="Z7" s="33">
        <f t="shared" ref="Z7:AE7" ca="1" si="14">Z48</f>
        <v>-6.8993777707241932</v>
      </c>
      <c r="AA7" s="33">
        <f t="shared" ca="1" si="14"/>
        <v>2.8381822710581042</v>
      </c>
      <c r="AB7" s="33">
        <f t="shared" ca="1" si="14"/>
        <v>9.7349015008014863</v>
      </c>
      <c r="AC7" s="33">
        <f t="shared" ca="1" si="14"/>
        <v>17.442999463455852</v>
      </c>
      <c r="AD7" s="33">
        <f t="shared" ca="1" si="14"/>
        <v>31.23643792294261</v>
      </c>
      <c r="AE7" s="33">
        <f t="shared" ca="1" si="14"/>
        <v>46.652633848251348</v>
      </c>
      <c r="AG7" s="34">
        <v>54</v>
      </c>
      <c r="AH7" s="219">
        <f t="shared" ref="AH7:AM7" ca="1" si="15">AH48</f>
        <v>64.383771648834767</v>
      </c>
      <c r="AI7" s="219">
        <f t="shared" ca="1" si="15"/>
        <v>114.5162762395634</v>
      </c>
      <c r="AJ7" s="219">
        <f t="shared" ca="1" si="15"/>
        <v>148.27264336651697</v>
      </c>
      <c r="AK7" s="219">
        <f t="shared" ca="1" si="15"/>
        <v>185.40464720616592</v>
      </c>
      <c r="AL7" s="219">
        <f t="shared" ca="1" si="15"/>
        <v>252.9173814600731</v>
      </c>
      <c r="AM7" s="219">
        <f t="shared" ca="1" si="15"/>
        <v>327.18138913937094</v>
      </c>
    </row>
    <row r="8" spans="1:39" x14ac:dyDescent="0.3">
      <c r="A8" s="271">
        <v>67</v>
      </c>
      <c r="B8" s="272">
        <f t="shared" ca="1" si="5"/>
        <v>573.95287479225192</v>
      </c>
      <c r="C8" s="272">
        <f t="shared" ca="1" si="5"/>
        <v>1144.5164716312311</v>
      </c>
      <c r="D8" s="272">
        <f t="shared" ca="1" si="5"/>
        <v>1500.3548570423259</v>
      </c>
      <c r="E8" s="272">
        <f t="shared" ca="1" si="5"/>
        <v>1887.1357107500378</v>
      </c>
      <c r="F8" s="272">
        <f t="shared" ca="1" si="5"/>
        <v>2598.8124815722272</v>
      </c>
      <c r="G8" s="272">
        <f t="shared" ca="1" si="5"/>
        <v>3372.374188987651</v>
      </c>
      <c r="I8" s="282">
        <v>4.2000000000000003E-2</v>
      </c>
      <c r="J8" s="219">
        <f t="shared" ca="1" si="6"/>
        <v>445.35857256148785</v>
      </c>
      <c r="K8" s="219">
        <f t="shared" ca="1" si="6"/>
        <v>793.97188858916275</v>
      </c>
      <c r="L8" s="219">
        <f t="shared" ca="1" si="6"/>
        <v>1096.381197697069</v>
      </c>
      <c r="M8" s="219">
        <f t="shared" ca="1" si="6"/>
        <v>1443.5918859320725</v>
      </c>
      <c r="N8" s="219">
        <f t="shared" ca="1" si="6"/>
        <v>2048.4105041478847</v>
      </c>
      <c r="O8" s="219">
        <f t="shared" ca="1" si="6"/>
        <v>2742.8318806178918</v>
      </c>
      <c r="Q8" s="282">
        <v>7.8E-2</v>
      </c>
      <c r="R8" s="295">
        <f t="shared" ref="R8:W8" ca="1" si="16">R49</f>
        <v>219.31849647003426</v>
      </c>
      <c r="S8" s="295">
        <f t="shared" ca="1" si="16"/>
        <v>331.24500695041849</v>
      </c>
      <c r="T8" s="295">
        <f t="shared" ca="1" si="16"/>
        <v>452.59666998831818</v>
      </c>
      <c r="U8" s="295">
        <f t="shared" ca="1" si="16"/>
        <v>580.7850464368039</v>
      </c>
      <c r="V8" s="295">
        <f t="shared" ca="1" si="16"/>
        <v>715.8101362958754</v>
      </c>
      <c r="W8" s="295">
        <f t="shared" ca="1" si="16"/>
        <v>857.67193956553297</v>
      </c>
      <c r="Y8" s="34">
        <v>30</v>
      </c>
      <c r="Z8" s="33">
        <f t="shared" ref="Z8:AE8" ca="1" si="17">Z49</f>
        <v>-3.9786173816147388</v>
      </c>
      <c r="AA8" s="33">
        <f t="shared" ca="1" si="17"/>
        <v>7.7064546685240183</v>
      </c>
      <c r="AB8" s="33">
        <f t="shared" ca="1" si="17"/>
        <v>15.98251774421607</v>
      </c>
      <c r="AC8" s="33">
        <f t="shared" ca="1" si="17"/>
        <v>25.232235299401317</v>
      </c>
      <c r="AD8" s="33">
        <f t="shared" ca="1" si="17"/>
        <v>41.784361450785433</v>
      </c>
      <c r="AE8" s="33">
        <f t="shared" ca="1" si="17"/>
        <v>60.28379656115591</v>
      </c>
      <c r="AG8" s="34">
        <v>56</v>
      </c>
      <c r="AH8" s="219">
        <f t="shared" ref="AH8:AM8" ca="1" si="18">AH49</f>
        <v>67.402931915664027</v>
      </c>
      <c r="AI8" s="219">
        <f t="shared" ca="1" si="18"/>
        <v>119.39219593567893</v>
      </c>
      <c r="AJ8" s="219">
        <f t="shared" ca="1" si="18"/>
        <v>154.39879888214929</v>
      </c>
      <c r="AK8" s="219">
        <f t="shared" ca="1" si="18"/>
        <v>192.90606212326671</v>
      </c>
      <c r="AL8" s="219">
        <f t="shared" ca="1" si="18"/>
        <v>262.91926801620747</v>
      </c>
      <c r="AM8" s="219">
        <f t="shared" ca="1" si="18"/>
        <v>339.9337944984423</v>
      </c>
    </row>
    <row r="9" spans="1:39" x14ac:dyDescent="0.3">
      <c r="A9" s="271">
        <v>69</v>
      </c>
      <c r="B9" s="272">
        <f t="shared" ca="1" si="5"/>
        <v>601.256602595196</v>
      </c>
      <c r="C9" s="272">
        <f t="shared" ca="1" si="5"/>
        <v>1188.8519485935481</v>
      </c>
      <c r="D9" s="272">
        <f t="shared" ca="1" si="5"/>
        <v>1555.3123753601978</v>
      </c>
      <c r="E9" s="272">
        <f t="shared" ca="1" si="5"/>
        <v>1953.6389261935128</v>
      </c>
      <c r="F9" s="272">
        <f t="shared" ca="1" si="5"/>
        <v>2686.5597797268124</v>
      </c>
      <c r="G9" s="272">
        <f t="shared" ca="1" si="5"/>
        <v>3483.2128813934428</v>
      </c>
      <c r="I9" s="282">
        <v>4.5999999999999999E-2</v>
      </c>
      <c r="J9" s="219">
        <f t="shared" ca="1" si="6"/>
        <v>495.35986560441376</v>
      </c>
      <c r="K9" s="219">
        <f t="shared" ca="1" si="6"/>
        <v>877.17444982520044</v>
      </c>
      <c r="L9" s="219">
        <f t="shared" ca="1" si="6"/>
        <v>1208.3846455148121</v>
      </c>
      <c r="M9" s="219">
        <f t="shared" ca="1" si="6"/>
        <v>1588.6630183436255</v>
      </c>
      <c r="N9" s="219">
        <f t="shared" ca="1" si="6"/>
        <v>2251.0834097228485</v>
      </c>
      <c r="O9" s="219">
        <f t="shared" ca="1" si="6"/>
        <v>3011.6401553804749</v>
      </c>
      <c r="Q9" s="282">
        <v>8.2000000000000003E-2</v>
      </c>
      <c r="R9" s="295">
        <f t="shared" ref="R9:W9" ca="1" si="19">R50</f>
        <v>230.14455791463936</v>
      </c>
      <c r="S9" s="295">
        <f t="shared" ca="1" si="19"/>
        <v>347.81088944529967</v>
      </c>
      <c r="T9" s="295">
        <f t="shared" ca="1" si="19"/>
        <v>475.38571469027124</v>
      </c>
      <c r="U9" s="295">
        <f t="shared" ca="1" si="19"/>
        <v>610.14785403355108</v>
      </c>
      <c r="V9" s="295">
        <f t="shared" ca="1" si="19"/>
        <v>752.09730747513902</v>
      </c>
      <c r="W9" s="295">
        <f t="shared" ca="1" si="19"/>
        <v>901.23407501503539</v>
      </c>
      <c r="Y9" s="34">
        <v>35</v>
      </c>
      <c r="Z9" s="33">
        <f t="shared" ref="Z9:AE9" ca="1" si="20">Z50</f>
        <v>-1.0578569925052792</v>
      </c>
      <c r="AA9" s="33">
        <f t="shared" ca="1" si="20"/>
        <v>12.574727065989936</v>
      </c>
      <c r="AB9" s="33">
        <f t="shared" ca="1" si="20"/>
        <v>22.230133987630669</v>
      </c>
      <c r="AC9" s="33">
        <f t="shared" ca="1" si="20"/>
        <v>33.021471135346786</v>
      </c>
      <c r="AD9" s="33">
        <f t="shared" ca="1" si="20"/>
        <v>52.332284978628252</v>
      </c>
      <c r="AE9" s="33">
        <f t="shared" ca="1" si="20"/>
        <v>73.914959274060479</v>
      </c>
      <c r="AG9" s="34">
        <v>58</v>
      </c>
      <c r="AH9" s="219">
        <f t="shared" ref="AH9:AM9" ca="1" si="21">AH50</f>
        <v>70.422092182493316</v>
      </c>
      <c r="AI9" s="219">
        <f t="shared" ca="1" si="21"/>
        <v>124.26811563179443</v>
      </c>
      <c r="AJ9" s="219">
        <f t="shared" ca="1" si="21"/>
        <v>160.52495439778161</v>
      </c>
      <c r="AK9" s="219">
        <f t="shared" ca="1" si="21"/>
        <v>200.40747704036752</v>
      </c>
      <c r="AL9" s="219">
        <f t="shared" ca="1" si="21"/>
        <v>272.92115457234183</v>
      </c>
      <c r="AM9" s="219">
        <f t="shared" ca="1" si="21"/>
        <v>352.6861998575136</v>
      </c>
    </row>
    <row r="11" spans="1:39" s="384" customFormat="1" ht="29.4" customHeight="1" x14ac:dyDescent="0.3">
      <c r="A11" s="384" t="s">
        <v>498</v>
      </c>
    </row>
    <row r="12" spans="1:39" ht="28.8" x14ac:dyDescent="0.3">
      <c r="A12" s="273" t="s">
        <v>548</v>
      </c>
      <c r="B12" s="274">
        <f>B3</f>
        <v>2956.0501529176281</v>
      </c>
      <c r="C12" s="274">
        <f t="shared" ref="C12:G12" si="22">C3</f>
        <v>3200</v>
      </c>
      <c r="D12" s="274">
        <f t="shared" si="22"/>
        <v>3400</v>
      </c>
      <c r="E12" s="274">
        <f t="shared" si="22"/>
        <v>3600</v>
      </c>
      <c r="F12" s="274">
        <f t="shared" si="22"/>
        <v>3800</v>
      </c>
      <c r="G12" s="274">
        <f t="shared" si="22"/>
        <v>4000</v>
      </c>
      <c r="I12" s="283" t="s">
        <v>552</v>
      </c>
      <c r="J12" s="284">
        <f>J3</f>
        <v>1171869.2307692308</v>
      </c>
      <c r="K12" s="284">
        <f t="shared" ref="K12:O12" si="23">K3</f>
        <v>1300000</v>
      </c>
      <c r="L12" s="284">
        <f t="shared" si="23"/>
        <v>1500000</v>
      </c>
      <c r="M12" s="284">
        <f t="shared" si="23"/>
        <v>1700000</v>
      </c>
      <c r="N12" s="284">
        <f t="shared" si="23"/>
        <v>1900000</v>
      </c>
      <c r="O12" s="284">
        <f t="shared" si="23"/>
        <v>2100000</v>
      </c>
      <c r="Q12" s="297" t="s">
        <v>548</v>
      </c>
      <c r="R12" s="298">
        <f>R3</f>
        <v>61757.217391304352</v>
      </c>
      <c r="S12" s="298">
        <f t="shared" ref="S12:W12" si="24">S3</f>
        <v>63000</v>
      </c>
      <c r="T12" s="298">
        <f t="shared" si="24"/>
        <v>65000</v>
      </c>
      <c r="U12" s="298">
        <f t="shared" si="24"/>
        <v>67000</v>
      </c>
      <c r="V12" s="298">
        <f t="shared" si="24"/>
        <v>69000</v>
      </c>
      <c r="W12" s="298">
        <f t="shared" si="24"/>
        <v>71000</v>
      </c>
      <c r="Y12" s="305" t="s">
        <v>548</v>
      </c>
      <c r="Z12" s="306">
        <f>Z3</f>
        <v>2249.8435923309785</v>
      </c>
      <c r="AA12" s="306">
        <f t="shared" ref="AA12:AE12" si="25">AA3</f>
        <v>2500</v>
      </c>
      <c r="AB12" s="306">
        <f t="shared" si="25"/>
        <v>2750</v>
      </c>
      <c r="AC12" s="306">
        <f t="shared" si="25"/>
        <v>3000</v>
      </c>
      <c r="AD12" s="306">
        <f t="shared" si="25"/>
        <v>3250</v>
      </c>
      <c r="AE12" s="306">
        <f t="shared" si="25"/>
        <v>3500</v>
      </c>
      <c r="AG12" s="314" t="s">
        <v>548</v>
      </c>
      <c r="AH12" s="315">
        <f>AH3</f>
        <v>2414.8726341852366</v>
      </c>
      <c r="AI12" s="315">
        <f t="shared" ref="AI12:AM12" si="26">AI3</f>
        <v>2600</v>
      </c>
      <c r="AJ12" s="315">
        <f t="shared" si="26"/>
        <v>2800</v>
      </c>
      <c r="AK12" s="315">
        <f t="shared" si="26"/>
        <v>3000</v>
      </c>
      <c r="AL12" s="315">
        <f t="shared" si="26"/>
        <v>3200</v>
      </c>
      <c r="AM12" s="315">
        <f t="shared" si="26"/>
        <v>3400</v>
      </c>
    </row>
    <row r="13" spans="1:39" x14ac:dyDescent="0.3">
      <c r="A13" s="57">
        <f>A4</f>
        <v>59.051400000000001</v>
      </c>
      <c r="B13" s="33">
        <f t="shared" ref="B13:G13" si="27">$A$4*B3</f>
        <v>174558.90000000002</v>
      </c>
      <c r="C13" s="33">
        <f t="shared" si="27"/>
        <v>188964.48000000001</v>
      </c>
      <c r="D13" s="33">
        <f t="shared" si="27"/>
        <v>200774.76</v>
      </c>
      <c r="E13" s="33">
        <f t="shared" si="27"/>
        <v>212585.04</v>
      </c>
      <c r="F13" s="33">
        <f t="shared" si="27"/>
        <v>224395.32</v>
      </c>
      <c r="G13" s="33">
        <f t="shared" si="27"/>
        <v>236205.6</v>
      </c>
      <c r="I13" s="285">
        <f>I4</f>
        <v>2.5999999999999999E-2</v>
      </c>
      <c r="J13" s="33">
        <f>$I$13*J12</f>
        <v>30468.6</v>
      </c>
      <c r="K13" s="33">
        <f t="shared" ref="K13:O13" si="28">$I$13*K12</f>
        <v>33800</v>
      </c>
      <c r="L13" s="33">
        <f t="shared" si="28"/>
        <v>39000</v>
      </c>
      <c r="M13" s="33">
        <f t="shared" si="28"/>
        <v>44200</v>
      </c>
      <c r="N13" s="33">
        <f t="shared" si="28"/>
        <v>49400</v>
      </c>
      <c r="O13" s="33">
        <f t="shared" si="28"/>
        <v>54600</v>
      </c>
      <c r="Q13" s="285">
        <f>Q4</f>
        <v>5.7500000000000002E-2</v>
      </c>
      <c r="R13" s="33">
        <f>R12*$Q$13</f>
        <v>3551.0400000000004</v>
      </c>
      <c r="S13" s="33">
        <f t="shared" ref="S13:W13" si="29">S12*$Q$13</f>
        <v>3622.5</v>
      </c>
      <c r="T13" s="33">
        <f t="shared" si="29"/>
        <v>3737.5</v>
      </c>
      <c r="U13" s="33">
        <f t="shared" si="29"/>
        <v>3852.5</v>
      </c>
      <c r="V13" s="33">
        <f t="shared" si="29"/>
        <v>3967.5</v>
      </c>
      <c r="W13" s="33">
        <f t="shared" si="29"/>
        <v>4082.5</v>
      </c>
      <c r="Y13" s="219">
        <f>Y4</f>
        <v>10</v>
      </c>
      <c r="Z13" s="33">
        <f>$Y$13*Z12</f>
        <v>22498.435923309786</v>
      </c>
      <c r="AA13" s="33">
        <f t="shared" ref="AA13:AE13" si="30">$Y$13*AA12</f>
        <v>25000</v>
      </c>
      <c r="AB13" s="33">
        <f t="shared" si="30"/>
        <v>27500</v>
      </c>
      <c r="AC13" s="33">
        <f t="shared" si="30"/>
        <v>30000</v>
      </c>
      <c r="AD13" s="33">
        <f t="shared" si="30"/>
        <v>32500</v>
      </c>
      <c r="AE13" s="33">
        <f t="shared" si="30"/>
        <v>35000</v>
      </c>
      <c r="AG13" s="219">
        <f>AG4</f>
        <v>47.658000000000001</v>
      </c>
      <c r="AH13" s="33">
        <f>AH12*$AG$13</f>
        <v>115088.00000000001</v>
      </c>
      <c r="AI13" s="33">
        <f t="shared" ref="AI13:AM13" si="31">AI12*$AG$13</f>
        <v>123910.8</v>
      </c>
      <c r="AJ13" s="33">
        <f t="shared" si="31"/>
        <v>133442.4</v>
      </c>
      <c r="AK13" s="33">
        <f t="shared" si="31"/>
        <v>142974</v>
      </c>
      <c r="AL13" s="33">
        <f t="shared" si="31"/>
        <v>152505.60000000001</v>
      </c>
      <c r="AM13" s="33">
        <f t="shared" si="31"/>
        <v>162037.20000000001</v>
      </c>
    </row>
    <row r="14" spans="1:39" x14ac:dyDescent="0.3">
      <c r="A14" s="57">
        <f t="shared" ref="A14:A18" si="32">A5</f>
        <v>61</v>
      </c>
      <c r="B14" s="33">
        <f t="shared" ref="B14:G14" si="33">$A$5*B3</f>
        <v>180319.05932797532</v>
      </c>
      <c r="C14" s="33">
        <f t="shared" si="33"/>
        <v>195200</v>
      </c>
      <c r="D14" s="33">
        <f t="shared" si="33"/>
        <v>207400</v>
      </c>
      <c r="E14" s="33">
        <f t="shared" si="33"/>
        <v>219600</v>
      </c>
      <c r="F14" s="33">
        <f t="shared" si="33"/>
        <v>231800</v>
      </c>
      <c r="G14" s="33">
        <f t="shared" si="33"/>
        <v>244000</v>
      </c>
      <c r="I14" s="285">
        <f t="shared" ref="I14:I18" si="34">I5</f>
        <v>0.03</v>
      </c>
      <c r="J14" s="33">
        <f>$I$14*J12</f>
        <v>35156.076923076922</v>
      </c>
      <c r="K14" s="33">
        <f t="shared" ref="K14:O14" si="35">$I$14*K12</f>
        <v>39000</v>
      </c>
      <c r="L14" s="33">
        <f t="shared" si="35"/>
        <v>45000</v>
      </c>
      <c r="M14" s="33">
        <f t="shared" si="35"/>
        <v>51000</v>
      </c>
      <c r="N14" s="33">
        <f t="shared" si="35"/>
        <v>57000</v>
      </c>
      <c r="O14" s="33">
        <f t="shared" si="35"/>
        <v>63000</v>
      </c>
      <c r="Q14" s="285">
        <f t="shared" ref="Q14:Q18" si="36">Q5</f>
        <v>6.2E-2</v>
      </c>
      <c r="R14" s="33">
        <f>R12*$Q$14</f>
        <v>3828.94747826087</v>
      </c>
      <c r="S14" s="33">
        <f t="shared" ref="S14:W14" si="37">S12*$Q$14</f>
        <v>3906</v>
      </c>
      <c r="T14" s="33">
        <f t="shared" si="37"/>
        <v>4030</v>
      </c>
      <c r="U14" s="33">
        <f t="shared" si="37"/>
        <v>4154</v>
      </c>
      <c r="V14" s="33">
        <f t="shared" si="37"/>
        <v>4278</v>
      </c>
      <c r="W14" s="33">
        <f t="shared" si="37"/>
        <v>4402</v>
      </c>
      <c r="Y14" s="219">
        <f t="shared" ref="Y14:Y18" si="38">Y5</f>
        <v>15</v>
      </c>
      <c r="Z14" s="33">
        <f>Z12*$Y$14</f>
        <v>33747.653884964675</v>
      </c>
      <c r="AA14" s="33">
        <f t="shared" ref="AA14:AE14" si="39">AA12*$Y$14</f>
        <v>37500</v>
      </c>
      <c r="AB14" s="33">
        <f t="shared" si="39"/>
        <v>41250</v>
      </c>
      <c r="AC14" s="33">
        <f t="shared" si="39"/>
        <v>45000</v>
      </c>
      <c r="AD14" s="33">
        <f t="shared" si="39"/>
        <v>48750</v>
      </c>
      <c r="AE14" s="33">
        <f t="shared" si="39"/>
        <v>52500</v>
      </c>
      <c r="AG14" s="219">
        <f t="shared" ref="AG14:AG18" si="40">AG5</f>
        <v>50</v>
      </c>
      <c r="AH14" s="33">
        <f>AH12*$AG$14</f>
        <v>120743.63170926183</v>
      </c>
      <c r="AI14" s="33">
        <f t="shared" ref="AI14:AM14" si="41">AI12*$AG$14</f>
        <v>130000</v>
      </c>
      <c r="AJ14" s="33">
        <f t="shared" si="41"/>
        <v>140000</v>
      </c>
      <c r="AK14" s="33">
        <f t="shared" si="41"/>
        <v>150000</v>
      </c>
      <c r="AL14" s="33">
        <f t="shared" si="41"/>
        <v>160000</v>
      </c>
      <c r="AM14" s="33">
        <f t="shared" si="41"/>
        <v>170000</v>
      </c>
    </row>
    <row r="15" spans="1:39" x14ac:dyDescent="0.3">
      <c r="A15" s="57">
        <f t="shared" si="32"/>
        <v>63</v>
      </c>
      <c r="B15" s="33">
        <f t="shared" ref="B15:G15" si="42">$A$6*B3</f>
        <v>186231.15963381057</v>
      </c>
      <c r="C15" s="33">
        <f t="shared" si="42"/>
        <v>201600</v>
      </c>
      <c r="D15" s="33">
        <f t="shared" si="42"/>
        <v>214200</v>
      </c>
      <c r="E15" s="33">
        <f t="shared" si="42"/>
        <v>226800</v>
      </c>
      <c r="F15" s="33">
        <f t="shared" si="42"/>
        <v>239400</v>
      </c>
      <c r="G15" s="33">
        <f t="shared" si="42"/>
        <v>252000</v>
      </c>
      <c r="I15" s="285">
        <f t="shared" si="34"/>
        <v>3.4000000000000002E-2</v>
      </c>
      <c r="J15" s="33">
        <f>$I$15*J12</f>
        <v>39843.553846153845</v>
      </c>
      <c r="K15" s="33">
        <f t="shared" ref="K15:O15" si="43">$I$15*K12</f>
        <v>44200</v>
      </c>
      <c r="L15" s="33">
        <f t="shared" si="43"/>
        <v>51000.000000000007</v>
      </c>
      <c r="M15" s="33">
        <f t="shared" si="43"/>
        <v>57800.000000000007</v>
      </c>
      <c r="N15" s="33">
        <f t="shared" si="43"/>
        <v>64600.000000000007</v>
      </c>
      <c r="O15" s="33">
        <f t="shared" si="43"/>
        <v>71400</v>
      </c>
      <c r="Q15" s="285">
        <f t="shared" si="36"/>
        <v>6.6000000000000003E-2</v>
      </c>
      <c r="R15" s="33">
        <f>R12*$Q$15</f>
        <v>4075.9763478260875</v>
      </c>
      <c r="S15" s="33">
        <f t="shared" ref="S15:W15" si="44">S12*$Q$15</f>
        <v>4158</v>
      </c>
      <c r="T15" s="33">
        <f t="shared" si="44"/>
        <v>4290</v>
      </c>
      <c r="U15" s="33">
        <f t="shared" si="44"/>
        <v>4422</v>
      </c>
      <c r="V15" s="33">
        <f t="shared" si="44"/>
        <v>4554</v>
      </c>
      <c r="W15" s="33">
        <f t="shared" si="44"/>
        <v>4686</v>
      </c>
      <c r="Y15" s="219">
        <f t="shared" si="38"/>
        <v>19.82</v>
      </c>
      <c r="Z15" s="33">
        <f>Z12*$Y$15</f>
        <v>44591.899999999994</v>
      </c>
      <c r="AA15" s="33">
        <f t="shared" ref="AA15:AE15" si="45">AA12*$Y$15</f>
        <v>49550</v>
      </c>
      <c r="AB15" s="33">
        <f t="shared" si="45"/>
        <v>54505</v>
      </c>
      <c r="AC15" s="33">
        <f t="shared" si="45"/>
        <v>59460</v>
      </c>
      <c r="AD15" s="33">
        <f t="shared" si="45"/>
        <v>64415</v>
      </c>
      <c r="AE15" s="33">
        <f t="shared" si="45"/>
        <v>69370</v>
      </c>
      <c r="AG15" s="219">
        <f t="shared" si="40"/>
        <v>52</v>
      </c>
      <c r="AH15" s="33">
        <f>AH12*$AG$15</f>
        <v>125573.3769776323</v>
      </c>
      <c r="AI15" s="33">
        <f t="shared" ref="AI15:AM15" si="46">AI12*$AG$15</f>
        <v>135200</v>
      </c>
      <c r="AJ15" s="33">
        <f t="shared" si="46"/>
        <v>145600</v>
      </c>
      <c r="AK15" s="33">
        <f t="shared" si="46"/>
        <v>156000</v>
      </c>
      <c r="AL15" s="33">
        <f t="shared" si="46"/>
        <v>166400</v>
      </c>
      <c r="AM15" s="33">
        <f t="shared" si="46"/>
        <v>176800</v>
      </c>
    </row>
    <row r="16" spans="1:39" x14ac:dyDescent="0.3">
      <c r="A16" s="57">
        <f t="shared" si="32"/>
        <v>65</v>
      </c>
      <c r="B16" s="33">
        <f t="shared" ref="B16:G16" si="47">$A$7*B3</f>
        <v>192143.25993964582</v>
      </c>
      <c r="C16" s="33">
        <f t="shared" si="47"/>
        <v>208000</v>
      </c>
      <c r="D16" s="33">
        <f t="shared" si="47"/>
        <v>221000</v>
      </c>
      <c r="E16" s="33">
        <f t="shared" si="47"/>
        <v>234000</v>
      </c>
      <c r="F16" s="33">
        <f t="shared" si="47"/>
        <v>247000</v>
      </c>
      <c r="G16" s="33">
        <f t="shared" si="47"/>
        <v>260000</v>
      </c>
      <c r="I16" s="285">
        <f t="shared" si="34"/>
        <v>3.7999999999999999E-2</v>
      </c>
      <c r="J16" s="33">
        <f>$I$16*J12</f>
        <v>44531.030769230769</v>
      </c>
      <c r="K16" s="33">
        <f t="shared" ref="K16:O16" si="48">$I$16*K12</f>
        <v>49400</v>
      </c>
      <c r="L16" s="33">
        <f t="shared" si="48"/>
        <v>57000</v>
      </c>
      <c r="M16" s="33">
        <f t="shared" si="48"/>
        <v>64600</v>
      </c>
      <c r="N16" s="33">
        <f t="shared" si="48"/>
        <v>72200</v>
      </c>
      <c r="O16" s="33">
        <f t="shared" si="48"/>
        <v>79800</v>
      </c>
      <c r="Q16" s="285">
        <f t="shared" si="36"/>
        <v>7.0000000000000007E-2</v>
      </c>
      <c r="R16" s="33">
        <f>R12*$Q$16</f>
        <v>4323.0052173913055</v>
      </c>
      <c r="S16" s="33">
        <f t="shared" ref="S16:W16" si="49">S12*$Q$16</f>
        <v>4410</v>
      </c>
      <c r="T16" s="33">
        <f t="shared" si="49"/>
        <v>4550</v>
      </c>
      <c r="U16" s="33">
        <f t="shared" si="49"/>
        <v>4690</v>
      </c>
      <c r="V16" s="33">
        <f t="shared" si="49"/>
        <v>4830.0000000000009</v>
      </c>
      <c r="W16" s="33">
        <f t="shared" si="49"/>
        <v>4970.0000000000009</v>
      </c>
      <c r="Y16" s="219">
        <f t="shared" si="38"/>
        <v>25</v>
      </c>
      <c r="Z16" s="33">
        <f>Z12*$Y$16</f>
        <v>56246.089808274461</v>
      </c>
      <c r="AA16" s="33">
        <f t="shared" ref="AA16:AE16" si="50">AA12*$Y$16</f>
        <v>62500</v>
      </c>
      <c r="AB16" s="33">
        <f t="shared" si="50"/>
        <v>68750</v>
      </c>
      <c r="AC16" s="33">
        <f t="shared" si="50"/>
        <v>75000</v>
      </c>
      <c r="AD16" s="33">
        <f t="shared" si="50"/>
        <v>81250</v>
      </c>
      <c r="AE16" s="33">
        <f t="shared" si="50"/>
        <v>87500</v>
      </c>
      <c r="AG16" s="219">
        <f t="shared" si="40"/>
        <v>54</v>
      </c>
      <c r="AH16" s="33">
        <f>AH12*$AG$16</f>
        <v>130403.12224600278</v>
      </c>
      <c r="AI16" s="33">
        <f t="shared" ref="AI16:AM16" si="51">AI12*$AG$16</f>
        <v>140400</v>
      </c>
      <c r="AJ16" s="33">
        <f t="shared" si="51"/>
        <v>151200</v>
      </c>
      <c r="AK16" s="33">
        <f t="shared" si="51"/>
        <v>162000</v>
      </c>
      <c r="AL16" s="33">
        <f t="shared" si="51"/>
        <v>172800</v>
      </c>
      <c r="AM16" s="33">
        <f t="shared" si="51"/>
        <v>183600</v>
      </c>
    </row>
    <row r="17" spans="1:39" x14ac:dyDescent="0.3">
      <c r="A17" s="57">
        <f t="shared" si="32"/>
        <v>67</v>
      </c>
      <c r="B17" s="33">
        <f t="shared" ref="B17:G17" si="52">$A$8*B3</f>
        <v>198055.36024548108</v>
      </c>
      <c r="C17" s="33">
        <f t="shared" si="52"/>
        <v>214400</v>
      </c>
      <c r="D17" s="33">
        <f t="shared" si="52"/>
        <v>227800</v>
      </c>
      <c r="E17" s="33">
        <f t="shared" si="52"/>
        <v>241200</v>
      </c>
      <c r="F17" s="33">
        <f t="shared" si="52"/>
        <v>254600</v>
      </c>
      <c r="G17" s="33">
        <f t="shared" si="52"/>
        <v>268000</v>
      </c>
      <c r="I17" s="285">
        <f t="shared" si="34"/>
        <v>4.2000000000000003E-2</v>
      </c>
      <c r="J17" s="33">
        <f>$I$17*J12</f>
        <v>49218.507692307692</v>
      </c>
      <c r="K17" s="33">
        <f t="shared" ref="K17:O17" si="53">$I$17*K12</f>
        <v>54600</v>
      </c>
      <c r="L17" s="33">
        <f t="shared" si="53"/>
        <v>63000.000000000007</v>
      </c>
      <c r="M17" s="33">
        <f t="shared" si="53"/>
        <v>71400</v>
      </c>
      <c r="N17" s="33">
        <f t="shared" si="53"/>
        <v>79800</v>
      </c>
      <c r="O17" s="33">
        <f t="shared" si="53"/>
        <v>88200</v>
      </c>
      <c r="Q17" s="285">
        <f t="shared" si="36"/>
        <v>7.8E-2</v>
      </c>
      <c r="R17" s="33">
        <f>R12*$Q$17</f>
        <v>4817.0629565217396</v>
      </c>
      <c r="S17" s="33">
        <f t="shared" ref="S17:W17" si="54">S12*$Q$17</f>
        <v>4914</v>
      </c>
      <c r="T17" s="33">
        <f t="shared" si="54"/>
        <v>5070</v>
      </c>
      <c r="U17" s="33">
        <f t="shared" si="54"/>
        <v>5226</v>
      </c>
      <c r="V17" s="33">
        <f t="shared" si="54"/>
        <v>5382</v>
      </c>
      <c r="W17" s="33">
        <f t="shared" si="54"/>
        <v>5538</v>
      </c>
      <c r="Y17" s="219">
        <f t="shared" si="38"/>
        <v>30</v>
      </c>
      <c r="Z17" s="33">
        <f>Z12*$Y$17</f>
        <v>67495.30776992935</v>
      </c>
      <c r="AA17" s="33">
        <f t="shared" ref="AA17:AE17" si="55">AA12*$Y$17</f>
        <v>75000</v>
      </c>
      <c r="AB17" s="33">
        <f t="shared" si="55"/>
        <v>82500</v>
      </c>
      <c r="AC17" s="33">
        <f t="shared" si="55"/>
        <v>90000</v>
      </c>
      <c r="AD17" s="33">
        <f t="shared" si="55"/>
        <v>97500</v>
      </c>
      <c r="AE17" s="33">
        <f t="shared" si="55"/>
        <v>105000</v>
      </c>
      <c r="AG17" s="219">
        <f t="shared" si="40"/>
        <v>56</v>
      </c>
      <c r="AH17" s="33">
        <f>AH12*$AG$17</f>
        <v>135232.86751437324</v>
      </c>
      <c r="AI17" s="33">
        <f t="shared" ref="AI17:AM17" si="56">AI12*$AG$17</f>
        <v>145600</v>
      </c>
      <c r="AJ17" s="33">
        <f t="shared" si="56"/>
        <v>156800</v>
      </c>
      <c r="AK17" s="33">
        <f t="shared" si="56"/>
        <v>168000</v>
      </c>
      <c r="AL17" s="33">
        <f t="shared" si="56"/>
        <v>179200</v>
      </c>
      <c r="AM17" s="33">
        <f t="shared" si="56"/>
        <v>190400</v>
      </c>
    </row>
    <row r="18" spans="1:39" x14ac:dyDescent="0.3">
      <c r="A18" s="57">
        <f t="shared" si="32"/>
        <v>69</v>
      </c>
      <c r="B18" s="33">
        <f t="shared" ref="B18:G18" si="57">$A$9*B3</f>
        <v>203967.46055131633</v>
      </c>
      <c r="C18" s="33">
        <f t="shared" si="57"/>
        <v>220800</v>
      </c>
      <c r="D18" s="33">
        <f t="shared" si="57"/>
        <v>234600</v>
      </c>
      <c r="E18" s="33">
        <f t="shared" si="57"/>
        <v>248400</v>
      </c>
      <c r="F18" s="33">
        <f t="shared" si="57"/>
        <v>262200</v>
      </c>
      <c r="G18" s="33">
        <f t="shared" si="57"/>
        <v>276000</v>
      </c>
      <c r="I18" s="285">
        <f t="shared" si="34"/>
        <v>4.5999999999999999E-2</v>
      </c>
      <c r="J18" s="33">
        <f>$I$18*J12</f>
        <v>53905.984615384616</v>
      </c>
      <c r="K18" s="33">
        <f t="shared" ref="K18:O18" si="58">$I$18*K12</f>
        <v>59800</v>
      </c>
      <c r="L18" s="33">
        <f t="shared" si="58"/>
        <v>69000</v>
      </c>
      <c r="M18" s="33">
        <f t="shared" si="58"/>
        <v>78200</v>
      </c>
      <c r="N18" s="33">
        <f t="shared" si="58"/>
        <v>87400</v>
      </c>
      <c r="O18" s="33">
        <f t="shared" si="58"/>
        <v>96600</v>
      </c>
      <c r="Q18" s="285">
        <f t="shared" si="36"/>
        <v>8.2000000000000003E-2</v>
      </c>
      <c r="R18" s="33">
        <f>R12*$Q$18</f>
        <v>5064.0918260869566</v>
      </c>
      <c r="S18" s="33">
        <f t="shared" ref="S18:W18" si="59">S12*$Q$18</f>
        <v>5166</v>
      </c>
      <c r="T18" s="33">
        <f t="shared" si="59"/>
        <v>5330</v>
      </c>
      <c r="U18" s="33">
        <f t="shared" si="59"/>
        <v>5494</v>
      </c>
      <c r="V18" s="33">
        <f t="shared" si="59"/>
        <v>5658</v>
      </c>
      <c r="W18" s="33">
        <f t="shared" si="59"/>
        <v>5822</v>
      </c>
      <c r="Y18" s="219">
        <f t="shared" si="38"/>
        <v>35</v>
      </c>
      <c r="Z18" s="33">
        <f>Z12*$Y$18</f>
        <v>78744.525731584246</v>
      </c>
      <c r="AA18" s="33">
        <f t="shared" ref="AA18:AE18" si="60">AA12*$Y$18</f>
        <v>87500</v>
      </c>
      <c r="AB18" s="33">
        <f t="shared" si="60"/>
        <v>96250</v>
      </c>
      <c r="AC18" s="33">
        <f t="shared" si="60"/>
        <v>105000</v>
      </c>
      <c r="AD18" s="33">
        <f t="shared" si="60"/>
        <v>113750</v>
      </c>
      <c r="AE18" s="33">
        <f t="shared" si="60"/>
        <v>122500</v>
      </c>
      <c r="AG18" s="219">
        <f t="shared" si="40"/>
        <v>58</v>
      </c>
      <c r="AH18" s="33">
        <f>AH12*$AG$18</f>
        <v>140062.61278274373</v>
      </c>
      <c r="AI18" s="33">
        <f t="shared" ref="AI18:AM18" si="61">AI12*$AG$18</f>
        <v>150800</v>
      </c>
      <c r="AJ18" s="33">
        <f t="shared" si="61"/>
        <v>162400</v>
      </c>
      <c r="AK18" s="33">
        <f t="shared" si="61"/>
        <v>174000</v>
      </c>
      <c r="AL18" s="33">
        <f t="shared" si="61"/>
        <v>185600</v>
      </c>
      <c r="AM18" s="33">
        <f t="shared" si="61"/>
        <v>197200</v>
      </c>
    </row>
    <row r="20" spans="1:39" x14ac:dyDescent="0.3">
      <c r="A20" s="279" t="s">
        <v>549</v>
      </c>
      <c r="B20" s="286">
        <v>0.2</v>
      </c>
      <c r="C20" s="286">
        <v>0.3</v>
      </c>
      <c r="D20" s="286">
        <v>0.35</v>
      </c>
      <c r="E20" s="286">
        <v>0.4</v>
      </c>
      <c r="F20" s="286">
        <v>0.5</v>
      </c>
      <c r="G20" s="287">
        <v>0.6</v>
      </c>
      <c r="I20" s="288" t="s">
        <v>549</v>
      </c>
      <c r="J20" s="289">
        <v>0.2</v>
      </c>
      <c r="K20" s="289">
        <v>0.3</v>
      </c>
      <c r="L20" s="289">
        <v>0.35</v>
      </c>
      <c r="M20" s="289">
        <v>0.4</v>
      </c>
      <c r="N20" s="289">
        <v>0.5</v>
      </c>
      <c r="O20" s="290">
        <v>0.6</v>
      </c>
      <c r="Q20" s="296" t="s">
        <v>549</v>
      </c>
      <c r="R20" s="299">
        <v>0.1</v>
      </c>
      <c r="S20" s="299">
        <v>0.15</v>
      </c>
      <c r="T20" s="299">
        <v>0.2</v>
      </c>
      <c r="U20" s="299">
        <v>0.25</v>
      </c>
      <c r="V20" s="299">
        <v>0.3</v>
      </c>
      <c r="W20" s="299">
        <v>0.35</v>
      </c>
      <c r="Y20" s="307" t="s">
        <v>549</v>
      </c>
      <c r="Z20" s="308">
        <v>0.2</v>
      </c>
      <c r="AA20" s="308">
        <v>0.3</v>
      </c>
      <c r="AB20" s="308">
        <v>0.35</v>
      </c>
      <c r="AC20" s="308">
        <v>0.4</v>
      </c>
      <c r="AD20" s="308">
        <v>0.5</v>
      </c>
      <c r="AE20" s="308">
        <v>0.6</v>
      </c>
      <c r="AG20" s="316" t="s">
        <v>549</v>
      </c>
      <c r="AH20" s="317">
        <v>0.2</v>
      </c>
      <c r="AI20" s="317">
        <v>0.3</v>
      </c>
      <c r="AJ20" s="317">
        <v>0.35</v>
      </c>
      <c r="AK20" s="317">
        <v>0.4</v>
      </c>
      <c r="AL20" s="317">
        <v>0.5</v>
      </c>
      <c r="AM20" s="317">
        <v>0.6</v>
      </c>
    </row>
    <row r="21" spans="1:39" x14ac:dyDescent="0.3">
      <c r="A21" s="380" t="s">
        <v>132</v>
      </c>
      <c r="B21" s="278">
        <f>B13*$B$20</f>
        <v>34911.780000000006</v>
      </c>
      <c r="C21" s="278">
        <f>C13*$C$20</f>
        <v>56689.344000000005</v>
      </c>
      <c r="D21" s="278">
        <f>D13*$D$20</f>
        <v>70271.165999999997</v>
      </c>
      <c r="E21" s="278">
        <f>E13*E20</f>
        <v>85034.016000000003</v>
      </c>
      <c r="F21" s="278">
        <f>F13*$F$20</f>
        <v>112197.66</v>
      </c>
      <c r="G21" s="278">
        <f>G13*$G$20</f>
        <v>141723.35999999999</v>
      </c>
      <c r="I21" s="385" t="s">
        <v>132</v>
      </c>
      <c r="J21" s="219">
        <f>J13*$J$20</f>
        <v>6093.72</v>
      </c>
      <c r="K21" s="219">
        <f>K13*$K$20</f>
        <v>10140</v>
      </c>
      <c r="L21" s="219">
        <f>L13*$L$20</f>
        <v>13650</v>
      </c>
      <c r="M21" s="219">
        <f>M13*$M$20</f>
        <v>17680</v>
      </c>
      <c r="N21" s="219">
        <f>N13*$N$20</f>
        <v>24700</v>
      </c>
      <c r="O21" s="219">
        <f>O13*$O$20</f>
        <v>32760</v>
      </c>
      <c r="Q21" s="378" t="s">
        <v>132</v>
      </c>
      <c r="R21" s="219">
        <f>R13*$R$20</f>
        <v>355.10400000000004</v>
      </c>
      <c r="S21" s="219">
        <f>S13*$S$20</f>
        <v>543.375</v>
      </c>
      <c r="T21" s="219">
        <f>T13*$T$20</f>
        <v>747.5</v>
      </c>
      <c r="U21" s="219">
        <f>U13*$U$20</f>
        <v>963.125</v>
      </c>
      <c r="V21" s="219">
        <f>V13*$V$20</f>
        <v>1190.25</v>
      </c>
      <c r="W21" s="219">
        <f>W13*$W$20</f>
        <v>1428.875</v>
      </c>
      <c r="Y21" s="378" t="s">
        <v>132</v>
      </c>
      <c r="Z21" s="219">
        <f>Z13*$Z$20</f>
        <v>4499.687184661957</v>
      </c>
      <c r="AA21" s="219">
        <f>AA13*$AA$20</f>
        <v>7500</v>
      </c>
      <c r="AB21" s="219">
        <f>AB13*$AB$20</f>
        <v>9625</v>
      </c>
      <c r="AC21" s="219">
        <f>AC13*$AC$20</f>
        <v>12000</v>
      </c>
      <c r="AD21" s="219">
        <f>AD13*$AD$20</f>
        <v>16250</v>
      </c>
      <c r="AE21" s="219">
        <f>AE13*$AE$20</f>
        <v>21000</v>
      </c>
      <c r="AG21" s="378" t="s">
        <v>132</v>
      </c>
      <c r="AH21" s="219">
        <f>AH13*$AH$20</f>
        <v>23017.600000000006</v>
      </c>
      <c r="AI21" s="219">
        <f>AI13*$AI$20</f>
        <v>37173.24</v>
      </c>
      <c r="AJ21" s="219">
        <f>AJ13*$AJ$20</f>
        <v>46704.84</v>
      </c>
      <c r="AK21" s="219">
        <f>AK13*$AK$20</f>
        <v>57189.600000000006</v>
      </c>
      <c r="AL21" s="219">
        <f>AL13*$AL$20</f>
        <v>76252.800000000003</v>
      </c>
      <c r="AM21" s="219">
        <f>AM13*$AM$20</f>
        <v>97222.32</v>
      </c>
    </row>
    <row r="22" spans="1:39" x14ac:dyDescent="0.3">
      <c r="A22" s="381"/>
      <c r="B22" s="219">
        <f t="shared" ref="B22:B26" si="62">B14*$B$20</f>
        <v>36063.811865595068</v>
      </c>
      <c r="C22" s="219">
        <f t="shared" ref="C22:C26" si="63">C14*$C$20</f>
        <v>58560</v>
      </c>
      <c r="D22" s="219">
        <f t="shared" ref="D22:D26" si="64">D14*$D$20</f>
        <v>72590</v>
      </c>
      <c r="E22" s="219">
        <f t="shared" ref="E22:E26" si="65">E14*$E$20</f>
        <v>87840</v>
      </c>
      <c r="F22" s="219">
        <f t="shared" ref="F22:F26" si="66">F14*$F$20</f>
        <v>115900</v>
      </c>
      <c r="G22" s="219">
        <f t="shared" ref="G22:G26" si="67">G14*$G$20</f>
        <v>146400</v>
      </c>
      <c r="I22" s="386"/>
      <c r="J22" s="219">
        <f t="shared" ref="J22:J26" si="68">J14*$J$20</f>
        <v>7031.2153846153851</v>
      </c>
      <c r="K22" s="219">
        <f t="shared" ref="K22:K26" si="69">K14*$K$20</f>
        <v>11700</v>
      </c>
      <c r="L22" s="219">
        <f t="shared" ref="L22:L26" si="70">L14*$L$20</f>
        <v>15749.999999999998</v>
      </c>
      <c r="M22" s="219">
        <f t="shared" ref="M22:M26" si="71">M14*$M$20</f>
        <v>20400</v>
      </c>
      <c r="N22" s="219">
        <f t="shared" ref="N22:N26" si="72">N14*$N$20</f>
        <v>28500</v>
      </c>
      <c r="O22" s="219">
        <f t="shared" ref="O22:O26" si="73">O14*$O$20</f>
        <v>37800</v>
      </c>
      <c r="Q22" s="378"/>
      <c r="R22" s="219">
        <f t="shared" ref="R22:R26" si="74">R14*$R$20</f>
        <v>382.89474782608704</v>
      </c>
      <c r="S22" s="219">
        <f t="shared" ref="S22:S26" si="75">S14*$S$20</f>
        <v>585.9</v>
      </c>
      <c r="T22" s="219">
        <f t="shared" ref="T22:T26" si="76">T14*$T$20</f>
        <v>806</v>
      </c>
      <c r="U22" s="219">
        <f t="shared" ref="U22:U26" si="77">U14*$U$20</f>
        <v>1038.5</v>
      </c>
      <c r="V22" s="219">
        <f t="shared" ref="V22:V26" si="78">V14*$V$20</f>
        <v>1283.3999999999999</v>
      </c>
      <c r="W22" s="219">
        <f t="shared" ref="W22:W26" si="79">W14*$W$20</f>
        <v>1540.6999999999998</v>
      </c>
      <c r="Y22" s="378"/>
      <c r="Z22" s="219">
        <f t="shared" ref="Z22:Z26" si="80">Z14*$Z$20</f>
        <v>6749.530776992935</v>
      </c>
      <c r="AA22" s="219">
        <f t="shared" ref="AA22:AA26" si="81">AA14*$AA$20</f>
        <v>11250</v>
      </c>
      <c r="AB22" s="219">
        <f t="shared" ref="AB22:AB26" si="82">AB14*$AB$20</f>
        <v>14437.499999999998</v>
      </c>
      <c r="AC22" s="219">
        <f t="shared" ref="AC22:AC26" si="83">AC14*$AC$20</f>
        <v>18000</v>
      </c>
      <c r="AD22" s="219">
        <f t="shared" ref="AD22:AD26" si="84">AD14*$AD$20</f>
        <v>24375</v>
      </c>
      <c r="AE22" s="219">
        <f t="shared" ref="AE22:AE26" si="85">AE14*$AE$20</f>
        <v>31500</v>
      </c>
      <c r="AG22" s="378"/>
      <c r="AH22" s="219">
        <f t="shared" ref="AH22:AH26" si="86">AH14*$AH$20</f>
        <v>24148.726341852365</v>
      </c>
      <c r="AI22" s="219">
        <f t="shared" ref="AI22:AI26" si="87">AI14*$AI$20</f>
        <v>39000</v>
      </c>
      <c r="AJ22" s="219">
        <f t="shared" ref="AJ22:AJ26" si="88">AJ14*$AJ$20</f>
        <v>49000</v>
      </c>
      <c r="AK22" s="219">
        <f t="shared" ref="AK22:AK26" si="89">AK14*$AK$20</f>
        <v>60000</v>
      </c>
      <c r="AL22" s="219">
        <f t="shared" ref="AL22:AL26" si="90">AL14*$AL$20</f>
        <v>80000</v>
      </c>
      <c r="AM22" s="219">
        <f t="shared" ref="AM22:AM26" si="91">AM14*$AM$20</f>
        <v>102000</v>
      </c>
    </row>
    <row r="23" spans="1:39" x14ac:dyDescent="0.3">
      <c r="A23" s="381"/>
      <c r="B23" s="219">
        <f t="shared" si="62"/>
        <v>37246.231926762113</v>
      </c>
      <c r="C23" s="219">
        <f t="shared" si="63"/>
        <v>60480</v>
      </c>
      <c r="D23" s="219">
        <f t="shared" si="64"/>
        <v>74970</v>
      </c>
      <c r="E23" s="219">
        <f t="shared" si="65"/>
        <v>90720</v>
      </c>
      <c r="F23" s="219">
        <f t="shared" si="66"/>
        <v>119700</v>
      </c>
      <c r="G23" s="219">
        <f t="shared" si="67"/>
        <v>151200</v>
      </c>
      <c r="I23" s="386"/>
      <c r="J23" s="219">
        <f t="shared" si="68"/>
        <v>7968.7107692307691</v>
      </c>
      <c r="K23" s="219">
        <f t="shared" si="69"/>
        <v>13260</v>
      </c>
      <c r="L23" s="219">
        <f t="shared" si="70"/>
        <v>17850</v>
      </c>
      <c r="M23" s="219">
        <f t="shared" si="71"/>
        <v>23120.000000000004</v>
      </c>
      <c r="N23" s="219">
        <f t="shared" si="72"/>
        <v>32300.000000000004</v>
      </c>
      <c r="O23" s="219">
        <f t="shared" si="73"/>
        <v>42840</v>
      </c>
      <c r="Q23" s="378"/>
      <c r="R23" s="219">
        <f t="shared" si="74"/>
        <v>407.59763478260879</v>
      </c>
      <c r="S23" s="219">
        <f t="shared" si="75"/>
        <v>623.69999999999993</v>
      </c>
      <c r="T23" s="219">
        <f t="shared" si="76"/>
        <v>858</v>
      </c>
      <c r="U23" s="219">
        <f t="shared" si="77"/>
        <v>1105.5</v>
      </c>
      <c r="V23" s="219">
        <f t="shared" si="78"/>
        <v>1366.2</v>
      </c>
      <c r="W23" s="219">
        <f t="shared" si="79"/>
        <v>1640.1</v>
      </c>
      <c r="Y23" s="378"/>
      <c r="Z23" s="219">
        <f t="shared" si="80"/>
        <v>8918.3799999999992</v>
      </c>
      <c r="AA23" s="219">
        <f t="shared" si="81"/>
        <v>14865</v>
      </c>
      <c r="AB23" s="219">
        <f t="shared" si="82"/>
        <v>19076.75</v>
      </c>
      <c r="AC23" s="219">
        <f t="shared" si="83"/>
        <v>23784</v>
      </c>
      <c r="AD23" s="219">
        <f t="shared" si="84"/>
        <v>32207.5</v>
      </c>
      <c r="AE23" s="219">
        <f t="shared" si="85"/>
        <v>41622</v>
      </c>
      <c r="AG23" s="378"/>
      <c r="AH23" s="219">
        <f t="shared" si="86"/>
        <v>25114.675395526461</v>
      </c>
      <c r="AI23" s="219">
        <f t="shared" si="87"/>
        <v>40560</v>
      </c>
      <c r="AJ23" s="219">
        <f t="shared" si="88"/>
        <v>50960</v>
      </c>
      <c r="AK23" s="219">
        <f t="shared" si="89"/>
        <v>62400</v>
      </c>
      <c r="AL23" s="219">
        <f t="shared" si="90"/>
        <v>83200</v>
      </c>
      <c r="AM23" s="219">
        <f t="shared" si="91"/>
        <v>106080</v>
      </c>
    </row>
    <row r="24" spans="1:39" x14ac:dyDescent="0.3">
      <c r="A24" s="381"/>
      <c r="B24" s="219">
        <f t="shared" si="62"/>
        <v>38428.651987929166</v>
      </c>
      <c r="C24" s="219">
        <f t="shared" si="63"/>
        <v>62400</v>
      </c>
      <c r="D24" s="219">
        <f t="shared" si="64"/>
        <v>77350</v>
      </c>
      <c r="E24" s="219">
        <f t="shared" si="65"/>
        <v>93600</v>
      </c>
      <c r="F24" s="219">
        <f t="shared" si="66"/>
        <v>123500</v>
      </c>
      <c r="G24" s="219">
        <f t="shared" si="67"/>
        <v>156000</v>
      </c>
      <c r="I24" s="386"/>
      <c r="J24" s="219">
        <f t="shared" si="68"/>
        <v>8906.2061538461548</v>
      </c>
      <c r="K24" s="219">
        <f t="shared" si="69"/>
        <v>14820</v>
      </c>
      <c r="L24" s="219">
        <f t="shared" si="70"/>
        <v>19950</v>
      </c>
      <c r="M24" s="219">
        <f t="shared" si="71"/>
        <v>25840</v>
      </c>
      <c r="N24" s="219">
        <f t="shared" si="72"/>
        <v>36100</v>
      </c>
      <c r="O24" s="219">
        <f t="shared" si="73"/>
        <v>47880</v>
      </c>
      <c r="Q24" s="378"/>
      <c r="R24" s="219">
        <f t="shared" si="74"/>
        <v>432.30052173913055</v>
      </c>
      <c r="S24" s="219">
        <f t="shared" si="75"/>
        <v>661.5</v>
      </c>
      <c r="T24" s="219">
        <f t="shared" si="76"/>
        <v>910</v>
      </c>
      <c r="U24" s="219">
        <f t="shared" si="77"/>
        <v>1172.5</v>
      </c>
      <c r="V24" s="219">
        <f t="shared" si="78"/>
        <v>1449.0000000000002</v>
      </c>
      <c r="W24" s="219">
        <f t="shared" si="79"/>
        <v>1739.5000000000002</v>
      </c>
      <c r="Y24" s="378"/>
      <c r="Z24" s="219">
        <f t="shared" si="80"/>
        <v>11249.217961654893</v>
      </c>
      <c r="AA24" s="219">
        <f t="shared" si="81"/>
        <v>18750</v>
      </c>
      <c r="AB24" s="219">
        <f t="shared" si="82"/>
        <v>24062.5</v>
      </c>
      <c r="AC24" s="219">
        <f t="shared" si="83"/>
        <v>30000</v>
      </c>
      <c r="AD24" s="219">
        <f t="shared" si="84"/>
        <v>40625</v>
      </c>
      <c r="AE24" s="219">
        <f t="shared" si="85"/>
        <v>52500</v>
      </c>
      <c r="AG24" s="378"/>
      <c r="AH24" s="219">
        <f t="shared" si="86"/>
        <v>26080.624449200557</v>
      </c>
      <c r="AI24" s="219">
        <f t="shared" si="87"/>
        <v>42120</v>
      </c>
      <c r="AJ24" s="219">
        <f t="shared" si="88"/>
        <v>52920</v>
      </c>
      <c r="AK24" s="219">
        <f t="shared" si="89"/>
        <v>64800</v>
      </c>
      <c r="AL24" s="219">
        <f t="shared" si="90"/>
        <v>86400</v>
      </c>
      <c r="AM24" s="219">
        <f t="shared" si="91"/>
        <v>110160</v>
      </c>
    </row>
    <row r="25" spans="1:39" x14ac:dyDescent="0.3">
      <c r="A25" s="381"/>
      <c r="B25" s="219">
        <f t="shared" si="62"/>
        <v>39611.072049096219</v>
      </c>
      <c r="C25" s="219">
        <f t="shared" si="63"/>
        <v>64320</v>
      </c>
      <c r="D25" s="219">
        <f t="shared" si="64"/>
        <v>79730</v>
      </c>
      <c r="E25" s="219">
        <f t="shared" si="65"/>
        <v>96480</v>
      </c>
      <c r="F25" s="219">
        <f t="shared" si="66"/>
        <v>127300</v>
      </c>
      <c r="G25" s="219">
        <f t="shared" si="67"/>
        <v>160800</v>
      </c>
      <c r="I25" s="386"/>
      <c r="J25" s="219">
        <f t="shared" si="68"/>
        <v>9843.7015384615388</v>
      </c>
      <c r="K25" s="219">
        <f t="shared" si="69"/>
        <v>16380</v>
      </c>
      <c r="L25" s="219">
        <f t="shared" si="70"/>
        <v>22050</v>
      </c>
      <c r="M25" s="219">
        <f t="shared" si="71"/>
        <v>28560</v>
      </c>
      <c r="N25" s="219">
        <f t="shared" si="72"/>
        <v>39900</v>
      </c>
      <c r="O25" s="219">
        <f t="shared" si="73"/>
        <v>52920</v>
      </c>
      <c r="Q25" s="378"/>
      <c r="R25" s="219">
        <f t="shared" si="74"/>
        <v>481.70629565217399</v>
      </c>
      <c r="S25" s="219">
        <f t="shared" si="75"/>
        <v>737.1</v>
      </c>
      <c r="T25" s="219">
        <f t="shared" si="76"/>
        <v>1014</v>
      </c>
      <c r="U25" s="219">
        <f t="shared" si="77"/>
        <v>1306.5</v>
      </c>
      <c r="V25" s="219">
        <f t="shared" si="78"/>
        <v>1614.6</v>
      </c>
      <c r="W25" s="219">
        <f t="shared" si="79"/>
        <v>1938.3</v>
      </c>
      <c r="Y25" s="378"/>
      <c r="Z25" s="219">
        <f t="shared" si="80"/>
        <v>13499.06155398587</v>
      </c>
      <c r="AA25" s="219">
        <f t="shared" si="81"/>
        <v>22500</v>
      </c>
      <c r="AB25" s="219">
        <f t="shared" si="82"/>
        <v>28874.999999999996</v>
      </c>
      <c r="AC25" s="219">
        <f t="shared" si="83"/>
        <v>36000</v>
      </c>
      <c r="AD25" s="219">
        <f t="shared" si="84"/>
        <v>48750</v>
      </c>
      <c r="AE25" s="219">
        <f t="shared" si="85"/>
        <v>63000</v>
      </c>
      <c r="AG25" s="378"/>
      <c r="AH25" s="219">
        <f t="shared" si="86"/>
        <v>27046.573502874649</v>
      </c>
      <c r="AI25" s="219">
        <f t="shared" si="87"/>
        <v>43680</v>
      </c>
      <c r="AJ25" s="219">
        <f t="shared" si="88"/>
        <v>54880</v>
      </c>
      <c r="AK25" s="219">
        <f t="shared" si="89"/>
        <v>67200</v>
      </c>
      <c r="AL25" s="219">
        <f t="shared" si="90"/>
        <v>89600</v>
      </c>
      <c r="AM25" s="219">
        <f t="shared" si="91"/>
        <v>114240</v>
      </c>
    </row>
    <row r="26" spans="1:39" x14ac:dyDescent="0.3">
      <c r="A26" s="381"/>
      <c r="B26" s="219">
        <f t="shared" si="62"/>
        <v>40793.492110263265</v>
      </c>
      <c r="C26" s="219">
        <f t="shared" si="63"/>
        <v>66240</v>
      </c>
      <c r="D26" s="219">
        <f t="shared" si="64"/>
        <v>82110</v>
      </c>
      <c r="E26" s="219">
        <f t="shared" si="65"/>
        <v>99360</v>
      </c>
      <c r="F26" s="219">
        <f t="shared" si="66"/>
        <v>131100</v>
      </c>
      <c r="G26" s="219">
        <f t="shared" si="67"/>
        <v>165600</v>
      </c>
      <c r="I26" s="387"/>
      <c r="J26" s="219">
        <f t="shared" si="68"/>
        <v>10781.196923076925</v>
      </c>
      <c r="K26" s="219">
        <f t="shared" si="69"/>
        <v>17940</v>
      </c>
      <c r="L26" s="219">
        <f t="shared" si="70"/>
        <v>24150</v>
      </c>
      <c r="M26" s="219">
        <f t="shared" si="71"/>
        <v>31280</v>
      </c>
      <c r="N26" s="219">
        <f t="shared" si="72"/>
        <v>43700</v>
      </c>
      <c r="O26" s="219">
        <f t="shared" si="73"/>
        <v>57960</v>
      </c>
      <c r="Q26" s="378"/>
      <c r="R26" s="219">
        <f t="shared" si="74"/>
        <v>506.40918260869569</v>
      </c>
      <c r="S26" s="219">
        <f t="shared" si="75"/>
        <v>774.9</v>
      </c>
      <c r="T26" s="219">
        <f t="shared" si="76"/>
        <v>1066</v>
      </c>
      <c r="U26" s="219">
        <f t="shared" si="77"/>
        <v>1373.5</v>
      </c>
      <c r="V26" s="219">
        <f t="shared" si="78"/>
        <v>1697.3999999999999</v>
      </c>
      <c r="W26" s="219">
        <f t="shared" si="79"/>
        <v>2037.6999999999998</v>
      </c>
      <c r="Y26" s="378"/>
      <c r="Z26" s="219">
        <f t="shared" si="80"/>
        <v>15748.905146316851</v>
      </c>
      <c r="AA26" s="219">
        <f t="shared" si="81"/>
        <v>26250</v>
      </c>
      <c r="AB26" s="219">
        <f t="shared" si="82"/>
        <v>33687.5</v>
      </c>
      <c r="AC26" s="219">
        <f t="shared" si="83"/>
        <v>42000</v>
      </c>
      <c r="AD26" s="219">
        <f t="shared" si="84"/>
        <v>56875</v>
      </c>
      <c r="AE26" s="219">
        <f t="shared" si="85"/>
        <v>73500</v>
      </c>
      <c r="AG26" s="378"/>
      <c r="AH26" s="219">
        <f t="shared" si="86"/>
        <v>28012.522556548749</v>
      </c>
      <c r="AI26" s="219">
        <f t="shared" si="87"/>
        <v>45240</v>
      </c>
      <c r="AJ26" s="219">
        <f t="shared" si="88"/>
        <v>56840</v>
      </c>
      <c r="AK26" s="219">
        <f t="shared" si="89"/>
        <v>69600</v>
      </c>
      <c r="AL26" s="219">
        <f t="shared" si="90"/>
        <v>92800</v>
      </c>
      <c r="AM26" s="219">
        <f t="shared" si="91"/>
        <v>118320</v>
      </c>
    </row>
    <row r="28" spans="1:39" x14ac:dyDescent="0.3">
      <c r="A28" s="275"/>
      <c r="B28" s="276"/>
      <c r="C28" s="276"/>
      <c r="D28" s="276"/>
      <c r="E28" s="276"/>
      <c r="F28" s="276" t="s">
        <v>525</v>
      </c>
      <c r="G28" s="277">
        <f ca="1">'Relative Valuation Model'!G15</f>
        <v>14.065152969563991</v>
      </c>
      <c r="I28" s="288"/>
      <c r="J28" s="291"/>
      <c r="K28" s="291"/>
      <c r="L28" s="291"/>
      <c r="M28" s="291"/>
      <c r="N28" s="291" t="s">
        <v>525</v>
      </c>
      <c r="O28" s="292">
        <f ca="1">G28</f>
        <v>14.065152969563991</v>
      </c>
      <c r="Q28" s="300"/>
      <c r="R28" s="301"/>
      <c r="S28" s="301"/>
      <c r="T28" s="301"/>
      <c r="U28" s="301"/>
      <c r="V28" s="301" t="s">
        <v>525</v>
      </c>
      <c r="W28" s="302">
        <f ca="1">O28</f>
        <v>14.065152969563991</v>
      </c>
      <c r="Y28" s="309"/>
      <c r="Z28" s="310"/>
      <c r="AA28" s="310"/>
      <c r="AB28" s="310"/>
      <c r="AC28" s="310"/>
      <c r="AD28" s="310" t="s">
        <v>525</v>
      </c>
      <c r="AE28" s="311">
        <f ca="1">W28</f>
        <v>14.065152969563991</v>
      </c>
      <c r="AG28" s="318"/>
      <c r="AH28" s="319"/>
      <c r="AI28" s="319"/>
      <c r="AJ28" s="319"/>
      <c r="AK28" s="319"/>
      <c r="AL28" s="319" t="s">
        <v>525</v>
      </c>
      <c r="AM28" s="320">
        <f ca="1">AE28</f>
        <v>14.065152969563991</v>
      </c>
    </row>
    <row r="29" spans="1:39" x14ac:dyDescent="0.3">
      <c r="A29" s="382" t="s">
        <v>516</v>
      </c>
      <c r="B29" s="73">
        <f ca="1">B21*$G$28</f>
        <v>491039.52613976481</v>
      </c>
      <c r="C29" s="73">
        <f t="shared" ref="C29:G29" ca="1" si="92">C21*$G$28</f>
        <v>797344.29510423471</v>
      </c>
      <c r="D29" s="73">
        <f t="shared" ca="1" si="92"/>
        <v>988374.69913962414</v>
      </c>
      <c r="E29" s="73">
        <f t="shared" ca="1" si="92"/>
        <v>1196016.442656352</v>
      </c>
      <c r="F29" s="73">
        <f t="shared" ca="1" si="92"/>
        <v>1578077.250727131</v>
      </c>
      <c r="G29" s="73">
        <f t="shared" ca="1" si="92"/>
        <v>1993360.7377605864</v>
      </c>
      <c r="I29" s="388" t="s">
        <v>516</v>
      </c>
      <c r="J29" s="33">
        <f ca="1">J21*$O$28</f>
        <v>85709.10395369149</v>
      </c>
      <c r="K29" s="33">
        <f t="shared" ref="K29:O29" ca="1" si="93">K21*$O$28</f>
        <v>142620.65111137886</v>
      </c>
      <c r="L29" s="33">
        <f t="shared" ca="1" si="93"/>
        <v>191989.33803454848</v>
      </c>
      <c r="M29" s="33">
        <f t="shared" ca="1" si="93"/>
        <v>248671.90450189137</v>
      </c>
      <c r="N29" s="33">
        <f t="shared" ca="1" si="93"/>
        <v>347409.27834823058</v>
      </c>
      <c r="O29" s="33">
        <f t="shared" ca="1" si="93"/>
        <v>460774.41128291638</v>
      </c>
      <c r="Q29" s="390" t="s">
        <v>516</v>
      </c>
      <c r="R29" s="73">
        <f ca="1">R21*$W$28</f>
        <v>4994.592080104052</v>
      </c>
      <c r="S29" s="73">
        <f t="shared" ref="S29:W29" ca="1" si="94">S21*$W$28</f>
        <v>7642.6524948368333</v>
      </c>
      <c r="T29" s="73">
        <f t="shared" ca="1" si="94"/>
        <v>10513.701844749083</v>
      </c>
      <c r="U29" s="73">
        <f t="shared" ca="1" si="94"/>
        <v>13546.500453811319</v>
      </c>
      <c r="V29" s="73">
        <f t="shared" ca="1" si="94"/>
        <v>16741.04832202354</v>
      </c>
      <c r="W29" s="73">
        <f t="shared" ca="1" si="94"/>
        <v>20097.345449385746</v>
      </c>
      <c r="Y29" s="379" t="s">
        <v>516</v>
      </c>
      <c r="Z29" s="33">
        <f ca="1">Z21*$AE$28</f>
        <v>63288.788567457159</v>
      </c>
      <c r="AA29" s="33">
        <f t="shared" ref="AA29:AE29" ca="1" si="95">AA21*$AE$28</f>
        <v>105488.64727172993</v>
      </c>
      <c r="AB29" s="33">
        <f t="shared" ca="1" si="95"/>
        <v>135377.09733205341</v>
      </c>
      <c r="AC29" s="33">
        <f t="shared" ca="1" si="95"/>
        <v>168781.83563476789</v>
      </c>
      <c r="AD29" s="33">
        <f t="shared" ca="1" si="95"/>
        <v>228558.73575541485</v>
      </c>
      <c r="AE29" s="33">
        <f t="shared" ca="1" si="95"/>
        <v>295368.21236084384</v>
      </c>
      <c r="AG29" s="379" t="s">
        <v>516</v>
      </c>
      <c r="AH29" s="219">
        <f ca="1">AH21*$AM$28</f>
        <v>323746.06499223621</v>
      </c>
      <c r="AI29" s="219">
        <f t="shared" ref="AI29:AM29" ca="1" si="96">AI21*$AM$28</f>
        <v>522847.30697431491</v>
      </c>
      <c r="AJ29" s="219">
        <f t="shared" ca="1" si="96"/>
        <v>656910.71901901101</v>
      </c>
      <c r="AK29" s="219">
        <f t="shared" ca="1" si="96"/>
        <v>804380.47226817696</v>
      </c>
      <c r="AL29" s="219">
        <f t="shared" ca="1" si="96"/>
        <v>1072507.2963575691</v>
      </c>
      <c r="AM29" s="219">
        <f t="shared" ca="1" si="96"/>
        <v>1367446.8028559007</v>
      </c>
    </row>
    <row r="30" spans="1:39" x14ac:dyDescent="0.3">
      <c r="A30" s="383"/>
      <c r="B30" s="33">
        <f t="shared" ref="B30:G30" ca="1" si="97">B22*$G$28</f>
        <v>507243.03055517154</v>
      </c>
      <c r="C30" s="33">
        <f t="shared" ca="1" si="97"/>
        <v>823655.35789766733</v>
      </c>
      <c r="D30" s="33">
        <f t="shared" ca="1" si="97"/>
        <v>1020989.4540606501</v>
      </c>
      <c r="E30" s="33">
        <f t="shared" ca="1" si="97"/>
        <v>1235483.0368465011</v>
      </c>
      <c r="F30" s="33">
        <f t="shared" ca="1" si="97"/>
        <v>1630151.2291724666</v>
      </c>
      <c r="G30" s="33">
        <f t="shared" ca="1" si="97"/>
        <v>2059138.3947441683</v>
      </c>
      <c r="I30" s="389"/>
      <c r="J30" s="33">
        <f t="shared" ref="J30:O30" ca="1" si="98">J22*$O$28</f>
        <v>98895.119946567109</v>
      </c>
      <c r="K30" s="33">
        <f t="shared" ca="1" si="98"/>
        <v>164562.2897438987</v>
      </c>
      <c r="L30" s="33">
        <f t="shared" ca="1" si="98"/>
        <v>221526.15927063284</v>
      </c>
      <c r="M30" s="33">
        <f t="shared" ca="1" si="98"/>
        <v>286929.12057910539</v>
      </c>
      <c r="N30" s="33">
        <f t="shared" ca="1" si="98"/>
        <v>400856.85963257373</v>
      </c>
      <c r="O30" s="33">
        <f t="shared" ca="1" si="98"/>
        <v>531662.7822495189</v>
      </c>
      <c r="Q30" s="379"/>
      <c r="R30" s="73">
        <f t="shared" ref="R30:W30" ca="1" si="99">R22*$W$28</f>
        <v>5385.473199416544</v>
      </c>
      <c r="S30" s="73">
        <f t="shared" ca="1" si="99"/>
        <v>8240.7731248675427</v>
      </c>
      <c r="T30" s="73">
        <f t="shared" ca="1" si="99"/>
        <v>11336.513293468577</v>
      </c>
      <c r="U30" s="73">
        <f t="shared" ca="1" si="99"/>
        <v>14606.661358892205</v>
      </c>
      <c r="V30" s="73">
        <f t="shared" ca="1" si="99"/>
        <v>18051.217321138425</v>
      </c>
      <c r="W30" s="73">
        <f t="shared" ca="1" si="99"/>
        <v>21670.181180207237</v>
      </c>
      <c r="Y30" s="379"/>
      <c r="Z30" s="33">
        <f t="shared" ref="Z30:AE30" ca="1" si="100">Z22*$AE$28</f>
        <v>94933.182851185731</v>
      </c>
      <c r="AA30" s="33">
        <f t="shared" ca="1" si="100"/>
        <v>158232.97090759489</v>
      </c>
      <c r="AB30" s="33">
        <f t="shared" ca="1" si="100"/>
        <v>203065.64599808009</v>
      </c>
      <c r="AC30" s="33">
        <f t="shared" ca="1" si="100"/>
        <v>253172.75345215184</v>
      </c>
      <c r="AD30" s="33">
        <f t="shared" ca="1" si="100"/>
        <v>342838.10363312229</v>
      </c>
      <c r="AE30" s="33">
        <f t="shared" ca="1" si="100"/>
        <v>443052.31854126573</v>
      </c>
      <c r="AG30" s="379"/>
      <c r="AH30" s="219">
        <f t="shared" ref="AH30:AM30" ca="1" si="101">AH22*$AM$28</f>
        <v>339655.53001829295</v>
      </c>
      <c r="AI30" s="219">
        <f t="shared" ca="1" si="101"/>
        <v>548540.96581299568</v>
      </c>
      <c r="AJ30" s="219">
        <f t="shared" ca="1" si="101"/>
        <v>689192.49550863553</v>
      </c>
      <c r="AK30" s="219">
        <f t="shared" ca="1" si="101"/>
        <v>843909.17817383946</v>
      </c>
      <c r="AL30" s="219">
        <f t="shared" ca="1" si="101"/>
        <v>1125212.2375651193</v>
      </c>
      <c r="AM30" s="219">
        <f t="shared" ca="1" si="101"/>
        <v>1434645.6028955271</v>
      </c>
    </row>
    <row r="31" spans="1:39" x14ac:dyDescent="0.3">
      <c r="A31" s="383"/>
      <c r="B31" s="33">
        <f t="shared" ref="B31:G31" ca="1" si="102">B23*$G$28</f>
        <v>523873.94958976726</v>
      </c>
      <c r="C31" s="33">
        <f t="shared" ca="1" si="102"/>
        <v>850660.45159923017</v>
      </c>
      <c r="D31" s="33">
        <f t="shared" ca="1" si="102"/>
        <v>1054464.5181282123</v>
      </c>
      <c r="E31" s="33">
        <f t="shared" ca="1" si="102"/>
        <v>1275990.6773988453</v>
      </c>
      <c r="F31" s="33">
        <f t="shared" ca="1" si="102"/>
        <v>1683598.8104568098</v>
      </c>
      <c r="G31" s="33">
        <f t="shared" ca="1" si="102"/>
        <v>2126651.1289980756</v>
      </c>
      <c r="I31" s="389"/>
      <c r="J31" s="33">
        <f t="shared" ref="J31:O31" ca="1" si="103">J23*$O$28</f>
        <v>112081.13593944271</v>
      </c>
      <c r="K31" s="33">
        <f t="shared" ca="1" si="103"/>
        <v>186503.92837641851</v>
      </c>
      <c r="L31" s="33">
        <f t="shared" ca="1" si="103"/>
        <v>251062.98050671726</v>
      </c>
      <c r="M31" s="33">
        <f t="shared" ca="1" si="103"/>
        <v>325186.3366563195</v>
      </c>
      <c r="N31" s="33">
        <f t="shared" ca="1" si="103"/>
        <v>454304.44091691694</v>
      </c>
      <c r="O31" s="33">
        <f t="shared" ca="1" si="103"/>
        <v>602551.15321612137</v>
      </c>
      <c r="Q31" s="379"/>
      <c r="R31" s="73">
        <f t="shared" ref="R31:W31" ca="1" si="104">R23*$W$28</f>
        <v>5732.9230832498688</v>
      </c>
      <c r="S31" s="73">
        <f t="shared" ca="1" si="104"/>
        <v>8772.4359071170602</v>
      </c>
      <c r="T31" s="73">
        <f t="shared" ca="1" si="104"/>
        <v>12067.901247885904</v>
      </c>
      <c r="U31" s="73">
        <f t="shared" ca="1" si="104"/>
        <v>15549.026607852993</v>
      </c>
      <c r="V31" s="73">
        <f t="shared" ca="1" si="104"/>
        <v>19215.811987018325</v>
      </c>
      <c r="W31" s="73">
        <f t="shared" ca="1" si="104"/>
        <v>23068.257385381901</v>
      </c>
      <c r="Y31" s="379"/>
      <c r="Z31" s="33">
        <f t="shared" ref="Z31:AE31" ca="1" si="105">Z23*$AE$28</f>
        <v>125438.3789407001</v>
      </c>
      <c r="AA31" s="33">
        <f t="shared" ca="1" si="105"/>
        <v>209078.49889256872</v>
      </c>
      <c r="AB31" s="33">
        <f t="shared" ca="1" si="105"/>
        <v>268317.4069121299</v>
      </c>
      <c r="AC31" s="33">
        <f t="shared" ca="1" si="105"/>
        <v>334525.59822810994</v>
      </c>
      <c r="AD31" s="33">
        <f t="shared" ca="1" si="105"/>
        <v>453003.41426723223</v>
      </c>
      <c r="AE31" s="33">
        <f t="shared" ca="1" si="105"/>
        <v>585419.79689919238</v>
      </c>
      <c r="AG31" s="379"/>
      <c r="AH31" s="219">
        <f t="shared" ref="AH31:AM31" ca="1" si="106">AH23*$AM$28</f>
        <v>353241.75121902471</v>
      </c>
      <c r="AI31" s="219">
        <f t="shared" ca="1" si="106"/>
        <v>570482.60444551543</v>
      </c>
      <c r="AJ31" s="219">
        <f t="shared" ca="1" si="106"/>
        <v>716760.19532898103</v>
      </c>
      <c r="AK31" s="219">
        <f t="shared" ca="1" si="106"/>
        <v>877665.54530079302</v>
      </c>
      <c r="AL31" s="219">
        <f t="shared" ca="1" si="106"/>
        <v>1170220.7270677241</v>
      </c>
      <c r="AM31" s="219">
        <f t="shared" ca="1" si="106"/>
        <v>1492031.4270113481</v>
      </c>
    </row>
    <row r="32" spans="1:39" x14ac:dyDescent="0.3">
      <c r="A32" s="383"/>
      <c r="B32" s="33">
        <f t="shared" ref="B32:G32" ca="1" si="107">B24*$G$28</f>
        <v>540504.86862436309</v>
      </c>
      <c r="C32" s="33">
        <f t="shared" ca="1" si="107"/>
        <v>877665.54530079302</v>
      </c>
      <c r="D32" s="33">
        <f t="shared" ca="1" si="107"/>
        <v>1087939.5821957747</v>
      </c>
      <c r="E32" s="33">
        <f t="shared" ca="1" si="107"/>
        <v>1316498.3179511896</v>
      </c>
      <c r="F32" s="33">
        <f t="shared" ca="1" si="107"/>
        <v>1737046.3917411529</v>
      </c>
      <c r="G32" s="33">
        <f t="shared" ca="1" si="107"/>
        <v>2194163.8632519827</v>
      </c>
      <c r="I32" s="389"/>
      <c r="J32" s="33">
        <f t="shared" ref="J32:O32" ca="1" si="108">J24*$O$28</f>
        <v>125267.15193231833</v>
      </c>
      <c r="K32" s="33">
        <f t="shared" ca="1" si="108"/>
        <v>208445.56700893835</v>
      </c>
      <c r="L32" s="33">
        <f t="shared" ca="1" si="108"/>
        <v>280599.80174280162</v>
      </c>
      <c r="M32" s="33">
        <f t="shared" ca="1" si="108"/>
        <v>363443.55273353355</v>
      </c>
      <c r="N32" s="33">
        <f t="shared" ca="1" si="108"/>
        <v>507752.02220126009</v>
      </c>
      <c r="O32" s="33">
        <f t="shared" ca="1" si="108"/>
        <v>673439.52418272395</v>
      </c>
      <c r="Q32" s="379"/>
      <c r="R32" s="73">
        <f t="shared" ref="R32:W32" ca="1" si="109">R24*$W$28</f>
        <v>6080.3729670831945</v>
      </c>
      <c r="S32" s="73">
        <f t="shared" ca="1" si="109"/>
        <v>9304.0986893665795</v>
      </c>
      <c r="T32" s="73">
        <f t="shared" ca="1" si="109"/>
        <v>12799.289202303233</v>
      </c>
      <c r="U32" s="73">
        <f t="shared" ca="1" si="109"/>
        <v>16491.391856813781</v>
      </c>
      <c r="V32" s="73">
        <f t="shared" ca="1" si="109"/>
        <v>20380.406652898226</v>
      </c>
      <c r="W32" s="73">
        <f t="shared" ca="1" si="109"/>
        <v>24466.333590556565</v>
      </c>
      <c r="Y32" s="379"/>
      <c r="Z32" s="33">
        <f t="shared" ref="Z32:AE32" ca="1" si="110">Z24*$AE$28</f>
        <v>158221.9714186429</v>
      </c>
      <c r="AA32" s="33">
        <f t="shared" ca="1" si="110"/>
        <v>263721.61817932484</v>
      </c>
      <c r="AB32" s="33">
        <f t="shared" ca="1" si="110"/>
        <v>338442.74333013355</v>
      </c>
      <c r="AC32" s="33">
        <f t="shared" ca="1" si="110"/>
        <v>421954.58908691973</v>
      </c>
      <c r="AD32" s="33">
        <f t="shared" ca="1" si="110"/>
        <v>571396.8393885371</v>
      </c>
      <c r="AE32" s="33">
        <f t="shared" ca="1" si="110"/>
        <v>738420.53090210957</v>
      </c>
      <c r="AG32" s="379"/>
      <c r="AH32" s="219">
        <f t="shared" ref="AH32:AM32" ca="1" si="111">AH24*$AM$28</f>
        <v>366827.97241975646</v>
      </c>
      <c r="AI32" s="219">
        <f t="shared" ca="1" si="111"/>
        <v>592424.2430780353</v>
      </c>
      <c r="AJ32" s="219">
        <f t="shared" ca="1" si="111"/>
        <v>744327.89514932642</v>
      </c>
      <c r="AK32" s="219">
        <f t="shared" ca="1" si="111"/>
        <v>911421.91242774657</v>
      </c>
      <c r="AL32" s="219">
        <f t="shared" ca="1" si="111"/>
        <v>1215229.2165703289</v>
      </c>
      <c r="AM32" s="219">
        <f t="shared" ca="1" si="111"/>
        <v>1549417.2511271692</v>
      </c>
    </row>
    <row r="33" spans="1:39" x14ac:dyDescent="0.3">
      <c r="A33" s="383"/>
      <c r="B33" s="33">
        <f t="shared" ref="B33:G33" ca="1" si="112">B25*$G$28</f>
        <v>557135.78765895893</v>
      </c>
      <c r="C33" s="33">
        <f t="shared" ca="1" si="112"/>
        <v>904670.63900235586</v>
      </c>
      <c r="D33" s="33">
        <f t="shared" ca="1" si="112"/>
        <v>1121414.646263337</v>
      </c>
      <c r="E33" s="33">
        <f t="shared" ca="1" si="112"/>
        <v>1357005.9585035339</v>
      </c>
      <c r="F33" s="33">
        <f t="shared" ca="1" si="112"/>
        <v>1790493.9730254961</v>
      </c>
      <c r="G33" s="33">
        <f t="shared" ca="1" si="112"/>
        <v>2261676.5975058898</v>
      </c>
      <c r="I33" s="389"/>
      <c r="J33" s="33">
        <f t="shared" ref="J33:O33" ca="1" si="113">J25*$O$28</f>
        <v>138453.16792519393</v>
      </c>
      <c r="K33" s="33">
        <f t="shared" ca="1" si="113"/>
        <v>230387.20564145819</v>
      </c>
      <c r="L33" s="33">
        <f t="shared" ca="1" si="113"/>
        <v>310136.62297888601</v>
      </c>
      <c r="M33" s="33">
        <f t="shared" ca="1" si="113"/>
        <v>401700.7688107476</v>
      </c>
      <c r="N33" s="33">
        <f t="shared" ca="1" si="113"/>
        <v>561199.60348560323</v>
      </c>
      <c r="O33" s="33">
        <f t="shared" ca="1" si="113"/>
        <v>744327.89514932642</v>
      </c>
      <c r="Q33" s="379"/>
      <c r="R33" s="73">
        <f t="shared" ref="R33:W33" ca="1" si="114">R25*$W$28</f>
        <v>6775.2727347498449</v>
      </c>
      <c r="S33" s="73">
        <f t="shared" ca="1" si="114"/>
        <v>10367.424253865618</v>
      </c>
      <c r="T33" s="73">
        <f t="shared" ca="1" si="114"/>
        <v>14262.065111137887</v>
      </c>
      <c r="U33" s="73">
        <f t="shared" ca="1" si="114"/>
        <v>18376.122354735355</v>
      </c>
      <c r="V33" s="73">
        <f t="shared" ca="1" si="114"/>
        <v>22709.595984658019</v>
      </c>
      <c r="W33" s="73">
        <f t="shared" ca="1" si="114"/>
        <v>27262.486000905883</v>
      </c>
      <c r="Y33" s="379"/>
      <c r="Z33" s="33">
        <f t="shared" ref="Z33:AE33" ca="1" si="115">Z25*$AE$28</f>
        <v>189866.36570237146</v>
      </c>
      <c r="AA33" s="33">
        <f t="shared" ca="1" si="115"/>
        <v>316465.94181518978</v>
      </c>
      <c r="AB33" s="33">
        <f t="shared" ca="1" si="115"/>
        <v>406131.29199616017</v>
      </c>
      <c r="AC33" s="33">
        <f t="shared" ca="1" si="115"/>
        <v>506345.50690430368</v>
      </c>
      <c r="AD33" s="33">
        <f t="shared" ca="1" si="115"/>
        <v>685676.20726624457</v>
      </c>
      <c r="AE33" s="33">
        <f t="shared" ca="1" si="115"/>
        <v>886104.63708253147</v>
      </c>
      <c r="AG33" s="379"/>
      <c r="AH33" s="219">
        <f t="shared" ref="AH33:AM33" ca="1" si="116">AH25*$AM$28</f>
        <v>380414.19362048811</v>
      </c>
      <c r="AI33" s="219">
        <f t="shared" ca="1" si="116"/>
        <v>614365.88171055517</v>
      </c>
      <c r="AJ33" s="219">
        <f t="shared" ca="1" si="116"/>
        <v>771895.5949696718</v>
      </c>
      <c r="AK33" s="219">
        <f t="shared" ca="1" si="116"/>
        <v>945178.27955470025</v>
      </c>
      <c r="AL33" s="219">
        <f t="shared" ca="1" si="116"/>
        <v>1260237.7060729335</v>
      </c>
      <c r="AM33" s="219">
        <f t="shared" ca="1" si="116"/>
        <v>1606803.0752429904</v>
      </c>
    </row>
    <row r="34" spans="1:39" x14ac:dyDescent="0.3">
      <c r="A34" s="383"/>
      <c r="B34" s="33">
        <f t="shared" ref="B34:G34" ca="1" si="117">B26*$G$28</f>
        <v>573766.70669355465</v>
      </c>
      <c r="C34" s="33">
        <f t="shared" ca="1" si="117"/>
        <v>931675.73270391882</v>
      </c>
      <c r="D34" s="33">
        <f t="shared" ca="1" si="117"/>
        <v>1154889.7103308993</v>
      </c>
      <c r="E34" s="33">
        <f t="shared" ca="1" si="117"/>
        <v>1397513.5990558781</v>
      </c>
      <c r="F34" s="33">
        <f t="shared" ca="1" si="117"/>
        <v>1843941.5543098391</v>
      </c>
      <c r="G34" s="33">
        <f t="shared" ca="1" si="117"/>
        <v>2329189.3317597969</v>
      </c>
      <c r="I34" s="390"/>
      <c r="J34" s="33">
        <f t="shared" ref="J34:O34" ca="1" si="118">J26*$O$28</f>
        <v>151639.18391806958</v>
      </c>
      <c r="K34" s="33">
        <f t="shared" ca="1" si="118"/>
        <v>252328.844273978</v>
      </c>
      <c r="L34" s="33">
        <f t="shared" ca="1" si="118"/>
        <v>339673.4442149704</v>
      </c>
      <c r="M34" s="33">
        <f t="shared" ca="1" si="118"/>
        <v>439957.98488796165</v>
      </c>
      <c r="N34" s="33">
        <f t="shared" ca="1" si="118"/>
        <v>614647.18476994638</v>
      </c>
      <c r="O34" s="33">
        <f t="shared" ca="1" si="118"/>
        <v>815216.26611592888</v>
      </c>
      <c r="Q34" s="379"/>
      <c r="R34" s="73">
        <f t="shared" ref="R34:W34" ca="1" si="119">R26*$W$28</f>
        <v>7122.7226185831696</v>
      </c>
      <c r="S34" s="73">
        <f t="shared" ca="1" si="119"/>
        <v>10899.087036115136</v>
      </c>
      <c r="T34" s="73">
        <f t="shared" ca="1" si="119"/>
        <v>14993.453065555215</v>
      </c>
      <c r="U34" s="73">
        <f t="shared" ca="1" si="119"/>
        <v>19318.487603696143</v>
      </c>
      <c r="V34" s="73">
        <f t="shared" ca="1" si="119"/>
        <v>23874.190650537916</v>
      </c>
      <c r="W34" s="73">
        <f t="shared" ca="1" si="119"/>
        <v>28660.562206080544</v>
      </c>
      <c r="Y34" s="379"/>
      <c r="Z34" s="33">
        <f t="shared" ref="Z34:AE34" ca="1" si="120">Z26*$AE$28</f>
        <v>221510.75998610008</v>
      </c>
      <c r="AA34" s="33">
        <f t="shared" ca="1" si="120"/>
        <v>369210.26545105479</v>
      </c>
      <c r="AB34" s="33">
        <f t="shared" ca="1" si="120"/>
        <v>473819.84066218697</v>
      </c>
      <c r="AC34" s="33">
        <f t="shared" ca="1" si="120"/>
        <v>590736.42472168768</v>
      </c>
      <c r="AD34" s="33">
        <f t="shared" ca="1" si="120"/>
        <v>799955.57514395204</v>
      </c>
      <c r="AE34" s="33">
        <f t="shared" ca="1" si="120"/>
        <v>1033788.7432629534</v>
      </c>
      <c r="AG34" s="379"/>
      <c r="AH34" s="219">
        <f t="shared" ref="AH34:AM34" ca="1" si="121">AH26*$AM$28</f>
        <v>394000.41482121992</v>
      </c>
      <c r="AI34" s="219">
        <f t="shared" ca="1" si="121"/>
        <v>636307.52034307492</v>
      </c>
      <c r="AJ34" s="219">
        <f t="shared" ca="1" si="121"/>
        <v>799463.2947900173</v>
      </c>
      <c r="AK34" s="219">
        <f t="shared" ca="1" si="121"/>
        <v>978934.6466816538</v>
      </c>
      <c r="AL34" s="219">
        <f t="shared" ca="1" si="121"/>
        <v>1305246.1955755383</v>
      </c>
      <c r="AM34" s="219">
        <f t="shared" ca="1" si="121"/>
        <v>1664188.8993588113</v>
      </c>
    </row>
    <row r="36" spans="1:39" x14ac:dyDescent="0.3">
      <c r="A36" s="279"/>
      <c r="B36" s="276"/>
      <c r="C36" s="276"/>
      <c r="D36" s="276"/>
      <c r="E36" s="276"/>
      <c r="F36" s="276" t="s">
        <v>526</v>
      </c>
      <c r="G36" s="277">
        <f>'Relative Valuation Model'!B5</f>
        <v>207536.5</v>
      </c>
      <c r="I36" s="288"/>
      <c r="J36" s="291"/>
      <c r="K36" s="291"/>
      <c r="L36" s="291"/>
      <c r="M36" s="291"/>
      <c r="N36" s="291" t="s">
        <v>526</v>
      </c>
      <c r="O36" s="292">
        <f>'Relative Valuation Model'!C5</f>
        <v>21006.100000000002</v>
      </c>
      <c r="Q36" s="300"/>
      <c r="R36" s="301"/>
      <c r="S36" s="301"/>
      <c r="T36" s="301"/>
      <c r="U36" s="301"/>
      <c r="V36" s="301" t="s">
        <v>526</v>
      </c>
      <c r="W36" s="302">
        <f>'Relative Valuation Model'!D5</f>
        <v>-263.5</v>
      </c>
      <c r="Y36" s="309"/>
      <c r="Z36" s="310"/>
      <c r="AA36" s="310"/>
      <c r="AB36" s="310"/>
      <c r="AC36" s="310"/>
      <c r="AD36" s="310" t="s">
        <v>526</v>
      </c>
      <c r="AE36" s="311">
        <f>'Relative Valuation Model'!F5</f>
        <v>232971.90000000002</v>
      </c>
      <c r="AG36" s="318"/>
      <c r="AH36" s="319"/>
      <c r="AI36" s="319"/>
      <c r="AJ36" s="319"/>
      <c r="AK36" s="319"/>
      <c r="AL36" s="319" t="s">
        <v>526</v>
      </c>
      <c r="AM36" s="320">
        <f>WACC!H11-WACC!H22</f>
        <v>77101</v>
      </c>
    </row>
    <row r="37" spans="1:39" x14ac:dyDescent="0.3">
      <c r="A37" s="380" t="s">
        <v>485</v>
      </c>
      <c r="B37" s="278">
        <f ca="1">B29-$G$36</f>
        <v>283503.02613976481</v>
      </c>
      <c r="C37" s="278">
        <f t="shared" ref="C37:G37" ca="1" si="122">C29-$G$36</f>
        <v>589807.79510423471</v>
      </c>
      <c r="D37" s="278">
        <f t="shared" ca="1" si="122"/>
        <v>780838.19913962414</v>
      </c>
      <c r="E37" s="278">
        <f t="shared" ca="1" si="122"/>
        <v>988479.94265635195</v>
      </c>
      <c r="F37" s="278">
        <f t="shared" ca="1" si="122"/>
        <v>1370540.750727131</v>
      </c>
      <c r="G37" s="278">
        <f t="shared" ca="1" si="122"/>
        <v>1785824.2377605864</v>
      </c>
      <c r="I37" s="388" t="s">
        <v>485</v>
      </c>
      <c r="J37" s="219">
        <f ca="1">J29-$O$36</f>
        <v>64703.003953691485</v>
      </c>
      <c r="K37" s="219">
        <f t="shared" ref="K37:O37" ca="1" si="123">K29-$O$36</f>
        <v>121614.55111137885</v>
      </c>
      <c r="L37" s="219">
        <f t="shared" ca="1" si="123"/>
        <v>170983.23803454847</v>
      </c>
      <c r="M37" s="219">
        <f t="shared" ca="1" si="123"/>
        <v>227665.80450189137</v>
      </c>
      <c r="N37" s="219">
        <f t="shared" ca="1" si="123"/>
        <v>326403.17834823061</v>
      </c>
      <c r="O37" s="219">
        <f t="shared" ca="1" si="123"/>
        <v>439768.3112829164</v>
      </c>
      <c r="Q37" s="390" t="s">
        <v>485</v>
      </c>
      <c r="R37" s="278">
        <f ca="1">R29-$W$36</f>
        <v>5258.092080104052</v>
      </c>
      <c r="S37" s="278">
        <f t="shared" ref="S37:W37" ca="1" si="124">S29-$W$36</f>
        <v>7906.1524948368333</v>
      </c>
      <c r="T37" s="278">
        <f t="shared" ca="1" si="124"/>
        <v>10777.201844749083</v>
      </c>
      <c r="U37" s="278">
        <f t="shared" ca="1" si="124"/>
        <v>13810.000453811319</v>
      </c>
      <c r="V37" s="278">
        <f t="shared" ca="1" si="124"/>
        <v>17004.54832202354</v>
      </c>
      <c r="W37" s="278">
        <f t="shared" ca="1" si="124"/>
        <v>20360.845449385746</v>
      </c>
      <c r="Y37" s="378" t="s">
        <v>485</v>
      </c>
      <c r="Z37" s="219">
        <f ca="1">Z29-$AE$36</f>
        <v>-169683.11143254285</v>
      </c>
      <c r="AA37" s="219">
        <f t="shared" ref="AA37:AE37" ca="1" si="125">AA29-$AE$36</f>
        <v>-127483.25272827009</v>
      </c>
      <c r="AB37" s="219">
        <f t="shared" ca="1" si="125"/>
        <v>-97594.802667946613</v>
      </c>
      <c r="AC37" s="219">
        <f t="shared" ca="1" si="125"/>
        <v>-64190.064365232131</v>
      </c>
      <c r="AD37" s="219">
        <f t="shared" ca="1" si="125"/>
        <v>-4413.1642445851758</v>
      </c>
      <c r="AE37" s="219">
        <f t="shared" ca="1" si="125"/>
        <v>62396.312360843818</v>
      </c>
      <c r="AG37" s="378" t="s">
        <v>485</v>
      </c>
      <c r="AH37" s="219">
        <f ca="1">AH29-$AM$36</f>
        <v>246645.06499223621</v>
      </c>
      <c r="AI37" s="219">
        <f t="shared" ref="AI37:AM37" ca="1" si="126">AI29-$AM$36</f>
        <v>445746.30697431491</v>
      </c>
      <c r="AJ37" s="219">
        <f t="shared" ca="1" si="126"/>
        <v>579809.71901901101</v>
      </c>
      <c r="AK37" s="219">
        <f t="shared" ca="1" si="126"/>
        <v>727279.47226817696</v>
      </c>
      <c r="AL37" s="219">
        <f t="shared" ca="1" si="126"/>
        <v>995406.29635756905</v>
      </c>
      <c r="AM37" s="219">
        <f t="shared" ca="1" si="126"/>
        <v>1290345.8028559007</v>
      </c>
    </row>
    <row r="38" spans="1:39" x14ac:dyDescent="0.3">
      <c r="A38" s="381"/>
      <c r="B38" s="219">
        <f t="shared" ref="B38:G38" ca="1" si="127">B30-$G$36</f>
        <v>299706.53055517154</v>
      </c>
      <c r="C38" s="219">
        <f t="shared" ca="1" si="127"/>
        <v>616118.85789766733</v>
      </c>
      <c r="D38" s="219">
        <f t="shared" ca="1" si="127"/>
        <v>813452.95406065008</v>
      </c>
      <c r="E38" s="219">
        <f t="shared" ca="1" si="127"/>
        <v>1027946.5368465011</v>
      </c>
      <c r="F38" s="219">
        <f t="shared" ca="1" si="127"/>
        <v>1422614.7291724666</v>
      </c>
      <c r="G38" s="219">
        <f t="shared" ca="1" si="127"/>
        <v>1851601.8947441683</v>
      </c>
      <c r="I38" s="389"/>
      <c r="J38" s="219">
        <f t="shared" ref="J38:O42" ca="1" si="128">J30-$O$36</f>
        <v>77889.019946567103</v>
      </c>
      <c r="K38" s="219">
        <f t="shared" ca="1" si="128"/>
        <v>143556.18974389869</v>
      </c>
      <c r="L38" s="219">
        <f t="shared" ca="1" si="128"/>
        <v>200520.05927063283</v>
      </c>
      <c r="M38" s="219">
        <f t="shared" ca="1" si="128"/>
        <v>265923.02057910542</v>
      </c>
      <c r="N38" s="219">
        <f t="shared" ca="1" si="128"/>
        <v>379850.75963257375</v>
      </c>
      <c r="O38" s="219">
        <f t="shared" ca="1" si="128"/>
        <v>510656.68224951893</v>
      </c>
      <c r="Q38" s="379"/>
      <c r="R38" s="278">
        <f t="shared" ref="R38:W38" ca="1" si="129">R30-$W$36</f>
        <v>5648.973199416544</v>
      </c>
      <c r="S38" s="278">
        <f t="shared" ca="1" si="129"/>
        <v>8504.2731248675427</v>
      </c>
      <c r="T38" s="278">
        <f t="shared" ca="1" si="129"/>
        <v>11600.013293468577</v>
      </c>
      <c r="U38" s="278">
        <f t="shared" ca="1" si="129"/>
        <v>14870.161358892205</v>
      </c>
      <c r="V38" s="278">
        <f t="shared" ca="1" si="129"/>
        <v>18314.717321138425</v>
      </c>
      <c r="W38" s="278">
        <f t="shared" ca="1" si="129"/>
        <v>21933.681180207237</v>
      </c>
      <c r="Y38" s="378"/>
      <c r="Z38" s="219">
        <f t="shared" ref="Z38:AE38" ca="1" si="130">Z30-$AE$36</f>
        <v>-138038.71714881429</v>
      </c>
      <c r="AA38" s="219">
        <f t="shared" ca="1" si="130"/>
        <v>-74738.929092405131</v>
      </c>
      <c r="AB38" s="219">
        <f t="shared" ca="1" si="130"/>
        <v>-29906.254001919937</v>
      </c>
      <c r="AC38" s="219">
        <f t="shared" ca="1" si="130"/>
        <v>20200.853452151816</v>
      </c>
      <c r="AD38" s="219">
        <f t="shared" ca="1" si="130"/>
        <v>109866.20363312226</v>
      </c>
      <c r="AE38" s="219">
        <f t="shared" ca="1" si="130"/>
        <v>210080.41854126571</v>
      </c>
      <c r="AG38" s="378"/>
      <c r="AH38" s="219">
        <f t="shared" ref="AH38:AM38" ca="1" si="131">AH30-$AM$36</f>
        <v>262554.53001829295</v>
      </c>
      <c r="AI38" s="219">
        <f t="shared" ca="1" si="131"/>
        <v>471439.96581299568</v>
      </c>
      <c r="AJ38" s="219">
        <f t="shared" ca="1" si="131"/>
        <v>612091.49550863553</v>
      </c>
      <c r="AK38" s="219">
        <f t="shared" ca="1" si="131"/>
        <v>766808.17817383946</v>
      </c>
      <c r="AL38" s="219">
        <f t="shared" ca="1" si="131"/>
        <v>1048111.2375651193</v>
      </c>
      <c r="AM38" s="219">
        <f t="shared" ca="1" si="131"/>
        <v>1357544.6028955271</v>
      </c>
    </row>
    <row r="39" spans="1:39" x14ac:dyDescent="0.3">
      <c r="A39" s="381"/>
      <c r="B39" s="219">
        <f t="shared" ref="B39:G39" ca="1" si="132">B31-$G$36</f>
        <v>316337.44958976726</v>
      </c>
      <c r="C39" s="219">
        <f t="shared" ca="1" si="132"/>
        <v>643123.95159923017</v>
      </c>
      <c r="D39" s="219">
        <f t="shared" ca="1" si="132"/>
        <v>846928.01812821231</v>
      </c>
      <c r="E39" s="219">
        <f t="shared" ca="1" si="132"/>
        <v>1068454.1773988453</v>
      </c>
      <c r="F39" s="219">
        <f t="shared" ca="1" si="132"/>
        <v>1476062.3104568098</v>
      </c>
      <c r="G39" s="219">
        <f t="shared" ca="1" si="132"/>
        <v>1919114.6289980756</v>
      </c>
      <c r="I39" s="389"/>
      <c r="J39" s="219">
        <f t="shared" ca="1" si="128"/>
        <v>91075.035939442707</v>
      </c>
      <c r="K39" s="219">
        <f t="shared" ca="1" si="128"/>
        <v>165497.8283764185</v>
      </c>
      <c r="L39" s="219">
        <f t="shared" ca="1" si="128"/>
        <v>230056.88050671725</v>
      </c>
      <c r="M39" s="219">
        <f t="shared" ca="1" si="128"/>
        <v>304180.23665631952</v>
      </c>
      <c r="N39" s="219">
        <f t="shared" ca="1" si="128"/>
        <v>433298.34091691696</v>
      </c>
      <c r="O39" s="219">
        <f t="shared" ca="1" si="128"/>
        <v>581545.05321612139</v>
      </c>
      <c r="Q39" s="379"/>
      <c r="R39" s="278">
        <f t="shared" ref="R39:W39" ca="1" si="133">R31-$W$36</f>
        <v>5996.4230832498688</v>
      </c>
      <c r="S39" s="278">
        <f t="shared" ca="1" si="133"/>
        <v>9035.9359071170602</v>
      </c>
      <c r="T39" s="278">
        <f t="shared" ca="1" si="133"/>
        <v>12331.401247885904</v>
      </c>
      <c r="U39" s="278">
        <f t="shared" ca="1" si="133"/>
        <v>15812.526607852993</v>
      </c>
      <c r="V39" s="278">
        <f t="shared" ca="1" si="133"/>
        <v>19479.311987018325</v>
      </c>
      <c r="W39" s="278">
        <f t="shared" ca="1" si="133"/>
        <v>23331.757385381901</v>
      </c>
      <c r="Y39" s="378"/>
      <c r="Z39" s="219">
        <f t="shared" ref="Z39:AE39" ca="1" si="134">Z31-$AE$36</f>
        <v>-107533.52105929992</v>
      </c>
      <c r="AA39" s="219">
        <f t="shared" ca="1" si="134"/>
        <v>-23893.401107431302</v>
      </c>
      <c r="AB39" s="219">
        <f t="shared" ca="1" si="134"/>
        <v>35345.506912129873</v>
      </c>
      <c r="AC39" s="219">
        <f t="shared" ca="1" si="134"/>
        <v>101553.69822810992</v>
      </c>
      <c r="AD39" s="219">
        <f t="shared" ca="1" si="134"/>
        <v>220031.51426723221</v>
      </c>
      <c r="AE39" s="219">
        <f t="shared" ca="1" si="134"/>
        <v>352447.89689919236</v>
      </c>
      <c r="AG39" s="378"/>
      <c r="AH39" s="219">
        <f t="shared" ref="AH39:AM39" ca="1" si="135">AH31-$AM$36</f>
        <v>276140.75121902471</v>
      </c>
      <c r="AI39" s="219">
        <f t="shared" ca="1" si="135"/>
        <v>493381.60444551543</v>
      </c>
      <c r="AJ39" s="219">
        <f t="shared" ca="1" si="135"/>
        <v>639659.19532898103</v>
      </c>
      <c r="AK39" s="219">
        <f t="shared" ca="1" si="135"/>
        <v>800564.54530079302</v>
      </c>
      <c r="AL39" s="219">
        <f t="shared" ca="1" si="135"/>
        <v>1093119.7270677241</v>
      </c>
      <c r="AM39" s="219">
        <f t="shared" ca="1" si="135"/>
        <v>1414930.4270113481</v>
      </c>
    </row>
    <row r="40" spans="1:39" x14ac:dyDescent="0.3">
      <c r="A40" s="381"/>
      <c r="B40" s="219">
        <f t="shared" ref="B40:G40" ca="1" si="136">B32-$G$36</f>
        <v>332968.36862436309</v>
      </c>
      <c r="C40" s="219">
        <f t="shared" ca="1" si="136"/>
        <v>670129.04530079302</v>
      </c>
      <c r="D40" s="219">
        <f t="shared" ca="1" si="136"/>
        <v>880403.08219577465</v>
      </c>
      <c r="E40" s="219">
        <f t="shared" ca="1" si="136"/>
        <v>1108961.8179511896</v>
      </c>
      <c r="F40" s="219">
        <f t="shared" ca="1" si="136"/>
        <v>1529509.8917411529</v>
      </c>
      <c r="G40" s="219">
        <f t="shared" ca="1" si="136"/>
        <v>1986627.3632519827</v>
      </c>
      <c r="I40" s="389"/>
      <c r="J40" s="219">
        <f t="shared" ca="1" si="128"/>
        <v>104261.05193231833</v>
      </c>
      <c r="K40" s="219">
        <f t="shared" ca="1" si="128"/>
        <v>187439.46700893834</v>
      </c>
      <c r="L40" s="219">
        <f t="shared" ca="1" si="128"/>
        <v>259593.70174280161</v>
      </c>
      <c r="M40" s="219">
        <f t="shared" ca="1" si="128"/>
        <v>342437.45273353357</v>
      </c>
      <c r="N40" s="219">
        <f t="shared" ca="1" si="128"/>
        <v>486745.92220126011</v>
      </c>
      <c r="O40" s="219">
        <f t="shared" ca="1" si="128"/>
        <v>652433.42418272397</v>
      </c>
      <c r="Q40" s="379"/>
      <c r="R40" s="278">
        <f t="shared" ref="R40:W40" ca="1" si="137">R32-$W$36</f>
        <v>6343.8729670831945</v>
      </c>
      <c r="S40" s="278">
        <f t="shared" ca="1" si="137"/>
        <v>9567.5986893665795</v>
      </c>
      <c r="T40" s="278">
        <f t="shared" ca="1" si="137"/>
        <v>13062.789202303233</v>
      </c>
      <c r="U40" s="278">
        <f t="shared" ca="1" si="137"/>
        <v>16754.891856813781</v>
      </c>
      <c r="V40" s="278">
        <f t="shared" ca="1" si="137"/>
        <v>20643.906652898226</v>
      </c>
      <c r="W40" s="278">
        <f t="shared" ca="1" si="137"/>
        <v>24729.833590556565</v>
      </c>
      <c r="Y40" s="378"/>
      <c r="Z40" s="219">
        <f t="shared" ref="Z40:AE40" ca="1" si="138">Z32-$AE$36</f>
        <v>-74749.928581357119</v>
      </c>
      <c r="AA40" s="219">
        <f t="shared" ca="1" si="138"/>
        <v>30749.718179324816</v>
      </c>
      <c r="AB40" s="219">
        <f t="shared" ca="1" si="138"/>
        <v>105470.84333013353</v>
      </c>
      <c r="AC40" s="219">
        <f t="shared" ca="1" si="138"/>
        <v>188982.68908691971</v>
      </c>
      <c r="AD40" s="219">
        <f t="shared" ca="1" si="138"/>
        <v>338424.93938853708</v>
      </c>
      <c r="AE40" s="219">
        <f t="shared" ca="1" si="138"/>
        <v>505448.63090210955</v>
      </c>
      <c r="AG40" s="378"/>
      <c r="AH40" s="219">
        <f t="shared" ref="AH40:AM40" ca="1" si="139">AH32-$AM$36</f>
        <v>289726.97241975646</v>
      </c>
      <c r="AI40" s="219">
        <f t="shared" ca="1" si="139"/>
        <v>515323.2430780353</v>
      </c>
      <c r="AJ40" s="219">
        <f t="shared" ca="1" si="139"/>
        <v>667226.89514932642</v>
      </c>
      <c r="AK40" s="219">
        <f t="shared" ca="1" si="139"/>
        <v>834320.91242774657</v>
      </c>
      <c r="AL40" s="219">
        <f t="shared" ca="1" si="139"/>
        <v>1138128.2165703289</v>
      </c>
      <c r="AM40" s="219">
        <f t="shared" ca="1" si="139"/>
        <v>1472316.2511271692</v>
      </c>
    </row>
    <row r="41" spans="1:39" x14ac:dyDescent="0.3">
      <c r="A41" s="381"/>
      <c r="B41" s="219">
        <f t="shared" ref="B41:G41" ca="1" si="140">B33-$G$36</f>
        <v>349599.28765895893</v>
      </c>
      <c r="C41" s="219">
        <f t="shared" ca="1" si="140"/>
        <v>697134.13900235586</v>
      </c>
      <c r="D41" s="219">
        <f t="shared" ca="1" si="140"/>
        <v>913878.146263337</v>
      </c>
      <c r="E41" s="219">
        <f t="shared" ca="1" si="140"/>
        <v>1149469.4585035339</v>
      </c>
      <c r="F41" s="219">
        <f t="shared" ca="1" si="140"/>
        <v>1582957.4730254961</v>
      </c>
      <c r="G41" s="219">
        <f t="shared" ca="1" si="140"/>
        <v>2054140.0975058898</v>
      </c>
      <c r="I41" s="389"/>
      <c r="J41" s="219">
        <f t="shared" ca="1" si="128"/>
        <v>117447.06792519393</v>
      </c>
      <c r="K41" s="219">
        <f t="shared" ca="1" si="128"/>
        <v>209381.10564145818</v>
      </c>
      <c r="L41" s="219">
        <f t="shared" ca="1" si="128"/>
        <v>289130.52297888603</v>
      </c>
      <c r="M41" s="219">
        <f t="shared" ca="1" si="128"/>
        <v>380694.66881074762</v>
      </c>
      <c r="N41" s="219">
        <f t="shared" ca="1" si="128"/>
        <v>540193.50348560326</v>
      </c>
      <c r="O41" s="219">
        <f t="shared" ca="1" si="128"/>
        <v>723321.79514932644</v>
      </c>
      <c r="Q41" s="379"/>
      <c r="R41" s="278">
        <f t="shared" ref="R41:W41" ca="1" si="141">R33-$W$36</f>
        <v>7038.7727347498449</v>
      </c>
      <c r="S41" s="278">
        <f t="shared" ca="1" si="141"/>
        <v>10630.924253865618</v>
      </c>
      <c r="T41" s="278">
        <f t="shared" ca="1" si="141"/>
        <v>14525.565111137887</v>
      </c>
      <c r="U41" s="278">
        <f t="shared" ca="1" si="141"/>
        <v>18639.622354735355</v>
      </c>
      <c r="V41" s="278">
        <f t="shared" ca="1" si="141"/>
        <v>22973.095984658019</v>
      </c>
      <c r="W41" s="278">
        <f t="shared" ca="1" si="141"/>
        <v>27525.986000905883</v>
      </c>
      <c r="Y41" s="378"/>
      <c r="Z41" s="219">
        <f t="shared" ref="Z41:AE41" ca="1" si="142">Z33-$AE$36</f>
        <v>-43105.534297628561</v>
      </c>
      <c r="AA41" s="219">
        <f t="shared" ca="1" si="142"/>
        <v>83494.041815189761</v>
      </c>
      <c r="AB41" s="219">
        <f t="shared" ca="1" si="142"/>
        <v>173159.39199616015</v>
      </c>
      <c r="AC41" s="219">
        <f t="shared" ca="1" si="142"/>
        <v>273373.60690430366</v>
      </c>
      <c r="AD41" s="219">
        <f t="shared" ca="1" si="142"/>
        <v>452704.30726624455</v>
      </c>
      <c r="AE41" s="219">
        <f t="shared" ca="1" si="142"/>
        <v>653132.73708253144</v>
      </c>
      <c r="AG41" s="378"/>
      <c r="AH41" s="219">
        <f t="shared" ref="AH41:AM41" ca="1" si="143">AH33-$AM$36</f>
        <v>303313.19362048811</v>
      </c>
      <c r="AI41" s="219">
        <f t="shared" ca="1" si="143"/>
        <v>537264.88171055517</v>
      </c>
      <c r="AJ41" s="219">
        <f t="shared" ca="1" si="143"/>
        <v>694794.5949696718</v>
      </c>
      <c r="AK41" s="219">
        <f t="shared" ca="1" si="143"/>
        <v>868077.27955470025</v>
      </c>
      <c r="AL41" s="219">
        <f t="shared" ca="1" si="143"/>
        <v>1183136.7060729335</v>
      </c>
      <c r="AM41" s="219">
        <f t="shared" ca="1" si="143"/>
        <v>1529702.0752429904</v>
      </c>
    </row>
    <row r="42" spans="1:39" x14ac:dyDescent="0.3">
      <c r="A42" s="381"/>
      <c r="B42" s="219">
        <f t="shared" ref="B42:G42" ca="1" si="144">B34-$G$36</f>
        <v>366230.20669355465</v>
      </c>
      <c r="C42" s="219">
        <f t="shared" ca="1" si="144"/>
        <v>724139.23270391882</v>
      </c>
      <c r="D42" s="219">
        <f t="shared" ca="1" si="144"/>
        <v>947353.21033089934</v>
      </c>
      <c r="E42" s="219">
        <f t="shared" ca="1" si="144"/>
        <v>1189977.0990558781</v>
      </c>
      <c r="F42" s="219">
        <f t="shared" ca="1" si="144"/>
        <v>1636405.0543098391</v>
      </c>
      <c r="G42" s="219">
        <f t="shared" ca="1" si="144"/>
        <v>2121652.8317597969</v>
      </c>
      <c r="I42" s="390"/>
      <c r="J42" s="219">
        <f t="shared" ca="1" si="128"/>
        <v>130633.08391806958</v>
      </c>
      <c r="K42" s="219">
        <f t="shared" ca="1" si="128"/>
        <v>231322.74427397799</v>
      </c>
      <c r="L42" s="219">
        <f t="shared" ca="1" si="128"/>
        <v>318667.34421497042</v>
      </c>
      <c r="M42" s="219">
        <f t="shared" ca="1" si="128"/>
        <v>418951.88488796167</v>
      </c>
      <c r="N42" s="219">
        <f t="shared" ca="1" si="128"/>
        <v>593641.08476994641</v>
      </c>
      <c r="O42" s="219">
        <f t="shared" ca="1" si="128"/>
        <v>794210.16611592891</v>
      </c>
      <c r="Q42" s="379"/>
      <c r="R42" s="278">
        <f t="shared" ref="R42:W42" ca="1" si="145">R34-$W$36</f>
        <v>7386.2226185831696</v>
      </c>
      <c r="S42" s="278">
        <f t="shared" ca="1" si="145"/>
        <v>11162.587036115136</v>
      </c>
      <c r="T42" s="278">
        <f t="shared" ca="1" si="145"/>
        <v>15256.953065555215</v>
      </c>
      <c r="U42" s="278">
        <f t="shared" ca="1" si="145"/>
        <v>19581.987603696143</v>
      </c>
      <c r="V42" s="278">
        <f t="shared" ca="1" si="145"/>
        <v>24137.690650537916</v>
      </c>
      <c r="W42" s="278">
        <f t="shared" ca="1" si="145"/>
        <v>28924.062206080544</v>
      </c>
      <c r="Y42" s="378"/>
      <c r="Z42" s="219">
        <f t="shared" ref="Z42:AE42" ca="1" si="146">Z34-$AE$36</f>
        <v>-11461.140013899945</v>
      </c>
      <c r="AA42" s="219">
        <f t="shared" ca="1" si="146"/>
        <v>136238.36545105476</v>
      </c>
      <c r="AB42" s="219">
        <f t="shared" ca="1" si="146"/>
        <v>240847.94066218694</v>
      </c>
      <c r="AC42" s="219">
        <f t="shared" ca="1" si="146"/>
        <v>357764.52472168766</v>
      </c>
      <c r="AD42" s="219">
        <f t="shared" ca="1" si="146"/>
        <v>566983.67514395202</v>
      </c>
      <c r="AE42" s="219">
        <f t="shared" ca="1" si="146"/>
        <v>800816.84326295333</v>
      </c>
      <c r="AG42" s="378"/>
      <c r="AH42" s="219">
        <f t="shared" ref="AH42:AM42" ca="1" si="147">AH34-$AM$36</f>
        <v>316899.41482121992</v>
      </c>
      <c r="AI42" s="219">
        <f t="shared" ca="1" si="147"/>
        <v>559206.52034307492</v>
      </c>
      <c r="AJ42" s="219">
        <f t="shared" ca="1" si="147"/>
        <v>722362.2947900173</v>
      </c>
      <c r="AK42" s="219">
        <f t="shared" ca="1" si="147"/>
        <v>901833.6466816538</v>
      </c>
      <c r="AL42" s="219">
        <f t="shared" ca="1" si="147"/>
        <v>1228145.1955755383</v>
      </c>
      <c r="AM42" s="219">
        <f t="shared" ca="1" si="147"/>
        <v>1587087.8993588113</v>
      </c>
    </row>
    <row r="44" spans="1:39" ht="28.8" x14ac:dyDescent="0.3">
      <c r="A44" s="279"/>
      <c r="B44" s="276"/>
      <c r="C44" s="276"/>
      <c r="D44" s="276"/>
      <c r="E44" s="276"/>
      <c r="F44" s="280" t="s">
        <v>7</v>
      </c>
      <c r="G44" s="277">
        <f ca="1">'Relative Valuation Model'!B11</f>
        <v>609.10799999999995</v>
      </c>
      <c r="I44" s="288"/>
      <c r="J44" s="291"/>
      <c r="K44" s="291"/>
      <c r="L44" s="291"/>
      <c r="M44" s="291"/>
      <c r="N44" s="293" t="s">
        <v>7</v>
      </c>
      <c r="O44" s="292">
        <f ca="1">'Relative Valuation Model'!C11</f>
        <v>263.71350000000001</v>
      </c>
      <c r="Q44" s="300"/>
      <c r="R44" s="301"/>
      <c r="S44" s="301"/>
      <c r="T44" s="301"/>
      <c r="U44" s="301"/>
      <c r="V44" s="303" t="s">
        <v>7</v>
      </c>
      <c r="W44" s="302">
        <f ca="1">'Relative Valuation Model'!D11</f>
        <v>32.09384</v>
      </c>
      <c r="Y44" s="309"/>
      <c r="Z44" s="310"/>
      <c r="AA44" s="310"/>
      <c r="AB44" s="310"/>
      <c r="AC44" s="310"/>
      <c r="AD44" s="312" t="s">
        <v>7</v>
      </c>
      <c r="AE44" s="311">
        <f ca="1">'Relative Valuation Model'!F11</f>
        <v>10834.3</v>
      </c>
      <c r="AG44" s="318"/>
      <c r="AH44" s="319"/>
      <c r="AI44" s="319"/>
      <c r="AJ44" s="319"/>
      <c r="AK44" s="319"/>
      <c r="AL44" s="321" t="s">
        <v>7</v>
      </c>
      <c r="AM44" s="320">
        <f>'Relative Valuation Model'!G11</f>
        <v>4500</v>
      </c>
    </row>
    <row r="45" spans="1:39" x14ac:dyDescent="0.3">
      <c r="A45" s="380" t="s">
        <v>6</v>
      </c>
      <c r="B45" s="73">
        <f ca="1">B37/$G$44</f>
        <v>465.43966938501029</v>
      </c>
      <c r="C45" s="73">
        <f t="shared" ref="C45:G45" ca="1" si="148">C37/$G$44</f>
        <v>968.31398553989561</v>
      </c>
      <c r="D45" s="73">
        <f t="shared" ca="1" si="148"/>
        <v>1281.9371919916077</v>
      </c>
      <c r="E45" s="73">
        <f t="shared" ca="1" si="148"/>
        <v>1622.8319816130343</v>
      </c>
      <c r="F45" s="73">
        <f t="shared" ca="1" si="148"/>
        <v>2250.078394516459</v>
      </c>
      <c r="G45" s="73">
        <f t="shared" ca="1" si="148"/>
        <v>2931.8679737593111</v>
      </c>
      <c r="I45" s="388" t="s">
        <v>6</v>
      </c>
      <c r="J45" s="33">
        <f ca="1">J37/$O$44</f>
        <v>245.35340038978467</v>
      </c>
      <c r="K45" s="33">
        <f t="shared" ref="K45:O45" ca="1" si="149">K37/$O$44</f>
        <v>461.16164364501191</v>
      </c>
      <c r="L45" s="33">
        <f t="shared" ca="1" si="149"/>
        <v>648.36740642609675</v>
      </c>
      <c r="M45" s="33">
        <f t="shared" ca="1" si="149"/>
        <v>863.30735628586081</v>
      </c>
      <c r="N45" s="33">
        <f t="shared" ca="1" si="149"/>
        <v>1237.7188818480306</v>
      </c>
      <c r="O45" s="33">
        <f t="shared" ca="1" si="149"/>
        <v>1667.5987815675587</v>
      </c>
      <c r="Q45" s="378" t="s">
        <v>6</v>
      </c>
      <c r="R45" s="33">
        <f ca="1">R37/$W$44</f>
        <v>163.83493156643306</v>
      </c>
      <c r="S45" s="33">
        <f t="shared" ref="S45:W45" ca="1" si="150">S37/$W$44</f>
        <v>246.34485916415215</v>
      </c>
      <c r="T45" s="33">
        <f t="shared" ca="1" si="150"/>
        <v>335.80281589080903</v>
      </c>
      <c r="U45" s="33">
        <f t="shared" ca="1" si="150"/>
        <v>430.30065750347478</v>
      </c>
      <c r="V45" s="33">
        <f t="shared" ca="1" si="150"/>
        <v>529.83838400214927</v>
      </c>
      <c r="W45" s="33">
        <f t="shared" ca="1" si="150"/>
        <v>634.41599538683272</v>
      </c>
      <c r="Y45" s="378" t="s">
        <v>6</v>
      </c>
      <c r="Z45" s="33">
        <f ca="1">Z37/$AE$44</f>
        <v>-15.661658938052561</v>
      </c>
      <c r="AA45" s="33">
        <f t="shared" ref="AA45:AE45" ca="1" si="151">AA37/$AE$44</f>
        <v>-11.766634921339643</v>
      </c>
      <c r="AB45" s="33">
        <f t="shared" ca="1" si="151"/>
        <v>-9.0079472294422924</v>
      </c>
      <c r="AC45" s="33">
        <f t="shared" ca="1" si="151"/>
        <v>-5.9247080443805444</v>
      </c>
      <c r="AD45" s="33">
        <f t="shared" ca="1" si="151"/>
        <v>-0.40733266058584089</v>
      </c>
      <c r="AE45" s="33">
        <f t="shared" ca="1" si="151"/>
        <v>5.7591457095376555</v>
      </c>
      <c r="AG45" s="378" t="s">
        <v>6</v>
      </c>
      <c r="AH45" s="33">
        <f ca="1">AH37/$AM$44</f>
        <v>54.810014442719158</v>
      </c>
      <c r="AI45" s="33">
        <f t="shared" ref="AI45:AM45" ca="1" si="152">AI37/$AM$44</f>
        <v>99.054734883181098</v>
      </c>
      <c r="AJ45" s="33">
        <f t="shared" ca="1" si="152"/>
        <v>128.84660422644689</v>
      </c>
      <c r="AK45" s="33">
        <f t="shared" ca="1" si="152"/>
        <v>161.61766050403932</v>
      </c>
      <c r="AL45" s="33">
        <f t="shared" ca="1" si="152"/>
        <v>221.2013991905709</v>
      </c>
      <c r="AM45" s="33">
        <f t="shared" ca="1" si="152"/>
        <v>286.74351174575571</v>
      </c>
    </row>
    <row r="46" spans="1:39" x14ac:dyDescent="0.3">
      <c r="A46" s="381"/>
      <c r="B46" s="33">
        <f t="shared" ref="B46:G46" ca="1" si="153">B38/$G$44</f>
        <v>492.04169138341899</v>
      </c>
      <c r="C46" s="33">
        <f t="shared" ca="1" si="153"/>
        <v>1011.5100407442808</v>
      </c>
      <c r="D46" s="33">
        <f t="shared" ca="1" si="153"/>
        <v>1335.4823020887102</v>
      </c>
      <c r="E46" s="33">
        <f t="shared" ca="1" si="153"/>
        <v>1687.6260644196122</v>
      </c>
      <c r="F46" s="33">
        <f t="shared" ca="1" si="153"/>
        <v>2335.570587108471</v>
      </c>
      <c r="G46" s="33">
        <f t="shared" ca="1" si="153"/>
        <v>3039.8581117702747</v>
      </c>
      <c r="I46" s="389"/>
      <c r="J46" s="33">
        <f t="shared" ref="J46:O46" ca="1" si="154">J38/$O$44</f>
        <v>295.35469343271052</v>
      </c>
      <c r="K46" s="33">
        <f t="shared" ca="1" si="154"/>
        <v>544.36420488104966</v>
      </c>
      <c r="L46" s="33">
        <f t="shared" ca="1" si="154"/>
        <v>760.37085424383974</v>
      </c>
      <c r="M46" s="33">
        <f t="shared" ca="1" si="154"/>
        <v>1008.3784886974137</v>
      </c>
      <c r="N46" s="33">
        <f t="shared" ca="1" si="154"/>
        <v>1440.391787422994</v>
      </c>
      <c r="O46" s="33">
        <f t="shared" ca="1" si="154"/>
        <v>1936.407056330142</v>
      </c>
      <c r="Q46" s="378"/>
      <c r="R46" s="33">
        <f t="shared" ref="R46:W46" ca="1" si="155">R38/$W$44</f>
        <v>176.01425069161385</v>
      </c>
      <c r="S46" s="33">
        <f t="shared" ca="1" si="155"/>
        <v>264.98147697089354</v>
      </c>
      <c r="T46" s="33">
        <f t="shared" ca="1" si="155"/>
        <v>361.44049118050617</v>
      </c>
      <c r="U46" s="33">
        <f t="shared" ca="1" si="155"/>
        <v>463.33381604981531</v>
      </c>
      <c r="V46" s="33">
        <f t="shared" ca="1" si="155"/>
        <v>570.6614515788209</v>
      </c>
      <c r="W46" s="33">
        <f t="shared" ca="1" si="155"/>
        <v>683.42339776752294</v>
      </c>
      <c r="Y46" s="378"/>
      <c r="Z46" s="33">
        <f t="shared" ref="Z46:AE50" ca="1" si="156">Z38/$AE$44</f>
        <v>-12.740898548943107</v>
      </c>
      <c r="AA46" s="33">
        <f t="shared" ca="1" si="156"/>
        <v>-6.8983625238737281</v>
      </c>
      <c r="AB46" s="33">
        <f t="shared" ca="1" si="156"/>
        <v>-2.7603309860277028</v>
      </c>
      <c r="AC46" s="33">
        <f t="shared" ca="1" si="156"/>
        <v>1.8645277915649203</v>
      </c>
      <c r="AD46" s="33">
        <f t="shared" ca="1" si="156"/>
        <v>10.140590867256977</v>
      </c>
      <c r="AE46" s="33">
        <f t="shared" ca="1" si="156"/>
        <v>19.390308422442217</v>
      </c>
      <c r="AG46" s="378"/>
      <c r="AH46" s="33">
        <f t="shared" ref="AH46:AM46" ca="1" si="157">AH38/$AM$44</f>
        <v>58.345451115176211</v>
      </c>
      <c r="AI46" s="33">
        <f t="shared" ca="1" si="157"/>
        <v>104.76443684733238</v>
      </c>
      <c r="AJ46" s="33">
        <f t="shared" ca="1" si="157"/>
        <v>136.02033233525233</v>
      </c>
      <c r="AK46" s="33">
        <f t="shared" ca="1" si="157"/>
        <v>170.40181737196431</v>
      </c>
      <c r="AL46" s="33">
        <f t="shared" ca="1" si="157"/>
        <v>232.91360834780428</v>
      </c>
      <c r="AM46" s="33">
        <f t="shared" ca="1" si="157"/>
        <v>301.67657842122827</v>
      </c>
    </row>
    <row r="47" spans="1:39" x14ac:dyDescent="0.3">
      <c r="A47" s="381"/>
      <c r="B47" s="33">
        <f t="shared" ref="B47:G47" ca="1" si="158">B39/$G$44</f>
        <v>519.34541918636319</v>
      </c>
      <c r="C47" s="33">
        <f t="shared" ca="1" si="158"/>
        <v>1055.8455177065975</v>
      </c>
      <c r="D47" s="33">
        <f t="shared" ca="1" si="158"/>
        <v>1390.4398204065822</v>
      </c>
      <c r="E47" s="33">
        <f t="shared" ca="1" si="158"/>
        <v>1754.1292798630873</v>
      </c>
      <c r="F47" s="33">
        <f t="shared" ca="1" si="158"/>
        <v>2423.3178852630567</v>
      </c>
      <c r="G47" s="33">
        <f t="shared" ca="1" si="158"/>
        <v>3150.696804176067</v>
      </c>
      <c r="I47" s="389"/>
      <c r="J47" s="33">
        <f t="shared" ref="J47:O47" ca="1" si="159">J39/$O$44</f>
        <v>345.35598647563626</v>
      </c>
      <c r="K47" s="33">
        <f t="shared" ca="1" si="159"/>
        <v>627.56676611708724</v>
      </c>
      <c r="L47" s="33">
        <f t="shared" ca="1" si="159"/>
        <v>872.37430206158285</v>
      </c>
      <c r="M47" s="33">
        <f t="shared" ca="1" si="159"/>
        <v>1153.4496211089668</v>
      </c>
      <c r="N47" s="33">
        <f t="shared" ca="1" si="159"/>
        <v>1643.0646929979578</v>
      </c>
      <c r="O47" s="33">
        <f t="shared" ca="1" si="159"/>
        <v>2205.2153310927251</v>
      </c>
      <c r="Q47" s="378"/>
      <c r="R47" s="33">
        <f t="shared" ref="R47:W47" ca="1" si="160">R39/$W$44</f>
        <v>186.84031213621893</v>
      </c>
      <c r="S47" s="33">
        <f t="shared" ca="1" si="160"/>
        <v>281.54735946577472</v>
      </c>
      <c r="T47" s="33">
        <f t="shared" ca="1" si="160"/>
        <v>384.22953588245917</v>
      </c>
      <c r="U47" s="33">
        <f t="shared" ca="1" si="160"/>
        <v>492.6966236465625</v>
      </c>
      <c r="V47" s="33">
        <f t="shared" ca="1" si="160"/>
        <v>606.94862275808464</v>
      </c>
      <c r="W47" s="33">
        <f t="shared" ca="1" si="160"/>
        <v>726.98553321702548</v>
      </c>
      <c r="Y47" s="378"/>
      <c r="Z47" s="33">
        <f t="shared" ca="1" si="156"/>
        <v>-9.9252855338415884</v>
      </c>
      <c r="AA47" s="33">
        <f t="shared" ca="1" si="156"/>
        <v>-2.2053479327165855</v>
      </c>
      <c r="AB47" s="33">
        <f t="shared" ca="1" si="156"/>
        <v>3.2623710726239699</v>
      </c>
      <c r="AC47" s="33">
        <f t="shared" ca="1" si="156"/>
        <v>9.3733511374163463</v>
      </c>
      <c r="AD47" s="33">
        <f t="shared" ca="1" si="156"/>
        <v>20.308789148097453</v>
      </c>
      <c r="AE47" s="33">
        <f t="shared" ca="1" si="156"/>
        <v>32.530749277682212</v>
      </c>
      <c r="AG47" s="378"/>
      <c r="AH47" s="33">
        <f t="shared" ref="AH47:AM47" ca="1" si="161">AH39/$AM$44</f>
        <v>61.364611382005492</v>
      </c>
      <c r="AI47" s="33">
        <f t="shared" ca="1" si="161"/>
        <v>109.64035654344788</v>
      </c>
      <c r="AJ47" s="33">
        <f t="shared" ca="1" si="161"/>
        <v>142.14648785088468</v>
      </c>
      <c r="AK47" s="33">
        <f t="shared" ca="1" si="161"/>
        <v>177.9032322890651</v>
      </c>
      <c r="AL47" s="33">
        <f t="shared" ca="1" si="161"/>
        <v>242.91549490393868</v>
      </c>
      <c r="AM47" s="33">
        <f t="shared" ca="1" si="161"/>
        <v>314.42898378029957</v>
      </c>
    </row>
    <row r="48" spans="1:39" x14ac:dyDescent="0.3">
      <c r="A48" s="381"/>
      <c r="B48" s="33">
        <f t="shared" ref="B48:G48" ca="1" si="162">B40/$G$44</f>
        <v>546.6491469893075</v>
      </c>
      <c r="C48" s="33">
        <f t="shared" ca="1" si="162"/>
        <v>1100.1809946689143</v>
      </c>
      <c r="D48" s="33">
        <f t="shared" ca="1" si="162"/>
        <v>1445.3973387244539</v>
      </c>
      <c r="E48" s="33">
        <f t="shared" ca="1" si="162"/>
        <v>1820.6324953065625</v>
      </c>
      <c r="F48" s="33">
        <f t="shared" ca="1" si="162"/>
        <v>2511.0651834176419</v>
      </c>
      <c r="G48" s="33">
        <f t="shared" ca="1" si="162"/>
        <v>3261.5354965818588</v>
      </c>
      <c r="I48" s="389"/>
      <c r="J48" s="33">
        <f t="shared" ref="J48:O48" ca="1" si="163">J40/$O$44</f>
        <v>395.35727951856205</v>
      </c>
      <c r="K48" s="33">
        <f t="shared" ca="1" si="163"/>
        <v>710.76932735312505</v>
      </c>
      <c r="L48" s="33">
        <f t="shared" ca="1" si="163"/>
        <v>984.37774987932585</v>
      </c>
      <c r="M48" s="33">
        <f t="shared" ca="1" si="163"/>
        <v>1298.5207535205197</v>
      </c>
      <c r="N48" s="33">
        <f t="shared" ca="1" si="163"/>
        <v>1845.7375985729213</v>
      </c>
      <c r="O48" s="33">
        <f t="shared" ca="1" si="163"/>
        <v>2474.0236058553087</v>
      </c>
      <c r="Q48" s="378"/>
      <c r="R48" s="33">
        <f t="shared" ref="R48:W48" ca="1" si="164">R40/$W$44</f>
        <v>197.66637358082406</v>
      </c>
      <c r="S48" s="33">
        <f t="shared" ca="1" si="164"/>
        <v>298.11324196065601</v>
      </c>
      <c r="T48" s="33">
        <f t="shared" ca="1" si="164"/>
        <v>407.01858058441223</v>
      </c>
      <c r="U48" s="33">
        <f t="shared" ca="1" si="164"/>
        <v>522.05943124330963</v>
      </c>
      <c r="V48" s="33">
        <f t="shared" ca="1" si="164"/>
        <v>643.23579393734826</v>
      </c>
      <c r="W48" s="33">
        <f t="shared" ca="1" si="164"/>
        <v>770.54766866652812</v>
      </c>
      <c r="Y48" s="378"/>
      <c r="Z48" s="33">
        <f t="shared" ca="1" si="156"/>
        <v>-6.8993777707241932</v>
      </c>
      <c r="AA48" s="33">
        <f t="shared" ca="1" si="156"/>
        <v>2.8381822710581042</v>
      </c>
      <c r="AB48" s="33">
        <f t="shared" ca="1" si="156"/>
        <v>9.7349015008014863</v>
      </c>
      <c r="AC48" s="33">
        <f t="shared" ca="1" si="156"/>
        <v>17.442999463455852</v>
      </c>
      <c r="AD48" s="33">
        <f t="shared" ca="1" si="156"/>
        <v>31.23643792294261</v>
      </c>
      <c r="AE48" s="33">
        <f t="shared" ca="1" si="156"/>
        <v>46.652633848251348</v>
      </c>
      <c r="AG48" s="378"/>
      <c r="AH48" s="33">
        <f t="shared" ref="AH48:AM48" ca="1" si="165">AH40/$AM$44</f>
        <v>64.383771648834767</v>
      </c>
      <c r="AI48" s="33">
        <f t="shared" ca="1" si="165"/>
        <v>114.5162762395634</v>
      </c>
      <c r="AJ48" s="33">
        <f t="shared" ca="1" si="165"/>
        <v>148.27264336651697</v>
      </c>
      <c r="AK48" s="33">
        <f t="shared" ca="1" si="165"/>
        <v>185.40464720616592</v>
      </c>
      <c r="AL48" s="33">
        <f t="shared" ca="1" si="165"/>
        <v>252.9173814600731</v>
      </c>
      <c r="AM48" s="33">
        <f t="shared" ca="1" si="165"/>
        <v>327.18138913937094</v>
      </c>
    </row>
    <row r="49" spans="1:39" x14ac:dyDescent="0.3">
      <c r="A49" s="381"/>
      <c r="B49" s="33">
        <f t="shared" ref="B49:G49" ca="1" si="166">B41/$G$44</f>
        <v>573.95287479225192</v>
      </c>
      <c r="C49" s="33">
        <f t="shared" ca="1" si="166"/>
        <v>1144.5164716312311</v>
      </c>
      <c r="D49" s="33">
        <f t="shared" ca="1" si="166"/>
        <v>1500.3548570423259</v>
      </c>
      <c r="E49" s="33">
        <f t="shared" ca="1" si="166"/>
        <v>1887.1357107500378</v>
      </c>
      <c r="F49" s="33">
        <f t="shared" ca="1" si="166"/>
        <v>2598.8124815722272</v>
      </c>
      <c r="G49" s="33">
        <f t="shared" ca="1" si="166"/>
        <v>3372.374188987651</v>
      </c>
      <c r="I49" s="389"/>
      <c r="J49" s="33">
        <f t="shared" ref="J49:O49" ca="1" si="167">J41/$O$44</f>
        <v>445.35857256148785</v>
      </c>
      <c r="K49" s="33">
        <f t="shared" ca="1" si="167"/>
        <v>793.97188858916275</v>
      </c>
      <c r="L49" s="33">
        <f t="shared" ca="1" si="167"/>
        <v>1096.381197697069</v>
      </c>
      <c r="M49" s="33">
        <f t="shared" ca="1" si="167"/>
        <v>1443.5918859320725</v>
      </c>
      <c r="N49" s="33">
        <f t="shared" ca="1" si="167"/>
        <v>2048.4105041478847</v>
      </c>
      <c r="O49" s="33">
        <f t="shared" ca="1" si="167"/>
        <v>2742.8318806178918</v>
      </c>
      <c r="Q49" s="378"/>
      <c r="R49" s="33">
        <f t="shared" ref="R49:W49" ca="1" si="168">R41/$W$44</f>
        <v>219.31849647003426</v>
      </c>
      <c r="S49" s="33">
        <f t="shared" ca="1" si="168"/>
        <v>331.24500695041849</v>
      </c>
      <c r="T49" s="33">
        <f t="shared" ca="1" si="168"/>
        <v>452.59666998831818</v>
      </c>
      <c r="U49" s="33">
        <f t="shared" ca="1" si="168"/>
        <v>580.7850464368039</v>
      </c>
      <c r="V49" s="33">
        <f t="shared" ca="1" si="168"/>
        <v>715.8101362958754</v>
      </c>
      <c r="W49" s="33">
        <f t="shared" ca="1" si="168"/>
        <v>857.67193956553297</v>
      </c>
      <c r="Y49" s="378"/>
      <c r="Z49" s="33">
        <f t="shared" ca="1" si="156"/>
        <v>-3.9786173816147388</v>
      </c>
      <c r="AA49" s="33">
        <f t="shared" ca="1" si="156"/>
        <v>7.7064546685240183</v>
      </c>
      <c r="AB49" s="33">
        <f t="shared" ca="1" si="156"/>
        <v>15.98251774421607</v>
      </c>
      <c r="AC49" s="33">
        <f t="shared" ca="1" si="156"/>
        <v>25.232235299401317</v>
      </c>
      <c r="AD49" s="33">
        <f t="shared" ca="1" si="156"/>
        <v>41.784361450785433</v>
      </c>
      <c r="AE49" s="33">
        <f t="shared" ca="1" si="156"/>
        <v>60.28379656115591</v>
      </c>
      <c r="AG49" s="378"/>
      <c r="AH49" s="33">
        <f t="shared" ref="AH49:AM49" ca="1" si="169">AH41/$AM$44</f>
        <v>67.402931915664027</v>
      </c>
      <c r="AI49" s="33">
        <f t="shared" ca="1" si="169"/>
        <v>119.39219593567893</v>
      </c>
      <c r="AJ49" s="33">
        <f t="shared" ca="1" si="169"/>
        <v>154.39879888214929</v>
      </c>
      <c r="AK49" s="33">
        <f t="shared" ca="1" si="169"/>
        <v>192.90606212326671</v>
      </c>
      <c r="AL49" s="33">
        <f t="shared" ca="1" si="169"/>
        <v>262.91926801620747</v>
      </c>
      <c r="AM49" s="33">
        <f t="shared" ca="1" si="169"/>
        <v>339.9337944984423</v>
      </c>
    </row>
    <row r="50" spans="1:39" x14ac:dyDescent="0.3">
      <c r="A50" s="381"/>
      <c r="B50" s="33">
        <f t="shared" ref="B50:G50" ca="1" si="170">B42/$G$44</f>
        <v>601.256602595196</v>
      </c>
      <c r="C50" s="33">
        <f t="shared" ca="1" si="170"/>
        <v>1188.8519485935481</v>
      </c>
      <c r="D50" s="33">
        <f t="shared" ca="1" si="170"/>
        <v>1555.3123753601978</v>
      </c>
      <c r="E50" s="33">
        <f t="shared" ca="1" si="170"/>
        <v>1953.6389261935128</v>
      </c>
      <c r="F50" s="33">
        <f t="shared" ca="1" si="170"/>
        <v>2686.5597797268124</v>
      </c>
      <c r="G50" s="33">
        <f t="shared" ca="1" si="170"/>
        <v>3483.2128813934428</v>
      </c>
      <c r="I50" s="390"/>
      <c r="J50" s="33">
        <f t="shared" ref="J50:O50" ca="1" si="171">J42/$O$44</f>
        <v>495.35986560441376</v>
      </c>
      <c r="K50" s="33">
        <f t="shared" ca="1" si="171"/>
        <v>877.17444982520044</v>
      </c>
      <c r="L50" s="33">
        <f t="shared" ca="1" si="171"/>
        <v>1208.3846455148121</v>
      </c>
      <c r="M50" s="33">
        <f t="shared" ca="1" si="171"/>
        <v>1588.6630183436255</v>
      </c>
      <c r="N50" s="33">
        <f t="shared" ca="1" si="171"/>
        <v>2251.0834097228485</v>
      </c>
      <c r="O50" s="33">
        <f t="shared" ca="1" si="171"/>
        <v>3011.6401553804749</v>
      </c>
      <c r="Q50" s="378"/>
      <c r="R50" s="33">
        <f t="shared" ref="R50:W50" ca="1" si="172">R42/$W$44</f>
        <v>230.14455791463936</v>
      </c>
      <c r="S50" s="33">
        <f t="shared" ca="1" si="172"/>
        <v>347.81088944529967</v>
      </c>
      <c r="T50" s="33">
        <f t="shared" ca="1" si="172"/>
        <v>475.38571469027124</v>
      </c>
      <c r="U50" s="33">
        <f t="shared" ca="1" si="172"/>
        <v>610.14785403355108</v>
      </c>
      <c r="V50" s="33">
        <f t="shared" ca="1" si="172"/>
        <v>752.09730747513902</v>
      </c>
      <c r="W50" s="33">
        <f t="shared" ca="1" si="172"/>
        <v>901.23407501503539</v>
      </c>
      <c r="Y50" s="378"/>
      <c r="Z50" s="33">
        <f t="shared" ca="1" si="156"/>
        <v>-1.0578569925052792</v>
      </c>
      <c r="AA50" s="33">
        <f t="shared" ca="1" si="156"/>
        <v>12.574727065989936</v>
      </c>
      <c r="AB50" s="33">
        <f t="shared" ca="1" si="156"/>
        <v>22.230133987630669</v>
      </c>
      <c r="AC50" s="33">
        <f t="shared" ca="1" si="156"/>
        <v>33.021471135346786</v>
      </c>
      <c r="AD50" s="33">
        <f t="shared" ca="1" si="156"/>
        <v>52.332284978628252</v>
      </c>
      <c r="AE50" s="33">
        <f t="shared" ca="1" si="156"/>
        <v>73.914959274060479</v>
      </c>
      <c r="AG50" s="378"/>
      <c r="AH50" s="33">
        <f t="shared" ref="AH50:AM50" ca="1" si="173">AH42/$AM$44</f>
        <v>70.422092182493316</v>
      </c>
      <c r="AI50" s="33">
        <f t="shared" ca="1" si="173"/>
        <v>124.26811563179443</v>
      </c>
      <c r="AJ50" s="33">
        <f t="shared" ca="1" si="173"/>
        <v>160.52495439778161</v>
      </c>
      <c r="AK50" s="33">
        <f t="shared" ca="1" si="173"/>
        <v>200.40747704036752</v>
      </c>
      <c r="AL50" s="33">
        <f t="shared" ca="1" si="173"/>
        <v>272.92115457234183</v>
      </c>
      <c r="AM50" s="33">
        <f t="shared" ca="1" si="173"/>
        <v>352.6861998575136</v>
      </c>
    </row>
  </sheetData>
  <mergeCells count="26">
    <mergeCell ref="A21:A26"/>
    <mergeCell ref="A29:A34"/>
    <mergeCell ref="A37:A42"/>
    <mergeCell ref="A45:A50"/>
    <mergeCell ref="A2:C2"/>
    <mergeCell ref="A11:XFD11"/>
    <mergeCell ref="I2:K2"/>
    <mergeCell ref="I21:I26"/>
    <mergeCell ref="I29:I34"/>
    <mergeCell ref="I37:I42"/>
    <mergeCell ref="I45:I50"/>
    <mergeCell ref="Q21:Q26"/>
    <mergeCell ref="Q29:Q34"/>
    <mergeCell ref="Q37:Q42"/>
    <mergeCell ref="Q45:Q50"/>
    <mergeCell ref="Q2:S2"/>
    <mergeCell ref="Y2:AA2"/>
    <mergeCell ref="Y21:Y26"/>
    <mergeCell ref="Y29:Y34"/>
    <mergeCell ref="Y37:Y42"/>
    <mergeCell ref="Y45:Y50"/>
    <mergeCell ref="AG2:AI2"/>
    <mergeCell ref="AG21:AG26"/>
    <mergeCell ref="AG29:AG34"/>
    <mergeCell ref="AG37:AG42"/>
    <mergeCell ref="AG45:AG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F55F-7046-4A7E-82CC-1B5CBD9668CD}">
  <dimension ref="A1:O30"/>
  <sheetViews>
    <sheetView topLeftCell="K1" workbookViewId="0">
      <selection activeCell="N11" sqref="N11"/>
    </sheetView>
  </sheetViews>
  <sheetFormatPr defaultRowHeight="14.4" x14ac:dyDescent="0.3"/>
  <cols>
    <col min="1" max="1" width="8.88671875" style="2"/>
    <col min="2" max="2" width="13.5546875" style="2" bestFit="1" customWidth="1"/>
    <col min="3" max="3" width="11.77734375" style="2" bestFit="1" customWidth="1"/>
    <col min="4" max="4" width="9.88671875" style="53" bestFit="1" customWidth="1"/>
    <col min="5" max="5" width="13.5546875" style="2" bestFit="1" customWidth="1"/>
    <col min="6" max="6" width="11.77734375" style="2" bestFit="1" customWidth="1"/>
    <col min="7" max="7" width="14.21875" style="2" customWidth="1"/>
    <col min="8" max="8" width="10.88671875" style="2" bestFit="1" customWidth="1"/>
    <col min="9" max="9" width="15.21875" style="2" customWidth="1"/>
    <col min="10" max="10" width="14.21875" style="2" customWidth="1"/>
    <col min="11" max="11" width="9.77734375" style="2" customWidth="1"/>
    <col min="12" max="12" width="11.77734375" style="2" customWidth="1"/>
    <col min="13" max="13" width="9.88671875" style="2" bestFit="1" customWidth="1"/>
    <col min="14" max="14" width="10.33203125" style="2" customWidth="1"/>
    <col min="15" max="15" width="13.6640625" style="2" bestFit="1" customWidth="1"/>
    <col min="16" max="16384" width="8.88671875" style="2"/>
  </cols>
  <sheetData>
    <row r="1" spans="1:15" ht="28.8" x14ac:dyDescent="0.3">
      <c r="A1" s="79" t="s">
        <v>440</v>
      </c>
      <c r="B1" s="79" t="s">
        <v>15</v>
      </c>
      <c r="C1" s="79" t="s">
        <v>573</v>
      </c>
      <c r="D1" s="79" t="s">
        <v>574</v>
      </c>
      <c r="F1" s="335" t="s">
        <v>573</v>
      </c>
      <c r="G1" s="336" t="s">
        <v>576</v>
      </c>
      <c r="H1" s="336" t="s">
        <v>575</v>
      </c>
      <c r="I1" s="336" t="s">
        <v>581</v>
      </c>
      <c r="J1" s="336" t="s">
        <v>577</v>
      </c>
      <c r="K1" s="337" t="s">
        <v>578</v>
      </c>
      <c r="L1" s="338" t="s">
        <v>182</v>
      </c>
      <c r="M1" s="336" t="s">
        <v>579</v>
      </c>
      <c r="N1" s="336" t="s">
        <v>580</v>
      </c>
      <c r="O1" s="339" t="s">
        <v>582</v>
      </c>
    </row>
    <row r="2" spans="1:15" x14ac:dyDescent="0.3">
      <c r="A2" s="216" t="s">
        <v>570</v>
      </c>
      <c r="B2" s="216" t="s">
        <v>569</v>
      </c>
      <c r="C2" s="330" t="s">
        <v>560</v>
      </c>
      <c r="D2" s="57">
        <f>ABS(AVERAGE('Cash Flow Statement'!B28:G28))</f>
        <v>22535.083333333332</v>
      </c>
      <c r="F2" s="22" t="s">
        <v>560</v>
      </c>
      <c r="G2" s="219">
        <f>(('Income Statement'!G15-'Income Statement'!G16)-('Income Statement'!B15-'Income Statement'!B16))</f>
        <v>47178.60000000002</v>
      </c>
      <c r="H2" s="219">
        <f>(('Balance Sheet'!G31-'Balance Sheet'!G60)-('Balance Sheet'!B31-'Balance Sheet'!B60))</f>
        <v>126758.59999999986</v>
      </c>
      <c r="I2" s="225">
        <f>G2/H2</f>
        <v>0.37219249818158351</v>
      </c>
      <c r="J2" s="219">
        <f>(DCF!H7-DCF!D7)</f>
        <v>50725.400121250612</v>
      </c>
      <c r="K2" s="219">
        <f>D9</f>
        <v>70626.98003838984</v>
      </c>
      <c r="L2" s="219">
        <f>AVERAGE(DCF!D6:H6)</f>
        <v>93073.228375713341</v>
      </c>
      <c r="M2" s="219">
        <f>IF(K2-L2&lt;=0,K2,MAX(K2-L2,0.1*K2))</f>
        <v>70626.98003838984</v>
      </c>
      <c r="N2" s="225">
        <f>J2/M2</f>
        <v>0.71821561807794176</v>
      </c>
      <c r="O2" s="223">
        <f>MIN(MAX(N2,0.05),0.15)</f>
        <v>0.15</v>
      </c>
    </row>
    <row r="3" spans="1:15" x14ac:dyDescent="0.3">
      <c r="A3" s="216" t="s">
        <v>570</v>
      </c>
      <c r="B3" s="216" t="s">
        <v>569</v>
      </c>
      <c r="C3" s="330" t="s">
        <v>561</v>
      </c>
      <c r="D3" s="57">
        <f>ABS(AVERAGE('Cash Flow Statement'!J25:O25))</f>
        <v>4265.4666666666662</v>
      </c>
      <c r="F3" s="22" t="s">
        <v>561</v>
      </c>
      <c r="G3" s="219">
        <f>(('Income Statement'!O14-'Income Statement'!O15)-('Income Statement'!J14-'Income Statement'!J15))</f>
        <v>12276</v>
      </c>
      <c r="H3" s="219">
        <f>(('Balance Sheet'!O24-'Balance Sheet'!O48)-('Balance Sheet'!J24-'Balance Sheet'!J48))</f>
        <v>37455.799999999988</v>
      </c>
      <c r="I3" s="225">
        <f t="shared" ref="I3:I7" si="0">G3/H3</f>
        <v>0.3277463036432276</v>
      </c>
      <c r="J3" s="219">
        <f>DCF!Q7-DCF!M7</f>
        <v>21773.194253690985</v>
      </c>
      <c r="K3" s="219">
        <f t="shared" ref="K3:K7" si="1">D10</f>
        <v>12711.880686678691</v>
      </c>
      <c r="L3" s="219">
        <f>AVERAGE(DCF!M6:Q6)</f>
        <v>13821.15529272256</v>
      </c>
      <c r="M3" s="219">
        <f t="shared" ref="M3:M7" si="2">IF(K3-L3&lt;=0,K3,MAX(K3-L3,0.1*K3))</f>
        <v>12711.880686678691</v>
      </c>
      <c r="N3" s="225">
        <f t="shared" ref="N3:N7" si="3">J3/M3</f>
        <v>1.71282242103704</v>
      </c>
      <c r="O3" s="223">
        <f t="shared" ref="O3:O7" si="4">MIN(MAX(N3,0.05),0.15)</f>
        <v>0.15</v>
      </c>
    </row>
    <row r="4" spans="1:15" x14ac:dyDescent="0.3">
      <c r="A4" s="216" t="s">
        <v>570</v>
      </c>
      <c r="B4" s="216" t="s">
        <v>569</v>
      </c>
      <c r="C4" s="330" t="s">
        <v>562</v>
      </c>
      <c r="D4" s="57">
        <f>ABS(AVERAGE('Cash Flow Statement'!R30:W30))</f>
        <v>163.11833333333334</v>
      </c>
      <c r="F4" s="22" t="s">
        <v>562</v>
      </c>
      <c r="G4" s="219">
        <f>(('Income Statement'!W18+'Income Statement'!W16)-('Income Statement'!R18+'Income Statement'!R16))</f>
        <v>185.96000000000052</v>
      </c>
      <c r="H4" s="219">
        <f>(('Balance Sheet'!W25-'Balance Sheet'!W47)-('Balance Sheet'!R25-'Balance Sheet'!R47))</f>
        <v>708.0600000000004</v>
      </c>
      <c r="I4" s="225">
        <f t="shared" si="0"/>
        <v>0.26263311018840269</v>
      </c>
      <c r="J4" s="219">
        <f>DCF!Z7-DCF!V7</f>
        <v>659.83145219659036</v>
      </c>
      <c r="K4" s="219">
        <f t="shared" si="1"/>
        <v>509.05291054560894</v>
      </c>
      <c r="L4" s="219">
        <f>AVERAGE(DCF!V6:Z6)</f>
        <v>490.37517146284415</v>
      </c>
      <c r="M4" s="219">
        <f t="shared" si="2"/>
        <v>50.905291054560898</v>
      </c>
      <c r="N4" s="225">
        <f t="shared" si="3"/>
        <v>12.961942433240882</v>
      </c>
      <c r="O4" s="223">
        <f t="shared" si="4"/>
        <v>0.15</v>
      </c>
    </row>
    <row r="5" spans="1:15" x14ac:dyDescent="0.3">
      <c r="A5" s="216" t="s">
        <v>570</v>
      </c>
      <c r="B5" s="216" t="s">
        <v>569</v>
      </c>
      <c r="C5" s="330" t="s">
        <v>563</v>
      </c>
      <c r="D5" s="57">
        <f>ABS(AVERAGE('Cash Flow Statement'!Z35:AE35))</f>
        <v>1747.0200000000002</v>
      </c>
      <c r="F5" s="22" t="s">
        <v>563</v>
      </c>
      <c r="G5" s="219">
        <f>(('Income Statement'!AE14+'Income Statement'!AE10)-('Income Statement'!Z14+'Income Statement'!Z10))</f>
        <v>1106.3199999999963</v>
      </c>
      <c r="H5" s="219">
        <f>(('Balance Sheet'!AE30-'Balance Sheet'!AE54)-('Balance Sheet'!Z30-'Balance Sheet'!Z54))</f>
        <v>3289.5300000000025</v>
      </c>
      <c r="I5" s="225">
        <f t="shared" si="0"/>
        <v>0.33631552227825723</v>
      </c>
      <c r="J5" s="219">
        <f>DCF!AI7-DCF!AE7</f>
        <v>587.82709074018612</v>
      </c>
      <c r="K5" s="219">
        <f t="shared" si="1"/>
        <v>2495.9544885141959</v>
      </c>
      <c r="L5" s="219">
        <f>AVERAGE(DCF!AE6:AI6)</f>
        <v>3363.9495141718057</v>
      </c>
      <c r="M5" s="219">
        <f t="shared" si="2"/>
        <v>2495.9544885141959</v>
      </c>
      <c r="N5" s="225">
        <f t="shared" si="3"/>
        <v>0.23551194280393739</v>
      </c>
      <c r="O5" s="223">
        <f t="shared" si="4"/>
        <v>0.15</v>
      </c>
    </row>
    <row r="6" spans="1:15" x14ac:dyDescent="0.3">
      <c r="A6" s="216" t="s">
        <v>570</v>
      </c>
      <c r="B6" s="216" t="s">
        <v>569</v>
      </c>
      <c r="C6" s="330" t="s">
        <v>564</v>
      </c>
      <c r="D6" s="57">
        <f>ABS(AVERAGE('Cash Flow Statement'!AH35:AM35))</f>
        <v>5707.6500000000005</v>
      </c>
      <c r="F6" s="22" t="s">
        <v>564</v>
      </c>
      <c r="G6" s="219">
        <f>(('Income Statement'!AM19+'Income Statement'!AM21)-('Income Statement'!AH19+'Income Statement'!AH21))</f>
        <v>1381.099999999984</v>
      </c>
      <c r="H6" s="219">
        <f>(('Balance Sheet'!AM27-'Balance Sheet'!AM53)-('Balance Sheet'!AH27-'Balance Sheet'!AH53))</f>
        <v>11326.630000000034</v>
      </c>
      <c r="I6" s="225">
        <f t="shared" si="0"/>
        <v>0.12193388501257478</v>
      </c>
      <c r="J6" s="219">
        <f>DCF!AR7-DCF!AN7</f>
        <v>620.54262588908205</v>
      </c>
      <c r="K6" s="219">
        <f t="shared" si="1"/>
        <v>11628.502769797942</v>
      </c>
      <c r="L6" s="33">
        <f>AVERAGE(Table36[[#This Row],[2026]:[2030]])</f>
        <v>15567.084212677932</v>
      </c>
      <c r="M6" s="219">
        <f t="shared" si="2"/>
        <v>11628.502769797942</v>
      </c>
      <c r="N6" s="225">
        <f t="shared" si="3"/>
        <v>5.3363931554523306E-2</v>
      </c>
      <c r="O6" s="223">
        <f t="shared" si="4"/>
        <v>5.3363931554523306E-2</v>
      </c>
    </row>
    <row r="7" spans="1:15" x14ac:dyDescent="0.3">
      <c r="A7" s="216" t="s">
        <v>570</v>
      </c>
      <c r="B7" s="216" t="s">
        <v>569</v>
      </c>
      <c r="C7" s="330" t="s">
        <v>565</v>
      </c>
      <c r="D7" s="57">
        <f>ABS(AVERAGE('Cash Flow Statement'!AP22:AU22))</f>
        <v>38656.833333333336</v>
      </c>
      <c r="F7" s="22" t="s">
        <v>565</v>
      </c>
      <c r="G7" s="219">
        <f>(('Income Statement'!AU17+'Income Statement'!AU12)-('Income Statement'!AP17+'Income Statement'!AP12))</f>
        <v>23877</v>
      </c>
      <c r="H7" s="219">
        <f>(('Balance Sheet'!AU21-'Balance Sheet'!AU46)-('Balance Sheet'!AP21-'Balance Sheet'!AP46))</f>
        <v>251135</v>
      </c>
      <c r="I7" s="225">
        <f t="shared" si="0"/>
        <v>9.5076353355764823E-2</v>
      </c>
      <c r="J7" s="219">
        <f>Table44[[#This Row],[2030]]-Table44[[#This Row],[2026]]</f>
        <v>25982.022408886689</v>
      </c>
      <c r="K7" s="219">
        <f t="shared" si="1"/>
        <v>77345.637318509238</v>
      </c>
      <c r="L7" s="219">
        <f>AVERAGE(DCF!AW6:BA6)</f>
        <v>31934.866874795902</v>
      </c>
      <c r="M7" s="219">
        <f t="shared" si="2"/>
        <v>45410.770443713336</v>
      </c>
      <c r="N7" s="225">
        <f t="shared" si="3"/>
        <v>0.57215550749334709</v>
      </c>
      <c r="O7" s="223">
        <f t="shared" si="4"/>
        <v>0.15</v>
      </c>
    </row>
    <row r="8" spans="1:15" x14ac:dyDescent="0.3">
      <c r="A8" s="217" t="s">
        <v>570</v>
      </c>
      <c r="B8" s="217" t="s">
        <v>569</v>
      </c>
      <c r="C8" s="331" t="s">
        <v>541</v>
      </c>
      <c r="D8" s="61">
        <f>AVERAGE(D2:D7)</f>
        <v>12179.195277777777</v>
      </c>
      <c r="F8" s="12" t="s">
        <v>541</v>
      </c>
      <c r="G8" s="242"/>
      <c r="H8" s="242"/>
      <c r="I8" s="340">
        <f>AVERAGE(I2:I7)</f>
        <v>0.25264961210996845</v>
      </c>
      <c r="J8" s="70"/>
      <c r="K8" s="70"/>
      <c r="L8" s="242"/>
      <c r="M8" s="242" t="s">
        <v>541</v>
      </c>
      <c r="N8" s="341">
        <f>AVERAGE(N2:N7)</f>
        <v>2.7090019757012782</v>
      </c>
      <c r="O8" s="342">
        <f>AVERAGE(O2:O7)</f>
        <v>0.13389398859242055</v>
      </c>
    </row>
    <row r="9" spans="1:15" x14ac:dyDescent="0.3">
      <c r="A9" s="216" t="s">
        <v>571</v>
      </c>
      <c r="B9" s="216" t="s">
        <v>569</v>
      </c>
      <c r="C9" s="330" t="str">
        <f t="shared" ref="C9:C14" si="5">C2</f>
        <v>Bharti Airtel</v>
      </c>
      <c r="D9" s="57">
        <f>AVERAGE(DCF!D10:H10)</f>
        <v>70626.98003838984</v>
      </c>
    </row>
    <row r="10" spans="1:15" x14ac:dyDescent="0.3">
      <c r="A10" s="216" t="s">
        <v>571</v>
      </c>
      <c r="B10" s="216" t="s">
        <v>569</v>
      </c>
      <c r="C10" s="330" t="str">
        <f t="shared" si="5"/>
        <v>Indus Towers</v>
      </c>
      <c r="D10" s="57">
        <f>AVERAGE(Table35[[#This Row],[2026]:[2030]])</f>
        <v>12711.880686678691</v>
      </c>
    </row>
    <row r="11" spans="1:15" x14ac:dyDescent="0.3">
      <c r="A11" s="216" t="s">
        <v>571</v>
      </c>
      <c r="B11" s="216" t="s">
        <v>569</v>
      </c>
      <c r="C11" s="330" t="str">
        <f t="shared" si="5"/>
        <v>RailTel</v>
      </c>
      <c r="D11" s="57">
        <f>AVERAGE(DCF!V10:Z10)</f>
        <v>509.05291054560894</v>
      </c>
    </row>
    <row r="12" spans="1:15" x14ac:dyDescent="0.3">
      <c r="A12" s="216" t="s">
        <v>571</v>
      </c>
      <c r="B12" s="216" t="s">
        <v>569</v>
      </c>
      <c r="C12" s="330" t="str">
        <f t="shared" si="5"/>
        <v>Tata Comm</v>
      </c>
      <c r="D12" s="57">
        <f>AVERAGE(DCF!AE10:AI10)</f>
        <v>2495.9544885141959</v>
      </c>
    </row>
    <row r="13" spans="1:15" x14ac:dyDescent="0.3">
      <c r="A13" s="216" t="s">
        <v>571</v>
      </c>
      <c r="B13" s="216" t="s">
        <v>569</v>
      </c>
      <c r="C13" s="330" t="str">
        <f t="shared" si="5"/>
        <v>VI</v>
      </c>
      <c r="D13" s="57">
        <f>AVERAGE(DCF!AN10:AR10)</f>
        <v>11628.502769797942</v>
      </c>
    </row>
    <row r="14" spans="1:15" x14ac:dyDescent="0.3">
      <c r="A14" s="216" t="s">
        <v>571</v>
      </c>
      <c r="B14" s="216" t="s">
        <v>569</v>
      </c>
      <c r="C14" s="330" t="str">
        <f t="shared" si="5"/>
        <v>Jio</v>
      </c>
      <c r="D14" s="57">
        <f>AVERAGE(DCF!AW10:BA10)</f>
        <v>77345.637318509238</v>
      </c>
    </row>
    <row r="15" spans="1:15" x14ac:dyDescent="0.3">
      <c r="A15" s="217" t="s">
        <v>571</v>
      </c>
      <c r="B15" s="217" t="s">
        <v>569</v>
      </c>
      <c r="C15" s="331" t="s">
        <v>541</v>
      </c>
      <c r="D15" s="61">
        <f>AVERAGE(D9:D14)</f>
        <v>29219.668035405921</v>
      </c>
    </row>
    <row r="16" spans="1:15" x14ac:dyDescent="0.3">
      <c r="A16" s="216" t="s">
        <v>571</v>
      </c>
      <c r="B16" s="216" t="s">
        <v>572</v>
      </c>
      <c r="C16" s="330" t="str">
        <f t="shared" ref="C16:C21" si="6">C9</f>
        <v>Bharti Airtel</v>
      </c>
      <c r="D16" s="245">
        <f>(DCF!H10/DCF!D10)^(1/5)-1</f>
        <v>0.16213903508775096</v>
      </c>
    </row>
    <row r="17" spans="1:4" x14ac:dyDescent="0.3">
      <c r="A17" s="216" t="s">
        <v>571</v>
      </c>
      <c r="B17" s="216" t="s">
        <v>572</v>
      </c>
      <c r="C17" s="330" t="str">
        <f t="shared" si="6"/>
        <v>Indus Towers</v>
      </c>
      <c r="D17" s="245">
        <f>(DCF!Q10/DCF!M10)^(1/5)-1</f>
        <v>0.21965904564821326</v>
      </c>
    </row>
    <row r="18" spans="1:4" x14ac:dyDescent="0.3">
      <c r="A18" s="216" t="s">
        <v>571</v>
      </c>
      <c r="B18" s="216" t="s">
        <v>572</v>
      </c>
      <c r="C18" s="330" t="str">
        <f t="shared" si="6"/>
        <v>RailTel</v>
      </c>
      <c r="D18" s="245">
        <f>(DCF!Z10/DCF!V10)^(1/5)-1</f>
        <v>0.1601069586555075</v>
      </c>
    </row>
    <row r="19" spans="1:4" x14ac:dyDescent="0.3">
      <c r="A19" s="216" t="s">
        <v>571</v>
      </c>
      <c r="B19" s="216" t="s">
        <v>572</v>
      </c>
      <c r="C19" s="330" t="str">
        <f t="shared" si="6"/>
        <v>Tata Comm</v>
      </c>
      <c r="D19" s="245">
        <f>(DCF!AI10/DCF!AE10)^(1/5)-1</f>
        <v>4.1442141542237909E-2</v>
      </c>
    </row>
    <row r="20" spans="1:4" x14ac:dyDescent="0.3">
      <c r="A20" s="216" t="s">
        <v>571</v>
      </c>
      <c r="B20" s="216" t="s">
        <v>572</v>
      </c>
      <c r="C20" s="330" t="str">
        <f t="shared" si="6"/>
        <v>VI</v>
      </c>
      <c r="D20" s="245">
        <f>(DCF!AR10/DCF!AN10)^(1/5)-1</f>
        <v>2.9041187789067724E-2</v>
      </c>
    </row>
    <row r="21" spans="1:4" x14ac:dyDescent="0.3">
      <c r="A21" s="216" t="s">
        <v>571</v>
      </c>
      <c r="B21" s="216" t="s">
        <v>572</v>
      </c>
      <c r="C21" s="330" t="str">
        <f t="shared" si="6"/>
        <v>Jio</v>
      </c>
      <c r="D21" s="245">
        <f>(DCF!BA10/DCF!AW10)^(1/5)-1</f>
        <v>0.10506449578940114</v>
      </c>
    </row>
    <row r="22" spans="1:4" x14ac:dyDescent="0.3">
      <c r="A22" s="332" t="s">
        <v>571</v>
      </c>
      <c r="B22" s="332" t="s">
        <v>572</v>
      </c>
      <c r="C22" s="333" t="s">
        <v>541</v>
      </c>
      <c r="D22" s="334">
        <f>AVERAGE(D16:D21)</f>
        <v>0.11957547741869641</v>
      </c>
    </row>
    <row r="23" spans="1:4" x14ac:dyDescent="0.3">
      <c r="A23" s="216" t="s">
        <v>571</v>
      </c>
      <c r="B23" s="216" t="s">
        <v>583</v>
      </c>
      <c r="C23" s="327" t="str">
        <f>C16</f>
        <v>Bharti Airtel</v>
      </c>
      <c r="D23" s="245">
        <f>(DCF!H9/DCF!D9)^(1/5)-1</f>
        <v>0.16213903508775096</v>
      </c>
    </row>
    <row r="24" spans="1:4" x14ac:dyDescent="0.3">
      <c r="A24" s="216" t="s">
        <v>571</v>
      </c>
      <c r="B24" s="216" t="s">
        <v>583</v>
      </c>
      <c r="C24" s="327" t="str">
        <f t="shared" ref="C24:C29" si="7">C17</f>
        <v>Indus Towers</v>
      </c>
      <c r="D24" s="245">
        <f>(DCF!Q9/DCF!M9)^(1/5)-1</f>
        <v>0.21965904564821326</v>
      </c>
    </row>
    <row r="25" spans="1:4" x14ac:dyDescent="0.3">
      <c r="A25" s="216" t="s">
        <v>571</v>
      </c>
      <c r="B25" s="216" t="s">
        <v>583</v>
      </c>
      <c r="C25" s="327" t="str">
        <f t="shared" si="7"/>
        <v>RailTel</v>
      </c>
      <c r="D25" s="245">
        <f>(DCF!Z9/DCF!V9)^(1/5)-1</f>
        <v>0.1601069586555075</v>
      </c>
    </row>
    <row r="26" spans="1:4" x14ac:dyDescent="0.3">
      <c r="A26" s="216" t="s">
        <v>571</v>
      </c>
      <c r="B26" s="216" t="s">
        <v>583</v>
      </c>
      <c r="C26" s="327" t="str">
        <f t="shared" si="7"/>
        <v>Tata Comm</v>
      </c>
      <c r="D26" s="245">
        <f>(DCF!AI9/DCF!AE9)^(1/5)-1</f>
        <v>4.1442141542237909E-2</v>
      </c>
    </row>
    <row r="27" spans="1:4" x14ac:dyDescent="0.3">
      <c r="A27" s="216" t="s">
        <v>571</v>
      </c>
      <c r="B27" s="216" t="s">
        <v>583</v>
      </c>
      <c r="C27" s="327" t="str">
        <f t="shared" si="7"/>
        <v>VI</v>
      </c>
      <c r="D27" s="245">
        <f>(DCF!AR9/DCF!AN9)^(1/5)-1</f>
        <v>2.9041187789067946E-2</v>
      </c>
    </row>
    <row r="28" spans="1:4" x14ac:dyDescent="0.3">
      <c r="A28" s="216" t="s">
        <v>571</v>
      </c>
      <c r="B28" s="216" t="s">
        <v>583</v>
      </c>
      <c r="C28" s="327" t="str">
        <f t="shared" si="7"/>
        <v>Jio</v>
      </c>
      <c r="D28" s="245">
        <f>(DCF!BA9/DCF!AW9)^(1/5)-1</f>
        <v>0.10506449578940114</v>
      </c>
    </row>
    <row r="29" spans="1:4" x14ac:dyDescent="0.3">
      <c r="A29" s="217" t="s">
        <v>571</v>
      </c>
      <c r="B29" s="217" t="s">
        <v>583</v>
      </c>
      <c r="C29" s="328" t="str">
        <f t="shared" si="7"/>
        <v>Average</v>
      </c>
      <c r="D29" s="253">
        <f>AVERAGE(D23:D28)</f>
        <v>0.11957547741869645</v>
      </c>
    </row>
    <row r="30" spans="1:4" x14ac:dyDescent="0.3">
      <c r="A30" s="325"/>
      <c r="B30" s="325"/>
      <c r="C30" s="343"/>
      <c r="D30" s="344"/>
    </row>
  </sheetData>
  <phoneticPr fontId="6"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Company Profile</vt:lpstr>
      <vt:lpstr>Balance Sheet</vt:lpstr>
      <vt:lpstr>Income Statement</vt:lpstr>
      <vt:lpstr>Cash Flow Statement</vt:lpstr>
      <vt:lpstr>Ratio Analysis</vt:lpstr>
      <vt:lpstr>WACC</vt:lpstr>
      <vt:lpstr>DCF</vt:lpstr>
      <vt:lpstr>Relative Valuation Model</vt:lpstr>
      <vt:lpstr>Summary</vt:lpstr>
      <vt:lpstr>Senstivity Analysis</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2025-11-11T00:12:47Z</dcterms:modified>
</cp:coreProperties>
</file>
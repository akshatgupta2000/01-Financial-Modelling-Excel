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F29359F4-4D04-4975-8F81-870BC0DCF1D5}" xr6:coauthVersionLast="47" xr6:coauthVersionMax="47" xr10:uidLastSave="{00000000-0000-0000-0000-000000000000}"/>
  <bookViews>
    <workbookView xWindow="13728" yWindow="0" windowWidth="9408" windowHeight="12336" firstSheet="4" activeTab="4" xr2:uid="{00000000-000D-0000-FFFF-FFFF00000000}"/>
  </bookViews>
  <sheets>
    <sheet name="Company Profile" sheetId="1" r:id="rId1"/>
    <sheet name="Balance Sheet" sheetId="2" r:id="rId2"/>
    <sheet name="Income Statement" sheetId="3" r:id="rId3"/>
    <sheet name="Cash Flow Statement" sheetId="4" r:id="rId4"/>
    <sheet name="Financial Ratios" sheetId="5" r:id="rId5"/>
    <sheet name="WACC" sheetId="6" r:id="rId6"/>
    <sheet name="DCF" sheetId="7" r:id="rId7"/>
    <sheet name="Relative Valuation" sheetId="8" r:id="rId8"/>
    <sheet name="Calc"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9" l="1"/>
  <c r="R4" i="9"/>
  <c r="R5" i="9"/>
  <c r="R6" i="9"/>
  <c r="R7" i="9"/>
  <c r="R2" i="9"/>
  <c r="C35" i="9"/>
  <c r="C34" i="9"/>
  <c r="C33" i="9"/>
  <c r="C32" i="9"/>
  <c r="C31" i="9"/>
  <c r="C30" i="9"/>
  <c r="C29" i="9"/>
  <c r="B35" i="9"/>
  <c r="B30" i="9"/>
  <c r="B31" i="9"/>
  <c r="B32" i="9"/>
  <c r="B33" i="9"/>
  <c r="B34" i="9"/>
  <c r="B29" i="9"/>
  <c r="Q3" i="9" l="1"/>
  <c r="Q4" i="9"/>
  <c r="Q5" i="9"/>
  <c r="Q6" i="9"/>
  <c r="Q7" i="9"/>
  <c r="Q2" i="9"/>
  <c r="P3" i="9"/>
  <c r="P4" i="9"/>
  <c r="P5" i="9"/>
  <c r="P6" i="9"/>
  <c r="P7" i="9"/>
  <c r="P2" i="9"/>
  <c r="O7" i="9"/>
  <c r="O6" i="9"/>
  <c r="O5" i="9"/>
  <c r="O4" i="9"/>
  <c r="O3" i="9"/>
  <c r="O2" i="9"/>
  <c r="N7" i="9"/>
  <c r="N6" i="9"/>
  <c r="N5" i="9"/>
  <c r="N4" i="9"/>
  <c r="N3" i="9"/>
  <c r="N2" i="9"/>
  <c r="M7" i="9"/>
  <c r="M6" i="9"/>
  <c r="M5" i="9"/>
  <c r="M4" i="9"/>
  <c r="M3" i="9"/>
  <c r="M2" i="9"/>
  <c r="L3" i="9"/>
  <c r="L4" i="9"/>
  <c r="L5" i="9"/>
  <c r="L6" i="9"/>
  <c r="L7" i="9"/>
  <c r="L2" i="9"/>
  <c r="L8" i="9" s="1"/>
  <c r="K7" i="9"/>
  <c r="K6" i="9"/>
  <c r="K5" i="9"/>
  <c r="K4" i="9"/>
  <c r="K3" i="9"/>
  <c r="K2" i="9"/>
  <c r="J7" i="9"/>
  <c r="J6" i="9"/>
  <c r="J5" i="9"/>
  <c r="J4" i="9"/>
  <c r="J3" i="9"/>
  <c r="J2" i="9"/>
  <c r="Q8" i="9"/>
  <c r="R8" i="9"/>
  <c r="I3" i="9"/>
  <c r="I4" i="9"/>
  <c r="I5" i="9"/>
  <c r="I6" i="9"/>
  <c r="I2" i="9"/>
  <c r="C28" i="9"/>
  <c r="C27" i="9"/>
  <c r="C26" i="9"/>
  <c r="C25" i="9"/>
  <c r="C24" i="9"/>
  <c r="C23" i="9"/>
  <c r="C22" i="9"/>
  <c r="B23" i="9"/>
  <c r="B24" i="9"/>
  <c r="B25" i="9"/>
  <c r="B26" i="9"/>
  <c r="B27" i="9"/>
  <c r="B28" i="9"/>
  <c r="B22" i="9"/>
  <c r="C21" i="9"/>
  <c r="G9" i="9" s="1"/>
  <c r="C20" i="9"/>
  <c r="C19" i="9"/>
  <c r="C18" i="9"/>
  <c r="C17" i="9"/>
  <c r="C16" i="9"/>
  <c r="C15" i="9"/>
  <c r="C14" i="9"/>
  <c r="C13" i="9"/>
  <c r="C12" i="9"/>
  <c r="C11" i="9"/>
  <c r="C10" i="9"/>
  <c r="C9" i="9"/>
  <c r="C8" i="9"/>
  <c r="C7" i="9"/>
  <c r="C6" i="9"/>
  <c r="C5" i="9"/>
  <c r="C4" i="9"/>
  <c r="C3" i="9"/>
  <c r="C2" i="9"/>
  <c r="C1" i="9"/>
  <c r="G8" i="9"/>
  <c r="G6" i="9"/>
  <c r="AD5" i="7"/>
  <c r="C6" i="1" a="1"/>
  <c r="C6" i="1" s="1"/>
  <c r="D6" i="1" a="1"/>
  <c r="D6" i="1" s="1"/>
  <c r="E6" i="1" a="1"/>
  <c r="E6" i="1" s="1"/>
  <c r="F6" i="1" a="1"/>
  <c r="F6" i="1" s="1"/>
  <c r="G6" i="1" a="1"/>
  <c r="G6" i="1" s="1"/>
  <c r="B6" i="1" a="1"/>
  <c r="B6" i="1" s="1"/>
  <c r="D8" i="1" a="1"/>
  <c r="D8" i="1" s="1"/>
  <c r="E21" i="8"/>
  <c r="E20" i="8"/>
  <c r="D21" i="8"/>
  <c r="D20" i="8"/>
  <c r="C21" i="8"/>
  <c r="C20" i="8"/>
  <c r="B21" i="8"/>
  <c r="B20" i="8"/>
  <c r="AU5" i="7" l="1"/>
  <c r="AV10" i="7"/>
  <c r="AV9" i="7"/>
  <c r="AW10" i="7"/>
  <c r="AV7" i="7"/>
  <c r="AW6" i="7"/>
  <c r="AW7" i="7" s="1"/>
  <c r="AV6" i="7"/>
  <c r="AV11" i="7"/>
  <c r="AU11" i="7"/>
  <c r="AQ51" i="2"/>
  <c r="AR51" i="2"/>
  <c r="AS51" i="2"/>
  <c r="AT51" i="2"/>
  <c r="AU51" i="2"/>
  <c r="AP51" i="2"/>
  <c r="AU10" i="7"/>
  <c r="AU9" i="7"/>
  <c r="AU7" i="7"/>
  <c r="AU8" i="7" s="1"/>
  <c r="AU6" i="7"/>
  <c r="AX5" i="7"/>
  <c r="AX6" i="7" s="1"/>
  <c r="AW5" i="7"/>
  <c r="AP54" i="2" s="1"/>
  <c r="AV5" i="7"/>
  <c r="AL10" i="7"/>
  <c r="AL9" i="7"/>
  <c r="AL8" i="7"/>
  <c r="AL7" i="7"/>
  <c r="AL6" i="7"/>
  <c r="AL5" i="7"/>
  <c r="AM11" i="7"/>
  <c r="AM10" i="7"/>
  <c r="AM9" i="7"/>
  <c r="AM7" i="7"/>
  <c r="AM6" i="7"/>
  <c r="AN5" i="7"/>
  <c r="AN10" i="7" s="1"/>
  <c r="AL11" i="7"/>
  <c r="AI62" i="2"/>
  <c r="AJ62" i="2"/>
  <c r="AK62" i="2"/>
  <c r="AL62" i="2"/>
  <c r="AM62" i="2"/>
  <c r="AH62" i="2"/>
  <c r="AM5" i="7"/>
  <c r="AL19" i="7"/>
  <c r="AD7" i="7"/>
  <c r="AF5" i="7"/>
  <c r="AF6" i="7" s="1"/>
  <c r="AE5" i="7"/>
  <c r="Z74" i="2" s="1"/>
  <c r="AD10" i="7"/>
  <c r="AD9" i="7"/>
  <c r="AD11" i="7"/>
  <c r="AE9" i="7"/>
  <c r="AD6" i="7"/>
  <c r="AC19" i="7"/>
  <c r="AC11" i="7"/>
  <c r="AA71" i="2"/>
  <c r="AB71" i="2"/>
  <c r="AC71" i="2"/>
  <c r="AD71" i="2"/>
  <c r="AE71" i="2"/>
  <c r="Z71" i="2"/>
  <c r="AC10" i="7"/>
  <c r="AC9" i="7"/>
  <c r="AC8" i="7"/>
  <c r="AC7" i="7"/>
  <c r="AC6" i="7"/>
  <c r="AC5" i="7"/>
  <c r="T11" i="7"/>
  <c r="T12" i="7" s="1"/>
  <c r="U11" i="7"/>
  <c r="U66" i="2" s="1"/>
  <c r="Y11" i="7" s="1" a="1"/>
  <c r="Y11" i="7" s="1"/>
  <c r="Y12" i="7" s="1"/>
  <c r="S63" i="2"/>
  <c r="T63" i="2"/>
  <c r="U63" i="2"/>
  <c r="V63" i="2"/>
  <c r="W63" i="2"/>
  <c r="R63" i="2"/>
  <c r="S66" i="2"/>
  <c r="T66" i="2"/>
  <c r="X11" i="7" s="1" a="1"/>
  <c r="X11" i="7" s="1"/>
  <c r="X12" i="7" s="1"/>
  <c r="W10" i="7"/>
  <c r="X10" i="7"/>
  <c r="Y10" i="7"/>
  <c r="Z10" i="7"/>
  <c r="V10" i="7"/>
  <c r="T10" i="7"/>
  <c r="U10" i="7"/>
  <c r="W9" i="7"/>
  <c r="X9" i="7"/>
  <c r="Y9" i="7"/>
  <c r="Z9" i="7"/>
  <c r="V9" i="7"/>
  <c r="T9" i="7"/>
  <c r="U9" i="7"/>
  <c r="V8" i="7"/>
  <c r="W8" i="7"/>
  <c r="X8" i="7"/>
  <c r="Y8" i="7"/>
  <c r="Z8" i="7"/>
  <c r="T8" i="7"/>
  <c r="W7" i="7"/>
  <c r="X7" i="7"/>
  <c r="Y7" i="7"/>
  <c r="Z7" i="7"/>
  <c r="V7" i="7"/>
  <c r="U7" i="7"/>
  <c r="T7" i="7"/>
  <c r="W6" i="7"/>
  <c r="X6" i="7"/>
  <c r="Y6" i="7"/>
  <c r="Z6" i="7"/>
  <c r="V6" i="7"/>
  <c r="T6" i="7"/>
  <c r="U6" i="7"/>
  <c r="X5" i="7"/>
  <c r="Y5" i="7" s="1"/>
  <c r="Z5" i="7" s="1"/>
  <c r="W5" i="7"/>
  <c r="V5" i="7"/>
  <c r="T5" i="7"/>
  <c r="U5" i="7"/>
  <c r="T19" i="7"/>
  <c r="K11" i="7"/>
  <c r="K12" i="7" s="1"/>
  <c r="L11" i="7"/>
  <c r="K54" i="2" s="1"/>
  <c r="K51" i="2"/>
  <c r="L51" i="2"/>
  <c r="M51" i="2"/>
  <c r="N51" i="2"/>
  <c r="O51" i="2"/>
  <c r="J51" i="2"/>
  <c r="N10" i="7"/>
  <c r="O10" i="7"/>
  <c r="P10" i="7"/>
  <c r="Q10" i="7"/>
  <c r="M10" i="7"/>
  <c r="L10" i="7"/>
  <c r="K10" i="7"/>
  <c r="N9" i="7"/>
  <c r="O9" i="7"/>
  <c r="P9" i="7"/>
  <c r="Q9" i="7"/>
  <c r="M9" i="7"/>
  <c r="K9" i="7"/>
  <c r="L9" i="7"/>
  <c r="M8" i="7"/>
  <c r="N8" i="7"/>
  <c r="O8" i="7"/>
  <c r="P8" i="7"/>
  <c r="Q8" i="7"/>
  <c r="K8" i="7"/>
  <c r="N7" i="7"/>
  <c r="O7" i="7"/>
  <c r="P7" i="7"/>
  <c r="Q7" i="7"/>
  <c r="M7" i="7"/>
  <c r="K7" i="7"/>
  <c r="L7" i="7"/>
  <c r="N6" i="7"/>
  <c r="O6" i="7"/>
  <c r="P6" i="7"/>
  <c r="Q6" i="7"/>
  <c r="M6" i="7"/>
  <c r="L6" i="7"/>
  <c r="K6" i="7"/>
  <c r="O5" i="7"/>
  <c r="P5" i="7" s="1"/>
  <c r="Q5" i="7" s="1"/>
  <c r="N5" i="7"/>
  <c r="M5" i="7"/>
  <c r="K5" i="7"/>
  <c r="L5" i="7"/>
  <c r="K19" i="7"/>
  <c r="C11" i="7"/>
  <c r="C57" i="2" s="1"/>
  <c r="F57" i="2"/>
  <c r="B57" i="2"/>
  <c r="D11" i="7" s="1" a="1"/>
  <c r="D11" i="7" s="1"/>
  <c r="B11" i="7"/>
  <c r="C54" i="2"/>
  <c r="D54" i="2"/>
  <c r="E54" i="2"/>
  <c r="F54" i="2"/>
  <c r="G54" i="2"/>
  <c r="B54" i="2"/>
  <c r="E10" i="7"/>
  <c r="F10" i="7"/>
  <c r="G10" i="7"/>
  <c r="H10" i="7"/>
  <c r="D10" i="7"/>
  <c r="B10" i="7"/>
  <c r="C10" i="7"/>
  <c r="C9" i="7"/>
  <c r="E9" i="7" s="1"/>
  <c r="B9" i="7"/>
  <c r="D8" i="7"/>
  <c r="E8" i="7"/>
  <c r="F8" i="7"/>
  <c r="G8" i="7"/>
  <c r="H8" i="7"/>
  <c r="B8" i="7"/>
  <c r="E7" i="7"/>
  <c r="F7" i="7"/>
  <c r="G7" i="7"/>
  <c r="H7" i="7"/>
  <c r="D7" i="7"/>
  <c r="B7" i="7"/>
  <c r="C7" i="7"/>
  <c r="E6" i="7"/>
  <c r="F6" i="7"/>
  <c r="G6" i="7"/>
  <c r="H6" i="7"/>
  <c r="D6" i="7"/>
  <c r="B6" i="7"/>
  <c r="C6" i="7"/>
  <c r="B19" i="7"/>
  <c r="C5" i="7"/>
  <c r="D5" i="7" s="1"/>
  <c r="E5" i="7" s="1"/>
  <c r="F5" i="7" s="1"/>
  <c r="G5" i="7" s="1"/>
  <c r="H5" i="7" s="1"/>
  <c r="B5" i="7"/>
  <c r="C21" i="6"/>
  <c r="D21" i="6"/>
  <c r="E21" i="6"/>
  <c r="F21" i="6"/>
  <c r="G21" i="6"/>
  <c r="AU19" i="7" s="1"/>
  <c r="B21" i="6"/>
  <c r="G20" i="6"/>
  <c r="F20" i="6"/>
  <c r="E20" i="6"/>
  <c r="D20" i="6"/>
  <c r="C20" i="6"/>
  <c r="B20" i="6"/>
  <c r="C13" i="6"/>
  <c r="D13" i="6"/>
  <c r="E13" i="6"/>
  <c r="F13" i="6"/>
  <c r="G13" i="6"/>
  <c r="B13" i="6"/>
  <c r="C12" i="6"/>
  <c r="D12" i="6"/>
  <c r="E12" i="6"/>
  <c r="F12" i="6"/>
  <c r="G12" i="6"/>
  <c r="B12" i="6"/>
  <c r="C10" i="6"/>
  <c r="D10" i="6"/>
  <c r="E10" i="6"/>
  <c r="F10" i="6"/>
  <c r="G10" i="6"/>
  <c r="B10" i="6"/>
  <c r="G11" i="6"/>
  <c r="F11" i="6"/>
  <c r="E11" i="6"/>
  <c r="D11" i="6"/>
  <c r="C11" i="6"/>
  <c r="B11" i="6"/>
  <c r="G9" i="6"/>
  <c r="F9" i="6"/>
  <c r="E9" i="6"/>
  <c r="D9" i="6"/>
  <c r="C9" i="6"/>
  <c r="B9" i="6"/>
  <c r="G8" i="6"/>
  <c r="F8" i="6"/>
  <c r="E8" i="6"/>
  <c r="D8" i="6"/>
  <c r="C8" i="6"/>
  <c r="B8" i="6"/>
  <c r="AR21" i="5"/>
  <c r="AS21" i="5"/>
  <c r="AT21" i="5"/>
  <c r="AU21" i="5"/>
  <c r="AQ22" i="5"/>
  <c r="AR22" i="5"/>
  <c r="AS22" i="5"/>
  <c r="AT22" i="5"/>
  <c r="AU22" i="5"/>
  <c r="AQ21" i="5"/>
  <c r="AP22" i="5"/>
  <c r="AP21" i="5"/>
  <c r="AR20" i="5"/>
  <c r="AS20" i="5"/>
  <c r="AT20" i="5"/>
  <c r="AU20" i="5"/>
  <c r="AQ20" i="5"/>
  <c r="AP20" i="5"/>
  <c r="AR19" i="5"/>
  <c r="AS19" i="5"/>
  <c r="AT19" i="5"/>
  <c r="AU19" i="5"/>
  <c r="AQ19" i="5"/>
  <c r="AP19" i="5"/>
  <c r="AQ14" i="5"/>
  <c r="AR14" i="5"/>
  <c r="AS14" i="5"/>
  <c r="AT14" i="5"/>
  <c r="AU14" i="5"/>
  <c r="AQ15" i="5"/>
  <c r="AR15" i="5"/>
  <c r="AS15" i="5"/>
  <c r="AT15" i="5"/>
  <c r="AU15" i="5"/>
  <c r="AQ16" i="5"/>
  <c r="AR16" i="5"/>
  <c r="AS16" i="5"/>
  <c r="AT16" i="5"/>
  <c r="AU16" i="5"/>
  <c r="AQ17" i="5"/>
  <c r="AR17" i="5"/>
  <c r="AS17" i="5"/>
  <c r="AT17" i="5"/>
  <c r="AU17" i="5"/>
  <c r="AP17" i="5"/>
  <c r="AP16" i="5"/>
  <c r="AP15" i="5"/>
  <c r="AP14" i="5"/>
  <c r="AQ13" i="5"/>
  <c r="AR13" i="5"/>
  <c r="AS13" i="5"/>
  <c r="AT13" i="5"/>
  <c r="AU13" i="5"/>
  <c r="AP13" i="5"/>
  <c r="AQ9" i="5"/>
  <c r="AR9" i="5"/>
  <c r="AS9" i="5"/>
  <c r="AT9" i="5"/>
  <c r="AU9" i="5"/>
  <c r="AQ10" i="5"/>
  <c r="AR10" i="5"/>
  <c r="AS10" i="5"/>
  <c r="AT10" i="5"/>
  <c r="AU10" i="5"/>
  <c r="AQ11" i="5"/>
  <c r="AR11" i="5"/>
  <c r="AS11" i="5"/>
  <c r="AT11" i="5"/>
  <c r="AU11" i="5"/>
  <c r="AP11" i="5"/>
  <c r="AP10" i="5"/>
  <c r="AP9" i="5"/>
  <c r="AQ6" i="5"/>
  <c r="AR6" i="5"/>
  <c r="AS6" i="5"/>
  <c r="AT6" i="5"/>
  <c r="AU6" i="5"/>
  <c r="AQ7" i="5"/>
  <c r="AR7" i="5"/>
  <c r="AS7" i="5"/>
  <c r="AT7" i="5"/>
  <c r="AU7" i="5"/>
  <c r="AP7" i="5"/>
  <c r="AP6" i="5"/>
  <c r="AI22" i="5"/>
  <c r="AJ22" i="5"/>
  <c r="AK22" i="5"/>
  <c r="AL22" i="5"/>
  <c r="AM22" i="5"/>
  <c r="AH22" i="5"/>
  <c r="AJ21" i="5"/>
  <c r="AK21" i="5"/>
  <c r="AL21" i="5"/>
  <c r="AM21" i="5"/>
  <c r="AI21" i="5"/>
  <c r="AH21" i="5"/>
  <c r="AJ20" i="5"/>
  <c r="AK20" i="5"/>
  <c r="AL20" i="5"/>
  <c r="AM20" i="5"/>
  <c r="AI20" i="5"/>
  <c r="AH20" i="5"/>
  <c r="AJ19" i="5"/>
  <c r="AK19" i="5"/>
  <c r="AL19" i="5"/>
  <c r="AM19" i="5"/>
  <c r="AI19" i="5"/>
  <c r="AH19" i="5"/>
  <c r="AI13" i="5"/>
  <c r="AJ13" i="5"/>
  <c r="AK13" i="5"/>
  <c r="AL13" i="5"/>
  <c r="AM13" i="5"/>
  <c r="AI14" i="5"/>
  <c r="AJ14" i="5"/>
  <c r="AK14" i="5"/>
  <c r="AL14" i="5"/>
  <c r="AM14" i="5"/>
  <c r="AI15" i="5"/>
  <c r="AJ15" i="5"/>
  <c r="AK15" i="5"/>
  <c r="AL15" i="5"/>
  <c r="AM15" i="5"/>
  <c r="AI16" i="5"/>
  <c r="AJ16" i="5"/>
  <c r="AK16" i="5"/>
  <c r="AL16" i="5"/>
  <c r="AM16" i="5"/>
  <c r="AI17" i="5"/>
  <c r="AJ17" i="5"/>
  <c r="AK17" i="5"/>
  <c r="AL17" i="5"/>
  <c r="AM17" i="5"/>
  <c r="AH17" i="5"/>
  <c r="AH16" i="5"/>
  <c r="AH15" i="5"/>
  <c r="AH14" i="5"/>
  <c r="AH13" i="5"/>
  <c r="AI9" i="5"/>
  <c r="AJ9" i="5"/>
  <c r="AK9" i="5"/>
  <c r="AL9" i="5"/>
  <c r="AM9" i="5"/>
  <c r="AI10" i="5"/>
  <c r="AJ10" i="5"/>
  <c r="AK10" i="5"/>
  <c r="AL10" i="5"/>
  <c r="AM10" i="5"/>
  <c r="AI11" i="5"/>
  <c r="AJ11" i="5"/>
  <c r="AK11" i="5"/>
  <c r="AL11" i="5"/>
  <c r="AM11" i="5"/>
  <c r="AH11" i="5"/>
  <c r="AH10" i="5"/>
  <c r="AH9" i="5"/>
  <c r="AI7" i="5"/>
  <c r="AJ7" i="5"/>
  <c r="AK7" i="5"/>
  <c r="AL7" i="5"/>
  <c r="AM7" i="5"/>
  <c r="AH7" i="5"/>
  <c r="AI6" i="5"/>
  <c r="AJ6" i="5"/>
  <c r="AK6" i="5"/>
  <c r="AL6" i="5"/>
  <c r="AM6" i="5"/>
  <c r="AH6" i="5"/>
  <c r="AA22" i="5"/>
  <c r="AB22" i="5"/>
  <c r="AC22" i="5"/>
  <c r="AD22" i="5"/>
  <c r="AE22" i="5"/>
  <c r="Z22" i="5"/>
  <c r="AA21" i="5"/>
  <c r="AB21" i="5"/>
  <c r="AC21" i="5"/>
  <c r="AD21" i="5"/>
  <c r="AE21" i="5"/>
  <c r="Z21" i="5"/>
  <c r="AB20" i="5"/>
  <c r="AC20" i="5"/>
  <c r="AD20" i="5"/>
  <c r="AE20" i="5"/>
  <c r="AA20" i="5"/>
  <c r="Z20" i="5"/>
  <c r="AB19" i="5"/>
  <c r="AC19" i="5"/>
  <c r="AD19" i="5"/>
  <c r="AE19" i="5"/>
  <c r="AA19" i="5"/>
  <c r="Z19" i="5"/>
  <c r="AA13" i="5"/>
  <c r="AB13" i="5"/>
  <c r="AC13" i="5"/>
  <c r="AD13" i="5"/>
  <c r="AE13" i="5"/>
  <c r="AA14" i="5"/>
  <c r="AB14" i="5"/>
  <c r="AC14" i="5"/>
  <c r="AD14" i="5"/>
  <c r="AE14" i="5"/>
  <c r="AA15" i="5"/>
  <c r="AB15" i="5"/>
  <c r="AC15" i="5"/>
  <c r="AD15" i="5"/>
  <c r="AE15" i="5"/>
  <c r="AA16" i="5"/>
  <c r="AB16" i="5"/>
  <c r="AC16" i="5"/>
  <c r="AD16" i="5"/>
  <c r="AE16" i="5"/>
  <c r="AA17" i="5"/>
  <c r="AB17" i="5"/>
  <c r="AC17" i="5"/>
  <c r="AD17" i="5"/>
  <c r="AE17" i="5"/>
  <c r="Z17" i="5"/>
  <c r="Z16" i="5"/>
  <c r="Z15" i="5"/>
  <c r="Z14" i="5"/>
  <c r="Z13" i="5"/>
  <c r="AA9" i="5"/>
  <c r="AB9" i="5"/>
  <c r="AC9" i="5"/>
  <c r="AD9" i="5"/>
  <c r="AE9" i="5"/>
  <c r="AA10" i="5"/>
  <c r="AB10" i="5"/>
  <c r="AC10" i="5"/>
  <c r="AD10" i="5"/>
  <c r="AE10" i="5"/>
  <c r="AA11" i="5"/>
  <c r="AB11" i="5"/>
  <c r="AC11" i="5"/>
  <c r="AD11" i="5"/>
  <c r="AE11" i="5"/>
  <c r="Z11" i="5"/>
  <c r="Z10" i="5"/>
  <c r="Z9" i="5"/>
  <c r="AA7" i="5"/>
  <c r="AB7" i="5"/>
  <c r="AC7" i="5"/>
  <c r="AD7" i="5"/>
  <c r="AE7" i="5"/>
  <c r="Z7" i="5"/>
  <c r="AA6" i="5"/>
  <c r="AB6" i="5"/>
  <c r="AC6" i="5"/>
  <c r="AD6" i="5"/>
  <c r="AE6" i="5"/>
  <c r="Z6" i="5"/>
  <c r="S22" i="5"/>
  <c r="T22" i="5"/>
  <c r="U22" i="5"/>
  <c r="V22" i="5"/>
  <c r="W22" i="5"/>
  <c r="R22" i="5"/>
  <c r="T21" i="5"/>
  <c r="U21" i="5"/>
  <c r="V21" i="5"/>
  <c r="W21" i="5"/>
  <c r="S21" i="5"/>
  <c r="R21" i="5"/>
  <c r="T20" i="5"/>
  <c r="U20" i="5"/>
  <c r="V20" i="5"/>
  <c r="W20" i="5"/>
  <c r="S20" i="5"/>
  <c r="R20" i="5"/>
  <c r="T19" i="5"/>
  <c r="U19" i="5"/>
  <c r="V19" i="5"/>
  <c r="W19" i="5"/>
  <c r="S19" i="5"/>
  <c r="R19" i="5"/>
  <c r="S14" i="5"/>
  <c r="T14" i="5"/>
  <c r="U14" i="5"/>
  <c r="V14" i="5"/>
  <c r="W14" i="5"/>
  <c r="S15" i="5"/>
  <c r="T15" i="5"/>
  <c r="U15" i="5"/>
  <c r="V15" i="5"/>
  <c r="W15" i="5"/>
  <c r="S16" i="5"/>
  <c r="T16" i="5"/>
  <c r="U16" i="5"/>
  <c r="V16" i="5"/>
  <c r="W16" i="5"/>
  <c r="S17" i="5"/>
  <c r="T17" i="5"/>
  <c r="U17" i="5"/>
  <c r="V17" i="5"/>
  <c r="W17" i="5"/>
  <c r="R17" i="5"/>
  <c r="R16" i="5"/>
  <c r="R15" i="5"/>
  <c r="R14" i="5"/>
  <c r="S13" i="5"/>
  <c r="T13" i="5"/>
  <c r="U13" i="5"/>
  <c r="V13" i="5"/>
  <c r="W13" i="5"/>
  <c r="R13" i="5"/>
  <c r="S11" i="5"/>
  <c r="T11" i="5"/>
  <c r="U11" i="5"/>
  <c r="V11" i="5"/>
  <c r="W11" i="5"/>
  <c r="R11" i="5"/>
  <c r="S10" i="5"/>
  <c r="T10" i="5"/>
  <c r="U10" i="5"/>
  <c r="V10" i="5"/>
  <c r="W10" i="5"/>
  <c r="R10" i="5"/>
  <c r="S9" i="5"/>
  <c r="T9" i="5"/>
  <c r="U9" i="5"/>
  <c r="V9" i="5"/>
  <c r="W9" i="5"/>
  <c r="R9" i="5"/>
  <c r="S7" i="5"/>
  <c r="T7" i="5"/>
  <c r="U7" i="5"/>
  <c r="V7" i="5"/>
  <c r="W7" i="5"/>
  <c r="R7" i="5"/>
  <c r="S6" i="5"/>
  <c r="T6" i="5"/>
  <c r="U6" i="5"/>
  <c r="V6" i="5"/>
  <c r="W6" i="5"/>
  <c r="R6" i="5"/>
  <c r="K21" i="5"/>
  <c r="L21" i="5"/>
  <c r="M21" i="5"/>
  <c r="N21" i="5"/>
  <c r="O21" i="5"/>
  <c r="K22" i="5"/>
  <c r="L22" i="5"/>
  <c r="M22" i="5"/>
  <c r="N22" i="5"/>
  <c r="O22" i="5"/>
  <c r="J22" i="5"/>
  <c r="J21" i="5"/>
  <c r="L20" i="5"/>
  <c r="M20" i="5"/>
  <c r="N20" i="5"/>
  <c r="O20" i="5"/>
  <c r="K20" i="5"/>
  <c r="J20" i="5"/>
  <c r="L19" i="5"/>
  <c r="M19" i="5"/>
  <c r="N19" i="5"/>
  <c r="O19" i="5"/>
  <c r="K19" i="5"/>
  <c r="J19" i="5"/>
  <c r="K15" i="5"/>
  <c r="L15" i="5"/>
  <c r="M15" i="5"/>
  <c r="N15" i="5"/>
  <c r="O15" i="5"/>
  <c r="K16" i="5"/>
  <c r="L16" i="5"/>
  <c r="M16" i="5"/>
  <c r="N16" i="5"/>
  <c r="O16" i="5"/>
  <c r="K17" i="5"/>
  <c r="L17" i="5"/>
  <c r="M17" i="5"/>
  <c r="N17" i="5"/>
  <c r="O17" i="5"/>
  <c r="J17" i="5"/>
  <c r="J16" i="5"/>
  <c r="J15" i="5"/>
  <c r="K14" i="5"/>
  <c r="L14" i="5"/>
  <c r="M14" i="5"/>
  <c r="N14" i="5"/>
  <c r="O14" i="5"/>
  <c r="J14" i="5"/>
  <c r="K13" i="5"/>
  <c r="L13" i="5"/>
  <c r="M13" i="5"/>
  <c r="N13" i="5"/>
  <c r="O13" i="5"/>
  <c r="C13" i="5"/>
  <c r="D13" i="5"/>
  <c r="E13" i="5"/>
  <c r="F13" i="5"/>
  <c r="G13" i="5"/>
  <c r="B13" i="5"/>
  <c r="J13" i="5"/>
  <c r="K11" i="5"/>
  <c r="L11" i="5"/>
  <c r="M11" i="5"/>
  <c r="N11" i="5"/>
  <c r="O11" i="5"/>
  <c r="J11" i="5"/>
  <c r="K10" i="5"/>
  <c r="L10" i="5"/>
  <c r="M10" i="5"/>
  <c r="N10" i="5"/>
  <c r="O10" i="5"/>
  <c r="J10" i="5"/>
  <c r="K9" i="5"/>
  <c r="L9" i="5"/>
  <c r="M9" i="5"/>
  <c r="N9" i="5"/>
  <c r="O9" i="5"/>
  <c r="J9" i="5"/>
  <c r="K7" i="5"/>
  <c r="L7" i="5"/>
  <c r="M7" i="5"/>
  <c r="N7" i="5"/>
  <c r="O7" i="5"/>
  <c r="J7" i="5"/>
  <c r="K6" i="5"/>
  <c r="L6" i="5"/>
  <c r="M6" i="5"/>
  <c r="N6" i="5"/>
  <c r="O6" i="5"/>
  <c r="J6" i="5"/>
  <c r="C22" i="5"/>
  <c r="D22" i="5"/>
  <c r="E22" i="5"/>
  <c r="F22" i="5"/>
  <c r="G22" i="5"/>
  <c r="B22" i="5"/>
  <c r="C21" i="5"/>
  <c r="D21" i="5"/>
  <c r="E21" i="5"/>
  <c r="F21" i="5"/>
  <c r="G21" i="5"/>
  <c r="B21" i="5"/>
  <c r="D20" i="5"/>
  <c r="E20" i="5"/>
  <c r="F20" i="5"/>
  <c r="G20" i="5"/>
  <c r="C20" i="5"/>
  <c r="B20" i="5"/>
  <c r="D19" i="5"/>
  <c r="E19" i="5"/>
  <c r="F19" i="5"/>
  <c r="G19" i="5"/>
  <c r="C19" i="5"/>
  <c r="B19" i="5"/>
  <c r="C16" i="5"/>
  <c r="D16" i="5"/>
  <c r="E16" i="5"/>
  <c r="F16" i="5"/>
  <c r="G16" i="5"/>
  <c r="C17" i="5"/>
  <c r="D17" i="5"/>
  <c r="E17" i="5"/>
  <c r="F17" i="5"/>
  <c r="G17" i="5"/>
  <c r="B17" i="5"/>
  <c r="B16" i="5"/>
  <c r="C15" i="5"/>
  <c r="D15" i="5"/>
  <c r="E15" i="5"/>
  <c r="F15" i="5"/>
  <c r="G15" i="5"/>
  <c r="B15" i="5"/>
  <c r="C14" i="5"/>
  <c r="D14" i="5"/>
  <c r="E14" i="5"/>
  <c r="F14" i="5"/>
  <c r="G14" i="5"/>
  <c r="B14" i="5"/>
  <c r="C11" i="5"/>
  <c r="D11" i="5"/>
  <c r="E11" i="5"/>
  <c r="F11" i="5"/>
  <c r="G11" i="5"/>
  <c r="B11" i="5"/>
  <c r="C10" i="5"/>
  <c r="D10" i="5"/>
  <c r="E10" i="5"/>
  <c r="F10" i="5"/>
  <c r="G10" i="5"/>
  <c r="B10" i="5"/>
  <c r="C9" i="5"/>
  <c r="D9" i="5"/>
  <c r="E9" i="5"/>
  <c r="F9" i="5"/>
  <c r="G9" i="5"/>
  <c r="B9" i="5"/>
  <c r="C7" i="5"/>
  <c r="D7" i="5"/>
  <c r="E7" i="5"/>
  <c r="F7" i="5"/>
  <c r="G7" i="5"/>
  <c r="B7" i="5"/>
  <c r="C6" i="5"/>
  <c r="D6" i="5"/>
  <c r="E6" i="5"/>
  <c r="F6" i="5"/>
  <c r="G6" i="5"/>
  <c r="B6" i="5"/>
  <c r="AF10" i="7" l="1"/>
  <c r="AG5" i="7"/>
  <c r="AG10" i="7" s="1"/>
  <c r="AF9" i="7"/>
  <c r="AE6" i="7"/>
  <c r="AE7" i="7" s="1"/>
  <c r="AE8" i="7" s="1"/>
  <c r="AX7" i="7"/>
  <c r="AX8" i="7" s="1"/>
  <c r="AW8" i="7"/>
  <c r="AX9" i="7"/>
  <c r="AX10" i="7"/>
  <c r="AY5" i="7"/>
  <c r="AQ54" i="2"/>
  <c r="AX11" i="7" s="1" a="1"/>
  <c r="AX11" i="7" s="1"/>
  <c r="AW9" i="7"/>
  <c r="AU12" i="7"/>
  <c r="AW11" i="7" a="1"/>
  <c r="AW11" i="7" s="1"/>
  <c r="AW12" i="7" s="1"/>
  <c r="AL12" i="7"/>
  <c r="AH65" i="2"/>
  <c r="AO5" i="7"/>
  <c r="AO6" i="7" s="1"/>
  <c r="AO7" i="7" s="1"/>
  <c r="AO8" i="7" s="1"/>
  <c r="AN6" i="7"/>
  <c r="AN9" i="7"/>
  <c r="AN11" i="7" a="1"/>
  <c r="AN11" i="7" s="1"/>
  <c r="AN7" i="7"/>
  <c r="AN8" i="7" s="1"/>
  <c r="AF7" i="7"/>
  <c r="AF8" i="7" s="1"/>
  <c r="AA74" i="2"/>
  <c r="AE11" i="7" a="1"/>
  <c r="AE11" i="7" s="1"/>
  <c r="AE10" i="7"/>
  <c r="AC12" i="7"/>
  <c r="R66" i="2"/>
  <c r="V66" i="2"/>
  <c r="Z11" i="7" s="1" a="1"/>
  <c r="Z11" i="7" s="1"/>
  <c r="Z12" i="7" s="1"/>
  <c r="E11" i="7" a="1"/>
  <c r="E11" i="7" s="1"/>
  <c r="E12" i="7" s="1"/>
  <c r="J54" i="2"/>
  <c r="N54" i="2"/>
  <c r="Q11" i="7" s="1" a="1"/>
  <c r="Q11" i="7" s="1"/>
  <c r="Q12" i="7" s="1"/>
  <c r="M54" i="2"/>
  <c r="L54" i="2"/>
  <c r="O11" i="7" s="1" a="1"/>
  <c r="O11" i="7" s="1"/>
  <c r="O12" i="7" s="1"/>
  <c r="E57" i="2"/>
  <c r="D57" i="2"/>
  <c r="F11" i="7" s="1" a="1"/>
  <c r="F11" i="7" s="1"/>
  <c r="B12" i="7"/>
  <c r="D9" i="7"/>
  <c r="D12" i="7" s="1"/>
  <c r="H9" i="7"/>
  <c r="G9" i="7"/>
  <c r="F9" i="7"/>
  <c r="AQ9" i="4"/>
  <c r="AR9" i="4"/>
  <c r="AS9" i="4"/>
  <c r="AT9" i="4"/>
  <c r="AU9" i="4"/>
  <c r="AP9" i="4"/>
  <c r="AI9" i="4"/>
  <c r="AJ9" i="4"/>
  <c r="AK9" i="4"/>
  <c r="AL9" i="4"/>
  <c r="AM9" i="4"/>
  <c r="AH9" i="4"/>
  <c r="AA9" i="4"/>
  <c r="AB9" i="4"/>
  <c r="AC9" i="4"/>
  <c r="AD9" i="4"/>
  <c r="AE9" i="4"/>
  <c r="Z9" i="4"/>
  <c r="S9" i="4"/>
  <c r="T9" i="4"/>
  <c r="U9" i="4"/>
  <c r="V9" i="4"/>
  <c r="W9" i="4"/>
  <c r="R9" i="4"/>
  <c r="K9" i="4"/>
  <c r="L9" i="4"/>
  <c r="M9" i="4"/>
  <c r="N9" i="4"/>
  <c r="O9" i="4"/>
  <c r="J9" i="4"/>
  <c r="G9" i="4"/>
  <c r="C9" i="4"/>
  <c r="D9" i="4"/>
  <c r="E9" i="4"/>
  <c r="F9" i="4"/>
  <c r="B9" i="4"/>
  <c r="AT25" i="3"/>
  <c r="AU25" i="3"/>
  <c r="AA34" i="3"/>
  <c r="AB34" i="3"/>
  <c r="AC34" i="3"/>
  <c r="AD34" i="3"/>
  <c r="AE34" i="3"/>
  <c r="Z34" i="3"/>
  <c r="AE28" i="3"/>
  <c r="AH5" i="7" l="1"/>
  <c r="AG9" i="7"/>
  <c r="AB74" i="2"/>
  <c r="AG6" i="7"/>
  <c r="AG7" i="7" s="1"/>
  <c r="AG8" i="7" s="1"/>
  <c r="AG11" i="7" a="1"/>
  <c r="AG11" i="7" s="1"/>
  <c r="AG12" i="7" s="1"/>
  <c r="AX12" i="7"/>
  <c r="AZ5" i="7"/>
  <c r="AY6" i="7"/>
  <c r="AR54" i="2"/>
  <c r="AY11" i="7" s="1" a="1"/>
  <c r="AY11" i="7" s="1"/>
  <c r="AY10" i="7"/>
  <c r="AY9" i="7"/>
  <c r="AF11" i="7" a="1"/>
  <c r="AF11" i="7" s="1"/>
  <c r="AF12" i="7" s="1"/>
  <c r="AO9" i="7"/>
  <c r="AI65" i="2"/>
  <c r="AO11" i="7" s="1" a="1"/>
  <c r="AO11" i="7" s="1"/>
  <c r="AP5" i="7"/>
  <c r="AO10" i="7"/>
  <c r="AO12" i="7"/>
  <c r="AN12" i="7"/>
  <c r="AE12" i="7"/>
  <c r="P11" i="7" a="1"/>
  <c r="P11" i="7" s="1"/>
  <c r="P12" i="7" s="1"/>
  <c r="W11" i="7" a="1"/>
  <c r="W11" i="7" s="1"/>
  <c r="W12" i="7" s="1"/>
  <c r="V11" i="7" a="1"/>
  <c r="V11" i="7" s="1"/>
  <c r="V12" i="7" s="1"/>
  <c r="M11" i="7" a="1"/>
  <c r="M11" i="7" s="1"/>
  <c r="M12" i="7" s="1"/>
  <c r="N11" i="7" a="1"/>
  <c r="N11" i="7" s="1"/>
  <c r="N12" i="7" s="1"/>
  <c r="F12" i="7"/>
  <c r="G11" i="7" a="1"/>
  <c r="G11" i="7" s="1"/>
  <c r="G12" i="7" s="1"/>
  <c r="H11" i="7" a="1"/>
  <c r="H11" i="7" s="1"/>
  <c r="H12" i="7" s="1"/>
  <c r="W30" i="3"/>
  <c r="V30" i="3"/>
  <c r="K20" i="3"/>
  <c r="AQ8" i="3"/>
  <c r="AR8" i="3"/>
  <c r="AS8" i="3"/>
  <c r="AT8" i="3"/>
  <c r="AU8" i="3"/>
  <c r="AQ22" i="3"/>
  <c r="AR22" i="3"/>
  <c r="AS22" i="3"/>
  <c r="AT22" i="3"/>
  <c r="AU22" i="3"/>
  <c r="AQ29" i="3"/>
  <c r="AR29" i="3"/>
  <c r="AS29" i="3"/>
  <c r="AT29" i="3"/>
  <c r="AU29" i="3"/>
  <c r="AQ33" i="3"/>
  <c r="AR33" i="3"/>
  <c r="AS33" i="3"/>
  <c r="AT33" i="3"/>
  <c r="AU33" i="3"/>
  <c r="AP33" i="3"/>
  <c r="AP29" i="3"/>
  <c r="AP22" i="3"/>
  <c r="AP8" i="3"/>
  <c r="AI17" i="3"/>
  <c r="AJ17" i="3"/>
  <c r="AK17" i="3"/>
  <c r="AL17" i="3"/>
  <c r="AM17" i="3"/>
  <c r="AI25" i="3"/>
  <c r="AJ25" i="3"/>
  <c r="AK25" i="3"/>
  <c r="AL25" i="3"/>
  <c r="AM25" i="3"/>
  <c r="AH25" i="3"/>
  <c r="AH17" i="3"/>
  <c r="AI8" i="3"/>
  <c r="AJ8" i="3"/>
  <c r="AK8" i="3"/>
  <c r="AL8" i="3"/>
  <c r="AM8" i="3"/>
  <c r="AH8" i="3"/>
  <c r="AA18" i="3"/>
  <c r="AB18" i="3"/>
  <c r="AC18" i="3"/>
  <c r="AD18" i="3"/>
  <c r="AE18" i="3"/>
  <c r="AA29" i="3"/>
  <c r="AB29" i="3"/>
  <c r="AC29" i="3"/>
  <c r="AD29" i="3"/>
  <c r="AE29" i="3"/>
  <c r="Z29" i="3"/>
  <c r="Z18" i="3"/>
  <c r="AA8" i="3"/>
  <c r="AA20" i="3" s="1"/>
  <c r="AA30" i="3" s="1"/>
  <c r="AB8" i="3"/>
  <c r="AC8" i="3"/>
  <c r="AD8" i="3"/>
  <c r="AE8" i="3"/>
  <c r="Z8" i="3"/>
  <c r="Z20" i="3" s="1"/>
  <c r="Z30" i="3" s="1"/>
  <c r="S21" i="3"/>
  <c r="T21" i="3"/>
  <c r="U21" i="3"/>
  <c r="V21" i="3"/>
  <c r="W21" i="3"/>
  <c r="S30" i="3"/>
  <c r="T30" i="3"/>
  <c r="U30" i="3"/>
  <c r="R30" i="3"/>
  <c r="R21" i="3"/>
  <c r="S9" i="3"/>
  <c r="S11" i="3" s="1"/>
  <c r="T9" i="3"/>
  <c r="T11" i="3" s="1"/>
  <c r="U9" i="3"/>
  <c r="U11" i="3" s="1"/>
  <c r="V9" i="3"/>
  <c r="V11" i="3" s="1"/>
  <c r="W9" i="3"/>
  <c r="W11" i="3" s="1"/>
  <c r="R9" i="3"/>
  <c r="R11" i="3" s="1"/>
  <c r="K18" i="3"/>
  <c r="L18" i="3"/>
  <c r="M18" i="3"/>
  <c r="N18" i="3"/>
  <c r="O18" i="3"/>
  <c r="K23" i="3"/>
  <c r="L23" i="3"/>
  <c r="M23" i="3"/>
  <c r="N23" i="3"/>
  <c r="O23" i="3"/>
  <c r="J23" i="3"/>
  <c r="J18" i="3"/>
  <c r="K9" i="3"/>
  <c r="L9" i="3"/>
  <c r="L20" i="3" s="1"/>
  <c r="M9" i="3"/>
  <c r="M20" i="3" s="1"/>
  <c r="N9" i="3"/>
  <c r="O9" i="3"/>
  <c r="J9" i="3"/>
  <c r="J20" i="3" s="1"/>
  <c r="C32" i="3"/>
  <c r="D32" i="3"/>
  <c r="E32" i="3"/>
  <c r="F32" i="3"/>
  <c r="G32" i="3"/>
  <c r="C36" i="3"/>
  <c r="D36" i="3"/>
  <c r="E36" i="3"/>
  <c r="F36" i="3"/>
  <c r="G36" i="3"/>
  <c r="B36" i="3"/>
  <c r="B32" i="3"/>
  <c r="C25" i="3"/>
  <c r="D25" i="3"/>
  <c r="E25" i="3"/>
  <c r="F25" i="3"/>
  <c r="G25" i="3"/>
  <c r="B25" i="3"/>
  <c r="C9" i="3"/>
  <c r="D9" i="3"/>
  <c r="E9" i="3"/>
  <c r="F9" i="3"/>
  <c r="G9" i="3"/>
  <c r="B9" i="3"/>
  <c r="AU47" i="2"/>
  <c r="AT47" i="2"/>
  <c r="AU24" i="2"/>
  <c r="AT24" i="2"/>
  <c r="AT26" i="2" s="1"/>
  <c r="AU22" i="2"/>
  <c r="AT22" i="2"/>
  <c r="AU15" i="2"/>
  <c r="AT15" i="2"/>
  <c r="AS13" i="2"/>
  <c r="AR13" i="2"/>
  <c r="AB12" i="2"/>
  <c r="W59" i="2"/>
  <c r="V59" i="2"/>
  <c r="W18" i="2"/>
  <c r="U18" i="2"/>
  <c r="O34" i="2"/>
  <c r="O37" i="2" s="1"/>
  <c r="N34" i="2"/>
  <c r="N37" i="2" s="1"/>
  <c r="G51" i="2"/>
  <c r="F51" i="2"/>
  <c r="F15" i="2"/>
  <c r="E50" i="2"/>
  <c r="AQ16" i="2"/>
  <c r="AR16" i="2"/>
  <c r="AS16" i="2"/>
  <c r="AT16" i="2"/>
  <c r="AU16" i="2"/>
  <c r="AQ26" i="2"/>
  <c r="AR26" i="2"/>
  <c r="AS26" i="2"/>
  <c r="AQ33" i="2"/>
  <c r="AR33" i="2"/>
  <c r="AS33" i="2"/>
  <c r="AT33" i="2"/>
  <c r="AU33" i="2"/>
  <c r="AQ39" i="2"/>
  <c r="AR39" i="2"/>
  <c r="AS39" i="2"/>
  <c r="AT39" i="2"/>
  <c r="AU39" i="2"/>
  <c r="AQ44" i="2"/>
  <c r="AR44" i="2"/>
  <c r="AR49" i="2" s="1"/>
  <c r="AS44" i="2"/>
  <c r="AS49" i="2" s="1"/>
  <c r="AT44" i="2"/>
  <c r="AT49" i="2" s="1"/>
  <c r="AU44" i="2"/>
  <c r="AU49" i="2" s="1"/>
  <c r="AQ49" i="2"/>
  <c r="AP49" i="2"/>
  <c r="AP44" i="2"/>
  <c r="AP39" i="2"/>
  <c r="AP33" i="2"/>
  <c r="AP26" i="2"/>
  <c r="AP16" i="2"/>
  <c r="AI20" i="2"/>
  <c r="AJ20" i="2"/>
  <c r="AK20" i="2"/>
  <c r="AL20" i="2"/>
  <c r="AM20" i="2"/>
  <c r="AI31" i="2"/>
  <c r="AJ31" i="2"/>
  <c r="AK31" i="2"/>
  <c r="AL31" i="2"/>
  <c r="AM31" i="2"/>
  <c r="AI38" i="2"/>
  <c r="AJ38" i="2"/>
  <c r="AK38" i="2"/>
  <c r="AL38" i="2"/>
  <c r="AM38" i="2"/>
  <c r="AI43" i="2"/>
  <c r="AI49" i="2" s="1"/>
  <c r="AJ43" i="2"/>
  <c r="AK43" i="2"/>
  <c r="AK49" i="2" s="1"/>
  <c r="AL43" i="2"/>
  <c r="AL49" i="2" s="1"/>
  <c r="AM43" i="2"/>
  <c r="AJ49" i="2"/>
  <c r="AM49" i="2"/>
  <c r="AI54" i="2"/>
  <c r="AI60" i="2" s="1"/>
  <c r="AJ54" i="2"/>
  <c r="AJ60" i="2" s="1"/>
  <c r="AK54" i="2"/>
  <c r="AL54" i="2"/>
  <c r="AM54" i="2"/>
  <c r="AK60" i="2"/>
  <c r="AL60" i="2"/>
  <c r="AM60" i="2"/>
  <c r="AH60" i="2"/>
  <c r="AH54" i="2"/>
  <c r="AH49" i="2"/>
  <c r="AH43" i="2"/>
  <c r="AH38" i="2"/>
  <c r="AH31" i="2"/>
  <c r="AH20" i="2"/>
  <c r="AA21" i="2"/>
  <c r="AB21" i="2"/>
  <c r="AC21" i="2"/>
  <c r="AD21" i="2"/>
  <c r="AE21" i="2"/>
  <c r="AA34" i="2"/>
  <c r="AB34" i="2"/>
  <c r="AC34" i="2"/>
  <c r="AD34" i="2"/>
  <c r="AE34" i="2"/>
  <c r="AA43" i="2"/>
  <c r="AB43" i="2"/>
  <c r="AC43" i="2"/>
  <c r="AD43" i="2"/>
  <c r="AE43" i="2"/>
  <c r="AA54" i="2"/>
  <c r="AB54" i="2"/>
  <c r="AC54" i="2"/>
  <c r="AD54" i="2"/>
  <c r="AE54" i="2"/>
  <c r="AA59" i="2"/>
  <c r="AB59" i="2"/>
  <c r="AC59" i="2"/>
  <c r="AD59" i="2"/>
  <c r="AD68" i="2" s="1"/>
  <c r="AE59" i="2"/>
  <c r="AE68" i="2" s="1"/>
  <c r="AA68" i="2"/>
  <c r="AB68" i="2"/>
  <c r="AC68" i="2"/>
  <c r="Z68" i="2"/>
  <c r="Z59" i="2"/>
  <c r="Z54" i="2"/>
  <c r="Z43" i="2"/>
  <c r="Z34" i="2"/>
  <c r="Z21" i="2"/>
  <c r="S40" i="2"/>
  <c r="T40" i="2"/>
  <c r="U40" i="2"/>
  <c r="V40" i="2"/>
  <c r="W40" i="2"/>
  <c r="S49" i="2"/>
  <c r="T49" i="2"/>
  <c r="U49" i="2"/>
  <c r="V49" i="2"/>
  <c r="W49" i="2"/>
  <c r="S54" i="2"/>
  <c r="T54" i="2"/>
  <c r="T61" i="2" s="1"/>
  <c r="U54" i="2"/>
  <c r="U61" i="2" s="1"/>
  <c r="V54" i="2"/>
  <c r="V61" i="2" s="1"/>
  <c r="W54" i="2"/>
  <c r="W61" i="2" s="1"/>
  <c r="S61" i="2"/>
  <c r="R61" i="2"/>
  <c r="R54" i="2"/>
  <c r="R49" i="2"/>
  <c r="R40" i="2"/>
  <c r="S33" i="2"/>
  <c r="T33" i="2"/>
  <c r="U33" i="2"/>
  <c r="V33" i="2"/>
  <c r="W33" i="2"/>
  <c r="R33" i="2"/>
  <c r="S20" i="2"/>
  <c r="T20" i="2"/>
  <c r="U20" i="2"/>
  <c r="V20" i="2"/>
  <c r="W20" i="2"/>
  <c r="R20" i="2"/>
  <c r="K49" i="2"/>
  <c r="L49" i="2"/>
  <c r="M49" i="2"/>
  <c r="J49" i="2"/>
  <c r="K44" i="2"/>
  <c r="L44" i="2"/>
  <c r="M44" i="2"/>
  <c r="N44" i="2"/>
  <c r="N49" i="2" s="1"/>
  <c r="O44" i="2"/>
  <c r="O49" i="2" s="1"/>
  <c r="J44" i="2"/>
  <c r="K30" i="2"/>
  <c r="L30" i="2"/>
  <c r="M30" i="2"/>
  <c r="N30" i="2"/>
  <c r="O30" i="2"/>
  <c r="K37" i="2"/>
  <c r="L37" i="2"/>
  <c r="M37" i="2"/>
  <c r="J37" i="2"/>
  <c r="J30" i="2"/>
  <c r="K24" i="2"/>
  <c r="L24" i="2"/>
  <c r="M24" i="2"/>
  <c r="N24" i="2"/>
  <c r="O24" i="2"/>
  <c r="J24" i="2"/>
  <c r="K14" i="2"/>
  <c r="L14" i="2"/>
  <c r="M14" i="2"/>
  <c r="N14" i="2"/>
  <c r="O14" i="2"/>
  <c r="J14" i="2"/>
  <c r="C47" i="2"/>
  <c r="D47" i="2"/>
  <c r="E47" i="2"/>
  <c r="F47" i="2"/>
  <c r="G47" i="2"/>
  <c r="B47" i="2"/>
  <c r="C52" i="2"/>
  <c r="D52" i="2"/>
  <c r="E52" i="2"/>
  <c r="F52" i="2"/>
  <c r="G52" i="2"/>
  <c r="B52" i="2"/>
  <c r="C42" i="2"/>
  <c r="D42" i="2"/>
  <c r="E42" i="2"/>
  <c r="F42" i="2"/>
  <c r="G42" i="2"/>
  <c r="B42" i="2"/>
  <c r="C34" i="2"/>
  <c r="D34" i="2"/>
  <c r="E34" i="2"/>
  <c r="F34" i="2"/>
  <c r="G34" i="2"/>
  <c r="B34" i="2"/>
  <c r="C27" i="2"/>
  <c r="D27" i="2"/>
  <c r="E27" i="2"/>
  <c r="F27" i="2"/>
  <c r="G27" i="2"/>
  <c r="B27" i="2"/>
  <c r="C16" i="2"/>
  <c r="D16" i="2"/>
  <c r="E16" i="2"/>
  <c r="F16" i="2"/>
  <c r="G16" i="2"/>
  <c r="B16" i="2"/>
  <c r="AH6" i="7" l="1"/>
  <c r="AC74" i="2"/>
  <c r="AH11" i="7" s="1" a="1"/>
  <c r="AH11" i="7" s="1"/>
  <c r="AI5" i="7"/>
  <c r="AH10" i="7"/>
  <c r="AH9" i="7"/>
  <c r="AY7" i="7"/>
  <c r="AY8" i="7" s="1"/>
  <c r="AY12" i="7" s="1"/>
  <c r="BA5" i="7"/>
  <c r="AZ6" i="7"/>
  <c r="AZ10" i="7"/>
  <c r="AZ9" i="7"/>
  <c r="AS54" i="2"/>
  <c r="AZ11" i="7" s="1" a="1"/>
  <c r="AZ11" i="7" s="1"/>
  <c r="AQ5" i="7"/>
  <c r="AJ65" i="2"/>
  <c r="AP11" i="7" s="1" a="1"/>
  <c r="AP11" i="7" s="1"/>
  <c r="AP10" i="7"/>
  <c r="AP6" i="7"/>
  <c r="AP7" i="7" s="1"/>
  <c r="AP8" i="7" s="1"/>
  <c r="AP9" i="7"/>
  <c r="AU23" i="3"/>
  <c r="AU30" i="3" s="1"/>
  <c r="AU34" i="3" s="1"/>
  <c r="AT23" i="3"/>
  <c r="AT30" i="3" s="1"/>
  <c r="AT34" i="3" s="1"/>
  <c r="AP23" i="3"/>
  <c r="AP25" i="3" s="1"/>
  <c r="AP30" i="3" s="1"/>
  <c r="AP34" i="3" s="1"/>
  <c r="AQ23" i="3"/>
  <c r="AQ25" i="3" s="1"/>
  <c r="AQ30" i="3" s="1"/>
  <c r="AQ34" i="3" s="1"/>
  <c r="AK18" i="3"/>
  <c r="AK20" i="3" s="1"/>
  <c r="AJ18" i="3"/>
  <c r="AJ20" i="3" s="1"/>
  <c r="AH18" i="3"/>
  <c r="AH20" i="3" s="1"/>
  <c r="AH22" i="3" s="1"/>
  <c r="AH26" i="3" s="1"/>
  <c r="AI18" i="3"/>
  <c r="AI20" i="3" s="1"/>
  <c r="AI22" i="3" s="1"/>
  <c r="AI26" i="3" s="1"/>
  <c r="AM18" i="3"/>
  <c r="AM20" i="3" s="1"/>
  <c r="AL18" i="3"/>
  <c r="AL20" i="3" s="1"/>
  <c r="AS23" i="3"/>
  <c r="AR23" i="3"/>
  <c r="AR25" i="3" s="1"/>
  <c r="AR30" i="3" s="1"/>
  <c r="AR34" i="3" s="1"/>
  <c r="AE20" i="3"/>
  <c r="AE30" i="3" s="1"/>
  <c r="AE35" i="3" s="1"/>
  <c r="AD20" i="3"/>
  <c r="AD30" i="3" s="1"/>
  <c r="AD35" i="3" s="1"/>
  <c r="AC20" i="3"/>
  <c r="AC30" i="3" s="1"/>
  <c r="AC35" i="3" s="1"/>
  <c r="AB20" i="3"/>
  <c r="AB30" i="3" s="1"/>
  <c r="AB35" i="3" s="1"/>
  <c r="AA35" i="3"/>
  <c r="Z35" i="3"/>
  <c r="W22" i="3"/>
  <c r="W24" i="3" s="1"/>
  <c r="W26" i="3" s="1"/>
  <c r="W31" i="3" s="1"/>
  <c r="V22" i="3"/>
  <c r="V24" i="3" s="1"/>
  <c r="V26" i="3" s="1"/>
  <c r="V31" i="3" s="1"/>
  <c r="U22" i="3"/>
  <c r="U24" i="3" s="1"/>
  <c r="U26" i="3" s="1"/>
  <c r="U31" i="3" s="1"/>
  <c r="T22" i="3"/>
  <c r="T24" i="3" s="1"/>
  <c r="T26" i="3" s="1"/>
  <c r="T31" i="3" s="1"/>
  <c r="S22" i="3"/>
  <c r="S24" i="3" s="1"/>
  <c r="S26" i="3" s="1"/>
  <c r="S31" i="3" s="1"/>
  <c r="R22" i="3"/>
  <c r="R24" i="3" s="1"/>
  <c r="R26" i="3" s="1"/>
  <c r="R31" i="3" s="1"/>
  <c r="N20" i="3"/>
  <c r="N24" i="3" s="1"/>
  <c r="O20" i="3"/>
  <c r="O24" i="3" s="1"/>
  <c r="M24" i="3"/>
  <c r="L24" i="3"/>
  <c r="K24" i="3"/>
  <c r="J24" i="3"/>
  <c r="F26" i="3"/>
  <c r="F28" i="3" s="1"/>
  <c r="F33" i="3" s="1"/>
  <c r="F37" i="3" s="1"/>
  <c r="G26" i="3"/>
  <c r="G28" i="3" s="1"/>
  <c r="G33" i="3" s="1"/>
  <c r="G37" i="3" s="1"/>
  <c r="D26" i="3"/>
  <c r="D28" i="3" s="1"/>
  <c r="D33" i="3" s="1"/>
  <c r="D37" i="3" s="1"/>
  <c r="E26" i="3"/>
  <c r="E28" i="3" s="1"/>
  <c r="E33" i="3" s="1"/>
  <c r="E37" i="3" s="1"/>
  <c r="C26" i="3"/>
  <c r="C28" i="3" s="1"/>
  <c r="C33" i="3" s="1"/>
  <c r="C37" i="3" s="1"/>
  <c r="B26" i="3"/>
  <c r="B28" i="3" s="1"/>
  <c r="B33" i="3" s="1"/>
  <c r="B37" i="3" s="1"/>
  <c r="AU50" i="2"/>
  <c r="AT50" i="2"/>
  <c r="AU26" i="2"/>
  <c r="AU27" i="2"/>
  <c r="AT27" i="2"/>
  <c r="AR50" i="2"/>
  <c r="AS50" i="2"/>
  <c r="AS27" i="2"/>
  <c r="AR27" i="2"/>
  <c r="AQ50" i="2"/>
  <c r="AP50" i="2"/>
  <c r="AP27" i="2"/>
  <c r="AQ27" i="2"/>
  <c r="AM61" i="2"/>
  <c r="AL61" i="2"/>
  <c r="AM32" i="2"/>
  <c r="AK61" i="2"/>
  <c r="AJ61" i="2"/>
  <c r="AK32" i="2"/>
  <c r="AJ32" i="2"/>
  <c r="AH61" i="2"/>
  <c r="AL32" i="2"/>
  <c r="AH32" i="2"/>
  <c r="AI32" i="2"/>
  <c r="AE36" i="2"/>
  <c r="AD36" i="2"/>
  <c r="AB36" i="2"/>
  <c r="AC36" i="2"/>
  <c r="AD70" i="2"/>
  <c r="AC70" i="2"/>
  <c r="AB70" i="2"/>
  <c r="AE70" i="2"/>
  <c r="AA70" i="2"/>
  <c r="Z70" i="2"/>
  <c r="Z36" i="2"/>
  <c r="AA36" i="2"/>
  <c r="V62" i="2"/>
  <c r="W34" i="2"/>
  <c r="V34" i="2"/>
  <c r="U62" i="2"/>
  <c r="T62" i="2"/>
  <c r="U34" i="2"/>
  <c r="T34" i="2"/>
  <c r="R62" i="2"/>
  <c r="S62" i="2"/>
  <c r="S34" i="2"/>
  <c r="R34" i="2"/>
  <c r="O50" i="2"/>
  <c r="N50" i="2"/>
  <c r="O25" i="2"/>
  <c r="N25" i="2"/>
  <c r="M50" i="2"/>
  <c r="L50" i="2"/>
  <c r="M25" i="2"/>
  <c r="L25" i="2"/>
  <c r="K50" i="2"/>
  <c r="J50" i="2"/>
  <c r="J25" i="2"/>
  <c r="K25" i="2"/>
  <c r="G53" i="2"/>
  <c r="F53" i="2"/>
  <c r="G28" i="2"/>
  <c r="F28" i="2"/>
  <c r="E53" i="2"/>
  <c r="D53" i="2"/>
  <c r="E28" i="2"/>
  <c r="D28" i="2"/>
  <c r="C53" i="2"/>
  <c r="B53" i="2"/>
  <c r="C28" i="2"/>
  <c r="B28" i="2"/>
  <c r="AI61" i="2"/>
  <c r="W62" i="2"/>
  <c r="AI10" i="7" l="1"/>
  <c r="AD74" i="2"/>
  <c r="AI11" i="7" s="1" a="1"/>
  <c r="AI11" i="7" s="1"/>
  <c r="AI9" i="7"/>
  <c r="AI6" i="7"/>
  <c r="AH7" i="7"/>
  <c r="AH8" i="7"/>
  <c r="AH12" i="7" s="1"/>
  <c r="AZ7" i="7"/>
  <c r="AZ8" i="7" s="1"/>
  <c r="AZ12" i="7" s="1"/>
  <c r="BA10" i="7"/>
  <c r="BA6" i="7"/>
  <c r="AT54" i="2"/>
  <c r="BA11" i="7" s="1" a="1"/>
  <c r="BA11" i="7" s="1"/>
  <c r="BA9" i="7"/>
  <c r="AP12" i="7"/>
  <c r="AK65" i="2"/>
  <c r="AQ11" i="7" s="1" a="1"/>
  <c r="AQ11" i="7" s="1"/>
  <c r="AQ9" i="7"/>
  <c r="AQ10" i="7"/>
  <c r="AR5" i="7"/>
  <c r="AQ6" i="7"/>
  <c r="AQ7" i="7" s="1"/>
  <c r="AQ8" i="7" s="1"/>
  <c r="AS25" i="3"/>
  <c r="AS30" i="3" s="1"/>
  <c r="AS34" i="3" s="1"/>
  <c r="AJ22" i="3"/>
  <c r="AJ26" i="3" s="1"/>
  <c r="AK22" i="3"/>
  <c r="AK26" i="3" s="1"/>
  <c r="AM22" i="3"/>
  <c r="AM26" i="3" s="1"/>
  <c r="AL22" i="3"/>
  <c r="AL26" i="3" s="1"/>
  <c r="G7" i="1" a="1"/>
  <c r="G7" i="1" s="1"/>
  <c r="G8" i="1" a="1"/>
  <c r="G8" i="1" s="1"/>
  <c r="G9" i="1" a="1"/>
  <c r="G9" i="1" s="1"/>
  <c r="G10" i="1" s="1"/>
  <c r="G11" i="1" a="1"/>
  <c r="G11" i="1" s="1"/>
  <c r="G12" i="1" s="1"/>
  <c r="G14" i="6" s="1"/>
  <c r="G13" i="1" a="1"/>
  <c r="G13" i="1" s="1"/>
  <c r="G5" i="6" s="1"/>
  <c r="G7" i="6" s="1"/>
  <c r="G14" i="1" a="1"/>
  <c r="G14" i="1" s="1"/>
  <c r="G5" i="1" a="1"/>
  <c r="G5" i="1" s="1"/>
  <c r="C7" i="1" a="1"/>
  <c r="C7" i="1" s="1"/>
  <c r="D7" i="1" a="1"/>
  <c r="D7" i="1" s="1"/>
  <c r="H16" i="8" s="1"/>
  <c r="E7" i="1" a="1"/>
  <c r="E7" i="1" s="1"/>
  <c r="I16" i="8" s="1"/>
  <c r="F7" i="1" a="1"/>
  <c r="F7" i="1" s="1"/>
  <c r="C8" i="1" a="1"/>
  <c r="C8" i="1" s="1"/>
  <c r="E8" i="1" a="1"/>
  <c r="E8" i="1" s="1"/>
  <c r="F8" i="1" a="1"/>
  <c r="F8" i="1" s="1"/>
  <c r="C9" i="1" a="1"/>
  <c r="C9" i="1" s="1"/>
  <c r="C10" i="1" s="1"/>
  <c r="D9" i="1" a="1"/>
  <c r="D9" i="1" s="1"/>
  <c r="D10" i="1" s="1"/>
  <c r="E9" i="1" a="1"/>
  <c r="E9" i="1" s="1"/>
  <c r="E10" i="1" s="1"/>
  <c r="F9" i="1" a="1"/>
  <c r="F9" i="1" s="1"/>
  <c r="F10" i="1" s="1"/>
  <c r="C11" i="1" a="1"/>
  <c r="C11" i="1" s="1"/>
  <c r="C12" i="1" s="1"/>
  <c r="C14" i="6" s="1"/>
  <c r="D11" i="1" a="1"/>
  <c r="D11" i="1" s="1"/>
  <c r="D12" i="1" s="1"/>
  <c r="E11" i="1" a="1"/>
  <c r="E11" i="1" s="1"/>
  <c r="E12" i="1" s="1"/>
  <c r="F11" i="1" a="1"/>
  <c r="F11" i="1" s="1"/>
  <c r="F12" i="1" s="1"/>
  <c r="F14" i="6" s="1"/>
  <c r="C13" i="1" a="1"/>
  <c r="C13" i="1" s="1"/>
  <c r="C5" i="6" s="1"/>
  <c r="C7" i="6" s="1"/>
  <c r="D13" i="1" a="1"/>
  <c r="D13" i="1" s="1"/>
  <c r="D5" i="6" s="1"/>
  <c r="D7" i="6" s="1"/>
  <c r="E13" i="1" a="1"/>
  <c r="E13" i="1" s="1"/>
  <c r="E5" i="6" s="1"/>
  <c r="E7" i="6" s="1"/>
  <c r="F13" i="1" a="1"/>
  <c r="F13" i="1" s="1"/>
  <c r="F5" i="6" s="1"/>
  <c r="F7" i="6" s="1"/>
  <c r="C14" i="1" a="1"/>
  <c r="C14" i="1" s="1"/>
  <c r="D14" i="1" a="1"/>
  <c r="D14" i="1" s="1"/>
  <c r="E14" i="1" a="1"/>
  <c r="E14" i="1" s="1"/>
  <c r="F14" i="1" a="1"/>
  <c r="F14" i="1" s="1"/>
  <c r="B14" i="1" a="1"/>
  <c r="B14" i="1" s="1"/>
  <c r="B13" i="1" a="1"/>
  <c r="B13" i="1" s="1"/>
  <c r="B5" i="6" s="1"/>
  <c r="B11" i="1" a="1"/>
  <c r="B11" i="1" s="1"/>
  <c r="B12" i="1" s="1"/>
  <c r="B14" i="6" s="1"/>
  <c r="C5" i="1" a="1"/>
  <c r="C5" i="1" s="1"/>
  <c r="D5" i="1" a="1"/>
  <c r="D5" i="1" s="1"/>
  <c r="E5" i="1" a="1"/>
  <c r="E5" i="1" s="1"/>
  <c r="F5" i="1" a="1"/>
  <c r="F5" i="1" s="1"/>
  <c r="B5" i="1" a="1"/>
  <c r="B5" i="1" s="1"/>
  <c r="B9" i="1" a="1"/>
  <c r="B9" i="1" s="1"/>
  <c r="B10" i="1" s="1"/>
  <c r="B8" i="1" a="1"/>
  <c r="B8" i="1" s="1"/>
  <c r="B7" i="1" a="1"/>
  <c r="B7" i="1" s="1"/>
  <c r="B7" i="6" l="1"/>
  <c r="AI7" i="7"/>
  <c r="AI8" i="7" s="1"/>
  <c r="AI12" i="7" s="1"/>
  <c r="K21" i="7"/>
  <c r="K30" i="5"/>
  <c r="L30" i="5"/>
  <c r="M30" i="5"/>
  <c r="N30" i="5"/>
  <c r="J30" i="5"/>
  <c r="T21" i="7"/>
  <c r="S30" i="5"/>
  <c r="V30" i="5"/>
  <c r="T30" i="5"/>
  <c r="U30" i="5"/>
  <c r="R30" i="5"/>
  <c r="AU21" i="7"/>
  <c r="AQ30" i="5"/>
  <c r="AR30" i="5"/>
  <c r="AS30" i="5"/>
  <c r="AT30" i="5"/>
  <c r="AP30" i="5"/>
  <c r="AL21" i="7"/>
  <c r="AK30" i="5"/>
  <c r="AL30" i="5"/>
  <c r="AH30" i="5"/>
  <c r="AI30" i="5"/>
  <c r="AJ30" i="5"/>
  <c r="AC21" i="7"/>
  <c r="Z30" i="5"/>
  <c r="AB30" i="5"/>
  <c r="AA30" i="5"/>
  <c r="AC30" i="5"/>
  <c r="AD30" i="5"/>
  <c r="B21" i="7"/>
  <c r="C30" i="5"/>
  <c r="D30" i="5"/>
  <c r="E30" i="5"/>
  <c r="F30" i="5"/>
  <c r="B30" i="5"/>
  <c r="D8" i="8"/>
  <c r="D14" i="6"/>
  <c r="D15" i="6" s="1"/>
  <c r="D17" i="6" s="1"/>
  <c r="H8" i="8"/>
  <c r="E14" i="6"/>
  <c r="E15" i="6" s="1"/>
  <c r="E17" i="6" s="1"/>
  <c r="I8" i="8"/>
  <c r="D10" i="8"/>
  <c r="D5" i="8"/>
  <c r="D4" i="8"/>
  <c r="BA7" i="7"/>
  <c r="BA8" i="7"/>
  <c r="BA12" i="7" s="1"/>
  <c r="AU28" i="5"/>
  <c r="AU23" i="7"/>
  <c r="AQ12" i="7"/>
  <c r="AL65" i="2"/>
  <c r="AR11" i="7" s="1" a="1"/>
  <c r="AR11" i="7" s="1"/>
  <c r="AR10" i="7"/>
  <c r="AR9" i="7"/>
  <c r="AR6" i="7"/>
  <c r="AR7" i="7" s="1"/>
  <c r="AR8" i="7" s="1"/>
  <c r="AM28" i="5"/>
  <c r="AL23" i="7"/>
  <c r="AE28" i="5"/>
  <c r="AC23" i="7"/>
  <c r="W28" i="5"/>
  <c r="T23" i="7"/>
  <c r="O28" i="5"/>
  <c r="K23" i="7"/>
  <c r="G28" i="5"/>
  <c r="B23" i="7"/>
  <c r="B15" i="6"/>
  <c r="B17" i="6" s="1"/>
  <c r="F15" i="6"/>
  <c r="F17" i="6" s="1"/>
  <c r="C15" i="6"/>
  <c r="C17" i="6" s="1"/>
  <c r="G15" i="6"/>
  <c r="G17" i="6" s="1"/>
  <c r="AT27" i="5"/>
  <c r="AP27" i="5"/>
  <c r="AQ27" i="5"/>
  <c r="AR27" i="5"/>
  <c r="AS27" i="5"/>
  <c r="AR24" i="5"/>
  <c r="AQ24" i="5"/>
  <c r="AS24" i="5"/>
  <c r="AT24" i="5"/>
  <c r="AU24" i="5"/>
  <c r="AP24" i="5"/>
  <c r="AJ27" i="5"/>
  <c r="AJ24" i="5"/>
  <c r="AK27" i="5"/>
  <c r="AK24" i="5"/>
  <c r="AL27" i="5"/>
  <c r="AL24" i="5"/>
  <c r="AI24" i="5"/>
  <c r="AM24" i="5"/>
  <c r="AH27" i="5"/>
  <c r="AH24" i="5"/>
  <c r="AI27" i="5"/>
  <c r="AI29" i="5"/>
  <c r="AJ29" i="5"/>
  <c r="AH29" i="5"/>
  <c r="AK29" i="5"/>
  <c r="AL29" i="5"/>
  <c r="AP29" i="5"/>
  <c r="AT29" i="5"/>
  <c r="AQ29" i="5"/>
  <c r="AR29" i="5"/>
  <c r="AS29" i="5"/>
  <c r="AC27" i="5"/>
  <c r="Z24" i="5"/>
  <c r="AD27" i="5"/>
  <c r="AC24" i="5"/>
  <c r="AE24" i="5"/>
  <c r="Z27" i="5"/>
  <c r="AA24" i="5"/>
  <c r="AB24" i="5"/>
  <c r="AA27" i="5"/>
  <c r="AD24" i="5"/>
  <c r="AB27" i="5"/>
  <c r="Z29" i="5"/>
  <c r="AB29" i="5"/>
  <c r="AD29" i="5"/>
  <c r="AC29" i="5"/>
  <c r="AA29" i="5"/>
  <c r="S24" i="5"/>
  <c r="V27" i="5"/>
  <c r="T24" i="5"/>
  <c r="U24" i="5"/>
  <c r="R27" i="5"/>
  <c r="V24" i="5"/>
  <c r="W24" i="5"/>
  <c r="S27" i="5"/>
  <c r="R24" i="5"/>
  <c r="T27" i="5"/>
  <c r="U27" i="5"/>
  <c r="K27" i="5"/>
  <c r="L27" i="5"/>
  <c r="M27" i="5"/>
  <c r="N27" i="5"/>
  <c r="S29" i="5"/>
  <c r="T29" i="5"/>
  <c r="U29" i="5"/>
  <c r="V29" i="5"/>
  <c r="R29" i="5"/>
  <c r="J27" i="5"/>
  <c r="N24" i="5"/>
  <c r="O24" i="5"/>
  <c r="J24" i="5"/>
  <c r="K24" i="5"/>
  <c r="L24" i="5"/>
  <c r="M24" i="5"/>
  <c r="L29" i="5"/>
  <c r="K29" i="5"/>
  <c r="M29" i="5"/>
  <c r="N29" i="5"/>
  <c r="J29" i="5"/>
  <c r="C27" i="5"/>
  <c r="D27" i="5"/>
  <c r="E27" i="5"/>
  <c r="F27" i="5"/>
  <c r="B27" i="5"/>
  <c r="C29" i="5"/>
  <c r="D29" i="5"/>
  <c r="E29" i="5"/>
  <c r="F29" i="5"/>
  <c r="B29" i="5"/>
  <c r="D24" i="5"/>
  <c r="E24" i="5"/>
  <c r="G24" i="5"/>
  <c r="C24" i="5"/>
  <c r="F24" i="5"/>
  <c r="B24" i="5"/>
  <c r="AB26" i="5" l="1"/>
  <c r="AT26" i="5"/>
  <c r="Z26" i="5"/>
  <c r="AP26" i="5"/>
  <c r="V26" i="5"/>
  <c r="AL26" i="5"/>
  <c r="AK26" i="5"/>
  <c r="AH26" i="5"/>
  <c r="AA26" i="5"/>
  <c r="AS26" i="5"/>
  <c r="AJ26" i="5"/>
  <c r="AC26" i="5"/>
  <c r="AR26" i="5"/>
  <c r="AI26" i="5"/>
  <c r="AD26" i="5"/>
  <c r="AQ26" i="5"/>
  <c r="B26" i="5"/>
  <c r="U26" i="5"/>
  <c r="F26" i="5"/>
  <c r="T26" i="5"/>
  <c r="D26" i="5"/>
  <c r="K26" i="5"/>
  <c r="L26" i="5"/>
  <c r="R26" i="5"/>
  <c r="E26" i="5"/>
  <c r="J26" i="5"/>
  <c r="S26" i="5"/>
  <c r="N26" i="5"/>
  <c r="C26" i="5"/>
  <c r="M26" i="5"/>
  <c r="AE29" i="5"/>
  <c r="AE30" i="5"/>
  <c r="AU29" i="5"/>
  <c r="AU30" i="5"/>
  <c r="AM27" i="5"/>
  <c r="E10" i="8" s="1"/>
  <c r="AM30" i="5"/>
  <c r="O29" i="5"/>
  <c r="O30" i="5"/>
  <c r="W27" i="5"/>
  <c r="E4" i="8" s="1"/>
  <c r="W30" i="5"/>
  <c r="G29" i="5"/>
  <c r="G30" i="5"/>
  <c r="R25" i="5"/>
  <c r="AT25" i="5"/>
  <c r="B25" i="5"/>
  <c r="J25" i="5"/>
  <c r="AB25" i="5"/>
  <c r="AS25" i="5"/>
  <c r="K25" i="5"/>
  <c r="AL25" i="5"/>
  <c r="N25" i="5"/>
  <c r="V25" i="5"/>
  <c r="AR25" i="5"/>
  <c r="AA25" i="5"/>
  <c r="C25" i="5"/>
  <c r="AH25" i="5"/>
  <c r="AJ25" i="5"/>
  <c r="S25" i="5"/>
  <c r="F25" i="5"/>
  <c r="AK25" i="5"/>
  <c r="AC25" i="5"/>
  <c r="U25" i="5"/>
  <c r="D25" i="5"/>
  <c r="M25" i="5"/>
  <c r="T25" i="5"/>
  <c r="AP25" i="5"/>
  <c r="AQ25" i="5"/>
  <c r="E25" i="5"/>
  <c r="L25" i="5"/>
  <c r="AD25" i="5"/>
  <c r="Z25" i="5"/>
  <c r="AI25" i="5"/>
  <c r="AU25" i="5"/>
  <c r="D15" i="8"/>
  <c r="I6" i="8" s="1"/>
  <c r="I14" i="8" s="1"/>
  <c r="I22" i="8" s="1"/>
  <c r="AU27" i="5"/>
  <c r="E8" i="8" s="1"/>
  <c r="W25" i="5"/>
  <c r="AM25" i="5"/>
  <c r="AM29" i="5"/>
  <c r="AE25" i="5"/>
  <c r="AE27" i="5"/>
  <c r="E5" i="8" s="1"/>
  <c r="AR12" i="7"/>
  <c r="W29" i="5"/>
  <c r="O27" i="5"/>
  <c r="G25" i="5"/>
  <c r="O25" i="5"/>
  <c r="G27" i="5"/>
  <c r="D16" i="6"/>
  <c r="D18" i="6" s="1"/>
  <c r="C16" i="6"/>
  <c r="C18" i="6" s="1"/>
  <c r="E16" i="6"/>
  <c r="E18" i="6" s="1"/>
  <c r="F16" i="6"/>
  <c r="F18" i="6" s="1"/>
  <c r="B16" i="6"/>
  <c r="B18" i="6" s="1"/>
  <c r="G16" i="6"/>
  <c r="G18" i="6" s="1"/>
  <c r="AU26" i="5" l="1"/>
  <c r="B8" i="8" s="1"/>
  <c r="W26" i="5"/>
  <c r="B4" i="8" s="1"/>
  <c r="AE26" i="5"/>
  <c r="B5" i="8" s="1"/>
  <c r="AM26" i="5"/>
  <c r="B10" i="8" s="1"/>
  <c r="C10" i="8"/>
  <c r="C4" i="8"/>
  <c r="G26" i="5"/>
  <c r="O26" i="5"/>
  <c r="C8" i="8"/>
  <c r="C5" i="8"/>
  <c r="H6" i="8"/>
  <c r="H14" i="8" s="1"/>
  <c r="H22" i="8" s="1"/>
  <c r="E15" i="8"/>
  <c r="I7" i="8" s="1"/>
  <c r="I15" i="8" s="1"/>
  <c r="I23" i="8" s="1"/>
  <c r="AU17" i="7"/>
  <c r="AU15" i="7"/>
  <c r="AU16" i="7" s="1"/>
  <c r="AL17" i="7"/>
  <c r="AL15" i="7"/>
  <c r="AL16" i="7" s="1"/>
  <c r="AC15" i="7"/>
  <c r="AC16" i="7" s="1"/>
  <c r="AC17" i="7"/>
  <c r="T17" i="7"/>
  <c r="T15" i="7"/>
  <c r="T16" i="7" s="1"/>
  <c r="K17" i="7"/>
  <c r="K15" i="7"/>
  <c r="K16" i="7" s="1"/>
  <c r="B17" i="7"/>
  <c r="B15" i="7"/>
  <c r="B16" i="7" s="1"/>
  <c r="C15" i="8" l="1"/>
  <c r="I5" i="8" s="1"/>
  <c r="I13" i="8" s="1"/>
  <c r="I21" i="8" s="1"/>
  <c r="B15" i="8"/>
  <c r="H4" i="8" s="1"/>
  <c r="H7" i="8"/>
  <c r="H15" i="8" s="1"/>
  <c r="H23" i="8" s="1"/>
  <c r="AU18" i="7"/>
  <c r="AU20" i="7" s="1"/>
  <c r="AU22" i="7" s="1"/>
  <c r="AU24" i="7" s="1"/>
  <c r="AL18" i="7"/>
  <c r="AL20" i="7" s="1"/>
  <c r="AL22" i="7" s="1"/>
  <c r="AL24" i="7" s="1"/>
  <c r="AC18" i="7"/>
  <c r="AC20" i="7" s="1"/>
  <c r="AC22" i="7" s="1"/>
  <c r="AC24" i="7" s="1"/>
  <c r="T18" i="7"/>
  <c r="T20" i="7" s="1"/>
  <c r="T22" i="7" s="1"/>
  <c r="T24" i="7" s="1"/>
  <c r="K18" i="7"/>
  <c r="K20" i="7" s="1"/>
  <c r="K22" i="7" s="1"/>
  <c r="K24" i="7" s="1"/>
  <c r="B18" i="7"/>
  <c r="B20" i="7" s="1"/>
  <c r="B22" i="7" s="1"/>
  <c r="B24" i="7" s="1"/>
  <c r="I4" i="8" l="1"/>
  <c r="I12" i="8" s="1"/>
  <c r="H5" i="8"/>
  <c r="H13" i="8" s="1"/>
  <c r="H21" i="8" s="1"/>
  <c r="H12" i="8"/>
  <c r="I9" i="8" l="1"/>
  <c r="H9" i="8"/>
  <c r="H20" i="8"/>
  <c r="H17" i="8"/>
  <c r="H24" i="8" s="1"/>
  <c r="I17" i="8"/>
  <c r="I24" i="8" s="1"/>
  <c r="I20"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<sst xmlns="http://schemas.openxmlformats.org/spreadsheetml/2006/main" count="1225" uniqueCount="303">
  <si>
    <t>COMPANY PROFILE</t>
  </si>
  <si>
    <t>Logo</t>
  </si>
  <si>
    <t>Official Name</t>
  </si>
  <si>
    <t>Share Price</t>
  </si>
  <si>
    <t>Change (%)</t>
  </si>
  <si>
    <t>Shares Outstanding</t>
  </si>
  <si>
    <t>Market Cap</t>
  </si>
  <si>
    <t>Beta</t>
  </si>
  <si>
    <t>Name</t>
  </si>
  <si>
    <t>Year of Corporation</t>
  </si>
  <si>
    <t>In Crores</t>
  </si>
  <si>
    <t>In crores</t>
  </si>
  <si>
    <t>BALANCE SHEET</t>
  </si>
  <si>
    <t>Particulars</t>
  </si>
  <si>
    <t>Non current assets</t>
  </si>
  <si>
    <t>PPE</t>
  </si>
  <si>
    <t>Capital work in progress</t>
  </si>
  <si>
    <t>Exploration and Evaluation assets</t>
  </si>
  <si>
    <t>Intangible assets</t>
  </si>
  <si>
    <t>Intangible assets under development</t>
  </si>
  <si>
    <t>Investments</t>
  </si>
  <si>
    <t>Loans</t>
  </si>
  <si>
    <t>Other financial assets</t>
  </si>
  <si>
    <t>Deferred tax assets</t>
  </si>
  <si>
    <t>Other non current assets</t>
  </si>
  <si>
    <t>Total non current assets</t>
  </si>
  <si>
    <t>2020</t>
  </si>
  <si>
    <t>2021</t>
  </si>
  <si>
    <t>2022</t>
  </si>
  <si>
    <t>2023</t>
  </si>
  <si>
    <t>2024</t>
  </si>
  <si>
    <t>2025</t>
  </si>
  <si>
    <t>Current Assets</t>
  </si>
  <si>
    <t>Inventories</t>
  </si>
  <si>
    <t>Trade receivables</t>
  </si>
  <si>
    <t>Cash and cash equivalents</t>
  </si>
  <si>
    <t>Bank Balances</t>
  </si>
  <si>
    <t>Current tax assets</t>
  </si>
  <si>
    <t>Other current assets</t>
  </si>
  <si>
    <t>Total current assets</t>
  </si>
  <si>
    <t>Total Assets</t>
  </si>
  <si>
    <t>EQUITY AND LIABILITIES</t>
  </si>
  <si>
    <t>Equity</t>
  </si>
  <si>
    <t>Equity share capital</t>
  </si>
  <si>
    <t>Other equity</t>
  </si>
  <si>
    <t>Non controlling interest</t>
  </si>
  <si>
    <t>Total Equity</t>
  </si>
  <si>
    <t>Non current liabilities</t>
  </si>
  <si>
    <t>Borrowings</t>
  </si>
  <si>
    <t>Lease liabilities</t>
  </si>
  <si>
    <t>Other financial liabilities</t>
  </si>
  <si>
    <t>Provisions</t>
  </si>
  <si>
    <t>Deferred tax liabilities</t>
  </si>
  <si>
    <t>Other non current liabilities</t>
  </si>
  <si>
    <t>Total non current liabilities</t>
  </si>
  <si>
    <t>Current Liabilities</t>
  </si>
  <si>
    <t>Total outstanding dues of micro and small enterprises</t>
  </si>
  <si>
    <t>Total outstanding dues other than above</t>
  </si>
  <si>
    <t>Total trade payables</t>
  </si>
  <si>
    <t>Other current liabilities</t>
  </si>
  <si>
    <t>Total current liabilities</t>
  </si>
  <si>
    <t>Total Equity and Liabilities</t>
  </si>
  <si>
    <t>Income tax assets</t>
  </si>
  <si>
    <t>Current assets</t>
  </si>
  <si>
    <t>Bank balances</t>
  </si>
  <si>
    <t>Others</t>
  </si>
  <si>
    <t>Lease Liabilities</t>
  </si>
  <si>
    <t>Operational buyers credit</t>
  </si>
  <si>
    <t>Total outstanding dues of micro, small and medium enterprises</t>
  </si>
  <si>
    <t>Total outstanding dues to creditors other than above</t>
  </si>
  <si>
    <t>Current tax liabilities</t>
  </si>
  <si>
    <t>Total equity and liabilities</t>
  </si>
  <si>
    <t>Non Current assets</t>
  </si>
  <si>
    <t>Investment property</t>
  </si>
  <si>
    <t>Right of use assets</t>
  </si>
  <si>
    <t>Goodwill</t>
  </si>
  <si>
    <t>Other intangible assets</t>
  </si>
  <si>
    <t>Investments in joint ventures</t>
  </si>
  <si>
    <t>Derivative assets</t>
  </si>
  <si>
    <t>Assets classified as held for sale</t>
  </si>
  <si>
    <t>Total assets</t>
  </si>
  <si>
    <t>Non controlling interests</t>
  </si>
  <si>
    <t>Total equity</t>
  </si>
  <si>
    <t>Derivative liabilities</t>
  </si>
  <si>
    <t>Current liabilities</t>
  </si>
  <si>
    <t>Total outstanding dues of small and micro enterprises</t>
  </si>
  <si>
    <t>Goodwill on consolidation</t>
  </si>
  <si>
    <t>Equity accounted investments</t>
  </si>
  <si>
    <t>Retirement benefit assets</t>
  </si>
  <si>
    <t>Non current tax assets</t>
  </si>
  <si>
    <t>Other assets</t>
  </si>
  <si>
    <t>Assets held for sale</t>
  </si>
  <si>
    <t>EQUITY AND LIABILITES</t>
  </si>
  <si>
    <t>Hybrid perpetual securities</t>
  </si>
  <si>
    <t>Retirement benefit obligations</t>
  </si>
  <si>
    <t>Deferred income</t>
  </si>
  <si>
    <t>Other liabilities</t>
  </si>
  <si>
    <t>Total outstanding dues of creditors other than above</t>
  </si>
  <si>
    <t>Liabilities held for sale</t>
  </si>
  <si>
    <t>Investments accounted for using the equity method</t>
  </si>
  <si>
    <t xml:space="preserve">Investments </t>
  </si>
  <si>
    <t>Assets classified for sale</t>
  </si>
  <si>
    <t>INCOME STATEMENT</t>
  </si>
  <si>
    <t>INCOME</t>
  </si>
  <si>
    <t>Revenue from Operations</t>
  </si>
  <si>
    <t>Other operating income</t>
  </si>
  <si>
    <t>Other income</t>
  </si>
  <si>
    <t>Total income</t>
  </si>
  <si>
    <t>EXPENSES</t>
  </si>
  <si>
    <t>Cost of materials consumed</t>
  </si>
  <si>
    <t>Purchase of stock in trade</t>
  </si>
  <si>
    <t>Changes in inventories of finished goods</t>
  </si>
  <si>
    <t>Employee benefit expense</t>
  </si>
  <si>
    <t>Power expense</t>
  </si>
  <si>
    <t>CSR Expense</t>
  </si>
  <si>
    <t>Repairs</t>
  </si>
  <si>
    <t>Contractual expense</t>
  </si>
  <si>
    <t>Finance costs</t>
  </si>
  <si>
    <t>Depreciation/Amortisation/Impairment</t>
  </si>
  <si>
    <t>Write off</t>
  </si>
  <si>
    <t>Stripping activity adjustment</t>
  </si>
  <si>
    <t>Other expenses</t>
  </si>
  <si>
    <t>Total expenses</t>
  </si>
  <si>
    <t>Profit before share of joint venture</t>
  </si>
  <si>
    <t>Share of Joint venture</t>
  </si>
  <si>
    <t>Profit before tax</t>
  </si>
  <si>
    <t>Tax expense</t>
  </si>
  <si>
    <t>Current tax</t>
  </si>
  <si>
    <t>Deferred tax</t>
  </si>
  <si>
    <t>Total tax expense</t>
  </si>
  <si>
    <t>Profit for the year from continuing operations</t>
  </si>
  <si>
    <t>Profit/loss from discontinued operations</t>
  </si>
  <si>
    <t>Tax expense of discontinued operations</t>
  </si>
  <si>
    <t>Profit/loss from discontinued operations (after tax)</t>
  </si>
  <si>
    <t>Profit/Loss for the year</t>
  </si>
  <si>
    <t>Revenue from operations</t>
  </si>
  <si>
    <t>Change in inventories of finished goods</t>
  </si>
  <si>
    <t>Employee benefit expenses</t>
  </si>
  <si>
    <t>Depreciation/Amortisation</t>
  </si>
  <si>
    <t>Power and fuel</t>
  </si>
  <si>
    <t>Minority royalty</t>
  </si>
  <si>
    <t>Deferred tax charge</t>
  </si>
  <si>
    <t>Total tax expenses</t>
  </si>
  <si>
    <t>Profit for the year</t>
  </si>
  <si>
    <t>Fees for assignment of contract</t>
  </si>
  <si>
    <t>Government grant income</t>
  </si>
  <si>
    <t>Total revenue from operations</t>
  </si>
  <si>
    <t>Changes in inventories of SIT, WIP</t>
  </si>
  <si>
    <t>Mining premium and royalties</t>
  </si>
  <si>
    <t>Profit before share of profit/loss from joint ventures</t>
  </si>
  <si>
    <t>Share of profit/loss</t>
  </si>
  <si>
    <t>Profit before exceptional items and tax</t>
  </si>
  <si>
    <t>Exceptional items</t>
  </si>
  <si>
    <t>Less: Expenditure</t>
  </si>
  <si>
    <t>Profit/Loss before exceptional items and tax</t>
  </si>
  <si>
    <t>Exceptional items:</t>
  </si>
  <si>
    <t>Profit on sale of subsidiaries</t>
  </si>
  <si>
    <t>Provision for impairement of investments</t>
  </si>
  <si>
    <t>Provision for impairment of non current assets</t>
  </si>
  <si>
    <t>Provision for demands and claims</t>
  </si>
  <si>
    <t>Employee seperation compensation</t>
  </si>
  <si>
    <t>Restructuring and other provisions</t>
  </si>
  <si>
    <t>Gain/loss on non current investments</t>
  </si>
  <si>
    <t>Total exceptional items</t>
  </si>
  <si>
    <t>Profit/loss before tax</t>
  </si>
  <si>
    <t>Profit before exceptional items, share of profits</t>
  </si>
  <si>
    <t>Share of profit</t>
  </si>
  <si>
    <t>Cosumption of raw materials</t>
  </si>
  <si>
    <t>Consumption of stores and spares</t>
  </si>
  <si>
    <t>Changes in inventories of finished goods, WIP</t>
  </si>
  <si>
    <t>Power and electricity</t>
  </si>
  <si>
    <t>Repairs and maintenance</t>
  </si>
  <si>
    <t>Royalty &amp; other levies</t>
  </si>
  <si>
    <t>Selling expenses</t>
  </si>
  <si>
    <t xml:space="preserve">Exceptional items </t>
  </si>
  <si>
    <t>Earlier years</t>
  </si>
  <si>
    <t>Profit/loss for the year from continuing operations</t>
  </si>
  <si>
    <t>Tax impact of earlier years</t>
  </si>
  <si>
    <t>Current tax for earlier years</t>
  </si>
  <si>
    <t>CASH FLOW STATEMENT</t>
  </si>
  <si>
    <t>Net cash flow from/used in Operating Activities</t>
  </si>
  <si>
    <t>Net cash flow from/used in Investing activities</t>
  </si>
  <si>
    <t>Net cash flow from/used in Financing activities</t>
  </si>
  <si>
    <t>Net change in cash and cash equivalents</t>
  </si>
  <si>
    <t>CapEX</t>
  </si>
  <si>
    <t>CapEx</t>
  </si>
  <si>
    <t>FINANCIAL RATIOS</t>
  </si>
  <si>
    <t>Liquidity</t>
  </si>
  <si>
    <t>Current Ratio</t>
  </si>
  <si>
    <t>Quick Ratio</t>
  </si>
  <si>
    <t>Leverage/Solvency</t>
  </si>
  <si>
    <t>Debt to Equity</t>
  </si>
  <si>
    <t>Interest Coverage</t>
  </si>
  <si>
    <t>Debt to Assets</t>
  </si>
  <si>
    <t>Profitability</t>
  </si>
  <si>
    <t>Gross Profit margin</t>
  </si>
  <si>
    <t>Operating Profit margin</t>
  </si>
  <si>
    <t>Net Profit margin</t>
  </si>
  <si>
    <t>Return on assets</t>
  </si>
  <si>
    <t>Return on Equity</t>
  </si>
  <si>
    <t>Efficiency</t>
  </si>
  <si>
    <t>Inventory turnover</t>
  </si>
  <si>
    <t>Debtors turnover</t>
  </si>
  <si>
    <t>Assets Turnover</t>
  </si>
  <si>
    <t>Fixed Asset Turnover</t>
  </si>
  <si>
    <t>Valuation</t>
  </si>
  <si>
    <t>EPS</t>
  </si>
  <si>
    <t>P/E</t>
  </si>
  <si>
    <t>EV/EBITDA</t>
  </si>
  <si>
    <t>P/S</t>
  </si>
  <si>
    <t>Market Price</t>
  </si>
  <si>
    <t>Market cap</t>
  </si>
  <si>
    <t>Market price</t>
  </si>
  <si>
    <t>WACC</t>
  </si>
  <si>
    <t>Parameters</t>
  </si>
  <si>
    <t>Coal India</t>
  </si>
  <si>
    <t>Hindustan Zinc</t>
  </si>
  <si>
    <t>JSW Steel</t>
  </si>
  <si>
    <t>TATA Steel</t>
  </si>
  <si>
    <t>SAIL</t>
  </si>
  <si>
    <t>NMDC</t>
  </si>
  <si>
    <t>Risk free rate</t>
  </si>
  <si>
    <t>Market risk premium</t>
  </si>
  <si>
    <t>Cost of Equity</t>
  </si>
  <si>
    <t>Total debt</t>
  </si>
  <si>
    <t>Cost of Debt (Pre-tax)</t>
  </si>
  <si>
    <t>Cost of debt (After tax)</t>
  </si>
  <si>
    <t>Total Debt</t>
  </si>
  <si>
    <t>Market value of Equity</t>
  </si>
  <si>
    <t>Total Capital</t>
  </si>
  <si>
    <t>Weight of equity</t>
  </si>
  <si>
    <t>Weight of debt</t>
  </si>
  <si>
    <t>Interest cost</t>
  </si>
  <si>
    <t>Terminal Growth</t>
  </si>
  <si>
    <t>Cash and Cash equivalents</t>
  </si>
  <si>
    <t>Net Debt</t>
  </si>
  <si>
    <t>WACC and Key Assumptions</t>
  </si>
  <si>
    <t>Discounted Cash Flow</t>
  </si>
  <si>
    <t>Growth/Ratio</t>
  </si>
  <si>
    <t>Revenue</t>
  </si>
  <si>
    <t>EBITDA</t>
  </si>
  <si>
    <t>Tax Expense</t>
  </si>
  <si>
    <t>NOPAT</t>
  </si>
  <si>
    <t>Depreciation</t>
  </si>
  <si>
    <t>Δ in working capital</t>
  </si>
  <si>
    <t>FCFF</t>
  </si>
  <si>
    <t>Value</t>
  </si>
  <si>
    <t>Terminal Value</t>
  </si>
  <si>
    <t>PV of Terminal Value</t>
  </si>
  <si>
    <t>PV of FCFF</t>
  </si>
  <si>
    <t>Enterprise value</t>
  </si>
  <si>
    <t>Equity Value</t>
  </si>
  <si>
    <t>Outstanding shares</t>
  </si>
  <si>
    <t>Intrinsic Value/share</t>
  </si>
  <si>
    <t>2026</t>
  </si>
  <si>
    <t>2027</t>
  </si>
  <si>
    <t>2028</t>
  </si>
  <si>
    <t>2029</t>
  </si>
  <si>
    <t>2030</t>
  </si>
  <si>
    <t>Current market price</t>
  </si>
  <si>
    <t>Working Capital</t>
  </si>
  <si>
    <t>Working capital Forecast</t>
  </si>
  <si>
    <t>Working capital</t>
  </si>
  <si>
    <t>COAL INDIA</t>
  </si>
  <si>
    <t>HINDUSTAN ZINC</t>
  </si>
  <si>
    <t>JSW STEEL</t>
  </si>
  <si>
    <t>TATA STEEL</t>
  </si>
  <si>
    <t>RELATIVE VALUATION</t>
  </si>
  <si>
    <t>Company</t>
  </si>
  <si>
    <t>P/B</t>
  </si>
  <si>
    <t>Metrics</t>
  </si>
  <si>
    <t>Average</t>
  </si>
  <si>
    <t>Net Income</t>
  </si>
  <si>
    <t>Book Value</t>
  </si>
  <si>
    <t>Tata Steel</t>
  </si>
  <si>
    <t>Jindal Steel</t>
  </si>
  <si>
    <t>Lloyds Metals and Energy</t>
  </si>
  <si>
    <t>Jindal Stainless</t>
  </si>
  <si>
    <t>KIOCL</t>
  </si>
  <si>
    <t>Shyam Metalics and Energy</t>
  </si>
  <si>
    <t>Welspun Corp</t>
  </si>
  <si>
    <t>APL Apollo Tubes</t>
  </si>
  <si>
    <t>Industry</t>
  </si>
  <si>
    <t>Revenue CAGR</t>
  </si>
  <si>
    <t>CIL</t>
  </si>
  <si>
    <t>HZ</t>
  </si>
  <si>
    <t>JSW</t>
  </si>
  <si>
    <t>TATA</t>
  </si>
  <si>
    <t>Earnings growth</t>
  </si>
  <si>
    <t>GDP g</t>
  </si>
  <si>
    <t>Change</t>
  </si>
  <si>
    <t>Sensitivity</t>
  </si>
  <si>
    <t>Capex Intensity</t>
  </si>
  <si>
    <t>Capex CAGR</t>
  </si>
  <si>
    <t>Change in EBIT (Historical)</t>
  </si>
  <si>
    <t>Change in CE</t>
  </si>
  <si>
    <t>Incremental ROCE (Historical)</t>
  </si>
  <si>
    <t>Change in EBIT (Forecast)</t>
  </si>
  <si>
    <t>Capex</t>
  </si>
  <si>
    <t>Effective Capital</t>
  </si>
  <si>
    <t>Raw ROCE (Forecast)</t>
  </si>
  <si>
    <t>Adjusted ROCE (Forecast)</t>
  </si>
  <si>
    <t>Earnings CAGR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</si>
</sst>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4009]\ * #,##0.00_ ;_ [$₹-4009]\ * \-#,##0.00_ ;_ [$₹-4009]\ * &quot;-&quot;??_ ;_ @_ "/>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24"/>
      <color theme="1"/>
      <name val="Calibri"/>
      <family val="2"/>
      <scheme val="minor"/>
    </font>
    <font>
      <b/>
      <sz val="20"/>
      <color theme="0" tint="-4.9989318521683403E-2"/>
      <name val="Calibri"/>
      <family val="2"/>
      <scheme val="minor"/>
    </font>
    <font>
      <b/>
      <sz val="16"/>
      <color theme="0" tint="-4.9989318521683403E-2"/>
      <name val="Calibri"/>
      <family val="2"/>
      <scheme val="minor"/>
    </font>
    <font>
      <b/>
      <sz val="18"/>
      <color theme="0" tint="-4.9989318521683403E-2"/>
      <name val="Calibri"/>
      <family val="2"/>
      <scheme val="minor"/>
    </font>
    <font>
      <b/>
      <sz val="11"/>
      <color theme="0"/>
      <name val="Calibri"/>
      <family val="2"/>
      <scheme val="minor"/>
    </font>
    <font>
      <b/>
      <sz val="16"/>
      <color theme="0"/>
      <name val="Calibri"/>
      <family val="2"/>
      <scheme val="minor"/>
    </font>
    <font>
      <b/>
      <sz val="18"/>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C000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theme="0"/>
      </right>
      <top style="thin">
        <color theme="0"/>
      </top>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1"/>
      </left>
      <right style="thin">
        <color theme="1"/>
      </right>
      <top style="thin">
        <color theme="1"/>
      </top>
      <bottom style="thin">
        <color theme="1"/>
      </bottom>
      <diagonal/>
    </border>
    <border>
      <left/>
      <right/>
      <top style="thin">
        <color theme="0"/>
      </top>
      <bottom style="thin">
        <color theme="0"/>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0" fontId="0" fillId="0" borderId="0" xfId="0" applyAlignment="1">
      <alignment vertical="center"/>
    </xf>
    <xf numFmtId="0" fontId="0" fillId="0" borderId="2" xfId="0" applyBorder="1" applyAlignment="1">
      <alignment vertical="center"/>
    </xf>
    <xf numFmtId="0" fontId="0" fillId="0" borderId="5" xfId="0" applyBorder="1" applyAlignment="1">
      <alignment vertical="center"/>
    </xf>
    <xf numFmtId="0" fontId="0" fillId="2" borderId="3" xfId="0" applyFill="1" applyBorder="1" applyAlignment="1">
      <alignment vertical="center"/>
    </xf>
    <xf numFmtId="0" fontId="0" fillId="0" borderId="2"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164" fontId="0" fillId="0" borderId="1" xfId="0" applyNumberFormat="1" applyBorder="1" applyAlignment="1">
      <alignment horizontal="center" vertical="center"/>
    </xf>
    <xf numFmtId="10" fontId="0" fillId="0" borderId="1" xfId="0" applyNumberFormat="1" applyBorder="1" applyAlignment="1">
      <alignment horizontal="center" vertical="center"/>
    </xf>
    <xf numFmtId="43" fontId="0" fillId="0" borderId="1" xfId="1" applyFont="1" applyBorder="1" applyAlignment="1">
      <alignment horizontal="center" vertical="center"/>
    </xf>
    <xf numFmtId="43" fontId="0" fillId="0" borderId="6" xfId="1" applyFont="1" applyBorder="1" applyAlignment="1">
      <alignment horizontal="center" vertical="center"/>
    </xf>
    <xf numFmtId="1" fontId="0" fillId="0" borderId="6" xfId="0" applyNumberFormat="1"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horizontal="center" vertical="center"/>
    </xf>
    <xf numFmtId="0" fontId="2" fillId="0" borderId="0" xfId="0" applyFont="1" applyAlignment="1">
      <alignment vertical="center"/>
    </xf>
    <xf numFmtId="0" fontId="0" fillId="2" borderId="3" xfId="0" applyFill="1" applyBorder="1" applyAlignment="1">
      <alignment horizontal="center" vertical="center"/>
    </xf>
    <xf numFmtId="0" fontId="0" fillId="2" borderId="16" xfId="0" applyFill="1"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xf>
    <xf numFmtId="0" fontId="3" fillId="0" borderId="0" xfId="0" applyFont="1" applyAlignment="1">
      <alignment vertical="center"/>
    </xf>
    <xf numFmtId="0" fontId="0" fillId="0" borderId="12" xfId="0" applyBorder="1" applyAlignment="1">
      <alignment vertical="center"/>
    </xf>
    <xf numFmtId="0" fontId="2" fillId="2" borderId="12" xfId="0" applyFont="1" applyFill="1" applyBorder="1" applyAlignment="1">
      <alignment vertical="center"/>
    </xf>
    <xf numFmtId="0" fontId="2" fillId="2" borderId="13" xfId="0" applyFont="1" applyFill="1" applyBorder="1" applyAlignment="1">
      <alignment vertical="center"/>
    </xf>
    <xf numFmtId="0" fontId="2" fillId="0" borderId="12" xfId="0" applyFont="1" applyBorder="1" applyAlignment="1">
      <alignment vertical="center"/>
    </xf>
    <xf numFmtId="0" fontId="2" fillId="0" borderId="14" xfId="0" applyFont="1" applyBorder="1" applyAlignment="1">
      <alignment vertical="center"/>
    </xf>
    <xf numFmtId="0" fontId="0" fillId="0" borderId="13" xfId="0" applyBorder="1" applyAlignment="1">
      <alignment horizontal="center" vertical="center"/>
    </xf>
    <xf numFmtId="0" fontId="2" fillId="2" borderId="13" xfId="0" applyFont="1" applyFill="1" applyBorder="1" applyAlignment="1">
      <alignment horizontal="center" vertical="center"/>
    </xf>
    <xf numFmtId="43" fontId="0" fillId="0" borderId="0" xfId="1" applyFont="1" applyBorder="1" applyAlignment="1">
      <alignment horizontal="center" vertical="center"/>
    </xf>
    <xf numFmtId="43" fontId="2" fillId="0" borderId="0" xfId="1" applyFont="1" applyBorder="1" applyAlignment="1">
      <alignment horizontal="center" vertical="center"/>
    </xf>
    <xf numFmtId="43" fontId="2" fillId="2" borderId="0" xfId="1" applyFont="1" applyFill="1" applyBorder="1" applyAlignment="1">
      <alignment horizontal="center" vertical="center"/>
    </xf>
    <xf numFmtId="43" fontId="0" fillId="0" borderId="13" xfId="1" applyFont="1" applyBorder="1" applyAlignment="1">
      <alignment horizontal="center" vertical="center"/>
    </xf>
    <xf numFmtId="43" fontId="0" fillId="2" borderId="0" xfId="1" applyFont="1" applyFill="1" applyBorder="1" applyAlignment="1">
      <alignment horizontal="center" vertical="center"/>
    </xf>
    <xf numFmtId="43" fontId="0" fillId="2" borderId="13" xfId="1" applyFont="1" applyFill="1" applyBorder="1" applyAlignment="1">
      <alignment horizontal="center" vertical="center"/>
    </xf>
    <xf numFmtId="43" fontId="2" fillId="2" borderId="13" xfId="1" applyFont="1" applyFill="1" applyBorder="1" applyAlignment="1">
      <alignment horizontal="center" vertical="center"/>
    </xf>
    <xf numFmtId="43" fontId="2" fillId="0" borderId="15" xfId="1" applyFont="1" applyBorder="1" applyAlignment="1">
      <alignment horizontal="center" vertical="center"/>
    </xf>
    <xf numFmtId="43" fontId="0" fillId="0" borderId="0" xfId="1" applyFont="1" applyFill="1" applyBorder="1" applyAlignment="1">
      <alignment horizontal="center" vertical="center"/>
    </xf>
    <xf numFmtId="43" fontId="0" fillId="0" borderId="13" xfId="1" applyFont="1" applyFill="1" applyBorder="1" applyAlignment="1">
      <alignment horizontal="center" vertical="center"/>
    </xf>
    <xf numFmtId="43" fontId="2" fillId="0" borderId="0" xfId="1" applyFont="1" applyFill="1" applyBorder="1" applyAlignment="1">
      <alignment horizontal="center" vertical="center"/>
    </xf>
    <xf numFmtId="43" fontId="2" fillId="0" borderId="15" xfId="1" applyFont="1" applyFill="1" applyBorder="1" applyAlignment="1">
      <alignment horizontal="center" vertical="center"/>
    </xf>
    <xf numFmtId="43" fontId="0" fillId="0" borderId="0" xfId="1" applyFont="1" applyAlignment="1">
      <alignment horizontal="center" vertical="center"/>
    </xf>
    <xf numFmtId="43" fontId="2" fillId="0" borderId="0" xfId="1" applyFont="1" applyAlignment="1">
      <alignment horizontal="center" vertical="center"/>
    </xf>
    <xf numFmtId="43" fontId="2" fillId="2" borderId="0" xfId="1" applyFont="1" applyFill="1" applyAlignment="1">
      <alignment horizontal="center" vertical="center"/>
    </xf>
    <xf numFmtId="43" fontId="0" fillId="0" borderId="0" xfId="1" applyFont="1" applyBorder="1" applyAlignment="1">
      <alignment vertical="center"/>
    </xf>
    <xf numFmtId="43" fontId="0" fillId="0" borderId="13" xfId="1" applyFont="1" applyBorder="1" applyAlignment="1">
      <alignment vertical="center"/>
    </xf>
    <xf numFmtId="43" fontId="2" fillId="0" borderId="0" xfId="1" applyFont="1" applyBorder="1" applyAlignment="1">
      <alignment vertical="center"/>
    </xf>
    <xf numFmtId="43" fontId="2" fillId="2" borderId="0" xfId="1" applyFont="1" applyFill="1" applyBorder="1" applyAlignment="1">
      <alignment vertical="center"/>
    </xf>
    <xf numFmtId="43" fontId="2" fillId="0" borderId="15" xfId="1" applyFont="1" applyBorder="1" applyAlignment="1">
      <alignment vertical="center"/>
    </xf>
    <xf numFmtId="0" fontId="4" fillId="2" borderId="0" xfId="0" applyFont="1" applyFill="1" applyAlignment="1">
      <alignment vertical="center"/>
    </xf>
    <xf numFmtId="0" fontId="4" fillId="0" borderId="0" xfId="0" applyFont="1" applyAlignment="1">
      <alignment vertical="center"/>
    </xf>
    <xf numFmtId="43" fontId="0" fillId="2" borderId="0" xfId="1" applyFont="1" applyFill="1" applyAlignment="1">
      <alignment horizontal="center" vertical="center"/>
    </xf>
    <xf numFmtId="0" fontId="5" fillId="0" borderId="0" xfId="0" applyFont="1" applyAlignment="1">
      <alignment vertical="center"/>
    </xf>
    <xf numFmtId="0" fontId="2" fillId="0" borderId="0" xfId="0" applyFont="1" applyAlignment="1">
      <alignment horizontal="center" vertical="center"/>
    </xf>
    <xf numFmtId="0" fontId="2" fillId="0" borderId="18" xfId="0" applyFont="1" applyBorder="1" applyAlignment="1">
      <alignment vertical="center"/>
    </xf>
    <xf numFmtId="0" fontId="0" fillId="0" borderId="20" xfId="0" applyBorder="1" applyAlignment="1">
      <alignment horizontal="center" vertical="center"/>
    </xf>
    <xf numFmtId="0" fontId="0" fillId="0" borderId="2" xfId="0" applyBorder="1" applyAlignment="1">
      <alignment horizontal="center" vertical="center"/>
    </xf>
    <xf numFmtId="0" fontId="2" fillId="0" borderId="3" xfId="0" applyFont="1" applyBorder="1" applyAlignment="1">
      <alignment vertical="center"/>
    </xf>
    <xf numFmtId="0" fontId="2" fillId="0" borderId="20" xfId="0" applyFont="1" applyBorder="1" applyAlignment="1">
      <alignment horizontal="center" vertical="center"/>
    </xf>
    <xf numFmtId="0" fontId="2" fillId="0" borderId="2"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0" fillId="0" borderId="4" xfId="0" applyBorder="1" applyAlignment="1">
      <alignment vertical="center"/>
    </xf>
    <xf numFmtId="43" fontId="2" fillId="0" borderId="1" xfId="1" applyFont="1" applyBorder="1" applyAlignment="1">
      <alignment horizontal="center" vertical="center"/>
    </xf>
    <xf numFmtId="43" fontId="0" fillId="0" borderId="19" xfId="1" applyFont="1" applyBorder="1" applyAlignment="1">
      <alignment horizontal="center" vertical="center"/>
    </xf>
    <xf numFmtId="43" fontId="0" fillId="0" borderId="4" xfId="1" applyFont="1" applyBorder="1" applyAlignment="1">
      <alignment horizontal="center" vertical="center"/>
    </xf>
    <xf numFmtId="0" fontId="6" fillId="0" borderId="0" xfId="0" applyFont="1" applyAlignment="1">
      <alignment horizontal="left" vertical="center"/>
    </xf>
    <xf numFmtId="0" fontId="0" fillId="0" borderId="21" xfId="0" applyBorder="1" applyAlignment="1">
      <alignment vertical="center"/>
    </xf>
    <xf numFmtId="0" fontId="2" fillId="0" borderId="21" xfId="0" applyFont="1" applyBorder="1" applyAlignment="1">
      <alignment vertical="center"/>
    </xf>
    <xf numFmtId="43" fontId="0" fillId="0" borderId="21" xfId="1" applyFont="1" applyBorder="1" applyAlignment="1">
      <alignment horizontal="center" vertical="center"/>
    </xf>
    <xf numFmtId="43" fontId="2" fillId="0" borderId="21" xfId="1" applyFont="1" applyBorder="1" applyAlignment="1">
      <alignment horizontal="center" vertical="center"/>
    </xf>
    <xf numFmtId="0" fontId="0" fillId="0" borderId="22" xfId="0" applyBorder="1" applyAlignment="1">
      <alignment vertical="center"/>
    </xf>
    <xf numFmtId="43" fontId="0" fillId="0" borderId="22" xfId="1" applyFont="1" applyBorder="1" applyAlignment="1">
      <alignment horizontal="center" vertical="center"/>
    </xf>
    <xf numFmtId="0" fontId="2" fillId="0" borderId="10" xfId="0" applyFont="1" applyBorder="1" applyAlignment="1">
      <alignment vertical="center"/>
    </xf>
    <xf numFmtId="0" fontId="2" fillId="0" borderId="17" xfId="0" applyFont="1" applyBorder="1" applyAlignment="1">
      <alignment horizontal="center" vertical="center"/>
    </xf>
    <xf numFmtId="0" fontId="2" fillId="0" borderId="8" xfId="0" applyFont="1" applyBorder="1" applyAlignment="1">
      <alignment horizontal="center" vertical="center"/>
    </xf>
    <xf numFmtId="0" fontId="0" fillId="0" borderId="8" xfId="0" applyBorder="1" applyAlignment="1">
      <alignment vertical="center"/>
    </xf>
    <xf numFmtId="43" fontId="0" fillId="0" borderId="10" xfId="1" applyFont="1" applyBorder="1" applyAlignment="1">
      <alignment horizontal="center" vertical="center"/>
    </xf>
    <xf numFmtId="0" fontId="0" fillId="0" borderId="7" xfId="0" applyBorder="1" applyAlignment="1">
      <alignment vertical="center"/>
    </xf>
    <xf numFmtId="43" fontId="0" fillId="0" borderId="9" xfId="1" applyFont="1" applyBorder="1" applyAlignment="1">
      <alignment horizontal="center" vertical="center"/>
    </xf>
    <xf numFmtId="0" fontId="2" fillId="0" borderId="7" xfId="0" applyFont="1" applyBorder="1" applyAlignment="1">
      <alignment vertical="center"/>
    </xf>
    <xf numFmtId="43" fontId="2" fillId="0" borderId="22" xfId="1" applyFont="1" applyBorder="1" applyAlignment="1">
      <alignment horizontal="center" vertical="center"/>
    </xf>
    <xf numFmtId="43" fontId="2" fillId="0" borderId="9" xfId="1" applyFont="1" applyBorder="1" applyAlignment="1">
      <alignment horizontal="center" vertical="center"/>
    </xf>
    <xf numFmtId="0" fontId="7" fillId="0" borderId="0" xfId="0" applyFont="1" applyAlignment="1">
      <alignment vertical="center"/>
    </xf>
    <xf numFmtId="0" fontId="0" fillId="0" borderId="16" xfId="0" applyBorder="1" applyAlignment="1">
      <alignment vertical="center"/>
    </xf>
    <xf numFmtId="0" fontId="2" fillId="0" borderId="23" xfId="0" applyFont="1" applyBorder="1" applyAlignment="1">
      <alignment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0" fillId="0" borderId="26" xfId="0" applyBorder="1" applyAlignment="1">
      <alignment vertical="center"/>
    </xf>
    <xf numFmtId="43" fontId="0" fillId="0" borderId="16" xfId="1" applyFont="1" applyBorder="1" applyAlignment="1">
      <alignment horizontal="center" vertical="center"/>
    </xf>
    <xf numFmtId="43" fontId="0" fillId="0" borderId="26" xfId="1" applyFont="1" applyBorder="1" applyAlignment="1">
      <alignment horizontal="center" vertical="center"/>
    </xf>
    <xf numFmtId="43" fontId="2" fillId="0" borderId="24" xfId="1" applyFont="1" applyBorder="1" applyAlignment="1">
      <alignment horizontal="center" vertical="center"/>
    </xf>
    <xf numFmtId="43" fontId="2" fillId="0" borderId="25" xfId="1" applyFont="1" applyBorder="1" applyAlignment="1">
      <alignment horizontal="center" vertical="center"/>
    </xf>
    <xf numFmtId="165" fontId="0" fillId="0" borderId="16" xfId="2" applyNumberFormat="1" applyFont="1" applyBorder="1" applyAlignment="1">
      <alignment vertical="center"/>
    </xf>
    <xf numFmtId="165" fontId="0" fillId="0" borderId="16" xfId="2" applyNumberFormat="1" applyFont="1" applyBorder="1" applyAlignment="1">
      <alignment horizontal="center" vertical="center"/>
    </xf>
    <xf numFmtId="165" fontId="0" fillId="0" borderId="0" xfId="2" applyNumberFormat="1" applyFont="1" applyAlignment="1">
      <alignment vertical="center"/>
    </xf>
    <xf numFmtId="0" fontId="9" fillId="0" borderId="0" xfId="0" applyFont="1"/>
    <xf numFmtId="0" fontId="9" fillId="0" borderId="0" xfId="0" applyFont="1" applyAlignment="1">
      <alignment vertical="center"/>
    </xf>
    <xf numFmtId="0" fontId="2" fillId="0" borderId="0" xfId="0" applyFont="1" applyAlignment="1">
      <alignment horizontal="center" vertical="center" wrapText="1"/>
    </xf>
    <xf numFmtId="10" fontId="0" fillId="0" borderId="1" xfId="2" applyNumberFormat="1" applyFont="1" applyBorder="1" applyAlignment="1">
      <alignment horizontal="center" vertical="center"/>
    </xf>
    <xf numFmtId="0" fontId="0" fillId="0" borderId="6" xfId="0" applyBorder="1" applyAlignment="1">
      <alignment vertical="center"/>
    </xf>
    <xf numFmtId="10" fontId="2" fillId="0" borderId="1" xfId="2" applyNumberFormat="1" applyFont="1" applyBorder="1" applyAlignment="1">
      <alignment horizontal="center" vertical="center"/>
    </xf>
    <xf numFmtId="9" fontId="0" fillId="0" borderId="6" xfId="2" applyFont="1" applyBorder="1" applyAlignment="1">
      <alignment horizontal="center" vertical="center"/>
    </xf>
    <xf numFmtId="165" fontId="0" fillId="0" borderId="6" xfId="2" applyNumberFormat="1" applyFont="1" applyBorder="1" applyAlignment="1">
      <alignment horizontal="center" vertical="center"/>
    </xf>
    <xf numFmtId="43" fontId="0" fillId="0" borderId="6" xfId="0" applyNumberFormat="1" applyBorder="1" applyAlignment="1">
      <alignment horizontal="center" vertical="center"/>
    </xf>
    <xf numFmtId="0" fontId="10" fillId="0" borderId="0" xfId="0" applyFont="1" applyAlignment="1">
      <alignment horizontal="left" vertical="center"/>
    </xf>
    <xf numFmtId="0" fontId="10" fillId="0" borderId="0" xfId="0" applyFont="1" applyAlignment="1">
      <alignment vertical="center"/>
    </xf>
    <xf numFmtId="9" fontId="0" fillId="0" borderId="1" xfId="2" applyFont="1" applyBorder="1" applyAlignment="1">
      <alignment horizontal="center" vertical="center"/>
    </xf>
    <xf numFmtId="0" fontId="2" fillId="4" borderId="0" xfId="0" applyFont="1" applyFill="1" applyAlignment="1">
      <alignment vertical="center"/>
    </xf>
    <xf numFmtId="0" fontId="2" fillId="4" borderId="0" xfId="0" applyFont="1" applyFill="1" applyAlignment="1">
      <alignment horizontal="center" vertical="center"/>
    </xf>
    <xf numFmtId="0" fontId="2" fillId="0" borderId="5" xfId="0" applyFont="1" applyBorder="1" applyAlignment="1">
      <alignment vertical="center"/>
    </xf>
    <xf numFmtId="43" fontId="2" fillId="0" borderId="6" xfId="1" applyFont="1" applyBorder="1" applyAlignment="1">
      <alignment horizontal="center" vertical="center"/>
    </xf>
    <xf numFmtId="43" fontId="0" fillId="0" borderId="1" xfId="0" applyNumberFormat="1" applyBorder="1" applyAlignment="1">
      <alignment horizontal="center" vertical="center"/>
    </xf>
    <xf numFmtId="43" fontId="0" fillId="0" borderId="0" xfId="0" applyNumberFormat="1" applyAlignment="1">
      <alignment horizontal="center" vertical="center"/>
    </xf>
    <xf numFmtId="9" fontId="0" fillId="0" borderId="6" xfId="2" applyFont="1" applyBorder="1" applyAlignment="1">
      <alignment horizontal="right" vertical="center"/>
    </xf>
    <xf numFmtId="0" fontId="8" fillId="0" borderId="0" xfId="0" applyFont="1" applyAlignment="1">
      <alignment vertical="center"/>
    </xf>
    <xf numFmtId="165" fontId="0" fillId="0" borderId="1" xfId="2" applyNumberFormat="1" applyFont="1" applyBorder="1" applyAlignment="1">
      <alignment horizontal="right" vertical="center"/>
    </xf>
    <xf numFmtId="43" fontId="0" fillId="0" borderId="0" xfId="0" applyNumberFormat="1" applyAlignment="1">
      <alignment vertical="center"/>
    </xf>
    <xf numFmtId="43" fontId="0" fillId="0" borderId="0" xfId="1" applyFont="1" applyAlignment="1">
      <alignment vertical="center"/>
    </xf>
    <xf numFmtId="9" fontId="0" fillId="0" borderId="0" xfId="2" applyFont="1" applyAlignment="1">
      <alignment vertical="center"/>
    </xf>
    <xf numFmtId="43" fontId="0" fillId="0" borderId="0" xfId="1" applyFont="1" applyAlignment="1">
      <alignment horizontal="center" vertical="center" wrapText="1"/>
    </xf>
    <xf numFmtId="9" fontId="2" fillId="0" borderId="0" xfId="2" applyFont="1" applyAlignment="1">
      <alignment vertical="center"/>
    </xf>
    <xf numFmtId="49" fontId="0" fillId="0" borderId="1" xfId="0" applyNumberFormat="1" applyBorder="1" applyAlignment="1">
      <alignment vertical="center"/>
    </xf>
    <xf numFmtId="49" fontId="2" fillId="0" borderId="1" xfId="0" applyNumberFormat="1" applyFont="1" applyBorder="1" applyAlignment="1">
      <alignment vertical="center"/>
    </xf>
    <xf numFmtId="2" fontId="2" fillId="0" borderId="1" xfId="0" applyNumberFormat="1" applyFont="1" applyBorder="1" applyAlignment="1">
      <alignment horizontal="center" vertical="center"/>
    </xf>
    <xf numFmtId="49" fontId="0" fillId="0" borderId="0" xfId="0" applyNumberFormat="1" applyAlignment="1">
      <alignment vertical="center"/>
    </xf>
    <xf numFmtId="10" fontId="0" fillId="0" borderId="0" xfId="2" applyNumberFormat="1"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43" fontId="0" fillId="0" borderId="1" xfId="0" applyNumberFormat="1" applyBorder="1" applyAlignment="1">
      <alignment vertical="center"/>
    </xf>
    <xf numFmtId="43" fontId="0" fillId="0" borderId="1" xfId="1" applyFont="1" applyBorder="1" applyAlignment="1">
      <alignment vertical="center"/>
    </xf>
    <xf numFmtId="10" fontId="0" fillId="0" borderId="1" xfId="2" applyNumberFormat="1" applyFont="1" applyBorder="1" applyAlignment="1">
      <alignment vertical="center"/>
    </xf>
    <xf numFmtId="10" fontId="0" fillId="0" borderId="1" xfId="0" applyNumberFormat="1" applyBorder="1" applyAlignment="1">
      <alignment vertical="center"/>
    </xf>
    <xf numFmtId="10" fontId="2" fillId="0" borderId="1" xfId="0" applyNumberFormat="1" applyFont="1" applyBorder="1" applyAlignment="1">
      <alignment horizontal="center" vertical="center"/>
    </xf>
    <xf numFmtId="10" fontId="2" fillId="0" borderId="0" xfId="2" applyNumberFormat="1" applyFont="1" applyAlignment="1">
      <alignment horizontal="center" vertical="center"/>
    </xf>
    <xf numFmtId="0" fontId="0" fillId="3" borderId="9" xfId="0" applyFill="1" applyBorder="1" applyAlignment="1">
      <alignment horizontal="center" vertical="center"/>
    </xf>
    <xf numFmtId="0" fontId="0" fillId="3" borderId="11" xfId="0" applyFill="1" applyBorder="1" applyAlignment="1">
      <alignment horizontal="center" vertical="center"/>
    </xf>
    <xf numFmtId="0" fontId="0" fillId="3" borderId="7" xfId="0" applyFill="1" applyBorder="1" applyAlignment="1">
      <alignment horizontal="center" vertical="center"/>
    </xf>
    <xf numFmtId="0" fontId="0" fillId="3" borderId="10" xfId="0" applyFill="1" applyBorder="1" applyAlignment="1">
      <alignment horizontal="center" vertical="center"/>
    </xf>
    <xf numFmtId="0" fontId="0" fillId="3" borderId="17" xfId="0" applyFill="1" applyBorder="1" applyAlignment="1">
      <alignment horizontal="center" vertical="center"/>
    </xf>
    <xf numFmtId="0" fontId="0" fillId="3" borderId="8" xfId="0"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left" vertical="center"/>
    </xf>
    <xf numFmtId="0" fontId="0" fillId="0" borderId="15" xfId="0" applyBorder="1" applyAlignment="1">
      <alignment horizontal="center" vertical="center"/>
    </xf>
    <xf numFmtId="0" fontId="10" fillId="0" borderId="0" xfId="0" applyFont="1" applyAlignment="1">
      <alignment horizontal="left" vertical="center"/>
    </xf>
  </cellXfs>
  <cellStyles count="3">
    <cellStyle name="Comma" xfId="1" builtinId="3"/>
    <cellStyle name="Normal" xfId="0" builtinId="0"/>
    <cellStyle name="Percent" xfId="2" builtinId="5"/>
  </cellStyles>
  <dxfs count="45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fill>
        <patternFill patternType="solid">
          <fgColor indexed="64"/>
          <bgColor rgb="FFC0000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fill>
        <patternFill patternType="solid">
          <fgColor indexed="64"/>
          <bgColor rgb="FFC0000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fill>
        <patternFill patternType="solid">
          <fgColor indexed="64"/>
          <bgColor rgb="FFC0000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fill>
        <patternFill patternType="solid">
          <fgColor indexed="64"/>
          <bgColor rgb="FFC0000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fill>
        <patternFill patternType="solid">
          <fgColor indexed="64"/>
          <bgColor rgb="FFC0000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fill>
        <patternFill patternType="solid">
          <fgColor indexed="64"/>
          <bgColor rgb="FFC00000"/>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general" vertical="center"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general" vertical="center"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general" vertical="center"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general" vertical="center"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dxf>
    <dxf>
      <border>
        <bottom style="thin">
          <color theme="0"/>
        </bottom>
      </border>
    </dxf>
    <dxf>
      <font>
        <b/>
      </font>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dxf>
    <dxf>
      <border>
        <bottom style="thin">
          <color theme="0"/>
        </bottom>
      </border>
    </dxf>
    <dxf>
      <font>
        <b/>
      </font>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font>
        <b/>
      </font>
      <alignmen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border diagonalUp="0" diagonalDown="0">
        <left style="thin">
          <color theme="0"/>
        </left>
        <right style="thin">
          <color theme="0"/>
        </right>
        <top style="thin">
          <color theme="0"/>
        </top>
        <bottom style="thin">
          <color theme="0"/>
        </bottom>
      </border>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0">
  <rv s="0">
    <v>0</v>
    <v>5</v>
  </rv>
  <rv s="0">
    <v>1</v>
    <v>5</v>
  </rv>
  <rv s="0">
    <v>2</v>
    <v>5</v>
  </rv>
  <rv s="0">
    <v>3</v>
    <v>5</v>
  </rv>
  <rv s="0">
    <v>4</v>
    <v>5</v>
  </rv>
  <rv s="0">
    <v>5</v>
    <v>5</v>
  </rv>
  <rv s="1">
    <v>https://www.bing.com/financeapi/forcetrigger?t=ahem5r&amp;q=XBOM%3a533278&amp;form=skydnc</v>
    <v>Learn more on Bing</v>
  </rv>
  <rv s="2">
    <v>en-IN</v>
    <v>ahem5r</v>
    <v>268435456</v>
    <v>1</v>
    <v>Powered by Refinitiv</v>
    <v>0</v>
    <v>COAL INDIA LTD (XBOM:533278)</v>
    <v>2</v>
    <v>3</v>
    <v>Finance</v>
    <v>4</v>
    <v>458.55</v>
    <v>349.2</v>
    <v>1.0568</v>
    <v>5.15</v>
    <v>1.3109999999999999E-4</v>
    <v>1.3691E-2</v>
    <v>0.05</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Bombay Stock Exchange</v>
    <v>XBOM</v>
    <v>XBOM</v>
    <v>Coal Bhawan, Premise No-04 MAR,, Plot No-AF-III,Action Area-1A,, Newtown,Rajarhat, KOLKATA, WEST BENGAL, 700156 IN</v>
    <v>382.2</v>
    <v>Coal</v>
    <v>Stock</v>
    <v>45971.438634259262</v>
    <v>6</v>
    <v>376</v>
    <v>2317186000000</v>
    <v>COAL INDIA LTD</v>
    <v>COAL INDIA LTD</v>
    <v>376</v>
    <v>7.5289999999999999</v>
    <v>376.15</v>
    <v>381.3</v>
    <v>381.35</v>
    <v>6162729000</v>
    <v>533278</v>
    <v>COAL INDIA LTD (XBOM:533278)</v>
    <v>339339</v>
    <v>10828450</v>
    <v>1973</v>
  </rv>
  <rv s="3">
    <v>7</v>
  </rv>
  <rv s="1">
    <v>https://www.bing.com/financeapi/forcetrigger?t=ah7vh7&amp;q=XBOM%3a500188&amp;form=skydnc</v>
    <v>Learn more on Bing</v>
  </rv>
  <rv s="2">
    <v>en-IN</v>
    <v>ah7vh7</v>
    <v>268435456</v>
    <v>1</v>
    <v>Powered by Refinitiv</v>
    <v>0</v>
    <v>HINDUSTAN ZINC LIMITED (XBOM:500188)</v>
    <v>2</v>
    <v>3</v>
    <v>Finance</v>
    <v>4</v>
    <v>565</v>
    <v>378.65</v>
    <v>0.4783</v>
    <v>10.1</v>
    <v>3.1979999999999999E-3</v>
    <v>2.1283E-2</v>
    <v>1.55</v>
    <v>INR</v>
    <v>Hindustan Zinc Limited is an India-based energy transition metals company. The Company is engaged in exploring, extracting and processing of minerals and manufacturing of metals and alloys. Its segments include Zinc, Lead and Silver, and Wind Energy. Its operations include five zinc-lead mines, four zinc smelters, one lead smelter, one zinc-lead smelter, eight sulfuric acid plants, one silver refinery plant, six captive thermal power plants and four captive solar plants in the state of Rajasthan. It also has a rock-phosphate mine in Matoon, near Udaipur in Rajasthan and zinc, lead, silver processing and refining facilities in the state of Uttarakhand. It also has wind power plants in the states of Rajasthan, Gujarat, Karnataka, Tamil Nadu and Maharashtra and solar power plants in the state of Rajasthan. It has expanded its critical minerals portfolio with two mineral blocks - one for potash and halite and the other for rare earth elements. Its EcoZen is a low carbon green zinc brand.</v>
    <v>3478</v>
    <v>Bombay Stock Exchange</v>
    <v>XBOM</v>
    <v>XBOM</v>
    <v>Yashad Bhawan, UDAIPUR, RAJASTHAN, 313004 IN</v>
    <v>486.5</v>
    <v>Metals &amp; Mining</v>
    <v>Stock</v>
    <v>45971.438680555555</v>
    <v>9</v>
    <v>475.7</v>
    <v>2004914000000</v>
    <v>HINDUSTAN ZINC LIMITED</v>
    <v>HINDUSTAN ZINC LIMITED</v>
    <v>475.7</v>
    <v>19.409400000000002</v>
    <v>474.55</v>
    <v>484.65</v>
    <v>486.2</v>
    <v>4225319000</v>
    <v>500188</v>
    <v>HINDUSTAN ZINC LIMITED (XBOM:500188)</v>
    <v>344914</v>
    <v>3503160</v>
    <v>1966</v>
  </rv>
  <rv s="3">
    <v>10</v>
  </rv>
  <rv s="1">
    <v>https://www.bing.com/financeapi/forcetrigger?t=ahiism&amp;q=XNSE%3aJSWSTEEL&amp;form=skydnc</v>
    <v>Learn more on Bing</v>
  </rv>
  <rv s="4">
    <v>en-IN</v>
    <v>ahiism</v>
    <v>268435456</v>
    <v>1</v>
    <v>Powered by Refinitiv</v>
    <v>5</v>
    <v>JSW Steel Limited (XNSE:JSWSTEEL)</v>
    <v>2</v>
    <v>6</v>
    <v>Finance</v>
    <v>7</v>
    <v>1223.9000000000001</v>
    <v>880</v>
    <v>0.83709999999999996</v>
    <v>7.6</v>
    <v>6.4859999999999996E-3</v>
    <v>INR</v>
    <v>JSW Steel Limited is an India-based holding company. The Company is an integrated manufacturer of diverse range of steel products with its manufacturing facilities located at Vijayanagar Works in Karnataka, Dolvi Works in Maharashtra and Salem works in Tamil Nadu, and Raigarh Works in Chhattisgarh. The Company also has a Plate and Coil mill Division in Anjar, Gujarat. Its subsidiaries include JSW Steel (USA) Inc., Purest Energy, LLC, and others.</v>
    <v>15793</v>
    <v>National Stock Exchange of India</v>
    <v>XNSE</v>
    <v>XNSE</v>
    <v>JSW Centre, Bandra-Kurla Complex, Bandra East, MUMBAI, MAHARASHTRA, 400051 IN</v>
    <v>1185</v>
    <v>Metals &amp; Mining</v>
    <v>Stock</v>
    <v>45971.464791666665</v>
    <v>12</v>
    <v>1172</v>
    <v>2861933000000</v>
    <v>JSW Steel Limited</v>
    <v>JSW Steel Limited</v>
    <v>1174</v>
    <v>47.744900000000001</v>
    <v>1171.7</v>
    <v>1179.3</v>
    <v>2442547000</v>
    <v>JSWSTEEL</v>
    <v>JSW Steel Limited (XNSE:JSWSTEEL)</v>
    <v>740226</v>
    <v>1722660</v>
    <v>1994</v>
  </rv>
  <rv s="3">
    <v>13</v>
  </rv>
  <rv s="1">
    <v>https://www.bing.com/financeapi/forcetrigger?t=ahkaa2&amp;q=XNSE%3aTATASTEEL&amp;form=skydnc</v>
    <v>Learn more on Bing</v>
  </rv>
  <rv s="4">
    <v>en-IN</v>
    <v>ahkaa2</v>
    <v>268435456</v>
    <v>1</v>
    <v>Powered by Refinitiv</v>
    <v>5</v>
    <v>TATA STEEL LIMITED (XNSE:TATASTEEL)</v>
    <v>2</v>
    <v>6</v>
    <v>Finance</v>
    <v>7</v>
    <v>186.94</v>
    <v>122.62</v>
    <v>1.2322</v>
    <v>0.11</v>
    <v>6.0650000000000005E-4</v>
    <v>INR</v>
    <v>Tata Steel Limited is an India-based global steel company with an annual crude steel capacity of approximately 35 million tons per annum. The Company is primarily engaged in the business of manufacturing and distribution of steel products across the globe. The Company and its subsidiaries have a presence across the value chain of steel manufacturing, from mining and processing iron ore and coal to producing and distributing finished products. Its products include cold rolled (Non-branded), BP sheets, Galvano, HR commercial, hot rolled pickled and oiled and hot rolled skin passed pickled and oiled, high tensile steel strapping, pre-engineered buildings, projects/ tenders, construction and projects, and full hard cold rolled. The Company's brands include MagiZinc, Ymagine, Ympress, Contiflo, Strongbox, SAB Profil, Fischer Profil, Montana, Advantica, Fischertherm, Fischerfireproof, Montanatherm, Montapanel, Swiss Panel, Holorib, Serica, MagiZinc Auto, HyperForm, HILUMIN and Colorcoat.</v>
    <v>115788</v>
    <v>National Stock Exchange of India</v>
    <v>XNSE</v>
    <v>XNSE</v>
    <v>Bombay House, 24, Homi Modi Street, MUMBAI, MAHARASHTRA, 400001 IN</v>
    <v>182.51</v>
    <v>Metals &amp; Mining</v>
    <v>Stock</v>
    <v>45971.464780092596</v>
    <v>15</v>
    <v>180.2</v>
    <v>2264138000000</v>
    <v>TATA STEEL LIMITED</v>
    <v>TATA STEEL LIMITED</v>
    <v>182.03</v>
    <v>49.826999999999998</v>
    <v>181.37</v>
    <v>181.48</v>
    <v>12485450000</v>
    <v>TATASTEEL</v>
    <v>TATA STEEL LIMITED (XNSE:TATASTEEL)</v>
    <v>18376132</v>
    <v>27872250</v>
    <v>1907</v>
  </rv>
  <rv s="3">
    <v>16</v>
  </rv>
  <rv s="1">
    <v>https://www.bing.com/financeapi/forcetrigger?t=ahjrvh&amp;q=XNSE%3aSAIL&amp;form=skydnc</v>
    <v>Learn more on Bing</v>
  </rv>
  <rv s="4">
    <v>en-IN</v>
    <v>ahjrvh</v>
    <v>268435456</v>
    <v>1</v>
    <v>Powered by Refinitiv</v>
    <v>5</v>
    <v>STEEL AUTHORITY OF INDIA LIMITED (XNSE:SAIL)</v>
    <v>2</v>
    <v>6</v>
    <v>Finance</v>
    <v>7</v>
    <v>145.82</v>
    <v>99.15</v>
    <v>1.7377</v>
    <v>3.34</v>
    <v>2.3687999999999997E-2</v>
    <v>INR</v>
    <v>Steel Authority of India Limited is an India-based company, which is engaged in the steel manufacturing business. The Company is engaged in the manufacturing and sale of iron and steel products. Its business includes integrated steel plants and special steel plants. Its steel plants include Bhilai Steel Plant, Chhattisgarh; Durgapur Steel Plant, West Bengal; Rourkela Steel Plant, Odisha; Bokaro Steel Plant, Jharkhand; IISCO Steel Plant, West Bengal; Alloy Steels Plant, West Bengal; Salem Steel Plant, Tamil Nadu; Visvesvaraya Iron &amp; Steel Plant, Karnataka, and Chandrapur Ferro Alloy Plant, Maharashtra. Its products include Pig Iron, Cold Rolled Products, Pipes, SAIL TMT Bars, Structurals, Galvanished products, Wire rods, PM Plates, Stainless Steel Products, Electrical Steels, Wheels and Axles, SAIL SeQR TMT Bars, Railway Products, Hot Rolled Products, and others. The Company's subsidiaries include SAIL Refractory Company Limited and Chhattisgarh Mega Steel Limited.</v>
    <v>53159</v>
    <v>National Stock Exchange of India</v>
    <v>XNSE</v>
    <v>XNSE</v>
    <v>Ispat Bhawan, Lodi Road, NEW DELHI, DELHI, 110003 IN</v>
    <v>145.82</v>
    <v>Metals &amp; Mining</v>
    <v>Stock</v>
    <v>45971.464780092596</v>
    <v>18</v>
    <v>141</v>
    <v>582404100000</v>
    <v>STEEL AUTHORITY OF INDIA LIMITED</v>
    <v>STEEL AUTHORITY OF INDIA LIMITED</v>
    <v>141</v>
    <v>23.3066</v>
    <v>141</v>
    <v>144.34</v>
    <v>4130525000</v>
    <v>SAIL</v>
    <v>STEEL AUTHORITY OF INDIA LIMITED (XNSE:SAIL)</v>
    <v>41386043</v>
    <v>38642820</v>
    <v>1973</v>
  </rv>
  <rv s="3">
    <v>19</v>
  </rv>
  <rv s="1">
    <v>https://www.bing.com/financeapi/forcetrigger?t=ahj852&amp;q=XNSE%3aNMDC&amp;form=skydnc</v>
    <v>Learn more on Bing</v>
  </rv>
  <rv s="4">
    <v>en-IN</v>
    <v>ahj852</v>
    <v>268435456</v>
    <v>1</v>
    <v>Powered by Refinitiv</v>
    <v>5</v>
    <v>NMDC LIMITED (XNSE:NMDC)</v>
    <v>2</v>
    <v>6</v>
    <v>Finance</v>
    <v>7</v>
    <v>82.83</v>
    <v>59.53</v>
    <v>1.0063</v>
    <v>0.84</v>
    <v>1.1314999999999999E-2</v>
    <v>INR</v>
    <v>NMDC Limited is an India-based producer of iron ore. The Company owns and operates highly mechanized iron ore mines in the state of Chhattisgarh and Karnataka. It also operates the mechanized diamond mine in India at Panna, Madhya Pradesh. It offers a diverse range of iron ore products, each tailored to meet specific industrial requirements. It produces rough diamonds that cater to the gem and jewelry industry. The Company's segments include Iron Ore, and Pellet, Other Minerals &amp; Services. Its products include Baila ROM, Baila Lump, DR CLO, 10-20 mm Baila, Baila Fine, Doni Lump, Kumaraswamy Lump, Kumaraswamy Lump Ore, Doni Fines, Kumaraswamy Fine, Iron Ore Pellets, and Rough Diamonds. It holds around 26% stake in International Coal Ventures Pvt. Ltd (ICVL). ICVL owns coking coal deposit in Mozambique. The Company, through its subsidiary, Legacy Iron Ore Limited, carries out exploration in its 21 exploration tenements in Western Australia in iron ore, gold, tungsten and base metals.</v>
    <v>5677</v>
    <v>National Stock Exchange of India</v>
    <v>XNSE</v>
    <v>XNSE</v>
    <v>Khanij Bhavan, Masab Tank, HYDERABAD, TELANGANA, 500028 IN</v>
    <v>76.5</v>
    <v>Metals &amp; Mining</v>
    <v>Stock</v>
    <v>45971.464803240742</v>
    <v>21</v>
    <v>74.239999999999995</v>
    <v>652704600000</v>
    <v>NMDC LIMITED</v>
    <v>NMDC LIMITED</v>
    <v>74.25</v>
    <v>9.3945000000000007</v>
    <v>74.239999999999995</v>
    <v>75.08</v>
    <v>8791817000</v>
    <v>NMDC</v>
    <v>NMDC LIMITED (XNSE:NMDC)</v>
    <v>34560732</v>
    <v>16019930</v>
    <v>1958</v>
  </rv>
  <rv s="3">
    <v>22</v>
  </rv>
  <rv s="0">
    <v>6</v>
    <v>5</v>
  </rv>
  <rv s="0">
    <v>7</v>
    <v>5</v>
  </rv>
  <rv s="0">
    <v>8</v>
    <v>5</v>
  </rv>
  <rv s="0">
    <v>9</v>
    <v>5</v>
  </rv>
  <rv s="0">
    <v>10</v>
    <v>5</v>
  </rv>
  <rv s="0">
    <v>11</v>
    <v>5</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v>1</v>
      <v>1</v>
      <v>5</v>
    </spb>
    <spb s="4">
      <v>at close</v>
      <v>from previous close</v>
      <v>from previous close</v>
      <v>GMT</v>
      <v>Delayed 15 minutes</v>
      <v>from close</v>
      <v>from close</v>
    </spb>
    <spb s="0">
      <v>1</v>
      <v>Name</v>
      <v>LearnMoreOnLink</v>
    </spb>
    <spb s="5">
      <v>1</v>
      <v>2</v>
      <v>2</v>
      <v>1</v>
      <v>3</v>
      <v>1</v>
      <v>1</v>
      <v>1</v>
      <v>4</v>
      <v>4</v>
      <v>5</v>
      <v>6</v>
      <v>1</v>
      <v>1</v>
      <v>1</v>
      <v>4</v>
      <v>7</v>
      <v>8</v>
      <v>9</v>
      <v>4</v>
    </spb>
    <spb s="6">
      <v>Delayed 5 minutes</v>
      <v>from previous close</v>
      <v>from previous close</v>
      <v>GMT</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9F298E-961E-4FFF-B8E0-B7A4F0922141}" name="Table1" displayName="Table1" ref="A4:G14" headerRowCount="0" totalsRowShown="0" headerRowDxfId="453" dataDxfId="451" headerRowBorderDxfId="452" tableBorderDxfId="450" totalsRowBorderDxfId="449">
  <tableColumns count="7">
    <tableColumn id="1" xr3:uid="{D648DDE4-12F4-46E6-854D-11D24B4F8C63}" name="Company" headerRowDxfId="448" dataDxfId="447"/>
    <tableColumn id="2" xr3:uid="{6C1CF351-F81A-4E2F-B2B8-BA02E3D80ECB}" name="COAL INDIA LTD (XBOM:533278)2" headerRowDxfId="446" dataDxfId="445"/>
    <tableColumn id="3" xr3:uid="{1AD10744-E13C-4429-9660-EB3440B3912C}" name="HINDUSTAN ZINC LIMITED (XBOM:500188)3" headerRowDxfId="444" dataDxfId="443"/>
    <tableColumn id="4" xr3:uid="{DF56AEEE-AB7E-44E5-9EFB-3BA20F7895A7}" name="JSW Steel Limited (XNSE:JSWSTEEL)4" headerRowDxfId="442" dataDxfId="441"/>
    <tableColumn id="5" xr3:uid="{81F528CE-90E8-4A85-B1BD-8EA0ADCA2B35}" name="TATA STEEL LIMITED (XNSE:TATASTEEL)5" headerRowDxfId="440" dataDxfId="439"/>
    <tableColumn id="6" xr3:uid="{D7A2D073-6F7F-4919-A207-A40CD9B255F4}" name="STEEL AUTHORITY OF INDIA LIMITED (XNSE:SAIL)6" headerRowDxfId="438" dataDxfId="437"/>
    <tableColumn id="7" xr3:uid="{159E8E33-4092-4887-AD51-F38AF12B8E3A}" name="NMDC LIMITED (XNSE:NMDC)" headerRowDxfId="436" dataDxfId="435"/>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61F00D-110F-40A7-A2F4-2DA95AFFAEF6}" name="Table2" displayName="Table2" ref="A4:G54" totalsRowShown="0" headerRowDxfId="434" dataDxfId="433" tableBorderDxfId="432">
  <autoFilter ref="A4:G54" xr:uid="{ED61F00D-110F-40A7-A2F4-2DA95AFFAEF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730C50-F891-448A-98BD-0B54F2A6D4A4}" name="Particulars" dataDxfId="431"/>
    <tableColumn id="2" xr3:uid="{9BA029DC-BD53-4647-B7B4-621FF872DAF1}" name="2020" dataDxfId="430"/>
    <tableColumn id="3" xr3:uid="{33E71BA5-631A-4F97-9BCF-40B53307B775}" name="2021" dataDxfId="429"/>
    <tableColumn id="4" xr3:uid="{A5A39EE1-045E-4F1B-870D-AB76DFEFB387}" name="2022" dataDxfId="428"/>
    <tableColumn id="5" xr3:uid="{AB1A08E4-718C-4E1C-A178-EE203A4457D0}" name="2023" dataDxfId="427"/>
    <tableColumn id="6" xr3:uid="{06285EE7-FCE6-4F30-B145-D2BDE71D88D7}" name="2024" dataDxfId="426"/>
    <tableColumn id="7" xr3:uid="{C49F9C85-8F95-40F6-8936-5D8C3E7FEC55}" name="2025" dataDxfId="425"/>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CCEEDB-FAEF-4C63-B443-91955C9B6A69}" name="Table3" displayName="Table3" ref="I4:O51" totalsRowShown="0" headerRowDxfId="424" dataDxfId="423">
  <autoFilter ref="I4:O51" xr:uid="{CCCCEEDB-FAEF-4C63-B443-91955C9B6A6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D6F622-4CA0-4E3E-B0C0-542772D409C2}" name="Particulars" dataDxfId="422"/>
    <tableColumn id="2" xr3:uid="{DEF971C1-BEAC-494D-982C-AF4A9EA7641C}" name="2020" dataDxfId="421"/>
    <tableColumn id="3" xr3:uid="{0F7AA1DC-EE12-4830-9CC4-342A0C2C3B3B}" name="2021" dataDxfId="420"/>
    <tableColumn id="4" xr3:uid="{E8223BDD-D628-4F07-8D81-13AD66E9CD22}" name="2022" dataDxfId="419"/>
    <tableColumn id="5" xr3:uid="{07E04B94-521B-4FD3-AF01-3368E3815137}" name="2023" dataDxfId="418"/>
    <tableColumn id="6" xr3:uid="{5645DC57-E7F7-49F6-9D33-8D995D1A06A2}" name="2024" dataDxfId="417"/>
    <tableColumn id="7" xr3:uid="{6C166B0E-3C6B-42C3-AFAE-7C334AA86F02}" name="2025" dataDxfId="416"/>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01F31F-8701-435D-AB97-973B7BC502D7}" name="Table4" displayName="Table4" ref="Q4:W63" totalsRowShown="0" headerRowDxfId="415" dataDxfId="414">
  <autoFilter ref="Q4:W63" xr:uid="{5901F31F-8701-435D-AB97-973B7BC502D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93B9695-8EEC-4B88-BCB1-06996FAC7E86}" name="Particulars" dataDxfId="413"/>
    <tableColumn id="2" xr3:uid="{DAE6F5E8-6D9B-46A3-85DB-EE922EB92427}" name="2020" dataDxfId="412"/>
    <tableColumn id="3" xr3:uid="{B4B422C5-E8CA-4A08-8DE4-B0BB468C82AA}" name="2021" dataDxfId="411"/>
    <tableColumn id="4" xr3:uid="{E217C310-0E52-42B1-9A5E-EE66193886BE}" name="2022" dataDxfId="410"/>
    <tableColumn id="5" xr3:uid="{BD302B0D-8B2B-4DC1-A2A0-60379C0F0DED}" name="2023" dataDxfId="409"/>
    <tableColumn id="6" xr3:uid="{24A87BA8-23FC-41BF-9D02-E03B581F6FC2}" name="2024" dataDxfId="408"/>
    <tableColumn id="7" xr3:uid="{131ABCAF-CF17-4CBF-9CC5-B5C5A2AE4113}" name="2025" dataDxfId="407"/>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3B9E24-7CCB-40C2-BC57-9A2A0AF3E9E0}" name="Table5" displayName="Table5" ref="Y4:AE71" totalsRowShown="0" headerRowDxfId="406" dataDxfId="405">
  <autoFilter ref="Y4:AE71" xr:uid="{543B9E24-7CCB-40C2-BC57-9A2A0AF3E9E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F7E2861-6652-4E6A-B84C-C7101D198A82}" name="Particulars" dataDxfId="404"/>
    <tableColumn id="2" xr3:uid="{178A344C-C8E5-466E-B87F-D94C8B9A4A3F}" name="2020" dataDxfId="403"/>
    <tableColumn id="3" xr3:uid="{9F705319-5CFF-4886-88B4-95A4581B777B}" name="2021" dataDxfId="402"/>
    <tableColumn id="4" xr3:uid="{6D2EB828-5029-41E5-A606-9F92652F3794}" name="2022" dataDxfId="401"/>
    <tableColumn id="5" xr3:uid="{B61B0CE2-1218-41BC-B8C5-C0D282068797}" name="2023" dataDxfId="400"/>
    <tableColumn id="6" xr3:uid="{30679125-5164-4DC5-85CA-24E386E95F9F}" name="2024" dataDxfId="399"/>
    <tableColumn id="7" xr3:uid="{59EA3677-0DD0-44F5-AF36-519D1ABD24C9}" name="2025" dataDxfId="398"/>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D9DD03-BDE2-49BE-B6DE-E7D3569DD843}" name="Table6" displayName="Table6" ref="AG4:AM62" totalsRowShown="0" headerRowDxfId="397" dataDxfId="396">
  <autoFilter ref="AG4:AM62" xr:uid="{AFD9DD03-BDE2-49BE-B6DE-E7D3569DD84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0EC318-3F74-49B8-BC39-26F2504E96D1}" name="Particulars" dataDxfId="395"/>
    <tableColumn id="2" xr3:uid="{F84998BE-646B-4180-A20C-DF41D7286D25}" name="2020" dataDxfId="394"/>
    <tableColumn id="3" xr3:uid="{48607340-CFD0-436D-B1CC-52E9156A04ED}" name="2021" dataDxfId="393"/>
    <tableColumn id="4" xr3:uid="{AF936420-9276-44BA-BA97-28C0CE2C5AE4}" name="2022" dataDxfId="392"/>
    <tableColumn id="5" xr3:uid="{EF547B6C-1F60-448B-963F-8090AD34EF8E}" name="2023" dataDxfId="391"/>
    <tableColumn id="6" xr3:uid="{185B26A9-FD97-47F4-876E-53F3788ABB78}" name="2024" dataDxfId="390"/>
    <tableColumn id="7" xr3:uid="{B9829F52-3170-4293-9B5E-C36B53B84EF5}" name="2025" dataDxfId="389"/>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02E456-D50D-4497-89BA-65430632A352}" name="Table7" displayName="Table7" ref="AO4:AU51" totalsRowShown="0" headerRowDxfId="388" dataDxfId="387">
  <autoFilter ref="AO4:AU51" xr:uid="{E902E456-D50D-4497-89BA-65430632A3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FF0389-FA9A-436F-85BD-C09607E0AB12}" name="Particulars" dataDxfId="386"/>
    <tableColumn id="2" xr3:uid="{E8D29E52-8286-45B5-8963-276F11AB7E96}" name="2020" dataDxfId="385"/>
    <tableColumn id="3" xr3:uid="{AB53185F-5FA9-497C-9B3F-8A5E5E036FC7}" name="2021" dataDxfId="384"/>
    <tableColumn id="4" xr3:uid="{48605965-E3A3-4B92-97CB-709A2B15E0B5}" name="2022" dataDxfId="383"/>
    <tableColumn id="5" xr3:uid="{52ECE213-7AFD-413E-A226-321072525707}" name="2023" dataDxfId="382"/>
    <tableColumn id="6" xr3:uid="{EBDC45E6-53E2-430B-B0BA-43C28C603F1B}" name="2024" dataDxfId="381"/>
    <tableColumn id="7" xr3:uid="{56D90BEE-A3E7-4B82-8D22-445D2D46EF4F}" name="2025" dataDxfId="380"/>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4989564-75DF-4DE0-BD8E-BECA2D887FB7}" name="Table44" displayName="Table44" ref="A56:F57" totalsRowShown="0" headerRowDxfId="379" dataDxfId="378">
  <autoFilter ref="A56:F57" xr:uid="{54989564-75DF-4DE0-BD8E-BECA2D887FB7}">
    <filterColumn colId="0" hiddenButton="1"/>
    <filterColumn colId="1" hiddenButton="1"/>
    <filterColumn colId="2" hiddenButton="1"/>
    <filterColumn colId="3" hiddenButton="1"/>
    <filterColumn colId="4" hiddenButton="1"/>
    <filterColumn colId="5" hiddenButton="1"/>
  </autoFilter>
  <tableColumns count="6">
    <tableColumn id="1" xr3:uid="{782C3F90-F91B-477D-B266-CDED7589E941}" name="Working capital Forecast" dataDxfId="377"/>
    <tableColumn id="2" xr3:uid="{65710613-9E0C-4F0D-B092-91EA72BA3375}" name="2026" dataDxfId="376">
      <calculatedColumnFormula>DCF!D5*DCF!$C$11</calculatedColumnFormula>
    </tableColumn>
    <tableColumn id="3" xr3:uid="{5C561719-60D2-4A29-8D28-61A5BC5D91AD}" name="2027" dataDxfId="375">
      <calculatedColumnFormula>DCF!E5*DCF!$C$11</calculatedColumnFormula>
    </tableColumn>
    <tableColumn id="4" xr3:uid="{26F30EE1-43FF-41D1-8C3E-DFDAD47BF851}" name="2028" dataDxfId="374">
      <calculatedColumnFormula>DCF!F5*DCF!$C$11</calculatedColumnFormula>
    </tableColumn>
    <tableColumn id="5" xr3:uid="{17458F0F-80E2-4993-860A-001AF509C2BF}" name="2029" dataDxfId="373">
      <calculatedColumnFormula>DCF!G5*DCF!$C$11</calculatedColumnFormula>
    </tableColumn>
    <tableColumn id="6" xr3:uid="{A037FD73-49D3-40C3-8F97-405409099E41}" name="2030" dataDxfId="372">
      <calculatedColumnFormula>DCF!H5*DCF!$C$11</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3A38072-E8F8-479C-8144-72A717425326}" name="Table4446" displayName="Table4446" ref="I53:N54" totalsRowShown="0" headerRowDxfId="371" dataDxfId="370">
  <autoFilter ref="I53:N54" xr:uid="{93A38072-E8F8-479C-8144-72A717425326}">
    <filterColumn colId="0" hiddenButton="1"/>
    <filterColumn colId="1" hiddenButton="1"/>
    <filterColumn colId="2" hiddenButton="1"/>
    <filterColumn colId="3" hiddenButton="1"/>
    <filterColumn colId="4" hiddenButton="1"/>
    <filterColumn colId="5" hiddenButton="1"/>
  </autoFilter>
  <tableColumns count="6">
    <tableColumn id="1" xr3:uid="{5708B90F-AAC5-4265-9C4E-F03486B74C8A}" name="Working capital Forecast" dataDxfId="369"/>
    <tableColumn id="2" xr3:uid="{81A0D55F-FAC2-4796-AEF5-00FF36060778}" name="2026" dataDxfId="368">
      <calculatedColumnFormula>DCF!M5*DCF!$L$11</calculatedColumnFormula>
    </tableColumn>
    <tableColumn id="3" xr3:uid="{7410AA1A-9ED8-49B8-A77E-E33E0BAA1A24}" name="2027" dataDxfId="367">
      <calculatedColumnFormula>DCF!N5*DCF!$L$11</calculatedColumnFormula>
    </tableColumn>
    <tableColumn id="4" xr3:uid="{89B5E069-68CB-4ABE-B822-22E92855624C}" name="2028" dataDxfId="366">
      <calculatedColumnFormula>DCF!O5*DCF!$L$11</calculatedColumnFormula>
    </tableColumn>
    <tableColumn id="5" xr3:uid="{0CA4ADB8-8C55-463E-94C6-3E0CDD18617E}" name="2029" dataDxfId="365">
      <calculatedColumnFormula>DCF!P5*DCF!$L$11</calculatedColumnFormula>
    </tableColumn>
    <tableColumn id="6" xr3:uid="{B71039D1-72D3-47D9-AF1C-B43BAF3E82D8}" name="2030" dataDxfId="364">
      <calculatedColumnFormula>DCF!Q5*DCF!$L$11</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AABCF75-0A7D-43E5-A0E3-7DAA9B395A2B}" name="Table444647" displayName="Table444647" ref="Q65:V66" totalsRowShown="0" headerRowDxfId="363" dataDxfId="362">
  <autoFilter ref="Q65:V66" xr:uid="{DAABCF75-0A7D-43E5-A0E3-7DAA9B395A2B}">
    <filterColumn colId="0" hiddenButton="1"/>
    <filterColumn colId="1" hiddenButton="1"/>
    <filterColumn colId="2" hiddenButton="1"/>
    <filterColumn colId="3" hiddenButton="1"/>
    <filterColumn colId="4" hiddenButton="1"/>
    <filterColumn colId="5" hiddenButton="1"/>
  </autoFilter>
  <tableColumns count="6">
    <tableColumn id="1" xr3:uid="{8855A4E2-30B6-4E37-8A64-431911DF2526}" name="Working capital Forecast" dataDxfId="361"/>
    <tableColumn id="2" xr3:uid="{7A7FA674-B5F5-4204-87EF-B665B3616AB6}" name="2026" dataDxfId="360">
      <calculatedColumnFormula>DCF!V5*DCF!$U$11</calculatedColumnFormula>
    </tableColumn>
    <tableColumn id="3" xr3:uid="{818A027F-FDE4-4A4D-B946-7A82E7589AAD}" name="2027" dataDxfId="359">
      <calculatedColumnFormula>DCF!W5*DCF!$U$11</calculatedColumnFormula>
    </tableColumn>
    <tableColumn id="4" xr3:uid="{7B5C0375-1948-4030-B2D9-80F1D43A66D2}" name="2028" dataDxfId="358">
      <calculatedColumnFormula>DCF!X5*DCF!$U$11</calculatedColumnFormula>
    </tableColumn>
    <tableColumn id="5" xr3:uid="{EACBD7BC-0D02-4A91-B1B0-097C887AAC58}" name="2029" dataDxfId="357">
      <calculatedColumnFormula>DCF!Y5*DCF!$U$11</calculatedColumnFormula>
    </tableColumn>
    <tableColumn id="6" xr3:uid="{06666691-1890-49EA-8299-C9E73DCF414F}" name="2030" dataDxfId="356">
      <calculatedColumnFormula>DCF!Z5*DCF!$U$11</calculatedColumnFormula>
    </tableColumn>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9B6DEFA-D729-4A41-8D78-7AD55170015A}" name="Table44464748" displayName="Table44464748" ref="Y73:AD74" totalsRowShown="0" headerRowDxfId="355" dataDxfId="354">
  <autoFilter ref="Y73:AD74" xr:uid="{D9B6DEFA-D729-4A41-8D78-7AD55170015A}">
    <filterColumn colId="0" hiddenButton="1"/>
    <filterColumn colId="1" hiddenButton="1"/>
    <filterColumn colId="2" hiddenButton="1"/>
    <filterColumn colId="3" hiddenButton="1"/>
    <filterColumn colId="4" hiddenButton="1"/>
    <filterColumn colId="5" hiddenButton="1"/>
  </autoFilter>
  <tableColumns count="6">
    <tableColumn id="1" xr3:uid="{295510C3-EC1A-4744-BC62-F7B48118E84B}" name="Working capital Forecast" dataDxfId="353"/>
    <tableColumn id="2" xr3:uid="{253FD3B7-B953-4A00-9A2C-561A96A6FA40}" name="2026" dataDxfId="352">
      <calculatedColumnFormula>DCF!AE5*DCF!$AD$11</calculatedColumnFormula>
    </tableColumn>
    <tableColumn id="3" xr3:uid="{B35F5EE9-CF62-4607-B890-91A45CDC3824}" name="2027" dataDxfId="351">
      <calculatedColumnFormula>DCF!AF5*DCF!$AD$11</calculatedColumnFormula>
    </tableColumn>
    <tableColumn id="4" xr3:uid="{FA4BAB36-7EFF-44ED-B80E-663F3B486DA7}" name="2028" dataDxfId="350">
      <calculatedColumnFormula>DCF!AG5*DCF!$AD$11</calculatedColumnFormula>
    </tableColumn>
    <tableColumn id="5" xr3:uid="{05330D19-AC5D-4243-ACFC-203D43EA3C21}" name="2029" dataDxfId="349">
      <calculatedColumnFormula>DCF!AH5*DCF!$AD$11</calculatedColumnFormula>
    </tableColumn>
    <tableColumn id="6" xr3:uid="{5662BBD5-F444-45EB-B2CF-43EDB03C7504}" name="2030" dataDxfId="348">
      <calculatedColumnFormula>DCF!AI5*DCF!$AD$11</calculatedColumnFormula>
    </tableColumn>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52BC77C-0973-465E-B5A1-FA731E8EFBB8}" name="Table4446474849" displayName="Table4446474849" ref="AG64:AL65" totalsRowShown="0" headerRowDxfId="347" dataDxfId="346">
  <autoFilter ref="AG64:AL65" xr:uid="{452BC77C-0973-465E-B5A1-FA731E8EFBB8}">
    <filterColumn colId="0" hiddenButton="1"/>
    <filterColumn colId="1" hiddenButton="1"/>
    <filterColumn colId="2" hiddenButton="1"/>
    <filterColumn colId="3" hiddenButton="1"/>
    <filterColumn colId="4" hiddenButton="1"/>
    <filterColumn colId="5" hiddenButton="1"/>
  </autoFilter>
  <tableColumns count="6">
    <tableColumn id="1" xr3:uid="{E05CB1C2-1B87-4D44-BE13-C3259BC61F6A}" name="Working capital Forecast" dataDxfId="345"/>
    <tableColumn id="2" xr3:uid="{FBF08F69-E25C-4F39-B06E-5DC636B03321}" name="2026" dataDxfId="344">
      <calculatedColumnFormula>DCF!AN5*DCF!$AM$11</calculatedColumnFormula>
    </tableColumn>
    <tableColumn id="3" xr3:uid="{98523543-E1ED-4542-B298-6B7BE6C0C04C}" name="2027" dataDxfId="343">
      <calculatedColumnFormula>DCF!AO5*DCF!$AM$11</calculatedColumnFormula>
    </tableColumn>
    <tableColumn id="4" xr3:uid="{2D8D19DC-7897-434A-AA7E-40CA5DC95FBA}" name="2028" dataDxfId="342">
      <calculatedColumnFormula>DCF!AP5*DCF!$AM$11</calculatedColumnFormula>
    </tableColumn>
    <tableColumn id="5" xr3:uid="{6FE8C70C-B271-4D50-9CA7-5F85BE4B254B}" name="2029" dataDxfId="341">
      <calculatedColumnFormula>DCF!AQ5*DCF!$AM$11</calculatedColumnFormula>
    </tableColumn>
    <tableColumn id="6" xr3:uid="{11C9F34E-C457-4294-A73C-5D20D6F9FE58}" name="2030" dataDxfId="340">
      <calculatedColumnFormula>DCF!AR5*DCF!$AM$11</calculatedColumnFormula>
    </tableColumn>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97E0FEE-7787-4B6E-A22E-8A55582596BC}" name="Table444647484950" displayName="Table444647484950" ref="AO53:AT54" totalsRowShown="0" headerRowDxfId="339" dataDxfId="338">
  <autoFilter ref="AO53:AT54" xr:uid="{697E0FEE-7787-4B6E-A22E-8A55582596BC}">
    <filterColumn colId="0" hiddenButton="1"/>
    <filterColumn colId="1" hiddenButton="1"/>
    <filterColumn colId="2" hiddenButton="1"/>
    <filterColumn colId="3" hiddenButton="1"/>
    <filterColumn colId="4" hiddenButton="1"/>
    <filterColumn colId="5" hiddenButton="1"/>
  </autoFilter>
  <tableColumns count="6">
    <tableColumn id="1" xr3:uid="{ED5D0AC4-DF22-48A5-B02B-0BE5C5EE2471}" name="Working capital Forecast" dataDxfId="337"/>
    <tableColumn id="2" xr3:uid="{25BABC09-CC00-4211-B7B7-C58F69A48284}" name="2026" dataDxfId="336">
      <calculatedColumnFormula>DCF!AW5*DCF!$AV$11</calculatedColumnFormula>
    </tableColumn>
    <tableColumn id="3" xr3:uid="{9754F9E9-052D-49E5-A045-5D148BA38939}" name="2027" dataDxfId="335">
      <calculatedColumnFormula>DCF!AX5*DCF!$AV$11</calculatedColumnFormula>
    </tableColumn>
    <tableColumn id="4" xr3:uid="{0FD63C30-EBFB-4647-B013-0F5D223BCB21}" name="2028" dataDxfId="334">
      <calculatedColumnFormula>DCF!AY5*DCF!$AV$11</calculatedColumnFormula>
    </tableColumn>
    <tableColumn id="5" xr3:uid="{6D4463F4-4939-49C9-A414-F66374D34E14}" name="2029" dataDxfId="333">
      <calculatedColumnFormula>DCF!AZ5*DCF!$AV$11</calculatedColumnFormula>
    </tableColumn>
    <tableColumn id="6" xr3:uid="{CF6407C1-9459-4B1F-B0AC-654C8BF41293}" name="2030" dataDxfId="332">
      <calculatedColumnFormula>DCF!BA5*DCF!$AV$11</calculatedColumnFormula>
    </tableColumn>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2FDD6C-D2C0-4ADC-9986-5A6EBC43898D}" name="Table8" displayName="Table8" ref="A4:G37" totalsRowShown="0" headerRowDxfId="331" dataDxfId="330" tableBorderDxfId="329">
  <autoFilter ref="A4:G37" xr:uid="{E42FDD6C-D2C0-4ADC-9986-5A6EBC4389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168FDC0-1527-4795-8FA2-EA7669757637}" name="Particulars" dataDxfId="328"/>
    <tableColumn id="2" xr3:uid="{A23D9916-E0C4-4B6E-B814-DBFADF9D9BC9}" name="2020" dataDxfId="327"/>
    <tableColumn id="3" xr3:uid="{D8B89193-5C5C-48E7-823A-E173A07B5077}" name="2021" dataDxfId="326"/>
    <tableColumn id="4" xr3:uid="{4ACD47F0-035B-4829-8868-B26B6132A7E9}" name="2022" dataDxfId="325"/>
    <tableColumn id="5" xr3:uid="{1FF79B8B-E623-4B85-980C-080A90202339}" name="2023" dataDxfId="324"/>
    <tableColumn id="6" xr3:uid="{CF603EAB-D1C7-4D57-B3A3-6D1C9847B3BF}" name="2024" dataDxfId="323"/>
    <tableColumn id="7" xr3:uid="{9132C0F8-5E5C-49C2-8237-9FBE45EA43BA}" name="2025" dataDxfId="322"/>
  </tableColumns>
  <tableStyleInfo name="TableStyleDark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457DD4-7827-420D-871D-620A98296D12}" name="Table9" displayName="Table9" ref="I4:O24" totalsRowShown="0" headerRowDxfId="321" dataDxfId="320" tableBorderDxfId="319">
  <autoFilter ref="I4:O24" xr:uid="{4D457DD4-7827-420D-871D-620A98296D1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5A3AA41-24DD-4218-98AC-86E315D446C1}" name="Particulars" dataDxfId="318"/>
    <tableColumn id="2" xr3:uid="{D664484E-BC74-4114-981F-46AF091332A8}" name="2020" dataDxfId="317"/>
    <tableColumn id="3" xr3:uid="{349C54BD-EAEC-478B-AA3B-0C34ED28A644}" name="2021" dataDxfId="316"/>
    <tableColumn id="4" xr3:uid="{AA9E833B-867B-4B67-94F7-24A34F35ABA1}" name="2022" dataDxfId="315"/>
    <tableColumn id="5" xr3:uid="{90FD985C-ACD7-4604-8AA8-40003FD9C9C4}" name="2023" dataDxfId="314"/>
    <tableColumn id="6" xr3:uid="{E24A87F6-E868-408C-AA3B-DFCC6EAA3BFD}" name="2024" dataDxfId="313"/>
    <tableColumn id="7" xr3:uid="{739579F6-18AB-4057-9FDA-BBFEC5DFC54F}" name="2025" dataDxfId="312"/>
  </tableColumns>
  <tableStyleInfo name="TableStyleDark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2A861A-3CEE-4D6B-9E6D-92B2E9520592}" name="Table10" displayName="Table10" ref="Q4:W31" totalsRowShown="0" headerRowDxfId="311" dataDxfId="310" tableBorderDxfId="309">
  <autoFilter ref="Q4:W31" xr:uid="{1C2A861A-3CEE-4D6B-9E6D-92B2E952059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8580A6D-F57F-4801-A0F1-7CFA901AF2BD}" name="Particulars" dataDxfId="308"/>
    <tableColumn id="2" xr3:uid="{D009E3F6-FCCA-43D0-AAA3-60D8F608052C}" name="2020" dataDxfId="307"/>
    <tableColumn id="3" xr3:uid="{F4BE1E33-E305-4118-B782-C771D72F892A}" name="2021" dataDxfId="306"/>
    <tableColumn id="4" xr3:uid="{5DF2F787-B0B0-4D94-AD64-4F6D6569DF18}" name="2022" dataDxfId="305"/>
    <tableColumn id="5" xr3:uid="{8C64EA9C-57AA-41FD-B6D0-92234B36FCFC}" name="2023" dataDxfId="304"/>
    <tableColumn id="6" xr3:uid="{19349028-E36B-4A93-943F-2BFEAF340FBA}" name="2024" dataDxfId="303"/>
    <tableColumn id="7" xr3:uid="{C4800663-A02E-4BCB-8DD2-FF63E9D19C56}" name="2025" dataDxfId="302"/>
  </tableColumns>
  <tableStyleInfo name="TableStyleDark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3086E9-AFC5-457A-B5CF-74A8B538D00D}" name="Table11" displayName="Table11" ref="Y4:AE35" totalsRowShown="0" headerRowDxfId="301" dataDxfId="300" tableBorderDxfId="299">
  <autoFilter ref="Y4:AE35" xr:uid="{903086E9-AFC5-457A-B5CF-74A8B538D00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EDA2BC-62DA-40EB-8827-788751DBC9EE}" name="Particulars" dataDxfId="298"/>
    <tableColumn id="2" xr3:uid="{2C86076A-BBAB-479D-99A0-FCCA6B6A77A4}" name="2020" dataDxfId="297"/>
    <tableColumn id="3" xr3:uid="{9E57F4A3-01DD-4513-8CA0-749F798CDC4D}" name="2021" dataDxfId="296"/>
    <tableColumn id="4" xr3:uid="{54F1F9F2-A044-4227-80D9-D28A670BD2E0}" name="2022" dataDxfId="295"/>
    <tableColumn id="5" xr3:uid="{5D723B4C-93E4-4C33-A5EC-494231F94CA9}" name="2023" dataDxfId="294"/>
    <tableColumn id="6" xr3:uid="{EDEE8FC2-C9A2-4A01-BB31-2423CF947D2C}" name="2024" dataDxfId="293"/>
    <tableColumn id="7" xr3:uid="{A05F2844-66F8-4038-A496-09EF8322077C}" name="2025" dataDxfId="292"/>
  </tableColumns>
  <tableStyleInfo name="TableStyleDark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902D92-9C2B-4BFB-A052-15606E4C4625}" name="Table12" displayName="Table12" ref="AG4:AM26" totalsRowShown="0" headerRowDxfId="291" dataDxfId="290" tableBorderDxfId="289">
  <autoFilter ref="AG4:AM26" xr:uid="{9C902D92-9C2B-4BFB-A052-15606E4C462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F60DB13-FD0F-4623-932F-477C58C46E52}" name="Particulars" dataDxfId="288"/>
    <tableColumn id="2" xr3:uid="{CDE229FB-0552-4E02-AEA2-3A4C4A97C100}" name="2020" dataDxfId="287"/>
    <tableColumn id="3" xr3:uid="{0468AB51-CA49-4C9A-A699-2C0BCD7B625D}" name="2021" dataDxfId="286"/>
    <tableColumn id="4" xr3:uid="{3712C063-E857-4618-B92F-BEAF3738DECF}" name="2022" dataDxfId="285"/>
    <tableColumn id="5" xr3:uid="{ED4C8E3A-DFA8-42C9-A398-2AA0D9F0DE4B}" name="2023" dataDxfId="284"/>
    <tableColumn id="6" xr3:uid="{09C22660-DF5D-4DD6-A5DC-0E6A190571CC}" name="2024" dataDxfId="283"/>
    <tableColumn id="7" xr3:uid="{618EECAB-D411-45A2-A200-6D91E1632005}" name="2025" dataDxfId="282"/>
  </tableColumns>
  <tableStyleInfo name="TableStyleDark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43D836-38FD-4A73-B3B1-9EDDA1658EC4}" name="Table13" displayName="Table13" ref="AO4:AU34" totalsRowShown="0" headerRowDxfId="281" dataDxfId="280" tableBorderDxfId="279">
  <autoFilter ref="AO4:AU34" xr:uid="{6C43D836-38FD-4A73-B3B1-9EDDA1658EC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44EC451-D325-431C-9A6F-7C3A5B2780CE}" name="Particulars" dataDxfId="278"/>
    <tableColumn id="2" xr3:uid="{90668A38-232F-4FC3-8B12-B55C99238385}" name="2020" dataDxfId="277"/>
    <tableColumn id="3" xr3:uid="{4DA5EE6F-418E-42D3-B833-658DF034B325}" name="2021" dataDxfId="276"/>
    <tableColumn id="4" xr3:uid="{7F034E15-F371-465C-9BD5-28B56ACC8871}" name="2022" dataDxfId="275"/>
    <tableColumn id="5" xr3:uid="{D722F67C-21A4-4B97-9435-8BEF703BEED1}" name="2023" dataDxfId="274"/>
    <tableColumn id="6" xr3:uid="{71B321EE-CE37-4B13-849D-ABFC6141AC49}" name="2024" dataDxfId="273"/>
    <tableColumn id="7" xr3:uid="{C6931F8A-6E01-4B7F-A67F-85B8AAD08FF3}" name="2025" dataDxfId="272"/>
  </tableColumns>
  <tableStyleInfo name="TableStyleDark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964549A-D242-474F-8649-FDCBF28A37E1}" name="Table15" displayName="Table15" ref="A4:G9" totalsRowShown="0" headerRowDxfId="271" dataDxfId="269" headerRowBorderDxfId="270">
  <autoFilter ref="A4:G9" xr:uid="{D964549A-D242-474F-8649-FDCBF28A37E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D07344-1FA5-4A67-A340-CD737E267906}" name="Particulars" dataDxfId="268"/>
    <tableColumn id="2" xr3:uid="{91A427CE-EBC4-4320-A0F0-41DD8011A20C}" name="2020" dataDxfId="267" dataCellStyle="Comma"/>
    <tableColumn id="3" xr3:uid="{2D3F72AF-3345-47F0-AAC1-EC5377961D8C}" name="2021" dataDxfId="266" dataCellStyle="Comma"/>
    <tableColumn id="4" xr3:uid="{B6818923-50D3-48BE-AA07-25A8D0D7CA2E}" name="2022" dataDxfId="265" dataCellStyle="Comma"/>
    <tableColumn id="5" xr3:uid="{C5AA2062-A3CA-4642-9DCD-A1189CBA06D7}" name="2023" dataDxfId="264" dataCellStyle="Comma"/>
    <tableColumn id="6" xr3:uid="{0F0E4B76-AD10-4BC2-8F8E-B6E56E790B14}" name="2024" dataDxfId="263" dataCellStyle="Comma"/>
    <tableColumn id="7" xr3:uid="{84B2A00A-0DF1-4E4D-A178-DBF373A9865F}" name="2025" dataDxfId="262" dataCellStyle="Comma"/>
  </tableColumns>
  <tableStyleInfo name="TableStyleDark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F01CA2F-AE42-4143-BEB3-DBA9FE669E62}" name="Table1517" displayName="Table1517" ref="I4:O9" totalsRowShown="0" headerRowDxfId="261" dataDxfId="259" headerRowBorderDxfId="260">
  <autoFilter ref="I4:O9" xr:uid="{5F01CA2F-AE42-4143-BEB3-DBA9FE669E6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2B39EF1-B8F4-4D2B-817F-6A19E5739D9D}" name="Particulars" dataDxfId="258"/>
    <tableColumn id="2" xr3:uid="{525A876C-F03C-4D29-9890-0381F10BCD31}" name="2020" dataDxfId="257" dataCellStyle="Comma"/>
    <tableColumn id="3" xr3:uid="{D4DCC6A5-07CF-4198-A089-10C7D4503E4A}" name="2021" dataDxfId="256" dataCellStyle="Comma"/>
    <tableColumn id="4" xr3:uid="{31F6A534-55E9-408F-B2C6-DCF1319ACA27}" name="2022" dataDxfId="255" dataCellStyle="Comma"/>
    <tableColumn id="5" xr3:uid="{ADB15043-2EA3-4A21-8C06-525BB8EF4FCB}" name="2023" dataDxfId="254" dataCellStyle="Comma"/>
    <tableColumn id="6" xr3:uid="{6C4F8287-3C79-46D3-A747-FB1F359122F7}" name="2024" dataDxfId="253" dataCellStyle="Comma"/>
    <tableColumn id="7" xr3:uid="{F1D30517-F49C-4B0F-AD04-DB630B6ECC24}" name="2025" dataDxfId="252" dataCellStyle="Comma"/>
  </tableColumns>
  <tableStyleInfo name="TableStyleDark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84C9820-1C2F-4E00-B307-2D7A6B9F4F83}" name="Table1518" displayName="Table1518" ref="Q4:W9" totalsRowShown="0" headerRowDxfId="251" dataDxfId="250" tableBorderDxfId="249">
  <autoFilter ref="Q4:W9" xr:uid="{C84C9820-1C2F-4E00-B307-2D7A6B9F4F8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9D155DF-E695-4D43-863B-08F2DE48DC32}" name="Particulars" dataDxfId="248"/>
    <tableColumn id="2" xr3:uid="{644CC92E-7565-4AD4-B47B-7752E374A3C5}" name="2020" dataDxfId="247" dataCellStyle="Comma"/>
    <tableColumn id="3" xr3:uid="{082A1772-656A-4375-BCF1-2332B14EB1EE}" name="2021" dataDxfId="246" dataCellStyle="Comma"/>
    <tableColumn id="4" xr3:uid="{3B95E30A-B4BB-455F-A442-3FF136842063}" name="2022" dataDxfId="245" dataCellStyle="Comma"/>
    <tableColumn id="5" xr3:uid="{C6F98595-FBB7-4D43-A074-18D37D8348D2}" name="2023" dataDxfId="244" dataCellStyle="Comma"/>
    <tableColumn id="6" xr3:uid="{BEB8AD47-BBFA-49CB-B537-884CB4FEF45B}" name="2024" dataDxfId="243" dataCellStyle="Comma"/>
    <tableColumn id="7" xr3:uid="{A09095F7-ED3F-4C30-BFA3-0E79261F2F7D}" name="2025" dataDxfId="242" dataCellStyle="Comma"/>
  </tableColumns>
  <tableStyleInfo name="TableStyleDark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DBA2270-7B10-4317-A241-3C270EF361F9}" name="Table1519" displayName="Table1519" ref="Y4:AE9" totalsRowShown="0" headerRowDxfId="241" dataDxfId="240" tableBorderDxfId="239">
  <autoFilter ref="Y4:AE9" xr:uid="{BDBA2270-7B10-4317-A241-3C270EF361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0DFCA8A-8DC2-4416-83B9-326B028E32C5}" name="Particulars" dataDxfId="238"/>
    <tableColumn id="2" xr3:uid="{A2FFE150-681D-4784-8B4F-0CCD930E3F4F}" name="2020" dataDxfId="237" dataCellStyle="Comma"/>
    <tableColumn id="3" xr3:uid="{483C83AD-E97B-4614-8915-1C2F3BDEBE82}" name="2021" dataDxfId="236" dataCellStyle="Comma"/>
    <tableColumn id="4" xr3:uid="{A6935A5A-01F0-4449-8360-52FFE1DC4F97}" name="2022" dataDxfId="235" dataCellStyle="Comma"/>
    <tableColumn id="5" xr3:uid="{CA2AA865-23D2-4973-8B8E-E67C858C74BB}" name="2023" dataDxfId="234" dataCellStyle="Comma"/>
    <tableColumn id="6" xr3:uid="{786C5D99-F14E-4D00-B1A9-95B68918C42E}" name="2024" dataDxfId="233" dataCellStyle="Comma"/>
    <tableColumn id="7" xr3:uid="{0AAD50C2-E44C-4A85-B046-E2CF01156046}" name="2025" dataDxfId="232" dataCellStyle="Comma"/>
  </tableColumns>
  <tableStyleInfo name="TableStyleDark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381A0B9-3B33-43CA-9666-A8BCB25355EB}" name="Table1520" displayName="Table1520" ref="AG4:AM9" totalsRowShown="0" headerRowDxfId="231" dataDxfId="230" tableBorderDxfId="229">
  <autoFilter ref="AG4:AM9" xr:uid="{8381A0B9-3B33-43CA-9666-A8BCB25355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89FD207-7042-43D6-9739-D4CE8B09F301}" name="Particulars" dataDxfId="228"/>
    <tableColumn id="2" xr3:uid="{F9F124EE-4705-4684-942B-DA29FB1C15AB}" name="2020" dataDxfId="227" dataCellStyle="Comma"/>
    <tableColumn id="3" xr3:uid="{06DF25D5-8E13-4068-8680-E41512BD567A}" name="2021" dataDxfId="226" dataCellStyle="Comma"/>
    <tableColumn id="4" xr3:uid="{B094307E-F7BC-455B-BB41-839B5FA6A4CB}" name="2022" dataDxfId="225" dataCellStyle="Comma"/>
    <tableColumn id="5" xr3:uid="{8EAC6874-31D1-4432-84C5-F4E8CB3CEB51}" name="2023" dataDxfId="224" dataCellStyle="Comma"/>
    <tableColumn id="6" xr3:uid="{2A0AA721-4576-435E-A74C-D368486D98D7}" name="2024" dataDxfId="223" dataCellStyle="Comma"/>
    <tableColumn id="7" xr3:uid="{487A9E7A-89F2-4DE0-B4DD-61815F9EA35E}" name="2025" dataDxfId="222" dataCellStyle="Comma"/>
  </tableColumns>
  <tableStyleInfo name="TableStyleDark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B8C0BC3-B6BF-46D6-8C86-01EEDBA9245B}" name="Table1521" displayName="Table1521" ref="AO4:AU9" totalsRowShown="0" headerRowDxfId="221" dataDxfId="220" tableBorderDxfId="219">
  <autoFilter ref="AO4:AU9" xr:uid="{9B8C0BC3-B6BF-46D6-8C86-01EEDBA9245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427773E-31B8-47EA-804C-E832F02F8C11}" name="Particulars" dataDxfId="218"/>
    <tableColumn id="2" xr3:uid="{41DA88D0-AE46-4557-9C4A-527555C97E7B}" name="2020" dataDxfId="217" dataCellStyle="Comma"/>
    <tableColumn id="3" xr3:uid="{1867B6B5-7E5E-4BE2-8703-C12B71794E06}" name="2021" dataDxfId="216" dataCellStyle="Comma"/>
    <tableColumn id="4" xr3:uid="{DC20F62E-9CFF-46AC-8F5A-267014F69FC2}" name="2022" dataDxfId="215" dataCellStyle="Comma"/>
    <tableColumn id="5" xr3:uid="{E146C0F8-172D-4C51-B57D-D3E6D5BB4BDE}" name="2023" dataDxfId="214" dataCellStyle="Comma"/>
    <tableColumn id="6" xr3:uid="{2FAD2BBF-2BD7-47F6-8257-BA9490D98B33}" name="2024" dataDxfId="213" dataCellStyle="Comma"/>
    <tableColumn id="7" xr3:uid="{1A2067C7-C31C-45BC-9F6E-E95C6EFCA842}" name="2025" dataDxfId="212" dataCellStyle="Comma"/>
  </tableColumns>
  <tableStyleInfo name="TableStyleDark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37EA131-9D18-49C5-8456-EDE64EE09E65}" name="Table21" displayName="Table21" ref="A4:G30" totalsRowShown="0" headerRowDxfId="211" dataDxfId="210" tableBorderDxfId="209">
  <autoFilter ref="A4:G30" xr:uid="{E37EA131-9D18-49C5-8456-EDE64EE09E6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BCD07F6-D93F-432F-96DF-155492BE1A07}" name="Particulars" dataDxfId="208"/>
    <tableColumn id="2" xr3:uid="{0B2660B9-3322-4570-A710-F17427BFD617}" name="2020" dataDxfId="207"/>
    <tableColumn id="3" xr3:uid="{CE4E1A2C-CE5C-4034-B8FE-072A45713D4F}" name="2021" dataDxfId="206"/>
    <tableColumn id="4" xr3:uid="{E01F6690-5B85-429A-9759-CBDB172AA9B4}" name="2022" dataDxfId="205"/>
    <tableColumn id="5" xr3:uid="{41E6F4AE-42EB-4F40-986D-0385187439B5}" name="2023" dataDxfId="204"/>
    <tableColumn id="6" xr3:uid="{B5173480-F634-43C2-9EDB-61E32C5A5EF4}" name="2024" dataDxfId="203"/>
    <tableColumn id="7" xr3:uid="{334F3D79-DFFC-407B-9FFD-E36BF56848B9}" name="2025" dataDxfId="202"/>
  </tableColumns>
  <tableStyleInfo name="TableStyleDark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0730C14-6B37-494C-B79E-663504ADE39F}" name="Table2124" displayName="Table2124" ref="I4:O30" totalsRowShown="0" headerRowDxfId="201" dataDxfId="200" tableBorderDxfId="199">
  <autoFilter ref="I4:O30" xr:uid="{C0730C14-6B37-494C-B79E-663504ADE39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0D7863-1949-4245-95BA-79AC2B138A0E}" name="Particulars" dataDxfId="198"/>
    <tableColumn id="2" xr3:uid="{7F074D1A-613C-4D1D-B6DE-A7D84E80EF53}" name="2020" dataDxfId="197"/>
    <tableColumn id="3" xr3:uid="{4B2902C0-B50F-41B1-966E-E51A0C086A74}" name="2021" dataDxfId="196"/>
    <tableColumn id="4" xr3:uid="{418A7436-6FF4-45E6-BC71-ED4B0F65C1DC}" name="2022" dataDxfId="195"/>
    <tableColumn id="5" xr3:uid="{3025AC76-CBAF-4A5E-A61E-502B7226626C}" name="2023" dataDxfId="194"/>
    <tableColumn id="6" xr3:uid="{006A1162-2621-4DA2-8E09-50631B59205A}" name="2024" dataDxfId="193"/>
    <tableColumn id="7" xr3:uid="{D0683BBC-9934-413B-9FA8-ED31F177C7F1}" name="2025" dataDxfId="192"/>
  </tableColumns>
  <tableStyleInfo name="TableStyleDark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D95BC-1802-4101-89B5-41D7F705B01B}" name="Table212425" displayName="Table212425" ref="Q4:W30" totalsRowShown="0" headerRowDxfId="191" dataDxfId="190" tableBorderDxfId="189">
  <autoFilter ref="Q4:W30" xr:uid="{9EFD95BC-1802-4101-89B5-41D7F705B01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2F835A-8145-407A-A4F3-683280CB70E8}" name="Particulars" dataDxfId="188"/>
    <tableColumn id="2" xr3:uid="{04064820-A7D0-4B56-9205-4ED86DEC668D}" name="2020" dataDxfId="187"/>
    <tableColumn id="3" xr3:uid="{BABC077B-A26B-4476-823A-1FAE33E50619}" name="2021" dataDxfId="186"/>
    <tableColumn id="4" xr3:uid="{1EF36D31-193D-4E1C-8F6D-7DD0F4E6E325}" name="2022" dataDxfId="185"/>
    <tableColumn id="5" xr3:uid="{848B6EEE-5453-481D-904E-B82D66575BC2}" name="2023" dataDxfId="184"/>
    <tableColumn id="6" xr3:uid="{D136925D-50C1-4F0B-944A-60901FEFF422}" name="2024" dataDxfId="183"/>
    <tableColumn id="7" xr3:uid="{A825AF1E-8EE6-49EE-AB83-CE7016B1FC4D}" name="2025" dataDxfId="182"/>
  </tableColumns>
  <tableStyleInfo name="TableStyleDark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45DFD7B-2FA3-441C-A078-E4021F9BB411}" name="Table212427" displayName="Table212427" ref="Y4:AE30" totalsRowShown="0" headerRowDxfId="181" dataDxfId="180" tableBorderDxfId="179">
  <autoFilter ref="Y4:AE30" xr:uid="{345DFD7B-2FA3-441C-A078-E4021F9BB41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6F7660-990E-46F7-8D8A-9FB61CB21161}" name="Particulars" dataDxfId="178"/>
    <tableColumn id="2" xr3:uid="{820055AA-C4A6-4C20-88A7-1039A7761C5F}" name="2020" dataDxfId="177"/>
    <tableColumn id="3" xr3:uid="{5F5C206A-E83D-430E-BD73-73AB5B58E100}" name="2021" dataDxfId="176"/>
    <tableColumn id="4" xr3:uid="{95297DF1-730F-417D-8086-D90D34866AE5}" name="2022" dataDxfId="175"/>
    <tableColumn id="5" xr3:uid="{35118BA1-6DAD-4699-9982-B04BFBA0FBEA}" name="2023" dataDxfId="174"/>
    <tableColumn id="6" xr3:uid="{32B6D4A7-DCF6-41CE-A7AC-CF68D5D493EB}" name="2024" dataDxfId="173"/>
    <tableColumn id="7" xr3:uid="{17294E2F-424A-4ED1-B3A0-86854154A85B}" name="2025" dataDxfId="172"/>
  </tableColumns>
  <tableStyleInfo name="TableStyleDark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16F34A6-E812-49FE-91DF-041D66FC6D9D}" name="Table212429" displayName="Table212429" ref="AG4:AM30" totalsRowShown="0" headerRowDxfId="171" dataDxfId="170" tableBorderDxfId="169">
  <autoFilter ref="AG4:AM30" xr:uid="{116F34A6-E812-49FE-91DF-041D66FC6D9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DF7088-6D4C-4A81-895A-DE6C8D0E7C6F}" name="Particulars" dataDxfId="168"/>
    <tableColumn id="2" xr3:uid="{3BF75A8B-4FAA-4D7F-B5F4-2CCC88BFEC99}" name="2020" dataDxfId="167"/>
    <tableColumn id="3" xr3:uid="{731EC9A9-CECE-4147-AA46-D61C3BEE3EF3}" name="2021" dataDxfId="166"/>
    <tableColumn id="4" xr3:uid="{C636E117-C355-4B0A-A799-F896F90857D3}" name="2022" dataDxfId="165"/>
    <tableColumn id="5" xr3:uid="{B927A423-E42E-486C-8E99-E0BD9C234455}" name="2023" dataDxfId="164"/>
    <tableColumn id="6" xr3:uid="{20BE23F0-8FFC-4F7D-8F94-EC5B765C0D45}" name="2024" dataDxfId="163"/>
    <tableColumn id="7" xr3:uid="{10BF45EC-965D-4DE3-98EC-8AD0B8E83B47}" name="2025" dataDxfId="162"/>
  </tableColumns>
  <tableStyleInfo name="TableStyleDark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86B3688-1691-4CC5-8D1F-CA4ED9131497}" name="Table212430" displayName="Table212430" ref="AO4:AU30" headerRowDxfId="161" dataDxfId="160" tableBorderDxfId="159">
  <autoFilter ref="AO4:AU30" xr:uid="{086B3688-1691-4CC5-8D1F-CA4ED913149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9C6B490-4155-4F3B-9CCC-BE8A269CA8C5}" name="Particulars" dataDxfId="158" totalsRowDxfId="157"/>
    <tableColumn id="2" xr3:uid="{FF3B4203-DD67-4F01-BBC5-5313D4CF36C3}" name="2020" dataDxfId="156" totalsRowDxfId="155"/>
    <tableColumn id="3" xr3:uid="{751502F4-E814-4463-8A54-0D6408389810}" name="2021" dataDxfId="154" totalsRowDxfId="153"/>
    <tableColumn id="4" xr3:uid="{5584ECFD-C85E-4C6C-A166-B9397FE0FCD3}" name="2022" dataDxfId="152" totalsRowDxfId="151"/>
    <tableColumn id="5" xr3:uid="{C5C18857-E351-43BF-8842-D82CA8ACB44C}" name="2023" dataDxfId="150" totalsRowDxfId="149"/>
    <tableColumn id="6" xr3:uid="{CFBFEE02-E3D2-4F1A-A94D-DF85405828A0}" name="2024" dataDxfId="148" totalsRowDxfId="147"/>
    <tableColumn id="7" xr3:uid="{400604EC-361D-4C34-9D95-A9B4432A78AF}" name="2025" totalsRowFunction="custom" dataDxfId="146" totalsRowDxfId="145">
      <totalsRowFormula>'Company Profile'!G7</totalsRowFormula>
    </tableColumn>
  </tableColumns>
  <tableStyleInfo name="TableStyleDark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3D9270C-6542-4E55-992A-9EB61DBAB290}" name="Table14" displayName="Table14" ref="A3:G21" totalsRowShown="0" headerRowDxfId="144" dataDxfId="143" tableBorderDxfId="142">
  <autoFilter ref="A3:G21" xr:uid="{23D9270C-6542-4E55-992A-9EB61DBAB2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358440E-C64C-47CB-A3D5-B67C18EF65EC}" name="Parameters" dataDxfId="141"/>
    <tableColumn id="2" xr3:uid="{F123B897-7172-413B-9C1F-737283A97AF0}" name="Coal India" dataDxfId="140"/>
    <tableColumn id="3" xr3:uid="{9F9C3A37-88A9-4D6C-9B25-28B41C605278}" name="Hindustan Zinc" dataDxfId="139"/>
    <tableColumn id="4" xr3:uid="{8C63A009-1A46-48E0-A566-CDDCAF8C160E}" name="JSW Steel" dataDxfId="138"/>
    <tableColumn id="5" xr3:uid="{80755295-FBE1-4545-B2EB-A47C02E439D0}" name="TATA Steel" dataDxfId="137"/>
    <tableColumn id="6" xr3:uid="{313A33DD-CBE8-448A-A563-A5C84390FC71}" name="SAIL" dataDxfId="136"/>
    <tableColumn id="7" xr3:uid="{F2EE494C-7741-427F-8A99-CA69C45BF979}" name="NMDC" dataDxfId="135"/>
  </tableColumns>
  <tableStyleInfo name="TableStyleDark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CB6625C-021C-4F31-8FDE-79E7607FF695}" name="Table22" displayName="Table22" ref="A4:H12" totalsRowShown="0" headerRowDxfId="134" dataDxfId="133" tableBorderDxfId="132">
  <autoFilter ref="A4:H12" xr:uid="{FCB6625C-021C-4F31-8FDE-79E7607FF6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BB9423A-E114-4E10-B6A2-F298C75E31D5}" name="Parameters" dataDxfId="131"/>
    <tableColumn id="2" xr3:uid="{A0FCFBAC-BA98-4849-A314-F20821559DE9}" name="2025" dataDxfId="130" dataCellStyle="Comma"/>
    <tableColumn id="3" xr3:uid="{803A8092-EA31-4DD0-90FE-2920B39FA098}" name="Growth/Ratio" dataDxfId="129" dataCellStyle="Percent"/>
    <tableColumn id="4" xr3:uid="{DD3A50AB-9475-4B05-A438-43D1E1DE7FCA}" name="2026" dataDxfId="128" dataCellStyle="Comma"/>
    <tableColumn id="5" xr3:uid="{DFA745AC-E73F-425E-A7CE-F7B72E5CEE44}" name="2027" dataDxfId="127" dataCellStyle="Comma"/>
    <tableColumn id="6" xr3:uid="{A5D40FB1-B5AB-4580-A5AB-C7BB55FA1085}" name="2028" dataDxfId="126" dataCellStyle="Comma"/>
    <tableColumn id="7" xr3:uid="{F9687196-AFBD-413B-8E40-5205A25FA6F5}" name="2029" dataDxfId="125" dataCellStyle="Comma"/>
    <tableColumn id="8" xr3:uid="{FB993A05-9615-4A0D-AB91-2D8538822287}" name="2030" dataDxfId="124" dataCellStyle="Comma"/>
  </tableColumns>
  <tableStyleInfo name="TableStyleDark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363EB4B-5CC6-4315-BFBA-600EECEC2467}" name="Table25" displayName="Table25" ref="A14:B24" totalsRowShown="0" headerRowDxfId="123" tableBorderDxfId="122">
  <autoFilter ref="A14:B24" xr:uid="{C363EB4B-5CC6-4315-BFBA-600EECEC2467}">
    <filterColumn colId="0" hiddenButton="1"/>
    <filterColumn colId="1" hiddenButton="1"/>
  </autoFilter>
  <tableColumns count="2">
    <tableColumn id="1" xr3:uid="{73E564EF-CA07-4AEA-98BE-C3BCE84753C7}" name="Parameters" dataDxfId="121"/>
    <tableColumn id="2" xr3:uid="{5959EF7C-D997-4709-A139-5A894874DFBD}" name="Value" dataDxfId="120"/>
  </tableColumns>
  <tableStyleInfo name="TableStyleDark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25FE65E-2931-4740-A4A8-D1FD59676FED}" name="Table2231" displayName="Table2231" ref="J4:Q12" totalsRowShown="0" headerRowDxfId="119" dataDxfId="118" tableBorderDxfId="117">
  <autoFilter ref="J4:Q12" xr:uid="{D25FE65E-2931-4740-A4A8-D1FD59676FE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417E669-8037-4D2B-99D1-DA3DA189D828}" name="Parameters" dataDxfId="116"/>
    <tableColumn id="2" xr3:uid="{1E3FC9FF-8204-4495-9585-737276CC9A68}" name="2025" dataDxfId="115" dataCellStyle="Comma"/>
    <tableColumn id="3" xr3:uid="{4E46FE3C-B843-4801-8484-A822E5FDB9C1}" name="Growth/Ratio" dataDxfId="114" dataCellStyle="Percent"/>
    <tableColumn id="4" xr3:uid="{82BBFA8A-58D2-4109-9CE8-F4E5CF4CC185}" name="2026" dataDxfId="113" dataCellStyle="Comma"/>
    <tableColumn id="5" xr3:uid="{2C13C5CC-F64D-4A10-AE4F-6A403C38C665}" name="2027" dataDxfId="112" dataCellStyle="Comma"/>
    <tableColumn id="6" xr3:uid="{79DF1271-B699-42E6-8530-E20074ACB2A3}" name="2028" dataDxfId="111" dataCellStyle="Comma"/>
    <tableColumn id="7" xr3:uid="{43B71D23-BD15-4274-8965-57ABD51263D2}" name="2029" dataDxfId="110" dataCellStyle="Comma"/>
    <tableColumn id="8" xr3:uid="{5370062E-AE1B-4214-931A-9FA59F1682B5}" name="2030" dataDxfId="109" dataCellStyle="Comma"/>
  </tableColumns>
  <tableStyleInfo name="TableStyleDark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F846F62-6791-4985-A8CE-CFD582210FAF}" name="Table2233" displayName="Table2233" ref="S4:Z12" totalsRowShown="0" headerRowDxfId="108" dataDxfId="107" tableBorderDxfId="106">
  <autoFilter ref="S4:Z12" xr:uid="{7F846F62-6791-4985-A8CE-CFD582210FA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B62DD50-1939-43FE-BBCC-B6E742DC0033}" name="Parameters" dataDxfId="105"/>
    <tableColumn id="2" xr3:uid="{0C3C3CE5-2D04-41CB-BCEF-2114B67FA3F5}" name="2025" dataDxfId="104" dataCellStyle="Comma"/>
    <tableColumn id="3" xr3:uid="{BD5FFD82-34ED-4679-BAC0-55D5D8F0C072}" name="Growth/Ratio" dataDxfId="103" dataCellStyle="Percent"/>
    <tableColumn id="4" xr3:uid="{D9E96DBC-1F01-46FE-931A-4A1C21E3F153}" name="2026" dataDxfId="102" dataCellStyle="Comma"/>
    <tableColumn id="5" xr3:uid="{5202AF24-983A-4D95-AFC8-E130CBCA84A8}" name="2027" dataDxfId="101" dataCellStyle="Comma"/>
    <tableColumn id="6" xr3:uid="{014BDFB8-851B-44D3-93EE-13CAE12B618A}" name="2028" dataDxfId="100" dataCellStyle="Comma"/>
    <tableColumn id="7" xr3:uid="{E97977A8-1B29-49FB-8AD9-E836A6E68D8F}" name="2029" dataDxfId="99" dataCellStyle="Comma"/>
    <tableColumn id="8" xr3:uid="{DCF6B11E-5962-4A07-AB45-18024FCD225B}" name="2030" dataDxfId="98" dataCellStyle="Comma"/>
  </tableColumns>
  <tableStyleInfo name="TableStyleDark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F94F60-EDAB-45FE-92F0-4D053CEB6108}" name="Table2235" displayName="Table2235" ref="AB4:AI12" totalsRowShown="0" headerRowDxfId="97" dataDxfId="96" tableBorderDxfId="95">
  <autoFilter ref="AB4:AI12" xr:uid="{88F94F60-EDAB-45FE-92F0-4D053CEB610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9E1CE1A-39D4-47AA-A2C2-C73ADF8D92B6}" name="Parameters" dataDxfId="94"/>
    <tableColumn id="2" xr3:uid="{2D5C7B8E-9A45-4B2A-8064-6DFE79669CC0}" name="2025" dataDxfId="93" dataCellStyle="Comma"/>
    <tableColumn id="3" xr3:uid="{64405F26-DDB2-4DE3-B865-03702169E9D2}" name="Growth/Ratio" dataDxfId="92" dataCellStyle="Percent"/>
    <tableColumn id="4" xr3:uid="{D8FFD0BD-CE03-4222-8A1F-3AA74FC80CE3}" name="2026" dataDxfId="91" dataCellStyle="Comma"/>
    <tableColumn id="5" xr3:uid="{C9744491-4C98-4A9D-BF37-5B2135EFF3A9}" name="2027" dataDxfId="90" dataCellStyle="Comma"/>
    <tableColumn id="6" xr3:uid="{222FD1BB-A9C3-4346-8722-81A53A768AA5}" name="2028" dataDxfId="89" dataCellStyle="Comma"/>
    <tableColumn id="7" xr3:uid="{DDD2743A-48FA-477E-90BC-D212199121B5}" name="2029" dataDxfId="88" dataCellStyle="Comma"/>
    <tableColumn id="8" xr3:uid="{C374470F-4022-4F2B-9561-0A24C63574F4}" name="2030" dataDxfId="87" dataCellStyle="Comma"/>
  </tableColumns>
  <tableStyleInfo name="TableStyleDark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C3B5F1C-4691-4FA4-83A8-3F51F2C47BAD}" name="Table2237" displayName="Table2237" ref="AK4:AR12" totalsRowShown="0" headerRowDxfId="86" dataDxfId="85" tableBorderDxfId="84">
  <autoFilter ref="AK4:AR12" xr:uid="{0C3B5F1C-4691-4FA4-83A8-3F51F2C47B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396DD58-944F-4999-AEBE-738FE0189487}" name="Parameters" dataDxfId="83"/>
    <tableColumn id="2" xr3:uid="{B8029E96-32CD-4E63-A998-BB1F41A582FE}" name="2025" dataDxfId="82" dataCellStyle="Comma"/>
    <tableColumn id="3" xr3:uid="{F3E95A97-6667-4E4C-B2E5-1D25A6111927}" name="Growth/Ratio" dataDxfId="81" dataCellStyle="Percent"/>
    <tableColumn id="4" xr3:uid="{8CAB605D-3145-4CBE-9995-9125ADFBA54B}" name="2026" dataDxfId="80" dataCellStyle="Comma"/>
    <tableColumn id="5" xr3:uid="{B6921665-A51D-478D-9259-577D9C31F575}" name="2027" dataDxfId="79" dataCellStyle="Comma"/>
    <tableColumn id="6" xr3:uid="{08A30BB0-5581-43D5-88AA-F397E8A0AE75}" name="2028" dataDxfId="78" dataCellStyle="Comma"/>
    <tableColumn id="7" xr3:uid="{2E53644B-9667-49D0-BAC9-A3E8D6A3F2A4}" name="2029" dataDxfId="77" dataCellStyle="Comma"/>
    <tableColumn id="8" xr3:uid="{7A1709CE-04D9-42AB-BD8E-6ABDEBFADDA6}" name="2030" dataDxfId="76" dataCellStyle="Comma"/>
  </tableColumns>
  <tableStyleInfo name="TableStyleDark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B067A28-7026-4496-A7AE-A6B00063E11C}" name="Table2239" displayName="Table2239" ref="AT4:BA12" totalsRowShown="0" headerRowDxfId="75" dataDxfId="74" tableBorderDxfId="73">
  <autoFilter ref="AT4:BA12" xr:uid="{DB067A28-7026-4496-A7AE-A6B00063E11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3175DFE-4E72-4D72-9B81-2DF1BD1426A9}" name="Parameters" dataDxfId="72"/>
    <tableColumn id="2" xr3:uid="{B16E145B-B36B-4ED4-860F-6031A8D1F544}" name="2025" dataDxfId="71" dataCellStyle="Comma"/>
    <tableColumn id="3" xr3:uid="{6FEFD108-062D-41F8-B1A9-D6EB34DDD713}" name="Growth/Ratio" dataDxfId="70" dataCellStyle="Percent"/>
    <tableColumn id="4" xr3:uid="{CF878670-8569-4589-A4B7-D06C34704714}" name="2026" dataDxfId="69" dataCellStyle="Comma"/>
    <tableColumn id="5" xr3:uid="{6549A813-A422-41BC-B198-92007B42D68C}" name="2027" dataDxfId="68" dataCellStyle="Comma"/>
    <tableColumn id="6" xr3:uid="{2F9B0ADC-DC2F-4CD3-85BD-94793AF3468D}" name="2028" dataDxfId="67" dataCellStyle="Comma"/>
    <tableColumn id="7" xr3:uid="{C784874A-1751-4BB5-A547-067F96C22FC4}" name="2029" dataDxfId="66" dataCellStyle="Comma"/>
    <tableColumn id="8" xr3:uid="{6F813239-77C4-4767-B687-0F447E15DB1D}" name="2030" dataDxfId="65" dataCellStyle="Comma"/>
  </tableColumns>
  <tableStyleInfo name="TableStyleDark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3132A76-A5B5-4FF7-A756-44BA9A668E0D}" name="Table2540" displayName="Table2540" ref="J14:K24" totalsRowShown="0" headerRowDxfId="64" tableBorderDxfId="63">
  <autoFilter ref="J14:K24" xr:uid="{73132A76-A5B5-4FF7-A756-44BA9A668E0D}">
    <filterColumn colId="0" hiddenButton="1"/>
    <filterColumn colId="1" hiddenButton="1"/>
  </autoFilter>
  <tableColumns count="2">
    <tableColumn id="1" xr3:uid="{DC499BEE-5822-4736-8D42-2481965018EB}" name="Parameters" dataDxfId="62"/>
    <tableColumn id="2" xr3:uid="{C6C9178F-FF76-4878-A9BD-C9B34DC26657}" name="Value" dataDxfId="61"/>
  </tableColumns>
  <tableStyleInfo name="TableStyleDark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AE941A7-B5CF-40DB-816A-1691D563687B}" name="Table2541" displayName="Table2541" ref="S14:T24" totalsRowShown="0" headerRowDxfId="60" tableBorderDxfId="59">
  <autoFilter ref="S14:T24" xr:uid="{FAE941A7-B5CF-40DB-816A-1691D563687B}">
    <filterColumn colId="0" hiddenButton="1"/>
    <filterColumn colId="1" hiddenButton="1"/>
  </autoFilter>
  <tableColumns count="2">
    <tableColumn id="1" xr3:uid="{C8392131-09A1-4CCC-A729-5350E0A94BD1}" name="Parameters" dataDxfId="58"/>
    <tableColumn id="2" xr3:uid="{1990979B-6D14-413F-82B1-9C831FEB8401}" name="Value" dataDxfId="57"/>
  </tableColumns>
  <tableStyleInfo name="TableStyleDark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C618A4C-A53E-4006-8840-B949BB7042A2}" name="Table2542" displayName="Table2542" ref="AB14:AC24" totalsRowShown="0" headerRowDxfId="56" tableBorderDxfId="55">
  <autoFilter ref="AB14:AC24" xr:uid="{6C618A4C-A53E-4006-8840-B949BB7042A2}">
    <filterColumn colId="0" hiddenButton="1"/>
    <filterColumn colId="1" hiddenButton="1"/>
  </autoFilter>
  <tableColumns count="2">
    <tableColumn id="1" xr3:uid="{7E8A9D6D-5A0E-484E-8593-D6DD2337DB15}" name="Parameters" dataDxfId="54"/>
    <tableColumn id="2" xr3:uid="{FCF66C57-BF5E-4C21-9ACA-CA64A4ABEFFE}" name="Value" dataDxfId="53"/>
  </tableColumns>
  <tableStyleInfo name="TableStyleDark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DB328F8-3C51-49B1-8A39-5D1182EFBF0B}" name="Table2543" displayName="Table2543" ref="AK14:AL24" totalsRowShown="0" headerRowDxfId="52" tableBorderDxfId="51">
  <autoFilter ref="AK14:AL24" xr:uid="{EDB328F8-3C51-49B1-8A39-5D1182EFBF0B}">
    <filterColumn colId="0" hiddenButton="1"/>
    <filterColumn colId="1" hiddenButton="1"/>
  </autoFilter>
  <tableColumns count="2">
    <tableColumn id="1" xr3:uid="{ED74A214-C121-496A-BA9E-359D459A7E26}" name="Parameters" dataDxfId="50"/>
    <tableColumn id="2" xr3:uid="{25AAFA1A-7269-44B1-8C10-D5B15EC63871}" name="Value" dataDxfId="49" dataCellStyle="Comma"/>
  </tableColumns>
  <tableStyleInfo name="TableStyleDark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6C60E5E-028E-4322-86D0-3E9221AC3FC3}" name="Table2544" displayName="Table2544" ref="AT14:AU24" totalsRowShown="0" headerRowDxfId="48" tableBorderDxfId="47">
  <autoFilter ref="AT14:AU24" xr:uid="{86C60E5E-028E-4322-86D0-3E9221AC3FC3}">
    <filterColumn colId="0" hiddenButton="1"/>
    <filterColumn colId="1" hiddenButton="1"/>
  </autoFilter>
  <tableColumns count="2">
    <tableColumn id="1" xr3:uid="{3BD55AD2-FE68-434A-AD1A-EA584605CB25}" name="Parameters" dataDxfId="46"/>
    <tableColumn id="2" xr3:uid="{2E4DCAC6-C6B7-4F79-AAD1-8C605D330833}" name="Value" dataDxfId="45"/>
  </tableColumns>
  <tableStyleInfo name="TableStyleDark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779FCC35-BBA4-4905-8180-7E933B2BCF46}" name="Table52" displayName="Table52" ref="A3:E15" totalsRowShown="0" headerRowDxfId="44" dataDxfId="43">
  <autoFilter ref="A3:E15" xr:uid="{779FCC35-BBA4-4905-8180-7E933B2BCF46}">
    <filterColumn colId="0" hiddenButton="1"/>
    <filterColumn colId="1" hiddenButton="1"/>
    <filterColumn colId="2" hiddenButton="1"/>
    <filterColumn colId="3" hiddenButton="1"/>
    <filterColumn colId="4" hiddenButton="1"/>
  </autoFilter>
  <tableColumns count="5">
    <tableColumn id="1" xr3:uid="{4C949913-E087-423A-AFC8-EC8741CC67AD}" name="Company" dataDxfId="42"/>
    <tableColumn id="2" xr3:uid="{54ECF01C-8727-452C-976C-4D0CFB5C80F4}" name="EV/EBITDA" dataDxfId="41" dataCellStyle="Comma"/>
    <tableColumn id="3" xr3:uid="{5C67E969-5F70-4BC7-9539-CE1D2E62062C}" name="P/E" dataDxfId="40" dataCellStyle="Comma"/>
    <tableColumn id="4" xr3:uid="{A4AED415-96CC-474C-A282-8CC6A39CF390}" name="P/B" dataDxfId="39" dataCellStyle="Comma"/>
    <tableColumn id="5" xr3:uid="{53BF35F6-AAC9-4338-8099-7E7E354D5AA8}" name="P/S" dataDxfId="38" dataCellStyle="Comma"/>
  </tableColumns>
  <tableStyleInfo name="TableStyleMedium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B064339-5B0E-4994-972A-79EA8925BA5A}" name="Table53" displayName="Table53" ref="A19:E21" totalsRowShown="0" headerRowDxfId="37" dataDxfId="36">
  <autoFilter ref="A19:E21" xr:uid="{4B064339-5B0E-4994-972A-79EA8925BA5A}">
    <filterColumn colId="0" hiddenButton="1"/>
    <filterColumn colId="1" hiddenButton="1"/>
    <filterColumn colId="2" hiddenButton="1"/>
    <filterColumn colId="3" hiddenButton="1"/>
    <filterColumn colId="4" hiddenButton="1"/>
  </autoFilter>
  <tableColumns count="5">
    <tableColumn id="1" xr3:uid="{C9657265-92CA-4BDA-9062-38308E998688}" name="Particulars" dataDxfId="35"/>
    <tableColumn id="2" xr3:uid="{9E869A38-9EDD-4B52-B414-56D9E555E7ED}" name="EBITDA" dataDxfId="34" dataCellStyle="Comma"/>
    <tableColumn id="3" xr3:uid="{B2869958-CC7A-44E3-8B67-F51E07583828}" name="Net Income" dataDxfId="33" dataCellStyle="Comma"/>
    <tableColumn id="4" xr3:uid="{634429BE-8917-440D-967E-96FF91E672EF}" name="Book Value" dataDxfId="32" dataCellStyle="Comma"/>
    <tableColumn id="5" xr3:uid="{425EEBDE-227E-417A-B946-625DDC05B5F0}" name="Revenue" dataDxfId="31" dataCellStyle="Comma"/>
  </tableColumns>
  <tableStyleInfo name="TableStyleMedium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CDB0BD-8DF1-4FBE-9856-BCC3EC197ABC}" name="Table54" displayName="Table54" ref="G3:I9" totalsRowShown="0" headerRowDxfId="30" dataDxfId="29">
  <autoFilter ref="G3:I9" xr:uid="{FFCDB0BD-8DF1-4FBE-9856-BCC3EC197ABC}">
    <filterColumn colId="0" hiddenButton="1"/>
    <filterColumn colId="1" hiddenButton="1"/>
    <filterColumn colId="2" hiddenButton="1"/>
  </autoFilter>
  <tableColumns count="3">
    <tableColumn id="1" xr3:uid="{914E566A-CA27-4967-903F-A2C8D6861DDE}" name="Metrics" dataDxfId="28"/>
    <tableColumn id="2" xr3:uid="{9249418C-3AF7-4EC6-A712-352D89E64C37}" name="JSW Steel" dataDxfId="27" dataCellStyle="Comma"/>
    <tableColumn id="3" xr3:uid="{2F008A87-E088-44C5-A5A1-23DFBD6BDE70}" name="TATA Steel" dataDxfId="26" dataCellStyle="Comma"/>
  </tableColumns>
  <tableStyleInfo name="TableStyleMedium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CA6BBF4-29EC-43A3-BFE7-BE58013D6E61}" name="Table5457" displayName="Table5457" ref="G11:I17" totalsRowShown="0" headerRowDxfId="25" dataDxfId="24">
  <autoFilter ref="G11:I17" xr:uid="{9CA6BBF4-29EC-43A3-BFE7-BE58013D6E61}">
    <filterColumn colId="0" hiddenButton="1"/>
    <filterColumn colId="1" hiddenButton="1"/>
    <filterColumn colId="2" hiddenButton="1"/>
  </autoFilter>
  <tableColumns count="3">
    <tableColumn id="1" xr3:uid="{216006DD-91FF-426E-9503-4BAD6799A0AD}" name="Metrics" dataDxfId="23"/>
    <tableColumn id="2" xr3:uid="{E9426DAA-AE31-4290-9C30-84A6DEE3BCBE}" name="JSW Steel" dataDxfId="22" dataCellStyle="Comma"/>
    <tableColumn id="3" xr3:uid="{DD6E07E2-5EA7-4F63-AB69-5A246CF9E224}" name="TATA Steel" dataDxfId="21" dataCellStyle="Comma"/>
  </tableColumns>
  <tableStyleInfo name="TableStyleMedium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8750F4B-B4BE-402E-91D8-48EAB37BAA65}" name="Table545759" displayName="Table545759" ref="G19:I24" totalsRowShown="0" headerRowDxfId="20" dataDxfId="19">
  <autoFilter ref="G19:I24" xr:uid="{D8750F4B-B4BE-402E-91D8-48EAB37BAA65}">
    <filterColumn colId="0" hiddenButton="1"/>
    <filterColumn colId="1" hiddenButton="1"/>
    <filterColumn colId="2" hiddenButton="1"/>
  </autoFilter>
  <tableColumns count="3">
    <tableColumn id="1" xr3:uid="{807A81B8-C29D-432B-80A6-F394FA824668}" name="Metrics" dataDxfId="18"/>
    <tableColumn id="2" xr3:uid="{061275B7-EF46-450A-8D84-0C524063F1E8}" name="JSW Steel" dataDxfId="17" dataCellStyle="Percent"/>
    <tableColumn id="3" xr3:uid="{AF879AC1-AC3E-44C1-ABF5-6B4342E7BB87}" name="TATA Steel" dataDxfId="16" dataCellStyle="Percent"/>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6" Type="http://schemas.openxmlformats.org/officeDocument/2006/relationships/table" Target="../tables/table19.xml"/><Relationship Id="rId5" Type="http://schemas.openxmlformats.org/officeDocument/2006/relationships/table" Target="../tables/table18.xml"/><Relationship Id="rId4" Type="http://schemas.openxmlformats.org/officeDocument/2006/relationships/table" Target="../tables/table1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table" Target="../tables/table35.xml"/><Relationship Id="rId7" Type="http://schemas.openxmlformats.org/officeDocument/2006/relationships/table" Target="../tables/table39.xml"/><Relationship Id="rId12" Type="http://schemas.openxmlformats.org/officeDocument/2006/relationships/table" Target="../tables/table44.xml"/><Relationship Id="rId2" Type="http://schemas.openxmlformats.org/officeDocument/2006/relationships/table" Target="../tables/table34.xml"/><Relationship Id="rId1" Type="http://schemas.openxmlformats.org/officeDocument/2006/relationships/table" Target="../tables/table33.xml"/><Relationship Id="rId6" Type="http://schemas.openxmlformats.org/officeDocument/2006/relationships/table" Target="../tables/table38.xml"/><Relationship Id="rId11" Type="http://schemas.openxmlformats.org/officeDocument/2006/relationships/table" Target="../tables/table43.xml"/><Relationship Id="rId5" Type="http://schemas.openxmlformats.org/officeDocument/2006/relationships/table" Target="../tables/table37.xml"/><Relationship Id="rId10" Type="http://schemas.openxmlformats.org/officeDocument/2006/relationships/table" Target="../tables/table42.xml"/><Relationship Id="rId4" Type="http://schemas.openxmlformats.org/officeDocument/2006/relationships/table" Target="../tables/table36.xml"/><Relationship Id="rId9" Type="http://schemas.openxmlformats.org/officeDocument/2006/relationships/table" Target="../tables/table4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table" Target="../tables/table45.xml"/><Relationship Id="rId5" Type="http://schemas.openxmlformats.org/officeDocument/2006/relationships/table" Target="../tables/table49.xml"/><Relationship Id="rId4" Type="http://schemas.openxmlformats.org/officeDocument/2006/relationships/table" Target="../tables/table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4"/>
  <sheetViews>
    <sheetView showGridLines="0" topLeftCell="E3" zoomScale="90" zoomScaleNormal="90" workbookViewId="0">
      <selection activeCell="H8" sqref="H8"/>
    </sheetView>
  </sheetViews>
  <sheetFormatPr defaultRowHeight="14.4" x14ac:dyDescent="0.3"/>
  <cols>
    <col min="1" max="1" width="17.33203125" style="1" bestFit="1" customWidth="1"/>
    <col min="2" max="6" width="23.77734375" style="14" customWidth="1"/>
    <col min="7" max="7" width="20.77734375" style="14" customWidth="1"/>
    <col min="8" max="16384" width="8.88671875" style="1"/>
  </cols>
  <sheetData>
    <row r="1" spans="1:8" ht="31.2" x14ac:dyDescent="0.3">
      <c r="A1" s="52" t="s">
        <v>0</v>
      </c>
      <c r="B1" s="52"/>
      <c r="C1" s="52"/>
      <c r="D1" s="52"/>
      <c r="E1" s="52"/>
      <c r="F1" s="52"/>
      <c r="G1" s="52"/>
      <c r="H1" s="53"/>
    </row>
    <row r="3" spans="1:8" ht="51" customHeight="1" x14ac:dyDescent="0.3">
      <c r="A3" s="4" t="s">
        <v>1</v>
      </c>
      <c r="B3" s="15" t="e" vm="1">
        <v>#VALUE!</v>
      </c>
      <c r="C3" s="15" t="e" vm="2">
        <v>#VALUE!</v>
      </c>
      <c r="D3" s="15" t="e" vm="3">
        <v>#VALUE!</v>
      </c>
      <c r="E3" s="15" t="e" vm="4">
        <v>#VALUE!</v>
      </c>
      <c r="F3" s="20" t="e" vm="5">
        <v>#VALUE!</v>
      </c>
      <c r="G3" s="21" t="e" vm="6">
        <v>#VALUE!</v>
      </c>
    </row>
    <row r="4" spans="1:8" s="6" customFormat="1" ht="43.2" x14ac:dyDescent="0.3">
      <c r="A4" s="5" t="s">
        <v>8</v>
      </c>
      <c r="B4" s="7" t="e" vm="7">
        <v>#VALUE!</v>
      </c>
      <c r="C4" s="7" t="e" vm="8">
        <v>#VALUE!</v>
      </c>
      <c r="D4" s="7" t="e" vm="9">
        <v>#VALUE!</v>
      </c>
      <c r="E4" s="7" t="e" vm="10">
        <v>#VALUE!</v>
      </c>
      <c r="F4" s="8" t="e" vm="11">
        <v>#VALUE!</v>
      </c>
      <c r="G4" s="22" t="e" vm="12">
        <v>#VALUE!</v>
      </c>
    </row>
    <row r="5" spans="1:8" s="6" customFormat="1" ht="28.8" x14ac:dyDescent="0.3">
      <c r="A5" s="5" t="s">
        <v>2</v>
      </c>
      <c r="B5" s="7" t="str" cm="1">
        <f t="array" aca="1" ref="B5" ca="1">_FV(B4,"Official name",TRUE)</f>
        <v>COAL INDIA LTD</v>
      </c>
      <c r="C5" s="7" t="str" cm="1">
        <f t="array" aca="1" ref="C5" ca="1">_FV(C4,"Official name",TRUE)</f>
        <v>HINDUSTAN ZINC LIMITED</v>
      </c>
      <c r="D5" s="7" t="str" cm="1">
        <f t="array" aca="1" ref="D5" ca="1">_FV(D4,"Official name",TRUE)</f>
        <v>JSW Steel Limited</v>
      </c>
      <c r="E5" s="7" t="str" cm="1">
        <f t="array" aca="1" ref="E5" ca="1">_FV(E4,"Official name",TRUE)</f>
        <v>TATA STEEL LIMITED</v>
      </c>
      <c r="F5" s="7" t="str" cm="1">
        <f t="array" aca="1" ref="F5" ca="1">_FV(F4,"Official name",TRUE)</f>
        <v>STEEL AUTHORITY OF INDIA LIMITED</v>
      </c>
      <c r="G5" s="23" t="str" cm="1">
        <f t="array" aca="1" ref="G5" ca="1">_FV(G4,"Official name",TRUE)</f>
        <v>NMDC LIMITED</v>
      </c>
    </row>
    <row r="6" spans="1:8" s="6" customFormat="1" x14ac:dyDescent="0.3">
      <c r="A6" s="5" t="s">
        <v>282</v>
      </c>
      <c r="B6" s="7" t="str" cm="1">
        <f t="array" aca="1" ref="B6" ca="1">_FV(B4,"Industry")</f>
        <v>Coal</v>
      </c>
      <c r="C6" s="7" t="str" cm="1">
        <f t="array" aca="1" ref="C6" ca="1">_FV(C4,"Industry")</f>
        <v>Metals &amp; Mining</v>
      </c>
      <c r="D6" s="7" t="str" cm="1">
        <f t="array" aca="1" ref="D6" ca="1">_FV(D4,"Industry")</f>
        <v>Metals &amp; Mining</v>
      </c>
      <c r="E6" s="7" t="str" cm="1">
        <f t="array" aca="1" ref="E6" ca="1">_FV(E4,"Industry")</f>
        <v>Metals &amp; Mining</v>
      </c>
      <c r="F6" s="7" t="str" cm="1">
        <f t="array" aca="1" ref="F6" ca="1">_FV(F4,"Industry")</f>
        <v>Metals &amp; Mining</v>
      </c>
      <c r="G6" s="7" t="str" cm="1">
        <f t="array" aca="1" ref="G6" ca="1">_FV(G4,"Industry")</f>
        <v>Metals &amp; Mining</v>
      </c>
    </row>
    <row r="7" spans="1:8" x14ac:dyDescent="0.3">
      <c r="A7" s="2" t="s">
        <v>3</v>
      </c>
      <c r="B7" s="9" cm="1">
        <f t="array" aca="1" ref="B7" ca="1">_FV(B4,"Price")</f>
        <v>381.3</v>
      </c>
      <c r="C7" s="9" cm="1">
        <f t="array" aca="1" ref="C7" ca="1">_FV(C4,"Price")</f>
        <v>484.65</v>
      </c>
      <c r="D7" s="9" cm="1">
        <f t="array" aca="1" ref="D7" ca="1">_FV(D4,"Price")</f>
        <v>1179.3</v>
      </c>
      <c r="E7" s="9" cm="1">
        <f t="array" aca="1" ref="E7" ca="1">_FV(E4,"Price")</f>
        <v>181.48</v>
      </c>
      <c r="F7" s="9" cm="1">
        <f t="array" aca="1" ref="F7" ca="1">_FV(F4,"Price")</f>
        <v>144.34</v>
      </c>
      <c r="G7" s="9" cm="1">
        <f t="array" aca="1" ref="G7" ca="1">_FV(G4,"Price")</f>
        <v>75.08</v>
      </c>
    </row>
    <row r="8" spans="1:8" x14ac:dyDescent="0.3">
      <c r="A8" s="2" t="s">
        <v>4</v>
      </c>
      <c r="B8" s="10" cm="1">
        <f t="array" aca="1" ref="B8" ca="1">_FV(B4,"Change (%)",TRUE)</f>
        <v>1.3691E-2</v>
      </c>
      <c r="C8" s="10" cm="1">
        <f t="array" aca="1" ref="C8" ca="1">_FV(C4,"Change (%)",TRUE)</f>
        <v>2.1283E-2</v>
      </c>
      <c r="D8" s="10" cm="1">
        <f t="array" aca="1" ref="D8" ca="1">_FV(D4,"Change (%)",TRUE)</f>
        <v>6.4859999999999996E-3</v>
      </c>
      <c r="E8" s="10" cm="1">
        <f t="array" aca="1" ref="E8" ca="1">_FV(E4,"Change (%)",TRUE)</f>
        <v>6.0650000000000005E-4</v>
      </c>
      <c r="F8" s="10" cm="1">
        <f t="array" aca="1" ref="F8" ca="1">_FV(F4,"Change (%)",TRUE)</f>
        <v>2.3687999999999997E-2</v>
      </c>
      <c r="G8" s="10" cm="1">
        <f t="array" aca="1" ref="G8" ca="1">_FV(G4,"Change (%)",TRUE)</f>
        <v>1.1314999999999999E-2</v>
      </c>
    </row>
    <row r="9" spans="1:8" x14ac:dyDescent="0.3">
      <c r="A9" s="2" t="s">
        <v>5</v>
      </c>
      <c r="B9" s="11" cm="1">
        <f t="array" aca="1" ref="B9" ca="1">_FV(B4,"Shares outstanding",TRUE)</f>
        <v>6162729000</v>
      </c>
      <c r="C9" s="11" cm="1">
        <f t="array" aca="1" ref="C9" ca="1">_FV(C4,"Shares outstanding",TRUE)</f>
        <v>4225319000</v>
      </c>
      <c r="D9" s="11" cm="1">
        <f t="array" aca="1" ref="D9" ca="1">_FV(D4,"Shares outstanding",TRUE)</f>
        <v>2442547000</v>
      </c>
      <c r="E9" s="11" cm="1">
        <f t="array" aca="1" ref="E9" ca="1">_FV(E4,"Shares outstanding",TRUE)</f>
        <v>12485450000</v>
      </c>
      <c r="F9" s="11" cm="1">
        <f t="array" aca="1" ref="F9" ca="1">_FV(F4,"Shares outstanding",TRUE)</f>
        <v>4130525000</v>
      </c>
      <c r="G9" s="11" cm="1">
        <f t="array" aca="1" ref="G9" ca="1">_FV(G4,"Shares outstanding",TRUE)</f>
        <v>8791817000</v>
      </c>
    </row>
    <row r="10" spans="1:8" x14ac:dyDescent="0.3">
      <c r="A10" s="2" t="s">
        <v>10</v>
      </c>
      <c r="B10" s="11">
        <f ca="1">B9/10000000</f>
        <v>616.27290000000005</v>
      </c>
      <c r="C10" s="11">
        <f t="shared" ref="C10:G10" ca="1" si="0">C9/10000000</f>
        <v>422.53190000000001</v>
      </c>
      <c r="D10" s="11">
        <f t="shared" ca="1" si="0"/>
        <v>244.25470000000001</v>
      </c>
      <c r="E10" s="11">
        <f t="shared" ca="1" si="0"/>
        <v>1248.5450000000001</v>
      </c>
      <c r="F10" s="11">
        <f t="shared" ca="1" si="0"/>
        <v>413.05250000000001</v>
      </c>
      <c r="G10" s="11">
        <f t="shared" ca="1" si="0"/>
        <v>879.18169999999998</v>
      </c>
    </row>
    <row r="11" spans="1:8" x14ac:dyDescent="0.3">
      <c r="A11" s="2" t="s">
        <v>6</v>
      </c>
      <c r="B11" s="11" cm="1">
        <f t="array" aca="1" ref="B11" ca="1">_FV(B4,"Market cap",TRUE)</f>
        <v>2317186000000</v>
      </c>
      <c r="C11" s="11" cm="1">
        <f t="array" aca="1" ref="C11" ca="1">_FV(C4,"Market cap",TRUE)</f>
        <v>2004914000000</v>
      </c>
      <c r="D11" s="11" cm="1">
        <f t="array" aca="1" ref="D11" ca="1">_FV(D4,"Market cap",TRUE)</f>
        <v>2861933000000</v>
      </c>
      <c r="E11" s="11" cm="1">
        <f t="array" aca="1" ref="E11" ca="1">_FV(E4,"Market cap",TRUE)</f>
        <v>2264138000000</v>
      </c>
      <c r="F11" s="11" cm="1">
        <f t="array" aca="1" ref="F11" ca="1">_FV(F4,"Market cap",TRUE)</f>
        <v>582404100000</v>
      </c>
      <c r="G11" s="11" cm="1">
        <f t="array" aca="1" ref="G11" ca="1">_FV(G4,"Market cap",TRUE)</f>
        <v>652704600000</v>
      </c>
    </row>
    <row r="12" spans="1:8" x14ac:dyDescent="0.3">
      <c r="A12" s="3" t="s">
        <v>11</v>
      </c>
      <c r="B12" s="12">
        <f ca="1">B11/10000000</f>
        <v>231718.6</v>
      </c>
      <c r="C12" s="12">
        <f t="shared" ref="C12:G12" ca="1" si="1">C11/10000000</f>
        <v>200491.4</v>
      </c>
      <c r="D12" s="12">
        <f t="shared" ca="1" si="1"/>
        <v>286193.3</v>
      </c>
      <c r="E12" s="12">
        <f t="shared" ca="1" si="1"/>
        <v>226413.8</v>
      </c>
      <c r="F12" s="12">
        <f t="shared" ca="1" si="1"/>
        <v>58240.41</v>
      </c>
      <c r="G12" s="12">
        <f t="shared" ca="1" si="1"/>
        <v>65270.46</v>
      </c>
    </row>
    <row r="13" spans="1:8" x14ac:dyDescent="0.3">
      <c r="A13" s="3" t="s">
        <v>7</v>
      </c>
      <c r="B13" s="12" cm="1">
        <f t="array" aca="1" ref="B13" ca="1">_FV(B4,"Beta")</f>
        <v>1.0568</v>
      </c>
      <c r="C13" s="12" cm="1">
        <f t="array" aca="1" ref="C13" ca="1">_FV(C4,"Beta")</f>
        <v>0.4783</v>
      </c>
      <c r="D13" s="12" cm="1">
        <f t="array" aca="1" ref="D13" ca="1">_FV(D4,"Beta")</f>
        <v>0.83709999999999996</v>
      </c>
      <c r="E13" s="12" cm="1">
        <f t="array" aca="1" ref="E13" ca="1">_FV(E4,"Beta")</f>
        <v>1.2322</v>
      </c>
      <c r="F13" s="12" cm="1">
        <f t="array" aca="1" ref="F13" ca="1">_FV(F4,"Beta")</f>
        <v>1.7377</v>
      </c>
      <c r="G13" s="12" cm="1">
        <f t="array" aca="1" ref="G13" ca="1">_FV(G4,"Beta")</f>
        <v>1.0063</v>
      </c>
    </row>
    <row r="14" spans="1:8" x14ac:dyDescent="0.3">
      <c r="A14" s="3" t="s">
        <v>9</v>
      </c>
      <c r="B14" s="13" cm="1">
        <f t="array" aca="1" ref="B14" ca="1">_FV(B4,"Year incorporated",TRUE)</f>
        <v>1973</v>
      </c>
      <c r="C14" s="13" cm="1">
        <f t="array" aca="1" ref="C14" ca="1">_FV(C4,"Year incorporated",TRUE)</f>
        <v>1966</v>
      </c>
      <c r="D14" s="13" cm="1">
        <f t="array" aca="1" ref="D14" ca="1">_FV(D4,"Year incorporated",TRUE)</f>
        <v>1994</v>
      </c>
      <c r="E14" s="13" cm="1">
        <f t="array" aca="1" ref="E14" ca="1">_FV(E4,"Year incorporated",TRUE)</f>
        <v>1907</v>
      </c>
      <c r="F14" s="13" cm="1">
        <f t="array" aca="1" ref="F14" ca="1">_FV(F4,"Year incorporated",TRUE)</f>
        <v>1973</v>
      </c>
      <c r="G14" s="13" cm="1">
        <f t="array" aca="1" ref="G14" ca="1">_FV(G4,"Year incorporated",TRUE)</f>
        <v>1958</v>
      </c>
    </row>
  </sheetData>
  <conditionalFormatting sqref="B8:G8">
    <cfRule type="cellIs" dxfId="15" priority="1" operator="lessThan">
      <formula>0</formula>
    </cfRule>
    <cfRule type="cellIs" dxfId="14" priority="2" operator="greater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8861-200F-431C-A0CD-5CAF52EB07A6}">
  <sheetPr>
    <tabColor rgb="FFFF0000"/>
  </sheetPr>
  <dimension ref="A1:AU74"/>
  <sheetViews>
    <sheetView showGridLines="0" topLeftCell="AO23" workbookViewId="0">
      <selection activeCell="B2" sqref="B2"/>
    </sheetView>
  </sheetViews>
  <sheetFormatPr defaultRowHeight="14.4" x14ac:dyDescent="0.3"/>
  <cols>
    <col min="1" max="1" width="45.21875" style="1" bestFit="1" customWidth="1"/>
    <col min="2" max="7" width="11" style="14" bestFit="1" customWidth="1"/>
    <col min="8" max="8" width="8.88671875" style="1"/>
    <col min="9" max="9" width="52.88671875" style="1" bestFit="1" customWidth="1"/>
    <col min="10" max="15" width="9.88671875" style="14" bestFit="1" customWidth="1"/>
    <col min="16" max="16" width="8.88671875" style="1"/>
    <col min="17" max="17" width="45.21875" style="1" bestFit="1" customWidth="1"/>
    <col min="18" max="21" width="11" style="14" bestFit="1" customWidth="1"/>
    <col min="22" max="23" width="10.88671875" style="14" bestFit="1" customWidth="1"/>
    <col min="24" max="24" width="8.88671875" style="1"/>
    <col min="25" max="25" width="45.21875" style="1" bestFit="1" customWidth="1"/>
    <col min="26" max="31" width="10.88671875" style="14" bestFit="1" customWidth="1"/>
    <col min="32" max="32" width="8.88671875" style="1"/>
    <col min="33" max="33" width="45.21875" style="1" bestFit="1" customWidth="1"/>
    <col min="34" max="39" width="11" style="14" bestFit="1" customWidth="1"/>
    <col min="40" max="40" width="8.88671875" style="1"/>
    <col min="41" max="41" width="45.21875" style="1" bestFit="1" customWidth="1"/>
    <col min="42" max="43" width="9.88671875" style="1" bestFit="1" customWidth="1"/>
    <col min="44" max="47" width="10" style="1" bestFit="1" customWidth="1"/>
    <col min="48" max="16384" width="8.88671875" style="1"/>
  </cols>
  <sheetData>
    <row r="1" spans="1:47" ht="25.8" x14ac:dyDescent="0.3">
      <c r="A1" s="16" t="s">
        <v>12</v>
      </c>
    </row>
    <row r="2" spans="1:47" ht="25.8" x14ac:dyDescent="0.3">
      <c r="A2" s="24"/>
    </row>
    <row r="3" spans="1:47" ht="45.6" customHeight="1" x14ac:dyDescent="0.3">
      <c r="A3" s="141" t="e" vm="1">
        <v>#VALUE!</v>
      </c>
      <c r="B3" s="142"/>
      <c r="C3" s="142"/>
      <c r="D3" s="142"/>
      <c r="E3" s="142"/>
      <c r="F3" s="142"/>
      <c r="G3" s="143"/>
      <c r="I3" s="141" t="e" vm="2">
        <v>#VALUE!</v>
      </c>
      <c r="J3" s="142"/>
      <c r="K3" s="142"/>
      <c r="L3" s="142"/>
      <c r="M3" s="142"/>
      <c r="N3" s="142"/>
      <c r="O3" s="143"/>
      <c r="Q3" s="138" t="e" vm="3">
        <v>#VALUE!</v>
      </c>
      <c r="R3" s="139"/>
      <c r="S3" s="139"/>
      <c r="T3" s="139"/>
      <c r="U3" s="139"/>
      <c r="V3" s="139"/>
      <c r="W3" s="140"/>
      <c r="Y3" s="138" t="e" vm="4">
        <v>#VALUE!</v>
      </c>
      <c r="Z3" s="139"/>
      <c r="AA3" s="139"/>
      <c r="AB3" s="139"/>
      <c r="AC3" s="139"/>
      <c r="AD3" s="139"/>
      <c r="AE3" s="140"/>
      <c r="AG3" s="138" t="e" vm="5">
        <v>#VALUE!</v>
      </c>
      <c r="AH3" s="139"/>
      <c r="AI3" s="139"/>
      <c r="AJ3" s="139"/>
      <c r="AK3" s="139"/>
      <c r="AL3" s="139"/>
      <c r="AM3" s="140"/>
      <c r="AO3" s="138" t="e" vm="6">
        <v>#VALUE!</v>
      </c>
      <c r="AP3" s="139"/>
      <c r="AQ3" s="139"/>
      <c r="AR3" s="139"/>
      <c r="AS3" s="139"/>
      <c r="AT3" s="139"/>
      <c r="AU3" s="140"/>
    </row>
    <row r="4" spans="1:47" x14ac:dyDescent="0.3">
      <c r="A4" s="1" t="s">
        <v>13</v>
      </c>
      <c r="B4" s="14" t="s">
        <v>26</v>
      </c>
      <c r="C4" s="14" t="s">
        <v>27</v>
      </c>
      <c r="D4" s="14" t="s">
        <v>28</v>
      </c>
      <c r="E4" s="14" t="s">
        <v>29</v>
      </c>
      <c r="F4" s="14" t="s">
        <v>30</v>
      </c>
      <c r="G4" s="14" t="s">
        <v>31</v>
      </c>
      <c r="I4" s="25" t="s">
        <v>13</v>
      </c>
      <c r="J4" s="14" t="s">
        <v>26</v>
      </c>
      <c r="K4" s="14" t="s">
        <v>27</v>
      </c>
      <c r="L4" s="14" t="s">
        <v>28</v>
      </c>
      <c r="M4" s="14" t="s">
        <v>29</v>
      </c>
      <c r="N4" s="14" t="s">
        <v>30</v>
      </c>
      <c r="O4" s="30" t="s">
        <v>31</v>
      </c>
      <c r="Q4" s="25" t="s">
        <v>13</v>
      </c>
      <c r="R4" s="14" t="s">
        <v>26</v>
      </c>
      <c r="S4" s="14" t="s">
        <v>27</v>
      </c>
      <c r="T4" s="14" t="s">
        <v>28</v>
      </c>
      <c r="U4" s="14" t="s">
        <v>29</v>
      </c>
      <c r="V4" s="14" t="s">
        <v>30</v>
      </c>
      <c r="W4" s="30" t="s">
        <v>31</v>
      </c>
      <c r="Y4" s="25" t="s">
        <v>13</v>
      </c>
      <c r="Z4" s="14" t="s">
        <v>26</v>
      </c>
      <c r="AA4" s="14" t="s">
        <v>27</v>
      </c>
      <c r="AB4" s="14" t="s">
        <v>28</v>
      </c>
      <c r="AC4" s="14" t="s">
        <v>29</v>
      </c>
      <c r="AD4" s="14" t="s">
        <v>30</v>
      </c>
      <c r="AE4" s="30" t="s">
        <v>31</v>
      </c>
      <c r="AG4" s="25" t="s">
        <v>13</v>
      </c>
      <c r="AH4" s="14" t="s">
        <v>26</v>
      </c>
      <c r="AI4" s="14" t="s">
        <v>27</v>
      </c>
      <c r="AJ4" s="14" t="s">
        <v>28</v>
      </c>
      <c r="AK4" s="14" t="s">
        <v>29</v>
      </c>
      <c r="AL4" s="14" t="s">
        <v>30</v>
      </c>
      <c r="AM4" s="30" t="s">
        <v>31</v>
      </c>
      <c r="AO4" s="25" t="s">
        <v>13</v>
      </c>
      <c r="AP4" s="14" t="s">
        <v>26</v>
      </c>
      <c r="AQ4" s="14" t="s">
        <v>27</v>
      </c>
      <c r="AR4" s="14" t="s">
        <v>28</v>
      </c>
      <c r="AS4" s="14" t="s">
        <v>29</v>
      </c>
      <c r="AT4" s="14" t="s">
        <v>30</v>
      </c>
      <c r="AU4" s="30" t="s">
        <v>31</v>
      </c>
    </row>
    <row r="5" spans="1:47" x14ac:dyDescent="0.3">
      <c r="A5" s="17" t="s">
        <v>14</v>
      </c>
      <c r="B5" s="18"/>
      <c r="C5" s="18"/>
      <c r="D5" s="18"/>
      <c r="E5" s="18"/>
      <c r="F5" s="18"/>
      <c r="G5" s="18"/>
      <c r="I5" s="26" t="s">
        <v>14</v>
      </c>
      <c r="J5" s="18"/>
      <c r="K5" s="18"/>
      <c r="L5" s="18"/>
      <c r="M5" s="18"/>
      <c r="N5" s="18"/>
      <c r="O5" s="31"/>
      <c r="Q5" s="26" t="s">
        <v>72</v>
      </c>
      <c r="R5" s="18"/>
      <c r="S5" s="18"/>
      <c r="T5" s="18"/>
      <c r="U5" s="18"/>
      <c r="V5" s="18"/>
      <c r="W5" s="31"/>
      <c r="Y5" s="26" t="s">
        <v>14</v>
      </c>
      <c r="Z5" s="18"/>
      <c r="AA5" s="18"/>
      <c r="AB5" s="18"/>
      <c r="AC5" s="18"/>
      <c r="AD5" s="18"/>
      <c r="AE5" s="31"/>
      <c r="AG5" s="17" t="s">
        <v>14</v>
      </c>
      <c r="AH5" s="18"/>
      <c r="AI5" s="18"/>
      <c r="AJ5" s="18"/>
      <c r="AK5" s="18"/>
      <c r="AL5" s="18"/>
      <c r="AM5" s="18"/>
      <c r="AO5" s="26" t="s">
        <v>14</v>
      </c>
      <c r="AP5" s="17"/>
      <c r="AQ5" s="17"/>
      <c r="AR5" s="17"/>
      <c r="AS5" s="17"/>
      <c r="AT5" s="17"/>
      <c r="AU5" s="27"/>
    </row>
    <row r="6" spans="1:47" x14ac:dyDescent="0.3">
      <c r="A6" s="1" t="s">
        <v>15</v>
      </c>
      <c r="B6" s="32">
        <v>32302.35</v>
      </c>
      <c r="C6" s="32">
        <v>37753.65</v>
      </c>
      <c r="D6" s="32">
        <v>42697.79</v>
      </c>
      <c r="E6" s="32">
        <v>44447.97</v>
      </c>
      <c r="F6" s="32">
        <v>67900.41</v>
      </c>
      <c r="G6" s="32">
        <v>76639.850000000006</v>
      </c>
      <c r="I6" s="25" t="s">
        <v>15</v>
      </c>
      <c r="J6" s="32">
        <v>16217</v>
      </c>
      <c r="K6" s="32">
        <v>16447</v>
      </c>
      <c r="L6" s="32">
        <v>17165</v>
      </c>
      <c r="M6" s="32">
        <v>17530</v>
      </c>
      <c r="N6" s="32">
        <v>17971</v>
      </c>
      <c r="O6" s="35">
        <v>18485</v>
      </c>
      <c r="Q6" s="25" t="s">
        <v>15</v>
      </c>
      <c r="R6" s="40">
        <v>57625</v>
      </c>
      <c r="S6" s="40">
        <v>58857</v>
      </c>
      <c r="T6" s="40">
        <v>92952</v>
      </c>
      <c r="U6" s="40">
        <v>97699</v>
      </c>
      <c r="V6" s="40">
        <v>105123</v>
      </c>
      <c r="W6" s="41">
        <v>116814</v>
      </c>
      <c r="Y6" s="25" t="s">
        <v>15</v>
      </c>
      <c r="Z6" s="32">
        <v>119503</v>
      </c>
      <c r="AA6" s="32">
        <v>119003.5</v>
      </c>
      <c r="AB6" s="32">
        <v>116166.46</v>
      </c>
      <c r="AC6" s="32">
        <v>118696.74</v>
      </c>
      <c r="AD6" s="32">
        <v>123538.14</v>
      </c>
      <c r="AE6" s="35">
        <v>125215.17</v>
      </c>
      <c r="AG6" s="1" t="s">
        <v>15</v>
      </c>
      <c r="AH6" s="44">
        <v>65384.47</v>
      </c>
      <c r="AI6" s="44">
        <v>64133.48</v>
      </c>
      <c r="AJ6" s="44">
        <v>68382.92</v>
      </c>
      <c r="AK6" s="44">
        <v>67110.710000000006</v>
      </c>
      <c r="AL6" s="44">
        <v>65415.07</v>
      </c>
      <c r="AM6" s="44">
        <v>65061.37</v>
      </c>
      <c r="AO6" s="25" t="s">
        <v>15</v>
      </c>
      <c r="AP6" s="47">
        <v>3253.87</v>
      </c>
      <c r="AQ6" s="47">
        <v>3313.92</v>
      </c>
      <c r="AR6" s="47">
        <v>3024.61</v>
      </c>
      <c r="AS6" s="47">
        <v>2381.31</v>
      </c>
      <c r="AT6" s="47">
        <v>2477.88</v>
      </c>
      <c r="AU6" s="48">
        <v>2634.35</v>
      </c>
    </row>
    <row r="7" spans="1:47" x14ac:dyDescent="0.3">
      <c r="A7" s="1" t="s">
        <v>16</v>
      </c>
      <c r="B7" s="32">
        <v>8271.09</v>
      </c>
      <c r="C7" s="32">
        <v>10403.66</v>
      </c>
      <c r="D7" s="32">
        <v>12713.73</v>
      </c>
      <c r="E7" s="32">
        <v>15262.62</v>
      </c>
      <c r="F7" s="32">
        <v>14738.66</v>
      </c>
      <c r="G7" s="32">
        <v>15888.64</v>
      </c>
      <c r="I7" s="25" t="s">
        <v>16</v>
      </c>
      <c r="J7" s="32">
        <v>2489</v>
      </c>
      <c r="K7" s="32">
        <v>1922</v>
      </c>
      <c r="L7" s="32">
        <v>2075</v>
      </c>
      <c r="M7" s="32">
        <v>2237</v>
      </c>
      <c r="N7" s="32">
        <v>1696</v>
      </c>
      <c r="O7" s="35">
        <v>2606</v>
      </c>
      <c r="Q7" s="25" t="s">
        <v>16</v>
      </c>
      <c r="R7" s="40">
        <v>26857</v>
      </c>
      <c r="S7" s="40">
        <v>32433</v>
      </c>
      <c r="T7" s="40">
        <v>16756</v>
      </c>
      <c r="U7" s="40">
        <v>21921</v>
      </c>
      <c r="V7" s="40">
        <v>29216</v>
      </c>
      <c r="W7" s="41">
        <v>20478</v>
      </c>
      <c r="Y7" s="25" t="s">
        <v>16</v>
      </c>
      <c r="Z7" s="32">
        <v>18862.060000000001</v>
      </c>
      <c r="AA7" s="32">
        <v>18128.740000000002</v>
      </c>
      <c r="AB7" s="32">
        <v>21227.62</v>
      </c>
      <c r="AC7" s="32">
        <v>30307.9</v>
      </c>
      <c r="AD7" s="32">
        <v>33370.19</v>
      </c>
      <c r="AE7" s="35">
        <v>40601.879999999997</v>
      </c>
      <c r="AG7" s="1" t="s">
        <v>16</v>
      </c>
      <c r="AH7" s="44">
        <v>8753.33</v>
      </c>
      <c r="AI7" s="44">
        <v>8880.6299999999992</v>
      </c>
      <c r="AJ7" s="44">
        <v>4709.95</v>
      </c>
      <c r="AK7" s="44">
        <v>4891.3599999999997</v>
      </c>
      <c r="AL7" s="44">
        <v>6140.57</v>
      </c>
      <c r="AM7" s="44">
        <v>7206.21</v>
      </c>
      <c r="AO7" s="25" t="s">
        <v>74</v>
      </c>
      <c r="AP7" s="47">
        <v>7.08</v>
      </c>
      <c r="AQ7" s="47">
        <v>7.02</v>
      </c>
      <c r="AR7" s="47">
        <v>8.27</v>
      </c>
      <c r="AS7" s="47">
        <v>7.44</v>
      </c>
      <c r="AT7" s="47">
        <v>42.61</v>
      </c>
      <c r="AU7" s="48">
        <v>1542.95</v>
      </c>
    </row>
    <row r="8" spans="1:47" x14ac:dyDescent="0.3">
      <c r="A8" s="1" t="s">
        <v>17</v>
      </c>
      <c r="B8" s="32">
        <v>4443.12</v>
      </c>
      <c r="C8" s="32">
        <v>4605.8100000000004</v>
      </c>
      <c r="D8" s="32">
        <v>3873.55</v>
      </c>
      <c r="E8" s="32">
        <v>4924.8500000000004</v>
      </c>
      <c r="F8" s="32">
        <v>5049.58</v>
      </c>
      <c r="G8" s="32">
        <v>3645.3</v>
      </c>
      <c r="I8" s="25" t="s">
        <v>18</v>
      </c>
      <c r="J8" s="32">
        <v>252</v>
      </c>
      <c r="K8" s="32">
        <v>361</v>
      </c>
      <c r="L8" s="32">
        <v>231</v>
      </c>
      <c r="M8" s="32">
        <v>92</v>
      </c>
      <c r="N8" s="32">
        <v>109</v>
      </c>
      <c r="O8" s="35">
        <v>65</v>
      </c>
      <c r="Q8" s="25" t="s">
        <v>73</v>
      </c>
      <c r="R8" s="40">
        <v>224</v>
      </c>
      <c r="S8" s="40">
        <v>259</v>
      </c>
      <c r="T8" s="40">
        <v>180</v>
      </c>
      <c r="U8" s="40">
        <v>86</v>
      </c>
      <c r="V8" s="40">
        <v>140</v>
      </c>
      <c r="W8" s="41">
        <v>163</v>
      </c>
      <c r="Y8" s="25" t="s">
        <v>74</v>
      </c>
      <c r="Z8" s="32">
        <v>8549.7800000000007</v>
      </c>
      <c r="AA8" s="32">
        <v>9450.9500000000007</v>
      </c>
      <c r="AB8" s="32">
        <v>8337.7000000000007</v>
      </c>
      <c r="AC8" s="32">
        <v>9222.52</v>
      </c>
      <c r="AD8" s="32">
        <v>7585.89</v>
      </c>
      <c r="AE8" s="35">
        <v>8087.95</v>
      </c>
      <c r="AG8" s="1" t="s">
        <v>74</v>
      </c>
      <c r="AH8" s="44">
        <v>2205.08</v>
      </c>
      <c r="AI8" s="44">
        <v>2054.21</v>
      </c>
      <c r="AJ8" s="44">
        <v>3834.1</v>
      </c>
      <c r="AK8" s="44">
        <v>4910.28</v>
      </c>
      <c r="AL8" s="44">
        <v>5521.19</v>
      </c>
      <c r="AM8" s="44">
        <v>6838.6</v>
      </c>
      <c r="AO8" s="25" t="s">
        <v>16</v>
      </c>
      <c r="AP8" s="47">
        <v>15500.22</v>
      </c>
      <c r="AQ8" s="47">
        <v>17106.509999999998</v>
      </c>
      <c r="AR8" s="47">
        <v>1328.31</v>
      </c>
      <c r="AS8" s="47">
        <v>1991.55</v>
      </c>
      <c r="AT8" s="47">
        <v>3230.51</v>
      </c>
      <c r="AU8" s="48">
        <v>4737.4799999999996</v>
      </c>
    </row>
    <row r="9" spans="1:47" x14ac:dyDescent="0.3">
      <c r="A9" s="1" t="s">
        <v>18</v>
      </c>
      <c r="B9" s="32">
        <v>38.14</v>
      </c>
      <c r="C9" s="32">
        <v>45.76</v>
      </c>
      <c r="D9" s="32">
        <v>105.62</v>
      </c>
      <c r="E9" s="32">
        <v>2588.11</v>
      </c>
      <c r="F9" s="32">
        <v>2718.21</v>
      </c>
      <c r="G9" s="32">
        <v>2579.89</v>
      </c>
      <c r="I9" s="25" t="s">
        <v>21</v>
      </c>
      <c r="J9" s="32">
        <v>13</v>
      </c>
      <c r="K9" s="32">
        <v>12</v>
      </c>
      <c r="L9" s="32">
        <v>0</v>
      </c>
      <c r="M9" s="32">
        <v>257</v>
      </c>
      <c r="N9" s="32">
        <v>71</v>
      </c>
      <c r="O9" s="35">
        <v>58</v>
      </c>
      <c r="Q9" s="25" t="s">
        <v>74</v>
      </c>
      <c r="R9" s="40">
        <v>3471</v>
      </c>
      <c r="S9" s="40">
        <v>3816</v>
      </c>
      <c r="T9" s="40">
        <v>4715</v>
      </c>
      <c r="U9" s="40">
        <v>4699</v>
      </c>
      <c r="V9" s="40">
        <v>4477</v>
      </c>
      <c r="W9" s="41">
        <v>4837</v>
      </c>
      <c r="Y9" s="25" t="s">
        <v>86</v>
      </c>
      <c r="Z9" s="32">
        <v>4054.53</v>
      </c>
      <c r="AA9" s="32">
        <v>4344.6899999999996</v>
      </c>
      <c r="AB9" s="32">
        <v>4311.2</v>
      </c>
      <c r="AC9" s="32">
        <v>5601.65</v>
      </c>
      <c r="AD9" s="32">
        <v>5745.3</v>
      </c>
      <c r="AE9" s="35">
        <v>5958.53</v>
      </c>
      <c r="AG9" s="1" t="s">
        <v>73</v>
      </c>
      <c r="AH9" s="44">
        <v>1.1200000000000001</v>
      </c>
      <c r="AI9" s="44">
        <v>1.0900000000000001</v>
      </c>
      <c r="AJ9" s="44">
        <v>1.06</v>
      </c>
      <c r="AK9" s="44">
        <v>1.03</v>
      </c>
      <c r="AL9" s="44">
        <v>0.99</v>
      </c>
      <c r="AM9" s="44">
        <v>0.96</v>
      </c>
      <c r="AO9" s="25" t="s">
        <v>75</v>
      </c>
      <c r="AP9" s="47">
        <v>93.89</v>
      </c>
      <c r="AQ9" s="47">
        <v>93.89</v>
      </c>
      <c r="AR9" s="47">
        <v>93.89</v>
      </c>
      <c r="AS9" s="47">
        <v>93.89</v>
      </c>
      <c r="AT9" s="47">
        <v>93.89</v>
      </c>
      <c r="AU9" s="47">
        <v>93.89</v>
      </c>
    </row>
    <row r="10" spans="1:47" x14ac:dyDescent="0.3">
      <c r="A10" s="1" t="s">
        <v>19</v>
      </c>
      <c r="B10" s="32">
        <v>57.16</v>
      </c>
      <c r="C10" s="32">
        <v>86.17</v>
      </c>
      <c r="D10" s="32">
        <v>183.41</v>
      </c>
      <c r="E10" s="32">
        <v>2359.35</v>
      </c>
      <c r="F10" s="32">
        <v>4221.6400000000003</v>
      </c>
      <c r="G10" s="32">
        <v>6496.27</v>
      </c>
      <c r="I10" s="25" t="s">
        <v>65</v>
      </c>
      <c r="J10" s="32">
        <v>40</v>
      </c>
      <c r="K10" s="32">
        <v>43</v>
      </c>
      <c r="L10" s="32">
        <v>2</v>
      </c>
      <c r="M10" s="32">
        <v>0</v>
      </c>
      <c r="N10" s="32">
        <v>578</v>
      </c>
      <c r="O10" s="35">
        <v>823</v>
      </c>
      <c r="Q10" s="25" t="s">
        <v>75</v>
      </c>
      <c r="R10" s="40">
        <v>415</v>
      </c>
      <c r="S10" s="40">
        <v>336</v>
      </c>
      <c r="T10" s="40">
        <v>119</v>
      </c>
      <c r="U10" s="40">
        <v>128</v>
      </c>
      <c r="V10" s="40">
        <v>639</v>
      </c>
      <c r="W10" s="41">
        <v>643</v>
      </c>
      <c r="Y10" s="25" t="s">
        <v>76</v>
      </c>
      <c r="Z10" s="32">
        <v>2442.37</v>
      </c>
      <c r="AA10" s="32">
        <v>2976.04</v>
      </c>
      <c r="AB10" s="32">
        <v>4472.47</v>
      </c>
      <c r="AC10" s="32">
        <v>13100.55</v>
      </c>
      <c r="AD10" s="32">
        <v>11945.05</v>
      </c>
      <c r="AE10" s="35">
        <v>11652.41</v>
      </c>
      <c r="AG10" s="1" t="s">
        <v>18</v>
      </c>
      <c r="AH10" s="44">
        <v>1443.61</v>
      </c>
      <c r="AI10" s="44">
        <v>1429.38</v>
      </c>
      <c r="AJ10" s="44">
        <v>1459.41</v>
      </c>
      <c r="AK10" s="44">
        <v>1521.04</v>
      </c>
      <c r="AL10" s="44">
        <v>1488.86</v>
      </c>
      <c r="AM10" s="44">
        <v>1425.71</v>
      </c>
      <c r="AO10" s="25" t="s">
        <v>76</v>
      </c>
      <c r="AP10" s="47">
        <v>454.66</v>
      </c>
      <c r="AQ10" s="47">
        <v>518.57000000000005</v>
      </c>
      <c r="AR10" s="47">
        <v>535.72</v>
      </c>
      <c r="AS10" s="47">
        <v>715.93</v>
      </c>
      <c r="AT10" s="47">
        <v>762.24</v>
      </c>
      <c r="AU10" s="48">
        <v>767.27</v>
      </c>
    </row>
    <row r="11" spans="1:47" x14ac:dyDescent="0.3">
      <c r="A11" s="1" t="s">
        <v>20</v>
      </c>
      <c r="B11" s="32">
        <v>1873.17</v>
      </c>
      <c r="C11" s="32">
        <v>2317.64</v>
      </c>
      <c r="D11" s="32">
        <v>2426.9699999999998</v>
      </c>
      <c r="E11" s="32">
        <v>3085.4</v>
      </c>
      <c r="F11" s="32">
        <v>3859.31</v>
      </c>
      <c r="G11" s="32">
        <v>4416.07</v>
      </c>
      <c r="I11" s="25" t="s">
        <v>23</v>
      </c>
      <c r="J11" s="32">
        <v>1822</v>
      </c>
      <c r="K11" s="32">
        <v>1058</v>
      </c>
      <c r="L11" s="32">
        <v>56</v>
      </c>
      <c r="M11" s="32">
        <v>112</v>
      </c>
      <c r="N11" s="32">
        <v>131</v>
      </c>
      <c r="O11" s="35">
        <v>96</v>
      </c>
      <c r="Q11" s="25" t="s">
        <v>76</v>
      </c>
      <c r="R11" s="40">
        <v>350</v>
      </c>
      <c r="S11" s="40">
        <v>1649</v>
      </c>
      <c r="T11" s="40">
        <v>1914</v>
      </c>
      <c r="U11" s="40">
        <v>1840</v>
      </c>
      <c r="V11" s="40">
        <v>2082</v>
      </c>
      <c r="W11" s="41">
        <v>2009</v>
      </c>
      <c r="Y11" s="25" t="s">
        <v>19</v>
      </c>
      <c r="Z11" s="32">
        <v>634.77</v>
      </c>
      <c r="AA11" s="32">
        <v>878.66</v>
      </c>
      <c r="AB11" s="32">
        <v>817.93</v>
      </c>
      <c r="AC11" s="32">
        <v>905.12</v>
      </c>
      <c r="AD11" s="32">
        <v>985.34</v>
      </c>
      <c r="AE11" s="35">
        <v>1020.47</v>
      </c>
      <c r="AG11" s="1" t="s">
        <v>99</v>
      </c>
      <c r="AH11" s="44">
        <v>3107.27</v>
      </c>
      <c r="AI11" s="44">
        <v>3297.56</v>
      </c>
      <c r="AJ11" s="44">
        <v>3587.35</v>
      </c>
      <c r="AK11" s="44">
        <v>3967.5</v>
      </c>
      <c r="AL11" s="44">
        <v>4278.55</v>
      </c>
      <c r="AM11" s="44">
        <v>4603.25</v>
      </c>
      <c r="AO11" s="25" t="s">
        <v>19</v>
      </c>
      <c r="AP11" s="47">
        <v>29.64</v>
      </c>
      <c r="AQ11" s="47">
        <v>51.42</v>
      </c>
      <c r="AR11" s="47">
        <v>5</v>
      </c>
      <c r="AS11" s="47">
        <v>6.49</v>
      </c>
      <c r="AT11" s="47">
        <v>4.1399999999999997</v>
      </c>
      <c r="AU11" s="48">
        <v>0</v>
      </c>
    </row>
    <row r="12" spans="1:47" x14ac:dyDescent="0.3">
      <c r="A12" s="1" t="s">
        <v>21</v>
      </c>
      <c r="B12" s="32">
        <v>638.59</v>
      </c>
      <c r="C12" s="32">
        <v>136.27000000000001</v>
      </c>
      <c r="D12" s="32">
        <v>355.47</v>
      </c>
      <c r="E12" s="32">
        <v>372.21</v>
      </c>
      <c r="F12" s="32">
        <v>358.71</v>
      </c>
      <c r="G12" s="32">
        <v>389.86</v>
      </c>
      <c r="I12" s="25" t="s">
        <v>24</v>
      </c>
      <c r="J12" s="32">
        <v>480</v>
      </c>
      <c r="K12" s="32">
        <v>431</v>
      </c>
      <c r="L12" s="32">
        <v>275</v>
      </c>
      <c r="M12" s="32">
        <v>290</v>
      </c>
      <c r="N12" s="32">
        <v>145</v>
      </c>
      <c r="O12" s="35">
        <v>140</v>
      </c>
      <c r="Q12" s="25" t="s">
        <v>19</v>
      </c>
      <c r="R12" s="40">
        <v>334</v>
      </c>
      <c r="S12" s="40">
        <v>133</v>
      </c>
      <c r="T12" s="40">
        <v>149</v>
      </c>
      <c r="U12" s="40">
        <v>245</v>
      </c>
      <c r="V12" s="40">
        <v>460</v>
      </c>
      <c r="W12" s="41">
        <v>529</v>
      </c>
      <c r="Y12" s="25" t="s">
        <v>87</v>
      </c>
      <c r="Z12" s="32">
        <v>2168.54</v>
      </c>
      <c r="AA12" s="32">
        <v>2475.66</v>
      </c>
      <c r="AB12" s="32">
        <f>1210+2961.65</f>
        <v>4171.6499999999996</v>
      </c>
      <c r="AC12" s="32">
        <v>3233.33</v>
      </c>
      <c r="AD12" s="32">
        <v>2947.15</v>
      </c>
      <c r="AE12" s="35">
        <v>2970.86</v>
      </c>
      <c r="AG12" s="1" t="s">
        <v>33</v>
      </c>
      <c r="AH12" s="44">
        <v>0</v>
      </c>
      <c r="AI12" s="44">
        <v>4236.26</v>
      </c>
      <c r="AJ12" s="44">
        <v>4598.45</v>
      </c>
      <c r="AK12" s="44">
        <v>4635.29</v>
      </c>
      <c r="AL12" s="44">
        <v>4625.29</v>
      </c>
      <c r="AM12" s="44">
        <v>4591.88</v>
      </c>
      <c r="AO12" s="25" t="s">
        <v>20</v>
      </c>
      <c r="AP12" s="47">
        <v>910.1</v>
      </c>
      <c r="AQ12" s="47">
        <v>874.9</v>
      </c>
      <c r="AR12" s="47">
        <v>894.95</v>
      </c>
      <c r="AS12" s="47">
        <v>934.68</v>
      </c>
      <c r="AT12" s="47">
        <v>951.17</v>
      </c>
      <c r="AU12" s="48">
        <v>974.53</v>
      </c>
    </row>
    <row r="13" spans="1:47" x14ac:dyDescent="0.3">
      <c r="A13" s="1" t="s">
        <v>22</v>
      </c>
      <c r="B13" s="32">
        <v>12293.05</v>
      </c>
      <c r="C13" s="32">
        <v>13020.45</v>
      </c>
      <c r="D13" s="32">
        <v>14498.79</v>
      </c>
      <c r="E13" s="32">
        <v>16300.29</v>
      </c>
      <c r="F13" s="32">
        <v>18010.689999999999</v>
      </c>
      <c r="G13" s="32">
        <v>19668.150000000001</v>
      </c>
      <c r="I13" s="25" t="s">
        <v>62</v>
      </c>
      <c r="J13" s="32">
        <v>849</v>
      </c>
      <c r="K13" s="32">
        <v>885</v>
      </c>
      <c r="L13" s="32">
        <v>884</v>
      </c>
      <c r="M13" s="32">
        <v>145</v>
      </c>
      <c r="N13" s="32">
        <v>569</v>
      </c>
      <c r="O13" s="35">
        <v>591</v>
      </c>
      <c r="Q13" s="25" t="s">
        <v>77</v>
      </c>
      <c r="R13" s="40">
        <v>283</v>
      </c>
      <c r="S13" s="40">
        <v>2969</v>
      </c>
      <c r="T13" s="40">
        <v>367</v>
      </c>
      <c r="U13" s="40">
        <v>700</v>
      </c>
      <c r="V13" s="40">
        <v>1709</v>
      </c>
      <c r="W13" s="41">
        <v>3689</v>
      </c>
      <c r="Y13" s="25" t="s">
        <v>20</v>
      </c>
      <c r="Z13" s="32">
        <v>684.77</v>
      </c>
      <c r="AA13" s="32">
        <v>987.38</v>
      </c>
      <c r="AB13" s="32">
        <v>1653.78</v>
      </c>
      <c r="AC13" s="32">
        <v>1546.92</v>
      </c>
      <c r="AD13" s="32">
        <v>2579.19</v>
      </c>
      <c r="AE13" s="35">
        <v>2780.6</v>
      </c>
      <c r="AG13" s="1" t="s">
        <v>100</v>
      </c>
      <c r="AH13" s="44">
        <v>133.12</v>
      </c>
      <c r="AI13" s="44">
        <v>144.69999999999999</v>
      </c>
      <c r="AJ13" s="44">
        <v>169.57</v>
      </c>
      <c r="AK13" s="44">
        <v>217.75</v>
      </c>
      <c r="AL13" s="44">
        <v>310.47000000000003</v>
      </c>
      <c r="AM13" s="44">
        <v>372.33</v>
      </c>
      <c r="AO13" s="25" t="s">
        <v>21</v>
      </c>
      <c r="AP13" s="47">
        <v>224.38</v>
      </c>
      <c r="AQ13" s="47">
        <v>259.17</v>
      </c>
      <c r="AR13" s="47">
        <f>40.77+589.75</f>
        <v>630.52</v>
      </c>
      <c r="AS13" s="47">
        <f>62.62+2646.17</f>
        <v>2708.79</v>
      </c>
      <c r="AT13" s="47">
        <v>81.739999999999995</v>
      </c>
      <c r="AU13" s="48">
        <v>126.72</v>
      </c>
    </row>
    <row r="14" spans="1:47" x14ac:dyDescent="0.3">
      <c r="A14" s="1" t="s">
        <v>23</v>
      </c>
      <c r="B14" s="32">
        <v>3618.01</v>
      </c>
      <c r="C14" s="32">
        <v>4059.43</v>
      </c>
      <c r="D14" s="32">
        <v>4128.42</v>
      </c>
      <c r="E14" s="32">
        <v>4177</v>
      </c>
      <c r="F14" s="32">
        <v>3141.29</v>
      </c>
      <c r="G14" s="32">
        <v>2694.71</v>
      </c>
      <c r="I14" s="28" t="s">
        <v>25</v>
      </c>
      <c r="J14" s="33">
        <f>SUM(J6:J13)</f>
        <v>22162</v>
      </c>
      <c r="K14" s="33">
        <f t="shared" ref="K14:O14" si="0">SUM(K6:K13)</f>
        <v>21159</v>
      </c>
      <c r="L14" s="33">
        <f t="shared" si="0"/>
        <v>20688</v>
      </c>
      <c r="M14" s="33">
        <f t="shared" si="0"/>
        <v>20663</v>
      </c>
      <c r="N14" s="33">
        <f t="shared" si="0"/>
        <v>21270</v>
      </c>
      <c r="O14" s="33">
        <f t="shared" si="0"/>
        <v>22864</v>
      </c>
      <c r="Q14" s="25" t="s">
        <v>20</v>
      </c>
      <c r="R14" s="40">
        <v>974</v>
      </c>
      <c r="S14" s="40">
        <v>5604</v>
      </c>
      <c r="T14" s="40">
        <v>4565</v>
      </c>
      <c r="U14" s="40">
        <v>4101</v>
      </c>
      <c r="V14" s="40">
        <v>5534</v>
      </c>
      <c r="W14" s="41">
        <v>5709</v>
      </c>
      <c r="Y14" s="25" t="s">
        <v>21</v>
      </c>
      <c r="Z14" s="32">
        <v>488.71</v>
      </c>
      <c r="AA14" s="32">
        <v>336.57</v>
      </c>
      <c r="AB14" s="32">
        <v>72.44</v>
      </c>
      <c r="AC14" s="32">
        <v>64.739999999999995</v>
      </c>
      <c r="AD14" s="32">
        <v>73.14</v>
      </c>
      <c r="AE14" s="35">
        <v>114.66</v>
      </c>
      <c r="AG14" s="1" t="s">
        <v>34</v>
      </c>
      <c r="AH14" s="44">
        <v>0.92</v>
      </c>
      <c r="AI14" s="44">
        <v>0.9</v>
      </c>
      <c r="AJ14" s="44">
        <v>0</v>
      </c>
      <c r="AK14" s="44">
        <v>0</v>
      </c>
      <c r="AL14" s="44">
        <v>0</v>
      </c>
      <c r="AM14" s="44">
        <v>0</v>
      </c>
      <c r="AO14" s="25" t="s">
        <v>23</v>
      </c>
      <c r="AP14" s="47">
        <v>397.07</v>
      </c>
      <c r="AQ14" s="47">
        <v>408.28</v>
      </c>
      <c r="AR14" s="47">
        <v>568.94000000000005</v>
      </c>
      <c r="AS14" s="47">
        <v>297.5</v>
      </c>
      <c r="AT14" s="47">
        <v>265.89</v>
      </c>
      <c r="AU14" s="48">
        <v>296.25</v>
      </c>
    </row>
    <row r="15" spans="1:47" x14ac:dyDescent="0.3">
      <c r="A15" s="1" t="s">
        <v>24</v>
      </c>
      <c r="B15" s="32">
        <v>3105.25</v>
      </c>
      <c r="C15" s="32">
        <v>4625.99</v>
      </c>
      <c r="D15" s="32">
        <v>6407.94</v>
      </c>
      <c r="E15" s="32">
        <v>9606.15</v>
      </c>
      <c r="F15" s="32">
        <f>71.14+13719.26</f>
        <v>13790.4</v>
      </c>
      <c r="G15" s="32">
        <v>31586.21</v>
      </c>
      <c r="I15" s="26" t="s">
        <v>63</v>
      </c>
      <c r="J15" s="36"/>
      <c r="K15" s="36"/>
      <c r="L15" s="36"/>
      <c r="M15" s="36"/>
      <c r="N15" s="36"/>
      <c r="O15" s="37"/>
      <c r="Q15" s="25" t="s">
        <v>21</v>
      </c>
      <c r="R15" s="40">
        <v>772</v>
      </c>
      <c r="S15" s="40">
        <v>1022</v>
      </c>
      <c r="T15" s="40">
        <v>125</v>
      </c>
      <c r="U15" s="40">
        <v>130</v>
      </c>
      <c r="V15" s="40">
        <v>120</v>
      </c>
      <c r="W15" s="41">
        <v>70</v>
      </c>
      <c r="Y15" s="25" t="s">
        <v>78</v>
      </c>
      <c r="Z15" s="32">
        <v>279.64</v>
      </c>
      <c r="AA15" s="32">
        <v>162.66</v>
      </c>
      <c r="AB15" s="32">
        <v>318.14999999999998</v>
      </c>
      <c r="AC15" s="32">
        <v>403.4</v>
      </c>
      <c r="AD15" s="32">
        <v>265.86</v>
      </c>
      <c r="AE15" s="35">
        <v>0.05</v>
      </c>
      <c r="AG15" s="1" t="s">
        <v>21</v>
      </c>
      <c r="AH15" s="44">
        <v>665.28</v>
      </c>
      <c r="AI15" s="44">
        <v>756.99</v>
      </c>
      <c r="AJ15" s="44">
        <v>559.61</v>
      </c>
      <c r="AK15" s="44">
        <v>655.26</v>
      </c>
      <c r="AL15" s="44">
        <v>877.37</v>
      </c>
      <c r="AM15" s="44">
        <v>950.93</v>
      </c>
      <c r="AO15" s="25" t="s">
        <v>24</v>
      </c>
      <c r="AP15" s="47">
        <v>3502.9</v>
      </c>
      <c r="AQ15" s="47">
        <v>3695.91</v>
      </c>
      <c r="AR15" s="47">
        <v>2103.89</v>
      </c>
      <c r="AS15" s="47">
        <v>3302.92</v>
      </c>
      <c r="AT15" s="47">
        <f>2609.89+3860.79</f>
        <v>6470.68</v>
      </c>
      <c r="AU15" s="48">
        <f>2269.38+4187.38</f>
        <v>6456.76</v>
      </c>
    </row>
    <row r="16" spans="1:47" x14ac:dyDescent="0.3">
      <c r="A16" s="19" t="s">
        <v>25</v>
      </c>
      <c r="B16" s="33">
        <f>SUM(B6:B15)</f>
        <v>66639.929999999993</v>
      </c>
      <c r="C16" s="33">
        <f t="shared" ref="C16:G16" si="1">SUM(C6:C15)</f>
        <v>77054.829999999987</v>
      </c>
      <c r="D16" s="33">
        <f t="shared" si="1"/>
        <v>87391.690000000017</v>
      </c>
      <c r="E16" s="33">
        <f t="shared" si="1"/>
        <v>103123.95000000001</v>
      </c>
      <c r="F16" s="33">
        <f t="shared" si="1"/>
        <v>133788.90000000002</v>
      </c>
      <c r="G16" s="33">
        <f t="shared" si="1"/>
        <v>164004.95000000001</v>
      </c>
      <c r="I16" s="25" t="s">
        <v>33</v>
      </c>
      <c r="J16" s="32">
        <v>1835</v>
      </c>
      <c r="K16" s="32">
        <v>1425</v>
      </c>
      <c r="L16" s="32">
        <v>1953</v>
      </c>
      <c r="M16" s="32">
        <v>1862</v>
      </c>
      <c r="N16" s="32">
        <v>1926</v>
      </c>
      <c r="O16" s="35">
        <v>1889</v>
      </c>
      <c r="Q16" s="25" t="s">
        <v>78</v>
      </c>
      <c r="R16" s="40">
        <v>0</v>
      </c>
      <c r="S16" s="40">
        <v>110</v>
      </c>
      <c r="T16" s="40">
        <v>24</v>
      </c>
      <c r="U16" s="40">
        <v>18</v>
      </c>
      <c r="V16" s="40">
        <v>88</v>
      </c>
      <c r="W16" s="41">
        <v>116</v>
      </c>
      <c r="Y16" s="25" t="s">
        <v>22</v>
      </c>
      <c r="Z16" s="32">
        <v>588.92999999999995</v>
      </c>
      <c r="AA16" s="32">
        <v>214.93</v>
      </c>
      <c r="AB16" s="32">
        <v>442.64</v>
      </c>
      <c r="AC16" s="32">
        <v>510.88</v>
      </c>
      <c r="AD16" s="32">
        <v>1608.32</v>
      </c>
      <c r="AE16" s="35">
        <v>1662.34</v>
      </c>
      <c r="AG16" s="1" t="s">
        <v>22</v>
      </c>
      <c r="AH16" s="44">
        <v>448.58</v>
      </c>
      <c r="AI16" s="44">
        <v>336.25</v>
      </c>
      <c r="AJ16" s="44">
        <v>237.57</v>
      </c>
      <c r="AK16" s="44">
        <v>370.73</v>
      </c>
      <c r="AL16" s="44">
        <v>444.96</v>
      </c>
      <c r="AM16" s="44">
        <v>623.13</v>
      </c>
      <c r="AO16" s="28" t="s">
        <v>25</v>
      </c>
      <c r="AP16" s="49">
        <f>SUM(AP6:AP15)</f>
        <v>24373.809999999998</v>
      </c>
      <c r="AQ16" s="49">
        <f t="shared" ref="AQ16:AU16" si="2">SUM(AQ6:AQ15)</f>
        <v>26329.589999999993</v>
      </c>
      <c r="AR16" s="49">
        <f t="shared" si="2"/>
        <v>9194.1</v>
      </c>
      <c r="AS16" s="49">
        <f t="shared" si="2"/>
        <v>12440.500000000002</v>
      </c>
      <c r="AT16" s="49">
        <f t="shared" si="2"/>
        <v>14380.75</v>
      </c>
      <c r="AU16" s="49">
        <f t="shared" si="2"/>
        <v>17630.199999999997</v>
      </c>
    </row>
    <row r="17" spans="1:47" x14ac:dyDescent="0.3">
      <c r="A17" s="17" t="s">
        <v>32</v>
      </c>
      <c r="B17" s="34"/>
      <c r="C17" s="34"/>
      <c r="D17" s="34"/>
      <c r="E17" s="34"/>
      <c r="F17" s="34"/>
      <c r="G17" s="34"/>
      <c r="I17" s="25" t="s">
        <v>20</v>
      </c>
      <c r="J17" s="32">
        <v>20329</v>
      </c>
      <c r="K17" s="32">
        <v>12957</v>
      </c>
      <c r="L17" s="32">
        <v>15052</v>
      </c>
      <c r="M17" s="32">
        <v>9850</v>
      </c>
      <c r="N17" s="32">
        <v>9874</v>
      </c>
      <c r="O17" s="35">
        <v>9149</v>
      </c>
      <c r="Q17" s="25" t="s">
        <v>22</v>
      </c>
      <c r="R17" s="40">
        <v>696</v>
      </c>
      <c r="S17" s="40">
        <v>2154</v>
      </c>
      <c r="T17" s="40">
        <v>4084</v>
      </c>
      <c r="U17" s="40">
        <v>4799</v>
      </c>
      <c r="V17" s="40">
        <v>6135</v>
      </c>
      <c r="W17" s="41">
        <v>6899</v>
      </c>
      <c r="Y17" s="25" t="s">
        <v>88</v>
      </c>
      <c r="Z17" s="32">
        <v>27278.45</v>
      </c>
      <c r="AA17" s="32">
        <v>20019.47</v>
      </c>
      <c r="AB17" s="32">
        <v>20397.96</v>
      </c>
      <c r="AC17" s="32">
        <v>6990.83</v>
      </c>
      <c r="AD17" s="32">
        <v>23.26</v>
      </c>
      <c r="AE17" s="35">
        <v>12.67</v>
      </c>
      <c r="AG17" s="1" t="s">
        <v>23</v>
      </c>
      <c r="AH17" s="44">
        <v>2022.17</v>
      </c>
      <c r="AI17" s="44">
        <v>0</v>
      </c>
      <c r="AJ17" s="44">
        <v>0</v>
      </c>
      <c r="AK17" s="44">
        <v>0</v>
      </c>
      <c r="AL17" s="44">
        <v>0</v>
      </c>
      <c r="AM17" s="44">
        <v>0</v>
      </c>
      <c r="AO17" s="26" t="s">
        <v>63</v>
      </c>
      <c r="AP17" s="50"/>
      <c r="AQ17" s="50"/>
      <c r="AR17" s="50"/>
      <c r="AS17" s="50"/>
      <c r="AT17" s="50"/>
      <c r="AU17" s="50"/>
    </row>
    <row r="18" spans="1:47" x14ac:dyDescent="0.3">
      <c r="A18" s="1" t="s">
        <v>33</v>
      </c>
      <c r="B18" s="32">
        <v>6617.98</v>
      </c>
      <c r="C18" s="32">
        <v>8947.4699999999993</v>
      </c>
      <c r="D18" s="32">
        <v>7075.68</v>
      </c>
      <c r="E18" s="32">
        <v>8154.68</v>
      </c>
      <c r="F18" s="32">
        <v>10177.23</v>
      </c>
      <c r="G18" s="32">
        <v>12613.7</v>
      </c>
      <c r="I18" s="25" t="s">
        <v>34</v>
      </c>
      <c r="J18" s="32">
        <v>379</v>
      </c>
      <c r="K18" s="32">
        <v>406</v>
      </c>
      <c r="L18" s="32">
        <v>716</v>
      </c>
      <c r="M18" s="32">
        <v>380</v>
      </c>
      <c r="N18" s="32">
        <v>155</v>
      </c>
      <c r="O18" s="35">
        <v>117</v>
      </c>
      <c r="Q18" s="25" t="s">
        <v>37</v>
      </c>
      <c r="R18" s="40">
        <v>385</v>
      </c>
      <c r="S18" s="40">
        <v>275</v>
      </c>
      <c r="T18" s="40">
        <v>528</v>
      </c>
      <c r="U18" s="40">
        <f>631+539</f>
        <v>1170</v>
      </c>
      <c r="V18" s="40">
        <v>1338</v>
      </c>
      <c r="W18" s="41">
        <f>829+297</f>
        <v>1126</v>
      </c>
      <c r="Y18" s="25" t="s">
        <v>89</v>
      </c>
      <c r="Z18" s="32">
        <v>1725.67</v>
      </c>
      <c r="AA18" s="32">
        <v>1845.34</v>
      </c>
      <c r="AB18" s="32">
        <v>3785.01</v>
      </c>
      <c r="AC18" s="32">
        <v>4369.03</v>
      </c>
      <c r="AD18" s="32">
        <v>4754.1099999999997</v>
      </c>
      <c r="AE18" s="35">
        <v>3824.52</v>
      </c>
      <c r="AG18" s="1" t="s">
        <v>37</v>
      </c>
      <c r="AH18" s="44">
        <v>153.31</v>
      </c>
      <c r="AI18" s="44">
        <v>217.56</v>
      </c>
      <c r="AJ18" s="44">
        <v>296.33999999999997</v>
      </c>
      <c r="AK18" s="44">
        <v>595.49</v>
      </c>
      <c r="AL18" s="44">
        <v>374.78</v>
      </c>
      <c r="AM18" s="44">
        <v>452.14</v>
      </c>
      <c r="AO18" s="25" t="s">
        <v>33</v>
      </c>
      <c r="AP18" s="47">
        <v>723.51</v>
      </c>
      <c r="AQ18" s="47">
        <v>921.72</v>
      </c>
      <c r="AR18" s="47">
        <v>2125.21</v>
      </c>
      <c r="AS18" s="47">
        <v>2660.58</v>
      </c>
      <c r="AT18" s="47">
        <v>2766.95</v>
      </c>
      <c r="AU18" s="47">
        <v>2637.72</v>
      </c>
    </row>
    <row r="19" spans="1:47" x14ac:dyDescent="0.3">
      <c r="A19" s="1" t="s">
        <v>20</v>
      </c>
      <c r="B19" s="32">
        <v>99.7</v>
      </c>
      <c r="C19" s="32">
        <v>3632.59</v>
      </c>
      <c r="D19" s="32">
        <v>6493.63</v>
      </c>
      <c r="E19" s="32">
        <v>4054.01</v>
      </c>
      <c r="F19" s="32">
        <v>3251.1</v>
      </c>
      <c r="G19" s="32">
        <v>3175.26</v>
      </c>
      <c r="I19" s="25" t="s">
        <v>35</v>
      </c>
      <c r="J19" s="32">
        <v>1878</v>
      </c>
      <c r="K19" s="32">
        <v>313</v>
      </c>
      <c r="L19" s="32">
        <v>1592</v>
      </c>
      <c r="M19" s="32">
        <v>59</v>
      </c>
      <c r="N19" s="32">
        <v>53</v>
      </c>
      <c r="O19" s="35">
        <v>96</v>
      </c>
      <c r="Q19" s="25" t="s">
        <v>24</v>
      </c>
      <c r="R19" s="40">
        <v>2956</v>
      </c>
      <c r="S19" s="40">
        <v>2848</v>
      </c>
      <c r="T19" s="40">
        <v>4633</v>
      </c>
      <c r="U19" s="40">
        <v>5392</v>
      </c>
      <c r="V19" s="40">
        <v>6603</v>
      </c>
      <c r="W19" s="41">
        <v>6924</v>
      </c>
      <c r="Y19" s="25" t="s">
        <v>23</v>
      </c>
      <c r="Z19" s="32">
        <v>1270.33</v>
      </c>
      <c r="AA19" s="32">
        <v>1578.02</v>
      </c>
      <c r="AB19" s="32">
        <v>3023.93</v>
      </c>
      <c r="AC19" s="32">
        <v>2625.96</v>
      </c>
      <c r="AD19" s="32">
        <v>4111.08</v>
      </c>
      <c r="AE19" s="35">
        <v>3936.22</v>
      </c>
      <c r="AG19" s="1" t="s">
        <v>24</v>
      </c>
      <c r="AH19" s="44">
        <v>1483.92</v>
      </c>
      <c r="AI19" s="44">
        <v>1572.65</v>
      </c>
      <c r="AJ19" s="44">
        <v>3433.13</v>
      </c>
      <c r="AK19" s="44">
        <v>3610.03</v>
      </c>
      <c r="AL19" s="44">
        <v>3092.79</v>
      </c>
      <c r="AM19" s="44">
        <v>2355.9499999999998</v>
      </c>
      <c r="AO19" s="25" t="s">
        <v>34</v>
      </c>
      <c r="AP19" s="47">
        <v>2223.71</v>
      </c>
      <c r="AQ19" s="47">
        <v>2139.89</v>
      </c>
      <c r="AR19" s="47">
        <v>2954.3</v>
      </c>
      <c r="AS19" s="47">
        <v>2656.02</v>
      </c>
      <c r="AT19" s="47">
        <v>3508.93</v>
      </c>
      <c r="AU19" s="47">
        <v>7744.61</v>
      </c>
    </row>
    <row r="20" spans="1:47" x14ac:dyDescent="0.3">
      <c r="A20" s="1" t="s">
        <v>34</v>
      </c>
      <c r="B20" s="32">
        <v>14408.22</v>
      </c>
      <c r="C20" s="32">
        <v>19623.12</v>
      </c>
      <c r="D20" s="32">
        <v>11367.68</v>
      </c>
      <c r="E20" s="32">
        <v>13060.48</v>
      </c>
      <c r="F20" s="32">
        <v>13255.75</v>
      </c>
      <c r="G20" s="32">
        <v>12727.72</v>
      </c>
      <c r="I20" s="25" t="s">
        <v>64</v>
      </c>
      <c r="J20" s="32">
        <v>40</v>
      </c>
      <c r="K20" s="32">
        <v>9063</v>
      </c>
      <c r="L20" s="32">
        <v>4171</v>
      </c>
      <c r="M20" s="32">
        <v>1353</v>
      </c>
      <c r="N20" s="32">
        <v>122</v>
      </c>
      <c r="O20" s="35">
        <v>81</v>
      </c>
      <c r="Q20" s="28" t="s">
        <v>25</v>
      </c>
      <c r="R20" s="42">
        <f>SUM(R6:R19)</f>
        <v>95342</v>
      </c>
      <c r="S20" s="42">
        <f t="shared" ref="S20:W20" si="3">SUM(S6:S19)</f>
        <v>112465</v>
      </c>
      <c r="T20" s="42">
        <f t="shared" si="3"/>
        <v>131111</v>
      </c>
      <c r="U20" s="42">
        <f t="shared" si="3"/>
        <v>142928</v>
      </c>
      <c r="V20" s="42">
        <f t="shared" si="3"/>
        <v>163664</v>
      </c>
      <c r="W20" s="42">
        <f t="shared" si="3"/>
        <v>170006</v>
      </c>
      <c r="Y20" s="25" t="s">
        <v>90</v>
      </c>
      <c r="Z20" s="32">
        <v>3154.2</v>
      </c>
      <c r="AA20" s="32">
        <v>2872.7</v>
      </c>
      <c r="AB20" s="32">
        <v>3690.05</v>
      </c>
      <c r="AC20" s="32">
        <v>3776.63</v>
      </c>
      <c r="AD20" s="32">
        <v>3343.23</v>
      </c>
      <c r="AE20" s="35">
        <v>3164.93</v>
      </c>
      <c r="AG20" s="19" t="s">
        <v>25</v>
      </c>
      <c r="AH20" s="45">
        <f>SUM(AH6:AH19)</f>
        <v>85802.18</v>
      </c>
      <c r="AI20" s="45">
        <f t="shared" ref="AI20:AM20" si="4">SUM(AI6:AI19)</f>
        <v>87061.659999999989</v>
      </c>
      <c r="AJ20" s="45">
        <f t="shared" si="4"/>
        <v>91269.460000000021</v>
      </c>
      <c r="AK20" s="45">
        <f t="shared" si="4"/>
        <v>92486.469999999987</v>
      </c>
      <c r="AL20" s="45">
        <f t="shared" si="4"/>
        <v>92570.89</v>
      </c>
      <c r="AM20" s="45">
        <f t="shared" si="4"/>
        <v>94482.460000000021</v>
      </c>
      <c r="AO20" s="25" t="s">
        <v>35</v>
      </c>
      <c r="AP20" s="47">
        <v>105.57</v>
      </c>
      <c r="AQ20" s="47">
        <v>464.1</v>
      </c>
      <c r="AR20" s="47">
        <v>120.6</v>
      </c>
      <c r="AS20" s="47">
        <v>93</v>
      </c>
      <c r="AT20" s="47">
        <v>109.39</v>
      </c>
      <c r="AU20" s="47">
        <v>84.82</v>
      </c>
    </row>
    <row r="21" spans="1:47" x14ac:dyDescent="0.3">
      <c r="A21" s="1" t="s">
        <v>35</v>
      </c>
      <c r="B21" s="32">
        <v>2791.1</v>
      </c>
      <c r="C21" s="32">
        <v>5234.54</v>
      </c>
      <c r="D21" s="32">
        <v>7063.48</v>
      </c>
      <c r="E21" s="32">
        <v>5665.38</v>
      </c>
      <c r="F21" s="32">
        <v>6008.71</v>
      </c>
      <c r="G21" s="32">
        <v>11160.68</v>
      </c>
      <c r="I21" s="25" t="s">
        <v>21</v>
      </c>
      <c r="J21" s="32">
        <v>2</v>
      </c>
      <c r="K21" s="32">
        <v>2</v>
      </c>
      <c r="L21" s="32">
        <v>2</v>
      </c>
      <c r="M21" s="32">
        <v>3</v>
      </c>
      <c r="N21" s="32">
        <v>1</v>
      </c>
      <c r="O21" s="35">
        <v>1</v>
      </c>
      <c r="Q21" s="26" t="s">
        <v>32</v>
      </c>
      <c r="R21" s="34"/>
      <c r="S21" s="34"/>
      <c r="T21" s="34"/>
      <c r="U21" s="34"/>
      <c r="V21" s="34"/>
      <c r="W21" s="38"/>
      <c r="Y21" s="28" t="s">
        <v>25</v>
      </c>
      <c r="Z21" s="33">
        <f>SUM(Z6:Z20)</f>
        <v>191685.75</v>
      </c>
      <c r="AA21" s="33">
        <f t="shared" ref="AA21:AE21" si="5">SUM(AA6:AA20)</f>
        <v>185275.31000000003</v>
      </c>
      <c r="AB21" s="33">
        <f t="shared" si="5"/>
        <v>192888.99000000002</v>
      </c>
      <c r="AC21" s="33">
        <f t="shared" si="5"/>
        <v>201356.19999999995</v>
      </c>
      <c r="AD21" s="33">
        <f t="shared" si="5"/>
        <v>202875.25</v>
      </c>
      <c r="AE21" s="33">
        <f t="shared" si="5"/>
        <v>211003.25999999998</v>
      </c>
      <c r="AG21" s="17" t="s">
        <v>63</v>
      </c>
      <c r="AH21" s="54"/>
      <c r="AI21" s="54"/>
      <c r="AJ21" s="54"/>
      <c r="AK21" s="54"/>
      <c r="AL21" s="54"/>
      <c r="AM21" s="54"/>
      <c r="AO21" s="25" t="s">
        <v>64</v>
      </c>
      <c r="AP21" s="47">
        <v>2331.89</v>
      </c>
      <c r="AQ21" s="47">
        <v>5397.72</v>
      </c>
      <c r="AR21" s="47">
        <v>7856.87</v>
      </c>
      <c r="AS21" s="47">
        <v>7004.75</v>
      </c>
      <c r="AT21" s="47">
        <v>12254.26</v>
      </c>
      <c r="AU21" s="47">
        <v>10003.73</v>
      </c>
    </row>
    <row r="22" spans="1:47" x14ac:dyDescent="0.3">
      <c r="A22" s="1" t="s">
        <v>36</v>
      </c>
      <c r="B22" s="32">
        <v>25657.86</v>
      </c>
      <c r="C22" s="32">
        <v>12075.76</v>
      </c>
      <c r="D22" s="32">
        <v>22901.75</v>
      </c>
      <c r="E22" s="32">
        <v>34256.480000000003</v>
      </c>
      <c r="F22" s="32">
        <v>24226.46</v>
      </c>
      <c r="G22" s="32">
        <v>23054.63</v>
      </c>
      <c r="I22" s="25" t="s">
        <v>65</v>
      </c>
      <c r="J22" s="32">
        <v>21</v>
      </c>
      <c r="K22" s="32">
        <v>53</v>
      </c>
      <c r="L22" s="32">
        <v>33</v>
      </c>
      <c r="M22" s="32">
        <v>89</v>
      </c>
      <c r="N22" s="32">
        <v>59</v>
      </c>
      <c r="O22" s="35">
        <v>42</v>
      </c>
      <c r="Q22" s="25" t="s">
        <v>33</v>
      </c>
      <c r="R22" s="40">
        <v>13773</v>
      </c>
      <c r="S22" s="40">
        <v>14249</v>
      </c>
      <c r="T22" s="40">
        <v>33787</v>
      </c>
      <c r="U22" s="40">
        <v>33135</v>
      </c>
      <c r="V22" s="40">
        <v>37815</v>
      </c>
      <c r="W22" s="41">
        <v>34956</v>
      </c>
      <c r="Y22" s="26" t="s">
        <v>63</v>
      </c>
      <c r="Z22" s="34"/>
      <c r="AA22" s="34"/>
      <c r="AB22" s="34"/>
      <c r="AC22" s="34"/>
      <c r="AD22" s="34"/>
      <c r="AE22" s="34"/>
      <c r="AG22" s="1" t="s">
        <v>33</v>
      </c>
      <c r="AH22" s="44">
        <v>23836.27</v>
      </c>
      <c r="AI22" s="44">
        <v>15334.17</v>
      </c>
      <c r="AJ22" s="44">
        <v>19568.28</v>
      </c>
      <c r="AK22" s="44">
        <v>27764.9</v>
      </c>
      <c r="AL22" s="44">
        <v>32721.45</v>
      </c>
      <c r="AM22" s="44">
        <v>29151.45</v>
      </c>
      <c r="AO22" s="25" t="s">
        <v>22</v>
      </c>
      <c r="AP22" s="47">
        <v>365.4</v>
      </c>
      <c r="AQ22" s="47">
        <v>292.61</v>
      </c>
      <c r="AR22" s="47">
        <v>583.86</v>
      </c>
      <c r="AS22" s="47">
        <v>490.79</v>
      </c>
      <c r="AT22" s="47">
        <f>40.29+295.51</f>
        <v>335.8</v>
      </c>
      <c r="AU22" s="47">
        <f>53.91+292.19</f>
        <v>346.1</v>
      </c>
    </row>
    <row r="23" spans="1:47" x14ac:dyDescent="0.3">
      <c r="A23" s="1" t="s">
        <v>21</v>
      </c>
      <c r="B23" s="32">
        <v>502.65</v>
      </c>
      <c r="C23" s="32">
        <v>501.28</v>
      </c>
      <c r="D23" s="32">
        <v>0.32</v>
      </c>
      <c r="E23" s="32">
        <v>20.79</v>
      </c>
      <c r="F23" s="32">
        <v>21.59</v>
      </c>
      <c r="G23" s="32">
        <v>18.899999999999999</v>
      </c>
      <c r="I23" s="25" t="s">
        <v>38</v>
      </c>
      <c r="J23" s="32">
        <v>329</v>
      </c>
      <c r="K23" s="32">
        <v>349</v>
      </c>
      <c r="L23" s="32">
        <v>463</v>
      </c>
      <c r="M23" s="32">
        <v>336</v>
      </c>
      <c r="N23" s="32">
        <v>435</v>
      </c>
      <c r="O23" s="35">
        <v>251</v>
      </c>
      <c r="Q23" s="25" t="s">
        <v>20</v>
      </c>
      <c r="R23" s="40">
        <v>2</v>
      </c>
      <c r="S23" s="40">
        <v>8</v>
      </c>
      <c r="T23" s="40">
        <v>8</v>
      </c>
      <c r="U23" s="40">
        <v>5</v>
      </c>
      <c r="V23" s="40">
        <v>3</v>
      </c>
      <c r="W23" s="41">
        <v>5819</v>
      </c>
      <c r="Y23" s="25" t="s">
        <v>33</v>
      </c>
      <c r="Z23" s="32">
        <v>31068.720000000001</v>
      </c>
      <c r="AA23" s="32">
        <v>33276.379999999997</v>
      </c>
      <c r="AB23" s="32">
        <v>48824.39</v>
      </c>
      <c r="AC23" s="32">
        <v>54415.33</v>
      </c>
      <c r="AD23" s="32">
        <v>49157.51</v>
      </c>
      <c r="AE23" s="32">
        <v>44589.94</v>
      </c>
      <c r="AG23" s="1" t="s">
        <v>20</v>
      </c>
      <c r="AH23" s="44">
        <v>0</v>
      </c>
      <c r="AI23" s="44">
        <v>0</v>
      </c>
      <c r="AJ23" s="44">
        <v>0</v>
      </c>
      <c r="AK23" s="44">
        <v>0</v>
      </c>
      <c r="AL23" s="44">
        <v>15.11</v>
      </c>
      <c r="AM23" s="44">
        <v>3.9</v>
      </c>
      <c r="AO23" s="25" t="s">
        <v>37</v>
      </c>
      <c r="AP23" s="47">
        <v>429.24</v>
      </c>
      <c r="AQ23" s="47">
        <v>257.05</v>
      </c>
      <c r="AR23" s="47">
        <v>899.86</v>
      </c>
      <c r="AS23" s="47">
        <v>1121.82</v>
      </c>
      <c r="AT23" s="47">
        <v>830.69</v>
      </c>
      <c r="AU23" s="47">
        <v>682.37</v>
      </c>
    </row>
    <row r="24" spans="1:47" x14ac:dyDescent="0.3">
      <c r="A24" s="1" t="s">
        <v>22</v>
      </c>
      <c r="B24" s="32">
        <v>2779.28</v>
      </c>
      <c r="C24" s="32">
        <v>2344.77</v>
      </c>
      <c r="D24" s="32">
        <v>2620.91</v>
      </c>
      <c r="E24" s="32">
        <v>2716.96</v>
      </c>
      <c r="F24" s="32">
        <v>2698.51</v>
      </c>
      <c r="G24" s="32">
        <v>2475.77</v>
      </c>
      <c r="I24" s="28" t="s">
        <v>39</v>
      </c>
      <c r="J24" s="33">
        <f>SUM(J16:J23)</f>
        <v>24813</v>
      </c>
      <c r="K24" s="33">
        <f t="shared" ref="K24:O24" si="6">SUM(K16:K23)</f>
        <v>24568</v>
      </c>
      <c r="L24" s="33">
        <f t="shared" si="6"/>
        <v>23982</v>
      </c>
      <c r="M24" s="33">
        <f t="shared" si="6"/>
        <v>13932</v>
      </c>
      <c r="N24" s="33">
        <f t="shared" si="6"/>
        <v>12625</v>
      </c>
      <c r="O24" s="33">
        <f t="shared" si="6"/>
        <v>11626</v>
      </c>
      <c r="Q24" s="25" t="s">
        <v>34</v>
      </c>
      <c r="R24" s="40">
        <v>4505</v>
      </c>
      <c r="S24" s="40">
        <v>4486</v>
      </c>
      <c r="T24" s="40">
        <v>7457</v>
      </c>
      <c r="U24" s="40">
        <v>7134</v>
      </c>
      <c r="V24" s="40">
        <v>7548</v>
      </c>
      <c r="W24" s="41">
        <v>8415</v>
      </c>
      <c r="Y24" s="25" t="s">
        <v>20</v>
      </c>
      <c r="Z24" s="32">
        <v>3431.87</v>
      </c>
      <c r="AA24" s="32">
        <v>7218.89</v>
      </c>
      <c r="AB24" s="32">
        <v>8524.42</v>
      </c>
      <c r="AC24" s="32">
        <v>3630.06</v>
      </c>
      <c r="AD24" s="32">
        <v>731.23</v>
      </c>
      <c r="AE24" s="32">
        <v>442.65</v>
      </c>
      <c r="AG24" s="1" t="s">
        <v>34</v>
      </c>
      <c r="AH24" s="44">
        <v>8844.73</v>
      </c>
      <c r="AI24" s="44">
        <v>7153.7</v>
      </c>
      <c r="AJ24" s="44">
        <v>4770.8500000000004</v>
      </c>
      <c r="AK24" s="44">
        <v>5389.97</v>
      </c>
      <c r="AL24" s="44">
        <v>8355.3700000000008</v>
      </c>
      <c r="AM24" s="44">
        <v>7609.94</v>
      </c>
      <c r="AO24" s="25" t="s">
        <v>38</v>
      </c>
      <c r="AP24" s="47">
        <v>740.64</v>
      </c>
      <c r="AQ24" s="47">
        <v>1126.48</v>
      </c>
      <c r="AR24" s="47">
        <v>1176.73</v>
      </c>
      <c r="AS24" s="47">
        <v>1779.59</v>
      </c>
      <c r="AT24" s="47">
        <f>1468.39+4.89</f>
        <v>1473.2800000000002</v>
      </c>
      <c r="AU24" s="47">
        <f>1872.79+3.6</f>
        <v>1876.3899999999999</v>
      </c>
    </row>
    <row r="25" spans="1:47" x14ac:dyDescent="0.3">
      <c r="A25" s="1" t="s">
        <v>37</v>
      </c>
      <c r="B25" s="32">
        <v>8950.27</v>
      </c>
      <c r="C25" s="32">
        <v>9398.3799999999992</v>
      </c>
      <c r="D25" s="32">
        <v>8423.19</v>
      </c>
      <c r="E25" s="32">
        <v>8719</v>
      </c>
      <c r="F25" s="32">
        <v>9064.1299999999992</v>
      </c>
      <c r="G25" s="32">
        <v>9822.6200000000008</v>
      </c>
      <c r="I25" s="28" t="s">
        <v>40</v>
      </c>
      <c r="J25" s="33">
        <f>J14+J24</f>
        <v>46975</v>
      </c>
      <c r="K25" s="33">
        <f t="shared" ref="K25:O25" si="7">K14+K24</f>
        <v>45727</v>
      </c>
      <c r="L25" s="33">
        <f t="shared" si="7"/>
        <v>44670</v>
      </c>
      <c r="M25" s="33">
        <f t="shared" si="7"/>
        <v>34595</v>
      </c>
      <c r="N25" s="33">
        <f t="shared" si="7"/>
        <v>33895</v>
      </c>
      <c r="O25" s="33">
        <f t="shared" si="7"/>
        <v>34490</v>
      </c>
      <c r="Q25" s="25" t="s">
        <v>35</v>
      </c>
      <c r="R25" s="40">
        <v>3966</v>
      </c>
      <c r="S25" s="40">
        <v>11943</v>
      </c>
      <c r="T25" s="40">
        <v>8808</v>
      </c>
      <c r="U25" s="40">
        <v>15424</v>
      </c>
      <c r="V25" s="40">
        <v>8030</v>
      </c>
      <c r="W25" s="41">
        <v>11655</v>
      </c>
      <c r="Y25" s="25" t="s">
        <v>34</v>
      </c>
      <c r="Z25" s="32">
        <v>7884.91</v>
      </c>
      <c r="AA25" s="32">
        <v>9539.84</v>
      </c>
      <c r="AB25" s="32">
        <v>12246.43</v>
      </c>
      <c r="AC25" s="32">
        <v>8257.24</v>
      </c>
      <c r="AD25" s="32">
        <v>6263.53</v>
      </c>
      <c r="AE25" s="32">
        <v>5260.06</v>
      </c>
      <c r="AG25" s="1" t="s">
        <v>35</v>
      </c>
      <c r="AH25" s="44">
        <v>190.54</v>
      </c>
      <c r="AI25" s="44">
        <v>518.28</v>
      </c>
      <c r="AJ25" s="44">
        <v>131.54</v>
      </c>
      <c r="AK25" s="44">
        <v>57.09</v>
      </c>
      <c r="AL25" s="44">
        <v>69.38</v>
      </c>
      <c r="AM25" s="44">
        <v>291.58</v>
      </c>
      <c r="AO25" s="25" t="s">
        <v>91</v>
      </c>
      <c r="AP25" s="47">
        <v>0.66</v>
      </c>
      <c r="AQ25" s="47">
        <v>0.63</v>
      </c>
      <c r="AR25" s="47">
        <v>0.81</v>
      </c>
      <c r="AS25" s="47">
        <v>0.66</v>
      </c>
      <c r="AT25" s="47">
        <v>0.98</v>
      </c>
      <c r="AU25" s="47">
        <v>0.94</v>
      </c>
    </row>
    <row r="26" spans="1:47" x14ac:dyDescent="0.3">
      <c r="A26" s="1" t="s">
        <v>38</v>
      </c>
      <c r="B26" s="32">
        <v>21880.49</v>
      </c>
      <c r="C26" s="32">
        <v>22966.95</v>
      </c>
      <c r="D26" s="32">
        <v>26899.35</v>
      </c>
      <c r="E26" s="32">
        <v>31434.93</v>
      </c>
      <c r="F26" s="32">
        <v>35179.879999999997</v>
      </c>
      <c r="G26" s="32">
        <v>21144.14</v>
      </c>
      <c r="I26" s="26" t="s">
        <v>41</v>
      </c>
      <c r="J26" s="34"/>
      <c r="K26" s="34"/>
      <c r="L26" s="34"/>
      <c r="M26" s="34"/>
      <c r="N26" s="34"/>
      <c r="O26" s="38"/>
      <c r="Q26" s="25" t="s">
        <v>64</v>
      </c>
      <c r="R26" s="40">
        <v>8037</v>
      </c>
      <c r="S26" s="40">
        <v>870</v>
      </c>
      <c r="T26" s="40">
        <v>8575</v>
      </c>
      <c r="U26" s="40">
        <v>5290</v>
      </c>
      <c r="V26" s="40">
        <v>4318</v>
      </c>
      <c r="W26" s="41">
        <v>1630</v>
      </c>
      <c r="Y26" s="25" t="s">
        <v>35</v>
      </c>
      <c r="Z26" s="32">
        <v>7541.96</v>
      </c>
      <c r="AA26" s="32">
        <v>5532.08</v>
      </c>
      <c r="AB26" s="32">
        <v>15604.68</v>
      </c>
      <c r="AC26" s="32">
        <v>12129.9</v>
      </c>
      <c r="AD26" s="32">
        <v>7080.84</v>
      </c>
      <c r="AE26" s="32">
        <v>9604.9599999999991</v>
      </c>
      <c r="AG26" s="1" t="s">
        <v>64</v>
      </c>
      <c r="AH26" s="44">
        <v>254.48</v>
      </c>
      <c r="AI26" s="44">
        <v>278.07</v>
      </c>
      <c r="AJ26" s="44">
        <v>654.52</v>
      </c>
      <c r="AK26" s="44">
        <v>493.55</v>
      </c>
      <c r="AL26" s="44">
        <v>603.57000000000005</v>
      </c>
      <c r="AM26" s="44">
        <v>675.3</v>
      </c>
      <c r="AO26" s="28" t="s">
        <v>39</v>
      </c>
      <c r="AP26" s="49">
        <f>SUM(AP18:AP25)</f>
        <v>6920.62</v>
      </c>
      <c r="AQ26" s="49">
        <f t="shared" ref="AQ26:AU26" si="8">SUM(AQ18:AQ25)</f>
        <v>10600.199999999999</v>
      </c>
      <c r="AR26" s="49">
        <f t="shared" si="8"/>
        <v>15718.24</v>
      </c>
      <c r="AS26" s="49">
        <f t="shared" si="8"/>
        <v>15807.210000000001</v>
      </c>
      <c r="AT26" s="49">
        <f t="shared" si="8"/>
        <v>21280.279999999995</v>
      </c>
      <c r="AU26" s="49">
        <f t="shared" si="8"/>
        <v>23376.679999999993</v>
      </c>
    </row>
    <row r="27" spans="1:47" x14ac:dyDescent="0.3">
      <c r="A27" s="19" t="s">
        <v>39</v>
      </c>
      <c r="B27" s="33">
        <f>SUM(B18:B26)</f>
        <v>83687.55</v>
      </c>
      <c r="C27" s="33">
        <f t="shared" ref="C27:G27" si="9">SUM(C18:C26)</f>
        <v>84724.86</v>
      </c>
      <c r="D27" s="33">
        <f t="shared" si="9"/>
        <v>92845.989999999991</v>
      </c>
      <c r="E27" s="33">
        <f t="shared" si="9"/>
        <v>108082.70999999999</v>
      </c>
      <c r="F27" s="33">
        <f t="shared" si="9"/>
        <v>103883.35999999999</v>
      </c>
      <c r="G27" s="33">
        <f t="shared" si="9"/>
        <v>96193.42</v>
      </c>
      <c r="I27" s="26" t="s">
        <v>42</v>
      </c>
      <c r="J27" s="34"/>
      <c r="K27" s="34"/>
      <c r="L27" s="34"/>
      <c r="M27" s="34"/>
      <c r="N27" s="34"/>
      <c r="O27" s="38"/>
      <c r="Q27" s="25" t="s">
        <v>21</v>
      </c>
      <c r="R27" s="40">
        <v>742</v>
      </c>
      <c r="S27" s="40">
        <v>622</v>
      </c>
      <c r="T27" s="40">
        <v>759</v>
      </c>
      <c r="U27" s="40">
        <v>717</v>
      </c>
      <c r="V27" s="40">
        <v>4</v>
      </c>
      <c r="W27" s="41">
        <v>2</v>
      </c>
      <c r="Y27" s="25" t="s">
        <v>64</v>
      </c>
      <c r="Z27" s="32">
        <v>512.76</v>
      </c>
      <c r="AA27" s="32">
        <v>250.1</v>
      </c>
      <c r="AB27" s="32">
        <v>294.25</v>
      </c>
      <c r="AC27" s="32">
        <v>1227.3599999999999</v>
      </c>
      <c r="AD27" s="32">
        <v>1596.88</v>
      </c>
      <c r="AE27" s="32">
        <v>2042.02</v>
      </c>
      <c r="AG27" s="1" t="s">
        <v>21</v>
      </c>
      <c r="AH27" s="44">
        <v>49.67</v>
      </c>
      <c r="AI27" s="44">
        <v>50.47</v>
      </c>
      <c r="AJ27" s="44">
        <v>43.1</v>
      </c>
      <c r="AK27" s="44">
        <v>35.29</v>
      </c>
      <c r="AL27" s="44">
        <v>28.31</v>
      </c>
      <c r="AM27" s="44">
        <v>22.6</v>
      </c>
      <c r="AO27" s="28" t="s">
        <v>80</v>
      </c>
      <c r="AP27" s="49">
        <f>AP16+AP26</f>
        <v>31294.429999999997</v>
      </c>
      <c r="AQ27" s="49">
        <f t="shared" ref="AQ27:AU27" si="10">AQ16+AQ26</f>
        <v>36929.789999999994</v>
      </c>
      <c r="AR27" s="49">
        <f t="shared" si="10"/>
        <v>24912.34</v>
      </c>
      <c r="AS27" s="49">
        <f t="shared" si="10"/>
        <v>28247.710000000003</v>
      </c>
      <c r="AT27" s="49">
        <f t="shared" si="10"/>
        <v>35661.03</v>
      </c>
      <c r="AU27" s="49">
        <f t="shared" si="10"/>
        <v>41006.87999999999</v>
      </c>
    </row>
    <row r="28" spans="1:47" x14ac:dyDescent="0.3">
      <c r="A28" s="19" t="s">
        <v>40</v>
      </c>
      <c r="B28" s="33">
        <f>B16+B27</f>
        <v>150327.47999999998</v>
      </c>
      <c r="C28" s="33">
        <f t="shared" ref="C28:G28" si="11">C16+C27</f>
        <v>161779.69</v>
      </c>
      <c r="D28" s="33">
        <f t="shared" si="11"/>
        <v>180237.68</v>
      </c>
      <c r="E28" s="33">
        <f t="shared" si="11"/>
        <v>211206.66</v>
      </c>
      <c r="F28" s="33">
        <f t="shared" si="11"/>
        <v>237672.26</v>
      </c>
      <c r="G28" s="33">
        <f t="shared" si="11"/>
        <v>260198.37</v>
      </c>
      <c r="I28" s="25" t="s">
        <v>43</v>
      </c>
      <c r="J28" s="32">
        <v>845</v>
      </c>
      <c r="K28" s="32">
        <v>845</v>
      </c>
      <c r="L28" s="32">
        <v>845</v>
      </c>
      <c r="M28" s="32">
        <v>845</v>
      </c>
      <c r="N28" s="32">
        <v>845</v>
      </c>
      <c r="O28" s="32">
        <v>845</v>
      </c>
      <c r="Q28" s="25" t="s">
        <v>78</v>
      </c>
      <c r="R28" s="40">
        <v>294</v>
      </c>
      <c r="S28" s="40">
        <v>102</v>
      </c>
      <c r="T28" s="40">
        <v>426</v>
      </c>
      <c r="U28" s="40">
        <v>460</v>
      </c>
      <c r="V28" s="40">
        <v>173</v>
      </c>
      <c r="W28" s="41">
        <v>284</v>
      </c>
      <c r="Y28" s="25" t="s">
        <v>21</v>
      </c>
      <c r="Z28" s="32">
        <v>215.68</v>
      </c>
      <c r="AA28" s="32">
        <v>64.72</v>
      </c>
      <c r="AB28" s="32">
        <v>5.84</v>
      </c>
      <c r="AC28" s="32">
        <v>1.84</v>
      </c>
      <c r="AD28" s="32">
        <v>1.6</v>
      </c>
      <c r="AE28" s="32">
        <v>4.9800000000000004</v>
      </c>
      <c r="AG28" s="1" t="s">
        <v>22</v>
      </c>
      <c r="AH28" s="44">
        <v>2189.25</v>
      </c>
      <c r="AI28" s="44">
        <v>2478.3200000000002</v>
      </c>
      <c r="AJ28" s="44">
        <v>1338.45</v>
      </c>
      <c r="AK28" s="44">
        <v>1262.6099999999999</v>
      </c>
      <c r="AL28" s="44">
        <v>1369.07</v>
      </c>
      <c r="AM28" s="44">
        <v>1221.76</v>
      </c>
      <c r="AO28" s="26" t="s">
        <v>41</v>
      </c>
      <c r="AP28" s="50"/>
      <c r="AQ28" s="50"/>
      <c r="AR28" s="50"/>
      <c r="AS28" s="50"/>
      <c r="AT28" s="50"/>
      <c r="AU28" s="50"/>
    </row>
    <row r="29" spans="1:47" x14ac:dyDescent="0.3">
      <c r="A29" s="17" t="s">
        <v>41</v>
      </c>
      <c r="B29" s="34"/>
      <c r="C29" s="34"/>
      <c r="D29" s="34"/>
      <c r="E29" s="34"/>
      <c r="F29" s="34"/>
      <c r="G29" s="34"/>
      <c r="I29" s="25" t="s">
        <v>44</v>
      </c>
      <c r="J29" s="32">
        <v>39465</v>
      </c>
      <c r="K29" s="32">
        <v>31468</v>
      </c>
      <c r="L29" s="32">
        <v>33436</v>
      </c>
      <c r="M29" s="32">
        <v>12087</v>
      </c>
      <c r="N29" s="32">
        <v>14350</v>
      </c>
      <c r="O29" s="35">
        <v>12481</v>
      </c>
      <c r="Q29" s="25" t="s">
        <v>22</v>
      </c>
      <c r="R29" s="40">
        <v>2858</v>
      </c>
      <c r="S29" s="40">
        <v>1467</v>
      </c>
      <c r="T29" s="40">
        <v>1289</v>
      </c>
      <c r="U29" s="40">
        <v>1701</v>
      </c>
      <c r="V29" s="40">
        <v>1752</v>
      </c>
      <c r="W29" s="41">
        <v>1247</v>
      </c>
      <c r="Y29" s="25" t="s">
        <v>78</v>
      </c>
      <c r="Z29" s="32">
        <v>1486.06</v>
      </c>
      <c r="AA29" s="32">
        <v>498.79</v>
      </c>
      <c r="AB29" s="32">
        <v>1172.74</v>
      </c>
      <c r="AC29" s="32">
        <v>561.46</v>
      </c>
      <c r="AD29" s="32">
        <v>201.33</v>
      </c>
      <c r="AE29" s="32">
        <v>370.5</v>
      </c>
      <c r="AG29" s="1" t="s">
        <v>38</v>
      </c>
      <c r="AH29" s="44">
        <v>5733.32</v>
      </c>
      <c r="AI29" s="44">
        <v>6354.19</v>
      </c>
      <c r="AJ29" s="44">
        <v>2318.92</v>
      </c>
      <c r="AK29" s="44">
        <v>2961.93</v>
      </c>
      <c r="AL29" s="44">
        <v>433.11</v>
      </c>
      <c r="AM29" s="44">
        <v>0</v>
      </c>
      <c r="AO29" s="26" t="s">
        <v>42</v>
      </c>
      <c r="AP29" s="50"/>
      <c r="AQ29" s="50"/>
      <c r="AR29" s="50"/>
      <c r="AS29" s="50"/>
      <c r="AT29" s="50"/>
      <c r="AU29" s="50"/>
    </row>
    <row r="30" spans="1:47" x14ac:dyDescent="0.3">
      <c r="A30" s="17" t="s">
        <v>42</v>
      </c>
      <c r="B30" s="34"/>
      <c r="C30" s="34"/>
      <c r="D30" s="34"/>
      <c r="E30" s="34"/>
      <c r="F30" s="34"/>
      <c r="G30" s="34"/>
      <c r="I30" s="28" t="s">
        <v>46</v>
      </c>
      <c r="J30" s="33">
        <f>J28+J29</f>
        <v>40310</v>
      </c>
      <c r="K30" s="33">
        <f t="shared" ref="K30:O30" si="12">K28+K29</f>
        <v>32313</v>
      </c>
      <c r="L30" s="33">
        <f t="shared" si="12"/>
        <v>34281</v>
      </c>
      <c r="M30" s="33">
        <f t="shared" si="12"/>
        <v>12932</v>
      </c>
      <c r="N30" s="33">
        <f t="shared" si="12"/>
        <v>15195</v>
      </c>
      <c r="O30" s="33">
        <f t="shared" si="12"/>
        <v>13326</v>
      </c>
      <c r="Q30" s="25" t="s">
        <v>37</v>
      </c>
      <c r="R30" s="40">
        <v>6</v>
      </c>
      <c r="S30" s="40">
        <v>6</v>
      </c>
      <c r="T30" s="40">
        <v>7</v>
      </c>
      <c r="U30" s="40">
        <v>3</v>
      </c>
      <c r="V30" s="40">
        <v>5</v>
      </c>
      <c r="W30" s="41">
        <v>15</v>
      </c>
      <c r="Y30" s="25" t="s">
        <v>22</v>
      </c>
      <c r="Z30" s="32">
        <v>446.42</v>
      </c>
      <c r="AA30" s="32">
        <v>1420.97</v>
      </c>
      <c r="AB30" s="32">
        <v>2011.62</v>
      </c>
      <c r="AC30" s="32">
        <v>1435.51</v>
      </c>
      <c r="AD30" s="32">
        <v>1172.58</v>
      </c>
      <c r="AE30" s="32">
        <v>1456.14</v>
      </c>
      <c r="AG30" s="1" t="s">
        <v>101</v>
      </c>
      <c r="AH30" s="44">
        <v>27.2</v>
      </c>
      <c r="AI30" s="44">
        <v>17.010000000000002</v>
      </c>
      <c r="AJ30" s="44">
        <v>14</v>
      </c>
      <c r="AK30" s="44">
        <v>29.28</v>
      </c>
      <c r="AL30" s="44">
        <v>4542.32</v>
      </c>
      <c r="AM30" s="44">
        <v>2911.95</v>
      </c>
      <c r="AO30" s="25" t="s">
        <v>43</v>
      </c>
      <c r="AP30" s="47">
        <v>306.19</v>
      </c>
      <c r="AQ30" s="47">
        <v>293.07</v>
      </c>
      <c r="AR30" s="47">
        <v>293.07</v>
      </c>
      <c r="AS30" s="47">
        <v>293.07</v>
      </c>
      <c r="AT30" s="47">
        <v>293.07</v>
      </c>
      <c r="AU30" s="47">
        <v>879.18</v>
      </c>
    </row>
    <row r="31" spans="1:47" x14ac:dyDescent="0.3">
      <c r="A31" s="1" t="s">
        <v>43</v>
      </c>
      <c r="B31" s="32">
        <v>6162.73</v>
      </c>
      <c r="C31" s="32">
        <v>6162.73</v>
      </c>
      <c r="D31" s="32">
        <v>6162.73</v>
      </c>
      <c r="E31" s="32">
        <v>6162.73</v>
      </c>
      <c r="F31" s="32">
        <v>6162.73</v>
      </c>
      <c r="G31" s="32">
        <v>6162.73</v>
      </c>
      <c r="I31" s="26" t="s">
        <v>47</v>
      </c>
      <c r="J31" s="34"/>
      <c r="K31" s="34"/>
      <c r="L31" s="34"/>
      <c r="M31" s="34"/>
      <c r="N31" s="34"/>
      <c r="O31" s="34"/>
      <c r="Q31" s="25" t="s">
        <v>38</v>
      </c>
      <c r="R31" s="40">
        <v>2286</v>
      </c>
      <c r="S31" s="40">
        <v>2091</v>
      </c>
      <c r="T31" s="40">
        <v>4250</v>
      </c>
      <c r="U31" s="40">
        <v>4277</v>
      </c>
      <c r="V31" s="40">
        <v>4885</v>
      </c>
      <c r="W31" s="41">
        <v>6684</v>
      </c>
      <c r="Y31" s="25" t="s">
        <v>88</v>
      </c>
      <c r="Z31" s="32">
        <v>0</v>
      </c>
      <c r="AA31" s="32">
        <v>0.42</v>
      </c>
      <c r="AB31" s="32">
        <v>1.25</v>
      </c>
      <c r="AC31" s="32">
        <v>0</v>
      </c>
      <c r="AD31" s="32">
        <v>0</v>
      </c>
      <c r="AE31" s="32">
        <v>2.33</v>
      </c>
      <c r="AG31" s="19" t="s">
        <v>39</v>
      </c>
      <c r="AH31" s="45">
        <f>SUM(AH22:AH30)</f>
        <v>41125.46</v>
      </c>
      <c r="AI31" s="45">
        <f t="shared" ref="AI31:AM31" si="13">SUM(AI22:AI30)</f>
        <v>32184.209999999995</v>
      </c>
      <c r="AJ31" s="45">
        <f t="shared" si="13"/>
        <v>28839.659999999996</v>
      </c>
      <c r="AK31" s="45">
        <f t="shared" si="13"/>
        <v>37994.620000000003</v>
      </c>
      <c r="AL31" s="45">
        <f t="shared" si="13"/>
        <v>48137.689999999995</v>
      </c>
      <c r="AM31" s="45">
        <f t="shared" si="13"/>
        <v>41888.480000000003</v>
      </c>
      <c r="AO31" s="25" t="s">
        <v>44</v>
      </c>
      <c r="AP31" s="47">
        <v>27366.880000000001</v>
      </c>
      <c r="AQ31" s="47">
        <v>29590.98</v>
      </c>
      <c r="AR31" s="47">
        <v>17725.18</v>
      </c>
      <c r="AS31" s="47">
        <v>22327.759999999998</v>
      </c>
      <c r="AT31" s="47">
        <v>25362.83</v>
      </c>
      <c r="AU31" s="47">
        <v>28816.59</v>
      </c>
    </row>
    <row r="32" spans="1:47" x14ac:dyDescent="0.3">
      <c r="A32" s="1" t="s">
        <v>44</v>
      </c>
      <c r="B32" s="32">
        <v>25994.19</v>
      </c>
      <c r="C32" s="32">
        <v>30354.63</v>
      </c>
      <c r="D32" s="32">
        <v>36980.31</v>
      </c>
      <c r="E32" s="32">
        <v>51082.16</v>
      </c>
      <c r="F32" s="32">
        <v>76567.05</v>
      </c>
      <c r="G32" s="32">
        <v>92942.19</v>
      </c>
      <c r="I32" s="25" t="s">
        <v>48</v>
      </c>
      <c r="J32" s="32">
        <v>0</v>
      </c>
      <c r="K32" s="32">
        <v>4312</v>
      </c>
      <c r="L32" s="32">
        <v>2111</v>
      </c>
      <c r="M32" s="32">
        <v>1500</v>
      </c>
      <c r="N32" s="32">
        <v>4246</v>
      </c>
      <c r="O32" s="32">
        <v>5990</v>
      </c>
      <c r="Q32" s="25" t="s">
        <v>79</v>
      </c>
      <c r="R32" s="40">
        <v>9</v>
      </c>
      <c r="S32" s="40">
        <v>8</v>
      </c>
      <c r="T32" s="40">
        <v>8</v>
      </c>
      <c r="U32" s="40">
        <v>4</v>
      </c>
      <c r="V32" s="40">
        <v>1</v>
      </c>
      <c r="W32" s="41">
        <v>29</v>
      </c>
      <c r="Y32" s="25" t="s">
        <v>37</v>
      </c>
      <c r="Z32" s="32">
        <v>143.19999999999999</v>
      </c>
      <c r="AA32" s="32">
        <v>156.74</v>
      </c>
      <c r="AB32" s="32">
        <v>61.63</v>
      </c>
      <c r="AC32" s="32">
        <v>117.69</v>
      </c>
      <c r="AD32" s="32">
        <v>79.680000000000007</v>
      </c>
      <c r="AE32" s="32">
        <v>79.52</v>
      </c>
      <c r="AG32" s="19" t="s">
        <v>80</v>
      </c>
      <c r="AH32" s="45">
        <f>AH20+AH31</f>
        <v>126927.63999999998</v>
      </c>
      <c r="AI32" s="45">
        <f t="shared" ref="AI32:AM32" si="14">AI20+AI31</f>
        <v>119245.86999999998</v>
      </c>
      <c r="AJ32" s="45">
        <f t="shared" si="14"/>
        <v>120109.12000000002</v>
      </c>
      <c r="AK32" s="45">
        <f t="shared" si="14"/>
        <v>130481.09</v>
      </c>
      <c r="AL32" s="45">
        <f t="shared" si="14"/>
        <v>140708.57999999999</v>
      </c>
      <c r="AM32" s="45">
        <f t="shared" si="14"/>
        <v>136370.94000000003</v>
      </c>
      <c r="AO32" s="25" t="s">
        <v>45</v>
      </c>
      <c r="AP32" s="47">
        <v>8.0500000000000007</v>
      </c>
      <c r="AQ32" s="47">
        <v>13.54</v>
      </c>
      <c r="AR32" s="47">
        <v>13.45</v>
      </c>
      <c r="AS32" s="47">
        <v>14.23</v>
      </c>
      <c r="AT32" s="47">
        <v>17.010000000000002</v>
      </c>
      <c r="AU32" s="47">
        <v>11.41</v>
      </c>
    </row>
    <row r="33" spans="1:47" x14ac:dyDescent="0.3">
      <c r="A33" s="1" t="s">
        <v>45</v>
      </c>
      <c r="B33" s="32">
        <v>394.08</v>
      </c>
      <c r="C33" s="32">
        <v>441.08</v>
      </c>
      <c r="D33" s="32">
        <v>673.79</v>
      </c>
      <c r="E33" s="32">
        <v>770.68</v>
      </c>
      <c r="F33" s="32">
        <v>852.12</v>
      </c>
      <c r="G33" s="32">
        <v>845.77</v>
      </c>
      <c r="I33" s="25" t="s">
        <v>66</v>
      </c>
      <c r="J33" s="32">
        <v>0</v>
      </c>
      <c r="K33" s="32">
        <v>0</v>
      </c>
      <c r="L33" s="32">
        <v>6</v>
      </c>
      <c r="M33" s="32">
        <v>19</v>
      </c>
      <c r="N33" s="32">
        <v>178</v>
      </c>
      <c r="O33" s="32">
        <v>178</v>
      </c>
      <c r="Q33" s="28" t="s">
        <v>39</v>
      </c>
      <c r="R33" s="42">
        <f>SUM(R22:R32)</f>
        <v>36478</v>
      </c>
      <c r="S33" s="42">
        <f t="shared" ref="S33:W33" si="15">SUM(S22:S32)</f>
        <v>35852</v>
      </c>
      <c r="T33" s="42">
        <f t="shared" si="15"/>
        <v>65374</v>
      </c>
      <c r="U33" s="42">
        <f t="shared" si="15"/>
        <v>68150</v>
      </c>
      <c r="V33" s="42">
        <f t="shared" si="15"/>
        <v>64534</v>
      </c>
      <c r="W33" s="42">
        <f t="shared" si="15"/>
        <v>70736</v>
      </c>
      <c r="Y33" s="25" t="s">
        <v>90</v>
      </c>
      <c r="Z33" s="32">
        <v>3177.69</v>
      </c>
      <c r="AA33" s="32">
        <v>2153.44</v>
      </c>
      <c r="AB33" s="32">
        <v>3508.82</v>
      </c>
      <c r="AC33" s="32">
        <v>4829.75</v>
      </c>
      <c r="AD33" s="32">
        <v>4218.41</v>
      </c>
      <c r="AE33" s="32">
        <v>4538.4399999999996</v>
      </c>
      <c r="AG33" s="26" t="s">
        <v>92</v>
      </c>
      <c r="AH33" s="34"/>
      <c r="AI33" s="34"/>
      <c r="AJ33" s="34"/>
      <c r="AK33" s="34"/>
      <c r="AL33" s="34"/>
      <c r="AM33" s="34"/>
      <c r="AO33" s="28" t="s">
        <v>82</v>
      </c>
      <c r="AP33" s="49">
        <f>SUM(AP30:AP32)</f>
        <v>27681.119999999999</v>
      </c>
      <c r="AQ33" s="49">
        <f t="shared" ref="AQ33:AU33" si="16">SUM(AQ30:AQ32)</f>
        <v>29897.59</v>
      </c>
      <c r="AR33" s="49">
        <f t="shared" si="16"/>
        <v>18031.7</v>
      </c>
      <c r="AS33" s="49">
        <f t="shared" si="16"/>
        <v>22635.059999999998</v>
      </c>
      <c r="AT33" s="49">
        <f t="shared" si="16"/>
        <v>25672.91</v>
      </c>
      <c r="AU33" s="49">
        <f t="shared" si="16"/>
        <v>29707.18</v>
      </c>
    </row>
    <row r="34" spans="1:47" x14ac:dyDescent="0.3">
      <c r="A34" s="19" t="s">
        <v>46</v>
      </c>
      <c r="B34" s="33">
        <f>SUM(B31:B33)</f>
        <v>32551</v>
      </c>
      <c r="C34" s="33">
        <f t="shared" ref="C34:G34" si="17">SUM(C31:C33)</f>
        <v>36958.44</v>
      </c>
      <c r="D34" s="33">
        <f t="shared" si="17"/>
        <v>43816.829999999994</v>
      </c>
      <c r="E34" s="33">
        <f t="shared" si="17"/>
        <v>58015.57</v>
      </c>
      <c r="F34" s="33">
        <f t="shared" si="17"/>
        <v>83581.899999999994</v>
      </c>
      <c r="G34" s="33">
        <f t="shared" si="17"/>
        <v>99950.69</v>
      </c>
      <c r="I34" s="25" t="s">
        <v>50</v>
      </c>
      <c r="J34" s="32">
        <v>22</v>
      </c>
      <c r="K34" s="32">
        <v>8</v>
      </c>
      <c r="L34" s="32">
        <v>1024</v>
      </c>
      <c r="M34" s="32">
        <v>1060</v>
      </c>
      <c r="N34" s="32">
        <f>925</f>
        <v>925</v>
      </c>
      <c r="O34" s="32">
        <f>342+963</f>
        <v>1305</v>
      </c>
      <c r="Q34" s="28" t="s">
        <v>80</v>
      </c>
      <c r="R34" s="42">
        <f>R20+R33</f>
        <v>131820</v>
      </c>
      <c r="S34" s="42">
        <f t="shared" ref="S34:W34" si="18">S20+S33</f>
        <v>148317</v>
      </c>
      <c r="T34" s="42">
        <f t="shared" si="18"/>
        <v>196485</v>
      </c>
      <c r="U34" s="42">
        <f t="shared" si="18"/>
        <v>211078</v>
      </c>
      <c r="V34" s="42">
        <f t="shared" si="18"/>
        <v>228198</v>
      </c>
      <c r="W34" s="42">
        <f t="shared" si="18"/>
        <v>240742</v>
      </c>
      <c r="Y34" s="28" t="s">
        <v>39</v>
      </c>
      <c r="Z34" s="33">
        <f>SUM(Z23:Z33)</f>
        <v>55909.27</v>
      </c>
      <c r="AA34" s="33">
        <f t="shared" ref="AA34:AE34" si="19">SUM(AA23:AA33)</f>
        <v>60112.37</v>
      </c>
      <c r="AB34" s="33">
        <f t="shared" si="19"/>
        <v>92256.069999999992</v>
      </c>
      <c r="AC34" s="33">
        <f t="shared" si="19"/>
        <v>86606.14</v>
      </c>
      <c r="AD34" s="33">
        <f t="shared" si="19"/>
        <v>70503.59</v>
      </c>
      <c r="AE34" s="33">
        <f t="shared" si="19"/>
        <v>68391.539999999994</v>
      </c>
      <c r="AG34" s="26" t="s">
        <v>42</v>
      </c>
      <c r="AH34" s="34"/>
      <c r="AI34" s="34"/>
      <c r="AJ34" s="34"/>
      <c r="AK34" s="34"/>
      <c r="AL34" s="34"/>
      <c r="AM34" s="34"/>
      <c r="AO34" s="26" t="s">
        <v>47</v>
      </c>
      <c r="AP34" s="50"/>
      <c r="AQ34" s="50"/>
      <c r="AR34" s="50"/>
      <c r="AS34" s="50"/>
      <c r="AT34" s="50"/>
      <c r="AU34" s="50"/>
    </row>
    <row r="35" spans="1:47" x14ac:dyDescent="0.3">
      <c r="A35" s="17" t="s">
        <v>47</v>
      </c>
      <c r="B35" s="34"/>
      <c r="C35" s="34"/>
      <c r="D35" s="34"/>
      <c r="E35" s="34"/>
      <c r="F35" s="34"/>
      <c r="G35" s="34"/>
      <c r="I35" s="25" t="s">
        <v>53</v>
      </c>
      <c r="J35" s="32">
        <v>1068</v>
      </c>
      <c r="K35" s="32">
        <v>1036</v>
      </c>
      <c r="L35" s="32">
        <v>212</v>
      </c>
      <c r="M35" s="32">
        <v>189</v>
      </c>
      <c r="N35" s="32">
        <v>199</v>
      </c>
      <c r="O35" s="32">
        <v>200</v>
      </c>
      <c r="Q35" s="26" t="s">
        <v>41</v>
      </c>
      <c r="R35" s="34"/>
      <c r="S35" s="34"/>
      <c r="T35" s="34"/>
      <c r="U35" s="34"/>
      <c r="V35" s="34"/>
      <c r="W35" s="38"/>
      <c r="Y35" s="25" t="s">
        <v>91</v>
      </c>
      <c r="Z35" s="32">
        <v>2823.45</v>
      </c>
      <c r="AA35" s="32">
        <v>99.53</v>
      </c>
      <c r="AB35" s="32">
        <v>300.54000000000002</v>
      </c>
      <c r="AC35" s="32">
        <v>59.4</v>
      </c>
      <c r="AD35" s="32">
        <v>44.66</v>
      </c>
      <c r="AE35" s="32">
        <v>0</v>
      </c>
      <c r="AG35" s="1" t="s">
        <v>43</v>
      </c>
      <c r="AH35" s="44">
        <v>4130.53</v>
      </c>
      <c r="AI35" s="44">
        <v>4130.53</v>
      </c>
      <c r="AJ35" s="44">
        <v>4130.53</v>
      </c>
      <c r="AK35" s="44">
        <v>4130.53</v>
      </c>
      <c r="AL35" s="44">
        <v>4130.53</v>
      </c>
      <c r="AM35" s="44">
        <v>4130.53</v>
      </c>
      <c r="AO35" s="25" t="s">
        <v>48</v>
      </c>
      <c r="AP35" s="47">
        <v>0</v>
      </c>
      <c r="AQ35" s="47">
        <v>546.42999999999995</v>
      </c>
      <c r="AR35" s="47">
        <v>0</v>
      </c>
      <c r="AS35" s="47">
        <v>0</v>
      </c>
      <c r="AT35" s="47">
        <v>0</v>
      </c>
      <c r="AU35" s="47">
        <v>0</v>
      </c>
    </row>
    <row r="36" spans="1:47" x14ac:dyDescent="0.3">
      <c r="A36" s="1" t="s">
        <v>48</v>
      </c>
      <c r="B36" s="32">
        <v>1993.38</v>
      </c>
      <c r="C36" s="32">
        <v>2688.1</v>
      </c>
      <c r="D36" s="32">
        <v>3301.78</v>
      </c>
      <c r="E36" s="32">
        <v>4106.25</v>
      </c>
      <c r="F36" s="32">
        <v>5617.2</v>
      </c>
      <c r="G36" s="32">
        <v>7385.75</v>
      </c>
      <c r="I36" s="25" t="s">
        <v>51</v>
      </c>
      <c r="J36" s="32">
        <v>162</v>
      </c>
      <c r="K36" s="32">
        <v>182</v>
      </c>
      <c r="L36" s="32">
        <v>942</v>
      </c>
      <c r="M36" s="32">
        <v>2314</v>
      </c>
      <c r="N36" s="32">
        <v>2311</v>
      </c>
      <c r="O36" s="32">
        <v>2292</v>
      </c>
      <c r="Q36" s="26" t="s">
        <v>42</v>
      </c>
      <c r="R36" s="34"/>
      <c r="S36" s="34"/>
      <c r="T36" s="34"/>
      <c r="U36" s="34"/>
      <c r="V36" s="34"/>
      <c r="W36" s="38"/>
      <c r="Y36" s="28" t="s">
        <v>80</v>
      </c>
      <c r="Z36" s="33">
        <f>Z21+Z34+Z35</f>
        <v>250418.47</v>
      </c>
      <c r="AA36" s="33">
        <f t="shared" ref="AA36:AE36" si="20">AA21+AA34+AA35</f>
        <v>245487.21000000002</v>
      </c>
      <c r="AB36" s="33">
        <f t="shared" si="20"/>
        <v>285445.59999999998</v>
      </c>
      <c r="AC36" s="33">
        <f t="shared" si="20"/>
        <v>288021.74</v>
      </c>
      <c r="AD36" s="33">
        <f t="shared" si="20"/>
        <v>273423.49999999994</v>
      </c>
      <c r="AE36" s="33">
        <f t="shared" si="20"/>
        <v>279394.8</v>
      </c>
      <c r="AG36" s="1" t="s">
        <v>44</v>
      </c>
      <c r="AH36" s="44">
        <v>37379.699999999997</v>
      </c>
      <c r="AI36" s="44">
        <v>41275.69</v>
      </c>
      <c r="AJ36" s="44">
        <v>50081.15</v>
      </c>
      <c r="AK36" s="44">
        <v>50616.14</v>
      </c>
      <c r="AL36" s="44">
        <v>52970.69</v>
      </c>
      <c r="AM36" s="44">
        <v>54775.08</v>
      </c>
      <c r="AO36" s="25" t="s">
        <v>49</v>
      </c>
      <c r="AP36" s="47">
        <v>0</v>
      </c>
      <c r="AQ36" s="47">
        <v>0</v>
      </c>
      <c r="AR36" s="47">
        <v>5.85</v>
      </c>
      <c r="AS36" s="47">
        <v>5.0199999999999996</v>
      </c>
      <c r="AT36" s="47">
        <v>1.76</v>
      </c>
      <c r="AU36" s="47">
        <v>1.97</v>
      </c>
    </row>
    <row r="37" spans="1:47" x14ac:dyDescent="0.3">
      <c r="A37" s="1" t="s">
        <v>49</v>
      </c>
      <c r="B37" s="32">
        <v>0</v>
      </c>
      <c r="C37" s="32">
        <v>0</v>
      </c>
      <c r="D37" s="32">
        <v>159.66</v>
      </c>
      <c r="E37" s="32">
        <v>157</v>
      </c>
      <c r="F37" s="32">
        <v>156.29</v>
      </c>
      <c r="G37" s="32">
        <v>146.46</v>
      </c>
      <c r="I37" s="28" t="s">
        <v>54</v>
      </c>
      <c r="J37" s="33">
        <f>SUM(J32:J36)</f>
        <v>1252</v>
      </c>
      <c r="K37" s="33">
        <f t="shared" ref="K37:O37" si="21">SUM(K32:K36)</f>
        <v>5538</v>
      </c>
      <c r="L37" s="33">
        <f t="shared" si="21"/>
        <v>4295</v>
      </c>
      <c r="M37" s="33">
        <f t="shared" si="21"/>
        <v>5082</v>
      </c>
      <c r="N37" s="33">
        <f t="shared" si="21"/>
        <v>7859</v>
      </c>
      <c r="O37" s="33">
        <f t="shared" si="21"/>
        <v>9965</v>
      </c>
      <c r="Q37" s="25" t="s">
        <v>43</v>
      </c>
      <c r="R37" s="40">
        <v>301</v>
      </c>
      <c r="S37" s="40">
        <v>302</v>
      </c>
      <c r="T37" s="40">
        <v>301</v>
      </c>
      <c r="U37" s="40">
        <v>301</v>
      </c>
      <c r="V37" s="40">
        <v>305</v>
      </c>
      <c r="W37" s="41">
        <v>305</v>
      </c>
      <c r="Y37" s="26" t="s">
        <v>92</v>
      </c>
      <c r="Z37" s="34"/>
      <c r="AA37" s="34"/>
      <c r="AB37" s="34"/>
      <c r="AC37" s="34"/>
      <c r="AD37" s="34"/>
      <c r="AE37" s="34"/>
      <c r="AG37" s="1" t="s">
        <v>45</v>
      </c>
      <c r="AH37" s="44">
        <v>0.01</v>
      </c>
      <c r="AI37" s="44">
        <v>0.01</v>
      </c>
      <c r="AJ37" s="44">
        <v>0.01</v>
      </c>
      <c r="AK37" s="44">
        <v>0.01</v>
      </c>
      <c r="AL37" s="44">
        <v>0.01</v>
      </c>
      <c r="AM37" s="44">
        <v>-0.01</v>
      </c>
      <c r="AO37" s="25" t="s">
        <v>50</v>
      </c>
      <c r="AP37" s="47">
        <v>5.83</v>
      </c>
      <c r="AQ37" s="47">
        <v>4.7</v>
      </c>
      <c r="AR37" s="47">
        <v>150.28</v>
      </c>
      <c r="AS37" s="47">
        <v>150.28</v>
      </c>
      <c r="AT37" s="47">
        <v>150.28</v>
      </c>
      <c r="AU37" s="47">
        <v>150.28</v>
      </c>
    </row>
    <row r="38" spans="1:47" x14ac:dyDescent="0.3">
      <c r="A38" s="1" t="s">
        <v>50</v>
      </c>
      <c r="B38" s="32">
        <v>802.51</v>
      </c>
      <c r="C38" s="32">
        <v>942.3</v>
      </c>
      <c r="D38" s="32">
        <v>2477.84</v>
      </c>
      <c r="E38" s="32">
        <v>3207.57</v>
      </c>
      <c r="F38" s="32">
        <v>3469.26</v>
      </c>
      <c r="G38" s="32">
        <v>3427.31</v>
      </c>
      <c r="I38" s="26" t="s">
        <v>55</v>
      </c>
      <c r="J38" s="34"/>
      <c r="K38" s="34"/>
      <c r="L38" s="34"/>
      <c r="M38" s="34"/>
      <c r="N38" s="34"/>
      <c r="O38" s="38"/>
      <c r="Q38" s="25" t="s">
        <v>44</v>
      </c>
      <c r="R38" s="40">
        <v>36298</v>
      </c>
      <c r="S38" s="40">
        <v>46462</v>
      </c>
      <c r="T38" s="40">
        <v>66996</v>
      </c>
      <c r="U38" s="40">
        <v>65394</v>
      </c>
      <c r="V38" s="40">
        <v>77364</v>
      </c>
      <c r="W38" s="41">
        <v>79191</v>
      </c>
      <c r="Y38" s="26" t="s">
        <v>42</v>
      </c>
      <c r="Z38" s="34"/>
      <c r="AA38" s="34"/>
      <c r="AB38" s="34"/>
      <c r="AC38" s="34"/>
      <c r="AD38" s="34"/>
      <c r="AE38" s="34"/>
      <c r="AG38" s="19" t="s">
        <v>82</v>
      </c>
      <c r="AH38" s="45">
        <f>SUM(AH35:AH37)</f>
        <v>41510.239999999998</v>
      </c>
      <c r="AI38" s="45">
        <f t="shared" ref="AI38:AM38" si="22">SUM(AI35:AI37)</f>
        <v>45406.23</v>
      </c>
      <c r="AJ38" s="45">
        <f t="shared" si="22"/>
        <v>54211.69</v>
      </c>
      <c r="AK38" s="45">
        <f t="shared" si="22"/>
        <v>54746.68</v>
      </c>
      <c r="AL38" s="45">
        <f t="shared" si="22"/>
        <v>57101.23</v>
      </c>
      <c r="AM38" s="45">
        <f t="shared" si="22"/>
        <v>58905.599999999999</v>
      </c>
      <c r="AO38" s="25" t="s">
        <v>51</v>
      </c>
      <c r="AP38" s="47">
        <v>827.96</v>
      </c>
      <c r="AQ38" s="47">
        <v>945.41</v>
      </c>
      <c r="AR38" s="47">
        <v>1092.46</v>
      </c>
      <c r="AS38" s="47">
        <v>1255.99</v>
      </c>
      <c r="AT38" s="47">
        <v>1431.26</v>
      </c>
      <c r="AU38" s="47">
        <v>1479.09</v>
      </c>
    </row>
    <row r="39" spans="1:47" x14ac:dyDescent="0.3">
      <c r="A39" s="1" t="s">
        <v>51</v>
      </c>
      <c r="B39" s="32">
        <v>60223.45</v>
      </c>
      <c r="C39" s="32">
        <v>63178.61</v>
      </c>
      <c r="D39" s="32">
        <v>65944</v>
      </c>
      <c r="E39" s="32">
        <v>68827.95</v>
      </c>
      <c r="F39" s="32">
        <v>74311.009999999995</v>
      </c>
      <c r="G39" s="32">
        <v>74531.520000000004</v>
      </c>
      <c r="I39" s="25" t="s">
        <v>48</v>
      </c>
      <c r="J39" s="32">
        <v>611</v>
      </c>
      <c r="K39" s="32">
        <v>2161</v>
      </c>
      <c r="L39" s="32">
        <v>712</v>
      </c>
      <c r="M39" s="32">
        <v>10341</v>
      </c>
      <c r="N39" s="32">
        <v>4210</v>
      </c>
      <c r="O39" s="35">
        <v>4661</v>
      </c>
      <c r="Q39" s="25" t="s">
        <v>81</v>
      </c>
      <c r="R39" s="40">
        <v>-575</v>
      </c>
      <c r="S39" s="40">
        <v>-619</v>
      </c>
      <c r="T39" s="40">
        <v>1238</v>
      </c>
      <c r="U39" s="40">
        <v>1344</v>
      </c>
      <c r="V39" s="40">
        <v>2107</v>
      </c>
      <c r="W39" s="41">
        <v>2170</v>
      </c>
      <c r="Y39" s="25" t="s">
        <v>43</v>
      </c>
      <c r="Z39" s="32">
        <v>1144.95</v>
      </c>
      <c r="AA39" s="32">
        <v>1197.6099999999999</v>
      </c>
      <c r="AB39" s="32">
        <v>1221.21</v>
      </c>
      <c r="AC39" s="32">
        <v>1221.24</v>
      </c>
      <c r="AD39" s="32">
        <v>1247.44</v>
      </c>
      <c r="AE39" s="32">
        <v>1247.44</v>
      </c>
      <c r="AG39" s="17" t="s">
        <v>47</v>
      </c>
      <c r="AH39" s="46"/>
      <c r="AI39" s="46"/>
      <c r="AJ39" s="46"/>
      <c r="AK39" s="46"/>
      <c r="AL39" s="46"/>
      <c r="AM39" s="46"/>
      <c r="AO39" s="28" t="s">
        <v>54</v>
      </c>
      <c r="AP39" s="49">
        <f>SUM(AP35:AP38)</f>
        <v>833.79000000000008</v>
      </c>
      <c r="AQ39" s="49">
        <f t="shared" ref="AQ39:AU39" si="23">SUM(AQ35:AQ38)</f>
        <v>1496.54</v>
      </c>
      <c r="AR39" s="49">
        <f t="shared" si="23"/>
        <v>1248.5900000000001</v>
      </c>
      <c r="AS39" s="49">
        <f t="shared" si="23"/>
        <v>1411.29</v>
      </c>
      <c r="AT39" s="49">
        <f t="shared" si="23"/>
        <v>1583.3</v>
      </c>
      <c r="AU39" s="49">
        <f t="shared" si="23"/>
        <v>1631.34</v>
      </c>
    </row>
    <row r="40" spans="1:47" x14ac:dyDescent="0.3">
      <c r="A40" s="1" t="s">
        <v>52</v>
      </c>
      <c r="B40" s="32">
        <v>307.04000000000002</v>
      </c>
      <c r="C40" s="32">
        <v>722.07</v>
      </c>
      <c r="D40" s="32">
        <v>801.35</v>
      </c>
      <c r="E40" s="32">
        <v>1330.68</v>
      </c>
      <c r="F40" s="32">
        <v>1822.16</v>
      </c>
      <c r="G40" s="32">
        <v>1831.9</v>
      </c>
      <c r="I40" s="25" t="s">
        <v>66</v>
      </c>
      <c r="J40" s="32">
        <v>0</v>
      </c>
      <c r="K40" s="32">
        <v>0</v>
      </c>
      <c r="L40" s="32">
        <v>15</v>
      </c>
      <c r="M40" s="32">
        <v>21</v>
      </c>
      <c r="N40" s="32">
        <v>88</v>
      </c>
      <c r="O40" s="35">
        <v>138</v>
      </c>
      <c r="Q40" s="28" t="s">
        <v>82</v>
      </c>
      <c r="R40" s="42">
        <f>SUM(R37:R39)</f>
        <v>36024</v>
      </c>
      <c r="S40" s="42">
        <f t="shared" ref="S40:W40" si="24">SUM(S37:S39)</f>
        <v>46145</v>
      </c>
      <c r="T40" s="42">
        <f t="shared" si="24"/>
        <v>68535</v>
      </c>
      <c r="U40" s="42">
        <f t="shared" si="24"/>
        <v>67039</v>
      </c>
      <c r="V40" s="42">
        <f t="shared" si="24"/>
        <v>79776</v>
      </c>
      <c r="W40" s="42">
        <f t="shared" si="24"/>
        <v>81666</v>
      </c>
      <c r="Y40" s="25" t="s">
        <v>93</v>
      </c>
      <c r="Z40" s="32">
        <v>2275</v>
      </c>
      <c r="AA40" s="32">
        <v>775</v>
      </c>
      <c r="AB40" s="32">
        <v>0</v>
      </c>
      <c r="AC40" s="32">
        <v>0</v>
      </c>
      <c r="AD40" s="32">
        <v>0</v>
      </c>
      <c r="AE40" s="32">
        <v>0</v>
      </c>
      <c r="AG40" s="1" t="s">
        <v>48</v>
      </c>
      <c r="AH40" s="44">
        <v>34560.03</v>
      </c>
      <c r="AI40" s="44">
        <v>19726.03</v>
      </c>
      <c r="AJ40" s="44">
        <v>8135.81</v>
      </c>
      <c r="AK40" s="44">
        <v>6112.58</v>
      </c>
      <c r="AL40" s="44">
        <v>9568.2099999999991</v>
      </c>
      <c r="AM40" s="44">
        <v>10100.950000000001</v>
      </c>
      <c r="AO40" s="26" t="s">
        <v>84</v>
      </c>
      <c r="AP40" s="50"/>
      <c r="AQ40" s="50"/>
      <c r="AR40" s="50"/>
      <c r="AS40" s="50"/>
      <c r="AT40" s="50"/>
      <c r="AU40" s="50"/>
    </row>
    <row r="41" spans="1:47" x14ac:dyDescent="0.3">
      <c r="A41" s="1" t="s">
        <v>53</v>
      </c>
      <c r="B41" s="32">
        <v>5381.81</v>
      </c>
      <c r="C41" s="32">
        <v>5647.3</v>
      </c>
      <c r="D41" s="32">
        <v>6527.71</v>
      </c>
      <c r="E41" s="32">
        <v>6826.99</v>
      </c>
      <c r="F41" s="32">
        <v>7441.9</v>
      </c>
      <c r="G41" s="32">
        <v>8183.09</v>
      </c>
      <c r="I41" s="25" t="s">
        <v>67</v>
      </c>
      <c r="J41" s="32">
        <v>76</v>
      </c>
      <c r="K41" s="32">
        <v>0</v>
      </c>
      <c r="L41" s="32">
        <v>280</v>
      </c>
      <c r="M41" s="32">
        <v>307</v>
      </c>
      <c r="N41" s="32">
        <v>399</v>
      </c>
      <c r="O41" s="35">
        <v>569</v>
      </c>
      <c r="Q41" s="26" t="s">
        <v>47</v>
      </c>
      <c r="R41" s="34"/>
      <c r="S41" s="34"/>
      <c r="T41" s="34"/>
      <c r="U41" s="34"/>
      <c r="V41" s="34"/>
      <c r="W41" s="34"/>
      <c r="Y41" s="25" t="s">
        <v>44</v>
      </c>
      <c r="Z41" s="32">
        <v>70156.350000000006</v>
      </c>
      <c r="AA41" s="32">
        <v>72266.16</v>
      </c>
      <c r="AB41" s="32">
        <v>113221.83</v>
      </c>
      <c r="AC41" s="32">
        <v>101860.86</v>
      </c>
      <c r="AD41" s="32">
        <v>90788.32</v>
      </c>
      <c r="AE41" s="32">
        <v>89922.19</v>
      </c>
      <c r="AG41" s="1" t="s">
        <v>56</v>
      </c>
      <c r="AH41" s="44">
        <v>0</v>
      </c>
      <c r="AI41" s="44">
        <v>0</v>
      </c>
      <c r="AJ41" s="44">
        <v>0</v>
      </c>
      <c r="AK41" s="44">
        <v>0</v>
      </c>
      <c r="AL41" s="44">
        <v>0</v>
      </c>
      <c r="AM41" s="44">
        <v>0</v>
      </c>
      <c r="AO41" s="25" t="s">
        <v>48</v>
      </c>
      <c r="AP41" s="47">
        <v>565.57000000000005</v>
      </c>
      <c r="AQ41" s="47">
        <v>1448.04</v>
      </c>
      <c r="AR41" s="47">
        <v>1792.5</v>
      </c>
      <c r="AS41" s="47">
        <v>415.98</v>
      </c>
      <c r="AT41" s="47">
        <v>3356.54</v>
      </c>
      <c r="AU41" s="47">
        <v>3770.45</v>
      </c>
    </row>
    <row r="42" spans="1:47" x14ac:dyDescent="0.3">
      <c r="A42" s="19" t="s">
        <v>54</v>
      </c>
      <c r="B42" s="33">
        <f>SUM(B36:B41)</f>
        <v>68708.19</v>
      </c>
      <c r="C42" s="33">
        <f t="shared" ref="C42:G42" si="25">SUM(C36:C41)</f>
        <v>73178.38</v>
      </c>
      <c r="D42" s="33">
        <f t="shared" si="25"/>
        <v>79212.340000000011</v>
      </c>
      <c r="E42" s="33">
        <f t="shared" si="25"/>
        <v>84456.439999999988</v>
      </c>
      <c r="F42" s="33">
        <f t="shared" si="25"/>
        <v>92817.819999999992</v>
      </c>
      <c r="G42" s="33">
        <f t="shared" si="25"/>
        <v>95506.03</v>
      </c>
      <c r="I42" s="25" t="s">
        <v>68</v>
      </c>
      <c r="J42" s="32">
        <v>36</v>
      </c>
      <c r="K42" s="32">
        <v>38</v>
      </c>
      <c r="L42" s="32">
        <v>2038</v>
      </c>
      <c r="M42" s="32">
        <v>2088</v>
      </c>
      <c r="N42" s="32">
        <v>2106</v>
      </c>
      <c r="O42" s="35">
        <v>2204</v>
      </c>
      <c r="Q42" s="25" t="s">
        <v>48</v>
      </c>
      <c r="R42" s="40">
        <v>44673</v>
      </c>
      <c r="S42" s="40">
        <v>49731</v>
      </c>
      <c r="T42" s="40">
        <v>57929</v>
      </c>
      <c r="U42" s="40">
        <v>61966</v>
      </c>
      <c r="V42" s="40">
        <v>67354</v>
      </c>
      <c r="W42" s="40">
        <v>81983</v>
      </c>
      <c r="Y42" s="25" t="s">
        <v>45</v>
      </c>
      <c r="Z42" s="32">
        <v>2586.6</v>
      </c>
      <c r="AA42" s="32">
        <v>3269.68</v>
      </c>
      <c r="AB42" s="32">
        <v>2655.42</v>
      </c>
      <c r="AC42" s="32">
        <v>2093.11</v>
      </c>
      <c r="AD42" s="32">
        <v>396.98</v>
      </c>
      <c r="AE42" s="32">
        <v>183.15</v>
      </c>
      <c r="AG42" s="1" t="s">
        <v>97</v>
      </c>
      <c r="AH42" s="44">
        <v>10.7</v>
      </c>
      <c r="AI42" s="44">
        <v>4.0999999999999996</v>
      </c>
      <c r="AJ42" s="44">
        <v>3.34</v>
      </c>
      <c r="AK42" s="44">
        <v>3.31</v>
      </c>
      <c r="AL42" s="44">
        <v>6.07</v>
      </c>
      <c r="AM42" s="44">
        <v>5.93</v>
      </c>
      <c r="AO42" s="25" t="s">
        <v>85</v>
      </c>
      <c r="AP42" s="47">
        <v>15.25</v>
      </c>
      <c r="AQ42" s="47">
        <v>12.66</v>
      </c>
      <c r="AR42" s="47">
        <v>26.59</v>
      </c>
      <c r="AS42" s="47">
        <v>25.23</v>
      </c>
      <c r="AT42" s="47">
        <v>28.29</v>
      </c>
      <c r="AU42" s="47">
        <v>34.94</v>
      </c>
    </row>
    <row r="43" spans="1:47" x14ac:dyDescent="0.3">
      <c r="A43" s="17" t="s">
        <v>55</v>
      </c>
      <c r="B43" s="34"/>
      <c r="C43" s="34"/>
      <c r="D43" s="34"/>
      <c r="E43" s="34"/>
      <c r="F43" s="34"/>
      <c r="G43" s="34"/>
      <c r="I43" s="25" t="s">
        <v>69</v>
      </c>
      <c r="J43" s="32">
        <v>1376</v>
      </c>
      <c r="K43" s="32">
        <v>1507</v>
      </c>
      <c r="L43" s="32">
        <v>0</v>
      </c>
      <c r="M43" s="32">
        <v>0</v>
      </c>
      <c r="N43" s="32">
        <v>0</v>
      </c>
      <c r="O43" s="35">
        <v>0</v>
      </c>
      <c r="Q43" s="25" t="s">
        <v>66</v>
      </c>
      <c r="R43" s="40">
        <v>1744</v>
      </c>
      <c r="S43" s="40">
        <v>1939</v>
      </c>
      <c r="T43" s="40">
        <v>1582</v>
      </c>
      <c r="U43" s="40">
        <v>1594</v>
      </c>
      <c r="V43" s="40">
        <v>2060</v>
      </c>
      <c r="W43" s="40">
        <v>2399</v>
      </c>
      <c r="Y43" s="28" t="s">
        <v>82</v>
      </c>
      <c r="Z43" s="33">
        <f>SUM(Z39:Z42)</f>
        <v>76162.900000000009</v>
      </c>
      <c r="AA43" s="33">
        <f t="shared" ref="AA43:AE43" si="26">SUM(AA39:AA42)</f>
        <v>77508.45</v>
      </c>
      <c r="AB43" s="33">
        <f t="shared" si="26"/>
        <v>117098.46</v>
      </c>
      <c r="AC43" s="33">
        <f t="shared" si="26"/>
        <v>105175.21</v>
      </c>
      <c r="AD43" s="33">
        <f t="shared" si="26"/>
        <v>92432.74</v>
      </c>
      <c r="AE43" s="33">
        <f t="shared" si="26"/>
        <v>91352.78</v>
      </c>
      <c r="AG43" s="19" t="s">
        <v>58</v>
      </c>
      <c r="AH43" s="45">
        <f>AH41+AH42</f>
        <v>10.7</v>
      </c>
      <c r="AI43" s="45">
        <f t="shared" ref="AI43:AM43" si="27">AI41+AI42</f>
        <v>4.0999999999999996</v>
      </c>
      <c r="AJ43" s="45">
        <f t="shared" si="27"/>
        <v>3.34</v>
      </c>
      <c r="AK43" s="45">
        <f t="shared" si="27"/>
        <v>3.31</v>
      </c>
      <c r="AL43" s="45">
        <f t="shared" si="27"/>
        <v>6.07</v>
      </c>
      <c r="AM43" s="45">
        <f t="shared" si="27"/>
        <v>5.93</v>
      </c>
      <c r="AO43" s="25" t="s">
        <v>97</v>
      </c>
      <c r="AP43" s="47">
        <v>210.65</v>
      </c>
      <c r="AQ43" s="47">
        <v>348.12</v>
      </c>
      <c r="AR43" s="47">
        <v>638.16999999999996</v>
      </c>
      <c r="AS43" s="47">
        <v>400.68</v>
      </c>
      <c r="AT43" s="47">
        <v>384.26</v>
      </c>
      <c r="AU43" s="47">
        <v>286.52</v>
      </c>
    </row>
    <row r="44" spans="1:47" x14ac:dyDescent="0.3">
      <c r="A44" s="1" t="s">
        <v>48</v>
      </c>
      <c r="B44" s="32">
        <v>4432.6099999999997</v>
      </c>
      <c r="C44" s="32">
        <v>3187.2</v>
      </c>
      <c r="D44" s="32">
        <v>7.98</v>
      </c>
      <c r="E44" s="32">
        <v>8.48</v>
      </c>
      <c r="F44" s="32">
        <v>671.82</v>
      </c>
      <c r="G44" s="32">
        <v>1522.65</v>
      </c>
      <c r="I44" s="28" t="s">
        <v>58</v>
      </c>
      <c r="J44" s="33">
        <f>J42+J43</f>
        <v>1412</v>
      </c>
      <c r="K44" s="33">
        <f t="shared" ref="K44:O44" si="28">K42+K43</f>
        <v>1545</v>
      </c>
      <c r="L44" s="33">
        <f t="shared" si="28"/>
        <v>2038</v>
      </c>
      <c r="M44" s="33">
        <f t="shared" si="28"/>
        <v>2088</v>
      </c>
      <c r="N44" s="33">
        <f t="shared" si="28"/>
        <v>2106</v>
      </c>
      <c r="O44" s="33">
        <f t="shared" si="28"/>
        <v>2204</v>
      </c>
      <c r="Q44" s="25" t="s">
        <v>83</v>
      </c>
      <c r="R44" s="40">
        <v>130</v>
      </c>
      <c r="S44" s="40">
        <v>57</v>
      </c>
      <c r="T44" s="40">
        <v>7</v>
      </c>
      <c r="U44" s="40">
        <v>15</v>
      </c>
      <c r="V44" s="40">
        <v>10</v>
      </c>
      <c r="W44" s="40">
        <v>0</v>
      </c>
      <c r="Y44" s="26" t="s">
        <v>47</v>
      </c>
      <c r="Z44" s="34"/>
      <c r="AA44" s="34"/>
      <c r="AB44" s="34"/>
      <c r="AC44" s="34"/>
      <c r="AD44" s="34"/>
      <c r="AE44" s="34"/>
      <c r="AG44" s="1" t="s">
        <v>66</v>
      </c>
      <c r="AH44" s="44">
        <v>0</v>
      </c>
      <c r="AI44" s="44">
        <v>0</v>
      </c>
      <c r="AJ44" s="44">
        <v>3606.44</v>
      </c>
      <c r="AK44" s="44">
        <v>4737.13</v>
      </c>
      <c r="AL44" s="44">
        <v>5235.25</v>
      </c>
      <c r="AM44" s="44">
        <v>6553.42</v>
      </c>
      <c r="AO44" s="28" t="s">
        <v>58</v>
      </c>
      <c r="AP44" s="49">
        <f>AP42+AP43</f>
        <v>225.9</v>
      </c>
      <c r="AQ44" s="49">
        <f t="shared" ref="AQ44:AU44" si="29">AQ42+AQ43</f>
        <v>360.78000000000003</v>
      </c>
      <c r="AR44" s="49">
        <f t="shared" si="29"/>
        <v>664.76</v>
      </c>
      <c r="AS44" s="49">
        <f t="shared" si="29"/>
        <v>425.91</v>
      </c>
      <c r="AT44" s="49">
        <f t="shared" si="29"/>
        <v>412.55</v>
      </c>
      <c r="AU44" s="49">
        <f t="shared" si="29"/>
        <v>321.45999999999998</v>
      </c>
    </row>
    <row r="45" spans="1:47" x14ac:dyDescent="0.3">
      <c r="A45" s="1" t="s">
        <v>56</v>
      </c>
      <c r="B45" s="32">
        <v>10.39</v>
      </c>
      <c r="C45" s="32">
        <v>27.47</v>
      </c>
      <c r="D45" s="32">
        <v>42.54</v>
      </c>
      <c r="E45" s="32">
        <v>53.9</v>
      </c>
      <c r="F45" s="32">
        <v>157.38</v>
      </c>
      <c r="G45" s="32">
        <v>164.77</v>
      </c>
      <c r="I45" s="25" t="s">
        <v>50</v>
      </c>
      <c r="J45" s="32">
        <v>1487</v>
      </c>
      <c r="K45" s="32">
        <v>1971</v>
      </c>
      <c r="L45" s="32">
        <v>1901</v>
      </c>
      <c r="M45" s="32">
        <v>2419</v>
      </c>
      <c r="N45" s="32">
        <v>1414</v>
      </c>
      <c r="O45" s="35">
        <v>1717</v>
      </c>
      <c r="Q45" s="25" t="s">
        <v>50</v>
      </c>
      <c r="R45" s="40">
        <v>464</v>
      </c>
      <c r="S45" s="40">
        <v>588</v>
      </c>
      <c r="T45" s="40">
        <v>699</v>
      </c>
      <c r="U45" s="40">
        <v>1131</v>
      </c>
      <c r="V45" s="40">
        <v>1774</v>
      </c>
      <c r="W45" s="40">
        <v>3124</v>
      </c>
      <c r="Y45" s="25" t="s">
        <v>48</v>
      </c>
      <c r="Z45" s="32">
        <v>94104.97</v>
      </c>
      <c r="AA45" s="32">
        <v>72408.789999999994</v>
      </c>
      <c r="AB45" s="32">
        <v>44764.07</v>
      </c>
      <c r="AC45" s="32">
        <v>51446.33</v>
      </c>
      <c r="AD45" s="32">
        <v>51576.73</v>
      </c>
      <c r="AE45" s="32">
        <v>68551.81</v>
      </c>
      <c r="AG45" s="1" t="s">
        <v>50</v>
      </c>
      <c r="AH45" s="44">
        <v>1368.51</v>
      </c>
      <c r="AI45" s="44">
        <v>1304.08</v>
      </c>
      <c r="AJ45" s="44">
        <v>1424.79</v>
      </c>
      <c r="AK45" s="44">
        <v>1429</v>
      </c>
      <c r="AL45" s="44">
        <v>1449.99</v>
      </c>
      <c r="AM45" s="44">
        <v>1472.57</v>
      </c>
      <c r="AO45" s="25" t="s">
        <v>49</v>
      </c>
      <c r="AP45" s="47">
        <v>0</v>
      </c>
      <c r="AQ45" s="47">
        <v>0</v>
      </c>
      <c r="AR45" s="47">
        <v>1.59</v>
      </c>
      <c r="AS45" s="47">
        <v>1.66</v>
      </c>
      <c r="AT45" s="47">
        <v>0.48</v>
      </c>
      <c r="AU45" s="47">
        <v>503.4</v>
      </c>
    </row>
    <row r="46" spans="1:47" x14ac:dyDescent="0.3">
      <c r="A46" s="1" t="s">
        <v>57</v>
      </c>
      <c r="B46" s="32">
        <v>7240.57</v>
      </c>
      <c r="C46" s="32">
        <v>7610.16</v>
      </c>
      <c r="D46" s="32">
        <v>8560.99</v>
      </c>
      <c r="E46" s="32">
        <v>8495.2800000000007</v>
      </c>
      <c r="F46" s="32">
        <v>8228.27</v>
      </c>
      <c r="G46" s="32">
        <v>10040.86</v>
      </c>
      <c r="I46" s="25" t="s">
        <v>59</v>
      </c>
      <c r="J46" s="32">
        <v>1694</v>
      </c>
      <c r="K46" s="32">
        <v>1947</v>
      </c>
      <c r="L46" s="32">
        <v>860</v>
      </c>
      <c r="M46" s="32">
        <v>1687</v>
      </c>
      <c r="N46" s="32">
        <v>2126</v>
      </c>
      <c r="O46" s="35">
        <v>1579</v>
      </c>
      <c r="Q46" s="25" t="s">
        <v>51</v>
      </c>
      <c r="R46" s="40">
        <v>348</v>
      </c>
      <c r="S46" s="40">
        <v>852</v>
      </c>
      <c r="T46" s="40">
        <v>1481</v>
      </c>
      <c r="U46" s="40">
        <v>1395</v>
      </c>
      <c r="V46" s="40">
        <v>1451</v>
      </c>
      <c r="W46" s="40">
        <v>1399</v>
      </c>
      <c r="Y46" s="25" t="s">
        <v>83</v>
      </c>
      <c r="Z46" s="32">
        <v>127.92</v>
      </c>
      <c r="AA46" s="32">
        <v>71.41</v>
      </c>
      <c r="AB46" s="32">
        <v>10.35</v>
      </c>
      <c r="AC46" s="32">
        <v>0</v>
      </c>
      <c r="AD46" s="32">
        <v>0.11</v>
      </c>
      <c r="AE46" s="32">
        <v>206.38</v>
      </c>
      <c r="AG46" s="1" t="s">
        <v>51</v>
      </c>
      <c r="AH46" s="44">
        <v>4115.8100000000004</v>
      </c>
      <c r="AI46" s="44">
        <v>4533.75</v>
      </c>
      <c r="AJ46" s="44">
        <v>5342.89</v>
      </c>
      <c r="AK46" s="44">
        <v>5616.63</v>
      </c>
      <c r="AL46" s="44">
        <v>5737.42</v>
      </c>
      <c r="AM46" s="44">
        <v>6106.43</v>
      </c>
      <c r="AO46" s="25" t="s">
        <v>50</v>
      </c>
      <c r="AP46" s="47">
        <v>1220.02</v>
      </c>
      <c r="AQ46" s="47">
        <v>1776.04</v>
      </c>
      <c r="AR46" s="47">
        <v>521.78</v>
      </c>
      <c r="AS46" s="47">
        <v>896.93</v>
      </c>
      <c r="AT46" s="47">
        <v>1119.28</v>
      </c>
      <c r="AU46" s="47">
        <v>1663.89</v>
      </c>
    </row>
    <row r="47" spans="1:47" x14ac:dyDescent="0.3">
      <c r="A47" s="19" t="s">
        <v>58</v>
      </c>
      <c r="B47" s="33">
        <f>B45+B46</f>
        <v>7250.96</v>
      </c>
      <c r="C47" s="33">
        <f t="shared" ref="C47:G47" si="30">C45+C46</f>
        <v>7637.63</v>
      </c>
      <c r="D47" s="33">
        <f t="shared" si="30"/>
        <v>8603.5300000000007</v>
      </c>
      <c r="E47" s="33">
        <f t="shared" si="30"/>
        <v>8549.18</v>
      </c>
      <c r="F47" s="33">
        <f t="shared" si="30"/>
        <v>8385.65</v>
      </c>
      <c r="G47" s="33">
        <f t="shared" si="30"/>
        <v>10205.630000000001</v>
      </c>
      <c r="I47" s="25" t="s">
        <v>51</v>
      </c>
      <c r="J47" s="32">
        <v>70</v>
      </c>
      <c r="K47" s="32">
        <v>70</v>
      </c>
      <c r="L47" s="32">
        <v>32</v>
      </c>
      <c r="M47" s="32">
        <v>26</v>
      </c>
      <c r="N47" s="32">
        <v>21</v>
      </c>
      <c r="O47" s="35">
        <v>19</v>
      </c>
      <c r="Q47" s="25" t="s">
        <v>52</v>
      </c>
      <c r="R47" s="40">
        <v>1677</v>
      </c>
      <c r="S47" s="40">
        <v>3509</v>
      </c>
      <c r="T47" s="40">
        <v>7621</v>
      </c>
      <c r="U47" s="40">
        <v>7936</v>
      </c>
      <c r="V47" s="40">
        <v>9659</v>
      </c>
      <c r="W47" s="40">
        <v>9510</v>
      </c>
      <c r="Y47" s="25" t="s">
        <v>49</v>
      </c>
      <c r="Z47" s="44">
        <v>0</v>
      </c>
      <c r="AA47" s="44">
        <v>0</v>
      </c>
      <c r="AB47" s="32">
        <v>5696.46</v>
      </c>
      <c r="AC47" s="32">
        <v>5811.08</v>
      </c>
      <c r="AD47" s="32">
        <v>4538.7</v>
      </c>
      <c r="AE47" s="32">
        <v>4832.71</v>
      </c>
      <c r="AG47" s="1" t="s">
        <v>52</v>
      </c>
      <c r="AH47" s="44">
        <v>0</v>
      </c>
      <c r="AI47" s="44">
        <v>1334.08</v>
      </c>
      <c r="AJ47" s="44">
        <v>5358.42</v>
      </c>
      <c r="AK47" s="44">
        <v>5821.27</v>
      </c>
      <c r="AL47" s="44">
        <v>6285.5</v>
      </c>
      <c r="AM47" s="44">
        <v>6542.82</v>
      </c>
      <c r="AO47" s="25" t="s">
        <v>59</v>
      </c>
      <c r="AP47" s="47">
        <v>545.25</v>
      </c>
      <c r="AQ47" s="47">
        <v>1852.24</v>
      </c>
      <c r="AR47" s="47">
        <v>2636.3</v>
      </c>
      <c r="AS47" s="47">
        <v>2337.02</v>
      </c>
      <c r="AT47" s="47">
        <f>3027.12+233.56</f>
        <v>3260.68</v>
      </c>
      <c r="AU47" s="47">
        <f>2773.83+251.58</f>
        <v>3025.41</v>
      </c>
    </row>
    <row r="48" spans="1:47" x14ac:dyDescent="0.3">
      <c r="A48" s="1" t="s">
        <v>49</v>
      </c>
      <c r="B48" s="32">
        <v>0</v>
      </c>
      <c r="C48" s="32">
        <v>0</v>
      </c>
      <c r="D48" s="32">
        <v>44.22</v>
      </c>
      <c r="E48" s="32">
        <v>59.69</v>
      </c>
      <c r="F48" s="32">
        <v>77.72</v>
      </c>
      <c r="G48" s="32">
        <v>90.87</v>
      </c>
      <c r="I48" s="25" t="s">
        <v>70</v>
      </c>
      <c r="J48" s="32">
        <v>63</v>
      </c>
      <c r="K48" s="32">
        <v>182</v>
      </c>
      <c r="L48" s="32">
        <v>256</v>
      </c>
      <c r="M48" s="32">
        <v>564</v>
      </c>
      <c r="N48" s="32">
        <v>477</v>
      </c>
      <c r="O48" s="35">
        <v>312</v>
      </c>
      <c r="Q48" s="25" t="s">
        <v>53</v>
      </c>
      <c r="R48" s="40">
        <v>3072</v>
      </c>
      <c r="S48" s="40">
        <v>2197</v>
      </c>
      <c r="T48" s="40">
        <v>1080</v>
      </c>
      <c r="U48" s="40">
        <v>39</v>
      </c>
      <c r="V48" s="40">
        <v>49</v>
      </c>
      <c r="W48" s="40">
        <v>35</v>
      </c>
      <c r="Y48" s="25" t="s">
        <v>50</v>
      </c>
      <c r="Z48" s="32">
        <v>387.67</v>
      </c>
      <c r="AA48" s="32">
        <v>522.70000000000005</v>
      </c>
      <c r="AB48" s="32">
        <v>989.57</v>
      </c>
      <c r="AC48" s="32">
        <v>1871.51</v>
      </c>
      <c r="AD48" s="32">
        <v>1491.83</v>
      </c>
      <c r="AE48" s="32">
        <v>1294.17</v>
      </c>
      <c r="AG48" s="1" t="s">
        <v>53</v>
      </c>
      <c r="AH48" s="44">
        <v>397.51</v>
      </c>
      <c r="AI48" s="44">
        <v>439.97</v>
      </c>
      <c r="AJ48" s="44">
        <v>2682.82</v>
      </c>
      <c r="AK48" s="44">
        <v>2682.21</v>
      </c>
      <c r="AL48" s="44">
        <v>1860.49</v>
      </c>
      <c r="AM48" s="44">
        <v>493.13</v>
      </c>
      <c r="AO48" s="25" t="s">
        <v>51</v>
      </c>
      <c r="AP48" s="47">
        <v>222.78</v>
      </c>
      <c r="AQ48" s="47">
        <v>98.56</v>
      </c>
      <c r="AR48" s="47">
        <v>15.12</v>
      </c>
      <c r="AS48" s="47">
        <v>123.86</v>
      </c>
      <c r="AT48" s="47">
        <v>255.29</v>
      </c>
      <c r="AU48" s="47">
        <v>383.75</v>
      </c>
    </row>
    <row r="49" spans="1:47" x14ac:dyDescent="0.3">
      <c r="A49" s="1" t="s">
        <v>50</v>
      </c>
      <c r="B49" s="32">
        <v>8446.7999999999993</v>
      </c>
      <c r="C49" s="32">
        <v>9925.2999999999993</v>
      </c>
      <c r="D49" s="32">
        <v>11431.07</v>
      </c>
      <c r="E49" s="32">
        <v>12815.19</v>
      </c>
      <c r="F49" s="32">
        <v>16148.19</v>
      </c>
      <c r="G49" s="32">
        <v>17202.86</v>
      </c>
      <c r="I49" s="28" t="s">
        <v>60</v>
      </c>
      <c r="J49" s="33">
        <f>SUM(J39:J41,J44:J48)</f>
        <v>5413</v>
      </c>
      <c r="K49" s="33">
        <f t="shared" ref="K49:O49" si="31">SUM(K39:K41,K44:K48)</f>
        <v>7876</v>
      </c>
      <c r="L49" s="33">
        <f t="shared" si="31"/>
        <v>6094</v>
      </c>
      <c r="M49" s="33">
        <f t="shared" si="31"/>
        <v>17453</v>
      </c>
      <c r="N49" s="33">
        <f t="shared" si="31"/>
        <v>10841</v>
      </c>
      <c r="O49" s="33">
        <f t="shared" si="31"/>
        <v>11199</v>
      </c>
      <c r="Q49" s="28" t="s">
        <v>54</v>
      </c>
      <c r="R49" s="42">
        <f>SUM(R42:R48)</f>
        <v>52108</v>
      </c>
      <c r="S49" s="42">
        <f t="shared" ref="S49:W49" si="32">SUM(S42:S48)</f>
        <v>58873</v>
      </c>
      <c r="T49" s="42">
        <f t="shared" si="32"/>
        <v>70399</v>
      </c>
      <c r="U49" s="42">
        <f t="shared" si="32"/>
        <v>74076</v>
      </c>
      <c r="V49" s="42">
        <f t="shared" si="32"/>
        <v>82357</v>
      </c>
      <c r="W49" s="42">
        <f t="shared" si="32"/>
        <v>98450</v>
      </c>
      <c r="Y49" s="25" t="s">
        <v>51</v>
      </c>
      <c r="Z49" s="32">
        <v>4235.07</v>
      </c>
      <c r="AA49" s="32">
        <v>4691.92</v>
      </c>
      <c r="AB49" s="32">
        <v>4825.9799999999996</v>
      </c>
      <c r="AC49" s="32">
        <v>4775.84</v>
      </c>
      <c r="AD49" s="32">
        <v>5424.03</v>
      </c>
      <c r="AE49" s="32">
        <v>5806.5</v>
      </c>
      <c r="AG49" s="19" t="s">
        <v>54</v>
      </c>
      <c r="AH49" s="45">
        <f>SUM(AH40,AH43:AH48)</f>
        <v>40452.559999999998</v>
      </c>
      <c r="AI49" s="45">
        <f t="shared" ref="AI49:AM49" si="33">SUM(AI40,AI43:AI48)</f>
        <v>27342.010000000002</v>
      </c>
      <c r="AJ49" s="45">
        <f t="shared" si="33"/>
        <v>26554.510000000002</v>
      </c>
      <c r="AK49" s="45">
        <f t="shared" si="33"/>
        <v>26402.13</v>
      </c>
      <c r="AL49" s="45">
        <f t="shared" si="33"/>
        <v>30142.93</v>
      </c>
      <c r="AM49" s="45">
        <f t="shared" si="33"/>
        <v>31275.250000000004</v>
      </c>
      <c r="AO49" s="28" t="s">
        <v>60</v>
      </c>
      <c r="AP49" s="49">
        <f>SUM(AP41,AP44:AP48)</f>
        <v>2779.52</v>
      </c>
      <c r="AQ49" s="49">
        <f t="shared" ref="AQ49:AU49" si="34">SUM(AQ41,AQ44:AQ48)</f>
        <v>5535.66</v>
      </c>
      <c r="AR49" s="49">
        <f t="shared" si="34"/>
        <v>5632.05</v>
      </c>
      <c r="AS49" s="49">
        <f t="shared" si="34"/>
        <v>4201.3599999999997</v>
      </c>
      <c r="AT49" s="49">
        <f t="shared" si="34"/>
        <v>8404.8200000000015</v>
      </c>
      <c r="AU49" s="49">
        <f t="shared" si="34"/>
        <v>9668.36</v>
      </c>
    </row>
    <row r="50" spans="1:47" x14ac:dyDescent="0.3">
      <c r="A50" s="1" t="s">
        <v>59</v>
      </c>
      <c r="B50" s="32">
        <v>22156.48</v>
      </c>
      <c r="C50" s="32">
        <v>24426.84</v>
      </c>
      <c r="D50" s="32">
        <v>30897.32</v>
      </c>
      <c r="E50" s="32">
        <f>32313.94+24.78</f>
        <v>32338.719999999998</v>
      </c>
      <c r="F50" s="32">
        <v>29110.25</v>
      </c>
      <c r="G50" s="32">
        <v>29494.17</v>
      </c>
      <c r="I50" s="29" t="s">
        <v>71</v>
      </c>
      <c r="J50" s="39">
        <f>J30+J37+J49</f>
        <v>46975</v>
      </c>
      <c r="K50" s="39">
        <f t="shared" ref="K50:O50" si="35">K30+K37+K49</f>
        <v>45727</v>
      </c>
      <c r="L50" s="39">
        <f t="shared" si="35"/>
        <v>44670</v>
      </c>
      <c r="M50" s="39">
        <f t="shared" si="35"/>
        <v>35467</v>
      </c>
      <c r="N50" s="39">
        <f t="shared" si="35"/>
        <v>33895</v>
      </c>
      <c r="O50" s="39">
        <f t="shared" si="35"/>
        <v>34490</v>
      </c>
      <c r="Q50" s="26" t="s">
        <v>84</v>
      </c>
      <c r="R50" s="34"/>
      <c r="S50" s="34"/>
      <c r="T50" s="34"/>
      <c r="U50" s="34"/>
      <c r="V50" s="34"/>
      <c r="W50" s="34"/>
      <c r="Y50" s="25" t="s">
        <v>94</v>
      </c>
      <c r="Z50" s="32">
        <v>3598.18</v>
      </c>
      <c r="AA50" s="32">
        <v>3499.79</v>
      </c>
      <c r="AB50" s="32">
        <v>3413.71</v>
      </c>
      <c r="AC50" s="32">
        <v>2931.37</v>
      </c>
      <c r="AD50" s="32">
        <v>3219.48</v>
      </c>
      <c r="AE50" s="32">
        <v>3272.01</v>
      </c>
      <c r="AG50" s="17" t="s">
        <v>55</v>
      </c>
      <c r="AH50" s="46"/>
      <c r="AI50" s="46"/>
      <c r="AJ50" s="46"/>
      <c r="AK50" s="46"/>
      <c r="AL50" s="46"/>
      <c r="AM50" s="46"/>
      <c r="AO50" s="29" t="s">
        <v>71</v>
      </c>
      <c r="AP50" s="51">
        <f>AP33+AP39+AP49</f>
        <v>31294.43</v>
      </c>
      <c r="AQ50" s="51">
        <f t="shared" ref="AQ50:AU50" si="36">AQ33+AQ39+AQ49</f>
        <v>36929.79</v>
      </c>
      <c r="AR50" s="51">
        <f t="shared" si="36"/>
        <v>24912.34</v>
      </c>
      <c r="AS50" s="51">
        <f t="shared" si="36"/>
        <v>28247.71</v>
      </c>
      <c r="AT50" s="51">
        <f t="shared" si="36"/>
        <v>35661.03</v>
      </c>
      <c r="AU50" s="51">
        <f t="shared" si="36"/>
        <v>41006.880000000005</v>
      </c>
    </row>
    <row r="51" spans="1:47" x14ac:dyDescent="0.3">
      <c r="A51" s="1" t="s">
        <v>51</v>
      </c>
      <c r="B51" s="32">
        <v>6781.44</v>
      </c>
      <c r="C51" s="32">
        <v>6465.9</v>
      </c>
      <c r="D51" s="32">
        <v>6224.39</v>
      </c>
      <c r="E51" s="32">
        <v>14963.38</v>
      </c>
      <c r="F51" s="32">
        <f>6680.58+198.33</f>
        <v>6878.91</v>
      </c>
      <c r="G51" s="32">
        <f>6222.35+3.12</f>
        <v>6225.47</v>
      </c>
      <c r="I51" s="1" t="s">
        <v>262</v>
      </c>
      <c r="J51" s="116">
        <f>J24-J49</f>
        <v>19400</v>
      </c>
      <c r="K51" s="116">
        <f t="shared" ref="K51:O51" si="37">K24-K49</f>
        <v>16692</v>
      </c>
      <c r="L51" s="116">
        <f t="shared" si="37"/>
        <v>17888</v>
      </c>
      <c r="M51" s="116">
        <f t="shared" si="37"/>
        <v>-3521</v>
      </c>
      <c r="N51" s="116">
        <f t="shared" si="37"/>
        <v>1784</v>
      </c>
      <c r="O51" s="116">
        <f t="shared" si="37"/>
        <v>427</v>
      </c>
      <c r="Q51" s="25" t="s">
        <v>48</v>
      </c>
      <c r="R51" s="40">
        <v>8325</v>
      </c>
      <c r="S51" s="40">
        <v>1999</v>
      </c>
      <c r="T51" s="40">
        <v>12046</v>
      </c>
      <c r="U51" s="40">
        <v>16876</v>
      </c>
      <c r="V51" s="40">
        <v>18221</v>
      </c>
      <c r="W51" s="40">
        <v>13974</v>
      </c>
      <c r="Y51" s="25" t="s">
        <v>95</v>
      </c>
      <c r="Z51" s="32">
        <v>151.30000000000001</v>
      </c>
      <c r="AA51" s="32">
        <v>144.26</v>
      </c>
      <c r="AB51" s="32">
        <v>137.16</v>
      </c>
      <c r="AC51" s="32">
        <v>132.36000000000001</v>
      </c>
      <c r="AD51" s="32">
        <v>433.65</v>
      </c>
      <c r="AE51" s="32">
        <v>764.91</v>
      </c>
      <c r="AG51" s="1" t="s">
        <v>48</v>
      </c>
      <c r="AH51" s="44">
        <v>16640.78</v>
      </c>
      <c r="AI51" s="44">
        <v>15850.24</v>
      </c>
      <c r="AJ51" s="44">
        <v>5249.84</v>
      </c>
      <c r="AK51" s="44">
        <v>19549.2</v>
      </c>
      <c r="AL51" s="44">
        <v>21032.76</v>
      </c>
      <c r="AM51" s="44">
        <v>19710.169999999998</v>
      </c>
      <c r="AO51" s="1" t="s">
        <v>262</v>
      </c>
      <c r="AP51" s="120">
        <f>AP26-AP49</f>
        <v>4141.1000000000004</v>
      </c>
      <c r="AQ51" s="120">
        <f t="shared" ref="AQ51:AU51" si="38">AQ26-AQ49</f>
        <v>5064.5399999999991</v>
      </c>
      <c r="AR51" s="120">
        <f t="shared" si="38"/>
        <v>10086.189999999999</v>
      </c>
      <c r="AS51" s="120">
        <f t="shared" si="38"/>
        <v>11605.850000000002</v>
      </c>
      <c r="AT51" s="120">
        <f t="shared" si="38"/>
        <v>12875.459999999994</v>
      </c>
      <c r="AU51" s="120">
        <f t="shared" si="38"/>
        <v>13708.319999999992</v>
      </c>
    </row>
    <row r="52" spans="1:47" x14ac:dyDescent="0.3">
      <c r="A52" s="19" t="s">
        <v>60</v>
      </c>
      <c r="B52" s="33">
        <f>SUM(B44,B47:B51)</f>
        <v>49068.29</v>
      </c>
      <c r="C52" s="33">
        <f t="shared" ref="C52:G52" si="39">SUM(C44,C47:C51)</f>
        <v>51642.87</v>
      </c>
      <c r="D52" s="33">
        <f t="shared" si="39"/>
        <v>57208.509999999995</v>
      </c>
      <c r="E52" s="33">
        <f t="shared" si="39"/>
        <v>68734.64</v>
      </c>
      <c r="F52" s="33">
        <f t="shared" si="39"/>
        <v>61272.539999999994</v>
      </c>
      <c r="G52" s="33">
        <f t="shared" si="39"/>
        <v>64741.65</v>
      </c>
      <c r="Q52" s="25" t="s">
        <v>85</v>
      </c>
      <c r="R52" s="40">
        <v>142</v>
      </c>
      <c r="S52" s="40">
        <v>230</v>
      </c>
      <c r="T52" s="40">
        <v>497</v>
      </c>
      <c r="U52" s="40">
        <v>436</v>
      </c>
      <c r="V52" s="40">
        <v>1100</v>
      </c>
      <c r="W52" s="40">
        <v>1316</v>
      </c>
      <c r="Y52" s="25" t="s">
        <v>52</v>
      </c>
      <c r="Z52" s="32">
        <v>9261.3799999999992</v>
      </c>
      <c r="AA52" s="32">
        <v>9241.42</v>
      </c>
      <c r="AB52" s="32">
        <v>12325.78</v>
      </c>
      <c r="AC52" s="32">
        <v>14115.64</v>
      </c>
      <c r="AD52" s="32">
        <v>12992.34</v>
      </c>
      <c r="AE52" s="32">
        <v>14430.15</v>
      </c>
      <c r="AG52" s="1" t="s">
        <v>56</v>
      </c>
      <c r="AH52" s="44">
        <v>47.99</v>
      </c>
      <c r="AI52" s="44">
        <v>103.57</v>
      </c>
      <c r="AJ52" s="44">
        <v>140.65</v>
      </c>
      <c r="AK52" s="44">
        <v>448.62</v>
      </c>
      <c r="AL52" s="44">
        <v>498.06</v>
      </c>
      <c r="AM52" s="44">
        <v>637.65</v>
      </c>
    </row>
    <row r="53" spans="1:47" x14ac:dyDescent="0.3">
      <c r="A53" s="19" t="s">
        <v>61</v>
      </c>
      <c r="B53" s="33">
        <f>B34+B42+B52</f>
        <v>150327.48000000001</v>
      </c>
      <c r="C53" s="33">
        <f t="shared" ref="C53:G53" si="40">C34+C42+C52</f>
        <v>161779.69</v>
      </c>
      <c r="D53" s="33">
        <f t="shared" si="40"/>
        <v>180237.68</v>
      </c>
      <c r="E53" s="33">
        <f t="shared" si="40"/>
        <v>211206.64999999997</v>
      </c>
      <c r="F53" s="33">
        <f t="shared" si="40"/>
        <v>237672.25999999995</v>
      </c>
      <c r="G53" s="33">
        <f t="shared" si="40"/>
        <v>260198.37</v>
      </c>
      <c r="I53" s="1" t="s">
        <v>261</v>
      </c>
      <c r="J53" s="14" t="s">
        <v>254</v>
      </c>
      <c r="K53" s="14" t="s">
        <v>255</v>
      </c>
      <c r="L53" s="14" t="s">
        <v>256</v>
      </c>
      <c r="M53" s="14" t="s">
        <v>257</v>
      </c>
      <c r="N53" s="14" t="s">
        <v>258</v>
      </c>
      <c r="Q53" s="25" t="s">
        <v>57</v>
      </c>
      <c r="R53" s="40">
        <v>17776</v>
      </c>
      <c r="S53" s="40">
        <v>15013</v>
      </c>
      <c r="T53" s="40">
        <v>30392</v>
      </c>
      <c r="U53" s="40">
        <v>37767</v>
      </c>
      <c r="V53" s="40">
        <v>14611</v>
      </c>
      <c r="W53" s="40">
        <v>10702</v>
      </c>
      <c r="Y53" s="25" t="s">
        <v>96</v>
      </c>
      <c r="Z53" s="32">
        <v>729.15</v>
      </c>
      <c r="AA53" s="32">
        <v>6531.34</v>
      </c>
      <c r="AB53" s="32">
        <v>5596.06</v>
      </c>
      <c r="AC53" s="32">
        <v>4467.2700000000004</v>
      </c>
      <c r="AD53" s="32">
        <v>2910.41</v>
      </c>
      <c r="AE53" s="32">
        <v>2789.83</v>
      </c>
      <c r="AG53" s="1" t="s">
        <v>97</v>
      </c>
      <c r="AH53" s="44">
        <v>6274.38</v>
      </c>
      <c r="AI53" s="44">
        <v>6911.43</v>
      </c>
      <c r="AJ53" s="44">
        <v>16535.71</v>
      </c>
      <c r="AK53" s="44">
        <v>13893.08</v>
      </c>
      <c r="AL53" s="44">
        <v>14834.33</v>
      </c>
      <c r="AM53" s="44">
        <v>9866.34</v>
      </c>
      <c r="AO53" s="1" t="s">
        <v>261</v>
      </c>
      <c r="AP53" s="14" t="s">
        <v>254</v>
      </c>
      <c r="AQ53" s="14" t="s">
        <v>255</v>
      </c>
      <c r="AR53" s="14" t="s">
        <v>256</v>
      </c>
      <c r="AS53" s="14" t="s">
        <v>257</v>
      </c>
      <c r="AT53" s="14" t="s">
        <v>258</v>
      </c>
    </row>
    <row r="54" spans="1:47" x14ac:dyDescent="0.3">
      <c r="A54" s="1" t="s">
        <v>260</v>
      </c>
      <c r="B54" s="116">
        <f>B27-B52</f>
        <v>34619.26</v>
      </c>
      <c r="C54" s="116">
        <f t="shared" ref="C54:G54" si="41">C27-C52</f>
        <v>33081.99</v>
      </c>
      <c r="D54" s="116">
        <f t="shared" si="41"/>
        <v>35637.479999999996</v>
      </c>
      <c r="E54" s="116">
        <f t="shared" si="41"/>
        <v>39348.069999999992</v>
      </c>
      <c r="F54" s="116">
        <f t="shared" si="41"/>
        <v>42610.819999999992</v>
      </c>
      <c r="G54" s="116">
        <f t="shared" si="41"/>
        <v>31451.769999999997</v>
      </c>
      <c r="I54" s="1" t="s">
        <v>246</v>
      </c>
      <c r="J54" s="116">
        <f>DCF!M5*DCF!$L$11</f>
        <v>1303.0283565823347</v>
      </c>
      <c r="K54" s="116">
        <f>DCF!N5*DCF!$L$11</f>
        <v>1425.0395505711883</v>
      </c>
      <c r="L54" s="116">
        <f>DCF!O5*DCF!$L$11</f>
        <v>1558.4754625129433</v>
      </c>
      <c r="M54" s="116">
        <f>DCF!P5*DCF!$L$11</f>
        <v>1704.4058645820712</v>
      </c>
      <c r="N54" s="116">
        <f>DCF!Q5*DCF!$L$11</f>
        <v>1864.0006988224438</v>
      </c>
      <c r="Q54" s="28" t="s">
        <v>58</v>
      </c>
      <c r="R54" s="42">
        <f>R52+R53</f>
        <v>17918</v>
      </c>
      <c r="S54" s="42">
        <f t="shared" ref="S54:W54" si="42">S52+S53</f>
        <v>15243</v>
      </c>
      <c r="T54" s="42">
        <f t="shared" si="42"/>
        <v>30889</v>
      </c>
      <c r="U54" s="42">
        <f t="shared" si="42"/>
        <v>38203</v>
      </c>
      <c r="V54" s="42">
        <f t="shared" si="42"/>
        <v>15711</v>
      </c>
      <c r="W54" s="42">
        <f t="shared" si="42"/>
        <v>12018</v>
      </c>
      <c r="Y54" s="28" t="s">
        <v>54</v>
      </c>
      <c r="Z54" s="33">
        <f>SUM(Z45:Z53)</f>
        <v>112595.64</v>
      </c>
      <c r="AA54" s="33">
        <f t="shared" ref="AA54:AE54" si="43">SUM(AA45:AA53)</f>
        <v>97111.629999999976</v>
      </c>
      <c r="AB54" s="33">
        <f t="shared" si="43"/>
        <v>77759.14</v>
      </c>
      <c r="AC54" s="33">
        <f t="shared" si="43"/>
        <v>85551.400000000009</v>
      </c>
      <c r="AD54" s="33">
        <f t="shared" si="43"/>
        <v>82587.28</v>
      </c>
      <c r="AE54" s="33">
        <f t="shared" si="43"/>
        <v>101948.47</v>
      </c>
      <c r="AG54" s="19" t="s">
        <v>58</v>
      </c>
      <c r="AH54" s="45">
        <f>AH52+AH53</f>
        <v>6322.37</v>
      </c>
      <c r="AI54" s="45">
        <f t="shared" ref="AI54:AM54" si="44">AI52+AI53</f>
        <v>7015</v>
      </c>
      <c r="AJ54" s="45">
        <f t="shared" si="44"/>
        <v>16676.36</v>
      </c>
      <c r="AK54" s="45">
        <f t="shared" si="44"/>
        <v>14341.7</v>
      </c>
      <c r="AL54" s="45">
        <f t="shared" si="44"/>
        <v>15332.39</v>
      </c>
      <c r="AM54" s="45">
        <f t="shared" si="44"/>
        <v>10503.99</v>
      </c>
      <c r="AO54" s="1" t="s">
        <v>246</v>
      </c>
      <c r="AP54" s="116">
        <f>DCF!AW5*DCF!$AV$11</f>
        <v>13668.28509660642</v>
      </c>
      <c r="AQ54" s="116">
        <f>DCF!AX5*DCF!$AV$11</f>
        <v>15452.316771914519</v>
      </c>
      <c r="AR54" s="116">
        <f>DCF!AY5*DCF!$AV$11</f>
        <v>17469.206409725375</v>
      </c>
      <c r="AS54" s="116">
        <f>DCF!AZ5*DCF!$AV$11</f>
        <v>19749.347433794526</v>
      </c>
      <c r="AT54" s="116">
        <f>DCF!BA5*DCF!$AV$11</f>
        <v>22327.1003222898</v>
      </c>
    </row>
    <row r="55" spans="1:47" x14ac:dyDescent="0.3">
      <c r="Q55" s="25" t="s">
        <v>83</v>
      </c>
      <c r="R55" s="40">
        <v>251</v>
      </c>
      <c r="S55" s="40">
        <v>110</v>
      </c>
      <c r="T55" s="40">
        <v>115</v>
      </c>
      <c r="U55" s="40">
        <v>405</v>
      </c>
      <c r="V55" s="40">
        <v>329</v>
      </c>
      <c r="W55" s="40">
        <v>227</v>
      </c>
      <c r="Y55" s="26" t="s">
        <v>84</v>
      </c>
      <c r="Z55" s="34"/>
      <c r="AA55" s="34"/>
      <c r="AB55" s="34"/>
      <c r="AC55" s="34"/>
      <c r="AD55" s="34"/>
      <c r="AE55" s="34"/>
      <c r="AG55" s="1" t="s">
        <v>66</v>
      </c>
      <c r="AH55" s="44">
        <v>0</v>
      </c>
      <c r="AI55" s="44">
        <v>0</v>
      </c>
      <c r="AJ55" s="44">
        <v>292.08</v>
      </c>
      <c r="AK55" s="44">
        <v>374.52</v>
      </c>
      <c r="AL55" s="44">
        <v>486.43</v>
      </c>
      <c r="AM55" s="44">
        <v>569.4</v>
      </c>
    </row>
    <row r="56" spans="1:47" x14ac:dyDescent="0.3">
      <c r="A56" s="1" t="s">
        <v>261</v>
      </c>
      <c r="B56" s="14" t="s">
        <v>254</v>
      </c>
      <c r="C56" s="14" t="s">
        <v>255</v>
      </c>
      <c r="D56" s="14" t="s">
        <v>256</v>
      </c>
      <c r="E56" s="14" t="s">
        <v>257</v>
      </c>
      <c r="F56" s="14" t="s">
        <v>258</v>
      </c>
      <c r="Q56" s="25" t="s">
        <v>66</v>
      </c>
      <c r="R56" s="40">
        <v>306</v>
      </c>
      <c r="S56" s="40">
        <v>405</v>
      </c>
      <c r="T56" s="40">
        <v>680</v>
      </c>
      <c r="U56" s="40">
        <v>417</v>
      </c>
      <c r="V56" s="40">
        <v>349</v>
      </c>
      <c r="W56" s="40">
        <v>396</v>
      </c>
      <c r="Y56" s="25" t="s">
        <v>48</v>
      </c>
      <c r="Z56" s="32">
        <v>19184.48</v>
      </c>
      <c r="AA56" s="32">
        <v>9492.11</v>
      </c>
      <c r="AB56" s="32">
        <v>24064.61</v>
      </c>
      <c r="AC56" s="32">
        <v>26571.37</v>
      </c>
      <c r="AD56" s="32">
        <v>29997.19</v>
      </c>
      <c r="AE56" s="32">
        <v>20412</v>
      </c>
      <c r="AG56" s="1" t="s">
        <v>50</v>
      </c>
      <c r="AH56" s="44">
        <v>13740.89</v>
      </c>
      <c r="AI56" s="44">
        <v>14023.78</v>
      </c>
      <c r="AJ56" s="44">
        <v>11875.42</v>
      </c>
      <c r="AK56" s="44">
        <v>10150.200000000001</v>
      </c>
      <c r="AL56" s="44">
        <v>10543.57</v>
      </c>
      <c r="AM56" s="44">
        <v>9671.15</v>
      </c>
    </row>
    <row r="57" spans="1:47" x14ac:dyDescent="0.3">
      <c r="A57" s="1" t="s">
        <v>246</v>
      </c>
      <c r="B57" s="116">
        <f>DCF!D5*DCF!$C$11</f>
        <v>46569.308203052504</v>
      </c>
      <c r="C57" s="116">
        <f>DCF!E5*DCF!$C$11</f>
        <v>49773.742891633832</v>
      </c>
      <c r="D57" s="116">
        <f>DCF!F5*DCF!$C$11</f>
        <v>53198.67477181206</v>
      </c>
      <c r="E57" s="116">
        <f>DCF!G5*DCF!$C$11</f>
        <v>56859.276258139849</v>
      </c>
      <c r="F57" s="116">
        <f>DCF!H5*DCF!$C$11</f>
        <v>60771.763779207839</v>
      </c>
      <c r="Q57" s="25" t="s">
        <v>50</v>
      </c>
      <c r="R57" s="40">
        <v>14143</v>
      </c>
      <c r="S57" s="40">
        <v>21347</v>
      </c>
      <c r="T57" s="40">
        <v>8415</v>
      </c>
      <c r="U57" s="40">
        <v>7976</v>
      </c>
      <c r="V57" s="40">
        <v>8446</v>
      </c>
      <c r="W57" s="40">
        <v>7388</v>
      </c>
      <c r="Y57" s="25" t="s">
        <v>56</v>
      </c>
      <c r="Z57" s="32">
        <v>198.86</v>
      </c>
      <c r="AA57" s="32">
        <v>484.66</v>
      </c>
      <c r="AB57" s="32">
        <v>897.5</v>
      </c>
      <c r="AC57" s="32">
        <v>1170.33</v>
      </c>
      <c r="AD57" s="32">
        <v>1203.7</v>
      </c>
      <c r="AE57" s="32">
        <v>1510.71</v>
      </c>
      <c r="AG57" s="1" t="s">
        <v>59</v>
      </c>
      <c r="AH57" s="44">
        <v>5724.06</v>
      </c>
      <c r="AI57" s="44">
        <v>7555.15</v>
      </c>
      <c r="AJ57" s="44">
        <v>4076.89</v>
      </c>
      <c r="AK57" s="44">
        <v>3533.85</v>
      </c>
      <c r="AL57" s="44">
        <v>4565.97</v>
      </c>
      <c r="AM57" s="44">
        <v>4196.3500000000004</v>
      </c>
    </row>
    <row r="58" spans="1:47" x14ac:dyDescent="0.3">
      <c r="Q58" s="25" t="s">
        <v>51</v>
      </c>
      <c r="R58" s="40">
        <v>161</v>
      </c>
      <c r="S58" s="40">
        <v>274</v>
      </c>
      <c r="T58" s="40">
        <v>256</v>
      </c>
      <c r="U58" s="40">
        <v>280</v>
      </c>
      <c r="V58" s="40">
        <v>439</v>
      </c>
      <c r="W58" s="40">
        <v>285</v>
      </c>
      <c r="Y58" s="25" t="s">
        <v>97</v>
      </c>
      <c r="Z58" s="32">
        <v>21181.99</v>
      </c>
      <c r="AA58" s="32">
        <v>25482.83</v>
      </c>
      <c r="AB58" s="32">
        <v>35867.370000000003</v>
      </c>
      <c r="AC58" s="32">
        <v>36662.21</v>
      </c>
      <c r="AD58" s="32">
        <v>29023.94</v>
      </c>
      <c r="AE58" s="32">
        <v>27803.67</v>
      </c>
      <c r="AG58" s="1" t="s">
        <v>51</v>
      </c>
      <c r="AH58" s="44">
        <v>2357.2399999999998</v>
      </c>
      <c r="AI58" s="44">
        <v>2041.4</v>
      </c>
      <c r="AJ58" s="44">
        <v>1171.67</v>
      </c>
      <c r="AK58" s="44">
        <v>1381.68</v>
      </c>
      <c r="AL58" s="44">
        <v>1294.1099999999999</v>
      </c>
      <c r="AM58" s="44">
        <v>1391.05</v>
      </c>
    </row>
    <row r="59" spans="1:47" x14ac:dyDescent="0.3">
      <c r="Q59" s="25" t="s">
        <v>59</v>
      </c>
      <c r="R59" s="40">
        <v>2455</v>
      </c>
      <c r="S59" s="40">
        <v>3365</v>
      </c>
      <c r="T59" s="40">
        <v>4759</v>
      </c>
      <c r="U59" s="40">
        <v>4457</v>
      </c>
      <c r="V59" s="40">
        <f>4564+17654</f>
        <v>22218</v>
      </c>
      <c r="W59" s="40">
        <f>5606+20534</f>
        <v>26140</v>
      </c>
      <c r="Y59" s="28" t="s">
        <v>58</v>
      </c>
      <c r="Z59" s="33">
        <f>Z57+Z58</f>
        <v>21380.850000000002</v>
      </c>
      <c r="AA59" s="33">
        <f t="shared" ref="AA59:AE59" si="45">AA57+AA58</f>
        <v>25967.49</v>
      </c>
      <c r="AB59" s="33">
        <f t="shared" si="45"/>
        <v>36764.870000000003</v>
      </c>
      <c r="AC59" s="33">
        <f t="shared" si="45"/>
        <v>37832.54</v>
      </c>
      <c r="AD59" s="33">
        <f t="shared" si="45"/>
        <v>30227.64</v>
      </c>
      <c r="AE59" s="33">
        <f t="shared" si="45"/>
        <v>29314.379999999997</v>
      </c>
      <c r="AG59" s="1" t="s">
        <v>70</v>
      </c>
      <c r="AH59" s="44">
        <v>179.5</v>
      </c>
      <c r="AI59" s="44">
        <v>12.06</v>
      </c>
      <c r="AJ59" s="44">
        <v>0.66</v>
      </c>
      <c r="AK59" s="44">
        <v>3.13</v>
      </c>
      <c r="AL59" s="44">
        <v>209.19</v>
      </c>
      <c r="AM59" s="44">
        <v>147.97999999999999</v>
      </c>
    </row>
    <row r="60" spans="1:47" x14ac:dyDescent="0.3">
      <c r="Q60" s="25" t="s">
        <v>70</v>
      </c>
      <c r="R60" s="40">
        <v>129</v>
      </c>
      <c r="S60" s="40">
        <v>556</v>
      </c>
      <c r="T60" s="40">
        <v>391</v>
      </c>
      <c r="U60" s="40">
        <v>1349</v>
      </c>
      <c r="V60" s="40">
        <v>352</v>
      </c>
      <c r="W60" s="40">
        <v>198</v>
      </c>
      <c r="Y60" s="25" t="s">
        <v>49</v>
      </c>
      <c r="Z60" s="44">
        <v>0</v>
      </c>
      <c r="AA60" s="44">
        <v>0</v>
      </c>
      <c r="AB60" s="32">
        <v>1036.21</v>
      </c>
      <c r="AC60" s="32">
        <v>1064.27</v>
      </c>
      <c r="AD60" s="32">
        <v>969.5</v>
      </c>
      <c r="AE60" s="32">
        <v>1004.53</v>
      </c>
      <c r="AG60" s="19" t="s">
        <v>60</v>
      </c>
      <c r="AH60" s="45">
        <f>SUM(AH51,AH54:AH59)</f>
        <v>44964.839999999989</v>
      </c>
      <c r="AI60" s="45">
        <f t="shared" ref="AI60:AM60" si="46">SUM(AI51,AI54:AI59)</f>
        <v>46497.63</v>
      </c>
      <c r="AJ60" s="45">
        <f t="shared" si="46"/>
        <v>39342.920000000006</v>
      </c>
      <c r="AK60" s="45">
        <f t="shared" si="46"/>
        <v>49334.279999999992</v>
      </c>
      <c r="AL60" s="45">
        <f t="shared" si="46"/>
        <v>53464.42</v>
      </c>
      <c r="AM60" s="45">
        <f t="shared" si="46"/>
        <v>46190.090000000004</v>
      </c>
    </row>
    <row r="61" spans="1:47" x14ac:dyDescent="0.3">
      <c r="Q61" s="28" t="s">
        <v>60</v>
      </c>
      <c r="R61" s="42">
        <f>SUM(R51,R54:R60)</f>
        <v>43688</v>
      </c>
      <c r="S61" s="42">
        <f t="shared" ref="S61:W61" si="47">SUM(S51,S54:S60)</f>
        <v>43299</v>
      </c>
      <c r="T61" s="42">
        <f t="shared" si="47"/>
        <v>57551</v>
      </c>
      <c r="U61" s="42">
        <f t="shared" si="47"/>
        <v>69963</v>
      </c>
      <c r="V61" s="42">
        <f t="shared" si="47"/>
        <v>66065</v>
      </c>
      <c r="W61" s="42">
        <f t="shared" si="47"/>
        <v>60626</v>
      </c>
      <c r="Y61" s="25" t="s">
        <v>83</v>
      </c>
      <c r="Z61" s="32">
        <v>729.22</v>
      </c>
      <c r="AA61" s="32">
        <v>510.01</v>
      </c>
      <c r="AB61" s="32">
        <v>196.91</v>
      </c>
      <c r="AC61" s="32">
        <v>1630.53</v>
      </c>
      <c r="AD61" s="32">
        <v>214.38</v>
      </c>
      <c r="AE61" s="32">
        <v>391.18</v>
      </c>
      <c r="AG61" s="19" t="s">
        <v>71</v>
      </c>
      <c r="AH61" s="45">
        <f>AH38+AH49+AH60</f>
        <v>126927.63999999998</v>
      </c>
      <c r="AI61" s="45">
        <f t="shared" ref="AI61:AM61" si="48">AI38+AI49+AI60</f>
        <v>119245.87</v>
      </c>
      <c r="AJ61" s="45">
        <f t="shared" si="48"/>
        <v>120109.12000000002</v>
      </c>
      <c r="AK61" s="45">
        <f t="shared" si="48"/>
        <v>130483.09</v>
      </c>
      <c r="AL61" s="45">
        <f t="shared" si="48"/>
        <v>140708.58000000002</v>
      </c>
      <c r="AM61" s="45">
        <f t="shared" si="48"/>
        <v>136370.94</v>
      </c>
    </row>
    <row r="62" spans="1:47" x14ac:dyDescent="0.3">
      <c r="Q62" s="29" t="s">
        <v>71</v>
      </c>
      <c r="R62" s="43">
        <f>R40+R49+R61</f>
        <v>131820</v>
      </c>
      <c r="S62" s="43">
        <f t="shared" ref="S62:W62" si="49">S40+S49+S61</f>
        <v>148317</v>
      </c>
      <c r="T62" s="43">
        <f t="shared" si="49"/>
        <v>196485</v>
      </c>
      <c r="U62" s="43">
        <f t="shared" si="49"/>
        <v>211078</v>
      </c>
      <c r="V62" s="43">
        <f t="shared" si="49"/>
        <v>228198</v>
      </c>
      <c r="W62" s="43">
        <f t="shared" si="49"/>
        <v>240742</v>
      </c>
      <c r="Y62" s="25" t="s">
        <v>50</v>
      </c>
      <c r="Z62" s="32">
        <v>9518.5300000000007</v>
      </c>
      <c r="AA62" s="32">
        <v>14403.11</v>
      </c>
      <c r="AB62" s="32">
        <v>8381.41</v>
      </c>
      <c r="AC62" s="32">
        <v>9590.2099999999991</v>
      </c>
      <c r="AD62" s="32">
        <v>15652.68</v>
      </c>
      <c r="AE62" s="32">
        <v>15820.51</v>
      </c>
      <c r="AG62" s="1" t="s">
        <v>260</v>
      </c>
      <c r="AH62" s="116">
        <f>AH31-AH60</f>
        <v>-3839.3799999999901</v>
      </c>
      <c r="AI62" s="116">
        <f t="shared" ref="AI62:AM62" si="50">AI31-AI60</f>
        <v>-14313.420000000002</v>
      </c>
      <c r="AJ62" s="116">
        <f t="shared" si="50"/>
        <v>-10503.260000000009</v>
      </c>
      <c r="AK62" s="116">
        <f t="shared" si="50"/>
        <v>-11339.659999999989</v>
      </c>
      <c r="AL62" s="116">
        <f t="shared" si="50"/>
        <v>-5326.7300000000032</v>
      </c>
      <c r="AM62" s="116">
        <f t="shared" si="50"/>
        <v>-4301.6100000000006</v>
      </c>
    </row>
    <row r="63" spans="1:47" x14ac:dyDescent="0.3">
      <c r="Q63" s="1" t="s">
        <v>262</v>
      </c>
      <c r="R63" s="116">
        <f>R33-R61</f>
        <v>-7210</v>
      </c>
      <c r="S63" s="116">
        <f t="shared" ref="S63:W63" si="51">S33-S61</f>
        <v>-7447</v>
      </c>
      <c r="T63" s="116">
        <f t="shared" si="51"/>
        <v>7823</v>
      </c>
      <c r="U63" s="116">
        <f t="shared" si="51"/>
        <v>-1813</v>
      </c>
      <c r="V63" s="116">
        <f t="shared" si="51"/>
        <v>-1531</v>
      </c>
      <c r="W63" s="116">
        <f t="shared" si="51"/>
        <v>10110</v>
      </c>
      <c r="Y63" s="25" t="s">
        <v>51</v>
      </c>
      <c r="Z63" s="32">
        <v>1663.67</v>
      </c>
      <c r="AA63" s="32">
        <v>4725.32</v>
      </c>
      <c r="AB63" s="32">
        <v>2768.49</v>
      </c>
      <c r="AC63" s="32">
        <v>3882.73</v>
      </c>
      <c r="AD63" s="32">
        <v>3779.08</v>
      </c>
      <c r="AE63" s="32">
        <v>3888.29</v>
      </c>
    </row>
    <row r="64" spans="1:47" x14ac:dyDescent="0.3">
      <c r="Y64" s="25" t="s">
        <v>94</v>
      </c>
      <c r="Z64" s="32">
        <v>141.26</v>
      </c>
      <c r="AA64" s="32">
        <v>166.84</v>
      </c>
      <c r="AB64" s="32">
        <v>158.22</v>
      </c>
      <c r="AC64" s="32">
        <v>162.47</v>
      </c>
      <c r="AD64" s="32">
        <v>146.72</v>
      </c>
      <c r="AE64" s="32">
        <v>154.62</v>
      </c>
      <c r="AG64" s="1" t="s">
        <v>261</v>
      </c>
      <c r="AH64" s="14" t="s">
        <v>254</v>
      </c>
      <c r="AI64" s="14" t="s">
        <v>255</v>
      </c>
      <c r="AJ64" s="14" t="s">
        <v>256</v>
      </c>
      <c r="AK64" s="14" t="s">
        <v>257</v>
      </c>
      <c r="AL64" s="14" t="s">
        <v>258</v>
      </c>
    </row>
    <row r="65" spans="17:38" x14ac:dyDescent="0.3">
      <c r="Q65" s="1" t="s">
        <v>261</v>
      </c>
      <c r="R65" s="14" t="s">
        <v>254</v>
      </c>
      <c r="S65" s="14" t="s">
        <v>255</v>
      </c>
      <c r="T65" s="14" t="s">
        <v>256</v>
      </c>
      <c r="U65" s="14" t="s">
        <v>257</v>
      </c>
      <c r="V65" s="14" t="s">
        <v>258</v>
      </c>
      <c r="Y65" s="25" t="s">
        <v>95</v>
      </c>
      <c r="Z65" s="32">
        <v>34.549999999999997</v>
      </c>
      <c r="AA65" s="32">
        <v>63.98</v>
      </c>
      <c r="AB65" s="32">
        <v>130.44999999999999</v>
      </c>
      <c r="AC65" s="32">
        <v>91.93</v>
      </c>
      <c r="AD65" s="32">
        <v>63.71</v>
      </c>
      <c r="AE65" s="32">
        <v>30.71</v>
      </c>
      <c r="AG65" s="1" t="s">
        <v>246</v>
      </c>
      <c r="AH65" s="116">
        <f>DCF!AN5*DCF!$AM$11</f>
        <v>-5157.0561679011871</v>
      </c>
      <c r="AI65" s="116">
        <f>DCF!AO5*DCF!$AM$11</f>
        <v>-5606.9778200758237</v>
      </c>
      <c r="AJ65" s="116">
        <f>DCF!AP5*DCF!$AM$11</f>
        <v>-6096.1523883531636</v>
      </c>
      <c r="AK65" s="116">
        <f>DCF!AQ5*DCF!$AM$11</f>
        <v>-6628.0044499126307</v>
      </c>
      <c r="AL65" s="116">
        <f>DCF!AR5*DCF!$AM$11</f>
        <v>-7206.2573553757829</v>
      </c>
    </row>
    <row r="66" spans="17:38" x14ac:dyDescent="0.3">
      <c r="Q66" s="1" t="s">
        <v>246</v>
      </c>
      <c r="R66" s="116">
        <f>DCF!V5*DCF!$U$11</f>
        <v>2570.1670468488092</v>
      </c>
      <c r="S66" s="116">
        <f>DCF!W5*DCF!$U$11</f>
        <v>2951.7801742657603</v>
      </c>
      <c r="T66" s="116">
        <f>DCF!X5*DCF!$U$11</f>
        <v>3390.0544355165985</v>
      </c>
      <c r="U66" s="116">
        <f>DCF!Y5*DCF!$U$11</f>
        <v>3893.4027594464933</v>
      </c>
      <c r="V66" s="116">
        <f>DCF!Z5*DCF!$U$11</f>
        <v>4471.4872093065978</v>
      </c>
      <c r="Y66" s="25" t="s">
        <v>70</v>
      </c>
      <c r="Z66" s="32">
        <v>609.58000000000004</v>
      </c>
      <c r="AA66" s="32">
        <v>4424.4399999999996</v>
      </c>
      <c r="AB66" s="32">
        <v>1382.7</v>
      </c>
      <c r="AC66" s="32">
        <v>1923.98</v>
      </c>
      <c r="AD66" s="32">
        <v>2166.85</v>
      </c>
      <c r="AE66" s="32">
        <v>1775.52</v>
      </c>
    </row>
    <row r="67" spans="17:38" x14ac:dyDescent="0.3">
      <c r="Y67" s="25" t="s">
        <v>96</v>
      </c>
      <c r="Z67" s="32">
        <v>7050.44</v>
      </c>
      <c r="AA67" s="32">
        <v>11113.83</v>
      </c>
      <c r="AB67" s="32">
        <v>15513.02</v>
      </c>
      <c r="AC67" s="32">
        <v>14545.1</v>
      </c>
      <c r="AD67" s="32">
        <v>15185.73</v>
      </c>
      <c r="AE67" s="32">
        <v>13301.81</v>
      </c>
    </row>
    <row r="68" spans="17:38" x14ac:dyDescent="0.3">
      <c r="Y68" s="28" t="s">
        <v>60</v>
      </c>
      <c r="Z68" s="33">
        <f>SUM(Z56,Z59:Z67)</f>
        <v>60312.580000000009</v>
      </c>
      <c r="AA68" s="33">
        <f t="shared" ref="AA68:AE68" si="52">SUM(AA56,AA59:AA67)</f>
        <v>70867.13</v>
      </c>
      <c r="AB68" s="33">
        <f t="shared" si="52"/>
        <v>90396.890000000014</v>
      </c>
      <c r="AC68" s="33">
        <f t="shared" si="52"/>
        <v>97295.13</v>
      </c>
      <c r="AD68" s="33">
        <f t="shared" si="52"/>
        <v>98403.48000000001</v>
      </c>
      <c r="AE68" s="33">
        <f t="shared" si="52"/>
        <v>86093.549999999988</v>
      </c>
    </row>
    <row r="69" spans="17:38" x14ac:dyDescent="0.3">
      <c r="Y69" s="25" t="s">
        <v>98</v>
      </c>
      <c r="Z69" s="32">
        <v>1348.33</v>
      </c>
      <c r="AA69" s="32">
        <v>0</v>
      </c>
      <c r="AB69" s="32">
        <v>191.11</v>
      </c>
      <c r="AC69" s="32">
        <v>0</v>
      </c>
      <c r="AD69" s="32">
        <v>0</v>
      </c>
      <c r="AE69" s="32">
        <v>0</v>
      </c>
    </row>
    <row r="70" spans="17:38" x14ac:dyDescent="0.3">
      <c r="Y70" s="29" t="s">
        <v>71</v>
      </c>
      <c r="Z70" s="39">
        <f>Z43+Z54+Z68+Z69</f>
        <v>250419.45</v>
      </c>
      <c r="AA70" s="39">
        <f t="shared" ref="AA70:AE70" si="53">AA43+AA54+AA68+AA69</f>
        <v>245487.20999999996</v>
      </c>
      <c r="AB70" s="39">
        <f t="shared" si="53"/>
        <v>285445.59999999998</v>
      </c>
      <c r="AC70" s="39">
        <f t="shared" si="53"/>
        <v>288021.74</v>
      </c>
      <c r="AD70" s="39">
        <f t="shared" si="53"/>
        <v>273423.5</v>
      </c>
      <c r="AE70" s="39">
        <f t="shared" si="53"/>
        <v>279394.8</v>
      </c>
    </row>
    <row r="71" spans="17:38" x14ac:dyDescent="0.3">
      <c r="Y71" s="1" t="s">
        <v>262</v>
      </c>
      <c r="Z71" s="116">
        <f>Z34-Z68</f>
        <v>-4403.3100000000122</v>
      </c>
      <c r="AA71" s="116">
        <f t="shared" ref="AA71:AE71" si="54">AA34-AA68</f>
        <v>-10754.760000000002</v>
      </c>
      <c r="AB71" s="116">
        <f t="shared" si="54"/>
        <v>1859.1799999999785</v>
      </c>
      <c r="AC71" s="116">
        <f t="shared" si="54"/>
        <v>-10688.990000000005</v>
      </c>
      <c r="AD71" s="116">
        <f t="shared" si="54"/>
        <v>-27899.890000000014</v>
      </c>
      <c r="AE71" s="116">
        <f t="shared" si="54"/>
        <v>-17702.009999999995</v>
      </c>
    </row>
    <row r="73" spans="17:38" x14ac:dyDescent="0.3">
      <c r="Y73" s="1" t="s">
        <v>261</v>
      </c>
      <c r="Z73" s="14" t="s">
        <v>254</v>
      </c>
      <c r="AA73" s="14" t="s">
        <v>255</v>
      </c>
      <c r="AB73" s="14" t="s">
        <v>256</v>
      </c>
      <c r="AC73" s="14" t="s">
        <v>257</v>
      </c>
      <c r="AD73" s="14" t="s">
        <v>258</v>
      </c>
    </row>
    <row r="74" spans="17:38" x14ac:dyDescent="0.3">
      <c r="Y74" s="1" t="s">
        <v>246</v>
      </c>
      <c r="Z74" s="116">
        <f>DCF!AE5*DCF!$AD$11</f>
        <v>-18972.500684558323</v>
      </c>
      <c r="AA74" s="116">
        <f>DCF!AF5*DCF!$AD$11</f>
        <v>-20206.548973594254</v>
      </c>
      <c r="AB74" s="116">
        <f>DCF!AG5*DCF!$AD$11</f>
        <v>-21520.864761627403</v>
      </c>
      <c r="AC74" s="116">
        <f>DCF!AH5*DCF!$AD$11</f>
        <v>-22920.668971900814</v>
      </c>
      <c r="AD74" s="116">
        <f>DCF!AI5*DCF!$AD$11</f>
        <v>-24411.522117651624</v>
      </c>
    </row>
  </sheetData>
  <mergeCells count="6">
    <mergeCell ref="AO3:AU3"/>
    <mergeCell ref="A3:G3"/>
    <mergeCell ref="I3:O3"/>
    <mergeCell ref="Q3:W3"/>
    <mergeCell ref="Y3:AE3"/>
    <mergeCell ref="AG3:AM3"/>
  </mergeCell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0D47B-AB6A-47F3-AB1C-FCDE61D4469C}">
  <sheetPr>
    <tabColor rgb="FFFF0000"/>
  </sheetPr>
  <dimension ref="A1:AU37"/>
  <sheetViews>
    <sheetView showGridLines="0" topLeftCell="A18" workbookViewId="0">
      <selection activeCell="C12" sqref="C12"/>
    </sheetView>
  </sheetViews>
  <sheetFormatPr defaultRowHeight="14.4" x14ac:dyDescent="0.3"/>
  <cols>
    <col min="1" max="1" width="44.6640625" style="1" bestFit="1" customWidth="1"/>
    <col min="2" max="2" width="11" style="14" bestFit="1" customWidth="1"/>
    <col min="3" max="3" width="9.88671875" style="14" bestFit="1" customWidth="1"/>
    <col min="4" max="7" width="10.88671875" style="14" bestFit="1" customWidth="1"/>
    <col min="8" max="8" width="8.88671875" style="1"/>
    <col min="9" max="9" width="33.21875" style="1" bestFit="1" customWidth="1"/>
    <col min="10" max="15" width="9.88671875" style="14" bestFit="1" customWidth="1"/>
    <col min="16" max="16" width="8.88671875" style="1"/>
    <col min="17" max="17" width="45.5546875" style="1" bestFit="1" customWidth="1"/>
    <col min="18" max="19" width="9.88671875" style="14" bestFit="1" customWidth="1"/>
    <col min="20" max="23" width="10.88671875" style="14" bestFit="1" customWidth="1"/>
    <col min="24" max="24" width="8.88671875" style="1"/>
    <col min="25" max="25" width="39.44140625" style="1" bestFit="1" customWidth="1"/>
    <col min="26" max="31" width="10.88671875" style="14" bestFit="1" customWidth="1"/>
    <col min="32" max="32" width="8.88671875" style="1"/>
    <col min="33" max="33" width="41.21875" style="1" bestFit="1" customWidth="1"/>
    <col min="34" max="35" width="9.88671875" style="14" bestFit="1" customWidth="1"/>
    <col min="36" max="39" width="10.88671875" style="14" bestFit="1" customWidth="1"/>
    <col min="40" max="40" width="8.88671875" style="1"/>
    <col min="41" max="41" width="44.6640625" style="1" bestFit="1" customWidth="1"/>
    <col min="42" max="47" width="9.88671875" style="14" bestFit="1" customWidth="1"/>
    <col min="48" max="16384" width="8.88671875" style="1"/>
  </cols>
  <sheetData>
    <row r="1" spans="1:47" ht="25.8" x14ac:dyDescent="0.3">
      <c r="A1" s="55" t="s">
        <v>102</v>
      </c>
    </row>
    <row r="3" spans="1:47" ht="58.2" customHeight="1" x14ac:dyDescent="0.3">
      <c r="B3" s="144" t="e" vm="13">
        <v>#VALUE!</v>
      </c>
      <c r="C3" s="144"/>
      <c r="D3" s="1"/>
      <c r="E3" s="1"/>
      <c r="F3" s="1"/>
      <c r="G3" s="1"/>
      <c r="J3" s="144" t="e" vm="2">
        <v>#VALUE!</v>
      </c>
      <c r="K3" s="144"/>
      <c r="L3" s="144"/>
      <c r="R3" s="144" t="e" vm="14">
        <v>#VALUE!</v>
      </c>
      <c r="S3" s="144"/>
      <c r="T3" s="1"/>
      <c r="Z3" s="144" t="e" vm="15">
        <v>#VALUE!</v>
      </c>
      <c r="AA3" s="144"/>
      <c r="AH3" s="144" t="e" vm="16">
        <v>#VALUE!</v>
      </c>
      <c r="AI3" s="144"/>
      <c r="AP3" s="144" t="e" vm="6">
        <v>#VALUE!</v>
      </c>
      <c r="AQ3" s="144"/>
    </row>
    <row r="4" spans="1:47" x14ac:dyDescent="0.3">
      <c r="A4" s="19" t="s">
        <v>13</v>
      </c>
      <c r="B4" s="56" t="s">
        <v>26</v>
      </c>
      <c r="C4" s="56" t="s">
        <v>27</v>
      </c>
      <c r="D4" s="56" t="s">
        <v>28</v>
      </c>
      <c r="E4" s="56" t="s">
        <v>29</v>
      </c>
      <c r="F4" s="56" t="s">
        <v>30</v>
      </c>
      <c r="G4" s="56" t="s">
        <v>31</v>
      </c>
      <c r="I4" s="19" t="s">
        <v>13</v>
      </c>
      <c r="J4" s="56" t="s">
        <v>26</v>
      </c>
      <c r="K4" s="56" t="s">
        <v>27</v>
      </c>
      <c r="L4" s="56" t="s">
        <v>28</v>
      </c>
      <c r="M4" s="56" t="s">
        <v>29</v>
      </c>
      <c r="N4" s="56" t="s">
        <v>30</v>
      </c>
      <c r="O4" s="56" t="s">
        <v>31</v>
      </c>
      <c r="Q4" s="19" t="s">
        <v>13</v>
      </c>
      <c r="R4" s="56" t="s">
        <v>26</v>
      </c>
      <c r="S4" s="56" t="s">
        <v>27</v>
      </c>
      <c r="T4" s="56" t="s">
        <v>28</v>
      </c>
      <c r="U4" s="56" t="s">
        <v>29</v>
      </c>
      <c r="V4" s="56" t="s">
        <v>30</v>
      </c>
      <c r="W4" s="56" t="s">
        <v>31</v>
      </c>
      <c r="Y4" s="19" t="s">
        <v>13</v>
      </c>
      <c r="Z4" s="56" t="s">
        <v>26</v>
      </c>
      <c r="AA4" s="56" t="s">
        <v>27</v>
      </c>
      <c r="AB4" s="56" t="s">
        <v>28</v>
      </c>
      <c r="AC4" s="56" t="s">
        <v>29</v>
      </c>
      <c r="AD4" s="56" t="s">
        <v>30</v>
      </c>
      <c r="AE4" s="56" t="s">
        <v>31</v>
      </c>
      <c r="AG4" s="19" t="s">
        <v>13</v>
      </c>
      <c r="AH4" s="56" t="s">
        <v>26</v>
      </c>
      <c r="AI4" s="56" t="s">
        <v>27</v>
      </c>
      <c r="AJ4" s="56" t="s">
        <v>28</v>
      </c>
      <c r="AK4" s="56" t="s">
        <v>29</v>
      </c>
      <c r="AL4" s="56" t="s">
        <v>30</v>
      </c>
      <c r="AM4" s="56" t="s">
        <v>31</v>
      </c>
      <c r="AO4" s="19" t="s">
        <v>13</v>
      </c>
      <c r="AP4" s="56" t="s">
        <v>26</v>
      </c>
      <c r="AQ4" s="56" t="s">
        <v>27</v>
      </c>
      <c r="AR4" s="56" t="s">
        <v>28</v>
      </c>
      <c r="AS4" s="56" t="s">
        <v>29</v>
      </c>
      <c r="AT4" s="56" t="s">
        <v>30</v>
      </c>
      <c r="AU4" s="56" t="s">
        <v>31</v>
      </c>
    </row>
    <row r="5" spans="1:47" x14ac:dyDescent="0.3">
      <c r="A5" s="60" t="s">
        <v>103</v>
      </c>
      <c r="B5" s="58"/>
      <c r="C5" s="58"/>
      <c r="D5" s="58"/>
      <c r="E5" s="58"/>
      <c r="F5" s="58"/>
      <c r="G5" s="59"/>
      <c r="I5" s="60" t="s">
        <v>103</v>
      </c>
      <c r="J5" s="61"/>
      <c r="K5" s="61"/>
      <c r="L5" s="61"/>
      <c r="M5" s="61"/>
      <c r="N5" s="61"/>
      <c r="O5" s="62"/>
      <c r="Q5" s="60" t="s">
        <v>103</v>
      </c>
      <c r="R5" s="58"/>
      <c r="S5" s="58"/>
      <c r="T5" s="58"/>
      <c r="U5" s="58"/>
      <c r="V5" s="58"/>
      <c r="W5" s="59"/>
      <c r="Y5" s="60" t="s">
        <v>103</v>
      </c>
      <c r="Z5" s="58"/>
      <c r="AA5" s="58"/>
      <c r="AB5" s="58"/>
      <c r="AC5" s="58"/>
      <c r="AD5" s="58"/>
      <c r="AE5" s="59"/>
      <c r="AG5" s="60" t="s">
        <v>103</v>
      </c>
      <c r="AH5" s="58"/>
      <c r="AI5" s="58"/>
      <c r="AJ5" s="58"/>
      <c r="AK5" s="58"/>
      <c r="AL5" s="58"/>
      <c r="AM5" s="59"/>
      <c r="AO5" s="60" t="s">
        <v>103</v>
      </c>
      <c r="AP5" s="58"/>
      <c r="AQ5" s="58"/>
      <c r="AR5" s="58"/>
      <c r="AS5" s="58"/>
      <c r="AT5" s="58"/>
      <c r="AU5" s="59"/>
    </row>
    <row r="6" spans="1:47" x14ac:dyDescent="0.3">
      <c r="A6" s="63" t="s">
        <v>104</v>
      </c>
      <c r="B6" s="11">
        <v>89373.34</v>
      </c>
      <c r="C6" s="11">
        <v>82710.320000000007</v>
      </c>
      <c r="D6" s="11">
        <v>100562.57</v>
      </c>
      <c r="E6" s="11">
        <v>127627.47</v>
      </c>
      <c r="F6" s="11">
        <v>130325.65</v>
      </c>
      <c r="G6" s="11">
        <v>126956.76</v>
      </c>
      <c r="I6" s="63" t="s">
        <v>135</v>
      </c>
      <c r="J6" s="11">
        <v>18332</v>
      </c>
      <c r="K6" s="11">
        <v>22071</v>
      </c>
      <c r="L6" s="11">
        <v>28790</v>
      </c>
      <c r="M6" s="11">
        <v>33272</v>
      </c>
      <c r="N6" s="11">
        <v>28082</v>
      </c>
      <c r="O6" s="11">
        <v>33041</v>
      </c>
      <c r="Q6" s="63" t="s">
        <v>135</v>
      </c>
      <c r="R6" s="11">
        <v>72610</v>
      </c>
      <c r="S6" s="11">
        <v>79839</v>
      </c>
      <c r="T6" s="11">
        <v>146371</v>
      </c>
      <c r="U6" s="11">
        <v>165960</v>
      </c>
      <c r="V6" s="11">
        <v>175006</v>
      </c>
      <c r="W6" s="11">
        <v>168824</v>
      </c>
      <c r="Y6" s="63" t="s">
        <v>135</v>
      </c>
      <c r="Z6" s="11">
        <v>148971</v>
      </c>
      <c r="AA6" s="11">
        <v>156294.18</v>
      </c>
      <c r="AB6" s="11">
        <v>243959.17</v>
      </c>
      <c r="AC6" s="11">
        <v>243352.69</v>
      </c>
      <c r="AD6" s="11">
        <v>229170.78</v>
      </c>
      <c r="AE6" s="11">
        <v>218542.51</v>
      </c>
      <c r="AG6" s="63" t="s">
        <v>135</v>
      </c>
      <c r="AH6" s="11">
        <v>61664.160000000003</v>
      </c>
      <c r="AI6" s="11">
        <v>69113.61</v>
      </c>
      <c r="AJ6" s="11">
        <v>103476.84</v>
      </c>
      <c r="AK6" s="11">
        <v>104447.72</v>
      </c>
      <c r="AL6" s="11">
        <v>105378.33</v>
      </c>
      <c r="AM6" s="11">
        <v>102479.06</v>
      </c>
      <c r="AO6" s="65" t="s">
        <v>135</v>
      </c>
      <c r="AP6" s="68">
        <v>11699.22</v>
      </c>
      <c r="AQ6" s="68">
        <v>15370.06</v>
      </c>
      <c r="AR6" s="68">
        <v>25964.79</v>
      </c>
      <c r="AS6" s="68">
        <v>17666.88</v>
      </c>
      <c r="AT6" s="68">
        <v>21307.85</v>
      </c>
      <c r="AU6" s="68">
        <v>23905.52</v>
      </c>
    </row>
    <row r="7" spans="1:47" x14ac:dyDescent="0.3">
      <c r="A7" s="63" t="s">
        <v>105</v>
      </c>
      <c r="B7" s="11">
        <v>6707</v>
      </c>
      <c r="C7" s="11">
        <v>7315.69</v>
      </c>
      <c r="D7" s="11">
        <v>9152.85</v>
      </c>
      <c r="E7" s="11">
        <v>10624.44</v>
      </c>
      <c r="F7" s="11">
        <v>14436.77</v>
      </c>
      <c r="G7" s="11">
        <v>16412.16</v>
      </c>
      <c r="I7" s="63" t="s">
        <v>105</v>
      </c>
      <c r="J7" s="11">
        <v>229</v>
      </c>
      <c r="K7" s="11">
        <v>558</v>
      </c>
      <c r="L7" s="11">
        <v>650</v>
      </c>
      <c r="M7" s="11">
        <v>826</v>
      </c>
      <c r="N7" s="11">
        <v>850</v>
      </c>
      <c r="O7" s="11">
        <v>1042</v>
      </c>
      <c r="Q7" s="63" t="s">
        <v>144</v>
      </c>
      <c r="R7" s="11">
        <v>250</v>
      </c>
      <c r="S7" s="11">
        <v>0</v>
      </c>
      <c r="T7" s="11">
        <v>0</v>
      </c>
      <c r="U7" s="11">
        <v>0</v>
      </c>
      <c r="V7" s="11">
        <v>0</v>
      </c>
      <c r="W7" s="11">
        <v>0</v>
      </c>
      <c r="Y7" s="63" t="s">
        <v>106</v>
      </c>
      <c r="Z7" s="11">
        <v>1821.99</v>
      </c>
      <c r="AA7" s="11">
        <v>895.6</v>
      </c>
      <c r="AB7" s="11">
        <v>784.89</v>
      </c>
      <c r="AC7" s="11">
        <v>1037.48</v>
      </c>
      <c r="AD7" s="11">
        <v>1808.85</v>
      </c>
      <c r="AE7" s="11">
        <v>1540.53</v>
      </c>
      <c r="AG7" s="63" t="s">
        <v>106</v>
      </c>
      <c r="AH7" s="11">
        <v>905.79</v>
      </c>
      <c r="AI7" s="11">
        <v>860.67</v>
      </c>
      <c r="AJ7" s="11">
        <v>858.55</v>
      </c>
      <c r="AK7" s="11">
        <v>950.36</v>
      </c>
      <c r="AL7" s="11">
        <v>1066.96</v>
      </c>
      <c r="AM7" s="11">
        <v>875.03</v>
      </c>
      <c r="AO7" s="63" t="s">
        <v>106</v>
      </c>
      <c r="AP7" s="11">
        <v>514.36</v>
      </c>
      <c r="AQ7" s="11">
        <v>351.6</v>
      </c>
      <c r="AR7" s="11">
        <v>718.52</v>
      </c>
      <c r="AS7" s="11">
        <v>768.22</v>
      </c>
      <c r="AT7" s="11">
        <v>1370.68</v>
      </c>
      <c r="AU7" s="11">
        <v>1593.32</v>
      </c>
    </row>
    <row r="8" spans="1:47" x14ac:dyDescent="0.3">
      <c r="A8" s="63" t="s">
        <v>106</v>
      </c>
      <c r="B8" s="11">
        <v>6444.96</v>
      </c>
      <c r="C8" s="11">
        <v>3792.38</v>
      </c>
      <c r="D8" s="11">
        <v>3881.41</v>
      </c>
      <c r="E8" s="11">
        <v>6550.66</v>
      </c>
      <c r="F8" s="11">
        <v>7969.08</v>
      </c>
      <c r="G8" s="11">
        <v>9470.06</v>
      </c>
      <c r="I8" s="63" t="s">
        <v>106</v>
      </c>
      <c r="J8" s="11">
        <v>1934</v>
      </c>
      <c r="K8" s="11">
        <v>1819</v>
      </c>
      <c r="L8" s="11">
        <v>1216</v>
      </c>
      <c r="M8" s="11">
        <v>1379</v>
      </c>
      <c r="N8" s="11">
        <v>1074</v>
      </c>
      <c r="O8" s="11">
        <v>983</v>
      </c>
      <c r="Q8" s="63" t="s">
        <v>145</v>
      </c>
      <c r="R8" s="11">
        <v>466</v>
      </c>
      <c r="S8" s="11">
        <v>0</v>
      </c>
      <c r="T8" s="11">
        <v>0</v>
      </c>
      <c r="U8" s="11">
        <v>0</v>
      </c>
      <c r="V8" s="11">
        <v>0</v>
      </c>
      <c r="W8" s="11">
        <v>0</v>
      </c>
      <c r="Y8" s="64" t="s">
        <v>107</v>
      </c>
      <c r="Z8" s="66">
        <f>SUM(Z6:Z7)</f>
        <v>150792.99</v>
      </c>
      <c r="AA8" s="66">
        <f t="shared" ref="AA8:AE8" si="0">SUM(AA6:AA7)</f>
        <v>157189.78</v>
      </c>
      <c r="AB8" s="66">
        <f t="shared" si="0"/>
        <v>244744.06000000003</v>
      </c>
      <c r="AC8" s="66">
        <f t="shared" si="0"/>
        <v>244390.17</v>
      </c>
      <c r="AD8" s="66">
        <f t="shared" si="0"/>
        <v>230979.63</v>
      </c>
      <c r="AE8" s="66">
        <f t="shared" si="0"/>
        <v>220083.04</v>
      </c>
      <c r="AG8" s="64" t="s">
        <v>107</v>
      </c>
      <c r="AH8" s="66">
        <f>SUM(AH6:AH7)</f>
        <v>62569.950000000004</v>
      </c>
      <c r="AI8" s="66">
        <f t="shared" ref="AI8:AM8" si="1">SUM(AI6:AI7)</f>
        <v>69974.28</v>
      </c>
      <c r="AJ8" s="66">
        <f t="shared" si="1"/>
        <v>104335.39</v>
      </c>
      <c r="AK8" s="66">
        <f t="shared" si="1"/>
        <v>105398.08</v>
      </c>
      <c r="AL8" s="66">
        <f t="shared" si="1"/>
        <v>106445.29000000001</v>
      </c>
      <c r="AM8" s="66">
        <f t="shared" si="1"/>
        <v>103354.09</v>
      </c>
      <c r="AO8" s="64" t="s">
        <v>107</v>
      </c>
      <c r="AP8" s="66">
        <f>SUM(AP6:AP7)</f>
        <v>12213.58</v>
      </c>
      <c r="AQ8" s="66">
        <f t="shared" ref="AQ8:AU8" si="2">SUM(AQ6:AQ7)</f>
        <v>15721.66</v>
      </c>
      <c r="AR8" s="66">
        <f t="shared" si="2"/>
        <v>26683.31</v>
      </c>
      <c r="AS8" s="66">
        <f t="shared" si="2"/>
        <v>18435.100000000002</v>
      </c>
      <c r="AT8" s="66">
        <f t="shared" si="2"/>
        <v>22678.53</v>
      </c>
      <c r="AU8" s="66">
        <f t="shared" si="2"/>
        <v>25498.84</v>
      </c>
    </row>
    <row r="9" spans="1:47" x14ac:dyDescent="0.3">
      <c r="A9" s="64" t="s">
        <v>107</v>
      </c>
      <c r="B9" s="66">
        <f>SUM(B6:B8)</f>
        <v>102525.3</v>
      </c>
      <c r="C9" s="66">
        <f t="shared" ref="C9:G9" si="3">SUM(C6:C8)</f>
        <v>93818.390000000014</v>
      </c>
      <c r="D9" s="66">
        <f t="shared" si="3"/>
        <v>113596.83000000002</v>
      </c>
      <c r="E9" s="66">
        <f t="shared" si="3"/>
        <v>144802.57</v>
      </c>
      <c r="F9" s="66">
        <f t="shared" si="3"/>
        <v>152731.49999999997</v>
      </c>
      <c r="G9" s="66">
        <f t="shared" si="3"/>
        <v>152838.97999999998</v>
      </c>
      <c r="I9" s="64" t="s">
        <v>107</v>
      </c>
      <c r="J9" s="66">
        <f>SUM(J6:J8)</f>
        <v>20495</v>
      </c>
      <c r="K9" s="66">
        <f t="shared" ref="K9:O9" si="4">SUM(K6:K8)</f>
        <v>24448</v>
      </c>
      <c r="L9" s="66">
        <f t="shared" si="4"/>
        <v>30656</v>
      </c>
      <c r="M9" s="66">
        <f t="shared" si="4"/>
        <v>35477</v>
      </c>
      <c r="N9" s="66">
        <f t="shared" si="4"/>
        <v>30006</v>
      </c>
      <c r="O9" s="66">
        <f t="shared" si="4"/>
        <v>35066</v>
      </c>
      <c r="Q9" s="64" t="s">
        <v>146</v>
      </c>
      <c r="R9" s="66">
        <f>SUM(R6:R8)</f>
        <v>73326</v>
      </c>
      <c r="S9" s="66">
        <f t="shared" ref="S9:W9" si="5">SUM(S6:S8)</f>
        <v>79839</v>
      </c>
      <c r="T9" s="66">
        <f t="shared" si="5"/>
        <v>146371</v>
      </c>
      <c r="U9" s="66">
        <f t="shared" si="5"/>
        <v>165960</v>
      </c>
      <c r="V9" s="66">
        <f t="shared" si="5"/>
        <v>175006</v>
      </c>
      <c r="W9" s="66">
        <f t="shared" si="5"/>
        <v>168824</v>
      </c>
      <c r="Y9" s="19" t="s">
        <v>108</v>
      </c>
      <c r="Z9" s="32"/>
      <c r="AA9" s="32"/>
      <c r="AB9" s="32"/>
      <c r="AC9" s="32"/>
      <c r="AD9" s="32"/>
      <c r="AE9" s="32"/>
      <c r="AG9" s="19" t="s">
        <v>108</v>
      </c>
      <c r="AH9" s="32"/>
      <c r="AI9" s="32"/>
      <c r="AJ9" s="32"/>
      <c r="AK9" s="32"/>
      <c r="AL9" s="32"/>
      <c r="AM9" s="32"/>
      <c r="AO9" s="19" t="s">
        <v>108</v>
      </c>
      <c r="AP9" s="32"/>
      <c r="AQ9" s="32"/>
      <c r="AR9" s="32"/>
      <c r="AS9" s="32"/>
      <c r="AT9" s="32"/>
      <c r="AU9" s="32"/>
    </row>
    <row r="10" spans="1:47" x14ac:dyDescent="0.3">
      <c r="A10" s="19" t="s">
        <v>108</v>
      </c>
      <c r="B10" s="32"/>
      <c r="C10" s="32"/>
      <c r="D10" s="32"/>
      <c r="E10" s="32"/>
      <c r="F10" s="32"/>
      <c r="G10" s="32"/>
      <c r="I10" s="19" t="s">
        <v>108</v>
      </c>
      <c r="J10" s="32"/>
      <c r="K10" s="32"/>
      <c r="L10" s="32"/>
      <c r="M10" s="32"/>
      <c r="N10" s="32"/>
      <c r="O10" s="32"/>
      <c r="Q10" s="63" t="s">
        <v>106</v>
      </c>
      <c r="R10" s="11">
        <v>546</v>
      </c>
      <c r="S10" s="11">
        <v>592</v>
      </c>
      <c r="T10" s="11">
        <v>1531</v>
      </c>
      <c r="U10" s="11">
        <v>1030</v>
      </c>
      <c r="V10" s="11">
        <v>1004</v>
      </c>
      <c r="W10" s="11">
        <v>694</v>
      </c>
      <c r="Y10" s="63" t="s">
        <v>109</v>
      </c>
      <c r="Z10" s="11">
        <v>53592.83</v>
      </c>
      <c r="AA10" s="11">
        <v>46187.96</v>
      </c>
      <c r="AB10" s="11">
        <v>75763.7</v>
      </c>
      <c r="AC10" s="11">
        <v>101483.08</v>
      </c>
      <c r="AD10" s="11">
        <v>82533.600000000006</v>
      </c>
      <c r="AE10" s="11">
        <v>77079.62</v>
      </c>
      <c r="AG10" s="63" t="s">
        <v>109</v>
      </c>
      <c r="AH10" s="11">
        <v>29371.73</v>
      </c>
      <c r="AI10" s="11">
        <v>23213.59</v>
      </c>
      <c r="AJ10" s="11">
        <v>42890.12</v>
      </c>
      <c r="AK10" s="11">
        <v>62179.91</v>
      </c>
      <c r="AL10" s="11">
        <v>57709.26</v>
      </c>
      <c r="AM10" s="11">
        <v>49051.46</v>
      </c>
      <c r="AO10" s="63" t="s">
        <v>167</v>
      </c>
      <c r="AP10" s="11">
        <v>36.479999999999997</v>
      </c>
      <c r="AQ10" s="11">
        <v>42.01</v>
      </c>
      <c r="AR10" s="11">
        <v>106.95</v>
      </c>
      <c r="AS10" s="11">
        <v>70.59</v>
      </c>
      <c r="AT10" s="11">
        <v>20.97</v>
      </c>
      <c r="AU10" s="11">
        <v>12.42</v>
      </c>
    </row>
    <row r="11" spans="1:47" x14ac:dyDescent="0.3">
      <c r="A11" s="63" t="s">
        <v>109</v>
      </c>
      <c r="B11" s="11">
        <v>7065.46</v>
      </c>
      <c r="C11" s="11">
        <v>7585.35</v>
      </c>
      <c r="D11" s="11">
        <v>9443.51</v>
      </c>
      <c r="E11" s="11">
        <v>13557</v>
      </c>
      <c r="F11" s="11">
        <v>11580.04</v>
      </c>
      <c r="G11" s="11">
        <v>11246.95</v>
      </c>
      <c r="I11" s="63" t="s">
        <v>136</v>
      </c>
      <c r="J11" s="11">
        <v>-291</v>
      </c>
      <c r="K11" s="11">
        <v>239</v>
      </c>
      <c r="L11" s="11">
        <v>-278</v>
      </c>
      <c r="M11" s="11">
        <v>-143</v>
      </c>
      <c r="N11" s="11">
        <v>-157</v>
      </c>
      <c r="O11" s="11">
        <v>-64</v>
      </c>
      <c r="Q11" s="64" t="s">
        <v>107</v>
      </c>
      <c r="R11" s="66">
        <f>R9+R10</f>
        <v>73872</v>
      </c>
      <c r="S11" s="66">
        <f t="shared" ref="S11:W11" si="6">S9+S10</f>
        <v>80431</v>
      </c>
      <c r="T11" s="66">
        <f t="shared" si="6"/>
        <v>147902</v>
      </c>
      <c r="U11" s="66">
        <f t="shared" si="6"/>
        <v>166990</v>
      </c>
      <c r="V11" s="66">
        <f t="shared" si="6"/>
        <v>176010</v>
      </c>
      <c r="W11" s="66">
        <f t="shared" si="6"/>
        <v>169518</v>
      </c>
      <c r="Y11" s="63" t="s">
        <v>110</v>
      </c>
      <c r="Z11" s="11">
        <v>10504.2</v>
      </c>
      <c r="AA11" s="11">
        <v>9235.42</v>
      </c>
      <c r="AB11" s="11">
        <v>15312.91</v>
      </c>
      <c r="AC11" s="11">
        <v>15114.11</v>
      </c>
      <c r="AD11" s="11">
        <v>14972.79</v>
      </c>
      <c r="AE11" s="11">
        <v>18017.68</v>
      </c>
      <c r="AG11" s="63" t="s">
        <v>110</v>
      </c>
      <c r="AH11" s="11">
        <v>0</v>
      </c>
      <c r="AI11" s="11">
        <v>0</v>
      </c>
      <c r="AJ11" s="11">
        <v>0</v>
      </c>
      <c r="AK11" s="11">
        <v>0</v>
      </c>
      <c r="AL11" s="11">
        <v>0</v>
      </c>
      <c r="AM11" s="11">
        <v>1856.98</v>
      </c>
      <c r="AO11" s="63" t="s">
        <v>168</v>
      </c>
      <c r="AP11" s="11">
        <v>243.15</v>
      </c>
      <c r="AQ11" s="11">
        <v>257.41000000000003</v>
      </c>
      <c r="AR11" s="11">
        <v>396.53</v>
      </c>
      <c r="AS11" s="11">
        <v>556.34</v>
      </c>
      <c r="AT11" s="11">
        <v>652.72</v>
      </c>
      <c r="AU11" s="11">
        <v>720.84</v>
      </c>
    </row>
    <row r="12" spans="1:47" x14ac:dyDescent="0.3">
      <c r="A12" s="63" t="s">
        <v>110</v>
      </c>
      <c r="B12" s="11">
        <v>60.8</v>
      </c>
      <c r="C12" s="11">
        <v>282.33999999999997</v>
      </c>
      <c r="D12" s="11">
        <v>103.56</v>
      </c>
      <c r="E12" s="11">
        <v>469.74</v>
      </c>
      <c r="F12" s="11">
        <v>0</v>
      </c>
      <c r="G12" s="11">
        <v>0</v>
      </c>
      <c r="I12" s="63" t="s">
        <v>137</v>
      </c>
      <c r="J12" s="11">
        <v>689</v>
      </c>
      <c r="K12" s="11">
        <v>760</v>
      </c>
      <c r="L12" s="11">
        <v>718</v>
      </c>
      <c r="M12" s="11">
        <v>845</v>
      </c>
      <c r="N12" s="11">
        <v>828</v>
      </c>
      <c r="O12" s="11">
        <v>886</v>
      </c>
      <c r="Q12" s="19" t="s">
        <v>108</v>
      </c>
      <c r="R12" s="32"/>
      <c r="S12" s="32"/>
      <c r="T12" s="32"/>
      <c r="U12" s="32"/>
      <c r="V12" s="32"/>
      <c r="W12" s="32"/>
      <c r="Y12" s="63" t="s">
        <v>111</v>
      </c>
      <c r="Z12" s="11">
        <v>-490.05</v>
      </c>
      <c r="AA12" s="11">
        <v>1516.77</v>
      </c>
      <c r="AB12" s="11">
        <v>-7597.87</v>
      </c>
      <c r="AC12" s="11">
        <v>-3358.89</v>
      </c>
      <c r="AD12" s="11">
        <v>4409.3500000000004</v>
      </c>
      <c r="AE12" s="11">
        <v>-96.65</v>
      </c>
      <c r="AG12" s="63" t="s">
        <v>111</v>
      </c>
      <c r="AH12" s="11">
        <v>-5577.63</v>
      </c>
      <c r="AI12" s="11">
        <v>4276.6400000000003</v>
      </c>
      <c r="AJ12" s="11">
        <v>-279.54000000000002</v>
      </c>
      <c r="AK12" s="11">
        <v>-5154.71</v>
      </c>
      <c r="AL12" s="11">
        <v>-3354.77</v>
      </c>
      <c r="AM12" s="11">
        <v>88.75</v>
      </c>
      <c r="AO12" s="63" t="s">
        <v>110</v>
      </c>
      <c r="AP12" s="11">
        <v>0</v>
      </c>
      <c r="AQ12" s="11">
        <v>0</v>
      </c>
      <c r="AR12" s="11">
        <v>0</v>
      </c>
      <c r="AS12" s="11">
        <v>0</v>
      </c>
      <c r="AT12" s="11">
        <v>0</v>
      </c>
      <c r="AU12" s="11">
        <v>197.09</v>
      </c>
    </row>
    <row r="13" spans="1:47" x14ac:dyDescent="0.3">
      <c r="A13" s="63" t="s">
        <v>111</v>
      </c>
      <c r="B13" s="11">
        <v>-1042.5</v>
      </c>
      <c r="C13" s="11">
        <v>-2351.2600000000002</v>
      </c>
      <c r="D13" s="11">
        <v>2308.4899999999998</v>
      </c>
      <c r="E13" s="11">
        <v>-678.12</v>
      </c>
      <c r="F13" s="11">
        <v>-1521.5</v>
      </c>
      <c r="G13" s="11">
        <v>-2303.35</v>
      </c>
      <c r="I13" s="63" t="s">
        <v>138</v>
      </c>
      <c r="J13" s="11">
        <v>2279</v>
      </c>
      <c r="K13" s="11">
        <v>2531</v>
      </c>
      <c r="L13" s="11">
        <v>2917</v>
      </c>
      <c r="M13" s="11">
        <v>3264</v>
      </c>
      <c r="N13" s="11">
        <v>3468</v>
      </c>
      <c r="O13" s="11">
        <v>3640</v>
      </c>
      <c r="Q13" s="63" t="s">
        <v>109</v>
      </c>
      <c r="R13" s="11">
        <v>38865</v>
      </c>
      <c r="S13" s="11">
        <v>32623</v>
      </c>
      <c r="T13" s="11">
        <v>62337</v>
      </c>
      <c r="U13" s="11">
        <v>94456</v>
      </c>
      <c r="V13" s="11">
        <v>93590</v>
      </c>
      <c r="W13" s="11">
        <v>88324</v>
      </c>
      <c r="Y13" s="63" t="s">
        <v>112</v>
      </c>
      <c r="Z13" s="11">
        <v>19152.23</v>
      </c>
      <c r="AA13" s="11">
        <v>19908.810000000001</v>
      </c>
      <c r="AB13" s="11">
        <v>23264.1</v>
      </c>
      <c r="AC13" s="11">
        <v>22419.32</v>
      </c>
      <c r="AD13" s="11">
        <v>24509.58</v>
      </c>
      <c r="AE13" s="11">
        <v>24888.99</v>
      </c>
      <c r="AG13" s="63" t="s">
        <v>137</v>
      </c>
      <c r="AH13" s="11">
        <v>8797.32</v>
      </c>
      <c r="AI13" s="11">
        <v>10461.049999999999</v>
      </c>
      <c r="AJ13" s="11">
        <v>12861.99</v>
      </c>
      <c r="AK13" s="11">
        <v>12071.53</v>
      </c>
      <c r="AL13" s="11">
        <v>11765.72</v>
      </c>
      <c r="AM13" s="11">
        <v>11674.95</v>
      </c>
      <c r="AO13" s="63" t="s">
        <v>169</v>
      </c>
      <c r="AP13" s="11">
        <v>-53.83</v>
      </c>
      <c r="AQ13" s="11">
        <v>-161.81</v>
      </c>
      <c r="AR13" s="11">
        <v>-1159.3900000000001</v>
      </c>
      <c r="AS13" s="11">
        <v>-496.6</v>
      </c>
      <c r="AT13" s="11">
        <v>-93.36</v>
      </c>
      <c r="AU13" s="11">
        <v>99.31</v>
      </c>
    </row>
    <row r="14" spans="1:47" x14ac:dyDescent="0.3">
      <c r="A14" s="63" t="s">
        <v>112</v>
      </c>
      <c r="B14" s="11">
        <v>39404.18</v>
      </c>
      <c r="C14" s="11">
        <v>38697.72</v>
      </c>
      <c r="D14" s="11">
        <v>40473.21</v>
      </c>
      <c r="E14" s="11">
        <v>49409.16</v>
      </c>
      <c r="F14" s="11">
        <v>48782.58</v>
      </c>
      <c r="G14" s="11">
        <v>46249.13</v>
      </c>
      <c r="I14" s="63" t="s">
        <v>139</v>
      </c>
      <c r="J14" s="11">
        <v>1704</v>
      </c>
      <c r="K14" s="11">
        <v>1732</v>
      </c>
      <c r="L14" s="11">
        <v>2452</v>
      </c>
      <c r="M14" s="11">
        <v>3711</v>
      </c>
      <c r="N14" s="11">
        <v>2843</v>
      </c>
      <c r="O14" s="11">
        <v>2702</v>
      </c>
      <c r="Q14" s="63" t="s">
        <v>110</v>
      </c>
      <c r="R14" s="11">
        <v>135</v>
      </c>
      <c r="S14" s="11">
        <v>233</v>
      </c>
      <c r="T14" s="11">
        <v>534</v>
      </c>
      <c r="U14" s="11">
        <v>1514</v>
      </c>
      <c r="V14" s="11">
        <v>1164</v>
      </c>
      <c r="W14" s="11">
        <v>845</v>
      </c>
      <c r="Y14" s="63" t="s">
        <v>117</v>
      </c>
      <c r="Z14" s="11">
        <v>7580.72</v>
      </c>
      <c r="AA14" s="11">
        <v>7606.71</v>
      </c>
      <c r="AB14" s="11">
        <v>5462.2</v>
      </c>
      <c r="AC14" s="11">
        <v>6298.7</v>
      </c>
      <c r="AD14" s="11">
        <v>7507.57</v>
      </c>
      <c r="AE14" s="11">
        <v>7340.95</v>
      </c>
      <c r="AG14" s="63" t="s">
        <v>117</v>
      </c>
      <c r="AH14" s="11">
        <v>3486.76</v>
      </c>
      <c r="AI14" s="11">
        <v>2817.15</v>
      </c>
      <c r="AJ14" s="11">
        <v>1697.89</v>
      </c>
      <c r="AK14" s="11">
        <v>2037.47</v>
      </c>
      <c r="AL14" s="11">
        <v>2473.86</v>
      </c>
      <c r="AM14" s="11">
        <v>2793.17</v>
      </c>
      <c r="AO14" s="63" t="s">
        <v>137</v>
      </c>
      <c r="AP14" s="11">
        <v>1049.3599999999999</v>
      </c>
      <c r="AQ14" s="11">
        <v>1085.24</v>
      </c>
      <c r="AR14" s="11">
        <v>1337.07</v>
      </c>
      <c r="AS14" s="11">
        <v>1530.57</v>
      </c>
      <c r="AT14" s="11">
        <v>1625.54</v>
      </c>
      <c r="AU14" s="11">
        <v>1795.04</v>
      </c>
    </row>
    <row r="15" spans="1:47" x14ac:dyDescent="0.3">
      <c r="A15" s="63" t="s">
        <v>113</v>
      </c>
      <c r="B15" s="11">
        <v>2467.2199999999998</v>
      </c>
      <c r="C15" s="11">
        <v>2538.19</v>
      </c>
      <c r="D15" s="11">
        <v>2638.46</v>
      </c>
      <c r="E15" s="11">
        <v>2759.89</v>
      </c>
      <c r="F15" s="11">
        <v>0</v>
      </c>
      <c r="G15" s="11">
        <v>0</v>
      </c>
      <c r="I15" s="63" t="s">
        <v>140</v>
      </c>
      <c r="J15" s="11">
        <v>2353</v>
      </c>
      <c r="K15" s="11">
        <v>2759</v>
      </c>
      <c r="L15" s="11">
        <v>3667</v>
      </c>
      <c r="M15" s="11">
        <v>4068</v>
      </c>
      <c r="N15" s="11">
        <v>3517</v>
      </c>
      <c r="O15" s="11">
        <v>4103</v>
      </c>
      <c r="Q15" s="63" t="s">
        <v>147</v>
      </c>
      <c r="R15" s="11">
        <v>-270</v>
      </c>
      <c r="S15" s="11">
        <v>-348</v>
      </c>
      <c r="T15" s="11">
        <v>-3601</v>
      </c>
      <c r="U15" s="11">
        <v>-2636</v>
      </c>
      <c r="V15" s="11">
        <v>-3087</v>
      </c>
      <c r="W15" s="11">
        <v>829</v>
      </c>
      <c r="Y15" s="63" t="s">
        <v>138</v>
      </c>
      <c r="Z15" s="11">
        <v>8707.67</v>
      </c>
      <c r="AA15" s="11">
        <v>9233.64</v>
      </c>
      <c r="AB15" s="11">
        <v>9100.8700000000008</v>
      </c>
      <c r="AC15" s="11">
        <v>9335.2000000000007</v>
      </c>
      <c r="AD15" s="11">
        <v>9882.16</v>
      </c>
      <c r="AE15" s="11">
        <v>10421.33</v>
      </c>
      <c r="AG15" s="63" t="s">
        <v>138</v>
      </c>
      <c r="AH15" s="11">
        <v>3755.73</v>
      </c>
      <c r="AI15" s="11">
        <v>4102.78</v>
      </c>
      <c r="AJ15" s="11">
        <v>4275.0200000000004</v>
      </c>
      <c r="AK15" s="11">
        <v>4963.54</v>
      </c>
      <c r="AL15" s="11">
        <v>5278.37</v>
      </c>
      <c r="AM15" s="11">
        <v>5650.68</v>
      </c>
      <c r="AO15" s="63" t="s">
        <v>170</v>
      </c>
      <c r="AP15" s="11">
        <v>114.73</v>
      </c>
      <c r="AQ15" s="11">
        <v>110.82</v>
      </c>
      <c r="AR15" s="11">
        <v>122.54</v>
      </c>
      <c r="AS15" s="11">
        <v>144.1</v>
      </c>
      <c r="AT15" s="11">
        <v>168.1</v>
      </c>
      <c r="AU15" s="11">
        <v>163.13</v>
      </c>
    </row>
    <row r="16" spans="1:47" x14ac:dyDescent="0.3">
      <c r="A16" s="63" t="s">
        <v>114</v>
      </c>
      <c r="B16" s="11">
        <v>587.84</v>
      </c>
      <c r="C16" s="11">
        <v>449.31</v>
      </c>
      <c r="D16" s="11">
        <v>548.98</v>
      </c>
      <c r="E16" s="11">
        <v>586.5</v>
      </c>
      <c r="F16" s="11">
        <v>0</v>
      </c>
      <c r="G16" s="11">
        <v>0</v>
      </c>
      <c r="I16" s="63" t="s">
        <v>117</v>
      </c>
      <c r="J16" s="11">
        <v>112</v>
      </c>
      <c r="K16" s="11">
        <v>386</v>
      </c>
      <c r="L16" s="11">
        <v>290</v>
      </c>
      <c r="M16" s="11">
        <v>333</v>
      </c>
      <c r="N16" s="11">
        <v>955</v>
      </c>
      <c r="O16" s="11">
        <v>1095</v>
      </c>
      <c r="Q16" s="63" t="s">
        <v>148</v>
      </c>
      <c r="R16" s="11">
        <v>651</v>
      </c>
      <c r="S16" s="11">
        <v>6972</v>
      </c>
      <c r="T16" s="11">
        <v>13894</v>
      </c>
      <c r="U16" s="11">
        <v>7457</v>
      </c>
      <c r="V16" s="11">
        <v>10011</v>
      </c>
      <c r="W16" s="11">
        <v>9144</v>
      </c>
      <c r="Y16" s="63" t="s">
        <v>121</v>
      </c>
      <c r="Z16" s="11">
        <v>50702.93</v>
      </c>
      <c r="AA16" s="11">
        <v>50706.65</v>
      </c>
      <c r="AB16" s="11">
        <v>76616.28</v>
      </c>
      <c r="AC16" s="11">
        <v>80518.87</v>
      </c>
      <c r="AD16" s="11">
        <v>82354.89</v>
      </c>
      <c r="AE16" s="11">
        <v>74699.990000000005</v>
      </c>
      <c r="AG16" s="63" t="s">
        <v>121</v>
      </c>
      <c r="AH16" s="11">
        <v>18857.02</v>
      </c>
      <c r="AI16" s="11">
        <v>18423.59</v>
      </c>
      <c r="AJ16" s="11">
        <v>26662.75</v>
      </c>
      <c r="AK16" s="11">
        <v>27311.56</v>
      </c>
      <c r="AL16" s="11">
        <v>28108.81</v>
      </c>
      <c r="AM16" s="11">
        <v>29160.71</v>
      </c>
      <c r="AO16" s="63" t="s">
        <v>171</v>
      </c>
      <c r="AP16" s="11">
        <v>156.94999999999999</v>
      </c>
      <c r="AQ16" s="11">
        <v>136.02000000000001</v>
      </c>
      <c r="AR16" s="11">
        <v>192.23</v>
      </c>
      <c r="AS16" s="11">
        <v>210.01</v>
      </c>
      <c r="AT16" s="11">
        <v>246.34</v>
      </c>
      <c r="AU16" s="11">
        <v>254.8</v>
      </c>
    </row>
    <row r="17" spans="1:47" x14ac:dyDescent="0.3">
      <c r="A17" s="63" t="s">
        <v>115</v>
      </c>
      <c r="B17" s="11">
        <v>1410.93</v>
      </c>
      <c r="C17" s="11">
        <v>1418.8</v>
      </c>
      <c r="D17" s="11">
        <v>1632.33</v>
      </c>
      <c r="E17" s="11">
        <v>1772.28</v>
      </c>
      <c r="F17" s="11">
        <v>0</v>
      </c>
      <c r="G17" s="11">
        <v>0</v>
      </c>
      <c r="I17" s="63" t="s">
        <v>121</v>
      </c>
      <c r="J17" s="11">
        <v>5259</v>
      </c>
      <c r="K17" s="11">
        <v>5467</v>
      </c>
      <c r="L17" s="11">
        <v>6656</v>
      </c>
      <c r="M17" s="11">
        <v>8111</v>
      </c>
      <c r="N17" s="11">
        <v>8245</v>
      </c>
      <c r="O17" s="11">
        <v>9068</v>
      </c>
      <c r="Q17" s="63" t="s">
        <v>137</v>
      </c>
      <c r="R17" s="11">
        <v>2839</v>
      </c>
      <c r="S17" s="11">
        <v>2506</v>
      </c>
      <c r="T17" s="11">
        <v>3493</v>
      </c>
      <c r="U17" s="11">
        <v>3915</v>
      </c>
      <c r="V17" s="11">
        <v>4591</v>
      </c>
      <c r="W17" s="11">
        <v>4798</v>
      </c>
      <c r="Y17" s="63" t="s">
        <v>153</v>
      </c>
      <c r="Z17" s="11">
        <v>-2318</v>
      </c>
      <c r="AA17" s="11">
        <v>-1765.69</v>
      </c>
      <c r="AB17" s="11">
        <v>-2889.9</v>
      </c>
      <c r="AC17" s="11">
        <v>-5123.96</v>
      </c>
      <c r="AD17" s="11">
        <v>-1915.33</v>
      </c>
      <c r="AE17" s="11">
        <v>-1345.57</v>
      </c>
      <c r="AG17" s="64" t="s">
        <v>122</v>
      </c>
      <c r="AH17" s="66">
        <f t="shared" ref="AH17:AM17" si="7">SUM(AH10:AH16)</f>
        <v>58690.930000000008</v>
      </c>
      <c r="AI17" s="66">
        <f t="shared" si="7"/>
        <v>63294.8</v>
      </c>
      <c r="AJ17" s="66">
        <f t="shared" si="7"/>
        <v>88108.23</v>
      </c>
      <c r="AK17" s="66">
        <f t="shared" si="7"/>
        <v>103409.3</v>
      </c>
      <c r="AL17" s="66">
        <f t="shared" si="7"/>
        <v>101981.25</v>
      </c>
      <c r="AM17" s="66">
        <f t="shared" si="7"/>
        <v>100276.69999999998</v>
      </c>
      <c r="AO17" s="63" t="s">
        <v>172</v>
      </c>
      <c r="AP17" s="11">
        <v>2096.29</v>
      </c>
      <c r="AQ17" s="11">
        <v>2969.38</v>
      </c>
      <c r="AR17" s="11">
        <v>9986.76</v>
      </c>
      <c r="AS17" s="11">
        <v>7725.04</v>
      </c>
      <c r="AT17" s="11">
        <v>9214.1299999999992</v>
      </c>
      <c r="AU17" s="11">
        <v>9709.17</v>
      </c>
    </row>
    <row r="18" spans="1:47" x14ac:dyDescent="0.3">
      <c r="A18" s="63" t="s">
        <v>116</v>
      </c>
      <c r="B18" s="11">
        <v>13911.55</v>
      </c>
      <c r="C18" s="11">
        <v>16023.08</v>
      </c>
      <c r="D18" s="11">
        <v>18875.16</v>
      </c>
      <c r="E18" s="11">
        <v>23289.21</v>
      </c>
      <c r="F18" s="11">
        <v>27439.88</v>
      </c>
      <c r="G18" s="11">
        <v>31811.5</v>
      </c>
      <c r="I18" s="64" t="s">
        <v>122</v>
      </c>
      <c r="J18" s="66">
        <f>SUM(J11:J17)</f>
        <v>12105</v>
      </c>
      <c r="K18" s="66">
        <f t="shared" ref="K18:O18" si="8">SUM(K11:K17)</f>
        <v>13874</v>
      </c>
      <c r="L18" s="66">
        <f t="shared" si="8"/>
        <v>16422</v>
      </c>
      <c r="M18" s="66">
        <f t="shared" si="8"/>
        <v>20189</v>
      </c>
      <c r="N18" s="66">
        <f t="shared" si="8"/>
        <v>19699</v>
      </c>
      <c r="O18" s="66">
        <f t="shared" si="8"/>
        <v>21430</v>
      </c>
      <c r="Q18" s="63" t="s">
        <v>117</v>
      </c>
      <c r="R18" s="11">
        <v>4265</v>
      </c>
      <c r="S18" s="11">
        <v>3957</v>
      </c>
      <c r="T18" s="11">
        <v>4968</v>
      </c>
      <c r="U18" s="11">
        <v>6902</v>
      </c>
      <c r="V18" s="11">
        <v>8105</v>
      </c>
      <c r="W18" s="11">
        <v>8412</v>
      </c>
      <c r="Y18" s="64" t="s">
        <v>122</v>
      </c>
      <c r="Z18" s="66">
        <f>SUM(Z10:Z17)</f>
        <v>147432.53</v>
      </c>
      <c r="AA18" s="66">
        <f t="shared" ref="AA18:AE18" si="9">SUM(AA10:AA17)</f>
        <v>142630.26999999999</v>
      </c>
      <c r="AB18" s="66">
        <f t="shared" si="9"/>
        <v>195032.29</v>
      </c>
      <c r="AC18" s="66">
        <f t="shared" si="9"/>
        <v>226686.43000000002</v>
      </c>
      <c r="AD18" s="66">
        <f t="shared" si="9"/>
        <v>224254.61000000002</v>
      </c>
      <c r="AE18" s="66">
        <f t="shared" si="9"/>
        <v>211006.33999999997</v>
      </c>
      <c r="AG18" s="64" t="s">
        <v>165</v>
      </c>
      <c r="AH18" s="66">
        <f t="shared" ref="AH18:AM18" si="10">AH8-AH17</f>
        <v>3879.0199999999968</v>
      </c>
      <c r="AI18" s="66">
        <f t="shared" si="10"/>
        <v>6679.4799999999959</v>
      </c>
      <c r="AJ18" s="66">
        <f t="shared" si="10"/>
        <v>16227.160000000003</v>
      </c>
      <c r="AK18" s="66">
        <f t="shared" si="10"/>
        <v>1988.7799999999988</v>
      </c>
      <c r="AL18" s="66">
        <f t="shared" si="10"/>
        <v>4464.0400000000081</v>
      </c>
      <c r="AM18" s="66">
        <f t="shared" si="10"/>
        <v>3077.390000000014</v>
      </c>
      <c r="AO18" s="63" t="s">
        <v>173</v>
      </c>
      <c r="AP18" s="11">
        <v>702.43</v>
      </c>
      <c r="AQ18" s="11">
        <v>695.27</v>
      </c>
      <c r="AR18" s="11">
        <v>227.74</v>
      </c>
      <c r="AS18" s="11">
        <v>263</v>
      </c>
      <c r="AT18" s="11">
        <v>338.47</v>
      </c>
      <c r="AU18" s="11">
        <v>538.94000000000005</v>
      </c>
    </row>
    <row r="19" spans="1:47" x14ac:dyDescent="0.3">
      <c r="A19" s="63" t="s">
        <v>117</v>
      </c>
      <c r="B19" s="11">
        <v>502.92</v>
      </c>
      <c r="C19" s="11">
        <v>644.69000000000005</v>
      </c>
      <c r="D19" s="11">
        <v>541.49</v>
      </c>
      <c r="E19" s="11">
        <v>684.31</v>
      </c>
      <c r="F19" s="11">
        <v>819.37</v>
      </c>
      <c r="G19" s="11">
        <v>883.65</v>
      </c>
      <c r="I19" s="63" t="s">
        <v>152</v>
      </c>
      <c r="J19" s="11">
        <v>0</v>
      </c>
      <c r="K19" s="11">
        <v>0</v>
      </c>
      <c r="L19" s="11">
        <v>-134</v>
      </c>
      <c r="M19" s="11">
        <v>0</v>
      </c>
      <c r="N19" s="11">
        <v>0</v>
      </c>
      <c r="O19" s="11">
        <v>-83</v>
      </c>
      <c r="Q19" s="63" t="s">
        <v>138</v>
      </c>
      <c r="R19" s="11">
        <v>4246</v>
      </c>
      <c r="S19" s="11">
        <v>4679</v>
      </c>
      <c r="T19" s="11">
        <v>6001</v>
      </c>
      <c r="U19" s="11">
        <v>7474</v>
      </c>
      <c r="V19" s="11">
        <v>8172</v>
      </c>
      <c r="W19" s="11">
        <v>9309</v>
      </c>
      <c r="Y19" s="63" t="s">
        <v>150</v>
      </c>
      <c r="Z19" s="11">
        <v>187.97</v>
      </c>
      <c r="AA19" s="11">
        <v>327.33999999999997</v>
      </c>
      <c r="AB19" s="11">
        <v>649.16</v>
      </c>
      <c r="AC19" s="11">
        <v>418.12</v>
      </c>
      <c r="AD19" s="11">
        <v>-57.98</v>
      </c>
      <c r="AE19" s="11">
        <v>190.81</v>
      </c>
      <c r="AG19" s="63" t="s">
        <v>166</v>
      </c>
      <c r="AH19" s="11">
        <v>194.32</v>
      </c>
      <c r="AI19" s="11">
        <v>467.74</v>
      </c>
      <c r="AJ19" s="11">
        <v>418.12</v>
      </c>
      <c r="AK19" s="11">
        <v>645.66999999999996</v>
      </c>
      <c r="AL19" s="11">
        <v>438.61</v>
      </c>
      <c r="AM19" s="11">
        <v>486.78</v>
      </c>
      <c r="AO19" s="63" t="s">
        <v>117</v>
      </c>
      <c r="AP19" s="11">
        <v>9.8800000000000008</v>
      </c>
      <c r="AQ19" s="11">
        <v>16.809999999999999</v>
      </c>
      <c r="AR19" s="11">
        <v>39.06</v>
      </c>
      <c r="AS19" s="11">
        <v>75.23</v>
      </c>
      <c r="AT19" s="11">
        <v>78.239999999999995</v>
      </c>
      <c r="AU19" s="11">
        <v>177.68</v>
      </c>
    </row>
    <row r="20" spans="1:47" x14ac:dyDescent="0.3">
      <c r="A20" s="63" t="s">
        <v>118</v>
      </c>
      <c r="B20" s="11">
        <v>3450.83</v>
      </c>
      <c r="C20" s="11">
        <v>3708.92</v>
      </c>
      <c r="D20" s="11">
        <v>4428.67</v>
      </c>
      <c r="E20" s="11">
        <v>4675.2700000000004</v>
      </c>
      <c r="F20" s="11">
        <v>6735.42</v>
      </c>
      <c r="G20" s="11">
        <v>9145.49</v>
      </c>
      <c r="I20" s="64" t="s">
        <v>125</v>
      </c>
      <c r="J20" s="66">
        <f>J9-J18+J19</f>
        <v>8390</v>
      </c>
      <c r="K20" s="66">
        <f t="shared" ref="K20:O20" si="11">K9-K18+K19</f>
        <v>10574</v>
      </c>
      <c r="L20" s="66">
        <f t="shared" si="11"/>
        <v>14100</v>
      </c>
      <c r="M20" s="66">
        <f t="shared" si="11"/>
        <v>15288</v>
      </c>
      <c r="N20" s="66">
        <f t="shared" si="11"/>
        <v>10307</v>
      </c>
      <c r="O20" s="66">
        <f t="shared" si="11"/>
        <v>13553</v>
      </c>
      <c r="Q20" s="63" t="s">
        <v>121</v>
      </c>
      <c r="R20" s="11">
        <v>19233</v>
      </c>
      <c r="S20" s="11">
        <v>17712</v>
      </c>
      <c r="T20" s="11">
        <v>30707</v>
      </c>
      <c r="U20" s="11">
        <v>42707</v>
      </c>
      <c r="V20" s="11">
        <v>40501</v>
      </c>
      <c r="W20" s="11">
        <v>41980</v>
      </c>
      <c r="Y20" s="64" t="s">
        <v>154</v>
      </c>
      <c r="Z20" s="66">
        <f>Z8-Z18+Z19</f>
        <v>3548.4299999999917</v>
      </c>
      <c r="AA20" s="66">
        <f t="shared" ref="AA20:AE20" si="12">AA8-AA18+AA19</f>
        <v>14886.850000000009</v>
      </c>
      <c r="AB20" s="66">
        <f t="shared" si="12"/>
        <v>50360.930000000022</v>
      </c>
      <c r="AC20" s="66">
        <f t="shared" si="12"/>
        <v>18121.85999999999</v>
      </c>
      <c r="AD20" s="66">
        <f t="shared" si="12"/>
        <v>6667.03999999999</v>
      </c>
      <c r="AE20" s="66">
        <f t="shared" si="12"/>
        <v>9267.5100000000402</v>
      </c>
      <c r="AG20" s="64" t="s">
        <v>151</v>
      </c>
      <c r="AH20" s="66">
        <f>AH18+AH19</f>
        <v>4073.339999999997</v>
      </c>
      <c r="AI20" s="66">
        <f t="shared" ref="AI20:AM20" si="13">AI18+AI19</f>
        <v>7147.2199999999957</v>
      </c>
      <c r="AJ20" s="66">
        <f t="shared" si="13"/>
        <v>16645.280000000002</v>
      </c>
      <c r="AK20" s="66">
        <f t="shared" si="13"/>
        <v>2634.4499999999989</v>
      </c>
      <c r="AL20" s="66">
        <f t="shared" si="13"/>
        <v>4902.6500000000078</v>
      </c>
      <c r="AM20" s="66">
        <f t="shared" si="13"/>
        <v>3564.1700000000137</v>
      </c>
      <c r="AO20" s="63" t="s">
        <v>138</v>
      </c>
      <c r="AP20" s="11">
        <v>294.93</v>
      </c>
      <c r="AQ20" s="11">
        <v>228.54</v>
      </c>
      <c r="AR20" s="11">
        <v>287.74</v>
      </c>
      <c r="AS20" s="11">
        <v>336.18</v>
      </c>
      <c r="AT20" s="11">
        <v>350.66</v>
      </c>
      <c r="AU20" s="11">
        <v>420.42</v>
      </c>
    </row>
    <row r="21" spans="1:47" x14ac:dyDescent="0.3">
      <c r="A21" s="63" t="s">
        <v>51</v>
      </c>
      <c r="B21" s="11">
        <v>457.04</v>
      </c>
      <c r="C21" s="11">
        <v>1036.32</v>
      </c>
      <c r="D21" s="11">
        <v>172.77</v>
      </c>
      <c r="E21" s="11">
        <v>374.93</v>
      </c>
      <c r="F21" s="11">
        <v>0</v>
      </c>
      <c r="G21" s="11">
        <v>0</v>
      </c>
      <c r="I21" s="63" t="s">
        <v>127</v>
      </c>
      <c r="J21" s="11">
        <v>1428</v>
      </c>
      <c r="K21" s="11">
        <v>1827</v>
      </c>
      <c r="L21" s="11">
        <v>2445</v>
      </c>
      <c r="M21" s="11">
        <v>3431</v>
      </c>
      <c r="N21" s="11">
        <v>2549</v>
      </c>
      <c r="O21" s="11">
        <v>3226</v>
      </c>
      <c r="Q21" s="64" t="s">
        <v>122</v>
      </c>
      <c r="R21" s="66">
        <f>SUM(R13:R20)</f>
        <v>69964</v>
      </c>
      <c r="S21" s="66">
        <f t="shared" ref="S21:W21" si="14">SUM(S13:S20)</f>
        <v>68334</v>
      </c>
      <c r="T21" s="66">
        <f t="shared" si="14"/>
        <v>118333</v>
      </c>
      <c r="U21" s="66">
        <f t="shared" si="14"/>
        <v>161789</v>
      </c>
      <c r="V21" s="66">
        <f t="shared" si="14"/>
        <v>163047</v>
      </c>
      <c r="W21" s="66">
        <f t="shared" si="14"/>
        <v>163641</v>
      </c>
      <c r="Y21" s="19" t="s">
        <v>155</v>
      </c>
      <c r="Z21" s="32"/>
      <c r="AA21" s="32"/>
      <c r="AB21" s="32"/>
      <c r="AC21" s="32"/>
      <c r="AD21" s="32"/>
      <c r="AE21" s="32"/>
      <c r="AG21" s="63" t="s">
        <v>152</v>
      </c>
      <c r="AH21" s="11">
        <v>771.76</v>
      </c>
      <c r="AI21" s="11">
        <v>-58.43</v>
      </c>
      <c r="AJ21" s="11">
        <v>-353.41</v>
      </c>
      <c r="AK21" s="11">
        <v>257.99</v>
      </c>
      <c r="AL21" s="11">
        <v>-840.84</v>
      </c>
      <c r="AM21" s="11">
        <v>-312.64</v>
      </c>
      <c r="AO21" s="63" t="s">
        <v>121</v>
      </c>
      <c r="AP21" s="11">
        <v>1351.74</v>
      </c>
      <c r="AQ21" s="11">
        <v>1446.45</v>
      </c>
      <c r="AR21" s="11">
        <v>2129.89</v>
      </c>
      <c r="AS21" s="11">
        <v>1611.3</v>
      </c>
      <c r="AT21" s="11">
        <v>1841.91</v>
      </c>
      <c r="AU21" s="11">
        <v>2266.11</v>
      </c>
    </row>
    <row r="22" spans="1:47" x14ac:dyDescent="0.3">
      <c r="A22" s="63" t="s">
        <v>119</v>
      </c>
      <c r="B22" s="11">
        <v>29.37</v>
      </c>
      <c r="C22" s="11">
        <v>5.81</v>
      </c>
      <c r="D22" s="11">
        <v>11.56</v>
      </c>
      <c r="E22" s="11">
        <v>192.6</v>
      </c>
      <c r="F22" s="11">
        <v>0</v>
      </c>
      <c r="G22" s="11">
        <v>0</v>
      </c>
      <c r="I22" s="63" t="s">
        <v>141</v>
      </c>
      <c r="J22" s="11">
        <v>157</v>
      </c>
      <c r="K22" s="11">
        <v>767</v>
      </c>
      <c r="L22" s="11">
        <v>2026</v>
      </c>
      <c r="M22" s="11">
        <v>1346</v>
      </c>
      <c r="N22" s="11">
        <v>-1</v>
      </c>
      <c r="O22" s="11">
        <v>-26</v>
      </c>
      <c r="Q22" s="64" t="s">
        <v>149</v>
      </c>
      <c r="R22" s="66">
        <f>R11-R21</f>
        <v>3908</v>
      </c>
      <c r="S22" s="66">
        <f t="shared" ref="S22:W22" si="15">S11-S21</f>
        <v>12097</v>
      </c>
      <c r="T22" s="66">
        <f t="shared" si="15"/>
        <v>29569</v>
      </c>
      <c r="U22" s="66">
        <f t="shared" si="15"/>
        <v>5201</v>
      </c>
      <c r="V22" s="66">
        <f t="shared" si="15"/>
        <v>12963</v>
      </c>
      <c r="W22" s="66">
        <f t="shared" si="15"/>
        <v>5877</v>
      </c>
      <c r="Y22" s="63" t="s">
        <v>156</v>
      </c>
      <c r="Z22" s="11">
        <v>202.99</v>
      </c>
      <c r="AA22" s="11">
        <v>15.81</v>
      </c>
      <c r="AB22" s="11">
        <v>724.84</v>
      </c>
      <c r="AC22" s="11">
        <v>66.86</v>
      </c>
      <c r="AD22" s="11">
        <v>4.68</v>
      </c>
      <c r="AE22" s="11">
        <v>-7.05</v>
      </c>
      <c r="AG22" s="64" t="s">
        <v>125</v>
      </c>
      <c r="AH22" s="66">
        <f>AH20-AH21</f>
        <v>3301.5799999999972</v>
      </c>
      <c r="AI22" s="66">
        <f t="shared" ref="AI22" si="16">AI20-AI21</f>
        <v>7205.649999999996</v>
      </c>
      <c r="AJ22" s="66">
        <f>AJ20+AJ21</f>
        <v>16291.870000000003</v>
      </c>
      <c r="AK22" s="66">
        <f t="shared" ref="AK22:AM22" si="17">AK20+AK21</f>
        <v>2892.4399999999987</v>
      </c>
      <c r="AL22" s="66">
        <f t="shared" si="17"/>
        <v>4061.8100000000077</v>
      </c>
      <c r="AM22" s="66">
        <f t="shared" si="17"/>
        <v>3251.5300000000138</v>
      </c>
      <c r="AO22" s="64" t="s">
        <v>122</v>
      </c>
      <c r="AP22" s="66">
        <f t="shared" ref="AP22:AU22" si="18">SUM(AP10:AP21)</f>
        <v>6002.1100000000006</v>
      </c>
      <c r="AQ22" s="66">
        <f t="shared" si="18"/>
        <v>6826.14</v>
      </c>
      <c r="AR22" s="66">
        <f t="shared" si="18"/>
        <v>13667.119999999999</v>
      </c>
      <c r="AS22" s="66">
        <f t="shared" si="18"/>
        <v>12025.759999999998</v>
      </c>
      <c r="AT22" s="66">
        <f t="shared" si="18"/>
        <v>14443.719999999998</v>
      </c>
      <c r="AU22" s="66">
        <f t="shared" si="18"/>
        <v>16354.95</v>
      </c>
    </row>
    <row r="23" spans="1:47" x14ac:dyDescent="0.3">
      <c r="A23" s="63" t="s">
        <v>120</v>
      </c>
      <c r="B23" s="11">
        <v>5541.87</v>
      </c>
      <c r="C23" s="11">
        <v>1450.37</v>
      </c>
      <c r="D23" s="11">
        <v>3760.86</v>
      </c>
      <c r="E23" s="11">
        <v>3809.11</v>
      </c>
      <c r="F23" s="11">
        <v>-3699.73</v>
      </c>
      <c r="G23" s="11">
        <v>-4105.5200000000004</v>
      </c>
      <c r="I23" s="64" t="s">
        <v>142</v>
      </c>
      <c r="J23" s="66">
        <f>J21+J22</f>
        <v>1585</v>
      </c>
      <c r="K23" s="66">
        <f t="shared" ref="K23:O23" si="19">K21+K22</f>
        <v>2594</v>
      </c>
      <c r="L23" s="66">
        <f t="shared" si="19"/>
        <v>4471</v>
      </c>
      <c r="M23" s="66">
        <f t="shared" si="19"/>
        <v>4777</v>
      </c>
      <c r="N23" s="66">
        <f t="shared" si="19"/>
        <v>2548</v>
      </c>
      <c r="O23" s="66">
        <f t="shared" si="19"/>
        <v>3200</v>
      </c>
      <c r="Q23" s="63" t="s">
        <v>150</v>
      </c>
      <c r="R23" s="11">
        <v>-90</v>
      </c>
      <c r="S23" s="11">
        <v>1</v>
      </c>
      <c r="T23" s="11">
        <v>917</v>
      </c>
      <c r="U23" s="11">
        <v>-137</v>
      </c>
      <c r="V23" s="11">
        <v>-172</v>
      </c>
      <c r="W23" s="11">
        <v>-311</v>
      </c>
      <c r="Y23" s="63" t="s">
        <v>157</v>
      </c>
      <c r="Z23" s="11">
        <v>-40.950000000000003</v>
      </c>
      <c r="AA23" s="11">
        <v>70.23</v>
      </c>
      <c r="AB23" s="11">
        <v>30.83</v>
      </c>
      <c r="AC23" s="11">
        <v>0</v>
      </c>
      <c r="AD23" s="11">
        <v>51.77</v>
      </c>
      <c r="AE23" s="11">
        <v>61.89</v>
      </c>
      <c r="AG23" s="63" t="s">
        <v>127</v>
      </c>
      <c r="AH23" s="11">
        <v>229.79</v>
      </c>
      <c r="AI23" s="11">
        <v>16.350000000000001</v>
      </c>
      <c r="AJ23" s="11">
        <v>7.25</v>
      </c>
      <c r="AK23" s="11">
        <v>125.47</v>
      </c>
      <c r="AL23" s="11">
        <v>612.79</v>
      </c>
      <c r="AM23" s="11">
        <v>821.32</v>
      </c>
      <c r="AO23" s="64" t="s">
        <v>151</v>
      </c>
      <c r="AP23" s="66">
        <f t="shared" ref="AP23:AU23" si="20">AP8-AP22</f>
        <v>6211.4699999999993</v>
      </c>
      <c r="AQ23" s="66">
        <f t="shared" si="20"/>
        <v>8895.52</v>
      </c>
      <c r="AR23" s="66">
        <f t="shared" si="20"/>
        <v>13016.190000000002</v>
      </c>
      <c r="AS23" s="66">
        <f t="shared" si="20"/>
        <v>6409.3400000000038</v>
      </c>
      <c r="AT23" s="66">
        <f t="shared" si="20"/>
        <v>8234.8100000000013</v>
      </c>
      <c r="AU23" s="66">
        <f t="shared" si="20"/>
        <v>9143.89</v>
      </c>
    </row>
    <row r="24" spans="1:47" x14ac:dyDescent="0.3">
      <c r="A24" s="63" t="s">
        <v>121</v>
      </c>
      <c r="B24" s="11">
        <v>4605.3</v>
      </c>
      <c r="C24" s="11">
        <v>4316.54</v>
      </c>
      <c r="D24" s="11">
        <v>5032.91</v>
      </c>
      <c r="E24" s="11">
        <v>5891.74</v>
      </c>
      <c r="F24" s="11">
        <v>14209.66</v>
      </c>
      <c r="G24" s="11">
        <v>13407.2</v>
      </c>
      <c r="I24" s="64" t="s">
        <v>143</v>
      </c>
      <c r="J24" s="66">
        <f>J20-J23</f>
        <v>6805</v>
      </c>
      <c r="K24" s="66">
        <f t="shared" ref="K24:O24" si="21">K20-K23</f>
        <v>7980</v>
      </c>
      <c r="L24" s="66">
        <f t="shared" si="21"/>
        <v>9629</v>
      </c>
      <c r="M24" s="66">
        <f t="shared" si="21"/>
        <v>10511</v>
      </c>
      <c r="N24" s="66">
        <f t="shared" si="21"/>
        <v>7759</v>
      </c>
      <c r="O24" s="66">
        <f t="shared" si="21"/>
        <v>10353</v>
      </c>
      <c r="Q24" s="64" t="s">
        <v>151</v>
      </c>
      <c r="R24" s="66">
        <f>R22+R23</f>
        <v>3818</v>
      </c>
      <c r="S24" s="66">
        <f t="shared" ref="S24:W24" si="22">S22+S23</f>
        <v>12098</v>
      </c>
      <c r="T24" s="66">
        <f t="shared" si="22"/>
        <v>30486</v>
      </c>
      <c r="U24" s="66">
        <f t="shared" si="22"/>
        <v>5064</v>
      </c>
      <c r="V24" s="66">
        <f t="shared" si="22"/>
        <v>12791</v>
      </c>
      <c r="W24" s="66">
        <f t="shared" si="22"/>
        <v>5566</v>
      </c>
      <c r="Y24" s="63" t="s">
        <v>158</v>
      </c>
      <c r="Z24" s="11">
        <v>-4372.4399999999996</v>
      </c>
      <c r="AA24" s="11">
        <v>-723.41</v>
      </c>
      <c r="AB24" s="11">
        <v>-99.74</v>
      </c>
      <c r="AC24" s="11">
        <v>83.68</v>
      </c>
      <c r="AD24" s="11">
        <v>19.98</v>
      </c>
      <c r="AE24" s="11">
        <v>0</v>
      </c>
      <c r="AG24" s="63" t="s">
        <v>128</v>
      </c>
      <c r="AH24" s="11">
        <v>951.08</v>
      </c>
      <c r="AI24" s="11">
        <v>3041.17</v>
      </c>
      <c r="AJ24" s="11">
        <v>4041.15</v>
      </c>
      <c r="AK24" s="11">
        <v>590.44000000000005</v>
      </c>
      <c r="AL24" s="11">
        <v>382.35</v>
      </c>
      <c r="AM24" s="11">
        <v>58.41</v>
      </c>
      <c r="AO24" s="63" t="s">
        <v>174</v>
      </c>
      <c r="AP24" s="11">
        <v>96.44</v>
      </c>
      <c r="AQ24" s="11">
        <v>0</v>
      </c>
      <c r="AR24" s="11">
        <v>0</v>
      </c>
      <c r="AS24" s="11">
        <v>1237.27</v>
      </c>
      <c r="AT24" s="11">
        <v>-282.14999999999998</v>
      </c>
      <c r="AU24" s="11">
        <v>0</v>
      </c>
    </row>
    <row r="25" spans="1:47" x14ac:dyDescent="0.3">
      <c r="A25" s="64" t="s">
        <v>122</v>
      </c>
      <c r="B25" s="66">
        <f>SUM(B11:B24)</f>
        <v>78452.809999999983</v>
      </c>
      <c r="C25" s="66">
        <f t="shared" ref="C25:G25" si="23">SUM(C11:C24)</f>
        <v>75806.180000000008</v>
      </c>
      <c r="D25" s="66">
        <f t="shared" si="23"/>
        <v>89971.96</v>
      </c>
      <c r="E25" s="66">
        <f t="shared" si="23"/>
        <v>106793.62000000001</v>
      </c>
      <c r="F25" s="66">
        <f t="shared" si="23"/>
        <v>104345.72</v>
      </c>
      <c r="G25" s="66">
        <f t="shared" si="23"/>
        <v>106335.04999999999</v>
      </c>
      <c r="Q25" s="63" t="s">
        <v>152</v>
      </c>
      <c r="R25" s="11">
        <v>805</v>
      </c>
      <c r="S25" s="11">
        <v>83</v>
      </c>
      <c r="T25" s="11">
        <v>741</v>
      </c>
      <c r="U25" s="11">
        <v>-591</v>
      </c>
      <c r="V25" s="11">
        <v>-589</v>
      </c>
      <c r="W25" s="11">
        <v>489</v>
      </c>
      <c r="Y25" s="63" t="s">
        <v>159</v>
      </c>
      <c r="Z25" s="11">
        <v>-196.41</v>
      </c>
      <c r="AA25" s="11">
        <v>0</v>
      </c>
      <c r="AB25" s="11">
        <v>-252.68</v>
      </c>
      <c r="AC25" s="11">
        <v>25.37</v>
      </c>
      <c r="AD25" s="11">
        <v>-3515.99</v>
      </c>
      <c r="AE25" s="11">
        <v>-119.18</v>
      </c>
      <c r="AG25" s="64" t="s">
        <v>129</v>
      </c>
      <c r="AH25" s="66">
        <f>SUM(AH23:AH24)</f>
        <v>1180.8700000000001</v>
      </c>
      <c r="AI25" s="66">
        <f t="shared" ref="AI25:AM25" si="24">SUM(AI23:AI24)</f>
        <v>3057.52</v>
      </c>
      <c r="AJ25" s="66">
        <f t="shared" si="24"/>
        <v>4048.4</v>
      </c>
      <c r="AK25" s="66">
        <f t="shared" si="24"/>
        <v>715.91000000000008</v>
      </c>
      <c r="AL25" s="66">
        <f t="shared" si="24"/>
        <v>995.14</v>
      </c>
      <c r="AM25" s="66">
        <f t="shared" si="24"/>
        <v>879.73</v>
      </c>
      <c r="AO25" s="64" t="s">
        <v>125</v>
      </c>
      <c r="AP25" s="66">
        <f>AP23-AP24</f>
        <v>6115.03</v>
      </c>
      <c r="AQ25" s="66">
        <f t="shared" ref="AQ25:AR25" si="25">AQ23-AQ24</f>
        <v>8895.52</v>
      </c>
      <c r="AR25" s="66">
        <f t="shared" si="25"/>
        <v>13016.190000000002</v>
      </c>
      <c r="AS25" s="66">
        <f>AS23+AS24</f>
        <v>7646.6100000000042</v>
      </c>
      <c r="AT25" s="66">
        <f t="shared" ref="AT25:AU25" si="26">AT23+AT24</f>
        <v>7952.6600000000017</v>
      </c>
      <c r="AU25" s="66">
        <f t="shared" si="26"/>
        <v>9143.89</v>
      </c>
    </row>
    <row r="26" spans="1:47" x14ac:dyDescent="0.3">
      <c r="A26" s="64" t="s">
        <v>123</v>
      </c>
      <c r="B26" s="66">
        <f>B9-B25</f>
        <v>24072.49000000002</v>
      </c>
      <c r="C26" s="66">
        <f t="shared" ref="C26:G26" si="27">C9-C25</f>
        <v>18012.210000000006</v>
      </c>
      <c r="D26" s="66">
        <f t="shared" si="27"/>
        <v>23624.87000000001</v>
      </c>
      <c r="E26" s="66">
        <f t="shared" si="27"/>
        <v>38008.949999999997</v>
      </c>
      <c r="F26" s="66">
        <f t="shared" si="27"/>
        <v>48385.77999999997</v>
      </c>
      <c r="G26" s="66">
        <f t="shared" si="27"/>
        <v>46503.929999999993</v>
      </c>
      <c r="Q26" s="64" t="s">
        <v>125</v>
      </c>
      <c r="R26" s="66">
        <f>R24-R25</f>
        <v>3013</v>
      </c>
      <c r="S26" s="66">
        <f t="shared" ref="S26:W26" si="28">S24-S25</f>
        <v>12015</v>
      </c>
      <c r="T26" s="66">
        <f t="shared" si="28"/>
        <v>29745</v>
      </c>
      <c r="U26" s="66">
        <f t="shared" si="28"/>
        <v>5655</v>
      </c>
      <c r="V26" s="66">
        <f t="shared" si="28"/>
        <v>13380</v>
      </c>
      <c r="W26" s="66">
        <f t="shared" si="28"/>
        <v>5077</v>
      </c>
      <c r="Y26" s="63" t="s">
        <v>160</v>
      </c>
      <c r="Z26" s="11">
        <v>-107.37</v>
      </c>
      <c r="AA26" s="11">
        <v>-443.55</v>
      </c>
      <c r="AB26" s="11">
        <v>-330.81</v>
      </c>
      <c r="AC26" s="11">
        <v>-91.94</v>
      </c>
      <c r="AD26" s="11">
        <v>-129.86000000000001</v>
      </c>
      <c r="AE26" s="11">
        <v>-691.65</v>
      </c>
      <c r="AG26" s="64" t="s">
        <v>143</v>
      </c>
      <c r="AH26" s="66">
        <f>AH22-AH25</f>
        <v>2120.7099999999973</v>
      </c>
      <c r="AI26" s="66">
        <f t="shared" ref="AI26:AM26" si="29">AI22-AI25</f>
        <v>4148.1299999999956</v>
      </c>
      <c r="AJ26" s="66">
        <f t="shared" si="29"/>
        <v>12243.470000000003</v>
      </c>
      <c r="AK26" s="66">
        <f t="shared" si="29"/>
        <v>2176.5299999999988</v>
      </c>
      <c r="AL26" s="66">
        <f t="shared" si="29"/>
        <v>3066.6700000000078</v>
      </c>
      <c r="AM26" s="66">
        <f t="shared" si="29"/>
        <v>2371.8000000000138</v>
      </c>
      <c r="AO26" s="63" t="s">
        <v>127</v>
      </c>
      <c r="AP26" s="11">
        <v>1555.59</v>
      </c>
      <c r="AQ26" s="11">
        <v>2316.46</v>
      </c>
      <c r="AR26" s="11">
        <v>3444.39</v>
      </c>
      <c r="AS26" s="11">
        <v>1664.65</v>
      </c>
      <c r="AT26" s="11">
        <v>2117.62</v>
      </c>
      <c r="AU26" s="11">
        <v>2410.81</v>
      </c>
    </row>
    <row r="27" spans="1:47" x14ac:dyDescent="0.3">
      <c r="A27" s="63" t="s">
        <v>124</v>
      </c>
      <c r="B27" s="11">
        <v>-1.17</v>
      </c>
      <c r="C27" s="11">
        <v>-2.97</v>
      </c>
      <c r="D27" s="11">
        <v>-8.59</v>
      </c>
      <c r="E27" s="11">
        <v>-8.14</v>
      </c>
      <c r="F27" s="11">
        <v>426.83</v>
      </c>
      <c r="G27" s="11">
        <v>462.26</v>
      </c>
      <c r="Q27" s="63" t="s">
        <v>127</v>
      </c>
      <c r="R27" s="11">
        <v>943</v>
      </c>
      <c r="S27" s="11">
        <v>2467</v>
      </c>
      <c r="T27" s="11">
        <v>4974</v>
      </c>
      <c r="U27" s="11">
        <v>1499</v>
      </c>
      <c r="V27" s="11">
        <v>2643</v>
      </c>
      <c r="W27" s="11">
        <v>1986</v>
      </c>
      <c r="Y27" s="63" t="s">
        <v>161</v>
      </c>
      <c r="Z27" s="11">
        <v>-165.4</v>
      </c>
      <c r="AA27" s="11">
        <v>87.5</v>
      </c>
      <c r="AB27" s="11">
        <v>-256.24</v>
      </c>
      <c r="AC27" s="11">
        <v>-1.7</v>
      </c>
      <c r="AD27" s="11">
        <v>-4262.75</v>
      </c>
      <c r="AE27" s="11">
        <v>57.7</v>
      </c>
      <c r="AO27" s="63" t="s">
        <v>175</v>
      </c>
      <c r="AP27" s="11">
        <v>771.47</v>
      </c>
      <c r="AQ27" s="11">
        <v>343.2</v>
      </c>
      <c r="AR27" s="11">
        <v>260.52999999999997</v>
      </c>
      <c r="AS27" s="11">
        <v>172.13</v>
      </c>
      <c r="AT27" s="11">
        <v>231.18</v>
      </c>
      <c r="AU27" s="11">
        <v>223.69</v>
      </c>
    </row>
    <row r="28" spans="1:47" x14ac:dyDescent="0.3">
      <c r="A28" s="64" t="s">
        <v>125</v>
      </c>
      <c r="B28" s="66">
        <f>B26+B27</f>
        <v>24071.320000000022</v>
      </c>
      <c r="C28" s="66">
        <f t="shared" ref="C28:G28" si="30">C26+C27</f>
        <v>18009.240000000005</v>
      </c>
      <c r="D28" s="66">
        <f t="shared" si="30"/>
        <v>23616.28000000001</v>
      </c>
      <c r="E28" s="66">
        <f t="shared" si="30"/>
        <v>38000.81</v>
      </c>
      <c r="F28" s="66">
        <f t="shared" si="30"/>
        <v>48812.609999999971</v>
      </c>
      <c r="G28" s="66">
        <f t="shared" si="30"/>
        <v>46966.189999999995</v>
      </c>
      <c r="Q28" s="63" t="s">
        <v>128</v>
      </c>
      <c r="R28" s="11">
        <v>-1849</v>
      </c>
      <c r="S28" s="11">
        <v>1675</v>
      </c>
      <c r="T28" s="11">
        <v>3833</v>
      </c>
      <c r="U28" s="11">
        <v>17</v>
      </c>
      <c r="V28" s="11">
        <v>733</v>
      </c>
      <c r="W28" s="11">
        <v>-182</v>
      </c>
      <c r="Y28" s="63" t="s">
        <v>162</v>
      </c>
      <c r="Z28" s="11">
        <v>-250</v>
      </c>
      <c r="AA28" s="11">
        <v>-49.74</v>
      </c>
      <c r="AB28" s="11">
        <v>49.74</v>
      </c>
      <c r="AC28" s="11">
        <v>30.99</v>
      </c>
      <c r="AD28" s="11">
        <v>18.09</v>
      </c>
      <c r="AE28" s="11">
        <f>16.76-173.11</f>
        <v>-156.35000000000002</v>
      </c>
      <c r="AO28" s="63" t="s">
        <v>128</v>
      </c>
      <c r="AP28" s="11">
        <v>185.66</v>
      </c>
      <c r="AQ28" s="11">
        <v>-11.21</v>
      </c>
      <c r="AR28" s="11">
        <v>-129.83000000000001</v>
      </c>
      <c r="AS28" s="11">
        <v>271.43</v>
      </c>
      <c r="AT28" s="11">
        <v>31.62</v>
      </c>
      <c r="AU28" s="11">
        <v>-30.36</v>
      </c>
    </row>
    <row r="29" spans="1:47" x14ac:dyDescent="0.3">
      <c r="A29" s="57" t="s">
        <v>126</v>
      </c>
      <c r="B29" s="32"/>
      <c r="C29" s="32"/>
      <c r="D29" s="32"/>
      <c r="E29" s="32"/>
      <c r="F29" s="32"/>
      <c r="G29" s="67"/>
      <c r="Q29" s="63" t="s">
        <v>177</v>
      </c>
      <c r="R29" s="11">
        <v>0</v>
      </c>
      <c r="S29" s="11">
        <v>0</v>
      </c>
      <c r="T29" s="11">
        <v>0</v>
      </c>
      <c r="U29" s="11">
        <v>0</v>
      </c>
      <c r="V29" s="11">
        <v>1031</v>
      </c>
      <c r="W29" s="11">
        <v>-218</v>
      </c>
      <c r="Y29" s="64" t="s">
        <v>163</v>
      </c>
      <c r="Z29" s="66">
        <f>SUM(Z22:Z28)</f>
        <v>-4929.579999999999</v>
      </c>
      <c r="AA29" s="66">
        <f t="shared" ref="AA29:AE29" si="31">SUM(AA22:AA28)</f>
        <v>-1043.1600000000001</v>
      </c>
      <c r="AB29" s="66">
        <f t="shared" si="31"/>
        <v>-134.05999999999995</v>
      </c>
      <c r="AC29" s="66">
        <f t="shared" si="31"/>
        <v>113.26000000000002</v>
      </c>
      <c r="AD29" s="66">
        <f t="shared" si="31"/>
        <v>-7814.08</v>
      </c>
      <c r="AE29" s="66">
        <f t="shared" si="31"/>
        <v>-854.64</v>
      </c>
      <c r="AO29" s="64" t="s">
        <v>142</v>
      </c>
      <c r="AP29" s="66">
        <f>SUM(AP26:AP28)</f>
        <v>2512.7199999999998</v>
      </c>
      <c r="AQ29" s="66">
        <f t="shared" ref="AQ29:AU29" si="32">SUM(AQ26:AQ28)</f>
        <v>2648.45</v>
      </c>
      <c r="AR29" s="66">
        <f t="shared" si="32"/>
        <v>3575.09</v>
      </c>
      <c r="AS29" s="66">
        <f t="shared" si="32"/>
        <v>2108.21</v>
      </c>
      <c r="AT29" s="66">
        <f t="shared" si="32"/>
        <v>2380.4199999999996</v>
      </c>
      <c r="AU29" s="66">
        <f t="shared" si="32"/>
        <v>2604.14</v>
      </c>
    </row>
    <row r="30" spans="1:47" x14ac:dyDescent="0.3">
      <c r="A30" s="63" t="s">
        <v>127</v>
      </c>
      <c r="B30" s="11">
        <v>6272.4</v>
      </c>
      <c r="C30" s="11">
        <v>5379.53</v>
      </c>
      <c r="D30" s="11">
        <v>6257.12</v>
      </c>
      <c r="E30" s="11">
        <v>9389.75</v>
      </c>
      <c r="F30" s="11">
        <v>11576.35</v>
      </c>
      <c r="G30" s="11">
        <v>11148.08</v>
      </c>
      <c r="Q30" s="64" t="s">
        <v>129</v>
      </c>
      <c r="R30" s="66">
        <f>SUM(R27:R28)</f>
        <v>-906</v>
      </c>
      <c r="S30" s="66">
        <f>SUM(S27:S28)</f>
        <v>4142</v>
      </c>
      <c r="T30" s="66">
        <f>SUM(T27:T28)</f>
        <v>8807</v>
      </c>
      <c r="U30" s="66">
        <f>SUM(U27:U28)</f>
        <v>1516</v>
      </c>
      <c r="V30" s="66">
        <f>SUM(V27:V29)</f>
        <v>4407</v>
      </c>
      <c r="W30" s="66">
        <f>SUM(W27:W29)</f>
        <v>1586</v>
      </c>
      <c r="Y30" s="64" t="s">
        <v>164</v>
      </c>
      <c r="Z30" s="66">
        <f>Z20+Z29</f>
        <v>-1381.1500000000074</v>
      </c>
      <c r="AA30" s="66">
        <f t="shared" ref="AA30:AE30" si="33">AA20+AA29</f>
        <v>13843.69000000001</v>
      </c>
      <c r="AB30" s="66">
        <f t="shared" si="33"/>
        <v>50226.870000000024</v>
      </c>
      <c r="AC30" s="66">
        <f t="shared" si="33"/>
        <v>18235.119999999988</v>
      </c>
      <c r="AD30" s="66">
        <f t="shared" si="33"/>
        <v>-1147.04000000001</v>
      </c>
      <c r="AE30" s="66">
        <f t="shared" si="33"/>
        <v>8412.8700000000408</v>
      </c>
      <c r="AO30" s="64" t="s">
        <v>176</v>
      </c>
      <c r="AP30" s="66">
        <f>AP25-AP29</f>
        <v>3602.31</v>
      </c>
      <c r="AQ30" s="66">
        <f t="shared" ref="AQ30:AU30" si="34">AQ25-AQ29</f>
        <v>6247.0700000000006</v>
      </c>
      <c r="AR30" s="66">
        <f t="shared" si="34"/>
        <v>9441.1000000000022</v>
      </c>
      <c r="AS30" s="66">
        <f t="shared" si="34"/>
        <v>5538.4000000000042</v>
      </c>
      <c r="AT30" s="66">
        <f t="shared" si="34"/>
        <v>5572.2400000000016</v>
      </c>
      <c r="AU30" s="66">
        <f t="shared" si="34"/>
        <v>6539.75</v>
      </c>
    </row>
    <row r="31" spans="1:47" x14ac:dyDescent="0.3">
      <c r="A31" s="63" t="s">
        <v>128</v>
      </c>
      <c r="B31" s="11">
        <v>1098.58</v>
      </c>
      <c r="C31" s="11">
        <v>-72.459999999999994</v>
      </c>
      <c r="D31" s="11">
        <v>-19.260000000000002</v>
      </c>
      <c r="E31" s="11">
        <v>486.12</v>
      </c>
      <c r="F31" s="11">
        <v>-132.87</v>
      </c>
      <c r="G31" s="11">
        <v>516.01</v>
      </c>
      <c r="Q31" s="64" t="s">
        <v>143</v>
      </c>
      <c r="R31" s="66">
        <f t="shared" ref="R31:W31" si="35">R26-R30</f>
        <v>3919</v>
      </c>
      <c r="S31" s="66">
        <f t="shared" si="35"/>
        <v>7873</v>
      </c>
      <c r="T31" s="66">
        <f t="shared" si="35"/>
        <v>20938</v>
      </c>
      <c r="U31" s="66">
        <f t="shared" si="35"/>
        <v>4139</v>
      </c>
      <c r="V31" s="66">
        <f t="shared" si="35"/>
        <v>8973</v>
      </c>
      <c r="W31" s="66">
        <f t="shared" si="35"/>
        <v>3491</v>
      </c>
      <c r="Y31" s="63" t="s">
        <v>127</v>
      </c>
      <c r="Z31" s="11">
        <v>2113.63</v>
      </c>
      <c r="AA31" s="11">
        <v>4288.2700000000004</v>
      </c>
      <c r="AB31" s="11">
        <v>7049.88</v>
      </c>
      <c r="AC31" s="11">
        <v>5361.33</v>
      </c>
      <c r="AD31" s="11">
        <v>5368.91</v>
      </c>
      <c r="AE31" s="11">
        <v>3563.77</v>
      </c>
      <c r="AO31" s="63" t="s">
        <v>131</v>
      </c>
      <c r="AP31" s="11">
        <v>-1.05</v>
      </c>
      <c r="AQ31" s="11">
        <v>0.53</v>
      </c>
      <c r="AR31" s="11">
        <v>-0.91</v>
      </c>
      <c r="AS31" s="11">
        <v>-0.91</v>
      </c>
      <c r="AT31" s="11">
        <v>-1.32</v>
      </c>
      <c r="AU31" s="11">
        <v>-1.24</v>
      </c>
    </row>
    <row r="32" spans="1:47" x14ac:dyDescent="0.3">
      <c r="A32" s="64" t="s">
        <v>129</v>
      </c>
      <c r="B32" s="66">
        <f>SUM(B30:B31)</f>
        <v>7370.98</v>
      </c>
      <c r="C32" s="66">
        <f t="shared" ref="C32:G32" si="36">SUM(C30:C31)</f>
        <v>5307.07</v>
      </c>
      <c r="D32" s="66">
        <f t="shared" si="36"/>
        <v>6237.86</v>
      </c>
      <c r="E32" s="66">
        <f t="shared" si="36"/>
        <v>9875.8700000000008</v>
      </c>
      <c r="F32" s="66">
        <f t="shared" si="36"/>
        <v>11443.48</v>
      </c>
      <c r="G32" s="66">
        <f t="shared" si="36"/>
        <v>11664.09</v>
      </c>
      <c r="Y32" s="63" t="s">
        <v>128</v>
      </c>
      <c r="Z32" s="11">
        <v>-4666.53</v>
      </c>
      <c r="AA32" s="11">
        <v>1365.63</v>
      </c>
      <c r="AB32" s="11">
        <v>1427.67</v>
      </c>
      <c r="AC32" s="11">
        <v>4798.4399999999996</v>
      </c>
      <c r="AD32" s="11">
        <v>-1527.57</v>
      </c>
      <c r="AE32" s="11">
        <v>1683.11</v>
      </c>
      <c r="AO32" s="63" t="s">
        <v>132</v>
      </c>
      <c r="AP32" s="11">
        <v>-0.26</v>
      </c>
      <c r="AQ32" s="11">
        <v>0.13</v>
      </c>
      <c r="AR32" s="11">
        <v>-0.23</v>
      </c>
      <c r="AS32" s="11">
        <v>-0.23</v>
      </c>
      <c r="AT32" s="11">
        <v>-0.33</v>
      </c>
      <c r="AU32" s="11">
        <v>-0.31</v>
      </c>
    </row>
    <row r="33" spans="1:47" x14ac:dyDescent="0.3">
      <c r="A33" s="64" t="s">
        <v>130</v>
      </c>
      <c r="B33" s="66">
        <f>B28-B32</f>
        <v>16700.340000000022</v>
      </c>
      <c r="C33" s="66">
        <f t="shared" ref="C33:G33" si="37">C28-C32</f>
        <v>12702.170000000006</v>
      </c>
      <c r="D33" s="66">
        <f t="shared" si="37"/>
        <v>17378.420000000009</v>
      </c>
      <c r="E33" s="66">
        <f t="shared" si="37"/>
        <v>28124.939999999995</v>
      </c>
      <c r="F33" s="66">
        <f t="shared" si="37"/>
        <v>37369.129999999976</v>
      </c>
      <c r="G33" s="66">
        <f t="shared" si="37"/>
        <v>35302.099999999991</v>
      </c>
      <c r="Y33" s="63" t="s">
        <v>178</v>
      </c>
      <c r="Z33" s="11">
        <v>0</v>
      </c>
      <c r="AA33" s="11">
        <v>0</v>
      </c>
      <c r="AB33" s="11">
        <v>0</v>
      </c>
      <c r="AC33" s="11">
        <v>0</v>
      </c>
      <c r="AD33" s="11">
        <v>-78.77</v>
      </c>
      <c r="AE33" s="11">
        <v>-7.79</v>
      </c>
      <c r="AO33" s="64" t="s">
        <v>133</v>
      </c>
      <c r="AP33" s="66">
        <f>AP31-AP32</f>
        <v>-0.79</v>
      </c>
      <c r="AQ33" s="66">
        <f t="shared" ref="AQ33:AU33" si="38">AQ31-AQ32</f>
        <v>0.4</v>
      </c>
      <c r="AR33" s="66">
        <f t="shared" si="38"/>
        <v>-0.68</v>
      </c>
      <c r="AS33" s="66">
        <f t="shared" si="38"/>
        <v>-0.68</v>
      </c>
      <c r="AT33" s="66">
        <f t="shared" si="38"/>
        <v>-0.99</v>
      </c>
      <c r="AU33" s="66">
        <f t="shared" si="38"/>
        <v>-0.92999999999999994</v>
      </c>
    </row>
    <row r="34" spans="1:47" x14ac:dyDescent="0.3">
      <c r="A34" s="63" t="s">
        <v>131</v>
      </c>
      <c r="B34" s="11">
        <v>0</v>
      </c>
      <c r="C34" s="11">
        <v>0</v>
      </c>
      <c r="D34" s="11">
        <v>0</v>
      </c>
      <c r="E34" s="11">
        <v>0</v>
      </c>
      <c r="F34" s="11">
        <v>0</v>
      </c>
      <c r="G34" s="11">
        <v>0</v>
      </c>
      <c r="Y34" s="64" t="s">
        <v>129</v>
      </c>
      <c r="Z34" s="66">
        <f>SUM(Z31:Z33)</f>
        <v>-2552.8999999999996</v>
      </c>
      <c r="AA34" s="66">
        <f t="shared" ref="AA34:AE34" si="39">SUM(AA31:AA33)</f>
        <v>5653.9000000000005</v>
      </c>
      <c r="AB34" s="66">
        <f t="shared" si="39"/>
        <v>8477.5499999999993</v>
      </c>
      <c r="AC34" s="66">
        <f t="shared" si="39"/>
        <v>10159.77</v>
      </c>
      <c r="AD34" s="66">
        <f t="shared" si="39"/>
        <v>3762.57</v>
      </c>
      <c r="AE34" s="66">
        <f t="shared" si="39"/>
        <v>5239.09</v>
      </c>
      <c r="AO34" s="64" t="s">
        <v>134</v>
      </c>
      <c r="AP34" s="66">
        <f>AP30+AP33</f>
        <v>3601.52</v>
      </c>
      <c r="AQ34" s="66">
        <f t="shared" ref="AQ34:AU34" si="40">AQ30+AQ33</f>
        <v>6247.47</v>
      </c>
      <c r="AR34" s="66">
        <f t="shared" si="40"/>
        <v>9440.4200000000019</v>
      </c>
      <c r="AS34" s="66">
        <f t="shared" si="40"/>
        <v>5537.7200000000039</v>
      </c>
      <c r="AT34" s="66">
        <f t="shared" si="40"/>
        <v>5571.2500000000018</v>
      </c>
      <c r="AU34" s="66">
        <f t="shared" si="40"/>
        <v>6538.82</v>
      </c>
    </row>
    <row r="35" spans="1:47" x14ac:dyDescent="0.3">
      <c r="A35" s="63" t="s">
        <v>132</v>
      </c>
      <c r="B35" s="11">
        <v>0</v>
      </c>
      <c r="C35" s="11">
        <v>0</v>
      </c>
      <c r="D35" s="11">
        <v>0</v>
      </c>
      <c r="E35" s="11">
        <v>0</v>
      </c>
      <c r="F35" s="11">
        <v>0</v>
      </c>
      <c r="G35" s="11">
        <v>0</v>
      </c>
      <c r="Y35" s="64" t="s">
        <v>134</v>
      </c>
      <c r="Z35" s="66">
        <f t="shared" ref="Z35:AE35" si="41">Z30-Z34</f>
        <v>1171.7499999999923</v>
      </c>
      <c r="AA35" s="66">
        <f t="shared" si="41"/>
        <v>8189.7900000000091</v>
      </c>
      <c r="AB35" s="66">
        <f t="shared" si="41"/>
        <v>41749.320000000022</v>
      </c>
      <c r="AC35" s="66">
        <f t="shared" si="41"/>
        <v>8075.3499999999876</v>
      </c>
      <c r="AD35" s="66">
        <f t="shared" si="41"/>
        <v>-4909.6100000000097</v>
      </c>
      <c r="AE35" s="66">
        <f t="shared" si="41"/>
        <v>3173.7800000000407</v>
      </c>
    </row>
    <row r="36" spans="1:47" x14ac:dyDescent="0.3">
      <c r="A36" s="64" t="s">
        <v>133</v>
      </c>
      <c r="B36" s="66">
        <f>SUM(B34:B35)</f>
        <v>0</v>
      </c>
      <c r="C36" s="66">
        <f t="shared" ref="C36:G36" si="42">SUM(C34:C35)</f>
        <v>0</v>
      </c>
      <c r="D36" s="66">
        <f t="shared" si="42"/>
        <v>0</v>
      </c>
      <c r="E36" s="66">
        <f t="shared" si="42"/>
        <v>0</v>
      </c>
      <c r="F36" s="66">
        <f t="shared" si="42"/>
        <v>0</v>
      </c>
      <c r="G36" s="66">
        <f t="shared" si="42"/>
        <v>0</v>
      </c>
    </row>
    <row r="37" spans="1:47" x14ac:dyDescent="0.3">
      <c r="A37" s="64" t="s">
        <v>134</v>
      </c>
      <c r="B37" s="66">
        <f>B33+B36</f>
        <v>16700.340000000022</v>
      </c>
      <c r="C37" s="66">
        <f t="shared" ref="C37:G37" si="43">C33+C36</f>
        <v>12702.170000000006</v>
      </c>
      <c r="D37" s="66">
        <f t="shared" si="43"/>
        <v>17378.420000000009</v>
      </c>
      <c r="E37" s="66">
        <f t="shared" si="43"/>
        <v>28124.939999999995</v>
      </c>
      <c r="F37" s="66">
        <f t="shared" si="43"/>
        <v>37369.129999999976</v>
      </c>
      <c r="G37" s="66">
        <f t="shared" si="43"/>
        <v>35302.099999999991</v>
      </c>
    </row>
  </sheetData>
  <mergeCells count="6">
    <mergeCell ref="Z3:AA3"/>
    <mergeCell ref="AH3:AI3"/>
    <mergeCell ref="AP3:AQ3"/>
    <mergeCell ref="B3:C3"/>
    <mergeCell ref="J3:L3"/>
    <mergeCell ref="R3:S3"/>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7940-3FB1-4447-9992-CE17275B536C}">
  <sheetPr>
    <tabColor rgb="FFFF0000"/>
  </sheetPr>
  <dimension ref="A1:AU9"/>
  <sheetViews>
    <sheetView showGridLines="0" workbookViewId="0">
      <selection activeCell="C12" sqref="C12"/>
    </sheetView>
  </sheetViews>
  <sheetFormatPr defaultRowHeight="14.4" x14ac:dyDescent="0.3"/>
  <cols>
    <col min="1" max="1" width="40.109375" style="1" bestFit="1" customWidth="1"/>
    <col min="2" max="2" width="9.5546875" style="14" bestFit="1" customWidth="1"/>
    <col min="3" max="7" width="10.5546875" style="14" bestFit="1" customWidth="1"/>
    <col min="8" max="8" width="8.88671875" style="1"/>
    <col min="9" max="9" width="40.109375" style="1" bestFit="1" customWidth="1"/>
    <col min="10" max="10" width="9.5546875" style="1" bestFit="1" customWidth="1"/>
    <col min="11" max="11" width="9.88671875" style="1" bestFit="1" customWidth="1"/>
    <col min="12" max="13" width="10.5546875" style="1" bestFit="1" customWidth="1"/>
    <col min="14" max="14" width="9.88671875" style="1" bestFit="1" customWidth="1"/>
    <col min="15" max="15" width="10.5546875" style="1" bestFit="1" customWidth="1"/>
    <col min="16" max="16" width="8.88671875" style="1"/>
    <col min="17" max="17" width="40.109375" style="1" bestFit="1" customWidth="1"/>
    <col min="18" max="18" width="10.5546875" style="1" bestFit="1" customWidth="1"/>
    <col min="19" max="19" width="9.88671875" style="1" bestFit="1" customWidth="1"/>
    <col min="20" max="23" width="10.5546875" style="1" bestFit="1" customWidth="1"/>
    <col min="24" max="24" width="8.88671875" style="1"/>
    <col min="25" max="25" width="40.109375" style="1" bestFit="1" customWidth="1"/>
    <col min="26" max="31" width="10.5546875" style="1" bestFit="1" customWidth="1"/>
    <col min="32" max="32" width="8.88671875" style="1"/>
    <col min="33" max="33" width="40.109375" style="1" bestFit="1" customWidth="1"/>
    <col min="34" max="34" width="9.5546875" style="1" bestFit="1" customWidth="1"/>
    <col min="35" max="36" width="10.5546875" style="1" bestFit="1" customWidth="1"/>
    <col min="37" max="39" width="9.5546875" style="1" bestFit="1" customWidth="1"/>
    <col min="40" max="40" width="8.88671875" style="1"/>
    <col min="41" max="41" width="40.109375" style="1" bestFit="1" customWidth="1"/>
    <col min="42" max="47" width="9.5546875" style="1" bestFit="1" customWidth="1"/>
    <col min="48" max="16384" width="8.88671875" style="1"/>
  </cols>
  <sheetData>
    <row r="1" spans="1:47" ht="21" x14ac:dyDescent="0.3">
      <c r="A1" s="145" t="s">
        <v>179</v>
      </c>
      <c r="B1" s="145"/>
      <c r="C1" s="145"/>
      <c r="D1" s="145"/>
    </row>
    <row r="2" spans="1:47" ht="21" x14ac:dyDescent="0.3">
      <c r="A2" s="69"/>
      <c r="B2" s="69"/>
      <c r="C2" s="69"/>
      <c r="D2" s="69"/>
    </row>
    <row r="3" spans="1:47" ht="37.799999999999997" customHeight="1" x14ac:dyDescent="0.3">
      <c r="B3" s="146" t="e" vm="13">
        <v>#VALUE!</v>
      </c>
      <c r="C3" s="146"/>
      <c r="J3" s="146" t="e" vm="2">
        <v>#VALUE!</v>
      </c>
      <c r="K3" s="146"/>
      <c r="R3" s="144" t="e" vm="14">
        <v>#VALUE!</v>
      </c>
      <c r="S3" s="144"/>
      <c r="Z3" s="144" t="e" vm="15">
        <v>#VALUE!</v>
      </c>
      <c r="AA3" s="144"/>
      <c r="AH3" s="144" t="e" vm="16">
        <v>#VALUE!</v>
      </c>
      <c r="AI3" s="144"/>
      <c r="AP3" s="144" t="e" vm="6">
        <v>#VALUE!</v>
      </c>
      <c r="AQ3" s="144"/>
    </row>
    <row r="4" spans="1:47" s="19" customFormat="1" x14ac:dyDescent="0.3">
      <c r="A4" s="76" t="s">
        <v>13</v>
      </c>
      <c r="B4" s="77" t="s">
        <v>26</v>
      </c>
      <c r="C4" s="77" t="s">
        <v>27</v>
      </c>
      <c r="D4" s="77" t="s">
        <v>28</v>
      </c>
      <c r="E4" s="77" t="s">
        <v>29</v>
      </c>
      <c r="F4" s="77" t="s">
        <v>30</v>
      </c>
      <c r="G4" s="78" t="s">
        <v>31</v>
      </c>
      <c r="I4" s="76" t="s">
        <v>13</v>
      </c>
      <c r="J4" s="77" t="s">
        <v>26</v>
      </c>
      <c r="K4" s="77" t="s">
        <v>27</v>
      </c>
      <c r="L4" s="77" t="s">
        <v>28</v>
      </c>
      <c r="M4" s="77" t="s">
        <v>29</v>
      </c>
      <c r="N4" s="77" t="s">
        <v>30</v>
      </c>
      <c r="O4" s="78" t="s">
        <v>31</v>
      </c>
      <c r="Q4" s="19" t="s">
        <v>13</v>
      </c>
      <c r="R4" s="56" t="s">
        <v>26</v>
      </c>
      <c r="S4" s="56" t="s">
        <v>27</v>
      </c>
      <c r="T4" s="56" t="s">
        <v>28</v>
      </c>
      <c r="U4" s="56" t="s">
        <v>29</v>
      </c>
      <c r="V4" s="56" t="s">
        <v>30</v>
      </c>
      <c r="W4" s="56" t="s">
        <v>31</v>
      </c>
      <c r="Y4" s="19" t="s">
        <v>13</v>
      </c>
      <c r="Z4" s="56" t="s">
        <v>26</v>
      </c>
      <c r="AA4" s="56" t="s">
        <v>27</v>
      </c>
      <c r="AB4" s="56" t="s">
        <v>28</v>
      </c>
      <c r="AC4" s="56" t="s">
        <v>29</v>
      </c>
      <c r="AD4" s="56" t="s">
        <v>30</v>
      </c>
      <c r="AE4" s="56" t="s">
        <v>31</v>
      </c>
      <c r="AG4" s="19" t="s">
        <v>13</v>
      </c>
      <c r="AH4" s="56" t="s">
        <v>26</v>
      </c>
      <c r="AI4" s="56" t="s">
        <v>27</v>
      </c>
      <c r="AJ4" s="56" t="s">
        <v>28</v>
      </c>
      <c r="AK4" s="56" t="s">
        <v>29</v>
      </c>
      <c r="AL4" s="56" t="s">
        <v>30</v>
      </c>
      <c r="AM4" s="56" t="s">
        <v>31</v>
      </c>
      <c r="AO4" s="19" t="s">
        <v>13</v>
      </c>
      <c r="AP4" s="56" t="s">
        <v>26</v>
      </c>
      <c r="AQ4" s="56" t="s">
        <v>27</v>
      </c>
      <c r="AR4" s="56" t="s">
        <v>28</v>
      </c>
      <c r="AS4" s="56" t="s">
        <v>29</v>
      </c>
      <c r="AT4" s="56" t="s">
        <v>30</v>
      </c>
      <c r="AU4" s="56" t="s">
        <v>31</v>
      </c>
    </row>
    <row r="5" spans="1:47" x14ac:dyDescent="0.3">
      <c r="A5" s="70" t="s">
        <v>180</v>
      </c>
      <c r="B5" s="72">
        <v>4977.24</v>
      </c>
      <c r="C5" s="72">
        <v>10559.85</v>
      </c>
      <c r="D5" s="72">
        <v>41106.769999999997</v>
      </c>
      <c r="E5" s="72">
        <v>35686.21</v>
      </c>
      <c r="F5" s="72">
        <v>18103.099999999999</v>
      </c>
      <c r="G5" s="72">
        <v>29199.66</v>
      </c>
      <c r="I5" s="70" t="s">
        <v>180</v>
      </c>
      <c r="J5" s="72">
        <v>6621</v>
      </c>
      <c r="K5" s="72">
        <v>10567</v>
      </c>
      <c r="L5" s="72">
        <v>12691</v>
      </c>
      <c r="M5" s="72">
        <v>15129</v>
      </c>
      <c r="N5" s="72">
        <v>13346</v>
      </c>
      <c r="O5" s="72">
        <v>14160</v>
      </c>
      <c r="Q5" s="79" t="s">
        <v>180</v>
      </c>
      <c r="R5" s="72">
        <v>12785</v>
      </c>
      <c r="S5" s="72">
        <v>18789</v>
      </c>
      <c r="T5" s="72">
        <v>26270</v>
      </c>
      <c r="U5" s="72">
        <v>23323</v>
      </c>
      <c r="V5" s="72">
        <v>12078</v>
      </c>
      <c r="W5" s="80">
        <v>20899</v>
      </c>
      <c r="Y5" s="79" t="s">
        <v>180</v>
      </c>
      <c r="Z5" s="72">
        <v>20168.72</v>
      </c>
      <c r="AA5" s="72">
        <v>44326.68</v>
      </c>
      <c r="AB5" s="72">
        <v>44380.99</v>
      </c>
      <c r="AC5" s="72">
        <v>21683.08</v>
      </c>
      <c r="AD5" s="72">
        <v>20300.669999999998</v>
      </c>
      <c r="AE5" s="80">
        <v>23511.81</v>
      </c>
      <c r="AG5" s="79" t="s">
        <v>180</v>
      </c>
      <c r="AH5" s="72">
        <v>-617.66999999999996</v>
      </c>
      <c r="AI5" s="72">
        <v>23430.37</v>
      </c>
      <c r="AJ5" s="72">
        <v>30986.65</v>
      </c>
      <c r="AK5" s="72">
        <v>-5290.15</v>
      </c>
      <c r="AL5" s="72">
        <v>2910.88</v>
      </c>
      <c r="AM5" s="80">
        <v>9914.2999999999993</v>
      </c>
      <c r="AO5" s="79" t="s">
        <v>180</v>
      </c>
      <c r="AP5" s="72">
        <v>2125.9699999999998</v>
      </c>
      <c r="AQ5" s="72">
        <v>7266.11</v>
      </c>
      <c r="AR5" s="72">
        <v>6941.8</v>
      </c>
      <c r="AS5" s="72">
        <v>2465.61</v>
      </c>
      <c r="AT5" s="72">
        <v>7393.94</v>
      </c>
      <c r="AU5" s="80">
        <v>1894.28</v>
      </c>
    </row>
    <row r="6" spans="1:47" x14ac:dyDescent="0.3">
      <c r="A6" s="70" t="s">
        <v>181</v>
      </c>
      <c r="B6" s="72">
        <v>1032.8399999999999</v>
      </c>
      <c r="C6" s="72">
        <v>338.87</v>
      </c>
      <c r="D6" s="72">
        <v>-25714.51</v>
      </c>
      <c r="E6" s="72">
        <v>-23422.99</v>
      </c>
      <c r="F6" s="72">
        <v>-4485.8</v>
      </c>
      <c r="G6" s="72">
        <v>-10076.36</v>
      </c>
      <c r="I6" s="70" t="s">
        <v>185</v>
      </c>
      <c r="J6" s="72">
        <v>-3637</v>
      </c>
      <c r="K6" s="72">
        <v>-2481</v>
      </c>
      <c r="L6" s="72">
        <v>-2998</v>
      </c>
      <c r="M6" s="72">
        <v>-3561</v>
      </c>
      <c r="N6" s="72">
        <v>-3866</v>
      </c>
      <c r="O6" s="72">
        <v>-4006</v>
      </c>
      <c r="Q6" s="79" t="s">
        <v>185</v>
      </c>
      <c r="R6" s="72">
        <v>-12810</v>
      </c>
      <c r="S6" s="72">
        <v>-9258</v>
      </c>
      <c r="T6" s="72">
        <v>-10091</v>
      </c>
      <c r="U6" s="72">
        <v>-14784</v>
      </c>
      <c r="V6" s="72">
        <v>-15801</v>
      </c>
      <c r="W6" s="80">
        <v>-12694</v>
      </c>
      <c r="Y6" s="79" t="s">
        <v>185</v>
      </c>
      <c r="Z6" s="72">
        <v>-10398</v>
      </c>
      <c r="AA6" s="72">
        <v>-6978.59</v>
      </c>
      <c r="AB6" s="72">
        <v>-10522.2</v>
      </c>
      <c r="AC6" s="72">
        <v>-14142.49</v>
      </c>
      <c r="AD6" s="72">
        <v>-18206.599999999999</v>
      </c>
      <c r="AE6" s="80">
        <v>-15670.52</v>
      </c>
      <c r="AG6" s="79" t="s">
        <v>185</v>
      </c>
      <c r="AH6" s="72">
        <v>-4754.3599999999997</v>
      </c>
      <c r="AI6" s="72">
        <v>-3672.7</v>
      </c>
      <c r="AJ6" s="72">
        <v>-3665.49</v>
      </c>
      <c r="AK6" s="72">
        <v>-3921.64</v>
      </c>
      <c r="AL6" s="72">
        <v>-4710.6899999999996</v>
      </c>
      <c r="AM6" s="80">
        <v>-6221.15</v>
      </c>
      <c r="AO6" s="79" t="s">
        <v>185</v>
      </c>
      <c r="AP6" s="72">
        <v>-2403.4899999999998</v>
      </c>
      <c r="AQ6" s="72">
        <v>-1622.11</v>
      </c>
      <c r="AR6" s="72">
        <v>-1198.3399999999999</v>
      </c>
      <c r="AS6" s="72">
        <v>-1401.28</v>
      </c>
      <c r="AT6" s="72">
        <v>-1847.09</v>
      </c>
      <c r="AU6" s="80">
        <v>-3230.34</v>
      </c>
    </row>
    <row r="7" spans="1:47" x14ac:dyDescent="0.3">
      <c r="A7" s="70" t="s">
        <v>184</v>
      </c>
      <c r="B7" s="72">
        <v>-5213.8599999999997</v>
      </c>
      <c r="C7" s="72">
        <v>-10852.51</v>
      </c>
      <c r="D7" s="72">
        <v>-11679.27</v>
      </c>
      <c r="E7" s="72">
        <v>-14209.48</v>
      </c>
      <c r="F7" s="72">
        <v>-16379.95</v>
      </c>
      <c r="G7" s="72">
        <v>-12803.58</v>
      </c>
      <c r="I7" s="70" t="s">
        <v>181</v>
      </c>
      <c r="J7" s="72">
        <v>-2648</v>
      </c>
      <c r="K7" s="72">
        <v>-2435</v>
      </c>
      <c r="L7" s="72">
        <v>846</v>
      </c>
      <c r="M7" s="72">
        <v>6562</v>
      </c>
      <c r="N7" s="72">
        <v>-3406</v>
      </c>
      <c r="O7" s="72">
        <v>-2706</v>
      </c>
      <c r="Q7" s="79" t="s">
        <v>181</v>
      </c>
      <c r="R7" s="72">
        <v>-19586</v>
      </c>
      <c r="S7" s="72">
        <v>-8119</v>
      </c>
      <c r="T7" s="72">
        <v>-15987</v>
      </c>
      <c r="U7" s="72">
        <v>-10711</v>
      </c>
      <c r="V7" s="72">
        <v>-14638</v>
      </c>
      <c r="W7" s="80">
        <v>-16997</v>
      </c>
      <c r="Y7" s="79" t="s">
        <v>181</v>
      </c>
      <c r="Z7" s="72">
        <v>-14530.35</v>
      </c>
      <c r="AA7" s="72">
        <v>-9322.8799999999992</v>
      </c>
      <c r="AB7" s="72">
        <v>-10881.23</v>
      </c>
      <c r="AC7" s="72">
        <v>-18679.84</v>
      </c>
      <c r="AD7" s="72">
        <v>-14251.44</v>
      </c>
      <c r="AE7" s="80">
        <v>-14172.73</v>
      </c>
      <c r="AG7" s="79" t="s">
        <v>181</v>
      </c>
      <c r="AH7" s="72">
        <v>-4260.5200000000004</v>
      </c>
      <c r="AI7" s="72">
        <v>-3412.69</v>
      </c>
      <c r="AJ7" s="72">
        <v>-3975.78</v>
      </c>
      <c r="AK7" s="72">
        <v>-3370.98</v>
      </c>
      <c r="AL7" s="72">
        <v>-4260.54</v>
      </c>
      <c r="AM7" s="80">
        <v>-5268.5</v>
      </c>
      <c r="AO7" s="79" t="s">
        <v>181</v>
      </c>
      <c r="AP7" s="72">
        <v>-312.76</v>
      </c>
      <c r="AQ7" s="72">
        <v>-4316.28</v>
      </c>
      <c r="AR7" s="72">
        <v>-3213.89</v>
      </c>
      <c r="AS7" s="72">
        <v>43.29</v>
      </c>
      <c r="AT7" s="72">
        <v>-6075.57</v>
      </c>
      <c r="AU7" s="80">
        <v>305.7</v>
      </c>
    </row>
    <row r="8" spans="1:47" s="19" customFormat="1" x14ac:dyDescent="0.3">
      <c r="A8" s="74" t="s">
        <v>182</v>
      </c>
      <c r="B8" s="75">
        <v>-4790.87</v>
      </c>
      <c r="C8" s="75">
        <v>-8455.4</v>
      </c>
      <c r="D8" s="75">
        <v>-13441.24</v>
      </c>
      <c r="E8" s="75">
        <v>-13661.14</v>
      </c>
      <c r="F8" s="75">
        <v>-13899.27</v>
      </c>
      <c r="G8" s="75">
        <v>-13308.5</v>
      </c>
      <c r="I8" s="74" t="s">
        <v>182</v>
      </c>
      <c r="J8" s="75">
        <v>-2098</v>
      </c>
      <c r="K8" s="75">
        <v>-9697</v>
      </c>
      <c r="L8" s="75">
        <v>-12258</v>
      </c>
      <c r="M8" s="75">
        <v>-23224</v>
      </c>
      <c r="N8" s="75">
        <v>-9946</v>
      </c>
      <c r="O8" s="75">
        <v>-11411</v>
      </c>
      <c r="Q8" s="81" t="s">
        <v>182</v>
      </c>
      <c r="R8" s="75">
        <v>5189</v>
      </c>
      <c r="S8" s="75">
        <v>-3110</v>
      </c>
      <c r="T8" s="75">
        <v>-14657</v>
      </c>
      <c r="U8" s="75">
        <v>-5977</v>
      </c>
      <c r="V8" s="75">
        <v>-5005</v>
      </c>
      <c r="W8" s="82">
        <v>-262</v>
      </c>
      <c r="Y8" s="81" t="s">
        <v>182</v>
      </c>
      <c r="Z8" s="75">
        <v>-1694.62</v>
      </c>
      <c r="AA8" s="75">
        <v>-37089.67</v>
      </c>
      <c r="AB8" s="75">
        <v>-23401.09</v>
      </c>
      <c r="AC8" s="75">
        <v>-6980.69</v>
      </c>
      <c r="AD8" s="75">
        <v>-11096.99</v>
      </c>
      <c r="AE8" s="82">
        <v>-7002.44</v>
      </c>
      <c r="AG8" s="81" t="s">
        <v>182</v>
      </c>
      <c r="AH8" s="75">
        <v>5003.1499999999996</v>
      </c>
      <c r="AI8" s="75">
        <v>-19689.939999999999</v>
      </c>
      <c r="AJ8" s="75">
        <v>-27397.61</v>
      </c>
      <c r="AK8" s="75">
        <v>8586.68</v>
      </c>
      <c r="AL8" s="75">
        <v>1361.95</v>
      </c>
      <c r="AM8" s="82">
        <v>-4423.6000000000004</v>
      </c>
      <c r="AO8" s="81" t="s">
        <v>182</v>
      </c>
      <c r="AP8" s="75">
        <v>-1753.31</v>
      </c>
      <c r="AQ8" s="75">
        <v>-2591.3000000000002</v>
      </c>
      <c r="AR8" s="75">
        <v>-4066.85</v>
      </c>
      <c r="AS8" s="75">
        <v>-2536.5</v>
      </c>
      <c r="AT8" s="75">
        <v>-1301.98</v>
      </c>
      <c r="AU8" s="82">
        <v>-2224.5500000000002</v>
      </c>
    </row>
    <row r="9" spans="1:47" s="19" customFormat="1" x14ac:dyDescent="0.3">
      <c r="A9" s="71" t="s">
        <v>183</v>
      </c>
      <c r="B9" s="73">
        <f>SUM(B5:B6,B8)</f>
        <v>1219.21</v>
      </c>
      <c r="C9" s="73">
        <f t="shared" ref="C9:F9" si="0">SUM(C5:C6,C8)</f>
        <v>2443.3200000000015</v>
      </c>
      <c r="D9" s="73">
        <f t="shared" si="0"/>
        <v>1951.0199999999986</v>
      </c>
      <c r="E9" s="73">
        <f t="shared" si="0"/>
        <v>-1397.9200000000019</v>
      </c>
      <c r="F9" s="73">
        <f t="shared" si="0"/>
        <v>-281.97000000000116</v>
      </c>
      <c r="G9" s="73">
        <f>SUM(G5:G6,G8)</f>
        <v>5814.7999999999993</v>
      </c>
      <c r="I9" s="71" t="s">
        <v>183</v>
      </c>
      <c r="J9" s="73">
        <f>SUM(J5,J7:J8)</f>
        <v>1875</v>
      </c>
      <c r="K9" s="73">
        <f t="shared" ref="K9:O9" si="1">SUM(K5,K7:K8)</f>
        <v>-1565</v>
      </c>
      <c r="L9" s="73">
        <f t="shared" si="1"/>
        <v>1279</v>
      </c>
      <c r="M9" s="73">
        <f t="shared" si="1"/>
        <v>-1533</v>
      </c>
      <c r="N9" s="73">
        <f t="shared" si="1"/>
        <v>-6</v>
      </c>
      <c r="O9" s="73">
        <f t="shared" si="1"/>
        <v>43</v>
      </c>
      <c r="Q9" s="83" t="s">
        <v>183</v>
      </c>
      <c r="R9" s="84">
        <f>SUM(R5,R7:R8)</f>
        <v>-1612</v>
      </c>
      <c r="S9" s="84">
        <f t="shared" ref="S9:W9" si="2">SUM(S5,S7:S8)</f>
        <v>7560</v>
      </c>
      <c r="T9" s="84">
        <f t="shared" si="2"/>
        <v>-4374</v>
      </c>
      <c r="U9" s="84">
        <f t="shared" si="2"/>
        <v>6635</v>
      </c>
      <c r="V9" s="84">
        <f t="shared" si="2"/>
        <v>-7565</v>
      </c>
      <c r="W9" s="84">
        <f t="shared" si="2"/>
        <v>3640</v>
      </c>
      <c r="Y9" s="83" t="s">
        <v>183</v>
      </c>
      <c r="Z9" s="84">
        <f>SUM(Z5,Z7:Z8)</f>
        <v>3943.7500000000009</v>
      </c>
      <c r="AA9" s="84">
        <f t="shared" ref="AA9:AE9" si="3">SUM(AA5,AA7:AA8)</f>
        <v>-2085.8699999999953</v>
      </c>
      <c r="AB9" s="84">
        <f t="shared" si="3"/>
        <v>10098.669999999995</v>
      </c>
      <c r="AC9" s="84">
        <f t="shared" si="3"/>
        <v>-3977.449999999998</v>
      </c>
      <c r="AD9" s="84">
        <f t="shared" si="3"/>
        <v>-5047.760000000002</v>
      </c>
      <c r="AE9" s="85">
        <f t="shared" si="3"/>
        <v>2336.6400000000021</v>
      </c>
      <c r="AG9" s="83" t="s">
        <v>183</v>
      </c>
      <c r="AH9" s="84">
        <f>SUM(AH5,AH7:AH8)</f>
        <v>124.95999999999913</v>
      </c>
      <c r="AI9" s="84">
        <f t="shared" ref="AI9:AM9" si="4">SUM(AI5,AI7:AI8)</f>
        <v>327.7400000000016</v>
      </c>
      <c r="AJ9" s="84">
        <f t="shared" si="4"/>
        <v>-386.73999999999796</v>
      </c>
      <c r="AK9" s="84">
        <f t="shared" si="4"/>
        <v>-74.449999999998909</v>
      </c>
      <c r="AL9" s="84">
        <f t="shared" si="4"/>
        <v>12.290000000000191</v>
      </c>
      <c r="AM9" s="85">
        <f t="shared" si="4"/>
        <v>222.19999999999891</v>
      </c>
      <c r="AO9" s="83" t="s">
        <v>183</v>
      </c>
      <c r="AP9" s="84">
        <f>SUM(AP5,AP7:AP8)</f>
        <v>59.899999999999864</v>
      </c>
      <c r="AQ9" s="84">
        <f t="shared" ref="AQ9:AU9" si="5">SUM(AQ5,AQ7:AQ8)</f>
        <v>358.52999999999975</v>
      </c>
      <c r="AR9" s="84">
        <f t="shared" si="5"/>
        <v>-338.9399999999996</v>
      </c>
      <c r="AS9" s="84">
        <f t="shared" si="5"/>
        <v>-27.599999999999909</v>
      </c>
      <c r="AT9" s="84">
        <f t="shared" si="5"/>
        <v>16.389999999999873</v>
      </c>
      <c r="AU9" s="85">
        <f t="shared" si="5"/>
        <v>-24.570000000000164</v>
      </c>
    </row>
  </sheetData>
  <mergeCells count="7">
    <mergeCell ref="AH3:AI3"/>
    <mergeCell ref="AP3:AQ3"/>
    <mergeCell ref="A1:D1"/>
    <mergeCell ref="B3:C3"/>
    <mergeCell ref="J3:K3"/>
    <mergeCell ref="R3:S3"/>
    <mergeCell ref="Z3:AA3"/>
  </mergeCells>
  <pageMargins left="0.7" right="0.7" top="0.75" bottom="0.75" header="0.3" footer="0.3"/>
  <tableParts count="6">
    <tablePart r:id="rId1"/>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F52E-EBD9-4B50-959A-C71B8AE7000C}">
  <sheetPr>
    <tabColor rgb="FFC00000"/>
  </sheetPr>
  <dimension ref="A1:AU30"/>
  <sheetViews>
    <sheetView showGridLines="0" tabSelected="1" topLeftCell="A3" workbookViewId="0">
      <selection activeCell="C18" sqref="B18:C18"/>
    </sheetView>
  </sheetViews>
  <sheetFormatPr defaultRowHeight="14.4" x14ac:dyDescent="0.3"/>
  <cols>
    <col min="1" max="1" width="27.6640625" style="1" bestFit="1" customWidth="1"/>
    <col min="2" max="3" width="9.88671875" style="14" bestFit="1" customWidth="1"/>
    <col min="4" max="7" width="10.88671875" style="14" bestFit="1" customWidth="1"/>
    <col min="8" max="8" width="8.88671875" style="1"/>
    <col min="9" max="9" width="27.6640625" style="1" bestFit="1" customWidth="1"/>
    <col min="10" max="10" width="9.88671875" style="1" bestFit="1" customWidth="1"/>
    <col min="11" max="15" width="10.88671875" style="1" bestFit="1" customWidth="1"/>
    <col min="16" max="16" width="8.88671875" style="1"/>
    <col min="17" max="17" width="27.6640625" style="1" bestFit="1" customWidth="1"/>
    <col min="18" max="18" width="9.88671875" style="1" bestFit="1" customWidth="1"/>
    <col min="19" max="23" width="10.88671875" style="1" bestFit="1" customWidth="1"/>
    <col min="24" max="24" width="8.88671875" style="1"/>
    <col min="25" max="25" width="27.6640625" style="1" bestFit="1" customWidth="1"/>
    <col min="26" max="26" width="9.88671875" style="1" bestFit="1" customWidth="1"/>
    <col min="27" max="31" width="10.88671875" style="1" bestFit="1" customWidth="1"/>
    <col min="32" max="32" width="8.88671875" style="1"/>
    <col min="33" max="33" width="27.6640625" style="1" bestFit="1" customWidth="1"/>
    <col min="34" max="39" width="9.88671875" style="1" bestFit="1" customWidth="1"/>
    <col min="40" max="40" width="8.88671875" style="1"/>
    <col min="41" max="41" width="27.6640625" style="1" bestFit="1" customWidth="1"/>
    <col min="42" max="42" width="11" style="1" bestFit="1" customWidth="1"/>
    <col min="43" max="47" width="9.88671875" style="1" bestFit="1" customWidth="1"/>
    <col min="48" max="16384" width="8.88671875" style="1"/>
  </cols>
  <sheetData>
    <row r="1" spans="1:47" ht="23.4" x14ac:dyDescent="0.3">
      <c r="A1" s="86" t="s">
        <v>186</v>
      </c>
    </row>
    <row r="3" spans="1:47" ht="45.6" customHeight="1" x14ac:dyDescent="0.3">
      <c r="B3" s="144" t="e" vm="17">
        <v>#VALUE!</v>
      </c>
      <c r="C3" s="144"/>
      <c r="J3" s="144" t="e" vm="2">
        <v>#VALUE!</v>
      </c>
      <c r="K3" s="144"/>
      <c r="S3" s="144" t="e" vm="14">
        <v>#VALUE!</v>
      </c>
      <c r="T3" s="144"/>
      <c r="AA3" s="144" t="e" vm="15">
        <v>#VALUE!</v>
      </c>
      <c r="AB3" s="144"/>
      <c r="AI3" s="144" t="e" vm="16">
        <v>#VALUE!</v>
      </c>
      <c r="AJ3" s="144"/>
      <c r="AQ3" s="144" t="e" vm="6">
        <v>#VALUE!</v>
      </c>
      <c r="AR3" s="144"/>
    </row>
    <row r="4" spans="1:47" x14ac:dyDescent="0.3">
      <c r="A4" s="19" t="s">
        <v>13</v>
      </c>
      <c r="B4" s="56" t="s">
        <v>26</v>
      </c>
      <c r="C4" s="56" t="s">
        <v>27</v>
      </c>
      <c r="D4" s="56" t="s">
        <v>28</v>
      </c>
      <c r="E4" s="56" t="s">
        <v>29</v>
      </c>
      <c r="F4" s="56" t="s">
        <v>30</v>
      </c>
      <c r="G4" s="56" t="s">
        <v>31</v>
      </c>
      <c r="I4" s="19" t="s">
        <v>13</v>
      </c>
      <c r="J4" s="56" t="s">
        <v>26</v>
      </c>
      <c r="K4" s="56" t="s">
        <v>27</v>
      </c>
      <c r="L4" s="56" t="s">
        <v>28</v>
      </c>
      <c r="M4" s="56" t="s">
        <v>29</v>
      </c>
      <c r="N4" s="56" t="s">
        <v>30</v>
      </c>
      <c r="O4" s="56" t="s">
        <v>31</v>
      </c>
      <c r="Q4" s="19" t="s">
        <v>13</v>
      </c>
      <c r="R4" s="56" t="s">
        <v>26</v>
      </c>
      <c r="S4" s="56" t="s">
        <v>27</v>
      </c>
      <c r="T4" s="56" t="s">
        <v>28</v>
      </c>
      <c r="U4" s="56" t="s">
        <v>29</v>
      </c>
      <c r="V4" s="56" t="s">
        <v>30</v>
      </c>
      <c r="W4" s="56" t="s">
        <v>31</v>
      </c>
      <c r="Y4" s="19" t="s">
        <v>13</v>
      </c>
      <c r="Z4" s="56" t="s">
        <v>26</v>
      </c>
      <c r="AA4" s="56" t="s">
        <v>27</v>
      </c>
      <c r="AB4" s="56" t="s">
        <v>28</v>
      </c>
      <c r="AC4" s="56" t="s">
        <v>29</v>
      </c>
      <c r="AD4" s="56" t="s">
        <v>30</v>
      </c>
      <c r="AE4" s="56" t="s">
        <v>31</v>
      </c>
      <c r="AG4" s="19" t="s">
        <v>13</v>
      </c>
      <c r="AH4" s="56" t="s">
        <v>26</v>
      </c>
      <c r="AI4" s="56" t="s">
        <v>27</v>
      </c>
      <c r="AJ4" s="56" t="s">
        <v>28</v>
      </c>
      <c r="AK4" s="56" t="s">
        <v>29</v>
      </c>
      <c r="AL4" s="56" t="s">
        <v>30</v>
      </c>
      <c r="AM4" s="56" t="s">
        <v>31</v>
      </c>
      <c r="AO4" s="19" t="s">
        <v>13</v>
      </c>
      <c r="AP4" s="56" t="s">
        <v>26</v>
      </c>
      <c r="AQ4" s="56" t="s">
        <v>27</v>
      </c>
      <c r="AR4" s="56" t="s">
        <v>28</v>
      </c>
      <c r="AS4" s="56" t="s">
        <v>29</v>
      </c>
      <c r="AT4" s="56" t="s">
        <v>30</v>
      </c>
      <c r="AU4" s="56" t="s">
        <v>31</v>
      </c>
    </row>
    <row r="5" spans="1:47" x14ac:dyDescent="0.3">
      <c r="A5" s="88" t="s">
        <v>187</v>
      </c>
      <c r="B5" s="89"/>
      <c r="C5" s="89"/>
      <c r="D5" s="89"/>
      <c r="E5" s="89"/>
      <c r="F5" s="89"/>
      <c r="G5" s="90"/>
      <c r="I5" s="88" t="s">
        <v>187</v>
      </c>
      <c r="J5" s="89"/>
      <c r="K5" s="89"/>
      <c r="L5" s="89"/>
      <c r="M5" s="89"/>
      <c r="N5" s="89"/>
      <c r="O5" s="90"/>
      <c r="Q5" s="88" t="s">
        <v>187</v>
      </c>
      <c r="R5" s="89"/>
      <c r="S5" s="89"/>
      <c r="T5" s="89"/>
      <c r="U5" s="89"/>
      <c r="V5" s="89"/>
      <c r="W5" s="90"/>
      <c r="Y5" s="88" t="s">
        <v>187</v>
      </c>
      <c r="Z5" s="89"/>
      <c r="AA5" s="89"/>
      <c r="AB5" s="89"/>
      <c r="AC5" s="89"/>
      <c r="AD5" s="89"/>
      <c r="AE5" s="90"/>
      <c r="AG5" s="88" t="s">
        <v>187</v>
      </c>
      <c r="AH5" s="89"/>
      <c r="AI5" s="89"/>
      <c r="AJ5" s="89"/>
      <c r="AK5" s="89"/>
      <c r="AL5" s="89"/>
      <c r="AM5" s="90"/>
      <c r="AO5" s="88" t="s">
        <v>187</v>
      </c>
      <c r="AP5" s="89"/>
      <c r="AQ5" s="89"/>
      <c r="AR5" s="89"/>
      <c r="AS5" s="89"/>
      <c r="AT5" s="89"/>
      <c r="AU5" s="90"/>
    </row>
    <row r="6" spans="1:47" x14ac:dyDescent="0.3">
      <c r="A6" s="87" t="s">
        <v>188</v>
      </c>
      <c r="B6" s="92">
        <f>'Balance Sheet'!B27/'Balance Sheet'!B52</f>
        <v>1.7055322286552068</v>
      </c>
      <c r="C6" s="92">
        <f>'Balance Sheet'!C27/'Balance Sheet'!C52</f>
        <v>1.6405916247489729</v>
      </c>
      <c r="D6" s="92">
        <f>'Balance Sheet'!D27/'Balance Sheet'!D52</f>
        <v>1.622940188443992</v>
      </c>
      <c r="E6" s="92">
        <f>'Balance Sheet'!E27/'Balance Sheet'!E52</f>
        <v>1.5724634623822864</v>
      </c>
      <c r="F6" s="92">
        <f>'Balance Sheet'!F27/'Balance Sheet'!F52</f>
        <v>1.695430938557468</v>
      </c>
      <c r="G6" s="92">
        <f>'Balance Sheet'!G27/'Balance Sheet'!G52</f>
        <v>1.4858042697398042</v>
      </c>
      <c r="I6" s="87" t="s">
        <v>188</v>
      </c>
      <c r="J6" s="92">
        <f>'Balance Sheet'!J24/'Balance Sheet'!J49</f>
        <v>4.5839645298355807</v>
      </c>
      <c r="K6" s="92">
        <f>'Balance Sheet'!K24/'Balance Sheet'!K49</f>
        <v>3.1193499238191977</v>
      </c>
      <c r="L6" s="92">
        <f>'Balance Sheet'!L24/'Balance Sheet'!L49</f>
        <v>3.9353462422054482</v>
      </c>
      <c r="M6" s="92">
        <f>'Balance Sheet'!M24/'Balance Sheet'!M49</f>
        <v>0.79825817910960861</v>
      </c>
      <c r="N6" s="92">
        <f>'Balance Sheet'!N24/'Balance Sheet'!N49</f>
        <v>1.1645604649017618</v>
      </c>
      <c r="O6" s="92">
        <f>'Balance Sheet'!O24/'Balance Sheet'!O49</f>
        <v>1.0381284043218144</v>
      </c>
      <c r="Q6" s="87" t="s">
        <v>188</v>
      </c>
      <c r="R6" s="92">
        <f>'Balance Sheet'!R33/'Balance Sheet'!R61</f>
        <v>0.83496612342061893</v>
      </c>
      <c r="S6" s="92">
        <f>'Balance Sheet'!S33/'Balance Sheet'!S61</f>
        <v>0.82800988475484427</v>
      </c>
      <c r="T6" s="92">
        <f>'Balance Sheet'!T33/'Balance Sheet'!T61</f>
        <v>1.135931608486386</v>
      </c>
      <c r="U6" s="92">
        <f>'Balance Sheet'!U33/'Balance Sheet'!U61</f>
        <v>0.97408630276003028</v>
      </c>
      <c r="V6" s="92">
        <f>'Balance Sheet'!V33/'Balance Sheet'!V61</f>
        <v>0.97682585332626959</v>
      </c>
      <c r="W6" s="92">
        <f>'Balance Sheet'!W33/'Balance Sheet'!W61</f>
        <v>1.1667601359152839</v>
      </c>
      <c r="Y6" s="87" t="s">
        <v>188</v>
      </c>
      <c r="Z6" s="92">
        <f>'Balance Sheet'!Z34/'Balance Sheet'!Z68</f>
        <v>0.926991848135165</v>
      </c>
      <c r="AA6" s="92">
        <f>'Balance Sheet'!AA34/'Balance Sheet'!AA68</f>
        <v>0.84824050303716259</v>
      </c>
      <c r="AB6" s="92">
        <f>'Balance Sheet'!AB34/'Balance Sheet'!AB68</f>
        <v>1.0205668579969951</v>
      </c>
      <c r="AC6" s="92">
        <f>'Balance Sheet'!AC34/'Balance Sheet'!AC68</f>
        <v>0.89013848894595238</v>
      </c>
      <c r="AD6" s="92">
        <f>'Balance Sheet'!AD34/'Balance Sheet'!AD68</f>
        <v>0.71647455963955731</v>
      </c>
      <c r="AE6" s="92">
        <f>'Balance Sheet'!AE34/'Balance Sheet'!AE68</f>
        <v>0.79438633904630485</v>
      </c>
      <c r="AG6" s="87" t="s">
        <v>188</v>
      </c>
      <c r="AH6" s="92">
        <f>'Balance Sheet'!AH31/'Balance Sheet'!AH60</f>
        <v>0.91461372930494156</v>
      </c>
      <c r="AI6" s="92">
        <f>'Balance Sheet'!AI31/'Balance Sheet'!AI60</f>
        <v>0.69216882666923019</v>
      </c>
      <c r="AJ6" s="92">
        <f>'Balance Sheet'!AJ31/'Balance Sheet'!AJ60</f>
        <v>0.73303303364366423</v>
      </c>
      <c r="AK6" s="92">
        <f>'Balance Sheet'!AK31/'Balance Sheet'!AK60</f>
        <v>0.77014643773051938</v>
      </c>
      <c r="AL6" s="92">
        <f>'Balance Sheet'!AL31/'Balance Sheet'!AL60</f>
        <v>0.90036869379673434</v>
      </c>
      <c r="AM6" s="92">
        <f>'Balance Sheet'!AM31/'Balance Sheet'!AM60</f>
        <v>0.90687158219436248</v>
      </c>
      <c r="AO6" s="87" t="s">
        <v>188</v>
      </c>
      <c r="AP6" s="92">
        <f>'Balance Sheet'!AP26/'Balance Sheet'!AP49</f>
        <v>2.4898615588303015</v>
      </c>
      <c r="AQ6" s="92">
        <f>'Balance Sheet'!AQ26/'Balance Sheet'!AQ49</f>
        <v>1.9148936170212765</v>
      </c>
      <c r="AR6" s="92">
        <f>'Balance Sheet'!AR26/'Balance Sheet'!AR49</f>
        <v>2.7908559050434567</v>
      </c>
      <c r="AS6" s="92">
        <f>'Balance Sheet'!AS26/'Balance Sheet'!AS49</f>
        <v>3.7624031266066233</v>
      </c>
      <c r="AT6" s="92">
        <f>'Balance Sheet'!AT26/'Balance Sheet'!AT49</f>
        <v>2.5319138303973188</v>
      </c>
      <c r="AU6" s="92">
        <f>'Balance Sheet'!AU26/'Balance Sheet'!AU49</f>
        <v>2.4178537001104625</v>
      </c>
    </row>
    <row r="7" spans="1:47" x14ac:dyDescent="0.3">
      <c r="A7" s="91" t="s">
        <v>189</v>
      </c>
      <c r="B7" s="93">
        <f>('Balance Sheet'!B27-'Balance Sheet'!B18)/'Balance Sheet'!B52</f>
        <v>1.5706593810381411</v>
      </c>
      <c r="C7" s="93">
        <f>('Balance Sheet'!C27-'Balance Sheet'!C18)/'Balance Sheet'!C52</f>
        <v>1.4673349873854802</v>
      </c>
      <c r="D7" s="93">
        <f>('Balance Sheet'!D27-'Balance Sheet'!D18)/'Balance Sheet'!D52</f>
        <v>1.499257890128584</v>
      </c>
      <c r="E7" s="93">
        <f>('Balance Sheet'!E27-'Balance Sheet'!E18)/'Balance Sheet'!E52</f>
        <v>1.4538234287689584</v>
      </c>
      <c r="F7" s="93">
        <f>('Balance Sheet'!F27-'Balance Sheet'!F18)/'Balance Sheet'!F52</f>
        <v>1.5293332053804201</v>
      </c>
      <c r="G7" s="93">
        <f>('Balance Sheet'!G27-'Balance Sheet'!G18)/'Balance Sheet'!G52</f>
        <v>1.2909729671702836</v>
      </c>
      <c r="I7" s="91" t="s">
        <v>189</v>
      </c>
      <c r="J7" s="93">
        <f>('Balance Sheet'!J24-'Balance Sheet'!J16)/'Balance Sheet'!J49</f>
        <v>4.2449658230186591</v>
      </c>
      <c r="K7" s="93">
        <f>('Balance Sheet'!K24-'Balance Sheet'!K16)/'Balance Sheet'!K49</f>
        <v>2.9384205180294565</v>
      </c>
      <c r="L7" s="93">
        <f>('Balance Sheet'!L24-'Balance Sheet'!L16)/'Balance Sheet'!L49</f>
        <v>3.6148670823761075</v>
      </c>
      <c r="M7" s="93">
        <f>('Balance Sheet'!M24-'Balance Sheet'!M16)/'Balance Sheet'!M49</f>
        <v>0.69157164957313932</v>
      </c>
      <c r="N7" s="93">
        <f>('Balance Sheet'!N24-'Balance Sheet'!N16)/'Balance Sheet'!N49</f>
        <v>0.9869015773452634</v>
      </c>
      <c r="O7" s="93">
        <f>('Balance Sheet'!O24-'Balance Sheet'!O16)/'Balance Sheet'!O49</f>
        <v>0.86945262969908033</v>
      </c>
      <c r="Q7" s="91" t="s">
        <v>189</v>
      </c>
      <c r="R7" s="93">
        <f>('Balance Sheet'!R33-'Balance Sheet'!R22)/'Balance Sheet'!R61</f>
        <v>0.51970792895074158</v>
      </c>
      <c r="S7" s="93">
        <f>('Balance Sheet'!S33-'Balance Sheet'!S22)/'Balance Sheet'!S61</f>
        <v>0.49892607219566271</v>
      </c>
      <c r="T7" s="93">
        <f>('Balance Sheet'!T33-'Balance Sheet'!T22)/'Balance Sheet'!T61</f>
        <v>0.54885232228805758</v>
      </c>
      <c r="U7" s="93">
        <f>('Balance Sheet'!U33-'Balance Sheet'!U22)/'Balance Sheet'!U61</f>
        <v>0.50047882452153281</v>
      </c>
      <c r="V7" s="93">
        <f>('Balance Sheet'!V33-'Balance Sheet'!V22)/'Balance Sheet'!V61</f>
        <v>0.40443502611064858</v>
      </c>
      <c r="W7" s="93">
        <f>('Balance Sheet'!W33-'Balance Sheet'!W22)/'Balance Sheet'!W61</f>
        <v>0.59017583215122227</v>
      </c>
      <c r="Y7" s="91" t="s">
        <v>189</v>
      </c>
      <c r="Z7" s="93">
        <f>('Balance Sheet'!Z34-'Balance Sheet'!Z23)/'Balance Sheet'!Z68</f>
        <v>0.41186349514479387</v>
      </c>
      <c r="AA7" s="93">
        <f>('Balance Sheet'!AA34-'Balance Sheet'!AA23)/'Balance Sheet'!AA68</f>
        <v>0.37868035575872766</v>
      </c>
      <c r="AB7" s="93">
        <f>('Balance Sheet'!AB34-'Balance Sheet'!AB23)/'Balance Sheet'!AB68</f>
        <v>0.48045546699670738</v>
      </c>
      <c r="AC7" s="93">
        <f>('Balance Sheet'!AC34-'Balance Sheet'!AC23)/'Balance Sheet'!AC68</f>
        <v>0.33085736151439438</v>
      </c>
      <c r="AD7" s="93">
        <f>('Balance Sheet'!AD34-'Balance Sheet'!AD23)/'Balance Sheet'!AD68</f>
        <v>0.21692403561337456</v>
      </c>
      <c r="AE7" s="93">
        <f>('Balance Sheet'!AE34-'Balance Sheet'!AE23)/'Balance Sheet'!AE68</f>
        <v>0.27646205784289291</v>
      </c>
      <c r="AG7" s="91" t="s">
        <v>189</v>
      </c>
      <c r="AH7" s="93">
        <f>('Balance Sheet'!AH31-'Balance Sheet'!AH22)/'Balance Sheet'!AH60</f>
        <v>0.3845046485209333</v>
      </c>
      <c r="AI7" s="93">
        <f>('Balance Sheet'!AI31-'Balance Sheet'!AI22)/'Balance Sheet'!AI60</f>
        <v>0.36238492155406621</v>
      </c>
      <c r="AJ7" s="93">
        <f>('Balance Sheet'!AJ31-'Balance Sheet'!AJ22)/'Balance Sheet'!AJ60</f>
        <v>0.23565561478405761</v>
      </c>
      <c r="AK7" s="93">
        <f>('Balance Sheet'!AK31-'Balance Sheet'!AK22)/'Balance Sheet'!AK60</f>
        <v>0.20735521021083114</v>
      </c>
      <c r="AL7" s="93">
        <f>('Balance Sheet'!AL31-'Balance Sheet'!AL22)/'Balance Sheet'!AL60</f>
        <v>0.28834578211079431</v>
      </c>
      <c r="AM7" s="93">
        <f>('Balance Sheet'!AM31-'Balance Sheet'!AM22)/'Balance Sheet'!AM60</f>
        <v>0.27575243953843781</v>
      </c>
      <c r="AO7" s="91" t="s">
        <v>189</v>
      </c>
      <c r="AP7" s="93">
        <f>('Balance Sheet'!AP26-'Balance Sheet'!AP18)/'Balance Sheet'!AP49</f>
        <v>2.2295612192033154</v>
      </c>
      <c r="AQ7" s="93">
        <f>('Balance Sheet'!AQ26-'Balance Sheet'!AQ18)/'Balance Sheet'!AQ49</f>
        <v>1.7483877261247982</v>
      </c>
      <c r="AR7" s="93">
        <f>('Balance Sheet'!AR26-'Balance Sheet'!AR18)/'Balance Sheet'!AR49</f>
        <v>2.4135137294590776</v>
      </c>
      <c r="AS7" s="93">
        <f>('Balance Sheet'!AS26-'Balance Sheet'!AS18)/'Balance Sheet'!AS49</f>
        <v>3.1291367557171967</v>
      </c>
      <c r="AT7" s="93">
        <f>('Balance Sheet'!AT26-'Balance Sheet'!AT18)/'Balance Sheet'!AT49</f>
        <v>2.2027039246527576</v>
      </c>
      <c r="AU7" s="93">
        <f>('Balance Sheet'!AU26-'Balance Sheet'!AU18)/'Balance Sheet'!AU49</f>
        <v>2.1450339044057101</v>
      </c>
    </row>
    <row r="8" spans="1:47" x14ac:dyDescent="0.3">
      <c r="A8" s="88" t="s">
        <v>190</v>
      </c>
      <c r="B8" s="94"/>
      <c r="C8" s="94"/>
      <c r="D8" s="94"/>
      <c r="E8" s="94"/>
      <c r="F8" s="94"/>
      <c r="G8" s="95"/>
      <c r="I8" s="88" t="s">
        <v>190</v>
      </c>
      <c r="J8" s="94"/>
      <c r="K8" s="94"/>
      <c r="L8" s="94"/>
      <c r="M8" s="94"/>
      <c r="N8" s="94"/>
      <c r="O8" s="95"/>
      <c r="Q8" s="88" t="s">
        <v>190</v>
      </c>
      <c r="R8" s="94"/>
      <c r="S8" s="94"/>
      <c r="T8" s="94"/>
      <c r="U8" s="94"/>
      <c r="V8" s="94"/>
      <c r="W8" s="95"/>
      <c r="Y8" s="88" t="s">
        <v>190</v>
      </c>
      <c r="Z8" s="94"/>
      <c r="AA8" s="94"/>
      <c r="AB8" s="94"/>
      <c r="AC8" s="94"/>
      <c r="AD8" s="94"/>
      <c r="AE8" s="95"/>
      <c r="AG8" s="88" t="s">
        <v>190</v>
      </c>
      <c r="AH8" s="94"/>
      <c r="AI8" s="94"/>
      <c r="AJ8" s="94"/>
      <c r="AK8" s="94"/>
      <c r="AL8" s="94"/>
      <c r="AM8" s="95"/>
      <c r="AO8" s="88" t="s">
        <v>190</v>
      </c>
      <c r="AP8" s="94"/>
      <c r="AQ8" s="94"/>
      <c r="AR8" s="94"/>
      <c r="AS8" s="94"/>
      <c r="AT8" s="94"/>
      <c r="AU8" s="95"/>
    </row>
    <row r="9" spans="1:47" x14ac:dyDescent="0.3">
      <c r="A9" s="87" t="s">
        <v>191</v>
      </c>
      <c r="B9" s="92">
        <f>('Balance Sheet'!B36+'Balance Sheet'!B44)/'Balance Sheet'!B34</f>
        <v>0.19741298270406438</v>
      </c>
      <c r="C9" s="92">
        <f>('Balance Sheet'!C36+'Balance Sheet'!C44)/'Balance Sheet'!C34</f>
        <v>0.15897045438065024</v>
      </c>
      <c r="D9" s="92">
        <f>('Balance Sheet'!D36+'Balance Sheet'!D44)/'Balance Sheet'!D34</f>
        <v>7.5536272249726893E-2</v>
      </c>
      <c r="E9" s="92">
        <f>('Balance Sheet'!E36+'Balance Sheet'!E44)/'Balance Sheet'!E34</f>
        <v>7.0924581108140441E-2</v>
      </c>
      <c r="F9" s="92">
        <f>('Balance Sheet'!F36+'Balance Sheet'!F44)/'Balance Sheet'!F34</f>
        <v>7.5243802785052744E-2</v>
      </c>
      <c r="G9" s="92">
        <f>('Balance Sheet'!G36+'Balance Sheet'!G44)/'Balance Sheet'!G34</f>
        <v>8.9127948991647776E-2</v>
      </c>
      <c r="I9" s="87" t="s">
        <v>191</v>
      </c>
      <c r="J9" s="92">
        <f>('Balance Sheet'!J32+'Balance Sheet'!J39)/'Balance Sheet'!J30</f>
        <v>1.5157529149094517E-2</v>
      </c>
      <c r="K9" s="92">
        <f>('Balance Sheet'!K32+'Balance Sheet'!K39)/'Balance Sheet'!K30</f>
        <v>0.20032185188623775</v>
      </c>
      <c r="L9" s="92">
        <f>('Balance Sheet'!L32+'Balance Sheet'!L39)/'Balance Sheet'!L30</f>
        <v>8.2348822963157431E-2</v>
      </c>
      <c r="M9" s="92">
        <f>('Balance Sheet'!M32+'Balance Sheet'!M39)/'Balance Sheet'!M30</f>
        <v>0.91563563253943703</v>
      </c>
      <c r="N9" s="92">
        <f>('Balance Sheet'!N32+'Balance Sheet'!N39)/'Balance Sheet'!N30</f>
        <v>0.55649884830536356</v>
      </c>
      <c r="O9" s="92">
        <f>('Balance Sheet'!O32+'Balance Sheet'!O39)/'Balance Sheet'!O30</f>
        <v>0.79926459552754014</v>
      </c>
      <c r="Q9" s="87" t="s">
        <v>191</v>
      </c>
      <c r="R9" s="92">
        <f>('Balance Sheet'!R42+'Balance Sheet'!R51)/'Balance Sheet'!R40</f>
        <v>1.4711858760826115</v>
      </c>
      <c r="S9" s="92">
        <f>('Balance Sheet'!S42+'Balance Sheet'!S51)/'Balance Sheet'!S40</f>
        <v>1.12103153104345</v>
      </c>
      <c r="T9" s="92">
        <f>('Balance Sheet'!T42+'Balance Sheet'!T51)/'Balance Sheet'!T40</f>
        <v>1.0210111621799081</v>
      </c>
      <c r="U9" s="92">
        <f>('Balance Sheet'!U42+'Balance Sheet'!U51)/'Balance Sheet'!U40</f>
        <v>1.1760616954310177</v>
      </c>
      <c r="V9" s="92">
        <f>('Balance Sheet'!V42+'Balance Sheet'!V51)/'Balance Sheet'!V40</f>
        <v>1.0726910348977137</v>
      </c>
      <c r="W9" s="92">
        <f>('Balance Sheet'!W42+'Balance Sheet'!W51)/'Balance Sheet'!W40</f>
        <v>1.174993265251145</v>
      </c>
      <c r="Y9" s="87" t="s">
        <v>191</v>
      </c>
      <c r="Z9" s="92">
        <f>('Balance Sheet'!Z45+'Balance Sheet'!Z56)/'Balance Sheet'!Z43</f>
        <v>1.4874623996722811</v>
      </c>
      <c r="AA9" s="92">
        <f>('Balance Sheet'!AA45+'Balance Sheet'!AA56)/'Balance Sheet'!AA43</f>
        <v>1.0566705952705802</v>
      </c>
      <c r="AB9" s="92">
        <f>('Balance Sheet'!AB45+'Balance Sheet'!AB56)/'Balance Sheet'!AB43</f>
        <v>0.58778467283002689</v>
      </c>
      <c r="AC9" s="92">
        <f>('Balance Sheet'!AC45+'Balance Sheet'!AC56)/'Balance Sheet'!AC43</f>
        <v>0.74178791751402251</v>
      </c>
      <c r="AD9" s="92">
        <f>('Balance Sheet'!AD45+'Balance Sheet'!AD56)/'Balance Sheet'!AD43</f>
        <v>0.88252192891825987</v>
      </c>
      <c r="AE9" s="92">
        <f>('Balance Sheet'!AE45+'Balance Sheet'!AE56)/'Balance Sheet'!AE43</f>
        <v>0.9738489622319102</v>
      </c>
      <c r="AG9" s="87" t="s">
        <v>191</v>
      </c>
      <c r="AH9" s="92">
        <f>('Balance Sheet'!AH40+'Balance Sheet'!AH51)/'Balance Sheet'!AH38</f>
        <v>1.2334501077324536</v>
      </c>
      <c r="AI9" s="92">
        <f>('Balance Sheet'!AI40+'Balance Sheet'!AI51)/'Balance Sheet'!AI38</f>
        <v>0.78351076493247718</v>
      </c>
      <c r="AJ9" s="92">
        <f>('Balance Sheet'!AJ40+'Balance Sheet'!AJ51)/'Balance Sheet'!AJ38</f>
        <v>0.24691445701102477</v>
      </c>
      <c r="AK9" s="92">
        <f>('Balance Sheet'!AK40+'Balance Sheet'!AK51)/'Balance Sheet'!AK38</f>
        <v>0.46873673435539831</v>
      </c>
      <c r="AL9" s="92">
        <f>('Balance Sheet'!AL40+'Balance Sheet'!AL51)/'Balance Sheet'!AL38</f>
        <v>0.53590737012144918</v>
      </c>
      <c r="AM9" s="92">
        <f>('Balance Sheet'!AM40+'Balance Sheet'!AM51)/'Balance Sheet'!AM38</f>
        <v>0.50608295306388529</v>
      </c>
      <c r="AO9" s="87" t="s">
        <v>191</v>
      </c>
      <c r="AP9" s="92">
        <f>('Balance Sheet'!AP35+'Balance Sheet'!AP41)/'Balance Sheet'!AP33</f>
        <v>2.0431615483766555E-2</v>
      </c>
      <c r="AQ9" s="92">
        <f>('Balance Sheet'!AQ35+'Balance Sheet'!AQ41)/'Balance Sheet'!AQ33</f>
        <v>6.6710059238888481E-2</v>
      </c>
      <c r="AR9" s="92">
        <f>('Balance Sheet'!AR35+'Balance Sheet'!AR41)/'Balance Sheet'!AR33</f>
        <v>9.9408264334477608E-2</v>
      </c>
      <c r="AS9" s="92">
        <f>('Balance Sheet'!AS35+'Balance Sheet'!AS41)/'Balance Sheet'!AS33</f>
        <v>1.837768488353908E-2</v>
      </c>
      <c r="AT9" s="92">
        <f>('Balance Sheet'!AT35+'Balance Sheet'!AT41)/'Balance Sheet'!AT33</f>
        <v>0.13074248302977731</v>
      </c>
      <c r="AU9" s="92">
        <f>('Balance Sheet'!AU35+'Balance Sheet'!AU41)/'Balance Sheet'!AU33</f>
        <v>0.1269204953146007</v>
      </c>
    </row>
    <row r="10" spans="1:47" x14ac:dyDescent="0.3">
      <c r="A10" s="87" t="s">
        <v>192</v>
      </c>
      <c r="B10" s="92">
        <f>('Income Statement'!B26+'Income Statement'!B19)/'Income Statement'!B19</f>
        <v>48.865445796548194</v>
      </c>
      <c r="C10" s="92">
        <f>('Income Statement'!C26+'Income Statement'!C19)/'Income Statement'!C19</f>
        <v>28.939335184352174</v>
      </c>
      <c r="D10" s="92">
        <f>('Income Statement'!D26+'Income Statement'!D19)/'Income Statement'!D19</f>
        <v>44.629374503684296</v>
      </c>
      <c r="E10" s="92">
        <f>('Income Statement'!E26+'Income Statement'!E19)/'Income Statement'!E19</f>
        <v>56.543467142084722</v>
      </c>
      <c r="F10" s="92">
        <f>('Income Statement'!F26+'Income Statement'!F19)/'Income Statement'!F19</f>
        <v>60.052418321393233</v>
      </c>
      <c r="G10" s="92">
        <f>('Income Statement'!G26+'Income Statement'!G19)/'Income Statement'!G19</f>
        <v>53.627092174503474</v>
      </c>
      <c r="I10" s="87" t="s">
        <v>192</v>
      </c>
      <c r="J10" s="92">
        <f>('Income Statement'!J20+'Income Statement'!J16+'Income Statement'!J13)/'Income Statement'!J16</f>
        <v>96.258928571428569</v>
      </c>
      <c r="K10" s="92">
        <f>('Income Statement'!K20+'Income Statement'!K16+'Income Statement'!K13)/'Income Statement'!K16</f>
        <v>34.950777202072537</v>
      </c>
      <c r="L10" s="92">
        <f>('Income Statement'!L20+'Income Statement'!L16+'Income Statement'!L13)/'Income Statement'!L16</f>
        <v>59.679310344827584</v>
      </c>
      <c r="M10" s="92">
        <f>('Income Statement'!M20+'Income Statement'!M16+'Income Statement'!M13)/'Income Statement'!M16</f>
        <v>56.711711711711715</v>
      </c>
      <c r="N10" s="92">
        <f>('Income Statement'!N20+'Income Statement'!N16+'Income Statement'!N13)/'Income Statement'!N16</f>
        <v>15.424083769633508</v>
      </c>
      <c r="O10" s="92">
        <f>('Income Statement'!O20+'Income Statement'!O16+'Income Statement'!O13)/'Income Statement'!O16</f>
        <v>16.701369863013699</v>
      </c>
      <c r="Q10" s="87" t="s">
        <v>192</v>
      </c>
      <c r="R10" s="92">
        <f>('Income Statement'!R22+'Income Statement'!R18)/'Income Statement'!R18</f>
        <v>1.9162954279015241</v>
      </c>
      <c r="S10" s="92">
        <f>('Income Statement'!S22+'Income Statement'!S18)/'Income Statement'!S18</f>
        <v>4.0571139752337633</v>
      </c>
      <c r="T10" s="92">
        <f>('Income Statement'!T22+'Income Statement'!T18)/'Income Statement'!T18</f>
        <v>6.9518921095008048</v>
      </c>
      <c r="U10" s="92">
        <f>('Income Statement'!U22+'Income Statement'!U18)/'Income Statement'!U18</f>
        <v>1.7535496957403651</v>
      </c>
      <c r="V10" s="92">
        <f>('Income Statement'!V22+'Income Statement'!V18)/'Income Statement'!V18</f>
        <v>2.5993830968537939</v>
      </c>
      <c r="W10" s="92">
        <f>('Income Statement'!W22+'Income Statement'!W18)/'Income Statement'!W18</f>
        <v>1.6986447931526392</v>
      </c>
      <c r="Y10" s="87" t="s">
        <v>192</v>
      </c>
      <c r="Z10" s="92">
        <f>('Income Statement'!Z20+'Income Statement'!Z14)/'Income Statement'!Z14</f>
        <v>1.4680861448516753</v>
      </c>
      <c r="AA10" s="92">
        <f>('Income Statement'!AA20+'Income Statement'!AA14)/'Income Statement'!AA14</f>
        <v>2.9570681674468999</v>
      </c>
      <c r="AB10" s="92">
        <f>('Income Statement'!AB20+'Income Statement'!AB14)/'Income Statement'!AB14</f>
        <v>10.219898575665487</v>
      </c>
      <c r="AC10" s="92">
        <f>('Income Statement'!AC20+'Income Statement'!AC14)/'Income Statement'!AC14</f>
        <v>3.8770793973359567</v>
      </c>
      <c r="AD10" s="92">
        <f>('Income Statement'!AD20+'Income Statement'!AD14)/'Income Statement'!AD14</f>
        <v>1.8880423359355945</v>
      </c>
      <c r="AE10" s="92">
        <f>('Income Statement'!AE20+'Income Statement'!AE14)/'Income Statement'!AE14</f>
        <v>2.2624401473923728</v>
      </c>
      <c r="AG10" s="87" t="s">
        <v>192</v>
      </c>
      <c r="AH10" s="92">
        <f>('Income Statement'!AH18+'Income Statement'!AH14)/'Income Statement'!AH14</f>
        <v>2.1124998566003961</v>
      </c>
      <c r="AI10" s="92">
        <f>('Income Statement'!AI18+'Income Statement'!AI14)/'Income Statement'!AI14</f>
        <v>3.3710061587064923</v>
      </c>
      <c r="AJ10" s="92">
        <f>('Income Statement'!AJ18+'Income Statement'!AJ14)/'Income Statement'!AJ14</f>
        <v>10.55725046970063</v>
      </c>
      <c r="AK10" s="92">
        <f>('Income Statement'!AK18+'Income Statement'!AK14)/'Income Statement'!AK14</f>
        <v>1.9761027156228061</v>
      </c>
      <c r="AL10" s="92">
        <f>('Income Statement'!AL18+'Income Statement'!AL14)/'Income Statement'!AL14</f>
        <v>2.8044836813724334</v>
      </c>
      <c r="AM10" s="92">
        <f>('Income Statement'!AM18+'Income Statement'!AM14)/'Income Statement'!AM14</f>
        <v>2.10175535323665</v>
      </c>
      <c r="AO10" s="87" t="s">
        <v>192</v>
      </c>
      <c r="AP10" s="92">
        <f>('Income Statement'!AP23+'Income Statement'!AP19)/'Income Statement'!AP19</f>
        <v>629.69129554655865</v>
      </c>
      <c r="AQ10" s="92">
        <f>('Income Statement'!AQ23+'Income Statement'!AQ19)/'Income Statement'!AQ19</f>
        <v>530.18024985127909</v>
      </c>
      <c r="AR10" s="92">
        <f>('Income Statement'!AR23+'Income Statement'!AR19)/'Income Statement'!AR19</f>
        <v>334.23579109062985</v>
      </c>
      <c r="AS10" s="92">
        <f>('Income Statement'!AS23+'Income Statement'!AS19)/'Income Statement'!AS19</f>
        <v>86.196597102219897</v>
      </c>
      <c r="AT10" s="92">
        <f>('Income Statement'!AT23+'Income Statement'!AT19)/'Income Statement'!AT19</f>
        <v>106.25063905930473</v>
      </c>
      <c r="AU10" s="92">
        <f>('Income Statement'!AU23+'Income Statement'!AU19)/'Income Statement'!AU19</f>
        <v>52.462685727149932</v>
      </c>
    </row>
    <row r="11" spans="1:47" x14ac:dyDescent="0.3">
      <c r="A11" s="87" t="s">
        <v>193</v>
      </c>
      <c r="B11" s="92">
        <f>('Balance Sheet'!B36+'Balance Sheet'!B44)/'Balance Sheet'!B28</f>
        <v>4.2746608936702728E-2</v>
      </c>
      <c r="C11" s="92">
        <f>('Balance Sheet'!C36+'Balance Sheet'!C44)/'Balance Sheet'!C28</f>
        <v>3.6316672383288652E-2</v>
      </c>
      <c r="D11" s="92">
        <f>('Balance Sheet'!D36+'Balance Sheet'!D44)/'Balance Sheet'!D28</f>
        <v>1.8363307827752778E-2</v>
      </c>
      <c r="E11" s="92">
        <f>('Balance Sheet'!E36+'Balance Sheet'!E44)/'Balance Sheet'!E28</f>
        <v>1.9482008758625317E-2</v>
      </c>
      <c r="F11" s="92">
        <f>('Balance Sheet'!F36+'Balance Sheet'!F44)/'Balance Sheet'!F28</f>
        <v>2.6460891986300795E-2</v>
      </c>
      <c r="G11" s="92">
        <f>('Balance Sheet'!G36+'Balance Sheet'!G44)/'Balance Sheet'!G28</f>
        <v>3.4236955442879982E-2</v>
      </c>
      <c r="I11" s="87" t="s">
        <v>193</v>
      </c>
      <c r="J11" s="92">
        <f>('Balance Sheet'!J32+'Balance Sheet'!J39)/'Balance Sheet'!J25</f>
        <v>1.300691857370942E-2</v>
      </c>
      <c r="K11" s="92">
        <f>('Balance Sheet'!K32+'Balance Sheet'!K39)/'Balance Sheet'!K25</f>
        <v>0.14155750431911124</v>
      </c>
      <c r="L11" s="92">
        <f>('Balance Sheet'!L32+'Balance Sheet'!L39)/'Balance Sheet'!L25</f>
        <v>6.3196776359973131E-2</v>
      </c>
      <c r="M11" s="92">
        <f>('Balance Sheet'!M32+'Balance Sheet'!M39)/'Balance Sheet'!M25</f>
        <v>0.34227489521607168</v>
      </c>
      <c r="N11" s="92">
        <f>('Balance Sheet'!N32+'Balance Sheet'!N39)/'Balance Sheet'!N25</f>
        <v>0.24947632394158431</v>
      </c>
      <c r="O11" s="92">
        <f>('Balance Sheet'!O32+'Balance Sheet'!O39)/'Balance Sheet'!O25</f>
        <v>0.30881414902870397</v>
      </c>
      <c r="Q11" s="87" t="s">
        <v>193</v>
      </c>
      <c r="R11" s="92">
        <f>('Balance Sheet'!R42+'Balance Sheet'!R51)/'Balance Sheet'!R34</f>
        <v>0.40204824761037777</v>
      </c>
      <c r="S11" s="92">
        <f>('Balance Sheet'!S42+'Balance Sheet'!S51)/'Balance Sheet'!S34</f>
        <v>0.34877997802005167</v>
      </c>
      <c r="T11" s="92">
        <f>('Balance Sheet'!T42+'Balance Sheet'!T51)/'Balance Sheet'!T34</f>
        <v>0.3561340560348118</v>
      </c>
      <c r="U11" s="92">
        <f>('Balance Sheet'!U42+'Balance Sheet'!U51)/'Balance Sheet'!U34</f>
        <v>0.3735206890343854</v>
      </c>
      <c r="V11" s="92">
        <f>('Balance Sheet'!V42+'Balance Sheet'!V51)/'Balance Sheet'!V34</f>
        <v>0.37500328661951465</v>
      </c>
      <c r="W11" s="92">
        <f>('Balance Sheet'!W42+'Balance Sheet'!W51)/'Balance Sheet'!W34</f>
        <v>0.39858853045999454</v>
      </c>
      <c r="Y11" s="87" t="s">
        <v>193</v>
      </c>
      <c r="Z11" s="92">
        <f>('Balance Sheet'!Z45+'Balance Sheet'!Z56)/'Balance Sheet'!Z36</f>
        <v>0.45240053579114992</v>
      </c>
      <c r="AA11" s="92">
        <f>('Balance Sheet'!AA45+'Balance Sheet'!AA56)/'Balance Sheet'!AA36</f>
        <v>0.33362593513527644</v>
      </c>
      <c r="AB11" s="92">
        <f>('Balance Sheet'!AB45+'Balance Sheet'!AB56)/'Balance Sheet'!AB36</f>
        <v>0.24112713595865551</v>
      </c>
      <c r="AC11" s="92">
        <f>('Balance Sheet'!AC45+'Balance Sheet'!AC56)/'Balance Sheet'!AC36</f>
        <v>0.27087434441580693</v>
      </c>
      <c r="AD11" s="92">
        <f>('Balance Sheet'!AD45+'Balance Sheet'!AD56)/'Balance Sheet'!AD36</f>
        <v>0.29834275400614801</v>
      </c>
      <c r="AE11" s="92">
        <f>('Balance Sheet'!AE45+'Balance Sheet'!AE56)/'Balance Sheet'!AE36</f>
        <v>0.31841612657071644</v>
      </c>
      <c r="AG11" s="87" t="s">
        <v>193</v>
      </c>
      <c r="AH11" s="92">
        <f>('Balance Sheet'!AH40+'Balance Sheet'!AH51)/'Balance Sheet'!AH32</f>
        <v>0.40338581888074182</v>
      </c>
      <c r="AI11" s="92">
        <f>('Balance Sheet'!AI40+'Balance Sheet'!AI51)/'Balance Sheet'!AI32</f>
        <v>0.29834383362711014</v>
      </c>
      <c r="AJ11" s="92">
        <f>('Balance Sheet'!AJ40+'Balance Sheet'!AJ51)/'Balance Sheet'!AJ32</f>
        <v>0.11144574200526987</v>
      </c>
      <c r="AK11" s="92">
        <f>('Balance Sheet'!AK40+'Balance Sheet'!AK51)/'Balance Sheet'!AK32</f>
        <v>0.19667049072014955</v>
      </c>
      <c r="AL11" s="92">
        <f>('Balance Sheet'!AL40+'Balance Sheet'!AL51)/'Balance Sheet'!AL32</f>
        <v>0.21747764066697284</v>
      </c>
      <c r="AM11" s="92">
        <f>('Balance Sheet'!AM40+'Balance Sheet'!AM51)/'Balance Sheet'!AM32</f>
        <v>0.21860317161412829</v>
      </c>
      <c r="AO11" s="87" t="s">
        <v>193</v>
      </c>
      <c r="AP11" s="92">
        <f>('Balance Sheet'!AP35+'Balance Sheet'!AP41)/'Balance Sheet'!AP27</f>
        <v>1.8072545178167494E-2</v>
      </c>
      <c r="AQ11" s="92">
        <f>('Balance Sheet'!AQ35+'Balance Sheet'!AQ41)/'Balance Sheet'!AQ27</f>
        <v>5.4007076671705963E-2</v>
      </c>
      <c r="AR11" s="92">
        <f>('Balance Sheet'!AR35+'Balance Sheet'!AR41)/'Balance Sheet'!AR27</f>
        <v>7.1952293522005564E-2</v>
      </c>
      <c r="AS11" s="92">
        <f>('Balance Sheet'!AS35+'Balance Sheet'!AS41)/'Balance Sheet'!AS27</f>
        <v>1.4726149482559825E-2</v>
      </c>
      <c r="AT11" s="92">
        <f>('Balance Sheet'!AT35+'Balance Sheet'!AT41)/'Balance Sheet'!AT27</f>
        <v>9.4123473158234633E-2</v>
      </c>
      <c r="AU11" s="92">
        <f>('Balance Sheet'!AU35+'Balance Sheet'!AU41)/'Balance Sheet'!AU27</f>
        <v>9.194676600609461E-2</v>
      </c>
    </row>
    <row r="12" spans="1:47" x14ac:dyDescent="0.3">
      <c r="A12" s="19" t="s">
        <v>194</v>
      </c>
      <c r="B12" s="33"/>
      <c r="C12" s="33"/>
      <c r="D12" s="33"/>
      <c r="E12" s="33"/>
      <c r="F12" s="33"/>
      <c r="G12" s="33"/>
      <c r="I12" s="19" t="s">
        <v>194</v>
      </c>
      <c r="J12" s="33"/>
      <c r="K12" s="33"/>
      <c r="L12" s="33"/>
      <c r="M12" s="33"/>
      <c r="N12" s="33"/>
      <c r="O12" s="33"/>
      <c r="Q12" s="19" t="s">
        <v>194</v>
      </c>
      <c r="R12" s="33"/>
      <c r="S12" s="33"/>
      <c r="T12" s="33"/>
      <c r="U12" s="33"/>
      <c r="V12" s="33"/>
      <c r="W12" s="33"/>
      <c r="Y12" s="19" t="s">
        <v>194</v>
      </c>
      <c r="Z12" s="33"/>
      <c r="AA12" s="33"/>
      <c r="AB12" s="33"/>
      <c r="AC12" s="33"/>
      <c r="AD12" s="33"/>
      <c r="AE12" s="33"/>
      <c r="AG12" s="19" t="s">
        <v>194</v>
      </c>
      <c r="AH12" s="33"/>
      <c r="AI12" s="33"/>
      <c r="AJ12" s="33"/>
      <c r="AK12" s="33"/>
      <c r="AL12" s="33"/>
      <c r="AM12" s="33"/>
      <c r="AO12" s="19" t="s">
        <v>194</v>
      </c>
      <c r="AP12" s="33"/>
      <c r="AQ12" s="33"/>
      <c r="AR12" s="33"/>
      <c r="AS12" s="33"/>
      <c r="AT12" s="33"/>
      <c r="AU12" s="33"/>
    </row>
    <row r="13" spans="1:47" s="98" customFormat="1" x14ac:dyDescent="0.3">
      <c r="A13" s="96" t="s">
        <v>195</v>
      </c>
      <c r="B13" s="97">
        <f>('Income Statement'!B9-('Income Statement'!B11+'Income Statement'!B12+Table8[[#This Row],[2020]]+'Income Statement'!B15))/'Income Statement'!B9</f>
        <v>0.9165963913297499</v>
      </c>
      <c r="C13" s="97">
        <f>('Income Statement'!C9-('Income Statement'!C11+'Income Statement'!C12+Table8[[#This Row],[2021]]+'Income Statement'!C15))/'Income Statement'!C9</f>
        <v>0.91414668275590749</v>
      </c>
      <c r="D13" s="97">
        <f>('Income Statement'!D9-('Income Statement'!D11+'Income Statement'!D12+Table8[[#This Row],[2022]]+'Income Statement'!D15))/'Income Statement'!D9</f>
        <v>0.87240823533544021</v>
      </c>
      <c r="E13" s="97">
        <f>('Income Statement'!E9-('Income Statement'!E11+'Income Statement'!E12+Table8[[#This Row],[2023]]+'Income Statement'!E15))/'Income Statement'!E9</f>
        <v>0.88875535841663589</v>
      </c>
      <c r="F13" s="97">
        <f>('Income Statement'!F9-('Income Statement'!F11+'Income Statement'!F12+Table8[[#This Row],[2024]]+'Income Statement'!F15))/'Income Statement'!F9</f>
        <v>0.93414233475085351</v>
      </c>
      <c r="G13" s="97">
        <f>('Income Statement'!G9-('Income Statement'!G11+'Income Statement'!G12+Table8[[#This Row],[2025]]+'Income Statement'!G15))/'Income Statement'!G9</f>
        <v>0.94148351421868948</v>
      </c>
      <c r="I13" s="96" t="s">
        <v>195</v>
      </c>
      <c r="J13" s="97">
        <f>('Income Statement'!J9-('Income Statement'!J11+'Income Statement'!J14))/'Income Statement'!J9</f>
        <v>0.93105635520858743</v>
      </c>
      <c r="K13" s="97">
        <f>('Income Statement'!K9-('Income Statement'!K11+'Income Statement'!K14))/'Income Statement'!K9</f>
        <v>0.91937990837696337</v>
      </c>
      <c r="L13" s="97">
        <f>('Income Statement'!L9-('Income Statement'!L11+'Income Statement'!L14))/'Income Statement'!L9</f>
        <v>0.9290840292275574</v>
      </c>
      <c r="M13" s="97">
        <f>('Income Statement'!M9-('Income Statement'!M11+'Income Statement'!M14))/'Income Statement'!M9</f>
        <v>0.89942779829185104</v>
      </c>
      <c r="N13" s="97">
        <f>('Income Statement'!N9-('Income Statement'!N11+'Income Statement'!N14))/'Income Statement'!N9</f>
        <v>0.91048456975271608</v>
      </c>
      <c r="O13" s="97">
        <f>('Income Statement'!O9-('Income Statement'!O11+'Income Statement'!O14))/'Income Statement'!O9</f>
        <v>0.92477043289796379</v>
      </c>
      <c r="Q13" s="96" t="s">
        <v>195</v>
      </c>
      <c r="R13" s="97">
        <f>('Income Statement'!R11-(Table10[[#This Row],[2020]]+'Income Statement'!R14+'Income Statement'!R15))/'Income Statement'!R11</f>
        <v>0.47571474983755685</v>
      </c>
      <c r="S13" s="97">
        <f>('Income Statement'!S11-(Table10[[#This Row],[2021]]+'Income Statement'!S14+'Income Statement'!S15))/'Income Statement'!S11</f>
        <v>0.59582747945443926</v>
      </c>
      <c r="T13" s="97">
        <f>('Income Statement'!T11-(Table10[[#This Row],[2022]]+'Income Statement'!T14+'Income Statement'!T15))/'Income Statement'!T11</f>
        <v>0.59926167327013835</v>
      </c>
      <c r="U13" s="97">
        <f>('Income Statement'!U11-(Table10[[#This Row],[2023]]+'Income Statement'!U14+'Income Statement'!U15))/'Income Statement'!U11</f>
        <v>0.44108030420983291</v>
      </c>
      <c r="V13" s="97">
        <f>('Income Statement'!V11-(Table10[[#This Row],[2024]]+'Income Statement'!V14+'Income Statement'!V15))/'Income Statement'!V11</f>
        <v>0.47919436395659337</v>
      </c>
      <c r="W13" s="97">
        <f>('Income Statement'!W11-(Table10[[#This Row],[2025]]+'Income Statement'!W14+'Income Statement'!W15))/'Income Statement'!W11</f>
        <v>0.46909472740357955</v>
      </c>
      <c r="Y13" s="96" t="s">
        <v>195</v>
      </c>
      <c r="Z13" s="97">
        <f>('Income Statement'!Z8-('Income Statement'!Z10+'Income Statement'!Z11+'Income Statement'!Z12))/'Income Statement'!Z8</f>
        <v>0.5781834420817572</v>
      </c>
      <c r="AA13" s="97">
        <f>('Income Statement'!AA8-('Income Statement'!AA10+'Income Statement'!AA11+'Income Statement'!AA12))/'Income Statement'!AA8</f>
        <v>0.63776175524897361</v>
      </c>
      <c r="AB13" s="97">
        <f>('Income Statement'!AB8-('Income Statement'!AB10+'Income Statement'!AB11+'Income Statement'!AB12))/'Income Statement'!AB8</f>
        <v>0.65891413258405529</v>
      </c>
      <c r="AC13" s="97">
        <f>('Income Statement'!AC8-('Income Statement'!AC10+'Income Statement'!AC11+'Income Statement'!AC12))/'Income Statement'!AC8</f>
        <v>0.53664953054372022</v>
      </c>
      <c r="AD13" s="97">
        <f>('Income Statement'!AD8-('Income Statement'!AD10+'Income Statement'!AD11+'Income Statement'!AD12))/'Income Statement'!AD8</f>
        <v>0.55876741165443888</v>
      </c>
      <c r="AE13" s="97">
        <f>('Income Statement'!AE8-('Income Statement'!AE10+'Income Statement'!AE11+'Income Statement'!AE12))/'Income Statement'!AE8</f>
        <v>0.56834179498792825</v>
      </c>
      <c r="AG13" s="96" t="s">
        <v>195</v>
      </c>
      <c r="AH13" s="97">
        <f>('Income Statement'!AH8-('Income Statement'!AH10+'Income Statement'!AH11+'Income Statement'!AH12))/'Income Statement'!AH8</f>
        <v>0.61972000936551819</v>
      </c>
      <c r="AI13" s="97">
        <f>('Income Statement'!AI8-('Income Statement'!AI10+'Income Statement'!AI11+'Income Statement'!AI12))/'Income Statement'!AI8</f>
        <v>0.60713807987734925</v>
      </c>
      <c r="AJ13" s="97">
        <f>('Income Statement'!AJ8-('Income Statement'!AJ10+'Income Statement'!AJ11+'Income Statement'!AJ12))/'Income Statement'!AJ8</f>
        <v>0.59159993555398604</v>
      </c>
      <c r="AK13" s="97">
        <f>('Income Statement'!AK8-('Income Statement'!AK10+'Income Statement'!AK11+'Income Statement'!AK12))/'Income Statement'!AK8</f>
        <v>0.45895409100431428</v>
      </c>
      <c r="AL13" s="97">
        <f>('Income Statement'!AL8-('Income Statement'!AL10+'Income Statement'!AL11+'Income Statement'!AL12))/'Income Statement'!AL8</f>
        <v>0.48936688509186266</v>
      </c>
      <c r="AM13" s="97">
        <f>('Income Statement'!AM8-('Income Statement'!AM10+'Income Statement'!AM11+'Income Statement'!AM12))/'Income Statement'!AM8</f>
        <v>0.50657792062220275</v>
      </c>
      <c r="AO13" s="96" t="s">
        <v>195</v>
      </c>
      <c r="AP13" s="97">
        <f>('Income Statement'!AP8-('Income Statement'!AP10+'Income Statement'!AP11+'Income Statement'!AP12+Table13[[#This Row],[2020]]+'Income Statement'!AP15+'Income Statement'!AP16))/'Income Statement'!AP8</f>
        <v>0.9592682898871584</v>
      </c>
      <c r="AQ13" s="97">
        <f>('Income Statement'!AQ8-('Income Statement'!AQ10+'Income Statement'!AQ11+'Income Statement'!AQ12+Table13[[#This Row],[2021]]+'Income Statement'!AQ15+'Income Statement'!AQ16))/'Income Statement'!AQ8</f>
        <v>0.97554647537219352</v>
      </c>
      <c r="AR13" s="97">
        <f>('Income Statement'!AR8-('Income Statement'!AR10+'Income Statement'!AR11+'Income Statement'!AR12+Table13[[#This Row],[2022]]+'Income Statement'!AR15+'Income Statement'!AR16))/'Income Statement'!AR8</f>
        <v>1.0127847707049837</v>
      </c>
      <c r="AS13" s="97">
        <f>('Income Statement'!AS8-('Income Statement'!AS10+'Income Statement'!AS11+'Income Statement'!AS12+Table13[[#This Row],[2023]]+'Income Statement'!AS15+'Income Statement'!AS16))/'Income Statement'!AS8</f>
        <v>0.97372186752445067</v>
      </c>
      <c r="AT13" s="97">
        <f>('Income Statement'!AT8-('Income Statement'!AT10+'Income Statement'!AT11+'Income Statement'!AT12+Table13[[#This Row],[2024]]+'Income Statement'!AT15+'Income Statement'!AT16))/'Income Statement'!AT8</f>
        <v>0.95613604585482392</v>
      </c>
      <c r="AU13" s="97">
        <f>('Income Statement'!AU8-('Income Statement'!AU10+'Income Statement'!AU11+'Income Statement'!AU12+Table13[[#This Row],[2025]]+'Income Statement'!AU15+'Income Statement'!AU16))/'Income Statement'!AU8</f>
        <v>0.94322918219024865</v>
      </c>
    </row>
    <row r="14" spans="1:47" s="98" customFormat="1" x14ac:dyDescent="0.3">
      <c r="A14" s="96" t="s">
        <v>196</v>
      </c>
      <c r="B14" s="97">
        <f>('Income Statement'!B26+'Income Statement'!B19)/'Income Statement'!B9</f>
        <v>0.23970093235523346</v>
      </c>
      <c r="C14" s="97">
        <f>('Income Statement'!C26+'Income Statement'!C19)/'Income Statement'!C9</f>
        <v>0.19886186492861371</v>
      </c>
      <c r="D14" s="97">
        <f>('Income Statement'!D26+'Income Statement'!D19)/'Income Statement'!D9</f>
        <v>0.21273797869183506</v>
      </c>
      <c r="E14" s="97">
        <f>('Income Statement'!E26+'Income Statement'!E19)/'Income Statement'!E9</f>
        <v>0.26721390373112847</v>
      </c>
      <c r="F14" s="97">
        <f>('Income Statement'!F26+'Income Statement'!F19)/'Income Statement'!F9</f>
        <v>0.32216766024035631</v>
      </c>
      <c r="G14" s="97">
        <f>('Income Statement'!G26+'Income Statement'!G19)/'Income Statement'!G9</f>
        <v>0.31004904638855874</v>
      </c>
      <c r="I14" s="96" t="s">
        <v>196</v>
      </c>
      <c r="J14" s="97">
        <f>('Income Statement'!J20+'Income Statement'!J16)/'Income Statement'!J9</f>
        <v>0.41483288606977309</v>
      </c>
      <c r="K14" s="97">
        <f>('Income Statement'!K20+'Income Statement'!K16)/'Income Statement'!K9</f>
        <v>0.44829842931937175</v>
      </c>
      <c r="L14" s="97">
        <f>('Income Statement'!L20+'Income Statement'!L16)/'Income Statement'!L9</f>
        <v>0.46940240083507306</v>
      </c>
      <c r="M14" s="97">
        <f>('Income Statement'!M20+'Income Statement'!M16)/'Income Statement'!M9</f>
        <v>0.44031344251205007</v>
      </c>
      <c r="N14" s="97">
        <f>('Income Statement'!N20+'Income Statement'!N16)/'Income Statement'!N9</f>
        <v>0.37532493501299741</v>
      </c>
      <c r="O14" s="97">
        <f>('Income Statement'!O20+'Income Statement'!O16)/'Income Statement'!O9</f>
        <v>0.41772657274853137</v>
      </c>
      <c r="Q14" s="96" t="s">
        <v>196</v>
      </c>
      <c r="R14" s="97">
        <f>('Income Statement'!R22+'Income Statement'!R18)/'Income Statement'!R11</f>
        <v>0.11063731860515487</v>
      </c>
      <c r="S14" s="97">
        <f>('Income Statement'!S22+'Income Statement'!S18)/'Income Statement'!S11</f>
        <v>0.19959965684872749</v>
      </c>
      <c r="T14" s="97">
        <f>('Income Statement'!T22+'Income Statement'!T18)/'Income Statement'!T11</f>
        <v>0.23351273140322645</v>
      </c>
      <c r="U14" s="97">
        <f>('Income Statement'!U22+'Income Statement'!U18)/'Income Statement'!U11</f>
        <v>7.2477393855919517E-2</v>
      </c>
      <c r="V14" s="97">
        <f>('Income Statement'!V22+'Income Statement'!V18)/'Income Statement'!V11</f>
        <v>0.11969774444633828</v>
      </c>
      <c r="W14" s="97">
        <f>('Income Statement'!W22+'Income Statement'!W18)/'Income Statement'!W11</f>
        <v>8.4291933599971683E-2</v>
      </c>
      <c r="Y14" s="96" t="s">
        <v>196</v>
      </c>
      <c r="Z14" s="97">
        <f>('Income Statement'!Z20+Table11[[#This Row],[2020]])/'Income Statement'!Z8</f>
        <v>7.3804160259704335E-2</v>
      </c>
      <c r="AA14" s="97">
        <f>('Income Statement'!AA20+Table11[[#This Row],[2021]])/'Income Statement'!AA8</f>
        <v>0.14309810726880595</v>
      </c>
      <c r="AB14" s="97">
        <f>('Income Statement'!AB20+Table11[[#This Row],[2022]])/'Income Statement'!AB8</f>
        <v>0.22808778280461645</v>
      </c>
      <c r="AC14" s="97">
        <f>('Income Statement'!AC20+Table11[[#This Row],[2023]])/'Income Statement'!AC8</f>
        <v>9.9924477322471644E-2</v>
      </c>
      <c r="AD14" s="97">
        <f>('Income Statement'!AD20+Table11[[#This Row],[2024]])/'Income Statement'!AD8</f>
        <v>6.1367359537289022E-2</v>
      </c>
      <c r="AE14" s="97">
        <f>('Income Statement'!AE20+Table11[[#This Row],[2025]])/'Income Statement'!AE8</f>
        <v>7.5464515575575652E-2</v>
      </c>
      <c r="AG14" s="96" t="s">
        <v>196</v>
      </c>
      <c r="AH14" s="97">
        <f>('Income Statement'!AH18+Table12[[#This Row],[2020]])/'Income Statement'!AH8</f>
        <v>0.11772072696238364</v>
      </c>
      <c r="AI14" s="97">
        <f>('Income Statement'!AI18+Table12[[#This Row],[2021]])/'Income Statement'!AI8</f>
        <v>0.13571600879637483</v>
      </c>
      <c r="AJ14" s="97">
        <f>('Income Statement'!AJ18+Table12[[#This Row],[2022]])/'Income Statement'!AJ8</f>
        <v>0.17180220441021979</v>
      </c>
      <c r="AK14" s="97">
        <f>('Income Statement'!AK18+Table12[[#This Row],[2023]])/'Income Statement'!AK8</f>
        <v>3.8200411240887869E-2</v>
      </c>
      <c r="AL14" s="97">
        <f>('Income Statement'!AL18+Table12[[#This Row],[2024]])/'Income Statement'!AL8</f>
        <v>6.5178083501862868E-2</v>
      </c>
      <c r="AM14" s="97">
        <f>('Income Statement'!AM18+Table12[[#This Row],[2025]])/'Income Statement'!AM8</f>
        <v>5.6800461404091646E-2</v>
      </c>
      <c r="AO14" s="96" t="s">
        <v>196</v>
      </c>
      <c r="AP14" s="97">
        <f>('Income Statement'!AP23+'Income Statement'!AP19)/'Income Statement'!AP8</f>
        <v>0.5093797232261138</v>
      </c>
      <c r="AQ14" s="97">
        <f>('Income Statement'!AQ23+'Income Statement'!AQ19)/'Income Statement'!AQ8</f>
        <v>0.56688225034760964</v>
      </c>
      <c r="AR14" s="97">
        <f>('Income Statement'!AR23+'Income Statement'!AR19)/'Income Statement'!AR8</f>
        <v>0.4892665115384861</v>
      </c>
      <c r="AS14" s="97">
        <f>('Income Statement'!AS23+'Income Statement'!AS19)/'Income Statement'!AS8</f>
        <v>0.35175127881053003</v>
      </c>
      <c r="AT14" s="97">
        <f>('Income Statement'!AT23+'Income Statement'!AT19)/'Income Statement'!AT8</f>
        <v>0.36656035466143533</v>
      </c>
      <c r="AU14" s="97">
        <f>('Income Statement'!AU23+'Income Statement'!AU19)/'Income Statement'!AU8</f>
        <v>0.3655683944838275</v>
      </c>
    </row>
    <row r="15" spans="1:47" s="98" customFormat="1" x14ac:dyDescent="0.3">
      <c r="A15" s="96" t="s">
        <v>197</v>
      </c>
      <c r="B15" s="97">
        <f>'Income Statement'!B37/'Income Statement'!B9</f>
        <v>0.16288994033667809</v>
      </c>
      <c r="C15" s="97">
        <f>'Income Statement'!C37/'Income Statement'!C9</f>
        <v>0.13539104646754227</v>
      </c>
      <c r="D15" s="97">
        <f>'Income Statement'!D37/'Income Statement'!D9</f>
        <v>0.15298331828449796</v>
      </c>
      <c r="E15" s="97">
        <f>'Income Statement'!E37/'Income Statement'!E9</f>
        <v>0.19422956374324016</v>
      </c>
      <c r="F15" s="97">
        <f>'Income Statement'!F37/'Income Statement'!F9</f>
        <v>0.24467205520799562</v>
      </c>
      <c r="G15" s="97">
        <f>'Income Statement'!G37/'Income Statement'!G9</f>
        <v>0.23097576285840166</v>
      </c>
      <c r="I15" s="96" t="s">
        <v>197</v>
      </c>
      <c r="J15" s="97">
        <f>'Income Statement'!J24/'Income Statement'!J9</f>
        <v>0.33203220297633568</v>
      </c>
      <c r="K15" s="97">
        <f>'Income Statement'!K24/'Income Statement'!K9</f>
        <v>0.32640706806282721</v>
      </c>
      <c r="L15" s="97">
        <f>'Income Statement'!L24/'Income Statement'!L9</f>
        <v>0.31409838204592899</v>
      </c>
      <c r="M15" s="97">
        <f>'Income Statement'!M24/'Income Statement'!M9</f>
        <v>0.29627646080559233</v>
      </c>
      <c r="N15" s="97">
        <f>'Income Statement'!N24/'Income Statement'!N9</f>
        <v>0.25858161700993132</v>
      </c>
      <c r="O15" s="97">
        <f>'Income Statement'!O24/'Income Statement'!O9</f>
        <v>0.29524325557520104</v>
      </c>
      <c r="Q15" s="96" t="s">
        <v>197</v>
      </c>
      <c r="R15" s="97">
        <f>'Income Statement'!R31/'Income Statement'!R11</f>
        <v>5.3051223738358244E-2</v>
      </c>
      <c r="S15" s="97">
        <f>'Income Statement'!S31/'Income Statement'!S11</f>
        <v>9.7885143787842993E-2</v>
      </c>
      <c r="T15" s="97">
        <f>'Income Statement'!T31/'Income Statement'!T11</f>
        <v>0.14156671309380536</v>
      </c>
      <c r="U15" s="97">
        <f>'Income Statement'!U31/'Income Statement'!U11</f>
        <v>2.4785915324270914E-2</v>
      </c>
      <c r="V15" s="97">
        <f>'Income Statement'!V31/'Income Statement'!V11</f>
        <v>5.0980057951252766E-2</v>
      </c>
      <c r="W15" s="97">
        <f>'Income Statement'!W31/'Income Statement'!W11</f>
        <v>2.0593683266673747E-2</v>
      </c>
      <c r="Y15" s="96" t="s">
        <v>197</v>
      </c>
      <c r="Z15" s="97">
        <f>'Income Statement'!Z35/'Income Statement'!Z8</f>
        <v>7.7705866831076983E-3</v>
      </c>
      <c r="AA15" s="97">
        <f>'Income Statement'!AA35/'Income Statement'!AA8</f>
        <v>5.2101288009945741E-2</v>
      </c>
      <c r="AB15" s="97">
        <f>'Income Statement'!AB35/'Income Statement'!AB8</f>
        <v>0.1705835884229428</v>
      </c>
      <c r="AC15" s="97">
        <f>'Income Statement'!AC35/'Income Statement'!AC8</f>
        <v>3.3042859293399514E-2</v>
      </c>
      <c r="AD15" s="97">
        <f>'Income Statement'!AD35/'Income Statement'!AD8</f>
        <v>-2.1255597300939521E-2</v>
      </c>
      <c r="AE15" s="97">
        <f>'Income Statement'!AE35/'Income Statement'!AE8</f>
        <v>1.4420829519621505E-2</v>
      </c>
      <c r="AG15" s="96" t="s">
        <v>197</v>
      </c>
      <c r="AH15" s="97">
        <f>'Income Statement'!AH26/'Income Statement'!AH8</f>
        <v>3.3893426477086798E-2</v>
      </c>
      <c r="AI15" s="97">
        <f>'Income Statement'!AI26/'Income Statement'!AI8</f>
        <v>5.9280781452842324E-2</v>
      </c>
      <c r="AJ15" s="97">
        <f>'Income Statement'!AJ26/'Income Statement'!AJ8</f>
        <v>0.11734723951288248</v>
      </c>
      <c r="AK15" s="97">
        <f>'Income Statement'!AK26/'Income Statement'!AK8</f>
        <v>2.0650565930612767E-2</v>
      </c>
      <c r="AL15" s="97">
        <f>'Income Statement'!AL26/'Income Statement'!AL8</f>
        <v>2.8809823337415941E-2</v>
      </c>
      <c r="AM15" s="97">
        <f>'Income Statement'!AM26/'Income Statement'!AM8</f>
        <v>2.2948293579867173E-2</v>
      </c>
      <c r="AO15" s="96" t="s">
        <v>197</v>
      </c>
      <c r="AP15" s="97">
        <f>'Income Statement'!AP34/'Income Statement'!AP8</f>
        <v>0.29487832396398106</v>
      </c>
      <c r="AQ15" s="97">
        <f>'Income Statement'!AQ34/'Income Statement'!AQ8</f>
        <v>0.39737979322794159</v>
      </c>
      <c r="AR15" s="97">
        <f>'Income Statement'!AR34/'Income Statement'!AR8</f>
        <v>0.3537949377344865</v>
      </c>
      <c r="AS15" s="97">
        <f>'Income Statement'!AS34/'Income Statement'!AS8</f>
        <v>0.30039001686999273</v>
      </c>
      <c r="AT15" s="97">
        <f>'Income Statement'!AT34/'Income Statement'!AT8</f>
        <v>0.24566186609096807</v>
      </c>
      <c r="AU15" s="97">
        <f>'Income Statement'!AU34/'Income Statement'!AU8</f>
        <v>0.25643597904845866</v>
      </c>
    </row>
    <row r="16" spans="1:47" s="98" customFormat="1" x14ac:dyDescent="0.3">
      <c r="A16" s="96" t="s">
        <v>198</v>
      </c>
      <c r="B16" s="97">
        <f>'Income Statement'!B37/'Balance Sheet'!B28</f>
        <v>0.11109306162785423</v>
      </c>
      <c r="C16" s="97">
        <f>'Income Statement'!C37/'Balance Sheet'!C28</f>
        <v>7.8515232659921677E-2</v>
      </c>
      <c r="D16" s="97">
        <f>'Income Statement'!D37/'Balance Sheet'!D28</f>
        <v>9.6419461235852627E-2</v>
      </c>
      <c r="E16" s="97">
        <f>'Income Statement'!E37/'Balance Sheet'!E28</f>
        <v>0.13316313036719579</v>
      </c>
      <c r="F16" s="97">
        <f>'Income Statement'!F37/'Balance Sheet'!F28</f>
        <v>0.1572296657590582</v>
      </c>
      <c r="G16" s="97">
        <f>'Income Statement'!G37/'Balance Sheet'!G28</f>
        <v>0.13567379380585662</v>
      </c>
      <c r="I16" s="96" t="s">
        <v>198</v>
      </c>
      <c r="J16" s="97">
        <f>'Income Statement'!J24/'Balance Sheet'!J25</f>
        <v>0.14486428951569985</v>
      </c>
      <c r="K16" s="97">
        <f>'Income Statement'!K24/'Balance Sheet'!K25</f>
        <v>0.17451396330395608</v>
      </c>
      <c r="L16" s="97">
        <f>'Income Statement'!L24/'Balance Sheet'!L25</f>
        <v>0.21555854040743228</v>
      </c>
      <c r="M16" s="97">
        <f>'Income Statement'!M24/'Balance Sheet'!M25</f>
        <v>0.30383003324179797</v>
      </c>
      <c r="N16" s="97">
        <f>'Income Statement'!N24/'Balance Sheet'!N25</f>
        <v>0.2289128189998525</v>
      </c>
      <c r="O16" s="97">
        <f>'Income Statement'!O24/'Balance Sheet'!O25</f>
        <v>0.30017396346767178</v>
      </c>
      <c r="Q16" s="96" t="s">
        <v>198</v>
      </c>
      <c r="R16" s="97">
        <f>'Income Statement'!R31/'Balance Sheet'!R34</f>
        <v>2.9729934759520557E-2</v>
      </c>
      <c r="S16" s="97">
        <f>'Income Statement'!S31/'Balance Sheet'!S34</f>
        <v>5.3082249506125397E-2</v>
      </c>
      <c r="T16" s="97">
        <f>'Income Statement'!T31/'Balance Sheet'!T34</f>
        <v>0.10656284194722243</v>
      </c>
      <c r="U16" s="97">
        <f>'Income Statement'!U31/'Balance Sheet'!U34</f>
        <v>1.9608864969347824E-2</v>
      </c>
      <c r="V16" s="97">
        <f>'Income Statement'!V31/'Balance Sheet'!V34</f>
        <v>3.9321115873057609E-2</v>
      </c>
      <c r="W16" s="97">
        <f>'Income Statement'!W31/'Balance Sheet'!W34</f>
        <v>1.4501001071686701E-2</v>
      </c>
      <c r="Y16" s="96" t="s">
        <v>198</v>
      </c>
      <c r="Z16" s="97">
        <f>'Income Statement'!Z35/'Balance Sheet'!Z36</f>
        <v>4.6791676348792973E-3</v>
      </c>
      <c r="AA16" s="97">
        <f>'Income Statement'!AA35/'Balance Sheet'!AA36</f>
        <v>3.3361371453934439E-2</v>
      </c>
      <c r="AB16" s="97">
        <f>'Income Statement'!AB35/'Balance Sheet'!AB36</f>
        <v>0.14626016305733922</v>
      </c>
      <c r="AC16" s="97">
        <f>'Income Statement'!AC35/'Balance Sheet'!AC36</f>
        <v>2.8037293295985186E-2</v>
      </c>
      <c r="AD16" s="97">
        <f>'Income Statement'!AD35/'Balance Sheet'!AD36</f>
        <v>-1.7956064493359243E-2</v>
      </c>
      <c r="AE16" s="97">
        <f>'Income Statement'!AE35/'Balance Sheet'!AE36</f>
        <v>1.135948127882137E-2</v>
      </c>
      <c r="AG16" s="96" t="s">
        <v>198</v>
      </c>
      <c r="AH16" s="97">
        <f>'Income Statement'!AH26/'Balance Sheet'!AH32</f>
        <v>1.6708023563661922E-2</v>
      </c>
      <c r="AI16" s="97">
        <f>'Income Statement'!AI26/'Balance Sheet'!AI32</f>
        <v>3.4786361993081993E-2</v>
      </c>
      <c r="AJ16" s="97">
        <f>'Income Statement'!AJ26/'Balance Sheet'!AJ32</f>
        <v>0.10193622266152645</v>
      </c>
      <c r="AK16" s="97">
        <f>'Income Statement'!AK26/'Balance Sheet'!AK32</f>
        <v>1.668080792396813E-2</v>
      </c>
      <c r="AL16" s="97">
        <f>'Income Statement'!AL26/'Balance Sheet'!AL32</f>
        <v>2.1794477635976486E-2</v>
      </c>
      <c r="AM16" s="97">
        <f>'Income Statement'!AM26/'Balance Sheet'!AM32</f>
        <v>1.7392268470100839E-2</v>
      </c>
      <c r="AO16" s="96" t="s">
        <v>198</v>
      </c>
      <c r="AP16" s="97">
        <f>'Income Statement'!AP34/'Balance Sheet'!AP27</f>
        <v>0.11508501672661878</v>
      </c>
      <c r="AQ16" s="97">
        <f>'Income Statement'!AQ34/'Balance Sheet'!AQ27</f>
        <v>0.1691715549966572</v>
      </c>
      <c r="AR16" s="97">
        <f>'Income Statement'!AR34/'Balance Sheet'!AR27</f>
        <v>0.37894553462260078</v>
      </c>
      <c r="AS16" s="97">
        <f>'Income Statement'!AS34/'Balance Sheet'!AS27</f>
        <v>0.19604137822145595</v>
      </c>
      <c r="AT16" s="97">
        <f>'Income Statement'!AT34/'Balance Sheet'!AT27</f>
        <v>0.15622796088615507</v>
      </c>
      <c r="AU16" s="97">
        <f>'Income Statement'!AU34/'Balance Sheet'!AU27</f>
        <v>0.15945665702925951</v>
      </c>
    </row>
    <row r="17" spans="1:47" s="98" customFormat="1" x14ac:dyDescent="0.3">
      <c r="A17" s="96" t="s">
        <v>199</v>
      </c>
      <c r="B17" s="97">
        <f>'Income Statement'!B37/'Balance Sheet'!B34</f>
        <v>0.51305151915455816</v>
      </c>
      <c r="C17" s="97">
        <f>'Income Statement'!C37/'Balance Sheet'!C34</f>
        <v>0.34368793704496198</v>
      </c>
      <c r="D17" s="97">
        <f>'Income Statement'!D37/'Balance Sheet'!D34</f>
        <v>0.39661518188330858</v>
      </c>
      <c r="E17" s="97">
        <f>'Income Statement'!E37/'Balance Sheet'!E34</f>
        <v>0.48478261956230018</v>
      </c>
      <c r="F17" s="97">
        <f>'Income Statement'!F37/'Balance Sheet'!F34</f>
        <v>0.44709596216405678</v>
      </c>
      <c r="G17" s="97">
        <f>'Income Statement'!G37/'Balance Sheet'!G34</f>
        <v>0.35319516053365907</v>
      </c>
      <c r="I17" s="96" t="s">
        <v>199</v>
      </c>
      <c r="J17" s="97">
        <f>'Income Statement'!J24/'Balance Sheet'!J30</f>
        <v>0.16881667080129001</v>
      </c>
      <c r="K17" s="97">
        <f>'Income Statement'!K24/'Balance Sheet'!K30</f>
        <v>0.24695942809395599</v>
      </c>
      <c r="L17" s="97">
        <f>'Income Statement'!L24/'Balance Sheet'!L30</f>
        <v>0.28088445494588837</v>
      </c>
      <c r="M17" s="97">
        <f>'Income Statement'!M24/'Balance Sheet'!M30</f>
        <v>0.81278997834828337</v>
      </c>
      <c r="N17" s="97">
        <f>'Income Statement'!N24/'Balance Sheet'!N30</f>
        <v>0.51062849621586048</v>
      </c>
      <c r="O17" s="97">
        <f>'Income Statement'!O24/'Balance Sheet'!O30</f>
        <v>0.7769022962629446</v>
      </c>
      <c r="Q17" s="96" t="s">
        <v>199</v>
      </c>
      <c r="R17" s="97">
        <f>'Income Statement'!R31/'Balance Sheet'!R40</f>
        <v>0.10878858538751943</v>
      </c>
      <c r="S17" s="97">
        <f>'Income Statement'!S31/'Balance Sheet'!S40</f>
        <v>0.1706143677538195</v>
      </c>
      <c r="T17" s="97">
        <f>'Income Statement'!T31/'Balance Sheet'!T40</f>
        <v>0.3055081345298023</v>
      </c>
      <c r="U17" s="97">
        <f>'Income Statement'!U31/'Balance Sheet'!U40</f>
        <v>6.1740181088620054E-2</v>
      </c>
      <c r="V17" s="97">
        <f>'Income Statement'!V31/'Balance Sheet'!V40</f>
        <v>0.1124774368231047</v>
      </c>
      <c r="W17" s="97">
        <f>'Income Statement'!W31/'Balance Sheet'!W40</f>
        <v>4.2747287732961083E-2</v>
      </c>
      <c r="Y17" s="96" t="s">
        <v>199</v>
      </c>
      <c r="Z17" s="97">
        <f>'Income Statement'!Z35/'Balance Sheet'!Z43</f>
        <v>1.5384787081374161E-2</v>
      </c>
      <c r="AA17" s="97">
        <f>'Income Statement'!AA35/'Balance Sheet'!AA43</f>
        <v>0.10566318898133055</v>
      </c>
      <c r="AB17" s="97">
        <f>'Income Statement'!AB35/'Balance Sheet'!AB43</f>
        <v>0.35653175968326156</v>
      </c>
      <c r="AC17" s="97">
        <f>'Income Statement'!AC35/'Balance Sheet'!AC43</f>
        <v>7.6779975053056587E-2</v>
      </c>
      <c r="AD17" s="97">
        <f>'Income Statement'!AD35/'Balance Sheet'!AD43</f>
        <v>-5.3115487001683705E-2</v>
      </c>
      <c r="AE17" s="97">
        <f>'Income Statement'!AE35/'Balance Sheet'!AE43</f>
        <v>3.4742018797895811E-2</v>
      </c>
      <c r="AG17" s="96" t="s">
        <v>199</v>
      </c>
      <c r="AH17" s="97">
        <f>'Income Statement'!AH26/'Balance Sheet'!AH38</f>
        <v>5.1088839765802301E-2</v>
      </c>
      <c r="AI17" s="97">
        <f>'Income Statement'!AI26/'Balance Sheet'!AI38</f>
        <v>9.1355965910404707E-2</v>
      </c>
      <c r="AJ17" s="97">
        <f>'Income Statement'!AJ26/'Balance Sheet'!AJ38</f>
        <v>0.22584556947034859</v>
      </c>
      <c r="AK17" s="97">
        <f>'Income Statement'!AK26/'Balance Sheet'!AK38</f>
        <v>3.9756383400783371E-2</v>
      </c>
      <c r="AL17" s="97">
        <f>'Income Statement'!AL26/'Balance Sheet'!AL38</f>
        <v>5.3705848367889934E-2</v>
      </c>
      <c r="AM17" s="97">
        <f>'Income Statement'!AM26/'Balance Sheet'!AM38</f>
        <v>4.0264423076923316E-2</v>
      </c>
      <c r="AO17" s="96" t="s">
        <v>199</v>
      </c>
      <c r="AP17" s="97">
        <f>'Income Statement'!AP34/'Balance Sheet'!AP33</f>
        <v>0.13010745229961793</v>
      </c>
      <c r="AQ17" s="97">
        <f>'Income Statement'!AQ34/'Balance Sheet'!AQ33</f>
        <v>0.20896232773277043</v>
      </c>
      <c r="AR17" s="97">
        <f>'Income Statement'!AR34/'Balance Sheet'!AR33</f>
        <v>0.52354575553053795</v>
      </c>
      <c r="AS17" s="97">
        <f>'Income Statement'!AS34/'Balance Sheet'!AS33</f>
        <v>0.24465232254741115</v>
      </c>
      <c r="AT17" s="97">
        <f>'Income Statement'!AT34/'Balance Sheet'!AT33</f>
        <v>0.2170089016009483</v>
      </c>
      <c r="AU17" s="97">
        <f>'Income Statement'!AU34/'Balance Sheet'!AU33</f>
        <v>0.22010907800740426</v>
      </c>
    </row>
    <row r="18" spans="1:47" x14ac:dyDescent="0.3">
      <c r="A18" s="19" t="s">
        <v>200</v>
      </c>
      <c r="B18" s="33"/>
      <c r="C18" s="33"/>
      <c r="D18" s="33"/>
      <c r="E18" s="33"/>
      <c r="F18" s="33"/>
      <c r="G18" s="33"/>
      <c r="I18" s="19" t="s">
        <v>200</v>
      </c>
      <c r="J18" s="33"/>
      <c r="K18" s="33"/>
      <c r="L18" s="33"/>
      <c r="M18" s="33"/>
      <c r="N18" s="33"/>
      <c r="O18" s="33"/>
      <c r="Q18" s="19" t="s">
        <v>200</v>
      </c>
      <c r="R18" s="33"/>
      <c r="S18" s="33"/>
      <c r="T18" s="33"/>
      <c r="U18" s="33"/>
      <c r="V18" s="33"/>
      <c r="W18" s="33"/>
      <c r="Y18" s="19" t="s">
        <v>200</v>
      </c>
      <c r="Z18" s="33"/>
      <c r="AA18" s="33"/>
      <c r="AB18" s="33"/>
      <c r="AC18" s="33"/>
      <c r="AD18" s="33"/>
      <c r="AE18" s="33"/>
      <c r="AG18" s="19" t="s">
        <v>200</v>
      </c>
      <c r="AH18" s="33"/>
      <c r="AI18" s="33"/>
      <c r="AJ18" s="33"/>
      <c r="AK18" s="33"/>
      <c r="AL18" s="33"/>
      <c r="AM18" s="33"/>
      <c r="AO18" s="19" t="s">
        <v>200</v>
      </c>
      <c r="AP18" s="33"/>
      <c r="AQ18" s="33"/>
      <c r="AR18" s="33"/>
      <c r="AS18" s="33"/>
      <c r="AT18" s="33"/>
      <c r="AU18" s="33"/>
    </row>
    <row r="19" spans="1:47" x14ac:dyDescent="0.3">
      <c r="A19" s="87" t="s">
        <v>201</v>
      </c>
      <c r="B19" s="92">
        <f>('Income Statement'!B11+'Income Statement'!B12+'Income Statement'!B13)/'Balance Sheet'!B18</f>
        <v>0.919277483461721</v>
      </c>
      <c r="C19" s="92">
        <f>('Income Statement'!C11+'Income Statement'!C12+'Income Statement'!C13)/AVERAGE('Balance Sheet'!B18:C18)</f>
        <v>0.70880443546444216</v>
      </c>
      <c r="D19" s="92">
        <f>('Income Statement'!D11+'Income Statement'!D12+'Income Statement'!D13)/AVERAGE('Balance Sheet'!C18:D18)</f>
        <v>1.4798039087195713</v>
      </c>
      <c r="E19" s="92">
        <f>('Income Statement'!E11+'Income Statement'!E12+'Income Statement'!E13)/AVERAGE('Balance Sheet'!D18:E18)</f>
        <v>1.7528961889279042</v>
      </c>
      <c r="F19" s="92">
        <f>('Income Statement'!F11+'Income Statement'!F12+'Income Statement'!F13)/AVERAGE('Balance Sheet'!E18:F18)</f>
        <v>1.0973804693564393</v>
      </c>
      <c r="G19" s="92">
        <f>('Income Statement'!G11+'Income Statement'!G12+'Income Statement'!G13)/AVERAGE('Balance Sheet'!F18:G18)</f>
        <v>0.7848385300643721</v>
      </c>
      <c r="I19" s="87" t="s">
        <v>201</v>
      </c>
      <c r="J19" s="92">
        <f>('Income Statement'!J11+'Income Statement'!J14)/'Balance Sheet'!J16</f>
        <v>0.77002724795640332</v>
      </c>
      <c r="K19" s="92">
        <f>('Income Statement'!K11+'Income Statement'!K14)/AVERAGE('Balance Sheet'!J16:K16)</f>
        <v>1.20920245398773</v>
      </c>
      <c r="L19" s="92">
        <f>('Income Statement'!L11+'Income Statement'!L14)/AVERAGE('Balance Sheet'!K16:L16)</f>
        <v>1.2871521610420367</v>
      </c>
      <c r="M19" s="92">
        <f>('Income Statement'!M11+'Income Statement'!M14)/AVERAGE('Balance Sheet'!L16:M16)</f>
        <v>1.8705111402359109</v>
      </c>
      <c r="N19" s="92">
        <f>('Income Statement'!N11+'Income Statement'!N14)/AVERAGE('Balance Sheet'!M16:N16)</f>
        <v>1.4181626187961984</v>
      </c>
      <c r="O19" s="92">
        <f>('Income Statement'!O11+'Income Statement'!O14)/AVERAGE('Balance Sheet'!N16:O16)</f>
        <v>1.3829619921363041</v>
      </c>
      <c r="Q19" s="87" t="s">
        <v>201</v>
      </c>
      <c r="R19" s="92">
        <f>('Income Statement'!R13+'Income Statement'!R14+'Income Statement'!R15)/'Balance Sheet'!R22</f>
        <v>2.8120235242866478</v>
      </c>
      <c r="S19" s="92">
        <f>('Income Statement'!S13+'Income Statement'!S14+'Income Statement'!S15)/AVERAGE('Balance Sheet'!R22:S22)</f>
        <v>2.3201770037827423</v>
      </c>
      <c r="T19" s="92">
        <f>('Income Statement'!T13+'Income Statement'!T14+'Income Statement'!T15)/AVERAGE('Balance Sheet'!S22:T22)</f>
        <v>2.4677325339328835</v>
      </c>
      <c r="U19" s="92">
        <f>('Income Statement'!U13+'Income Statement'!U14+'Income Statement'!U15)/AVERAGE('Balance Sheet'!T22:U22)</f>
        <v>2.7893368399031711</v>
      </c>
      <c r="V19" s="92">
        <f>('Income Statement'!V13+'Income Statement'!V14+'Income Statement'!V15)/AVERAGE('Balance Sheet'!U22:V22)</f>
        <v>2.5839887244538406</v>
      </c>
      <c r="W19" s="92">
        <f>('Income Statement'!W13+'Income Statement'!W14+'Income Statement'!W15)/AVERAGE('Balance Sheet'!V22:W22)</f>
        <v>2.4734578334776214</v>
      </c>
      <c r="Y19" s="87" t="s">
        <v>201</v>
      </c>
      <c r="Z19" s="92">
        <f>('Income Statement'!Z10+'Income Statement'!Z11+'Income Statement'!Z12)/'Balance Sheet'!Z23</f>
        <v>2.0472996634557199</v>
      </c>
      <c r="AA19" s="92">
        <f>('Income Statement'!AA10+'Income Statement'!AA11+'Income Statement'!AA12)/AVERAGE('Balance Sheet'!Z23:AA23)</f>
        <v>1.7698363977987444</v>
      </c>
      <c r="AB19" s="92">
        <f>('Income Statement'!AB10+'Income Statement'!AB11+'Income Statement'!AB12)/AVERAGE('Balance Sheet'!AA23:AB23)</f>
        <v>2.033567772872289</v>
      </c>
      <c r="AC19" s="92">
        <f>('Income Statement'!AC10+'Income Statement'!AC11+'Income Statement'!AC12)/AVERAGE('Balance Sheet'!AB23:AC23)</f>
        <v>2.1936963796492281</v>
      </c>
      <c r="AD19" s="92">
        <f>('Income Statement'!AD10+'Income Statement'!AD11+'Income Statement'!AD12)/AVERAGE('Balance Sheet'!AC23:AD23)</f>
        <v>1.9680012636517454</v>
      </c>
      <c r="AE19" s="92">
        <f>('Income Statement'!AE10+'Income Statement'!AE11+'Income Statement'!AE12)/AVERAGE('Balance Sheet'!AD23:AE23)</f>
        <v>2.0267356605432996</v>
      </c>
      <c r="AG19" s="87" t="s">
        <v>201</v>
      </c>
      <c r="AH19" s="92">
        <f>('Income Statement'!AH10+'Income Statement'!AH11+'Income Statement'!AH12)/'Balance Sheet'!AH22</f>
        <v>0.99823084735992662</v>
      </c>
      <c r="AI19" s="92">
        <f>('Income Statement'!AI10+'Income Statement'!AI11+'Income Statement'!AI12)/AVERAGE('Balance Sheet'!AH22:AI22)</f>
        <v>1.4036212000682147</v>
      </c>
      <c r="AJ19" s="92">
        <f>('Income Statement'!AJ10+'Income Statement'!AJ11+'Income Statement'!AJ12)/AVERAGE('Balance Sheet'!AI22:AJ22)</f>
        <v>2.4416956402774019</v>
      </c>
      <c r="AK19" s="92">
        <f>('Income Statement'!AK10+'Income Statement'!AK11+'Income Statement'!AK12)/AVERAGE('Balance Sheet'!AJ22:AK22)</f>
        <v>2.4095232984557557</v>
      </c>
      <c r="AL19" s="92">
        <f>('Income Statement'!AL10+'Income Statement'!AL11+'Income Statement'!AL12)/AVERAGE('Balance Sheet'!AK22:AL22)</f>
        <v>1.7972481394562574</v>
      </c>
      <c r="AM19" s="92">
        <f>('Income Statement'!AM10+'Income Statement'!AM11+'Income Statement'!AM12)/AVERAGE('Balance Sheet'!AL22:AM22)</f>
        <v>1.6484499675948598</v>
      </c>
      <c r="AO19" s="87" t="s">
        <v>201</v>
      </c>
      <c r="AP19" s="92">
        <f>('Income Statement'!AP10+'Income Statement'!AP11+'Income Statement'!AP12+'Income Statement'!AP13)/'Balance Sheet'!AP18</f>
        <v>0.31208967395060194</v>
      </c>
      <c r="AQ19" s="92">
        <f>('Income Statement'!AQ10+'Income Statement'!AQ11+'Income Statement'!AQ12+'Income Statement'!AQ13)/AVERAGE('Balance Sheet'!AP18:AQ18)</f>
        <v>0.16728360168487083</v>
      </c>
      <c r="AR19" s="92">
        <f>('Income Statement'!AR10+'Income Statement'!AR11+'Income Statement'!AR12+'Income Statement'!AR13)/AVERAGE('Balance Sheet'!AQ18:AR18)</f>
        <v>-0.43053827951413393</v>
      </c>
      <c r="AS19" s="92">
        <f>('Income Statement'!AS10+'Income Statement'!AS11+'Income Statement'!AS12+'Income Statement'!AS13)/AVERAGE('Balance Sheet'!AR18:AS18)</f>
        <v>5.4465406965203252E-2</v>
      </c>
      <c r="AT19" s="92">
        <f>('Income Statement'!AT10+'Income Statement'!AT11+'Income Statement'!AT12+'Income Statement'!AT13)/AVERAGE('Balance Sheet'!AS18:AT18)</f>
        <v>0.21384681429674274</v>
      </c>
      <c r="AU19" s="92">
        <f>('Income Statement'!AU10+'Income Statement'!AU11+'Income Statement'!AU12+'Income Statement'!AU13)/AVERAGE('Balance Sheet'!AT18:AU18)</f>
        <v>0.38102603859255052</v>
      </c>
    </row>
    <row r="20" spans="1:47" x14ac:dyDescent="0.3">
      <c r="A20" s="87" t="s">
        <v>202</v>
      </c>
      <c r="B20" s="92">
        <f>'Income Statement'!B9/Table2[[#This Row],[2020]]</f>
        <v>7.1157505923701896</v>
      </c>
      <c r="C20" s="92">
        <f>'Income Statement'!C9/AVERAGE(Table2[[#This Row],[2020]:[2021]])</f>
        <v>5.5136465387492839</v>
      </c>
      <c r="D20" s="92">
        <f>'Income Statement'!D9/AVERAGE(Table2[[#This Row],[2020]:[2021]])</f>
        <v>6.676012757652213</v>
      </c>
      <c r="E20" s="92">
        <f>'Income Statement'!E9/AVERAGE(Table2[[#This Row],[2020]:[2021]])</f>
        <v>8.5099540599929373</v>
      </c>
      <c r="F20" s="92">
        <f>'Income Statement'!F9/AVERAGE(Table2[[#This Row],[2020]:[2021]])</f>
        <v>8.9759321848625397</v>
      </c>
      <c r="G20" s="92">
        <f>'Income Statement'!G9/AVERAGE(Table2[[#This Row],[2020]:[2021]])</f>
        <v>8.98224871544876</v>
      </c>
      <c r="I20" s="87" t="s">
        <v>202</v>
      </c>
      <c r="J20" s="92">
        <f>'Income Statement'!J9/'Balance Sheet'!J18</f>
        <v>54.07651715039578</v>
      </c>
      <c r="K20" s="92">
        <f>'Income Statement'!K9/AVERAGE('Balance Sheet'!J18:K18)</f>
        <v>62.287898089171975</v>
      </c>
      <c r="L20" s="92">
        <f>'Income Statement'!L9/AVERAGE('Balance Sheet'!K18:L18)</f>
        <v>54.645276292335119</v>
      </c>
      <c r="M20" s="92">
        <f>'Income Statement'!M9/AVERAGE('Balance Sheet'!L18:M18)</f>
        <v>64.739051094890513</v>
      </c>
      <c r="N20" s="92">
        <f>'Income Statement'!N9/AVERAGE('Balance Sheet'!M18:N18)</f>
        <v>112.17196261682243</v>
      </c>
      <c r="O20" s="92">
        <f>'Income Statement'!O9/AVERAGE('Balance Sheet'!N18:O18)</f>
        <v>257.83823529411762</v>
      </c>
      <c r="Q20" s="87" t="s">
        <v>202</v>
      </c>
      <c r="R20" s="92">
        <f>'Income Statement'!R11/'Balance Sheet'!R24</f>
        <v>16.397780244173141</v>
      </c>
      <c r="S20" s="92">
        <f>'Income Statement'!S11/AVERAGE('Balance Sheet'!R24:S24)</f>
        <v>17.891447002558113</v>
      </c>
      <c r="T20" s="92">
        <f>'Income Statement'!T11/AVERAGE('Balance Sheet'!S24:T24)</f>
        <v>24.76798124424349</v>
      </c>
      <c r="U20" s="92">
        <f>'Income Statement'!U11/AVERAGE('Balance Sheet'!T24:U24)</f>
        <v>22.88945240216572</v>
      </c>
      <c r="V20" s="92">
        <f>'Income Statement'!V11/AVERAGE('Balance Sheet'!U24:V24)</f>
        <v>23.976297507151614</v>
      </c>
      <c r="W20" s="92">
        <f>'Income Statement'!W11/AVERAGE('Balance Sheet'!V24:W24)</f>
        <v>21.238864875023491</v>
      </c>
      <c r="Y20" s="87" t="s">
        <v>202</v>
      </c>
      <c r="Z20" s="92">
        <f>'Income Statement'!Z8/'Balance Sheet'!Z25</f>
        <v>19.124249991439342</v>
      </c>
      <c r="AA20" s="92">
        <f>'Income Statement'!AA8/AVERAGE('Balance Sheet'!Z25:AA25)</f>
        <v>18.042127433679106</v>
      </c>
      <c r="AB20" s="92">
        <f>'Income Statement'!AB8/AVERAGE('Balance Sheet'!AA25:AB25)</f>
        <v>22.46773403616131</v>
      </c>
      <c r="AC20" s="92">
        <f>'Income Statement'!AC8/AVERAGE('Balance Sheet'!AB25:AC25)</f>
        <v>23.8386757102509</v>
      </c>
      <c r="AD20" s="92">
        <f>'Income Statement'!AD8/AVERAGE('Balance Sheet'!AC25:AD25)</f>
        <v>31.813688943492664</v>
      </c>
      <c r="AE20" s="92">
        <f>'Income Statement'!AE8/AVERAGE('Balance Sheet'!AD25:AE25)</f>
        <v>38.19695771890531</v>
      </c>
      <c r="AG20" s="87" t="s">
        <v>202</v>
      </c>
      <c r="AH20" s="92">
        <f>'Income Statement'!AH8/'Balance Sheet'!AH24</f>
        <v>7.0742634314444883</v>
      </c>
      <c r="AI20" s="92">
        <f>'Income Statement'!AI8/AVERAGE('Balance Sheet'!AH24:AI24)</f>
        <v>8.7476433625049452</v>
      </c>
      <c r="AJ20" s="92">
        <f>'Income Statement'!AJ8/AVERAGE('Balance Sheet'!AI24:AJ24)</f>
        <v>17.499258252931977</v>
      </c>
      <c r="AK20" s="92">
        <f>'Income Statement'!AK8/AVERAGE('Balance Sheet'!AJ24:AK24)</f>
        <v>20.745979163099044</v>
      </c>
      <c r="AL20" s="92">
        <f>'Income Statement'!AL8/AVERAGE('Balance Sheet'!AK24:AL24)</f>
        <v>15.48820036463267</v>
      </c>
      <c r="AM20" s="92">
        <f>'Income Statement'!AM8/AVERAGE('Balance Sheet'!AL24:AM24)</f>
        <v>12.947332685679136</v>
      </c>
      <c r="AO20" s="87" t="s">
        <v>202</v>
      </c>
      <c r="AP20" s="92">
        <f>'Income Statement'!AP8/'Balance Sheet'!AP19</f>
        <v>5.4924338155604824</v>
      </c>
      <c r="AQ20" s="92">
        <f>'Income Statement'!AQ8/AVERAGE('Balance Sheet'!AP18:AQ18)</f>
        <v>19.111808075466652</v>
      </c>
      <c r="AR20" s="92">
        <f>'Income Statement'!AR8/AVERAGE('Balance Sheet'!AQ18:AR18)</f>
        <v>17.514882192895801</v>
      </c>
      <c r="AS20" s="92">
        <f>'Income Statement'!AS8/AVERAGE('Balance Sheet'!AR18:AS18)</f>
        <v>7.7040990097768614</v>
      </c>
      <c r="AT20" s="92">
        <f>'Income Statement'!AT8/AVERAGE('Balance Sheet'!AS18:AT18)</f>
        <v>8.3568510906434419</v>
      </c>
      <c r="AU20" s="92">
        <f>'Income Statement'!AU8/AVERAGE('Balance Sheet'!AT18:AU18)</f>
        <v>9.4358545480112568</v>
      </c>
    </row>
    <row r="21" spans="1:47" x14ac:dyDescent="0.3">
      <c r="A21" s="87" t="s">
        <v>203</v>
      </c>
      <c r="B21" s="92">
        <f>'Income Statement'!B9/'Balance Sheet'!B28</f>
        <v>0.68201302915474948</v>
      </c>
      <c r="C21" s="92">
        <f>'Income Statement'!C9/'Balance Sheet'!C28</f>
        <v>0.57991451213684497</v>
      </c>
      <c r="D21" s="92">
        <f>'Income Statement'!D9/'Balance Sheet'!D28</f>
        <v>0.6302612750008767</v>
      </c>
      <c r="E21" s="92">
        <f>'Income Statement'!E9/'Balance Sheet'!E28</f>
        <v>0.68559660950085577</v>
      </c>
      <c r="F21" s="92">
        <f>'Income Statement'!F9/'Balance Sheet'!F28</f>
        <v>0.64261390874980517</v>
      </c>
      <c r="G21" s="92">
        <f>'Income Statement'!G9/'Balance Sheet'!G28</f>
        <v>0.58739407168461499</v>
      </c>
      <c r="I21" s="87" t="s">
        <v>203</v>
      </c>
      <c r="J21" s="92">
        <f>'Income Statement'!J9/'Balance Sheet'!J25</f>
        <v>0.43629590207557212</v>
      </c>
      <c r="K21" s="92">
        <f>'Income Statement'!K9/'Balance Sheet'!K25</f>
        <v>0.53465130010715767</v>
      </c>
      <c r="L21" s="92">
        <f>'Income Statement'!L9/'Balance Sheet'!L25</f>
        <v>0.68627714349675395</v>
      </c>
      <c r="M21" s="92">
        <f>'Income Statement'!M9/'Balance Sheet'!M25</f>
        <v>1.0254950137303078</v>
      </c>
      <c r="N21" s="92">
        <f>'Income Statement'!N9/'Balance Sheet'!N25</f>
        <v>0.88526331317303442</v>
      </c>
      <c r="O21" s="92">
        <f>'Income Statement'!O9/'Balance Sheet'!O25</f>
        <v>1.0167004928964918</v>
      </c>
      <c r="Q21" s="87" t="s">
        <v>203</v>
      </c>
      <c r="R21" s="92">
        <f>'Income Statement'!R11/'Balance Sheet'!R34</f>
        <v>0.56040054619936275</v>
      </c>
      <c r="S21" s="92">
        <f>'Income Statement'!S11/AVERAGE('Balance Sheet'!R34:S34)</f>
        <v>0.57422618218942878</v>
      </c>
      <c r="T21" s="92">
        <f>'Income Statement'!T11/AVERAGE('Balance Sheet'!S34:T34)</f>
        <v>0.85789525582798243</v>
      </c>
      <c r="U21" s="92">
        <f>'Income Statement'!U11/AVERAGE('Balance Sheet'!T34:U34)</f>
        <v>0.81945613316223509</v>
      </c>
      <c r="V21" s="92">
        <f>'Income Statement'!V11/AVERAGE('Balance Sheet'!U34:V34)</f>
        <v>0.80136406268496341</v>
      </c>
      <c r="W21" s="92">
        <f>'Income Statement'!W11/AVERAGE('Balance Sheet'!V34:W34)</f>
        <v>0.72298375058642894</v>
      </c>
      <c r="Y21" s="87" t="s">
        <v>203</v>
      </c>
      <c r="Z21" s="92">
        <f>'Income Statement'!Z8/'Balance Sheet'!Z36</f>
        <v>0.60216400970743089</v>
      </c>
      <c r="AA21" s="92">
        <f>'Income Statement'!AA8/'Balance Sheet'!AA36</f>
        <v>0.6403175953647442</v>
      </c>
      <c r="AB21" s="92">
        <f>'Income Statement'!AB8/'Balance Sheet'!AB36</f>
        <v>0.85741051885192854</v>
      </c>
      <c r="AC21" s="92">
        <f>'Income Statement'!AC8/'Balance Sheet'!AC36</f>
        <v>0.84851292822548752</v>
      </c>
      <c r="AD21" s="92">
        <f>'Income Statement'!AD8/'Balance Sheet'!AD36</f>
        <v>0.84476875616031566</v>
      </c>
      <c r="AE21" s="92">
        <f>'Income Statement'!AE8/'Balance Sheet'!AE36</f>
        <v>0.7877134434857056</v>
      </c>
      <c r="AG21" s="87" t="s">
        <v>203</v>
      </c>
      <c r="AH21" s="92">
        <f>'Income Statement'!AH8/'Balance Sheet'!AH32</f>
        <v>0.49295764106226203</v>
      </c>
      <c r="AI21" s="92">
        <f>'Income Statement'!AI8/AVERAGE('Balance Sheet'!AH32:AI32)</f>
        <v>0.56849561108341851</v>
      </c>
      <c r="AJ21" s="92">
        <f>'Income Statement'!AJ8/AVERAGE('Balance Sheet'!AI32:AJ32)</f>
        <v>0.87180459450626036</v>
      </c>
      <c r="AK21" s="92">
        <f>'Income Statement'!AK8/AVERAGE('Balance Sheet'!AJ32:AK32)</f>
        <v>0.84119870445058487</v>
      </c>
      <c r="AL21" s="92">
        <f>'Income Statement'!AL8/AVERAGE('Balance Sheet'!AK32:AL32)</f>
        <v>0.78502466557815431</v>
      </c>
      <c r="AM21" s="92">
        <f>'Income Statement'!AM8/AVERAGE('Balance Sheet'!AL32:AM32)</f>
        <v>0.74602475130605095</v>
      </c>
      <c r="AO21" s="87" t="s">
        <v>203</v>
      </c>
      <c r="AP21" s="92">
        <f>'Income Statement'!AP8/'Balance Sheet'!AP27</f>
        <v>0.39027967596789592</v>
      </c>
      <c r="AQ21" s="92">
        <f>'Income Statement'!AQ8/AVERAGE('Balance Sheet'!AP27:AQ27)</f>
        <v>0.46088207384415691</v>
      </c>
      <c r="AR21" s="92">
        <f>'Income Statement'!AR8/AVERAGE('Balance Sheet'!AQ27:AR27)</f>
        <v>0.86294925482029827</v>
      </c>
      <c r="AS21" s="92">
        <f>'Income Statement'!AS8/AVERAGE('Balance Sheet'!AR27:AS27)</f>
        <v>0.69356970130765494</v>
      </c>
      <c r="AT21" s="92">
        <f>'Income Statement'!AT8/AVERAGE('Balance Sheet'!AS27:AT27)</f>
        <v>0.70971607326321873</v>
      </c>
      <c r="AU21" s="92">
        <f>'Income Statement'!AU8/AVERAGE('Balance Sheet'!AT27:AU27)</f>
        <v>0.66517634300974171</v>
      </c>
    </row>
    <row r="22" spans="1:47" x14ac:dyDescent="0.3">
      <c r="A22" s="87" t="s">
        <v>204</v>
      </c>
      <c r="B22" s="92">
        <f>'Income Statement'!B9/('Balance Sheet'!B6+'Balance Sheet'!B9+'Balance Sheet'!B8+'Balance Sheet'!B11)</f>
        <v>2.6521945180121058</v>
      </c>
      <c r="C22" s="92">
        <f>'Income Statement'!C9/('Balance Sheet'!C6+'Balance Sheet'!C9+'Balance Sheet'!C8+'Balance Sheet'!C11)</f>
        <v>2.0977725932554407</v>
      </c>
      <c r="D22" s="92">
        <f>'Income Statement'!D9/('Balance Sheet'!D6+'Balance Sheet'!D9+'Balance Sheet'!D8+'Balance Sheet'!D11)</f>
        <v>2.3133958931596719</v>
      </c>
      <c r="E22" s="92">
        <f>'Income Statement'!E9/('Balance Sheet'!E6+'Balance Sheet'!E9+'Balance Sheet'!E8+'Balance Sheet'!E11)</f>
        <v>2.6305581135018445</v>
      </c>
      <c r="F22" s="92">
        <f>'Income Statement'!F9/('Balance Sheet'!F6+'Balance Sheet'!F9+'Balance Sheet'!F8+'Balance Sheet'!F11)</f>
        <v>1.9204863826366494</v>
      </c>
      <c r="G22" s="92">
        <f>'Income Statement'!G9/('Balance Sheet'!G6+'Balance Sheet'!G9+'Balance Sheet'!G8+'Balance Sheet'!G11)</f>
        <v>1.7511117812319292</v>
      </c>
      <c r="I22" s="87" t="s">
        <v>204</v>
      </c>
      <c r="J22" s="92">
        <f>'Income Statement'!J9/('Balance Sheet'!J6+'Balance Sheet'!J8)</f>
        <v>1.2444592871455462</v>
      </c>
      <c r="K22" s="92">
        <f>'Income Statement'!K9/('Balance Sheet'!K6+'Balance Sheet'!K8)</f>
        <v>1.4545454545454546</v>
      </c>
      <c r="L22" s="92">
        <f>'Income Statement'!L9/('Balance Sheet'!L6+'Balance Sheet'!L8)</f>
        <v>1.7622441940676017</v>
      </c>
      <c r="M22" s="92">
        <f>'Income Statement'!M9/('Balance Sheet'!M6+'Balance Sheet'!M8)</f>
        <v>2.0132221087277267</v>
      </c>
      <c r="N22" s="92">
        <f>'Income Statement'!N9/('Balance Sheet'!N6+'Balance Sheet'!N8)</f>
        <v>1.6596238938053098</v>
      </c>
      <c r="O22" s="92">
        <f>'Income Statement'!O9/('Balance Sheet'!O6+'Balance Sheet'!O8)</f>
        <v>1.8903504043126684</v>
      </c>
      <c r="Q22" s="87" t="s">
        <v>204</v>
      </c>
      <c r="R22" s="92">
        <f>'Income Statement'!R11/('Balance Sheet'!R6+'Balance Sheet'!R8+'Balance Sheet'!R11)</f>
        <v>1.2693001597965601</v>
      </c>
      <c r="S22" s="92">
        <f>'Income Statement'!S11/('Balance Sheet'!S6+'Balance Sheet'!S8+'Balance Sheet'!S11)</f>
        <v>1.3236402534353657</v>
      </c>
      <c r="T22" s="92">
        <f>'Income Statement'!T11/('Balance Sheet'!T6+'Balance Sheet'!T8+'Balance Sheet'!T11)</f>
        <v>1.5561096732108664</v>
      </c>
      <c r="U22" s="92">
        <f>'Income Statement'!U11/('Balance Sheet'!U6+'Balance Sheet'!U8+'Balance Sheet'!U11)</f>
        <v>1.6761856963613551</v>
      </c>
      <c r="V22" s="92">
        <f>'Income Statement'!V11/('Balance Sheet'!V6+'Balance Sheet'!V8+'Balance Sheet'!V11)</f>
        <v>1.6396664958777774</v>
      </c>
      <c r="W22" s="92">
        <f>'Income Statement'!W11/('Balance Sheet'!W6+'Balance Sheet'!W8+'Balance Sheet'!W11)</f>
        <v>1.4246886188291059</v>
      </c>
      <c r="Y22" s="87" t="s">
        <v>204</v>
      </c>
      <c r="Z22" s="92">
        <f>'Income Statement'!Z8/('Balance Sheet'!Z6+'Balance Sheet'!Z10+'Balance Sheet'!Z11+'Balance Sheet'!Z8+'Balance Sheet'!Z7+'Balance Sheet'!Z13)</f>
        <v>1.000771452795471</v>
      </c>
      <c r="AA22" s="92">
        <f>'Income Statement'!AA8/('Balance Sheet'!AA6+'Balance Sheet'!AA10+'Balance Sheet'!AA11+'Balance Sheet'!AA8+'Balance Sheet'!AA7+'Balance Sheet'!AA13)</f>
        <v>1.0380683488297562</v>
      </c>
      <c r="AB22" s="92">
        <f>'Income Statement'!AB8/('Balance Sheet'!AB6+'Balance Sheet'!AB10+'Balance Sheet'!AB11+'Balance Sheet'!AB8+'Balance Sheet'!AB7+'Balance Sheet'!AB13)</f>
        <v>1.6030294487750398</v>
      </c>
      <c r="AC22" s="92">
        <f>'Income Statement'!AC8/('Balance Sheet'!AC6+'Balance Sheet'!AC10+'Balance Sheet'!AC11+'Balance Sheet'!AC8+'Balance Sheet'!AC7+'Balance Sheet'!AC13)</f>
        <v>1.4063213349081236</v>
      </c>
      <c r="AD22" s="92">
        <f>'Income Statement'!AD8/('Balance Sheet'!AD6+'Balance Sheet'!AD10+'Balance Sheet'!AD11+'Balance Sheet'!AD8+'Balance Sheet'!AD7+'Balance Sheet'!AD13)</f>
        <v>1.2831930770350404</v>
      </c>
      <c r="AE22" s="92">
        <f>'Income Statement'!AE8/('Balance Sheet'!AE6+'Balance Sheet'!AE10+'Balance Sheet'!AE11+'Balance Sheet'!AE8+'Balance Sheet'!AE7+'Balance Sheet'!AE13)</f>
        <v>1.1622560552873047</v>
      </c>
      <c r="AG22" s="87" t="s">
        <v>204</v>
      </c>
      <c r="AH22" s="92">
        <f>'Income Statement'!AH8/('Balance Sheet'!AH6+'Balance Sheet'!AH7+'Balance Sheet'!AH8+'Balance Sheet'!AH10+'Balance Sheet'!AH9+'Balance Sheet'!AH11+'Balance Sheet'!AH13)</f>
        <v>0.7722015846374094</v>
      </c>
      <c r="AI22" s="92">
        <f>'Income Statement'!AI8/('Balance Sheet'!AI6+'Balance Sheet'!AI7+'Balance Sheet'!AI8+'Balance Sheet'!AI10+'Balance Sheet'!AI9+'Balance Sheet'!AI11+'Balance Sheet'!AI13)</f>
        <v>0.87532350400701509</v>
      </c>
      <c r="AJ22" s="92">
        <f>'Income Statement'!AJ8/('Balance Sheet'!AJ6+'Balance Sheet'!AJ7+'Balance Sheet'!AJ8+'Balance Sheet'!AJ10+'Balance Sheet'!AJ9+'Balance Sheet'!AJ11+'Balance Sheet'!AJ13)</f>
        <v>1.2701467270546631</v>
      </c>
      <c r="AK22" s="92">
        <f>'Income Statement'!AK8/('Balance Sheet'!AK6+'Balance Sheet'!AK7+'Balance Sheet'!AK8+'Balance Sheet'!AK10+'Balance Sheet'!AK9+'Balance Sheet'!AK11+'Balance Sheet'!AK13)</f>
        <v>1.2757020210804522</v>
      </c>
      <c r="AL22" s="92">
        <f>'Income Statement'!AL8/('Balance Sheet'!AL6+'Balance Sheet'!AL7+'Balance Sheet'!AL8+'Balance Sheet'!AL10+'Balance Sheet'!AL9+'Balance Sheet'!AL11+'Balance Sheet'!AL13)</f>
        <v>1.2800720816492435</v>
      </c>
      <c r="AM22" s="92">
        <f>'Income Statement'!AM8/('Balance Sheet'!AM6+'Balance Sheet'!AM7+'Balance Sheet'!AM8+'Balance Sheet'!AM10+'Balance Sheet'!AM9+'Balance Sheet'!AM11+'Balance Sheet'!AM13)</f>
        <v>1.2087005924445107</v>
      </c>
      <c r="AO22" s="87" t="s">
        <v>204</v>
      </c>
      <c r="AP22" s="92">
        <f>'Income Statement'!AP8/('Balance Sheet'!AP6+'Balance Sheet'!AP7+'Balance Sheet'!AP8+'Balance Sheet'!AP10+'Balance Sheet'!AP11+'Balance Sheet'!AP12)</f>
        <v>0.60596549737864036</v>
      </c>
      <c r="AQ22" s="92">
        <f>'Income Statement'!AQ8/('Balance Sheet'!AQ6+'Balance Sheet'!AQ7+'Balance Sheet'!AQ8+'Balance Sheet'!AQ10+'Balance Sheet'!AQ11+'Balance Sheet'!AQ12)</f>
        <v>0.71879186223330482</v>
      </c>
      <c r="AR22" s="92">
        <f>'Income Statement'!AR8/('Balance Sheet'!AR6+'Balance Sheet'!AR7+'Balance Sheet'!AR8+'Balance Sheet'!AR10+'Balance Sheet'!AR11+'Balance Sheet'!AR12)</f>
        <v>4.6030626925611449</v>
      </c>
      <c r="AS22" s="92">
        <f>'Income Statement'!AS8/('Balance Sheet'!AS6+'Balance Sheet'!AS7+'Balance Sheet'!AS8+'Balance Sheet'!AS10+'Balance Sheet'!AS11+'Balance Sheet'!AS12)</f>
        <v>3.0534832875078677</v>
      </c>
      <c r="AT22" s="92">
        <f>'Income Statement'!AT8/('Balance Sheet'!AT6+'Balance Sheet'!AT7+'Balance Sheet'!AT8+'Balance Sheet'!AT10+'Balance Sheet'!AT11+'Balance Sheet'!AT12)</f>
        <v>3.0365372127119721</v>
      </c>
      <c r="AU22" s="92">
        <f>'Income Statement'!AU8/('Balance Sheet'!AU6+'Balance Sheet'!AU7+'Balance Sheet'!AU8+'Balance Sheet'!AU10+'Balance Sheet'!AU11+'Balance Sheet'!AU12)</f>
        <v>2.3927789215677073</v>
      </c>
    </row>
    <row r="23" spans="1:47" x14ac:dyDescent="0.3">
      <c r="A23" s="19" t="s">
        <v>205</v>
      </c>
      <c r="B23" s="33"/>
      <c r="C23" s="33"/>
      <c r="D23" s="33"/>
      <c r="E23" s="33"/>
      <c r="F23" s="33"/>
      <c r="G23" s="33"/>
      <c r="I23" s="19" t="s">
        <v>205</v>
      </c>
      <c r="J23" s="33"/>
      <c r="K23" s="33"/>
      <c r="L23" s="33"/>
      <c r="M23" s="33"/>
      <c r="N23" s="33"/>
      <c r="O23" s="33"/>
      <c r="Q23" s="19" t="s">
        <v>205</v>
      </c>
      <c r="R23" s="33"/>
      <c r="S23" s="33"/>
      <c r="T23" s="33"/>
      <c r="U23" s="33"/>
      <c r="V23" s="33"/>
      <c r="W23" s="33"/>
      <c r="Y23" s="19" t="s">
        <v>205</v>
      </c>
      <c r="Z23" s="33"/>
      <c r="AA23" s="33"/>
      <c r="AB23" s="33"/>
      <c r="AC23" s="33"/>
      <c r="AD23" s="33"/>
      <c r="AE23" s="33"/>
      <c r="AG23" s="19" t="s">
        <v>205</v>
      </c>
      <c r="AH23" s="33"/>
      <c r="AI23" s="33"/>
      <c r="AJ23" s="33"/>
      <c r="AK23" s="33"/>
      <c r="AL23" s="33"/>
      <c r="AM23" s="33"/>
      <c r="AO23" s="19" t="s">
        <v>205</v>
      </c>
      <c r="AP23" s="33"/>
      <c r="AQ23" s="33"/>
      <c r="AR23" s="33"/>
      <c r="AS23" s="33"/>
      <c r="AT23" s="33"/>
      <c r="AU23" s="33"/>
    </row>
    <row r="24" spans="1:47" x14ac:dyDescent="0.3">
      <c r="A24" s="87" t="s">
        <v>206</v>
      </c>
      <c r="B24" s="92">
        <f ca="1">'Income Statement'!B37/'Company Profile'!$B$10</f>
        <v>27.098936201802839</v>
      </c>
      <c r="C24" s="92">
        <f ca="1">'Income Statement'!C37/'Company Profile'!$B$10</f>
        <v>20.611274647968465</v>
      </c>
      <c r="D24" s="92">
        <f ca="1">'Income Statement'!D37/'Company Profile'!$B$10</f>
        <v>28.199227971893635</v>
      </c>
      <c r="E24" s="92">
        <f ca="1">'Income Statement'!E37/'Company Profile'!$B$10</f>
        <v>45.637151982506438</v>
      </c>
      <c r="F24" s="92">
        <f ca="1">'Income Statement'!F37/'Company Profile'!$B$10</f>
        <v>60.637308568979705</v>
      </c>
      <c r="G24" s="92">
        <f ca="1">'Income Statement'!G37/'Company Profile'!$B$10</f>
        <v>57.283226310941124</v>
      </c>
      <c r="I24" s="87" t="s">
        <v>206</v>
      </c>
      <c r="J24" s="92">
        <f ca="1">Table9[[#This Row],[2020]]/'Company Profile'!$C$10</f>
        <v>16.105292878478522</v>
      </c>
      <c r="K24" s="92">
        <f ca="1">Table9[[#This Row],[2021]]/'Company Profile'!$C$10</f>
        <v>18.886148004446529</v>
      </c>
      <c r="L24" s="92">
        <f ca="1">Table9[[#This Row],[2022]]/'Company Profile'!$C$10</f>
        <v>22.788811921656091</v>
      </c>
      <c r="M24" s="92">
        <f ca="1">Table9[[#This Row],[2023]]/'Company Profile'!$C$10</f>
        <v>24.876228280042287</v>
      </c>
      <c r="N24" s="92">
        <f ca="1">Table9[[#This Row],[2024]]/'Company Profile'!$C$10</f>
        <v>18.363110572243183</v>
      </c>
      <c r="O24" s="92">
        <f ca="1">Table9[[#This Row],[2025]]/'Company Profile'!$C$10</f>
        <v>24.502292016295101</v>
      </c>
      <c r="Q24" s="87" t="s">
        <v>206</v>
      </c>
      <c r="R24" s="92">
        <f ca="1">'Income Statement'!R31/'Company Profile'!$D$10</f>
        <v>16.044727082017253</v>
      </c>
      <c r="S24" s="92">
        <f ca="1">'Income Statement'!S31/'Company Profile'!$D$10</f>
        <v>32.232747210186744</v>
      </c>
      <c r="T24" s="92">
        <f ca="1">'Income Statement'!T31/'Company Profile'!$D$10</f>
        <v>85.721994295299126</v>
      </c>
      <c r="U24" s="92">
        <f ca="1">'Income Statement'!U31/'Company Profile'!$D$10</f>
        <v>16.945426229259866</v>
      </c>
      <c r="V24" s="92">
        <f ca="1">'Income Statement'!V31/'Company Profile'!$D$10</f>
        <v>36.736242946399798</v>
      </c>
      <c r="W24" s="92">
        <f ca="1">'Income Statement'!W31/'Company Profile'!$D$10</f>
        <v>14.292457831927083</v>
      </c>
      <c r="Y24" s="87" t="s">
        <v>206</v>
      </c>
      <c r="Z24" s="92">
        <f ca="1">'Income Statement'!Z35/'Company Profile'!$E$10</f>
        <v>0.93849240515959953</v>
      </c>
      <c r="AA24" s="92">
        <f ca="1">'Income Statement'!AA35/'Company Profile'!$E$10</f>
        <v>6.5594672198439055</v>
      </c>
      <c r="AB24" s="92">
        <f ca="1">'Income Statement'!AB35/'Company Profile'!$E$10</f>
        <v>33.438378272308981</v>
      </c>
      <c r="AC24" s="92">
        <f ca="1">'Income Statement'!AC35/'Company Profile'!$E$10</f>
        <v>6.4678085291278942</v>
      </c>
      <c r="AD24" s="92">
        <f ca="1">'Income Statement'!AD35/'Company Profile'!$E$10</f>
        <v>-3.9322651566423392</v>
      </c>
      <c r="AE24" s="92">
        <f ca="1">'Income Statement'!AE35/'Company Profile'!$E$10</f>
        <v>2.5419828680584526</v>
      </c>
      <c r="AG24" s="87" t="s">
        <v>206</v>
      </c>
      <c r="AH24" s="92">
        <f ca="1">'Income Statement'!AH26/'Company Profile'!$F$10</f>
        <v>5.1342383837405592</v>
      </c>
      <c r="AI24" s="92">
        <f ca="1">'Income Statement'!AI26/'Company Profile'!$F$10</f>
        <v>10.042621700631265</v>
      </c>
      <c r="AJ24" s="92">
        <f ca="1">'Income Statement'!AJ26/'Company Profile'!$F$10</f>
        <v>29.641437831752629</v>
      </c>
      <c r="AK24" s="92">
        <f ca="1">'Income Statement'!AK26/'Company Profile'!$F$10</f>
        <v>5.2693785898886913</v>
      </c>
      <c r="AL24" s="92">
        <f ca="1">'Income Statement'!AL26/'Company Profile'!$F$10</f>
        <v>7.4244073089982692</v>
      </c>
      <c r="AM24" s="92">
        <f ca="1">'Income Statement'!AM26/'Company Profile'!$F$10</f>
        <v>5.7421272114319946</v>
      </c>
      <c r="AO24" s="87" t="s">
        <v>206</v>
      </c>
      <c r="AP24" s="92">
        <f ca="1">'Income Statement'!AP34/'Company Profile'!$G$10</f>
        <v>4.0964455925322376</v>
      </c>
      <c r="AQ24" s="92">
        <f ca="1">'Income Statement'!AQ34/'Company Profile'!$G$10</f>
        <v>7.1060055048916517</v>
      </c>
      <c r="AR24" s="92">
        <f ca="1">'Income Statement'!AR34/'Company Profile'!$G$10</f>
        <v>10.737734873234967</v>
      </c>
      <c r="AS24" s="92">
        <f ca="1">'Income Statement'!AS34/'Company Profile'!$G$10</f>
        <v>6.2987207308796398</v>
      </c>
      <c r="AT24" s="92">
        <f ca="1">'Income Statement'!AT34/'Company Profile'!$G$10</f>
        <v>6.3368584673680104</v>
      </c>
      <c r="AU24" s="92">
        <f ca="1">'Income Statement'!AU34/'Company Profile'!$G$10</f>
        <v>7.437393203247975</v>
      </c>
    </row>
    <row r="25" spans="1:47" x14ac:dyDescent="0.3">
      <c r="A25" s="87" t="s">
        <v>207</v>
      </c>
      <c r="B25" s="92">
        <f ca="1">B28/'Financial Ratios'!B24</f>
        <v>5.0832253699625216</v>
      </c>
      <c r="C25" s="92">
        <f ca="1">C28/'Financial Ratios'!C24</f>
        <v>6.2829690163176819</v>
      </c>
      <c r="D25" s="92">
        <f ca="1">D28/'Financial Ratios'!D24</f>
        <v>6.899125046753384</v>
      </c>
      <c r="E25" s="92">
        <f ca="1">E28/'Financial Ratios'!E24</f>
        <v>4.9411497037860359</v>
      </c>
      <c r="F25" s="92">
        <f ca="1">F28/'Financial Ratios'!F24</f>
        <v>7.3708746405121071</v>
      </c>
      <c r="G25" s="92">
        <f ca="1">G28/'Financial Ratios'!G24</f>
        <v>6.6563988196169657</v>
      </c>
      <c r="I25" s="87" t="s">
        <v>207</v>
      </c>
      <c r="J25" s="92">
        <f ca="1">J28/J24</f>
        <v>10.030863842027923</v>
      </c>
      <c r="K25" s="92">
        <f t="shared" ref="K25:O25" ca="1" si="0">K28/K24</f>
        <v>16.353255302631581</v>
      </c>
      <c r="L25" s="92">
        <f t="shared" ca="1" si="0"/>
        <v>14.07050095908194</v>
      </c>
      <c r="M25" s="92">
        <f t="shared" ca="1" si="0"/>
        <v>12.851626717724288</v>
      </c>
      <c r="N25" s="92">
        <f t="shared" ca="1" si="0"/>
        <v>23.522703209820854</v>
      </c>
      <c r="O25" s="92">
        <f t="shared" ca="1" si="0"/>
        <v>19.779782221095335</v>
      </c>
      <c r="Q25" s="87" t="s">
        <v>207</v>
      </c>
      <c r="R25" s="92">
        <f ca="1">R28/R24</f>
        <v>8.7692361035978568</v>
      </c>
      <c r="S25" s="92">
        <f t="shared" ref="S25:W25" ca="1" si="1">S28/S24</f>
        <v>19.266120754477328</v>
      </c>
      <c r="T25" s="92">
        <f t="shared" ca="1" si="1"/>
        <v>8.8262062288661767</v>
      </c>
      <c r="U25" s="92">
        <f t="shared" ca="1" si="1"/>
        <v>40.606827511476205</v>
      </c>
      <c r="V25" s="92">
        <f t="shared" ca="1" si="1"/>
        <v>23.585699856792605</v>
      </c>
      <c r="W25" s="92">
        <f t="shared" ca="1" si="1"/>
        <v>82.51205033228301</v>
      </c>
      <c r="Y25" s="87" t="s">
        <v>207</v>
      </c>
      <c r="Z25" s="92">
        <f ca="1">Z28/Z24</f>
        <v>30.357198250480252</v>
      </c>
      <c r="AA25" s="92">
        <f t="shared" ref="AA25:AE25" ca="1" si="2">AA28/AA24</f>
        <v>13.158080848226863</v>
      </c>
      <c r="AB25" s="92">
        <f t="shared" ca="1" si="2"/>
        <v>3.9388871950489239</v>
      </c>
      <c r="AC25" s="92">
        <f t="shared" ca="1" si="2"/>
        <v>16.156940875627708</v>
      </c>
      <c r="AD25" s="92">
        <f t="shared" ca="1" si="2"/>
        <v>-41.579088257519359</v>
      </c>
      <c r="AE25" s="92">
        <f t="shared" ca="1" si="2"/>
        <v>71.393085406044861</v>
      </c>
      <c r="AG25" s="87" t="s">
        <v>207</v>
      </c>
      <c r="AH25" s="92">
        <f ca="1">AH28/AH24</f>
        <v>5.1322120304049186</v>
      </c>
      <c r="AI25" s="92">
        <f t="shared" ref="AI25:AM25" ca="1" si="3">AI28/AI24</f>
        <v>9.3949570951248003</v>
      </c>
      <c r="AJ25" s="92">
        <f t="shared" ca="1" si="3"/>
        <v>3.4461891012106856</v>
      </c>
      <c r="AK25" s="92">
        <f t="shared" ca="1" si="3"/>
        <v>15.694450225818169</v>
      </c>
      <c r="AL25" s="92">
        <f t="shared" ca="1" si="3"/>
        <v>19.691807563252599</v>
      </c>
      <c r="AM25" s="92">
        <f t="shared" ca="1" si="3"/>
        <v>25.137025824268342</v>
      </c>
      <c r="AO25" s="87" t="s">
        <v>207</v>
      </c>
      <c r="AP25" s="92">
        <f ca="1">AP28/AP24</f>
        <v>6.4494936898864932</v>
      </c>
      <c r="AQ25" s="92">
        <f t="shared" ref="AQ25:AU25" ca="1" si="4">AQ28/AQ24</f>
        <v>6.4945066490915515</v>
      </c>
      <c r="AR25" s="92">
        <f t="shared" ca="1" si="4"/>
        <v>5.4154810755241805</v>
      </c>
      <c r="AS25" s="92">
        <f t="shared" ca="1" si="4"/>
        <v>5.8742086815512478</v>
      </c>
      <c r="AT25" s="92">
        <f t="shared" ca="1" si="4"/>
        <v>11.461515256181283</v>
      </c>
      <c r="AU25" s="92">
        <f t="shared" ca="1" si="4"/>
        <v>10.094934871429402</v>
      </c>
    </row>
    <row r="26" spans="1:47" x14ac:dyDescent="0.3">
      <c r="A26" s="87" t="s">
        <v>208</v>
      </c>
      <c r="B26" s="92">
        <f ca="1">(B29+('Balance Sheet'!B36+'Balance Sheet'!B44-'Balance Sheet'!B21))/(Table8[[#This Row],[2020]]+'Income Statement'!B19+'Income Statement'!B20)</f>
        <v>3.1586999174701971</v>
      </c>
      <c r="C26" s="92">
        <f ca="1">(C29+('Balance Sheet'!C36+'Balance Sheet'!C44-'Balance Sheet'!C21))/(Table8[[#This Row],[2021]]+'Income Statement'!C19+'Income Statement'!C20)</f>
        <v>3.5969215772102241</v>
      </c>
      <c r="D26" s="92">
        <f ca="1">(D29+('Balance Sheet'!D36+'Balance Sheet'!D44-'Balance Sheet'!D21))/(Table8[[#This Row],[2022]]+'Income Statement'!D19+'Income Statement'!D20)</f>
        <v>4.0616209423455745</v>
      </c>
      <c r="E26" s="92">
        <f ca="1">(E29+('Balance Sheet'!E36+'Balance Sheet'!E44-'Balance Sheet'!E21))/(Table8[[#This Row],[2023]]+'Income Statement'!E19+'Income Statement'!E20)</f>
        <v>3.1686314696393914</v>
      </c>
      <c r="F26" s="92">
        <f ca="1">(F29+('Balance Sheet'!F36+'Balance Sheet'!F44-'Balance Sheet'!F21))/(Table8[[#This Row],[2024]]+'Income Statement'!F19+'Income Statement'!F20)</f>
        <v>4.9288643761584865</v>
      </c>
      <c r="G26" s="92">
        <f ca="1">(G29+('Balance Sheet'!G36+'Balance Sheet'!G44-'Balance Sheet'!G21))/(Table8[[#This Row],[2025]]+'Income Statement'!G19+'Income Statement'!G20)</f>
        <v>4.1167510763169251</v>
      </c>
      <c r="I26" s="87" t="s">
        <v>208</v>
      </c>
      <c r="J26" s="92">
        <f ca="1">(J29+('Balance Sheet'!J32+'Balance Sheet'!J39-'Balance Sheet'!J19))/('Income Statement'!J20+'Income Statement'!J16+'Income Statement'!J13)</f>
        <v>6.2139902091642707</v>
      </c>
      <c r="K26" s="92">
        <f ca="1">(K29+('Balance Sheet'!K32+'Balance Sheet'!K39-'Balance Sheet'!K19))/('Income Statement'!K20+'Income Statement'!K16+'Income Statement'!K13)</f>
        <v>10.129640302053222</v>
      </c>
      <c r="L26" s="92">
        <f ca="1">(L29+('Balance Sheet'!L32+'Balance Sheet'!L39-'Balance Sheet'!L19))/('Income Statement'!L20+'Income Statement'!L16+'Income Statement'!L13)</f>
        <v>7.8994541939677578</v>
      </c>
      <c r="M26" s="92">
        <f ca="1">(M29+('Balance Sheet'!M32+'Balance Sheet'!M39-'Balance Sheet'!M19))/('Income Statement'!M20+'Income Statement'!M16+'Income Statement'!M13)</f>
        <v>7.7768307349748476</v>
      </c>
      <c r="N26" s="92">
        <f ca="1">(N29+('Balance Sheet'!N32+'Balance Sheet'!N39-'Balance Sheet'!N19))/('Income Statement'!N20+'Income Statement'!N16+'Income Statement'!N13)</f>
        <v>12.961008432111337</v>
      </c>
      <c r="O26" s="92">
        <f ca="1">(O29+('Balance Sheet'!O32+'Balance Sheet'!O39-'Balance Sheet'!O19))/('Income Statement'!O20+'Income Statement'!O16+'Income Statement'!O13)</f>
        <v>11.774665646052055</v>
      </c>
      <c r="Q26" s="87" t="s">
        <v>208</v>
      </c>
      <c r="R26" s="92">
        <f ca="1">(R29+('Balance Sheet'!R42+'Balance Sheet'!R51-'Balance Sheet'!R25))/('Income Statement'!R22+'Income Statement'!R18+'Income Statement'!R19)</f>
        <v>6.7154067388678635</v>
      </c>
      <c r="S26" s="92">
        <f ca="1">(S29+('Balance Sheet'!S42+'Balance Sheet'!S51-'Balance Sheet'!S25))/('Income Statement'!S22+'Income Statement'!S18+'Income Statement'!S19)</f>
        <v>9.234995837553658</v>
      </c>
      <c r="T26" s="92">
        <f ca="1">(T29+('Balance Sheet'!T42+'Balance Sheet'!T51-'Balance Sheet'!T25))/('Income Statement'!T22+'Income Statement'!T18+'Income Statement'!T19)</f>
        <v>6.067642854112191</v>
      </c>
      <c r="U26" s="92">
        <f ca="1">(U29+('Balance Sheet'!U42+'Balance Sheet'!U51-'Balance Sheet'!U25))/('Income Statement'!U22+'Income Statement'!U18+'Income Statement'!U19)</f>
        <v>11.824572665372632</v>
      </c>
      <c r="V26" s="92">
        <f ca="1">(V29+('Balance Sheet'!V42+'Balance Sheet'!V51-'Balance Sheet'!V25))/('Income Statement'!V22+'Income Statement'!V18+'Income Statement'!V19)</f>
        <v>9.8898592617989074</v>
      </c>
      <c r="W26" s="92">
        <f ca="1">(W29+('Balance Sheet'!W42+'Balance Sheet'!W51-'Balance Sheet'!W25))/('Income Statement'!W22+'Income Statement'!W18+'Income Statement'!W19)</f>
        <v>15.778946000084755</v>
      </c>
      <c r="Y26" s="87" t="s">
        <v>208</v>
      </c>
      <c r="Z26" s="92">
        <f ca="1">(Z29+('Balance Sheet'!Z45+'Balance Sheet'!Z56-Table5[[#This Row],[2020]]))/('Income Statement'!Z20+'Income Statement'!Z14+'Income Statement'!Z15)</f>
        <v>7.1240519927085106</v>
      </c>
      <c r="AA26" s="92">
        <f ca="1">(AA29+('Balance Sheet'!AA45+'Balance Sheet'!AA56-Table5[[#This Row],[2021]]))/('Income Statement'!AA20+'Income Statement'!AA14+'Income Statement'!AA15)</f>
        <v>5.8035609492801115</v>
      </c>
      <c r="AB26" s="92">
        <f ca="1">(AB29+('Balance Sheet'!AB45+'Balance Sheet'!AB56-Table5[[#This Row],[2022]]))/('Income Statement'!AB20+'Income Statement'!AB14+'Income Statement'!AB15)</f>
        <v>3.3526871719240949</v>
      </c>
      <c r="AC26" s="92">
        <f ca="1">(AC29+('Balance Sheet'!AC45+'Balance Sheet'!AC56-Table5[[#This Row],[2023]]))/('Income Statement'!AC20+'Income Statement'!AC14+'Income Statement'!AC15)</f>
        <v>5.8171035846919175</v>
      </c>
      <c r="AD26" s="92">
        <f ca="1">(AD29+('Balance Sheet'!AD45+'Balance Sheet'!AD56-Table5[[#This Row],[2024]]))/('Income Statement'!AD20+'Income Statement'!AD14+'Income Statement'!AD15)</f>
        <v>11.582194430091825</v>
      </c>
      <c r="AE26" s="92">
        <f ca="1">(AE29+('Balance Sheet'!AE45+'Balance Sheet'!AE56-Table5[[#This Row],[2025]]))/('Income Statement'!AE20+'Income Statement'!AE14+'Income Statement'!AE15)</f>
        <v>11.318800353239872</v>
      </c>
      <c r="AG26" s="87" t="s">
        <v>208</v>
      </c>
      <c r="AH26" s="92">
        <f ca="1">(AH29+('Balance Sheet'!AH40+'Balance Sheet'!AH51-'Balance Sheet'!AH25))/('Income Statement'!AH18+'Income Statement'!AH14+'Income Statement'!AH15)</f>
        <v>5.5652697677743417</v>
      </c>
      <c r="AI26" s="92">
        <f ca="1">(AI29+('Balance Sheet'!AI40+'Balance Sheet'!AI51-'Balance Sheet'!AI25))/('Income Statement'!AI18+'Income Statement'!AI14+'Income Statement'!AI15)</f>
        <v>5.443581256466274</v>
      </c>
      <c r="AJ26" s="92">
        <f ca="1">(AJ29+('Balance Sheet'!AJ40+'Balance Sheet'!AJ51-'Balance Sheet'!AJ25))/('Income Statement'!AJ18+'Income Statement'!AJ14+'Income Statement'!AJ15)</f>
        <v>2.4976237856457209</v>
      </c>
      <c r="AK26" s="92">
        <f ca="1">(AK29+('Balance Sheet'!AK40+'Balance Sheet'!AK51-'Balance Sheet'!AK25))/('Income Statement'!AK18+'Income Statement'!AK14+'Income Statement'!AK15)</f>
        <v>6.6480008709880885</v>
      </c>
      <c r="AL26" s="92">
        <f ca="1">(AL29+('Balance Sheet'!AL40+'Balance Sheet'!AL51-'Balance Sheet'!AL25))/('Income Statement'!AL18+'Income Statement'!AL14+'Income Statement'!AL15)</f>
        <v>7.4425225948673308</v>
      </c>
      <c r="AM26" s="92">
        <f ca="1">(AM29+('Balance Sheet'!AM40+'Balance Sheet'!AM51-'Balance Sheet'!AM25))/('Income Statement'!AM18+'Income Statement'!AM14+'Income Statement'!AM15)</f>
        <v>7.7369743057170828</v>
      </c>
      <c r="AO26" s="87" t="s">
        <v>208</v>
      </c>
      <c r="AP26" s="92">
        <f ca="1">(AP29+'Balance Sheet'!AP35+'Balance Sheet'!AP41-'Balance Sheet'!AP20)/('Income Statement'!AP23+'Income Statement'!AP19+'Income Statement'!AP20)</f>
        <v>3.6351999168237099</v>
      </c>
      <c r="AQ26" s="92">
        <f ca="1">(AQ29+'Balance Sheet'!AQ35+'Balance Sheet'!AQ41-'Balance Sheet'!AQ20)/('Income Statement'!AQ23+'Income Statement'!AQ19+'Income Statement'!AQ20)</f>
        <v>4.6061923487589249</v>
      </c>
      <c r="AR26" s="92">
        <f ca="1">(AR29+'Balance Sheet'!AR35+'Balance Sheet'!AR41-'Balance Sheet'!AR20)/('Income Statement'!AR23+'Income Statement'!AR19+'Income Statement'!AR20)</f>
        <v>3.9568579347657455</v>
      </c>
      <c r="AS26" s="92">
        <f ca="1">(AS29+'Balance Sheet'!AS35+'Balance Sheet'!AS41-'Balance Sheet'!AS20)/('Income Statement'!AS23+'Income Statement'!AS19+'Income Statement'!AS20)</f>
        <v>4.8165821793790986</v>
      </c>
      <c r="AT26" s="92">
        <f ca="1">(AT29+'Balance Sheet'!AT35+'Balance Sheet'!AT41-'Balance Sheet'!AT20)/('Income Statement'!AT23+'Income Statement'!AT19+'Income Statement'!AT20)</f>
        <v>7.7451942494612567</v>
      </c>
      <c r="AU26" s="92">
        <f ca="1">(AU29+'Balance Sheet'!AU35+'Balance Sheet'!AU41-'Balance Sheet'!AU20)/('Income Statement'!AU23+'Income Statement'!AU19+'Income Statement'!AU20)</f>
        <v>7.1540406052562142</v>
      </c>
    </row>
    <row r="27" spans="1:47" x14ac:dyDescent="0.3">
      <c r="A27" s="87" t="s">
        <v>209</v>
      </c>
      <c r="B27" s="92">
        <f ca="1">B28/('Income Statement'!B9/'Company Profile'!$B$10)</f>
        <v>0.82800627723108344</v>
      </c>
      <c r="C27" s="92">
        <f ca="1">C28/('Income Statement'!C9/'Company Profile'!$B$10)</f>
        <v>0.85065775004239574</v>
      </c>
      <c r="D27" s="92">
        <f ca="1">D28/('Income Statement'!D9/'Company Profile'!$B$10)</f>
        <v>1.0554510429120247</v>
      </c>
      <c r="E27" s="92">
        <f ca="1">E28/('Income Statement'!E9/'Company Profile'!$B$10)</f>
        <v>0.95971735135640213</v>
      </c>
      <c r="F27" s="92">
        <f ca="1">F28/('Income Statement'!F9/'Company Profile'!$B$10)</f>
        <v>1.8034470469745931</v>
      </c>
      <c r="G27" s="92">
        <f ca="1">G28/('Income Statement'!G9/'Company Profile'!$B$10)</f>
        <v>1.5374667952507932</v>
      </c>
      <c r="I27" s="87" t="s">
        <v>209</v>
      </c>
      <c r="J27" s="92">
        <f ca="1">J28/('Income Statement'!J9/'Company Profile'!$C$10)</f>
        <v>3.3305698192242015</v>
      </c>
      <c r="K27" s="92">
        <f ca="1">K28/('Income Statement'!K9/'Company Profile'!$C$10)</f>
        <v>5.3378181166148559</v>
      </c>
      <c r="L27" s="92">
        <f ca="1">L28/('Income Statement'!L9/'Company Profile'!$C$10)</f>
        <v>4.4195215858233299</v>
      </c>
      <c r="M27" s="92">
        <f ca="1">M28/('Income Statement'!M9/'Company Profile'!$C$10)</f>
        <v>3.8076344795219437</v>
      </c>
      <c r="N27" s="92">
        <f ca="1">N28/('Income Statement'!N9/'Company Profile'!$C$10)</f>
        <v>6.0825386324401789</v>
      </c>
      <c r="O27" s="92">
        <f ca="1">O28/('Income Statement'!O9/'Company Profile'!$C$10)</f>
        <v>5.8398472975246678</v>
      </c>
      <c r="Q27" s="87" t="s">
        <v>209</v>
      </c>
      <c r="R27" s="92">
        <f ca="1">R28/('Income Statement'!R11/'Company Profile'!$D$10)</f>
        <v>0.46521870654645875</v>
      </c>
      <c r="S27" s="92">
        <f ca="1">S28/('Income Statement'!S11/'Company Profile'!$D$10)</f>
        <v>1.8858670002859594</v>
      </c>
      <c r="T27" s="92">
        <f ca="1">T28/('Income Statement'!T11/'Company Profile'!$D$10)</f>
        <v>1.2494970049086558</v>
      </c>
      <c r="U27" s="92">
        <f ca="1">U28/('Income Statement'!U11/'Company Profile'!$D$10)</f>
        <v>1.006477388286724</v>
      </c>
      <c r="V27" s="92">
        <f ca="1">V28/('Income Statement'!V11/'Company Profile'!$D$10)</f>
        <v>1.2024003455201411</v>
      </c>
      <c r="W27" s="92">
        <f ca="1">W28/('Income Statement'!W11/'Company Profile'!$D$10)</f>
        <v>1.6992270302268786</v>
      </c>
      <c r="Y27" s="87" t="s">
        <v>209</v>
      </c>
      <c r="Z27" s="92">
        <f ca="1">Z28/('Income Statement'!Z8/'Company Profile'!$E$10)</f>
        <v>0.23589324046164217</v>
      </c>
      <c r="AA27" s="92">
        <f ca="1">AA28/('Income Statement'!AA8/'Company Profile'!$E$10)</f>
        <v>0.68555295993161902</v>
      </c>
      <c r="AB27" s="92">
        <f ca="1">AB28/('Income Statement'!AB8/'Company Profile'!$E$10)</f>
        <v>0.67190951212462524</v>
      </c>
      <c r="AC27" s="92">
        <f ca="1">AC28/('Income Statement'!AC8/'Company Profile'!$E$10)</f>
        <v>0.53387152396514148</v>
      </c>
      <c r="AD27" s="92">
        <f ca="1">AD28/('Income Statement'!AD8/'Company Profile'!$E$10)</f>
        <v>0.88378835614205464</v>
      </c>
      <c r="AE27" s="92">
        <f ca="1">AE28/('Income Statement'!AE8/'Company Profile'!$E$10)</f>
        <v>1.0295475135203511</v>
      </c>
      <c r="AG27" s="87" t="s">
        <v>209</v>
      </c>
      <c r="AH27" s="92">
        <f ca="1">AH28/('Income Statement'!AH8/'Company Profile'!$F$10)</f>
        <v>0.17394825111734946</v>
      </c>
      <c r="AI27" s="92">
        <f ca="1">AI28/('Income Statement'!AI8/'Company Profile'!$F$10)</f>
        <v>0.5569403983149237</v>
      </c>
      <c r="AJ27" s="92">
        <f ca="1">AJ28/('Income Statement'!AJ8/'Company Profile'!$F$10)</f>
        <v>0.40440077786645551</v>
      </c>
      <c r="AK27" s="92">
        <f ca="1">AK28/('Income Statement'!AK8/'Company Profile'!$F$10)</f>
        <v>0.32409927913297853</v>
      </c>
      <c r="AL27" s="92">
        <f ca="1">AL28/('Income Statement'!AL8/'Company Profile'!$F$10)</f>
        <v>0.56731749709169832</v>
      </c>
      <c r="AM27" s="92">
        <f ca="1">AM28/('Income Statement'!AM8/'Company Profile'!$F$10)</f>
        <v>0.57685184834001246</v>
      </c>
      <c r="AO27" s="87" t="s">
        <v>209</v>
      </c>
      <c r="AP27" s="92">
        <f ca="1">AP28/('Income Statement'!AP8/'Company Profile'!$G$10)</f>
        <v>1.901815889690001</v>
      </c>
      <c r="AQ27" s="92">
        <f ca="1">AQ28/('Income Statement'!AQ8/'Company Profile'!$G$10)</f>
        <v>2.5807857093334925</v>
      </c>
      <c r="AR27" s="92">
        <f ca="1">AR28/('Income Statement'!AR8/'Company Profile'!$G$10)</f>
        <v>1.9159697899173675</v>
      </c>
      <c r="AS27" s="92">
        <f ca="1">AS28/('Income Statement'!AS8/'Company Profile'!$G$10)</f>
        <v>1.7645536449490371</v>
      </c>
      <c r="AT27" s="92">
        <f ca="1">AT28/('Income Statement'!AT8/'Company Profile'!$G$10)</f>
        <v>2.8156572260635939</v>
      </c>
      <c r="AU27" s="92">
        <f ca="1">AU28/('Income Statement'!AU8/'Company Profile'!$G$10)</f>
        <v>2.5887045071854247</v>
      </c>
    </row>
    <row r="28" spans="1:47" x14ac:dyDescent="0.3">
      <c r="A28" s="87" t="s">
        <v>210</v>
      </c>
      <c r="B28" s="92">
        <v>137.75</v>
      </c>
      <c r="C28" s="92">
        <v>129.5</v>
      </c>
      <c r="D28" s="92">
        <v>194.55</v>
      </c>
      <c r="E28" s="92">
        <v>225.5</v>
      </c>
      <c r="F28" s="92">
        <v>446.95</v>
      </c>
      <c r="G28" s="92">
        <f ca="1">'Company Profile'!B7</f>
        <v>381.3</v>
      </c>
      <c r="I28" s="87" t="s">
        <v>210</v>
      </c>
      <c r="J28" s="92">
        <v>161.55000000000001</v>
      </c>
      <c r="K28" s="92">
        <v>308.85000000000002</v>
      </c>
      <c r="L28" s="92">
        <v>320.64999999999998</v>
      </c>
      <c r="M28" s="92">
        <v>319.7</v>
      </c>
      <c r="N28" s="92">
        <v>431.95</v>
      </c>
      <c r="O28" s="92">
        <f ca="1">'Company Profile'!C7</f>
        <v>484.65</v>
      </c>
      <c r="Q28" s="87" t="s">
        <v>212</v>
      </c>
      <c r="R28" s="92">
        <v>140.69999999999999</v>
      </c>
      <c r="S28" s="92">
        <v>621</v>
      </c>
      <c r="T28" s="92">
        <v>756.6</v>
      </c>
      <c r="U28" s="92">
        <v>688.1</v>
      </c>
      <c r="V28" s="92">
        <v>866.45</v>
      </c>
      <c r="W28" s="92">
        <f ca="1">'Company Profile'!D7</f>
        <v>1179.3</v>
      </c>
      <c r="Y28" s="87" t="s">
        <v>212</v>
      </c>
      <c r="Z28" s="92">
        <v>28.49</v>
      </c>
      <c r="AA28" s="92">
        <v>86.31</v>
      </c>
      <c r="AB28" s="92">
        <v>131.71</v>
      </c>
      <c r="AC28" s="92">
        <v>104.5</v>
      </c>
      <c r="AD28" s="92">
        <v>163.5</v>
      </c>
      <c r="AE28" s="92">
        <f ca="1">'Company Profile'!E7</f>
        <v>181.48</v>
      </c>
      <c r="AG28" s="87" t="s">
        <v>212</v>
      </c>
      <c r="AH28" s="92">
        <v>26.35</v>
      </c>
      <c r="AI28" s="92">
        <v>94.35</v>
      </c>
      <c r="AJ28" s="92">
        <v>102.15</v>
      </c>
      <c r="AK28" s="92">
        <v>82.7</v>
      </c>
      <c r="AL28" s="92">
        <v>146.19999999999999</v>
      </c>
      <c r="AM28" s="92">
        <f ca="1">'Company Profile'!F7</f>
        <v>144.34</v>
      </c>
      <c r="AO28" s="87" t="s">
        <v>212</v>
      </c>
      <c r="AP28" s="92">
        <v>26.42</v>
      </c>
      <c r="AQ28" s="92">
        <v>46.15</v>
      </c>
      <c r="AR28" s="92">
        <v>58.15</v>
      </c>
      <c r="AS28" s="92">
        <v>37</v>
      </c>
      <c r="AT28" s="92">
        <v>72.63</v>
      </c>
      <c r="AU28" s="92">
        <f ca="1">'Company Profile'!G7</f>
        <v>75.08</v>
      </c>
    </row>
    <row r="29" spans="1:47" x14ac:dyDescent="0.3">
      <c r="A29" s="87" t="s">
        <v>6</v>
      </c>
      <c r="B29" s="92">
        <f ca="1">B28*'Company Profile'!$B$10</f>
        <v>84891.591975000003</v>
      </c>
      <c r="C29" s="92">
        <f ca="1">C28*'Company Profile'!$B$10</f>
        <v>79807.340550000008</v>
      </c>
      <c r="D29" s="92">
        <f ca="1">D28*'Company Profile'!$B$10</f>
        <v>119895.89269500002</v>
      </c>
      <c r="E29" s="92">
        <f ca="1">E28*'Company Profile'!$B$10</f>
        <v>138969.53895000002</v>
      </c>
      <c r="F29" s="92">
        <f ca="1">F28*'Company Profile'!$B$10</f>
        <v>275443.172655</v>
      </c>
      <c r="G29" s="92">
        <f ca="1">G28*'Company Profile'!$B$10</f>
        <v>234984.85677000001</v>
      </c>
      <c r="I29" s="87" t="s">
        <v>211</v>
      </c>
      <c r="J29" s="92">
        <f ca="1">J28*'Company Profile'!$C$10</f>
        <v>68260.028445000004</v>
      </c>
      <c r="K29" s="92">
        <f ca="1">K28*'Company Profile'!$C$10</f>
        <v>130498.97731500001</v>
      </c>
      <c r="L29" s="92">
        <f ca="1">L28*'Company Profile'!$C$10</f>
        <v>135484.85373499998</v>
      </c>
      <c r="M29" s="92">
        <f ca="1">M28*'Company Profile'!$C$10</f>
        <v>135083.44842999999</v>
      </c>
      <c r="N29" s="92">
        <f ca="1">N28*'Company Profile'!$C$10</f>
        <v>182512.654205</v>
      </c>
      <c r="O29" s="92">
        <f ca="1">O28*'Company Profile'!$C$10</f>
        <v>204780.08533499998</v>
      </c>
      <c r="Q29" s="87" t="s">
        <v>211</v>
      </c>
      <c r="R29" s="92">
        <f ca="1">R28*'Company Profile'!$D$10</f>
        <v>34366.636290000002</v>
      </c>
      <c r="S29" s="92">
        <f ca="1">S28*'Company Profile'!$D$10</f>
        <v>151682.16870000001</v>
      </c>
      <c r="T29" s="92">
        <f ca="1">T28*'Company Profile'!$D$10</f>
        <v>184803.10602000001</v>
      </c>
      <c r="U29" s="92">
        <f ca="1">U28*'Company Profile'!$D$10</f>
        <v>168071.65907000002</v>
      </c>
      <c r="V29" s="92">
        <f ca="1">V28*'Company Profile'!$D$10</f>
        <v>211634.48481500003</v>
      </c>
      <c r="W29" s="92">
        <f ca="1">W28*'Company Profile'!$D$10</f>
        <v>288049.56771000003</v>
      </c>
      <c r="Y29" s="87" t="s">
        <v>211</v>
      </c>
      <c r="Z29" s="92">
        <f ca="1">Z28*'Company Profile'!$E$10</f>
        <v>35571.047050000001</v>
      </c>
      <c r="AA29" s="92">
        <f ca="1">AA28*'Company Profile'!$E$10</f>
        <v>107761.91895000001</v>
      </c>
      <c r="AB29" s="92">
        <f ca="1">AB28*'Company Profile'!$E$10</f>
        <v>164445.86195000002</v>
      </c>
      <c r="AC29" s="92">
        <f ca="1">AC28*'Company Profile'!$E$10</f>
        <v>130472.95250000001</v>
      </c>
      <c r="AD29" s="92">
        <f ca="1">AD28*'Company Profile'!$E$10</f>
        <v>204137.10750000001</v>
      </c>
      <c r="AE29" s="92">
        <f ca="1">AE28*'Company Profile'!$E$10</f>
        <v>226585.9466</v>
      </c>
      <c r="AG29" s="87" t="s">
        <v>211</v>
      </c>
      <c r="AH29" s="92">
        <f ca="1">AH28*'Company Profile'!$F$10</f>
        <v>10883.933375000001</v>
      </c>
      <c r="AI29" s="92">
        <f ca="1">AI28*'Company Profile'!$F$10</f>
        <v>38971.503375</v>
      </c>
      <c r="AJ29" s="92">
        <f ca="1">AJ28*'Company Profile'!$F$10</f>
        <v>42193.312875000003</v>
      </c>
      <c r="AK29" s="92">
        <f ca="1">AK28*'Company Profile'!$F$10</f>
        <v>34159.441750000005</v>
      </c>
      <c r="AL29" s="92">
        <f ca="1">AL28*'Company Profile'!$F$10</f>
        <v>60388.275499999996</v>
      </c>
      <c r="AM29" s="92">
        <f ca="1">AM28*'Company Profile'!$F$10</f>
        <v>59619.99785</v>
      </c>
      <c r="AO29" s="87" t="s">
        <v>211</v>
      </c>
      <c r="AP29" s="92">
        <f ca="1">AP28*'Company Profile'!$G$10</f>
        <v>23227.980514000003</v>
      </c>
      <c r="AQ29" s="92">
        <f ca="1">AQ28*'Company Profile'!$G$10</f>
        <v>40574.235454999995</v>
      </c>
      <c r="AR29" s="92">
        <f ca="1">AR28*'Company Profile'!$G$10</f>
        <v>51124.415854999999</v>
      </c>
      <c r="AS29" s="92">
        <f ca="1">AS28*'Company Profile'!$G$10</f>
        <v>32529.722900000001</v>
      </c>
      <c r="AT29" s="92">
        <f ca="1">AT28*'Company Profile'!$G$10</f>
        <v>63854.966870999997</v>
      </c>
      <c r="AU29" s="92">
        <f ca="1">AU28*'Company Profile'!$G$10</f>
        <v>66008.962035999997</v>
      </c>
    </row>
    <row r="30" spans="1:47" x14ac:dyDescent="0.3">
      <c r="A30" s="1" t="s">
        <v>269</v>
      </c>
      <c r="B30" s="116">
        <f ca="1">B28/('Balance Sheet'!B34/'Company Profile'!$B$10)</f>
        <v>2.6079564982642625</v>
      </c>
      <c r="C30" s="116">
        <f ca="1">C28/('Balance Sheet'!C34/'Company Profile'!$B$10)</f>
        <v>2.1593806597356382</v>
      </c>
      <c r="D30" s="116">
        <f ca="1">D28/('Balance Sheet'!D34/'Company Profile'!$B$10)</f>
        <v>2.7362977352537836</v>
      </c>
      <c r="E30" s="116">
        <f ca="1">E28/('Balance Sheet'!E34/'Company Profile'!$B$10)</f>
        <v>2.3953834970508781</v>
      </c>
      <c r="F30" s="116">
        <f ca="1">F28/('Balance Sheet'!F34/'Company Profile'!$B$10)</f>
        <v>3.2954882893904069</v>
      </c>
      <c r="G30" s="116">
        <f ca="1">G28/('Balance Sheet'!G34/'Company Profile'!$B$10)</f>
        <v>2.351007849670673</v>
      </c>
      <c r="I30" s="1" t="s">
        <v>269</v>
      </c>
      <c r="J30" s="116">
        <f ca="1">J28/(Table3[[#This Row],[2020]]/'Company Profile'!$C$10)</f>
        <v>1.6933770390721905</v>
      </c>
      <c r="K30" s="116">
        <f ca="1">K28/(Table3[[#This Row],[2021]]/'Company Profile'!$C$10)</f>
        <v>4.0385905770123482</v>
      </c>
      <c r="L30" s="116">
        <f ca="1">L28/(Table3[[#This Row],[2022]]/'Company Profile'!$C$10)</f>
        <v>3.95218499270733</v>
      </c>
      <c r="M30" s="116">
        <f ca="1">M28/(Table3[[#This Row],[2023]]/'Company Profile'!$C$10)</f>
        <v>10.445673401639343</v>
      </c>
      <c r="N30" s="116">
        <f ca="1">N28/(Table3[[#This Row],[2024]]/'Company Profile'!$C$10)</f>
        <v>12.011362566962816</v>
      </c>
      <c r="O30" s="116">
        <f ca="1">O28/(Table3[[#This Row],[2025]]/'Company Profile'!$C$10)</f>
        <v>15.366958227149933</v>
      </c>
      <c r="Q30" s="1" t="s">
        <v>269</v>
      </c>
      <c r="R30" s="116">
        <f ca="1">R28/('Balance Sheet'!R40/'Company Profile'!$D$10)</f>
        <v>0.95399279063957365</v>
      </c>
      <c r="S30" s="116">
        <f ca="1">S28/('Balance Sheet'!S40/'Company Profile'!$D$10)</f>
        <v>3.287077011593889</v>
      </c>
      <c r="T30" s="116">
        <f ca="1">T28/('Balance Sheet'!T40/'Company Profile'!$D$10)</f>
        <v>2.6964777999562273</v>
      </c>
      <c r="U30" s="116">
        <f ca="1">U28/('Balance Sheet'!U40/'Company Profile'!$D$10)</f>
        <v>2.5070728839928997</v>
      </c>
      <c r="V30" s="116">
        <f ca="1">V28/('Balance Sheet'!V40/'Company Profile'!$D$10)</f>
        <v>2.6528590655710995</v>
      </c>
      <c r="W30" s="116">
        <f ca="1">W28/('Balance Sheet'!W40/'Company Profile'!$D$10)</f>
        <v>3.5271663569906697</v>
      </c>
      <c r="Y30" s="1" t="s">
        <v>269</v>
      </c>
      <c r="Z30" s="116">
        <f ca="1">Z28/('Balance Sheet'!Z43/'Company Profile'!$E$10)</f>
        <v>0.46703903147070291</v>
      </c>
      <c r="AA30" s="116">
        <f ca="1">AA28/('Balance Sheet'!AA43/'Company Profile'!$E$10)</f>
        <v>1.3903247832978212</v>
      </c>
      <c r="AB30" s="116">
        <f ca="1">AB28/('Balance Sheet'!AB43/'Company Profile'!$E$10)</f>
        <v>1.4043383828446594</v>
      </c>
      <c r="AC30" s="116">
        <f ca="1">AC28/('Balance Sheet'!AC43/'Company Profile'!$E$10)</f>
        <v>1.2405295173644055</v>
      </c>
      <c r="AD30" s="116">
        <f ca="1">AD28/('Balance Sheet'!AD43/'Company Profile'!$E$10)</f>
        <v>2.2084935218841291</v>
      </c>
      <c r="AE30" s="116">
        <f ca="1">AE28/('Balance Sheet'!AE43/'Company Profile'!$E$10)</f>
        <v>2.4803399152165926</v>
      </c>
      <c r="AG30" s="1" t="s">
        <v>269</v>
      </c>
      <c r="AH30" s="116">
        <f ca="1">AH28/('Balance Sheet'!AH38/'Company Profile'!$F$10)</f>
        <v>0.26219875806547976</v>
      </c>
      <c r="AI30" s="116">
        <f ca="1">AI28/('Balance Sheet'!AI38/'Company Profile'!$F$10)</f>
        <v>0.85828538011193611</v>
      </c>
      <c r="AJ30" s="116">
        <f ca="1">AJ28/('Balance Sheet'!AJ38/'Company Profile'!$F$10)</f>
        <v>0.7783065400654362</v>
      </c>
      <c r="AK30" s="116">
        <f ca="1">AK28/('Balance Sheet'!AK38/'Company Profile'!$F$10)</f>
        <v>0.62395458044213825</v>
      </c>
      <c r="AL30" s="116">
        <f ca="1">AL28/('Balance Sheet'!AL38/'Company Profile'!$F$10)</f>
        <v>1.0575652310817121</v>
      </c>
      <c r="AM30" s="116">
        <f ca="1">AM28/('Balance Sheet'!AM38/'Company Profile'!$F$10)</f>
        <v>1.0121278426838876</v>
      </c>
      <c r="AO30" s="1" t="s">
        <v>269</v>
      </c>
      <c r="AP30" s="116">
        <f ca="1">AP28/('Balance Sheet'!AP33/'Company Profile'!$G$10)</f>
        <v>0.83912719261359381</v>
      </c>
      <c r="AQ30" s="116">
        <f ca="1">AQ28/('Balance Sheet'!AQ33/'Company Profile'!$G$10)</f>
        <v>1.3571072268701254</v>
      </c>
      <c r="AR30" s="116">
        <f ca="1">AR28/('Balance Sheet'!AR33/'Company Profile'!$G$10)</f>
        <v>2.8352521312466377</v>
      </c>
      <c r="AS30" s="116">
        <f ca="1">AS28/('Balance Sheet'!AS33/'Company Profile'!$G$10)</f>
        <v>1.4371387970696787</v>
      </c>
      <c r="AT30" s="116">
        <f ca="1">AT28/('Balance Sheet'!AT33/'Company Profile'!$G$10)</f>
        <v>2.4872508364264121</v>
      </c>
      <c r="AU30" s="116">
        <f ca="1">AU28/('Balance Sheet'!AU33/'Company Profile'!$G$10)</f>
        <v>2.2219868070951194</v>
      </c>
    </row>
  </sheetData>
  <mergeCells count="6">
    <mergeCell ref="AQ3:AR3"/>
    <mergeCell ref="B3:C3"/>
    <mergeCell ref="J3:K3"/>
    <mergeCell ref="S3:T3"/>
    <mergeCell ref="AA3:AB3"/>
    <mergeCell ref="AI3:AJ3"/>
  </mergeCells>
  <conditionalFormatting sqref="B6:G6">
    <cfRule type="colorScale" priority="108">
      <colorScale>
        <cfvo type="num" val="1.5"/>
        <cfvo type="percentile" val="50"/>
        <cfvo type="num" val="2"/>
        <color rgb="FFF8696B"/>
        <color rgb="FFFFEB84"/>
        <color rgb="FF63BE7B"/>
      </colorScale>
    </cfRule>
  </conditionalFormatting>
  <conditionalFormatting sqref="B7:G7">
    <cfRule type="colorScale" priority="107">
      <colorScale>
        <cfvo type="num" val="1"/>
        <cfvo type="percentile" val="50"/>
        <cfvo type="num" val="1.2"/>
        <color rgb="FFF8696B"/>
        <color rgb="FFFFEB84"/>
        <color rgb="FF63BE7B"/>
      </colorScale>
    </cfRule>
  </conditionalFormatting>
  <conditionalFormatting sqref="B9:G9">
    <cfRule type="colorScale" priority="106">
      <colorScale>
        <cfvo type="min"/>
        <cfvo type="percentile" val="50"/>
        <cfvo type="num" val="1.5"/>
        <color rgb="FFF8696B"/>
        <color rgb="FFFFEB84"/>
        <color rgb="FF63BE7B"/>
      </colorScale>
    </cfRule>
  </conditionalFormatting>
  <conditionalFormatting sqref="B10:G10">
    <cfRule type="colorScale" priority="105">
      <colorScale>
        <cfvo type="num" val="1.5"/>
        <cfvo type="percentile" val="50"/>
        <cfvo type="num" val="3"/>
        <color rgb="FFF8696B"/>
        <color rgb="FFFFEB84"/>
        <color rgb="FF63BE7B"/>
      </colorScale>
    </cfRule>
  </conditionalFormatting>
  <conditionalFormatting sqref="B11:G11">
    <cfRule type="colorScale" priority="104">
      <colorScale>
        <cfvo type="num" val="0.3"/>
        <cfvo type="percentile" val="50"/>
        <cfvo type="num" val="0.6"/>
        <color rgb="FFF8696B"/>
        <color rgb="FFFFEB84"/>
        <color rgb="FF63BE7B"/>
      </colorScale>
    </cfRule>
  </conditionalFormatting>
  <conditionalFormatting sqref="B13:G13">
    <cfRule type="colorScale" priority="103">
      <colorScale>
        <cfvo type="num" val="0.2"/>
        <cfvo type="percentile" val="50"/>
        <cfvo type="num" val="0.4"/>
        <color rgb="FFF8696B"/>
        <color rgb="FFFFEB84"/>
        <color rgb="FF63BE7B"/>
      </colorScale>
    </cfRule>
  </conditionalFormatting>
  <conditionalFormatting sqref="B14:G14">
    <cfRule type="colorScale" priority="102">
      <colorScale>
        <cfvo type="min"/>
        <cfvo type="percentile" val="50"/>
        <cfvo type="num" val="0.2"/>
        <color rgb="FFF8696B"/>
        <color rgb="FFFFEB84"/>
        <color rgb="FF63BE7B"/>
      </colorScale>
    </cfRule>
  </conditionalFormatting>
  <conditionalFormatting sqref="B15:G15">
    <cfRule type="colorScale" priority="101">
      <colorScale>
        <cfvo type="num" val="0.08"/>
        <cfvo type="percentile" val="50"/>
        <cfvo type="num" val="0.15"/>
        <color rgb="FFF8696B"/>
        <color rgb="FFFFEB84"/>
        <color rgb="FF63BE7B"/>
      </colorScale>
    </cfRule>
  </conditionalFormatting>
  <conditionalFormatting sqref="B16:G16">
    <cfRule type="colorScale" priority="100">
      <colorScale>
        <cfvo type="num" val="0.05"/>
        <cfvo type="percentile" val="50"/>
        <cfvo type="num" val="0.1"/>
        <color rgb="FFF8696B"/>
        <color rgb="FFFFEB84"/>
        <color rgb="FF63BE7B"/>
      </colorScale>
    </cfRule>
  </conditionalFormatting>
  <conditionalFormatting sqref="B17:G17">
    <cfRule type="colorScale" priority="99">
      <colorScale>
        <cfvo type="num" val="0.12"/>
        <cfvo type="percentile" val="50"/>
        <cfvo type="num" val="0.2"/>
        <color rgb="FFF8696B"/>
        <color rgb="FFFFEB84"/>
        <color rgb="FF63BE7B"/>
      </colorScale>
    </cfRule>
  </conditionalFormatting>
  <conditionalFormatting sqref="B19:G19">
    <cfRule type="colorScale" priority="98">
      <colorScale>
        <cfvo type="num" val="4"/>
        <cfvo type="percentile" val="50"/>
        <cfvo type="num" val="6"/>
        <color rgb="FFF8696B"/>
        <color rgb="FFFFEB84"/>
        <color rgb="FF63BE7B"/>
      </colorScale>
    </cfRule>
  </conditionalFormatting>
  <conditionalFormatting sqref="B20:G20">
    <cfRule type="colorScale" priority="97">
      <colorScale>
        <cfvo type="num" val="6"/>
        <cfvo type="percentile" val="50"/>
        <cfvo type="num" val="10"/>
        <color rgb="FFF8696B"/>
        <color rgb="FFFFEB84"/>
        <color rgb="FF63BE7B"/>
      </colorScale>
    </cfRule>
  </conditionalFormatting>
  <conditionalFormatting sqref="B21:G21">
    <cfRule type="colorScale" priority="96">
      <colorScale>
        <cfvo type="min"/>
        <cfvo type="percentile" val="50"/>
        <cfvo type="num" val="1"/>
        <color rgb="FFF8696B"/>
        <color rgb="FFFFEB84"/>
        <color rgb="FF63BE7B"/>
      </colorScale>
    </cfRule>
  </conditionalFormatting>
  <conditionalFormatting sqref="B22:G22">
    <cfRule type="colorScale" priority="95">
      <colorScale>
        <cfvo type="num" val="0.3"/>
        <cfvo type="percentile" val="50"/>
        <cfvo type="num" val="0.8"/>
        <color rgb="FFF8696B"/>
        <color rgb="FFFFEB84"/>
        <color rgb="FF63BE7B"/>
      </colorScale>
    </cfRule>
  </conditionalFormatting>
  <conditionalFormatting sqref="B24:G24">
    <cfRule type="colorScale" priority="94">
      <colorScale>
        <cfvo type="min"/>
        <cfvo type="percentile" val="50"/>
        <cfvo type="max"/>
        <color rgb="FFF8696B"/>
        <color rgb="FFFFEB84"/>
        <color rgb="FF63BE7B"/>
      </colorScale>
    </cfRule>
  </conditionalFormatting>
  <conditionalFormatting sqref="B25:G25">
    <cfRule type="colorScale" priority="93">
      <colorScale>
        <cfvo type="num" val="8"/>
        <cfvo type="percentile" val="50"/>
        <cfvo type="num" val="15"/>
        <color rgb="FFF8696B"/>
        <color rgb="FFFFEB84"/>
        <color rgb="FF63BE7B"/>
      </colorScale>
    </cfRule>
  </conditionalFormatting>
  <conditionalFormatting sqref="B26:G26">
    <cfRule type="colorScale" priority="92">
      <colorScale>
        <cfvo type="num" val="6"/>
        <cfvo type="percentile" val="50"/>
        <cfvo type="num" val="10"/>
        <color rgb="FFF8696B"/>
        <color rgb="FFFFEB84"/>
        <color rgb="FF63BE7B"/>
      </colorScale>
    </cfRule>
  </conditionalFormatting>
  <conditionalFormatting sqref="B27:G27">
    <cfRule type="colorScale" priority="91">
      <colorScale>
        <cfvo type="num" val="0.5"/>
        <cfvo type="percentile" val="50"/>
        <cfvo type="num" val="1.5"/>
        <color rgb="FFF8696B"/>
        <color rgb="FFFFEB84"/>
        <color rgb="FF63BE7B"/>
      </colorScale>
    </cfRule>
  </conditionalFormatting>
  <conditionalFormatting sqref="J6:O6">
    <cfRule type="colorScale" priority="90">
      <colorScale>
        <cfvo type="num" val="1.5"/>
        <cfvo type="percentile" val="50"/>
        <cfvo type="num" val="2"/>
        <color rgb="FFF8696B"/>
        <color rgb="FFFFEB84"/>
        <color rgb="FF63BE7B"/>
      </colorScale>
    </cfRule>
  </conditionalFormatting>
  <conditionalFormatting sqref="J7:O7">
    <cfRule type="colorScale" priority="89">
      <colorScale>
        <cfvo type="num" val="1"/>
        <cfvo type="percentile" val="50"/>
        <cfvo type="num" val="1.2"/>
        <color rgb="FFF8696B"/>
        <color rgb="FFFFEB84"/>
        <color rgb="FF63BE7B"/>
      </colorScale>
    </cfRule>
  </conditionalFormatting>
  <conditionalFormatting sqref="J9:O9">
    <cfRule type="colorScale" priority="88">
      <colorScale>
        <cfvo type="min"/>
        <cfvo type="percentile" val="50"/>
        <cfvo type="num" val="1.5"/>
        <color rgb="FFF8696B"/>
        <color rgb="FFFFEB84"/>
        <color rgb="FF63BE7B"/>
      </colorScale>
    </cfRule>
  </conditionalFormatting>
  <conditionalFormatting sqref="J10:O10">
    <cfRule type="colorScale" priority="87">
      <colorScale>
        <cfvo type="num" val="1.5"/>
        <cfvo type="percentile" val="50"/>
        <cfvo type="num" val="3"/>
        <color rgb="FFF8696B"/>
        <color rgb="FFFFEB84"/>
        <color rgb="FF63BE7B"/>
      </colorScale>
    </cfRule>
  </conditionalFormatting>
  <conditionalFormatting sqref="J11:O11">
    <cfRule type="colorScale" priority="86">
      <colorScale>
        <cfvo type="num" val="0.3"/>
        <cfvo type="percentile" val="50"/>
        <cfvo type="num" val="0.6"/>
        <color rgb="FFF8696B"/>
        <color rgb="FFFFEB84"/>
        <color rgb="FF63BE7B"/>
      </colorScale>
    </cfRule>
  </conditionalFormatting>
  <conditionalFormatting sqref="J13:O13">
    <cfRule type="colorScale" priority="85">
      <colorScale>
        <cfvo type="num" val="0.2"/>
        <cfvo type="percentile" val="50"/>
        <cfvo type="num" val="0.4"/>
        <color rgb="FFF8696B"/>
        <color rgb="FFFFEB84"/>
        <color rgb="FF63BE7B"/>
      </colorScale>
    </cfRule>
  </conditionalFormatting>
  <conditionalFormatting sqref="J14:O14">
    <cfRule type="colorScale" priority="84">
      <colorScale>
        <cfvo type="min"/>
        <cfvo type="percentile" val="50"/>
        <cfvo type="num" val="0.2"/>
        <color rgb="FFF8696B"/>
        <color rgb="FFFFEB84"/>
        <color rgb="FF63BE7B"/>
      </colorScale>
    </cfRule>
  </conditionalFormatting>
  <conditionalFormatting sqref="J15:O15">
    <cfRule type="colorScale" priority="83">
      <colorScale>
        <cfvo type="num" val="0.08"/>
        <cfvo type="percentile" val="50"/>
        <cfvo type="num" val="0.15"/>
        <color rgb="FFF8696B"/>
        <color rgb="FFFFEB84"/>
        <color rgb="FF63BE7B"/>
      </colorScale>
    </cfRule>
  </conditionalFormatting>
  <conditionalFormatting sqref="J16:O16">
    <cfRule type="colorScale" priority="82">
      <colorScale>
        <cfvo type="num" val="0.05"/>
        <cfvo type="percentile" val="50"/>
        <cfvo type="num" val="0.1"/>
        <color rgb="FFF8696B"/>
        <color rgb="FFFFEB84"/>
        <color rgb="FF63BE7B"/>
      </colorScale>
    </cfRule>
  </conditionalFormatting>
  <conditionalFormatting sqref="J17:O17">
    <cfRule type="colorScale" priority="81">
      <colorScale>
        <cfvo type="num" val="0.12"/>
        <cfvo type="percentile" val="50"/>
        <cfvo type="num" val="0.2"/>
        <color rgb="FFF8696B"/>
        <color rgb="FFFFEB84"/>
        <color rgb="FF63BE7B"/>
      </colorScale>
    </cfRule>
  </conditionalFormatting>
  <conditionalFormatting sqref="J19:O19">
    <cfRule type="colorScale" priority="80">
      <colorScale>
        <cfvo type="num" val="4"/>
        <cfvo type="percentile" val="50"/>
        <cfvo type="num" val="6"/>
        <color rgb="FFF8696B"/>
        <color rgb="FFFFEB84"/>
        <color rgb="FF63BE7B"/>
      </colorScale>
    </cfRule>
  </conditionalFormatting>
  <conditionalFormatting sqref="J20:O20">
    <cfRule type="colorScale" priority="79">
      <colorScale>
        <cfvo type="num" val="6"/>
        <cfvo type="percentile" val="50"/>
        <cfvo type="num" val="10"/>
        <color rgb="FFF8696B"/>
        <color rgb="FFFFEB84"/>
        <color rgb="FF63BE7B"/>
      </colorScale>
    </cfRule>
  </conditionalFormatting>
  <conditionalFormatting sqref="J21:O21">
    <cfRule type="colorScale" priority="78">
      <colorScale>
        <cfvo type="min"/>
        <cfvo type="percentile" val="50"/>
        <cfvo type="num" val="1"/>
        <color rgb="FFF8696B"/>
        <color rgb="FFFFEB84"/>
        <color rgb="FF63BE7B"/>
      </colorScale>
    </cfRule>
  </conditionalFormatting>
  <conditionalFormatting sqref="J22:O22">
    <cfRule type="colorScale" priority="77">
      <colorScale>
        <cfvo type="num" val="0.3"/>
        <cfvo type="percentile" val="50"/>
        <cfvo type="num" val="0.8"/>
        <color rgb="FFF8696B"/>
        <color rgb="FFFFEB84"/>
        <color rgb="FF63BE7B"/>
      </colorScale>
    </cfRule>
  </conditionalFormatting>
  <conditionalFormatting sqref="J24:O24">
    <cfRule type="colorScale" priority="76">
      <colorScale>
        <cfvo type="min"/>
        <cfvo type="percentile" val="50"/>
        <cfvo type="max"/>
        <color rgb="FFF8696B"/>
        <color rgb="FFFFEB84"/>
        <color rgb="FF63BE7B"/>
      </colorScale>
    </cfRule>
  </conditionalFormatting>
  <conditionalFormatting sqref="J25:O25">
    <cfRule type="colorScale" priority="75">
      <colorScale>
        <cfvo type="num" val="8"/>
        <cfvo type="percentile" val="50"/>
        <cfvo type="num" val="15"/>
        <color rgb="FFF8696B"/>
        <color rgb="FFFFEB84"/>
        <color rgb="FF63BE7B"/>
      </colorScale>
    </cfRule>
  </conditionalFormatting>
  <conditionalFormatting sqref="J26:O26">
    <cfRule type="colorScale" priority="74">
      <colorScale>
        <cfvo type="num" val="6"/>
        <cfvo type="percentile" val="50"/>
        <cfvo type="num" val="10"/>
        <color rgb="FFF8696B"/>
        <color rgb="FFFFEB84"/>
        <color rgb="FF63BE7B"/>
      </colorScale>
    </cfRule>
  </conditionalFormatting>
  <conditionalFormatting sqref="J27:O27">
    <cfRule type="colorScale" priority="73">
      <colorScale>
        <cfvo type="num" val="0.5"/>
        <cfvo type="percentile" val="50"/>
        <cfvo type="num" val="1.5"/>
        <color rgb="FFF8696B"/>
        <color rgb="FFFFEB84"/>
        <color rgb="FF63BE7B"/>
      </colorScale>
    </cfRule>
  </conditionalFormatting>
  <conditionalFormatting sqref="R6:W6">
    <cfRule type="colorScale" priority="72">
      <colorScale>
        <cfvo type="num" val="1.5"/>
        <cfvo type="percentile" val="50"/>
        <cfvo type="num" val="2"/>
        <color rgb="FFF8696B"/>
        <color rgb="FFFFEB84"/>
        <color rgb="FF63BE7B"/>
      </colorScale>
    </cfRule>
  </conditionalFormatting>
  <conditionalFormatting sqref="R7:W7">
    <cfRule type="colorScale" priority="71">
      <colorScale>
        <cfvo type="num" val="1"/>
        <cfvo type="percentile" val="50"/>
        <cfvo type="num" val="1.2"/>
        <color rgb="FFF8696B"/>
        <color rgb="FFFFEB84"/>
        <color rgb="FF63BE7B"/>
      </colorScale>
    </cfRule>
  </conditionalFormatting>
  <conditionalFormatting sqref="R9:W9">
    <cfRule type="colorScale" priority="70">
      <colorScale>
        <cfvo type="min"/>
        <cfvo type="percentile" val="50"/>
        <cfvo type="num" val="1.5"/>
        <color rgb="FFF8696B"/>
        <color rgb="FFFFEB84"/>
        <color rgb="FF63BE7B"/>
      </colorScale>
    </cfRule>
  </conditionalFormatting>
  <conditionalFormatting sqref="R10:W10">
    <cfRule type="colorScale" priority="69">
      <colorScale>
        <cfvo type="num" val="1.5"/>
        <cfvo type="percentile" val="50"/>
        <cfvo type="num" val="3"/>
        <color rgb="FFF8696B"/>
        <color rgb="FFFFEB84"/>
        <color rgb="FF63BE7B"/>
      </colorScale>
    </cfRule>
  </conditionalFormatting>
  <conditionalFormatting sqref="R11:W11">
    <cfRule type="colorScale" priority="68">
      <colorScale>
        <cfvo type="num" val="0.3"/>
        <cfvo type="percentile" val="50"/>
        <cfvo type="num" val="0.6"/>
        <color rgb="FFF8696B"/>
        <color rgb="FFFFEB84"/>
        <color rgb="FF63BE7B"/>
      </colorScale>
    </cfRule>
  </conditionalFormatting>
  <conditionalFormatting sqref="R13:W13">
    <cfRule type="colorScale" priority="67">
      <colorScale>
        <cfvo type="num" val="0.2"/>
        <cfvo type="percentile" val="50"/>
        <cfvo type="num" val="0.4"/>
        <color rgb="FFF8696B"/>
        <color rgb="FFFFEB84"/>
        <color rgb="FF63BE7B"/>
      </colorScale>
    </cfRule>
  </conditionalFormatting>
  <conditionalFormatting sqref="R14:W14">
    <cfRule type="colorScale" priority="66">
      <colorScale>
        <cfvo type="min"/>
        <cfvo type="percentile" val="50"/>
        <cfvo type="num" val="0.2"/>
        <color rgb="FFF8696B"/>
        <color rgb="FFFFEB84"/>
        <color rgb="FF63BE7B"/>
      </colorScale>
    </cfRule>
  </conditionalFormatting>
  <conditionalFormatting sqref="R15:W15">
    <cfRule type="colorScale" priority="65">
      <colorScale>
        <cfvo type="num" val="0.08"/>
        <cfvo type="percentile" val="50"/>
        <cfvo type="num" val="0.15"/>
        <color rgb="FFF8696B"/>
        <color rgb="FFFFEB84"/>
        <color rgb="FF63BE7B"/>
      </colorScale>
    </cfRule>
  </conditionalFormatting>
  <conditionalFormatting sqref="R16:W16">
    <cfRule type="colorScale" priority="64">
      <colorScale>
        <cfvo type="num" val="0.05"/>
        <cfvo type="percentile" val="50"/>
        <cfvo type="num" val="0.1"/>
        <color rgb="FFF8696B"/>
        <color rgb="FFFFEB84"/>
        <color rgb="FF63BE7B"/>
      </colorScale>
    </cfRule>
  </conditionalFormatting>
  <conditionalFormatting sqref="R17:W17">
    <cfRule type="colorScale" priority="63">
      <colorScale>
        <cfvo type="num" val="0.12"/>
        <cfvo type="percentile" val="50"/>
        <cfvo type="num" val="0.2"/>
        <color rgb="FFF8696B"/>
        <color rgb="FFFFEB84"/>
        <color rgb="FF63BE7B"/>
      </colorScale>
    </cfRule>
  </conditionalFormatting>
  <conditionalFormatting sqref="R19:W19">
    <cfRule type="colorScale" priority="62">
      <colorScale>
        <cfvo type="num" val="4"/>
        <cfvo type="percentile" val="50"/>
        <cfvo type="num" val="6"/>
        <color rgb="FFF8696B"/>
        <color rgb="FFFFEB84"/>
        <color rgb="FF63BE7B"/>
      </colorScale>
    </cfRule>
  </conditionalFormatting>
  <conditionalFormatting sqref="R20:W20">
    <cfRule type="colorScale" priority="61">
      <colorScale>
        <cfvo type="num" val="6"/>
        <cfvo type="percentile" val="50"/>
        <cfvo type="num" val="10"/>
        <color rgb="FFF8696B"/>
        <color rgb="FFFFEB84"/>
        <color rgb="FF63BE7B"/>
      </colorScale>
    </cfRule>
  </conditionalFormatting>
  <conditionalFormatting sqref="R21:W21">
    <cfRule type="colorScale" priority="60">
      <colorScale>
        <cfvo type="min"/>
        <cfvo type="percentile" val="50"/>
        <cfvo type="num" val="1"/>
        <color rgb="FFF8696B"/>
        <color rgb="FFFFEB84"/>
        <color rgb="FF63BE7B"/>
      </colorScale>
    </cfRule>
  </conditionalFormatting>
  <conditionalFormatting sqref="R22:W22">
    <cfRule type="colorScale" priority="59">
      <colorScale>
        <cfvo type="num" val="0.3"/>
        <cfvo type="percentile" val="50"/>
        <cfvo type="num" val="0.8"/>
        <color rgb="FFF8696B"/>
        <color rgb="FFFFEB84"/>
        <color rgb="FF63BE7B"/>
      </colorScale>
    </cfRule>
  </conditionalFormatting>
  <conditionalFormatting sqref="R24:W24">
    <cfRule type="colorScale" priority="58">
      <colorScale>
        <cfvo type="min"/>
        <cfvo type="percentile" val="50"/>
        <cfvo type="max"/>
        <color rgb="FFF8696B"/>
        <color rgb="FFFFEB84"/>
        <color rgb="FF63BE7B"/>
      </colorScale>
    </cfRule>
  </conditionalFormatting>
  <conditionalFormatting sqref="R25:W25">
    <cfRule type="colorScale" priority="57">
      <colorScale>
        <cfvo type="num" val="8"/>
        <cfvo type="percentile" val="50"/>
        <cfvo type="num" val="15"/>
        <color rgb="FFF8696B"/>
        <color rgb="FFFFEB84"/>
        <color rgb="FF63BE7B"/>
      </colorScale>
    </cfRule>
  </conditionalFormatting>
  <conditionalFormatting sqref="R26:W26">
    <cfRule type="colorScale" priority="56">
      <colorScale>
        <cfvo type="num" val="6"/>
        <cfvo type="percentile" val="50"/>
        <cfvo type="num" val="10"/>
        <color rgb="FFF8696B"/>
        <color rgb="FFFFEB84"/>
        <color rgb="FF63BE7B"/>
      </colorScale>
    </cfRule>
  </conditionalFormatting>
  <conditionalFormatting sqref="R27:W27">
    <cfRule type="colorScale" priority="55">
      <colorScale>
        <cfvo type="num" val="0.5"/>
        <cfvo type="percentile" val="50"/>
        <cfvo type="num" val="1.5"/>
        <color rgb="FFF8696B"/>
        <color rgb="FFFFEB84"/>
        <color rgb="FF63BE7B"/>
      </colorScale>
    </cfRule>
  </conditionalFormatting>
  <conditionalFormatting sqref="Z6:AE6">
    <cfRule type="colorScale" priority="54">
      <colorScale>
        <cfvo type="num" val="1.5"/>
        <cfvo type="percentile" val="50"/>
        <cfvo type="num" val="2"/>
        <color rgb="FFF8696B"/>
        <color rgb="FFFFEB84"/>
        <color rgb="FF63BE7B"/>
      </colorScale>
    </cfRule>
  </conditionalFormatting>
  <conditionalFormatting sqref="Z7:AE7">
    <cfRule type="colorScale" priority="53">
      <colorScale>
        <cfvo type="num" val="1"/>
        <cfvo type="percentile" val="50"/>
        <cfvo type="num" val="1.2"/>
        <color rgb="FFF8696B"/>
        <color rgb="FFFFEB84"/>
        <color rgb="FF63BE7B"/>
      </colorScale>
    </cfRule>
  </conditionalFormatting>
  <conditionalFormatting sqref="Z9:AE9">
    <cfRule type="colorScale" priority="52">
      <colorScale>
        <cfvo type="min"/>
        <cfvo type="percentile" val="50"/>
        <cfvo type="num" val="1.5"/>
        <color rgb="FFF8696B"/>
        <color rgb="FFFFEB84"/>
        <color rgb="FF63BE7B"/>
      </colorScale>
    </cfRule>
  </conditionalFormatting>
  <conditionalFormatting sqref="Z10:AE10">
    <cfRule type="colorScale" priority="51">
      <colorScale>
        <cfvo type="num" val="1.5"/>
        <cfvo type="percentile" val="50"/>
        <cfvo type="num" val="3"/>
        <color rgb="FFF8696B"/>
        <color rgb="FFFFEB84"/>
        <color rgb="FF63BE7B"/>
      </colorScale>
    </cfRule>
  </conditionalFormatting>
  <conditionalFormatting sqref="Z11:AE11">
    <cfRule type="colorScale" priority="50">
      <colorScale>
        <cfvo type="num" val="0.3"/>
        <cfvo type="percentile" val="50"/>
        <cfvo type="num" val="0.6"/>
        <color rgb="FFF8696B"/>
        <color rgb="FFFFEB84"/>
        <color rgb="FF63BE7B"/>
      </colorScale>
    </cfRule>
  </conditionalFormatting>
  <conditionalFormatting sqref="Z13:AE13">
    <cfRule type="colorScale" priority="49">
      <colorScale>
        <cfvo type="num" val="0.2"/>
        <cfvo type="percentile" val="50"/>
        <cfvo type="num" val="0.4"/>
        <color rgb="FFF8696B"/>
        <color rgb="FFFFEB84"/>
        <color rgb="FF63BE7B"/>
      </colorScale>
    </cfRule>
  </conditionalFormatting>
  <conditionalFormatting sqref="Z14:AE14">
    <cfRule type="colorScale" priority="48">
      <colorScale>
        <cfvo type="min"/>
        <cfvo type="percentile" val="50"/>
        <cfvo type="num" val="0.2"/>
        <color rgb="FFF8696B"/>
        <color rgb="FFFFEB84"/>
        <color rgb="FF63BE7B"/>
      </colorScale>
    </cfRule>
  </conditionalFormatting>
  <conditionalFormatting sqref="Z15:AE15">
    <cfRule type="colorScale" priority="47">
      <colorScale>
        <cfvo type="num" val="0.08"/>
        <cfvo type="percentile" val="50"/>
        <cfvo type="num" val="0.15"/>
        <color rgb="FFF8696B"/>
        <color rgb="FFFFEB84"/>
        <color rgb="FF63BE7B"/>
      </colorScale>
    </cfRule>
  </conditionalFormatting>
  <conditionalFormatting sqref="Z16:AE16">
    <cfRule type="colorScale" priority="46">
      <colorScale>
        <cfvo type="num" val="0.05"/>
        <cfvo type="percentile" val="50"/>
        <cfvo type="num" val="0.1"/>
        <color rgb="FFF8696B"/>
        <color rgb="FFFFEB84"/>
        <color rgb="FF63BE7B"/>
      </colorScale>
    </cfRule>
  </conditionalFormatting>
  <conditionalFormatting sqref="Z17:AE17">
    <cfRule type="colorScale" priority="45">
      <colorScale>
        <cfvo type="num" val="0.12"/>
        <cfvo type="percentile" val="50"/>
        <cfvo type="num" val="0.2"/>
        <color rgb="FFF8696B"/>
        <color rgb="FFFFEB84"/>
        <color rgb="FF63BE7B"/>
      </colorScale>
    </cfRule>
  </conditionalFormatting>
  <conditionalFormatting sqref="Z19:AE19">
    <cfRule type="colorScale" priority="44">
      <colorScale>
        <cfvo type="num" val="4"/>
        <cfvo type="percentile" val="50"/>
        <cfvo type="num" val="6"/>
        <color rgb="FFF8696B"/>
        <color rgb="FFFFEB84"/>
        <color rgb="FF63BE7B"/>
      </colorScale>
    </cfRule>
  </conditionalFormatting>
  <conditionalFormatting sqref="Z20:AE20">
    <cfRule type="colorScale" priority="43">
      <colorScale>
        <cfvo type="num" val="6"/>
        <cfvo type="percentile" val="50"/>
        <cfvo type="num" val="10"/>
        <color rgb="FFF8696B"/>
        <color rgb="FFFFEB84"/>
        <color rgb="FF63BE7B"/>
      </colorScale>
    </cfRule>
  </conditionalFormatting>
  <conditionalFormatting sqref="Z21:AE21">
    <cfRule type="colorScale" priority="42">
      <colorScale>
        <cfvo type="min"/>
        <cfvo type="percentile" val="50"/>
        <cfvo type="num" val="1"/>
        <color rgb="FFF8696B"/>
        <color rgb="FFFFEB84"/>
        <color rgb="FF63BE7B"/>
      </colorScale>
    </cfRule>
  </conditionalFormatting>
  <conditionalFormatting sqref="Z22:AE22">
    <cfRule type="colorScale" priority="41">
      <colorScale>
        <cfvo type="num" val="0.3"/>
        <cfvo type="percentile" val="50"/>
        <cfvo type="num" val="0.8"/>
        <color rgb="FFF8696B"/>
        <color rgb="FFFFEB84"/>
        <color rgb="FF63BE7B"/>
      </colorScale>
    </cfRule>
  </conditionalFormatting>
  <conditionalFormatting sqref="Z24:AE24">
    <cfRule type="colorScale" priority="40">
      <colorScale>
        <cfvo type="min"/>
        <cfvo type="percentile" val="50"/>
        <cfvo type="max"/>
        <color rgb="FFF8696B"/>
        <color rgb="FFFFEB84"/>
        <color rgb="FF63BE7B"/>
      </colorScale>
    </cfRule>
  </conditionalFormatting>
  <conditionalFormatting sqref="Z25:AE25">
    <cfRule type="colorScale" priority="39">
      <colorScale>
        <cfvo type="num" val="8"/>
        <cfvo type="percentile" val="50"/>
        <cfvo type="num" val="15"/>
        <color rgb="FFF8696B"/>
        <color rgb="FFFFEB84"/>
        <color rgb="FF63BE7B"/>
      </colorScale>
    </cfRule>
  </conditionalFormatting>
  <conditionalFormatting sqref="Z26:AE26">
    <cfRule type="colorScale" priority="38">
      <colorScale>
        <cfvo type="num" val="6"/>
        <cfvo type="percentile" val="50"/>
        <cfvo type="num" val="10"/>
        <color rgb="FFF8696B"/>
        <color rgb="FFFFEB84"/>
        <color rgb="FF63BE7B"/>
      </colorScale>
    </cfRule>
  </conditionalFormatting>
  <conditionalFormatting sqref="Z27:AE27">
    <cfRule type="colorScale" priority="37">
      <colorScale>
        <cfvo type="num" val="0.5"/>
        <cfvo type="percentile" val="50"/>
        <cfvo type="num" val="1.5"/>
        <color rgb="FFF8696B"/>
        <color rgb="FFFFEB84"/>
        <color rgb="FF63BE7B"/>
      </colorScale>
    </cfRule>
  </conditionalFormatting>
  <conditionalFormatting sqref="AH6:AM6">
    <cfRule type="colorScale" priority="36">
      <colorScale>
        <cfvo type="num" val="1.5"/>
        <cfvo type="percentile" val="50"/>
        <cfvo type="num" val="2"/>
        <color rgb="FFF8696B"/>
        <color rgb="FFFFEB84"/>
        <color rgb="FF63BE7B"/>
      </colorScale>
    </cfRule>
  </conditionalFormatting>
  <conditionalFormatting sqref="AH7:AM7">
    <cfRule type="colorScale" priority="35">
      <colorScale>
        <cfvo type="num" val="1"/>
        <cfvo type="percentile" val="50"/>
        <cfvo type="num" val="1.2"/>
        <color rgb="FFF8696B"/>
        <color rgb="FFFFEB84"/>
        <color rgb="FF63BE7B"/>
      </colorScale>
    </cfRule>
  </conditionalFormatting>
  <conditionalFormatting sqref="AH9:AM9">
    <cfRule type="colorScale" priority="34">
      <colorScale>
        <cfvo type="min"/>
        <cfvo type="percentile" val="50"/>
        <cfvo type="num" val="1.5"/>
        <color rgb="FFF8696B"/>
        <color rgb="FFFFEB84"/>
        <color rgb="FF63BE7B"/>
      </colorScale>
    </cfRule>
  </conditionalFormatting>
  <conditionalFormatting sqref="AH10:AM10">
    <cfRule type="colorScale" priority="33">
      <colorScale>
        <cfvo type="num" val="1.5"/>
        <cfvo type="percentile" val="50"/>
        <cfvo type="num" val="3"/>
        <color rgb="FFF8696B"/>
        <color rgb="FFFFEB84"/>
        <color rgb="FF63BE7B"/>
      </colorScale>
    </cfRule>
  </conditionalFormatting>
  <conditionalFormatting sqref="AH11:AM11">
    <cfRule type="colorScale" priority="32">
      <colorScale>
        <cfvo type="num" val="0.3"/>
        <cfvo type="percentile" val="50"/>
        <cfvo type="num" val="0.6"/>
        <color rgb="FFF8696B"/>
        <color rgb="FFFFEB84"/>
        <color rgb="FF63BE7B"/>
      </colorScale>
    </cfRule>
  </conditionalFormatting>
  <conditionalFormatting sqref="AH13:AM13">
    <cfRule type="colorScale" priority="31">
      <colorScale>
        <cfvo type="num" val="0.2"/>
        <cfvo type="percentile" val="50"/>
        <cfvo type="num" val="0.4"/>
        <color rgb="FFF8696B"/>
        <color rgb="FFFFEB84"/>
        <color rgb="FF63BE7B"/>
      </colorScale>
    </cfRule>
  </conditionalFormatting>
  <conditionalFormatting sqref="AH14:AM14">
    <cfRule type="colorScale" priority="30">
      <colorScale>
        <cfvo type="min"/>
        <cfvo type="percentile" val="50"/>
        <cfvo type="num" val="0.2"/>
        <color rgb="FFF8696B"/>
        <color rgb="FFFFEB84"/>
        <color rgb="FF63BE7B"/>
      </colorScale>
    </cfRule>
  </conditionalFormatting>
  <conditionalFormatting sqref="AH15:AM15">
    <cfRule type="colorScale" priority="29">
      <colorScale>
        <cfvo type="num" val="0.08"/>
        <cfvo type="percentile" val="50"/>
        <cfvo type="num" val="0.15"/>
        <color rgb="FFF8696B"/>
        <color rgb="FFFFEB84"/>
        <color rgb="FF63BE7B"/>
      </colorScale>
    </cfRule>
  </conditionalFormatting>
  <conditionalFormatting sqref="AH16:AM16">
    <cfRule type="colorScale" priority="28">
      <colorScale>
        <cfvo type="num" val="0.05"/>
        <cfvo type="percentile" val="50"/>
        <cfvo type="num" val="0.1"/>
        <color rgb="FFF8696B"/>
        <color rgb="FFFFEB84"/>
        <color rgb="FF63BE7B"/>
      </colorScale>
    </cfRule>
  </conditionalFormatting>
  <conditionalFormatting sqref="AH17:AM17">
    <cfRule type="colorScale" priority="27">
      <colorScale>
        <cfvo type="num" val="0.12"/>
        <cfvo type="percentile" val="50"/>
        <cfvo type="num" val="0.2"/>
        <color rgb="FFF8696B"/>
        <color rgb="FFFFEB84"/>
        <color rgb="FF63BE7B"/>
      </colorScale>
    </cfRule>
  </conditionalFormatting>
  <conditionalFormatting sqref="AH19:AM19">
    <cfRule type="colorScale" priority="26">
      <colorScale>
        <cfvo type="num" val="4"/>
        <cfvo type="percentile" val="50"/>
        <cfvo type="num" val="6"/>
        <color rgb="FFF8696B"/>
        <color rgb="FFFFEB84"/>
        <color rgb="FF63BE7B"/>
      </colorScale>
    </cfRule>
  </conditionalFormatting>
  <conditionalFormatting sqref="AH20:AM20">
    <cfRule type="colorScale" priority="25">
      <colorScale>
        <cfvo type="num" val="6"/>
        <cfvo type="percentile" val="50"/>
        <cfvo type="num" val="10"/>
        <color rgb="FFF8696B"/>
        <color rgb="FFFFEB84"/>
        <color rgb="FF63BE7B"/>
      </colorScale>
    </cfRule>
  </conditionalFormatting>
  <conditionalFormatting sqref="AH21:AM21">
    <cfRule type="colorScale" priority="24">
      <colorScale>
        <cfvo type="min"/>
        <cfvo type="percentile" val="50"/>
        <cfvo type="num" val="1"/>
        <color rgb="FFF8696B"/>
        <color rgb="FFFFEB84"/>
        <color rgb="FF63BE7B"/>
      </colorScale>
    </cfRule>
  </conditionalFormatting>
  <conditionalFormatting sqref="AH22:AM22">
    <cfRule type="colorScale" priority="23">
      <colorScale>
        <cfvo type="num" val="0.3"/>
        <cfvo type="percentile" val="50"/>
        <cfvo type="num" val="0.8"/>
        <color rgb="FFF8696B"/>
        <color rgb="FFFFEB84"/>
        <color rgb="FF63BE7B"/>
      </colorScale>
    </cfRule>
  </conditionalFormatting>
  <conditionalFormatting sqref="AH24:AM24">
    <cfRule type="colorScale" priority="22">
      <colorScale>
        <cfvo type="min"/>
        <cfvo type="percentile" val="50"/>
        <cfvo type="max"/>
        <color rgb="FFF8696B"/>
        <color rgb="FFFFEB84"/>
        <color rgb="FF63BE7B"/>
      </colorScale>
    </cfRule>
  </conditionalFormatting>
  <conditionalFormatting sqref="AH25:AM25">
    <cfRule type="colorScale" priority="21">
      <colorScale>
        <cfvo type="num" val="8"/>
        <cfvo type="percentile" val="50"/>
        <cfvo type="num" val="15"/>
        <color rgb="FFF8696B"/>
        <color rgb="FFFFEB84"/>
        <color rgb="FF63BE7B"/>
      </colorScale>
    </cfRule>
  </conditionalFormatting>
  <conditionalFormatting sqref="AH26:AM26">
    <cfRule type="colorScale" priority="20">
      <colorScale>
        <cfvo type="num" val="6"/>
        <cfvo type="percentile" val="50"/>
        <cfvo type="num" val="10"/>
        <color rgb="FFF8696B"/>
        <color rgb="FFFFEB84"/>
        <color rgb="FF63BE7B"/>
      </colorScale>
    </cfRule>
  </conditionalFormatting>
  <conditionalFormatting sqref="AH27:AM27">
    <cfRule type="colorScale" priority="19">
      <colorScale>
        <cfvo type="num" val="0.5"/>
        <cfvo type="percentile" val="50"/>
        <cfvo type="num" val="1.5"/>
        <color rgb="FFF8696B"/>
        <color rgb="FFFFEB84"/>
        <color rgb="FF63BE7B"/>
      </colorScale>
    </cfRule>
  </conditionalFormatting>
  <conditionalFormatting sqref="AP6:AU6">
    <cfRule type="colorScale" priority="18">
      <colorScale>
        <cfvo type="num" val="1.5"/>
        <cfvo type="percentile" val="50"/>
        <cfvo type="num" val="2"/>
        <color rgb="FFF8696B"/>
        <color rgb="FFFFEB84"/>
        <color rgb="FF63BE7B"/>
      </colorScale>
    </cfRule>
  </conditionalFormatting>
  <conditionalFormatting sqref="AP7:AU7">
    <cfRule type="colorScale" priority="17">
      <colorScale>
        <cfvo type="num" val="1"/>
        <cfvo type="percentile" val="50"/>
        <cfvo type="num" val="1.2"/>
        <color rgb="FFF8696B"/>
        <color rgb="FFFFEB84"/>
        <color rgb="FF63BE7B"/>
      </colorScale>
    </cfRule>
  </conditionalFormatting>
  <conditionalFormatting sqref="AP9:AU9">
    <cfRule type="colorScale" priority="16">
      <colorScale>
        <cfvo type="min"/>
        <cfvo type="percentile" val="50"/>
        <cfvo type="num" val="1.5"/>
        <color rgb="FFF8696B"/>
        <color rgb="FFFFEB84"/>
        <color rgb="FF63BE7B"/>
      </colorScale>
    </cfRule>
  </conditionalFormatting>
  <conditionalFormatting sqref="AP10:AU10">
    <cfRule type="colorScale" priority="15">
      <colorScale>
        <cfvo type="num" val="1.5"/>
        <cfvo type="percentile" val="50"/>
        <cfvo type="num" val="3"/>
        <color rgb="FFF8696B"/>
        <color rgb="FFFFEB84"/>
        <color rgb="FF63BE7B"/>
      </colorScale>
    </cfRule>
  </conditionalFormatting>
  <conditionalFormatting sqref="AP11:AU11">
    <cfRule type="colorScale" priority="14">
      <colorScale>
        <cfvo type="num" val="0.3"/>
        <cfvo type="percentile" val="50"/>
        <cfvo type="num" val="0.6"/>
        <color rgb="FFF8696B"/>
        <color rgb="FFFFEB84"/>
        <color rgb="FF63BE7B"/>
      </colorScale>
    </cfRule>
  </conditionalFormatting>
  <conditionalFormatting sqref="AP13:AU13">
    <cfRule type="colorScale" priority="13">
      <colorScale>
        <cfvo type="num" val="0.2"/>
        <cfvo type="percentile" val="50"/>
        <cfvo type="num" val="0.4"/>
        <color rgb="FFF8696B"/>
        <color rgb="FFFFEB84"/>
        <color rgb="FF63BE7B"/>
      </colorScale>
    </cfRule>
  </conditionalFormatting>
  <conditionalFormatting sqref="AP14:AU14">
    <cfRule type="colorScale" priority="12">
      <colorScale>
        <cfvo type="min"/>
        <cfvo type="percentile" val="50"/>
        <cfvo type="num" val="0.2"/>
        <color rgb="FFF8696B"/>
        <color rgb="FFFFEB84"/>
        <color rgb="FF63BE7B"/>
      </colorScale>
    </cfRule>
  </conditionalFormatting>
  <conditionalFormatting sqref="AP15:AU15">
    <cfRule type="colorScale" priority="11">
      <colorScale>
        <cfvo type="num" val="0.08"/>
        <cfvo type="percentile" val="50"/>
        <cfvo type="num" val="0.15"/>
        <color rgb="FFF8696B"/>
        <color rgb="FFFFEB84"/>
        <color rgb="FF63BE7B"/>
      </colorScale>
    </cfRule>
  </conditionalFormatting>
  <conditionalFormatting sqref="AP16:AU16">
    <cfRule type="colorScale" priority="10">
      <colorScale>
        <cfvo type="num" val="0.05"/>
        <cfvo type="percentile" val="50"/>
        <cfvo type="num" val="0.1"/>
        <color rgb="FFF8696B"/>
        <color rgb="FFFFEB84"/>
        <color rgb="FF63BE7B"/>
      </colorScale>
    </cfRule>
  </conditionalFormatting>
  <conditionalFormatting sqref="AP17:AU17">
    <cfRule type="colorScale" priority="9">
      <colorScale>
        <cfvo type="num" val="0.12"/>
        <cfvo type="percentile" val="50"/>
        <cfvo type="num" val="0.2"/>
        <color rgb="FFF8696B"/>
        <color rgb="FFFFEB84"/>
        <color rgb="FF63BE7B"/>
      </colorScale>
    </cfRule>
  </conditionalFormatting>
  <conditionalFormatting sqref="AP19:AU19">
    <cfRule type="colorScale" priority="8">
      <colorScale>
        <cfvo type="num" val="4"/>
        <cfvo type="percentile" val="50"/>
        <cfvo type="num" val="6"/>
        <color rgb="FFF8696B"/>
        <color rgb="FFFFEB84"/>
        <color rgb="FF63BE7B"/>
      </colorScale>
    </cfRule>
  </conditionalFormatting>
  <conditionalFormatting sqref="AP20:AU20">
    <cfRule type="colorScale" priority="7">
      <colorScale>
        <cfvo type="num" val="6"/>
        <cfvo type="percentile" val="50"/>
        <cfvo type="num" val="10"/>
        <color rgb="FFF8696B"/>
        <color rgb="FFFFEB84"/>
        <color rgb="FF63BE7B"/>
      </colorScale>
    </cfRule>
  </conditionalFormatting>
  <conditionalFormatting sqref="AP21:AU21">
    <cfRule type="colorScale" priority="6">
      <colorScale>
        <cfvo type="min"/>
        <cfvo type="percentile" val="50"/>
        <cfvo type="num" val="1"/>
        <color rgb="FFF8696B"/>
        <color rgb="FFFFEB84"/>
        <color rgb="FF63BE7B"/>
      </colorScale>
    </cfRule>
  </conditionalFormatting>
  <conditionalFormatting sqref="AP22:AU22">
    <cfRule type="colorScale" priority="5">
      <colorScale>
        <cfvo type="num" val="0.3"/>
        <cfvo type="percentile" val="50"/>
        <cfvo type="num" val="0.8"/>
        <color rgb="FFF8696B"/>
        <color rgb="FFFFEB84"/>
        <color rgb="FF63BE7B"/>
      </colorScale>
    </cfRule>
  </conditionalFormatting>
  <conditionalFormatting sqref="AP24:AU24">
    <cfRule type="colorScale" priority="4">
      <colorScale>
        <cfvo type="min"/>
        <cfvo type="percentile" val="50"/>
        <cfvo type="max"/>
        <color rgb="FFF8696B"/>
        <color rgb="FFFFEB84"/>
        <color rgb="FF63BE7B"/>
      </colorScale>
    </cfRule>
  </conditionalFormatting>
  <conditionalFormatting sqref="AP25:AU25">
    <cfRule type="colorScale" priority="3">
      <colorScale>
        <cfvo type="num" val="8"/>
        <cfvo type="percentile" val="50"/>
        <cfvo type="num" val="15"/>
        <color rgb="FFF8696B"/>
        <color rgb="FFFFEB84"/>
        <color rgb="FF63BE7B"/>
      </colorScale>
    </cfRule>
  </conditionalFormatting>
  <conditionalFormatting sqref="AP26:AU26">
    <cfRule type="colorScale" priority="2">
      <colorScale>
        <cfvo type="num" val="6"/>
        <cfvo type="percentile" val="50"/>
        <cfvo type="num" val="10"/>
        <color rgb="FFF8696B"/>
        <color rgb="FFFFEB84"/>
        <color rgb="FF63BE7B"/>
      </colorScale>
    </cfRule>
  </conditionalFormatting>
  <conditionalFormatting sqref="AP27:AU27">
    <cfRule type="colorScale" priority="1">
      <colorScale>
        <cfvo type="num" val="0.5"/>
        <cfvo type="percentile" val="50"/>
        <cfvo type="num" val="1.5"/>
        <color rgb="FFF8696B"/>
        <color rgb="FFFFEB84"/>
        <color rgb="FF63BE7B"/>
      </colorScale>
    </cfRule>
  </conditionalFormatting>
  <pageMargins left="0.7" right="0.7" top="0.75" bottom="0.75" header="0.3" footer="0.3"/>
  <tableParts count="6">
    <tablePart r:id="rId1"/>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6E31-683E-4C7C-9F3D-7C5EAA413981}">
  <sheetPr>
    <tabColor theme="5" tint="-0.249977111117893"/>
  </sheetPr>
  <dimension ref="A1:G21"/>
  <sheetViews>
    <sheetView showGridLines="0" topLeftCell="B1" workbookViewId="0">
      <selection activeCell="K20" sqref="K20"/>
    </sheetView>
  </sheetViews>
  <sheetFormatPr defaultRowHeight="14.4" x14ac:dyDescent="0.3"/>
  <cols>
    <col min="1" max="1" width="22.6640625" style="1" bestFit="1" customWidth="1"/>
    <col min="2" max="2" width="11.21875" style="1" customWidth="1"/>
    <col min="3" max="3" width="13.5546875" style="1" bestFit="1" customWidth="1"/>
    <col min="4" max="4" width="10.88671875" style="1" customWidth="1"/>
    <col min="5" max="5" width="11.88671875" style="1" customWidth="1"/>
    <col min="6" max="7" width="9.88671875" style="1" bestFit="1" customWidth="1"/>
    <col min="8" max="16384" width="8.88671875" style="1"/>
  </cols>
  <sheetData>
    <row r="1" spans="1:7" ht="21" x14ac:dyDescent="0.3">
      <c r="A1" s="100" t="s">
        <v>236</v>
      </c>
    </row>
    <row r="3" spans="1:7" x14ac:dyDescent="0.3">
      <c r="A3" s="19" t="s">
        <v>214</v>
      </c>
      <c r="B3" s="101" t="s">
        <v>215</v>
      </c>
      <c r="C3" s="101" t="s">
        <v>216</v>
      </c>
      <c r="D3" s="101" t="s">
        <v>217</v>
      </c>
      <c r="E3" s="101" t="s">
        <v>218</v>
      </c>
      <c r="F3" s="101" t="s">
        <v>219</v>
      </c>
      <c r="G3" s="101" t="s">
        <v>220</v>
      </c>
    </row>
    <row r="4" spans="1:7" x14ac:dyDescent="0.3">
      <c r="A4" s="63" t="s">
        <v>221</v>
      </c>
      <c r="B4" s="102">
        <v>6.3299999999999995E-2</v>
      </c>
      <c r="C4" s="102">
        <v>6.3299999999999995E-2</v>
      </c>
      <c r="D4" s="102">
        <v>6.3299999999999995E-2</v>
      </c>
      <c r="E4" s="102">
        <v>6.3299999999999995E-2</v>
      </c>
      <c r="F4" s="102">
        <v>6.3299999999999995E-2</v>
      </c>
      <c r="G4" s="102">
        <v>6.3299999999999995E-2</v>
      </c>
    </row>
    <row r="5" spans="1:7" x14ac:dyDescent="0.3">
      <c r="A5" s="63" t="s">
        <v>7</v>
      </c>
      <c r="B5" s="11">
        <f ca="1">'Company Profile'!B13</f>
        <v>1.0568</v>
      </c>
      <c r="C5" s="11">
        <f ca="1">'Company Profile'!C13</f>
        <v>0.4783</v>
      </c>
      <c r="D5" s="11">
        <f ca="1">'Company Profile'!D13</f>
        <v>0.83709999999999996</v>
      </c>
      <c r="E5" s="11">
        <f ca="1">'Company Profile'!E13</f>
        <v>1.2322</v>
      </c>
      <c r="F5" s="11">
        <f ca="1">'Company Profile'!F13</f>
        <v>1.7377</v>
      </c>
      <c r="G5" s="11">
        <f ca="1">'Company Profile'!G13</f>
        <v>1.0063</v>
      </c>
    </row>
    <row r="6" spans="1:7" x14ac:dyDescent="0.3">
      <c r="A6" s="63" t="s">
        <v>222</v>
      </c>
      <c r="B6" s="102">
        <v>7.4999999999999997E-2</v>
      </c>
      <c r="C6" s="102">
        <v>7.4999999999999997E-2</v>
      </c>
      <c r="D6" s="102">
        <v>7.4999999999999997E-2</v>
      </c>
      <c r="E6" s="102">
        <v>7.4999999999999997E-2</v>
      </c>
      <c r="F6" s="102">
        <v>7.4999999999999997E-2</v>
      </c>
      <c r="G6" s="102">
        <v>7.4999999999999997E-2</v>
      </c>
    </row>
    <row r="7" spans="1:7" s="19" customFormat="1" x14ac:dyDescent="0.3">
      <c r="A7" s="64" t="s">
        <v>223</v>
      </c>
      <c r="B7" s="104">
        <f ca="1">B4+B5*(B6)</f>
        <v>0.14255999999999999</v>
      </c>
      <c r="C7" s="104">
        <f t="shared" ref="C7:G7" ca="1" si="0">C4+C5*(C6)</f>
        <v>9.9172499999999997E-2</v>
      </c>
      <c r="D7" s="104">
        <f t="shared" ca="1" si="0"/>
        <v>0.12608249999999999</v>
      </c>
      <c r="E7" s="104">
        <f t="shared" ca="1" si="0"/>
        <v>0.15571499999999999</v>
      </c>
      <c r="F7" s="104">
        <f t="shared" ca="1" si="0"/>
        <v>0.19362749999999998</v>
      </c>
      <c r="G7" s="104">
        <f t="shared" ca="1" si="0"/>
        <v>0.13877249999999999</v>
      </c>
    </row>
    <row r="8" spans="1:7" x14ac:dyDescent="0.3">
      <c r="A8" s="63" t="s">
        <v>232</v>
      </c>
      <c r="B8" s="11">
        <f>'Income Statement'!G19</f>
        <v>883.65</v>
      </c>
      <c r="C8" s="11">
        <f>'Income Statement'!O16</f>
        <v>1095</v>
      </c>
      <c r="D8" s="11">
        <f>'Income Statement'!W18</f>
        <v>8412</v>
      </c>
      <c r="E8" s="11">
        <f>'Income Statement'!AE14</f>
        <v>7340.95</v>
      </c>
      <c r="F8" s="11">
        <f>'Income Statement'!AM14</f>
        <v>2793.17</v>
      </c>
      <c r="G8" s="11">
        <f>'Income Statement'!AU19</f>
        <v>177.68</v>
      </c>
    </row>
    <row r="9" spans="1:7" x14ac:dyDescent="0.3">
      <c r="A9" s="63" t="s">
        <v>224</v>
      </c>
      <c r="B9" s="11">
        <f>'Balance Sheet'!G36+'Balance Sheet'!G44</f>
        <v>8908.4</v>
      </c>
      <c r="C9" s="11">
        <f>'Balance Sheet'!O39+'Balance Sheet'!O32</f>
        <v>10651</v>
      </c>
      <c r="D9" s="11">
        <f>'Balance Sheet'!W42+'Balance Sheet'!W51</f>
        <v>95957</v>
      </c>
      <c r="E9" s="11">
        <f>'Balance Sheet'!AE45+'Balance Sheet'!AE56</f>
        <v>88963.81</v>
      </c>
      <c r="F9" s="11">
        <f>'Balance Sheet'!AM51+'Balance Sheet'!AM40</f>
        <v>29811.119999999999</v>
      </c>
      <c r="G9" s="11">
        <f>'Balance Sheet'!AU35+'Balance Sheet'!AU41</f>
        <v>3770.45</v>
      </c>
    </row>
    <row r="10" spans="1:7" x14ac:dyDescent="0.3">
      <c r="A10" s="63" t="s">
        <v>225</v>
      </c>
      <c r="B10" s="102">
        <f>B8/B9</f>
        <v>9.9192896591980606E-2</v>
      </c>
      <c r="C10" s="102">
        <f t="shared" ref="C10:G10" si="1">C8/C9</f>
        <v>0.10280724814571401</v>
      </c>
      <c r="D10" s="102">
        <f t="shared" si="1"/>
        <v>8.7664266285940581E-2</v>
      </c>
      <c r="E10" s="102">
        <f t="shared" si="1"/>
        <v>8.2516137741852555E-2</v>
      </c>
      <c r="F10" s="102">
        <f t="shared" si="1"/>
        <v>9.3695574000574294E-2</v>
      </c>
      <c r="G10" s="102">
        <f t="shared" si="1"/>
        <v>4.7124348552560043E-2</v>
      </c>
    </row>
    <row r="11" spans="1:7" x14ac:dyDescent="0.3">
      <c r="A11" s="63" t="s">
        <v>126</v>
      </c>
      <c r="B11" s="102">
        <f>'Income Statement'!G32/'Income Statement'!G28</f>
        <v>0.24835078170062339</v>
      </c>
      <c r="C11" s="102">
        <f>'Income Statement'!O23/'Income Statement'!O20</f>
        <v>0.23611008632775032</v>
      </c>
      <c r="D11" s="102">
        <f>'Income Statement'!W30/'Income Statement'!W26</f>
        <v>0.31238920622414812</v>
      </c>
      <c r="E11" s="102">
        <f>'Income Statement'!AE34/'Income Statement'!AE30</f>
        <v>0.62274705302708522</v>
      </c>
      <c r="F11" s="102">
        <f>'Income Statement'!AM25/'Income Statement'!AM22</f>
        <v>0.27055878309595677</v>
      </c>
      <c r="G11" s="102">
        <f>'Income Statement'!AU29/'Income Statement'!AU25</f>
        <v>0.28479563949260106</v>
      </c>
    </row>
    <row r="12" spans="1:7" s="19" customFormat="1" x14ac:dyDescent="0.3">
      <c r="A12" s="64" t="s">
        <v>226</v>
      </c>
      <c r="B12" s="104">
        <f>B10*(1-B11)</f>
        <v>7.4558263184213117E-2</v>
      </c>
      <c r="C12" s="104">
        <f t="shared" ref="C12:G12" si="2">C10*(1-C11)</f>
        <v>7.8533419910911034E-2</v>
      </c>
      <c r="D12" s="104">
        <f t="shared" si="2"/>
        <v>6.027889572665325E-2</v>
      </c>
      <c r="E12" s="104">
        <f t="shared" si="2"/>
        <v>3.1129456135936834E-2</v>
      </c>
      <c r="F12" s="104">
        <f t="shared" si="2"/>
        <v>6.8345413517501744E-2</v>
      </c>
      <c r="G12" s="104">
        <f t="shared" si="2"/>
        <v>3.3703539570861481E-2</v>
      </c>
    </row>
    <row r="13" spans="1:7" x14ac:dyDescent="0.3">
      <c r="A13" s="63" t="s">
        <v>227</v>
      </c>
      <c r="B13" s="11">
        <f>B9</f>
        <v>8908.4</v>
      </c>
      <c r="C13" s="11">
        <f t="shared" ref="C13:G13" si="3">C9</f>
        <v>10651</v>
      </c>
      <c r="D13" s="11">
        <f t="shared" si="3"/>
        <v>95957</v>
      </c>
      <c r="E13" s="11">
        <f t="shared" si="3"/>
        <v>88963.81</v>
      </c>
      <c r="F13" s="11">
        <f t="shared" si="3"/>
        <v>29811.119999999999</v>
      </c>
      <c r="G13" s="11">
        <f t="shared" si="3"/>
        <v>3770.45</v>
      </c>
    </row>
    <row r="14" spans="1:7" x14ac:dyDescent="0.3">
      <c r="A14" s="63" t="s">
        <v>228</v>
      </c>
      <c r="B14" s="11">
        <f ca="1">'Company Profile'!B12</f>
        <v>231718.6</v>
      </c>
      <c r="C14" s="11">
        <f ca="1">'Company Profile'!C12</f>
        <v>200491.4</v>
      </c>
      <c r="D14" s="11">
        <f ca="1">'Company Profile'!D12</f>
        <v>286193.3</v>
      </c>
      <c r="E14" s="11">
        <f ca="1">'Company Profile'!E12</f>
        <v>226413.8</v>
      </c>
      <c r="F14" s="11">
        <f ca="1">'Company Profile'!F12</f>
        <v>58240.41</v>
      </c>
      <c r="G14" s="11">
        <f ca="1">'Company Profile'!G12</f>
        <v>65270.46</v>
      </c>
    </row>
    <row r="15" spans="1:7" x14ac:dyDescent="0.3">
      <c r="A15" s="63" t="s">
        <v>229</v>
      </c>
      <c r="B15" s="11">
        <f ca="1">B13+B14</f>
        <v>240627</v>
      </c>
      <c r="C15" s="11">
        <f t="shared" ref="C15:G15" ca="1" si="4">C13+C14</f>
        <v>211142.39999999999</v>
      </c>
      <c r="D15" s="11">
        <f t="shared" ca="1" si="4"/>
        <v>382150.3</v>
      </c>
      <c r="E15" s="11">
        <f t="shared" ca="1" si="4"/>
        <v>315377.61</v>
      </c>
      <c r="F15" s="11">
        <f t="shared" ca="1" si="4"/>
        <v>88051.53</v>
      </c>
      <c r="G15" s="11">
        <f t="shared" ca="1" si="4"/>
        <v>69040.91</v>
      </c>
    </row>
    <row r="16" spans="1:7" x14ac:dyDescent="0.3">
      <c r="A16" s="63" t="s">
        <v>230</v>
      </c>
      <c r="B16" s="102">
        <f ca="1">B14/B15</f>
        <v>0.96297838563419735</v>
      </c>
      <c r="C16" s="102">
        <f t="shared" ref="C16:G16" ca="1" si="5">C14/C15</f>
        <v>0.94955537116183197</v>
      </c>
      <c r="D16" s="102">
        <f t="shared" ca="1" si="5"/>
        <v>0.74890246062871069</v>
      </c>
      <c r="E16" s="102">
        <f t="shared" ca="1" si="5"/>
        <v>0.71791336106580295</v>
      </c>
      <c r="F16" s="102">
        <f t="shared" ca="1" si="5"/>
        <v>0.66143552531114458</v>
      </c>
      <c r="G16" s="102">
        <f t="shared" ca="1" si="5"/>
        <v>0.94538817637253036</v>
      </c>
    </row>
    <row r="17" spans="1:7" x14ac:dyDescent="0.3">
      <c r="A17" s="63" t="s">
        <v>231</v>
      </c>
      <c r="B17" s="102">
        <f ca="1">B13/B15</f>
        <v>3.7021614365802674E-2</v>
      </c>
      <c r="C17" s="102">
        <f t="shared" ref="C17:G17" ca="1" si="6">C13/C15</f>
        <v>5.0444628838167985E-2</v>
      </c>
      <c r="D17" s="102">
        <f t="shared" ca="1" si="6"/>
        <v>0.25109753937128926</v>
      </c>
      <c r="E17" s="102">
        <f t="shared" ca="1" si="6"/>
        <v>0.282086638934197</v>
      </c>
      <c r="F17" s="102">
        <f t="shared" ca="1" si="6"/>
        <v>0.33856447468885548</v>
      </c>
      <c r="G17" s="102">
        <f t="shared" ca="1" si="6"/>
        <v>5.4611823627469566E-2</v>
      </c>
    </row>
    <row r="18" spans="1:7" s="19" customFormat="1" x14ac:dyDescent="0.3">
      <c r="A18" s="64" t="s">
        <v>213</v>
      </c>
      <c r="B18" s="104">
        <f ca="1">(B7*B16)+(B12*B17)</f>
        <v>0.14004246592340111</v>
      </c>
      <c r="C18" s="104">
        <f t="shared" ref="C18:G18" ca="1" si="7">(C7*C16)+(C12*C17)</f>
        <v>9.8131369265344673E-2</v>
      </c>
      <c r="D18" s="104">
        <f t="shared" ca="1" si="7"/>
        <v>0.10955937688520055</v>
      </c>
      <c r="E18" s="104">
        <f t="shared" ca="1" si="7"/>
        <v>0.12057108267159744</v>
      </c>
      <c r="F18" s="104">
        <f t="shared" ca="1" si="7"/>
        <v>0.15121143620212923</v>
      </c>
      <c r="G18" s="104">
        <f t="shared" ca="1" si="7"/>
        <v>0.13303449246432228</v>
      </c>
    </row>
    <row r="19" spans="1:7" x14ac:dyDescent="0.3">
      <c r="A19" s="103" t="s">
        <v>233</v>
      </c>
      <c r="B19" s="106">
        <v>3.5000000000000003E-2</v>
      </c>
      <c r="C19" s="106">
        <v>3.5000000000000003E-2</v>
      </c>
      <c r="D19" s="106">
        <v>3.5000000000000003E-2</v>
      </c>
      <c r="E19" s="106">
        <v>3.5000000000000003E-2</v>
      </c>
      <c r="F19" s="106">
        <v>3.5000000000000003E-2</v>
      </c>
      <c r="G19" s="106">
        <v>3.5000000000000003E-2</v>
      </c>
    </row>
    <row r="20" spans="1:7" x14ac:dyDescent="0.3">
      <c r="A20" s="103" t="s">
        <v>234</v>
      </c>
      <c r="B20" s="107">
        <f>'Balance Sheet'!G21</f>
        <v>11160.68</v>
      </c>
      <c r="C20" s="107">
        <f>'Balance Sheet'!O19</f>
        <v>96</v>
      </c>
      <c r="D20" s="107">
        <f>'Balance Sheet'!W25</f>
        <v>11655</v>
      </c>
      <c r="E20" s="107">
        <f>'Balance Sheet'!AE26</f>
        <v>9604.9599999999991</v>
      </c>
      <c r="F20" s="107">
        <f>'Balance Sheet'!AM25</f>
        <v>291.58</v>
      </c>
      <c r="G20" s="107">
        <f>Table7[[#This Row],[2025]]</f>
        <v>84.82</v>
      </c>
    </row>
    <row r="21" spans="1:7" x14ac:dyDescent="0.3">
      <c r="A21" s="103" t="s">
        <v>235</v>
      </c>
      <c r="B21" s="107">
        <f>B13-B20</f>
        <v>-2252.2800000000007</v>
      </c>
      <c r="C21" s="107">
        <f t="shared" ref="C21:G21" si="8">C13-C20</f>
        <v>10555</v>
      </c>
      <c r="D21" s="107">
        <f t="shared" si="8"/>
        <v>84302</v>
      </c>
      <c r="E21" s="107">
        <f t="shared" si="8"/>
        <v>79358.850000000006</v>
      </c>
      <c r="F21" s="107">
        <f t="shared" si="8"/>
        <v>29519.539999999997</v>
      </c>
      <c r="G21" s="107">
        <f t="shared" si="8"/>
        <v>3685.6299999999997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BA1B-8556-4185-932E-B4C915E106BD}">
  <sheetPr>
    <tabColor theme="5" tint="-0.249977111117893"/>
  </sheetPr>
  <dimension ref="A1:BA24"/>
  <sheetViews>
    <sheetView topLeftCell="AU1" workbookViewId="0">
      <selection activeCell="D17" sqref="D17"/>
    </sheetView>
  </sheetViews>
  <sheetFormatPr defaultRowHeight="14.4" x14ac:dyDescent="0.3"/>
  <cols>
    <col min="1" max="1" width="18.109375" style="1" bestFit="1" customWidth="1"/>
    <col min="2" max="2" width="10.88671875" style="14" bestFit="1" customWidth="1"/>
    <col min="3" max="3" width="12.44140625" style="14" bestFit="1" customWidth="1"/>
    <col min="4" max="8" width="10.88671875" style="14" bestFit="1" customWidth="1"/>
    <col min="9" max="9" width="8.88671875" style="1"/>
    <col min="10" max="10" width="18.109375" style="1" bestFit="1" customWidth="1"/>
    <col min="11" max="11" width="10.88671875" style="1" bestFit="1" customWidth="1"/>
    <col min="12" max="12" width="12.44140625" style="1" bestFit="1" customWidth="1"/>
    <col min="13" max="17" width="9.88671875" style="1" bestFit="1" customWidth="1"/>
    <col min="18" max="18" width="8.88671875" style="1"/>
    <col min="19" max="19" width="18.109375" style="1" bestFit="1" customWidth="1"/>
    <col min="20" max="20" width="10.88671875" style="1" bestFit="1" customWidth="1"/>
    <col min="21" max="21" width="12.44140625" style="1" bestFit="1" customWidth="1"/>
    <col min="22" max="26" width="10.88671875" style="1" bestFit="1" customWidth="1"/>
    <col min="27" max="27" width="8.88671875" style="1"/>
    <col min="28" max="28" width="18.109375" style="1" bestFit="1" customWidth="1"/>
    <col min="29" max="29" width="10.88671875" style="1" bestFit="1" customWidth="1"/>
    <col min="30" max="30" width="12.44140625" style="1" bestFit="1" customWidth="1"/>
    <col min="31" max="35" width="10.88671875" style="1" bestFit="1" customWidth="1"/>
    <col min="36" max="36" width="8.88671875" style="1"/>
    <col min="37" max="37" width="18.109375" style="1" bestFit="1" customWidth="1"/>
    <col min="38" max="38" width="10.88671875" style="1" bestFit="1" customWidth="1"/>
    <col min="39" max="39" width="12.44140625" style="1" bestFit="1" customWidth="1"/>
    <col min="40" max="44" width="10.88671875" style="1" bestFit="1" customWidth="1"/>
    <col min="45" max="45" width="8.88671875" style="1"/>
    <col min="46" max="46" width="18.109375" style="1" bestFit="1" customWidth="1"/>
    <col min="47" max="47" width="10" style="1" bestFit="1" customWidth="1"/>
    <col min="48" max="48" width="12.44140625" style="1" bestFit="1" customWidth="1"/>
    <col min="49" max="49" width="10.5546875" style="1" bestFit="1" customWidth="1"/>
    <col min="50" max="53" width="9.88671875" style="1" bestFit="1" customWidth="1"/>
    <col min="54" max="16384" width="8.88671875" style="1"/>
  </cols>
  <sheetData>
    <row r="1" spans="1:53" ht="23.4" x14ac:dyDescent="0.3">
      <c r="A1" s="147" t="s">
        <v>237</v>
      </c>
      <c r="B1" s="147"/>
      <c r="C1" s="147"/>
    </row>
    <row r="2" spans="1:53" ht="23.4" x14ac:dyDescent="0.3">
      <c r="A2" s="108"/>
      <c r="B2" s="108"/>
    </row>
    <row r="3" spans="1:53" ht="37.799999999999997" customHeight="1" x14ac:dyDescent="0.3">
      <c r="A3" s="118" t="s">
        <v>263</v>
      </c>
      <c r="H3" s="14" t="e" vm="13">
        <v>#VALUE!</v>
      </c>
      <c r="J3" s="118" t="s">
        <v>264</v>
      </c>
      <c r="Q3" s="1" t="e" vm="2">
        <v>#VALUE!</v>
      </c>
      <c r="S3" s="118" t="s">
        <v>265</v>
      </c>
      <c r="Z3" s="14" t="e" vm="14">
        <v>#VALUE!</v>
      </c>
      <c r="AB3" s="118" t="s">
        <v>266</v>
      </c>
      <c r="AI3" s="1" t="e" vm="15">
        <v>#VALUE!</v>
      </c>
      <c r="AK3" s="100" t="s">
        <v>219</v>
      </c>
      <c r="AR3" s="1" t="e" vm="16">
        <v>#VALUE!</v>
      </c>
      <c r="AT3" s="109" t="s">
        <v>220</v>
      </c>
      <c r="BA3" s="14" t="e" vm="6">
        <v>#VALUE!</v>
      </c>
    </row>
    <row r="4" spans="1:53" s="19" customFormat="1" x14ac:dyDescent="0.3">
      <c r="A4" s="111" t="s">
        <v>214</v>
      </c>
      <c r="B4" s="112" t="s">
        <v>31</v>
      </c>
      <c r="C4" s="112" t="s">
        <v>238</v>
      </c>
      <c r="D4" s="112" t="s">
        <v>254</v>
      </c>
      <c r="E4" s="112" t="s">
        <v>255</v>
      </c>
      <c r="F4" s="112" t="s">
        <v>256</v>
      </c>
      <c r="G4" s="112" t="s">
        <v>257</v>
      </c>
      <c r="H4" s="112" t="s">
        <v>258</v>
      </c>
      <c r="J4" s="111" t="s">
        <v>214</v>
      </c>
      <c r="K4" s="112" t="s">
        <v>31</v>
      </c>
      <c r="L4" s="112" t="s">
        <v>238</v>
      </c>
      <c r="M4" s="112" t="s">
        <v>254</v>
      </c>
      <c r="N4" s="112" t="s">
        <v>255</v>
      </c>
      <c r="O4" s="112" t="s">
        <v>256</v>
      </c>
      <c r="P4" s="112" t="s">
        <v>257</v>
      </c>
      <c r="Q4" s="112" t="s">
        <v>258</v>
      </c>
      <c r="S4" s="111" t="s">
        <v>214</v>
      </c>
      <c r="T4" s="112" t="s">
        <v>31</v>
      </c>
      <c r="U4" s="112" t="s">
        <v>238</v>
      </c>
      <c r="V4" s="112" t="s">
        <v>254</v>
      </c>
      <c r="W4" s="112" t="s">
        <v>255</v>
      </c>
      <c r="X4" s="112" t="s">
        <v>256</v>
      </c>
      <c r="Y4" s="112" t="s">
        <v>257</v>
      </c>
      <c r="Z4" s="112" t="s">
        <v>258</v>
      </c>
      <c r="AB4" s="111" t="s">
        <v>214</v>
      </c>
      <c r="AC4" s="112" t="s">
        <v>31</v>
      </c>
      <c r="AD4" s="112" t="s">
        <v>238</v>
      </c>
      <c r="AE4" s="112" t="s">
        <v>254</v>
      </c>
      <c r="AF4" s="112" t="s">
        <v>255</v>
      </c>
      <c r="AG4" s="112" t="s">
        <v>256</v>
      </c>
      <c r="AH4" s="112" t="s">
        <v>257</v>
      </c>
      <c r="AI4" s="112" t="s">
        <v>258</v>
      </c>
      <c r="AK4" s="111" t="s">
        <v>214</v>
      </c>
      <c r="AL4" s="112" t="s">
        <v>31</v>
      </c>
      <c r="AM4" s="112" t="s">
        <v>238</v>
      </c>
      <c r="AN4" s="112" t="s">
        <v>254</v>
      </c>
      <c r="AO4" s="112" t="s">
        <v>255</v>
      </c>
      <c r="AP4" s="112" t="s">
        <v>256</v>
      </c>
      <c r="AQ4" s="112" t="s">
        <v>257</v>
      </c>
      <c r="AR4" s="112" t="s">
        <v>258</v>
      </c>
      <c r="AT4" s="111" t="s">
        <v>214</v>
      </c>
      <c r="AU4" s="112" t="s">
        <v>31</v>
      </c>
      <c r="AV4" s="112" t="s">
        <v>238</v>
      </c>
      <c r="AW4" s="112" t="s">
        <v>254</v>
      </c>
      <c r="AX4" s="112" t="s">
        <v>255</v>
      </c>
      <c r="AY4" s="112" t="s">
        <v>256</v>
      </c>
      <c r="AZ4" s="112" t="s">
        <v>257</v>
      </c>
      <c r="BA4" s="112" t="s">
        <v>258</v>
      </c>
    </row>
    <row r="5" spans="1:53" x14ac:dyDescent="0.3">
      <c r="A5" s="2" t="s">
        <v>239</v>
      </c>
      <c r="B5" s="11">
        <f>'Income Statement'!G9</f>
        <v>152838.97999999998</v>
      </c>
      <c r="C5" s="110">
        <f>('Income Statement'!G9/'Income Statement'!B9)^(1/6)-1</f>
        <v>6.8810012693538036E-2</v>
      </c>
      <c r="D5" s="11">
        <f>Table22[[#This Row],[2025]]*(1+C5)</f>
        <v>163355.83215386738</v>
      </c>
      <c r="E5" s="11">
        <f>Table22[[#This Row],[2026]]*(1+$C$5)</f>
        <v>174596.34903793846</v>
      </c>
      <c r="F5" s="11">
        <f>Table22[[#This Row],[2027]]*(1+$C$5)</f>
        <v>186610.32603148441</v>
      </c>
      <c r="G5" s="11">
        <f>Table22[[#This Row],[2028]]*(1+$C$5)</f>
        <v>199450.98493445612</v>
      </c>
      <c r="H5" s="11">
        <f>Table22[[#This Row],[2029]]*(1+$C$5)</f>
        <v>213175.20973953471</v>
      </c>
      <c r="J5" s="63" t="s">
        <v>239</v>
      </c>
      <c r="K5" s="11">
        <f>'Income Statement'!O9</f>
        <v>35066</v>
      </c>
      <c r="L5" s="110">
        <f>('Income Statement'!O9/'Income Statement'!J9)^(1/6)-1</f>
        <v>9.3636637585441607E-2</v>
      </c>
      <c r="M5" s="11">
        <f>Table2231[[#This Row],[2025]]*(1+L5)</f>
        <v>38349.462333571093</v>
      </c>
      <c r="N5" s="11">
        <f>Table2231[[#This Row],[2026]]*(1+$L$5)</f>
        <v>41940.377039696235</v>
      </c>
      <c r="O5" s="11">
        <f>Table2231[[#This Row],[2027]]*(1+$L$5)</f>
        <v>45867.532924759049</v>
      </c>
      <c r="P5" s="11">
        <f>Table2231[[#This Row],[2028]]*(1+$L$5)</f>
        <v>50162.414482173022</v>
      </c>
      <c r="Q5" s="11">
        <f>Table2231[[#This Row],[2029]]*(1+$L$5)</f>
        <v>54859.454307450964</v>
      </c>
      <c r="S5" s="63" t="s">
        <v>239</v>
      </c>
      <c r="T5" s="11">
        <f>'Income Statement'!W11</f>
        <v>169518</v>
      </c>
      <c r="U5" s="110">
        <f>('Income Statement'!W11/'Income Statement'!R11)^(1/6)-1</f>
        <v>0.14847794733219133</v>
      </c>
      <c r="V5" s="11">
        <f>Table2233[[#This Row],[2025]]*(1+U5)</f>
        <v>194687.68467585841</v>
      </c>
      <c r="W5" s="11">
        <f>Table2233[[#This Row],[2026]]*(1+$U$5)</f>
        <v>223594.51246738678</v>
      </c>
      <c r="X5" s="11">
        <f>Table2233[[#This Row],[2027]]*(1+$U$5)</f>
        <v>256793.36671328644</v>
      </c>
      <c r="Y5" s="11">
        <f>Table2233[[#This Row],[2028]]*(1+$U$5)</f>
        <v>294921.51869139785</v>
      </c>
      <c r="Z5" s="11">
        <f>Table2233[[#This Row],[2029]]*(1+$U$5)</f>
        <v>338710.86041078909</v>
      </c>
      <c r="AB5" s="63" t="s">
        <v>239</v>
      </c>
      <c r="AC5" s="11">
        <f>'Income Statement'!AE8</f>
        <v>220083.04</v>
      </c>
      <c r="AD5" s="110">
        <f>('Income Statement'!AE8/'Income Statement'!Z8)^(1/6)-1</f>
        <v>6.5044050310158585E-2</v>
      </c>
      <c r="AE5" s="11">
        <f>Table2235[[#This Row],[2025]]*(1+AD5)</f>
        <v>234398.13232617266</v>
      </c>
      <c r="AF5" s="11">
        <f>Table2235[[#This Row],[2026]]*(1+$AD$5)</f>
        <v>249644.33623780345</v>
      </c>
      <c r="AG5" s="11">
        <f>Table2235[[#This Row],[2027]]*(1+$AD$5)</f>
        <v>265882.21500370128</v>
      </c>
      <c r="AH5" s="11">
        <f>Table2235[[#This Row],[2028]]*(1+$AD$5)</f>
        <v>283176.27117297845</v>
      </c>
      <c r="AI5" s="11">
        <f>Table2235[[#This Row],[2029]]*(1+$AD$5)</f>
        <v>301595.20280179678</v>
      </c>
      <c r="AK5" s="63" t="s">
        <v>239</v>
      </c>
      <c r="AL5" s="11">
        <f>'Income Statement'!AM8</f>
        <v>103354.09</v>
      </c>
      <c r="AM5" s="110">
        <f>('Income Statement'!AM8/'Income Statement'!AH8)^(1/6)-1</f>
        <v>8.7243892159845293E-2</v>
      </c>
      <c r="AN5" s="11">
        <f>Table2237[[#This Row],[2025]]*(1+$AM$5)</f>
        <v>112371.10308223894</v>
      </c>
      <c r="AO5" s="11">
        <f>Table2237[[#This Row],[2026]]*(1+$AM$5)</f>
        <v>122174.79548142866</v>
      </c>
      <c r="AP5" s="11">
        <f>Table2237[[#This Row],[2027]]*(1+$AM$5)</f>
        <v>132833.80016306159</v>
      </c>
      <c r="AQ5" s="11">
        <f>Table2237[[#This Row],[2028]]*(1+$AM$5)</f>
        <v>144422.73789967017</v>
      </c>
      <c r="AR5" s="11">
        <f>Table2237[[#This Row],[2029]]*(1+$AM$5)</f>
        <v>157022.73967041861</v>
      </c>
      <c r="AT5" s="63" t="s">
        <v>239</v>
      </c>
      <c r="AU5" s="11">
        <f>'Income Statement'!AU8</f>
        <v>25498.84</v>
      </c>
      <c r="AV5" s="110">
        <f>('Income Statement'!AU8/'Income Statement'!AP8)^(1/6)-1</f>
        <v>0.13052344626254819</v>
      </c>
      <c r="AW5" s="11">
        <f>Table2239[[#This Row],[2025]]*(1+AV5)</f>
        <v>28827.036472497315</v>
      </c>
      <c r="AX5" s="11">
        <f>Table2239[[#This Row],[2026]]*(1+$AV$5)</f>
        <v>32589.640618423837</v>
      </c>
      <c r="AY5" s="11">
        <f>Table2239[[#This Row],[2027]]*(1+$AV$5)</f>
        <v>36843.35282439844</v>
      </c>
      <c r="AZ5" s="11">
        <f>Table2239[[#This Row],[2028]]*(1+$AV$5)</f>
        <v>41652.27420690591</v>
      </c>
      <c r="BA5" s="11">
        <f>Table2239[[#This Row],[2029]]*(1+$AV$5)</f>
        <v>47088.872581063915</v>
      </c>
    </row>
    <row r="6" spans="1:53" x14ac:dyDescent="0.3">
      <c r="A6" s="2" t="s">
        <v>240</v>
      </c>
      <c r="B6" s="11">
        <f>'Income Statement'!G26+'Income Statement'!G19+'Income Statement'!G20</f>
        <v>56533.069999999992</v>
      </c>
      <c r="C6" s="110">
        <f>(AVERAGE('Income Statement'!B26:G26)+AVERAGE('Income Statement'!B19:G19)+AVERAGE('Income Statement'!B20:G20))/AVERAGE('Income Statement'!B9:G9)</f>
        <v>0.30885843586876927</v>
      </c>
      <c r="D6" s="11">
        <f>D5*$C$6</f>
        <v>50453.826809084683</v>
      </c>
      <c r="E6" s="11">
        <f t="shared" ref="E6:H6" si="0">E5*$C$6</f>
        <v>53925.555272255369</v>
      </c>
      <c r="F6" s="11">
        <f t="shared" si="0"/>
        <v>57636.173415045349</v>
      </c>
      <c r="G6" s="11">
        <f t="shared" si="0"/>
        <v>61602.119239341584</v>
      </c>
      <c r="H6" s="11">
        <f t="shared" si="0"/>
        <v>65840.961846149512</v>
      </c>
      <c r="J6" s="63" t="s">
        <v>240</v>
      </c>
      <c r="K6" s="11">
        <f>'Income Statement'!O20+'Income Statement'!O16+'Income Statement'!O13</f>
        <v>18288</v>
      </c>
      <c r="L6" s="110">
        <f>(AVERAGE('Income Statement'!J20:O20)+AVERAGE('Income Statement'!J16:O16)+AVERAGE('Income Statement'!J13:O13))/AVERAGE('Income Statement'!J9:O9)</f>
        <v>0.53070145559415949</v>
      </c>
      <c r="M6" s="11">
        <f>M5*$L$6</f>
        <v>20352.115481679572</v>
      </c>
      <c r="N6" s="11">
        <f t="shared" ref="N6:Q6" si="1">N5*$L$6</f>
        <v>22257.819143134657</v>
      </c>
      <c r="O6" s="11">
        <f t="shared" si="1"/>
        <v>24341.966487682661</v>
      </c>
      <c r="P6" s="11">
        <f t="shared" si="1"/>
        <v>26621.26638180677</v>
      </c>
      <c r="Q6" s="11">
        <f t="shared" si="1"/>
        <v>29113.99225406551</v>
      </c>
      <c r="S6" s="63" t="s">
        <v>240</v>
      </c>
      <c r="T6" s="11">
        <f>'Income Statement'!W22+'Income Statement'!W18+'Income Statement'!W19</f>
        <v>23598</v>
      </c>
      <c r="U6" s="110">
        <f>(AVERAGE('Income Statement'!R22:W22)+AVERAGE('Income Statement'!R18:W18)+AVERAGE('Income Statement'!R19:W19))/AVERAGE('Income Statement'!R11:W11)</f>
        <v>0.17933088914882728</v>
      </c>
      <c r="V6" s="11">
        <f>V5*$U$6</f>
        <v>34913.515599248203</v>
      </c>
      <c r="W6" s="11">
        <f t="shared" ref="W6:Z6" si="2">W5*$U$6</f>
        <v>40097.40272957502</v>
      </c>
      <c r="X6" s="11">
        <f t="shared" si="2"/>
        <v>46050.982780214523</v>
      </c>
      <c r="Y6" s="11">
        <f t="shared" si="2"/>
        <v>52888.538176050861</v>
      </c>
      <c r="Z6" s="11">
        <f t="shared" si="2"/>
        <v>60741.319761831124</v>
      </c>
      <c r="AB6" s="63" t="s">
        <v>240</v>
      </c>
      <c r="AC6" s="11">
        <f>'Income Statement'!AE20+'Income Statement'!AE14+'Income Statement'!AE15</f>
        <v>27029.790000000037</v>
      </c>
      <c r="AD6" s="110">
        <f>(AVERAGE('Income Statement'!AD20:AE20)+AVERAGE('Income Statement'!AD14:AE14)+AVERAGE('Income Statement'!AD15:AE15))/AVERAGE('Income Statement'!AD8:AE8)</f>
        <v>0.11325823083519641</v>
      </c>
      <c r="AE6" s="11">
        <f>AE5*$AD$6</f>
        <v>26547.51777833658</v>
      </c>
      <c r="AF6" s="11">
        <f t="shared" ref="AF6:AI6" si="3">AF5*$AD$6</f>
        <v>28274.275860320533</v>
      </c>
      <c r="AG6" s="11">
        <f t="shared" si="3"/>
        <v>30113.349281862524</v>
      </c>
      <c r="AH6" s="11">
        <f t="shared" si="3"/>
        <v>32072.043487559367</v>
      </c>
      <c r="AI6" s="11">
        <f t="shared" si="3"/>
        <v>34158.139097713778</v>
      </c>
      <c r="AK6" s="63" t="s">
        <v>240</v>
      </c>
      <c r="AL6" s="11">
        <f>'Income Statement'!AM18+'Income Statement'!AM14+'Income Statement'!AM15</f>
        <v>11521.240000000014</v>
      </c>
      <c r="AM6" s="110">
        <f>(AVERAGE('Income Statement'!AK18:AM18)+AVERAGE('Income Statement'!AK14:AM14)+AVERAGE('Income Statement'!AK15:AM15))/AVERAGE('Income Statement'!AK8:AM8)</f>
        <v>0.10383110320749418</v>
      </c>
      <c r="AN6" s="11">
        <f>AN5*$AM$6</f>
        <v>11667.61560167192</v>
      </c>
      <c r="AO6" s="11">
        <f t="shared" ref="AO6:AR6" si="4">AO5*$AM$6</f>
        <v>12685.543798986713</v>
      </c>
      <c r="AP6" s="11">
        <f t="shared" si="4"/>
        <v>13792.280014174507</v>
      </c>
      <c r="AQ6" s="11">
        <f t="shared" si="4"/>
        <v>14995.572204369535</v>
      </c>
      <c r="AR6" s="11">
        <f t="shared" si="4"/>
        <v>16303.844288642726</v>
      </c>
      <c r="AT6" s="63" t="s">
        <v>240</v>
      </c>
      <c r="AU6" s="11">
        <f>'Income Statement'!AU23+'Income Statement'!AU19+'Income Statement'!AU20</f>
        <v>9741.99</v>
      </c>
      <c r="AV6" s="110">
        <f>(AVERAGE('Income Statement'!AP23:AU23)+AVERAGE('Income Statement'!AP19:AU19)+AVERAGE('Income Statement'!AP20:AU20))/AVERAGE('Income Statement'!AP8:AU8)</f>
        <v>0.44729962677869084</v>
      </c>
      <c r="AW6" s="11">
        <f>AW5*$AV$6</f>
        <v>12894.322655283757</v>
      </c>
      <c r="AX6" s="11">
        <f t="shared" ref="AX6:BA6" si="5">AX5*$AV$6</f>
        <v>14577.334085472645</v>
      </c>
      <c r="AY6" s="11">
        <f t="shared" si="5"/>
        <v>16480.017967629046</v>
      </c>
      <c r="AZ6" s="11">
        <f t="shared" si="5"/>
        <v>18631.046707232705</v>
      </c>
      <c r="BA6" s="11">
        <f t="shared" si="5"/>
        <v>21062.835130939216</v>
      </c>
    </row>
    <row r="7" spans="1:53" x14ac:dyDescent="0.3">
      <c r="A7" s="2" t="s">
        <v>241</v>
      </c>
      <c r="B7" s="11">
        <f>'Income Statement'!G32</f>
        <v>11664.09</v>
      </c>
      <c r="C7" s="110">
        <f>WACC!B11</f>
        <v>0.24835078170062339</v>
      </c>
      <c r="D7" s="11">
        <f>D6*$C$7</f>
        <v>12530.24732782405</v>
      </c>
      <c r="E7" s="11">
        <f t="shared" ref="E7:H7" si="6">E6*$C$7</f>
        <v>13392.453805504794</v>
      </c>
      <c r="F7" s="11">
        <f t="shared" si="6"/>
        <v>14313.988721859201</v>
      </c>
      <c r="G7" s="11">
        <f t="shared" si="6"/>
        <v>15298.934467505494</v>
      </c>
      <c r="H7" s="11">
        <f t="shared" si="6"/>
        <v>16351.65434241215</v>
      </c>
      <c r="J7" s="63" t="s">
        <v>241</v>
      </c>
      <c r="K7" s="11">
        <f>'Income Statement'!O23</f>
        <v>3200</v>
      </c>
      <c r="L7" s="110">
        <f>WACC!C11</f>
        <v>0.23611008632775032</v>
      </c>
      <c r="M7" s="11">
        <f>M6*$L$7</f>
        <v>4805.3397433317077</v>
      </c>
      <c r="N7" s="11">
        <f t="shared" ref="N7:Q7" si="7">N6*$L$7</f>
        <v>5255.2955993529777</v>
      </c>
      <c r="O7" s="11">
        <f t="shared" si="7"/>
        <v>5747.3838087939585</v>
      </c>
      <c r="P7" s="11">
        <f t="shared" si="7"/>
        <v>6285.5495035624344</v>
      </c>
      <c r="Q7" s="11">
        <f t="shared" si="7"/>
        <v>6874.1072244528614</v>
      </c>
      <c r="S7" s="63" t="s">
        <v>241</v>
      </c>
      <c r="T7" s="11">
        <f>'Income Statement'!W30</f>
        <v>1586</v>
      </c>
      <c r="U7" s="110">
        <f>WACC!D11</f>
        <v>0.31238920622414812</v>
      </c>
      <c r="V7" s="11">
        <f>V6*$U$7</f>
        <v>10906.605424543559</v>
      </c>
      <c r="W7" s="11">
        <f t="shared" ref="W7:Z7" si="8">W6*$U$7</f>
        <v>12525.99581034193</v>
      </c>
      <c r="X7" s="11">
        <f t="shared" si="8"/>
        <v>14385.829956553129</v>
      </c>
      <c r="Y7" s="11">
        <f t="shared" si="8"/>
        <v>16521.808459172084</v>
      </c>
      <c r="Z7" s="11">
        <f t="shared" si="8"/>
        <v>18974.932665405588</v>
      </c>
      <c r="AB7" s="63" t="s">
        <v>241</v>
      </c>
      <c r="AC7" s="11">
        <f>'Income Statement'!AE34</f>
        <v>5239.09</v>
      </c>
      <c r="AD7" s="110">
        <f>AVERAGE('Income Statement'!Z34:AE34)/AVERAGE('Income Statement'!Z30:AE30)</f>
        <v>0.34856394735206869</v>
      </c>
      <c r="AE7" s="11">
        <f>AE6*$AD$7</f>
        <v>9253.5075892162185</v>
      </c>
      <c r="AF7" s="11">
        <f t="shared" ref="AF7:AI7" si="9">AF6*$AD$7</f>
        <v>9855.3932023946327</v>
      </c>
      <c r="AG7" s="11">
        <f t="shared" si="9"/>
        <v>10496.427893677585</v>
      </c>
      <c r="AH7" s="11">
        <f t="shared" si="9"/>
        <v>11179.158077670902</v>
      </c>
      <c r="AI7" s="11">
        <f t="shared" si="9"/>
        <v>11906.295798100144</v>
      </c>
      <c r="AK7" s="63" t="s">
        <v>241</v>
      </c>
      <c r="AL7" s="11">
        <f>AL6*AM7</f>
        <v>3117.1726741564648</v>
      </c>
      <c r="AM7" s="110">
        <f>WACC!F11</f>
        <v>0.27055878309595677</v>
      </c>
      <c r="AN7" s="11">
        <f>AN6*$AM$7</f>
        <v>3156.7758788197539</v>
      </c>
      <c r="AO7" s="11">
        <f t="shared" ref="AO7:AR7" si="10">AO6*$AM$7</f>
        <v>3432.1852931643057</v>
      </c>
      <c r="AP7" s="11">
        <f t="shared" si="10"/>
        <v>3731.6224967537401</v>
      </c>
      <c r="AQ7" s="11">
        <f t="shared" si="10"/>
        <v>4057.1837674417752</v>
      </c>
      <c r="AR7" s="11">
        <f t="shared" si="10"/>
        <v>4411.1482705211411</v>
      </c>
      <c r="AT7" s="63" t="s">
        <v>241</v>
      </c>
      <c r="AU7" s="11">
        <f>AU6*Table2239[[#This Row],[Growth/Ratio]]</f>
        <v>2774.4762719805244</v>
      </c>
      <c r="AV7" s="110">
        <f>WACC!G11</f>
        <v>0.28479563949260106</v>
      </c>
      <c r="AW7" s="11">
        <f>AW6*$AV$7</f>
        <v>3672.2468664354715</v>
      </c>
      <c r="AX7" s="11">
        <f t="shared" ref="AX7:BA7" si="11">AX6*$AV$7</f>
        <v>4151.5611829694726</v>
      </c>
      <c r="AY7" s="11">
        <f t="shared" si="11"/>
        <v>4693.4372559404701</v>
      </c>
      <c r="AZ7" s="11">
        <f t="shared" si="11"/>
        <v>5306.0408614028574</v>
      </c>
      <c r="BA7" s="11">
        <f t="shared" si="11"/>
        <v>5998.6036006430577</v>
      </c>
    </row>
    <row r="8" spans="1:53" x14ac:dyDescent="0.3">
      <c r="A8" s="2" t="s">
        <v>242</v>
      </c>
      <c r="B8" s="11">
        <f>B6-B7</f>
        <v>44868.979999999996</v>
      </c>
      <c r="C8" s="11"/>
      <c r="D8" s="11">
        <f t="shared" ref="D8:H8" si="12">D6-D7</f>
        <v>37923.579481260633</v>
      </c>
      <c r="E8" s="11">
        <f t="shared" si="12"/>
        <v>40533.101466750573</v>
      </c>
      <c r="F8" s="11">
        <f t="shared" si="12"/>
        <v>43322.184693186151</v>
      </c>
      <c r="G8" s="11">
        <f t="shared" si="12"/>
        <v>46303.184771836088</v>
      </c>
      <c r="H8" s="11">
        <f t="shared" si="12"/>
        <v>49489.307503737364</v>
      </c>
      <c r="J8" s="63" t="s">
        <v>242</v>
      </c>
      <c r="K8" s="11">
        <f>K6-K7</f>
        <v>15088</v>
      </c>
      <c r="L8" s="11"/>
      <c r="M8" s="11">
        <f t="shared" ref="M8:Q8" si="13">M6-M7</f>
        <v>15546.775738347864</v>
      </c>
      <c r="N8" s="11">
        <f t="shared" si="13"/>
        <v>17002.523543781681</v>
      </c>
      <c r="O8" s="11">
        <f t="shared" si="13"/>
        <v>18594.582678888703</v>
      </c>
      <c r="P8" s="11">
        <f t="shared" si="13"/>
        <v>20335.716878244337</v>
      </c>
      <c r="Q8" s="11">
        <f t="shared" si="13"/>
        <v>22239.885029612647</v>
      </c>
      <c r="S8" s="63" t="s">
        <v>242</v>
      </c>
      <c r="T8" s="11">
        <f>T6-T7</f>
        <v>22012</v>
      </c>
      <c r="U8" s="11"/>
      <c r="V8" s="11">
        <f t="shared" ref="V8:Z8" si="14">V6-V7</f>
        <v>24006.910174704644</v>
      </c>
      <c r="W8" s="11">
        <f t="shared" si="14"/>
        <v>27571.40691923309</v>
      </c>
      <c r="X8" s="11">
        <f t="shared" si="14"/>
        <v>31665.152823661396</v>
      </c>
      <c r="Y8" s="11">
        <f t="shared" si="14"/>
        <v>36366.729716878777</v>
      </c>
      <c r="Z8" s="11">
        <f t="shared" si="14"/>
        <v>41766.387096425533</v>
      </c>
      <c r="AB8" s="63" t="s">
        <v>242</v>
      </c>
      <c r="AC8" s="11">
        <f>AC6-AC7</f>
        <v>21790.700000000037</v>
      </c>
      <c r="AD8" s="110"/>
      <c r="AE8" s="11">
        <f>AE6-AE7</f>
        <v>17294.010189120359</v>
      </c>
      <c r="AF8" s="11">
        <f t="shared" ref="AF8:AI8" si="15">AF6-AF7</f>
        <v>18418.8826579259</v>
      </c>
      <c r="AG8" s="11">
        <f t="shared" si="15"/>
        <v>19616.921388184939</v>
      </c>
      <c r="AH8" s="11">
        <f t="shared" si="15"/>
        <v>20892.885409888466</v>
      </c>
      <c r="AI8" s="11">
        <f t="shared" si="15"/>
        <v>22251.843299613633</v>
      </c>
      <c r="AK8" s="63" t="s">
        <v>242</v>
      </c>
      <c r="AL8" s="11">
        <f>AL6-AL7</f>
        <v>8404.067325843549</v>
      </c>
      <c r="AM8" s="110"/>
      <c r="AN8" s="11">
        <f>AN6-AN7</f>
        <v>8510.8397228521662</v>
      </c>
      <c r="AO8" s="11">
        <f t="shared" ref="AO8:AR8" si="16">AO6-AO7</f>
        <v>9253.3585058224071</v>
      </c>
      <c r="AP8" s="11">
        <f t="shared" si="16"/>
        <v>10060.657517420766</v>
      </c>
      <c r="AQ8" s="11">
        <f t="shared" si="16"/>
        <v>10938.38843692776</v>
      </c>
      <c r="AR8" s="11">
        <f t="shared" si="16"/>
        <v>11892.696018121584</v>
      </c>
      <c r="AT8" s="63" t="s">
        <v>242</v>
      </c>
      <c r="AU8" s="11">
        <f>AU6-AU7</f>
        <v>6967.5137280194758</v>
      </c>
      <c r="AV8" s="110"/>
      <c r="AW8" s="11">
        <f>AW6-AW7</f>
        <v>9222.0757888482858</v>
      </c>
      <c r="AX8" s="11">
        <f t="shared" ref="AX8:BA8" si="17">AX6-AX7</f>
        <v>10425.772902503173</v>
      </c>
      <c r="AY8" s="11">
        <f t="shared" si="17"/>
        <v>11786.580711688577</v>
      </c>
      <c r="AZ8" s="11">
        <f t="shared" si="17"/>
        <v>13325.005845829848</v>
      </c>
      <c r="BA8" s="11">
        <f t="shared" si="17"/>
        <v>15064.231530296158</v>
      </c>
    </row>
    <row r="9" spans="1:53" x14ac:dyDescent="0.3">
      <c r="A9" s="2" t="s">
        <v>243</v>
      </c>
      <c r="B9" s="11">
        <f>'Income Statement'!G20</f>
        <v>9145.49</v>
      </c>
      <c r="C9" s="110">
        <f>AVERAGE('Income Statement'!C20:G20)/AVERAGE(Table8[[#This Row],[2021]:[2025]])</f>
        <v>4.3621589664406747E-2</v>
      </c>
      <c r="D9" s="11">
        <f>D5*$C$9</f>
        <v>7125.8410795037043</v>
      </c>
      <c r="E9" s="11">
        <f t="shared" ref="E9:H9" si="18">E5*$C$9</f>
        <v>7616.1702946364894</v>
      </c>
      <c r="F9" s="11">
        <f t="shared" si="18"/>
        <v>8140.2390692865738</v>
      </c>
      <c r="G9" s="11">
        <f t="shared" si="18"/>
        <v>8700.3690229726162</v>
      </c>
      <c r="H9" s="11">
        <f t="shared" si="18"/>
        <v>9299.0415258818284</v>
      </c>
      <c r="J9" s="63" t="s">
        <v>243</v>
      </c>
      <c r="K9" s="11">
        <f>'Income Statement'!O13</f>
        <v>3640</v>
      </c>
      <c r="L9" s="110">
        <f>AVERAGE('Income Statement'!J13:O13)/AVERAGE(Table9[[#This Row],[2020]:[2025]])</f>
        <v>0.10274882485182914</v>
      </c>
      <c r="M9" s="11">
        <f>M5*$L$9</f>
        <v>3940.362188473915</v>
      </c>
      <c r="N9" s="11">
        <f t="shared" ref="N9:Q9" si="19">N5*$L$9</f>
        <v>4309.324454671425</v>
      </c>
      <c r="O9" s="11">
        <f t="shared" si="19"/>
        <v>4712.8351068715738</v>
      </c>
      <c r="P9" s="11">
        <f t="shared" si="19"/>
        <v>5154.1291397736532</v>
      </c>
      <c r="Q9" s="11">
        <f t="shared" si="19"/>
        <v>5636.7444621032027</v>
      </c>
      <c r="S9" s="63" t="s">
        <v>243</v>
      </c>
      <c r="T9" s="11">
        <f>'Income Statement'!W19</f>
        <v>9309</v>
      </c>
      <c r="U9" s="110">
        <f>AVERAGE('Income Statement'!R19:W19)/AVERAGE('Income Statement'!R11:W11)</f>
        <v>4.8950379454121215E-2</v>
      </c>
      <c r="V9" s="11">
        <f>V5*$U$9</f>
        <v>9530.0360399275687</v>
      </c>
      <c r="W9" s="11">
        <f t="shared" ref="W9:Z9" si="20">W5*$U$9</f>
        <v>10945.036229137821</v>
      </c>
      <c r="X9" s="11">
        <f t="shared" si="20"/>
        <v>12570.132741916672</v>
      </c>
      <c r="Y9" s="11">
        <f t="shared" si="20"/>
        <v>14436.520249129628</v>
      </c>
      <c r="Z9" s="11">
        <f t="shared" si="20"/>
        <v>16580.025142340008</v>
      </c>
      <c r="AB9" s="63" t="s">
        <v>243</v>
      </c>
      <c r="AC9" s="11">
        <f>'Income Statement'!AE15</f>
        <v>10421.33</v>
      </c>
      <c r="AD9" s="110">
        <f>AVERAGE('Income Statement'!Z15:AE15)/AVERAGE('Income Statement'!Z8:AE8)</f>
        <v>4.5410826151334446E-2</v>
      </c>
      <c r="AE9" s="11">
        <f>AE5*$AD$9</f>
        <v>10644.212837261313</v>
      </c>
      <c r="AF9" s="11">
        <f t="shared" ref="AF9:AI9" si="21">AF5*$AD$9</f>
        <v>11336.555552560174</v>
      </c>
      <c r="AG9" s="11">
        <f t="shared" si="21"/>
        <v>12073.931042264805</v>
      </c>
      <c r="AH9" s="11">
        <f t="shared" si="21"/>
        <v>12859.268420419265</v>
      </c>
      <c r="AI9" s="11">
        <f t="shared" si="21"/>
        <v>13695.687322508849</v>
      </c>
      <c r="AK9" s="63" t="s">
        <v>243</v>
      </c>
      <c r="AL9" s="11">
        <f>'Income Statement'!AM15</f>
        <v>5650.68</v>
      </c>
      <c r="AM9" s="110">
        <f>AVERAGE('Income Statement'!AH15:AM15)/AVERAGE('Income Statement'!AH8:AM8)</f>
        <v>5.0764867833310516E-2</v>
      </c>
      <c r="AN9" s="11">
        <f>AN5*$AM$9</f>
        <v>5704.5041962531723</v>
      </c>
      <c r="AO9" s="11">
        <f t="shared" ref="AO9:AR9" si="22">AO5*$AM$9</f>
        <v>6202.1873451764686</v>
      </c>
      <c r="AP9" s="11">
        <f t="shared" si="22"/>
        <v>6743.2903090742029</v>
      </c>
      <c r="AQ9" s="11">
        <f t="shared" si="22"/>
        <v>7331.601201601602</v>
      </c>
      <c r="AR9" s="11">
        <f t="shared" si="22"/>
        <v>7971.2386261931251</v>
      </c>
      <c r="AT9" s="63" t="s">
        <v>243</v>
      </c>
      <c r="AU9" s="11">
        <f>'Income Statement'!AU20</f>
        <v>420.42</v>
      </c>
      <c r="AV9" s="110">
        <f>AVERAGE('Income Statement'!AP20:AU20)/AVERAGE('Income Statement'!AP8:AU8)</f>
        <v>1.5824910159132542E-2</v>
      </c>
      <c r="AW9" s="11">
        <f>AW5*$AV$9</f>
        <v>456.18526233130706</v>
      </c>
      <c r="AX9" s="11">
        <f t="shared" ref="AX9:BA9" si="23">AX5*$AV$9</f>
        <v>515.7281349049739</v>
      </c>
      <c r="AY9" s="11">
        <f t="shared" si="23"/>
        <v>583.04274840732751</v>
      </c>
      <c r="AZ9" s="11">
        <f t="shared" si="23"/>
        <v>659.1434972478396</v>
      </c>
      <c r="BA9" s="11">
        <f t="shared" si="23"/>
        <v>745.17717809017608</v>
      </c>
    </row>
    <row r="10" spans="1:53" x14ac:dyDescent="0.3">
      <c r="A10" s="2" t="s">
        <v>185</v>
      </c>
      <c r="B10" s="11">
        <f>-'Cash Flow Statement'!G7</f>
        <v>12803.58</v>
      </c>
      <c r="C10" s="110">
        <f>ABS(AVERAGE('Cash Flow Statement'!B7:G7))/AVERAGE('Income Statement'!B9:G9)</f>
        <v>9.3564882710169175E-2</v>
      </c>
      <c r="D10" s="11">
        <f>D5*$C$10</f>
        <v>15284.369275498684</v>
      </c>
      <c r="E10" s="11">
        <f t="shared" ref="E10:H10" si="24">E5*$C$10</f>
        <v>16336.086919358471</v>
      </c>
      <c r="F10" s="11">
        <f t="shared" si="24"/>
        <v>17460.173267642269</v>
      </c>
      <c r="G10" s="11">
        <f t="shared" si="24"/>
        <v>18661.608011820106</v>
      </c>
      <c r="H10" s="11">
        <f t="shared" si="24"/>
        <v>19945.713495995278</v>
      </c>
      <c r="J10" s="63" t="s">
        <v>185</v>
      </c>
      <c r="K10" s="11">
        <f>-'Cash Flow Statement'!O6</f>
        <v>4006</v>
      </c>
      <c r="L10" s="110">
        <f>ABS(AVERAGE('Cash Flow Statement'!J6:O6))/AVERAGE('Income Statement'!J9:O9)</f>
        <v>0.11665758339578082</v>
      </c>
      <c r="M10" s="11">
        <f>M5*$L$10</f>
        <v>4473.7556003619247</v>
      </c>
      <c r="N10" s="11">
        <f t="shared" ref="N10:Q10" si="25">N5*$L$10</f>
        <v>4892.6630321588545</v>
      </c>
      <c r="O10" s="11">
        <f t="shared" si="25"/>
        <v>5350.7955473288011</v>
      </c>
      <c r="P10" s="11">
        <f t="shared" si="25"/>
        <v>5851.8260507878231</v>
      </c>
      <c r="Q10" s="11">
        <f t="shared" si="25"/>
        <v>6399.7713659184883</v>
      </c>
      <c r="S10" s="63" t="s">
        <v>185</v>
      </c>
      <c r="T10" s="11">
        <f>-'Cash Flow Statement'!W6</f>
        <v>12694</v>
      </c>
      <c r="U10" s="110">
        <f>ABS(AVERAGE('Cash Flow Statement'!R6:W6))/AVERAGE('Income Statement'!R11:W11)</f>
        <v>9.2593433596449351E-2</v>
      </c>
      <c r="V10" s="11">
        <f>V5*$U$10</f>
        <v>18026.801203080566</v>
      </c>
      <c r="W10" s="11">
        <f t="shared" ref="W10:Z10" si="26">W5*$U$10</f>
        <v>20703.383642679444</v>
      </c>
      <c r="X10" s="11">
        <f t="shared" si="26"/>
        <v>23777.379548775356</v>
      </c>
      <c r="Y10" s="11">
        <f t="shared" si="26"/>
        <v>27307.796057115942</v>
      </c>
      <c r="Z10" s="11">
        <f t="shared" si="26"/>
        <v>31362.401561842624</v>
      </c>
      <c r="AB10" s="63" t="s">
        <v>185</v>
      </c>
      <c r="AC10" s="11">
        <f>-'Cash Flow Statement'!AE6</f>
        <v>15670.52</v>
      </c>
      <c r="AD10" s="110">
        <f>ABS(AVERAGE('Cash Flow Statement'!Z6:AE6))/AVERAGE('Income Statement'!Z8:AE8)</f>
        <v>6.0823294774541535E-2</v>
      </c>
      <c r="AE10" s="11">
        <f>AE5*$AD$10</f>
        <v>14256.866697076794</v>
      </c>
      <c r="AF10" s="11">
        <f t="shared" ref="AF10:AI10" si="27">AF5*$AD$10</f>
        <v>15184.19105178668</v>
      </c>
      <c r="AG10" s="11">
        <f t="shared" si="27"/>
        <v>16171.832338478152</v>
      </c>
      <c r="AH10" s="11">
        <f t="shared" si="27"/>
        <v>17223.713814709576</v>
      </c>
      <c r="AI10" s="11">
        <f t="shared" si="27"/>
        <v>18344.01392260132</v>
      </c>
      <c r="AK10" s="63" t="s">
        <v>185</v>
      </c>
      <c r="AL10" s="11">
        <f>-'Cash Flow Statement'!AM6</f>
        <v>6221.15</v>
      </c>
      <c r="AM10" s="110">
        <f>ABS(AVERAGE('Cash Flow Statement'!AH6:AM6))/AVERAGE('Income Statement'!AH8:AM8)</f>
        <v>4.8808456239480186E-2</v>
      </c>
      <c r="AN10" s="11">
        <f>AN5*$AM$10</f>
        <v>5484.6600673715766</v>
      </c>
      <c r="AO10" s="11">
        <f t="shared" ref="AO10:AR10" si="28">AO5*$AM$10</f>
        <v>5963.1631588227528</v>
      </c>
      <c r="AP10" s="11">
        <f t="shared" si="28"/>
        <v>6483.4127223826472</v>
      </c>
      <c r="AQ10" s="11">
        <f t="shared" si="28"/>
        <v>7049.0508827619678</v>
      </c>
      <c r="AR10" s="11">
        <f t="shared" si="28"/>
        <v>7664.0375178069162</v>
      </c>
      <c r="AT10" s="63" t="s">
        <v>185</v>
      </c>
      <c r="AU10" s="11">
        <f>-'Cash Flow Statement'!AU6</f>
        <v>3230.34</v>
      </c>
      <c r="AV10" s="110">
        <f>ABS(AVERAGE('Cash Flow Statement'!AP6:AU6))/AVERAGE('Income Statement'!AP8:AU8)</f>
        <v>9.6531811742572152E-2</v>
      </c>
      <c r="AW10" s="11">
        <f>AW5*$AV$10</f>
        <v>2782.7260578593718</v>
      </c>
      <c r="AX10" s="11">
        <f t="shared" ref="AX10:BA10" si="29">AX5*$AV$10</f>
        <v>3145.9370529357725</v>
      </c>
      <c r="AY10" s="11">
        <f t="shared" si="29"/>
        <v>3556.5555988099941</v>
      </c>
      <c r="AZ10" s="11">
        <f t="shared" si="29"/>
        <v>4020.7694923910349</v>
      </c>
      <c r="BA10" s="11">
        <f t="shared" si="29"/>
        <v>4545.5741831652294</v>
      </c>
    </row>
    <row r="11" spans="1:53" x14ac:dyDescent="0.3">
      <c r="A11" s="2" t="s">
        <v>244</v>
      </c>
      <c r="B11" s="11">
        <f>'Balance Sheet'!G54-'Balance Sheet'!F54</f>
        <v>-11159.049999999996</v>
      </c>
      <c r="C11" s="110">
        <f>AVERAGE('Balance Sheet'!B54:G54)/AVERAGE('Income Statement'!B9:G9)</f>
        <v>0.28507894446760956</v>
      </c>
      <c r="D11" s="11" cm="1">
        <f t="array" ref="D11">Table44[2026]-'Balance Sheet'!G54</f>
        <v>15117.538203052507</v>
      </c>
      <c r="E11" s="11" cm="1">
        <f t="array" ref="E11">Table44[2027]-Table44[2026]</f>
        <v>3204.4346885813284</v>
      </c>
      <c r="F11" s="11" cm="1">
        <f t="array" ref="F11">Table44[2028]-Table44[2027]</f>
        <v>3424.9318801782283</v>
      </c>
      <c r="G11" s="11" cm="1">
        <f t="array" ref="G11">Table44[2029]-Table44[2028]</f>
        <v>3660.6014863277887</v>
      </c>
      <c r="H11" s="11" cm="1">
        <f t="array" ref="H11">Table44[2030]-Table44[2029]</f>
        <v>3912.4875210679893</v>
      </c>
      <c r="J11" s="63" t="s">
        <v>244</v>
      </c>
      <c r="K11" s="11">
        <f>'Balance Sheet'!O51-'Balance Sheet'!N51</f>
        <v>-1357</v>
      </c>
      <c r="L11" s="110">
        <f>AVERAGE('Balance Sheet'!N51:O51)/AVERAGE('Income Statement'!N9:O9)</f>
        <v>3.3977747725596259E-2</v>
      </c>
      <c r="M11" s="11" cm="1">
        <f t="array" ref="M11">Table4446[2026]-'Balance Sheet'!O51</f>
        <v>876.02835658233471</v>
      </c>
      <c r="N11" s="11" cm="1">
        <f t="array" ref="N11">Table4446[2027]-Table4446[2026]</f>
        <v>122.01119398885362</v>
      </c>
      <c r="O11" s="11" cm="1">
        <f t="array" ref="O11">Table4446[2028]-Table4446[2027]</f>
        <v>133.43591194175497</v>
      </c>
      <c r="P11" s="11" cm="1">
        <f t="array" ref="P11">Table4446[2029]-Table4446[2028]</f>
        <v>145.93040206912792</v>
      </c>
      <c r="Q11" s="11" cm="1">
        <f t="array" ref="Q11">Table4446[2030]-Table4446[2029]</f>
        <v>159.59483424037262</v>
      </c>
      <c r="S11" s="63" t="s">
        <v>244</v>
      </c>
      <c r="T11" s="11">
        <f>'Balance Sheet'!W63-'Balance Sheet'!V63</f>
        <v>11641</v>
      </c>
      <c r="U11" s="110">
        <f>AVERAGE('Balance Sheet'!U63:W63)/AVERAGE(Table10[[#This Row],[2023]:[2025]])</f>
        <v>1.3201487557510175E-2</v>
      </c>
      <c r="V11" s="11" cm="1">
        <f t="array" ref="V11">Table444647[2026]-'Balance Sheet'!W63</f>
        <v>-7539.8329531511908</v>
      </c>
      <c r="W11" s="11" cm="1">
        <f t="array" ref="W11">Table444647[2027]-Table444647[2026]</f>
        <v>381.6131274169511</v>
      </c>
      <c r="X11" s="11" cm="1">
        <f t="array" ref="X11">Table444647[2028]-Table444647[2027]</f>
        <v>438.27426125083821</v>
      </c>
      <c r="Y11" s="11" cm="1">
        <f t="array" ref="Y11">Table444647[2029]-Table444647[2028]</f>
        <v>503.34832392989483</v>
      </c>
      <c r="Z11" s="11" cm="1">
        <f t="array" ref="Z11">Table444647[2030]-Table444647[2029]</f>
        <v>578.08444986010454</v>
      </c>
      <c r="AB11" s="63" t="s">
        <v>244</v>
      </c>
      <c r="AC11" s="11">
        <f>'Balance Sheet'!AE71-'Balance Sheet'!AD71</f>
        <v>10197.880000000019</v>
      </c>
      <c r="AD11" s="110">
        <f>AVERAGE('Balance Sheet'!AC71:AE71)/AVERAGE('Income Statement'!AC8:AE8)</f>
        <v>-8.0941347511069198E-2</v>
      </c>
      <c r="AE11" s="11" cm="1">
        <f t="array" ref="AE11">Table44464748[2026]-'Balance Sheet'!AE71</f>
        <v>-1270.4906845583282</v>
      </c>
      <c r="AF11" s="11" cm="1">
        <f t="array" ref="AF11">Table44464748[2027]-Table44464748[2026]</f>
        <v>-1234.0482890359308</v>
      </c>
      <c r="AG11" s="11" cm="1">
        <f t="array" ref="AG11">Table44464748[2028]-Table44464748[2027]</f>
        <v>-1314.3157880331491</v>
      </c>
      <c r="AH11" s="11" cm="1">
        <f t="array" ref="AH11">Table44464748[2029]-Table44464748[2028]</f>
        <v>-1399.8042102734107</v>
      </c>
      <c r="AI11" s="11" cm="1">
        <f t="array" ref="AI11">Table44464748[2030]-Table44464748[2029]</f>
        <v>-1490.8531457508107</v>
      </c>
      <c r="AK11" s="63" t="s">
        <v>244</v>
      </c>
      <c r="AL11" s="11">
        <f>'Balance Sheet'!AM62-'Balance Sheet'!AL62</f>
        <v>1025.1200000000026</v>
      </c>
      <c r="AM11" s="110">
        <f>AVERAGE('Balance Sheet'!AL62:AM62)/AVERAGE('Income Statement'!AL8:AM8)</f>
        <v>-4.5893081285559585E-2</v>
      </c>
      <c r="AN11" s="11" cm="1">
        <f t="array" ref="AN11">Table4446474849[2026]-'Balance Sheet'!AM62</f>
        <v>-855.44616790118653</v>
      </c>
      <c r="AO11" s="11" cm="1">
        <f t="array" ref="AO11">Table4446474849[2027]-Table4446474849[2026]</f>
        <v>-449.92165217463662</v>
      </c>
      <c r="AP11" s="11" cm="1">
        <f t="array" ref="AP11">Table4446474849[2028]-Table4446474849[2027]</f>
        <v>-489.17456827733986</v>
      </c>
      <c r="AQ11" s="11" cm="1">
        <f t="array" ref="AQ11">Table4446474849[2029]-Table4446474849[2028]</f>
        <v>-531.85206155946707</v>
      </c>
      <c r="AR11" s="11" cm="1">
        <f t="array" ref="AR11">Table4446474849[2030]-Table4446474849[2029]</f>
        <v>-578.25290546315227</v>
      </c>
      <c r="AT11" s="63" t="s">
        <v>244</v>
      </c>
      <c r="AU11" s="11">
        <f>'Balance Sheet'!AU51-'Balance Sheet'!AT51</f>
        <v>832.85999999999876</v>
      </c>
      <c r="AV11" s="110">
        <f>AVERAGE('Balance Sheet'!AP51:AU51)/AVERAGE('Income Statement'!AP8:AU8)</f>
        <v>0.47414811819615127</v>
      </c>
      <c r="AW11" s="11" cm="1">
        <f t="array" ref="AW11">Table444647484950[2026]-'Balance Sheet'!AU51</f>
        <v>-40.034903393572677</v>
      </c>
      <c r="AX11" s="11" cm="1">
        <f t="array" ref="AX11">Table444647484950[2027]-Table444647484950[2026]</f>
        <v>1784.0316753080988</v>
      </c>
      <c r="AY11" s="11" cm="1">
        <f t="array" ref="AY11">Table444647484950[2028]-Table444647484950[2027]</f>
        <v>2016.8896378108566</v>
      </c>
      <c r="AZ11" s="11" cm="1">
        <f t="array" ref="AZ11">Table444647484950[2029]-Table444647484950[2028]</f>
        <v>2280.1410240691512</v>
      </c>
      <c r="BA11" s="11" cm="1">
        <f t="array" ref="BA11">Table444647484950[2030]-Table444647484950[2029]</f>
        <v>2577.7528884952735</v>
      </c>
    </row>
    <row r="12" spans="1:53" x14ac:dyDescent="0.3">
      <c r="A12" s="113" t="s">
        <v>245</v>
      </c>
      <c r="B12" s="114">
        <f>B8+B9-B10-B11</f>
        <v>52369.939999999988</v>
      </c>
      <c r="C12" s="114"/>
      <c r="D12" s="114">
        <f t="shared" ref="D12:H12" si="30">D8+D9-D10-D11</f>
        <v>14647.513082213147</v>
      </c>
      <c r="E12" s="114">
        <f t="shared" si="30"/>
        <v>28608.750153447261</v>
      </c>
      <c r="F12" s="114">
        <f t="shared" si="30"/>
        <v>30577.318614652228</v>
      </c>
      <c r="G12" s="114">
        <f t="shared" si="30"/>
        <v>32681.344296660805</v>
      </c>
      <c r="H12" s="114">
        <f t="shared" si="30"/>
        <v>34930.148012555917</v>
      </c>
      <c r="J12" s="64" t="s">
        <v>245</v>
      </c>
      <c r="K12" s="66">
        <f>K8+K9-K10-K11</f>
        <v>16079</v>
      </c>
      <c r="L12" s="66"/>
      <c r="M12" s="66">
        <f t="shared" ref="M12:Q12" si="31">M8+M9-M10-M11</f>
        <v>14137.35396987752</v>
      </c>
      <c r="N12" s="66">
        <f t="shared" si="31"/>
        <v>16297.173772305401</v>
      </c>
      <c r="O12" s="66">
        <f t="shared" si="31"/>
        <v>17823.186326489718</v>
      </c>
      <c r="P12" s="66">
        <f t="shared" si="31"/>
        <v>19492.089565161041</v>
      </c>
      <c r="Q12" s="66">
        <f t="shared" si="31"/>
        <v>21317.263291556992</v>
      </c>
      <c r="S12" s="64" t="s">
        <v>245</v>
      </c>
      <c r="T12" s="66">
        <f>T8+T9-T10-T11</f>
        <v>6986</v>
      </c>
      <c r="U12" s="66"/>
      <c r="V12" s="66">
        <f t="shared" ref="V12:Z12" si="32">V8+V9-V10-V11</f>
        <v>23049.977964702837</v>
      </c>
      <c r="W12" s="66">
        <f t="shared" si="32"/>
        <v>17431.446378274515</v>
      </c>
      <c r="X12" s="66">
        <f t="shared" si="32"/>
        <v>20019.631755551873</v>
      </c>
      <c r="Y12" s="66">
        <f t="shared" si="32"/>
        <v>22992.10558496257</v>
      </c>
      <c r="Z12" s="66">
        <f t="shared" si="32"/>
        <v>26405.92622706281</v>
      </c>
      <c r="AB12" s="64" t="s">
        <v>245</v>
      </c>
      <c r="AC12" s="66">
        <f>AC8+AC9-AC10-AC11</f>
        <v>6343.6300000000156</v>
      </c>
      <c r="AD12" s="66"/>
      <c r="AE12" s="66">
        <f t="shared" ref="AE12:AI12" si="33">AE8+AE9-AE10-AE11</f>
        <v>14951.847013863209</v>
      </c>
      <c r="AF12" s="66">
        <f t="shared" si="33"/>
        <v>15805.295447735325</v>
      </c>
      <c r="AG12" s="66">
        <f t="shared" si="33"/>
        <v>16833.335880004743</v>
      </c>
      <c r="AH12" s="66">
        <f t="shared" si="33"/>
        <v>17928.244225871567</v>
      </c>
      <c r="AI12" s="66">
        <f t="shared" si="33"/>
        <v>19094.369845271973</v>
      </c>
      <c r="AK12" s="64" t="s">
        <v>245</v>
      </c>
      <c r="AL12" s="66">
        <f>AL8+AL9-AL10-AL11</f>
        <v>6808.4773258435471</v>
      </c>
      <c r="AM12" s="66"/>
      <c r="AN12" s="66">
        <f t="shared" ref="AN12:AR12" si="34">AN8+AN9-AN10-AN11</f>
        <v>9586.1300196349475</v>
      </c>
      <c r="AO12" s="66">
        <f t="shared" si="34"/>
        <v>9942.3043443507577</v>
      </c>
      <c r="AP12" s="66">
        <f t="shared" si="34"/>
        <v>10809.709672389661</v>
      </c>
      <c r="AQ12" s="66">
        <f t="shared" si="34"/>
        <v>11752.790817326862</v>
      </c>
      <c r="AR12" s="66">
        <f t="shared" si="34"/>
        <v>12778.150031970945</v>
      </c>
      <c r="AT12" s="64" t="s">
        <v>245</v>
      </c>
      <c r="AU12" s="66">
        <f>AU8+AU9-AU10-AU11</f>
        <v>3324.733728019477</v>
      </c>
      <c r="AV12" s="66"/>
      <c r="AW12" s="66">
        <f t="shared" ref="AW12:BA12" si="35">AW8+AW9-AW10-AW11</f>
        <v>6935.5698967137942</v>
      </c>
      <c r="AX12" s="66">
        <f t="shared" si="35"/>
        <v>6011.5323091642749</v>
      </c>
      <c r="AY12" s="66">
        <f t="shared" si="35"/>
        <v>6796.1782234750553</v>
      </c>
      <c r="AZ12" s="66">
        <f t="shared" si="35"/>
        <v>7683.2388266175021</v>
      </c>
      <c r="BA12" s="66">
        <f t="shared" si="35"/>
        <v>8686.0816367258303</v>
      </c>
    </row>
    <row r="14" spans="1:53" x14ac:dyDescent="0.3">
      <c r="A14" s="19" t="s">
        <v>214</v>
      </c>
      <c r="B14" s="56" t="s">
        <v>246</v>
      </c>
      <c r="J14" s="19" t="s">
        <v>214</v>
      </c>
      <c r="K14" s="56" t="s">
        <v>246</v>
      </c>
      <c r="S14" s="19" t="s">
        <v>214</v>
      </c>
      <c r="T14" s="56" t="s">
        <v>246</v>
      </c>
      <c r="AB14" s="19" t="s">
        <v>214</v>
      </c>
      <c r="AC14" s="56" t="s">
        <v>246</v>
      </c>
      <c r="AK14" s="19" t="s">
        <v>214</v>
      </c>
      <c r="AL14" s="56" t="s">
        <v>246</v>
      </c>
      <c r="AT14" s="19" t="s">
        <v>214</v>
      </c>
      <c r="AU14" s="56" t="s">
        <v>246</v>
      </c>
    </row>
    <row r="15" spans="1:53" x14ac:dyDescent="0.3">
      <c r="A15" s="63" t="s">
        <v>247</v>
      </c>
      <c r="B15" s="115">
        <f ca="1">(H12*(1+WACC!B19))/(WACC!B18-WACC!B19)</f>
        <v>344172.26285756263</v>
      </c>
      <c r="J15" s="63" t="s">
        <v>247</v>
      </c>
      <c r="K15" s="115">
        <f ca="1">(Q12*(1+WACC!C19))/(WACC!C18-WACC!C19)</f>
        <v>349483.43055934558</v>
      </c>
      <c r="S15" s="63" t="s">
        <v>247</v>
      </c>
      <c r="T15" s="115">
        <f ca="1">(Z12*(1+WACC!D19))/(WACC!D18-WACC!D19)</f>
        <v>366555.28501921834</v>
      </c>
      <c r="AB15" s="63" t="s">
        <v>247</v>
      </c>
      <c r="AC15" s="115">
        <f ca="1">(AI12*(1+WACC!E19))/(WACC!E18-WACC!E19)</f>
        <v>230950.36515666376</v>
      </c>
      <c r="AK15" s="63" t="s">
        <v>247</v>
      </c>
      <c r="AL15" s="11">
        <f ca="1">(AR12*(1+WACC!F19))/(WACC!F18-WACC!F19)</f>
        <v>113804.50767415618</v>
      </c>
      <c r="AT15" s="63" t="s">
        <v>247</v>
      </c>
      <c r="AU15" s="115">
        <f ca="1">(BA12*(1+WACC!G19))/(WACC!G18-WACC!G19)</f>
        <v>91703.381820260882</v>
      </c>
    </row>
    <row r="16" spans="1:53" x14ac:dyDescent="0.3">
      <c r="A16" s="63" t="s">
        <v>248</v>
      </c>
      <c r="B16" s="115">
        <f ca="1">B15/(1+WACC!B18)^5</f>
        <v>178718.99885264042</v>
      </c>
      <c r="J16" s="63" t="s">
        <v>248</v>
      </c>
      <c r="K16" s="115">
        <f ca="1">K15/(1+WACC!C18)^5</f>
        <v>218854.30866840883</v>
      </c>
      <c r="S16" s="63" t="s">
        <v>248</v>
      </c>
      <c r="T16" s="115">
        <f ca="1">T15/(1+WACC!D18)^5</f>
        <v>217964.99185430518</v>
      </c>
      <c r="AB16" s="63" t="s">
        <v>248</v>
      </c>
      <c r="AC16" s="115">
        <f ca="1">AC15/(1+WACC!E18)^5</f>
        <v>130713.84766225878</v>
      </c>
      <c r="AK16" s="63" t="s">
        <v>248</v>
      </c>
      <c r="AL16" s="11">
        <f ca="1">AL15/(1+WACC!F18)^5</f>
        <v>56283.874767071757</v>
      </c>
      <c r="AT16" s="63" t="s">
        <v>248</v>
      </c>
      <c r="AU16" s="115">
        <f ca="1">AU15/(1+WACC!G18)^5</f>
        <v>49109.973106702506</v>
      </c>
    </row>
    <row r="17" spans="1:47" x14ac:dyDescent="0.3">
      <c r="A17" s="63" t="s">
        <v>249</v>
      </c>
      <c r="B17" s="11">
        <f ca="1">NPV(WACC!B18,DCF!D12:H12)</f>
        <v>92981.936443719693</v>
      </c>
      <c r="J17" s="63" t="s">
        <v>249</v>
      </c>
      <c r="K17" s="11">
        <f ca="1">NPV(WACC!C18,DCF!M12:Q12)</f>
        <v>66601.479463089141</v>
      </c>
      <c r="S17" s="63" t="s">
        <v>249</v>
      </c>
      <c r="T17" s="11">
        <f ca="1">NPV(WACC!D18,DCF!V12:Z12)</f>
        <v>80460.068938173994</v>
      </c>
      <c r="AB17" s="63" t="s">
        <v>249</v>
      </c>
      <c r="AC17" s="11">
        <f ca="1">NPV(WACC!E18,DCF!AE12:AI12)</f>
        <v>60071.023940989202</v>
      </c>
      <c r="AK17" s="63" t="s">
        <v>249</v>
      </c>
      <c r="AL17" s="11">
        <f ca="1">NPV(WACC!F18,DCF!AN12:AR12)</f>
        <v>35925.233425333674</v>
      </c>
      <c r="AT17" s="63" t="s">
        <v>249</v>
      </c>
      <c r="AU17" s="11">
        <f ca="1">NPV(WACC!G18,DCF!AW12:BA12)</f>
        <v>24789.970586627307</v>
      </c>
    </row>
    <row r="18" spans="1:47" x14ac:dyDescent="0.3">
      <c r="A18" s="63" t="s">
        <v>250</v>
      </c>
      <c r="B18" s="115">
        <f ca="1">B16+B17</f>
        <v>271700.93529636011</v>
      </c>
      <c r="J18" s="63" t="s">
        <v>250</v>
      </c>
      <c r="K18" s="115">
        <f ca="1">K16+K17</f>
        <v>285455.78813149797</v>
      </c>
      <c r="S18" s="63" t="s">
        <v>250</v>
      </c>
      <c r="T18" s="115">
        <f ca="1">T16+T17</f>
        <v>298425.0607924792</v>
      </c>
      <c r="AB18" s="63" t="s">
        <v>250</v>
      </c>
      <c r="AC18" s="115">
        <f ca="1">AC16+AC17</f>
        <v>190784.87160324797</v>
      </c>
      <c r="AK18" s="63" t="s">
        <v>250</v>
      </c>
      <c r="AL18" s="11">
        <f ca="1">AL16+AL17</f>
        <v>92209.108192405431</v>
      </c>
      <c r="AT18" s="63" t="s">
        <v>250</v>
      </c>
      <c r="AU18" s="115">
        <f ca="1">AU16+AU17</f>
        <v>73899.943693329813</v>
      </c>
    </row>
    <row r="19" spans="1:47" x14ac:dyDescent="0.3">
      <c r="A19" s="63" t="s">
        <v>235</v>
      </c>
      <c r="B19" s="115">
        <f>WACC!B21</f>
        <v>-2252.2800000000007</v>
      </c>
      <c r="J19" s="63" t="s">
        <v>235</v>
      </c>
      <c r="K19" s="115">
        <f>WACC!C21</f>
        <v>10555</v>
      </c>
      <c r="S19" s="63" t="s">
        <v>235</v>
      </c>
      <c r="T19" s="115">
        <f>WACC!D21</f>
        <v>84302</v>
      </c>
      <c r="AB19" s="63" t="s">
        <v>235</v>
      </c>
      <c r="AC19" s="115">
        <f>WACC!E21</f>
        <v>79358.850000000006</v>
      </c>
      <c r="AK19" s="63" t="s">
        <v>235</v>
      </c>
      <c r="AL19" s="11">
        <f>WACC!F21</f>
        <v>29519.539999999997</v>
      </c>
      <c r="AT19" s="63" t="s">
        <v>235</v>
      </c>
      <c r="AU19" s="115">
        <f>WACC!G21</f>
        <v>3685.6299999999997</v>
      </c>
    </row>
    <row r="20" spans="1:47" x14ac:dyDescent="0.3">
      <c r="A20" s="63" t="s">
        <v>251</v>
      </c>
      <c r="B20" s="115">
        <f ca="1">B18-B19</f>
        <v>273953.21529636014</v>
      </c>
      <c r="J20" s="63" t="s">
        <v>251</v>
      </c>
      <c r="K20" s="115">
        <f ca="1">K18-K19</f>
        <v>274900.78813149797</v>
      </c>
      <c r="S20" s="63" t="s">
        <v>251</v>
      </c>
      <c r="T20" s="115">
        <f ca="1">T18-T19</f>
        <v>214123.0607924792</v>
      </c>
      <c r="AB20" s="63" t="s">
        <v>251</v>
      </c>
      <c r="AC20" s="115">
        <f ca="1">AC18-AC19</f>
        <v>111426.02160324797</v>
      </c>
      <c r="AK20" s="63" t="s">
        <v>251</v>
      </c>
      <c r="AL20" s="11">
        <f ca="1">AL18-AL19</f>
        <v>62689.568192405437</v>
      </c>
      <c r="AT20" s="63" t="s">
        <v>251</v>
      </c>
      <c r="AU20" s="115">
        <f ca="1">AU18-AU19</f>
        <v>70214.313693329808</v>
      </c>
    </row>
    <row r="21" spans="1:47" x14ac:dyDescent="0.3">
      <c r="A21" s="63" t="s">
        <v>252</v>
      </c>
      <c r="B21" s="115">
        <f ca="1">'Company Profile'!B10</f>
        <v>616.27290000000005</v>
      </c>
      <c r="J21" s="63" t="s">
        <v>252</v>
      </c>
      <c r="K21" s="115">
        <f ca="1">'Company Profile'!C10</f>
        <v>422.53190000000001</v>
      </c>
      <c r="S21" s="63" t="s">
        <v>252</v>
      </c>
      <c r="T21" s="115">
        <f ca="1">'Company Profile'!D10</f>
        <v>244.25470000000001</v>
      </c>
      <c r="AB21" s="63" t="s">
        <v>252</v>
      </c>
      <c r="AC21" s="115">
        <f ca="1">'Company Profile'!E10</f>
        <v>1248.5450000000001</v>
      </c>
      <c r="AK21" s="63" t="s">
        <v>252</v>
      </c>
      <c r="AL21" s="11">
        <f ca="1">'Company Profile'!F10</f>
        <v>413.05250000000001</v>
      </c>
      <c r="AT21" s="63" t="s">
        <v>252</v>
      </c>
      <c r="AU21" s="115">
        <f ca="1">'Company Profile'!G10</f>
        <v>879.18169999999998</v>
      </c>
    </row>
    <row r="22" spans="1:47" x14ac:dyDescent="0.3">
      <c r="A22" s="63" t="s">
        <v>253</v>
      </c>
      <c r="B22" s="11">
        <f ca="1">B20/B21</f>
        <v>444.53230913830566</v>
      </c>
      <c r="J22" s="63" t="s">
        <v>253</v>
      </c>
      <c r="K22" s="11">
        <f ca="1">K20/K21</f>
        <v>650.60363047499607</v>
      </c>
      <c r="S22" s="63" t="s">
        <v>253</v>
      </c>
      <c r="T22" s="11">
        <f ca="1">T20/T21</f>
        <v>876.63844663983616</v>
      </c>
      <c r="AB22" s="63" t="s">
        <v>253</v>
      </c>
      <c r="AC22" s="11">
        <f ca="1">AC20/AC21</f>
        <v>89.24469811119981</v>
      </c>
      <c r="AK22" s="63" t="s">
        <v>253</v>
      </c>
      <c r="AL22" s="11">
        <f ca="1">AL20/AL21</f>
        <v>151.77142903724209</v>
      </c>
      <c r="AT22" s="63" t="s">
        <v>253</v>
      </c>
      <c r="AU22" s="11">
        <f ca="1">AU20/AU21</f>
        <v>79.863256586584782</v>
      </c>
    </row>
    <row r="23" spans="1:47" x14ac:dyDescent="0.3">
      <c r="A23" s="103" t="s">
        <v>259</v>
      </c>
      <c r="B23" s="11">
        <f ca="1">'Company Profile'!B7</f>
        <v>381.3</v>
      </c>
      <c r="J23" s="103" t="s">
        <v>259</v>
      </c>
      <c r="K23" s="12">
        <f ca="1">'Company Profile'!C7</f>
        <v>484.65</v>
      </c>
      <c r="S23" s="103" t="s">
        <v>259</v>
      </c>
      <c r="T23" s="12">
        <f ca="1">'Company Profile'!D7</f>
        <v>1179.3</v>
      </c>
      <c r="AB23" s="103" t="s">
        <v>259</v>
      </c>
      <c r="AC23" s="12">
        <f ca="1">'Company Profile'!E7</f>
        <v>181.48</v>
      </c>
      <c r="AK23" s="63" t="s">
        <v>259</v>
      </c>
      <c r="AL23" s="11">
        <f ca="1">'Company Profile'!F7</f>
        <v>144.34</v>
      </c>
      <c r="AT23" s="103" t="s">
        <v>259</v>
      </c>
      <c r="AU23" s="12">
        <f ca="1">'Company Profile'!G7</f>
        <v>75.08</v>
      </c>
    </row>
    <row r="24" spans="1:47" x14ac:dyDescent="0.3">
      <c r="A24" s="103" t="e" vm="18">
        <v>#VALUE!</v>
      </c>
      <c r="B24" s="105">
        <f ca="1">(B22-B23)/B23</f>
        <v>0.16583348842986009</v>
      </c>
      <c r="J24" s="103" t="e" vm="18">
        <v>#VALUE!</v>
      </c>
      <c r="K24" s="117">
        <f ca="1">(K22-K23)/K23</f>
        <v>0.34241954085421666</v>
      </c>
      <c r="S24" s="103" t="e" vm="18">
        <v>#VALUE!</v>
      </c>
      <c r="T24" s="117">
        <f ca="1">(T22-T23)/T23</f>
        <v>-0.25664508891729315</v>
      </c>
      <c r="AB24" s="103" t="e" vm="18">
        <v>#VALUE!</v>
      </c>
      <c r="AC24" s="117">
        <f ca="1">(AC22-AC23)/AC23</f>
        <v>-0.50823948583204859</v>
      </c>
      <c r="AK24" s="63" t="e" vm="18">
        <v>#VALUE!</v>
      </c>
      <c r="AL24" s="119">
        <f ca="1">(AL22-AL23)/AL23</f>
        <v>5.1485582910087868E-2</v>
      </c>
      <c r="AT24" s="103" t="e" vm="18">
        <v>#VALUE!</v>
      </c>
      <c r="AU24" s="117">
        <f ca="1">(AU22-AU23)/AU23</f>
        <v>6.3708798436131919E-2</v>
      </c>
    </row>
  </sheetData>
  <mergeCells count="1">
    <mergeCell ref="A1:C1"/>
  </mergeCells>
  <conditionalFormatting sqref="B24">
    <cfRule type="cellIs" dxfId="13" priority="11" operator="lessThan">
      <formula>0</formula>
    </cfRule>
    <cfRule type="cellIs" dxfId="12" priority="12" operator="greaterThan">
      <formula>0</formula>
    </cfRule>
  </conditionalFormatting>
  <conditionalFormatting sqref="K24">
    <cfRule type="cellIs" dxfId="11" priority="9" operator="lessThan">
      <formula>0</formula>
    </cfRule>
    <cfRule type="cellIs" dxfId="10" priority="10" operator="greaterThan">
      <formula>0</formula>
    </cfRule>
  </conditionalFormatting>
  <conditionalFormatting sqref="T24">
    <cfRule type="cellIs" dxfId="9" priority="7" operator="lessThan">
      <formula>0</formula>
    </cfRule>
    <cfRule type="cellIs" dxfId="8" priority="8" operator="greaterThan">
      <formula>0</formula>
    </cfRule>
  </conditionalFormatting>
  <conditionalFormatting sqref="AC24">
    <cfRule type="cellIs" dxfId="7" priority="5" operator="lessThan">
      <formula>0</formula>
    </cfRule>
    <cfRule type="cellIs" dxfId="6" priority="6" operator="greaterThan">
      <formula>0</formula>
    </cfRule>
  </conditionalFormatting>
  <conditionalFormatting sqref="AL24">
    <cfRule type="cellIs" dxfId="5" priority="3" operator="lessThan">
      <formula>0</formula>
    </cfRule>
    <cfRule type="cellIs" dxfId="4" priority="4" operator="greaterThan">
      <formula>0</formula>
    </cfRule>
  </conditionalFormatting>
  <conditionalFormatting sqref="AU24">
    <cfRule type="cellIs" dxfId="3" priority="1" operator="greaterThan">
      <formula>0</formula>
    </cfRule>
    <cfRule type="cellIs" dxfId="2" priority="2" operator="lessThan">
      <formula>0</formula>
    </cfRule>
  </conditionalFormatting>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E1A0-ACFA-4738-96B9-75C007FCD3D7}">
  <sheetPr>
    <tabColor theme="5" tint="-0.249977111117893"/>
  </sheetPr>
  <dimension ref="A1:M24"/>
  <sheetViews>
    <sheetView showGridLines="0" workbookViewId="0">
      <selection activeCell="K16" sqref="K16"/>
    </sheetView>
  </sheetViews>
  <sheetFormatPr defaultRowHeight="14.4" x14ac:dyDescent="0.3"/>
  <cols>
    <col min="1" max="1" width="35.6640625" bestFit="1" customWidth="1"/>
    <col min="2" max="2" width="12.109375" customWidth="1"/>
    <col min="3" max="3" width="12.6640625" customWidth="1"/>
    <col min="4" max="4" width="12.44140625" customWidth="1"/>
    <col min="5" max="5" width="10.88671875" bestFit="1" customWidth="1"/>
    <col min="7" max="7" width="18.109375" bestFit="1" customWidth="1"/>
    <col min="8" max="8" width="12.33203125" style="44" bestFit="1" customWidth="1"/>
    <col min="9" max="9" width="13.5546875" style="44" bestFit="1" customWidth="1"/>
    <col min="10" max="10" width="11" style="44" bestFit="1" customWidth="1"/>
    <col min="11" max="11" width="12.33203125" style="44" bestFit="1" customWidth="1"/>
    <col min="12" max="12" width="12.5546875" style="44" bestFit="1" customWidth="1"/>
    <col min="13" max="13" width="8.88671875" style="44"/>
  </cols>
  <sheetData>
    <row r="1" spans="1:12" ht="21" x14ac:dyDescent="0.4">
      <c r="A1" s="99" t="s">
        <v>267</v>
      </c>
    </row>
    <row r="3" spans="1:12" x14ac:dyDescent="0.3">
      <c r="A3" s="1" t="s">
        <v>268</v>
      </c>
      <c r="B3" s="14" t="s">
        <v>208</v>
      </c>
      <c r="C3" s="14" t="s">
        <v>207</v>
      </c>
      <c r="D3" s="14" t="s">
        <v>269</v>
      </c>
      <c r="E3" s="14" t="s">
        <v>209</v>
      </c>
      <c r="F3" s="1"/>
      <c r="G3" s="1" t="s">
        <v>270</v>
      </c>
      <c r="H3" s="44" t="s">
        <v>217</v>
      </c>
      <c r="I3" s="44" t="s">
        <v>218</v>
      </c>
      <c r="J3" s="121"/>
      <c r="K3" s="121"/>
    </row>
    <row r="4" spans="1:12" x14ac:dyDescent="0.3">
      <c r="A4" s="1" t="s">
        <v>217</v>
      </c>
      <c r="B4" s="44">
        <f ca="1">'Financial Ratios'!W26</f>
        <v>15.778946000084755</v>
      </c>
      <c r="C4" s="44">
        <f ca="1">'Financial Ratios'!W25</f>
        <v>82.51205033228301</v>
      </c>
      <c r="D4" s="44">
        <f ca="1">'Company Profile'!D7/('Balance Sheet'!W40/'Company Profile'!D10)</f>
        <v>3.5271663569906697</v>
      </c>
      <c r="E4" s="44">
        <f ca="1">'Financial Ratios'!W27</f>
        <v>1.6992270302268786</v>
      </c>
      <c r="F4" s="1"/>
      <c r="G4" s="1" t="s">
        <v>208</v>
      </c>
      <c r="H4" s="44">
        <f ca="1">B15*B20</f>
        <v>355662.10802862747</v>
      </c>
      <c r="I4" s="44">
        <f ca="1">B15*B21</f>
        <v>407385.03648491943</v>
      </c>
    </row>
    <row r="5" spans="1:12" x14ac:dyDescent="0.3">
      <c r="A5" s="1" t="s">
        <v>274</v>
      </c>
      <c r="B5" s="44">
        <f ca="1">'Financial Ratios'!AE26</f>
        <v>11.318800353239872</v>
      </c>
      <c r="C5" s="44">
        <f ca="1">'Financial Ratios'!AE25</f>
        <v>71.393085406044861</v>
      </c>
      <c r="D5" s="44">
        <f ca="1">'Company Profile'!E7/('Balance Sheet'!AE43/'Company Profile'!E10)</f>
        <v>2.4803399152165926</v>
      </c>
      <c r="E5" s="44">
        <f ca="1">'Financial Ratios'!AE27</f>
        <v>1.0295475135203511</v>
      </c>
      <c r="F5" s="1"/>
      <c r="G5" s="1" t="s">
        <v>207</v>
      </c>
      <c r="H5" s="44">
        <f ca="1">C15*C20</f>
        <v>125941.66396828942</v>
      </c>
      <c r="I5" s="44">
        <f ca="1">C15*C21</f>
        <v>114497.6036291271</v>
      </c>
    </row>
    <row r="6" spans="1:12" x14ac:dyDescent="0.3">
      <c r="A6" s="1" t="s">
        <v>275</v>
      </c>
      <c r="B6" s="44">
        <v>12.1</v>
      </c>
      <c r="C6" s="44">
        <v>37.299999999999997</v>
      </c>
      <c r="D6" s="44">
        <v>2.2400000000000002</v>
      </c>
      <c r="E6" s="44">
        <v>2.1</v>
      </c>
      <c r="F6" s="1"/>
      <c r="G6" s="1" t="s">
        <v>269</v>
      </c>
      <c r="H6" s="44">
        <f ca="1">D20*D15</f>
        <v>428016.11583772104</v>
      </c>
      <c r="I6" s="44">
        <f ca="1">D21*D15</f>
        <v>478785.07661178266</v>
      </c>
    </row>
    <row r="7" spans="1:12" x14ac:dyDescent="0.3">
      <c r="A7" s="1" t="s">
        <v>276</v>
      </c>
      <c r="B7" s="44">
        <v>34.700000000000003</v>
      </c>
      <c r="C7" s="44">
        <v>46.8</v>
      </c>
      <c r="D7" s="44">
        <v>12.8</v>
      </c>
      <c r="E7" s="44">
        <v>10.1</v>
      </c>
      <c r="F7" s="1"/>
      <c r="G7" s="1" t="s">
        <v>209</v>
      </c>
      <c r="H7" s="44">
        <f ca="1">E20*E15</f>
        <v>1131060.0168529914</v>
      </c>
      <c r="I7" s="44">
        <f ca="1">E21*E15</f>
        <v>1468440.6784616241</v>
      </c>
    </row>
    <row r="8" spans="1:12" x14ac:dyDescent="0.3">
      <c r="A8" s="1" t="s">
        <v>220</v>
      </c>
      <c r="B8" s="44">
        <f ca="1">'Financial Ratios'!AU26</f>
        <v>7.1540406052562142</v>
      </c>
      <c r="C8" s="44">
        <f ca="1">'Financial Ratios'!AU25</f>
        <v>10.094934871429402</v>
      </c>
      <c r="D8" s="44">
        <f ca="1">'Company Profile'!G7/('Balance Sheet'!AU33/'Company Profile'!G10)</f>
        <v>2.2219868070951194</v>
      </c>
      <c r="E8" s="44">
        <f ca="1">'Financial Ratios'!AU27</f>
        <v>2.5887045071854247</v>
      </c>
      <c r="F8" s="1"/>
      <c r="G8" s="19" t="s">
        <v>6</v>
      </c>
      <c r="H8" s="45">
        <f ca="1">'Company Profile'!D12</f>
        <v>286193.3</v>
      </c>
      <c r="I8" s="45">
        <f ca="1">'Company Profile'!E12</f>
        <v>226413.8</v>
      </c>
      <c r="J8" s="45"/>
      <c r="K8" s="45"/>
      <c r="L8" s="45"/>
    </row>
    <row r="9" spans="1:12" x14ac:dyDescent="0.3">
      <c r="A9" s="1" t="s">
        <v>277</v>
      </c>
      <c r="B9" s="44">
        <v>13.5</v>
      </c>
      <c r="C9" s="44">
        <v>24.4</v>
      </c>
      <c r="D9" s="44">
        <v>3.8</v>
      </c>
      <c r="E9" s="44">
        <v>1.6</v>
      </c>
      <c r="F9" s="1"/>
      <c r="G9" s="19" t="s">
        <v>271</v>
      </c>
      <c r="H9" s="45">
        <f ca="1">AVERAGE(H4:H7)</f>
        <v>510169.97617190733</v>
      </c>
      <c r="I9" s="45">
        <f ca="1">AVERAGE(I4:I7)</f>
        <v>617277.09879686334</v>
      </c>
      <c r="J9" s="45"/>
      <c r="K9" s="45"/>
      <c r="L9" s="45"/>
    </row>
    <row r="10" spans="1:12" x14ac:dyDescent="0.3">
      <c r="A10" s="1" t="s">
        <v>219</v>
      </c>
      <c r="B10" s="44">
        <f ca="1">'Financial Ratios'!AM26</f>
        <v>7.7369743057170828</v>
      </c>
      <c r="C10" s="44">
        <f ca="1">'Financial Ratios'!AM25</f>
        <v>25.137025824268342</v>
      </c>
      <c r="D10" s="44">
        <f ca="1">'Company Profile'!F7/('Balance Sheet'!AM38/'Company Profile'!F10)</f>
        <v>1.0121278426838876</v>
      </c>
      <c r="E10" s="44">
        <f ca="1">'Financial Ratios'!AM27</f>
        <v>0.57685184834001246</v>
      </c>
      <c r="F10" s="1"/>
      <c r="G10" s="1"/>
    </row>
    <row r="11" spans="1:12" x14ac:dyDescent="0.3">
      <c r="A11" s="1" t="s">
        <v>278</v>
      </c>
      <c r="B11" s="44">
        <v>0</v>
      </c>
      <c r="C11" s="44">
        <v>0</v>
      </c>
      <c r="D11" s="44">
        <v>13.5</v>
      </c>
      <c r="E11" s="44">
        <v>48</v>
      </c>
      <c r="F11" s="1"/>
      <c r="G11" s="1" t="s">
        <v>270</v>
      </c>
      <c r="H11" s="44" t="s">
        <v>217</v>
      </c>
      <c r="I11" s="44" t="s">
        <v>218</v>
      </c>
    </row>
    <row r="12" spans="1:12" x14ac:dyDescent="0.3">
      <c r="A12" s="1" t="s">
        <v>279</v>
      </c>
      <c r="B12" s="44">
        <v>13.3</v>
      </c>
      <c r="C12" s="44">
        <v>28.1</v>
      </c>
      <c r="D12" s="44">
        <v>2.27</v>
      </c>
      <c r="E12" s="44">
        <v>1.7</v>
      </c>
      <c r="F12" s="1"/>
      <c r="G12" s="1" t="s">
        <v>208</v>
      </c>
      <c r="H12" s="44">
        <f ca="1">H4/DCF!$T$21</f>
        <v>1456.1116245813384</v>
      </c>
      <c r="I12" s="44">
        <f ca="1">I4/DCF!$AC$21</f>
        <v>326.28782821998357</v>
      </c>
    </row>
    <row r="13" spans="1:12" x14ac:dyDescent="0.3">
      <c r="A13" s="1" t="s">
        <v>280</v>
      </c>
      <c r="B13" s="44">
        <v>13.1</v>
      </c>
      <c r="C13" s="44">
        <v>12.1</v>
      </c>
      <c r="D13" s="44">
        <v>3.1</v>
      </c>
      <c r="E13" s="44">
        <v>1.7</v>
      </c>
      <c r="F13" s="1"/>
      <c r="G13" s="1" t="s">
        <v>207</v>
      </c>
      <c r="H13" s="44">
        <f ca="1">H5/DCF!$T$21</f>
        <v>515.61613335706295</v>
      </c>
      <c r="I13" s="44">
        <f ca="1">I5/DCF!$AC$21</f>
        <v>91.704827322304837</v>
      </c>
    </row>
    <row r="14" spans="1:12" x14ac:dyDescent="0.3">
      <c r="A14" s="1" t="s">
        <v>281</v>
      </c>
      <c r="B14" s="44">
        <v>37.1</v>
      </c>
      <c r="C14" s="44">
        <v>59</v>
      </c>
      <c r="D14" s="44">
        <v>10.7</v>
      </c>
      <c r="E14" s="44">
        <v>2.2999999999999998</v>
      </c>
      <c r="F14" s="1"/>
      <c r="G14" s="1" t="s">
        <v>269</v>
      </c>
      <c r="H14" s="44">
        <f ca="1">H6/DCF!$T$21</f>
        <v>1752.3352297324104</v>
      </c>
      <c r="I14" s="44">
        <f ca="1">I6/DCF!$AC$21</f>
        <v>383.47442552073221</v>
      </c>
    </row>
    <row r="15" spans="1:12" x14ac:dyDescent="0.3">
      <c r="A15" s="19" t="s">
        <v>271</v>
      </c>
      <c r="B15" s="45">
        <f ca="1">AVERAGE(B4:B14)</f>
        <v>15.07170556948163</v>
      </c>
      <c r="C15" s="45">
        <f t="shared" ref="C15:E15" ca="1" si="0">AVERAGE(C4:C14)</f>
        <v>36.076099675820515</v>
      </c>
      <c r="D15" s="45">
        <f t="shared" ca="1" si="0"/>
        <v>5.2410564474532979</v>
      </c>
      <c r="E15" s="45">
        <f t="shared" ca="1" si="0"/>
        <v>6.6722118999338793</v>
      </c>
      <c r="F15" s="1"/>
      <c r="G15" s="1" t="s">
        <v>209</v>
      </c>
      <c r="H15" s="44">
        <f ca="1">H7/DCF!$T$21</f>
        <v>4630.658148453198</v>
      </c>
      <c r="I15" s="44">
        <f ca="1">I7/DCF!$AC$21</f>
        <v>1176.121548251464</v>
      </c>
    </row>
    <row r="16" spans="1:12" x14ac:dyDescent="0.3">
      <c r="A16" s="1"/>
      <c r="B16" s="44"/>
      <c r="C16" s="44"/>
      <c r="D16" s="44"/>
      <c r="E16" s="44"/>
      <c r="F16" s="1"/>
      <c r="G16" s="19" t="s">
        <v>210</v>
      </c>
      <c r="H16" s="45">
        <f ca="1">'Company Profile'!D7</f>
        <v>1179.3</v>
      </c>
      <c r="I16" s="45">
        <f ca="1">'Company Profile'!E7</f>
        <v>181.48</v>
      </c>
      <c r="J16" s="45"/>
      <c r="K16" s="45"/>
      <c r="L16" s="45"/>
    </row>
    <row r="17" spans="1:12" x14ac:dyDescent="0.3">
      <c r="A17" s="1"/>
      <c r="B17" s="44"/>
      <c r="C17" s="44"/>
      <c r="D17" s="44"/>
      <c r="E17" s="44"/>
      <c r="F17" s="1"/>
      <c r="G17" s="19" t="s">
        <v>271</v>
      </c>
      <c r="H17" s="45">
        <f ca="1">AVERAGE(H12:H15)</f>
        <v>2088.6802840310024</v>
      </c>
      <c r="I17" s="45">
        <f ca="1">AVERAGE(I12:I15)</f>
        <v>494.39715732862112</v>
      </c>
    </row>
    <row r="18" spans="1:12" x14ac:dyDescent="0.3">
      <c r="A18" s="1"/>
      <c r="B18" s="44"/>
      <c r="C18" s="44"/>
      <c r="D18" s="44"/>
      <c r="E18" s="44"/>
      <c r="F18" s="1"/>
      <c r="G18" s="19"/>
      <c r="H18" s="45"/>
      <c r="I18" s="45"/>
      <c r="J18" s="45"/>
      <c r="K18" s="45"/>
      <c r="L18" s="45"/>
    </row>
    <row r="19" spans="1:12" x14ac:dyDescent="0.3">
      <c r="A19" s="1" t="s">
        <v>13</v>
      </c>
      <c r="B19" s="123" t="s">
        <v>240</v>
      </c>
      <c r="C19" s="123" t="s">
        <v>272</v>
      </c>
      <c r="D19" s="123" t="s">
        <v>273</v>
      </c>
      <c r="E19" s="123" t="s">
        <v>239</v>
      </c>
      <c r="F19" s="1"/>
      <c r="G19" s="1" t="s">
        <v>270</v>
      </c>
      <c r="H19" s="44" t="s">
        <v>217</v>
      </c>
      <c r="I19" s="44" t="s">
        <v>218</v>
      </c>
    </row>
    <row r="20" spans="1:12" x14ac:dyDescent="0.3">
      <c r="A20" s="1" t="s">
        <v>217</v>
      </c>
      <c r="B20" s="44">
        <f>DCF!T6</f>
        <v>23598</v>
      </c>
      <c r="C20" s="44">
        <f>'Income Statement'!W31</f>
        <v>3491</v>
      </c>
      <c r="D20" s="44">
        <f>'Balance Sheet'!W40</f>
        <v>81666</v>
      </c>
      <c r="E20" s="44">
        <f>'Income Statement'!W11</f>
        <v>169518</v>
      </c>
      <c r="F20" s="1"/>
      <c r="G20" s="1" t="s">
        <v>208</v>
      </c>
      <c r="H20" s="122">
        <f ca="1">(H12-$H$16)/$H$16</f>
        <v>0.23472536638797464</v>
      </c>
      <c r="I20" s="122">
        <f ca="1">(I12-$I$16)/$I$16</f>
        <v>0.79792719980154059</v>
      </c>
    </row>
    <row r="21" spans="1:12" x14ac:dyDescent="0.3">
      <c r="A21" s="1" t="s">
        <v>218</v>
      </c>
      <c r="B21" s="44">
        <f>DCF!AC6</f>
        <v>27029.790000000037</v>
      </c>
      <c r="C21" s="44">
        <f>'Income Statement'!AE35</f>
        <v>3173.7800000000407</v>
      </c>
      <c r="D21" s="44">
        <f>'Balance Sheet'!AE43</f>
        <v>91352.78</v>
      </c>
      <c r="E21" s="44">
        <f>'Income Statement'!AE8</f>
        <v>220083.04</v>
      </c>
      <c r="F21" s="1"/>
      <c r="G21" s="1" t="s">
        <v>207</v>
      </c>
      <c r="H21" s="122">
        <f t="shared" ref="H21:H23" ca="1" si="1">(H13-$H$16)/$H$16</f>
        <v>-0.56277780602301108</v>
      </c>
      <c r="I21" s="122">
        <f t="shared" ref="I21:I23" ca="1" si="2">(I13-$I$16)/$I$16</f>
        <v>-0.49468356115106432</v>
      </c>
    </row>
    <row r="22" spans="1:12" x14ac:dyDescent="0.3">
      <c r="A22" s="1"/>
      <c r="B22" s="44"/>
      <c r="C22" s="44"/>
      <c r="D22" s="44"/>
      <c r="E22" s="44"/>
      <c r="F22" s="1"/>
      <c r="G22" s="1" t="s">
        <v>269</v>
      </c>
      <c r="H22" s="122">
        <f t="shared" ca="1" si="1"/>
        <v>0.4859113285274404</v>
      </c>
      <c r="I22" s="122">
        <f t="shared" ca="1" si="2"/>
        <v>1.1130395940088837</v>
      </c>
    </row>
    <row r="23" spans="1:12" x14ac:dyDescent="0.3">
      <c r="A23" s="1"/>
      <c r="B23" s="44"/>
      <c r="C23" s="44"/>
      <c r="D23" s="44"/>
      <c r="E23" s="44"/>
      <c r="F23" s="1"/>
      <c r="G23" s="1" t="s">
        <v>209</v>
      </c>
      <c r="H23" s="122">
        <f t="shared" ca="1" si="1"/>
        <v>2.9266159149098598</v>
      </c>
      <c r="I23" s="122">
        <f t="shared" ca="1" si="2"/>
        <v>5.4807226595297776</v>
      </c>
    </row>
    <row r="24" spans="1:12" x14ac:dyDescent="0.3">
      <c r="A24" s="1"/>
      <c r="B24" s="44"/>
      <c r="C24" s="44"/>
      <c r="D24" s="44"/>
      <c r="E24" s="44"/>
      <c r="F24" s="1"/>
      <c r="G24" s="19" t="s">
        <v>271</v>
      </c>
      <c r="H24" s="124">
        <f ca="1">(H17-H16)/H16</f>
        <v>0.77111870095056601</v>
      </c>
      <c r="I24" s="124">
        <f ca="1">(I17-I16)/I16</f>
        <v>1.7242514730472842</v>
      </c>
      <c r="J24" s="45"/>
      <c r="K24" s="45"/>
      <c r="L24" s="45"/>
    </row>
  </sheetData>
  <conditionalFormatting sqref="H20:L24">
    <cfRule type="cellIs" dxfId="1" priority="1" operator="lessThan">
      <formula>0</formula>
    </cfRule>
    <cfRule type="cellIs" dxfId="0" priority="2" operator="greaterThan">
      <formula>0</formula>
    </cfRule>
  </conditionalFormatting>
  <pageMargins left="0.7" right="0.7" top="0.75" bottom="0.75" header="0.3" footer="0.3"/>
  <tableParts count="5">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F3CC-1545-4FCE-B342-7CFF36D10C98}">
  <dimension ref="A1:R35"/>
  <sheetViews>
    <sheetView workbookViewId="0">
      <selection activeCell="T6" sqref="T6"/>
    </sheetView>
  </sheetViews>
  <sheetFormatPr defaultRowHeight="14.4" x14ac:dyDescent="0.3"/>
  <cols>
    <col min="1" max="1" width="14.5546875" style="1" bestFit="1" customWidth="1"/>
    <col min="2" max="2" width="8.88671875" style="1"/>
    <col min="3" max="3" width="8.88671875" style="129"/>
    <col min="4" max="5" width="8.88671875" style="1"/>
    <col min="6" max="6" width="9.5546875" style="128" bestFit="1" customWidth="1"/>
    <col min="7" max="8" width="8.88671875" style="1"/>
    <col min="9" max="9" width="13.6640625" style="1" bestFit="1" customWidth="1"/>
    <col min="10" max="18" width="11.44140625" style="1" customWidth="1"/>
    <col min="19" max="16384" width="8.88671875" style="1"/>
  </cols>
  <sheetData>
    <row r="1" spans="1:18" ht="43.2" x14ac:dyDescent="0.3">
      <c r="A1" s="63" t="s">
        <v>283</v>
      </c>
      <c r="B1" s="63" t="s">
        <v>284</v>
      </c>
      <c r="C1" s="102">
        <f>(DCF!H5/DCF!D5)^(1/5)-1</f>
        <v>5.467927243322368E-2</v>
      </c>
      <c r="F1" s="1"/>
      <c r="I1" s="130" t="s">
        <v>268</v>
      </c>
      <c r="J1" s="130" t="s">
        <v>294</v>
      </c>
      <c r="K1" s="130" t="s">
        <v>295</v>
      </c>
      <c r="L1" s="130" t="s">
        <v>296</v>
      </c>
      <c r="M1" s="130" t="s">
        <v>297</v>
      </c>
      <c r="N1" s="131" t="s">
        <v>298</v>
      </c>
      <c r="O1" s="131" t="s">
        <v>243</v>
      </c>
      <c r="P1" s="130" t="s">
        <v>299</v>
      </c>
      <c r="Q1" s="130" t="s">
        <v>300</v>
      </c>
      <c r="R1" s="130" t="s">
        <v>301</v>
      </c>
    </row>
    <row r="2" spans="1:18" x14ac:dyDescent="0.3">
      <c r="A2" s="63" t="s">
        <v>283</v>
      </c>
      <c r="B2" s="63" t="s">
        <v>285</v>
      </c>
      <c r="C2" s="102">
        <f>(DCF!Q5/DCF!M5)^(1/5)-1</f>
        <v>7.4232879247605021E-2</v>
      </c>
      <c r="F2" s="1"/>
      <c r="I2" s="63" t="str">
        <f>B1</f>
        <v>CIL</v>
      </c>
      <c r="J2" s="132">
        <f>(('Income Statement'!G26+'Income Statement'!G19)-('Income Statement'!B26+'Income Statement'!B19))</f>
        <v>22812.169999999976</v>
      </c>
      <c r="K2" s="132">
        <f>(('Balance Sheet'!G28-'Balance Sheet'!G52)-('Balance Sheet'!B28-'Balance Sheet'!B52))</f>
        <v>94197.530000000028</v>
      </c>
      <c r="L2" s="102">
        <f>J2/K2</f>
        <v>0.24217375975781924</v>
      </c>
      <c r="M2" s="132">
        <f>DCF!H6-DCF!D6</f>
        <v>15387.135037064829</v>
      </c>
      <c r="N2" s="132">
        <f>AVERAGE(DCF!D10:H10)</f>
        <v>17537.590194062963</v>
      </c>
      <c r="O2" s="132">
        <f>AVERAGE(DCF!D9:H9)</f>
        <v>8176.3321984562426</v>
      </c>
      <c r="P2" s="133">
        <f>IF(N2-O2&lt;=0,N2,MAX(N2-O2,0.1*N2))</f>
        <v>9361.2579956067202</v>
      </c>
      <c r="Q2" s="134">
        <f>M2/P2</f>
        <v>1.6437037676224797</v>
      </c>
      <c r="R2" s="135">
        <f>MIN(MAX(Q2,0.08),0.2)</f>
        <v>0.2</v>
      </c>
    </row>
    <row r="3" spans="1:18" x14ac:dyDescent="0.3">
      <c r="A3" s="63" t="s">
        <v>283</v>
      </c>
      <c r="B3" s="63" t="s">
        <v>286</v>
      </c>
      <c r="C3" s="102">
        <f>(DCF!Z5/DCF!V5)^(1/5)-1</f>
        <v>0.11711563029668137</v>
      </c>
      <c r="F3" s="1"/>
      <c r="I3" s="63" t="str">
        <f t="shared" ref="I3:I6" si="0">B2</f>
        <v>HZ</v>
      </c>
      <c r="J3" s="132">
        <f>(('Income Statement'!O20+'Income Statement'!O16)-('Income Statement'!J20+'Income Statement'!J16))</f>
        <v>6146</v>
      </c>
      <c r="K3" s="132">
        <f>(('Balance Sheet'!O25-'Balance Sheet'!O49)-('Balance Sheet'!J25-'Balance Sheet'!J49))</f>
        <v>-18271</v>
      </c>
      <c r="L3" s="102">
        <f t="shared" ref="L3:L7" si="1">J3/K3</f>
        <v>-0.33638005582617264</v>
      </c>
      <c r="M3" s="132">
        <f>DCF!Q6-DCF!M6</f>
        <v>8761.8767723859382</v>
      </c>
      <c r="N3" s="132">
        <f>AVERAGE(DCF!M10:Q10)</f>
        <v>5393.7623193111776</v>
      </c>
      <c r="O3" s="132">
        <f>AVERAGE(DCF!M9:Q9)</f>
        <v>4750.6790703787537</v>
      </c>
      <c r="P3" s="133">
        <f t="shared" ref="P3:P7" si="2">IF(N3-O3&lt;=0,N3,MAX(N3-O3,0.1*N3))</f>
        <v>643.08324893242388</v>
      </c>
      <c r="Q3" s="134">
        <f t="shared" ref="Q3:Q7" si="3">M3/P3</f>
        <v>13.62479397019195</v>
      </c>
      <c r="R3" s="135">
        <f t="shared" ref="R3:R7" si="4">MIN(MAX(Q3,0.08),0.2)</f>
        <v>0.2</v>
      </c>
    </row>
    <row r="4" spans="1:18" x14ac:dyDescent="0.3">
      <c r="A4" s="63" t="s">
        <v>283</v>
      </c>
      <c r="B4" s="63" t="s">
        <v>287</v>
      </c>
      <c r="C4" s="102">
        <f>(DCF!AI5/DCF!AE5)^(1/5)-1</f>
        <v>5.170528536930874E-2</v>
      </c>
      <c r="F4" s="1"/>
      <c r="I4" s="63" t="str">
        <f t="shared" si="0"/>
        <v>JSW</v>
      </c>
      <c r="J4" s="132">
        <f>(('Income Statement'!W22+'Income Statement'!W18)-('Income Statement'!R22+'Income Statement'!R18))</f>
        <v>6116</v>
      </c>
      <c r="K4" s="132">
        <f>(('Balance Sheet'!W34-'Balance Sheet'!W61)-('Balance Sheet'!R34-'Balance Sheet'!R61))</f>
        <v>91984</v>
      </c>
      <c r="L4" s="102">
        <f t="shared" si="1"/>
        <v>6.6489824317272572E-2</v>
      </c>
      <c r="M4" s="132">
        <f>DCF!Z6-DCF!V6</f>
        <v>25827.804162582921</v>
      </c>
      <c r="N4" s="132">
        <f>AVERAGE(DCF!V10:Z10)</f>
        <v>24235.552402698784</v>
      </c>
      <c r="O4" s="132">
        <f>AVERAGE(DCF!V9:Z9)</f>
        <v>12812.35008049034</v>
      </c>
      <c r="P4" s="133">
        <f t="shared" si="2"/>
        <v>11423.202322208444</v>
      </c>
      <c r="Q4" s="134">
        <f t="shared" si="3"/>
        <v>2.2609950724911645</v>
      </c>
      <c r="R4" s="135">
        <f t="shared" si="4"/>
        <v>0.2</v>
      </c>
    </row>
    <row r="5" spans="1:18" x14ac:dyDescent="0.3">
      <c r="A5" s="63" t="s">
        <v>283</v>
      </c>
      <c r="B5" s="63" t="s">
        <v>219</v>
      </c>
      <c r="C5" s="102">
        <f>(Table2237[[#This Row],[2030]]/Table2237[[#This Row],[2026]])^(1/5)-1</f>
        <v>6.9206477815195955E-2</v>
      </c>
      <c r="F5" s="1"/>
      <c r="I5" s="63" t="str">
        <f t="shared" si="0"/>
        <v>TATA</v>
      </c>
      <c r="J5" s="132">
        <f>(('Income Statement'!AE20+'Income Statement'!AE14)-('Income Statement'!Z20+'Income Statement'!Z14))</f>
        <v>5479.3100000000468</v>
      </c>
      <c r="K5" s="132">
        <f>(('Balance Sheet'!AE36-'Balance Sheet'!AE68)-('Balance Sheet'!Z36-'Balance Sheet'!Z68))</f>
        <v>3195.3600000000151</v>
      </c>
      <c r="L5" s="102">
        <f t="shared" si="1"/>
        <v>1.7147707926493481</v>
      </c>
      <c r="M5" s="132">
        <f>DCF!AI6-DCF!AE6</f>
        <v>7610.6213193771982</v>
      </c>
      <c r="N5" s="132">
        <f>AVERAGE(DCF!AE10:AI10)</f>
        <v>16236.123564930505</v>
      </c>
      <c r="O5" s="132">
        <f>AVERAGE(DCF!AE9:AI9)</f>
        <v>12121.931035002881</v>
      </c>
      <c r="P5" s="133">
        <f t="shared" si="2"/>
        <v>4114.1925299276245</v>
      </c>
      <c r="Q5" s="134">
        <f t="shared" si="3"/>
        <v>1.8498456900146776</v>
      </c>
      <c r="R5" s="135">
        <f t="shared" si="4"/>
        <v>0.2</v>
      </c>
    </row>
    <row r="6" spans="1:18" x14ac:dyDescent="0.3">
      <c r="A6" s="63" t="s">
        <v>283</v>
      </c>
      <c r="B6" s="63" t="s">
        <v>220</v>
      </c>
      <c r="C6" s="102">
        <f>(DCF!BA5/DCF!AW5)^(1/5)-1</f>
        <v>0.1031222870434183</v>
      </c>
      <c r="E6" s="63" t="s">
        <v>289</v>
      </c>
      <c r="F6" s="125">
        <v>2020</v>
      </c>
      <c r="G6" s="102">
        <f>AVERAGE(-5.8%,9.7%)</f>
        <v>1.9499999999999997E-2</v>
      </c>
      <c r="I6" s="63" t="str">
        <f t="shared" si="0"/>
        <v>SAIL</v>
      </c>
      <c r="J6" s="132">
        <f>(('Income Statement'!AM18+'Income Statement'!AM14)-('Income Statement'!AH18+'Income Statement'!AH14))</f>
        <v>-1495.219999999983</v>
      </c>
      <c r="K6" s="132">
        <f>(('Balance Sheet'!AM32-'Balance Sheet'!AM60)-('Balance Sheet'!AH32-'Balance Sheet'!AH60))</f>
        <v>8218.0500000000466</v>
      </c>
      <c r="L6" s="102">
        <f t="shared" si="1"/>
        <v>-0.1819434050656755</v>
      </c>
      <c r="M6" s="132">
        <f>Table2237[[#This Row],[2030]]-Table2237[[#This Row],[2026]]</f>
        <v>4636.2286869708059</v>
      </c>
      <c r="N6" s="132">
        <f>AVERAGE(DCF!AN10:AR10)</f>
        <v>6528.8648698291718</v>
      </c>
      <c r="O6" s="132">
        <f>AVERAGE(DCF!AN9:AR9)</f>
        <v>6790.5643356597157</v>
      </c>
      <c r="P6" s="133">
        <f t="shared" si="2"/>
        <v>6528.8648698291718</v>
      </c>
      <c r="Q6" s="134">
        <f t="shared" si="3"/>
        <v>0.71011252023234372</v>
      </c>
      <c r="R6" s="135">
        <f t="shared" si="4"/>
        <v>0.2</v>
      </c>
    </row>
    <row r="7" spans="1:18" x14ac:dyDescent="0.3">
      <c r="A7" s="64" t="s">
        <v>283</v>
      </c>
      <c r="B7" s="64" t="s">
        <v>271</v>
      </c>
      <c r="C7" s="104">
        <f>AVERAGE(C1:C6)</f>
        <v>7.8343638700905507E-2</v>
      </c>
      <c r="E7" s="63" t="s">
        <v>289</v>
      </c>
      <c r="F7" s="125" t="s">
        <v>31</v>
      </c>
      <c r="G7" s="102">
        <v>7.8E-2</v>
      </c>
      <c r="I7" s="63" t="s">
        <v>220</v>
      </c>
      <c r="J7" s="132">
        <f>(('Income Statement'!AU23+'Income Statement'!AU19)-('Income Statement'!AP23+'Income Statement'!AP19))</f>
        <v>3100.2200000000003</v>
      </c>
      <c r="K7" s="132">
        <f>(('Balance Sheet'!AU27-'Balance Sheet'!AU49)-('Balance Sheet'!AP27-'Balance Sheet'!AP49))</f>
        <v>2823.6099999999933</v>
      </c>
      <c r="L7" s="102">
        <f t="shared" si="1"/>
        <v>1.0979632456323669</v>
      </c>
      <c r="M7" s="132">
        <f>DCF!BA6-DCF!AW6</f>
        <v>8168.5124756554596</v>
      </c>
      <c r="N7" s="132">
        <f>AVERAGE(DCF!AW10:BA10)</f>
        <v>3610.3124770322806</v>
      </c>
      <c r="O7" s="132">
        <f>AVERAGE(DCF!AW9:BA9)</f>
        <v>591.85536419632479</v>
      </c>
      <c r="P7" s="133">
        <f t="shared" si="2"/>
        <v>3018.4571128359557</v>
      </c>
      <c r="Q7" s="134">
        <f t="shared" si="3"/>
        <v>2.706188019342382</v>
      </c>
      <c r="R7" s="135">
        <f t="shared" si="4"/>
        <v>0.2</v>
      </c>
    </row>
    <row r="8" spans="1:18" x14ac:dyDescent="0.3">
      <c r="A8" s="63" t="s">
        <v>292</v>
      </c>
      <c r="B8" s="63" t="s">
        <v>284</v>
      </c>
      <c r="C8" s="102">
        <f>AVERAGE(DCF!D10:H10)/AVERAGE(DCF!D5:H5)</f>
        <v>9.3564882710169189E-2</v>
      </c>
      <c r="E8" s="64" t="s">
        <v>289</v>
      </c>
      <c r="F8" s="126" t="s">
        <v>290</v>
      </c>
      <c r="G8" s="104">
        <f>G7-G6</f>
        <v>5.8500000000000003E-2</v>
      </c>
      <c r="I8" s="64" t="s">
        <v>271</v>
      </c>
      <c r="J8" s="64"/>
      <c r="K8" s="64"/>
      <c r="L8" s="136">
        <f>AVERAGE(L2:L7)</f>
        <v>0.4338456935774932</v>
      </c>
      <c r="M8" s="136"/>
      <c r="N8" s="136"/>
      <c r="O8" s="136"/>
      <c r="P8" s="136"/>
      <c r="Q8" s="136">
        <f t="shared" ref="Q8:R8" si="5">AVERAGE(Q2:Q7)</f>
        <v>3.7992731733158327</v>
      </c>
      <c r="R8" s="136">
        <f t="shared" si="5"/>
        <v>0.19999999999999998</v>
      </c>
    </row>
    <row r="9" spans="1:18" x14ac:dyDescent="0.3">
      <c r="A9" s="63" t="s">
        <v>292</v>
      </c>
      <c r="B9" s="63" t="s">
        <v>285</v>
      </c>
      <c r="C9" s="102">
        <f>AVERAGE(DCF!M10:Q10)/AVERAGE(DCF!M5:Q5)</f>
        <v>0.11665758339578079</v>
      </c>
      <c r="E9" s="64" t="s">
        <v>289</v>
      </c>
      <c r="F9" s="126" t="s">
        <v>291</v>
      </c>
      <c r="G9" s="127">
        <f>C21/G8</f>
        <v>11.87628915488275</v>
      </c>
    </row>
    <row r="10" spans="1:18" x14ac:dyDescent="0.3">
      <c r="A10" s="63" t="s">
        <v>292</v>
      </c>
      <c r="B10" s="63" t="s">
        <v>286</v>
      </c>
      <c r="C10" s="102">
        <f>AVERAGE(Table2233[[#This Row],[2026]:[2030]])/AVERAGE(DCF!V5:Z5)</f>
        <v>9.2593433596449337E-2</v>
      </c>
    </row>
    <row r="11" spans="1:18" x14ac:dyDescent="0.3">
      <c r="A11" s="63" t="s">
        <v>292</v>
      </c>
      <c r="B11" s="63" t="s">
        <v>287</v>
      </c>
      <c r="C11" s="102">
        <f>AVERAGE(DCF!AE10:AI10)/AVERAGE(DCF!AE5:AI5)</f>
        <v>6.0823294774541542E-2</v>
      </c>
    </row>
    <row r="12" spans="1:18" x14ac:dyDescent="0.3">
      <c r="A12" s="63" t="s">
        <v>292</v>
      </c>
      <c r="B12" s="63" t="s">
        <v>219</v>
      </c>
      <c r="C12" s="102">
        <f>AVERAGE(DCF!AN10:AR10)/AVERAGE(DCF!AN5:AR5)</f>
        <v>4.8808456239480172E-2</v>
      </c>
    </row>
    <row r="13" spans="1:18" x14ac:dyDescent="0.3">
      <c r="A13" s="63" t="s">
        <v>292</v>
      </c>
      <c r="B13" s="63" t="s">
        <v>220</v>
      </c>
      <c r="C13" s="102">
        <f>AVERAGE(DCF!AW10:BA10)/AVERAGE(DCF!AW5:BA5)</f>
        <v>9.6531811742572152E-2</v>
      </c>
    </row>
    <row r="14" spans="1:18" x14ac:dyDescent="0.3">
      <c r="A14" s="64" t="s">
        <v>292</v>
      </c>
      <c r="B14" s="64" t="s">
        <v>271</v>
      </c>
      <c r="C14" s="104">
        <f>AVERAGE(C8:C13)</f>
        <v>8.482991040983219E-2</v>
      </c>
    </row>
    <row r="15" spans="1:18" x14ac:dyDescent="0.3">
      <c r="A15" s="63" t="s">
        <v>288</v>
      </c>
      <c r="B15" s="63" t="s">
        <v>284</v>
      </c>
      <c r="C15" s="102">
        <f>('Income Statement'!G37-'Income Statement'!B37)/'Income Statement'!B37</f>
        <v>1.1138551670205483</v>
      </c>
    </row>
    <row r="16" spans="1:18" x14ac:dyDescent="0.3">
      <c r="A16" s="63" t="s">
        <v>288</v>
      </c>
      <c r="B16" s="63" t="s">
        <v>285</v>
      </c>
      <c r="C16" s="102">
        <f>('Income Statement'!O24-'Income Statement'!J24)/'Income Statement'!J24</f>
        <v>0.52138133725202063</v>
      </c>
    </row>
    <row r="17" spans="1:3" x14ac:dyDescent="0.3">
      <c r="A17" s="63" t="s">
        <v>288</v>
      </c>
      <c r="B17" s="63" t="s">
        <v>286</v>
      </c>
      <c r="C17" s="102">
        <f>('Income Statement'!W31-'Income Statement'!R31)/'Income Statement'!R31</f>
        <v>-0.10921153355447819</v>
      </c>
    </row>
    <row r="18" spans="1:3" x14ac:dyDescent="0.3">
      <c r="A18" s="63" t="s">
        <v>288</v>
      </c>
      <c r="B18" s="63" t="s">
        <v>287</v>
      </c>
      <c r="C18" s="102">
        <f>('Income Statement'!AE35-'Income Statement'!Z35)/'Income Statement'!Z35</f>
        <v>1.7085811819927985</v>
      </c>
    </row>
    <row r="19" spans="1:3" x14ac:dyDescent="0.3">
      <c r="A19" s="63" t="s">
        <v>288</v>
      </c>
      <c r="B19" s="63" t="s">
        <v>219</v>
      </c>
      <c r="C19" s="102">
        <f>('Income Statement'!AM26-'Income Statement'!AH26)/'Income Statement'!AH26</f>
        <v>0.11839902674105221</v>
      </c>
    </row>
    <row r="20" spans="1:3" x14ac:dyDescent="0.3">
      <c r="A20" s="63" t="s">
        <v>288</v>
      </c>
      <c r="B20" s="63" t="s">
        <v>220</v>
      </c>
      <c r="C20" s="102">
        <f>('Income Statement'!AU34-'Income Statement'!AP34)/'Income Statement'!AP34</f>
        <v>0.81557231391190377</v>
      </c>
    </row>
    <row r="21" spans="1:3" x14ac:dyDescent="0.3">
      <c r="A21" s="64" t="s">
        <v>288</v>
      </c>
      <c r="B21" s="64" t="s">
        <v>271</v>
      </c>
      <c r="C21" s="104">
        <f>AVERAGE(C15:C20)</f>
        <v>0.69476291556064096</v>
      </c>
    </row>
    <row r="22" spans="1:3" x14ac:dyDescent="0.3">
      <c r="A22" s="63" t="s">
        <v>293</v>
      </c>
      <c r="B22" s="63" t="str">
        <f>B15</f>
        <v>CIL</v>
      </c>
      <c r="C22" s="102">
        <f>(DCF!H10/DCF!D10)^(1/5)-1</f>
        <v>5.467927243322368E-2</v>
      </c>
    </row>
    <row r="23" spans="1:3" x14ac:dyDescent="0.3">
      <c r="A23" s="63" t="s">
        <v>293</v>
      </c>
      <c r="B23" s="63" t="str">
        <f t="shared" ref="B23:B28" si="6">B16</f>
        <v>HZ</v>
      </c>
      <c r="C23" s="102">
        <f>(DCF!Q10/DCF!M10)^(1/5)-1</f>
        <v>7.4232879247605021E-2</v>
      </c>
    </row>
    <row r="24" spans="1:3" x14ac:dyDescent="0.3">
      <c r="A24" s="63" t="s">
        <v>293</v>
      </c>
      <c r="B24" s="63" t="str">
        <f t="shared" si="6"/>
        <v>JSW</v>
      </c>
      <c r="C24" s="102">
        <f>(DCF!Z10/DCF!V10)^(1/5)-1</f>
        <v>0.11711563029668137</v>
      </c>
    </row>
    <row r="25" spans="1:3" x14ac:dyDescent="0.3">
      <c r="A25" s="63" t="s">
        <v>293</v>
      </c>
      <c r="B25" s="63" t="str">
        <f t="shared" si="6"/>
        <v>TATA</v>
      </c>
      <c r="C25" s="102">
        <f>(DCF!AI10/DCF!AE10)^(1/5)-1</f>
        <v>5.170528536930874E-2</v>
      </c>
    </row>
    <row r="26" spans="1:3" x14ac:dyDescent="0.3">
      <c r="A26" s="63" t="s">
        <v>293</v>
      </c>
      <c r="B26" s="63" t="str">
        <f t="shared" si="6"/>
        <v>SAIL</v>
      </c>
      <c r="C26" s="102">
        <f>(DCF!AR10/DCF!AN10)^(1/5)-1</f>
        <v>6.9206477815195955E-2</v>
      </c>
    </row>
    <row r="27" spans="1:3" x14ac:dyDescent="0.3">
      <c r="A27" s="63" t="s">
        <v>293</v>
      </c>
      <c r="B27" s="63" t="str">
        <f t="shared" si="6"/>
        <v>NMDC</v>
      </c>
      <c r="C27" s="102">
        <f>(DCF!BA10/DCF!AW10)^(1/5)-1</f>
        <v>0.1031222870434183</v>
      </c>
    </row>
    <row r="28" spans="1:3" x14ac:dyDescent="0.3">
      <c r="A28" s="64" t="s">
        <v>293</v>
      </c>
      <c r="B28" s="64" t="str">
        <f t="shared" si="6"/>
        <v>Average</v>
      </c>
      <c r="C28" s="104">
        <f>AVERAGE(C22:C27)</f>
        <v>7.8343638700905507E-2</v>
      </c>
    </row>
    <row r="29" spans="1:3" x14ac:dyDescent="0.3">
      <c r="A29" s="1" t="s">
        <v>302</v>
      </c>
      <c r="B29" s="1" t="str">
        <f>B22</f>
        <v>CIL</v>
      </c>
      <c r="C29" s="129">
        <f>(DCF!H8/DCF!D8)^(1/5)-1</f>
        <v>5.467927243322368E-2</v>
      </c>
    </row>
    <row r="30" spans="1:3" x14ac:dyDescent="0.3">
      <c r="A30" s="1" t="s">
        <v>302</v>
      </c>
      <c r="B30" s="1" t="str">
        <f t="shared" ref="B30:B35" si="7">B23</f>
        <v>HZ</v>
      </c>
      <c r="C30" s="129">
        <f>(DCF!Q8/DCF!M8)^(1/5)-1</f>
        <v>7.4232879247605021E-2</v>
      </c>
    </row>
    <row r="31" spans="1:3" x14ac:dyDescent="0.3">
      <c r="A31" s="1" t="s">
        <v>302</v>
      </c>
      <c r="B31" s="1" t="str">
        <f t="shared" si="7"/>
        <v>JSW</v>
      </c>
      <c r="C31" s="129">
        <f>(DCF!Z8/DCF!V8)^(1/5)-1</f>
        <v>0.11711563029668137</v>
      </c>
    </row>
    <row r="32" spans="1:3" x14ac:dyDescent="0.3">
      <c r="A32" s="1" t="s">
        <v>302</v>
      </c>
      <c r="B32" s="1" t="str">
        <f t="shared" si="7"/>
        <v>TATA</v>
      </c>
      <c r="C32" s="129">
        <f>(DCF!AI8/DCF!AE8)^(1/5)-1</f>
        <v>5.170528536930874E-2</v>
      </c>
    </row>
    <row r="33" spans="1:3" x14ac:dyDescent="0.3">
      <c r="A33" s="1" t="s">
        <v>302</v>
      </c>
      <c r="B33" s="1" t="str">
        <f t="shared" si="7"/>
        <v>SAIL</v>
      </c>
      <c r="C33" s="129">
        <f>(DCF!AR8/DCF!AN8)^(1/5)-1</f>
        <v>6.9206477815195733E-2</v>
      </c>
    </row>
    <row r="34" spans="1:3" x14ac:dyDescent="0.3">
      <c r="A34" s="1" t="s">
        <v>302</v>
      </c>
      <c r="B34" s="1" t="str">
        <f t="shared" si="7"/>
        <v>NMDC</v>
      </c>
      <c r="C34" s="129">
        <f>(DCF!BA8/DCF!AW8)^(1/5)-1</f>
        <v>0.1031222870434183</v>
      </c>
    </row>
    <row r="35" spans="1:3" x14ac:dyDescent="0.3">
      <c r="A35" s="19" t="s">
        <v>302</v>
      </c>
      <c r="B35" s="19" t="str">
        <f t="shared" si="7"/>
        <v>Average</v>
      </c>
      <c r="C35" s="137">
        <f>AVERAGE(C29:C34)</f>
        <v>7.834363870090548E-2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Company Profile</vt:lpstr>
      <vt:lpstr>Balance Sheet</vt:lpstr>
      <vt:lpstr>Income Statement</vt:lpstr>
      <vt:lpstr>Cash Flow Statement</vt:lpstr>
      <vt:lpstr>Financial Ratios</vt:lpstr>
      <vt:lpstr>WACC</vt:lpstr>
      <vt:lpstr>DCF</vt:lpstr>
      <vt:lpstr>Relative Valuation</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2025-11-10T11:54:09Z</dcterms:modified>
</cp:coreProperties>
</file>
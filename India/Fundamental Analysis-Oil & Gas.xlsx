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5099FC44-14F0-4F0E-8716-47C3AA174C22}" xr6:coauthVersionLast="47" xr6:coauthVersionMax="47" xr10:uidLastSave="{00000000-0000-0000-0000-000000000000}"/>
  <bookViews>
    <workbookView xWindow="13728" yWindow="0" windowWidth="9408" windowHeight="12336" firstSheet="4" activeTab="4" xr2:uid="{00000000-000D-0000-FFFF-FFFF00000000}"/>
  </bookViews>
  <sheets>
    <sheet name="Company Profile" sheetId="1" r:id="rId1"/>
    <sheet name="Balance Sheet" sheetId="2" r:id="rId2"/>
    <sheet name="Income Statement" sheetId="3" r:id="rId3"/>
    <sheet name="Cash Flow Statement" sheetId="4" r:id="rId4"/>
    <sheet name="Financial Ratios" sheetId="5" r:id="rId5"/>
    <sheet name="WACC" sheetId="6" r:id="rId6"/>
    <sheet name="FCFF" sheetId="8" r:id="rId7"/>
    <sheet name="Relative" sheetId="9" r:id="rId8"/>
    <sheet name="Calc"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0" l="1"/>
  <c r="R4" i="10"/>
  <c r="R5" i="10"/>
  <c r="R6" i="10"/>
  <c r="R7" i="10"/>
  <c r="R2" i="10"/>
  <c r="C35" i="10"/>
  <c r="C34" i="10"/>
  <c r="C33" i="10"/>
  <c r="C32" i="10"/>
  <c r="C31" i="10"/>
  <c r="C30" i="10"/>
  <c r="C29" i="10"/>
  <c r="B30" i="10"/>
  <c r="B31" i="10"/>
  <c r="B32" i="10"/>
  <c r="B33" i="10"/>
  <c r="B34" i="10"/>
  <c r="B35" i="10"/>
  <c r="B29" i="10"/>
  <c r="Q3" i="10" l="1"/>
  <c r="Q4" i="10"/>
  <c r="Q5" i="10"/>
  <c r="Q6" i="10"/>
  <c r="Q7" i="10"/>
  <c r="Q2" i="10"/>
  <c r="P3" i="10"/>
  <c r="P4" i="10"/>
  <c r="P5" i="10"/>
  <c r="P6" i="10"/>
  <c r="P7" i="10"/>
  <c r="P2" i="10"/>
  <c r="O7" i="10"/>
  <c r="O6" i="10"/>
  <c r="O5" i="10"/>
  <c r="O4" i="10"/>
  <c r="O3" i="10"/>
  <c r="O2" i="10"/>
  <c r="N7" i="10"/>
  <c r="N6" i="10"/>
  <c r="N5" i="10"/>
  <c r="N4" i="10"/>
  <c r="N3" i="10"/>
  <c r="N2" i="10"/>
  <c r="M7" i="10"/>
  <c r="M6" i="10"/>
  <c r="M5" i="10"/>
  <c r="M4" i="10"/>
  <c r="M3" i="10"/>
  <c r="M2" i="10"/>
  <c r="L3" i="10"/>
  <c r="L8" i="10" s="1"/>
  <c r="L4" i="10"/>
  <c r="L5" i="10"/>
  <c r="L6" i="10"/>
  <c r="L7" i="10"/>
  <c r="L2" i="10"/>
  <c r="K7" i="10"/>
  <c r="K6" i="10"/>
  <c r="K5" i="10"/>
  <c r="K4" i="10"/>
  <c r="K3" i="10"/>
  <c r="K2" i="10"/>
  <c r="J7" i="10"/>
  <c r="J6" i="10"/>
  <c r="J5" i="10"/>
  <c r="J4" i="10"/>
  <c r="J3" i="10"/>
  <c r="J2" i="10"/>
  <c r="Q8" i="10"/>
  <c r="I4" i="10"/>
  <c r="I5" i="10"/>
  <c r="I6" i="10"/>
  <c r="I7" i="10"/>
  <c r="I3" i="10"/>
  <c r="C27" i="10"/>
  <c r="C26" i="10"/>
  <c r="C25" i="10"/>
  <c r="C24" i="10"/>
  <c r="C23" i="10"/>
  <c r="C22" i="10"/>
  <c r="B23" i="10"/>
  <c r="B24" i="10"/>
  <c r="B25" i="10"/>
  <c r="B26" i="10"/>
  <c r="B27" i="10"/>
  <c r="B28" i="10"/>
  <c r="B22" i="10"/>
  <c r="C20" i="10"/>
  <c r="C19" i="10"/>
  <c r="C18" i="10"/>
  <c r="C17" i="10"/>
  <c r="C16" i="10"/>
  <c r="C15" i="10"/>
  <c r="C14" i="10"/>
  <c r="C13" i="10"/>
  <c r="C12" i="10"/>
  <c r="C11" i="10"/>
  <c r="C10" i="10"/>
  <c r="C9" i="10"/>
  <c r="C8" i="10"/>
  <c r="C7" i="10"/>
  <c r="G7" i="10"/>
  <c r="C6" i="10"/>
  <c r="C5" i="10"/>
  <c r="C4" i="10"/>
  <c r="C3" i="10"/>
  <c r="C2" i="10"/>
  <c r="C1" i="10"/>
  <c r="G9" i="10"/>
  <c r="E24" i="9"/>
  <c r="E23" i="9"/>
  <c r="E22" i="9"/>
  <c r="E21" i="9"/>
  <c r="D24" i="9"/>
  <c r="D23" i="9"/>
  <c r="D22" i="9"/>
  <c r="D21" i="9"/>
  <c r="C24" i="9"/>
  <c r="C23" i="9"/>
  <c r="C22" i="9"/>
  <c r="C21" i="9"/>
  <c r="B24" i="9"/>
  <c r="B23" i="9"/>
  <c r="B22" i="9"/>
  <c r="B21" i="9"/>
  <c r="E20" i="9"/>
  <c r="D20" i="9"/>
  <c r="C20" i="9"/>
  <c r="B20" i="9"/>
  <c r="AV9" i="8"/>
  <c r="AU9" i="8" s="1"/>
  <c r="AU12" i="8" s="1"/>
  <c r="AV11" i="8"/>
  <c r="AR53" i="2" s="1"/>
  <c r="AY11" i="8" s="1" a="1"/>
  <c r="AY11" i="8" s="1"/>
  <c r="AU11" i="8"/>
  <c r="AW11" i="8" a="1"/>
  <c r="AW11" i="8" s="1"/>
  <c r="AQ53" i="2"/>
  <c r="AX11" i="8" s="1" a="1"/>
  <c r="AX11" i="8" s="1"/>
  <c r="AP53" i="2"/>
  <c r="AQ50" i="2"/>
  <c r="AR50" i="2"/>
  <c r="AS50" i="2"/>
  <c r="AT50" i="2"/>
  <c r="AU50" i="2"/>
  <c r="AP50" i="2"/>
  <c r="AZ9" i="8"/>
  <c r="BA9" i="8"/>
  <c r="AW9" i="8"/>
  <c r="AW8" i="8"/>
  <c r="AX8" i="8"/>
  <c r="AY8" i="8"/>
  <c r="AZ8" i="8"/>
  <c r="BA8" i="8"/>
  <c r="AU8" i="8"/>
  <c r="AX7" i="8"/>
  <c r="AY7" i="8"/>
  <c r="AZ7" i="8"/>
  <c r="BA7" i="8"/>
  <c r="AW7" i="8"/>
  <c r="AU7" i="8"/>
  <c r="AV7" i="8"/>
  <c r="AX6" i="8"/>
  <c r="AY6" i="8"/>
  <c r="AZ6" i="8"/>
  <c r="BA6" i="8"/>
  <c r="AW6" i="8"/>
  <c r="AU6" i="8"/>
  <c r="AV6" i="8"/>
  <c r="AU19" i="8"/>
  <c r="AV12" i="8"/>
  <c r="AX10" i="8"/>
  <c r="AY10" i="8"/>
  <c r="AZ10" i="8"/>
  <c r="BA10" i="8"/>
  <c r="AW10" i="8"/>
  <c r="AU10" i="8"/>
  <c r="AV10" i="8"/>
  <c r="AU5" i="8"/>
  <c r="AW5" i="8"/>
  <c r="AX5" i="8" s="1"/>
  <c r="AY5" i="8" s="1"/>
  <c r="AZ5" i="8" s="1"/>
  <c r="BA5" i="8" s="1"/>
  <c r="AV5" i="8"/>
  <c r="AL19" i="8"/>
  <c r="AP11" i="8" a="1"/>
  <c r="AP11" i="8" s="1"/>
  <c r="AP12" i="8" s="1"/>
  <c r="AQ11" i="8" a="1"/>
  <c r="AQ11" i="8" s="1"/>
  <c r="AQ12" i="8" s="1"/>
  <c r="AR11" i="8" a="1"/>
  <c r="AR11" i="8"/>
  <c r="AO11" i="8" a="1"/>
  <c r="AO11" i="8" s="1"/>
  <c r="AO12" i="8" s="1"/>
  <c r="AN11" i="8" a="1"/>
  <c r="AN11" i="8" s="1"/>
  <c r="AN12" i="8" s="1"/>
  <c r="AI78" i="2"/>
  <c r="AJ78" i="2"/>
  <c r="AK78" i="2"/>
  <c r="AL78" i="2"/>
  <c r="AH78" i="2"/>
  <c r="AL11" i="8"/>
  <c r="AL12" i="8" s="1"/>
  <c r="AM11" i="8"/>
  <c r="AI75" i="2"/>
  <c r="AJ75" i="2"/>
  <c r="AK75" i="2"/>
  <c r="AL75" i="2"/>
  <c r="AM75" i="2"/>
  <c r="AH75" i="2"/>
  <c r="AO10" i="8"/>
  <c r="AP10" i="8"/>
  <c r="AQ10" i="8"/>
  <c r="AR10" i="8"/>
  <c r="AN10" i="8"/>
  <c r="AM10" i="8"/>
  <c r="AL10" i="8"/>
  <c r="AR12" i="8"/>
  <c r="AO9" i="8"/>
  <c r="AP9" i="8"/>
  <c r="AQ9" i="8"/>
  <c r="AR9" i="8"/>
  <c r="AN9" i="8"/>
  <c r="AM9" i="8"/>
  <c r="AL9" i="8"/>
  <c r="AN8" i="8"/>
  <c r="AO8" i="8"/>
  <c r="AP8" i="8"/>
  <c r="AQ8" i="8"/>
  <c r="AR8" i="8"/>
  <c r="AL8" i="8"/>
  <c r="AO7" i="8"/>
  <c r="AP7" i="8"/>
  <c r="AQ7" i="8"/>
  <c r="AR7" i="8"/>
  <c r="AN7" i="8"/>
  <c r="AL7" i="8"/>
  <c r="AM7" i="8"/>
  <c r="AO6" i="8"/>
  <c r="AP6" i="8"/>
  <c r="AQ6" i="8"/>
  <c r="AR6" i="8"/>
  <c r="AN6" i="8"/>
  <c r="AL6" i="8"/>
  <c r="AM6" i="8"/>
  <c r="AL5" i="8"/>
  <c r="AN5" i="8"/>
  <c r="AO5" i="8" s="1"/>
  <c r="AP5" i="8" s="1"/>
  <c r="AQ5" i="8" s="1"/>
  <c r="AR5" i="8" s="1"/>
  <c r="AM5" i="8"/>
  <c r="AG11" i="8" a="1"/>
  <c r="AG11" i="8" s="1"/>
  <c r="AH11" i="8" a="1"/>
  <c r="AH11" i="8" s="1"/>
  <c r="AI11" i="8" a="1"/>
  <c r="AI11" i="8" s="1"/>
  <c r="AF11" i="8" a="1"/>
  <c r="AF11" i="8" s="1"/>
  <c r="AF12" i="8" s="1"/>
  <c r="AE11" i="8" a="1"/>
  <c r="AE11" i="8" s="1"/>
  <c r="AC11" i="8"/>
  <c r="AD11" i="8"/>
  <c r="AA62" i="2" s="1"/>
  <c r="AA59" i="2"/>
  <c r="AB59" i="2"/>
  <c r="AC59" i="2"/>
  <c r="AD59" i="2"/>
  <c r="AE59" i="2"/>
  <c r="Z59" i="2"/>
  <c r="AF10" i="8"/>
  <c r="AG10" i="8"/>
  <c r="AH10" i="8"/>
  <c r="AI10" i="8"/>
  <c r="AE10" i="8"/>
  <c r="AD10" i="8"/>
  <c r="AC10" i="8"/>
  <c r="AF9" i="8"/>
  <c r="AG9" i="8"/>
  <c r="AH9" i="8"/>
  <c r="AI9" i="8"/>
  <c r="AE9" i="8"/>
  <c r="AD9" i="8"/>
  <c r="AC9" i="8"/>
  <c r="AE8" i="8"/>
  <c r="AF8" i="8"/>
  <c r="AG8" i="8"/>
  <c r="AH8" i="8"/>
  <c r="AI8" i="8"/>
  <c r="AC8" i="8"/>
  <c r="AC12" i="8" s="1"/>
  <c r="AF7" i="8"/>
  <c r="AG7" i="8"/>
  <c r="AH7" i="8"/>
  <c r="AI7" i="8"/>
  <c r="AE7" i="8"/>
  <c r="AC7" i="8"/>
  <c r="AD7" i="8"/>
  <c r="AF6" i="8"/>
  <c r="AG6" i="8"/>
  <c r="AH6" i="8"/>
  <c r="AI6" i="8"/>
  <c r="AE6" i="8"/>
  <c r="AD6" i="8"/>
  <c r="AC6" i="8"/>
  <c r="AC5" i="8"/>
  <c r="AD5" i="8"/>
  <c r="AE5" i="8" s="1"/>
  <c r="AF5" i="8" s="1"/>
  <c r="AG5" i="8" s="1"/>
  <c r="AH5" i="8" s="1"/>
  <c r="AI5" i="8" s="1"/>
  <c r="AC19" i="8"/>
  <c r="U11" i="8"/>
  <c r="S58" i="2" s="1"/>
  <c r="W11" i="8" s="1" a="1"/>
  <c r="W11" i="8" s="1"/>
  <c r="W12" i="8" s="1"/>
  <c r="R58" i="2"/>
  <c r="V11" i="8" s="1" a="1"/>
  <c r="V11" i="8" s="1"/>
  <c r="V12" i="8" s="1"/>
  <c r="T11" i="8"/>
  <c r="S54" i="2"/>
  <c r="T54" i="2"/>
  <c r="U54" i="2"/>
  <c r="V54" i="2"/>
  <c r="W54" i="2"/>
  <c r="R54" i="2"/>
  <c r="T19" i="8"/>
  <c r="W10" i="8"/>
  <c r="X10" i="8"/>
  <c r="Y10" i="8"/>
  <c r="Z10" i="8"/>
  <c r="V10" i="8"/>
  <c r="T10" i="8"/>
  <c r="U10" i="8"/>
  <c r="T12" i="8"/>
  <c r="W9" i="8"/>
  <c r="X9" i="8"/>
  <c r="Y9" i="8"/>
  <c r="Z9" i="8"/>
  <c r="V9" i="8"/>
  <c r="U9" i="8"/>
  <c r="T9" i="8"/>
  <c r="V8" i="8"/>
  <c r="W8" i="8"/>
  <c r="X8" i="8"/>
  <c r="Y8" i="8"/>
  <c r="Z8" i="8"/>
  <c r="T8" i="8"/>
  <c r="W7" i="8"/>
  <c r="X7" i="8"/>
  <c r="Y7" i="8"/>
  <c r="Z7" i="8"/>
  <c r="V7" i="8"/>
  <c r="T7" i="8"/>
  <c r="U7" i="8"/>
  <c r="T6" i="8"/>
  <c r="W6" i="8"/>
  <c r="X6" i="8"/>
  <c r="Y6" i="8"/>
  <c r="Z6" i="8"/>
  <c r="V6" i="8"/>
  <c r="U6" i="8"/>
  <c r="T5" i="8"/>
  <c r="U5" i="8"/>
  <c r="V5" i="8"/>
  <c r="W5" i="8" s="1"/>
  <c r="X5" i="8" s="1"/>
  <c r="Y5" i="8" s="1"/>
  <c r="Z5" i="8" s="1"/>
  <c r="O11" i="8" a="1"/>
  <c r="O11" i="8" s="1"/>
  <c r="P11" i="8" a="1"/>
  <c r="P11" i="8" s="1"/>
  <c r="Q11" i="8" a="1"/>
  <c r="Q11" i="8" s="1"/>
  <c r="N11" i="8" a="1"/>
  <c r="N11" i="8" s="1"/>
  <c r="M11" i="8" a="1"/>
  <c r="M11" i="8" s="1"/>
  <c r="L11" i="8"/>
  <c r="L63" i="2" s="1"/>
  <c r="K63" i="2"/>
  <c r="J63" i="2"/>
  <c r="K11" i="8"/>
  <c r="K12" i="8" s="1"/>
  <c r="O58" i="2"/>
  <c r="K58" i="2"/>
  <c r="L58" i="2"/>
  <c r="M58" i="2"/>
  <c r="N58" i="2"/>
  <c r="J58" i="2"/>
  <c r="L10" i="8"/>
  <c r="N10" i="8" s="1"/>
  <c r="K19" i="8"/>
  <c r="K10" i="8"/>
  <c r="N9" i="8"/>
  <c r="O9" i="8"/>
  <c r="P9" i="8"/>
  <c r="Q9" i="8"/>
  <c r="M9" i="8"/>
  <c r="L9" i="8"/>
  <c r="K9" i="8"/>
  <c r="M8" i="8"/>
  <c r="N8" i="8"/>
  <c r="O8" i="8"/>
  <c r="P8" i="8"/>
  <c r="Q8" i="8"/>
  <c r="K8" i="8"/>
  <c r="N7" i="8"/>
  <c r="O7" i="8"/>
  <c r="P7" i="8"/>
  <c r="Q7" i="8"/>
  <c r="M7" i="8"/>
  <c r="K7" i="8"/>
  <c r="L7" i="8"/>
  <c r="N6" i="8"/>
  <c r="O6" i="8"/>
  <c r="P6" i="8"/>
  <c r="Q6" i="8"/>
  <c r="M6" i="8"/>
  <c r="K6" i="8"/>
  <c r="L6" i="8"/>
  <c r="L5" i="8"/>
  <c r="M5" i="8" s="1"/>
  <c r="N5" i="8" s="1"/>
  <c r="O5" i="8" s="1"/>
  <c r="P5" i="8" s="1"/>
  <c r="Q5" i="8" s="1"/>
  <c r="K5" i="8"/>
  <c r="B19" i="8"/>
  <c r="C11" i="8"/>
  <c r="C60" i="2"/>
  <c r="D60" i="2"/>
  <c r="E60" i="2"/>
  <c r="F60" i="2"/>
  <c r="G60" i="2"/>
  <c r="B60" i="2"/>
  <c r="B11" i="8"/>
  <c r="C10" i="8"/>
  <c r="B10" i="8"/>
  <c r="B9" i="8"/>
  <c r="C9" i="8"/>
  <c r="B8" i="8"/>
  <c r="C7" i="8"/>
  <c r="B7" i="8"/>
  <c r="C6" i="8"/>
  <c r="B6" i="8"/>
  <c r="C5" i="8"/>
  <c r="B5" i="8"/>
  <c r="D5" i="8"/>
  <c r="E5" i="8" s="1"/>
  <c r="F5" i="8" s="1"/>
  <c r="G5" i="8" s="1"/>
  <c r="H5" i="8" s="1"/>
  <c r="H6" i="8" s="1"/>
  <c r="G18" i="6"/>
  <c r="F18" i="6"/>
  <c r="E18" i="6"/>
  <c r="D18" i="6"/>
  <c r="C18" i="6"/>
  <c r="B18" i="6"/>
  <c r="C14" i="6"/>
  <c r="F14" i="6"/>
  <c r="G11" i="6"/>
  <c r="F11" i="6"/>
  <c r="E11" i="6"/>
  <c r="D11" i="6"/>
  <c r="C11" i="6"/>
  <c r="B11" i="6"/>
  <c r="C10" i="6"/>
  <c r="C12" i="6" s="1"/>
  <c r="G9" i="6"/>
  <c r="G14" i="6" s="1"/>
  <c r="F9" i="6"/>
  <c r="F10" i="6" s="1"/>
  <c r="F12" i="6" s="1"/>
  <c r="E9" i="6"/>
  <c r="E10" i="6" s="1"/>
  <c r="E12" i="6" s="1"/>
  <c r="D9" i="6"/>
  <c r="D10" i="6" s="1"/>
  <c r="D12" i="6" s="1"/>
  <c r="C9" i="6"/>
  <c r="B9" i="6"/>
  <c r="B14" i="6" s="1"/>
  <c r="G8" i="6"/>
  <c r="F8" i="6"/>
  <c r="E8" i="6"/>
  <c r="D8" i="6"/>
  <c r="C8" i="6"/>
  <c r="B8" i="6"/>
  <c r="AW5" i="5"/>
  <c r="AX5" i="5"/>
  <c r="AY5" i="5"/>
  <c r="AZ5" i="5"/>
  <c r="BA5" i="5"/>
  <c r="AW6" i="5"/>
  <c r="AX6" i="5"/>
  <c r="AY6" i="5"/>
  <c r="AZ6" i="5"/>
  <c r="BA6" i="5"/>
  <c r="AW7" i="5"/>
  <c r="AX7" i="5"/>
  <c r="AY7" i="5"/>
  <c r="AZ7" i="5"/>
  <c r="BA7" i="5"/>
  <c r="AW8" i="5"/>
  <c r="AX8" i="5"/>
  <c r="AY8" i="5"/>
  <c r="AZ8" i="5"/>
  <c r="BA8" i="5"/>
  <c r="AW9" i="5"/>
  <c r="AX9" i="5"/>
  <c r="AY9" i="5"/>
  <c r="AZ9" i="5"/>
  <c r="BA9" i="5"/>
  <c r="AW10" i="5"/>
  <c r="AX10" i="5"/>
  <c r="AY10" i="5"/>
  <c r="AZ10" i="5"/>
  <c r="BA10" i="5"/>
  <c r="AW11" i="5"/>
  <c r="AX11" i="5"/>
  <c r="AY11" i="5"/>
  <c r="AZ11" i="5"/>
  <c r="BA11" i="5"/>
  <c r="AW12" i="5"/>
  <c r="AX12" i="5"/>
  <c r="AY12" i="5"/>
  <c r="AZ12" i="5"/>
  <c r="BA12" i="5"/>
  <c r="AW13" i="5"/>
  <c r="AX13" i="5"/>
  <c r="AY13" i="5"/>
  <c r="AZ13" i="5"/>
  <c r="BA13" i="5"/>
  <c r="AW14" i="5"/>
  <c r="AX14" i="5"/>
  <c r="AY14" i="5"/>
  <c r="AZ14" i="5"/>
  <c r="BA14" i="5"/>
  <c r="AW15" i="5"/>
  <c r="AX15" i="5"/>
  <c r="AY15" i="5"/>
  <c r="AZ15" i="5"/>
  <c r="BA15" i="5"/>
  <c r="AW16" i="5"/>
  <c r="AX16" i="5"/>
  <c r="AY16" i="5"/>
  <c r="AZ16" i="5"/>
  <c r="BA16" i="5"/>
  <c r="AW17" i="5"/>
  <c r="AX17" i="5"/>
  <c r="AY17" i="5"/>
  <c r="AZ17" i="5"/>
  <c r="BA17" i="5"/>
  <c r="AW18" i="5"/>
  <c r="AX18" i="5"/>
  <c r="AY18" i="5"/>
  <c r="AZ18" i="5"/>
  <c r="BA18" i="5"/>
  <c r="AV18" i="5"/>
  <c r="AV17" i="5"/>
  <c r="AV16" i="5"/>
  <c r="AV15" i="5"/>
  <c r="AV14" i="5"/>
  <c r="AV13" i="5"/>
  <c r="AV12" i="5"/>
  <c r="AV11" i="5"/>
  <c r="AV10" i="5"/>
  <c r="AV9" i="5"/>
  <c r="AV8" i="5"/>
  <c r="AV7" i="5"/>
  <c r="AV6" i="5"/>
  <c r="AV5" i="5"/>
  <c r="AN18" i="5"/>
  <c r="AO18" i="5"/>
  <c r="AP18" i="5"/>
  <c r="AQ18" i="5"/>
  <c r="AR18" i="5"/>
  <c r="AM18" i="5"/>
  <c r="AN17" i="5"/>
  <c r="AO17" i="5"/>
  <c r="AP17" i="5"/>
  <c r="AQ17" i="5"/>
  <c r="AR17" i="5"/>
  <c r="AM17" i="5"/>
  <c r="AN16" i="5"/>
  <c r="AO16" i="5"/>
  <c r="AP16" i="5"/>
  <c r="AQ16" i="5"/>
  <c r="AR16" i="5"/>
  <c r="AM16" i="5"/>
  <c r="AN15" i="5"/>
  <c r="AO15" i="5"/>
  <c r="AP15" i="5"/>
  <c r="AQ15" i="5"/>
  <c r="AR15" i="5"/>
  <c r="AM15" i="5"/>
  <c r="AN13" i="5"/>
  <c r="AO13" i="5"/>
  <c r="AP13" i="5"/>
  <c r="AQ13" i="5"/>
  <c r="AR13" i="5"/>
  <c r="AN14" i="5"/>
  <c r="AO14" i="5"/>
  <c r="AP14" i="5"/>
  <c r="AQ14" i="5"/>
  <c r="AR14" i="5"/>
  <c r="AM14" i="5"/>
  <c r="AM13" i="5"/>
  <c r="AN12" i="5"/>
  <c r="AO12" i="5"/>
  <c r="AP12" i="5"/>
  <c r="AQ12" i="5"/>
  <c r="AR12" i="5"/>
  <c r="AM12" i="5"/>
  <c r="AN11" i="5"/>
  <c r="AO11" i="5"/>
  <c r="AP11" i="5"/>
  <c r="AQ11" i="5"/>
  <c r="AR11" i="5"/>
  <c r="AM11" i="5"/>
  <c r="AN10" i="5"/>
  <c r="AO10" i="5"/>
  <c r="AP10" i="5"/>
  <c r="AQ10" i="5"/>
  <c r="AR10" i="5"/>
  <c r="AM10" i="5"/>
  <c r="AN9" i="5"/>
  <c r="AO9" i="5"/>
  <c r="AP9" i="5"/>
  <c r="AQ9" i="5"/>
  <c r="AR9" i="5"/>
  <c r="AM9" i="5"/>
  <c r="AN8" i="5"/>
  <c r="AO8" i="5"/>
  <c r="AP8" i="5"/>
  <c r="AQ8" i="5"/>
  <c r="AR8" i="5"/>
  <c r="AM8" i="5"/>
  <c r="AN7" i="5"/>
  <c r="AO7" i="5"/>
  <c r="AP7" i="5"/>
  <c r="AQ7" i="5"/>
  <c r="AR7" i="5"/>
  <c r="AM7" i="5"/>
  <c r="AN6" i="5"/>
  <c r="AO6" i="5"/>
  <c r="AP6" i="5"/>
  <c r="AQ6" i="5"/>
  <c r="AR6" i="5"/>
  <c r="AM6" i="5"/>
  <c r="AN5" i="5"/>
  <c r="AO5" i="5"/>
  <c r="AP5" i="5"/>
  <c r="AQ5" i="5"/>
  <c r="AR5" i="5"/>
  <c r="AM5" i="5"/>
  <c r="AE17" i="5"/>
  <c r="AF17" i="5"/>
  <c r="AG17" i="5"/>
  <c r="AH17" i="5"/>
  <c r="AI17" i="5"/>
  <c r="AE18" i="5"/>
  <c r="AF18" i="5"/>
  <c r="AG18" i="5"/>
  <c r="AH18" i="5"/>
  <c r="AI18" i="5"/>
  <c r="R8" i="10" l="1"/>
  <c r="C28" i="10"/>
  <c r="C21" i="10"/>
  <c r="G10" i="10" s="1"/>
  <c r="AY9" i="8"/>
  <c r="AX9" i="8"/>
  <c r="AW12" i="8"/>
  <c r="AT53" i="2"/>
  <c r="BA11" i="8" s="1" a="1"/>
  <c r="BA11" i="8" s="1"/>
  <c r="BA12" i="8" s="1"/>
  <c r="AS53" i="2"/>
  <c r="AZ11" i="8" s="1" a="1"/>
  <c r="AZ11" i="8" s="1"/>
  <c r="AX12" i="8"/>
  <c r="AZ12" i="8"/>
  <c r="AY12" i="8"/>
  <c r="AH12" i="8"/>
  <c r="AG12" i="8"/>
  <c r="AE12" i="8"/>
  <c r="AD62" i="2"/>
  <c r="Z62" i="2"/>
  <c r="AC62" i="2"/>
  <c r="AB62" i="2"/>
  <c r="AI12" i="8"/>
  <c r="V58" i="2"/>
  <c r="Z11" i="8" s="1" a="1"/>
  <c r="Z11" i="8" s="1"/>
  <c r="Z12" i="8" s="1"/>
  <c r="U58" i="2"/>
  <c r="Y11" i="8" s="1" a="1"/>
  <c r="Y11" i="8" s="1"/>
  <c r="Y12" i="8" s="1"/>
  <c r="T58" i="2"/>
  <c r="X11" i="8" s="1" a="1"/>
  <c r="X11" i="8" s="1"/>
  <c r="X12" i="8" s="1"/>
  <c r="N12" i="8"/>
  <c r="N63" i="2"/>
  <c r="M63" i="2"/>
  <c r="M10" i="8"/>
  <c r="M12" i="8" s="1"/>
  <c r="Q10" i="8"/>
  <c r="Q12" i="8" s="1"/>
  <c r="P10" i="8"/>
  <c r="P12" i="8" s="1"/>
  <c r="O10" i="8"/>
  <c r="O12" i="8" s="1"/>
  <c r="E63" i="2"/>
  <c r="D10" i="8"/>
  <c r="D63" i="2"/>
  <c r="D9" i="8"/>
  <c r="H10" i="8"/>
  <c r="C63" i="2"/>
  <c r="H9" i="8"/>
  <c r="G10" i="8"/>
  <c r="G9" i="8"/>
  <c r="F10" i="8"/>
  <c r="F9" i="8"/>
  <c r="E10" i="8"/>
  <c r="E9" i="8"/>
  <c r="B63" i="2"/>
  <c r="D11" i="8" s="1" a="1"/>
  <c r="D11" i="8" s="1"/>
  <c r="F63" i="2"/>
  <c r="H11" i="8" s="1" a="1"/>
  <c r="H11" i="8" s="1"/>
  <c r="D14" i="6"/>
  <c r="B10" i="6"/>
  <c r="B12" i="6" s="1"/>
  <c r="G10" i="6"/>
  <c r="G12" i="6" s="1"/>
  <c r="E14" i="6"/>
  <c r="B12" i="8"/>
  <c r="H7" i="8"/>
  <c r="H8" i="8"/>
  <c r="G6" i="8"/>
  <c r="F6" i="8"/>
  <c r="E6" i="8"/>
  <c r="D6" i="8"/>
  <c r="AD18" i="5"/>
  <c r="AD17" i="5"/>
  <c r="AE16" i="5"/>
  <c r="AF16" i="5"/>
  <c r="AG16" i="5"/>
  <c r="AH16" i="5"/>
  <c r="AI16" i="5"/>
  <c r="AD16" i="5"/>
  <c r="AE15" i="5"/>
  <c r="AF15" i="5"/>
  <c r="AG15" i="5"/>
  <c r="AH15" i="5"/>
  <c r="AI15" i="5"/>
  <c r="AD15" i="5"/>
  <c r="AE13" i="5"/>
  <c r="AF13" i="5"/>
  <c r="AG13" i="5"/>
  <c r="AH13" i="5"/>
  <c r="AI13" i="5"/>
  <c r="AE14" i="5"/>
  <c r="AF14" i="5"/>
  <c r="AG14" i="5"/>
  <c r="AH14" i="5"/>
  <c r="AI14" i="5"/>
  <c r="AD14" i="5"/>
  <c r="AD13" i="5"/>
  <c r="AE12" i="5"/>
  <c r="AF12" i="5"/>
  <c r="AG12" i="5"/>
  <c r="AH12" i="5"/>
  <c r="AI12" i="5"/>
  <c r="AD12" i="5"/>
  <c r="AE11" i="5"/>
  <c r="AF11" i="5"/>
  <c r="AG11" i="5"/>
  <c r="AH11" i="5"/>
  <c r="AI11" i="5"/>
  <c r="AD11" i="5"/>
  <c r="AE10" i="5"/>
  <c r="AF10" i="5"/>
  <c r="AG10" i="5"/>
  <c r="AH10" i="5"/>
  <c r="AI10" i="5"/>
  <c r="AD10" i="5"/>
  <c r="AE9" i="5"/>
  <c r="AF9" i="5"/>
  <c r="AG9" i="5"/>
  <c r="AH9" i="5"/>
  <c r="AI9" i="5"/>
  <c r="AD9" i="5"/>
  <c r="AE8" i="5"/>
  <c r="AF8" i="5"/>
  <c r="AG8" i="5"/>
  <c r="AH8" i="5"/>
  <c r="AI8" i="5"/>
  <c r="AD8" i="5"/>
  <c r="AE7" i="5"/>
  <c r="AF7" i="5"/>
  <c r="AG7" i="5"/>
  <c r="AH7" i="5"/>
  <c r="AI7" i="5"/>
  <c r="AD7" i="5"/>
  <c r="AE6" i="5"/>
  <c r="AF6" i="5"/>
  <c r="AG6" i="5"/>
  <c r="AH6" i="5"/>
  <c r="AI6" i="5"/>
  <c r="AD6" i="5"/>
  <c r="AE5" i="5"/>
  <c r="AF5" i="5"/>
  <c r="AG5" i="5"/>
  <c r="AH5" i="5"/>
  <c r="AI5" i="5"/>
  <c r="AD5" i="5"/>
  <c r="V13" i="5"/>
  <c r="W13" i="5"/>
  <c r="X13" i="5"/>
  <c r="Y13" i="5"/>
  <c r="Z13" i="5"/>
  <c r="V14" i="5"/>
  <c r="W14" i="5"/>
  <c r="X14" i="5"/>
  <c r="Y14" i="5"/>
  <c r="Z14" i="5"/>
  <c r="V15" i="5"/>
  <c r="W15" i="5"/>
  <c r="X15" i="5"/>
  <c r="Y15" i="5"/>
  <c r="Z15" i="5"/>
  <c r="V16" i="5"/>
  <c r="W16" i="5"/>
  <c r="X16" i="5"/>
  <c r="Y16" i="5"/>
  <c r="Z16" i="5"/>
  <c r="V17" i="5"/>
  <c r="W17" i="5"/>
  <c r="X17" i="5"/>
  <c r="Y17" i="5"/>
  <c r="Z17" i="5"/>
  <c r="V18" i="5"/>
  <c r="W18" i="5"/>
  <c r="X18" i="5"/>
  <c r="Y18" i="5"/>
  <c r="Z18" i="5"/>
  <c r="U18" i="5"/>
  <c r="U17" i="5"/>
  <c r="U16" i="5"/>
  <c r="U15" i="5"/>
  <c r="U14" i="5"/>
  <c r="U13" i="5"/>
  <c r="V12" i="5"/>
  <c r="W12" i="5"/>
  <c r="X12" i="5"/>
  <c r="Y12" i="5"/>
  <c r="Z12" i="5"/>
  <c r="U12" i="5"/>
  <c r="V11" i="5"/>
  <c r="W11" i="5"/>
  <c r="X11" i="5"/>
  <c r="Y11" i="5"/>
  <c r="Z11" i="5"/>
  <c r="U11" i="5"/>
  <c r="V10" i="5"/>
  <c r="W10" i="5"/>
  <c r="X10" i="5"/>
  <c r="Y10" i="5"/>
  <c r="Z10" i="5"/>
  <c r="U10" i="5"/>
  <c r="V9" i="5"/>
  <c r="W9" i="5"/>
  <c r="X9" i="5"/>
  <c r="Y9" i="5"/>
  <c r="Z9" i="5"/>
  <c r="U9" i="5"/>
  <c r="V8" i="5"/>
  <c r="W8" i="5"/>
  <c r="X8" i="5"/>
  <c r="Y8" i="5"/>
  <c r="Z8" i="5"/>
  <c r="U8" i="5"/>
  <c r="V7" i="5"/>
  <c r="W7" i="5"/>
  <c r="X7" i="5"/>
  <c r="Y7" i="5"/>
  <c r="Z7" i="5"/>
  <c r="U7" i="5"/>
  <c r="V6" i="5"/>
  <c r="W6" i="5"/>
  <c r="X6" i="5"/>
  <c r="Y6" i="5"/>
  <c r="Z6" i="5"/>
  <c r="U6" i="5"/>
  <c r="V5" i="5"/>
  <c r="W5" i="5"/>
  <c r="X5" i="5"/>
  <c r="Y5" i="5"/>
  <c r="Z5" i="5"/>
  <c r="U5" i="5"/>
  <c r="M11" i="5"/>
  <c r="N11" i="5"/>
  <c r="O11" i="5"/>
  <c r="P11" i="5"/>
  <c r="Q11" i="5"/>
  <c r="M12" i="5"/>
  <c r="N12" i="5"/>
  <c r="O12" i="5"/>
  <c r="P12" i="5"/>
  <c r="Q12" i="5"/>
  <c r="M13" i="5"/>
  <c r="N13" i="5"/>
  <c r="O13" i="5"/>
  <c r="P13" i="5"/>
  <c r="Q13" i="5"/>
  <c r="M14" i="5"/>
  <c r="N14" i="5"/>
  <c r="O14" i="5"/>
  <c r="P14" i="5"/>
  <c r="Q14" i="5"/>
  <c r="M15" i="5"/>
  <c r="N15" i="5"/>
  <c r="O15" i="5"/>
  <c r="P15" i="5"/>
  <c r="Q15" i="5"/>
  <c r="M16" i="5"/>
  <c r="N16" i="5"/>
  <c r="O16" i="5"/>
  <c r="P16" i="5"/>
  <c r="Q16" i="5"/>
  <c r="M17" i="5"/>
  <c r="N17" i="5"/>
  <c r="O17" i="5"/>
  <c r="P17" i="5"/>
  <c r="Q17" i="5"/>
  <c r="M18" i="5"/>
  <c r="N18" i="5"/>
  <c r="O18" i="5"/>
  <c r="P18" i="5"/>
  <c r="Q18" i="5"/>
  <c r="L18" i="5"/>
  <c r="L17" i="5"/>
  <c r="L16" i="5"/>
  <c r="L15" i="5"/>
  <c r="L14" i="5"/>
  <c r="L13" i="5"/>
  <c r="L12" i="5"/>
  <c r="L11" i="5"/>
  <c r="M10" i="5"/>
  <c r="N10" i="5"/>
  <c r="O10" i="5"/>
  <c r="P10" i="5"/>
  <c r="Q10" i="5"/>
  <c r="L10" i="5"/>
  <c r="M9" i="5"/>
  <c r="N9" i="5"/>
  <c r="O9" i="5"/>
  <c r="P9" i="5"/>
  <c r="Q9" i="5"/>
  <c r="L9" i="5"/>
  <c r="M8" i="5"/>
  <c r="N8" i="5"/>
  <c r="O8" i="5"/>
  <c r="P8" i="5"/>
  <c r="Q8" i="5"/>
  <c r="L8" i="5"/>
  <c r="M7" i="5"/>
  <c r="N7" i="5"/>
  <c r="O7" i="5"/>
  <c r="P7" i="5"/>
  <c r="Q7" i="5"/>
  <c r="L7" i="5"/>
  <c r="M6" i="5"/>
  <c r="N6" i="5"/>
  <c r="O6" i="5"/>
  <c r="P6" i="5"/>
  <c r="Q6" i="5"/>
  <c r="L6" i="5"/>
  <c r="M5" i="5"/>
  <c r="N5" i="5"/>
  <c r="O5" i="5"/>
  <c r="P5" i="5"/>
  <c r="Q5" i="5"/>
  <c r="L5" i="5"/>
  <c r="C6" i="5"/>
  <c r="D18" i="5"/>
  <c r="E18" i="5"/>
  <c r="F18" i="5"/>
  <c r="G18" i="5"/>
  <c r="H18" i="5"/>
  <c r="C18" i="5"/>
  <c r="D17" i="5"/>
  <c r="E17" i="5"/>
  <c r="F17" i="5"/>
  <c r="G17" i="5"/>
  <c r="H17" i="5"/>
  <c r="C17" i="5"/>
  <c r="D16" i="5"/>
  <c r="E16" i="5"/>
  <c r="F16" i="5"/>
  <c r="G16" i="5"/>
  <c r="H16" i="5"/>
  <c r="C16" i="5"/>
  <c r="D15" i="5"/>
  <c r="E15" i="5"/>
  <c r="F15" i="5"/>
  <c r="G15" i="5"/>
  <c r="H15" i="5"/>
  <c r="C15" i="5"/>
  <c r="D14" i="5"/>
  <c r="E14" i="5"/>
  <c r="F14" i="5"/>
  <c r="G14" i="5"/>
  <c r="H14" i="5"/>
  <c r="C14" i="5"/>
  <c r="D13" i="5"/>
  <c r="E13" i="5"/>
  <c r="F13" i="5"/>
  <c r="G13" i="5"/>
  <c r="H13" i="5"/>
  <c r="C13" i="5"/>
  <c r="D12" i="5"/>
  <c r="E12" i="5"/>
  <c r="F12" i="5"/>
  <c r="G12" i="5"/>
  <c r="H12" i="5"/>
  <c r="C12" i="5"/>
  <c r="D11" i="5"/>
  <c r="E11" i="5"/>
  <c r="F11" i="5"/>
  <c r="G11" i="5"/>
  <c r="H11" i="5"/>
  <c r="C11" i="5"/>
  <c r="D10" i="5"/>
  <c r="E10" i="5"/>
  <c r="F10" i="5"/>
  <c r="G10" i="5"/>
  <c r="H10" i="5"/>
  <c r="C10" i="5"/>
  <c r="D9" i="5"/>
  <c r="E9" i="5"/>
  <c r="F9" i="5"/>
  <c r="G9" i="5"/>
  <c r="H9" i="5"/>
  <c r="C9" i="5"/>
  <c r="D8" i="5"/>
  <c r="E8" i="5"/>
  <c r="F8" i="5"/>
  <c r="G8" i="5"/>
  <c r="H8" i="5"/>
  <c r="C8" i="5"/>
  <c r="D7" i="5"/>
  <c r="E7" i="5"/>
  <c r="F7" i="5"/>
  <c r="G7" i="5"/>
  <c r="H7" i="5"/>
  <c r="C7" i="5"/>
  <c r="D6" i="5"/>
  <c r="E6" i="5"/>
  <c r="F6" i="5"/>
  <c r="G6" i="5"/>
  <c r="H6" i="5"/>
  <c r="D5" i="5"/>
  <c r="E5" i="5"/>
  <c r="F5" i="5"/>
  <c r="G5" i="5"/>
  <c r="H5" i="5"/>
  <c r="C5" i="5"/>
  <c r="AQ23" i="3"/>
  <c r="AP23" i="3"/>
  <c r="AI23" i="3"/>
  <c r="AH23" i="3"/>
  <c r="AI19" i="3"/>
  <c r="AH19" i="3"/>
  <c r="AA27" i="3"/>
  <c r="Z27" i="3"/>
  <c r="V30" i="3"/>
  <c r="W30" i="3"/>
  <c r="U30" i="3"/>
  <c r="S30" i="3"/>
  <c r="R30" i="3"/>
  <c r="O20" i="3"/>
  <c r="N20" i="3"/>
  <c r="G20" i="3"/>
  <c r="F20" i="3"/>
  <c r="F21" i="3"/>
  <c r="C26" i="3"/>
  <c r="D26" i="3"/>
  <c r="E26" i="3"/>
  <c r="F26" i="3"/>
  <c r="G26" i="3"/>
  <c r="D21" i="3"/>
  <c r="E21" i="3"/>
  <c r="C18" i="3"/>
  <c r="D18" i="3"/>
  <c r="E18" i="3"/>
  <c r="F18" i="3"/>
  <c r="G18" i="3"/>
  <c r="C8" i="3"/>
  <c r="D8" i="3"/>
  <c r="E8" i="3"/>
  <c r="F8" i="3"/>
  <c r="G8" i="3"/>
  <c r="B21" i="3"/>
  <c r="AQ10" i="3"/>
  <c r="AR10" i="3"/>
  <c r="AS10" i="3"/>
  <c r="AT10" i="3"/>
  <c r="AU10" i="3"/>
  <c r="AQ20" i="3"/>
  <c r="AR20" i="3"/>
  <c r="AS20" i="3"/>
  <c r="AT20" i="3"/>
  <c r="AU20" i="3"/>
  <c r="AQ27" i="3"/>
  <c r="AR27" i="3"/>
  <c r="AS27" i="3"/>
  <c r="AT27" i="3"/>
  <c r="AU27" i="3"/>
  <c r="AP27" i="3"/>
  <c r="AP20" i="3"/>
  <c r="AP10" i="3"/>
  <c r="AI8" i="3"/>
  <c r="AJ8" i="3"/>
  <c r="AK8" i="3"/>
  <c r="AL8" i="3"/>
  <c r="AM8" i="3"/>
  <c r="AI18" i="3"/>
  <c r="AJ18" i="3"/>
  <c r="AJ19" i="3" s="1"/>
  <c r="AJ23" i="3" s="1"/>
  <c r="AK18" i="3"/>
  <c r="AK19" i="3" s="1"/>
  <c r="AK23" i="3" s="1"/>
  <c r="AL18" i="3"/>
  <c r="AM18" i="3"/>
  <c r="AI28" i="3"/>
  <c r="AJ28" i="3"/>
  <c r="AK28" i="3"/>
  <c r="AL28" i="3"/>
  <c r="AM28" i="3"/>
  <c r="AH28" i="3"/>
  <c r="AH18" i="3"/>
  <c r="AH8" i="3"/>
  <c r="AA8" i="3"/>
  <c r="AB8" i="3"/>
  <c r="AC8" i="3"/>
  <c r="AD8" i="3"/>
  <c r="AE8" i="3"/>
  <c r="AA22" i="3"/>
  <c r="AB22" i="3"/>
  <c r="AC22" i="3"/>
  <c r="AD22" i="3"/>
  <c r="AE22" i="3"/>
  <c r="AA31" i="3"/>
  <c r="AB31" i="3"/>
  <c r="AC31" i="3"/>
  <c r="AD31" i="3"/>
  <c r="AE31" i="3"/>
  <c r="Z31" i="3"/>
  <c r="Z22" i="3"/>
  <c r="Z8" i="3"/>
  <c r="S29" i="3"/>
  <c r="T29" i="3"/>
  <c r="U29" i="3"/>
  <c r="V29" i="3"/>
  <c r="W29" i="3"/>
  <c r="R29" i="3"/>
  <c r="S19" i="3"/>
  <c r="T19" i="3"/>
  <c r="U19" i="3"/>
  <c r="V19" i="3"/>
  <c r="W19" i="3"/>
  <c r="R19" i="3"/>
  <c r="S9" i="3"/>
  <c r="T9" i="3"/>
  <c r="U9" i="3"/>
  <c r="V9" i="3"/>
  <c r="W9" i="3"/>
  <c r="R9" i="3"/>
  <c r="K26" i="3"/>
  <c r="L26" i="3"/>
  <c r="M26" i="3"/>
  <c r="N26" i="3"/>
  <c r="O26" i="3"/>
  <c r="J26" i="3"/>
  <c r="K18" i="3"/>
  <c r="L18" i="3"/>
  <c r="M18" i="3"/>
  <c r="N18" i="3"/>
  <c r="N19" i="3" s="1"/>
  <c r="O18" i="3"/>
  <c r="J18" i="3"/>
  <c r="K8" i="3"/>
  <c r="L8" i="3"/>
  <c r="M8" i="3"/>
  <c r="N8" i="3"/>
  <c r="O8" i="3"/>
  <c r="J8" i="3"/>
  <c r="B26" i="3"/>
  <c r="B18" i="3"/>
  <c r="B8" i="3"/>
  <c r="AQ21" i="2"/>
  <c r="AP21" i="2"/>
  <c r="AL72" i="2"/>
  <c r="AM22" i="2"/>
  <c r="AL22" i="2"/>
  <c r="AM15" i="2"/>
  <c r="AL15" i="2"/>
  <c r="AM8" i="2"/>
  <c r="AL8" i="2"/>
  <c r="AL34" i="2"/>
  <c r="AE44" i="2"/>
  <c r="AD44" i="2"/>
  <c r="AA58" i="2"/>
  <c r="Z58" i="2"/>
  <c r="AA56" i="2"/>
  <c r="AB56" i="2"/>
  <c r="AB58" i="2" s="1"/>
  <c r="AC56" i="2"/>
  <c r="AC58" i="2" s="1"/>
  <c r="AD56" i="2"/>
  <c r="AE56" i="2"/>
  <c r="Z56" i="2"/>
  <c r="AC44" i="2"/>
  <c r="AB44" i="2"/>
  <c r="S53" i="2"/>
  <c r="T53" i="2"/>
  <c r="U53" i="2"/>
  <c r="R53" i="2"/>
  <c r="W14" i="2"/>
  <c r="V14" i="2"/>
  <c r="W9" i="2"/>
  <c r="W15" i="2" s="1"/>
  <c r="V9" i="2"/>
  <c r="V15" i="2" s="1"/>
  <c r="S51" i="2"/>
  <c r="U51" i="2"/>
  <c r="V51" i="2"/>
  <c r="V53" i="2" s="1"/>
  <c r="R51" i="2"/>
  <c r="U14" i="2"/>
  <c r="T14" i="2"/>
  <c r="U9" i="2"/>
  <c r="T9" i="2"/>
  <c r="S14" i="2"/>
  <c r="R14" i="2"/>
  <c r="S9" i="2"/>
  <c r="R9" i="2"/>
  <c r="K56" i="2"/>
  <c r="J56" i="2"/>
  <c r="J57" i="2" s="1"/>
  <c r="K57" i="2"/>
  <c r="K44" i="2"/>
  <c r="L44" i="2"/>
  <c r="M44" i="2"/>
  <c r="N44" i="2"/>
  <c r="O44" i="2"/>
  <c r="J44" i="2"/>
  <c r="K28" i="2"/>
  <c r="L28" i="2"/>
  <c r="M28" i="2"/>
  <c r="N28" i="2"/>
  <c r="O28" i="2"/>
  <c r="J28" i="2"/>
  <c r="K18" i="2"/>
  <c r="L18" i="2"/>
  <c r="M18" i="2"/>
  <c r="N18" i="2"/>
  <c r="O18" i="2"/>
  <c r="J18" i="2"/>
  <c r="K35" i="2"/>
  <c r="L35" i="2"/>
  <c r="M35" i="2"/>
  <c r="N35" i="2"/>
  <c r="O35" i="2"/>
  <c r="J35" i="2"/>
  <c r="C17" i="2"/>
  <c r="B58" i="2"/>
  <c r="B56" i="2"/>
  <c r="C56" i="2"/>
  <c r="E56" i="2"/>
  <c r="F56" i="2"/>
  <c r="G56" i="2"/>
  <c r="C51" i="2"/>
  <c r="D51" i="2"/>
  <c r="D56" i="2" s="1"/>
  <c r="E51" i="2"/>
  <c r="F51" i="2"/>
  <c r="G51" i="2"/>
  <c r="B51" i="2"/>
  <c r="AS48" i="2"/>
  <c r="AU48" i="2"/>
  <c r="AP48" i="2"/>
  <c r="AQ44" i="2"/>
  <c r="AQ48" i="2" s="1"/>
  <c r="AR44" i="2"/>
  <c r="AR48" i="2" s="1"/>
  <c r="AS44" i="2"/>
  <c r="AT44" i="2"/>
  <c r="AT48" i="2" s="1"/>
  <c r="AU44" i="2"/>
  <c r="AP44" i="2"/>
  <c r="AQ38" i="2"/>
  <c r="AR38" i="2"/>
  <c r="AS38" i="2"/>
  <c r="AT38" i="2"/>
  <c r="AU38" i="2"/>
  <c r="AP38" i="2"/>
  <c r="AQ29" i="2"/>
  <c r="AR29" i="2"/>
  <c r="AS29" i="2"/>
  <c r="AT29" i="2"/>
  <c r="AU29" i="2"/>
  <c r="AP29" i="2"/>
  <c r="AQ23" i="2"/>
  <c r="AR23" i="2"/>
  <c r="AS23" i="2"/>
  <c r="AT23" i="2"/>
  <c r="AU23" i="2"/>
  <c r="AP23" i="2"/>
  <c r="AQ15" i="2"/>
  <c r="AR15" i="2"/>
  <c r="AS15" i="2"/>
  <c r="AT15" i="2"/>
  <c r="AU15" i="2"/>
  <c r="AP15" i="2"/>
  <c r="AI73" i="2"/>
  <c r="AJ73" i="2"/>
  <c r="AL73" i="2"/>
  <c r="AM73" i="2"/>
  <c r="AH73" i="2"/>
  <c r="AI67" i="2"/>
  <c r="AJ67" i="2"/>
  <c r="AK67" i="2"/>
  <c r="AK73" i="2" s="1"/>
  <c r="AL67" i="2"/>
  <c r="AM67" i="2"/>
  <c r="AH67" i="2"/>
  <c r="AI62" i="2"/>
  <c r="AJ62" i="2"/>
  <c r="AK62" i="2"/>
  <c r="AL62" i="2"/>
  <c r="AM62" i="2"/>
  <c r="AH62" i="2"/>
  <c r="AI53" i="2"/>
  <c r="AJ53" i="2"/>
  <c r="AK53" i="2"/>
  <c r="AL53" i="2"/>
  <c r="AM53" i="2"/>
  <c r="AH53" i="2"/>
  <c r="AI46" i="2"/>
  <c r="AJ46" i="2"/>
  <c r="AK46" i="2"/>
  <c r="AL46" i="2"/>
  <c r="AM46" i="2"/>
  <c r="AH46" i="2"/>
  <c r="AI34" i="2"/>
  <c r="AJ34" i="2"/>
  <c r="AK34" i="2"/>
  <c r="AM34" i="2"/>
  <c r="AH34" i="2"/>
  <c r="AA51" i="2"/>
  <c r="AB51" i="2"/>
  <c r="AC51" i="2"/>
  <c r="AD51" i="2"/>
  <c r="AE51" i="2"/>
  <c r="Z51" i="2"/>
  <c r="AA45" i="2"/>
  <c r="AB45" i="2"/>
  <c r="AC45" i="2"/>
  <c r="AD45" i="2"/>
  <c r="AE45" i="2"/>
  <c r="Z45" i="2"/>
  <c r="AA37" i="2"/>
  <c r="AB37" i="2"/>
  <c r="AC37" i="2"/>
  <c r="AD37" i="2"/>
  <c r="AE37" i="2"/>
  <c r="Z37" i="2"/>
  <c r="AA30" i="2"/>
  <c r="AB30" i="2"/>
  <c r="AC30" i="2"/>
  <c r="AD30" i="2"/>
  <c r="AE30" i="2"/>
  <c r="Z30" i="2"/>
  <c r="AA18" i="2"/>
  <c r="AB18" i="2"/>
  <c r="AC18" i="2"/>
  <c r="AD18" i="2"/>
  <c r="AE18" i="2"/>
  <c r="Z18" i="2"/>
  <c r="S46" i="2"/>
  <c r="T46" i="2"/>
  <c r="T51" i="2" s="1"/>
  <c r="U46" i="2"/>
  <c r="V46" i="2"/>
  <c r="W46" i="2"/>
  <c r="W51" i="2" s="1"/>
  <c r="W53" i="2" s="1"/>
  <c r="R46" i="2"/>
  <c r="S40" i="2"/>
  <c r="T40" i="2"/>
  <c r="U40" i="2"/>
  <c r="V40" i="2"/>
  <c r="W40" i="2"/>
  <c r="R40" i="2"/>
  <c r="S32" i="2"/>
  <c r="T32" i="2"/>
  <c r="U32" i="2"/>
  <c r="V32" i="2"/>
  <c r="W32" i="2"/>
  <c r="R32" i="2"/>
  <c r="S26" i="2"/>
  <c r="T26" i="2"/>
  <c r="U26" i="2"/>
  <c r="V26" i="2"/>
  <c r="W26" i="2"/>
  <c r="R26" i="2"/>
  <c r="S15" i="2"/>
  <c r="T15" i="2"/>
  <c r="U15" i="2"/>
  <c r="R15" i="2"/>
  <c r="K50" i="2"/>
  <c r="L50" i="2"/>
  <c r="L56" i="2" s="1"/>
  <c r="M50" i="2"/>
  <c r="M56" i="2" s="1"/>
  <c r="N50" i="2"/>
  <c r="N56" i="2" s="1"/>
  <c r="O50" i="2"/>
  <c r="O56" i="2" s="1"/>
  <c r="J50" i="2"/>
  <c r="C45" i="2"/>
  <c r="D45" i="2"/>
  <c r="E45" i="2"/>
  <c r="F45" i="2"/>
  <c r="G45" i="2"/>
  <c r="B45" i="2"/>
  <c r="C31" i="2"/>
  <c r="D31" i="2"/>
  <c r="E31" i="2"/>
  <c r="F31" i="2"/>
  <c r="G31" i="2"/>
  <c r="B31" i="2"/>
  <c r="C19" i="2"/>
  <c r="D19" i="2"/>
  <c r="E19" i="2"/>
  <c r="F19" i="2"/>
  <c r="G19" i="2"/>
  <c r="B19" i="2"/>
  <c r="C37" i="2"/>
  <c r="D37" i="2"/>
  <c r="E37" i="2"/>
  <c r="F37" i="2"/>
  <c r="G37" i="2"/>
  <c r="B37" i="2"/>
  <c r="C12" i="1" a="1"/>
  <c r="C12" i="1" s="1"/>
  <c r="C5" i="6" s="1"/>
  <c r="C7" i="6" s="1"/>
  <c r="D12" i="1" a="1"/>
  <c r="D12" i="1" s="1"/>
  <c r="D5" i="6" s="1"/>
  <c r="D7" i="6" s="1"/>
  <c r="E12" i="1" a="1"/>
  <c r="E12" i="1" s="1"/>
  <c r="E5" i="6" s="1"/>
  <c r="E7" i="6" s="1"/>
  <c r="F12" i="1" a="1"/>
  <c r="F12" i="1" s="1"/>
  <c r="F5" i="6" s="1"/>
  <c r="F7" i="6" s="1"/>
  <c r="G12" i="1" a="1"/>
  <c r="G12" i="1" s="1"/>
  <c r="G5" i="6" s="1"/>
  <c r="G7" i="6" s="1"/>
  <c r="B12" i="1" a="1"/>
  <c r="B12" i="1" s="1"/>
  <c r="B5" i="6" s="1"/>
  <c r="C11" i="1" a="1"/>
  <c r="C11" i="1" s="1"/>
  <c r="D11" i="1" a="1"/>
  <c r="D11" i="1" s="1"/>
  <c r="E11" i="1" a="1"/>
  <c r="E11" i="1" s="1"/>
  <c r="F11" i="1" a="1"/>
  <c r="F11" i="1" s="1"/>
  <c r="G11" i="1" a="1"/>
  <c r="G11" i="1" s="1"/>
  <c r="B11" i="1" a="1"/>
  <c r="B11" i="1" s="1"/>
  <c r="C8" i="1" a="1"/>
  <c r="C8" i="1" s="1"/>
  <c r="C9" i="1" s="1"/>
  <c r="D8" i="1" a="1"/>
  <c r="D8" i="1" s="1"/>
  <c r="D9" i="1" s="1"/>
  <c r="E8" i="1" a="1"/>
  <c r="E8" i="1" s="1"/>
  <c r="F8" i="1" a="1"/>
  <c r="F8" i="1" s="1"/>
  <c r="G8" i="1" a="1"/>
  <c r="G8" i="1" s="1"/>
  <c r="C10" i="1" a="1"/>
  <c r="C10" i="1" s="1"/>
  <c r="J8" i="9" s="1"/>
  <c r="D10" i="1" a="1"/>
  <c r="D10" i="1" s="1"/>
  <c r="I8" i="9" s="1"/>
  <c r="E10" i="1" a="1"/>
  <c r="E10" i="1" s="1"/>
  <c r="E13" i="6" s="1"/>
  <c r="F10" i="1" a="1"/>
  <c r="F10" i="1" s="1"/>
  <c r="G10" i="1" a="1"/>
  <c r="G10" i="1" s="1"/>
  <c r="B10" i="1" a="1"/>
  <c r="B10" i="1" s="1"/>
  <c r="H8" i="9" s="1"/>
  <c r="B8" i="1" a="1"/>
  <c r="B8" i="1" s="1"/>
  <c r="B9" i="1" s="1"/>
  <c r="C7" i="1" a="1"/>
  <c r="C7" i="1" s="1"/>
  <c r="D7" i="1" a="1"/>
  <c r="D7" i="1" s="1"/>
  <c r="E7" i="1" a="1"/>
  <c r="E7" i="1" s="1"/>
  <c r="F7" i="1" a="1"/>
  <c r="F7" i="1" s="1"/>
  <c r="G7" i="1" a="1"/>
  <c r="G7" i="1" s="1"/>
  <c r="B7" i="1" a="1"/>
  <c r="B7" i="1" s="1"/>
  <c r="C6" i="1" a="1"/>
  <c r="C6" i="1" s="1"/>
  <c r="D6" i="1" a="1"/>
  <c r="D6" i="1" s="1"/>
  <c r="E6" i="1" a="1"/>
  <c r="E6" i="1" s="1"/>
  <c r="F6" i="1" a="1"/>
  <c r="F6" i="1" s="1"/>
  <c r="G6" i="1" a="1"/>
  <c r="G6" i="1" s="1"/>
  <c r="B6" i="1" a="1"/>
  <c r="B6" i="1" s="1"/>
  <c r="B7" i="6" l="1"/>
  <c r="L16" i="9"/>
  <c r="BA23" i="5"/>
  <c r="BA22" i="5" s="1"/>
  <c r="E15" i="9" s="1"/>
  <c r="H16" i="9"/>
  <c r="H23" i="5"/>
  <c r="H22" i="5" s="1"/>
  <c r="E4" i="9" s="1"/>
  <c r="K16" i="9"/>
  <c r="AR23" i="5"/>
  <c r="AR20" i="5" s="1"/>
  <c r="AC23" i="8"/>
  <c r="AI23" i="5"/>
  <c r="AI21" i="5" s="1"/>
  <c r="I16" i="9"/>
  <c r="Z23" i="5"/>
  <c r="Z22" i="5" s="1"/>
  <c r="E6" i="9" s="1"/>
  <c r="J16" i="9"/>
  <c r="Q23" i="5"/>
  <c r="Q25" i="5" s="1"/>
  <c r="Q19" i="5" s="1"/>
  <c r="X25" i="5"/>
  <c r="Y25" i="5"/>
  <c r="U25" i="5"/>
  <c r="V25" i="5"/>
  <c r="W25" i="5"/>
  <c r="L25" i="5"/>
  <c r="N25" i="5"/>
  <c r="M25" i="5"/>
  <c r="O25" i="5"/>
  <c r="P25" i="5"/>
  <c r="D25" i="5"/>
  <c r="E25" i="5"/>
  <c r="G25" i="5"/>
  <c r="F25" i="5"/>
  <c r="C25" i="5"/>
  <c r="V24" i="5"/>
  <c r="W24" i="5"/>
  <c r="X24" i="5"/>
  <c r="Y24" i="5"/>
  <c r="Z24" i="5"/>
  <c r="U24" i="5"/>
  <c r="M24" i="5" a="1"/>
  <c r="M24" i="5" s="1"/>
  <c r="N24" i="5" a="1"/>
  <c r="N24" i="5" s="1"/>
  <c r="O24" i="5" a="1"/>
  <c r="O24" i="5" s="1"/>
  <c r="P24" i="5" a="1"/>
  <c r="P24" i="5" s="1"/>
  <c r="Q24" i="5" a="1"/>
  <c r="Q24" i="5" s="1"/>
  <c r="L24" i="5" a="1"/>
  <c r="L24" i="5" s="1"/>
  <c r="AU21" i="8"/>
  <c r="G9" i="1"/>
  <c r="AC21" i="8"/>
  <c r="E9" i="1"/>
  <c r="AL21" i="8"/>
  <c r="F9" i="1"/>
  <c r="D24" i="5"/>
  <c r="E24" i="5"/>
  <c r="F24" i="5"/>
  <c r="C24" i="5"/>
  <c r="G24" i="5"/>
  <c r="H24" i="5"/>
  <c r="B23" i="8"/>
  <c r="G13" i="6"/>
  <c r="G16" i="6" s="1"/>
  <c r="L8" i="9"/>
  <c r="AU23" i="8"/>
  <c r="F13" i="6"/>
  <c r="F16" i="6" s="1"/>
  <c r="K8" i="9"/>
  <c r="AL23" i="8"/>
  <c r="T23" i="8"/>
  <c r="K23" i="8"/>
  <c r="U20" i="5"/>
  <c r="T21" i="8"/>
  <c r="L20" i="5"/>
  <c r="K21" i="8"/>
  <c r="C20" i="5"/>
  <c r="B21" i="8"/>
  <c r="E11" i="8" a="1"/>
  <c r="E11" i="8" s="1"/>
  <c r="H12" i="8"/>
  <c r="F11" i="8" a="1"/>
  <c r="F11" i="8" s="1"/>
  <c r="G11" i="8" a="1"/>
  <c r="G11" i="8" s="1"/>
  <c r="E7" i="8"/>
  <c r="E8" i="8" s="1"/>
  <c r="E12" i="8" s="1"/>
  <c r="D7" i="8"/>
  <c r="D8" i="8" s="1"/>
  <c r="D12" i="8" s="1"/>
  <c r="F7" i="8"/>
  <c r="F8" i="8" s="1"/>
  <c r="F12" i="8" s="1"/>
  <c r="G7" i="8"/>
  <c r="G8" i="8" s="1"/>
  <c r="G12" i="8" s="1"/>
  <c r="E19" i="5"/>
  <c r="D13" i="6"/>
  <c r="D19" i="5"/>
  <c r="C13" i="6"/>
  <c r="C19" i="5"/>
  <c r="B13" i="6"/>
  <c r="E15" i="6"/>
  <c r="E16" i="6"/>
  <c r="AV20" i="5"/>
  <c r="AW21" i="5"/>
  <c r="AZ22" i="5"/>
  <c r="AV21" i="5"/>
  <c r="AW22" i="5"/>
  <c r="AX22" i="5"/>
  <c r="AX21" i="5"/>
  <c r="AW20" i="5"/>
  <c r="AZ20" i="5"/>
  <c r="AY21" i="5"/>
  <c r="AV22" i="5"/>
  <c r="AZ21" i="5"/>
  <c r="AX20" i="5"/>
  <c r="AY20" i="5"/>
  <c r="AY22" i="5"/>
  <c r="AY19" i="5"/>
  <c r="AZ19" i="5"/>
  <c r="BA19" i="5"/>
  <c r="AW19" i="5"/>
  <c r="AX19" i="5"/>
  <c r="H19" i="5"/>
  <c r="AV19" i="5"/>
  <c r="AO22" i="5"/>
  <c r="AQ21" i="5"/>
  <c r="AP22" i="5"/>
  <c r="AM22" i="5"/>
  <c r="AN21" i="5"/>
  <c r="AQ22" i="5"/>
  <c r="AP21" i="5"/>
  <c r="AN22" i="5"/>
  <c r="AO21" i="5"/>
  <c r="AM21" i="5"/>
  <c r="AN20" i="5"/>
  <c r="AO20" i="5"/>
  <c r="AP20" i="5"/>
  <c r="AQ20" i="5"/>
  <c r="AM20" i="5"/>
  <c r="G19" i="5"/>
  <c r="AO19" i="5"/>
  <c r="AN19" i="5"/>
  <c r="AP19" i="5"/>
  <c r="AQ19" i="5"/>
  <c r="AR19" i="5"/>
  <c r="AM19" i="5"/>
  <c r="AG21" i="5"/>
  <c r="AD22" i="5"/>
  <c r="AH21" i="5"/>
  <c r="AE20" i="5"/>
  <c r="AF20" i="5"/>
  <c r="AG20" i="5"/>
  <c r="AE22" i="5"/>
  <c r="AG22" i="5"/>
  <c r="AH20" i="5"/>
  <c r="AF22" i="5"/>
  <c r="AH22" i="5"/>
  <c r="AF21" i="5"/>
  <c r="AE21" i="5"/>
  <c r="F19" i="5"/>
  <c r="AI19" i="5"/>
  <c r="AH19" i="5"/>
  <c r="AE19" i="5"/>
  <c r="AF19" i="5"/>
  <c r="AG19" i="5"/>
  <c r="AD20" i="5"/>
  <c r="AD21" i="5"/>
  <c r="AD19" i="5"/>
  <c r="X22" i="5"/>
  <c r="W19" i="5"/>
  <c r="W22" i="5"/>
  <c r="Y20" i="5"/>
  <c r="V19" i="5"/>
  <c r="X20" i="5"/>
  <c r="W20" i="5"/>
  <c r="U21" i="5"/>
  <c r="Y21" i="5"/>
  <c r="V20" i="5"/>
  <c r="V22" i="5"/>
  <c r="U22" i="5"/>
  <c r="X21" i="5"/>
  <c r="Z19" i="5"/>
  <c r="W21" i="5"/>
  <c r="Y19" i="5"/>
  <c r="Y22" i="5"/>
  <c r="V21" i="5"/>
  <c r="X19" i="5"/>
  <c r="U19" i="5"/>
  <c r="L21" i="5"/>
  <c r="L22" i="5"/>
  <c r="M22" i="5"/>
  <c r="O20" i="5"/>
  <c r="N20" i="5"/>
  <c r="P21" i="5"/>
  <c r="M20" i="5"/>
  <c r="O21" i="5"/>
  <c r="N21" i="5"/>
  <c r="P19" i="5"/>
  <c r="P22" i="5"/>
  <c r="M21" i="5"/>
  <c r="O19" i="5"/>
  <c r="O22" i="5"/>
  <c r="N19" i="5"/>
  <c r="N22" i="5"/>
  <c r="P20" i="5"/>
  <c r="M19" i="5"/>
  <c r="L19" i="5"/>
  <c r="G20" i="5"/>
  <c r="E20" i="5"/>
  <c r="E21" i="5"/>
  <c r="C22" i="5"/>
  <c r="F20" i="5"/>
  <c r="D21" i="5"/>
  <c r="D20" i="5"/>
  <c r="C21" i="5"/>
  <c r="G22" i="5"/>
  <c r="F22" i="5"/>
  <c r="G21" i="5"/>
  <c r="E22" i="5"/>
  <c r="F21" i="5"/>
  <c r="D22" i="5"/>
  <c r="AU21" i="3"/>
  <c r="AU23" i="3" s="1"/>
  <c r="AU28" i="3" s="1"/>
  <c r="AT21" i="3"/>
  <c r="AT23" i="3" s="1"/>
  <c r="AT28" i="3" s="1"/>
  <c r="AS21" i="3"/>
  <c r="AS23" i="3" s="1"/>
  <c r="AS28" i="3" s="1"/>
  <c r="AR21" i="3"/>
  <c r="AR23" i="3" s="1"/>
  <c r="AR28" i="3" s="1"/>
  <c r="AP21" i="3"/>
  <c r="AP28" i="3" s="1"/>
  <c r="AQ21" i="3"/>
  <c r="AQ28" i="3" s="1"/>
  <c r="AM19" i="3"/>
  <c r="AM23" i="3" s="1"/>
  <c r="AM29" i="3" s="1"/>
  <c r="AL19" i="3"/>
  <c r="AL23" i="3" s="1"/>
  <c r="AL29" i="3" s="1"/>
  <c r="AK29" i="3"/>
  <c r="AJ29" i="3"/>
  <c r="AH29" i="3"/>
  <c r="AI29" i="3"/>
  <c r="AE23" i="3"/>
  <c r="AE25" i="3" s="1"/>
  <c r="AE27" i="3" s="1"/>
  <c r="AE32" i="3" s="1"/>
  <c r="AD23" i="3"/>
  <c r="AD25" i="3" s="1"/>
  <c r="AC23" i="3"/>
  <c r="AC25" i="3" s="1"/>
  <c r="AB23" i="3"/>
  <c r="AB25" i="3" s="1"/>
  <c r="AA23" i="3"/>
  <c r="AA25" i="3" s="1"/>
  <c r="AA32" i="3" s="1"/>
  <c r="Z23" i="3"/>
  <c r="Z25" i="3" s="1"/>
  <c r="Z32" i="3" s="1"/>
  <c r="W20" i="3"/>
  <c r="W22" i="3" s="1"/>
  <c r="W24" i="3" s="1"/>
  <c r="V20" i="3"/>
  <c r="V22" i="3" s="1"/>
  <c r="V24" i="3" s="1"/>
  <c r="T20" i="3"/>
  <c r="T22" i="3" s="1"/>
  <c r="T24" i="3" s="1"/>
  <c r="T30" i="3" s="1"/>
  <c r="U20" i="3"/>
  <c r="U22" i="3" s="1"/>
  <c r="U24" i="3" s="1"/>
  <c r="R20" i="3"/>
  <c r="R22" i="3" s="1"/>
  <c r="R24" i="3" s="1"/>
  <c r="S20" i="3"/>
  <c r="S22" i="3" s="1"/>
  <c r="S24" i="3" s="1"/>
  <c r="N21" i="3"/>
  <c r="N27" i="3" s="1"/>
  <c r="O19" i="3"/>
  <c r="O21" i="3" s="1"/>
  <c r="O27" i="3" s="1"/>
  <c r="M19" i="3"/>
  <c r="M21" i="3" s="1"/>
  <c r="M27" i="3" s="1"/>
  <c r="L19" i="3"/>
  <c r="L21" i="3" s="1"/>
  <c r="L27" i="3" s="1"/>
  <c r="K19" i="3"/>
  <c r="K21" i="3" s="1"/>
  <c r="K27" i="3" s="1"/>
  <c r="J19" i="3"/>
  <c r="J21" i="3" s="1"/>
  <c r="J27" i="3" s="1"/>
  <c r="G19" i="3"/>
  <c r="G21" i="3" s="1"/>
  <c r="F19" i="3"/>
  <c r="E19" i="3"/>
  <c r="D19" i="3"/>
  <c r="C19" i="3"/>
  <c r="C21" i="3" s="1"/>
  <c r="B19" i="3"/>
  <c r="B27" i="3" s="1"/>
  <c r="AU49" i="2"/>
  <c r="AT49" i="2"/>
  <c r="AU24" i="2"/>
  <c r="AT24" i="2"/>
  <c r="AS49" i="2"/>
  <c r="AR49" i="2"/>
  <c r="AS24" i="2"/>
  <c r="AR24" i="2"/>
  <c r="AQ49" i="2"/>
  <c r="AP49" i="2"/>
  <c r="AQ24" i="2"/>
  <c r="AP24" i="2"/>
  <c r="AM74" i="2"/>
  <c r="AL74" i="2"/>
  <c r="AM47" i="2"/>
  <c r="AL47" i="2"/>
  <c r="AK74" i="2"/>
  <c r="AJ74" i="2"/>
  <c r="AK47" i="2"/>
  <c r="AJ47" i="2"/>
  <c r="AH74" i="2"/>
  <c r="AI74" i="2"/>
  <c r="AI47" i="2"/>
  <c r="AH47" i="2"/>
  <c r="AE58" i="2"/>
  <c r="AD58" i="2"/>
  <c r="AD31" i="2"/>
  <c r="AE31" i="2"/>
  <c r="AB31" i="2"/>
  <c r="AC31" i="2"/>
  <c r="AA31" i="2"/>
  <c r="Z31" i="2"/>
  <c r="W27" i="2"/>
  <c r="V27" i="2"/>
  <c r="U27" i="2"/>
  <c r="T27" i="2"/>
  <c r="S27" i="2"/>
  <c r="R27" i="2"/>
  <c r="O29" i="2"/>
  <c r="M29" i="2"/>
  <c r="L29" i="2"/>
  <c r="J29" i="2"/>
  <c r="O57" i="2"/>
  <c r="N57" i="2"/>
  <c r="K29" i="2"/>
  <c r="L57" i="2"/>
  <c r="M57" i="2"/>
  <c r="G32" i="2"/>
  <c r="F32" i="2"/>
  <c r="E32" i="2"/>
  <c r="D32" i="2"/>
  <c r="B59" i="2"/>
  <c r="G58" i="2"/>
  <c r="G59" i="2" s="1"/>
  <c r="N29" i="2"/>
  <c r="F58" i="2"/>
  <c r="F59" i="2" s="1"/>
  <c r="E58" i="2"/>
  <c r="E59" i="2" s="1"/>
  <c r="D58" i="2"/>
  <c r="D59" i="2" s="1"/>
  <c r="C32" i="2"/>
  <c r="C58" i="2"/>
  <c r="C59" i="2" s="1"/>
  <c r="B32" i="2"/>
  <c r="BA21" i="5" l="1"/>
  <c r="D15" i="9" s="1"/>
  <c r="H21" i="5"/>
  <c r="D4" i="9" s="1"/>
  <c r="H25" i="5"/>
  <c r="H20" i="5"/>
  <c r="C4" i="9" s="1"/>
  <c r="Q22" i="5"/>
  <c r="E5" i="9" s="1"/>
  <c r="Q21" i="5"/>
  <c r="D5" i="9" s="1"/>
  <c r="Q20" i="5"/>
  <c r="C5" i="9" s="1"/>
  <c r="B7" i="9"/>
  <c r="B8" i="9"/>
  <c r="B15" i="9"/>
  <c r="B6" i="9"/>
  <c r="B5" i="9"/>
  <c r="B4" i="9"/>
  <c r="AR22" i="5"/>
  <c r="E8" i="9" s="1"/>
  <c r="BA20" i="5"/>
  <c r="C15" i="9" s="1"/>
  <c r="Z20" i="5"/>
  <c r="C6" i="9" s="1"/>
  <c r="Z21" i="5"/>
  <c r="D6" i="9" s="1"/>
  <c r="C8" i="9"/>
  <c r="D7" i="9"/>
  <c r="BA25" i="5"/>
  <c r="AM25" i="5"/>
  <c r="AQ25" i="5"/>
  <c r="AP25" i="5"/>
  <c r="AN25" i="5"/>
  <c r="AO25" i="5"/>
  <c r="AI22" i="5"/>
  <c r="E7" i="9" s="1"/>
  <c r="Z25" i="5"/>
  <c r="AR25" i="5"/>
  <c r="AI20" i="5"/>
  <c r="AX25" i="5"/>
  <c r="AW25" i="5"/>
  <c r="AY25" i="5"/>
  <c r="AZ25" i="5"/>
  <c r="AV25" i="5"/>
  <c r="AR21" i="5"/>
  <c r="AE25" i="5"/>
  <c r="AF25" i="5"/>
  <c r="AG25" i="5"/>
  <c r="AH25" i="5"/>
  <c r="AI25" i="5"/>
  <c r="AD25" i="5"/>
  <c r="AW24" i="5"/>
  <c r="AX24" i="5"/>
  <c r="AY24" i="5"/>
  <c r="AZ24" i="5"/>
  <c r="BA24" i="5"/>
  <c r="AV24" i="5"/>
  <c r="AI24" i="5"/>
  <c r="AD24" i="5"/>
  <c r="AE24" i="5"/>
  <c r="AF24" i="5"/>
  <c r="AG24" i="5"/>
  <c r="AH24" i="5"/>
  <c r="AP24" i="5"/>
  <c r="AQ24" i="5"/>
  <c r="AR24" i="5"/>
  <c r="AM24" i="5"/>
  <c r="AN24" i="5"/>
  <c r="AO24" i="5"/>
  <c r="G15" i="6"/>
  <c r="G17" i="6" s="1"/>
  <c r="F15" i="6"/>
  <c r="F17" i="6" s="1"/>
  <c r="E17" i="6"/>
  <c r="B16" i="6"/>
  <c r="B15" i="6"/>
  <c r="C15" i="6"/>
  <c r="C16" i="6"/>
  <c r="D15" i="6"/>
  <c r="D16" i="6"/>
  <c r="AD27" i="3"/>
  <c r="AD32" i="3" s="1"/>
  <c r="AC27" i="3"/>
  <c r="AC32" i="3" s="1"/>
  <c r="AB27" i="3"/>
  <c r="AB32" i="3" s="1"/>
  <c r="C27" i="3"/>
  <c r="D27" i="3"/>
  <c r="E27" i="3"/>
  <c r="F27" i="3"/>
  <c r="G27" i="3"/>
  <c r="B16" i="9" l="1"/>
  <c r="L4" i="9" s="1"/>
  <c r="L12" i="9" s="1"/>
  <c r="L20" i="9" s="1"/>
  <c r="E16" i="9"/>
  <c r="H7" i="9" s="1"/>
  <c r="H15" i="9" s="1"/>
  <c r="H23" i="9" s="1"/>
  <c r="C7" i="9"/>
  <c r="C16" i="9" s="1"/>
  <c r="L5" i="9" s="1"/>
  <c r="L13" i="9" s="1"/>
  <c r="L21" i="9" s="1"/>
  <c r="D8" i="9"/>
  <c r="D16" i="9" s="1"/>
  <c r="H6" i="9" s="1"/>
  <c r="H14" i="9" s="1"/>
  <c r="H22" i="9" s="1"/>
  <c r="AU17" i="8"/>
  <c r="AU15" i="8"/>
  <c r="AU16" i="8" s="1"/>
  <c r="AL17" i="8"/>
  <c r="AL15" i="8"/>
  <c r="AL16" i="8" s="1"/>
  <c r="AC17" i="8"/>
  <c r="AC15" i="8"/>
  <c r="AC16" i="8" s="1"/>
  <c r="B17" i="6"/>
  <c r="D17" i="6"/>
  <c r="C17" i="6"/>
  <c r="L7" i="9" l="1"/>
  <c r="L15" i="9" s="1"/>
  <c r="L23" i="9" s="1"/>
  <c r="J7" i="9"/>
  <c r="J15" i="9" s="1"/>
  <c r="J23" i="9" s="1"/>
  <c r="J5" i="9"/>
  <c r="J13" i="9" s="1"/>
  <c r="J21" i="9" s="1"/>
  <c r="K7" i="9"/>
  <c r="K15" i="9" s="1"/>
  <c r="K23" i="9" s="1"/>
  <c r="I5" i="9"/>
  <c r="I13" i="9" s="1"/>
  <c r="I21" i="9" s="1"/>
  <c r="I7" i="9"/>
  <c r="I15" i="9" s="1"/>
  <c r="I23" i="9" s="1"/>
  <c r="H4" i="9"/>
  <c r="H12" i="9" s="1"/>
  <c r="H20" i="9" s="1"/>
  <c r="I4" i="9"/>
  <c r="I12" i="9" s="1"/>
  <c r="I20" i="9" s="1"/>
  <c r="K4" i="9"/>
  <c r="K12" i="9" s="1"/>
  <c r="K20" i="9" s="1"/>
  <c r="J4" i="9"/>
  <c r="J12" i="9" s="1"/>
  <c r="J20" i="9" s="1"/>
  <c r="H5" i="9"/>
  <c r="H13" i="9" s="1"/>
  <c r="H21" i="9" s="1"/>
  <c r="K5" i="9"/>
  <c r="K13" i="9" s="1"/>
  <c r="K21" i="9" s="1"/>
  <c r="I6" i="9"/>
  <c r="I14" i="9" s="1"/>
  <c r="I22" i="9" s="1"/>
  <c r="L6" i="9"/>
  <c r="L14" i="9" s="1"/>
  <c r="L22" i="9" s="1"/>
  <c r="J6" i="9"/>
  <c r="J14" i="9" s="1"/>
  <c r="J22" i="9" s="1"/>
  <c r="K6" i="9"/>
  <c r="K14" i="9" s="1"/>
  <c r="K22" i="9" s="1"/>
  <c r="AU18" i="8"/>
  <c r="AU20" i="8" s="1"/>
  <c r="AU22" i="8" s="1"/>
  <c r="AU24" i="8" s="1"/>
  <c r="AL18" i="8"/>
  <c r="AL20" i="8" s="1"/>
  <c r="AL22" i="8" s="1"/>
  <c r="AL24" i="8" s="1"/>
  <c r="AC18" i="8"/>
  <c r="AC20" i="8" s="1"/>
  <c r="AC22" i="8" s="1"/>
  <c r="AC24" i="8" s="1"/>
  <c r="T17" i="8"/>
  <c r="T15" i="8"/>
  <c r="T16" i="8" s="1"/>
  <c r="K15" i="8"/>
  <c r="K16" i="8" s="1"/>
  <c r="K17" i="8"/>
  <c r="B15" i="8"/>
  <c r="B16" i="8" s="1"/>
  <c r="B17" i="8"/>
  <c r="H9" i="9" l="1"/>
  <c r="H17" i="9" s="1"/>
  <c r="H24" i="9" s="1"/>
  <c r="I9" i="9"/>
  <c r="I17" i="9" s="1"/>
  <c r="I24" i="9" s="1"/>
  <c r="K9" i="9"/>
  <c r="K17" i="9" s="1"/>
  <c r="K24" i="9" s="1"/>
  <c r="L9" i="9"/>
  <c r="L17" i="9" s="1"/>
  <c r="L24" i="9" s="1"/>
  <c r="J9" i="9"/>
  <c r="J17" i="9" s="1"/>
  <c r="J24" i="9" s="1"/>
  <c r="T18" i="8"/>
  <c r="T20" i="8" s="1"/>
  <c r="T22" i="8" s="1"/>
  <c r="T24" i="8" s="1"/>
  <c r="K18" i="8"/>
  <c r="K20" i="8" s="1"/>
  <c r="K22" i="8" s="1"/>
  <c r="K24" i="8" s="1"/>
  <c r="B18" i="8"/>
  <c r="B20" i="8" s="1"/>
  <c r="B22" i="8" s="1"/>
  <c r="B24"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4"/>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sharedStrings.xml><?xml version="1.0" encoding="utf-8"?>
<sst xmlns="http://schemas.openxmlformats.org/spreadsheetml/2006/main" count="1315" uniqueCount="300">
  <si>
    <t>COMPANY PROFILE</t>
  </si>
  <si>
    <t>Logo</t>
  </si>
  <si>
    <t>Trading Name</t>
  </si>
  <si>
    <t>Official Name</t>
  </si>
  <si>
    <t>Share Price</t>
  </si>
  <si>
    <t>Outstanding Shares</t>
  </si>
  <si>
    <t>Market Cap</t>
  </si>
  <si>
    <t>Change</t>
  </si>
  <si>
    <t>Beta</t>
  </si>
  <si>
    <t>BALANCE SHEET</t>
  </si>
  <si>
    <t>Particulars</t>
  </si>
  <si>
    <t>ASSETS</t>
  </si>
  <si>
    <t>Non-current assets</t>
  </si>
  <si>
    <t>Property, plant and equipment</t>
  </si>
  <si>
    <t>Capital work-in-progress</t>
  </si>
  <si>
    <t>Other intangible assets</t>
  </si>
  <si>
    <t>Loans</t>
  </si>
  <si>
    <t>Deferred tax assets</t>
  </si>
  <si>
    <t>Total non-current assets</t>
  </si>
  <si>
    <t>Current Assets</t>
  </si>
  <si>
    <t>Inventories</t>
  </si>
  <si>
    <t>Cash and cash equivalents</t>
  </si>
  <si>
    <t>Other financial assets</t>
  </si>
  <si>
    <t>Other current assets</t>
  </si>
  <si>
    <t>Total current assets</t>
  </si>
  <si>
    <t>Total Assets</t>
  </si>
  <si>
    <t>EQUITY AND LIABILITIES</t>
  </si>
  <si>
    <t>Equity</t>
  </si>
  <si>
    <t>Equity share capital</t>
  </si>
  <si>
    <t>Other equity</t>
  </si>
  <si>
    <t>Total Equity</t>
  </si>
  <si>
    <t>Non-current Liabilities</t>
  </si>
  <si>
    <t>Deferred tax liabilities</t>
  </si>
  <si>
    <t>Total non-current liabilities</t>
  </si>
  <si>
    <t>Current Liabilities</t>
  </si>
  <si>
    <t>Other financial liabilities</t>
  </si>
  <si>
    <t>Current tax liabilities</t>
  </si>
  <si>
    <t>Other current liabilities</t>
  </si>
  <si>
    <t>Total current liabilities</t>
  </si>
  <si>
    <t>Total Liabilities</t>
  </si>
  <si>
    <t>Total Equity and Liabilities</t>
  </si>
  <si>
    <t>2020</t>
  </si>
  <si>
    <t>2021</t>
  </si>
  <si>
    <t>2022</t>
  </si>
  <si>
    <t>2023</t>
  </si>
  <si>
    <t>2024</t>
  </si>
  <si>
    <t>2025</t>
  </si>
  <si>
    <t>Non current assets</t>
  </si>
  <si>
    <t>Right of use assets</t>
  </si>
  <si>
    <t>Intangible assets</t>
  </si>
  <si>
    <t>Investments</t>
  </si>
  <si>
    <t>Trade receivables</t>
  </si>
  <si>
    <t>Loans &amp; Other receivables</t>
  </si>
  <si>
    <t>Non current tax assets</t>
  </si>
  <si>
    <t>Other non current assets</t>
  </si>
  <si>
    <t>Total Non current assets</t>
  </si>
  <si>
    <t>Total equity</t>
  </si>
  <si>
    <t>Borrowings</t>
  </si>
  <si>
    <t>Lease Liabilities</t>
  </si>
  <si>
    <t>Deferred tax Liabilities</t>
  </si>
  <si>
    <t>Other non current liabilities</t>
  </si>
  <si>
    <t>Total non current liabilities</t>
  </si>
  <si>
    <t>Total outstanding dues of micro and small enterprises</t>
  </si>
  <si>
    <t>Total outstanding dues other than above</t>
  </si>
  <si>
    <t>Total trade payables</t>
  </si>
  <si>
    <t>Provisions</t>
  </si>
  <si>
    <t>Non Current assets</t>
  </si>
  <si>
    <t>Capital work in progress</t>
  </si>
  <si>
    <t>Intangible assets under development</t>
  </si>
  <si>
    <t>Investment in subsidiaries, Joint ventures and Associates</t>
  </si>
  <si>
    <t>Other investments</t>
  </si>
  <si>
    <t>Bank Balances other than cash and cash equivalents</t>
  </si>
  <si>
    <t>Assets classified as held for sale</t>
  </si>
  <si>
    <t>Total assets</t>
  </si>
  <si>
    <t>Non current liabilities</t>
  </si>
  <si>
    <t>Provision</t>
  </si>
  <si>
    <t>Outstanding dues of micro and small enterprises</t>
  </si>
  <si>
    <t>Outstanding dues other than above</t>
  </si>
  <si>
    <t>Total equity and liabilities</t>
  </si>
  <si>
    <t>PPE</t>
  </si>
  <si>
    <t>Goodwill</t>
  </si>
  <si>
    <t>Equity investment in joint ventures and associates</t>
  </si>
  <si>
    <t>Income tax assets</t>
  </si>
  <si>
    <t>Total non current assets</t>
  </si>
  <si>
    <t>Bank balances other than above</t>
  </si>
  <si>
    <t>Current tax assets</t>
  </si>
  <si>
    <t>Assets held for sale</t>
  </si>
  <si>
    <t>Non controlling interest</t>
  </si>
  <si>
    <t>LIABILITIES</t>
  </si>
  <si>
    <t>Oil and gas assets</t>
  </si>
  <si>
    <t>Other property plant and equipment</t>
  </si>
  <si>
    <t>Development wells in progress</t>
  </si>
  <si>
    <t>Oil and gas facilities in progress</t>
  </si>
  <si>
    <t>Others</t>
  </si>
  <si>
    <t>Investment property</t>
  </si>
  <si>
    <t>Exploratory wells in progress</t>
  </si>
  <si>
    <t>Acquisition cost</t>
  </si>
  <si>
    <t>Investments in</t>
  </si>
  <si>
    <t>Joint ventures and associates</t>
  </si>
  <si>
    <t>Deposit under site restoration fund</t>
  </si>
  <si>
    <t>Finance lease receivables</t>
  </si>
  <si>
    <t>Other bank balances</t>
  </si>
  <si>
    <t>EQUITY</t>
  </si>
  <si>
    <t>Non controlling interests</t>
  </si>
  <si>
    <t>Liabilities</t>
  </si>
  <si>
    <t>Non current Assets</t>
  </si>
  <si>
    <t>Current assets</t>
  </si>
  <si>
    <t>Non-current liabilities</t>
  </si>
  <si>
    <t>Micro and small enterprises</t>
  </si>
  <si>
    <t>Other than above</t>
  </si>
  <si>
    <t>Investment Property</t>
  </si>
  <si>
    <t>Investments accounted for using the equity method</t>
  </si>
  <si>
    <t>Bank balances</t>
  </si>
  <si>
    <t>Current tax assets]</t>
  </si>
  <si>
    <t>Lease liabilities</t>
  </si>
  <si>
    <t>Deferred tax liability</t>
  </si>
  <si>
    <t>Liabilities held for sale</t>
  </si>
  <si>
    <t>Right of use assetss</t>
  </si>
  <si>
    <t>Investments accounted as per equiy method</t>
  </si>
  <si>
    <t>Contract liabilities</t>
  </si>
  <si>
    <t>Liabilities as held for sale</t>
  </si>
  <si>
    <t xml:space="preserve">Investments </t>
  </si>
  <si>
    <t>INCOME STATEMENT</t>
  </si>
  <si>
    <t>INCOME</t>
  </si>
  <si>
    <t>Revenue from operations</t>
  </si>
  <si>
    <t>Other income</t>
  </si>
  <si>
    <t>Total income</t>
  </si>
  <si>
    <t>EXPENSES</t>
  </si>
  <si>
    <t>Cost of materials consumed</t>
  </si>
  <si>
    <t>Purchase of stock in trade</t>
  </si>
  <si>
    <t>Changes in inventories of finished goods</t>
  </si>
  <si>
    <t>Excise duty expense</t>
  </si>
  <si>
    <t>Finance costs</t>
  </si>
  <si>
    <t>Depreciation and amortisation expense</t>
  </si>
  <si>
    <t>Other expenses</t>
  </si>
  <si>
    <t>Total expenses</t>
  </si>
  <si>
    <t>Profit before exceptional items and tax</t>
  </si>
  <si>
    <t>Exceptional items</t>
  </si>
  <si>
    <t>Profit before tax</t>
  </si>
  <si>
    <t>Tax expense</t>
  </si>
  <si>
    <t>Current tax</t>
  </si>
  <si>
    <t>Deferred tax</t>
  </si>
  <si>
    <t>Tax provision for earlier years</t>
  </si>
  <si>
    <t>Total tax expense</t>
  </si>
  <si>
    <t>Profit for the period</t>
  </si>
  <si>
    <t>Employee benefit expenses</t>
  </si>
  <si>
    <t>Excise duty</t>
  </si>
  <si>
    <t>Profit/loss before share of profit/loss of associate and JV</t>
  </si>
  <si>
    <t xml:space="preserve">Share of profit/loss </t>
  </si>
  <si>
    <t>Profit/loss before tax</t>
  </si>
  <si>
    <t>Earlier year</t>
  </si>
  <si>
    <t>Total tax expenses</t>
  </si>
  <si>
    <t>Profit for the year</t>
  </si>
  <si>
    <t>Gross sale of products</t>
  </si>
  <si>
    <t>Other operating income</t>
  </si>
  <si>
    <t>Cost of material consumed</t>
  </si>
  <si>
    <t>Depreciation and amortisation</t>
  </si>
  <si>
    <t>Profit/loss before share in profit of joint ventures</t>
  </si>
  <si>
    <t>Share in profit/loss</t>
  </si>
  <si>
    <t>Profit/loss before exceptional items and tax</t>
  </si>
  <si>
    <t xml:space="preserve">Exceptional items </t>
  </si>
  <si>
    <t>Provision for earlier years</t>
  </si>
  <si>
    <t>Profit/Loss for the year</t>
  </si>
  <si>
    <t>Depreciation, amortisation and impairment</t>
  </si>
  <si>
    <t>Impairment loss on financial assets</t>
  </si>
  <si>
    <t>Net loss on de recognition of financial assets at amortised cost</t>
  </si>
  <si>
    <t>Profit/loss before share of profit</t>
  </si>
  <si>
    <t>Share of profit/loss</t>
  </si>
  <si>
    <t>Profit/loss for the year</t>
  </si>
  <si>
    <t>Production, transportation, selling and distribution</t>
  </si>
  <si>
    <t>Survey costs</t>
  </si>
  <si>
    <t>Exploration well costs</t>
  </si>
  <si>
    <t>Depreciation, depletion, amortisation and impairment</t>
  </si>
  <si>
    <t>Other impairment and write offs</t>
  </si>
  <si>
    <t>Share of profit of associates</t>
  </si>
  <si>
    <t>Share of profit of Joint ventures</t>
  </si>
  <si>
    <t>Value of sales</t>
  </si>
  <si>
    <t>Income from services</t>
  </si>
  <si>
    <t>Less: GST</t>
  </si>
  <si>
    <t>Depreciation, amortisation and depletion</t>
  </si>
  <si>
    <t>Tax expenses</t>
  </si>
  <si>
    <t>CASH FLOW STATEMENT</t>
  </si>
  <si>
    <t>Net cash from/used in Operating Activities</t>
  </si>
  <si>
    <t>Capex</t>
  </si>
  <si>
    <t>Net cash from/used in Investing activities</t>
  </si>
  <si>
    <t>Dividends Paid</t>
  </si>
  <si>
    <t>Net cash from/used in Financing activities</t>
  </si>
  <si>
    <t>Net change in cash and cash equivalents</t>
  </si>
  <si>
    <t>FINANCIAL RATIOS</t>
  </si>
  <si>
    <t>Category</t>
  </si>
  <si>
    <t>Ratio</t>
  </si>
  <si>
    <t>Liquidity</t>
  </si>
  <si>
    <t>Current Ratio</t>
  </si>
  <si>
    <t>Quick Ratio</t>
  </si>
  <si>
    <t>Debt to Equity</t>
  </si>
  <si>
    <t>Debt to Capital</t>
  </si>
  <si>
    <t>Interest Coverage</t>
  </si>
  <si>
    <t>Capital Structure</t>
  </si>
  <si>
    <t>Gross Profit margin</t>
  </si>
  <si>
    <t>EBITDA Margin</t>
  </si>
  <si>
    <t>Net Profit</t>
  </si>
  <si>
    <t>Return on Assets</t>
  </si>
  <si>
    <t>Return on Equity</t>
  </si>
  <si>
    <t>Profitability</t>
  </si>
  <si>
    <t>Efficiency</t>
  </si>
  <si>
    <t>Asset Turnover</t>
  </si>
  <si>
    <t>Inventory turnover</t>
  </si>
  <si>
    <t>Receivables turnover</t>
  </si>
  <si>
    <t>Valuation</t>
  </si>
  <si>
    <t>EV/EBITDA</t>
  </si>
  <si>
    <t>P/E</t>
  </si>
  <si>
    <t>P/B</t>
  </si>
  <si>
    <t>P/S</t>
  </si>
  <si>
    <t>Net Profit margin</t>
  </si>
  <si>
    <t>Payable Turnover</t>
  </si>
  <si>
    <t>Market Price</t>
  </si>
  <si>
    <t>CMP</t>
  </si>
  <si>
    <t>Payables Turnover</t>
  </si>
  <si>
    <t>WACC</t>
  </si>
  <si>
    <t>Risk-Free rate</t>
  </si>
  <si>
    <t>Market risk premium</t>
  </si>
  <si>
    <t>Cost of Equity</t>
  </si>
  <si>
    <t>Interest expense</t>
  </si>
  <si>
    <t>Total Debt</t>
  </si>
  <si>
    <t>Pre tax cost of debt</t>
  </si>
  <si>
    <t>After tax Cost of debt</t>
  </si>
  <si>
    <t>Market value of Equity</t>
  </si>
  <si>
    <t>Weight of Equity</t>
  </si>
  <si>
    <t>Weight of Debt</t>
  </si>
  <si>
    <t>Cash and Cash Equivalents</t>
  </si>
  <si>
    <t>Terminal Growth</t>
  </si>
  <si>
    <t>FCFF</t>
  </si>
  <si>
    <t>Revenue</t>
  </si>
  <si>
    <t>EBIT</t>
  </si>
  <si>
    <t>NOPAT</t>
  </si>
  <si>
    <t>Depreciation</t>
  </si>
  <si>
    <t>CapEx</t>
  </si>
  <si>
    <t>Δ in Working capital</t>
  </si>
  <si>
    <t>PV of FCFF</t>
  </si>
  <si>
    <t>2026</t>
  </si>
  <si>
    <t>2027</t>
  </si>
  <si>
    <t>2028</t>
  </si>
  <si>
    <t>2029</t>
  </si>
  <si>
    <t>2030</t>
  </si>
  <si>
    <t>Working Capital</t>
  </si>
  <si>
    <t>Working Capital Forecast</t>
  </si>
  <si>
    <t>Parameters</t>
  </si>
  <si>
    <t>Value</t>
  </si>
  <si>
    <t>Terminal Value of FCFF</t>
  </si>
  <si>
    <t>PV of Terminal Value</t>
  </si>
  <si>
    <t>Enterprise Value</t>
  </si>
  <si>
    <t>Net Debt</t>
  </si>
  <si>
    <t>Equity Value</t>
  </si>
  <si>
    <t>Shares Outstanding</t>
  </si>
  <si>
    <t>Intrinsic Value</t>
  </si>
  <si>
    <t>Current Market price</t>
  </si>
  <si>
    <t>Working capital</t>
  </si>
  <si>
    <t>RELATIVE VALUATION</t>
  </si>
  <si>
    <t>Company</t>
  </si>
  <si>
    <t>Bharat Petroleum Corporation</t>
  </si>
  <si>
    <t>GAIL (India)</t>
  </si>
  <si>
    <t>Hindustan Petroleum Corporation</t>
  </si>
  <si>
    <t xml:space="preserve">Indian Oil Corporation </t>
  </si>
  <si>
    <t>Oil and Natural Gas Corporation</t>
  </si>
  <si>
    <t>Reliance Industries (O2C)</t>
  </si>
  <si>
    <t>Average</t>
  </si>
  <si>
    <t>EBITDA</t>
  </si>
  <si>
    <t>Net Income</t>
  </si>
  <si>
    <t>Book Value</t>
  </si>
  <si>
    <t>BPCL</t>
  </si>
  <si>
    <t>Mangalore Refinery and Petrochemicals</t>
  </si>
  <si>
    <t>Chennai Petroleum Corporation</t>
  </si>
  <si>
    <t>Godavari Biorefineries</t>
  </si>
  <si>
    <t>Oil India</t>
  </si>
  <si>
    <t>Hind Oil Exploration</t>
  </si>
  <si>
    <t>Jindal Drilling</t>
  </si>
  <si>
    <t>HPCL</t>
  </si>
  <si>
    <t>GAIL</t>
  </si>
  <si>
    <t>ONGC</t>
  </si>
  <si>
    <t>RIL</t>
  </si>
  <si>
    <t>Metrics</t>
  </si>
  <si>
    <t>EPS</t>
  </si>
  <si>
    <t>In crores</t>
  </si>
  <si>
    <t>Mcap</t>
  </si>
  <si>
    <t>Revenue CAGR</t>
  </si>
  <si>
    <t>IOCL</t>
  </si>
  <si>
    <t>RO2C</t>
  </si>
  <si>
    <t>Capex Intensity</t>
  </si>
  <si>
    <t>Earnings growth</t>
  </si>
  <si>
    <t>GDP g</t>
  </si>
  <si>
    <t>Sensitivity</t>
  </si>
  <si>
    <t>Capex CAGR</t>
  </si>
  <si>
    <t>Change in EBIT (Historical)</t>
  </si>
  <si>
    <t>Change in CE</t>
  </si>
  <si>
    <t>Incremental ROCE (Historical)</t>
  </si>
  <si>
    <t>Change in EBIT (Forecast)</t>
  </si>
  <si>
    <t>Effective Capital</t>
  </si>
  <si>
    <t>Raw ROCE (Forecast)</t>
  </si>
  <si>
    <t>Adjusted ROCE (Forecast)</t>
  </si>
  <si>
    <t>Earnings CAGR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</si>
</sst>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4009]\ * #,##0.00_ ;_ [$₹-4009]\ * \-#,##0.00_ ;_ [$₹-4009]\ * &quot;-&quot;??_ ;_ @_ "/>
    <numFmt numFmtId="165" formatCode="_ [$₹-4009]\ * #,##0_ ;_ [$₹-4009]\ * \-#,##0_ ;_ [$₹-4009]\ * &quot;-&quot;_ ;_ @_ "/>
    <numFmt numFmtId="166" formatCode="0.0%"/>
  </numFmts>
  <fonts count="1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4"/>
      <color theme="0"/>
      <name val="Calibri"/>
      <family val="2"/>
      <scheme val="minor"/>
    </font>
    <font>
      <b/>
      <sz val="24"/>
      <color theme="0"/>
      <name val="Calibri"/>
      <family val="2"/>
      <scheme val="minor"/>
    </font>
    <font>
      <b/>
      <sz val="26"/>
      <color theme="0"/>
      <name val="Calibri"/>
      <family val="2"/>
      <scheme val="minor"/>
    </font>
    <font>
      <sz val="8"/>
      <name val="Calibri"/>
      <family val="2"/>
      <scheme val="minor"/>
    </font>
    <font>
      <b/>
      <sz val="20"/>
      <color theme="0"/>
      <name val="Calibri"/>
      <family val="2"/>
      <scheme val="minor"/>
    </font>
    <font>
      <b/>
      <sz val="12"/>
      <color theme="0"/>
      <name val="Calibri"/>
      <family val="2"/>
      <scheme val="minor"/>
    </font>
    <font>
      <b/>
      <sz val="14"/>
      <color theme="0"/>
      <name val="Calibri"/>
      <family val="2"/>
      <scheme val="minor"/>
    </font>
    <font>
      <b/>
      <sz val="18"/>
      <color theme="0"/>
      <name val="Calibri"/>
      <family val="2"/>
      <scheme val="minor"/>
    </font>
    <font>
      <sz val="12"/>
      <color theme="0"/>
      <name val="Calibri"/>
      <family val="2"/>
      <scheme val="minor"/>
    </font>
    <font>
      <b/>
      <sz val="22"/>
      <color theme="0"/>
      <name val="Calibri"/>
      <family val="2"/>
      <scheme val="minor"/>
    </font>
    <font>
      <sz val="11"/>
      <name val="Calibri"/>
      <family val="2"/>
      <scheme val="minor"/>
    </font>
  </fonts>
  <fills count="9">
    <fill>
      <patternFill patternType="none"/>
    </fill>
    <fill>
      <patternFill patternType="gray125"/>
    </fill>
    <fill>
      <patternFill patternType="solid">
        <fgColor rgb="FFC00000"/>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34998626667073579"/>
        <bgColor theme="0" tint="-0.34998626667073579"/>
      </patternFill>
    </fill>
    <fill>
      <patternFill patternType="solid">
        <fgColor theme="0" tint="-0.14999847407452621"/>
        <bgColor theme="0" tint="-0.14999847407452621"/>
      </patternFill>
    </fill>
    <fill>
      <patternFill patternType="solid">
        <fgColor theme="1" tint="0.499984740745262"/>
        <bgColor indexed="64"/>
      </patternFill>
    </fill>
    <fill>
      <patternFill patternType="solid">
        <fgColor theme="5" tint="0.59999389629810485"/>
        <bgColor theme="5" tint="0.59999389629810485"/>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style="thin">
        <color theme="5" tint="0.39997558519241921"/>
      </left>
      <right style="thin">
        <color theme="5" tint="0.39997558519241921"/>
      </right>
      <top style="thin">
        <color theme="0"/>
      </top>
      <bottom style="thin">
        <color theme="0"/>
      </bottom>
      <diagonal/>
    </border>
    <border>
      <left style="thin">
        <color theme="5" tint="0.39997558519241921"/>
      </left>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7">
    <xf numFmtId="0" fontId="0" fillId="0" borderId="0" xfId="0"/>
    <xf numFmtId="0" fontId="0" fillId="0" borderId="0" xfId="0" applyAlignment="1">
      <alignment horizontal="center" vertical="center"/>
    </xf>
    <xf numFmtId="0" fontId="0" fillId="0" borderId="0" xfId="0" applyAlignment="1">
      <alignment vertical="center"/>
    </xf>
    <xf numFmtId="0" fontId="4" fillId="0" borderId="0" xfId="0" applyFont="1" applyAlignment="1">
      <alignment vertical="center"/>
    </xf>
    <xf numFmtId="0" fontId="0" fillId="0" borderId="0" xfId="0" applyAlignment="1">
      <alignment vertical="center" wrapText="1"/>
    </xf>
    <xf numFmtId="0" fontId="4" fillId="3" borderId="1" xfId="0" applyFont="1" applyFill="1" applyBorder="1" applyAlignment="1">
      <alignment vertical="center"/>
    </xf>
    <xf numFmtId="0" fontId="0" fillId="3" borderId="1" xfId="0" applyFill="1" applyBorder="1" applyAlignment="1">
      <alignment horizontal="center" vertical="center" wrapText="1"/>
    </xf>
    <xf numFmtId="164" fontId="0" fillId="3" borderId="1" xfId="0" applyNumberFormat="1" applyFill="1" applyBorder="1" applyAlignment="1">
      <alignment horizontal="center" vertical="center"/>
    </xf>
    <xf numFmtId="10" fontId="0" fillId="3" borderId="1" xfId="0" applyNumberFormat="1" applyFill="1" applyBorder="1" applyAlignment="1">
      <alignment horizontal="center" vertical="center"/>
    </xf>
    <xf numFmtId="4" fontId="0" fillId="3" borderId="1" xfId="0" applyNumberFormat="1" applyFill="1" applyBorder="1" applyAlignment="1">
      <alignment horizontal="center" vertical="center"/>
    </xf>
    <xf numFmtId="0" fontId="0" fillId="4" borderId="0" xfId="0" applyFill="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2" fillId="4" borderId="0" xfId="0" applyFont="1" applyFill="1" applyAlignment="1">
      <alignment vertical="center"/>
    </xf>
    <xf numFmtId="0" fontId="2" fillId="4" borderId="0" xfId="0" applyFont="1" applyFill="1" applyAlignment="1">
      <alignment horizontal="center" vertical="center"/>
    </xf>
    <xf numFmtId="43" fontId="0" fillId="0" borderId="0" xfId="1" applyFont="1" applyBorder="1" applyAlignment="1">
      <alignment horizontal="center" vertical="center"/>
    </xf>
    <xf numFmtId="43" fontId="2" fillId="0" borderId="0" xfId="1" applyFont="1" applyBorder="1" applyAlignment="1">
      <alignment horizontal="center" vertical="center"/>
    </xf>
    <xf numFmtId="43" fontId="2" fillId="4" borderId="0" xfId="1" applyFont="1" applyFill="1" applyBorder="1" applyAlignment="1">
      <alignment horizontal="center" vertical="center"/>
    </xf>
    <xf numFmtId="43" fontId="1" fillId="0" borderId="0" xfId="1" applyFont="1" applyBorder="1" applyAlignment="1">
      <alignment horizontal="center" vertical="center"/>
    </xf>
    <xf numFmtId="0" fontId="2" fillId="6" borderId="1" xfId="0" applyFont="1" applyFill="1" applyBorder="1" applyAlignment="1">
      <alignment vertical="center"/>
    </xf>
    <xf numFmtId="43" fontId="2" fillId="6" borderId="1" xfId="1" applyFont="1" applyFill="1" applyBorder="1" applyAlignment="1">
      <alignment horizontal="center" vertical="center"/>
    </xf>
    <xf numFmtId="0" fontId="2" fillId="5" borderId="1" xfId="0" applyFont="1" applyFill="1" applyBorder="1" applyAlignment="1">
      <alignment vertical="center"/>
    </xf>
    <xf numFmtId="43" fontId="2" fillId="5" borderId="1" xfId="1" applyFont="1" applyFill="1" applyBorder="1" applyAlignment="1">
      <alignment horizontal="center" vertical="center"/>
    </xf>
    <xf numFmtId="0" fontId="2" fillId="6" borderId="2" xfId="0" applyFont="1" applyFill="1" applyBorder="1" applyAlignment="1">
      <alignment vertical="center"/>
    </xf>
    <xf numFmtId="43" fontId="2" fillId="6" borderId="2" xfId="1" applyFont="1" applyFill="1" applyBorder="1" applyAlignment="1">
      <alignment horizontal="center" vertical="center"/>
    </xf>
    <xf numFmtId="0" fontId="6" fillId="0" borderId="0" xfId="0" applyFont="1" applyAlignment="1">
      <alignment vertical="center"/>
    </xf>
    <xf numFmtId="0" fontId="5" fillId="2" borderId="3" xfId="0" applyFont="1" applyFill="1" applyBorder="1" applyAlignment="1">
      <alignment vertical="center" wrapText="1"/>
    </xf>
    <xf numFmtId="0" fontId="3" fillId="2" borderId="3" xfId="0" applyFont="1" applyFill="1" applyBorder="1" applyAlignment="1">
      <alignment horizontal="center" vertical="center" wrapText="1"/>
    </xf>
    <xf numFmtId="43" fontId="0" fillId="0" borderId="0" xfId="1" applyFont="1" applyAlignment="1">
      <alignment horizontal="center" vertical="center"/>
    </xf>
    <xf numFmtId="43" fontId="2" fillId="0" borderId="0" xfId="1" applyFont="1" applyAlignment="1">
      <alignment horizontal="center" vertical="center"/>
    </xf>
    <xf numFmtId="43" fontId="0" fillId="4" borderId="0" xfId="1" applyFont="1" applyFill="1" applyAlignment="1">
      <alignment horizontal="center" vertical="center"/>
    </xf>
    <xf numFmtId="43" fontId="2" fillId="4" borderId="0" xfId="1" applyFont="1" applyFill="1" applyAlignment="1">
      <alignment horizontal="center" vertical="center"/>
    </xf>
    <xf numFmtId="43" fontId="1" fillId="0" borderId="0" xfId="1" applyFont="1" applyAlignment="1">
      <alignment horizontal="center" vertical="center"/>
    </xf>
    <xf numFmtId="43" fontId="1" fillId="0" borderId="0" xfId="1" applyFont="1" applyFill="1" applyAlignment="1">
      <alignment horizontal="center" vertical="center"/>
    </xf>
    <xf numFmtId="0" fontId="6" fillId="0" borderId="0" xfId="0" applyFont="1" applyAlignment="1">
      <alignment horizontal="left" vertical="center"/>
    </xf>
    <xf numFmtId="0" fontId="0" fillId="0" borderId="0" xfId="0" applyAlignment="1">
      <alignment horizontal="left"/>
    </xf>
    <xf numFmtId="0" fontId="0" fillId="0" borderId="0" xfId="0" applyAlignment="1">
      <alignment horizontal="left" vertical="center"/>
    </xf>
    <xf numFmtId="0" fontId="2" fillId="4" borderId="0" xfId="0" applyFont="1" applyFill="1" applyAlignment="1">
      <alignment horizontal="left"/>
    </xf>
    <xf numFmtId="0" fontId="2" fillId="0" borderId="0" xfId="0" applyFont="1" applyAlignment="1">
      <alignment horizontal="left"/>
    </xf>
    <xf numFmtId="0" fontId="2" fillId="4" borderId="0" xfId="0" applyFont="1" applyFill="1" applyAlignment="1">
      <alignment horizontal="left" vertical="center"/>
    </xf>
    <xf numFmtId="0" fontId="2" fillId="0" borderId="0" xfId="0" applyFont="1" applyAlignment="1">
      <alignment horizontal="left" vertical="center"/>
    </xf>
    <xf numFmtId="43" fontId="0" fillId="4" borderId="0" xfId="1" applyFont="1" applyFill="1" applyBorder="1" applyAlignment="1">
      <alignment horizontal="center" vertical="center"/>
    </xf>
    <xf numFmtId="0" fontId="9" fillId="0" borderId="0" xfId="0" applyFont="1" applyAlignment="1">
      <alignment vertical="center"/>
    </xf>
    <xf numFmtId="166" fontId="0" fillId="0" borderId="0" xfId="2" applyNumberFormat="1" applyFont="1" applyAlignment="1">
      <alignment horizontal="right" vertical="center"/>
    </xf>
    <xf numFmtId="43" fontId="0" fillId="0" borderId="0" xfId="1" applyFont="1" applyAlignment="1">
      <alignment horizontal="right" vertical="center"/>
    </xf>
    <xf numFmtId="0" fontId="12" fillId="0" borderId="0" xfId="0" applyFont="1" applyAlignment="1">
      <alignment vertical="center"/>
    </xf>
    <xf numFmtId="0" fontId="11" fillId="7" borderId="1" xfId="0" applyFont="1" applyFill="1" applyBorder="1" applyAlignment="1">
      <alignment vertical="center"/>
    </xf>
    <xf numFmtId="0" fontId="11" fillId="7" borderId="1" xfId="0" applyFont="1" applyFill="1" applyBorder="1" applyAlignment="1">
      <alignment horizontal="center" vertical="center"/>
    </xf>
    <xf numFmtId="0" fontId="13" fillId="0" borderId="4" xfId="0" applyFont="1" applyBorder="1" applyAlignment="1">
      <alignment vertical="center"/>
    </xf>
    <xf numFmtId="166" fontId="13" fillId="0" borderId="1" xfId="2" applyNumberFormat="1" applyFont="1" applyFill="1" applyBorder="1" applyAlignment="1">
      <alignment horizontal="center" vertical="center"/>
    </xf>
    <xf numFmtId="166" fontId="13" fillId="0" borderId="5" xfId="2" applyNumberFormat="1" applyFont="1" applyFill="1" applyBorder="1" applyAlignment="1">
      <alignment horizontal="center" vertical="center"/>
    </xf>
    <xf numFmtId="4" fontId="13" fillId="0" borderId="1" xfId="0" applyNumberFormat="1" applyFont="1" applyBorder="1" applyAlignment="1">
      <alignment horizontal="center" vertical="center"/>
    </xf>
    <xf numFmtId="4" fontId="13" fillId="0" borderId="5" xfId="0" applyNumberFormat="1" applyFont="1" applyBorder="1" applyAlignment="1">
      <alignment horizontal="center" vertical="center"/>
    </xf>
    <xf numFmtId="0" fontId="10" fillId="0" borderId="4" xfId="0" applyFont="1" applyBorder="1" applyAlignment="1">
      <alignment vertical="center"/>
    </xf>
    <xf numFmtId="166" fontId="10" fillId="0" borderId="1" xfId="0" applyNumberFormat="1" applyFont="1" applyBorder="1" applyAlignment="1">
      <alignment horizontal="center" vertical="center"/>
    </xf>
    <xf numFmtId="166" fontId="10" fillId="0" borderId="5" xfId="0" applyNumberFormat="1" applyFont="1" applyBorder="1" applyAlignment="1">
      <alignment horizontal="center" vertical="center"/>
    </xf>
    <xf numFmtId="0" fontId="13" fillId="0" borderId="6" xfId="0" applyFont="1" applyBorder="1" applyAlignment="1">
      <alignment vertical="center"/>
    </xf>
    <xf numFmtId="43" fontId="13" fillId="0" borderId="1" xfId="0" applyNumberFormat="1" applyFont="1" applyBorder="1" applyAlignment="1">
      <alignment horizontal="center" vertical="center"/>
    </xf>
    <xf numFmtId="43" fontId="13" fillId="0" borderId="5" xfId="0" applyNumberFormat="1" applyFont="1" applyBorder="1" applyAlignment="1">
      <alignment horizontal="center" vertical="center"/>
    </xf>
    <xf numFmtId="9" fontId="13" fillId="0" borderId="1" xfId="2" applyFont="1" applyFill="1" applyBorder="1" applyAlignment="1">
      <alignment horizontal="center" vertical="center"/>
    </xf>
    <xf numFmtId="9" fontId="13" fillId="0" borderId="5" xfId="2" applyFont="1" applyFill="1" applyBorder="1" applyAlignment="1">
      <alignment horizontal="center" vertical="center"/>
    </xf>
    <xf numFmtId="43" fontId="13" fillId="0" borderId="1" xfId="1" applyFont="1" applyFill="1" applyBorder="1" applyAlignment="1">
      <alignment horizontal="center" vertical="center"/>
    </xf>
    <xf numFmtId="10" fontId="10" fillId="0" borderId="1" xfId="0" applyNumberFormat="1" applyFont="1" applyBorder="1" applyAlignment="1">
      <alignment horizontal="center" vertical="center"/>
    </xf>
    <xf numFmtId="0" fontId="10" fillId="0" borderId="6" xfId="0" applyFont="1" applyBorder="1" applyAlignment="1">
      <alignment vertical="center"/>
    </xf>
    <xf numFmtId="166" fontId="10" fillId="0" borderId="2" xfId="0" applyNumberFormat="1" applyFont="1" applyBorder="1" applyAlignment="1">
      <alignment horizontal="center" vertical="center"/>
    </xf>
    <xf numFmtId="43" fontId="13" fillId="0" borderId="2" xfId="0" applyNumberFormat="1" applyFont="1" applyBorder="1" applyAlignment="1">
      <alignment horizontal="center" vertical="center"/>
    </xf>
    <xf numFmtId="43" fontId="13" fillId="0" borderId="7" xfId="0" applyNumberFormat="1" applyFont="1" applyBorder="1" applyAlignment="1">
      <alignment horizontal="center" vertical="center"/>
    </xf>
    <xf numFmtId="166" fontId="13" fillId="0" borderId="2" xfId="2" applyNumberFormat="1" applyFont="1" applyFill="1" applyBorder="1" applyAlignment="1">
      <alignment horizontal="center" vertical="center"/>
    </xf>
    <xf numFmtId="0" fontId="14" fillId="0" borderId="0" xfId="0"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horizontal="center" vertical="center"/>
    </xf>
    <xf numFmtId="43" fontId="15" fillId="0" borderId="0" xfId="1" applyFont="1" applyAlignment="1">
      <alignment horizontal="center" vertical="center"/>
    </xf>
    <xf numFmtId="43" fontId="15" fillId="0" borderId="0" xfId="1" applyFont="1" applyFill="1" applyAlignment="1">
      <alignment horizontal="center" vertical="center"/>
    </xf>
    <xf numFmtId="9" fontId="15" fillId="0" borderId="0" xfId="2" applyFont="1" applyFill="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43" fontId="15" fillId="0" borderId="0" xfId="1" applyFont="1" applyBorder="1" applyAlignment="1">
      <alignment horizontal="center" vertical="center"/>
    </xf>
    <xf numFmtId="166" fontId="15" fillId="0" borderId="0" xfId="2" applyNumberFormat="1" applyFont="1" applyBorder="1" applyAlignment="1">
      <alignment horizontal="center" vertical="center"/>
    </xf>
    <xf numFmtId="9" fontId="15" fillId="0" borderId="0" xfId="2" applyFont="1" applyBorder="1" applyAlignment="1">
      <alignment horizontal="center" vertical="center"/>
    </xf>
    <xf numFmtId="43" fontId="3" fillId="0" borderId="0" xfId="1" applyFont="1" applyFill="1" applyBorder="1" applyAlignment="1">
      <alignment horizontal="center" vertical="center"/>
    </xf>
    <xf numFmtId="43" fontId="0" fillId="0" borderId="0" xfId="0" applyNumberFormat="1" applyAlignment="1">
      <alignment horizontal="center" vertical="center"/>
    </xf>
    <xf numFmtId="166" fontId="0" fillId="0" borderId="0" xfId="2" applyNumberFormat="1" applyFont="1" applyBorder="1" applyAlignment="1">
      <alignment horizontal="right" vertical="center"/>
    </xf>
    <xf numFmtId="9" fontId="0" fillId="0" borderId="0" xfId="2" applyFont="1" applyAlignment="1">
      <alignment horizontal="center" vertical="center"/>
    </xf>
    <xf numFmtId="166" fontId="0" fillId="0" borderId="0" xfId="2" applyNumberFormat="1" applyFont="1" applyAlignment="1">
      <alignment horizontal="center" vertical="center"/>
    </xf>
    <xf numFmtId="0" fontId="0" fillId="0" borderId="0" xfId="0" applyAlignment="1">
      <alignment horizontal="center" vertical="center" wrapText="1"/>
    </xf>
    <xf numFmtId="9" fontId="2" fillId="0" borderId="0" xfId="2" applyFont="1" applyAlignment="1">
      <alignment horizontal="center" vertical="center"/>
    </xf>
    <xf numFmtId="0" fontId="4" fillId="3" borderId="2" xfId="0" applyFont="1" applyFill="1" applyBorder="1" applyAlignment="1">
      <alignment vertical="center"/>
    </xf>
    <xf numFmtId="3" fontId="0" fillId="3" borderId="2" xfId="0" applyNumberFormat="1" applyFill="1" applyBorder="1" applyAlignment="1">
      <alignment horizontal="center" vertical="center"/>
    </xf>
    <xf numFmtId="0" fontId="4" fillId="3" borderId="3" xfId="0" applyFont="1" applyFill="1" applyBorder="1" applyAlignment="1">
      <alignment vertical="center"/>
    </xf>
    <xf numFmtId="165" fontId="0" fillId="3" borderId="3" xfId="0" applyNumberFormat="1" applyFill="1" applyBorder="1" applyAlignment="1">
      <alignment horizontal="center" vertical="center"/>
    </xf>
    <xf numFmtId="0" fontId="4" fillId="8" borderId="9" xfId="0" applyFont="1" applyFill="1" applyBorder="1" applyAlignment="1">
      <alignment vertical="center"/>
    </xf>
    <xf numFmtId="43" fontId="0" fillId="8" borderId="9" xfId="1" applyFont="1" applyFill="1" applyBorder="1" applyAlignment="1">
      <alignment horizontal="center" vertical="center"/>
    </xf>
    <xf numFmtId="43" fontId="0" fillId="8" borderId="8" xfId="1" applyFont="1" applyFill="1" applyBorder="1" applyAlignment="1">
      <alignment horizontal="center" vertical="center"/>
    </xf>
    <xf numFmtId="0" fontId="0" fillId="0" borderId="10" xfId="0" applyBorder="1" applyAlignment="1">
      <alignment vertical="center"/>
    </xf>
    <xf numFmtId="0" fontId="2" fillId="0" borderId="10" xfId="0" applyFont="1" applyBorder="1" applyAlignment="1">
      <alignment vertical="center"/>
    </xf>
    <xf numFmtId="0" fontId="0" fillId="0" borderId="10" xfId="0" applyBorder="1" applyAlignment="1">
      <alignment horizontal="right" vertical="center"/>
    </xf>
    <xf numFmtId="10" fontId="0" fillId="0" borderId="10" xfId="2" applyNumberFormat="1" applyFont="1" applyBorder="1" applyAlignment="1">
      <alignment horizontal="center" vertical="center"/>
    </xf>
    <xf numFmtId="10" fontId="2" fillId="0" borderId="10" xfId="2" applyNumberFormat="1" applyFont="1" applyBorder="1" applyAlignment="1">
      <alignment horizontal="center" vertical="center"/>
    </xf>
    <xf numFmtId="10" fontId="0" fillId="0" borderId="0" xfId="2" applyNumberFormat="1" applyFont="1" applyAlignment="1">
      <alignment horizontal="center" vertical="center"/>
    </xf>
    <xf numFmtId="0" fontId="2" fillId="0" borderId="10" xfId="0" applyFont="1" applyBorder="1" applyAlignment="1">
      <alignment horizontal="right" vertical="center"/>
    </xf>
    <xf numFmtId="2" fontId="2" fillId="0" borderId="10" xfId="0" applyNumberFormat="1" applyFont="1" applyBorder="1" applyAlignment="1">
      <alignment horizontal="center" vertical="center"/>
    </xf>
    <xf numFmtId="0" fontId="2" fillId="0" borderId="10" xfId="0" applyFont="1" applyBorder="1" applyAlignment="1">
      <alignment horizontal="center" vertical="center" wrapText="1"/>
    </xf>
    <xf numFmtId="0" fontId="2" fillId="0" borderId="10" xfId="0" applyFont="1" applyBorder="1" applyAlignment="1">
      <alignment horizontal="center" vertical="center"/>
    </xf>
    <xf numFmtId="43" fontId="0" fillId="0" borderId="10" xfId="0" applyNumberFormat="1" applyBorder="1" applyAlignment="1">
      <alignment vertical="center"/>
    </xf>
    <xf numFmtId="43" fontId="0" fillId="0" borderId="10" xfId="1" applyFont="1" applyBorder="1" applyAlignment="1">
      <alignment vertical="center"/>
    </xf>
    <xf numFmtId="10" fontId="0" fillId="0" borderId="10" xfId="2" applyNumberFormat="1" applyFont="1" applyBorder="1" applyAlignment="1">
      <alignment vertical="center"/>
    </xf>
    <xf numFmtId="10" fontId="0" fillId="0" borderId="10" xfId="0" applyNumberFormat="1" applyBorder="1" applyAlignment="1">
      <alignment vertical="center"/>
    </xf>
    <xf numFmtId="10" fontId="2" fillId="0" borderId="10" xfId="0" applyNumberFormat="1" applyFont="1" applyBorder="1" applyAlignment="1">
      <alignment horizontal="center" vertical="center"/>
    </xf>
    <xf numFmtId="43" fontId="0" fillId="0" borderId="0" xfId="0" applyNumberFormat="1" applyAlignment="1">
      <alignment vertical="center"/>
    </xf>
    <xf numFmtId="10" fontId="2" fillId="0" borderId="0" xfId="2" applyNumberFormat="1" applyFont="1" applyAlignment="1">
      <alignment horizontal="center" vertical="center"/>
    </xf>
    <xf numFmtId="0" fontId="7" fillId="0" borderId="0" xfId="0" applyFont="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vertical="center"/>
    </xf>
  </cellXfs>
  <cellStyles count="3">
    <cellStyle name="Comma" xfId="1" builtinId="3"/>
    <cellStyle name="Normal" xfId="0" builtinId="0"/>
    <cellStyle name="Percent" xfId="2" builtinId="5"/>
  </cellStyles>
  <dxfs count="43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font>
        <strike val="0"/>
        <outline val="0"/>
        <shadow val="0"/>
        <u val="none"/>
        <vertAlign val="baseline"/>
        <sz val="11"/>
        <color theme="0"/>
        <name val="Calibri"/>
        <family val="2"/>
        <scheme val="minor"/>
      </font>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66" formatCode="0.0%"/>
      <fill>
        <patternFill patternType="solid">
          <fgColor indexed="64"/>
          <bgColor theme="0" tint="-0.34998626667073579"/>
        </patternFill>
      </fill>
      <alignment horizontal="center" vertical="center" textRotation="0" wrapText="0" indent="0" justifyLastLine="0" shrinkToFit="0" readingOrder="0"/>
      <border diagonalUp="0" diagonalDown="0" outline="0">
        <left style="thin">
          <color theme="0"/>
        </left>
        <right/>
        <top/>
        <bottom style="thin">
          <color theme="0"/>
        </bottom>
      </border>
    </dxf>
    <dxf>
      <font>
        <b val="0"/>
        <i val="0"/>
        <strike val="0"/>
        <condense val="0"/>
        <extend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66" formatCode="0.0%"/>
      <fill>
        <patternFill patternType="solid">
          <fgColor indexed="64"/>
          <bgColor theme="0" tint="-0.34998626667073579"/>
        </patternFill>
      </fill>
      <alignment horizontal="center" vertical="center" textRotation="0" wrapText="0" indent="0" justifyLastLine="0" shrinkToFit="0" readingOrder="0"/>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66" formatCode="0.0%"/>
      <fill>
        <patternFill patternType="solid">
          <fgColor indexed="64"/>
          <bgColor theme="0" tint="-0.34998626667073579"/>
        </patternFill>
      </fill>
      <alignment horizontal="center" vertical="center" textRotation="0" wrapText="0" indent="0" justifyLastLine="0" shrinkToFit="0" readingOrder="0"/>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66" formatCode="0.0%"/>
      <fill>
        <patternFill patternType="solid">
          <fgColor indexed="64"/>
          <bgColor theme="0" tint="-0.34998626667073579"/>
        </patternFill>
      </fill>
      <alignment horizontal="center" vertical="center" textRotation="0" wrapText="0" indent="0" justifyLastLine="0" shrinkToFit="0" readingOrder="0"/>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66" formatCode="0.0%"/>
      <fill>
        <patternFill patternType="solid">
          <fgColor indexed="64"/>
          <bgColor theme="0" tint="-0.34998626667073579"/>
        </patternFill>
      </fill>
      <alignment horizontal="center" vertical="center" textRotation="0" wrapText="0" indent="0" justifyLastLine="0" shrinkToFit="0" readingOrder="0"/>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66" formatCode="0.0%"/>
      <fill>
        <patternFill patternType="solid">
          <fgColor indexed="64"/>
          <bgColor theme="0" tint="-0.34998626667073579"/>
        </patternFill>
      </fill>
      <alignment horizontal="center" vertical="center" textRotation="0" wrapText="0" indent="0" justifyLastLine="0" shrinkToFit="0" readingOrder="0"/>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12"/>
        <color theme="0"/>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indexed="64"/>
          <bgColor theme="0" tint="-0.34998626667073579"/>
        </patternFill>
      </fill>
      <alignment horizontal="general" vertical="center" textRotation="0" wrapText="0" indent="0" justifyLastLine="0" shrinkToFit="0" readingOrder="0"/>
      <border diagonalUp="0" diagonalDown="0" outline="0">
        <left/>
        <right style="thin">
          <color theme="0"/>
        </right>
        <top/>
        <bottom style="thin">
          <color theme="0"/>
        </bottom>
      </border>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border outline="0">
        <bottom style="thin">
          <color theme="0"/>
        </bottom>
      </border>
    </dxf>
    <dxf>
      <font>
        <b val="0"/>
        <i val="0"/>
        <strike val="0"/>
        <condense val="0"/>
        <extend val="0"/>
        <outline val="0"/>
        <shadow val="0"/>
        <u val="none"/>
        <vertAlign val="baseline"/>
        <sz val="12"/>
        <color theme="1"/>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bottom"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textRotation="0" wrapText="0" indent="0" justifyLastLine="0" shrinkToFit="0" readingOrder="0"/>
    </dxf>
    <dxf>
      <border diagonalUp="0" diagonalDown="0">
        <left style="medium">
          <color theme="0"/>
        </left>
        <right style="medium">
          <color theme="0"/>
        </right>
        <top style="medium">
          <color theme="0"/>
        </top>
        <bottom style="medium">
          <color theme="0"/>
        </bottom>
      </border>
    </dxf>
    <dxf>
      <alignment horizontal="left"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5">
  <rv s="0">
    <v>0</v>
    <v>5</v>
  </rv>
  <rv s="0">
    <v>1</v>
    <v>5</v>
  </rv>
  <rv s="0">
    <v>2</v>
    <v>5</v>
  </rv>
  <rv s="0">
    <v>3</v>
    <v>5</v>
  </rv>
  <rv s="0">
    <v>4</v>
    <v>5</v>
  </rv>
  <rv s="0">
    <v>5</v>
    <v>5</v>
  </rv>
  <rv s="1">
    <v>https://www.bing.com/financeapi/forcetrigger?t=ahh9h7&amp;q=XNSE%3aBPCL&amp;form=skydnc</v>
    <v>Learn more on Bing</v>
  </rv>
  <rv s="2">
    <v>en-IN</v>
    <v>ahh9h7</v>
    <v>268435456</v>
    <v>1</v>
    <v>Powered by Refinitiv</v>
    <v>0</v>
    <v>BHARAT PETROLEUM CORPORATION LIMITED (XNSE:BPCL)</v>
    <v>2</v>
    <v>3</v>
    <v>Finance</v>
    <v>4</v>
    <v>380</v>
    <v>234.01</v>
    <v>1.2921</v>
    <v>-2</v>
    <v>-5.4469999999999996E-3</v>
    <v>INR</v>
    <v>Bharat Petroleum Corporation Limited is an India-based company, which is engaged in the refining of crude oil and marketing of petroleum products. Its segments include Downstream Petroleum and Exploration &amp; Production of Hydrocarbons. Its businesses include fuels and services, Bharatgas, MAK lubricants, aviation services, gas, industrial and commercial, international trade, proficiency testing, and pipelines. It has a variety of product offerings, like petrol, diesel, automotive LPG and CNG along with premium petrol products like Speed and Speed 97. It offers specialized fuel station formats like Ghar, Highway Star, Pure for Sure, and other such services. MAK Lubricants provides lubricants and greases in India and international markets. It has refineries in Mumbai, Kochi and Bina, LPG bottling plants and Lube blending plants at various locations. Its marketing infrastructure includes a network of installations, depots, retail outlets, aviation fueling stations and LPG distributors.</v>
    <v>8747</v>
    <v>National Stock Exchange of India</v>
    <v>XNSE</v>
    <v>XNSE</v>
    <v>Bharat Bhavan, 4 &amp; 6, Currimbhoy Road, Ballard Estate, MUMBAI, MAHARASHTRA, 400001 IN</v>
    <v>369.8</v>
    <v>Oil &amp; Gas</v>
    <v>Stock</v>
    <v>45971.582870370374</v>
    <v>6</v>
    <v>363.65</v>
    <v>1592882000000</v>
    <v>BHARAT PETROLEUM CORPORATION LIMITED</v>
    <v>BHARAT PETROLEUM CORPORATION LIMITED</v>
    <v>366.3</v>
    <v>7.3506</v>
    <v>367.15</v>
    <v>365.15</v>
    <v>4338505000</v>
    <v>BPCL</v>
    <v>BHARAT PETROLEUM CORPORATION LIMITED (XNSE:BPCL)</v>
    <v>6934285</v>
    <v>11455320</v>
    <v>1952</v>
  </rv>
  <rv s="3">
    <v>7</v>
  </rv>
  <rv s="1">
    <v>https://www.bing.com/financeapi/forcetrigger?t=ahhsw7&amp;q=XNSE%3aGAIL&amp;form=skydnc</v>
    <v>Learn more on Bing</v>
  </rv>
  <rv s="2">
    <v>en-IN</v>
    <v>ahhsw7</v>
    <v>268435456</v>
    <v>1</v>
    <v>Powered by Refinitiv</v>
    <v>0</v>
    <v>GAIL (INDIA) LIMITED (XNSE:GAIL)</v>
    <v>2</v>
    <v>3</v>
    <v>Finance</v>
    <v>4</v>
    <v>216.47</v>
    <v>150.52000000000001</v>
    <v>1.5484</v>
    <v>1.05</v>
    <v>5.8180000000000003E-3</v>
    <v>INR</v>
    <v>GAIL (India) Limited is an India-based natural gas company. The Company's segments include Transmission Services; Natural Gas Marketing; Petrochemicals; LPG and other Liquid Hydrocarbons, and Other Segments. The Transmission Services segment includes the transmission of natural gas and liquid petroleum gas (LPG). The Natural Gas Marketing segment is engaged in the marketing of natural gas and biofuels. Petrochemicals segment is engaged in the production and marketing of polyethylene. Its LPG and other Liquid Hydrocarbons segment is engaged in the production and marketing of LPG, propane, pentane, and naphtha. Its Other segment includes City Gas Distribution, Exploration (CGD) and Production (E&amp;P), Compressed Bio Gas and power generation. It owns and operates a network of over 16,420 kilometers of natural gas pipelines. It is also engaged in renewable energy, such as solar, wind, hydrogen, and biofuel. Its subsidiaries include Bengal Gas Company Limited, GAIL Gas Limited, and others.</v>
    <v>5010</v>
    <v>National Stock Exchange of India</v>
    <v>XNSE</v>
    <v>XNSE</v>
    <v>GAIL Bhawan, 16 Bhikaji Cama Place, R.K. Puram, NEW DELHI, DELHI, 110066 IN</v>
    <v>182.25</v>
    <v>Natural Gas Utilities</v>
    <v>Stock</v>
    <v>45971.582881944443</v>
    <v>9</v>
    <v>179.6</v>
    <v>1186605000000</v>
    <v>GAIL (INDIA) LIMITED</v>
    <v>GAIL (INDIA) LIMITED</v>
    <v>179.6</v>
    <v>10.9376</v>
    <v>180.47</v>
    <v>181.52</v>
    <v>6575080000</v>
    <v>GAIL</v>
    <v>GAIL (INDIA) LIMITED (XNSE:GAIL)</v>
    <v>6801002</v>
    <v>10285150</v>
    <v>1984</v>
  </rv>
  <rv s="3">
    <v>10</v>
  </rv>
  <rv s="1">
    <v>https://www.bing.com/financeapi/forcetrigger?t=ah7r8m&amp;q=XBOM%3a500104&amp;form=skydnc</v>
    <v>Learn more on Bing</v>
  </rv>
  <rv s="2">
    <v>en-IN</v>
    <v>ah7r8m</v>
    <v>268435456</v>
    <v>1</v>
    <v>Powered by Refinitiv</v>
    <v>0</v>
    <v>HINDUSTAN PETROLEUM CORPORATION LIMITED (XBOM:500104)</v>
    <v>2</v>
    <v>3</v>
    <v>Finance</v>
    <v>5</v>
    <v>491.2</v>
    <v>287.55</v>
    <v>1.5871999999999999</v>
    <v>2.15</v>
    <v>4.483E-3</v>
    <v>INR</v>
    <v>Hindustan Petroleum Corporation Limited is engaged in the business of refining of crude oil and marketing of petroleum products, production of hydrocarbons and providing services for management of exploration and production (E&amp;P) blocks, manufacturing of ethanol, sugar and generation of power, operating liquefied natural gas (LNG) regasification terminal (under construction phase), green and renewable energy business. Its Downstream Petroleum segment is engaged in refining and marketing of petroleum products. Its businesses include HP Refineries, HP Retail (Petrol Pumps); HP Gas (LPG); HP Lubricants; HP Aviation; HP Direct Sales; HP Projects and Pipelines; HP Supplies, Operations and Distribution (SOD); HP International Trade; HP Natural Gas and Renewables; HP Natural Gas; HP Petrochemicals, and HP Research and Development. It exports various petroleum products from its refineries, including Fuel Oil, naphtha, high sulphur gasoil, and high sulphur gasoline.</v>
    <v>8049</v>
    <v>Bombay Stock Exchange</v>
    <v>XBOM</v>
    <v>XBOM</v>
    <v>Petroleum House, 17, Jamshedji Tata Road, CHURCHGATE, MUMBAI, MAHARASHTRA, 400020 IN</v>
    <v>485</v>
    <v>Oil &amp; Gas</v>
    <v>Stock</v>
    <v>45971.735613425924</v>
    <v>12</v>
    <v>479</v>
    <v>1020397000000</v>
    <v>HINDUSTAN PETROLEUM CORPORATION LIMITED</v>
    <v>HINDUSTAN PETROLEUM CORPORATION LIMITED</v>
    <v>479.95</v>
    <v>7.29</v>
    <v>479.55</v>
    <v>481.7</v>
    <v>2127823000</v>
    <v>500104</v>
    <v>HINDUSTAN PETROLEUM CORPORATION LIMITED (XBOM:500104)</v>
    <v>60036</v>
    <v>6261180</v>
    <v>1952</v>
  </rv>
  <rv s="3">
    <v>13</v>
  </rv>
  <rv s="1">
    <v>https://www.bing.com/financeapi/forcetrigger?t=ahcbkr&amp;q=XBOM%3a530965&amp;form=skydnc</v>
    <v>Learn more on Bing</v>
  </rv>
  <rv s="2">
    <v>en-IN</v>
    <v>ahcbkr</v>
    <v>268435456</v>
    <v>1</v>
    <v>Powered by Refinitiv</v>
    <v>0</v>
    <v>INDIAN OIL CORPORATION LIMITED (XBOM:530965)</v>
    <v>2</v>
    <v>3</v>
    <v>Finance</v>
    <v>5</v>
    <v>171.4</v>
    <v>110.75</v>
    <v>1.3210999999999999</v>
    <v>-0.05</v>
    <v>-2.9579999999999998E-4</v>
    <v>INR</v>
    <v>Indian Oil Corporation Limited is an India-based oil company. The Company's segments include Petroleum Products, Petrochemicals, Gas, and Other Business Activities. Its Other Business Activities segment includes oil and gas exploration activities, explosives and cryogenic business, and wind mill and solar power generation. Its business interests span the entire hydrocarbon value-chain, ranging from refining (downstream), pipeline transportation and marketing to exploration and production of petrochemicals, natural gas and alternative energy. Its downstream business includes city gas distribution (CGD), natural gas supply to bulk consumers, and distribution and marketing of LPG and Industrial Fuels. Its green energy portfolio focuses on CBG and sustainable aviation fuel (SAF). It owns and operates approximately 10 refineries across India. Its subsidiaries include Chennai Petroleum Corporation Limited, IndianOil (Mauritius) Limited, IOC Sweden AB, and IndOil Global B.V., among others.</v>
    <v>29941</v>
    <v>Bombay Stock Exchange</v>
    <v>XBOM</v>
    <v>XBOM</v>
    <v>3079/3, Sadiq Nagar, J B Tito Marg, NEW DELHI, DELHI, 110049 IN</v>
    <v>171.4</v>
    <v>Oil &amp; Gas</v>
    <v>Stock</v>
    <v>45971.735613425924</v>
    <v>15</v>
    <v>168.2</v>
    <v>2388749000000</v>
    <v>INDIAN OIL CORPORATION LIMITED</v>
    <v>INDIAN OIL CORPORATION LIMITED</v>
    <v>169</v>
    <v>9.3699999999999992</v>
    <v>169.05</v>
    <v>169</v>
    <v>14121240000</v>
    <v>530965</v>
    <v>INDIAN OIL CORPORATION LIMITED (XBOM:530965)</v>
    <v>994494</v>
    <v>23977320</v>
    <v>1959</v>
  </rv>
  <rv s="3">
    <v>16</v>
  </rv>
  <rv s="1">
    <v>https://www.bing.com/financeapi/forcetrigger?t=ahj9zr&amp;q=XNSE%3aONGC&amp;form=skydnc</v>
    <v>Learn more on Bing</v>
  </rv>
  <rv s="2">
    <v>en-IN</v>
    <v>ahj9zr</v>
    <v>268435456</v>
    <v>1</v>
    <v>Powered by Refinitiv</v>
    <v>0</v>
    <v>OIL AND NATURAL GAS CORPORATION LIMITED (XNSE:ONGC)</v>
    <v>2</v>
    <v>3</v>
    <v>Finance</v>
    <v>4</v>
    <v>274.35000000000002</v>
    <v>205</v>
    <v>0.99350000000000005</v>
    <v>-0.8</v>
    <v>-3.1719999999999999E-3</v>
    <v>INR</v>
    <v>Oil and Natural Gas Corporation Limited is an India-based crude oil and natural gas company. The Company is engaged in exploration, development and production of crude oil, natural gas and value-added products in India and acquisition of oil and gas acreages outside India for exploration, development and production, downstream (Refining and marketing of petroleum products), Petrochemicals, Power Generation, liquefied natural gas (LNG) supply, Pipeline Transportation, special economic zone (SEZ) development, Helicopter services, Manufacturing of Ethanol and Sugar, Green and Renewable energy business. Its segment includes Exploration and Production, and Refining and Marketing. Its geographical segments consist of India, which includes offshore and onshore, and Outside India. Its subsidiaries include Mangalore Refinery and Petrochemicals Limited, Hindustan Petroleum Corporation Limited, ONGC Videsh Limited, Petronet MHB Limited, ONGC Green Limited, and HPCL Biofuels Limited, among others.</v>
    <v>25319</v>
    <v>National Stock Exchange of India</v>
    <v>XNSE</v>
    <v>XNSE</v>
    <v>Deendayal Urja Bhawan, 5A, Nelson Mandela Marg, Vasant Kunj, NEW DELHI, DELHI, 110070 IN</v>
    <v>255.5</v>
    <v>Oil &amp; Gas</v>
    <v>Stock</v>
    <v>45971.58289351852</v>
    <v>18</v>
    <v>249.5</v>
    <v>3172747000000</v>
    <v>OIL AND NATURAL GAS CORPORATION LIMITED</v>
    <v>OIL AND NATURAL GAS CORPORATION LIMITED</v>
    <v>252</v>
    <v>8.7796000000000003</v>
    <v>252.2</v>
    <v>251.4</v>
    <v>12580280000</v>
    <v>ONGC</v>
    <v>OIL AND NATURAL GAS CORPORATION LIMITED (XNSE:ONGC)</v>
    <v>7418162</v>
    <v>7846630</v>
    <v>1993</v>
  </rv>
  <rv s="3">
    <v>19</v>
  </rv>
  <rv s="1">
    <v>https://www.bing.com/financeapi/forcetrigger?t=ah82oc&amp;q=XBOM%3a500325&amp;form=skydnc</v>
    <v>Learn more on Bing</v>
  </rv>
  <rv s="2">
    <v>en-IN</v>
    <v>ah82oc</v>
    <v>268435456</v>
    <v>1</v>
    <v>Powered by Refinitiv</v>
    <v>0</v>
    <v>RELIANCE INDUSTRIES LIMITED (XBOM:500325)</v>
    <v>2</v>
    <v>3</v>
    <v>Finance</v>
    <v>5</v>
    <v>1551</v>
    <v>1115.55</v>
    <v>1.1398999999999999</v>
    <v>11</v>
    <v>7.4409999999999997E-3</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Bombay Stock Exchange</v>
    <v>XBOM</v>
    <v>XBOM</v>
    <v>Maker Chambers IV, Nariman Point, MUMBAI, MAHARASHTRA, 400021 IN</v>
    <v>1500</v>
    <v>Oil &amp; Gas</v>
    <v>Stock</v>
    <v>45971.735613425924</v>
    <v>21</v>
    <v>1473.15</v>
    <v>20000990000000</v>
    <v>RELIANCE INDUSTRIES LIMITED</v>
    <v>RELIANCE INDUSTRIES LIMITED</v>
    <v>1473.15</v>
    <v>24.07</v>
    <v>1478.25</v>
    <v>1489.25</v>
    <v>13532740000</v>
    <v>500325</v>
    <v>RELIANCE INDUSTRIES LIMITED (XBOM:500325)</v>
    <v>408088</v>
    <v>11446210</v>
    <v>1973</v>
  </rv>
  <rv s="3">
    <v>22</v>
  </rv>
  <rv s="0">
    <v>6</v>
    <v>5</v>
  </rv>
</rvData>
</file>

<file path=xl/richData/rdrichvaluestructure.xml><?xml version="1.0" encoding="utf-8"?>
<rvStructures xmlns="http://schemas.microsoft.com/office/spreadsheetml/2017/richdata" count="4">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6">
    <spb s="0">
      <v>0</v>
      <v>Name</v>
      <v>LearnMoreOnLink</v>
    </spb>
    <spb s="1">
      <v>0</v>
      <v>0</v>
      <v>0</v>
    </spb>
    <spb s="2">
      <v>1</v>
      <v>1</v>
      <v>1</v>
      <v>1</v>
    </spb>
    <spb s="3">
      <v>1</v>
      <v>2</v>
      <v>2</v>
      <v>1</v>
      <v>3</v>
      <v>1</v>
      <v>1</v>
      <v>1</v>
      <v>4</v>
      <v>4</v>
      <v>5</v>
      <v>6</v>
      <v>1</v>
      <v>1</v>
      <v>1</v>
      <v>4</v>
      <v>7</v>
      <v>8</v>
      <v>9</v>
      <v>4</v>
    </spb>
    <spb s="4">
      <v>Delayed 5 minutes</v>
      <v>from previous close</v>
      <v>from previous close</v>
      <v>GMT</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FC23BD-96C1-4421-A4E1-DFC96A56FD4E}" name="Table1" displayName="Table1" ref="A4:G60" totalsRowShown="0" headerRowDxfId="429" dataDxfId="428" tableBorderDxfId="427">
  <autoFilter ref="A4:G60" xr:uid="{F9FC23BD-96C1-4421-A4E1-DFC96A56FD4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F6956A1-9532-4065-9C6D-FDA8F0B83AF8}" name="Particulars" dataDxfId="426"/>
    <tableColumn id="2" xr3:uid="{A3B08E5B-C9B7-439A-AD18-78819498811F}" name="2020" dataDxfId="425"/>
    <tableColumn id="3" xr3:uid="{EFF3247F-E210-48C6-ACC7-2D31D1F0E8D3}" name="2021" dataDxfId="424"/>
    <tableColumn id="4" xr3:uid="{1F00781E-4505-4C37-8BDC-74D2555B20F7}" name="2022" dataDxfId="423"/>
    <tableColumn id="5" xr3:uid="{CE2AD545-FD36-4184-9ED8-C2FD47E83B86}" name="2023" dataDxfId="422"/>
    <tableColumn id="6" xr3:uid="{4067CB66-F843-4C6D-8751-D085DF45844A}" name="2024" dataDxfId="421"/>
    <tableColumn id="7" xr3:uid="{BC188DC8-E05C-4927-B89F-E5AE4CA5A2A0}" name="2025" dataDxfId="420"/>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72293C-1D18-42A9-8E92-3E70D1A4CD4E}" name="Table2" displayName="Table2" ref="I4:O58" totalsRowShown="0" headerRowDxfId="419" dataDxfId="418" tableBorderDxfId="417">
  <autoFilter ref="I4:O58" xr:uid="{4A72293C-1D18-42A9-8E92-3E70D1A4CD4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F0672D-1FA7-4932-A2A2-1760B2527153}" name="Particulars" dataDxfId="416"/>
    <tableColumn id="2" xr3:uid="{5E2C82C3-EA05-4906-89C5-E3E94B49A18F}" name="2020" dataDxfId="415"/>
    <tableColumn id="3" xr3:uid="{5818E0CA-97D7-4743-84AF-F78E2D6DC640}" name="2021" dataDxfId="414"/>
    <tableColumn id="4" xr3:uid="{8C812561-6D81-44EB-9669-2BD4D73B77B1}" name="2022" dataDxfId="413"/>
    <tableColumn id="5" xr3:uid="{299955FB-B810-4D23-BA85-8F806A33143C}" name="2023" dataDxfId="412"/>
    <tableColumn id="6" xr3:uid="{BDCA533E-8F1D-4BD2-868E-0086B08840A7}" name="2024" dataDxfId="411"/>
    <tableColumn id="7" xr3:uid="{6857CF3E-C5F1-4B03-B33D-AFC3612E44AE}" name="2025" dataDxfId="410"/>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6C3F0A-5138-4C3B-A909-BAB84EFCF7C1}" name="Table3" displayName="Table3" ref="Q4:W54" totalsRowShown="0" headerRowDxfId="409" dataDxfId="408" tableBorderDxfId="407">
  <autoFilter ref="Q4:W54" xr:uid="{456C3F0A-5138-4C3B-A909-BAB84EFCF7C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1B5046E-AC5D-4AAA-A0AB-BF1A0492104A}" name="Particulars" dataDxfId="406"/>
    <tableColumn id="2" xr3:uid="{677BB236-349A-4E6B-8B7E-9A32976E3270}" name="2020" dataDxfId="405"/>
    <tableColumn id="3" xr3:uid="{98B4788D-330E-4E5B-BEC3-5D4B69463618}" name="2021" dataDxfId="404"/>
    <tableColumn id="4" xr3:uid="{D79B9C14-CE9B-4BED-A577-C050902E8987}" name="2022" dataDxfId="403"/>
    <tableColumn id="5" xr3:uid="{CDB6E51A-610C-434C-A5A7-8602110E8DC6}" name="2023" dataDxfId="402"/>
    <tableColumn id="6" xr3:uid="{68F78072-08AE-4E6E-861E-37B14BDDCA0B}" name="2024" dataDxfId="401"/>
    <tableColumn id="7" xr3:uid="{F49949C0-6406-4D31-B6D7-782BF70CC6D3}" name="2025" dataDxfId="400"/>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1BB355-F50E-4631-871C-6EA484280D5A}" name="Table4" displayName="Table4" ref="Y4:AE59" totalsRowShown="0" headerRowDxfId="399" dataDxfId="398" tableBorderDxfId="397">
  <autoFilter ref="Y4:AE59" xr:uid="{B01BB355-F50E-4631-871C-6EA484280D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0D62829-AC13-4E6E-BAC7-BEE0B851C5E2}" name="Particulars" dataDxfId="396"/>
    <tableColumn id="2" xr3:uid="{AFCE4EA7-E61D-4FAA-87D2-3B60AD9F797F}" name="2020" dataDxfId="395"/>
    <tableColumn id="3" xr3:uid="{4C93D36C-F758-4F84-9582-A7EA4F2EDE2A}" name="2021" dataDxfId="394"/>
    <tableColumn id="4" xr3:uid="{E94CFC6F-FC2A-4FC3-BE34-4F51308DD995}" name="2022" dataDxfId="393"/>
    <tableColumn id="5" xr3:uid="{BB8C6716-A7BA-40A3-9564-0B3E5CD11831}" name="2023" dataDxfId="392"/>
    <tableColumn id="6" xr3:uid="{2C6DCAFB-AF1C-4CB7-B864-551D34BBD641}" name="2024" dataDxfId="391"/>
    <tableColumn id="7" xr3:uid="{E2AFA2F4-D499-43C8-B121-F22171502F3E}" name="2025" dataDxfId="390"/>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F676E0-F3B1-4905-9502-863D8368C500}" name="Table5" displayName="Table5" ref="AG4:AM75" totalsRowShown="0" headerRowDxfId="389" dataDxfId="388" tableBorderDxfId="387">
  <autoFilter ref="AG4:AM75" xr:uid="{BCF676E0-F3B1-4905-9502-863D8368C5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4C8A9FD-C0B3-48B1-AF7D-2D9E46BD9B31}" name="Particulars" dataDxfId="386"/>
    <tableColumn id="2" xr3:uid="{C104AD9D-60C6-43D3-B27B-4FF8D3B02715}" name="2020" dataDxfId="385"/>
    <tableColumn id="3" xr3:uid="{0DCBC627-5AF1-4763-8A41-34F6386CADDD}" name="2021" dataDxfId="384"/>
    <tableColumn id="4" xr3:uid="{D3E51A8E-92AD-4BCB-98E1-BEF7328F39B7}" name="2022" dataDxfId="383"/>
    <tableColumn id="5" xr3:uid="{77D40FAD-D216-491D-84DC-37B665376496}" name="2023" dataDxfId="382"/>
    <tableColumn id="6" xr3:uid="{F6F30460-239C-4EEA-B7AF-D712DE10315D}" name="2024" dataDxfId="381"/>
    <tableColumn id="7" xr3:uid="{F52CAA66-D153-43BA-911F-738F3AB74FCE}" name="2025" dataDxfId="380"/>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E8C0C4-BD9E-4E92-86F3-2E1CA6852466}" name="Table6" displayName="Table6" ref="AO4:AU50" totalsRowShown="0" headerRowDxfId="379" dataDxfId="378" tableBorderDxfId="377">
  <autoFilter ref="AO4:AU50" xr:uid="{64E8C0C4-BD9E-4E92-86F3-2E1CA685246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F23F61D-9DB3-4CA3-8F4A-779C16765E33}" name="Particulars" dataDxfId="376"/>
    <tableColumn id="2" xr3:uid="{936E0002-A35D-485E-BAB7-408FDA140FA6}" name="2020" dataDxfId="375"/>
    <tableColumn id="3" xr3:uid="{73ED739C-C91C-4DB1-92C0-C0FACCA5E61A}" name="2021" dataDxfId="374"/>
    <tableColumn id="4" xr3:uid="{FBC5C51F-B043-4C1B-BBB6-6A3DE98D40EA}" name="2022" dataDxfId="373"/>
    <tableColumn id="5" xr3:uid="{558F454E-381D-4A74-B998-732DCB1B3BCF}" name="2023" dataDxfId="372"/>
    <tableColumn id="6" xr3:uid="{F3CFFEE7-4724-4627-A119-0EAF9ED33644}" name="2024" dataDxfId="371"/>
    <tableColumn id="7" xr3:uid="{E5ACCBA7-0405-411A-BD41-18E7A340B256}" name="2025" dataDxfId="370"/>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9084420-934C-40B3-88A3-9C6642E502EC}" name="Table36" displayName="Table36" ref="A62:F63" totalsRowShown="0" dataDxfId="369">
  <autoFilter ref="A62:F63" xr:uid="{29084420-934C-40B3-88A3-9C6642E502EC}">
    <filterColumn colId="0" hiddenButton="1"/>
    <filterColumn colId="1" hiddenButton="1"/>
    <filterColumn colId="2" hiddenButton="1"/>
    <filterColumn colId="3" hiddenButton="1"/>
    <filterColumn colId="4" hiddenButton="1"/>
    <filterColumn colId="5" hiddenButton="1"/>
  </autoFilter>
  <tableColumns count="6">
    <tableColumn id="1" xr3:uid="{33FC82FC-41D4-43FF-9650-B33C5864C090}" name="Particulars" dataDxfId="368"/>
    <tableColumn id="2" xr3:uid="{44891553-1175-4188-8C87-FA77C4EEAD33}" name="2026" dataDxfId="367" dataCellStyle="Comma">
      <calculatedColumnFormula>FCFF!D5*FCFF!$C$11</calculatedColumnFormula>
    </tableColumn>
    <tableColumn id="3" xr3:uid="{BD076647-C479-43BF-A50E-6EB20467FB70}" name="2027" dataDxfId="366" dataCellStyle="Comma">
      <calculatedColumnFormula>FCFF!E5*FCFF!$C$11</calculatedColumnFormula>
    </tableColumn>
    <tableColumn id="4" xr3:uid="{376AB225-A9C6-4B32-A304-52DFC70442FB}" name="2028" dataDxfId="365" dataCellStyle="Comma">
      <calculatedColumnFormula>FCFF!F5*FCFF!$C$11</calculatedColumnFormula>
    </tableColumn>
    <tableColumn id="5" xr3:uid="{249B62EC-B0E7-4C26-A078-7C770530BB18}" name="2029" dataDxfId="364" dataCellStyle="Comma">
      <calculatedColumnFormula>FCFF!G5*FCFF!$C$11</calculatedColumnFormula>
    </tableColumn>
    <tableColumn id="6" xr3:uid="{34E53FFC-9191-4687-9398-B850FDD0A597}" name="2030" dataDxfId="363" dataCellStyle="Comma">
      <calculatedColumnFormula>FCFF!H5*FCFF!$C$11</calculatedColumnFormula>
    </tableColumn>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02C0B63-02C1-48F8-9F58-DD48DFC828CA}" name="Table3618" displayName="Table3618" ref="I62:N63" totalsRowShown="0" dataDxfId="362">
  <autoFilter ref="I62:N63" xr:uid="{202C0B63-02C1-48F8-9F58-DD48DFC828CA}">
    <filterColumn colId="0" hiddenButton="1"/>
    <filterColumn colId="1" hiddenButton="1"/>
    <filterColumn colId="2" hiddenButton="1"/>
    <filterColumn colId="3" hiddenButton="1"/>
    <filterColumn colId="4" hiddenButton="1"/>
    <filterColumn colId="5" hiddenButton="1"/>
  </autoFilter>
  <tableColumns count="6">
    <tableColumn id="1" xr3:uid="{FCA77F74-F01D-47E6-AB41-E280FBC6F23B}" name="Particulars" dataDxfId="361"/>
    <tableColumn id="2" xr3:uid="{B55D824E-9CB2-4CDA-A0B4-88593B5FB103}" name="2026" dataDxfId="360" dataCellStyle="Comma">
      <calculatedColumnFormula>FCFF!M5*FCFF!$L$11</calculatedColumnFormula>
    </tableColumn>
    <tableColumn id="3" xr3:uid="{37AFDEDE-4E3C-4DC4-8A88-4323A313E738}" name="2027" dataDxfId="359" dataCellStyle="Comma">
      <calculatedColumnFormula>FCFF!N5*FCFF!$L$11</calculatedColumnFormula>
    </tableColumn>
    <tableColumn id="4" xr3:uid="{2B8A8182-0458-4357-BEE8-837ABD45AA4A}" name="2028" dataDxfId="358" dataCellStyle="Comma">
      <calculatedColumnFormula>FCFF!O5*FCFF!$L$11</calculatedColumnFormula>
    </tableColumn>
    <tableColumn id="5" xr3:uid="{3A3F2D02-3507-46BF-B16B-130BAFD17E25}" name="2029" dataDxfId="357" dataCellStyle="Comma">
      <calculatedColumnFormula>FCFF!P5*FCFF!$L$11</calculatedColumnFormula>
    </tableColumn>
    <tableColumn id="6" xr3:uid="{7DE41E38-D5EE-4D1E-AA8C-6E30700AB913}" name="2030" dataDxfId="356" dataCellStyle="Comma">
      <calculatedColumnFormula>FCFF!Q5*FCFF!$L$11</calculatedColumnFormula>
    </tableColumn>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19AFFC9-6BB2-4349-8FEB-ACA48C5B1172}" name="Table361846" displayName="Table361846" ref="Q57:V58" totalsRowShown="0" dataDxfId="355">
  <autoFilter ref="Q57:V58" xr:uid="{019AFFC9-6BB2-4349-8FEB-ACA48C5B1172}">
    <filterColumn colId="0" hiddenButton="1"/>
    <filterColumn colId="1" hiddenButton="1"/>
    <filterColumn colId="2" hiddenButton="1"/>
    <filterColumn colId="3" hiddenButton="1"/>
    <filterColumn colId="4" hiddenButton="1"/>
    <filterColumn colId="5" hiddenButton="1"/>
  </autoFilter>
  <tableColumns count="6">
    <tableColumn id="1" xr3:uid="{A9DCB382-FD8A-4A5E-937C-5CBA43EF38FE}" name="Particulars" dataDxfId="354"/>
    <tableColumn id="2" xr3:uid="{FFD044F3-28D8-4177-A02C-AD98A8C981F4}" name="2026" dataDxfId="353" dataCellStyle="Comma">
      <calculatedColumnFormula>FCFF!$U$11*FCFF!V5</calculatedColumnFormula>
    </tableColumn>
    <tableColumn id="3" xr3:uid="{04F64055-55E5-4442-8EED-B61CED8B090C}" name="2027" dataDxfId="352" dataCellStyle="Comma">
      <calculatedColumnFormula>FCFF!$U$11*FCFF!W5</calculatedColumnFormula>
    </tableColumn>
    <tableColumn id="4" xr3:uid="{3F37F95B-2C8D-4B62-8516-A341315C29AB}" name="2028" dataDxfId="351" dataCellStyle="Comma">
      <calculatedColumnFormula>FCFF!$U$11*FCFF!X5</calculatedColumnFormula>
    </tableColumn>
    <tableColumn id="5" xr3:uid="{0FC46076-1191-4F9A-8108-AA828C348A70}" name="2029" dataDxfId="350" dataCellStyle="Comma">
      <calculatedColumnFormula>FCFF!$U$11*FCFF!Y5</calculatedColumnFormula>
    </tableColumn>
    <tableColumn id="6" xr3:uid="{B1B3D399-D57B-4079-A81D-94AFBB6CF5D3}" name="2030" dataDxfId="349" dataCellStyle="Comma">
      <calculatedColumnFormula>FCFF!$U$11*FCFF!Z5</calculatedColumnFormula>
    </tableColumn>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7C2EC5B6-0F3C-4C28-946F-7CE692E3D32A}" name="Table36184648" displayName="Table36184648" ref="Y61:AD62" totalsRowShown="0" dataDxfId="348">
  <autoFilter ref="Y61:AD62" xr:uid="{7C2EC5B6-0F3C-4C28-946F-7CE692E3D32A}">
    <filterColumn colId="0" hiddenButton="1"/>
    <filterColumn colId="1" hiddenButton="1"/>
    <filterColumn colId="2" hiddenButton="1"/>
    <filterColumn colId="3" hiddenButton="1"/>
    <filterColumn colId="4" hiddenButton="1"/>
    <filterColumn colId="5" hiddenButton="1"/>
  </autoFilter>
  <tableColumns count="6">
    <tableColumn id="1" xr3:uid="{5025569C-64D7-4A1E-8FAB-E88316DF66DA}" name="Particulars" dataDxfId="347"/>
    <tableColumn id="2" xr3:uid="{84AE58BD-529C-4DB6-9ED6-EC3D8C807A29}" name="2026" dataDxfId="346" dataCellStyle="Comma">
      <calculatedColumnFormula>FCFF!AE5*FCFF!$AD$11</calculatedColumnFormula>
    </tableColumn>
    <tableColumn id="3" xr3:uid="{9E665C5A-5A56-4DA4-B378-F981A2B0FAAB}" name="2027" dataDxfId="345" dataCellStyle="Comma">
      <calculatedColumnFormula>FCFF!AF5*FCFF!$AD$11</calculatedColumnFormula>
    </tableColumn>
    <tableColumn id="4" xr3:uid="{D08EDF99-A8D8-4287-A19E-12E46709FCDA}" name="2028" dataDxfId="344" dataCellStyle="Comma">
      <calculatedColumnFormula>FCFF!AG5*FCFF!$AD$11</calculatedColumnFormula>
    </tableColumn>
    <tableColumn id="5" xr3:uid="{73D511DE-324E-428B-853C-E5404FDDE7F5}" name="2029" dataDxfId="343" dataCellStyle="Comma">
      <calculatedColumnFormula>FCFF!AH5*FCFF!$AD$11</calculatedColumnFormula>
    </tableColumn>
    <tableColumn id="6" xr3:uid="{E2F775CB-7514-4516-9B23-E8F79F1D7649}" name="2030" dataDxfId="342" dataCellStyle="Comma">
      <calculatedColumnFormula>FCFF!AI5*FCFF!$AD$11</calculatedColumnFormula>
    </tableColumn>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937015E9-24F8-4F37-98C8-FB877FE3ECA7}" name="Table3618464850" displayName="Table3618464850" ref="AG77:AL78" totalsRowShown="0" dataDxfId="341">
  <autoFilter ref="AG77:AL78" xr:uid="{937015E9-24F8-4F37-98C8-FB877FE3ECA7}">
    <filterColumn colId="0" hiddenButton="1"/>
    <filterColumn colId="1" hiddenButton="1"/>
    <filterColumn colId="2" hiddenButton="1"/>
    <filterColumn colId="3" hiddenButton="1"/>
    <filterColumn colId="4" hiddenButton="1"/>
    <filterColumn colId="5" hiddenButton="1"/>
  </autoFilter>
  <tableColumns count="6">
    <tableColumn id="1" xr3:uid="{D9FB6108-4CE3-4392-AF09-CB0FA9267EE0}" name="Particulars" dataDxfId="340"/>
    <tableColumn id="2" xr3:uid="{2652C214-D87E-47B7-B94E-1BF60C16E1E2}" name="2026" dataDxfId="339" dataCellStyle="Comma">
      <calculatedColumnFormula>FCFF!AN5*FCFF!$AM$11</calculatedColumnFormula>
    </tableColumn>
    <tableColumn id="3" xr3:uid="{80ED5FC0-8C18-48F2-A4EE-A1AD2CB4180D}" name="2027" dataDxfId="338" dataCellStyle="Comma">
      <calculatedColumnFormula>FCFF!AO5*FCFF!$AM$11</calculatedColumnFormula>
    </tableColumn>
    <tableColumn id="4" xr3:uid="{493AA319-B6EF-4A55-BF60-4067CF3A4ED8}" name="2028" dataDxfId="337" dataCellStyle="Comma">
      <calculatedColumnFormula>FCFF!AP5*FCFF!$AM$11</calculatedColumnFormula>
    </tableColumn>
    <tableColumn id="5" xr3:uid="{E10BFF84-73A0-4B22-91F2-495ACC07347D}" name="2029" dataDxfId="336" dataCellStyle="Comma">
      <calculatedColumnFormula>FCFF!AQ5*FCFF!$AM$11</calculatedColumnFormula>
    </tableColumn>
    <tableColumn id="6" xr3:uid="{4D3C789E-E8D5-4DCA-8FCD-43114C734040}" name="2030" dataDxfId="335" dataCellStyle="Comma">
      <calculatedColumnFormula>FCFF!AR5*FCFF!$AM$11</calculatedColumnFormula>
    </tableColumn>
  </tableColumns>
  <tableStyleInfo name="TableStyleMedium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435658B-F7AB-46A6-AA69-7608E2A5EA6E}" name="Table361846485052" displayName="Table361846485052" ref="AO52:AT53" totalsRowShown="0" dataDxfId="334">
  <autoFilter ref="AO52:AT53" xr:uid="{1435658B-F7AB-46A6-AA69-7608E2A5EA6E}">
    <filterColumn colId="0" hiddenButton="1"/>
    <filterColumn colId="1" hiddenButton="1"/>
    <filterColumn colId="2" hiddenButton="1"/>
    <filterColumn colId="3" hiddenButton="1"/>
    <filterColumn colId="4" hiddenButton="1"/>
    <filterColumn colId="5" hiddenButton="1"/>
  </autoFilter>
  <tableColumns count="6">
    <tableColumn id="1" xr3:uid="{6D6AF1BD-7037-4CDC-A76F-AB917CF721FF}" name="Particulars" dataDxfId="333"/>
    <tableColumn id="2" xr3:uid="{3DDD9834-C027-4AE6-89AD-AC99C6B16B64}" name="2026" dataDxfId="332" dataCellStyle="Comma">
      <calculatedColumnFormula>FCFF!AW5*FCFF!$AV$11</calculatedColumnFormula>
    </tableColumn>
    <tableColumn id="3" xr3:uid="{11EB9A20-FA8E-4DB4-8F5B-7B267C9C8D36}" name="2027" dataDxfId="331" dataCellStyle="Comma">
      <calculatedColumnFormula>FCFF!AX5*FCFF!$AV$11</calculatedColumnFormula>
    </tableColumn>
    <tableColumn id="4" xr3:uid="{A5EBFFB6-6FAA-4C2C-8A9D-89B1D5EAE1C7}" name="2028" dataDxfId="330" dataCellStyle="Comma">
      <calculatedColumnFormula>FCFF!AY5*FCFF!$AV$11</calculatedColumnFormula>
    </tableColumn>
    <tableColumn id="5" xr3:uid="{49CC68D5-DAB2-4BB6-914F-C038AB46E155}" name="2029" dataDxfId="329" dataCellStyle="Comma">
      <calculatedColumnFormula>FCFF!AZ5*FCFF!$AV$11</calculatedColumnFormula>
    </tableColumn>
    <tableColumn id="6" xr3:uid="{F6F6CD8E-733F-4AE7-9081-B9CA004C916C}" name="2030" dataDxfId="328" dataCellStyle="Comma">
      <calculatedColumnFormula>FCFF!BA5*FCFF!$AV$11</calculatedColumnFormula>
    </tableColumn>
  </tableColumns>
  <tableStyleInfo name="TableStyleMedium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67DA87-08F4-41F2-9162-85B74925C55A}" name="Table7" displayName="Table7" ref="A4:G27" totalsRowShown="0" headerRowDxfId="327" dataDxfId="326" tableBorderDxfId="325">
  <autoFilter ref="A4:G27" xr:uid="{4767DA87-08F4-41F2-9162-85B74925C5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C6CC41F-48A9-46B3-B738-7659D35AB2F6}" name="Particulars" dataDxfId="324"/>
    <tableColumn id="2" xr3:uid="{A8056548-2DEA-4CF6-B85F-DA2A4A7380D7}" name="2020" dataDxfId="323"/>
    <tableColumn id="3" xr3:uid="{8779313B-CB7A-42E3-BA6F-5EBA36924F50}" name="2021" dataDxfId="322"/>
    <tableColumn id="4" xr3:uid="{78032573-6F2E-4740-9FAD-CB13C34BACF9}" name="2022" dataDxfId="321"/>
    <tableColumn id="5" xr3:uid="{B1A6249D-EDA1-4F19-998A-4B459352C9EE}" name="2023" dataDxfId="320"/>
    <tableColumn id="6" xr3:uid="{626ABD36-6043-4F39-9B1A-FAD6A173226E}" name="2024" dataDxfId="319"/>
    <tableColumn id="7" xr3:uid="{37FADA92-FF08-4A68-8A7E-60D90A23D8CE}" name="2025" dataDxfId="318"/>
  </tableColumns>
  <tableStyleInfo name="TableStyleMedium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351D-D125-43C5-95D8-015857887F42}" name="Table8" displayName="Table8" ref="I4:O27" totalsRowShown="0" headerRowDxfId="317" dataDxfId="316" tableBorderDxfId="315">
  <autoFilter ref="I4:O27" xr:uid="{2169351D-D125-43C5-95D8-015857887F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4954792-0772-4544-9159-F0DE407B3647}" name="Particulars" dataDxfId="314"/>
    <tableColumn id="2" xr3:uid="{7A1291D5-15B8-42C1-B05F-C61786619EF4}" name="2020" dataDxfId="313"/>
    <tableColumn id="3" xr3:uid="{949926A5-2F53-4270-98EB-1E43DA8E58D0}" name="2021" dataDxfId="312"/>
    <tableColumn id="4" xr3:uid="{359FAC92-16D6-4B6E-9069-3D17223473F3}" name="2022" dataDxfId="311"/>
    <tableColumn id="5" xr3:uid="{B056FA6A-DB03-49A2-A99B-9BD221D45BE4}" name="2023" dataDxfId="310"/>
    <tableColumn id="6" xr3:uid="{8CBE2F28-1846-4273-B0DA-F05185CA5C4C}" name="2024" dataDxfId="309"/>
    <tableColumn id="7" xr3:uid="{D6E4880F-8680-4B96-8538-5F33D417F34C}" name="2025" dataDxfId="308"/>
  </tableColumns>
  <tableStyleInfo name="TableStyleMedium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E1099C-E6BB-451F-A59F-DFFFC489F71F}" name="Table9" displayName="Table9" ref="Q4:W30" totalsRowShown="0" headerRowDxfId="307" dataDxfId="306" tableBorderDxfId="305">
  <autoFilter ref="Q4:W30" xr:uid="{5AE1099C-E6BB-451F-A59F-DFFFC489F71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16B47D5-BFDC-4BAE-9803-9F7C6FEC385A}" name="Particulars" dataDxfId="304"/>
    <tableColumn id="2" xr3:uid="{EBF13F31-EDB0-4DA2-A617-D5DF62B8F42D}" name="2020" dataDxfId="303"/>
    <tableColumn id="3" xr3:uid="{B2F4D2E9-7204-450D-B683-2BFCAAC94FD4}" name="2021" dataDxfId="302"/>
    <tableColumn id="4" xr3:uid="{43C9E0DE-4B3E-47B1-B898-0E7105AB14ED}" name="2022" dataDxfId="301"/>
    <tableColumn id="5" xr3:uid="{E30E523D-3FC2-4430-AC3F-0185CA8D473E}" name="2023" dataDxfId="300"/>
    <tableColumn id="6" xr3:uid="{CAF402B8-6908-4960-A8E3-4554427825A8}" name="2024" dataDxfId="299"/>
    <tableColumn id="7" xr3:uid="{68CA6B73-D2E3-43E4-83B5-954B6DDD6F4C}" name="2025" dataDxfId="298"/>
  </tableColumns>
  <tableStyleInfo name="TableStyleMedium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42640B6-4E88-495C-A5D2-8331D2835672}" name="Table10" displayName="Table10" ref="Y4:AE32" totalsRowShown="0" headerRowDxfId="297" dataDxfId="296" tableBorderDxfId="295">
  <autoFilter ref="Y4:AE32" xr:uid="{D42640B6-4E88-495C-A5D2-8331D283567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BF80EC-9602-42F9-9C20-8F56DB0894E6}" name="Particulars" dataDxfId="294"/>
    <tableColumn id="2" xr3:uid="{0C1D18F5-FCB2-4633-94A2-43E45828B399}" name="2020" dataDxfId="293"/>
    <tableColumn id="3" xr3:uid="{2068F01D-9473-489D-B02A-38FE7E2F7742}" name="2021" dataDxfId="292"/>
    <tableColumn id="4" xr3:uid="{C79B61D7-C3DB-4A2F-8453-5FFE4B3EDB38}" name="2022" dataDxfId="291"/>
    <tableColumn id="5" xr3:uid="{111AB308-775E-42CA-ADB3-060A30A77AA4}" name="2023" dataDxfId="290"/>
    <tableColumn id="6" xr3:uid="{607D7F71-7D34-45F8-A75C-74DBF8E2F9C0}" name="2024" dataDxfId="289"/>
    <tableColumn id="7" xr3:uid="{B1F03A7C-8708-45B6-8CF0-ED2D8D30EDB5}" name="2025" dataDxfId="288"/>
  </tableColumns>
  <tableStyleInfo name="TableStyleMedium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69309D0-F5DE-45D2-BBFD-ECDD24FA3D8D}" name="Table11" displayName="Table11" ref="AG4:AM29" totalsRowShown="0" headerRowDxfId="287" dataDxfId="286" tableBorderDxfId="285">
  <autoFilter ref="AG4:AM29" xr:uid="{D69309D0-F5DE-45D2-BBFD-ECDD24FA3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5ADCC8C-37B5-433F-87A9-39BAEE81BF16}" name="Particulars" dataDxfId="284"/>
    <tableColumn id="2" xr3:uid="{BFAF5AB5-D036-4C4A-BC7A-CB158F7F54CE}" name="2020" dataDxfId="283"/>
    <tableColumn id="3" xr3:uid="{778ED5EE-218A-4350-B323-BFB1F78DD34D}" name="2021" dataDxfId="282"/>
    <tableColumn id="4" xr3:uid="{FCC48888-746F-4897-A131-E6E65FF14E33}" name="2022" dataDxfId="281"/>
    <tableColumn id="5" xr3:uid="{4EA33F21-8FAB-4B78-925A-F787CD21201D}" name="2023" dataDxfId="280"/>
    <tableColumn id="6" xr3:uid="{D36E477E-1FF4-4094-85D3-23296D1D315E}" name="2024" dataDxfId="279"/>
    <tableColumn id="7" xr3:uid="{7CEF437C-53AC-455A-B4C6-900FA515CB86}" name="2025" dataDxfId="278"/>
  </tableColumns>
  <tableStyleInfo name="TableStyleMedium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3148357-C510-468E-8FE4-CA34E9DFB81A}" name="Table12" displayName="Table12" ref="AO4:AU28" totalsRowShown="0" headerRowDxfId="277" dataDxfId="276" tableBorderDxfId="275">
  <autoFilter ref="AO4:AU28" xr:uid="{D3148357-C510-468E-8FE4-CA34E9DFB81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A699FE9-5F3A-4858-86E2-1BB395726EAD}" name="Particulars" dataDxfId="274"/>
    <tableColumn id="2" xr3:uid="{12F02438-393F-4716-8CEE-A80D57DBCA9C}" name="2020" dataDxfId="273"/>
    <tableColumn id="3" xr3:uid="{ECFA033D-F2D7-457C-BEA5-0F528712925D}" name="2021" dataDxfId="272"/>
    <tableColumn id="4" xr3:uid="{78E88419-9B75-407F-AA63-2799680C0F86}" name="2022" dataDxfId="271"/>
    <tableColumn id="5" xr3:uid="{5464553F-8C3B-4482-A4F2-D767BCE14D62}" name="2023" dataDxfId="270"/>
    <tableColumn id="6" xr3:uid="{C52507B7-9BEA-4154-8F9E-D17D77CE9AB0}" name="2024" dataDxfId="269"/>
    <tableColumn id="7" xr3:uid="{071F1BE3-FF08-4C89-84A1-343DB05E47CC}" name="2025" dataDxfId="268"/>
  </tableColumns>
  <tableStyleInfo name="TableStyleMedium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68F0E07-EF88-47CC-9391-B3329C3F75A9}" name="Table13" displayName="Table13" ref="A4:G10" totalsRowShown="0" headerRowDxfId="267" dataDxfId="266" tableBorderDxfId="265">
  <autoFilter ref="A4:G10" xr:uid="{168F0E07-EF88-47CC-9391-B3329C3F75A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89DF560-AE67-4CBC-8981-CD39479DDEE2}" name="Particulars" dataDxfId="264"/>
    <tableColumn id="2" xr3:uid="{AD900344-5438-4CEB-8BA0-DF5FB4E49735}" name="2020" dataDxfId="263" dataCellStyle="Comma"/>
    <tableColumn id="3" xr3:uid="{8F5E4DEE-9841-4E3C-A989-04686942CEAB}" name="2021" dataDxfId="262" dataCellStyle="Comma"/>
    <tableColumn id="4" xr3:uid="{580254F1-1DB3-474F-8925-E1E60F079EFD}" name="2022" dataDxfId="261" dataCellStyle="Comma"/>
    <tableColumn id="5" xr3:uid="{641555C8-B557-48E2-A365-92396263D1D8}" name="2023" dataDxfId="260" dataCellStyle="Comma"/>
    <tableColumn id="6" xr3:uid="{1E8FDC24-5049-4691-AB1E-9ACBB7599BF3}" name="2024" dataDxfId="259" dataCellStyle="Comma"/>
    <tableColumn id="7" xr3:uid="{296D7DBA-96AB-4981-A9ED-F86B5C2B8C1D}" name="2025" dataDxfId="258" dataCellStyle="Comma"/>
  </tableColumns>
  <tableStyleInfo name="TableStyleMedium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45E6A71-7D90-4564-BB1F-45E3C6E838EC}" name="Table1319" displayName="Table1319" ref="I4:O10" totalsRowShown="0" headerRowDxfId="257" dataDxfId="256" tableBorderDxfId="255">
  <autoFilter ref="I4:O10" xr:uid="{045E6A71-7D90-4564-BB1F-45E3C6E838E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3F141CB-DAFD-4D92-9473-5A1F165AE492}" name="Particulars" dataDxfId="254"/>
    <tableColumn id="2" xr3:uid="{A840D6B2-A39B-4C8A-BDF6-A984837CB941}" name="2020" dataDxfId="253" dataCellStyle="Comma"/>
    <tableColumn id="3" xr3:uid="{6B32AA42-D179-44CC-938B-67A156856A39}" name="2021" dataDxfId="252" dataCellStyle="Comma"/>
    <tableColumn id="4" xr3:uid="{0AE4767A-0D22-4E5A-A8CE-0BF52F57B2E9}" name="2022" dataDxfId="251" dataCellStyle="Comma"/>
    <tableColumn id="5" xr3:uid="{823F190D-0B18-48A5-8937-FF0EAC86C891}" name="2023" dataDxfId="250" dataCellStyle="Comma"/>
    <tableColumn id="6" xr3:uid="{7BB5C846-BF2C-43F1-A526-55DF4E444695}" name="2024" dataDxfId="249" dataCellStyle="Comma"/>
    <tableColumn id="7" xr3:uid="{C92C1E0B-A752-4C90-B29F-DCCB211A42F2}" name="2025" dataDxfId="248" dataCellStyle="Comma"/>
  </tableColumns>
  <tableStyleInfo name="TableStyleMedium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50A3EE6-9B24-491B-ABBC-F60056E832DB}" name="Table131920" displayName="Table131920" ref="Q4:W10" totalsRowShown="0" headerRowDxfId="247" dataDxfId="246" tableBorderDxfId="245">
  <autoFilter ref="Q4:W10" xr:uid="{F50A3EE6-9B24-491B-ABBC-F60056E832D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4769B36-20BA-4FB7-8B06-00F23C99294B}" name="Particulars" dataDxfId="244"/>
    <tableColumn id="2" xr3:uid="{CB30F089-A771-494E-8AFD-C621B7F1BCA3}" name="2020" dataDxfId="243" dataCellStyle="Comma"/>
    <tableColumn id="3" xr3:uid="{69B5AABC-9CDC-4098-83D8-A23B8683B05D}" name="2021" dataDxfId="242" dataCellStyle="Comma"/>
    <tableColumn id="4" xr3:uid="{BC92460E-D816-4BCE-8F6B-80B6D1677CAB}" name="2022" dataDxfId="241" dataCellStyle="Comma"/>
    <tableColumn id="5" xr3:uid="{C0502E03-2BC0-4048-9D06-3C409418BEF8}" name="2023" dataDxfId="240" dataCellStyle="Comma"/>
    <tableColumn id="6" xr3:uid="{01905EC5-1F61-4EC9-B0BD-6E512E216662}" name="2024" dataDxfId="239" dataCellStyle="Comma"/>
    <tableColumn id="7" xr3:uid="{D04C0D58-904C-40EA-8F24-8B0A7CA01811}" name="2025" dataDxfId="238" dataCellStyle="Comma"/>
  </tableColumns>
  <tableStyleInfo name="TableStyleMedium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BBB19D3-FC33-4779-8EBF-D3738016BFE8}" name="Table131921" displayName="Table131921" ref="Y4:AE10" totalsRowShown="0" headerRowDxfId="237" dataDxfId="236" tableBorderDxfId="235">
  <autoFilter ref="Y4:AE10" xr:uid="{4BBB19D3-FC33-4779-8EBF-D3738016BFE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470882-A22A-48A9-821E-C96CAEAFA843}" name="Particulars" dataDxfId="234"/>
    <tableColumn id="2" xr3:uid="{01792D73-C13B-406F-B70D-CBC80BCCC348}" name="2020" dataDxfId="233" dataCellStyle="Comma"/>
    <tableColumn id="3" xr3:uid="{88E79531-0287-4DA7-B3D5-FB06D5AC631E}" name="2021" dataDxfId="232" dataCellStyle="Comma"/>
    <tableColumn id="4" xr3:uid="{DC2F0A66-084B-4039-8295-86317CB1455E}" name="2022" dataDxfId="231" dataCellStyle="Comma"/>
    <tableColumn id="5" xr3:uid="{37A4DEC1-C0B0-4287-BF54-674882B34C55}" name="2023" dataDxfId="230" dataCellStyle="Comma"/>
    <tableColumn id="6" xr3:uid="{1D9314D5-69AD-496C-A013-438370C366A7}" name="2024" dataDxfId="229" dataCellStyle="Comma"/>
    <tableColumn id="7" xr3:uid="{4412863C-C06B-463E-A224-2CD10F570E6F}" name="2025" dataDxfId="228" dataCellStyle="Comma"/>
  </tableColumns>
  <tableStyleInfo name="TableStyleMedium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FCB69FB-578C-40BC-8098-E2FBE623EE6A}" name="Table131923" displayName="Table131923" ref="AG4:AM10" totalsRowShown="0" headerRowDxfId="227" dataDxfId="226" tableBorderDxfId="225">
  <autoFilter ref="AG4:AM10" xr:uid="{AFCB69FB-578C-40BC-8098-E2FBE623EE6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AD2E828-B496-4185-8E87-D457D0268EB5}" name="Particulars" dataDxfId="224"/>
    <tableColumn id="2" xr3:uid="{D219DA3E-6793-433A-B4B9-61F2F38BA46B}" name="2020" dataDxfId="223" dataCellStyle="Comma"/>
    <tableColumn id="3" xr3:uid="{762CCDAF-F473-415B-9DBB-22A8C8B33A7C}" name="2021" dataDxfId="222" dataCellStyle="Comma"/>
    <tableColumn id="4" xr3:uid="{EE1A7D66-CF23-4A6A-A9BB-12216B5F5FB5}" name="2022" dataDxfId="221" dataCellStyle="Comma"/>
    <tableColumn id="5" xr3:uid="{AD89B6AF-BD7C-4280-A176-308840D58BD3}" name="2023" dataDxfId="220" dataCellStyle="Comma"/>
    <tableColumn id="6" xr3:uid="{202302F2-C52B-4F11-A141-0326901D7199}" name="2024" dataDxfId="219" dataCellStyle="Comma"/>
    <tableColumn id="7" xr3:uid="{041AC8B0-4EA7-4F82-9D8B-749729042B34}" name="2025" dataDxfId="218" dataCellStyle="Comma"/>
  </tableColumns>
  <tableStyleInfo name="TableStyleMedium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E74B884-E72A-451C-BB80-082C8B75CB10}" name="Table131924" displayName="Table131924" ref="AO4:AU10" totalsRowShown="0" headerRowDxfId="217" dataDxfId="216" tableBorderDxfId="215">
  <autoFilter ref="AO4:AU10" xr:uid="{0E74B884-E72A-451C-BB80-082C8B75CB1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EB7B327-9840-49D2-8EFA-58307A8FBF94}" name="Particulars" dataDxfId="214"/>
    <tableColumn id="2" xr3:uid="{A4074372-7C4B-4284-84EF-AE54AB6E0DDD}" name="2020" dataDxfId="213" dataCellStyle="Comma"/>
    <tableColumn id="3" xr3:uid="{988E57BD-38B5-4B61-B65D-7DDFCAC24687}" name="2021" dataDxfId="212" dataCellStyle="Comma"/>
    <tableColumn id="4" xr3:uid="{0C95DD69-431A-4058-B97F-4FFF6943A4D6}" name="2022" dataDxfId="211" dataCellStyle="Comma"/>
    <tableColumn id="5" xr3:uid="{ED77D325-A5CA-45A9-9E8E-D7D5C2240DC4}" name="2023" dataDxfId="210" dataCellStyle="Comma"/>
    <tableColumn id="6" xr3:uid="{F30F4D49-0ED0-48FA-AEDD-74CFF895BE1F}" name="2024" dataDxfId="209" dataCellStyle="Comma"/>
    <tableColumn id="7" xr3:uid="{BC29C7A0-7591-4F93-ABEE-37CF5C9B1BAE}" name="2025" dataDxfId="208" dataCellStyle="Comma"/>
  </tableColumns>
  <tableStyleInfo name="TableStyleMedium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295E12D-F58E-4F5B-B894-81445F033CD1}" name="Table24" displayName="Table24" ref="A4:H25" totalsRowShown="0" headerRowDxfId="207" dataDxfId="206">
  <autoFilter ref="A4:H25" xr:uid="{1295E12D-F58E-4F5B-B894-81445F033CD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E456B2B-BA36-49F9-9291-E8B7FC1E5340}" name="Category" dataDxfId="205"/>
    <tableColumn id="2" xr3:uid="{1A2814BA-2389-44E2-A331-9C5A2F98DE7C}" name="Ratio" dataDxfId="204"/>
    <tableColumn id="3" xr3:uid="{5D1EF7F9-FF52-4BA5-9AA7-BDA5FFB13972}" name="2020" dataDxfId="203" dataCellStyle="Comma"/>
    <tableColumn id="4" xr3:uid="{C734625C-6B2C-46F5-8FB2-E2D87148C9AD}" name="2021" dataDxfId="202" dataCellStyle="Comma"/>
    <tableColumn id="5" xr3:uid="{62CBFD95-419A-41B8-AF92-683851AC8D46}" name="2022" dataDxfId="201" dataCellStyle="Comma"/>
    <tableColumn id="6" xr3:uid="{88E9BD49-C1E7-44AA-8591-E39D7839C2DB}" name="2023" dataDxfId="200" dataCellStyle="Comma"/>
    <tableColumn id="7" xr3:uid="{C34DC51F-4A97-4B6C-A9F5-184C7882C83D}" name="2024" dataDxfId="199" dataCellStyle="Comma"/>
    <tableColumn id="8" xr3:uid="{F62ECA15-9408-420F-941B-A41BBAF362A0}" name="2025" dataDxfId="198" dataCellStyle="Comma"/>
  </tableColumns>
  <tableStyleInfo name="TableStyleMedium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F983E3C-BAAD-448F-928F-E6243A8DB5C2}" name="Table2427" displayName="Table2427" ref="J4:Q25" totalsRowShown="0" headerRowDxfId="197" dataDxfId="196">
  <autoFilter ref="J4:Q25" xr:uid="{3F983E3C-BAAD-448F-928F-E6243A8DB5C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25299CB-268A-4773-9615-86606BE47BB4}" name="Category" dataDxfId="195"/>
    <tableColumn id="2" xr3:uid="{439FB0FF-5009-499A-95EA-7EADD85B61B5}" name="Ratio" dataDxfId="194"/>
    <tableColumn id="3" xr3:uid="{2DC9F5E8-6E1E-4E77-82E3-10C32D92ABA8}" name="2020" dataDxfId="193" dataCellStyle="Comma"/>
    <tableColumn id="4" xr3:uid="{13D0FEE7-6679-4EC5-9E3B-FCD4ED6A32D1}" name="2021" dataDxfId="192" dataCellStyle="Comma"/>
    <tableColumn id="5" xr3:uid="{5BAF7E11-1850-4D85-824F-D629D9BC78E2}" name="2022" dataDxfId="191" dataCellStyle="Comma"/>
    <tableColumn id="6" xr3:uid="{5392B083-DFD5-4AE2-93EA-9DEEC793F42D}" name="2023" dataDxfId="190" dataCellStyle="Comma"/>
    <tableColumn id="7" xr3:uid="{034C1A5D-3063-4C84-AA97-7B382630829B}" name="2024" dataDxfId="189" dataCellStyle="Comma"/>
    <tableColumn id="8" xr3:uid="{A9E69375-484F-44DB-9E96-896ED9F1B417}" name="2025" dataDxfId="188" dataCellStyle="Comma"/>
  </tableColumns>
  <tableStyleInfo name="TableStyleMedium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2FA3F9F-13C1-4632-A58B-9E8EA52727C0}" name="Table2429" displayName="Table2429" ref="S4:Z25" totalsRowShown="0" headerRowDxfId="187" dataDxfId="186">
  <autoFilter ref="S4:Z25" xr:uid="{72FA3F9F-13C1-4632-A58B-9E8EA52727C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AD3CADF-E88C-4841-9802-BA86918C49D0}" name="Category" dataDxfId="185"/>
    <tableColumn id="2" xr3:uid="{65DDEF56-B230-40E1-9552-805BF744B92C}" name="Ratio" dataDxfId="184"/>
    <tableColumn id="3" xr3:uid="{9C14D7CF-FAFD-4F32-B17F-394DC060F686}" name="2020" dataDxfId="183" dataCellStyle="Comma"/>
    <tableColumn id="4" xr3:uid="{71A94122-B3E6-4930-AA57-065D358360A0}" name="2021" dataDxfId="182" dataCellStyle="Comma"/>
    <tableColumn id="5" xr3:uid="{6D6F0500-335E-4BFD-B587-6D628BD98B87}" name="2022" dataDxfId="181" dataCellStyle="Comma"/>
    <tableColumn id="6" xr3:uid="{106CA2BB-9664-4DA1-95CB-0C3BBDED3E66}" name="2023" dataDxfId="180" dataCellStyle="Comma"/>
    <tableColumn id="7" xr3:uid="{3A8FD097-0B64-4597-AE11-831AC0BF552E}" name="2024" dataDxfId="179" dataCellStyle="Comma"/>
    <tableColumn id="8" xr3:uid="{6FD236E0-692B-4F98-9D29-60EAAFBC65AF}" name="2025" dataDxfId="178" dataCellStyle="Comma"/>
  </tableColumns>
  <tableStyleInfo name="TableStyleMedium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D7C5C5F-68B2-4DFC-8B9B-F46CFD2ABA40}" name="Table2430" displayName="Table2430" ref="AB4:AI25" totalsRowShown="0" headerRowDxfId="177" dataDxfId="176">
  <autoFilter ref="AB4:AI25" xr:uid="{2D7C5C5F-68B2-4DFC-8B9B-F46CFD2ABA4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40A6351-D6A9-4631-BC0F-DA03DF1DFA83}" name="Category" dataDxfId="175"/>
    <tableColumn id="2" xr3:uid="{55DDE8B7-65C4-47D3-AE7B-071B0ACFE01B}" name="Ratio" dataDxfId="174"/>
    <tableColumn id="3" xr3:uid="{E6AB79CF-136C-45CD-804D-FF85A1D7188C}" name="2020" dataDxfId="173" dataCellStyle="Comma"/>
    <tableColumn id="4" xr3:uid="{841AB9F5-E0CC-4B6F-89DE-52B17EBBDDF6}" name="2021" dataDxfId="172" dataCellStyle="Comma"/>
    <tableColumn id="5" xr3:uid="{18C12803-D2CB-4C8D-BD0C-E82E2F5265DD}" name="2022" dataDxfId="171" dataCellStyle="Comma"/>
    <tableColumn id="6" xr3:uid="{EAA1148F-CFEC-41DC-98DF-1F2F2955884A}" name="2023" dataDxfId="170" dataCellStyle="Comma"/>
    <tableColumn id="7" xr3:uid="{AB703634-C627-4139-9737-04AF84FB5231}" name="2024" dataDxfId="169" dataCellStyle="Comma"/>
    <tableColumn id="8" xr3:uid="{368FD59B-608E-4DEC-A2E0-1E823645BCED}" name="2025" dataDxfId="168" dataCellStyle="Comma"/>
  </tableColumns>
  <tableStyleInfo name="TableStyleMedium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70F9AE-DC77-415B-9260-27B262D3B9CF}" name="Table2431" displayName="Table2431" ref="AK4:AR25" totalsRowShown="0" headerRowDxfId="167" dataDxfId="166" dataCellStyle="Comma">
  <autoFilter ref="AK4:AR25" xr:uid="{0F70F9AE-DC77-415B-9260-27B262D3B9C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E710092-EA49-4A11-9ECC-1AAE78FD9761}" name="Category" dataDxfId="165"/>
    <tableColumn id="2" xr3:uid="{C6059247-69FE-4388-9607-3AA6C0CA74C5}" name="Ratio" dataDxfId="164"/>
    <tableColumn id="3" xr3:uid="{A6F341D7-1DF8-4986-8E0B-A1582513C85A}" name="2020" dataDxfId="163" dataCellStyle="Comma"/>
    <tableColumn id="4" xr3:uid="{4DBEBF10-735D-44C8-8417-94478BC3956E}" name="2021" dataDxfId="162" dataCellStyle="Comma"/>
    <tableColumn id="5" xr3:uid="{5BC220BC-CE30-4484-901B-2D262890A704}" name="2022" dataDxfId="161" dataCellStyle="Comma"/>
    <tableColumn id="6" xr3:uid="{F49360F2-1CC6-404C-A387-832E2E60D3E6}" name="2023" dataDxfId="160" dataCellStyle="Comma"/>
    <tableColumn id="7" xr3:uid="{C195E2F0-E2D0-4403-A0E2-3733A65AA535}" name="2024" dataDxfId="159" dataCellStyle="Comma"/>
    <tableColumn id="8" xr3:uid="{B9A53B49-99ED-412B-A374-CA85FC4A5F6F}" name="2025" dataDxfId="158" dataCellStyle="Comma"/>
  </tableColumns>
  <tableStyleInfo name="TableStyleMedium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30D3BCF-24DB-410E-A339-6EC02DE43976}" name="Table2432" displayName="Table2432" ref="AT4:BA25" totalsRowShown="0" headerRowDxfId="157" dataDxfId="156" dataCellStyle="Comma">
  <autoFilter ref="AT4:BA25" xr:uid="{630D3BCF-24DB-410E-A339-6EC02DE4397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46864F1-DA32-4263-95B6-8FA49761E357}" name="Category" dataDxfId="155"/>
    <tableColumn id="2" xr3:uid="{AA4DEFA4-6AA6-487C-9E68-B19A2B493563}" name="Ratio" dataDxfId="154"/>
    <tableColumn id="3" xr3:uid="{661D1E2F-FA43-4B07-A4FF-4220316D48BC}" name="2020" dataDxfId="153" dataCellStyle="Comma"/>
    <tableColumn id="4" xr3:uid="{9A2CB6C6-0A5D-4908-B19C-207B4E791C3C}" name="2021" dataDxfId="152" dataCellStyle="Comma"/>
    <tableColumn id="5" xr3:uid="{629B1BCF-638B-4BA0-92F7-3FB370D0B3D7}" name="2022" dataDxfId="151" dataCellStyle="Comma"/>
    <tableColumn id="6" xr3:uid="{D7E3AF1A-AB62-483F-AB51-A48774E43FD2}" name="2023" dataDxfId="150" dataCellStyle="Comma"/>
    <tableColumn id="7" xr3:uid="{B334E9E7-3B01-4722-9FBA-3906A24DA891}" name="2024" dataDxfId="149" dataCellStyle="Comma"/>
    <tableColumn id="8" xr3:uid="{F937AD92-555C-4001-8349-1E39F3991676}" name="2025" dataDxfId="148" dataCellStyle="Comma"/>
  </tableColumns>
  <tableStyleInfo name="TableStyleMedium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59B310D-7E51-4849-BE37-84C5FA42AFE4}" name="Table33" displayName="Table33" ref="A4:G19" headerRowCount="0" totalsRowShown="0" headerRowDxfId="147" dataDxfId="145" headerRowBorderDxfId="146" tableBorderDxfId="144" totalsRowBorderDxfId="143" headerRowCellStyle="Percent">
  <tableColumns count="7">
    <tableColumn id="1" xr3:uid="{5735E557-D1E3-4915-BCD7-83A942732999}" name="Column1" headerRowDxfId="142" dataDxfId="141"/>
    <tableColumn id="2" xr3:uid="{6BF34871-0D71-4B9B-A2E1-851A137E925F}" name="Column2" headerRowDxfId="140" dataDxfId="139" headerRowCellStyle="Percent"/>
    <tableColumn id="3" xr3:uid="{CC7FEED2-AEBA-4473-9C6D-154C9BB935B2}" name="Column3" headerRowDxfId="138" dataDxfId="137" headerRowCellStyle="Percent"/>
    <tableColumn id="4" xr3:uid="{0EE9F056-41E2-4665-93A8-425E85BB0CA4}" name="Column4" headerRowDxfId="136" dataDxfId="135" headerRowCellStyle="Percent"/>
    <tableColumn id="5" xr3:uid="{5587CB84-A782-4BFD-8027-AAE98D4F5FAB}" name="Column5" headerRowDxfId="134" dataDxfId="133" headerRowCellStyle="Percent"/>
    <tableColumn id="6" xr3:uid="{C3D86E6A-1CB1-4BEA-BEFE-1222A059CCE6}" name="Column6" headerRowDxfId="132" dataDxfId="131" headerRowCellStyle="Percent"/>
    <tableColumn id="7" xr3:uid="{1ADA2586-D05E-4715-B416-F2AA57F71CF5}" name="Column7" headerRowDxfId="130" dataDxfId="129" headerRowCellStyle="Percent"/>
  </tableColumns>
  <tableStyleInfo name="TableStyleDark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1FBFB8-5964-40BB-86D7-425A72557E33}" name="Table34" displayName="Table34" ref="A4:H12" totalsRowShown="0" headerRowDxfId="128" dataDxfId="127" tableBorderDxfId="126">
  <autoFilter ref="A4:H12" xr:uid="{491FBFB8-5964-40BB-86D7-425A72557E3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9E23334-F8C1-4ABD-B72D-35A8F26C14D3}" name="Particulars" dataDxfId="125"/>
    <tableColumn id="2" xr3:uid="{D5531CE3-1868-4419-B7C8-B7FDC01BB6AE}" name="2025" dataDxfId="124" dataCellStyle="Comma"/>
    <tableColumn id="3" xr3:uid="{74B6F924-DADC-4F91-92A8-C7910A06A23C}" name="Ratio" dataDxfId="123" dataCellStyle="Percent"/>
    <tableColumn id="4" xr3:uid="{5951A0C3-76F8-4E46-AD1F-AF9DDBEE0D3E}" name="2026" dataDxfId="122" dataCellStyle="Comma"/>
    <tableColumn id="5" xr3:uid="{E3C1FD73-91F6-4E1D-B1AF-0FACFCEAAF12}" name="2027" dataDxfId="121" dataCellStyle="Comma"/>
    <tableColumn id="6" xr3:uid="{D033E918-1231-450C-92DF-D892D2B72FBB}" name="2028" dataDxfId="120" dataCellStyle="Comma"/>
    <tableColumn id="7" xr3:uid="{F8DDD0D7-5C09-4029-BBC5-0E15C7F0F2BC}" name="2029" dataDxfId="119" dataCellStyle="Comma"/>
    <tableColumn id="8" xr3:uid="{6DCD619A-8CC2-4CCF-A8F0-14B83AC86A87}" name="2030" dataDxfId="118" dataCellStyle="Comma"/>
  </tableColumns>
  <tableStyleInfo name="TableStyleMedium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6036316-0374-454C-9FC5-10925FC5DB1E}" name="Table37" displayName="Table37" ref="A14:B24" totalsRowShown="0" headerRowDxfId="117" tableBorderDxfId="116">
  <autoFilter ref="A14:B24" xr:uid="{46036316-0374-454C-9FC5-10925FC5DB1E}">
    <filterColumn colId="0" hiddenButton="1"/>
    <filterColumn colId="1" hiddenButton="1"/>
  </autoFilter>
  <tableColumns count="2">
    <tableColumn id="1" xr3:uid="{6D735054-5337-427D-AF11-04F0477A010D}" name="Parameters" dataDxfId="115"/>
    <tableColumn id="2" xr3:uid="{123312AD-612F-419B-BE0F-FF63E8EC2928}" name="Value" dataDxfId="114"/>
  </tableColumns>
  <tableStyleInfo name="TableStyleMedium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19E3FC3-749D-430C-8609-DFEB400548AD}" name="Table14" displayName="Table14" ref="J4:Q12" totalsRowShown="0" headerRowDxfId="113" dataDxfId="112">
  <autoFilter ref="J4:Q12" xr:uid="{219E3FC3-749D-430C-8609-DFEB400548A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145DA2B-E3EF-4A94-A3E3-2340D8651FBB}" name="Particulars" dataDxfId="111"/>
    <tableColumn id="2" xr3:uid="{7DC18983-C270-47DF-8B5C-8D6DECBE4436}" name="2025" dataDxfId="110" dataCellStyle="Comma"/>
    <tableColumn id="3" xr3:uid="{5CD3C9EC-B73D-4A07-ABD2-A25849200156}" name="Ratio" dataDxfId="109" dataCellStyle="Percent"/>
    <tableColumn id="4" xr3:uid="{EF7B7397-C012-4DFE-894A-F333E43186A6}" name="2026" dataDxfId="108" dataCellStyle="Comma"/>
    <tableColumn id="5" xr3:uid="{71000D3F-56BB-4F6A-B891-B97992348D41}" name="2027" dataDxfId="107" dataCellStyle="Comma"/>
    <tableColumn id="6" xr3:uid="{CDE5A17C-87FD-45E7-8AE4-78EFB8C29630}" name="2028" dataDxfId="106" dataCellStyle="Comma"/>
    <tableColumn id="7" xr3:uid="{46990F05-D551-469D-A64C-A2BFE2A64CC8}" name="2029" dataDxfId="105" dataCellStyle="Comma"/>
    <tableColumn id="8" xr3:uid="{CF5A170E-9E99-433E-9473-09A01A9A95D9}" name="2030" dataDxfId="104" dataCellStyle="Comma"/>
  </tableColumns>
  <tableStyleInfo name="TableStyleMedium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137BF5A-2E0F-4587-905F-B9EB3C6EFD92}" name="Table15" displayName="Table15" ref="J14:K24" totalsRowShown="0">
  <autoFilter ref="J14:K24" xr:uid="{3137BF5A-2E0F-4587-905F-B9EB3C6EFD92}">
    <filterColumn colId="0" hiddenButton="1"/>
    <filterColumn colId="1" hiddenButton="1"/>
  </autoFilter>
  <tableColumns count="2">
    <tableColumn id="1" xr3:uid="{3090360B-3B58-4CC6-9F86-DE572FBB4F05}" name="Parameters" dataDxfId="103"/>
    <tableColumn id="2" xr3:uid="{D285617A-A283-47B9-B55C-79F6692F9738}" name="Value" dataDxfId="102"/>
  </tableColumns>
  <tableStyleInfo name="TableStyleMedium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B261277-AC49-4907-9C1E-EC01B24741CA}" name="Table1422" displayName="Table1422" ref="S4:Z12" totalsRowShown="0" headerRowDxfId="101" dataDxfId="100">
  <autoFilter ref="S4:Z12" xr:uid="{AB261277-AC49-4907-9C1E-EC01B24741C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334EF25-8792-4A44-9C44-99D1701692BA}" name="Particulars" dataDxfId="99"/>
    <tableColumn id="2" xr3:uid="{19B6A725-C557-4611-BAF9-E25D900E694B}" name="2025" dataDxfId="98" dataCellStyle="Comma"/>
    <tableColumn id="3" xr3:uid="{28B4E3F7-AA43-4912-8568-531B5863554D}" name="Ratio" dataDxfId="97" dataCellStyle="Percent"/>
    <tableColumn id="4" xr3:uid="{42E45004-F021-4555-8E3A-3BEA7C961057}" name="2026" dataDxfId="96" dataCellStyle="Comma"/>
    <tableColumn id="5" xr3:uid="{373E4E61-8BD0-4011-8554-6909275A7BD6}" name="2027" dataDxfId="95" dataCellStyle="Comma"/>
    <tableColumn id="6" xr3:uid="{93939D3F-105B-4B82-BD18-B1C0D0548A34}" name="2028" dataDxfId="94" dataCellStyle="Comma"/>
    <tableColumn id="7" xr3:uid="{1FDB47A5-039D-46A9-BCBF-419597EDE528}" name="2029" dataDxfId="93" dataCellStyle="Comma"/>
    <tableColumn id="8" xr3:uid="{DC9A1709-E08B-4B49-BE5F-A85C6CFFAA2F}" name="2030" dataDxfId="92" dataCellStyle="Comma"/>
  </tableColumns>
  <tableStyleInfo name="TableStyleMedium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9164A3C-7FAD-4915-8082-108CE594D25B}" name="Table1526" displayName="Table1526" ref="S14:T24" totalsRowShown="0">
  <autoFilter ref="S14:T24" xr:uid="{E9164A3C-7FAD-4915-8082-108CE594D25B}">
    <filterColumn colId="0" hiddenButton="1"/>
    <filterColumn colId="1" hiddenButton="1"/>
  </autoFilter>
  <tableColumns count="2">
    <tableColumn id="1" xr3:uid="{F7B46560-550F-4680-9827-EC3FA8415F73}" name="Parameters" dataDxfId="91"/>
    <tableColumn id="2" xr3:uid="{A6C0DC4B-D952-4CEE-8F7C-939B9E0A7F3B}" name="Value" dataDxfId="90"/>
  </tableColumns>
  <tableStyleInfo name="TableStyleMedium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06CA292-A570-43D3-9EE0-DC574016DB75}" name="Table142236" displayName="Table142236" ref="AB4:AI12" totalsRowShown="0" headerRowDxfId="89" dataDxfId="88">
  <autoFilter ref="AB4:AI12" xr:uid="{706CA292-A570-43D3-9EE0-DC574016DB7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7D12516-4767-48B5-979E-556D2612CE07}" name="Particulars" dataDxfId="87"/>
    <tableColumn id="2" xr3:uid="{2F0374A5-F757-4CAA-A242-AB1C8BE8EC2D}" name="2025" dataDxfId="86" dataCellStyle="Comma"/>
    <tableColumn id="3" xr3:uid="{7319ED57-46E5-488D-B374-59402BF10C1C}" name="Ratio" dataDxfId="85" dataCellStyle="Percent"/>
    <tableColumn id="4" xr3:uid="{588B5BAB-62DD-4640-9242-A9573DC12574}" name="2026" dataDxfId="84" dataCellStyle="Comma"/>
    <tableColumn id="5" xr3:uid="{17DFE635-7552-4B42-A65F-114C9EE6B48E}" name="2027" dataDxfId="83" dataCellStyle="Comma"/>
    <tableColumn id="6" xr3:uid="{034B6DB9-9408-4041-BED1-CA2A979F8C07}" name="2028" dataDxfId="82" dataCellStyle="Comma"/>
    <tableColumn id="7" xr3:uid="{09583AD2-97A2-492A-9252-F3D616536387}" name="2029" dataDxfId="81" dataCellStyle="Comma"/>
    <tableColumn id="8" xr3:uid="{3F80F625-831B-4111-9F5B-87B50B685151}" name="2030" dataDxfId="80" dataCellStyle="Comma"/>
  </tableColumns>
  <tableStyleInfo name="TableStyleMedium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971B813-6A1C-471B-91D1-9D4F4DE0CEE8}" name="Table152639" displayName="Table152639" ref="AB14:AC24" totalsRowShown="0">
  <autoFilter ref="AB14:AC24" xr:uid="{8971B813-6A1C-471B-91D1-9D4F4DE0CEE8}">
    <filterColumn colId="0" hiddenButton="1"/>
    <filterColumn colId="1" hiddenButton="1"/>
  </autoFilter>
  <tableColumns count="2">
    <tableColumn id="1" xr3:uid="{94391196-4A6C-4907-B517-07140A48DC3B}" name="Parameters" dataDxfId="79"/>
    <tableColumn id="2" xr3:uid="{3DAC0D62-2037-43E6-ABD9-02048B2CC68F}" name="Value" dataDxfId="78"/>
  </tableColumns>
  <tableStyleInfo name="TableStyleMedium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74012E3-AD5A-476E-A782-480A5AC6BDD6}" name="Table14223640" displayName="Table14223640" ref="AK4:AR12" totalsRowShown="0" headerRowDxfId="77" dataDxfId="76">
  <autoFilter ref="AK4:AR12" xr:uid="{774012E3-AD5A-476E-A782-480A5AC6BDD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1C194EC-BFAB-423C-AECD-FF53FB401336}" name="Particulars" dataDxfId="75"/>
    <tableColumn id="2" xr3:uid="{732A3B1D-D926-43B3-8A01-0EBE996F1BE6}" name="2025" dataDxfId="74" dataCellStyle="Comma"/>
    <tableColumn id="3" xr3:uid="{43AF5246-7E39-4087-8CD2-3EBF92D5D06E}" name="Ratio" dataDxfId="73" dataCellStyle="Percent"/>
    <tableColumn id="4" xr3:uid="{BF458460-546D-4155-839D-918D29533189}" name="2026" dataDxfId="72" dataCellStyle="Comma"/>
    <tableColumn id="5" xr3:uid="{08F9BBEB-7BFB-4A6B-BCAE-ABA19E0B5637}" name="2027" dataDxfId="71" dataCellStyle="Comma"/>
    <tableColumn id="6" xr3:uid="{A80CCDFA-AC34-4BE2-AE96-C1D3AF69C758}" name="2028" dataDxfId="70" dataCellStyle="Comma"/>
    <tableColumn id="7" xr3:uid="{69CB4D6E-CFF9-4239-A270-2B6CDA4E907D}" name="2029" dataDxfId="69" dataCellStyle="Comma"/>
    <tableColumn id="8" xr3:uid="{C0C08620-2C1C-4091-908B-7AF005E6F626}" name="2030" dataDxfId="68" dataCellStyle="Comma"/>
  </tableColumns>
  <tableStyleInfo name="TableStyleMedium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3023819-2DF6-48CC-A4AB-18F30D367CF0}" name="Table15263941" displayName="Table15263941" ref="AK14:AL24" totalsRowShown="0">
  <autoFilter ref="AK14:AL24" xr:uid="{73023819-2DF6-48CC-A4AB-18F30D367CF0}">
    <filterColumn colId="0" hiddenButton="1"/>
    <filterColumn colId="1" hiddenButton="1"/>
  </autoFilter>
  <tableColumns count="2">
    <tableColumn id="1" xr3:uid="{B57846CF-97D3-4ADE-962B-9F5D70B87D30}" name="Parameters" dataDxfId="67"/>
    <tableColumn id="2" xr3:uid="{D5520387-3076-4622-BD9A-A84253772224}" name="Value" dataDxfId="66"/>
  </tableColumns>
  <tableStyleInfo name="TableStyleMedium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EA94249-4821-4CAE-BBEF-BA3796FD4E32}" name="Table14223644" displayName="Table14223644" ref="AT4:BA12" totalsRowShown="0" headerRowDxfId="65" dataDxfId="64">
  <autoFilter ref="AT4:BA12" xr:uid="{4EA94249-4821-4CAE-BBEF-BA3796FD4E3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DB2EAB3-0D47-452D-B3C2-FDFE56C4BDB0}" name="Particulars" dataDxfId="63"/>
    <tableColumn id="2" xr3:uid="{F9A464A8-C0CD-4C5C-A251-972EC53AAE6F}" name="2025" dataDxfId="62" dataCellStyle="Comma"/>
    <tableColumn id="3" xr3:uid="{40A221F6-A66F-4554-9B5F-3715DC65DD22}" name="Ratio" dataDxfId="61" dataCellStyle="Percent"/>
    <tableColumn id="4" xr3:uid="{8BDEB2D4-2317-4D7B-AFA2-28C246232FB7}" name="2026" dataDxfId="60" dataCellStyle="Comma"/>
    <tableColumn id="5" xr3:uid="{866FEDA7-6648-4F2E-9603-A5C263ECF32E}" name="2027" dataDxfId="59" dataCellStyle="Comma"/>
    <tableColumn id="6" xr3:uid="{948FBA98-0136-43B6-9694-E253DB5F80AB}" name="2028" dataDxfId="58" dataCellStyle="Comma"/>
    <tableColumn id="7" xr3:uid="{1165BD72-7A7C-4477-ACD5-92F5FC959553}" name="2029" dataDxfId="57" dataCellStyle="Comma"/>
    <tableColumn id="8" xr3:uid="{0AA4372E-D7C5-4823-B92D-A18CC7EB3A56}" name="2030" dataDxfId="56" dataCellStyle="Comma"/>
  </tableColumns>
  <tableStyleInfo name="TableStyleMedium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D21718E-643E-45A8-969D-F2CEFCDE7DA1}" name="Table15263945" displayName="Table15263945" ref="AT14:AU24" totalsRowShown="0">
  <autoFilter ref="AT14:AU24" xr:uid="{BD21718E-643E-45A8-969D-F2CEFCDE7DA1}">
    <filterColumn colId="0" hiddenButton="1"/>
    <filterColumn colId="1" hiddenButton="1"/>
  </autoFilter>
  <tableColumns count="2">
    <tableColumn id="1" xr3:uid="{FDC90A2A-8779-45B5-A3A9-D44E811EA1C9}" name="Parameters" dataDxfId="55"/>
    <tableColumn id="2" xr3:uid="{D84588BC-0FCD-431D-AAB3-F00BF9132DFD}" name="Value" dataDxfId="54"/>
  </tableColumns>
  <tableStyleInfo name="TableStyleMedium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55407E33-DF9C-4AF1-BD79-58E26A2E8217}" name="Table52" displayName="Table52" ref="A3:E16" totalsRowShown="0" headerRowDxfId="53" dataDxfId="52">
  <autoFilter ref="A3:E16" xr:uid="{55407E33-DF9C-4AF1-BD79-58E26A2E8217}">
    <filterColumn colId="0" hiddenButton="1"/>
    <filterColumn colId="1" hiddenButton="1"/>
    <filterColumn colId="2" hiddenButton="1"/>
    <filterColumn colId="3" hiddenButton="1"/>
    <filterColumn colId="4" hiddenButton="1"/>
  </autoFilter>
  <tableColumns count="5">
    <tableColumn id="1" xr3:uid="{B3AEAC2F-4F3B-4896-98E8-2AE2569E7EC0}" name="Company" dataDxfId="51"/>
    <tableColumn id="2" xr3:uid="{A123DDA3-4F71-47C4-B58B-FE334AAEA32D}" name="EV/EBITDA" dataDxfId="50"/>
    <tableColumn id="3" xr3:uid="{E22AFE3B-5038-42E2-B48C-FA28673CC023}" name="P/E" dataDxfId="49"/>
    <tableColumn id="4" xr3:uid="{92BBF7BD-B32F-40E6-AAA9-8301ACC4C6A1}" name="P/B" dataDxfId="48"/>
    <tableColumn id="5" xr3:uid="{31B5AA00-79E7-43B3-B994-C70C28A242F8}" name="P/S" dataDxfId="47"/>
  </tableColumns>
  <tableStyleInfo name="TableStyleMedium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30FCAAA-CFCA-46A8-9DA9-D90F43A24E7B}" name="Table53" displayName="Table53" ref="A19:E24" totalsRowShown="0" headerRowDxfId="46" dataDxfId="45">
  <autoFilter ref="A19:E24" xr:uid="{830FCAAA-CFCA-46A8-9DA9-D90F43A24E7B}">
    <filterColumn colId="0" hiddenButton="1"/>
    <filterColumn colId="1" hiddenButton="1"/>
    <filterColumn colId="2" hiddenButton="1"/>
    <filterColumn colId="3" hiddenButton="1"/>
    <filterColumn colId="4" hiddenButton="1"/>
  </autoFilter>
  <tableColumns count="5">
    <tableColumn id="1" xr3:uid="{834EE441-9B18-48BC-974E-F6CACCC21AD5}" name="Particulars" dataDxfId="44"/>
    <tableColumn id="2" xr3:uid="{8A4D316E-3571-43B3-A5BB-AFD016CE586C}" name="EBITDA" dataDxfId="43">
      <calculatedColumnFormula>Table7[[#This Row],[2025]]+'Income Statement'!G15+'Income Statement'!G16</calculatedColumnFormula>
    </tableColumn>
    <tableColumn id="3" xr3:uid="{CF8EFD4B-8052-4A0C-8886-6CE5179B1CAF}" name="Net Income" dataDxfId="42">
      <calculatedColumnFormula>'Income Statement'!G27</calculatedColumnFormula>
    </tableColumn>
    <tableColumn id="4" xr3:uid="{F9FFD75D-C496-4CEE-B4C5-0F1E0A671238}" name="Book Value" dataDxfId="41">
      <calculatedColumnFormula>'Balance Sheet'!G37</calculatedColumnFormula>
    </tableColumn>
    <tableColumn id="5" xr3:uid="{C8446DDD-6E3F-4A68-9713-86FA2CE62F77}" name="Revenue" dataDxfId="40">
      <calculatedColumnFormula>'Income Statement'!G8</calculatedColumnFormula>
    </tableColumn>
  </tableColumns>
  <tableStyleInfo name="TableStyleMedium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6CCB7760-BEC2-438A-868E-03CEBF7C0236}" name="Table54" displayName="Table54" ref="G3:L9" totalsRowShown="0" headerRowDxfId="39" dataDxfId="38">
  <autoFilter ref="G3:L9" xr:uid="{6CCB7760-BEC2-438A-868E-03CEBF7C0236}">
    <filterColumn colId="0" hiddenButton="1"/>
    <filterColumn colId="1" hiddenButton="1"/>
    <filterColumn colId="2" hiddenButton="1"/>
    <filterColumn colId="3" hiddenButton="1"/>
    <filterColumn colId="4" hiddenButton="1"/>
    <filterColumn colId="5" hiddenButton="1"/>
  </autoFilter>
  <tableColumns count="6">
    <tableColumn id="1" xr3:uid="{18A9032C-F352-4AFF-A4D5-664879741BFC}" name="Metrics" dataDxfId="37"/>
    <tableColumn id="2" xr3:uid="{D6619BA1-8151-4E83-8BDE-2C91351F9746}" name="BPCL" dataDxfId="36" dataCellStyle="Comma"/>
    <tableColumn id="3" xr3:uid="{4A4472C6-21DD-4889-9B57-70342CABB1D1}" name="HPCL" dataDxfId="35" dataCellStyle="Comma"/>
    <tableColumn id="4" xr3:uid="{61918955-D08A-4EFF-AD6D-9FB72B23177B}" name="GAIL" dataDxfId="34" dataCellStyle="Comma"/>
    <tableColumn id="5" xr3:uid="{F5AF6E54-625F-4294-8541-573C832D5262}" name="ONGC" dataDxfId="33" dataCellStyle="Comma"/>
    <tableColumn id="6" xr3:uid="{85F08FA4-E3A9-456A-AFD5-5E0D1ED6FC09}" name="RIL" dataDxfId="32" dataCellStyle="Comma"/>
  </tableColumns>
  <tableStyleInfo name="TableStyleMedium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1F78BC5-5D1E-4890-8B4B-D954250C048D}" name="Table5457" displayName="Table5457" ref="G11:L17" totalsRowShown="0" headerRowDxfId="31" dataDxfId="30">
  <autoFilter ref="G11:L17" xr:uid="{A1F78BC5-5D1E-4890-8B4B-D954250C048D}">
    <filterColumn colId="0" hiddenButton="1"/>
    <filterColumn colId="1" hiddenButton="1"/>
    <filterColumn colId="2" hiddenButton="1"/>
    <filterColumn colId="3" hiddenButton="1"/>
    <filterColumn colId="4" hiddenButton="1"/>
    <filterColumn colId="5" hiddenButton="1"/>
  </autoFilter>
  <tableColumns count="6">
    <tableColumn id="1" xr3:uid="{093BB3DA-7E07-4A21-88EC-FFD8492C0076}" name="Metrics" dataDxfId="29"/>
    <tableColumn id="2" xr3:uid="{9705531E-70BB-4CCB-B387-236312DA494D}" name="BPCL" dataDxfId="28" dataCellStyle="Comma">
      <calculatedColumnFormula>H4/('Company Profile'!$B$8/10000000)</calculatedColumnFormula>
    </tableColumn>
    <tableColumn id="3" xr3:uid="{AC5810EA-20BC-4A55-8450-72D695E5EA40}" name="HPCL" dataDxfId="27" dataCellStyle="Comma">
      <calculatedColumnFormula>I4/('Company Profile'!$D$8/10000000)</calculatedColumnFormula>
    </tableColumn>
    <tableColumn id="4" xr3:uid="{2456AC1D-D61B-48F8-97DB-2E3280D6FF6E}" name="GAIL" dataDxfId="26" dataCellStyle="Comma">
      <calculatedColumnFormula>J4/('Company Profile'!$C$8/10000000)</calculatedColumnFormula>
    </tableColumn>
    <tableColumn id="5" xr3:uid="{73DEAA07-2503-4363-9BAD-B59254E36616}" name="ONGC" dataDxfId="25" dataCellStyle="Comma">
      <calculatedColumnFormula>K4/('Company Profile'!$F$8/10000000)</calculatedColumnFormula>
    </tableColumn>
    <tableColumn id="6" xr3:uid="{FAEB7378-7539-4F77-9529-E9125E6CA0A4}" name="RIL" dataDxfId="24" dataCellStyle="Comma">
      <calculatedColumnFormula>L4/('Company Profile'!$G$8/10000000)</calculatedColumnFormula>
    </tableColumn>
  </tableColumns>
  <tableStyleInfo name="TableStyleMedium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E2E483B7-5B45-4E57-980C-5C324335941D}" name="Table545759" displayName="Table545759" ref="G19:L24" totalsRowShown="0" headerRowDxfId="23" dataDxfId="22">
  <autoFilter ref="G19:L24" xr:uid="{E2E483B7-5B45-4E57-980C-5C324335941D}">
    <filterColumn colId="0" hiddenButton="1"/>
    <filterColumn colId="1" hiddenButton="1"/>
    <filterColumn colId="2" hiddenButton="1"/>
    <filterColumn colId="3" hiddenButton="1"/>
    <filterColumn colId="4" hiddenButton="1"/>
    <filterColumn colId="5" hiddenButton="1"/>
  </autoFilter>
  <tableColumns count="6">
    <tableColumn id="1" xr3:uid="{5C317266-8D55-4796-9C34-B45DD63CE919}" name="Metrics" dataDxfId="21"/>
    <tableColumn id="2" xr3:uid="{6925A80C-C45B-42FB-A57B-E1302CE30E8E}" name="BPCL" dataDxfId="20" dataCellStyle="Percent"/>
    <tableColumn id="3" xr3:uid="{8D3D5AD7-EE83-4869-9753-20C19F5E4DD2}" name="HPCL" dataDxfId="19" dataCellStyle="Percent"/>
    <tableColumn id="4" xr3:uid="{F227FCFC-C50F-4C6B-B2E5-C0AF42146F76}" name="GAIL" dataDxfId="18" dataCellStyle="Percent"/>
    <tableColumn id="5" xr3:uid="{A81294C5-0A58-457D-9A4C-0BEFFC643596}" name="ONGC" dataDxfId="17" dataCellStyle="Percent"/>
    <tableColumn id="6" xr3:uid="{2CE61863-BC1E-4738-9D98-FADB4CD4080F}" name="RIL" dataDxfId="16" dataCellStyle="Percent"/>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8.jpeg"/></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image" Target="../media/image8.jpeg"/><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image" Target="../media/image8.jpeg"/><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0.xml"/><Relationship Id="rId7" Type="http://schemas.openxmlformats.org/officeDocument/2006/relationships/table" Target="../tables/table24.xml"/><Relationship Id="rId2" Type="http://schemas.openxmlformats.org/officeDocument/2006/relationships/table" Target="../tables/table19.xml"/><Relationship Id="rId1" Type="http://schemas.openxmlformats.org/officeDocument/2006/relationships/image" Target="../media/image8.jpeg"/><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6.xml"/><Relationship Id="rId7" Type="http://schemas.openxmlformats.org/officeDocument/2006/relationships/table" Target="../tables/table30.xml"/><Relationship Id="rId2" Type="http://schemas.openxmlformats.org/officeDocument/2006/relationships/table" Target="../tables/table25.xml"/><Relationship Id="rId1" Type="http://schemas.openxmlformats.org/officeDocument/2006/relationships/image" Target="../media/image8.jpeg"/><Relationship Id="rId6" Type="http://schemas.openxmlformats.org/officeDocument/2006/relationships/table" Target="../tables/table29.xml"/><Relationship Id="rId5" Type="http://schemas.openxmlformats.org/officeDocument/2006/relationships/table" Target="../tables/table28.xml"/><Relationship Id="rId4" Type="http://schemas.openxmlformats.org/officeDocument/2006/relationships/table" Target="../tables/table2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image" Target="../media/image8.jpeg"/></Relationships>
</file>

<file path=xl/worksheets/_rels/sheet7.xml.rels><?xml version="1.0" encoding="UTF-8" standalone="yes"?>
<Relationships xmlns="http://schemas.openxmlformats.org/package/2006/relationships"><Relationship Id="rId8" Type="http://schemas.openxmlformats.org/officeDocument/2006/relationships/table" Target="../tables/table38.xml"/><Relationship Id="rId13" Type="http://schemas.openxmlformats.org/officeDocument/2006/relationships/table" Target="../tables/table43.xml"/><Relationship Id="rId3" Type="http://schemas.openxmlformats.org/officeDocument/2006/relationships/table" Target="../tables/table33.xml"/><Relationship Id="rId7" Type="http://schemas.openxmlformats.org/officeDocument/2006/relationships/table" Target="../tables/table37.xml"/><Relationship Id="rId12" Type="http://schemas.openxmlformats.org/officeDocument/2006/relationships/table" Target="../tables/table42.xml"/><Relationship Id="rId2" Type="http://schemas.openxmlformats.org/officeDocument/2006/relationships/table" Target="../tables/table32.xml"/><Relationship Id="rId1" Type="http://schemas.openxmlformats.org/officeDocument/2006/relationships/image" Target="../media/image8.jpeg"/><Relationship Id="rId6" Type="http://schemas.openxmlformats.org/officeDocument/2006/relationships/table" Target="../tables/table36.xml"/><Relationship Id="rId11" Type="http://schemas.openxmlformats.org/officeDocument/2006/relationships/table" Target="../tables/table41.xml"/><Relationship Id="rId5" Type="http://schemas.openxmlformats.org/officeDocument/2006/relationships/table" Target="../tables/table35.xml"/><Relationship Id="rId10" Type="http://schemas.openxmlformats.org/officeDocument/2006/relationships/table" Target="../tables/table40.xml"/><Relationship Id="rId4" Type="http://schemas.openxmlformats.org/officeDocument/2006/relationships/table" Target="../tables/table34.xml"/><Relationship Id="rId9" Type="http://schemas.openxmlformats.org/officeDocument/2006/relationships/table" Target="../tables/table3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image" Target="../media/image8.jpeg"/><Relationship Id="rId6" Type="http://schemas.openxmlformats.org/officeDocument/2006/relationships/table" Target="../tables/table48.xml"/><Relationship Id="rId5" Type="http://schemas.openxmlformats.org/officeDocument/2006/relationships/table" Target="../tables/table47.xml"/><Relationship Id="rId4" Type="http://schemas.openxmlformats.org/officeDocument/2006/relationships/table" Target="../tables/table4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showGridLines="0" workbookViewId="0">
      <selection activeCell="A9" sqref="A9:G9"/>
    </sheetView>
  </sheetViews>
  <sheetFormatPr defaultRowHeight="18" x14ac:dyDescent="0.3"/>
  <cols>
    <col min="1" max="1" width="25.109375" style="3" customWidth="1"/>
    <col min="2" max="7" width="25.109375" style="1" customWidth="1"/>
    <col min="8" max="16384" width="8.88671875" style="2"/>
  </cols>
  <sheetData>
    <row r="1" spans="1:7" ht="33.6" x14ac:dyDescent="0.3">
      <c r="A1" s="111" t="s">
        <v>0</v>
      </c>
      <c r="B1" s="111"/>
      <c r="C1" s="111"/>
      <c r="D1" s="111"/>
      <c r="E1" s="111"/>
      <c r="F1" s="111"/>
      <c r="G1" s="111"/>
    </row>
    <row r="2" spans="1:7" ht="14.4" x14ac:dyDescent="0.3">
      <c r="A2" s="2"/>
    </row>
    <row r="3" spans="1:7" ht="44.4" customHeight="1" x14ac:dyDescent="0.3">
      <c r="A3" s="112" t="s">
        <v>1</v>
      </c>
      <c r="B3" s="114" t="e" vm="1">
        <v>#VALUE!</v>
      </c>
      <c r="C3" s="114" t="e" vm="2">
        <v>#VALUE!</v>
      </c>
      <c r="D3" s="114" t="e" vm="3">
        <v>#VALUE!</v>
      </c>
      <c r="E3" s="114" t="e" vm="4">
        <v>#VALUE!</v>
      </c>
      <c r="F3" s="114" t="e" vm="5">
        <v>#VALUE!</v>
      </c>
      <c r="G3" s="114" t="e" vm="6">
        <v>#VALUE!</v>
      </c>
    </row>
    <row r="4" spans="1:7" ht="14.4" x14ac:dyDescent="0.3">
      <c r="A4" s="113"/>
      <c r="B4" s="115"/>
      <c r="C4" s="115"/>
      <c r="D4" s="115"/>
      <c r="E4" s="115"/>
      <c r="F4" s="115"/>
      <c r="G4" s="115"/>
    </row>
    <row r="5" spans="1:7" s="4" customFormat="1" ht="43.2" x14ac:dyDescent="0.3">
      <c r="A5" s="26" t="s">
        <v>2</v>
      </c>
      <c r="B5" s="27" t="e" vm="7">
        <v>#VALUE!</v>
      </c>
      <c r="C5" s="27" t="e" vm="8">
        <v>#VALUE!</v>
      </c>
      <c r="D5" s="27" t="e" vm="9">
        <v>#VALUE!</v>
      </c>
      <c r="E5" s="27" t="e" vm="10">
        <v>#VALUE!</v>
      </c>
      <c r="F5" s="27" t="e" vm="11">
        <v>#VALUE!</v>
      </c>
      <c r="G5" s="27" t="e" vm="12">
        <v>#VALUE!</v>
      </c>
    </row>
    <row r="6" spans="1:7" ht="28.8" x14ac:dyDescent="0.3">
      <c r="A6" s="5" t="s">
        <v>3</v>
      </c>
      <c r="B6" s="6" t="str" cm="1">
        <f t="array" aca="1" ref="B6" ca="1">_FV(B5,"Name")</f>
        <v>BHARAT PETROLEUM CORPORATION LIMITED</v>
      </c>
      <c r="C6" s="6" t="str" cm="1">
        <f t="array" aca="1" ref="C6" ca="1">_FV(C5,"Name")</f>
        <v>GAIL (INDIA) LIMITED</v>
      </c>
      <c r="D6" s="6" t="str" cm="1">
        <f t="array" aca="1" ref="D6" ca="1">_FV(D5,"Name")</f>
        <v>HINDUSTAN PETROLEUM CORPORATION LIMITED</v>
      </c>
      <c r="E6" s="6" t="str" cm="1">
        <f t="array" aca="1" ref="E6" ca="1">_FV(E5,"Name")</f>
        <v>INDIAN OIL CORPORATION LIMITED</v>
      </c>
      <c r="F6" s="6" t="str" cm="1">
        <f t="array" aca="1" ref="F6" ca="1">_FV(F5,"Name")</f>
        <v>OIL AND NATURAL GAS CORPORATION LIMITED</v>
      </c>
      <c r="G6" s="6" t="str" cm="1">
        <f t="array" aca="1" ref="G6" ca="1">_FV(G5,"Name")</f>
        <v>RELIANCE INDUSTRIES LIMITED</v>
      </c>
    </row>
    <row r="7" spans="1:7" x14ac:dyDescent="0.3">
      <c r="A7" s="5" t="s">
        <v>4</v>
      </c>
      <c r="B7" s="7" cm="1">
        <f t="array" aca="1" ref="B7" ca="1">_FV(B5,"Price")</f>
        <v>365.15</v>
      </c>
      <c r="C7" s="7" cm="1">
        <f t="array" aca="1" ref="C7" ca="1">_FV(C5,"Price")</f>
        <v>181.52</v>
      </c>
      <c r="D7" s="7" cm="1">
        <f t="array" aca="1" ref="D7" ca="1">_FV(D5,"Price")</f>
        <v>481.7</v>
      </c>
      <c r="E7" s="7" cm="1">
        <f t="array" aca="1" ref="E7" ca="1">_FV(E5,"Price")</f>
        <v>169</v>
      </c>
      <c r="F7" s="7" cm="1">
        <f t="array" aca="1" ref="F7" ca="1">_FV(F5,"Price")</f>
        <v>251.4</v>
      </c>
      <c r="G7" s="7" cm="1">
        <f t="array" aca="1" ref="G7" ca="1">_FV(G5,"Price")</f>
        <v>1489.25</v>
      </c>
    </row>
    <row r="8" spans="1:7" x14ac:dyDescent="0.3">
      <c r="A8" s="87" t="s">
        <v>5</v>
      </c>
      <c r="B8" s="88" cm="1">
        <f t="array" aca="1" ref="B8" ca="1">_FV(B5,"Shares outstanding",TRUE)</f>
        <v>4338505000</v>
      </c>
      <c r="C8" s="88" cm="1">
        <f t="array" aca="1" ref="C8" ca="1">_FV(C5,"Shares outstanding",TRUE)</f>
        <v>6575080000</v>
      </c>
      <c r="D8" s="88" cm="1">
        <f t="array" aca="1" ref="D8" ca="1">_FV(D5,"Shares outstanding",TRUE)</f>
        <v>2127823000</v>
      </c>
      <c r="E8" s="88" cm="1">
        <f t="array" aca="1" ref="E8" ca="1">_FV(E5,"Shares outstanding",TRUE)</f>
        <v>14121240000</v>
      </c>
      <c r="F8" s="88" cm="1">
        <f t="array" aca="1" ref="F8" ca="1">_FV(F5,"Shares outstanding",TRUE)</f>
        <v>12580280000</v>
      </c>
      <c r="G8" s="88" cm="1">
        <f t="array" aca="1" ref="G8" ca="1">_FV(G5,"Shares outstanding",TRUE)</f>
        <v>13532740000</v>
      </c>
    </row>
    <row r="9" spans="1:7" x14ac:dyDescent="0.3">
      <c r="A9" s="91" t="s">
        <v>282</v>
      </c>
      <c r="B9" s="92">
        <f ca="1">B8/10000000</f>
        <v>433.85050000000001</v>
      </c>
      <c r="C9" s="92">
        <f t="shared" ref="C9:G9" ca="1" si="0">C8/10000000</f>
        <v>657.50800000000004</v>
      </c>
      <c r="D9" s="92">
        <f t="shared" ca="1" si="0"/>
        <v>212.78229999999999</v>
      </c>
      <c r="E9" s="92">
        <f t="shared" ca="1" si="0"/>
        <v>1412.124</v>
      </c>
      <c r="F9" s="92">
        <f t="shared" ca="1" si="0"/>
        <v>1258.028</v>
      </c>
      <c r="G9" s="93">
        <f t="shared" ca="1" si="0"/>
        <v>1353.2739999999999</v>
      </c>
    </row>
    <row r="10" spans="1:7" x14ac:dyDescent="0.3">
      <c r="A10" s="89" t="s">
        <v>6</v>
      </c>
      <c r="B10" s="90" cm="1">
        <f t="array" aca="1" ref="B10" ca="1">_FV(B5,"Market cap",TRUE)</f>
        <v>1592882000000</v>
      </c>
      <c r="C10" s="90" cm="1">
        <f t="array" aca="1" ref="C10" ca="1">_FV(C5,"Market cap",TRUE)</f>
        <v>1186605000000</v>
      </c>
      <c r="D10" s="90" cm="1">
        <f t="array" aca="1" ref="D10" ca="1">_FV(D5,"Market cap",TRUE)</f>
        <v>1020397000000</v>
      </c>
      <c r="E10" s="90" cm="1">
        <f t="array" aca="1" ref="E10" ca="1">_FV(E5,"Market cap",TRUE)</f>
        <v>2388749000000</v>
      </c>
      <c r="F10" s="90" cm="1">
        <f t="array" aca="1" ref="F10" ca="1">_FV(F5,"Market cap",TRUE)</f>
        <v>3172747000000</v>
      </c>
      <c r="G10" s="90" cm="1">
        <f t="array" aca="1" ref="G10" ca="1">_FV(G5,"Market cap",TRUE)</f>
        <v>20000990000000</v>
      </c>
    </row>
    <row r="11" spans="1:7" x14ac:dyDescent="0.3">
      <c r="A11" s="5" t="s">
        <v>7</v>
      </c>
      <c r="B11" s="8" cm="1">
        <f t="array" aca="1" ref="B11" ca="1">_FV(B5,"Change (%)",TRUE)</f>
        <v>-5.4469999999999996E-3</v>
      </c>
      <c r="C11" s="8" cm="1">
        <f t="array" aca="1" ref="C11" ca="1">_FV(C5,"Change (%)",TRUE)</f>
        <v>5.8180000000000003E-3</v>
      </c>
      <c r="D11" s="8" cm="1">
        <f t="array" aca="1" ref="D11" ca="1">_FV(D5,"Change (%)",TRUE)</f>
        <v>4.483E-3</v>
      </c>
      <c r="E11" s="8" cm="1">
        <f t="array" aca="1" ref="E11" ca="1">_FV(E5,"Change (%)",TRUE)</f>
        <v>-2.9579999999999998E-4</v>
      </c>
      <c r="F11" s="8" cm="1">
        <f t="array" aca="1" ref="F11" ca="1">_FV(F5,"Change (%)",TRUE)</f>
        <v>-3.1719999999999999E-3</v>
      </c>
      <c r="G11" s="8" cm="1">
        <f t="array" aca="1" ref="G11" ca="1">_FV(G5,"Change (%)",TRUE)</f>
        <v>7.4409999999999997E-3</v>
      </c>
    </row>
    <row r="12" spans="1:7" x14ac:dyDescent="0.3">
      <c r="A12" s="5" t="s">
        <v>8</v>
      </c>
      <c r="B12" s="9" cm="1">
        <f t="array" aca="1" ref="B12" ca="1">_FV(B5,"Beta")</f>
        <v>1.2921</v>
      </c>
      <c r="C12" s="9" cm="1">
        <f t="array" aca="1" ref="C12" ca="1">_FV(C5,"Beta")</f>
        <v>1.5484</v>
      </c>
      <c r="D12" s="9" cm="1">
        <f t="array" aca="1" ref="D12" ca="1">_FV(D5,"Beta")</f>
        <v>1.5871999999999999</v>
      </c>
      <c r="E12" s="9" cm="1">
        <f t="array" aca="1" ref="E12" ca="1">_FV(E5,"Beta")</f>
        <v>1.3210999999999999</v>
      </c>
      <c r="F12" s="9" cm="1">
        <f t="array" aca="1" ref="F12" ca="1">_FV(F5,"Beta")</f>
        <v>0.99350000000000005</v>
      </c>
      <c r="G12" s="9" cm="1">
        <f t="array" aca="1" ref="G12" ca="1">_FV(G5,"Beta")</f>
        <v>1.1398999999999999</v>
      </c>
    </row>
  </sheetData>
  <mergeCells count="8">
    <mergeCell ref="A1:G1"/>
    <mergeCell ref="A3:A4"/>
    <mergeCell ref="E3:E4"/>
    <mergeCell ref="F3:F4"/>
    <mergeCell ref="G3:G4"/>
    <mergeCell ref="D3:D4"/>
    <mergeCell ref="C3:C4"/>
    <mergeCell ref="B3:B4"/>
  </mergeCells>
  <conditionalFormatting sqref="B11:G11">
    <cfRule type="cellIs" dxfId="15" priority="1" operator="lessThan">
      <formula>0</formula>
    </cfRule>
    <cfRule type="cellIs" dxfId="14" priority="2" operator="greaterThan">
      <formula>0</formula>
    </cfRule>
  </conditionalFormatting>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8E0A-3078-4BC3-8F66-3177FF5CEE33}">
  <dimension ref="A1:AV78"/>
  <sheetViews>
    <sheetView showGridLines="0" topLeftCell="AP15" zoomScale="93" workbookViewId="0">
      <selection activeCell="AQ55" sqref="AQ55"/>
    </sheetView>
  </sheetViews>
  <sheetFormatPr defaultRowHeight="14.4" x14ac:dyDescent="0.3"/>
  <cols>
    <col min="1" max="1" width="43.5546875" style="2" bestFit="1" customWidth="1"/>
    <col min="2" max="7" width="11.6640625" style="1" bestFit="1" customWidth="1"/>
    <col min="8" max="8" width="8.88671875" style="2"/>
    <col min="9" max="9" width="43.5546875" style="2" bestFit="1" customWidth="1"/>
    <col min="10" max="10" width="10.6640625" style="1" bestFit="1" customWidth="1"/>
    <col min="11" max="15" width="11.6640625" style="1" bestFit="1" customWidth="1"/>
    <col min="16" max="16" width="8.88671875" style="2"/>
    <col min="17" max="17" width="43.5546875" style="2" bestFit="1" customWidth="1"/>
    <col min="18" max="23" width="11.6640625" style="1" bestFit="1" customWidth="1"/>
    <col min="24" max="24" width="8.88671875" style="2"/>
    <col min="25" max="25" width="43.5546875" style="2" bestFit="1" customWidth="1"/>
    <col min="26" max="31" width="11.6640625" style="1" bestFit="1" customWidth="1"/>
    <col min="32" max="32" width="8.88671875" style="2"/>
    <col min="33" max="33" width="43.5546875" style="2" bestFit="1" customWidth="1"/>
    <col min="34" max="39" width="11.6640625" style="1" bestFit="1" customWidth="1"/>
    <col min="40" max="40" width="8.88671875" style="2"/>
    <col min="41" max="41" width="43.5546875" style="2" bestFit="1" customWidth="1"/>
    <col min="42" max="42" width="12.21875" style="1" bestFit="1" customWidth="1"/>
    <col min="43" max="46" width="11.6640625" style="1" bestFit="1" customWidth="1"/>
    <col min="47" max="47" width="13.21875" style="1" bestFit="1" customWidth="1"/>
    <col min="48" max="16384" width="8.88671875" style="2"/>
  </cols>
  <sheetData>
    <row r="1" spans="1:47" ht="31.2" x14ac:dyDescent="0.3">
      <c r="A1" s="25" t="s">
        <v>9</v>
      </c>
    </row>
    <row r="3" spans="1:47" ht="49.8" customHeight="1" x14ac:dyDescent="0.3">
      <c r="A3" s="116" t="e" vm="1">
        <v>#VALUE!</v>
      </c>
      <c r="B3" s="116"/>
      <c r="C3" s="116"/>
      <c r="D3" s="116"/>
      <c r="E3" s="116"/>
      <c r="F3" s="116"/>
      <c r="G3" s="116"/>
      <c r="I3" s="116" t="e" vm="2">
        <v>#VALUE!</v>
      </c>
      <c r="J3" s="116"/>
      <c r="K3" s="116"/>
      <c r="L3" s="116"/>
      <c r="M3" s="116"/>
      <c r="N3" s="116"/>
      <c r="O3" s="116"/>
      <c r="Q3" s="116" t="e" vm="3">
        <v>#VALUE!</v>
      </c>
      <c r="R3" s="116"/>
      <c r="S3" s="116"/>
      <c r="T3" s="116"/>
      <c r="U3" s="116"/>
      <c r="V3" s="116"/>
      <c r="W3" s="116"/>
      <c r="Y3" s="116" t="e" vm="4">
        <v>#VALUE!</v>
      </c>
      <c r="Z3" s="116"/>
      <c r="AA3" s="116"/>
      <c r="AB3" s="116"/>
      <c r="AC3" s="116"/>
      <c r="AD3" s="116"/>
      <c r="AE3" s="116"/>
      <c r="AG3" s="116" t="e" vm="5">
        <v>#VALUE!</v>
      </c>
      <c r="AH3" s="116"/>
      <c r="AI3" s="116"/>
      <c r="AJ3" s="116"/>
      <c r="AK3" s="116"/>
      <c r="AL3" s="116"/>
      <c r="AM3" s="116"/>
      <c r="AO3" s="116" t="e" vm="6">
        <v>#VALUE!</v>
      </c>
      <c r="AP3" s="116"/>
      <c r="AQ3" s="116"/>
      <c r="AR3" s="116"/>
      <c r="AS3" s="116"/>
      <c r="AT3" s="116"/>
      <c r="AU3" s="116"/>
    </row>
    <row r="4" spans="1:47" x14ac:dyDescent="0.3">
      <c r="A4" s="2" t="s">
        <v>10</v>
      </c>
      <c r="B4" s="1" t="s">
        <v>41</v>
      </c>
      <c r="C4" s="1" t="s">
        <v>42</v>
      </c>
      <c r="D4" s="1" t="s">
        <v>43</v>
      </c>
      <c r="E4" s="1" t="s">
        <v>44</v>
      </c>
      <c r="F4" s="1" t="s">
        <v>45</v>
      </c>
      <c r="G4" s="1" t="s">
        <v>46</v>
      </c>
      <c r="I4" s="2" t="s">
        <v>10</v>
      </c>
      <c r="J4" s="1" t="s">
        <v>41</v>
      </c>
      <c r="K4" s="1" t="s">
        <v>42</v>
      </c>
      <c r="L4" s="1" t="s">
        <v>43</v>
      </c>
      <c r="M4" s="1" t="s">
        <v>44</v>
      </c>
      <c r="N4" s="1" t="s">
        <v>45</v>
      </c>
      <c r="O4" s="1" t="s">
        <v>46</v>
      </c>
      <c r="Q4" s="2" t="s">
        <v>10</v>
      </c>
      <c r="R4" s="1" t="s">
        <v>41</v>
      </c>
      <c r="S4" s="1" t="s">
        <v>42</v>
      </c>
      <c r="T4" s="1" t="s">
        <v>43</v>
      </c>
      <c r="U4" s="1" t="s">
        <v>44</v>
      </c>
      <c r="V4" s="1" t="s">
        <v>45</v>
      </c>
      <c r="W4" s="1" t="s">
        <v>46</v>
      </c>
      <c r="Y4" s="2" t="s">
        <v>10</v>
      </c>
      <c r="Z4" s="1" t="s">
        <v>41</v>
      </c>
      <c r="AA4" s="1" t="s">
        <v>42</v>
      </c>
      <c r="AB4" s="1" t="s">
        <v>43</v>
      </c>
      <c r="AC4" s="1" t="s">
        <v>44</v>
      </c>
      <c r="AD4" s="1" t="s">
        <v>45</v>
      </c>
      <c r="AE4" s="1" t="s">
        <v>46</v>
      </c>
      <c r="AG4" s="2" t="s">
        <v>10</v>
      </c>
      <c r="AH4" s="1" t="s">
        <v>41</v>
      </c>
      <c r="AI4" s="1" t="s">
        <v>42</v>
      </c>
      <c r="AJ4" s="1" t="s">
        <v>43</v>
      </c>
      <c r="AK4" s="1" t="s">
        <v>44</v>
      </c>
      <c r="AL4" s="1" t="s">
        <v>45</v>
      </c>
      <c r="AM4" s="1" t="s">
        <v>46</v>
      </c>
      <c r="AO4" s="2" t="s">
        <v>10</v>
      </c>
      <c r="AP4" s="1" t="s">
        <v>41</v>
      </c>
      <c r="AQ4" s="1" t="s">
        <v>42</v>
      </c>
      <c r="AR4" s="1" t="s">
        <v>43</v>
      </c>
      <c r="AS4" s="1" t="s">
        <v>44</v>
      </c>
      <c r="AT4" s="1" t="s">
        <v>45</v>
      </c>
      <c r="AU4" s="1" t="s">
        <v>46</v>
      </c>
    </row>
    <row r="5" spans="1:47" x14ac:dyDescent="0.3">
      <c r="A5" s="13" t="s">
        <v>11</v>
      </c>
      <c r="B5" s="10"/>
      <c r="C5" s="10"/>
      <c r="D5" s="10"/>
      <c r="E5" s="10"/>
      <c r="F5" s="10"/>
      <c r="G5" s="10"/>
      <c r="I5" s="13" t="s">
        <v>11</v>
      </c>
      <c r="J5" s="10"/>
      <c r="K5" s="10"/>
      <c r="L5" s="10"/>
      <c r="M5" s="10"/>
      <c r="N5" s="10"/>
      <c r="O5" s="10"/>
      <c r="Q5" s="13" t="s">
        <v>11</v>
      </c>
      <c r="R5" s="14"/>
      <c r="S5" s="14"/>
      <c r="T5" s="14"/>
      <c r="U5" s="14"/>
      <c r="V5" s="14"/>
      <c r="W5" s="14"/>
      <c r="Y5" s="13" t="s">
        <v>11</v>
      </c>
      <c r="Z5" s="14"/>
      <c r="AA5" s="14"/>
      <c r="AB5" s="14"/>
      <c r="AC5" s="14"/>
      <c r="AD5" s="14"/>
      <c r="AE5" s="14"/>
      <c r="AG5" s="13" t="s">
        <v>11</v>
      </c>
      <c r="AH5" s="14"/>
      <c r="AI5" s="14"/>
      <c r="AJ5" s="14"/>
      <c r="AK5" s="14"/>
      <c r="AL5" s="14"/>
      <c r="AM5" s="14"/>
      <c r="AO5" s="13" t="s">
        <v>11</v>
      </c>
      <c r="AP5" s="14"/>
      <c r="AQ5" s="14"/>
      <c r="AR5" s="14"/>
      <c r="AS5" s="14"/>
      <c r="AT5" s="14"/>
      <c r="AU5" s="14"/>
    </row>
    <row r="6" spans="1:47" x14ac:dyDescent="0.3">
      <c r="A6" s="13" t="s">
        <v>12</v>
      </c>
      <c r="B6" s="10"/>
      <c r="C6" s="10"/>
      <c r="D6" s="10"/>
      <c r="E6" s="10"/>
      <c r="F6" s="10"/>
      <c r="G6" s="10"/>
      <c r="I6" s="13" t="s">
        <v>47</v>
      </c>
      <c r="J6" s="10"/>
      <c r="K6" s="10"/>
      <c r="L6" s="10"/>
      <c r="M6" s="10"/>
      <c r="N6" s="10"/>
      <c r="O6" s="10"/>
      <c r="Q6" s="13" t="s">
        <v>66</v>
      </c>
      <c r="R6" s="14"/>
      <c r="S6" s="14"/>
      <c r="T6" s="14"/>
      <c r="U6" s="14"/>
      <c r="V6" s="14"/>
      <c r="W6" s="14"/>
      <c r="Y6" s="13" t="s">
        <v>47</v>
      </c>
      <c r="Z6" s="14"/>
      <c r="AA6" s="14"/>
      <c r="AB6" s="14"/>
      <c r="AC6" s="14"/>
      <c r="AD6" s="14"/>
      <c r="AE6" s="14"/>
      <c r="AG6" s="13" t="s">
        <v>47</v>
      </c>
      <c r="AH6" s="14"/>
      <c r="AI6" s="14"/>
      <c r="AJ6" s="14"/>
      <c r="AK6" s="14"/>
      <c r="AL6" s="14"/>
      <c r="AM6" s="14"/>
      <c r="AO6" s="13" t="s">
        <v>105</v>
      </c>
      <c r="AP6" s="14"/>
      <c r="AQ6" s="14"/>
      <c r="AR6" s="14"/>
      <c r="AS6" s="14"/>
      <c r="AT6" s="14"/>
      <c r="AU6" s="14"/>
    </row>
    <row r="7" spans="1:47" x14ac:dyDescent="0.3">
      <c r="A7" s="2" t="s">
        <v>13</v>
      </c>
      <c r="B7" s="15">
        <v>56687.98</v>
      </c>
      <c r="C7" s="15">
        <v>63588.84</v>
      </c>
      <c r="D7" s="15">
        <v>81507.259999999995</v>
      </c>
      <c r="E7" s="15">
        <v>84464.8</v>
      </c>
      <c r="F7" s="15">
        <v>84718.04</v>
      </c>
      <c r="G7" s="15">
        <v>86593.79</v>
      </c>
      <c r="I7" s="2" t="s">
        <v>13</v>
      </c>
      <c r="J7" s="28">
        <v>35896.6</v>
      </c>
      <c r="K7" s="28">
        <v>37952.800000000003</v>
      </c>
      <c r="L7" s="28">
        <v>40410.089999999997</v>
      </c>
      <c r="M7" s="28">
        <v>44651.29</v>
      </c>
      <c r="N7" s="28">
        <v>47956.66</v>
      </c>
      <c r="O7" s="28">
        <v>49352.91</v>
      </c>
      <c r="Q7" s="2" t="s">
        <v>13</v>
      </c>
      <c r="R7" s="28">
        <v>48391.57</v>
      </c>
      <c r="S7" s="28">
        <v>49950.58</v>
      </c>
      <c r="T7" s="28">
        <v>56982.17</v>
      </c>
      <c r="U7" s="28">
        <v>67305.13</v>
      </c>
      <c r="V7" s="28">
        <v>78371.789999999994</v>
      </c>
      <c r="W7" s="28">
        <v>84767.38</v>
      </c>
      <c r="Y7" s="2" t="s">
        <v>79</v>
      </c>
      <c r="Z7" s="28">
        <v>144076.29999999999</v>
      </c>
      <c r="AA7" s="28">
        <v>153698.39000000001</v>
      </c>
      <c r="AB7" s="28">
        <v>157194.98000000001</v>
      </c>
      <c r="AC7" s="28">
        <v>176532.05</v>
      </c>
      <c r="AD7" s="28">
        <v>192159.52</v>
      </c>
      <c r="AE7" s="28">
        <v>197162.03</v>
      </c>
      <c r="AG7" s="13" t="s">
        <v>13</v>
      </c>
      <c r="AH7" s="14"/>
      <c r="AI7" s="14"/>
      <c r="AJ7" s="14"/>
      <c r="AK7" s="14"/>
      <c r="AL7" s="14"/>
      <c r="AM7" s="14"/>
      <c r="AO7" s="2" t="s">
        <v>79</v>
      </c>
      <c r="AP7" s="28">
        <v>297854</v>
      </c>
      <c r="AQ7" s="28">
        <v>292092</v>
      </c>
      <c r="AR7" s="28">
        <v>223824</v>
      </c>
      <c r="AS7" s="28">
        <v>232238</v>
      </c>
      <c r="AT7" s="28">
        <v>258911</v>
      </c>
      <c r="AU7" s="28">
        <v>267096</v>
      </c>
    </row>
    <row r="8" spans="1:47" x14ac:dyDescent="0.3">
      <c r="A8" s="2" t="s">
        <v>14</v>
      </c>
      <c r="B8" s="15">
        <v>9108.09</v>
      </c>
      <c r="C8" s="15">
        <v>7537.18</v>
      </c>
      <c r="D8" s="15">
        <v>4979.8900000000003</v>
      </c>
      <c r="E8" s="15">
        <v>5645.05</v>
      </c>
      <c r="F8" s="15">
        <v>8679.7199999999993</v>
      </c>
      <c r="G8" s="15">
        <v>13240.29</v>
      </c>
      <c r="I8" s="2" t="s">
        <v>67</v>
      </c>
      <c r="J8" s="28">
        <v>11666.31</v>
      </c>
      <c r="K8" s="28">
        <v>13399.66</v>
      </c>
      <c r="L8" s="28">
        <v>15490.4</v>
      </c>
      <c r="M8" s="28">
        <v>16646.5</v>
      </c>
      <c r="N8" s="28">
        <v>23626.78</v>
      </c>
      <c r="O8" s="28">
        <v>27421.06</v>
      </c>
      <c r="Q8" s="2" t="s">
        <v>67</v>
      </c>
      <c r="R8" s="28">
        <v>17047.34</v>
      </c>
      <c r="S8" s="28">
        <v>25128.63</v>
      </c>
      <c r="T8" s="28">
        <v>28645.09</v>
      </c>
      <c r="U8" s="28">
        <v>25310.74</v>
      </c>
      <c r="V8" s="28">
        <v>20048.259999999998</v>
      </c>
      <c r="W8" s="28">
        <v>17935.16</v>
      </c>
      <c r="Y8" s="2" t="s">
        <v>67</v>
      </c>
      <c r="Z8" s="28">
        <v>29628.86</v>
      </c>
      <c r="AA8" s="28">
        <v>32953.160000000003</v>
      </c>
      <c r="AB8" s="28">
        <v>44049.82</v>
      </c>
      <c r="AC8" s="28">
        <v>47550.080000000002</v>
      </c>
      <c r="AD8" s="28">
        <v>57316.86</v>
      </c>
      <c r="AE8" s="28">
        <v>73740.41</v>
      </c>
      <c r="AG8" s="2" t="s">
        <v>89</v>
      </c>
      <c r="AH8" s="28">
        <v>140044.13800000001</v>
      </c>
      <c r="AI8" s="28">
        <v>139280.853</v>
      </c>
      <c r="AJ8" s="28">
        <v>143352.35999999999</v>
      </c>
      <c r="AK8" s="28">
        <v>130983.632</v>
      </c>
      <c r="AL8" s="28">
        <f>144996.692+362.896</f>
        <v>145359.58800000002</v>
      </c>
      <c r="AM8" s="28">
        <f>157405.428+329.216</f>
        <v>157734.644</v>
      </c>
      <c r="AO8" s="2" t="s">
        <v>49</v>
      </c>
      <c r="AP8" s="28">
        <v>15638</v>
      </c>
      <c r="AQ8" s="28">
        <v>20765</v>
      </c>
      <c r="AR8" s="28">
        <v>15802</v>
      </c>
      <c r="AS8" s="28">
        <v>12926</v>
      </c>
      <c r="AT8" s="28">
        <v>40719</v>
      </c>
      <c r="AU8" s="28">
        <v>43951</v>
      </c>
    </row>
    <row r="9" spans="1:47" x14ac:dyDescent="0.3">
      <c r="A9" s="2" t="s">
        <v>110</v>
      </c>
      <c r="B9" s="15">
        <v>0.21</v>
      </c>
      <c r="C9" s="15">
        <v>0</v>
      </c>
      <c r="D9" s="15">
        <v>1203.98</v>
      </c>
      <c r="E9" s="15">
        <v>0.01</v>
      </c>
      <c r="F9" s="15">
        <v>0.09</v>
      </c>
      <c r="G9" s="15">
        <v>0.09</v>
      </c>
      <c r="I9" s="2" t="s">
        <v>49</v>
      </c>
      <c r="J9" s="28">
        <v>1880.36</v>
      </c>
      <c r="K9" s="28">
        <v>2300.6799999999998</v>
      </c>
      <c r="L9" s="28">
        <v>2536.61</v>
      </c>
      <c r="M9" s="28">
        <v>2856.29</v>
      </c>
      <c r="N9" s="28">
        <v>3135.35</v>
      </c>
      <c r="O9" s="28">
        <v>3324.56</v>
      </c>
      <c r="Q9" s="2" t="s">
        <v>49</v>
      </c>
      <c r="R9" s="28">
        <f>16.69+543.52</f>
        <v>560.21</v>
      </c>
      <c r="S9" s="28">
        <f>321.62+639.71</f>
        <v>961.33</v>
      </c>
      <c r="T9" s="28">
        <f>321.62+822.31</f>
        <v>1143.9299999999998</v>
      </c>
      <c r="U9" s="28">
        <f>304.92+777.41</f>
        <v>1082.33</v>
      </c>
      <c r="V9" s="28">
        <f>304.92+1085.85</f>
        <v>1390.77</v>
      </c>
      <c r="W9" s="28">
        <f>304.92+1106.9</f>
        <v>1411.8200000000002</v>
      </c>
      <c r="Y9" s="2" t="s">
        <v>80</v>
      </c>
      <c r="Z9" s="28">
        <v>1.04</v>
      </c>
      <c r="AA9" s="28">
        <v>1.04</v>
      </c>
      <c r="AB9" s="28">
        <v>1.04</v>
      </c>
      <c r="AC9" s="28">
        <v>1.04</v>
      </c>
      <c r="AD9" s="28">
        <v>1.04</v>
      </c>
      <c r="AE9" s="28">
        <v>1.04</v>
      </c>
      <c r="AG9" s="2" t="s">
        <v>90</v>
      </c>
      <c r="AH9" s="28">
        <v>74127.396999999997</v>
      </c>
      <c r="AI9" s="28">
        <v>74125.817999999999</v>
      </c>
      <c r="AJ9" s="28">
        <v>83026.263999999996</v>
      </c>
      <c r="AK9" s="28">
        <v>92631.504000000001</v>
      </c>
      <c r="AL9" s="28">
        <v>126992.766</v>
      </c>
      <c r="AM9" s="28">
        <v>134067.95000000001</v>
      </c>
      <c r="AO9" s="2" t="s">
        <v>67</v>
      </c>
      <c r="AP9" s="28">
        <v>8624</v>
      </c>
      <c r="AQ9" s="28">
        <v>14741</v>
      </c>
      <c r="AR9" s="28">
        <v>19267</v>
      </c>
      <c r="AS9" s="28">
        <v>30958</v>
      </c>
      <c r="AT9" s="28">
        <v>44294</v>
      </c>
      <c r="AU9" s="28">
        <v>76322</v>
      </c>
    </row>
    <row r="10" spans="1:47" x14ac:dyDescent="0.3">
      <c r="A10" s="2" t="s">
        <v>80</v>
      </c>
      <c r="B10" s="15">
        <v>0</v>
      </c>
      <c r="C10" s="15">
        <v>0.05</v>
      </c>
      <c r="D10" s="15">
        <v>0.03</v>
      </c>
      <c r="E10" s="15">
        <v>1203.98</v>
      </c>
      <c r="F10" s="15">
        <v>1203.98</v>
      </c>
      <c r="G10" s="15">
        <v>1203.98</v>
      </c>
      <c r="I10" s="2" t="s">
        <v>117</v>
      </c>
      <c r="J10" s="28">
        <v>452.66</v>
      </c>
      <c r="K10" s="28">
        <v>906.86</v>
      </c>
      <c r="L10" s="28">
        <v>1625.36</v>
      </c>
      <c r="M10" s="28">
        <v>2189.29</v>
      </c>
      <c r="N10" s="28">
        <v>4096.49</v>
      </c>
      <c r="O10" s="28">
        <v>6158.04</v>
      </c>
      <c r="Q10" s="2" t="s">
        <v>68</v>
      </c>
      <c r="R10" s="28">
        <v>122.42</v>
      </c>
      <c r="S10" s="28">
        <v>207.4</v>
      </c>
      <c r="T10" s="28">
        <v>262.14999999999998</v>
      </c>
      <c r="U10" s="28">
        <v>296.62</v>
      </c>
      <c r="V10" s="28">
        <v>29.54</v>
      </c>
      <c r="W10" s="28">
        <v>31.99</v>
      </c>
      <c r="Y10" s="2" t="s">
        <v>49</v>
      </c>
      <c r="Z10" s="28">
        <v>2944.79</v>
      </c>
      <c r="AA10" s="28">
        <v>3385.36</v>
      </c>
      <c r="AB10" s="28">
        <v>3318.33</v>
      </c>
      <c r="AC10" s="28">
        <v>3514.48</v>
      </c>
      <c r="AD10" s="28">
        <v>3837.23</v>
      </c>
      <c r="AE10" s="28">
        <v>3979.1</v>
      </c>
      <c r="AG10" s="2" t="s">
        <v>48</v>
      </c>
      <c r="AH10" s="28">
        <v>14711.763000000001</v>
      </c>
      <c r="AI10" s="28">
        <v>15906.384</v>
      </c>
      <c r="AJ10" s="28">
        <v>15782.602999999999</v>
      </c>
      <c r="AK10" s="28">
        <v>14189.415999999999</v>
      </c>
      <c r="AL10" s="28">
        <v>34407.324999999997</v>
      </c>
      <c r="AM10" s="28">
        <v>34181.47</v>
      </c>
      <c r="AO10" s="2" t="s">
        <v>68</v>
      </c>
      <c r="AP10" s="28">
        <v>12327</v>
      </c>
      <c r="AQ10" s="28">
        <v>12070</v>
      </c>
      <c r="AR10" s="28">
        <v>15395</v>
      </c>
      <c r="AS10" s="28">
        <v>17957</v>
      </c>
      <c r="AT10" s="28">
        <v>17338</v>
      </c>
      <c r="AU10" s="28">
        <v>6095</v>
      </c>
    </row>
    <row r="11" spans="1:47" x14ac:dyDescent="0.3">
      <c r="A11" s="2" t="s">
        <v>49</v>
      </c>
      <c r="B11" s="15">
        <v>262.93</v>
      </c>
      <c r="C11" s="15">
        <v>509.42</v>
      </c>
      <c r="D11" s="15">
        <v>1190.19</v>
      </c>
      <c r="E11" s="15">
        <v>1006.33</v>
      </c>
      <c r="F11" s="15">
        <v>876.14</v>
      </c>
      <c r="G11" s="15">
        <v>830.37</v>
      </c>
      <c r="I11" s="2" t="s">
        <v>118</v>
      </c>
      <c r="J11" s="28">
        <v>7331.43</v>
      </c>
      <c r="K11" s="28">
        <v>9042.74</v>
      </c>
      <c r="L11" s="28">
        <v>10978.18</v>
      </c>
      <c r="M11" s="28">
        <v>12163.97</v>
      </c>
      <c r="N11" s="28">
        <v>13120.76</v>
      </c>
      <c r="O11" s="28">
        <v>14638.56</v>
      </c>
      <c r="Q11" s="2" t="s">
        <v>69</v>
      </c>
      <c r="R11" s="28">
        <v>8820.82</v>
      </c>
      <c r="S11" s="28">
        <v>9333.8799999999992</v>
      </c>
      <c r="T11" s="28">
        <v>12840.27</v>
      </c>
      <c r="U11" s="28">
        <v>17809.73</v>
      </c>
      <c r="V11" s="28">
        <v>22654.1</v>
      </c>
      <c r="W11" s="28">
        <v>22136.45</v>
      </c>
      <c r="Y11" s="2" t="s">
        <v>68</v>
      </c>
      <c r="Z11" s="28">
        <v>3215.98</v>
      </c>
      <c r="AA11" s="28">
        <v>3337.38</v>
      </c>
      <c r="AB11" s="28">
        <v>3419.45</v>
      </c>
      <c r="AC11" s="28">
        <v>3583.39</v>
      </c>
      <c r="AD11" s="28">
        <v>3715.56</v>
      </c>
      <c r="AE11" s="28">
        <v>4180.87</v>
      </c>
      <c r="AG11" s="13" t="s">
        <v>67</v>
      </c>
      <c r="AH11" s="30"/>
      <c r="AI11" s="30"/>
      <c r="AJ11" s="30"/>
      <c r="AK11" s="30"/>
      <c r="AL11" s="30"/>
      <c r="AM11" s="30"/>
      <c r="AO11" s="2" t="s">
        <v>50</v>
      </c>
      <c r="AP11" s="28">
        <v>421793</v>
      </c>
      <c r="AQ11" s="28">
        <v>252620</v>
      </c>
      <c r="AR11" s="28">
        <v>330493</v>
      </c>
      <c r="AS11" s="28">
        <v>303558</v>
      </c>
      <c r="AT11" s="28">
        <v>301400</v>
      </c>
      <c r="AU11" s="28">
        <v>333258</v>
      </c>
    </row>
    <row r="12" spans="1:47" x14ac:dyDescent="0.3">
      <c r="A12" s="2" t="s">
        <v>68</v>
      </c>
      <c r="B12" s="15">
        <v>396.62</v>
      </c>
      <c r="C12" s="15">
        <v>9500.11</v>
      </c>
      <c r="D12" s="15">
        <v>10453.06</v>
      </c>
      <c r="E12" s="15">
        <v>10603.88</v>
      </c>
      <c r="F12" s="15">
        <v>11524.24</v>
      </c>
      <c r="G12" s="15">
        <v>13146.5</v>
      </c>
      <c r="I12" s="2" t="s">
        <v>70</v>
      </c>
      <c r="J12" s="28">
        <v>2561.52</v>
      </c>
      <c r="K12" s="28">
        <v>3546.52</v>
      </c>
      <c r="L12" s="28">
        <v>5429.97</v>
      </c>
      <c r="M12" s="28">
        <v>5084.3500000000004</v>
      </c>
      <c r="N12" s="28">
        <v>8789.2800000000007</v>
      </c>
      <c r="O12" s="28">
        <v>8126.05</v>
      </c>
      <c r="Q12" s="2" t="s">
        <v>70</v>
      </c>
      <c r="R12" s="28">
        <v>229.93</v>
      </c>
      <c r="S12" s="28">
        <v>341.96</v>
      </c>
      <c r="T12" s="28">
        <v>655.56</v>
      </c>
      <c r="U12" s="28">
        <v>710.53</v>
      </c>
      <c r="V12" s="28">
        <v>1703.5</v>
      </c>
      <c r="W12" s="28">
        <v>1657.43</v>
      </c>
      <c r="Y12" s="2" t="s">
        <v>81</v>
      </c>
      <c r="Z12" s="28">
        <v>13572.23</v>
      </c>
      <c r="AA12" s="28">
        <v>15010.12</v>
      </c>
      <c r="AB12" s="28">
        <v>16335</v>
      </c>
      <c r="AC12" s="28">
        <v>18038.310000000001</v>
      </c>
      <c r="AD12" s="28">
        <v>18097</v>
      </c>
      <c r="AE12" s="28">
        <v>21392.04</v>
      </c>
      <c r="AG12" s="13" t="s">
        <v>89</v>
      </c>
      <c r="AH12" s="30"/>
      <c r="AI12" s="30"/>
      <c r="AJ12" s="30"/>
      <c r="AK12" s="30"/>
      <c r="AL12" s="30"/>
      <c r="AM12" s="30"/>
      <c r="AO12" s="2" t="s">
        <v>16</v>
      </c>
      <c r="AP12" s="28">
        <v>44348</v>
      </c>
      <c r="AQ12" s="28">
        <v>65698</v>
      </c>
      <c r="AR12" s="28">
        <v>41951</v>
      </c>
      <c r="AS12" s="28">
        <v>22448</v>
      </c>
      <c r="AT12" s="28">
        <v>10051</v>
      </c>
      <c r="AU12" s="28">
        <v>4941</v>
      </c>
    </row>
    <row r="13" spans="1:47" x14ac:dyDescent="0.3">
      <c r="A13" s="2" t="s">
        <v>111</v>
      </c>
      <c r="B13" s="28">
        <v>10561.62</v>
      </c>
      <c r="C13" s="28">
        <v>19549.64</v>
      </c>
      <c r="D13" s="28">
        <v>18415.490000000002</v>
      </c>
      <c r="E13" s="28">
        <v>21700.65</v>
      </c>
      <c r="F13" s="28">
        <v>20561.41</v>
      </c>
      <c r="G13" s="28">
        <v>21090.68</v>
      </c>
      <c r="I13" s="2" t="s">
        <v>51</v>
      </c>
      <c r="J13" s="28">
        <v>1029.99</v>
      </c>
      <c r="K13" s="28">
        <v>1093.47</v>
      </c>
      <c r="L13" s="28">
        <v>1055.54</v>
      </c>
      <c r="M13" s="28">
        <v>1047.98</v>
      </c>
      <c r="N13" s="28">
        <v>1049.69</v>
      </c>
      <c r="O13" s="28">
        <v>1046.8800000000001</v>
      </c>
      <c r="Q13" s="2" t="s">
        <v>16</v>
      </c>
      <c r="R13" s="28">
        <v>1409.48</v>
      </c>
      <c r="S13" s="28">
        <v>979.21</v>
      </c>
      <c r="T13" s="28">
        <v>925.89</v>
      </c>
      <c r="U13" s="28">
        <v>977.81</v>
      </c>
      <c r="V13" s="28">
        <v>1201.4100000000001</v>
      </c>
      <c r="W13" s="28">
        <v>5148.97</v>
      </c>
      <c r="Y13" s="2" t="s">
        <v>50</v>
      </c>
      <c r="Z13" s="28">
        <v>13707.46</v>
      </c>
      <c r="AA13" s="28">
        <v>20424.09</v>
      </c>
      <c r="AB13" s="28">
        <v>28003.759999999998</v>
      </c>
      <c r="AC13" s="28">
        <v>23715.61</v>
      </c>
      <c r="AD13" s="28">
        <v>37065.040000000001</v>
      </c>
      <c r="AE13" s="28">
        <v>35457.550000000003</v>
      </c>
      <c r="AG13" s="2" t="s">
        <v>91</v>
      </c>
      <c r="AH13" s="28">
        <v>5589.94</v>
      </c>
      <c r="AI13" s="28">
        <v>5900.7070000000003</v>
      </c>
      <c r="AJ13" s="28">
        <v>7612.84</v>
      </c>
      <c r="AK13" s="28">
        <v>9725.9869999999992</v>
      </c>
      <c r="AL13" s="28">
        <v>9010.1319999999996</v>
      </c>
      <c r="AM13" s="28">
        <v>4047.3290000000002</v>
      </c>
      <c r="AO13" s="2" t="s">
        <v>22</v>
      </c>
      <c r="AP13" s="28">
        <v>0</v>
      </c>
      <c r="AQ13" s="28">
        <v>0</v>
      </c>
      <c r="AR13" s="28">
        <v>2247</v>
      </c>
      <c r="AS13" s="28">
        <v>2215</v>
      </c>
      <c r="AT13" s="28">
        <v>16902</v>
      </c>
      <c r="AU13" s="28">
        <v>15256</v>
      </c>
    </row>
    <row r="14" spans="1:47" x14ac:dyDescent="0.3">
      <c r="A14" s="2" t="s">
        <v>70</v>
      </c>
      <c r="B14" s="28">
        <v>287.86</v>
      </c>
      <c r="C14" s="28">
        <v>423.82</v>
      </c>
      <c r="D14" s="28">
        <v>758.14</v>
      </c>
      <c r="E14" s="28">
        <v>800.49</v>
      </c>
      <c r="F14" s="28">
        <v>1778.51</v>
      </c>
      <c r="G14" s="28">
        <v>1776.77</v>
      </c>
      <c r="I14" s="2" t="s">
        <v>52</v>
      </c>
      <c r="J14" s="28">
        <v>556.12</v>
      </c>
      <c r="K14" s="28">
        <v>390.36</v>
      </c>
      <c r="L14" s="28">
        <v>285.37</v>
      </c>
      <c r="M14" s="28">
        <v>281.20999999999998</v>
      </c>
      <c r="N14" s="28">
        <v>305.85000000000002</v>
      </c>
      <c r="O14" s="28">
        <v>329.02</v>
      </c>
      <c r="Q14" s="2" t="s">
        <v>22</v>
      </c>
      <c r="R14" s="28">
        <f>6.29+2702.07</f>
        <v>2708.36</v>
      </c>
      <c r="S14" s="28">
        <f>16.39+3073.25</f>
        <v>3089.64</v>
      </c>
      <c r="T14" s="28">
        <f>3337.66+145.55</f>
        <v>3483.21</v>
      </c>
      <c r="U14" s="28">
        <f>3677.97+192.63</f>
        <v>3870.6</v>
      </c>
      <c r="V14" s="28">
        <f>204.24+4329.47</f>
        <v>4533.71</v>
      </c>
      <c r="W14" s="28">
        <f>461.95+3488.65</f>
        <v>3950.6</v>
      </c>
      <c r="Y14" s="2" t="s">
        <v>16</v>
      </c>
      <c r="Z14" s="28">
        <v>3294.66</v>
      </c>
      <c r="AA14" s="28">
        <v>2615.2399999999998</v>
      </c>
      <c r="AB14" s="28">
        <v>2292.96</v>
      </c>
      <c r="AC14" s="28">
        <v>2285.11</v>
      </c>
      <c r="AD14" s="28">
        <v>2586.98</v>
      </c>
      <c r="AE14" s="28">
        <v>3223.44</v>
      </c>
      <c r="AG14" s="2" t="s">
        <v>92</v>
      </c>
      <c r="AH14" s="28">
        <v>19750.109</v>
      </c>
      <c r="AI14" s="28">
        <v>27472.641</v>
      </c>
      <c r="AJ14" s="28">
        <v>32260.77</v>
      </c>
      <c r="AK14" s="28">
        <v>35301.822</v>
      </c>
      <c r="AL14" s="28">
        <v>37305.961000000003</v>
      </c>
      <c r="AM14" s="28">
        <v>39269.055</v>
      </c>
      <c r="AO14" s="2" t="s">
        <v>54</v>
      </c>
      <c r="AP14" s="28">
        <v>4461</v>
      </c>
      <c r="AQ14" s="28">
        <v>4968</v>
      </c>
      <c r="AR14" s="28">
        <v>7297</v>
      </c>
      <c r="AS14" s="28">
        <v>2333</v>
      </c>
      <c r="AT14" s="28">
        <v>7403</v>
      </c>
      <c r="AU14" s="28">
        <v>5919</v>
      </c>
    </row>
    <row r="15" spans="1:47" x14ac:dyDescent="0.3">
      <c r="A15" s="2" t="s">
        <v>16</v>
      </c>
      <c r="B15" s="28">
        <v>5442.94</v>
      </c>
      <c r="C15" s="28">
        <v>5175.3100000000004</v>
      </c>
      <c r="D15" s="28">
        <v>3956.62</v>
      </c>
      <c r="E15" s="28">
        <v>4336.01</v>
      </c>
      <c r="F15" s="28">
        <v>4452.74</v>
      </c>
      <c r="G15" s="28">
        <v>4939.75</v>
      </c>
      <c r="I15" s="2" t="s">
        <v>22</v>
      </c>
      <c r="J15" s="28">
        <v>113.97</v>
      </c>
      <c r="K15" s="28">
        <v>356.12</v>
      </c>
      <c r="L15" s="28">
        <v>1144.03</v>
      </c>
      <c r="M15" s="28">
        <v>550.82000000000005</v>
      </c>
      <c r="N15" s="28">
        <v>329.36</v>
      </c>
      <c r="O15" s="28">
        <v>107.18</v>
      </c>
      <c r="Q15" s="11" t="s">
        <v>18</v>
      </c>
      <c r="R15" s="29">
        <f>SUM(R7:R14)</f>
        <v>79290.13</v>
      </c>
      <c r="S15" s="29">
        <f t="shared" ref="S15:W15" si="0">SUM(S7:S14)</f>
        <v>89992.630000000019</v>
      </c>
      <c r="T15" s="29">
        <f t="shared" si="0"/>
        <v>104938.26999999999</v>
      </c>
      <c r="U15" s="29">
        <f t="shared" si="0"/>
        <v>117363.49</v>
      </c>
      <c r="V15" s="29">
        <f t="shared" si="0"/>
        <v>129933.08</v>
      </c>
      <c r="W15" s="29">
        <f t="shared" si="0"/>
        <v>137039.80000000002</v>
      </c>
      <c r="Y15" s="2" t="s">
        <v>22</v>
      </c>
      <c r="Z15" s="28">
        <v>1430.85</v>
      </c>
      <c r="AA15" s="28">
        <v>1952.5</v>
      </c>
      <c r="AB15" s="28">
        <v>2639.28</v>
      </c>
      <c r="AC15" s="28">
        <v>1748.36</v>
      </c>
      <c r="AD15" s="28">
        <v>2360.8000000000002</v>
      </c>
      <c r="AE15" s="28">
        <v>2336.86</v>
      </c>
      <c r="AG15" s="2" t="s">
        <v>93</v>
      </c>
      <c r="AH15" s="28">
        <v>20495.577000000001</v>
      </c>
      <c r="AI15" s="28">
        <v>29548.035</v>
      </c>
      <c r="AJ15" s="28">
        <v>31610.94</v>
      </c>
      <c r="AK15" s="28">
        <v>28947.362000000001</v>
      </c>
      <c r="AL15" s="28">
        <f>21109.73+24229.713</f>
        <v>45339.442999999999</v>
      </c>
      <c r="AM15" s="28">
        <f>21634.896+22085.543</f>
        <v>43720.438999999998</v>
      </c>
      <c r="AO15" s="11" t="s">
        <v>83</v>
      </c>
      <c r="AP15" s="29">
        <f>SUM(AP7:AP14)</f>
        <v>805045</v>
      </c>
      <c r="AQ15" s="29">
        <f t="shared" ref="AQ15:AU15" si="1">SUM(AQ7:AQ14)</f>
        <v>662954</v>
      </c>
      <c r="AR15" s="29">
        <f t="shared" si="1"/>
        <v>656276</v>
      </c>
      <c r="AS15" s="29">
        <f t="shared" si="1"/>
        <v>624633</v>
      </c>
      <c r="AT15" s="29">
        <f t="shared" si="1"/>
        <v>697018</v>
      </c>
      <c r="AU15" s="29">
        <f t="shared" si="1"/>
        <v>752838</v>
      </c>
    </row>
    <row r="16" spans="1:47" x14ac:dyDescent="0.3">
      <c r="A16" s="2" t="s">
        <v>22</v>
      </c>
      <c r="B16" s="28">
        <v>8.3000000000000007</v>
      </c>
      <c r="C16" s="28">
        <v>184.6</v>
      </c>
      <c r="D16" s="28">
        <v>706.98</v>
      </c>
      <c r="E16" s="28">
        <v>537.57000000000005</v>
      </c>
      <c r="F16" s="28">
        <v>653.89</v>
      </c>
      <c r="G16" s="28">
        <v>757.48</v>
      </c>
      <c r="I16" s="2" t="s">
        <v>53</v>
      </c>
      <c r="J16" s="28">
        <v>676.47</v>
      </c>
      <c r="K16" s="28">
        <v>413.57</v>
      </c>
      <c r="L16" s="28">
        <v>432.04</v>
      </c>
      <c r="M16" s="28">
        <v>744.13</v>
      </c>
      <c r="N16" s="28">
        <v>888.44</v>
      </c>
      <c r="O16" s="28">
        <v>3.11</v>
      </c>
      <c r="Q16" s="13" t="s">
        <v>19</v>
      </c>
      <c r="R16" s="31"/>
      <c r="S16" s="31"/>
      <c r="T16" s="31"/>
      <c r="U16" s="31"/>
      <c r="V16" s="31"/>
      <c r="W16" s="31"/>
      <c r="Y16" s="2" t="s">
        <v>82</v>
      </c>
      <c r="Z16" s="28">
        <v>4236.2</v>
      </c>
      <c r="AA16" s="28">
        <v>2479.91</v>
      </c>
      <c r="AB16" s="28">
        <v>2819.51</v>
      </c>
      <c r="AC16" s="28">
        <v>1857.22</v>
      </c>
      <c r="AD16" s="28">
        <v>1827.98</v>
      </c>
      <c r="AE16" s="28">
        <v>1589.73</v>
      </c>
      <c r="AG16" s="2" t="s">
        <v>80</v>
      </c>
      <c r="AH16" s="28">
        <v>14236.65</v>
      </c>
      <c r="AI16" s="28">
        <v>13538.591</v>
      </c>
      <c r="AJ16" s="28">
        <v>7.8689999999999998</v>
      </c>
      <c r="AK16" s="28">
        <v>7.8680000000000003</v>
      </c>
      <c r="AL16" s="28">
        <v>7.867</v>
      </c>
      <c r="AM16" s="28">
        <v>7.8659999999999997</v>
      </c>
      <c r="AO16" s="13" t="s">
        <v>106</v>
      </c>
      <c r="AP16" s="31"/>
      <c r="AQ16" s="31"/>
      <c r="AR16" s="31"/>
      <c r="AS16" s="31"/>
      <c r="AT16" s="31"/>
      <c r="AU16" s="31"/>
    </row>
    <row r="17" spans="1:47" x14ac:dyDescent="0.3">
      <c r="A17" s="2" t="s">
        <v>82</v>
      </c>
      <c r="B17" s="28">
        <v>1381.25</v>
      </c>
      <c r="C17" s="28">
        <f>1158.07+3.53</f>
        <v>1161.5999999999999</v>
      </c>
      <c r="D17" s="28">
        <v>349.8</v>
      </c>
      <c r="E17" s="28">
        <v>485.95</v>
      </c>
      <c r="F17" s="28">
        <v>477.44</v>
      </c>
      <c r="G17" s="28">
        <v>226.43</v>
      </c>
      <c r="I17" s="2" t="s">
        <v>54</v>
      </c>
      <c r="J17" s="28">
        <v>1091.8599999999999</v>
      </c>
      <c r="K17" s="28">
        <v>1114.95</v>
      </c>
      <c r="L17" s="28">
        <v>864.66</v>
      </c>
      <c r="M17" s="28">
        <v>1034.23</v>
      </c>
      <c r="N17" s="28">
        <v>1146.76</v>
      </c>
      <c r="O17" s="28">
        <v>1139.6600000000001</v>
      </c>
      <c r="Q17" s="2" t="s">
        <v>20</v>
      </c>
      <c r="R17" s="28">
        <v>19325.990000000002</v>
      </c>
      <c r="S17" s="28">
        <v>28763.9</v>
      </c>
      <c r="T17" s="28">
        <v>35514.71</v>
      </c>
      <c r="U17" s="28">
        <v>29575</v>
      </c>
      <c r="V17" s="28">
        <v>34211.46</v>
      </c>
      <c r="W17" s="28">
        <v>38325.269999999997</v>
      </c>
      <c r="Y17" s="2" t="s">
        <v>54</v>
      </c>
      <c r="Z17" s="28">
        <v>2893.18</v>
      </c>
      <c r="AA17" s="28">
        <v>2850.04</v>
      </c>
      <c r="AB17" s="28">
        <v>3690.03</v>
      </c>
      <c r="AC17" s="28">
        <v>4070.95</v>
      </c>
      <c r="AD17" s="28">
        <v>4951.37</v>
      </c>
      <c r="AE17" s="28">
        <v>6160.83</v>
      </c>
      <c r="AG17" s="2" t="s">
        <v>94</v>
      </c>
      <c r="AH17" s="28">
        <v>7.7872000000000003</v>
      </c>
      <c r="AI17" s="28">
        <v>7.8710000000000004</v>
      </c>
      <c r="AJ17" s="28">
        <v>11205.648999999999</v>
      </c>
      <c r="AK17" s="28">
        <v>12033.412</v>
      </c>
      <c r="AL17" s="28">
        <v>12136.444</v>
      </c>
      <c r="AM17" s="28">
        <v>12762.487999999999</v>
      </c>
      <c r="AO17" s="2" t="s">
        <v>20</v>
      </c>
      <c r="AP17" s="28">
        <v>38802</v>
      </c>
      <c r="AQ17" s="28">
        <v>37437</v>
      </c>
      <c r="AR17" s="28">
        <v>45923</v>
      </c>
      <c r="AS17" s="28">
        <v>48926</v>
      </c>
      <c r="AT17" s="28">
        <v>85100</v>
      </c>
      <c r="AU17" s="28">
        <v>89216</v>
      </c>
    </row>
    <row r="18" spans="1:47" x14ac:dyDescent="0.3">
      <c r="A18" s="2" t="s">
        <v>54</v>
      </c>
      <c r="B18" s="28">
        <v>1267.95</v>
      </c>
      <c r="C18" s="28">
        <v>1276.1300000000001</v>
      </c>
      <c r="D18" s="28">
        <v>2007.83</v>
      </c>
      <c r="E18" s="28">
        <v>1311.12</v>
      </c>
      <c r="F18" s="28">
        <v>1797.44</v>
      </c>
      <c r="G18" s="28">
        <v>1743.87</v>
      </c>
      <c r="I18" s="11" t="s">
        <v>55</v>
      </c>
      <c r="J18" s="29">
        <f>SUM(J7:J17)</f>
        <v>63257.29</v>
      </c>
      <c r="K18" s="29">
        <f t="shared" ref="K18:O18" si="2">SUM(K7:K17)</f>
        <v>70517.73000000001</v>
      </c>
      <c r="L18" s="29">
        <f t="shared" si="2"/>
        <v>80252.249999999985</v>
      </c>
      <c r="M18" s="29">
        <f t="shared" si="2"/>
        <v>87250.060000000012</v>
      </c>
      <c r="N18" s="29">
        <f t="shared" si="2"/>
        <v>104445.42000000001</v>
      </c>
      <c r="O18" s="29">
        <f t="shared" si="2"/>
        <v>111647.03</v>
      </c>
      <c r="Q18" s="2" t="s">
        <v>50</v>
      </c>
      <c r="R18" s="28">
        <v>5344.86</v>
      </c>
      <c r="S18" s="28">
        <v>5417.58</v>
      </c>
      <c r="T18" s="28">
        <v>5371.52</v>
      </c>
      <c r="U18" s="28">
        <v>5168.8900000000003</v>
      </c>
      <c r="V18" s="28">
        <v>5182.7</v>
      </c>
      <c r="W18" s="28">
        <v>3252.49</v>
      </c>
      <c r="Y18" s="11" t="s">
        <v>83</v>
      </c>
      <c r="Z18" s="29">
        <f>SUM(Z7:Z17)</f>
        <v>219001.55000000002</v>
      </c>
      <c r="AA18" s="29">
        <f t="shared" ref="AA18:AE18" si="3">SUM(AA7:AA17)</f>
        <v>238707.23</v>
      </c>
      <c r="AB18" s="29">
        <f t="shared" si="3"/>
        <v>263764.16000000003</v>
      </c>
      <c r="AC18" s="29">
        <f t="shared" si="3"/>
        <v>282896.59999999998</v>
      </c>
      <c r="AD18" s="29">
        <f t="shared" si="3"/>
        <v>323919.37999999995</v>
      </c>
      <c r="AE18" s="29">
        <f t="shared" si="3"/>
        <v>349223.89999999991</v>
      </c>
      <c r="AG18" s="2" t="s">
        <v>15</v>
      </c>
      <c r="AH18" s="28">
        <v>764.14099999999996</v>
      </c>
      <c r="AI18" s="28">
        <v>886.84900000000005</v>
      </c>
      <c r="AJ18" s="28">
        <v>1027.4280000000001</v>
      </c>
      <c r="AK18" s="28">
        <v>973.60699999999997</v>
      </c>
      <c r="AL18" s="28">
        <v>1360.78</v>
      </c>
      <c r="AM18" s="28">
        <v>1420.7439999999999</v>
      </c>
      <c r="AO18" s="2" t="s">
        <v>50</v>
      </c>
      <c r="AP18" s="28">
        <v>70030</v>
      </c>
      <c r="AQ18" s="28">
        <v>94665</v>
      </c>
      <c r="AR18" s="28">
        <v>78304</v>
      </c>
      <c r="AS18" s="28">
        <v>86074</v>
      </c>
      <c r="AT18" s="28">
        <v>68663</v>
      </c>
      <c r="AU18" s="28">
        <v>57102</v>
      </c>
    </row>
    <row r="19" spans="1:47" x14ac:dyDescent="0.3">
      <c r="A19" s="11" t="s">
        <v>18</v>
      </c>
      <c r="B19" s="16">
        <f>SUM(B7:B18)</f>
        <v>85405.75</v>
      </c>
      <c r="C19" s="16">
        <f t="shared" ref="C19:G19" si="4">SUM(C7:C18)</f>
        <v>108906.70000000001</v>
      </c>
      <c r="D19" s="16">
        <f t="shared" si="4"/>
        <v>125529.26999999999</v>
      </c>
      <c r="E19" s="16">
        <f t="shared" si="4"/>
        <v>132095.84000000003</v>
      </c>
      <c r="F19" s="16">
        <f t="shared" si="4"/>
        <v>136723.64000000001</v>
      </c>
      <c r="G19" s="16">
        <f t="shared" si="4"/>
        <v>145549.99999999997</v>
      </c>
      <c r="I19" s="13" t="s">
        <v>19</v>
      </c>
      <c r="J19" s="30"/>
      <c r="K19" s="30"/>
      <c r="L19" s="30"/>
      <c r="M19" s="30"/>
      <c r="N19" s="30"/>
      <c r="O19" s="30"/>
      <c r="Q19" s="2" t="s">
        <v>51</v>
      </c>
      <c r="R19" s="28">
        <v>3934.19</v>
      </c>
      <c r="S19" s="28">
        <v>6869.99</v>
      </c>
      <c r="T19" s="28">
        <v>6340.31</v>
      </c>
      <c r="U19" s="28">
        <v>6832.38</v>
      </c>
      <c r="V19" s="28">
        <v>9324.09</v>
      </c>
      <c r="W19" s="28">
        <v>11780.71</v>
      </c>
      <c r="Y19" s="13" t="s">
        <v>19</v>
      </c>
      <c r="Z19" s="31"/>
      <c r="AA19" s="31"/>
      <c r="AB19" s="31"/>
      <c r="AC19" s="31"/>
      <c r="AD19" s="31"/>
      <c r="AE19" s="31"/>
      <c r="AG19" s="13" t="s">
        <v>68</v>
      </c>
      <c r="AH19" s="31"/>
      <c r="AI19" s="31"/>
      <c r="AJ19" s="31"/>
      <c r="AK19" s="31"/>
      <c r="AL19" s="31"/>
      <c r="AM19" s="31"/>
      <c r="AO19" s="2" t="s">
        <v>51</v>
      </c>
      <c r="AP19" s="28">
        <v>7483</v>
      </c>
      <c r="AQ19" s="28">
        <v>4159</v>
      </c>
      <c r="AR19" s="28">
        <v>14394</v>
      </c>
      <c r="AS19" s="28">
        <v>16898</v>
      </c>
      <c r="AT19" s="28">
        <v>14740</v>
      </c>
      <c r="AU19" s="28">
        <v>15591</v>
      </c>
    </row>
    <row r="20" spans="1:47" x14ac:dyDescent="0.3">
      <c r="A20" s="13" t="s">
        <v>19</v>
      </c>
      <c r="B20" s="17"/>
      <c r="C20" s="17"/>
      <c r="D20" s="17"/>
      <c r="E20" s="17"/>
      <c r="F20" s="17"/>
      <c r="G20" s="17"/>
      <c r="I20" s="2" t="s">
        <v>20</v>
      </c>
      <c r="J20" s="28">
        <v>3183.01</v>
      </c>
      <c r="K20" s="28">
        <v>2989.73</v>
      </c>
      <c r="L20" s="28">
        <v>3576.61</v>
      </c>
      <c r="M20" s="28">
        <v>5917.92</v>
      </c>
      <c r="N20" s="28">
        <v>5970</v>
      </c>
      <c r="O20" s="28">
        <v>6249.92</v>
      </c>
      <c r="Q20" s="2" t="s">
        <v>21</v>
      </c>
      <c r="R20" s="28">
        <v>204.76</v>
      </c>
      <c r="S20" s="28">
        <v>480.38</v>
      </c>
      <c r="T20" s="28">
        <v>233.85</v>
      </c>
      <c r="U20" s="28">
        <v>518.48</v>
      </c>
      <c r="V20" s="28">
        <v>279.85000000000002</v>
      </c>
      <c r="W20" s="28">
        <v>166.22</v>
      </c>
      <c r="Y20" s="2" t="s">
        <v>20</v>
      </c>
      <c r="Z20" s="28">
        <v>67010.759999999995</v>
      </c>
      <c r="AA20" s="28">
        <v>83427.460000000006</v>
      </c>
      <c r="AB20" s="28">
        <v>111736.51</v>
      </c>
      <c r="AC20" s="28">
        <v>121107.58</v>
      </c>
      <c r="AD20" s="28">
        <v>121375.83</v>
      </c>
      <c r="AE20" s="28">
        <v>113878.49</v>
      </c>
      <c r="AG20" s="2" t="s">
        <v>95</v>
      </c>
      <c r="AH20" s="28">
        <v>19402.48</v>
      </c>
      <c r="AI20" s="28">
        <v>18790.63</v>
      </c>
      <c r="AJ20" s="28">
        <v>15860.473</v>
      </c>
      <c r="AK20" s="28">
        <v>16392.493999999999</v>
      </c>
      <c r="AL20" s="28">
        <v>18456.391</v>
      </c>
      <c r="AM20" s="28">
        <v>19585.93</v>
      </c>
      <c r="AO20" s="2" t="s">
        <v>21</v>
      </c>
      <c r="AP20" s="28">
        <v>8485</v>
      </c>
      <c r="AQ20" s="28">
        <v>5573</v>
      </c>
      <c r="AR20" s="28">
        <v>161</v>
      </c>
      <c r="AS20" s="28">
        <v>595</v>
      </c>
      <c r="AT20" s="28">
        <v>69248</v>
      </c>
      <c r="AU20" s="28">
        <v>82471</v>
      </c>
    </row>
    <row r="21" spans="1:47" x14ac:dyDescent="0.3">
      <c r="A21" s="2" t="s">
        <v>20</v>
      </c>
      <c r="B21" s="18">
        <v>20421.060000000001</v>
      </c>
      <c r="C21" s="18">
        <v>26706.720000000001</v>
      </c>
      <c r="D21" s="18">
        <v>42178.74</v>
      </c>
      <c r="E21" s="18">
        <v>38069.19</v>
      </c>
      <c r="F21" s="18">
        <v>42836.13</v>
      </c>
      <c r="G21" s="18">
        <v>45265.19</v>
      </c>
      <c r="I21" s="2" t="s">
        <v>50</v>
      </c>
      <c r="J21" s="28">
        <v>0</v>
      </c>
      <c r="K21" s="28">
        <v>468.48</v>
      </c>
      <c r="L21" s="28">
        <v>7446.53</v>
      </c>
      <c r="M21" s="28">
        <v>10679.61</v>
      </c>
      <c r="N21" s="28">
        <v>9580.27</v>
      </c>
      <c r="O21" s="28">
        <v>9436.44</v>
      </c>
      <c r="Q21" s="2" t="s">
        <v>71</v>
      </c>
      <c r="R21" s="28">
        <v>18.36</v>
      </c>
      <c r="S21" s="28">
        <v>94.54</v>
      </c>
      <c r="T21" s="28">
        <v>24.12</v>
      </c>
      <c r="U21" s="28">
        <v>153.91999999999999</v>
      </c>
      <c r="V21" s="28">
        <v>193.58</v>
      </c>
      <c r="W21" s="28">
        <v>87.58</v>
      </c>
      <c r="Y21" s="2" t="s">
        <v>50</v>
      </c>
      <c r="Z21" s="28">
        <v>8291.18</v>
      </c>
      <c r="AA21" s="28">
        <v>9282.61</v>
      </c>
      <c r="AB21" s="28">
        <v>8013.2</v>
      </c>
      <c r="AC21" s="28">
        <v>10436.540000000001</v>
      </c>
      <c r="AD21" s="28">
        <v>10379.86</v>
      </c>
      <c r="AE21" s="28">
        <v>10368.91</v>
      </c>
      <c r="AG21" s="2" t="s">
        <v>96</v>
      </c>
      <c r="AH21" s="28">
        <v>18497.864000000001</v>
      </c>
      <c r="AI21" s="28">
        <v>18439.733</v>
      </c>
      <c r="AJ21" s="28">
        <v>19165.642</v>
      </c>
      <c r="AK21" s="28">
        <v>23283.305</v>
      </c>
      <c r="AL21" s="28">
        <v>1265</v>
      </c>
      <c r="AM21" s="28">
        <v>0</v>
      </c>
      <c r="AO21" s="2" t="s">
        <v>22</v>
      </c>
      <c r="AP21" s="28">
        <f>15028+16115</f>
        <v>31143</v>
      </c>
      <c r="AQ21" s="28">
        <f>993+59560</f>
        <v>60553</v>
      </c>
      <c r="AR21" s="28">
        <v>54901</v>
      </c>
      <c r="AS21" s="28">
        <v>49408</v>
      </c>
      <c r="AT21" s="28">
        <v>11747</v>
      </c>
      <c r="AU21" s="28">
        <v>15218</v>
      </c>
    </row>
    <row r="22" spans="1:47" x14ac:dyDescent="0.3">
      <c r="A22" s="2" t="s">
        <v>50</v>
      </c>
      <c r="B22" s="18">
        <v>5208.54</v>
      </c>
      <c r="C22" s="18">
        <v>6794.27</v>
      </c>
      <c r="D22" s="18">
        <v>4442.2700000000004</v>
      </c>
      <c r="E22" s="18">
        <v>4277.1400000000003</v>
      </c>
      <c r="F22" s="18">
        <v>4290.67</v>
      </c>
      <c r="G22" s="18">
        <v>3663.07</v>
      </c>
      <c r="I22" s="2" t="s">
        <v>51</v>
      </c>
      <c r="J22" s="28">
        <v>4818.3100000000004</v>
      </c>
      <c r="K22" s="28">
        <v>3501.5</v>
      </c>
      <c r="L22" s="28">
        <v>1519.8</v>
      </c>
      <c r="M22" s="28">
        <v>243.77</v>
      </c>
      <c r="N22" s="28">
        <v>1146.03</v>
      </c>
      <c r="O22" s="28">
        <v>1317.18</v>
      </c>
      <c r="Q22" s="2" t="s">
        <v>16</v>
      </c>
      <c r="R22" s="28">
        <v>409.86</v>
      </c>
      <c r="S22" s="28">
        <v>126.33</v>
      </c>
      <c r="T22" s="28">
        <v>155.18</v>
      </c>
      <c r="U22" s="28">
        <v>171.46</v>
      </c>
      <c r="V22" s="28">
        <v>107.97</v>
      </c>
      <c r="W22" s="28">
        <v>118.52</v>
      </c>
      <c r="Y22" s="2" t="s">
        <v>51</v>
      </c>
      <c r="Z22" s="28">
        <v>13259.48</v>
      </c>
      <c r="AA22" s="28">
        <v>13800.28</v>
      </c>
      <c r="AB22" s="28">
        <v>18700.419999999998</v>
      </c>
      <c r="AC22" s="28">
        <v>16271.21</v>
      </c>
      <c r="AD22" s="28">
        <v>13831.45</v>
      </c>
      <c r="AE22" s="28">
        <v>18550.96</v>
      </c>
      <c r="AG22" s="2" t="s">
        <v>93</v>
      </c>
      <c r="AH22" s="28">
        <v>96.757999999999996</v>
      </c>
      <c r="AI22" s="28">
        <v>180.251</v>
      </c>
      <c r="AJ22" s="28">
        <v>208.56200000000001</v>
      </c>
      <c r="AK22" s="28">
        <v>293.637</v>
      </c>
      <c r="AL22" s="28">
        <f>4219.238+51.998</f>
        <v>4271.2359999999999</v>
      </c>
      <c r="AM22" s="28">
        <f>5695.76+40.758</f>
        <v>5736.518</v>
      </c>
      <c r="AO22" s="2" t="s">
        <v>23</v>
      </c>
      <c r="AP22" s="28">
        <v>10711</v>
      </c>
      <c r="AQ22" s="28">
        <v>8332</v>
      </c>
      <c r="AR22" s="28">
        <v>7001</v>
      </c>
      <c r="AS22" s="28">
        <v>7220</v>
      </c>
      <c r="AT22" s="28">
        <v>13127</v>
      </c>
      <c r="AU22" s="28">
        <v>9965</v>
      </c>
    </row>
    <row r="23" spans="1:47" x14ac:dyDescent="0.3">
      <c r="A23" s="2" t="s">
        <v>51</v>
      </c>
      <c r="B23" s="18">
        <v>5164.34</v>
      </c>
      <c r="C23" s="18">
        <v>7834.77</v>
      </c>
      <c r="D23" s="18">
        <v>9707.4699999999993</v>
      </c>
      <c r="E23" s="18">
        <v>6723.78</v>
      </c>
      <c r="F23" s="18">
        <v>8342.0300000000007</v>
      </c>
      <c r="G23" s="18">
        <v>9338.98</v>
      </c>
      <c r="I23" s="2" t="s">
        <v>21</v>
      </c>
      <c r="J23" s="28">
        <v>624.13</v>
      </c>
      <c r="K23" s="28">
        <v>1506.59</v>
      </c>
      <c r="L23" s="28">
        <v>1284.23</v>
      </c>
      <c r="M23" s="28">
        <v>859.2</v>
      </c>
      <c r="N23" s="28">
        <v>566.1</v>
      </c>
      <c r="O23" s="28">
        <v>1403.34</v>
      </c>
      <c r="Q23" s="2" t="s">
        <v>22</v>
      </c>
      <c r="R23" s="28">
        <v>7970.43</v>
      </c>
      <c r="S23" s="28">
        <v>1975.77</v>
      </c>
      <c r="T23" s="28">
        <v>1508</v>
      </c>
      <c r="U23" s="28">
        <v>1041.67</v>
      </c>
      <c r="V23" s="28">
        <v>2556.35</v>
      </c>
      <c r="W23" s="28">
        <v>2727.13</v>
      </c>
      <c r="Y23" s="2" t="s">
        <v>21</v>
      </c>
      <c r="Z23" s="28">
        <v>1434.61</v>
      </c>
      <c r="AA23" s="28">
        <v>781.24</v>
      </c>
      <c r="AB23" s="28">
        <v>1176.5899999999999</v>
      </c>
      <c r="AC23" s="28">
        <v>996.35</v>
      </c>
      <c r="AD23" s="28">
        <v>1246.5899999999999</v>
      </c>
      <c r="AE23" s="28">
        <v>673.17</v>
      </c>
      <c r="AG23" s="13" t="s">
        <v>97</v>
      </c>
      <c r="AH23" s="31"/>
      <c r="AI23" s="31"/>
      <c r="AJ23" s="31"/>
      <c r="AK23" s="31"/>
      <c r="AL23" s="31"/>
      <c r="AM23" s="31"/>
      <c r="AO23" s="11" t="s">
        <v>24</v>
      </c>
      <c r="AP23" s="29">
        <f>SUM(AP17:AP22)</f>
        <v>166654</v>
      </c>
      <c r="AQ23" s="29">
        <f t="shared" ref="AQ23:AU23" si="5">SUM(AQ17:AQ22)</f>
        <v>210719</v>
      </c>
      <c r="AR23" s="29">
        <f t="shared" si="5"/>
        <v>200684</v>
      </c>
      <c r="AS23" s="29">
        <f t="shared" si="5"/>
        <v>209121</v>
      </c>
      <c r="AT23" s="29">
        <f t="shared" si="5"/>
        <v>262625</v>
      </c>
      <c r="AU23" s="29">
        <f t="shared" si="5"/>
        <v>269563</v>
      </c>
    </row>
    <row r="24" spans="1:47" x14ac:dyDescent="0.3">
      <c r="A24" s="2" t="s">
        <v>21</v>
      </c>
      <c r="B24" s="18">
        <v>98.27</v>
      </c>
      <c r="C24" s="18">
        <v>7567.57</v>
      </c>
      <c r="D24" s="18">
        <v>2159.04</v>
      </c>
      <c r="E24" s="18">
        <v>2312.7199999999998</v>
      </c>
      <c r="F24" s="18">
        <v>2300.7399999999998</v>
      </c>
      <c r="G24" s="18">
        <v>557.92999999999995</v>
      </c>
      <c r="I24" s="2" t="s">
        <v>112</v>
      </c>
      <c r="J24" s="28">
        <v>626.04</v>
      </c>
      <c r="K24" s="28">
        <v>518.04999999999995</v>
      </c>
      <c r="L24" s="28">
        <v>99.54</v>
      </c>
      <c r="M24" s="28">
        <v>67.989999999999995</v>
      </c>
      <c r="N24" s="28">
        <v>72.62</v>
      </c>
      <c r="O24" s="28">
        <v>74.47</v>
      </c>
      <c r="Q24" s="2" t="s">
        <v>23</v>
      </c>
      <c r="R24" s="28">
        <v>401.24</v>
      </c>
      <c r="S24" s="28">
        <v>425.92</v>
      </c>
      <c r="T24" s="28">
        <v>482.39</v>
      </c>
      <c r="U24" s="28">
        <v>463.73</v>
      </c>
      <c r="V24" s="28">
        <v>914.09</v>
      </c>
      <c r="W24" s="28">
        <v>1237.1500000000001</v>
      </c>
      <c r="Y24" s="2" t="s">
        <v>84</v>
      </c>
      <c r="Z24" s="28">
        <v>861.37</v>
      </c>
      <c r="AA24" s="28">
        <v>1693.49</v>
      </c>
      <c r="AB24" s="28">
        <v>643.54999999999995</v>
      </c>
      <c r="AC24" s="28">
        <v>1100.29</v>
      </c>
      <c r="AD24" s="28">
        <v>1910.46</v>
      </c>
      <c r="AE24" s="28">
        <v>2631.77</v>
      </c>
      <c r="AG24" s="2" t="s">
        <v>98</v>
      </c>
      <c r="AH24" s="28">
        <v>35352.173999999999</v>
      </c>
      <c r="AI24" s="28">
        <v>35546.593999999997</v>
      </c>
      <c r="AJ24" s="28">
        <v>36915.097999999998</v>
      </c>
      <c r="AK24" s="28">
        <v>53671.154000000002</v>
      </c>
      <c r="AL24" s="28">
        <v>54036.428</v>
      </c>
      <c r="AM24" s="28">
        <v>58647.459000000003</v>
      </c>
      <c r="AO24" s="11" t="s">
        <v>25</v>
      </c>
      <c r="AP24" s="29">
        <f>AP15+AP23</f>
        <v>971699</v>
      </c>
      <c r="AQ24" s="29">
        <f t="shared" ref="AQ24:AU24" si="6">AQ15+AQ23</f>
        <v>873673</v>
      </c>
      <c r="AR24" s="29">
        <f t="shared" si="6"/>
        <v>856960</v>
      </c>
      <c r="AS24" s="29">
        <f t="shared" si="6"/>
        <v>833754</v>
      </c>
      <c r="AT24" s="29">
        <f t="shared" si="6"/>
        <v>959643</v>
      </c>
      <c r="AU24" s="29">
        <f t="shared" si="6"/>
        <v>1022401</v>
      </c>
    </row>
    <row r="25" spans="1:47" x14ac:dyDescent="0.3">
      <c r="A25" s="2" t="s">
        <v>112</v>
      </c>
      <c r="B25" s="28">
        <v>17.510000000000002</v>
      </c>
      <c r="C25" s="28">
        <v>542.54</v>
      </c>
      <c r="D25" s="28">
        <v>77.650000000000006</v>
      </c>
      <c r="E25" s="28">
        <v>261.66000000000003</v>
      </c>
      <c r="F25" s="28">
        <v>3985.62</v>
      </c>
      <c r="G25" s="28">
        <v>9917.66</v>
      </c>
      <c r="I25" s="2" t="s">
        <v>52</v>
      </c>
      <c r="J25" s="28">
        <v>720.32</v>
      </c>
      <c r="K25" s="28">
        <v>685.67</v>
      </c>
      <c r="L25" s="28">
        <v>1679.42</v>
      </c>
      <c r="M25" s="28">
        <v>1823.79</v>
      </c>
      <c r="N25" s="28">
        <v>1540.36</v>
      </c>
      <c r="O25" s="28">
        <v>1150.99</v>
      </c>
      <c r="Q25" s="2" t="s">
        <v>72</v>
      </c>
      <c r="R25" s="28">
        <v>10.07</v>
      </c>
      <c r="S25" s="28">
        <v>12.67</v>
      </c>
      <c r="T25" s="28">
        <v>60.51</v>
      </c>
      <c r="U25" s="28">
        <v>50.49</v>
      </c>
      <c r="V25" s="28">
        <v>65.2</v>
      </c>
      <c r="W25" s="28">
        <v>9.77</v>
      </c>
      <c r="Y25" s="2" t="s">
        <v>16</v>
      </c>
      <c r="Z25" s="28">
        <v>1089.6400000000001</v>
      </c>
      <c r="AA25" s="28">
        <v>988.61</v>
      </c>
      <c r="AB25" s="28">
        <v>450.92</v>
      </c>
      <c r="AC25" s="28">
        <v>379.73</v>
      </c>
      <c r="AD25" s="28">
        <v>492.94</v>
      </c>
      <c r="AE25" s="28">
        <v>628.76</v>
      </c>
      <c r="AG25" s="2" t="s">
        <v>70</v>
      </c>
      <c r="AH25" s="28">
        <v>16058.14</v>
      </c>
      <c r="AI25" s="28">
        <v>19057.991000000002</v>
      </c>
      <c r="AJ25" s="28">
        <v>24355.512999999999</v>
      </c>
      <c r="AK25" s="28">
        <v>20032.559000000001</v>
      </c>
      <c r="AL25" s="28">
        <v>41444.934000000001</v>
      </c>
      <c r="AM25" s="28">
        <v>33717.451999999997</v>
      </c>
      <c r="AO25" s="13" t="s">
        <v>26</v>
      </c>
      <c r="AP25" s="31"/>
      <c r="AQ25" s="31"/>
      <c r="AR25" s="31"/>
      <c r="AS25" s="31"/>
      <c r="AT25" s="31"/>
      <c r="AU25" s="31"/>
    </row>
    <row r="26" spans="1:47" x14ac:dyDescent="0.3">
      <c r="A26" s="2" t="s">
        <v>16</v>
      </c>
      <c r="B26" s="28">
        <v>590.58000000000004</v>
      </c>
      <c r="C26" s="28">
        <v>132.5</v>
      </c>
      <c r="D26" s="28">
        <v>136</v>
      </c>
      <c r="E26" s="28">
        <v>142.63999999999999</v>
      </c>
      <c r="F26" s="28">
        <v>136.91999999999999</v>
      </c>
      <c r="G26" s="28">
        <v>141.87</v>
      </c>
      <c r="I26" s="2" t="s">
        <v>22</v>
      </c>
      <c r="J26" s="28">
        <v>766.26</v>
      </c>
      <c r="K26" s="28">
        <v>487.19</v>
      </c>
      <c r="L26" s="28">
        <v>0</v>
      </c>
      <c r="M26" s="28">
        <v>0</v>
      </c>
      <c r="N26" s="28">
        <v>0</v>
      </c>
      <c r="O26" s="28">
        <v>23.88</v>
      </c>
      <c r="Q26" s="11" t="s">
        <v>24</v>
      </c>
      <c r="R26" s="29">
        <f>SUM(R17:R25)</f>
        <v>37619.759999999995</v>
      </c>
      <c r="S26" s="29">
        <f t="shared" ref="S26:W26" si="7">SUM(S17:S25)</f>
        <v>44167.079999999994</v>
      </c>
      <c r="T26" s="29">
        <f t="shared" si="7"/>
        <v>49690.59</v>
      </c>
      <c r="U26" s="29">
        <f t="shared" si="7"/>
        <v>43976.02</v>
      </c>
      <c r="V26" s="29">
        <f t="shared" si="7"/>
        <v>52835.289999999994</v>
      </c>
      <c r="W26" s="29">
        <f t="shared" si="7"/>
        <v>57704.839999999989</v>
      </c>
      <c r="Y26" s="2" t="s">
        <v>22</v>
      </c>
      <c r="Z26" s="28">
        <v>14340.19</v>
      </c>
      <c r="AA26" s="28">
        <v>2256.04</v>
      </c>
      <c r="AB26" s="28">
        <v>1537.72</v>
      </c>
      <c r="AC26" s="28">
        <v>2660.79</v>
      </c>
      <c r="AD26" s="28">
        <v>2760.99</v>
      </c>
      <c r="AE26" s="28">
        <v>2259.46</v>
      </c>
      <c r="AG26" s="2" t="s">
        <v>51</v>
      </c>
      <c r="AH26" s="28">
        <v>2374.0970000000002</v>
      </c>
      <c r="AI26" s="28">
        <v>2562.9560000000001</v>
      </c>
      <c r="AJ26" s="28">
        <v>2476.5010000000002</v>
      </c>
      <c r="AK26" s="28">
        <v>2622.4859999999999</v>
      </c>
      <c r="AL26" s="28">
        <v>2535.4780000000001</v>
      </c>
      <c r="AM26" s="28">
        <v>2379.2289999999998</v>
      </c>
      <c r="AO26" s="13" t="s">
        <v>27</v>
      </c>
      <c r="AP26" s="31"/>
      <c r="AQ26" s="31"/>
      <c r="AR26" s="31"/>
      <c r="AS26" s="31"/>
      <c r="AT26" s="31"/>
      <c r="AU26" s="31"/>
    </row>
    <row r="27" spans="1:47" x14ac:dyDescent="0.3">
      <c r="A27" s="2" t="s">
        <v>22</v>
      </c>
      <c r="B27" s="28">
        <v>6811.24</v>
      </c>
      <c r="C27" s="28">
        <v>599.95000000000005</v>
      </c>
      <c r="D27" s="28">
        <v>559.66</v>
      </c>
      <c r="E27" s="28">
        <v>1101.6600000000001</v>
      </c>
      <c r="F27" s="28">
        <v>1257.95</v>
      </c>
      <c r="G27" s="28">
        <v>1771.88</v>
      </c>
      <c r="I27" s="2" t="s">
        <v>23</v>
      </c>
      <c r="J27" s="28">
        <v>918.82</v>
      </c>
      <c r="K27" s="28">
        <v>710.02</v>
      </c>
      <c r="L27" s="28">
        <v>701.02</v>
      </c>
      <c r="M27" s="28">
        <v>938.41</v>
      </c>
      <c r="N27" s="28">
        <v>1396.43</v>
      </c>
      <c r="O27" s="28">
        <v>1845.48</v>
      </c>
      <c r="Q27" s="11" t="s">
        <v>73</v>
      </c>
      <c r="R27" s="29">
        <f>R15+R26</f>
        <v>116909.89</v>
      </c>
      <c r="S27" s="29">
        <f t="shared" ref="S27:W27" si="8">S15+S26</f>
        <v>134159.71000000002</v>
      </c>
      <c r="T27" s="29">
        <f t="shared" si="8"/>
        <v>154628.85999999999</v>
      </c>
      <c r="U27" s="29">
        <f t="shared" si="8"/>
        <v>161339.51</v>
      </c>
      <c r="V27" s="29">
        <f t="shared" si="8"/>
        <v>182768.37</v>
      </c>
      <c r="W27" s="29">
        <f t="shared" si="8"/>
        <v>194744.64</v>
      </c>
      <c r="Y27" s="2" t="s">
        <v>85</v>
      </c>
      <c r="Z27" s="28">
        <v>55.62</v>
      </c>
      <c r="AA27" s="28">
        <v>0</v>
      </c>
      <c r="AB27" s="28">
        <v>0</v>
      </c>
      <c r="AC27" s="28">
        <v>0</v>
      </c>
      <c r="AD27" s="28">
        <v>0.82</v>
      </c>
      <c r="AE27" s="28">
        <v>725.05</v>
      </c>
      <c r="AG27" s="2" t="s">
        <v>16</v>
      </c>
      <c r="AH27" s="28">
        <v>3214.5810000000001</v>
      </c>
      <c r="AI27" s="28">
        <v>2821.86</v>
      </c>
      <c r="AJ27" s="28">
        <v>2643.7170000000001</v>
      </c>
      <c r="AK27" s="28">
        <v>2965.5590000000002</v>
      </c>
      <c r="AL27" s="28">
        <v>3442.5929999999998</v>
      </c>
      <c r="AM27" s="28">
        <v>7584.73</v>
      </c>
      <c r="AO27" s="2" t="s">
        <v>28</v>
      </c>
      <c r="AP27" s="28">
        <v>6339</v>
      </c>
      <c r="AQ27" s="28">
        <v>6445</v>
      </c>
      <c r="AR27" s="28">
        <v>6765</v>
      </c>
      <c r="AS27" s="28">
        <v>6766</v>
      </c>
      <c r="AT27" s="28">
        <v>6766</v>
      </c>
      <c r="AU27" s="28">
        <v>13532</v>
      </c>
    </row>
    <row r="28" spans="1:47" x14ac:dyDescent="0.3">
      <c r="A28" s="2" t="s">
        <v>113</v>
      </c>
      <c r="B28" s="28">
        <v>0.17</v>
      </c>
      <c r="C28" s="28">
        <v>535.21</v>
      </c>
      <c r="D28" s="28">
        <v>894.89</v>
      </c>
      <c r="E28" s="28">
        <v>969.11</v>
      </c>
      <c r="F28" s="28">
        <v>827.9</v>
      </c>
      <c r="G28" s="28">
        <v>164.66</v>
      </c>
      <c r="I28" s="11" t="s">
        <v>24</v>
      </c>
      <c r="J28" s="29">
        <f>SUM(J20:J27)</f>
        <v>11656.890000000001</v>
      </c>
      <c r="K28" s="29">
        <f t="shared" ref="K28:O28" si="9">SUM(K20:K27)</f>
        <v>10867.23</v>
      </c>
      <c r="L28" s="29">
        <f t="shared" si="9"/>
        <v>16307.15</v>
      </c>
      <c r="M28" s="29">
        <f t="shared" si="9"/>
        <v>20530.690000000002</v>
      </c>
      <c r="N28" s="29">
        <f t="shared" si="9"/>
        <v>20271.809999999998</v>
      </c>
      <c r="O28" s="29">
        <f t="shared" si="9"/>
        <v>21501.700000000004</v>
      </c>
      <c r="Q28" s="13" t="s">
        <v>26</v>
      </c>
      <c r="R28" s="31"/>
      <c r="S28" s="31"/>
      <c r="T28" s="31"/>
      <c r="U28" s="31"/>
      <c r="V28" s="31"/>
      <c r="W28" s="31"/>
      <c r="Y28" s="2" t="s">
        <v>23</v>
      </c>
      <c r="Z28" s="28">
        <v>4157.2</v>
      </c>
      <c r="AA28" s="28">
        <v>3786.06</v>
      </c>
      <c r="AB28" s="28">
        <v>3813.53</v>
      </c>
      <c r="AC28" s="28">
        <v>4929.57</v>
      </c>
      <c r="AD28" s="28">
        <v>5212.25</v>
      </c>
      <c r="AE28" s="28">
        <v>6414.73</v>
      </c>
      <c r="AG28" s="2" t="s">
        <v>99</v>
      </c>
      <c r="AH28" s="28">
        <v>22283.606</v>
      </c>
      <c r="AI28" s="28">
        <v>23511.47</v>
      </c>
      <c r="AJ28" s="28">
        <v>24872.18</v>
      </c>
      <c r="AK28" s="28">
        <v>26751.157999999999</v>
      </c>
      <c r="AL28" s="28">
        <v>28571.040000000001</v>
      </c>
      <c r="AM28" s="28">
        <v>30848.792000000001</v>
      </c>
      <c r="AO28" s="2" t="s">
        <v>29</v>
      </c>
      <c r="AP28" s="28">
        <v>384876</v>
      </c>
      <c r="AQ28" s="28">
        <v>468038</v>
      </c>
      <c r="AR28" s="28">
        <v>464762</v>
      </c>
      <c r="AS28" s="28">
        <v>472328</v>
      </c>
      <c r="AT28" s="28">
        <v>508330</v>
      </c>
      <c r="AU28" s="28">
        <v>529555</v>
      </c>
    </row>
    <row r="29" spans="1:47" x14ac:dyDescent="0.3">
      <c r="A29" s="2" t="s">
        <v>23</v>
      </c>
      <c r="B29" s="28">
        <v>1545.68</v>
      </c>
      <c r="C29" s="28">
        <v>1339.82</v>
      </c>
      <c r="D29" s="28">
        <v>1830.98</v>
      </c>
      <c r="E29" s="28">
        <v>2167.5500000000002</v>
      </c>
      <c r="F29" s="28">
        <v>1673.73</v>
      </c>
      <c r="G29" s="28">
        <v>1978.67</v>
      </c>
      <c r="I29" s="11" t="s">
        <v>25</v>
      </c>
      <c r="J29" s="29">
        <f t="shared" ref="J29:O29" si="10">J18+J28</f>
        <v>74914.180000000008</v>
      </c>
      <c r="K29" s="29">
        <f t="shared" si="10"/>
        <v>81384.960000000006</v>
      </c>
      <c r="L29" s="29">
        <f t="shared" si="10"/>
        <v>96559.39999999998</v>
      </c>
      <c r="M29" s="29">
        <f t="shared" si="10"/>
        <v>107780.75000000001</v>
      </c>
      <c r="N29" s="29">
        <f t="shared" si="10"/>
        <v>124717.23000000001</v>
      </c>
      <c r="O29" s="29">
        <f t="shared" si="10"/>
        <v>133148.73000000001</v>
      </c>
      <c r="Q29" s="13" t="s">
        <v>27</v>
      </c>
      <c r="R29" s="31"/>
      <c r="S29" s="31"/>
      <c r="T29" s="31"/>
      <c r="U29" s="31"/>
      <c r="V29" s="31"/>
      <c r="W29" s="31"/>
      <c r="Y29" s="2" t="s">
        <v>86</v>
      </c>
      <c r="Z29" s="28">
        <v>235.23</v>
      </c>
      <c r="AA29" s="28">
        <v>192.9</v>
      </c>
      <c r="AB29" s="28">
        <v>788.25</v>
      </c>
      <c r="AC29" s="28">
        <v>983.43</v>
      </c>
      <c r="AD29" s="28">
        <v>1231.43</v>
      </c>
      <c r="AE29" s="28">
        <v>1511.85</v>
      </c>
      <c r="AG29" s="2" t="s">
        <v>100</v>
      </c>
      <c r="AH29" s="28">
        <v>0</v>
      </c>
      <c r="AI29" s="28">
        <v>0</v>
      </c>
      <c r="AJ29" s="28">
        <v>0</v>
      </c>
      <c r="AK29" s="28">
        <v>0</v>
      </c>
      <c r="AL29" s="28">
        <v>0</v>
      </c>
      <c r="AM29" s="28">
        <v>0</v>
      </c>
      <c r="AO29" s="11" t="s">
        <v>56</v>
      </c>
      <c r="AP29" s="29">
        <f>AP27+AP28</f>
        <v>391215</v>
      </c>
      <c r="AQ29" s="29">
        <f t="shared" ref="AQ29:AU29" si="11">AQ27+AQ28</f>
        <v>474483</v>
      </c>
      <c r="AR29" s="29">
        <f t="shared" si="11"/>
        <v>471527</v>
      </c>
      <c r="AS29" s="29">
        <f t="shared" si="11"/>
        <v>479094</v>
      </c>
      <c r="AT29" s="29">
        <f t="shared" si="11"/>
        <v>515096</v>
      </c>
      <c r="AU29" s="29">
        <f t="shared" si="11"/>
        <v>543087</v>
      </c>
    </row>
    <row r="30" spans="1:47" x14ac:dyDescent="0.3">
      <c r="A30" s="2" t="s">
        <v>86</v>
      </c>
      <c r="B30" s="28">
        <v>1205.8399999999999</v>
      </c>
      <c r="C30" s="28">
        <v>21.5</v>
      </c>
      <c r="D30" s="28">
        <v>12.66</v>
      </c>
      <c r="E30" s="28">
        <v>16.8</v>
      </c>
      <c r="F30" s="28">
        <v>42.42</v>
      </c>
      <c r="G30" s="28">
        <v>32.31</v>
      </c>
      <c r="I30" s="13" t="s">
        <v>26</v>
      </c>
      <c r="J30" s="31"/>
      <c r="K30" s="31"/>
      <c r="L30" s="31"/>
      <c r="M30" s="31"/>
      <c r="N30" s="31"/>
      <c r="O30" s="31"/>
      <c r="Q30" s="2" t="s">
        <v>28</v>
      </c>
      <c r="R30" s="28">
        <v>1524.21</v>
      </c>
      <c r="S30" s="28">
        <v>1452.41</v>
      </c>
      <c r="T30" s="28">
        <v>1418.94</v>
      </c>
      <c r="U30" s="28">
        <v>1418.94</v>
      </c>
      <c r="V30" s="28">
        <v>1418.94</v>
      </c>
      <c r="W30" s="28">
        <v>2128.21</v>
      </c>
      <c r="Y30" s="11" t="s">
        <v>24</v>
      </c>
      <c r="Z30" s="29">
        <f>SUM(Z20:Z29)</f>
        <v>110735.27999999998</v>
      </c>
      <c r="AA30" s="29">
        <f t="shared" ref="AA30:AE30" si="12">SUM(AA20:AA29)</f>
        <v>116208.69</v>
      </c>
      <c r="AB30" s="29">
        <f t="shared" si="12"/>
        <v>146860.69</v>
      </c>
      <c r="AC30" s="29">
        <f t="shared" si="12"/>
        <v>158865.49000000002</v>
      </c>
      <c r="AD30" s="29">
        <f t="shared" si="12"/>
        <v>158442.62</v>
      </c>
      <c r="AE30" s="29">
        <f t="shared" si="12"/>
        <v>157643.15000000002</v>
      </c>
      <c r="AG30" s="2" t="s">
        <v>93</v>
      </c>
      <c r="AH30" s="28">
        <v>4136.8959999999997</v>
      </c>
      <c r="AI30" s="28">
        <v>3830.7370000000001</v>
      </c>
      <c r="AJ30" s="28">
        <v>7993.0569999999998</v>
      </c>
      <c r="AK30" s="28">
        <v>9421.5879999999997</v>
      </c>
      <c r="AL30" s="28">
        <v>10519.071</v>
      </c>
      <c r="AM30" s="28">
        <v>12098.23</v>
      </c>
      <c r="AO30" s="13" t="s">
        <v>104</v>
      </c>
      <c r="AP30" s="31"/>
      <c r="AQ30" s="31"/>
      <c r="AR30" s="31"/>
      <c r="AS30" s="31"/>
      <c r="AT30" s="31"/>
      <c r="AU30" s="31"/>
    </row>
    <row r="31" spans="1:47" x14ac:dyDescent="0.3">
      <c r="A31" s="11" t="s">
        <v>24</v>
      </c>
      <c r="B31" s="16">
        <f>SUM(B21:B30)</f>
        <v>41063.229999999996</v>
      </c>
      <c r="C31" s="16">
        <f t="shared" ref="C31:G31" si="13">SUM(C21:C30)</f>
        <v>52074.850000000006</v>
      </c>
      <c r="D31" s="16">
        <f t="shared" si="13"/>
        <v>61999.360000000008</v>
      </c>
      <c r="E31" s="16">
        <f t="shared" si="13"/>
        <v>56042.250000000015</v>
      </c>
      <c r="F31" s="16">
        <f t="shared" si="13"/>
        <v>65694.109999999986</v>
      </c>
      <c r="G31" s="16">
        <f t="shared" si="13"/>
        <v>72832.22</v>
      </c>
      <c r="I31" s="13" t="s">
        <v>27</v>
      </c>
      <c r="J31" s="31"/>
      <c r="K31" s="31"/>
      <c r="L31" s="31"/>
      <c r="M31" s="31"/>
      <c r="N31" s="31"/>
      <c r="O31" s="31"/>
      <c r="Q31" s="2" t="s">
        <v>29</v>
      </c>
      <c r="R31" s="28">
        <v>29456.41</v>
      </c>
      <c r="S31" s="28">
        <v>36628.449999999997</v>
      </c>
      <c r="T31" s="28">
        <v>39985.269999999997</v>
      </c>
      <c r="U31" s="28">
        <v>30844.33</v>
      </c>
      <c r="V31" s="28">
        <v>45502.41</v>
      </c>
      <c r="W31" s="28">
        <v>49016.08</v>
      </c>
      <c r="Y31" s="11" t="s">
        <v>73</v>
      </c>
      <c r="Z31" s="29">
        <f>Z18+Z30</f>
        <v>329736.83</v>
      </c>
      <c r="AA31" s="29">
        <f t="shared" ref="AA31:AE31" si="14">AA18+AA30</f>
        <v>354915.92000000004</v>
      </c>
      <c r="AB31" s="29">
        <f t="shared" si="14"/>
        <v>410624.85000000003</v>
      </c>
      <c r="AC31" s="29">
        <f t="shared" si="14"/>
        <v>441762.08999999997</v>
      </c>
      <c r="AD31" s="29">
        <f t="shared" si="14"/>
        <v>482361.99999999994</v>
      </c>
      <c r="AE31" s="29">
        <f t="shared" si="14"/>
        <v>506867.04999999993</v>
      </c>
      <c r="AG31" s="2" t="s">
        <v>17</v>
      </c>
      <c r="AH31" s="28">
        <v>2667.4949999999999</v>
      </c>
      <c r="AI31" s="28">
        <v>2693.6439999999998</v>
      </c>
      <c r="AJ31" s="28">
        <v>3327.9349999999999</v>
      </c>
      <c r="AK31" s="28">
        <v>2414.5859999999998</v>
      </c>
      <c r="AL31" s="28">
        <v>6381.8710000000001</v>
      </c>
      <c r="AM31" s="28">
        <v>7077.5569999999998</v>
      </c>
      <c r="AO31" s="13" t="s">
        <v>107</v>
      </c>
      <c r="AP31" s="31"/>
      <c r="AQ31" s="31"/>
      <c r="AR31" s="31"/>
      <c r="AS31" s="31"/>
      <c r="AT31" s="31"/>
      <c r="AU31" s="31"/>
    </row>
    <row r="32" spans="1:47" x14ac:dyDescent="0.3">
      <c r="A32" s="11" t="s">
        <v>25</v>
      </c>
      <c r="B32" s="16">
        <f t="shared" ref="B32:G32" si="15">B19+B31</f>
        <v>126468.98</v>
      </c>
      <c r="C32" s="16">
        <f t="shared" si="15"/>
        <v>160981.55000000002</v>
      </c>
      <c r="D32" s="16">
        <f t="shared" si="15"/>
        <v>187528.63</v>
      </c>
      <c r="E32" s="16">
        <f t="shared" si="15"/>
        <v>188138.09000000003</v>
      </c>
      <c r="F32" s="16">
        <f t="shared" si="15"/>
        <v>202417.75</v>
      </c>
      <c r="G32" s="16">
        <f t="shared" si="15"/>
        <v>218382.21999999997</v>
      </c>
      <c r="I32" s="2" t="s">
        <v>28</v>
      </c>
      <c r="J32" s="28">
        <v>4510.1400000000003</v>
      </c>
      <c r="K32" s="28">
        <v>4440.3900000000003</v>
      </c>
      <c r="L32" s="28">
        <v>4440.3900000000003</v>
      </c>
      <c r="M32" s="28">
        <v>6575.1</v>
      </c>
      <c r="N32" s="28">
        <v>6575.1</v>
      </c>
      <c r="O32" s="28">
        <v>6575.1</v>
      </c>
      <c r="Q32" s="11" t="s">
        <v>56</v>
      </c>
      <c r="R32" s="29">
        <f>R30+R31</f>
        <v>30980.62</v>
      </c>
      <c r="S32" s="29">
        <f t="shared" ref="S32:W32" si="16">S30+S31</f>
        <v>38080.86</v>
      </c>
      <c r="T32" s="29">
        <f t="shared" si="16"/>
        <v>41404.21</v>
      </c>
      <c r="U32" s="29">
        <f t="shared" si="16"/>
        <v>32263.27</v>
      </c>
      <c r="V32" s="29">
        <f t="shared" si="16"/>
        <v>46921.350000000006</v>
      </c>
      <c r="W32" s="29">
        <f t="shared" si="16"/>
        <v>51144.29</v>
      </c>
      <c r="Y32" s="13" t="s">
        <v>26</v>
      </c>
      <c r="Z32" s="31"/>
      <c r="AA32" s="31"/>
      <c r="AB32" s="31"/>
      <c r="AC32" s="31"/>
      <c r="AD32" s="31"/>
      <c r="AE32" s="31"/>
      <c r="AG32" s="2" t="s">
        <v>53</v>
      </c>
      <c r="AH32" s="28">
        <v>10759.995000000001</v>
      </c>
      <c r="AI32" s="28">
        <v>9588.4789999999994</v>
      </c>
      <c r="AJ32" s="28">
        <v>10518.589</v>
      </c>
      <c r="AK32" s="28">
        <v>14254.502</v>
      </c>
      <c r="AL32" s="28">
        <v>14873.245000000001</v>
      </c>
      <c r="AM32" s="28">
        <v>14676.319</v>
      </c>
      <c r="AO32" s="2" t="s">
        <v>57</v>
      </c>
      <c r="AP32" s="28">
        <v>194402</v>
      </c>
      <c r="AQ32" s="28">
        <v>160598</v>
      </c>
      <c r="AR32" s="28">
        <v>167231</v>
      </c>
      <c r="AS32" s="28">
        <v>135561</v>
      </c>
      <c r="AT32" s="28">
        <v>161059</v>
      </c>
      <c r="AU32" s="28">
        <v>172025</v>
      </c>
    </row>
    <row r="33" spans="1:48" x14ac:dyDescent="0.3">
      <c r="A33" s="13" t="s">
        <v>26</v>
      </c>
      <c r="B33" s="17"/>
      <c r="C33" s="17"/>
      <c r="D33" s="17"/>
      <c r="E33" s="17"/>
      <c r="F33" s="17"/>
      <c r="G33" s="17"/>
      <c r="I33" s="2" t="s">
        <v>29</v>
      </c>
      <c r="J33" s="28">
        <v>44758.11</v>
      </c>
      <c r="K33" s="28">
        <v>48741.95</v>
      </c>
      <c r="L33" s="28">
        <v>59673.89</v>
      </c>
      <c r="M33" s="28">
        <v>58352.33</v>
      </c>
      <c r="N33" s="28">
        <v>70422.080000000002</v>
      </c>
      <c r="O33" s="28">
        <v>78422.45</v>
      </c>
      <c r="Q33" s="13" t="s">
        <v>74</v>
      </c>
      <c r="R33" s="31"/>
      <c r="S33" s="31"/>
      <c r="T33" s="31"/>
      <c r="U33" s="31"/>
      <c r="V33" s="31"/>
      <c r="W33" s="31"/>
      <c r="Y33" s="13" t="s">
        <v>27</v>
      </c>
      <c r="Z33" s="31"/>
      <c r="AA33" s="31"/>
      <c r="AB33" s="31"/>
      <c r="AC33" s="31"/>
      <c r="AD33" s="31"/>
      <c r="AE33" s="31"/>
      <c r="AG33" s="2" t="s">
        <v>54</v>
      </c>
      <c r="AH33" s="28">
        <v>4736.8220000000001</v>
      </c>
      <c r="AI33" s="28">
        <v>6388.3549999999996</v>
      </c>
      <c r="AJ33" s="28">
        <v>5176.63</v>
      </c>
      <c r="AK33" s="28">
        <v>3480.5569999999998</v>
      </c>
      <c r="AL33" s="28">
        <v>4060.2860000000001</v>
      </c>
      <c r="AM33" s="28">
        <v>4371.3590000000004</v>
      </c>
      <c r="AO33" s="2" t="s">
        <v>58</v>
      </c>
      <c r="AP33" s="28">
        <v>0</v>
      </c>
      <c r="AQ33" s="28">
        <v>0</v>
      </c>
      <c r="AR33" s="28">
        <v>2790</v>
      </c>
      <c r="AS33" s="28">
        <v>2786</v>
      </c>
      <c r="AT33" s="28">
        <v>2692</v>
      </c>
      <c r="AU33" s="28">
        <v>2627</v>
      </c>
    </row>
    <row r="34" spans="1:48" x14ac:dyDescent="0.3">
      <c r="A34" s="13" t="s">
        <v>27</v>
      </c>
      <c r="B34" s="17"/>
      <c r="C34" s="17"/>
      <c r="D34" s="17"/>
      <c r="E34" s="17"/>
      <c r="F34" s="17"/>
      <c r="G34" s="17"/>
      <c r="I34" s="2" t="s">
        <v>103</v>
      </c>
      <c r="J34" s="28">
        <v>87.04</v>
      </c>
      <c r="K34" s="28">
        <v>97.49</v>
      </c>
      <c r="L34" s="28">
        <v>191.18</v>
      </c>
      <c r="M34" s="28">
        <v>179.55</v>
      </c>
      <c r="N34" s="28">
        <v>198.6</v>
      </c>
      <c r="O34" s="28">
        <v>242.93</v>
      </c>
      <c r="Q34" s="2" t="s">
        <v>57</v>
      </c>
      <c r="R34" s="28">
        <v>23109.63</v>
      </c>
      <c r="S34" s="28">
        <v>27764.42</v>
      </c>
      <c r="T34" s="28">
        <v>32115.279999999999</v>
      </c>
      <c r="U34" s="28">
        <v>48171.47</v>
      </c>
      <c r="V34" s="28">
        <v>37943.040000000001</v>
      </c>
      <c r="W34" s="28">
        <v>34650.769999999997</v>
      </c>
      <c r="Y34" s="2" t="s">
        <v>28</v>
      </c>
      <c r="Z34" s="28">
        <v>9181.0400000000009</v>
      </c>
      <c r="AA34" s="28">
        <v>9181.0400000000009</v>
      </c>
      <c r="AB34" s="28">
        <v>9181.0400000000009</v>
      </c>
      <c r="AC34" s="28">
        <v>13771.56</v>
      </c>
      <c r="AD34" s="28">
        <v>13771.56</v>
      </c>
      <c r="AE34" s="28">
        <v>13771.56</v>
      </c>
      <c r="AG34" s="11" t="s">
        <v>83</v>
      </c>
      <c r="AH34" s="29">
        <f>SUM(AH8:AH10,AH13:AH18,AH20:AH22,AH24:AH33)</f>
        <v>429308.41020000004</v>
      </c>
      <c r="AI34" s="29">
        <f t="shared" ref="AI34:AM34" si="17">SUM(AI8:AI10,AI13:AI18,AI20:AI22,AI24:AI33)</f>
        <v>450080.44899999991</v>
      </c>
      <c r="AJ34" s="29">
        <f t="shared" si="17"/>
        <v>479400.61999999988</v>
      </c>
      <c r="AK34" s="29">
        <f t="shared" si="17"/>
        <v>500378.19499999995</v>
      </c>
      <c r="AL34" s="29">
        <f t="shared" si="17"/>
        <v>601777.87900000019</v>
      </c>
      <c r="AM34" s="29">
        <f t="shared" si="17"/>
        <v>623935.56000000017</v>
      </c>
      <c r="AO34" s="2" t="s">
        <v>35</v>
      </c>
      <c r="AP34" s="28">
        <v>2930</v>
      </c>
      <c r="AQ34" s="28">
        <v>4014</v>
      </c>
      <c r="AR34" s="28">
        <v>3210</v>
      </c>
      <c r="AS34" s="28">
        <v>584</v>
      </c>
      <c r="AT34" s="28">
        <v>0</v>
      </c>
      <c r="AU34" s="28">
        <v>4397</v>
      </c>
    </row>
    <row r="35" spans="1:48" x14ac:dyDescent="0.3">
      <c r="A35" s="2" t="s">
        <v>28</v>
      </c>
      <c r="B35" s="18">
        <v>1966.88</v>
      </c>
      <c r="C35" s="18">
        <v>2092.91</v>
      </c>
      <c r="D35" s="18">
        <v>2129.4499999999998</v>
      </c>
      <c r="E35" s="18">
        <v>2129.4499999999998</v>
      </c>
      <c r="F35" s="18">
        <v>2136.29</v>
      </c>
      <c r="G35" s="18">
        <v>4272.58</v>
      </c>
      <c r="I35" s="11" t="s">
        <v>56</v>
      </c>
      <c r="J35" s="29">
        <f>SUM(J32:J34)</f>
        <v>49355.29</v>
      </c>
      <c r="K35" s="29">
        <f t="shared" ref="K35:O35" si="18">SUM(K32:K34)</f>
        <v>53279.829999999994</v>
      </c>
      <c r="L35" s="29">
        <f t="shared" si="18"/>
        <v>64305.46</v>
      </c>
      <c r="M35" s="29">
        <f t="shared" si="18"/>
        <v>65106.98</v>
      </c>
      <c r="N35" s="29">
        <f t="shared" si="18"/>
        <v>77195.780000000013</v>
      </c>
      <c r="O35" s="29">
        <f t="shared" si="18"/>
        <v>85240.48</v>
      </c>
      <c r="Q35" s="2" t="s">
        <v>58</v>
      </c>
      <c r="R35" s="28">
        <v>0</v>
      </c>
      <c r="S35" s="28">
        <v>0</v>
      </c>
      <c r="T35" s="28">
        <v>3150.74</v>
      </c>
      <c r="U35" s="28">
        <v>3279.97</v>
      </c>
      <c r="V35" s="28">
        <v>3645.15</v>
      </c>
      <c r="W35" s="28">
        <v>3875.76</v>
      </c>
      <c r="Y35" s="2" t="s">
        <v>29</v>
      </c>
      <c r="Z35" s="28">
        <v>86216.87</v>
      </c>
      <c r="AA35" s="28">
        <v>102657.01</v>
      </c>
      <c r="AB35" s="28">
        <v>124354.14</v>
      </c>
      <c r="AC35" s="28">
        <v>125948.68</v>
      </c>
      <c r="AD35" s="28">
        <v>169644.71</v>
      </c>
      <c r="AE35" s="28">
        <v>172715.76</v>
      </c>
      <c r="AG35" s="13" t="s">
        <v>19</v>
      </c>
      <c r="AH35" s="31"/>
      <c r="AI35" s="31"/>
      <c r="AJ35" s="31"/>
      <c r="AK35" s="31"/>
      <c r="AL35" s="31"/>
      <c r="AM35" s="31"/>
      <c r="AO35" s="2" t="s">
        <v>65</v>
      </c>
      <c r="AP35" s="28">
        <v>1410</v>
      </c>
      <c r="AQ35" s="28">
        <v>1499</v>
      </c>
      <c r="AR35" s="28">
        <v>1598</v>
      </c>
      <c r="AS35" s="28">
        <v>1296</v>
      </c>
      <c r="AT35" s="28">
        <v>1701</v>
      </c>
      <c r="AU35" s="28">
        <v>1767</v>
      </c>
    </row>
    <row r="36" spans="1:48" x14ac:dyDescent="0.3">
      <c r="A36" s="2" t="s">
        <v>29</v>
      </c>
      <c r="B36" s="18">
        <v>31247.5</v>
      </c>
      <c r="C36" s="18">
        <v>51462.17</v>
      </c>
      <c r="D36" s="18">
        <v>49776.17</v>
      </c>
      <c r="E36" s="18">
        <v>51392.91</v>
      </c>
      <c r="F36" s="18">
        <v>73498.820000000007</v>
      </c>
      <c r="G36" s="18">
        <v>77111.5</v>
      </c>
      <c r="I36" s="13" t="s">
        <v>31</v>
      </c>
      <c r="J36" s="30"/>
      <c r="K36" s="30"/>
      <c r="L36" s="30"/>
      <c r="M36" s="30"/>
      <c r="N36" s="30"/>
      <c r="O36" s="30"/>
      <c r="Q36" s="2" t="s">
        <v>35</v>
      </c>
      <c r="R36" s="28">
        <v>0.7</v>
      </c>
      <c r="S36" s="28">
        <v>32.630000000000003</v>
      </c>
      <c r="T36" s="28">
        <v>0.73</v>
      </c>
      <c r="U36" s="28">
        <v>0.3</v>
      </c>
      <c r="V36" s="28">
        <v>0.32</v>
      </c>
      <c r="W36" s="28">
        <v>0.35</v>
      </c>
      <c r="Y36" s="2" t="s">
        <v>87</v>
      </c>
      <c r="Z36" s="28">
        <v>876.27</v>
      </c>
      <c r="AA36" s="28">
        <v>975.94</v>
      </c>
      <c r="AB36" s="28">
        <v>1591.47</v>
      </c>
      <c r="AC36" s="28">
        <v>3494.1</v>
      </c>
      <c r="AD36" s="28">
        <v>4746.71</v>
      </c>
      <c r="AE36" s="28">
        <v>4537.34</v>
      </c>
      <c r="AG36" s="2" t="s">
        <v>20</v>
      </c>
      <c r="AH36" s="28">
        <v>33051.203000000001</v>
      </c>
      <c r="AI36" s="28">
        <v>44573.326000000001</v>
      </c>
      <c r="AJ36" s="28">
        <v>54163.099000000002</v>
      </c>
      <c r="AK36" s="28">
        <v>44238.067999999999</v>
      </c>
      <c r="AL36" s="28">
        <v>53792.779000000002</v>
      </c>
      <c r="AM36" s="28">
        <v>58956.33</v>
      </c>
      <c r="AO36" s="2" t="s">
        <v>32</v>
      </c>
      <c r="AP36" s="28">
        <v>50556</v>
      </c>
      <c r="AQ36" s="28">
        <v>30788</v>
      </c>
      <c r="AR36" s="28">
        <v>30832</v>
      </c>
      <c r="AS36" s="28">
        <v>33968</v>
      </c>
      <c r="AT36" s="28">
        <v>36259</v>
      </c>
      <c r="AU36" s="28">
        <v>37390</v>
      </c>
    </row>
    <row r="37" spans="1:48" x14ac:dyDescent="0.3">
      <c r="A37" s="11" t="s">
        <v>30</v>
      </c>
      <c r="B37" s="16">
        <f>B35+B36</f>
        <v>33214.379999999997</v>
      </c>
      <c r="C37" s="16">
        <f t="shared" ref="C37:G37" si="19">C35+C36</f>
        <v>53555.08</v>
      </c>
      <c r="D37" s="16">
        <f t="shared" si="19"/>
        <v>51905.619999999995</v>
      </c>
      <c r="E37" s="16">
        <f t="shared" si="19"/>
        <v>53522.36</v>
      </c>
      <c r="F37" s="16">
        <f t="shared" si="19"/>
        <v>75635.11</v>
      </c>
      <c r="G37" s="16">
        <f t="shared" si="19"/>
        <v>81384.08</v>
      </c>
      <c r="I37" s="2" t="s">
        <v>57</v>
      </c>
      <c r="J37" s="28">
        <v>3773.4</v>
      </c>
      <c r="K37" s="28">
        <v>5237.3999999999996</v>
      </c>
      <c r="L37" s="28">
        <v>5468.06</v>
      </c>
      <c r="M37" s="28">
        <v>8879.69</v>
      </c>
      <c r="N37" s="28">
        <v>12806.02</v>
      </c>
      <c r="O37" s="28">
        <v>10781.04</v>
      </c>
      <c r="Q37" s="2" t="s">
        <v>75</v>
      </c>
      <c r="R37" s="28">
        <v>54.62</v>
      </c>
      <c r="S37" s="28">
        <v>56.78</v>
      </c>
      <c r="T37" s="28">
        <v>103.11</v>
      </c>
      <c r="U37" s="28">
        <v>112.93</v>
      </c>
      <c r="V37" s="28">
        <v>82.62</v>
      </c>
      <c r="W37" s="28">
        <v>203.34</v>
      </c>
      <c r="Y37" s="11" t="s">
        <v>56</v>
      </c>
      <c r="Z37" s="29">
        <f>SUM(Z34:Z36)</f>
        <v>96274.180000000008</v>
      </c>
      <c r="AA37" s="29">
        <f t="shared" ref="AA37:AE37" si="20">SUM(AA34:AA36)</f>
        <v>112813.98999999999</v>
      </c>
      <c r="AB37" s="29">
        <f t="shared" si="20"/>
        <v>135126.65</v>
      </c>
      <c r="AC37" s="29">
        <f t="shared" si="20"/>
        <v>143214.34</v>
      </c>
      <c r="AD37" s="29">
        <f t="shared" si="20"/>
        <v>188162.97999999998</v>
      </c>
      <c r="AE37" s="29">
        <f t="shared" si="20"/>
        <v>191024.66</v>
      </c>
      <c r="AG37" s="2" t="s">
        <v>121</v>
      </c>
      <c r="AH37" s="33">
        <v>5344.8620000000001</v>
      </c>
      <c r="AI37" s="33">
        <v>5417.5730000000003</v>
      </c>
      <c r="AJ37" s="33">
        <v>5371.5240000000003</v>
      </c>
      <c r="AK37" s="33">
        <v>5168.8969999999999</v>
      </c>
      <c r="AL37" s="33">
        <v>5380.2089999999998</v>
      </c>
      <c r="AM37" s="33">
        <v>3252.502</v>
      </c>
      <c r="AO37" s="2" t="s">
        <v>60</v>
      </c>
      <c r="AP37" s="28">
        <v>504</v>
      </c>
      <c r="AQ37" s="28">
        <v>504</v>
      </c>
      <c r="AR37" s="28">
        <v>504</v>
      </c>
      <c r="AS37" s="28">
        <v>0</v>
      </c>
      <c r="AT37" s="28">
        <v>2822</v>
      </c>
      <c r="AU37" s="28">
        <v>3173</v>
      </c>
    </row>
    <row r="38" spans="1:48" x14ac:dyDescent="0.3">
      <c r="A38" s="13" t="s">
        <v>31</v>
      </c>
      <c r="B38" s="17"/>
      <c r="C38" s="17"/>
      <c r="D38" s="17"/>
      <c r="E38" s="17"/>
      <c r="F38" s="17"/>
      <c r="G38" s="17"/>
      <c r="I38" s="2" t="s">
        <v>58</v>
      </c>
      <c r="J38" s="28">
        <v>92.49</v>
      </c>
      <c r="K38" s="28">
        <v>453.34</v>
      </c>
      <c r="L38" s="28">
        <v>1001.9</v>
      </c>
      <c r="M38" s="28">
        <v>1117.72</v>
      </c>
      <c r="N38" s="28">
        <v>2331.35</v>
      </c>
      <c r="O38" s="28">
        <v>4237.97</v>
      </c>
      <c r="Q38" s="2" t="s">
        <v>32</v>
      </c>
      <c r="R38" s="28">
        <v>5491.44</v>
      </c>
      <c r="S38" s="28">
        <v>5462.21</v>
      </c>
      <c r="T38" s="28">
        <v>5957.71</v>
      </c>
      <c r="U38" s="28">
        <v>2927.63</v>
      </c>
      <c r="V38" s="28">
        <v>6932.89</v>
      </c>
      <c r="W38" s="28">
        <v>7707.65</v>
      </c>
      <c r="Y38" s="13" t="s">
        <v>88</v>
      </c>
      <c r="Z38" s="31"/>
      <c r="AA38" s="31"/>
      <c r="AB38" s="31"/>
      <c r="AC38" s="31"/>
      <c r="AD38" s="31"/>
      <c r="AE38" s="31"/>
      <c r="AG38" s="2" t="s">
        <v>51</v>
      </c>
      <c r="AH38" s="28">
        <v>9193.4069999999992</v>
      </c>
      <c r="AI38" s="28">
        <v>16015.834000000001</v>
      </c>
      <c r="AJ38" s="28">
        <v>19187.282999999999</v>
      </c>
      <c r="AK38" s="28">
        <v>18751.580999999998</v>
      </c>
      <c r="AL38" s="28">
        <v>19704.13</v>
      </c>
      <c r="AM38" s="28">
        <v>21227.798999999999</v>
      </c>
      <c r="AO38" s="11" t="s">
        <v>61</v>
      </c>
      <c r="AP38" s="29">
        <f>SUM(AP32:AP37)</f>
        <v>249802</v>
      </c>
      <c r="AQ38" s="29">
        <f t="shared" ref="AQ38:AU38" si="21">SUM(AQ32:AQ37)</f>
        <v>197403</v>
      </c>
      <c r="AR38" s="29">
        <f t="shared" si="21"/>
        <v>206165</v>
      </c>
      <c r="AS38" s="29">
        <f t="shared" si="21"/>
        <v>174195</v>
      </c>
      <c r="AT38" s="29">
        <f t="shared" si="21"/>
        <v>204533</v>
      </c>
      <c r="AU38" s="29">
        <f t="shared" si="21"/>
        <v>221379</v>
      </c>
    </row>
    <row r="39" spans="1:48" x14ac:dyDescent="0.3">
      <c r="A39" s="2" t="s">
        <v>57</v>
      </c>
      <c r="B39" s="18">
        <v>26272.7</v>
      </c>
      <c r="C39" s="18">
        <v>35740.22</v>
      </c>
      <c r="D39" s="18">
        <v>36358.93</v>
      </c>
      <c r="E39" s="18">
        <v>41369.360000000001</v>
      </c>
      <c r="F39" s="18">
        <v>26877.14</v>
      </c>
      <c r="G39" s="18">
        <v>26527.88</v>
      </c>
      <c r="I39" s="2" t="s">
        <v>59</v>
      </c>
      <c r="J39" s="28">
        <v>871.12</v>
      </c>
      <c r="K39" s="28">
        <v>689.72</v>
      </c>
      <c r="L39" s="28">
        <v>691.55</v>
      </c>
      <c r="M39" s="28">
        <v>732.8</v>
      </c>
      <c r="N39" s="28">
        <v>717.61</v>
      </c>
      <c r="O39" s="28">
        <v>809.44</v>
      </c>
      <c r="Q39" s="2" t="s">
        <v>60</v>
      </c>
      <c r="R39" s="28">
        <v>224.83</v>
      </c>
      <c r="S39" s="28">
        <v>382.48</v>
      </c>
      <c r="T39" s="28">
        <v>456.84</v>
      </c>
      <c r="U39" s="28">
        <v>718.05</v>
      </c>
      <c r="V39" s="28">
        <v>817.49</v>
      </c>
      <c r="W39" s="28">
        <v>884.76</v>
      </c>
      <c r="Y39" s="13" t="s">
        <v>74</v>
      </c>
      <c r="Z39" s="31"/>
      <c r="AA39" s="31"/>
      <c r="AB39" s="31"/>
      <c r="AC39" s="31"/>
      <c r="AD39" s="31"/>
      <c r="AE39" s="31"/>
      <c r="AG39" s="2" t="s">
        <v>21</v>
      </c>
      <c r="AH39" s="28">
        <v>4780.5619999999999</v>
      </c>
      <c r="AI39" s="28">
        <v>4019.3690000000001</v>
      </c>
      <c r="AJ39" s="28">
        <v>5034.6670000000004</v>
      </c>
      <c r="AK39" s="28">
        <v>2639.998</v>
      </c>
      <c r="AL39" s="28">
        <v>4141.5709999999999</v>
      </c>
      <c r="AM39" s="28">
        <v>4554.357</v>
      </c>
      <c r="AO39" s="13" t="s">
        <v>34</v>
      </c>
      <c r="AP39" s="31"/>
      <c r="AQ39" s="31"/>
      <c r="AR39" s="31"/>
      <c r="AS39" s="31"/>
      <c r="AT39" s="31"/>
      <c r="AU39" s="31"/>
    </row>
    <row r="40" spans="1:48" x14ac:dyDescent="0.3">
      <c r="A40" s="2" t="s">
        <v>114</v>
      </c>
      <c r="B40" s="18">
        <v>0</v>
      </c>
      <c r="C40" s="18">
        <v>7612.07</v>
      </c>
      <c r="D40" s="18">
        <v>8040.73</v>
      </c>
      <c r="E40" s="18">
        <v>8265.17</v>
      </c>
      <c r="F40" s="18">
        <v>8600.15</v>
      </c>
      <c r="G40" s="18">
        <v>8840.4</v>
      </c>
      <c r="I40" s="2" t="s">
        <v>60</v>
      </c>
      <c r="J40" s="28">
        <v>538.51</v>
      </c>
      <c r="K40" s="28">
        <v>557.02</v>
      </c>
      <c r="L40" s="28">
        <v>676.08</v>
      </c>
      <c r="M40" s="28">
        <v>809.13</v>
      </c>
      <c r="N40" s="28">
        <v>942.05</v>
      </c>
      <c r="O40" s="28">
        <v>994.43</v>
      </c>
      <c r="Q40" s="11" t="s">
        <v>61</v>
      </c>
      <c r="R40" s="29">
        <f t="shared" ref="R40:W40" si="22">SUM(R34:R39)</f>
        <v>28881.22</v>
      </c>
      <c r="S40" s="29">
        <f t="shared" si="22"/>
        <v>33698.520000000004</v>
      </c>
      <c r="T40" s="29">
        <f t="shared" si="22"/>
        <v>41784.409999999996</v>
      </c>
      <c r="U40" s="29">
        <f t="shared" si="22"/>
        <v>55210.350000000006</v>
      </c>
      <c r="V40" s="29">
        <f t="shared" si="22"/>
        <v>49421.51</v>
      </c>
      <c r="W40" s="29">
        <f t="shared" si="22"/>
        <v>47322.63</v>
      </c>
      <c r="Y40" s="2" t="s">
        <v>57</v>
      </c>
      <c r="Z40" s="28">
        <v>56070.61</v>
      </c>
      <c r="AA40" s="28">
        <v>60934.9</v>
      </c>
      <c r="AB40" s="28">
        <v>55944.54</v>
      </c>
      <c r="AC40" s="28">
        <v>63312.94</v>
      </c>
      <c r="AD40" s="28">
        <v>46792.9</v>
      </c>
      <c r="AE40" s="28">
        <v>51755.75</v>
      </c>
      <c r="AG40" s="2" t="s">
        <v>101</v>
      </c>
      <c r="AH40" s="28">
        <v>4859.674</v>
      </c>
      <c r="AI40" s="28">
        <v>3172.902</v>
      </c>
      <c r="AJ40" s="28">
        <v>1806.2719999999999</v>
      </c>
      <c r="AK40" s="28">
        <v>26500.329000000002</v>
      </c>
      <c r="AL40" s="28">
        <v>37690.277000000002</v>
      </c>
      <c r="AM40" s="28">
        <v>22623.401999999998</v>
      </c>
      <c r="AO40" s="2" t="s">
        <v>57</v>
      </c>
      <c r="AP40" s="28">
        <v>59899</v>
      </c>
      <c r="AQ40" s="28">
        <v>33152</v>
      </c>
      <c r="AR40" s="28">
        <v>27332</v>
      </c>
      <c r="AS40" s="28">
        <v>80262</v>
      </c>
      <c r="AT40" s="28">
        <v>50731</v>
      </c>
      <c r="AU40" s="28">
        <v>26788</v>
      </c>
    </row>
    <row r="41" spans="1:48" x14ac:dyDescent="0.3">
      <c r="A41" s="2" t="s">
        <v>35</v>
      </c>
      <c r="B41" s="18">
        <v>53.99</v>
      </c>
      <c r="C41" s="18">
        <v>58.08</v>
      </c>
      <c r="D41" s="18">
        <v>56.63</v>
      </c>
      <c r="E41" s="18">
        <v>68.89</v>
      </c>
      <c r="F41" s="18">
        <v>70.819999999999993</v>
      </c>
      <c r="G41" s="18">
        <v>58.74</v>
      </c>
      <c r="I41" s="2" t="s">
        <v>35</v>
      </c>
      <c r="J41" s="28">
        <v>245.81</v>
      </c>
      <c r="K41" s="28">
        <v>345.16</v>
      </c>
      <c r="L41" s="28">
        <v>447.22</v>
      </c>
      <c r="M41" s="28">
        <v>486.13</v>
      </c>
      <c r="N41" s="28">
        <v>560.09</v>
      </c>
      <c r="O41" s="28">
        <v>692.3</v>
      </c>
      <c r="Q41" s="13" t="s">
        <v>34</v>
      </c>
      <c r="R41" s="31"/>
      <c r="S41" s="31"/>
      <c r="T41" s="31"/>
      <c r="U41" s="31"/>
      <c r="V41" s="31"/>
      <c r="W41" s="31"/>
      <c r="Y41" s="2" t="s">
        <v>35</v>
      </c>
      <c r="Z41" s="28">
        <v>789.58</v>
      </c>
      <c r="AA41" s="28">
        <v>847.48</v>
      </c>
      <c r="AB41" s="28">
        <v>6363.62</v>
      </c>
      <c r="AC41" s="28">
        <v>6476.91</v>
      </c>
      <c r="AD41" s="28">
        <v>6331.9</v>
      </c>
      <c r="AE41" s="28">
        <v>6578.65</v>
      </c>
      <c r="AG41" s="2" t="s">
        <v>16</v>
      </c>
      <c r="AH41" s="28">
        <v>1182.117</v>
      </c>
      <c r="AI41" s="28">
        <v>752.06</v>
      </c>
      <c r="AJ41" s="28">
        <v>492.88</v>
      </c>
      <c r="AK41" s="28">
        <v>457.61</v>
      </c>
      <c r="AL41" s="28">
        <v>420.07299999999998</v>
      </c>
      <c r="AM41" s="28">
        <v>459.03800000000001</v>
      </c>
      <c r="AO41" s="2" t="s">
        <v>58</v>
      </c>
      <c r="AP41" s="28">
        <v>0</v>
      </c>
      <c r="AQ41" s="28">
        <v>0</v>
      </c>
      <c r="AR41" s="28">
        <v>86</v>
      </c>
      <c r="AS41" s="28">
        <v>97</v>
      </c>
      <c r="AT41" s="28">
        <v>93</v>
      </c>
      <c r="AU41" s="28">
        <v>65</v>
      </c>
    </row>
    <row r="42" spans="1:48" x14ac:dyDescent="0.3">
      <c r="A42" s="2" t="s">
        <v>65</v>
      </c>
      <c r="B42" s="18">
        <v>1574.12</v>
      </c>
      <c r="C42" s="18">
        <v>827.49</v>
      </c>
      <c r="D42" s="18">
        <v>234.29</v>
      </c>
      <c r="E42" s="18">
        <v>208.22</v>
      </c>
      <c r="F42" s="18">
        <v>305.35000000000002</v>
      </c>
      <c r="G42" s="18">
        <v>325.87</v>
      </c>
      <c r="I42" s="2" t="s">
        <v>65</v>
      </c>
      <c r="J42" s="28">
        <v>4039.19</v>
      </c>
      <c r="K42" s="28">
        <v>4088.46</v>
      </c>
      <c r="L42" s="28">
        <v>4199.17</v>
      </c>
      <c r="M42" s="28">
        <v>4395.09</v>
      </c>
      <c r="N42" s="28">
        <v>4135.7</v>
      </c>
      <c r="O42" s="28">
        <v>4259.8100000000004</v>
      </c>
      <c r="Q42" s="2" t="s">
        <v>57</v>
      </c>
      <c r="R42" s="28">
        <v>16276.12</v>
      </c>
      <c r="S42" s="28">
        <v>14909.65</v>
      </c>
      <c r="T42" s="28">
        <v>12863.45</v>
      </c>
      <c r="U42" s="28">
        <v>18876.830000000002</v>
      </c>
      <c r="V42" s="28">
        <v>24870.080000000002</v>
      </c>
      <c r="W42" s="28">
        <v>31778.11</v>
      </c>
      <c r="Y42" s="2" t="s">
        <v>65</v>
      </c>
      <c r="Z42" s="28">
        <v>1597.23</v>
      </c>
      <c r="AA42" s="28">
        <v>1596.83</v>
      </c>
      <c r="AB42" s="28">
        <v>1585.35</v>
      </c>
      <c r="AC42" s="28">
        <v>1396.44</v>
      </c>
      <c r="AD42" s="28">
        <v>1414.82</v>
      </c>
      <c r="AE42" s="28">
        <v>1406.63</v>
      </c>
      <c r="AG42" s="2" t="s">
        <v>93</v>
      </c>
      <c r="AH42" s="28">
        <v>11570.754000000001</v>
      </c>
      <c r="AI42" s="28">
        <v>6562.1639999999998</v>
      </c>
      <c r="AJ42" s="28">
        <v>5265.049</v>
      </c>
      <c r="AK42" s="28">
        <v>9246.8760000000002</v>
      </c>
      <c r="AL42" s="28">
        <v>12413.09</v>
      </c>
      <c r="AM42" s="28">
        <v>15445.431</v>
      </c>
      <c r="AO42" s="2" t="s">
        <v>108</v>
      </c>
      <c r="AP42" s="28">
        <v>116</v>
      </c>
      <c r="AQ42" s="28">
        <v>90</v>
      </c>
      <c r="AR42" s="28">
        <v>138</v>
      </c>
      <c r="AS42" s="28">
        <v>210</v>
      </c>
      <c r="AT42" s="28">
        <v>492</v>
      </c>
      <c r="AU42" s="28">
        <v>1301</v>
      </c>
    </row>
    <row r="43" spans="1:48" x14ac:dyDescent="0.3">
      <c r="A43" s="2" t="s">
        <v>115</v>
      </c>
      <c r="B43" s="28">
        <v>5967.29</v>
      </c>
      <c r="C43" s="28">
        <v>4934.4799999999996</v>
      </c>
      <c r="D43" s="28">
        <v>6375.72</v>
      </c>
      <c r="E43" s="28">
        <v>7920.55</v>
      </c>
      <c r="F43" s="28">
        <v>7975.68</v>
      </c>
      <c r="G43" s="28">
        <v>8292.67</v>
      </c>
      <c r="I43" s="2" t="s">
        <v>119</v>
      </c>
      <c r="J43" s="28">
        <v>3522.22</v>
      </c>
      <c r="K43" s="28">
        <v>4181.7</v>
      </c>
      <c r="L43" s="28">
        <v>4676.63</v>
      </c>
      <c r="M43" s="28">
        <v>4542.1899999999996</v>
      </c>
      <c r="N43" s="28">
        <v>4388.09</v>
      </c>
      <c r="O43" s="28">
        <v>4233.75</v>
      </c>
      <c r="Q43" s="2" t="s">
        <v>58</v>
      </c>
      <c r="R43" s="28">
        <v>0</v>
      </c>
      <c r="S43" s="28">
        <v>0</v>
      </c>
      <c r="T43" s="28">
        <v>368.28</v>
      </c>
      <c r="U43" s="28">
        <v>342.75</v>
      </c>
      <c r="V43" s="28">
        <v>225.55</v>
      </c>
      <c r="W43" s="28">
        <v>253.58</v>
      </c>
      <c r="Y43" s="2" t="s">
        <v>32</v>
      </c>
      <c r="Z43" s="28">
        <v>11439.29</v>
      </c>
      <c r="AA43" s="28">
        <v>13964.47</v>
      </c>
      <c r="AB43" s="28">
        <v>15354.37</v>
      </c>
      <c r="AC43" s="28">
        <v>16800.419999999998</v>
      </c>
      <c r="AD43" s="28">
        <v>18960.7</v>
      </c>
      <c r="AE43" s="28">
        <v>20664.96</v>
      </c>
      <c r="AG43" s="2" t="s">
        <v>85</v>
      </c>
      <c r="AH43" s="28">
        <v>198.31399999999999</v>
      </c>
      <c r="AI43" s="28">
        <v>188.43600000000001</v>
      </c>
      <c r="AJ43" s="28">
        <v>120.994</v>
      </c>
      <c r="AK43" s="28">
        <v>134.01599999999999</v>
      </c>
      <c r="AL43" s="28">
        <v>0</v>
      </c>
      <c r="AM43" s="28">
        <v>0.77900000000000003</v>
      </c>
      <c r="AO43" s="2" t="s">
        <v>109</v>
      </c>
      <c r="AP43" s="28">
        <v>70932</v>
      </c>
      <c r="AQ43" s="28">
        <v>86909</v>
      </c>
      <c r="AR43" s="28">
        <v>133867</v>
      </c>
      <c r="AS43" s="28">
        <v>110512</v>
      </c>
      <c r="AT43" s="28">
        <v>129367</v>
      </c>
      <c r="AU43" s="28">
        <v>121078</v>
      </c>
    </row>
    <row r="44" spans="1:48" x14ac:dyDescent="0.3">
      <c r="A44" s="2" t="s">
        <v>60</v>
      </c>
      <c r="B44" s="28">
        <v>381.72</v>
      </c>
      <c r="C44" s="28">
        <v>549.95000000000005</v>
      </c>
      <c r="D44" s="28">
        <v>1488.24</v>
      </c>
      <c r="E44" s="28">
        <v>1912.51</v>
      </c>
      <c r="F44" s="28">
        <v>2070.12</v>
      </c>
      <c r="G44" s="28">
        <v>2280.58</v>
      </c>
      <c r="I44" s="11" t="s">
        <v>61</v>
      </c>
      <c r="J44" s="29">
        <f>SUM(J37:J43)</f>
        <v>13082.74</v>
      </c>
      <c r="K44" s="29">
        <f t="shared" ref="K44:O44" si="23">SUM(K37:K43)</f>
        <v>15552.8</v>
      </c>
      <c r="L44" s="29">
        <f t="shared" si="23"/>
        <v>17160.61</v>
      </c>
      <c r="M44" s="29">
        <f t="shared" si="23"/>
        <v>20962.749999999996</v>
      </c>
      <c r="N44" s="29">
        <f t="shared" si="23"/>
        <v>25880.910000000003</v>
      </c>
      <c r="O44" s="29">
        <f t="shared" si="23"/>
        <v>26008.74</v>
      </c>
      <c r="Q44" s="2" t="s">
        <v>76</v>
      </c>
      <c r="R44" s="28">
        <v>113.75</v>
      </c>
      <c r="S44" s="28">
        <v>131.99</v>
      </c>
      <c r="T44" s="28">
        <v>402.21</v>
      </c>
      <c r="U44" s="28">
        <v>465.15</v>
      </c>
      <c r="V44" s="28">
        <v>785.1</v>
      </c>
      <c r="W44" s="28">
        <v>901.64</v>
      </c>
      <c r="Y44" s="2" t="s">
        <v>60</v>
      </c>
      <c r="Z44" s="28">
        <v>2048.1</v>
      </c>
      <c r="AA44" s="28">
        <v>2583.36</v>
      </c>
      <c r="AB44" s="28">
        <f>3180.59+205.11</f>
        <v>3385.7000000000003</v>
      </c>
      <c r="AC44" s="28">
        <f>194.81+3707.9</f>
        <v>3902.71</v>
      </c>
      <c r="AD44" s="28">
        <f>233.11+4061.57</f>
        <v>4294.68</v>
      </c>
      <c r="AE44" s="28">
        <f>199.43+4622.56</f>
        <v>4821.9900000000007</v>
      </c>
      <c r="AG44" s="2" t="s">
        <v>23</v>
      </c>
      <c r="AH44" s="28">
        <v>10534.424000000001</v>
      </c>
      <c r="AI44" s="28">
        <v>12466.191000000001</v>
      </c>
      <c r="AJ44" s="28">
        <v>14484.052</v>
      </c>
      <c r="AK44" s="28">
        <v>6959.33</v>
      </c>
      <c r="AL44" s="28">
        <v>6600.23</v>
      </c>
      <c r="AM44" s="28">
        <v>8263.7990000000009</v>
      </c>
      <c r="AO44" s="11" t="s">
        <v>64</v>
      </c>
      <c r="AP44" s="29">
        <f>AP42+AP43</f>
        <v>71048</v>
      </c>
      <c r="AQ44" s="29">
        <f t="shared" ref="AQ44:AU44" si="24">AQ42+AQ43</f>
        <v>86999</v>
      </c>
      <c r="AR44" s="29">
        <f t="shared" si="24"/>
        <v>134005</v>
      </c>
      <c r="AS44" s="29">
        <f t="shared" si="24"/>
        <v>110722</v>
      </c>
      <c r="AT44" s="29">
        <f t="shared" si="24"/>
        <v>129859</v>
      </c>
      <c r="AU44" s="29">
        <f t="shared" si="24"/>
        <v>122379</v>
      </c>
      <c r="AV44" s="12"/>
    </row>
    <row r="45" spans="1:48" x14ac:dyDescent="0.3">
      <c r="A45" s="11" t="s">
        <v>33</v>
      </c>
      <c r="B45" s="16">
        <f>SUM(B39:B44)</f>
        <v>34249.82</v>
      </c>
      <c r="C45" s="16">
        <f t="shared" ref="C45:G45" si="25">SUM(C39:C44)</f>
        <v>49722.289999999994</v>
      </c>
      <c r="D45" s="16">
        <f t="shared" si="25"/>
        <v>52554.54</v>
      </c>
      <c r="E45" s="16">
        <f t="shared" si="25"/>
        <v>59744.700000000004</v>
      </c>
      <c r="F45" s="16">
        <f t="shared" si="25"/>
        <v>45899.26</v>
      </c>
      <c r="G45" s="16">
        <f t="shared" si="25"/>
        <v>46326.14</v>
      </c>
      <c r="I45" s="13" t="s">
        <v>34</v>
      </c>
      <c r="J45" s="30"/>
      <c r="K45" s="30"/>
      <c r="L45" s="30"/>
      <c r="M45" s="30"/>
      <c r="N45" s="30"/>
      <c r="O45" s="30"/>
      <c r="Q45" s="2" t="s">
        <v>77</v>
      </c>
      <c r="R45" s="28">
        <v>11358.8</v>
      </c>
      <c r="S45" s="28">
        <v>17666.66</v>
      </c>
      <c r="T45" s="28">
        <v>26075.119999999999</v>
      </c>
      <c r="U45" s="28">
        <v>22448.080000000002</v>
      </c>
      <c r="V45" s="28">
        <v>26514.91</v>
      </c>
      <c r="W45" s="28">
        <v>28899.16</v>
      </c>
      <c r="Y45" s="11" t="s">
        <v>61</v>
      </c>
      <c r="Z45" s="29">
        <f>SUM(Z40:Z44)</f>
        <v>71944.810000000012</v>
      </c>
      <c r="AA45" s="29">
        <f t="shared" ref="AA45:AE45" si="26">SUM(AA40:AA44)</f>
        <v>79927.040000000008</v>
      </c>
      <c r="AB45" s="29">
        <f t="shared" si="26"/>
        <v>82633.58</v>
      </c>
      <c r="AC45" s="29">
        <f t="shared" si="26"/>
        <v>91889.420000000013</v>
      </c>
      <c r="AD45" s="29">
        <f t="shared" si="26"/>
        <v>77795</v>
      </c>
      <c r="AE45" s="29">
        <f t="shared" si="26"/>
        <v>85227.98</v>
      </c>
      <c r="AG45" s="2" t="s">
        <v>72</v>
      </c>
      <c r="AH45" s="28">
        <v>14.134</v>
      </c>
      <c r="AI45" s="28">
        <v>16.309000000000001</v>
      </c>
      <c r="AJ45" s="28">
        <v>63.847999999999999</v>
      </c>
      <c r="AK45" s="28">
        <v>53.826000000000001</v>
      </c>
      <c r="AL45" s="28">
        <v>78.387</v>
      </c>
      <c r="AM45" s="28">
        <v>13.105</v>
      </c>
      <c r="AO45" s="2" t="s">
        <v>35</v>
      </c>
      <c r="AP45" s="28">
        <v>132492</v>
      </c>
      <c r="AQ45" s="28">
        <v>61172</v>
      </c>
      <c r="AR45" s="28">
        <v>33225</v>
      </c>
      <c r="AS45" s="28">
        <v>25611</v>
      </c>
      <c r="AT45" s="28">
        <v>27493</v>
      </c>
      <c r="AU45" s="28">
        <v>35264</v>
      </c>
    </row>
    <row r="46" spans="1:48" x14ac:dyDescent="0.3">
      <c r="A46" s="13" t="s">
        <v>34</v>
      </c>
      <c r="B46" s="17"/>
      <c r="C46" s="17"/>
      <c r="D46" s="17"/>
      <c r="E46" s="17"/>
      <c r="F46" s="17"/>
      <c r="G46" s="17"/>
      <c r="I46" s="2" t="s">
        <v>57</v>
      </c>
      <c r="J46" s="28">
        <v>2564.1999999999998</v>
      </c>
      <c r="K46" s="28">
        <v>1522.9</v>
      </c>
      <c r="L46" s="28">
        <v>2362.2600000000002</v>
      </c>
      <c r="M46" s="28">
        <v>7395.21</v>
      </c>
      <c r="N46" s="28">
        <v>5801.98</v>
      </c>
      <c r="O46" s="28">
        <v>5526.33</v>
      </c>
      <c r="Q46" s="11" t="s">
        <v>64</v>
      </c>
      <c r="R46" s="29">
        <f>R44+R45</f>
        <v>11472.55</v>
      </c>
      <c r="S46" s="29">
        <f t="shared" ref="S46:W46" si="27">S44+S45</f>
        <v>17798.650000000001</v>
      </c>
      <c r="T46" s="29">
        <f t="shared" si="27"/>
        <v>26477.329999999998</v>
      </c>
      <c r="U46" s="29">
        <f t="shared" si="27"/>
        <v>22913.230000000003</v>
      </c>
      <c r="V46" s="29">
        <f t="shared" si="27"/>
        <v>27300.01</v>
      </c>
      <c r="W46" s="29">
        <f t="shared" si="27"/>
        <v>29800.799999999999</v>
      </c>
      <c r="Y46" s="13" t="s">
        <v>34</v>
      </c>
      <c r="Z46" s="30"/>
      <c r="AA46" s="30"/>
      <c r="AB46" s="30"/>
      <c r="AC46" s="30"/>
      <c r="AD46" s="30"/>
      <c r="AE46" s="30"/>
      <c r="AG46" s="11" t="s">
        <v>24</v>
      </c>
      <c r="AH46" s="29">
        <f>SUM(AH36,AH38:AH45)</f>
        <v>75384.589000000007</v>
      </c>
      <c r="AI46" s="29">
        <f t="shared" ref="AI46:AM46" si="28">SUM(AI36,AI38:AI45)</f>
        <v>87766.591</v>
      </c>
      <c r="AJ46" s="29">
        <f t="shared" si="28"/>
        <v>100618.144</v>
      </c>
      <c r="AK46" s="29">
        <f t="shared" si="28"/>
        <v>108981.63400000001</v>
      </c>
      <c r="AL46" s="29">
        <f t="shared" si="28"/>
        <v>134840.53699999998</v>
      </c>
      <c r="AM46" s="29">
        <f t="shared" si="28"/>
        <v>131544.04</v>
      </c>
      <c r="AO46" s="2" t="s">
        <v>37</v>
      </c>
      <c r="AP46" s="28">
        <v>66170</v>
      </c>
      <c r="AQ46" s="28">
        <v>19563</v>
      </c>
      <c r="AR46" s="28">
        <v>5438</v>
      </c>
      <c r="AS46" s="28">
        <v>19659</v>
      </c>
      <c r="AT46" s="28">
        <v>30866</v>
      </c>
      <c r="AU46" s="28">
        <v>72283</v>
      </c>
    </row>
    <row r="47" spans="1:48" x14ac:dyDescent="0.3">
      <c r="A47" s="2" t="s">
        <v>57</v>
      </c>
      <c r="B47" s="18">
        <v>17721.37</v>
      </c>
      <c r="C47" s="18">
        <v>10935.99</v>
      </c>
      <c r="D47" s="18">
        <v>19573.75</v>
      </c>
      <c r="E47" s="18">
        <v>19085.25</v>
      </c>
      <c r="F47" s="18">
        <v>18607.79</v>
      </c>
      <c r="G47" s="18">
        <v>24533.03</v>
      </c>
      <c r="I47" s="2" t="s">
        <v>58</v>
      </c>
      <c r="J47" s="28">
        <v>166.1</v>
      </c>
      <c r="K47" s="28">
        <v>213.91</v>
      </c>
      <c r="L47" s="28">
        <v>383.5</v>
      </c>
      <c r="M47" s="28">
        <v>423.56</v>
      </c>
      <c r="N47" s="28">
        <v>854.42</v>
      </c>
      <c r="O47" s="28">
        <v>1050.04</v>
      </c>
      <c r="Q47" s="2" t="s">
        <v>35</v>
      </c>
      <c r="R47" s="28">
        <v>23385.91</v>
      </c>
      <c r="S47" s="28">
        <v>20778.02</v>
      </c>
      <c r="T47" s="28">
        <v>22539.11</v>
      </c>
      <c r="U47" s="28">
        <v>23460.400000000001</v>
      </c>
      <c r="V47" s="28">
        <v>23635.24</v>
      </c>
      <c r="W47" s="28">
        <v>24427.18</v>
      </c>
      <c r="Y47" s="2" t="s">
        <v>57</v>
      </c>
      <c r="Z47" s="28">
        <v>69897.440000000002</v>
      </c>
      <c r="AA47" s="28">
        <v>47580.01</v>
      </c>
      <c r="AB47" s="28">
        <v>67605.56</v>
      </c>
      <c r="AC47" s="28">
        <v>76801.88</v>
      </c>
      <c r="AD47" s="28">
        <v>76660.67</v>
      </c>
      <c r="AE47" s="28">
        <v>90804.15</v>
      </c>
      <c r="AG47" s="11" t="s">
        <v>73</v>
      </c>
      <c r="AH47" s="29">
        <f>AH34+AH46</f>
        <v>504692.99920000008</v>
      </c>
      <c r="AI47" s="29">
        <f t="shared" ref="AI47:AM47" si="29">AI34+AI46</f>
        <v>537847.03999999992</v>
      </c>
      <c r="AJ47" s="29">
        <f t="shared" si="29"/>
        <v>580018.76399999985</v>
      </c>
      <c r="AK47" s="29">
        <f t="shared" si="29"/>
        <v>609359.82899999991</v>
      </c>
      <c r="AL47" s="29">
        <f t="shared" si="29"/>
        <v>736618.4160000002</v>
      </c>
      <c r="AM47" s="29">
        <f t="shared" si="29"/>
        <v>755479.60000000021</v>
      </c>
      <c r="AO47" s="2" t="s">
        <v>65</v>
      </c>
      <c r="AP47" s="28">
        <v>1073</v>
      </c>
      <c r="AQ47" s="28">
        <v>901</v>
      </c>
      <c r="AR47" s="28">
        <v>896</v>
      </c>
      <c r="AS47" s="28">
        <v>925</v>
      </c>
      <c r="AT47" s="28">
        <v>972</v>
      </c>
      <c r="AU47" s="28">
        <v>1156</v>
      </c>
    </row>
    <row r="48" spans="1:48" x14ac:dyDescent="0.3">
      <c r="A48" s="2" t="s">
        <v>114</v>
      </c>
      <c r="B48" s="18">
        <v>0</v>
      </c>
      <c r="C48" s="18">
        <v>243.58</v>
      </c>
      <c r="D48" s="18">
        <v>560.79</v>
      </c>
      <c r="E48" s="18">
        <v>656.25</v>
      </c>
      <c r="F48" s="18">
        <v>513.97</v>
      </c>
      <c r="G48" s="18">
        <v>1199.26</v>
      </c>
      <c r="I48" s="2" t="s">
        <v>62</v>
      </c>
      <c r="J48" s="28">
        <v>271.82</v>
      </c>
      <c r="K48" s="28">
        <v>241.26</v>
      </c>
      <c r="L48" s="28">
        <v>303.91000000000003</v>
      </c>
      <c r="M48" s="28">
        <v>344.29</v>
      </c>
      <c r="N48" s="28">
        <v>375.79</v>
      </c>
      <c r="O48" s="28">
        <v>376.55</v>
      </c>
      <c r="Q48" s="2" t="s">
        <v>37</v>
      </c>
      <c r="R48" s="28">
        <v>2915.94</v>
      </c>
      <c r="S48" s="28">
        <v>5715.2</v>
      </c>
      <c r="T48" s="28">
        <v>6437.49</v>
      </c>
      <c r="U48" s="28">
        <v>5572.76</v>
      </c>
      <c r="V48" s="28">
        <v>6817.58</v>
      </c>
      <c r="W48" s="28">
        <v>6412.1</v>
      </c>
      <c r="Y48" s="2" t="s">
        <v>58</v>
      </c>
      <c r="Z48" s="28">
        <v>0</v>
      </c>
      <c r="AA48" s="28">
        <v>0</v>
      </c>
      <c r="AB48" s="28">
        <v>2105.87</v>
      </c>
      <c r="AC48" s="28">
        <v>2385.35</v>
      </c>
      <c r="AD48" s="28">
        <v>2842</v>
      </c>
      <c r="AE48" s="28">
        <v>3132.01</v>
      </c>
      <c r="AG48" s="13" t="s">
        <v>26</v>
      </c>
      <c r="AH48" s="31"/>
      <c r="AI48" s="31"/>
      <c r="AJ48" s="31"/>
      <c r="AK48" s="31"/>
      <c r="AL48" s="31"/>
      <c r="AM48" s="31"/>
      <c r="AO48" s="11" t="s">
        <v>38</v>
      </c>
      <c r="AP48" s="29">
        <f>SUM(AP40:AP41,AP44,AP45:AP47)</f>
        <v>330682</v>
      </c>
      <c r="AQ48" s="29">
        <f t="shared" ref="AQ48:AU48" si="30">SUM(AQ40:AQ41,AQ44,AQ45:AQ47)</f>
        <v>201787</v>
      </c>
      <c r="AR48" s="29">
        <f t="shared" si="30"/>
        <v>200982</v>
      </c>
      <c r="AS48" s="29">
        <f t="shared" si="30"/>
        <v>237276</v>
      </c>
      <c r="AT48" s="29">
        <f t="shared" si="30"/>
        <v>240014</v>
      </c>
      <c r="AU48" s="29">
        <f t="shared" si="30"/>
        <v>257935</v>
      </c>
    </row>
    <row r="49" spans="1:47" x14ac:dyDescent="0.3">
      <c r="A49" s="2" t="s">
        <v>76</v>
      </c>
      <c r="B49" s="18">
        <v>67.17</v>
      </c>
      <c r="C49" s="18">
        <v>147.79</v>
      </c>
      <c r="D49" s="18">
        <v>245.26</v>
      </c>
      <c r="E49" s="18">
        <v>273.58999999999997</v>
      </c>
      <c r="F49" s="18">
        <v>276.89</v>
      </c>
      <c r="G49" s="18">
        <v>324.23</v>
      </c>
      <c r="I49" s="2" t="s">
        <v>63</v>
      </c>
      <c r="J49" s="28">
        <v>3650.36</v>
      </c>
      <c r="K49" s="28">
        <v>4211.92</v>
      </c>
      <c r="L49" s="28">
        <v>5057.3500000000004</v>
      </c>
      <c r="M49" s="28">
        <v>6799.27</v>
      </c>
      <c r="N49" s="28">
        <v>6263.88</v>
      </c>
      <c r="O49" s="28">
        <v>7383.3</v>
      </c>
      <c r="Q49" s="2" t="s">
        <v>65</v>
      </c>
      <c r="R49" s="28">
        <v>2630.56</v>
      </c>
      <c r="S49" s="28">
        <v>2827.09</v>
      </c>
      <c r="T49" s="28">
        <v>2487.15</v>
      </c>
      <c r="U49" s="28">
        <v>2653.76</v>
      </c>
      <c r="V49" s="28">
        <v>3393.3</v>
      </c>
      <c r="W49" s="28">
        <v>3411.53</v>
      </c>
      <c r="Y49" s="2" t="s">
        <v>76</v>
      </c>
      <c r="Z49" s="28">
        <v>205.56</v>
      </c>
      <c r="AA49" s="28">
        <v>324.27999999999997</v>
      </c>
      <c r="AB49" s="28">
        <v>806.63</v>
      </c>
      <c r="AC49" s="28">
        <v>1024.97</v>
      </c>
      <c r="AD49" s="28">
        <v>1423.7</v>
      </c>
      <c r="AE49" s="28">
        <v>1422.49</v>
      </c>
      <c r="AG49" s="13" t="s">
        <v>102</v>
      </c>
      <c r="AH49" s="31"/>
      <c r="AI49" s="31"/>
      <c r="AJ49" s="31"/>
      <c r="AK49" s="31"/>
      <c r="AL49" s="31"/>
      <c r="AM49" s="31"/>
      <c r="AO49" s="11" t="s">
        <v>78</v>
      </c>
      <c r="AP49" s="29">
        <f>AP29+AP38+AP48</f>
        <v>971699</v>
      </c>
      <c r="AQ49" s="29">
        <f t="shared" ref="AQ49:AU49" si="31">AQ29+AQ38+AQ48</f>
        <v>873673</v>
      </c>
      <c r="AR49" s="29">
        <f t="shared" si="31"/>
        <v>878674</v>
      </c>
      <c r="AS49" s="29">
        <f t="shared" si="31"/>
        <v>890565</v>
      </c>
      <c r="AT49" s="29">
        <f t="shared" si="31"/>
        <v>959643</v>
      </c>
      <c r="AU49" s="29">
        <f t="shared" si="31"/>
        <v>1022401</v>
      </c>
    </row>
    <row r="50" spans="1:47" x14ac:dyDescent="0.3">
      <c r="A50" s="2" t="s">
        <v>77</v>
      </c>
      <c r="B50" s="18">
        <v>12442.37</v>
      </c>
      <c r="C50" s="18">
        <v>16122.14</v>
      </c>
      <c r="D50" s="18">
        <v>30102.46</v>
      </c>
      <c r="E50" s="18">
        <v>23750.67</v>
      </c>
      <c r="F50" s="18">
        <v>28028.92</v>
      </c>
      <c r="G50" s="18">
        <v>30309.83</v>
      </c>
      <c r="I50" s="11" t="s">
        <v>64</v>
      </c>
      <c r="J50" s="29">
        <f>J48+J49</f>
        <v>3922.1800000000003</v>
      </c>
      <c r="K50" s="29">
        <f t="shared" ref="K50:O50" si="32">K48+K49</f>
        <v>4453.18</v>
      </c>
      <c r="L50" s="29">
        <f t="shared" si="32"/>
        <v>5361.26</v>
      </c>
      <c r="M50" s="29">
        <f t="shared" si="32"/>
        <v>7143.56</v>
      </c>
      <c r="N50" s="29">
        <f t="shared" si="32"/>
        <v>6639.67</v>
      </c>
      <c r="O50" s="29">
        <f t="shared" si="32"/>
        <v>7759.85</v>
      </c>
      <c r="Q50" s="2" t="s">
        <v>36</v>
      </c>
      <c r="R50" s="28">
        <v>366.97</v>
      </c>
      <c r="S50" s="28">
        <v>351.72</v>
      </c>
      <c r="T50" s="28">
        <v>267.43</v>
      </c>
      <c r="U50" s="28">
        <v>46.16</v>
      </c>
      <c r="V50" s="28">
        <v>92.56</v>
      </c>
      <c r="W50" s="28">
        <v>194.42</v>
      </c>
      <c r="Y50" s="2" t="s">
        <v>77</v>
      </c>
      <c r="Z50" s="28">
        <v>27370.7</v>
      </c>
      <c r="AA50" s="28">
        <v>36923.69</v>
      </c>
      <c r="AB50" s="28">
        <v>48255.22</v>
      </c>
      <c r="AC50" s="28">
        <v>53709.13</v>
      </c>
      <c r="AD50" s="28">
        <v>58030.400000000001</v>
      </c>
      <c r="AE50" s="28">
        <v>59112.45</v>
      </c>
      <c r="AG50" s="2" t="s">
        <v>28</v>
      </c>
      <c r="AH50" s="28">
        <v>6290.54</v>
      </c>
      <c r="AI50" s="28">
        <v>6290.1390000000001</v>
      </c>
      <c r="AJ50" s="28">
        <v>6290.1390000000001</v>
      </c>
      <c r="AK50" s="28">
        <v>6290.1390000000001</v>
      </c>
      <c r="AL50" s="28">
        <v>6290.1390000000001</v>
      </c>
      <c r="AM50" s="28">
        <v>6290.1390000000001</v>
      </c>
      <c r="AO50" s="2" t="s">
        <v>256</v>
      </c>
      <c r="AP50" s="81">
        <f>AP23-AP48</f>
        <v>-164028</v>
      </c>
      <c r="AQ50" s="81">
        <f t="shared" ref="AQ50:AU50" si="33">AQ23-AQ48</f>
        <v>8932</v>
      </c>
      <c r="AR50" s="81">
        <f t="shared" si="33"/>
        <v>-298</v>
      </c>
      <c r="AS50" s="81">
        <f t="shared" si="33"/>
        <v>-28155</v>
      </c>
      <c r="AT50" s="81">
        <f t="shared" si="33"/>
        <v>22611</v>
      </c>
      <c r="AU50" s="81">
        <f t="shared" si="33"/>
        <v>11628</v>
      </c>
    </row>
    <row r="51" spans="1:47" x14ac:dyDescent="0.3">
      <c r="A51" s="11" t="s">
        <v>64</v>
      </c>
      <c r="B51" s="16">
        <f>B49+B50</f>
        <v>12509.54</v>
      </c>
      <c r="C51" s="16">
        <f t="shared" ref="C51:G51" si="34">C49+C50</f>
        <v>16269.93</v>
      </c>
      <c r="D51" s="16">
        <f t="shared" si="34"/>
        <v>30347.719999999998</v>
      </c>
      <c r="E51" s="16">
        <f t="shared" si="34"/>
        <v>24024.26</v>
      </c>
      <c r="F51" s="16">
        <f t="shared" si="34"/>
        <v>28305.809999999998</v>
      </c>
      <c r="G51" s="16">
        <f t="shared" si="34"/>
        <v>30634.06</v>
      </c>
      <c r="I51" s="2" t="s">
        <v>35</v>
      </c>
      <c r="J51" s="28">
        <v>3866.71</v>
      </c>
      <c r="K51" s="28">
        <v>4271.6099999999997</v>
      </c>
      <c r="L51" s="28">
        <v>4342.3500000000004</v>
      </c>
      <c r="M51" s="28">
        <v>4039.67</v>
      </c>
      <c r="N51" s="28">
        <v>5504.46</v>
      </c>
      <c r="O51" s="28">
        <v>4918.6499999999996</v>
      </c>
      <c r="Q51" s="11" t="s">
        <v>38</v>
      </c>
      <c r="R51" s="29">
        <f>SUM(R42:R43,R46,R47:R50)</f>
        <v>57048.05</v>
      </c>
      <c r="S51" s="29">
        <f t="shared" ref="S51:W51" si="35">SUM(S42:S43,S46,S47:S50)</f>
        <v>62380.33</v>
      </c>
      <c r="T51" s="29">
        <f t="shared" si="35"/>
        <v>71440.239999999991</v>
      </c>
      <c r="U51" s="29">
        <f t="shared" si="35"/>
        <v>73865.89</v>
      </c>
      <c r="V51" s="29">
        <f t="shared" si="35"/>
        <v>86334.32</v>
      </c>
      <c r="W51" s="29">
        <f t="shared" si="35"/>
        <v>96277.720000000016</v>
      </c>
      <c r="Y51" s="11" t="s">
        <v>64</v>
      </c>
      <c r="Z51" s="29">
        <f>Z49+Z50</f>
        <v>27576.260000000002</v>
      </c>
      <c r="AA51" s="29">
        <f t="shared" ref="AA51:AE51" si="36">AA49+AA50</f>
        <v>37247.97</v>
      </c>
      <c r="AB51" s="29">
        <f t="shared" si="36"/>
        <v>49061.85</v>
      </c>
      <c r="AC51" s="29">
        <f t="shared" si="36"/>
        <v>54734.1</v>
      </c>
      <c r="AD51" s="29">
        <f t="shared" si="36"/>
        <v>59454.1</v>
      </c>
      <c r="AE51" s="29">
        <f t="shared" si="36"/>
        <v>60534.939999999995</v>
      </c>
      <c r="AG51" s="2" t="s">
        <v>29</v>
      </c>
      <c r="AH51" s="28">
        <v>198814.44899999999</v>
      </c>
      <c r="AI51" s="28">
        <v>214690.85</v>
      </c>
      <c r="AJ51" s="28">
        <v>253212.77100000001</v>
      </c>
      <c r="AK51" s="28">
        <v>274357.15700000001</v>
      </c>
      <c r="AL51" s="28">
        <v>332778.73700000002</v>
      </c>
      <c r="AM51" s="28">
        <v>337150.337</v>
      </c>
    </row>
    <row r="52" spans="1:47" x14ac:dyDescent="0.3">
      <c r="A52" s="2" t="s">
        <v>35</v>
      </c>
      <c r="B52" s="28">
        <v>22472.48</v>
      </c>
      <c r="C52" s="28">
        <v>19916.419999999998</v>
      </c>
      <c r="D52" s="28">
        <v>20983.279999999999</v>
      </c>
      <c r="E52" s="28">
        <v>21350.11</v>
      </c>
      <c r="F52" s="28">
        <v>22757.82</v>
      </c>
      <c r="G52" s="28">
        <v>25120.080000000002</v>
      </c>
      <c r="I52" s="2" t="s">
        <v>37</v>
      </c>
      <c r="J52" s="28">
        <v>604.69000000000005</v>
      </c>
      <c r="K52" s="28">
        <v>764.54</v>
      </c>
      <c r="L52" s="28">
        <v>1183.04</v>
      </c>
      <c r="M52" s="28">
        <v>1169.19</v>
      </c>
      <c r="N52" s="28">
        <v>1052.08</v>
      </c>
      <c r="O52" s="28">
        <v>985.98</v>
      </c>
      <c r="Q52" s="2" t="s">
        <v>120</v>
      </c>
      <c r="R52" s="28">
        <v>0</v>
      </c>
      <c r="S52" s="28">
        <v>0</v>
      </c>
      <c r="T52" s="28">
        <v>0</v>
      </c>
      <c r="U52" s="28">
        <v>0</v>
      </c>
      <c r="V52" s="28">
        <v>0</v>
      </c>
      <c r="W52" s="28">
        <v>91.19</v>
      </c>
      <c r="Y52" s="2" t="s">
        <v>35</v>
      </c>
      <c r="Z52" s="28">
        <v>41939.629999999997</v>
      </c>
      <c r="AA52" s="28">
        <v>50169.1</v>
      </c>
      <c r="AB52" s="28">
        <v>44730.46</v>
      </c>
      <c r="AC52" s="28">
        <v>45400.86</v>
      </c>
      <c r="AD52" s="28">
        <v>50604.91</v>
      </c>
      <c r="AE52" s="28">
        <v>51287.99</v>
      </c>
      <c r="AG52" s="2" t="s">
        <v>103</v>
      </c>
      <c r="AH52" s="28">
        <v>18405.739000000001</v>
      </c>
      <c r="AI52" s="28">
        <v>21615.798999999999</v>
      </c>
      <c r="AJ52" s="28">
        <v>23824.933000000001</v>
      </c>
      <c r="AK52" s="28">
        <v>20607.739000000001</v>
      </c>
      <c r="AL52" s="28">
        <v>20555.378000000001</v>
      </c>
      <c r="AM52" s="28">
        <v>30794.641</v>
      </c>
      <c r="AO52" t="s">
        <v>10</v>
      </c>
      <c r="AP52" s="1" t="s">
        <v>239</v>
      </c>
      <c r="AQ52" s="1" t="s">
        <v>240</v>
      </c>
      <c r="AR52" s="1" t="s">
        <v>241</v>
      </c>
      <c r="AS52" s="1" t="s">
        <v>242</v>
      </c>
      <c r="AT52" s="1" t="s">
        <v>243</v>
      </c>
    </row>
    <row r="53" spans="1:47" x14ac:dyDescent="0.3">
      <c r="A53" s="2" t="s">
        <v>37</v>
      </c>
      <c r="B53" s="28">
        <v>3903.02</v>
      </c>
      <c r="C53" s="28">
        <v>6780.92</v>
      </c>
      <c r="D53" s="28">
        <v>7259.56</v>
      </c>
      <c r="E53" s="28">
        <v>7025</v>
      </c>
      <c r="F53" s="28">
        <v>7065.26</v>
      </c>
      <c r="G53" s="28">
        <v>6713.01</v>
      </c>
      <c r="I53" s="2" t="s">
        <v>65</v>
      </c>
      <c r="J53" s="28">
        <v>577.11</v>
      </c>
      <c r="K53" s="28">
        <v>497.48</v>
      </c>
      <c r="L53" s="28">
        <v>587.72</v>
      </c>
      <c r="M53" s="28">
        <v>611.27</v>
      </c>
      <c r="N53" s="28">
        <v>711.87</v>
      </c>
      <c r="O53" s="28">
        <v>572.02</v>
      </c>
      <c r="Q53" s="11" t="s">
        <v>78</v>
      </c>
      <c r="R53" s="29">
        <f>R32+R40+R51+R52</f>
        <v>116909.89</v>
      </c>
      <c r="S53" s="29">
        <f t="shared" ref="S53:W53" si="37">S32+S40+S51+S52</f>
        <v>134159.71000000002</v>
      </c>
      <c r="T53" s="29">
        <f t="shared" si="37"/>
        <v>154628.85999999999</v>
      </c>
      <c r="U53" s="29">
        <f t="shared" si="37"/>
        <v>161339.51</v>
      </c>
      <c r="V53" s="29">
        <f t="shared" si="37"/>
        <v>182677.18000000002</v>
      </c>
      <c r="W53" s="29">
        <f t="shared" si="37"/>
        <v>194835.83000000002</v>
      </c>
      <c r="Y53" s="2" t="s">
        <v>37</v>
      </c>
      <c r="Z53" s="28">
        <v>12468.24</v>
      </c>
      <c r="AA53" s="28">
        <v>17072.96</v>
      </c>
      <c r="AB53" s="28">
        <v>18966.68</v>
      </c>
      <c r="AC53" s="28">
        <v>17150.580000000002</v>
      </c>
      <c r="AD53" s="28">
        <v>15240.85</v>
      </c>
      <c r="AE53" s="28">
        <v>14787.63</v>
      </c>
      <c r="AG53" s="11" t="s">
        <v>56</v>
      </c>
      <c r="AH53" s="29">
        <f>SUM(AH50:AH52)</f>
        <v>223510.728</v>
      </c>
      <c r="AI53" s="29">
        <f t="shared" ref="AI53:AM53" si="38">SUM(AI50:AI52)</f>
        <v>242596.788</v>
      </c>
      <c r="AJ53" s="29">
        <f t="shared" si="38"/>
        <v>283327.84299999999</v>
      </c>
      <c r="AK53" s="29">
        <f t="shared" si="38"/>
        <v>301255.03500000003</v>
      </c>
      <c r="AL53" s="29">
        <f t="shared" si="38"/>
        <v>359624.25400000007</v>
      </c>
      <c r="AM53" s="29">
        <f t="shared" si="38"/>
        <v>374235.11700000003</v>
      </c>
      <c r="AO53" s="70" t="s">
        <v>245</v>
      </c>
      <c r="AP53" s="72">
        <f>FCFF!AW5*FCFF!$AV$11</f>
        <v>2150.2785356479258</v>
      </c>
      <c r="AQ53" s="72">
        <f>FCFF!AX5*FCFF!$AV$11</f>
        <v>2301.1388699521381</v>
      </c>
      <c r="AR53" s="72">
        <f>FCFF!AY5*FCFF!$AV$11</f>
        <v>2462.5833402596982</v>
      </c>
      <c r="AS53" s="72">
        <f>FCFF!AZ5*FCFF!$AV$11</f>
        <v>2635.3545137633287</v>
      </c>
      <c r="AT53" s="72">
        <f>FCFF!BA5*FCFF!$AV$11</f>
        <v>2820.2470550622415</v>
      </c>
    </row>
    <row r="54" spans="1:47" x14ac:dyDescent="0.3">
      <c r="A54" s="2" t="s">
        <v>65</v>
      </c>
      <c r="B54" s="28">
        <v>1831</v>
      </c>
      <c r="C54" s="28">
        <v>2731.68</v>
      </c>
      <c r="D54" s="28">
        <v>2925.39</v>
      </c>
      <c r="E54" s="28">
        <v>2729.28</v>
      </c>
      <c r="F54" s="28">
        <v>3023.29</v>
      </c>
      <c r="G54" s="28">
        <v>2331.48</v>
      </c>
      <c r="I54" s="2" t="s">
        <v>36</v>
      </c>
      <c r="J54" s="28">
        <v>0</v>
      </c>
      <c r="K54" s="28">
        <v>0</v>
      </c>
      <c r="L54" s="28">
        <v>0</v>
      </c>
      <c r="M54" s="28">
        <v>0</v>
      </c>
      <c r="N54" s="28">
        <v>0</v>
      </c>
      <c r="O54" s="28">
        <v>106.99</v>
      </c>
      <c r="Q54" s="2" t="s">
        <v>256</v>
      </c>
      <c r="R54" s="81">
        <f>R26-R51</f>
        <v>-19428.290000000008</v>
      </c>
      <c r="S54" s="81">
        <f t="shared" ref="S54:W54" si="39">S26-S51</f>
        <v>-18213.250000000007</v>
      </c>
      <c r="T54" s="81">
        <f t="shared" si="39"/>
        <v>-21749.649999999994</v>
      </c>
      <c r="U54" s="81">
        <f t="shared" si="39"/>
        <v>-29889.870000000003</v>
      </c>
      <c r="V54" s="81">
        <f t="shared" si="39"/>
        <v>-33499.030000000013</v>
      </c>
      <c r="W54" s="81">
        <f t="shared" si="39"/>
        <v>-38572.880000000026</v>
      </c>
      <c r="Y54" s="2" t="s">
        <v>65</v>
      </c>
      <c r="Z54" s="28">
        <v>9636.27</v>
      </c>
      <c r="AA54" s="28">
        <v>9302.33</v>
      </c>
      <c r="AB54" s="28">
        <v>9749.83</v>
      </c>
      <c r="AC54" s="28">
        <v>10156.280000000001</v>
      </c>
      <c r="AD54" s="28">
        <v>10628.26</v>
      </c>
      <c r="AE54" s="28">
        <v>10012.74</v>
      </c>
      <c r="AG54" s="13" t="s">
        <v>104</v>
      </c>
      <c r="AH54" s="31"/>
      <c r="AI54" s="31"/>
      <c r="AJ54" s="31"/>
      <c r="AK54" s="31"/>
      <c r="AL54" s="31"/>
      <c r="AM54" s="31"/>
    </row>
    <row r="55" spans="1:47" x14ac:dyDescent="0.3">
      <c r="A55" s="2" t="s">
        <v>36</v>
      </c>
      <c r="B55" s="28">
        <v>32.799999999999997</v>
      </c>
      <c r="C55" s="28">
        <v>825.66</v>
      </c>
      <c r="D55" s="28">
        <v>1417.98</v>
      </c>
      <c r="E55" s="28">
        <v>0.98</v>
      </c>
      <c r="F55" s="28">
        <v>609.44000000000005</v>
      </c>
      <c r="G55" s="28">
        <v>141.08000000000001</v>
      </c>
      <c r="I55" s="2" t="s">
        <v>119</v>
      </c>
      <c r="J55" s="28">
        <v>775.16</v>
      </c>
      <c r="K55" s="28">
        <v>828.71</v>
      </c>
      <c r="L55" s="28">
        <v>873.2</v>
      </c>
      <c r="M55" s="28">
        <v>928.56</v>
      </c>
      <c r="N55" s="28">
        <v>1076.06</v>
      </c>
      <c r="O55" s="28">
        <v>979.65</v>
      </c>
      <c r="Y55" s="2" t="s">
        <v>36</v>
      </c>
      <c r="Z55" s="28">
        <v>0</v>
      </c>
      <c r="AA55" s="28">
        <v>802.52</v>
      </c>
      <c r="AB55" s="28">
        <v>619.30999999999995</v>
      </c>
      <c r="AC55" s="28">
        <v>18.22</v>
      </c>
      <c r="AD55" s="28">
        <v>954.37</v>
      </c>
      <c r="AE55" s="28">
        <v>39.97</v>
      </c>
      <c r="AG55" s="13" t="s">
        <v>74</v>
      </c>
      <c r="AH55" s="31"/>
      <c r="AI55" s="31"/>
      <c r="AJ55" s="31"/>
      <c r="AK55" s="31"/>
      <c r="AL55" s="31"/>
      <c r="AM55" s="31"/>
    </row>
    <row r="56" spans="1:47" x14ac:dyDescent="0.3">
      <c r="A56" s="19" t="s">
        <v>38</v>
      </c>
      <c r="B56" s="20">
        <f>SUM(B47:B48,B51,B52:B55)</f>
        <v>58470.21</v>
      </c>
      <c r="C56" s="20">
        <f t="shared" ref="C56:G56" si="40">SUM(C47:C48,C51,C52:C55)</f>
        <v>57704.18</v>
      </c>
      <c r="D56" s="20">
        <f t="shared" si="40"/>
        <v>83068.469999999987</v>
      </c>
      <c r="E56" s="20">
        <f t="shared" si="40"/>
        <v>74871.12999999999</v>
      </c>
      <c r="F56" s="20">
        <f t="shared" si="40"/>
        <v>80883.37999999999</v>
      </c>
      <c r="G56" s="20">
        <f t="shared" si="40"/>
        <v>90671.999999999985</v>
      </c>
      <c r="I56" s="11" t="s">
        <v>38</v>
      </c>
      <c r="J56" s="29">
        <f>SUM(J46:J47,J50,J51:J55)</f>
        <v>12476.15</v>
      </c>
      <c r="K56" s="29">
        <f t="shared" ref="K56:O56" si="41">SUM(K46:K47,K50,K51:K55)</f>
        <v>12552.329999999998</v>
      </c>
      <c r="L56" s="29">
        <f t="shared" si="41"/>
        <v>15093.33</v>
      </c>
      <c r="M56" s="29">
        <f t="shared" si="41"/>
        <v>21711.02</v>
      </c>
      <c r="N56" s="29">
        <f t="shared" si="41"/>
        <v>21640.54</v>
      </c>
      <c r="O56" s="29">
        <f t="shared" si="41"/>
        <v>21899.510000000006</v>
      </c>
      <c r="Y56" s="11" t="s">
        <v>38</v>
      </c>
      <c r="Z56" s="29">
        <f>SUM(Z47:Z48,Z51,Z52:Z55)</f>
        <v>161517.84</v>
      </c>
      <c r="AA56" s="29">
        <f t="shared" ref="AA56:AE56" si="42">SUM(AA47:AA48,AA51,AA52:AA55)</f>
        <v>162174.88999999998</v>
      </c>
      <c r="AB56" s="29">
        <f t="shared" si="42"/>
        <v>192839.55999999997</v>
      </c>
      <c r="AC56" s="29">
        <f t="shared" si="42"/>
        <v>206647.27000000002</v>
      </c>
      <c r="AD56" s="29">
        <f t="shared" si="42"/>
        <v>216385.16</v>
      </c>
      <c r="AE56" s="29">
        <f t="shared" si="42"/>
        <v>230599.42999999996</v>
      </c>
      <c r="AG56" s="2" t="s">
        <v>57</v>
      </c>
      <c r="AH56" s="28">
        <v>72931.577000000005</v>
      </c>
      <c r="AI56" s="28">
        <v>79162.062999999995</v>
      </c>
      <c r="AJ56" s="28">
        <v>88042.676000000007</v>
      </c>
      <c r="AK56" s="28">
        <v>98359.544999999998</v>
      </c>
      <c r="AL56" s="28">
        <v>96970.637000000002</v>
      </c>
      <c r="AM56" s="28">
        <v>98474.125</v>
      </c>
    </row>
    <row r="57" spans="1:47" x14ac:dyDescent="0.3">
      <c r="A57" s="2" t="s">
        <v>116</v>
      </c>
      <c r="B57" s="32">
        <v>534.57000000000005</v>
      </c>
      <c r="C57" s="32">
        <v>0</v>
      </c>
      <c r="D57" s="32">
        <v>0</v>
      </c>
      <c r="E57" s="32">
        <v>0</v>
      </c>
      <c r="F57" s="32">
        <v>0</v>
      </c>
      <c r="G57" s="32">
        <v>0</v>
      </c>
      <c r="I57" s="11" t="s">
        <v>40</v>
      </c>
      <c r="J57" s="29">
        <f>J35+J44+J56</f>
        <v>74914.179999999993</v>
      </c>
      <c r="K57" s="29">
        <f>K35+K44+K56</f>
        <v>81384.959999999992</v>
      </c>
      <c r="L57" s="29">
        <f t="shared" ref="L57:O57" si="43">L35+L44+L56</f>
        <v>96559.400000000009</v>
      </c>
      <c r="M57" s="29">
        <f t="shared" si="43"/>
        <v>107780.75</v>
      </c>
      <c r="N57" s="29">
        <f t="shared" si="43"/>
        <v>124717.23000000001</v>
      </c>
      <c r="O57" s="29">
        <f t="shared" si="43"/>
        <v>133148.73000000001</v>
      </c>
      <c r="Q57" t="s">
        <v>10</v>
      </c>
      <c r="R57" s="1" t="s">
        <v>239</v>
      </c>
      <c r="S57" s="1" t="s">
        <v>240</v>
      </c>
      <c r="T57" s="1" t="s">
        <v>241</v>
      </c>
      <c r="U57" s="1" t="s">
        <v>242</v>
      </c>
      <c r="V57" s="1" t="s">
        <v>243</v>
      </c>
      <c r="Y57" s="2" t="s">
        <v>120</v>
      </c>
      <c r="Z57" s="28">
        <v>0</v>
      </c>
      <c r="AA57" s="28">
        <v>0</v>
      </c>
      <c r="AB57" s="28">
        <v>25.06</v>
      </c>
      <c r="AC57" s="28">
        <v>11.06</v>
      </c>
      <c r="AD57" s="28">
        <v>18.77</v>
      </c>
      <c r="AE57" s="28">
        <v>14.98</v>
      </c>
      <c r="AG57" s="2" t="s">
        <v>58</v>
      </c>
      <c r="AH57" s="28">
        <v>8014.8649999999998</v>
      </c>
      <c r="AI57" s="28">
        <v>9646.2019999999993</v>
      </c>
      <c r="AJ57" s="28">
        <v>9216.7209999999995</v>
      </c>
      <c r="AK57" s="28">
        <v>8403.5290000000005</v>
      </c>
      <c r="AL57" s="28">
        <v>25576.195</v>
      </c>
      <c r="AM57" s="28">
        <v>24384.788</v>
      </c>
    </row>
    <row r="58" spans="1:47" x14ac:dyDescent="0.3">
      <c r="A58" s="21" t="s">
        <v>39</v>
      </c>
      <c r="B58" s="22">
        <f>B45+B56+B57</f>
        <v>93254.6</v>
      </c>
      <c r="C58" s="22">
        <f>C45+C56</f>
        <v>107426.47</v>
      </c>
      <c r="D58" s="22">
        <f>D45+D56</f>
        <v>135623.00999999998</v>
      </c>
      <c r="E58" s="22">
        <f>E45+E56</f>
        <v>134615.82999999999</v>
      </c>
      <c r="F58" s="22">
        <f>F45+F56</f>
        <v>126782.63999999998</v>
      </c>
      <c r="G58" s="22">
        <f>G45+G56</f>
        <v>136998.13999999998</v>
      </c>
      <c r="I58" s="2" t="s">
        <v>256</v>
      </c>
      <c r="J58" s="81">
        <f>J28-J56</f>
        <v>-819.2599999999984</v>
      </c>
      <c r="K58" s="81">
        <f t="shared" ref="K58:N58" si="44">K28-K56</f>
        <v>-1685.0999999999985</v>
      </c>
      <c r="L58" s="81">
        <f t="shared" si="44"/>
        <v>1213.8199999999997</v>
      </c>
      <c r="M58" s="81">
        <f t="shared" si="44"/>
        <v>-1180.3299999999981</v>
      </c>
      <c r="N58" s="81">
        <f t="shared" si="44"/>
        <v>-1368.7300000000032</v>
      </c>
      <c r="O58" s="81">
        <f>O28-O56</f>
        <v>-397.81000000000131</v>
      </c>
      <c r="Q58" s="70" t="s">
        <v>245</v>
      </c>
      <c r="R58" s="72">
        <f>FCFF!$U$11*FCFF!V5</f>
        <v>-44277.5961143444</v>
      </c>
      <c r="S58" s="72">
        <f>FCFF!$U$11*FCFF!W5</f>
        <v>-47983.81132971742</v>
      </c>
      <c r="T58" s="72">
        <f>FCFF!$U$11*FCFF!X5</f>
        <v>-52000.25186055676</v>
      </c>
      <c r="U58" s="72">
        <f>FCFF!$U$11*FCFF!Y5</f>
        <v>-56352.884829860814</v>
      </c>
      <c r="V58" s="72">
        <f>FCFF!$U$11*FCFF!Z5</f>
        <v>-61069.850914632785</v>
      </c>
      <c r="Y58" s="11" t="s">
        <v>78</v>
      </c>
      <c r="Z58" s="29">
        <f>Z37+Z45+Z56+Z57</f>
        <v>329736.83</v>
      </c>
      <c r="AA58" s="29">
        <f t="shared" ref="AA58:AE58" si="45">AA37+AA45+AA56+AA57</f>
        <v>354915.92</v>
      </c>
      <c r="AB58" s="29">
        <f t="shared" si="45"/>
        <v>410624.84999999992</v>
      </c>
      <c r="AC58" s="29">
        <f t="shared" si="45"/>
        <v>441762.09</v>
      </c>
      <c r="AD58" s="29">
        <f t="shared" si="45"/>
        <v>482361.91000000003</v>
      </c>
      <c r="AE58" s="29">
        <f t="shared" si="45"/>
        <v>506867.04999999993</v>
      </c>
      <c r="AG58" s="2" t="s">
        <v>93</v>
      </c>
      <c r="AH58" s="28">
        <v>701.91399999999999</v>
      </c>
      <c r="AI58" s="28">
        <v>6286.66</v>
      </c>
      <c r="AJ58" s="28">
        <v>1950.2429999999999</v>
      </c>
      <c r="AK58" s="28">
        <v>431.75700000000001</v>
      </c>
      <c r="AL58" s="28">
        <v>271.67</v>
      </c>
      <c r="AM58" s="28">
        <v>317.81</v>
      </c>
    </row>
    <row r="59" spans="1:47" x14ac:dyDescent="0.3">
      <c r="A59" s="23" t="s">
        <v>40</v>
      </c>
      <c r="B59" s="24">
        <f t="shared" ref="B59:G59" si="46">B37+B58</f>
        <v>126468.98000000001</v>
      </c>
      <c r="C59" s="24">
        <f t="shared" si="46"/>
        <v>160981.54999999999</v>
      </c>
      <c r="D59" s="24">
        <f t="shared" si="46"/>
        <v>187528.62999999998</v>
      </c>
      <c r="E59" s="24">
        <f t="shared" si="46"/>
        <v>188138.19</v>
      </c>
      <c r="F59" s="24">
        <f t="shared" si="46"/>
        <v>202417.75</v>
      </c>
      <c r="G59" s="24">
        <f t="shared" si="46"/>
        <v>218382.21999999997</v>
      </c>
      <c r="Y59" s="2" t="s">
        <v>256</v>
      </c>
      <c r="Z59" s="81">
        <f>Z30-Z56</f>
        <v>-50782.560000000012</v>
      </c>
      <c r="AA59" s="81">
        <f t="shared" ref="AA59:AE59" si="47">AA30-AA56</f>
        <v>-45966.199999999983</v>
      </c>
      <c r="AB59" s="81">
        <f t="shared" si="47"/>
        <v>-45978.869999999966</v>
      </c>
      <c r="AC59" s="81">
        <f t="shared" si="47"/>
        <v>-47781.78</v>
      </c>
      <c r="AD59" s="81">
        <f t="shared" si="47"/>
        <v>-57942.540000000008</v>
      </c>
      <c r="AE59" s="81">
        <f t="shared" si="47"/>
        <v>-72956.279999999941</v>
      </c>
      <c r="AG59" s="2" t="s">
        <v>65</v>
      </c>
      <c r="AH59" s="28">
        <v>33100.603999999999</v>
      </c>
      <c r="AI59" s="28">
        <v>36114.510999999999</v>
      </c>
      <c r="AJ59" s="28">
        <v>36383.008000000002</v>
      </c>
      <c r="AK59" s="28">
        <v>40423.067999999999</v>
      </c>
      <c r="AL59" s="28">
        <v>50678.044999999998</v>
      </c>
      <c r="AM59" s="28">
        <v>54308.148999999998</v>
      </c>
    </row>
    <row r="60" spans="1:47" x14ac:dyDescent="0.3">
      <c r="A60" s="2" t="s">
        <v>244</v>
      </c>
      <c r="B60" s="81">
        <f>B31-B56</f>
        <v>-17406.980000000003</v>
      </c>
      <c r="C60" s="81">
        <f t="shared" ref="C60:G60" si="48">C31-C56</f>
        <v>-5629.3299999999945</v>
      </c>
      <c r="D60" s="81">
        <f t="shared" si="48"/>
        <v>-21069.109999999979</v>
      </c>
      <c r="E60" s="81">
        <f t="shared" si="48"/>
        <v>-18828.879999999976</v>
      </c>
      <c r="F60" s="81">
        <f t="shared" si="48"/>
        <v>-15189.270000000004</v>
      </c>
      <c r="G60" s="81">
        <f t="shared" si="48"/>
        <v>-17839.779999999984</v>
      </c>
      <c r="AG60" s="2" t="s">
        <v>32</v>
      </c>
      <c r="AH60" s="28">
        <v>46042.014000000003</v>
      </c>
      <c r="AI60" s="28">
        <v>45400.45</v>
      </c>
      <c r="AJ60" s="28">
        <v>38262.355000000003</v>
      </c>
      <c r="AK60" s="28">
        <v>32135.79</v>
      </c>
      <c r="AL60" s="28">
        <v>38228.519999999997</v>
      </c>
      <c r="AM60" s="28">
        <v>38761.834000000003</v>
      </c>
    </row>
    <row r="61" spans="1:47" x14ac:dyDescent="0.3">
      <c r="Y61" t="s">
        <v>10</v>
      </c>
      <c r="Z61" s="1" t="s">
        <v>239</v>
      </c>
      <c r="AA61" s="1" t="s">
        <v>240</v>
      </c>
      <c r="AB61" s="1" t="s">
        <v>241</v>
      </c>
      <c r="AC61" s="1" t="s">
        <v>242</v>
      </c>
      <c r="AD61" s="1" t="s">
        <v>243</v>
      </c>
      <c r="AG61" s="2" t="s">
        <v>60</v>
      </c>
      <c r="AH61" s="28">
        <v>643.72199999999998</v>
      </c>
      <c r="AI61" s="28">
        <v>793.19399999999996</v>
      </c>
      <c r="AJ61" s="28">
        <v>842.19899999999996</v>
      </c>
      <c r="AK61" s="28">
        <v>1249.8209999999999</v>
      </c>
      <c r="AL61" s="28">
        <v>1301.124</v>
      </c>
      <c r="AM61" s="28">
        <v>1399.2729999999999</v>
      </c>
    </row>
    <row r="62" spans="1:47" x14ac:dyDescent="0.3">
      <c r="A62" t="s">
        <v>10</v>
      </c>
      <c r="B62" s="1" t="s">
        <v>239</v>
      </c>
      <c r="C62" s="1" t="s">
        <v>240</v>
      </c>
      <c r="D62" s="1" t="s">
        <v>241</v>
      </c>
      <c r="E62" s="1" t="s">
        <v>242</v>
      </c>
      <c r="F62" s="1" t="s">
        <v>243</v>
      </c>
      <c r="G62"/>
      <c r="I62" t="s">
        <v>10</v>
      </c>
      <c r="J62" s="1" t="s">
        <v>239</v>
      </c>
      <c r="K62" s="1" t="s">
        <v>240</v>
      </c>
      <c r="L62" s="1" t="s">
        <v>241</v>
      </c>
      <c r="M62" s="1" t="s">
        <v>242</v>
      </c>
      <c r="N62" s="1" t="s">
        <v>243</v>
      </c>
      <c r="Y62" s="70" t="s">
        <v>245</v>
      </c>
      <c r="Z62" s="72">
        <f>FCFF!AE5*FCFF!$AD$11</f>
        <v>-65207.318289706258</v>
      </c>
      <c r="AA62" s="72">
        <f>FCFF!AF5*FCFF!$AD$11</f>
        <v>-69695.425974122962</v>
      </c>
      <c r="AB62" s="72">
        <f>FCFF!AG5*FCFF!$AD$11</f>
        <v>-74492.442399387219</v>
      </c>
      <c r="AC62" s="72">
        <f>FCFF!AH5*FCFF!$AD$11</f>
        <v>-79619.62922339185</v>
      </c>
      <c r="AD62" s="72">
        <f>FCFF!AI5*FCFF!$AD$11</f>
        <v>-85099.711507412474</v>
      </c>
      <c r="AG62" s="11" t="s">
        <v>61</v>
      </c>
      <c r="AH62" s="29">
        <f>SUM(AH56:AH61)</f>
        <v>161434.69600000003</v>
      </c>
      <c r="AI62" s="29">
        <f t="shared" ref="AI62:AM62" si="49">SUM(AI56:AI61)</f>
        <v>177403.08</v>
      </c>
      <c r="AJ62" s="29">
        <f t="shared" si="49"/>
        <v>174697.20200000002</v>
      </c>
      <c r="AK62" s="29">
        <f t="shared" si="49"/>
        <v>181003.50999999998</v>
      </c>
      <c r="AL62" s="29">
        <f t="shared" si="49"/>
        <v>213026.19099999999</v>
      </c>
      <c r="AM62" s="29">
        <f t="shared" si="49"/>
        <v>217645.97899999999</v>
      </c>
    </row>
    <row r="63" spans="1:47" x14ac:dyDescent="0.3">
      <c r="A63" s="70" t="s">
        <v>245</v>
      </c>
      <c r="B63" s="72">
        <f>FCFF!D5*FCFF!$C$11</f>
        <v>-19845.969374239616</v>
      </c>
      <c r="C63" s="72">
        <f>FCFF!E5*FCFF!$C$11</f>
        <v>-21284.592388499055</v>
      </c>
      <c r="D63" s="72">
        <f>FCFF!F5*FCFF!$C$11</f>
        <v>-22827.500365519918</v>
      </c>
      <c r="E63" s="72">
        <f>FCFF!G5*FCFF!$C$11</f>
        <v>-24482.252862844631</v>
      </c>
      <c r="F63" s="72">
        <f>FCFF!H5*FCFF!$C$11</f>
        <v>-26256.957426035402</v>
      </c>
      <c r="G63" s="71"/>
      <c r="I63" s="70" t="s">
        <v>245</v>
      </c>
      <c r="J63" s="72">
        <f>FCFF!M5*FCFF!$L$11</f>
        <v>-1041.7240816751976</v>
      </c>
      <c r="K63" s="72">
        <f>FCFF!N5*FCFF!$L$11</f>
        <v>-1163.0747723186944</v>
      </c>
      <c r="L63" s="72">
        <f>FCFF!O5*FCFF!$L$11</f>
        <v>-1298.5616343137956</v>
      </c>
      <c r="M63" s="72">
        <f>FCFF!P5*FCFF!$L$11</f>
        <v>-1449.8313936858933</v>
      </c>
      <c r="N63" s="72">
        <f>FCFF!Q5*FCFF!$L$11</f>
        <v>-1618.7226039740151</v>
      </c>
      <c r="AG63" s="13" t="s">
        <v>34</v>
      </c>
      <c r="AH63" s="30"/>
      <c r="AI63" s="30"/>
      <c r="AJ63" s="30"/>
      <c r="AK63" s="30"/>
      <c r="AL63" s="30"/>
      <c r="AM63" s="30"/>
    </row>
    <row r="64" spans="1:47" x14ac:dyDescent="0.3">
      <c r="AG64" s="2" t="s">
        <v>57</v>
      </c>
      <c r="AH64" s="28">
        <v>31505.633999999998</v>
      </c>
      <c r="AI64" s="28">
        <v>30657.61</v>
      </c>
      <c r="AJ64" s="28">
        <v>19733.13</v>
      </c>
      <c r="AK64" s="28">
        <v>30826.010999999999</v>
      </c>
      <c r="AL64" s="28">
        <v>60714.95</v>
      </c>
      <c r="AM64" s="28">
        <v>55081.779000000002</v>
      </c>
    </row>
    <row r="65" spans="33:39" x14ac:dyDescent="0.3">
      <c r="AG65" s="2" t="s">
        <v>76</v>
      </c>
      <c r="AH65" s="28">
        <v>165.15</v>
      </c>
      <c r="AI65" s="28">
        <v>312.75700000000001</v>
      </c>
      <c r="AJ65" s="28">
        <v>794.84900000000005</v>
      </c>
      <c r="AK65" s="28">
        <v>749.09400000000005</v>
      </c>
      <c r="AL65" s="28">
        <v>1301.4069999999999</v>
      </c>
      <c r="AM65" s="28">
        <v>1380.386</v>
      </c>
    </row>
    <row r="66" spans="33:39" x14ac:dyDescent="0.3">
      <c r="AG66" s="2" t="s">
        <v>77</v>
      </c>
      <c r="AH66" s="28">
        <v>22795.975999999999</v>
      </c>
      <c r="AI66" s="28">
        <v>27136.387999999999</v>
      </c>
      <c r="AJ66" s="28">
        <v>39391.165000000001</v>
      </c>
      <c r="AK66" s="28">
        <v>32893.508000000002</v>
      </c>
      <c r="AL66" s="28">
        <v>36845.855000000003</v>
      </c>
      <c r="AM66" s="28">
        <v>37595.144999999997</v>
      </c>
    </row>
    <row r="67" spans="33:39" x14ac:dyDescent="0.3">
      <c r="AG67" s="11" t="s">
        <v>64</v>
      </c>
      <c r="AH67" s="29">
        <f>AH65+AH66</f>
        <v>22961.126</v>
      </c>
      <c r="AI67" s="29">
        <f t="shared" ref="AI67:AM67" si="50">AI65+AI66</f>
        <v>27449.145</v>
      </c>
      <c r="AJ67" s="29">
        <f t="shared" si="50"/>
        <v>40186.014000000003</v>
      </c>
      <c r="AK67" s="29">
        <f t="shared" si="50"/>
        <v>33642.601999999999</v>
      </c>
      <c r="AL67" s="29">
        <f t="shared" si="50"/>
        <v>38147.262000000002</v>
      </c>
      <c r="AM67" s="29">
        <f t="shared" si="50"/>
        <v>38975.530999999995</v>
      </c>
    </row>
    <row r="68" spans="33:39" x14ac:dyDescent="0.3">
      <c r="AG68" s="2" t="s">
        <v>58</v>
      </c>
      <c r="AH68" s="28">
        <v>5155.2179999999998</v>
      </c>
      <c r="AI68" s="28">
        <v>4479.5690000000004</v>
      </c>
      <c r="AJ68" s="28">
        <v>4993.3310000000001</v>
      </c>
      <c r="AK68" s="28">
        <v>4665.7309999999998</v>
      </c>
      <c r="AL68" s="28">
        <v>7933.4449999999997</v>
      </c>
      <c r="AM68" s="28">
        <v>9876.61</v>
      </c>
    </row>
    <row r="69" spans="33:39" x14ac:dyDescent="0.3">
      <c r="AG69" s="2" t="s">
        <v>93</v>
      </c>
      <c r="AH69" s="28">
        <v>54304.650999999998</v>
      </c>
      <c r="AI69" s="28">
        <v>46059.34</v>
      </c>
      <c r="AJ69" s="28">
        <v>43411.692000000003</v>
      </c>
      <c r="AK69" s="28">
        <v>47722.264000000003</v>
      </c>
      <c r="AL69" s="28">
        <v>43519.17</v>
      </c>
      <c r="AM69" s="28">
        <v>44562.951999999997</v>
      </c>
    </row>
    <row r="70" spans="33:39" x14ac:dyDescent="0.3">
      <c r="AG70" s="2" t="s">
        <v>37</v>
      </c>
      <c r="AH70" s="28">
        <v>6333.5190000000002</v>
      </c>
      <c r="AI70" s="28">
        <v>8997.8430000000008</v>
      </c>
      <c r="AJ70" s="28">
        <v>11394.821</v>
      </c>
      <c r="AK70" s="28">
        <v>9759.0840000000007</v>
      </c>
      <c r="AL70" s="28">
        <v>11398.111000000001</v>
      </c>
      <c r="AM70" s="28">
        <v>10631.687</v>
      </c>
    </row>
    <row r="71" spans="33:39" x14ac:dyDescent="0.3">
      <c r="AG71" s="2" t="s">
        <v>65</v>
      </c>
      <c r="AH71" s="28">
        <v>4187.2020000000002</v>
      </c>
      <c r="AI71" s="28">
        <v>4878.6859999999997</v>
      </c>
      <c r="AJ71" s="28">
        <v>6663.4679999999998</v>
      </c>
      <c r="AK71" s="28">
        <v>5248.7359999999999</v>
      </c>
      <c r="AL71" s="28">
        <v>6963.7529999999997</v>
      </c>
      <c r="AM71" s="28">
        <v>7071.1310000000003</v>
      </c>
    </row>
    <row r="72" spans="33:39" x14ac:dyDescent="0.3">
      <c r="AG72" s="2" t="s">
        <v>36</v>
      </c>
      <c r="AH72" s="28">
        <v>625.226</v>
      </c>
      <c r="AI72" s="28">
        <v>742.55200000000002</v>
      </c>
      <c r="AJ72" s="28">
        <v>982.78700000000003</v>
      </c>
      <c r="AK72" s="28">
        <v>405.75299999999999</v>
      </c>
      <c r="AL72" s="28">
        <f>579.601+91.186</f>
        <v>670.78700000000003</v>
      </c>
      <c r="AM72" s="28">
        <v>642.31600000000003</v>
      </c>
    </row>
    <row r="73" spans="33:39" x14ac:dyDescent="0.3">
      <c r="AG73" s="11" t="s">
        <v>38</v>
      </c>
      <c r="AH73" s="29">
        <f>SUM(AH64,AH67,AH68:AH72)</f>
        <v>125072.57599999999</v>
      </c>
      <c r="AI73" s="29">
        <f t="shared" ref="AI73:AM73" si="51">SUM(AI64,AI67,AI68:AI72)</f>
        <v>123264.74500000001</v>
      </c>
      <c r="AJ73" s="29">
        <f t="shared" si="51"/>
        <v>127365.24299999999</v>
      </c>
      <c r="AK73" s="29">
        <f t="shared" si="51"/>
        <v>132270.18100000001</v>
      </c>
      <c r="AL73" s="29">
        <f t="shared" si="51"/>
        <v>169347.478</v>
      </c>
      <c r="AM73" s="29">
        <f t="shared" si="51"/>
        <v>166842.00599999999</v>
      </c>
    </row>
    <row r="74" spans="33:39" x14ac:dyDescent="0.3">
      <c r="AG74" s="11" t="s">
        <v>78</v>
      </c>
      <c r="AH74" s="29">
        <f>AH53+AH62+AH73</f>
        <v>510018</v>
      </c>
      <c r="AI74" s="29">
        <f t="shared" ref="AI74:AM74" si="52">AI53+AI62+AI73</f>
        <v>543264.61300000001</v>
      </c>
      <c r="AJ74" s="29">
        <f t="shared" si="52"/>
        <v>585390.28800000006</v>
      </c>
      <c r="AK74" s="29">
        <f t="shared" si="52"/>
        <v>614528.72600000002</v>
      </c>
      <c r="AL74" s="29">
        <f t="shared" si="52"/>
        <v>741997.92300000007</v>
      </c>
      <c r="AM74" s="29">
        <f t="shared" si="52"/>
        <v>758723.10199999996</v>
      </c>
    </row>
    <row r="75" spans="33:39" x14ac:dyDescent="0.3">
      <c r="AG75" s="2" t="s">
        <v>256</v>
      </c>
      <c r="AH75" s="81">
        <f>AH46-AH73</f>
        <v>-49687.986999999979</v>
      </c>
      <c r="AI75" s="81">
        <f t="shared" ref="AI75:AM75" si="53">AI46-AI73</f>
        <v>-35498.15400000001</v>
      </c>
      <c r="AJ75" s="81">
        <f t="shared" si="53"/>
        <v>-26747.098999999987</v>
      </c>
      <c r="AK75" s="81">
        <f t="shared" si="53"/>
        <v>-23288.547000000006</v>
      </c>
      <c r="AL75" s="81">
        <f t="shared" si="53"/>
        <v>-34506.941000000021</v>
      </c>
      <c r="AM75" s="81">
        <f t="shared" si="53"/>
        <v>-35297.965999999986</v>
      </c>
    </row>
    <row r="77" spans="33:39" x14ac:dyDescent="0.3">
      <c r="AG77" t="s">
        <v>10</v>
      </c>
      <c r="AH77" s="1" t="s">
        <v>239</v>
      </c>
      <c r="AI77" s="1" t="s">
        <v>240</v>
      </c>
      <c r="AJ77" s="1" t="s">
        <v>241</v>
      </c>
      <c r="AK77" s="1" t="s">
        <v>242</v>
      </c>
      <c r="AL77" s="1" t="s">
        <v>243</v>
      </c>
    </row>
    <row r="78" spans="33:39" x14ac:dyDescent="0.3">
      <c r="AG78" s="70" t="s">
        <v>245</v>
      </c>
      <c r="AH78" s="72">
        <f>FCFF!AN5*FCFF!$AM$11</f>
        <v>-33294.907953548289</v>
      </c>
      <c r="AI78" s="72">
        <f>FCFF!AO5*FCFF!$AM$11</f>
        <v>-35843.52971813843</v>
      </c>
      <c r="AJ78" s="72">
        <f>FCFF!AP5*FCFF!$AM$11</f>
        <v>-38587.240560854421</v>
      </c>
      <c r="AK78" s="72">
        <f>FCFF!AQ5*FCFF!$AM$11</f>
        <v>-41540.973944532045</v>
      </c>
      <c r="AL78" s="72">
        <f>FCFF!AR5*FCFF!$AM$11</f>
        <v>-44720.806442192501</v>
      </c>
    </row>
  </sheetData>
  <mergeCells count="6">
    <mergeCell ref="AO3:AU3"/>
    <mergeCell ref="A3:G3"/>
    <mergeCell ref="I3:O3"/>
    <mergeCell ref="Q3:W3"/>
    <mergeCell ref="Y3:AE3"/>
    <mergeCell ref="AG3:AM3"/>
  </mergeCells>
  <phoneticPr fontId="8" type="noConversion"/>
  <pageMargins left="0.7" right="0.7" top="0.75" bottom="0.75" header="0.3" footer="0.3"/>
  <picture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6370F-6ACE-49FA-8AF0-53D464A0CBD4}">
  <dimension ref="A1:AU32"/>
  <sheetViews>
    <sheetView showGridLines="0" topLeftCell="O5" workbookViewId="0">
      <selection activeCell="X35" sqref="X35"/>
    </sheetView>
  </sheetViews>
  <sheetFormatPr defaultRowHeight="14.4" x14ac:dyDescent="0.3"/>
  <cols>
    <col min="1" max="1" width="43.5546875" style="35" bestFit="1" customWidth="1"/>
    <col min="2" max="7" width="10.88671875" style="1" bestFit="1" customWidth="1"/>
    <col min="8" max="8" width="8.88671875" style="35"/>
    <col min="9" max="9" width="48.33203125" style="35" bestFit="1" customWidth="1"/>
    <col min="10" max="12" width="9.88671875" style="1" bestFit="1" customWidth="1"/>
    <col min="13" max="15" width="10.88671875" style="1" bestFit="1" customWidth="1"/>
    <col min="16" max="16" width="8.88671875" style="35"/>
    <col min="17" max="17" width="43" style="36" bestFit="1" customWidth="1"/>
    <col min="18" max="23" width="10.88671875" style="1" bestFit="1" customWidth="1"/>
    <col min="24" max="24" width="8.88671875" style="35"/>
    <col min="25" max="25" width="53" style="35" bestFit="1" customWidth="1"/>
    <col min="26" max="31" width="10.88671875" style="1" bestFit="1" customWidth="1"/>
    <col min="32" max="32" width="8.88671875" style="35"/>
    <col min="33" max="33" width="45.44140625" style="35" bestFit="1" customWidth="1"/>
    <col min="34" max="39" width="10.88671875" style="1" bestFit="1" customWidth="1"/>
    <col min="40" max="40" width="8.88671875" style="35"/>
    <col min="41" max="41" width="35" style="35" bestFit="1" customWidth="1"/>
    <col min="42" max="47" width="10.88671875" style="1" bestFit="1" customWidth="1"/>
    <col min="48" max="16384" width="8.88671875" style="35"/>
  </cols>
  <sheetData>
    <row r="1" spans="1:47" ht="31.2" x14ac:dyDescent="0.3">
      <c r="A1" s="34" t="s">
        <v>122</v>
      </c>
    </row>
    <row r="2" spans="1:47" ht="31.2" x14ac:dyDescent="0.3">
      <c r="A2" s="34"/>
    </row>
    <row r="3" spans="1:47" s="36" customFormat="1" ht="48" customHeight="1" x14ac:dyDescent="0.3">
      <c r="A3" s="116" t="e" vm="1">
        <v>#VALUE!</v>
      </c>
      <c r="B3" s="116"/>
      <c r="C3" s="116"/>
      <c r="D3" s="116"/>
      <c r="E3" s="116"/>
      <c r="F3" s="116"/>
      <c r="G3" s="116"/>
      <c r="I3" s="116" t="e" vm="2">
        <v>#VALUE!</v>
      </c>
      <c r="J3" s="116"/>
      <c r="K3" s="116"/>
      <c r="L3" s="116"/>
      <c r="M3" s="116"/>
      <c r="N3" s="116"/>
      <c r="O3" s="116"/>
      <c r="Q3" s="116" t="e" vm="3">
        <v>#VALUE!</v>
      </c>
      <c r="R3" s="116"/>
      <c r="S3" s="116"/>
      <c r="T3" s="116"/>
      <c r="U3" s="116"/>
      <c r="V3" s="116"/>
      <c r="W3" s="116"/>
      <c r="Y3" s="116" t="e" vm="4">
        <v>#VALUE!</v>
      </c>
      <c r="Z3" s="116"/>
      <c r="AA3" s="116"/>
      <c r="AB3" s="116"/>
      <c r="AC3" s="116"/>
      <c r="AD3" s="116"/>
      <c r="AE3" s="116"/>
      <c r="AG3" s="116" t="e" vm="5">
        <v>#VALUE!</v>
      </c>
      <c r="AH3" s="116"/>
      <c r="AI3" s="116"/>
      <c r="AJ3" s="116"/>
      <c r="AK3" s="116"/>
      <c r="AL3" s="116"/>
      <c r="AM3" s="116"/>
      <c r="AO3" s="116" t="e" vm="6">
        <v>#VALUE!</v>
      </c>
      <c r="AP3" s="116"/>
      <c r="AQ3" s="116"/>
      <c r="AR3" s="116"/>
      <c r="AS3" s="116"/>
      <c r="AT3" s="116"/>
      <c r="AU3" s="116"/>
    </row>
    <row r="4" spans="1:47" x14ac:dyDescent="0.3">
      <c r="A4" s="35" t="s">
        <v>10</v>
      </c>
      <c r="B4" s="1" t="s">
        <v>41</v>
      </c>
      <c r="C4" s="1" t="s">
        <v>42</v>
      </c>
      <c r="D4" s="1" t="s">
        <v>43</v>
      </c>
      <c r="E4" s="1" t="s">
        <v>44</v>
      </c>
      <c r="F4" s="1" t="s">
        <v>45</v>
      </c>
      <c r="G4" s="1" t="s">
        <v>46</v>
      </c>
      <c r="I4" s="35" t="s">
        <v>10</v>
      </c>
      <c r="J4" s="1" t="s">
        <v>41</v>
      </c>
      <c r="K4" s="1" t="s">
        <v>42</v>
      </c>
      <c r="L4" s="1" t="s">
        <v>43</v>
      </c>
      <c r="M4" s="1" t="s">
        <v>44</v>
      </c>
      <c r="N4" s="1" t="s">
        <v>45</v>
      </c>
      <c r="O4" s="1" t="s">
        <v>46</v>
      </c>
      <c r="Q4" s="36" t="s">
        <v>10</v>
      </c>
      <c r="R4" s="1" t="s">
        <v>41</v>
      </c>
      <c r="S4" s="1" t="s">
        <v>42</v>
      </c>
      <c r="T4" s="1" t="s">
        <v>43</v>
      </c>
      <c r="U4" s="1" t="s">
        <v>44</v>
      </c>
      <c r="V4" s="1" t="s">
        <v>45</v>
      </c>
      <c r="W4" s="1" t="s">
        <v>46</v>
      </c>
      <c r="Y4" s="36" t="s">
        <v>10</v>
      </c>
      <c r="Z4" s="1" t="s">
        <v>41</v>
      </c>
      <c r="AA4" s="1" t="s">
        <v>42</v>
      </c>
      <c r="AB4" s="1" t="s">
        <v>43</v>
      </c>
      <c r="AC4" s="1" t="s">
        <v>44</v>
      </c>
      <c r="AD4" s="1" t="s">
        <v>45</v>
      </c>
      <c r="AE4" s="1" t="s">
        <v>46</v>
      </c>
      <c r="AG4" s="36" t="s">
        <v>10</v>
      </c>
      <c r="AH4" s="1" t="s">
        <v>41</v>
      </c>
      <c r="AI4" s="1" t="s">
        <v>42</v>
      </c>
      <c r="AJ4" s="1" t="s">
        <v>43</v>
      </c>
      <c r="AK4" s="1" t="s">
        <v>44</v>
      </c>
      <c r="AL4" s="1" t="s">
        <v>45</v>
      </c>
      <c r="AM4" s="1" t="s">
        <v>46</v>
      </c>
      <c r="AO4" s="36" t="s">
        <v>10</v>
      </c>
      <c r="AP4" s="1" t="s">
        <v>41</v>
      </c>
      <c r="AQ4" s="1" t="s">
        <v>42</v>
      </c>
      <c r="AR4" s="1" t="s">
        <v>43</v>
      </c>
      <c r="AS4" s="1" t="s">
        <v>44</v>
      </c>
      <c r="AT4" s="1" t="s">
        <v>45</v>
      </c>
      <c r="AU4" s="1" t="s">
        <v>46</v>
      </c>
    </row>
    <row r="5" spans="1:47" x14ac:dyDescent="0.3">
      <c r="A5" s="37" t="s">
        <v>123</v>
      </c>
      <c r="B5" s="14"/>
      <c r="C5" s="14"/>
      <c r="D5" s="14"/>
      <c r="E5" s="14"/>
      <c r="F5" s="14"/>
      <c r="G5" s="14"/>
      <c r="I5" s="37" t="s">
        <v>123</v>
      </c>
      <c r="J5" s="10"/>
      <c r="K5" s="10"/>
      <c r="L5" s="10"/>
      <c r="M5" s="10"/>
      <c r="N5" s="10"/>
      <c r="O5" s="10"/>
      <c r="Q5" s="39" t="s">
        <v>123</v>
      </c>
      <c r="R5" s="10"/>
      <c r="S5" s="10"/>
      <c r="T5" s="10"/>
      <c r="U5" s="10"/>
      <c r="V5" s="10"/>
      <c r="W5" s="10"/>
      <c r="Y5" s="39" t="s">
        <v>123</v>
      </c>
      <c r="Z5" s="14"/>
      <c r="AA5" s="14"/>
      <c r="AB5" s="14"/>
      <c r="AC5" s="14"/>
      <c r="AD5" s="14"/>
      <c r="AE5" s="14"/>
      <c r="AG5" s="39" t="s">
        <v>123</v>
      </c>
      <c r="AH5" s="14"/>
      <c r="AI5" s="14"/>
      <c r="AJ5" s="14"/>
      <c r="AK5" s="14"/>
      <c r="AL5" s="14"/>
      <c r="AM5" s="14"/>
      <c r="AO5" s="39" t="s">
        <v>123</v>
      </c>
      <c r="AP5" s="14"/>
      <c r="AQ5" s="14"/>
      <c r="AR5" s="14"/>
      <c r="AS5" s="14"/>
      <c r="AT5" s="14"/>
      <c r="AU5" s="14"/>
    </row>
    <row r="6" spans="1:47" x14ac:dyDescent="0.3">
      <c r="A6" s="35" t="s">
        <v>124</v>
      </c>
      <c r="B6" s="15">
        <v>327580.78000000003</v>
      </c>
      <c r="C6" s="28">
        <v>301873.15999999997</v>
      </c>
      <c r="D6" s="15">
        <v>432422.48</v>
      </c>
      <c r="E6" s="15">
        <v>533467.55000000005</v>
      </c>
      <c r="F6" s="15">
        <v>506992.6</v>
      </c>
      <c r="G6" s="15">
        <v>500517.48</v>
      </c>
      <c r="I6" s="35" t="s">
        <v>124</v>
      </c>
      <c r="J6" s="15">
        <v>72576.98</v>
      </c>
      <c r="K6" s="15">
        <v>57428.26</v>
      </c>
      <c r="L6" s="15">
        <v>92873.82</v>
      </c>
      <c r="M6" s="15">
        <v>145875.03</v>
      </c>
      <c r="N6" s="15">
        <v>133499.54</v>
      </c>
      <c r="O6" s="15">
        <v>142291.42000000001</v>
      </c>
      <c r="Q6" s="36" t="s">
        <v>153</v>
      </c>
      <c r="R6" s="15">
        <v>286574.27</v>
      </c>
      <c r="S6" s="15">
        <v>269493.69</v>
      </c>
      <c r="T6" s="15">
        <v>372867.94</v>
      </c>
      <c r="U6" s="15">
        <v>464989.7</v>
      </c>
      <c r="V6" s="15">
        <v>460147.32</v>
      </c>
      <c r="W6" s="15">
        <v>464626.25</v>
      </c>
      <c r="Y6" s="36" t="s">
        <v>124</v>
      </c>
      <c r="Z6" s="15">
        <v>575989.69999999995</v>
      </c>
      <c r="AA6" s="15">
        <v>520236.84</v>
      </c>
      <c r="AB6" s="15">
        <v>736716.3</v>
      </c>
      <c r="AC6" s="15">
        <v>951409.94</v>
      </c>
      <c r="AD6" s="15">
        <v>881235.45</v>
      </c>
      <c r="AE6" s="15">
        <v>859362.73</v>
      </c>
      <c r="AG6" s="36" t="s">
        <v>124</v>
      </c>
      <c r="AH6" s="15">
        <v>424961.07500000001</v>
      </c>
      <c r="AI6" s="15">
        <v>360572.31</v>
      </c>
      <c r="AJ6" s="15">
        <v>531792.54</v>
      </c>
      <c r="AK6" s="15">
        <v>684829.223</v>
      </c>
      <c r="AL6" s="15">
        <v>653170.76699999999</v>
      </c>
      <c r="AM6" s="15">
        <v>663262.30900000001</v>
      </c>
      <c r="AO6" s="36" t="s">
        <v>176</v>
      </c>
      <c r="AP6" s="15">
        <v>362869</v>
      </c>
      <c r="AQ6" s="15">
        <v>276181</v>
      </c>
      <c r="AR6" s="15">
        <v>463067</v>
      </c>
      <c r="AS6" s="15">
        <v>562234</v>
      </c>
      <c r="AT6" s="15">
        <v>533566</v>
      </c>
      <c r="AU6" s="15">
        <v>538564</v>
      </c>
    </row>
    <row r="7" spans="1:47" x14ac:dyDescent="0.3">
      <c r="A7" s="35" t="s">
        <v>125</v>
      </c>
      <c r="B7" s="15">
        <v>3081.31</v>
      </c>
      <c r="C7" s="28">
        <v>4336.2700000000004</v>
      </c>
      <c r="D7" s="15">
        <v>2629.36</v>
      </c>
      <c r="E7" s="15">
        <v>2183.9899999999998</v>
      </c>
      <c r="F7" s="15">
        <v>2234.73</v>
      </c>
      <c r="G7" s="15">
        <v>2684.72</v>
      </c>
      <c r="I7" s="35" t="s">
        <v>125</v>
      </c>
      <c r="J7" s="15">
        <v>1537.15</v>
      </c>
      <c r="K7" s="15">
        <v>1120.2</v>
      </c>
      <c r="L7" s="15">
        <v>1172.25</v>
      </c>
      <c r="M7" s="15">
        <v>1328.47</v>
      </c>
      <c r="N7" s="15">
        <v>1007.81</v>
      </c>
      <c r="O7" s="15">
        <v>1267.6400000000001</v>
      </c>
      <c r="Q7" s="36" t="s">
        <v>154</v>
      </c>
      <c r="R7" s="15">
        <v>1167.78</v>
      </c>
      <c r="S7" s="15">
        <v>1084.27</v>
      </c>
      <c r="T7" s="15">
        <v>1259.05</v>
      </c>
      <c r="U7" s="15">
        <v>1508.91</v>
      </c>
      <c r="V7" s="15">
        <v>1821.82</v>
      </c>
      <c r="W7" s="15">
        <v>2097.4299999999998</v>
      </c>
      <c r="Y7" s="36" t="s">
        <v>125</v>
      </c>
      <c r="Z7" s="15">
        <v>2773.62</v>
      </c>
      <c r="AA7" s="15">
        <v>3499.54</v>
      </c>
      <c r="AB7" s="15">
        <v>3096.76</v>
      </c>
      <c r="AC7" s="15">
        <v>4198.92</v>
      </c>
      <c r="AD7" s="15">
        <v>3838.56</v>
      </c>
      <c r="AE7" s="15">
        <v>3513.73</v>
      </c>
      <c r="AG7" s="36" t="s">
        <v>125</v>
      </c>
      <c r="AH7" s="15">
        <v>9077.0220000000008</v>
      </c>
      <c r="AI7" s="15">
        <v>9323.0190000000002</v>
      </c>
      <c r="AJ7" s="15">
        <v>7437.71</v>
      </c>
      <c r="AK7" s="15">
        <v>8074.08</v>
      </c>
      <c r="AL7" s="15">
        <v>12030.696</v>
      </c>
      <c r="AM7" s="15">
        <v>12393.574000000001</v>
      </c>
      <c r="AO7" s="36" t="s">
        <v>177</v>
      </c>
      <c r="AP7" s="15">
        <v>3308</v>
      </c>
      <c r="AQ7" s="15">
        <v>2759</v>
      </c>
      <c r="AR7" s="15">
        <v>1978</v>
      </c>
      <c r="AS7" s="15">
        <v>3113</v>
      </c>
      <c r="AT7" s="15">
        <v>41390</v>
      </c>
      <c r="AU7" s="15">
        <v>18599</v>
      </c>
    </row>
    <row r="8" spans="1:47" x14ac:dyDescent="0.3">
      <c r="A8" s="38" t="s">
        <v>126</v>
      </c>
      <c r="B8" s="16">
        <f>B6+B7</f>
        <v>330662.09000000003</v>
      </c>
      <c r="C8" s="16">
        <f t="shared" ref="C8:G8" si="0">C6+C7</f>
        <v>306209.43</v>
      </c>
      <c r="D8" s="16">
        <f t="shared" si="0"/>
        <v>435051.83999999997</v>
      </c>
      <c r="E8" s="16">
        <f t="shared" si="0"/>
        <v>535651.54</v>
      </c>
      <c r="F8" s="16">
        <f t="shared" si="0"/>
        <v>509227.32999999996</v>
      </c>
      <c r="G8" s="16">
        <f t="shared" si="0"/>
        <v>503202.19999999995</v>
      </c>
      <c r="I8" s="38" t="s">
        <v>126</v>
      </c>
      <c r="J8" s="16">
        <f>J6+J7</f>
        <v>74114.12999999999</v>
      </c>
      <c r="K8" s="16">
        <f t="shared" ref="K8:O8" si="1">K6+K7</f>
        <v>58548.46</v>
      </c>
      <c r="L8" s="16">
        <f t="shared" si="1"/>
        <v>94046.07</v>
      </c>
      <c r="M8" s="16">
        <f t="shared" si="1"/>
        <v>147203.5</v>
      </c>
      <c r="N8" s="16">
        <f t="shared" si="1"/>
        <v>134507.35</v>
      </c>
      <c r="O8" s="16">
        <f t="shared" si="1"/>
        <v>143559.06000000003</v>
      </c>
      <c r="Q8" s="36" t="s">
        <v>125</v>
      </c>
      <c r="R8" s="15">
        <v>1681.62</v>
      </c>
      <c r="S8" s="15">
        <v>2643.73</v>
      </c>
      <c r="T8" s="15">
        <v>2438.92</v>
      </c>
      <c r="U8" s="15">
        <v>1465.91</v>
      </c>
      <c r="V8" s="15">
        <v>1916.94</v>
      </c>
      <c r="W8" s="15">
        <v>2087.85</v>
      </c>
      <c r="Y8" s="40" t="s">
        <v>126</v>
      </c>
      <c r="Z8" s="16">
        <f>Z6+Z7</f>
        <v>578763.31999999995</v>
      </c>
      <c r="AA8" s="16">
        <f t="shared" ref="AA8:AE8" si="2">AA6+AA7</f>
        <v>523736.38</v>
      </c>
      <c r="AB8" s="16">
        <f t="shared" si="2"/>
        <v>739813.06</v>
      </c>
      <c r="AC8" s="16">
        <f t="shared" si="2"/>
        <v>955608.86</v>
      </c>
      <c r="AD8" s="16">
        <f t="shared" si="2"/>
        <v>885074.01</v>
      </c>
      <c r="AE8" s="16">
        <f t="shared" si="2"/>
        <v>862876.46</v>
      </c>
      <c r="AG8" s="40" t="s">
        <v>126</v>
      </c>
      <c r="AH8" s="16">
        <f>AH6+AH7</f>
        <v>434038.09700000001</v>
      </c>
      <c r="AI8" s="16">
        <f t="shared" ref="AI8:AM8" si="3">AI6+AI7</f>
        <v>369895.32900000003</v>
      </c>
      <c r="AJ8" s="16">
        <f t="shared" si="3"/>
        <v>539230.25</v>
      </c>
      <c r="AK8" s="16">
        <f t="shared" si="3"/>
        <v>692903.30299999996</v>
      </c>
      <c r="AL8" s="16">
        <f t="shared" si="3"/>
        <v>665201.46299999999</v>
      </c>
      <c r="AM8" s="16">
        <f t="shared" si="3"/>
        <v>675655.88300000003</v>
      </c>
      <c r="AO8" s="36" t="s">
        <v>178</v>
      </c>
      <c r="AP8" s="15">
        <v>14322</v>
      </c>
      <c r="AQ8" s="15">
        <v>13871</v>
      </c>
      <c r="AR8" s="15">
        <v>21050</v>
      </c>
      <c r="AS8" s="15">
        <v>23556</v>
      </c>
      <c r="AT8" s="15">
        <v>27014</v>
      </c>
      <c r="AU8" s="15">
        <v>24371</v>
      </c>
    </row>
    <row r="9" spans="1:47" x14ac:dyDescent="0.3">
      <c r="A9" s="37" t="s">
        <v>127</v>
      </c>
      <c r="B9" s="41"/>
      <c r="C9" s="41"/>
      <c r="D9" s="41"/>
      <c r="E9" s="41"/>
      <c r="F9" s="41"/>
      <c r="G9" s="41"/>
      <c r="I9" s="37" t="s">
        <v>127</v>
      </c>
      <c r="J9" s="17"/>
      <c r="K9" s="17"/>
      <c r="L9" s="17"/>
      <c r="M9" s="17"/>
      <c r="N9" s="17"/>
      <c r="O9" s="17"/>
      <c r="Q9" s="40" t="s">
        <v>126</v>
      </c>
      <c r="R9" s="16">
        <f>SUM(R6:R8)</f>
        <v>289423.67000000004</v>
      </c>
      <c r="S9" s="16">
        <f t="shared" ref="S9:W9" si="4">SUM(S6:S8)</f>
        <v>273221.69</v>
      </c>
      <c r="T9" s="16">
        <f t="shared" si="4"/>
        <v>376565.91</v>
      </c>
      <c r="U9" s="16">
        <f t="shared" si="4"/>
        <v>467964.51999999996</v>
      </c>
      <c r="V9" s="16">
        <f t="shared" si="4"/>
        <v>463886.08000000002</v>
      </c>
      <c r="W9" s="16">
        <f t="shared" si="4"/>
        <v>468811.52999999997</v>
      </c>
      <c r="Y9" s="39" t="s">
        <v>127</v>
      </c>
      <c r="Z9" s="41"/>
      <c r="AA9" s="41"/>
      <c r="AB9" s="41"/>
      <c r="AC9" s="41"/>
      <c r="AD9" s="41"/>
      <c r="AE9" s="41"/>
      <c r="AG9" s="39" t="s">
        <v>127</v>
      </c>
      <c r="AH9" s="17"/>
      <c r="AI9" s="17"/>
      <c r="AJ9" s="17"/>
      <c r="AK9" s="17"/>
      <c r="AL9" s="17"/>
      <c r="AM9" s="17"/>
      <c r="AO9" s="36" t="s">
        <v>125</v>
      </c>
      <c r="AP9" s="15">
        <v>13566</v>
      </c>
      <c r="AQ9" s="15">
        <v>14818</v>
      </c>
      <c r="AR9" s="15">
        <v>13843</v>
      </c>
      <c r="AS9" s="15">
        <v>11229</v>
      </c>
      <c r="AT9" s="15">
        <v>12128</v>
      </c>
      <c r="AU9" s="15">
        <v>16094</v>
      </c>
    </row>
    <row r="10" spans="1:47" x14ac:dyDescent="0.3">
      <c r="A10" s="35" t="s">
        <v>128</v>
      </c>
      <c r="B10" s="15">
        <v>113229.3</v>
      </c>
      <c r="C10" s="28">
        <v>71153.56</v>
      </c>
      <c r="D10" s="15">
        <v>163541.19</v>
      </c>
      <c r="E10" s="15">
        <v>234305.39</v>
      </c>
      <c r="F10" s="15">
        <v>212853</v>
      </c>
      <c r="G10" s="15">
        <v>225319.41</v>
      </c>
      <c r="I10" s="35" t="s">
        <v>128</v>
      </c>
      <c r="J10" s="15">
        <v>4411.97</v>
      </c>
      <c r="K10" s="15">
        <v>3905.88</v>
      </c>
      <c r="L10" s="15">
        <v>11103.28</v>
      </c>
      <c r="M10" s="15">
        <v>6860.15</v>
      </c>
      <c r="N10" s="15">
        <v>7325.46</v>
      </c>
      <c r="O10" s="15">
        <v>7273.36</v>
      </c>
      <c r="Q10" s="39" t="s">
        <v>127</v>
      </c>
      <c r="R10" s="41"/>
      <c r="S10" s="41"/>
      <c r="T10" s="41"/>
      <c r="U10" s="41"/>
      <c r="V10" s="41"/>
      <c r="W10" s="41"/>
      <c r="Y10" s="36" t="s">
        <v>155</v>
      </c>
      <c r="Z10" s="15">
        <v>281080.13</v>
      </c>
      <c r="AA10" s="15">
        <v>174196.22</v>
      </c>
      <c r="AB10" s="15">
        <v>330672.38</v>
      </c>
      <c r="AC10" s="15">
        <v>503757.28</v>
      </c>
      <c r="AD10" s="15">
        <v>446484.44</v>
      </c>
      <c r="AE10" s="15">
        <v>449812.63</v>
      </c>
      <c r="AG10" s="36" t="s">
        <v>129</v>
      </c>
      <c r="AH10" s="15">
        <v>176006.429</v>
      </c>
      <c r="AI10" s="15">
        <v>144561.829</v>
      </c>
      <c r="AJ10" s="15">
        <v>225616.93</v>
      </c>
      <c r="AK10" s="15">
        <v>266120.04100000003</v>
      </c>
      <c r="AL10" s="15">
        <v>234072.27799999999</v>
      </c>
      <c r="AM10" s="15">
        <v>221401.89499999999</v>
      </c>
      <c r="AO10" s="40" t="s">
        <v>126</v>
      </c>
      <c r="AP10" s="16">
        <f>AP6+AP7-AP8+AP9</f>
        <v>365421</v>
      </c>
      <c r="AQ10" s="16">
        <f t="shared" ref="AQ10:AU10" si="5">AQ6+AQ7-AQ8+AQ9</f>
        <v>279887</v>
      </c>
      <c r="AR10" s="16">
        <f t="shared" si="5"/>
        <v>457838</v>
      </c>
      <c r="AS10" s="16">
        <f t="shared" si="5"/>
        <v>553020</v>
      </c>
      <c r="AT10" s="16">
        <f t="shared" si="5"/>
        <v>560070</v>
      </c>
      <c r="AU10" s="16">
        <f t="shared" si="5"/>
        <v>548886</v>
      </c>
    </row>
    <row r="11" spans="1:47" x14ac:dyDescent="0.3">
      <c r="A11" s="35" t="s">
        <v>129</v>
      </c>
      <c r="B11" s="15">
        <v>143164.25</v>
      </c>
      <c r="C11" s="28">
        <v>127800.87</v>
      </c>
      <c r="D11" s="15">
        <v>143901.70000000001</v>
      </c>
      <c r="E11" s="15">
        <v>199884.14</v>
      </c>
      <c r="F11" s="15">
        <v>165232.84</v>
      </c>
      <c r="G11" s="15">
        <v>159646.45000000001</v>
      </c>
      <c r="I11" s="35" t="s">
        <v>129</v>
      </c>
      <c r="J11" s="15">
        <v>52878.13</v>
      </c>
      <c r="K11" s="15">
        <v>39379.129999999997</v>
      </c>
      <c r="L11" s="15">
        <v>59266.68</v>
      </c>
      <c r="M11" s="15">
        <v>123964.11</v>
      </c>
      <c r="N11" s="15">
        <v>100670.08</v>
      </c>
      <c r="O11" s="15">
        <v>108757.13</v>
      </c>
      <c r="Q11" s="36" t="s">
        <v>155</v>
      </c>
      <c r="R11" s="15">
        <v>59906.49</v>
      </c>
      <c r="S11" s="15">
        <v>41212.33</v>
      </c>
      <c r="T11" s="15">
        <v>68790.600000000006</v>
      </c>
      <c r="U11" s="15">
        <v>123336.11</v>
      </c>
      <c r="V11" s="15">
        <v>126965.71</v>
      </c>
      <c r="W11" s="15">
        <v>146337.31</v>
      </c>
      <c r="Y11" s="36" t="s">
        <v>146</v>
      </c>
      <c r="Z11" s="15">
        <v>92226.67</v>
      </c>
      <c r="AA11" s="15">
        <v>156287.17000000001</v>
      </c>
      <c r="AB11" s="15">
        <v>147395.1</v>
      </c>
      <c r="AC11" s="15">
        <v>109654.03</v>
      </c>
      <c r="AD11" s="15">
        <v>104883.6</v>
      </c>
      <c r="AE11" s="15">
        <v>101256.92</v>
      </c>
      <c r="AG11" s="36" t="s">
        <v>130</v>
      </c>
      <c r="AH11" s="15">
        <v>1145.5630000000001</v>
      </c>
      <c r="AI11" s="15">
        <v>-9916.6589999999997</v>
      </c>
      <c r="AJ11" s="15">
        <v>-2303.069</v>
      </c>
      <c r="AK11" s="15">
        <v>2566.0819999999999</v>
      </c>
      <c r="AL11" s="15">
        <v>-4394.95</v>
      </c>
      <c r="AM11" s="15">
        <v>689.54600000000005</v>
      </c>
      <c r="AO11" s="39" t="s">
        <v>127</v>
      </c>
      <c r="AP11" s="17"/>
      <c r="AQ11" s="17"/>
      <c r="AR11" s="17"/>
      <c r="AS11" s="17"/>
      <c r="AT11" s="17"/>
      <c r="AU11" s="17"/>
    </row>
    <row r="12" spans="1:47" x14ac:dyDescent="0.3">
      <c r="A12" s="35" t="s">
        <v>130</v>
      </c>
      <c r="B12" s="15">
        <v>-456.62</v>
      </c>
      <c r="C12" s="28">
        <v>-3633.57</v>
      </c>
      <c r="D12" s="15">
        <v>-3988.8</v>
      </c>
      <c r="E12" s="15">
        <v>-975.21</v>
      </c>
      <c r="F12" s="15">
        <v>-1989.84</v>
      </c>
      <c r="G12" s="15">
        <v>331.05</v>
      </c>
      <c r="I12" s="35" t="s">
        <v>130</v>
      </c>
      <c r="J12" s="15">
        <v>-427.99</v>
      </c>
      <c r="K12" s="15">
        <v>440.2</v>
      </c>
      <c r="L12" s="15">
        <v>-262.77999999999997</v>
      </c>
      <c r="M12" s="15">
        <v>-1992.39</v>
      </c>
      <c r="N12" s="15">
        <v>-41.02</v>
      </c>
      <c r="O12" s="15">
        <v>-292.27</v>
      </c>
      <c r="Q12" s="36" t="s">
        <v>129</v>
      </c>
      <c r="R12" s="15">
        <v>187234.13</v>
      </c>
      <c r="S12" s="15">
        <v>167861.2</v>
      </c>
      <c r="T12" s="15">
        <v>253966.25</v>
      </c>
      <c r="U12" s="15">
        <v>302443.32</v>
      </c>
      <c r="V12" s="15">
        <v>263318.40000000002</v>
      </c>
      <c r="W12" s="15">
        <v>247545.55</v>
      </c>
      <c r="Y12" s="36" t="s">
        <v>129</v>
      </c>
      <c r="Z12" s="15">
        <v>139463.72</v>
      </c>
      <c r="AA12" s="15">
        <v>107444.28</v>
      </c>
      <c r="AB12" s="15">
        <v>169991.5</v>
      </c>
      <c r="AC12" s="15">
        <v>250207.42</v>
      </c>
      <c r="AD12" s="15">
        <v>191018.86</v>
      </c>
      <c r="AE12" s="15">
        <v>207762.62</v>
      </c>
      <c r="AG12" s="36" t="s">
        <v>169</v>
      </c>
      <c r="AH12" s="15">
        <v>183947.978</v>
      </c>
      <c r="AI12" s="15">
        <v>168147.83600000001</v>
      </c>
      <c r="AJ12" s="15">
        <v>221903.57399999999</v>
      </c>
      <c r="AK12" s="15">
        <v>326689.00900000002</v>
      </c>
      <c r="AL12" s="15">
        <v>311897.84499999997</v>
      </c>
      <c r="AM12" s="15">
        <v>339329.62199999997</v>
      </c>
      <c r="AO12" s="36" t="s">
        <v>155</v>
      </c>
      <c r="AP12" s="15">
        <v>237342</v>
      </c>
      <c r="AQ12" s="15">
        <v>168262</v>
      </c>
      <c r="AR12" s="15">
        <v>320852</v>
      </c>
      <c r="AS12" s="15">
        <v>391508</v>
      </c>
      <c r="AT12" s="15">
        <v>376418</v>
      </c>
      <c r="AU12" s="15">
        <v>384021</v>
      </c>
    </row>
    <row r="13" spans="1:47" x14ac:dyDescent="0.3">
      <c r="A13" s="35" t="s">
        <v>131</v>
      </c>
      <c r="B13" s="15">
        <v>43197.83</v>
      </c>
      <c r="C13" s="28">
        <v>69319.86</v>
      </c>
      <c r="D13" s="15">
        <v>85778.54</v>
      </c>
      <c r="E13" s="15">
        <v>60342.879999999997</v>
      </c>
      <c r="F13" s="15">
        <v>58909.57</v>
      </c>
      <c r="G13" s="15">
        <v>60245.62</v>
      </c>
      <c r="I13" s="35" t="s">
        <v>145</v>
      </c>
      <c r="J13" s="15">
        <v>1592.32</v>
      </c>
      <c r="K13" s="15">
        <v>1645.89</v>
      </c>
      <c r="L13" s="15">
        <v>1815.55</v>
      </c>
      <c r="M13" s="15">
        <v>1902.39</v>
      </c>
      <c r="N13" s="15">
        <v>2273.69</v>
      </c>
      <c r="O13" s="15">
        <v>2236.46</v>
      </c>
      <c r="Q13" s="36" t="s">
        <v>130</v>
      </c>
      <c r="R13" s="15">
        <v>-354.51</v>
      </c>
      <c r="S13" s="15">
        <v>-8518.5300000000007</v>
      </c>
      <c r="T13" s="15">
        <v>-625.88</v>
      </c>
      <c r="U13" s="15">
        <v>1429.83</v>
      </c>
      <c r="V13" s="15">
        <v>-2732.49</v>
      </c>
      <c r="W13" s="15">
        <v>1016</v>
      </c>
      <c r="Y13" s="36" t="s">
        <v>130</v>
      </c>
      <c r="Z13" s="15">
        <v>-5414.35</v>
      </c>
      <c r="AA13" s="15">
        <v>-6181.61</v>
      </c>
      <c r="AB13" s="15">
        <v>-13710.98</v>
      </c>
      <c r="AC13" s="15">
        <v>-6329.71</v>
      </c>
      <c r="AD13" s="15">
        <v>1290.52</v>
      </c>
      <c r="AE13" s="15">
        <v>-789.75</v>
      </c>
      <c r="AG13" s="36" t="s">
        <v>170</v>
      </c>
      <c r="AH13" s="15">
        <v>1901.5340000000001</v>
      </c>
      <c r="AI13" s="15">
        <v>1967.7239999999999</v>
      </c>
      <c r="AJ13" s="15">
        <v>1988.529</v>
      </c>
      <c r="AK13" s="15">
        <v>3979.431</v>
      </c>
      <c r="AL13" s="15">
        <v>1942.9490000000001</v>
      </c>
      <c r="AM13" s="15">
        <v>2391.36</v>
      </c>
      <c r="AO13" s="36" t="s">
        <v>129</v>
      </c>
      <c r="AP13" s="15">
        <v>7292</v>
      </c>
      <c r="AQ13" s="15">
        <v>7301</v>
      </c>
      <c r="AR13" s="15">
        <v>10691</v>
      </c>
      <c r="AS13" s="15">
        <v>9974</v>
      </c>
      <c r="AT13" s="15">
        <v>13453</v>
      </c>
      <c r="AU13" s="15">
        <v>15864</v>
      </c>
    </row>
    <row r="14" spans="1:47" x14ac:dyDescent="0.3">
      <c r="A14" s="35" t="s">
        <v>145</v>
      </c>
      <c r="B14" s="28">
        <v>3691.45</v>
      </c>
      <c r="C14" s="28">
        <v>4477.17</v>
      </c>
      <c r="D14" s="28">
        <v>3397.92</v>
      </c>
      <c r="E14" s="28">
        <v>2763.97</v>
      </c>
      <c r="F14" s="28">
        <v>3577.17</v>
      </c>
      <c r="G14" s="28">
        <v>3509.53</v>
      </c>
      <c r="I14" s="35" t="s">
        <v>132</v>
      </c>
      <c r="J14" s="15">
        <v>308.94</v>
      </c>
      <c r="K14" s="15">
        <v>179.27</v>
      </c>
      <c r="L14" s="15">
        <v>202.48</v>
      </c>
      <c r="M14" s="15">
        <v>366.58</v>
      </c>
      <c r="N14" s="15">
        <v>719.2</v>
      </c>
      <c r="O14" s="15">
        <v>747.99</v>
      </c>
      <c r="Q14" s="36" t="s">
        <v>146</v>
      </c>
      <c r="R14" s="15">
        <v>18650.52</v>
      </c>
      <c r="S14" s="15">
        <v>37329.51</v>
      </c>
      <c r="T14" s="15">
        <v>24213.81</v>
      </c>
      <c r="U14" s="15">
        <v>25789.360000000001</v>
      </c>
      <c r="V14" s="15">
        <v>28112.63</v>
      </c>
      <c r="W14" s="15">
        <v>32617.51</v>
      </c>
      <c r="Y14" s="36" t="s">
        <v>145</v>
      </c>
      <c r="Z14" s="15">
        <v>9336.93</v>
      </c>
      <c r="AA14" s="15">
        <v>11308.78</v>
      </c>
      <c r="AB14" s="15">
        <v>11582.92</v>
      </c>
      <c r="AC14" s="15">
        <v>9359.14</v>
      </c>
      <c r="AD14" s="15">
        <v>11670.94</v>
      </c>
      <c r="AE14" s="15">
        <v>10879.86</v>
      </c>
      <c r="AG14" s="36" t="s">
        <v>171</v>
      </c>
      <c r="AH14" s="15">
        <v>7121.8770000000004</v>
      </c>
      <c r="AI14" s="15">
        <v>5167.817</v>
      </c>
      <c r="AJ14" s="15">
        <v>3904.6129999999998</v>
      </c>
      <c r="AK14" s="15">
        <v>6201.54</v>
      </c>
      <c r="AL14" s="15">
        <v>3867.6260000000002</v>
      </c>
      <c r="AM14" s="15">
        <v>7605.4340000000002</v>
      </c>
      <c r="AO14" s="36" t="s">
        <v>130</v>
      </c>
      <c r="AP14" s="15">
        <v>77</v>
      </c>
      <c r="AQ14" s="15">
        <v>610</v>
      </c>
      <c r="AR14" s="15">
        <v>-7962</v>
      </c>
      <c r="AS14" s="15">
        <v>-6487</v>
      </c>
      <c r="AT14" s="15">
        <v>2700</v>
      </c>
      <c r="AU14" s="15">
        <v>-10679</v>
      </c>
    </row>
    <row r="15" spans="1:47" x14ac:dyDescent="0.3">
      <c r="A15" s="35" t="s">
        <v>132</v>
      </c>
      <c r="B15" s="15">
        <v>2181.86</v>
      </c>
      <c r="C15" s="28">
        <v>1328.36</v>
      </c>
      <c r="D15" s="15">
        <v>2208.81</v>
      </c>
      <c r="E15" s="15">
        <v>3216.48</v>
      </c>
      <c r="F15" s="15">
        <v>4148.8900000000003</v>
      </c>
      <c r="G15" s="15">
        <v>3591.44</v>
      </c>
      <c r="I15" s="35" t="s">
        <v>133</v>
      </c>
      <c r="J15" s="15">
        <v>2080.16</v>
      </c>
      <c r="K15" s="15">
        <v>2173.8200000000002</v>
      </c>
      <c r="L15" s="15">
        <v>2420.17</v>
      </c>
      <c r="M15" s="15">
        <v>2701.57</v>
      </c>
      <c r="N15" s="15">
        <v>3672</v>
      </c>
      <c r="O15" s="15">
        <v>3799.23</v>
      </c>
      <c r="Q15" s="36" t="s">
        <v>145</v>
      </c>
      <c r="R15" s="15">
        <v>3224.06</v>
      </c>
      <c r="S15" s="15">
        <v>3219.42</v>
      </c>
      <c r="T15" s="15">
        <v>3017.35</v>
      </c>
      <c r="U15" s="15">
        <v>3000.67</v>
      </c>
      <c r="V15" s="15">
        <v>3469.74</v>
      </c>
      <c r="W15" s="15">
        <v>3381.23</v>
      </c>
      <c r="Y15" s="36" t="s">
        <v>132</v>
      </c>
      <c r="Z15" s="15">
        <v>6578.74</v>
      </c>
      <c r="AA15" s="15">
        <v>3589.12</v>
      </c>
      <c r="AB15" s="15">
        <v>5423.26</v>
      </c>
      <c r="AC15" s="15">
        <v>7541.36</v>
      </c>
      <c r="AD15" s="15">
        <v>7825.65</v>
      </c>
      <c r="AE15" s="15">
        <v>9261.93</v>
      </c>
      <c r="AG15" s="36" t="s">
        <v>132</v>
      </c>
      <c r="AH15" s="15">
        <v>7489.3389999999999</v>
      </c>
      <c r="AI15" s="15">
        <v>5079.0309999999999</v>
      </c>
      <c r="AJ15" s="15">
        <v>5696.0429999999997</v>
      </c>
      <c r="AK15" s="15">
        <v>7889.3559999999998</v>
      </c>
      <c r="AL15" s="15">
        <v>13025.698</v>
      </c>
      <c r="AM15" s="15">
        <v>14534.947</v>
      </c>
      <c r="AO15" s="36" t="s">
        <v>146</v>
      </c>
      <c r="AP15" s="15">
        <v>14902</v>
      </c>
      <c r="AQ15" s="15">
        <v>19402</v>
      </c>
      <c r="AR15" s="15">
        <v>21672</v>
      </c>
      <c r="AS15" s="15">
        <v>13476</v>
      </c>
      <c r="AT15" s="15">
        <v>13408</v>
      </c>
      <c r="AU15" s="15">
        <v>15443</v>
      </c>
    </row>
    <row r="16" spans="1:47" x14ac:dyDescent="0.3">
      <c r="A16" s="35" t="s">
        <v>133</v>
      </c>
      <c r="B16" s="15">
        <v>3786.89</v>
      </c>
      <c r="C16" s="28">
        <v>3978.05</v>
      </c>
      <c r="D16" s="15">
        <v>5417.9</v>
      </c>
      <c r="E16" s="15">
        <v>6347.48</v>
      </c>
      <c r="F16" s="15">
        <v>6771.26</v>
      </c>
      <c r="G16" s="15">
        <v>7256.69</v>
      </c>
      <c r="I16" s="35" t="s">
        <v>146</v>
      </c>
      <c r="J16" s="15">
        <v>59.28</v>
      </c>
      <c r="K16" s="15">
        <v>56.35</v>
      </c>
      <c r="L16" s="15">
        <v>103.99</v>
      </c>
      <c r="M16" s="15">
        <v>206.73</v>
      </c>
      <c r="N16" s="15">
        <v>271.08</v>
      </c>
      <c r="O16" s="15">
        <v>387.93</v>
      </c>
      <c r="Q16" s="36" t="s">
        <v>132</v>
      </c>
      <c r="R16" s="15">
        <v>1138.8499999999999</v>
      </c>
      <c r="S16" s="15">
        <v>963.28</v>
      </c>
      <c r="T16" s="15">
        <v>997.32</v>
      </c>
      <c r="U16" s="15">
        <v>2174.11</v>
      </c>
      <c r="V16" s="15">
        <v>2556</v>
      </c>
      <c r="W16" s="15">
        <v>3365.48</v>
      </c>
      <c r="Y16" s="39" t="s">
        <v>163</v>
      </c>
      <c r="Z16" s="17"/>
      <c r="AA16" s="17"/>
      <c r="AB16" s="17"/>
      <c r="AC16" s="17"/>
      <c r="AD16" s="17"/>
      <c r="AE16" s="17"/>
      <c r="AG16" s="36" t="s">
        <v>172</v>
      </c>
      <c r="AH16" s="15">
        <v>26634.881000000001</v>
      </c>
      <c r="AI16" s="15">
        <v>25538.471000000001</v>
      </c>
      <c r="AJ16" s="15">
        <v>26883.164000000001</v>
      </c>
      <c r="AK16" s="15">
        <v>24557.055</v>
      </c>
      <c r="AL16" s="15">
        <v>30440.1</v>
      </c>
      <c r="AM16" s="15">
        <v>35205.964999999997</v>
      </c>
      <c r="AO16" s="36" t="s">
        <v>145</v>
      </c>
      <c r="AP16" s="15">
        <v>6067</v>
      </c>
      <c r="AQ16" s="15">
        <v>5024</v>
      </c>
      <c r="AR16" s="15">
        <v>5419</v>
      </c>
      <c r="AS16" s="15">
        <v>5691</v>
      </c>
      <c r="AT16" s="15">
        <v>7807</v>
      </c>
      <c r="AU16" s="15">
        <v>8690</v>
      </c>
    </row>
    <row r="17" spans="1:47" x14ac:dyDescent="0.3">
      <c r="A17" s="35" t="s">
        <v>134</v>
      </c>
      <c r="B17" s="15">
        <v>18115.259999999998</v>
      </c>
      <c r="C17" s="28">
        <v>15616.46</v>
      </c>
      <c r="D17" s="15">
        <v>20765.91</v>
      </c>
      <c r="E17" s="15">
        <v>26189.75</v>
      </c>
      <c r="F17" s="15">
        <v>24327.68</v>
      </c>
      <c r="G17" s="15">
        <v>26064.04</v>
      </c>
      <c r="I17" s="35" t="s">
        <v>134</v>
      </c>
      <c r="J17" s="15">
        <v>5028.9799999999996</v>
      </c>
      <c r="K17" s="15">
        <v>4757.05</v>
      </c>
      <c r="L17" s="15">
        <v>5695.52</v>
      </c>
      <c r="M17" s="15">
        <v>7446.58</v>
      </c>
      <c r="N17" s="15">
        <v>8703.93</v>
      </c>
      <c r="O17" s="15">
        <v>8496.99</v>
      </c>
      <c r="Q17" s="36" t="s">
        <v>156</v>
      </c>
      <c r="R17" s="15">
        <v>3369.87</v>
      </c>
      <c r="S17" s="15">
        <v>3625.47</v>
      </c>
      <c r="T17" s="15">
        <v>4000.36</v>
      </c>
      <c r="U17" s="15">
        <v>4560.1499999999996</v>
      </c>
      <c r="V17" s="15">
        <v>5596.43</v>
      </c>
      <c r="W17" s="15">
        <v>6154.1</v>
      </c>
      <c r="Y17" s="36" t="s">
        <v>79</v>
      </c>
      <c r="Z17" s="15">
        <v>9586.7000000000007</v>
      </c>
      <c r="AA17" s="15">
        <v>10643.34</v>
      </c>
      <c r="AB17" s="15">
        <v>11986.15</v>
      </c>
      <c r="AC17" s="15">
        <v>12888.89</v>
      </c>
      <c r="AD17" s="15">
        <v>15603.44</v>
      </c>
      <c r="AE17" s="15">
        <v>16448.150000000001</v>
      </c>
      <c r="AG17" s="36" t="s">
        <v>173</v>
      </c>
      <c r="AH17" s="15">
        <v>2732.7170000000001</v>
      </c>
      <c r="AI17" s="15">
        <v>1177.7629999999999</v>
      </c>
      <c r="AJ17" s="15">
        <v>808.38</v>
      </c>
      <c r="AK17" s="15">
        <v>3746.1460000000002</v>
      </c>
      <c r="AL17" s="15">
        <v>3401.989</v>
      </c>
      <c r="AM17" s="15">
        <v>2983.7379999999998</v>
      </c>
      <c r="AO17" s="36" t="s">
        <v>132</v>
      </c>
      <c r="AP17" s="15">
        <v>12105</v>
      </c>
      <c r="AQ17" s="15">
        <v>16211</v>
      </c>
      <c r="AR17" s="15">
        <v>9123</v>
      </c>
      <c r="AS17" s="15">
        <v>12626</v>
      </c>
      <c r="AT17" s="15">
        <v>13430</v>
      </c>
      <c r="AU17" s="15">
        <v>10054</v>
      </c>
    </row>
    <row r="18" spans="1:47" x14ac:dyDescent="0.3">
      <c r="A18" s="38" t="s">
        <v>135</v>
      </c>
      <c r="B18" s="16">
        <f>SUM(B10:B17)</f>
        <v>326910.22000000003</v>
      </c>
      <c r="C18" s="16">
        <f t="shared" ref="C18:G18" si="6">SUM(C10:C17)</f>
        <v>290040.75999999995</v>
      </c>
      <c r="D18" s="16">
        <f t="shared" si="6"/>
        <v>421023.17</v>
      </c>
      <c r="E18" s="16">
        <f t="shared" si="6"/>
        <v>532074.87999999989</v>
      </c>
      <c r="F18" s="16">
        <f t="shared" si="6"/>
        <v>473830.56999999995</v>
      </c>
      <c r="G18" s="16">
        <f t="shared" si="6"/>
        <v>485964.23</v>
      </c>
      <c r="I18" s="38" t="s">
        <v>135</v>
      </c>
      <c r="J18" s="16">
        <f>SUM(J10:J17)</f>
        <v>65931.789999999994</v>
      </c>
      <c r="K18" s="16">
        <f t="shared" ref="K18:O18" si="7">SUM(K10:K17)</f>
        <v>52537.589999999989</v>
      </c>
      <c r="L18" s="16">
        <f t="shared" si="7"/>
        <v>80344.890000000014</v>
      </c>
      <c r="M18" s="16">
        <f t="shared" si="7"/>
        <v>141455.72</v>
      </c>
      <c r="N18" s="16">
        <f t="shared" si="7"/>
        <v>123594.42000000001</v>
      </c>
      <c r="O18" s="16">
        <f t="shared" si="7"/>
        <v>131406.82</v>
      </c>
      <c r="Q18" s="36" t="s">
        <v>134</v>
      </c>
      <c r="R18" s="15">
        <v>13418.87</v>
      </c>
      <c r="S18" s="15">
        <v>13470.67</v>
      </c>
      <c r="T18" s="15">
        <v>14520.53</v>
      </c>
      <c r="U18" s="15">
        <v>17706.400000000001</v>
      </c>
      <c r="V18" s="15">
        <v>17907.37</v>
      </c>
      <c r="W18" s="15">
        <v>19274.88</v>
      </c>
      <c r="Y18" s="36" t="s">
        <v>49</v>
      </c>
      <c r="Z18" s="15">
        <v>686.69</v>
      </c>
      <c r="AA18" s="15">
        <v>298.11</v>
      </c>
      <c r="AB18" s="15">
        <v>361.43</v>
      </c>
      <c r="AC18" s="15">
        <v>292.16000000000003</v>
      </c>
      <c r="AD18" s="15">
        <v>262.67</v>
      </c>
      <c r="AE18" s="15">
        <v>329.19</v>
      </c>
      <c r="AG18" s="40" t="s">
        <v>135</v>
      </c>
      <c r="AH18" s="16">
        <f>SUM(AH10:AH17)</f>
        <v>406980.31799999991</v>
      </c>
      <c r="AI18" s="16">
        <f t="shared" ref="AI18:AM18" si="8">SUM(AI10:AI17)</f>
        <v>341723.81199999998</v>
      </c>
      <c r="AJ18" s="16">
        <f t="shared" si="8"/>
        <v>484498.16399999999</v>
      </c>
      <c r="AK18" s="16">
        <f t="shared" si="8"/>
        <v>641748.66</v>
      </c>
      <c r="AL18" s="16">
        <f t="shared" si="8"/>
        <v>594253.53499999992</v>
      </c>
      <c r="AM18" s="16">
        <f t="shared" si="8"/>
        <v>624142.50699999998</v>
      </c>
      <c r="AO18" s="36" t="s">
        <v>179</v>
      </c>
      <c r="AP18" s="15">
        <v>9728</v>
      </c>
      <c r="AQ18" s="15">
        <v>9199</v>
      </c>
      <c r="AR18" s="15">
        <v>10264</v>
      </c>
      <c r="AS18" s="15">
        <v>10118</v>
      </c>
      <c r="AT18" s="15">
        <v>17690</v>
      </c>
      <c r="AU18" s="15">
        <v>17981</v>
      </c>
    </row>
    <row r="19" spans="1:47" x14ac:dyDescent="0.3">
      <c r="A19" s="38" t="s">
        <v>136</v>
      </c>
      <c r="B19" s="16">
        <f t="shared" ref="B19:G19" si="9">B8-B18</f>
        <v>3751.8699999999953</v>
      </c>
      <c r="C19" s="16">
        <f t="shared" si="9"/>
        <v>16168.670000000042</v>
      </c>
      <c r="D19" s="16">
        <f t="shared" si="9"/>
        <v>14028.669999999984</v>
      </c>
      <c r="E19" s="16">
        <f t="shared" si="9"/>
        <v>3576.660000000149</v>
      </c>
      <c r="F19" s="16">
        <f t="shared" si="9"/>
        <v>35396.760000000009</v>
      </c>
      <c r="G19" s="16">
        <f t="shared" si="9"/>
        <v>17237.969999999972</v>
      </c>
      <c r="I19" s="38" t="s">
        <v>147</v>
      </c>
      <c r="J19" s="16">
        <f>J8-J18</f>
        <v>8182.3399999999965</v>
      </c>
      <c r="K19" s="16">
        <f t="shared" ref="K19:O19" si="10">K8-K18</f>
        <v>6010.8700000000099</v>
      </c>
      <c r="L19" s="16">
        <f t="shared" si="10"/>
        <v>13701.179999999993</v>
      </c>
      <c r="M19" s="16">
        <f t="shared" si="10"/>
        <v>5747.7799999999988</v>
      </c>
      <c r="N19" s="16">
        <f t="shared" si="10"/>
        <v>10912.929999999993</v>
      </c>
      <c r="O19" s="16">
        <f t="shared" si="10"/>
        <v>12152.24000000002</v>
      </c>
      <c r="Q19" s="40" t="s">
        <v>135</v>
      </c>
      <c r="R19" s="16">
        <f>SUM(R11:R18)</f>
        <v>286588.27999999997</v>
      </c>
      <c r="S19" s="16">
        <f t="shared" ref="S19:W19" si="11">SUM(S11:S18)</f>
        <v>259163.35000000006</v>
      </c>
      <c r="T19" s="16">
        <f t="shared" si="11"/>
        <v>368880.33999999997</v>
      </c>
      <c r="U19" s="16">
        <f t="shared" si="11"/>
        <v>480439.95</v>
      </c>
      <c r="V19" s="16">
        <f t="shared" si="11"/>
        <v>445193.79000000004</v>
      </c>
      <c r="W19" s="16">
        <f t="shared" si="11"/>
        <v>459692.05999999994</v>
      </c>
      <c r="Y19" s="36" t="s">
        <v>164</v>
      </c>
      <c r="Z19" s="15">
        <v>-613.94000000000005</v>
      </c>
      <c r="AA19" s="15">
        <v>1111.98</v>
      </c>
      <c r="AB19" s="15">
        <v>-444.98</v>
      </c>
      <c r="AC19" s="15">
        <v>375.49</v>
      </c>
      <c r="AD19" s="15">
        <v>270.57</v>
      </c>
      <c r="AE19" s="15">
        <v>173.27</v>
      </c>
      <c r="AG19" s="40" t="s">
        <v>136</v>
      </c>
      <c r="AH19" s="16">
        <f>AH8-AH18</f>
        <v>27057.779000000097</v>
      </c>
      <c r="AI19" s="16">
        <f t="shared" ref="AI19:AM19" si="12">AI8-AI18</f>
        <v>28171.517000000051</v>
      </c>
      <c r="AJ19" s="16">
        <f t="shared" si="12"/>
        <v>54732.08600000001</v>
      </c>
      <c r="AK19" s="16">
        <f t="shared" si="12"/>
        <v>51154.642999999924</v>
      </c>
      <c r="AL19" s="16">
        <f t="shared" si="12"/>
        <v>70947.928000000073</v>
      </c>
      <c r="AM19" s="16">
        <f t="shared" si="12"/>
        <v>51513.376000000047</v>
      </c>
      <c r="AO19" s="36" t="s">
        <v>134</v>
      </c>
      <c r="AP19" s="15">
        <v>33347</v>
      </c>
      <c r="AQ19" s="15">
        <v>30970</v>
      </c>
      <c r="AR19" s="15">
        <v>42383</v>
      </c>
      <c r="AS19" s="15">
        <v>61981</v>
      </c>
      <c r="AT19" s="15">
        <v>59891</v>
      </c>
      <c r="AU19" s="15">
        <v>61384</v>
      </c>
    </row>
    <row r="20" spans="1:47" x14ac:dyDescent="0.3">
      <c r="A20" s="35" t="s">
        <v>137</v>
      </c>
      <c r="B20" s="15">
        <v>1080.83</v>
      </c>
      <c r="C20" s="28">
        <v>-6448.91</v>
      </c>
      <c r="D20" s="15">
        <v>-1643.07</v>
      </c>
      <c r="E20" s="15">
        <v>1359.96</v>
      </c>
      <c r="F20" s="15">
        <f>1065.53-267.7</f>
        <v>797.82999999999993</v>
      </c>
      <c r="G20" s="15">
        <f>1322.74-378.41</f>
        <v>944.32999999999993</v>
      </c>
      <c r="I20" s="35" t="s">
        <v>148</v>
      </c>
      <c r="J20" s="15">
        <v>2246.6</v>
      </c>
      <c r="K20" s="15">
        <v>1714.58</v>
      </c>
      <c r="L20" s="15">
        <v>1762.34</v>
      </c>
      <c r="M20" s="15">
        <v>1508.06</v>
      </c>
      <c r="N20" s="15">
        <f>1682.08+0</f>
        <v>1682.08</v>
      </c>
      <c r="O20" s="15">
        <f>1503.24+2440.03</f>
        <v>3943.2700000000004</v>
      </c>
      <c r="Q20" s="40" t="s">
        <v>157</v>
      </c>
      <c r="R20" s="16">
        <f>R9-R19</f>
        <v>2835.3900000000722</v>
      </c>
      <c r="S20" s="16">
        <f t="shared" ref="S20:W20" si="13">S9-S19</f>
        <v>14058.339999999938</v>
      </c>
      <c r="T20" s="16">
        <f t="shared" si="13"/>
        <v>7685.570000000007</v>
      </c>
      <c r="U20" s="16">
        <f t="shared" si="13"/>
        <v>-12475.430000000051</v>
      </c>
      <c r="V20" s="16">
        <f t="shared" si="13"/>
        <v>18692.289999999979</v>
      </c>
      <c r="W20" s="16">
        <f t="shared" si="13"/>
        <v>9119.4700000000303</v>
      </c>
      <c r="Y20" s="36" t="s">
        <v>165</v>
      </c>
      <c r="Z20" s="15">
        <v>5.73</v>
      </c>
      <c r="AA20" s="15">
        <v>7.69</v>
      </c>
      <c r="AB20" s="15">
        <v>172.75</v>
      </c>
      <c r="AC20" s="15">
        <v>307.83999999999997</v>
      </c>
      <c r="AD20" s="15">
        <v>3.9</v>
      </c>
      <c r="AE20" s="15">
        <v>46.7</v>
      </c>
      <c r="AG20" s="36" t="s">
        <v>137</v>
      </c>
      <c r="AH20" s="15">
        <v>-9028.4789999999994</v>
      </c>
      <c r="AI20" s="15">
        <v>918.76800000000003</v>
      </c>
      <c r="AJ20" s="15">
        <v>-2104.9110000000001</v>
      </c>
      <c r="AK20" s="15">
        <v>-8137.942</v>
      </c>
      <c r="AL20" s="15">
        <v>-1636.431</v>
      </c>
      <c r="AM20" s="15">
        <v>-151.08600000000001</v>
      </c>
      <c r="AO20" s="40" t="s">
        <v>135</v>
      </c>
      <c r="AP20" s="16">
        <f>SUM(AP12:AP19)</f>
        <v>320860</v>
      </c>
      <c r="AQ20" s="16">
        <f t="shared" ref="AQ20:AU20" si="14">SUM(AQ12:AQ19)</f>
        <v>256979</v>
      </c>
      <c r="AR20" s="16">
        <f t="shared" si="14"/>
        <v>412442</v>
      </c>
      <c r="AS20" s="16">
        <f t="shared" si="14"/>
        <v>498887</v>
      </c>
      <c r="AT20" s="16">
        <f t="shared" si="14"/>
        <v>504797</v>
      </c>
      <c r="AU20" s="16">
        <f t="shared" si="14"/>
        <v>502758</v>
      </c>
    </row>
    <row r="21" spans="1:47" x14ac:dyDescent="0.3">
      <c r="A21" s="38" t="s">
        <v>138</v>
      </c>
      <c r="B21" s="16">
        <f>B19-B20</f>
        <v>2671.0399999999954</v>
      </c>
      <c r="C21" s="16">
        <f t="shared" ref="C21:G21" si="15">C19-C20</f>
        <v>22617.580000000042</v>
      </c>
      <c r="D21" s="16">
        <f t="shared" si="15"/>
        <v>15671.739999999983</v>
      </c>
      <c r="E21" s="16">
        <f t="shared" si="15"/>
        <v>2216.700000000149</v>
      </c>
      <c r="F21" s="16">
        <f>F19-F20</f>
        <v>34598.930000000008</v>
      </c>
      <c r="G21" s="16">
        <f t="shared" si="15"/>
        <v>16293.639999999972</v>
      </c>
      <c r="I21" s="38" t="s">
        <v>149</v>
      </c>
      <c r="J21" s="16">
        <f>J19+J20</f>
        <v>10428.939999999997</v>
      </c>
      <c r="K21" s="16">
        <f t="shared" ref="K21:O21" si="16">K19+K20</f>
        <v>7725.4500000000098</v>
      </c>
      <c r="L21" s="16">
        <f t="shared" si="16"/>
        <v>15463.519999999993</v>
      </c>
      <c r="M21" s="16">
        <f t="shared" si="16"/>
        <v>7255.8399999999983</v>
      </c>
      <c r="N21" s="16">
        <f t="shared" si="16"/>
        <v>12595.009999999993</v>
      </c>
      <c r="O21" s="16">
        <f t="shared" si="16"/>
        <v>16095.51000000002</v>
      </c>
      <c r="Q21" s="36" t="s">
        <v>158</v>
      </c>
      <c r="R21" s="15">
        <v>-458.17</v>
      </c>
      <c r="S21" s="15">
        <v>138.66</v>
      </c>
      <c r="T21" s="15">
        <v>1458.05</v>
      </c>
      <c r="U21" s="15">
        <v>2491.5100000000002</v>
      </c>
      <c r="V21" s="15">
        <v>1807.98</v>
      </c>
      <c r="W21" s="15">
        <v>-119.59</v>
      </c>
      <c r="Y21" s="36" t="s">
        <v>134</v>
      </c>
      <c r="Z21" s="15">
        <v>43064.76</v>
      </c>
      <c r="AA21" s="15">
        <v>35477.300000000003</v>
      </c>
      <c r="AB21" s="15">
        <v>43330.47</v>
      </c>
      <c r="AC21" s="15">
        <v>53379.46</v>
      </c>
      <c r="AD21" s="15">
        <v>50017.56</v>
      </c>
      <c r="AE21" s="15">
        <v>54229.94</v>
      </c>
      <c r="AG21" s="36" t="s">
        <v>174</v>
      </c>
      <c r="AH21" s="15">
        <v>2355.9569999999999</v>
      </c>
      <c r="AI21" s="15">
        <v>1174.8340000000001</v>
      </c>
      <c r="AJ21" s="15">
        <v>809.51900000000001</v>
      </c>
      <c r="AK21" s="15">
        <v>-319.23399999999998</v>
      </c>
      <c r="AL21" s="15">
        <v>3003.848</v>
      </c>
      <c r="AM21" s="15">
        <v>1081.1659999999999</v>
      </c>
      <c r="AO21" s="40" t="s">
        <v>136</v>
      </c>
      <c r="AP21" s="16">
        <f>AP10-AP20</f>
        <v>44561</v>
      </c>
      <c r="AQ21" s="16">
        <f t="shared" ref="AQ21:AU21" si="17">AQ10-AQ20</f>
        <v>22908</v>
      </c>
      <c r="AR21" s="16">
        <f t="shared" si="17"/>
        <v>45396</v>
      </c>
      <c r="AS21" s="16">
        <f t="shared" si="17"/>
        <v>54133</v>
      </c>
      <c r="AT21" s="16">
        <f t="shared" si="17"/>
        <v>55273</v>
      </c>
      <c r="AU21" s="16">
        <f t="shared" si="17"/>
        <v>46128</v>
      </c>
    </row>
    <row r="22" spans="1:47" x14ac:dyDescent="0.3">
      <c r="A22" s="37" t="s">
        <v>139</v>
      </c>
      <c r="B22" s="17"/>
      <c r="C22" s="17"/>
      <c r="D22" s="17"/>
      <c r="E22" s="17"/>
      <c r="F22" s="17"/>
      <c r="G22" s="17"/>
      <c r="I22" s="37" t="s">
        <v>139</v>
      </c>
      <c r="J22" s="17"/>
      <c r="K22" s="17"/>
      <c r="L22" s="17"/>
      <c r="M22" s="17"/>
      <c r="N22" s="17"/>
      <c r="O22" s="17"/>
      <c r="Q22" s="40" t="s">
        <v>159</v>
      </c>
      <c r="R22" s="16">
        <f>R20+R21</f>
        <v>2377.2200000000721</v>
      </c>
      <c r="S22" s="16">
        <f t="shared" ref="S22:W22" si="18">S20+S21</f>
        <v>14196.999999999938</v>
      </c>
      <c r="T22" s="16">
        <f t="shared" si="18"/>
        <v>9143.6200000000063</v>
      </c>
      <c r="U22" s="16">
        <f t="shared" si="18"/>
        <v>-9983.920000000051</v>
      </c>
      <c r="V22" s="16">
        <f t="shared" si="18"/>
        <v>20500.269999999979</v>
      </c>
      <c r="W22" s="16">
        <f t="shared" si="18"/>
        <v>8999.8800000000301</v>
      </c>
      <c r="Y22" s="40" t="s">
        <v>135</v>
      </c>
      <c r="Z22" s="16">
        <f>SUM(Z10:Z15,Z17:Z21)</f>
        <v>576001.78</v>
      </c>
      <c r="AA22" s="16">
        <f t="shared" ref="AA22:AE22" si="19">SUM(AA10:AA15,AA17:AA21)</f>
        <v>494182.38000000006</v>
      </c>
      <c r="AB22" s="16">
        <f t="shared" si="19"/>
        <v>706760.00000000012</v>
      </c>
      <c r="AC22" s="16">
        <f t="shared" si="19"/>
        <v>941433.3600000001</v>
      </c>
      <c r="AD22" s="16">
        <f t="shared" si="19"/>
        <v>829332.14999999991</v>
      </c>
      <c r="AE22" s="16">
        <f t="shared" si="19"/>
        <v>849411.46</v>
      </c>
      <c r="AG22" s="36" t="s">
        <v>175</v>
      </c>
      <c r="AH22" s="15">
        <v>-1422.8119999999999</v>
      </c>
      <c r="AI22" s="15">
        <v>-155.47200000000001</v>
      </c>
      <c r="AJ22" s="15">
        <v>654.40800000000002</v>
      </c>
      <c r="AK22" s="15">
        <v>353.28500000000003</v>
      </c>
      <c r="AL22" s="15">
        <v>1313.87</v>
      </c>
      <c r="AM22" s="15">
        <v>-45.575000000000003</v>
      </c>
      <c r="AO22" s="36" t="s">
        <v>137</v>
      </c>
      <c r="AP22" s="15">
        <v>-4245</v>
      </c>
      <c r="AQ22" s="15">
        <v>4304</v>
      </c>
      <c r="AR22" s="15">
        <v>0</v>
      </c>
      <c r="AS22" s="15">
        <v>0</v>
      </c>
      <c r="AT22" s="15">
        <v>0</v>
      </c>
      <c r="AU22" s="15">
        <v>0</v>
      </c>
    </row>
    <row r="23" spans="1:47" x14ac:dyDescent="0.3">
      <c r="A23" s="35" t="s">
        <v>140</v>
      </c>
      <c r="B23" s="15">
        <v>201</v>
      </c>
      <c r="C23" s="28">
        <v>5134.78</v>
      </c>
      <c r="D23" s="15">
        <v>2706.34</v>
      </c>
      <c r="E23" s="15">
        <v>352.18</v>
      </c>
      <c r="F23" s="15">
        <v>9419.98</v>
      </c>
      <c r="G23" s="15">
        <v>4470.93</v>
      </c>
      <c r="I23" s="35" t="s">
        <v>140</v>
      </c>
      <c r="J23" s="15">
        <v>2116.1999999999998</v>
      </c>
      <c r="K23" s="15">
        <v>1591.88</v>
      </c>
      <c r="L23" s="15">
        <v>3333.25</v>
      </c>
      <c r="M23" s="15">
        <v>1355.89</v>
      </c>
      <c r="N23" s="15">
        <v>2683.02</v>
      </c>
      <c r="O23" s="15">
        <v>3464.8</v>
      </c>
      <c r="Q23" s="36" t="s">
        <v>160</v>
      </c>
      <c r="R23" s="15">
        <v>-1002.93</v>
      </c>
      <c r="S23" s="15">
        <v>0</v>
      </c>
      <c r="T23" s="15">
        <v>0</v>
      </c>
      <c r="U23" s="15">
        <v>0</v>
      </c>
      <c r="V23" s="15">
        <v>0</v>
      </c>
      <c r="W23" s="15">
        <v>0</v>
      </c>
      <c r="Y23" s="40" t="s">
        <v>166</v>
      </c>
      <c r="Z23" s="16">
        <f>Z8-Z22</f>
        <v>2761.5399999999208</v>
      </c>
      <c r="AA23" s="16">
        <f t="shared" ref="AA23:AE23" si="20">AA8-AA22</f>
        <v>29553.999999999942</v>
      </c>
      <c r="AB23" s="16">
        <f t="shared" si="20"/>
        <v>33053.059999999939</v>
      </c>
      <c r="AC23" s="16">
        <f t="shared" si="20"/>
        <v>14175.499999999884</v>
      </c>
      <c r="AD23" s="16">
        <f t="shared" si="20"/>
        <v>55741.860000000102</v>
      </c>
      <c r="AE23" s="16">
        <f t="shared" si="20"/>
        <v>13465</v>
      </c>
      <c r="AG23" s="40" t="s">
        <v>138</v>
      </c>
      <c r="AH23" s="16">
        <f>SUM(AH19:AH22)</f>
        <v>18962.445000000094</v>
      </c>
      <c r="AI23" s="16">
        <f t="shared" ref="AI23:AM23" si="21">SUM(AI19:AI22)</f>
        <v>30109.647000000048</v>
      </c>
      <c r="AJ23" s="16">
        <f t="shared" si="21"/>
        <v>54091.102000000014</v>
      </c>
      <c r="AK23" s="16">
        <f t="shared" si="21"/>
        <v>43050.751999999928</v>
      </c>
      <c r="AL23" s="16">
        <f t="shared" si="21"/>
        <v>73629.215000000069</v>
      </c>
      <c r="AM23" s="16">
        <f t="shared" si="21"/>
        <v>52397.881000000045</v>
      </c>
      <c r="AO23" s="40" t="s">
        <v>138</v>
      </c>
      <c r="AP23" s="16">
        <f>AP21+AP22</f>
        <v>40316</v>
      </c>
      <c r="AQ23" s="16">
        <f t="shared" ref="AQ23:AU23" si="22">AQ21+AQ22</f>
        <v>27212</v>
      </c>
      <c r="AR23" s="16">
        <f t="shared" si="22"/>
        <v>45396</v>
      </c>
      <c r="AS23" s="16">
        <f t="shared" si="22"/>
        <v>54133</v>
      </c>
      <c r="AT23" s="16">
        <f t="shared" si="22"/>
        <v>55273</v>
      </c>
      <c r="AU23" s="16">
        <f t="shared" si="22"/>
        <v>46128</v>
      </c>
    </row>
    <row r="24" spans="1:47" x14ac:dyDescent="0.3">
      <c r="A24" s="35" t="s">
        <v>141</v>
      </c>
      <c r="B24" s="15">
        <v>400.68</v>
      </c>
      <c r="C24" s="28">
        <v>-402.98</v>
      </c>
      <c r="D24" s="15">
        <v>643.99</v>
      </c>
      <c r="E24" s="15">
        <v>37.32</v>
      </c>
      <c r="F24" s="15">
        <v>-84.39</v>
      </c>
      <c r="G24" s="15">
        <v>374.85</v>
      </c>
      <c r="I24" s="35" t="s">
        <v>150</v>
      </c>
      <c r="J24" s="15">
        <v>900.17</v>
      </c>
      <c r="K24" s="15">
        <v>6.32</v>
      </c>
      <c r="L24" s="15">
        <v>-77.239999999999995</v>
      </c>
      <c r="M24" s="15">
        <v>-52.01</v>
      </c>
      <c r="N24" s="15">
        <v>-2.39</v>
      </c>
      <c r="O24" s="15">
        <v>-4.53</v>
      </c>
      <c r="Q24" s="40" t="s">
        <v>149</v>
      </c>
      <c r="R24" s="16">
        <f>R22-R23</f>
        <v>3380.1500000000719</v>
      </c>
      <c r="S24" s="16">
        <f t="shared" ref="S24:W24" si="23">S22-S23</f>
        <v>14196.999999999938</v>
      </c>
      <c r="T24" s="16">
        <f t="shared" si="23"/>
        <v>9143.6200000000063</v>
      </c>
      <c r="U24" s="16">
        <f t="shared" si="23"/>
        <v>-9983.920000000051</v>
      </c>
      <c r="V24" s="16">
        <f t="shared" si="23"/>
        <v>20500.269999999979</v>
      </c>
      <c r="W24" s="16">
        <f t="shared" si="23"/>
        <v>8999.8800000000301</v>
      </c>
      <c r="Y24" s="36" t="s">
        <v>167</v>
      </c>
      <c r="Z24" s="15">
        <v>1366.09</v>
      </c>
      <c r="AA24" s="15">
        <v>1196.73</v>
      </c>
      <c r="AB24" s="15">
        <v>1235.56</v>
      </c>
      <c r="AC24" s="15">
        <v>862.19</v>
      </c>
      <c r="AD24" s="15">
        <v>1545.93</v>
      </c>
      <c r="AE24" s="15">
        <v>1760.43</v>
      </c>
      <c r="AG24" s="39" t="s">
        <v>139</v>
      </c>
      <c r="AH24" s="17"/>
      <c r="AI24" s="17"/>
      <c r="AJ24" s="17"/>
      <c r="AK24" s="17"/>
      <c r="AL24" s="17"/>
      <c r="AM24" s="17"/>
      <c r="AO24" s="39" t="s">
        <v>180</v>
      </c>
      <c r="AP24" s="17"/>
      <c r="AQ24" s="17"/>
      <c r="AR24" s="17"/>
      <c r="AS24" s="17"/>
      <c r="AT24" s="17"/>
      <c r="AU24" s="17"/>
    </row>
    <row r="25" spans="1:47" x14ac:dyDescent="0.3">
      <c r="A25" s="35" t="s">
        <v>142</v>
      </c>
      <c r="B25" s="15">
        <v>-613.83000000000004</v>
      </c>
      <c r="C25" s="28">
        <v>-1155.8900000000001</v>
      </c>
      <c r="D25" s="15">
        <v>958.06</v>
      </c>
      <c r="E25" s="15">
        <v>-42.9</v>
      </c>
      <c r="F25" s="15">
        <v>0.01</v>
      </c>
      <c r="G25" s="15">
        <v>-0.03</v>
      </c>
      <c r="I25" s="35" t="s">
        <v>141</v>
      </c>
      <c r="J25" s="15">
        <v>-2102.0700000000002</v>
      </c>
      <c r="K25" s="15">
        <v>-15.57</v>
      </c>
      <c r="L25" s="15">
        <v>-96.12</v>
      </c>
      <c r="M25" s="15">
        <v>356.61</v>
      </c>
      <c r="N25" s="15">
        <v>11.57</v>
      </c>
      <c r="O25" s="15">
        <v>172.37</v>
      </c>
      <c r="Q25" s="39" t="s">
        <v>139</v>
      </c>
      <c r="R25" s="17"/>
      <c r="S25" s="17"/>
      <c r="T25" s="17"/>
      <c r="U25" s="17"/>
      <c r="V25" s="17"/>
      <c r="W25" s="17"/>
      <c r="Y25" s="40" t="s">
        <v>159</v>
      </c>
      <c r="Z25" s="16">
        <f>Z23+Z24</f>
        <v>4127.629999999921</v>
      </c>
      <c r="AA25" s="16">
        <f t="shared" ref="AA25:AE25" si="24">AA23+AA24</f>
        <v>30750.729999999941</v>
      </c>
      <c r="AB25" s="16">
        <f t="shared" si="24"/>
        <v>34288.619999999937</v>
      </c>
      <c r="AC25" s="16">
        <f t="shared" si="24"/>
        <v>15037.689999999884</v>
      </c>
      <c r="AD25" s="16">
        <f t="shared" si="24"/>
        <v>57287.790000000103</v>
      </c>
      <c r="AE25" s="16">
        <f t="shared" si="24"/>
        <v>15225.43</v>
      </c>
      <c r="AG25" s="36" t="s">
        <v>140</v>
      </c>
      <c r="AH25" s="15">
        <v>9647.58</v>
      </c>
      <c r="AI25" s="15">
        <v>8081.5230000000001</v>
      </c>
      <c r="AJ25" s="15">
        <v>14017.279</v>
      </c>
      <c r="AK25" s="15">
        <v>14620.93</v>
      </c>
      <c r="AL25" s="15">
        <v>15230.188</v>
      </c>
      <c r="AM25" s="15">
        <v>15364.331</v>
      </c>
      <c r="AO25" s="36" t="s">
        <v>140</v>
      </c>
      <c r="AP25" s="15">
        <v>7200</v>
      </c>
      <c r="AQ25" s="15">
        <v>0</v>
      </c>
      <c r="AR25" s="15">
        <v>544</v>
      </c>
      <c r="AS25" s="15">
        <v>6186</v>
      </c>
      <c r="AT25" s="15">
        <v>10922</v>
      </c>
      <c r="AU25" s="15">
        <v>9399</v>
      </c>
    </row>
    <row r="26" spans="1:47" x14ac:dyDescent="0.3">
      <c r="A26" s="38" t="s">
        <v>143</v>
      </c>
      <c r="B26" s="16">
        <f>SUM(B23:B25)</f>
        <v>-12.149999999999977</v>
      </c>
      <c r="C26" s="16">
        <f t="shared" ref="C26:G26" si="25">SUM(C23:C25)</f>
        <v>3575.9099999999989</v>
      </c>
      <c r="D26" s="16">
        <f t="shared" si="25"/>
        <v>4308.3899999999994</v>
      </c>
      <c r="E26" s="16">
        <f t="shared" si="25"/>
        <v>346.6</v>
      </c>
      <c r="F26" s="16">
        <f t="shared" si="25"/>
        <v>9335.6</v>
      </c>
      <c r="G26" s="16">
        <f t="shared" si="25"/>
        <v>4845.7500000000009</v>
      </c>
      <c r="I26" s="38" t="s">
        <v>151</v>
      </c>
      <c r="J26" s="16">
        <f>J23+J24+J25</f>
        <v>914.29999999999973</v>
      </c>
      <c r="K26" s="16">
        <f t="shared" ref="K26:O26" si="26">K23+K24+K25</f>
        <v>1582.63</v>
      </c>
      <c r="L26" s="16">
        <f t="shared" si="26"/>
        <v>3159.8900000000003</v>
      </c>
      <c r="M26" s="16">
        <f t="shared" si="26"/>
        <v>1660.4900000000002</v>
      </c>
      <c r="N26" s="16">
        <f t="shared" si="26"/>
        <v>2692.2000000000003</v>
      </c>
      <c r="O26" s="16">
        <f t="shared" si="26"/>
        <v>3632.64</v>
      </c>
      <c r="Q26" s="36" t="s">
        <v>140</v>
      </c>
      <c r="R26" s="15">
        <v>166.95</v>
      </c>
      <c r="S26" s="15">
        <v>3569.56</v>
      </c>
      <c r="T26" s="15">
        <v>1510</v>
      </c>
      <c r="U26" s="15">
        <v>0</v>
      </c>
      <c r="V26" s="15">
        <v>814.36</v>
      </c>
      <c r="W26" s="15">
        <v>1770.92</v>
      </c>
      <c r="Y26" s="36" t="s">
        <v>137</v>
      </c>
      <c r="Z26" s="15">
        <v>-11304.64</v>
      </c>
      <c r="AA26" s="15">
        <v>0</v>
      </c>
      <c r="AB26" s="15">
        <v>0</v>
      </c>
      <c r="AC26" s="15">
        <v>0</v>
      </c>
      <c r="AD26" s="15">
        <v>0</v>
      </c>
      <c r="AE26" s="15">
        <v>1838.02</v>
      </c>
      <c r="AG26" s="36" t="s">
        <v>150</v>
      </c>
      <c r="AH26" s="15">
        <v>-1805.422</v>
      </c>
      <c r="AI26" s="15">
        <v>982.03</v>
      </c>
      <c r="AJ26" s="15">
        <v>-665.255</v>
      </c>
      <c r="AK26" s="15">
        <v>-2891.4319999999998</v>
      </c>
      <c r="AL26" s="15">
        <v>-391.72300000000001</v>
      </c>
      <c r="AM26" s="15">
        <v>-124.899</v>
      </c>
      <c r="AO26" s="36" t="s">
        <v>141</v>
      </c>
      <c r="AP26" s="15">
        <v>2213</v>
      </c>
      <c r="AQ26" s="15">
        <v>-4732</v>
      </c>
      <c r="AR26" s="15">
        <v>6915</v>
      </c>
      <c r="AS26" s="15">
        <v>4930</v>
      </c>
      <c r="AT26" s="15">
        <v>2309</v>
      </c>
      <c r="AU26" s="15">
        <v>1467</v>
      </c>
    </row>
    <row r="27" spans="1:47" x14ac:dyDescent="0.3">
      <c r="A27" s="38" t="s">
        <v>144</v>
      </c>
      <c r="B27" s="16">
        <f>B21-B26</f>
        <v>2683.1899999999955</v>
      </c>
      <c r="C27" s="16">
        <f t="shared" ref="C27:G27" si="27">C21-C26</f>
        <v>19041.670000000042</v>
      </c>
      <c r="D27" s="16">
        <f t="shared" si="27"/>
        <v>11363.349999999984</v>
      </c>
      <c r="E27" s="16">
        <f t="shared" si="27"/>
        <v>1870.1000000001491</v>
      </c>
      <c r="F27" s="16">
        <f t="shared" si="27"/>
        <v>25263.330000000009</v>
      </c>
      <c r="G27" s="16">
        <f t="shared" si="27"/>
        <v>11447.88999999997</v>
      </c>
      <c r="I27" s="38" t="s">
        <v>152</v>
      </c>
      <c r="J27" s="16">
        <f>J21-J26</f>
        <v>9514.6399999999976</v>
      </c>
      <c r="K27" s="16">
        <f t="shared" ref="K27:O27" si="28">K21-K26</f>
        <v>6142.8200000000097</v>
      </c>
      <c r="L27" s="16">
        <f t="shared" si="28"/>
        <v>12303.629999999994</v>
      </c>
      <c r="M27" s="16">
        <f t="shared" si="28"/>
        <v>5595.3499999999985</v>
      </c>
      <c r="N27" s="16">
        <f t="shared" si="28"/>
        <v>9902.8099999999922</v>
      </c>
      <c r="O27" s="16">
        <f t="shared" si="28"/>
        <v>12462.870000000021</v>
      </c>
      <c r="Q27" s="36" t="s">
        <v>141</v>
      </c>
      <c r="R27" s="15">
        <v>116.73</v>
      </c>
      <c r="S27" s="15">
        <v>-52.08</v>
      </c>
      <c r="T27" s="15">
        <v>526.41</v>
      </c>
      <c r="U27" s="15">
        <v>-2957.58</v>
      </c>
      <c r="V27" s="15">
        <v>3936.66</v>
      </c>
      <c r="W27" s="15">
        <v>597.41999999999996</v>
      </c>
      <c r="Y27" s="40" t="s">
        <v>149</v>
      </c>
      <c r="Z27" s="16">
        <f>Z25+Z26</f>
        <v>-7177.0100000000784</v>
      </c>
      <c r="AA27" s="16">
        <f t="shared" ref="AA27:AE27" si="29">AA25+AA26</f>
        <v>30750.729999999941</v>
      </c>
      <c r="AB27" s="16">
        <f t="shared" si="29"/>
        <v>34288.619999999937</v>
      </c>
      <c r="AC27" s="16">
        <f t="shared" si="29"/>
        <v>15037.689999999884</v>
      </c>
      <c r="AD27" s="16">
        <f t="shared" si="29"/>
        <v>57287.790000000103</v>
      </c>
      <c r="AE27" s="16">
        <f t="shared" si="29"/>
        <v>17063.45</v>
      </c>
      <c r="AG27" s="36" t="s">
        <v>141</v>
      </c>
      <c r="AH27" s="15">
        <v>-335.97199999999998</v>
      </c>
      <c r="AI27" s="15">
        <v>-297.35199999999998</v>
      </c>
      <c r="AJ27" s="15">
        <v>-8554.9789999999994</v>
      </c>
      <c r="AK27" s="15">
        <v>-1456.3510000000001</v>
      </c>
      <c r="AL27" s="15">
        <v>3517.6010000000001</v>
      </c>
      <c r="AM27" s="15">
        <v>-1170.1610000000001</v>
      </c>
      <c r="AO27" s="40" t="s">
        <v>143</v>
      </c>
      <c r="AP27" s="16">
        <f>AP25+AP26</f>
        <v>9413</v>
      </c>
      <c r="AQ27" s="16">
        <f t="shared" ref="AQ27:AU27" si="30">AQ25+AQ26</f>
        <v>-4732</v>
      </c>
      <c r="AR27" s="16">
        <f t="shared" si="30"/>
        <v>7459</v>
      </c>
      <c r="AS27" s="16">
        <f t="shared" si="30"/>
        <v>11116</v>
      </c>
      <c r="AT27" s="16">
        <f t="shared" si="30"/>
        <v>13231</v>
      </c>
      <c r="AU27" s="16">
        <f t="shared" si="30"/>
        <v>10866</v>
      </c>
    </row>
    <row r="28" spans="1:47" x14ac:dyDescent="0.3">
      <c r="Q28" s="36" t="s">
        <v>161</v>
      </c>
      <c r="R28" s="15">
        <v>-1548.12</v>
      </c>
      <c r="S28" s="15">
        <v>16.63</v>
      </c>
      <c r="T28" s="15">
        <v>-187.02</v>
      </c>
      <c r="U28" s="15">
        <v>-46.11</v>
      </c>
      <c r="V28" s="15">
        <v>-265.36</v>
      </c>
      <c r="W28" s="15">
        <v>-104.16</v>
      </c>
      <c r="Y28" s="39" t="s">
        <v>139</v>
      </c>
      <c r="Z28" s="17"/>
      <c r="AA28" s="17"/>
      <c r="AB28" s="17"/>
      <c r="AC28" s="17"/>
      <c r="AD28" s="17"/>
      <c r="AE28" s="17"/>
      <c r="AG28" s="40" t="s">
        <v>151</v>
      </c>
      <c r="AH28" s="16">
        <f>AH25+AH26+AH27</f>
        <v>7506.1859999999997</v>
      </c>
      <c r="AI28" s="16">
        <f t="shared" ref="AI28:AM28" si="31">AI25+AI26+AI27</f>
        <v>8766.2009999999991</v>
      </c>
      <c r="AJ28" s="16">
        <f t="shared" si="31"/>
        <v>4797.0450000000019</v>
      </c>
      <c r="AK28" s="16">
        <f t="shared" si="31"/>
        <v>10273.146999999999</v>
      </c>
      <c r="AL28" s="16">
        <f t="shared" si="31"/>
        <v>18356.065999999999</v>
      </c>
      <c r="AM28" s="16">
        <f t="shared" si="31"/>
        <v>14069.271000000001</v>
      </c>
      <c r="AO28" s="40" t="s">
        <v>152</v>
      </c>
      <c r="AP28" s="16">
        <f>AP23-AP27</f>
        <v>30903</v>
      </c>
      <c r="AQ28" s="16">
        <f t="shared" ref="AQ28:AU28" si="32">AQ23-AQ27</f>
        <v>31944</v>
      </c>
      <c r="AR28" s="16">
        <f t="shared" si="32"/>
        <v>37937</v>
      </c>
      <c r="AS28" s="16">
        <f t="shared" si="32"/>
        <v>43017</v>
      </c>
      <c r="AT28" s="16">
        <f t="shared" si="32"/>
        <v>42042</v>
      </c>
      <c r="AU28" s="16">
        <f t="shared" si="32"/>
        <v>35262</v>
      </c>
    </row>
    <row r="29" spans="1:47" x14ac:dyDescent="0.3">
      <c r="Q29" s="40" t="s">
        <v>151</v>
      </c>
      <c r="R29" s="16">
        <f>SUM(R26:R28)</f>
        <v>-1264.4399999999998</v>
      </c>
      <c r="S29" s="16">
        <f t="shared" ref="S29:W29" si="33">SUM(S26:S28)</f>
        <v>3534.11</v>
      </c>
      <c r="T29" s="16">
        <f t="shared" si="33"/>
        <v>1849.3899999999999</v>
      </c>
      <c r="U29" s="16">
        <f t="shared" si="33"/>
        <v>-3003.69</v>
      </c>
      <c r="V29" s="16">
        <f t="shared" si="33"/>
        <v>4485.66</v>
      </c>
      <c r="W29" s="16">
        <f t="shared" si="33"/>
        <v>2264.1800000000003</v>
      </c>
      <c r="Y29" s="36" t="s">
        <v>140</v>
      </c>
      <c r="Z29" s="15">
        <v>221.23</v>
      </c>
      <c r="AA29" s="15">
        <v>6868.47</v>
      </c>
      <c r="AB29" s="15">
        <v>7234.66</v>
      </c>
      <c r="AC29" s="15">
        <v>1922.46</v>
      </c>
      <c r="AD29" s="15">
        <v>12895.91</v>
      </c>
      <c r="AE29" s="15">
        <v>1700.08</v>
      </c>
      <c r="AG29" s="40" t="s">
        <v>152</v>
      </c>
      <c r="AH29" s="16">
        <f>AH23-AH28</f>
        <v>11456.259000000095</v>
      </c>
      <c r="AI29" s="16">
        <f t="shared" ref="AI29:AM29" si="34">AI23-AI28</f>
        <v>21343.446000000047</v>
      </c>
      <c r="AJ29" s="16">
        <f t="shared" si="34"/>
        <v>49294.057000000015</v>
      </c>
      <c r="AK29" s="16">
        <f t="shared" si="34"/>
        <v>32777.60499999993</v>
      </c>
      <c r="AL29" s="16">
        <f t="shared" si="34"/>
        <v>55273.14900000007</v>
      </c>
      <c r="AM29" s="16">
        <f t="shared" si="34"/>
        <v>38328.610000000044</v>
      </c>
    </row>
    <row r="30" spans="1:47" x14ac:dyDescent="0.3">
      <c r="Q30" s="40" t="s">
        <v>162</v>
      </c>
      <c r="R30" s="16">
        <f>R24+R29</f>
        <v>2115.7100000000719</v>
      </c>
      <c r="S30" s="16">
        <f>S24-S29</f>
        <v>10662.889999999938</v>
      </c>
      <c r="T30" s="16">
        <f t="shared" ref="T30" si="35">T24+T29</f>
        <v>10993.010000000006</v>
      </c>
      <c r="U30" s="16">
        <f>U24-U29</f>
        <v>-6980.2300000000505</v>
      </c>
      <c r="V30" s="16">
        <f t="shared" ref="V30:W30" si="36">V24-V29</f>
        <v>16014.609999999979</v>
      </c>
      <c r="W30" s="16">
        <f t="shared" si="36"/>
        <v>6735.7000000000298</v>
      </c>
      <c r="Y30" s="36" t="s">
        <v>141</v>
      </c>
      <c r="Z30" s="15">
        <v>-5521.92</v>
      </c>
      <c r="AA30" s="15">
        <v>2120.04</v>
      </c>
      <c r="AB30" s="15">
        <v>1327.36</v>
      </c>
      <c r="AC30" s="15">
        <v>1410.97</v>
      </c>
      <c r="AD30" s="15">
        <v>1230.73</v>
      </c>
      <c r="AE30" s="15">
        <v>1574.54</v>
      </c>
    </row>
    <row r="31" spans="1:47" x14ac:dyDescent="0.3">
      <c r="Y31" s="40" t="s">
        <v>143</v>
      </c>
      <c r="Z31" s="16">
        <f>Z29+Z30</f>
        <v>-5300.6900000000005</v>
      </c>
      <c r="AA31" s="16">
        <f t="shared" ref="AA31:AE31" si="37">AA29+AA30</f>
        <v>8988.51</v>
      </c>
      <c r="AB31" s="16">
        <f t="shared" si="37"/>
        <v>8562.02</v>
      </c>
      <c r="AC31" s="16">
        <f t="shared" si="37"/>
        <v>3333.4300000000003</v>
      </c>
      <c r="AD31" s="16">
        <f t="shared" si="37"/>
        <v>14126.64</v>
      </c>
      <c r="AE31" s="16">
        <f t="shared" si="37"/>
        <v>3274.62</v>
      </c>
    </row>
    <row r="32" spans="1:47" x14ac:dyDescent="0.3">
      <c r="Y32" s="40" t="s">
        <v>168</v>
      </c>
      <c r="Z32" s="16">
        <f>Z27-Z31</f>
        <v>-1876.3200000000779</v>
      </c>
      <c r="AA32" s="16">
        <f t="shared" ref="AA32:AE32" si="38">AA27-AA31</f>
        <v>21762.219999999943</v>
      </c>
      <c r="AB32" s="16">
        <f t="shared" si="38"/>
        <v>25726.599999999937</v>
      </c>
      <c r="AC32" s="16">
        <f t="shared" si="38"/>
        <v>11704.259999999884</v>
      </c>
      <c r="AD32" s="16">
        <f t="shared" si="38"/>
        <v>43161.150000000103</v>
      </c>
      <c r="AE32" s="16">
        <f t="shared" si="38"/>
        <v>13788.830000000002</v>
      </c>
    </row>
  </sheetData>
  <mergeCells count="6">
    <mergeCell ref="AO3:AU3"/>
    <mergeCell ref="A3:G3"/>
    <mergeCell ref="I3:O3"/>
    <mergeCell ref="Q3:W3"/>
    <mergeCell ref="Y3:AE3"/>
    <mergeCell ref="AG3:AM3"/>
  </mergeCells>
  <pageMargins left="0.7" right="0.7" top="0.75" bottom="0.75" header="0.3" footer="0.3"/>
  <picture r:id="rId1"/>
  <tableParts count="6">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7C36E-5634-4088-9F01-7A431DED43A3}">
  <dimension ref="A1:AU10"/>
  <sheetViews>
    <sheetView showGridLines="0" topLeftCell="AO1" workbookViewId="0">
      <selection activeCell="AJ14" sqref="AJ14"/>
    </sheetView>
  </sheetViews>
  <sheetFormatPr defaultRowHeight="14.4" x14ac:dyDescent="0.3"/>
  <cols>
    <col min="1" max="1" width="43.5546875" style="2" bestFit="1" customWidth="1"/>
    <col min="2" max="7" width="10.88671875" style="1" bestFit="1" customWidth="1"/>
    <col min="8" max="8" width="8.88671875" style="2"/>
    <col min="9" max="9" width="48.33203125" style="2" bestFit="1" customWidth="1"/>
    <col min="10" max="12" width="9.88671875" style="2" bestFit="1" customWidth="1"/>
    <col min="13" max="15" width="10.88671875" style="2" bestFit="1" customWidth="1"/>
    <col min="16" max="16" width="8.88671875" style="2"/>
    <col min="17" max="17" width="43" style="2" bestFit="1" customWidth="1"/>
    <col min="18" max="23" width="10.88671875" style="2" bestFit="1" customWidth="1"/>
    <col min="24" max="24" width="8.88671875" style="2"/>
    <col min="25" max="25" width="53" style="2" bestFit="1" customWidth="1"/>
    <col min="26" max="31" width="10.88671875" style="2" bestFit="1" customWidth="1"/>
    <col min="32" max="32" width="8.88671875" style="2"/>
    <col min="33" max="33" width="45.44140625" style="2" bestFit="1" customWidth="1"/>
    <col min="34" max="39" width="10.88671875" style="2" bestFit="1" customWidth="1"/>
    <col min="40" max="40" width="8.88671875" style="2"/>
    <col min="41" max="41" width="35" style="2" bestFit="1" customWidth="1"/>
    <col min="42" max="42" width="11.5546875" style="2" bestFit="1" customWidth="1"/>
    <col min="43" max="47" width="10.88671875" style="2" bestFit="1" customWidth="1"/>
    <col min="48" max="16384" width="8.88671875" style="2"/>
  </cols>
  <sheetData>
    <row r="1" spans="1:47" ht="25.8" x14ac:dyDescent="0.3">
      <c r="A1" s="42" t="s">
        <v>181</v>
      </c>
    </row>
    <row r="3" spans="1:47" ht="41.4" customHeight="1" x14ac:dyDescent="0.3">
      <c r="A3" s="116" t="e" vm="1">
        <v>#VALUE!</v>
      </c>
      <c r="B3" s="116"/>
      <c r="C3" s="116"/>
      <c r="D3" s="116"/>
      <c r="E3" s="116"/>
      <c r="F3" s="116"/>
      <c r="G3" s="116"/>
      <c r="H3" s="36"/>
      <c r="I3" s="116" t="e" vm="2">
        <v>#VALUE!</v>
      </c>
      <c r="J3" s="116"/>
      <c r="K3" s="116"/>
      <c r="L3" s="116"/>
      <c r="M3" s="116"/>
      <c r="N3" s="116"/>
      <c r="O3" s="116"/>
      <c r="P3" s="36"/>
      <c r="Q3" s="116" t="e" vm="3">
        <v>#VALUE!</v>
      </c>
      <c r="R3" s="116"/>
      <c r="S3" s="116"/>
      <c r="T3" s="116"/>
      <c r="U3" s="116"/>
      <c r="V3" s="116"/>
      <c r="W3" s="116"/>
      <c r="X3" s="36"/>
      <c r="Y3" s="116" t="e" vm="4">
        <v>#VALUE!</v>
      </c>
      <c r="Z3" s="116"/>
      <c r="AA3" s="116"/>
      <c r="AB3" s="116"/>
      <c r="AC3" s="116"/>
      <c r="AD3" s="116"/>
      <c r="AE3" s="116"/>
      <c r="AF3" s="36"/>
      <c r="AG3" s="116" t="e" vm="5">
        <v>#VALUE!</v>
      </c>
      <c r="AH3" s="116"/>
      <c r="AI3" s="116"/>
      <c r="AJ3" s="116"/>
      <c r="AK3" s="116"/>
      <c r="AL3" s="116"/>
      <c r="AM3" s="116"/>
      <c r="AN3" s="36"/>
      <c r="AO3" s="116" t="e" vm="6">
        <v>#VALUE!</v>
      </c>
      <c r="AP3" s="116"/>
      <c r="AQ3" s="116"/>
      <c r="AR3" s="116"/>
      <c r="AS3" s="116"/>
      <c r="AT3" s="116"/>
      <c r="AU3" s="116"/>
    </row>
    <row r="4" spans="1:47" x14ac:dyDescent="0.3">
      <c r="A4" s="2" t="s">
        <v>10</v>
      </c>
      <c r="B4" s="1" t="s">
        <v>41</v>
      </c>
      <c r="C4" s="1" t="s">
        <v>42</v>
      </c>
      <c r="D4" s="1" t="s">
        <v>43</v>
      </c>
      <c r="E4" s="1" t="s">
        <v>44</v>
      </c>
      <c r="F4" s="1" t="s">
        <v>45</v>
      </c>
      <c r="G4" s="1" t="s">
        <v>46</v>
      </c>
      <c r="I4" s="2" t="s">
        <v>10</v>
      </c>
      <c r="J4" s="1" t="s">
        <v>41</v>
      </c>
      <c r="K4" s="1" t="s">
        <v>42</v>
      </c>
      <c r="L4" s="1" t="s">
        <v>43</v>
      </c>
      <c r="M4" s="1" t="s">
        <v>44</v>
      </c>
      <c r="N4" s="1" t="s">
        <v>45</v>
      </c>
      <c r="O4" s="1" t="s">
        <v>46</v>
      </c>
      <c r="Q4" s="2" t="s">
        <v>10</v>
      </c>
      <c r="R4" s="1" t="s">
        <v>41</v>
      </c>
      <c r="S4" s="1" t="s">
        <v>42</v>
      </c>
      <c r="T4" s="1" t="s">
        <v>43</v>
      </c>
      <c r="U4" s="1" t="s">
        <v>44</v>
      </c>
      <c r="V4" s="1" t="s">
        <v>45</v>
      </c>
      <c r="W4" s="1" t="s">
        <v>46</v>
      </c>
      <c r="Y4" s="2" t="s">
        <v>10</v>
      </c>
      <c r="Z4" s="1" t="s">
        <v>41</v>
      </c>
      <c r="AA4" s="1" t="s">
        <v>42</v>
      </c>
      <c r="AB4" s="1" t="s">
        <v>43</v>
      </c>
      <c r="AC4" s="1" t="s">
        <v>44</v>
      </c>
      <c r="AD4" s="1" t="s">
        <v>45</v>
      </c>
      <c r="AE4" s="1" t="s">
        <v>46</v>
      </c>
      <c r="AG4" s="2" t="s">
        <v>10</v>
      </c>
      <c r="AH4" s="1" t="s">
        <v>41</v>
      </c>
      <c r="AI4" s="1" t="s">
        <v>42</v>
      </c>
      <c r="AJ4" s="1" t="s">
        <v>43</v>
      </c>
      <c r="AK4" s="1" t="s">
        <v>44</v>
      </c>
      <c r="AL4" s="1" t="s">
        <v>45</v>
      </c>
      <c r="AM4" s="1" t="s">
        <v>46</v>
      </c>
      <c r="AO4" s="2" t="s">
        <v>10</v>
      </c>
      <c r="AP4" s="1" t="s">
        <v>41</v>
      </c>
      <c r="AQ4" s="1" t="s">
        <v>42</v>
      </c>
      <c r="AR4" s="1" t="s">
        <v>43</v>
      </c>
      <c r="AS4" s="1" t="s">
        <v>44</v>
      </c>
      <c r="AT4" s="1" t="s">
        <v>45</v>
      </c>
      <c r="AU4" s="1" t="s">
        <v>46</v>
      </c>
    </row>
    <row r="5" spans="1:47" x14ac:dyDescent="0.3">
      <c r="A5" s="2" t="s">
        <v>182</v>
      </c>
      <c r="B5" s="15">
        <v>6357.75</v>
      </c>
      <c r="C5" s="15">
        <v>20029.759999999998</v>
      </c>
      <c r="D5" s="15">
        <v>20049.25</v>
      </c>
      <c r="E5" s="15">
        <v>10664.05</v>
      </c>
      <c r="F5" s="15">
        <v>35969.629999999997</v>
      </c>
      <c r="G5" s="15">
        <v>23677.79</v>
      </c>
      <c r="I5" s="2" t="s">
        <v>182</v>
      </c>
      <c r="J5" s="15">
        <v>8345.36</v>
      </c>
      <c r="K5" s="15">
        <v>8993.4</v>
      </c>
      <c r="L5" s="15">
        <v>9419.91</v>
      </c>
      <c r="M5" s="15">
        <v>3204.69</v>
      </c>
      <c r="N5" s="15">
        <v>12585.72</v>
      </c>
      <c r="O5" s="15">
        <v>15735.04</v>
      </c>
      <c r="Q5" s="2" t="s">
        <v>182</v>
      </c>
      <c r="R5" s="15">
        <v>5469.24</v>
      </c>
      <c r="S5" s="15">
        <v>17829.259999999998</v>
      </c>
      <c r="T5" s="15">
        <v>15810.23</v>
      </c>
      <c r="U5" s="15">
        <v>-3466.31</v>
      </c>
      <c r="V5" s="15">
        <v>23851.87</v>
      </c>
      <c r="W5" s="15">
        <v>14227.74</v>
      </c>
      <c r="Y5" s="2" t="s">
        <v>182</v>
      </c>
      <c r="Z5" s="15">
        <v>7146.25</v>
      </c>
      <c r="AA5" s="15">
        <v>49861.73</v>
      </c>
      <c r="AB5" s="15">
        <v>25746.67</v>
      </c>
      <c r="AC5" s="15">
        <v>29643.72</v>
      </c>
      <c r="AD5" s="15">
        <v>71146.41</v>
      </c>
      <c r="AE5" s="15">
        <v>34699.279999999999</v>
      </c>
      <c r="AG5" s="2" t="s">
        <v>182</v>
      </c>
      <c r="AH5" s="15">
        <v>70592.978000000003</v>
      </c>
      <c r="AI5" s="15">
        <v>47201.392999999996</v>
      </c>
      <c r="AJ5" s="15">
        <v>78248.245999999999</v>
      </c>
      <c r="AK5" s="15">
        <v>84211.334000000003</v>
      </c>
      <c r="AL5" s="15">
        <v>98846.604999999996</v>
      </c>
      <c r="AM5" s="15">
        <v>90868.191000000006</v>
      </c>
      <c r="AO5" s="2" t="s">
        <v>182</v>
      </c>
      <c r="AP5" s="15">
        <v>77533</v>
      </c>
      <c r="AQ5" s="15">
        <v>-512</v>
      </c>
      <c r="AR5" s="15">
        <v>67491</v>
      </c>
      <c r="AS5" s="15">
        <v>48050</v>
      </c>
      <c r="AT5" s="15">
        <v>73998</v>
      </c>
      <c r="AU5" s="15">
        <v>79392</v>
      </c>
    </row>
    <row r="6" spans="1:47" x14ac:dyDescent="0.3">
      <c r="A6" s="2" t="s">
        <v>183</v>
      </c>
      <c r="B6" s="15">
        <v>-9460.25</v>
      </c>
      <c r="C6" s="15">
        <v>-6063.48</v>
      </c>
      <c r="D6" s="15">
        <v>-5355.16</v>
      </c>
      <c r="E6" s="15">
        <v>-7376.83</v>
      </c>
      <c r="F6" s="15">
        <v>-8838.6200000000008</v>
      </c>
      <c r="G6" s="15">
        <v>-13342.56</v>
      </c>
      <c r="I6" s="2" t="s">
        <v>183</v>
      </c>
      <c r="J6" s="15">
        <v>-9262.94</v>
      </c>
      <c r="K6" s="15">
        <v>-5697.21</v>
      </c>
      <c r="L6" s="15">
        <v>-6971.28</v>
      </c>
      <c r="M6" s="15">
        <v>-8830.56</v>
      </c>
      <c r="N6" s="15">
        <v>-12501.17</v>
      </c>
      <c r="O6" s="15">
        <v>-7929.71</v>
      </c>
      <c r="Q6" s="2" t="s">
        <v>183</v>
      </c>
      <c r="R6" s="15">
        <v>-13856.51</v>
      </c>
      <c r="S6" s="15">
        <v>-11666</v>
      </c>
      <c r="T6" s="15">
        <v>-12344.76</v>
      </c>
      <c r="U6" s="15">
        <v>-9446.7099999999991</v>
      </c>
      <c r="V6" s="15">
        <v>-10071.24</v>
      </c>
      <c r="W6" s="15">
        <v>-9579.33</v>
      </c>
      <c r="Y6" s="2" t="s">
        <v>183</v>
      </c>
      <c r="Z6" s="15">
        <v>-12337.43</v>
      </c>
      <c r="AA6" s="15">
        <v>-6566.16</v>
      </c>
      <c r="AB6" s="15">
        <v>-4944.71</v>
      </c>
      <c r="AC6" s="15">
        <v>-5609.49</v>
      </c>
      <c r="AD6" s="15">
        <v>-5005.8500000000004</v>
      </c>
      <c r="AE6" s="15">
        <v>-5105.4799999999996</v>
      </c>
      <c r="AG6" s="2" t="s">
        <v>183</v>
      </c>
      <c r="AH6" s="15">
        <v>-42258.428999999996</v>
      </c>
      <c r="AI6" s="15">
        <v>-32335.248</v>
      </c>
      <c r="AJ6" s="15">
        <v>-33457.290999999997</v>
      </c>
      <c r="AK6" s="15">
        <v>-36792.453000000001</v>
      </c>
      <c r="AL6" s="15">
        <v>-38132.841</v>
      </c>
      <c r="AM6" s="15">
        <v>-41030.802000000003</v>
      </c>
      <c r="AO6" s="2" t="s">
        <v>183</v>
      </c>
      <c r="AP6" s="15">
        <v>-21183</v>
      </c>
      <c r="AQ6" s="15">
        <v>-21755</v>
      </c>
      <c r="AR6" s="15">
        <v>-18154</v>
      </c>
      <c r="AS6" s="15">
        <v>-28573</v>
      </c>
      <c r="AT6" s="15">
        <v>-34258</v>
      </c>
      <c r="AU6" s="15">
        <v>-37304</v>
      </c>
    </row>
    <row r="7" spans="1:47" x14ac:dyDescent="0.3">
      <c r="A7" s="2" t="s">
        <v>184</v>
      </c>
      <c r="B7" s="15">
        <v>-9263.9699999999993</v>
      </c>
      <c r="C7" s="15">
        <v>2170.08</v>
      </c>
      <c r="D7" s="15">
        <v>-7167.07</v>
      </c>
      <c r="E7" s="15">
        <v>-6397.31</v>
      </c>
      <c r="F7" s="15">
        <v>-10554.31</v>
      </c>
      <c r="G7" s="15">
        <v>-19179.990000000002</v>
      </c>
      <c r="I7" s="2" t="s">
        <v>184</v>
      </c>
      <c r="J7" s="15">
        <v>-7444.64</v>
      </c>
      <c r="K7" s="15">
        <v>-4693.04</v>
      </c>
      <c r="L7" s="15">
        <v>-5436.04</v>
      </c>
      <c r="M7" s="15">
        <v>-7640.12</v>
      </c>
      <c r="N7" s="15">
        <v>-8273.42</v>
      </c>
      <c r="O7" s="15">
        <v>-6737.79</v>
      </c>
      <c r="Q7" s="2" t="s">
        <v>184</v>
      </c>
      <c r="R7" s="15">
        <v>-14167.89</v>
      </c>
      <c r="S7" s="15">
        <v>-12278.59</v>
      </c>
      <c r="T7" s="15">
        <v>-13744.84</v>
      </c>
      <c r="U7" s="15">
        <v>-11383.55</v>
      </c>
      <c r="V7" s="15">
        <v>-13019.23</v>
      </c>
      <c r="W7" s="15">
        <v>-10556.61</v>
      </c>
      <c r="Y7" s="2" t="s">
        <v>184</v>
      </c>
      <c r="Z7" s="15">
        <v>-29100.76</v>
      </c>
      <c r="AA7" s="15">
        <v>-24244.89</v>
      </c>
      <c r="AB7" s="15">
        <v>-21293.57</v>
      </c>
      <c r="AC7" s="15">
        <v>-28029.56</v>
      </c>
      <c r="AD7" s="15">
        <v>-31511.53</v>
      </c>
      <c r="AE7" s="15">
        <v>-31848.19</v>
      </c>
      <c r="AG7" s="2" t="s">
        <v>184</v>
      </c>
      <c r="AH7" s="15">
        <v>-53498.313999999998</v>
      </c>
      <c r="AI7" s="15">
        <v>-39089.771000000001</v>
      </c>
      <c r="AJ7" s="15">
        <v>-41329.623</v>
      </c>
      <c r="AK7" s="15">
        <v>-73208.997000000003</v>
      </c>
      <c r="AL7" s="15">
        <v>-57485.019099999998</v>
      </c>
      <c r="AM7" s="15">
        <v>-43021.688999999998</v>
      </c>
      <c r="AO7" s="2" t="s">
        <v>184</v>
      </c>
      <c r="AP7" s="15">
        <v>-143625</v>
      </c>
      <c r="AQ7" s="15">
        <v>74257</v>
      </c>
      <c r="AR7" s="15">
        <v>-45315</v>
      </c>
      <c r="AS7" s="15">
        <v>-584</v>
      </c>
      <c r="AT7" s="15">
        <v>-38292</v>
      </c>
      <c r="AU7" s="15">
        <v>-28106</v>
      </c>
    </row>
    <row r="8" spans="1:47" x14ac:dyDescent="0.3">
      <c r="A8" s="2" t="s">
        <v>185</v>
      </c>
      <c r="B8" s="15">
        <v>-4818.8599999999997</v>
      </c>
      <c r="C8" s="15">
        <v>-4261.3</v>
      </c>
      <c r="D8" s="15">
        <v>-14482.78</v>
      </c>
      <c r="E8" s="15">
        <v>-1281.57</v>
      </c>
      <c r="F8" s="15">
        <v>-5328.8</v>
      </c>
      <c r="G8" s="15">
        <v>-6560.92</v>
      </c>
      <c r="I8" s="2" t="s">
        <v>185</v>
      </c>
      <c r="J8" s="15">
        <v>-3960.56</v>
      </c>
      <c r="K8" s="15">
        <v>-2238.06</v>
      </c>
      <c r="L8" s="15">
        <v>-3995.37</v>
      </c>
      <c r="M8" s="15">
        <v>-3069.25</v>
      </c>
      <c r="N8" s="15">
        <v>-3620.53</v>
      </c>
      <c r="O8" s="15">
        <v>-4275.4399999999996</v>
      </c>
      <c r="Q8" s="2" t="s">
        <v>185</v>
      </c>
      <c r="R8" s="15">
        <v>-1725.11</v>
      </c>
      <c r="S8" s="15">
        <v>-1484.41</v>
      </c>
      <c r="T8" s="15">
        <v>-3222.89</v>
      </c>
      <c r="U8" s="15">
        <v>-1985.71</v>
      </c>
      <c r="V8" s="15">
        <v>-2130.5100000000002</v>
      </c>
      <c r="W8" s="15">
        <v>-2336.2600000000002</v>
      </c>
      <c r="Y8" s="2" t="s">
        <v>185</v>
      </c>
      <c r="Z8" s="15">
        <v>-5803.18</v>
      </c>
      <c r="AA8" s="15">
        <v>-8383.19</v>
      </c>
      <c r="AB8" s="15">
        <v>-10896.04</v>
      </c>
      <c r="AC8" s="15">
        <v>-3305.68</v>
      </c>
      <c r="AD8" s="15">
        <v>-10972.58</v>
      </c>
      <c r="AE8" s="15">
        <v>-9545.1</v>
      </c>
      <c r="AG8" s="2" t="s">
        <v>185</v>
      </c>
      <c r="AH8" s="15">
        <v>-8297.2420000000002</v>
      </c>
      <c r="AI8" s="15">
        <v>-3096.2939999999999</v>
      </c>
      <c r="AJ8" s="15">
        <v>-12923.826999999999</v>
      </c>
      <c r="AK8" s="15">
        <v>-17608.965</v>
      </c>
      <c r="AL8" s="15">
        <v>-12894.901</v>
      </c>
      <c r="AM8" s="15">
        <v>-16984.736000000001</v>
      </c>
      <c r="AO8" s="2" t="s">
        <v>185</v>
      </c>
      <c r="AP8" s="15">
        <v>-4584</v>
      </c>
      <c r="AQ8" s="15">
        <v>-3921</v>
      </c>
      <c r="AR8" s="15">
        <v>-4297</v>
      </c>
      <c r="AS8" s="15">
        <v>-5083</v>
      </c>
      <c r="AT8" s="15">
        <v>-6089</v>
      </c>
      <c r="AU8" s="15">
        <v>-6766</v>
      </c>
    </row>
    <row r="9" spans="1:47" x14ac:dyDescent="0.3">
      <c r="A9" s="2" t="s">
        <v>186</v>
      </c>
      <c r="B9" s="15">
        <v>2940.22</v>
      </c>
      <c r="C9" s="15">
        <v>-15622.27</v>
      </c>
      <c r="D9" s="15">
        <v>-18697.080000000002</v>
      </c>
      <c r="E9" s="15">
        <v>-3665.87</v>
      </c>
      <c r="F9" s="15">
        <v>-25247.3</v>
      </c>
      <c r="G9" s="15">
        <v>-6240.61</v>
      </c>
      <c r="I9" s="2" t="s">
        <v>186</v>
      </c>
      <c r="J9" s="15">
        <v>281.22000000000003</v>
      </c>
      <c r="K9" s="15">
        <v>-3470.62</v>
      </c>
      <c r="L9" s="15">
        <v>-3916.71</v>
      </c>
      <c r="M9" s="15">
        <v>2972.06</v>
      </c>
      <c r="N9" s="15">
        <v>-3457.39</v>
      </c>
      <c r="O9" s="15">
        <v>-8940.85</v>
      </c>
      <c r="Q9" s="2" t="s">
        <v>186</v>
      </c>
      <c r="R9" s="15">
        <v>8451.9599999999991</v>
      </c>
      <c r="S9" s="15">
        <v>-4709.1899999999996</v>
      </c>
      <c r="T9" s="15">
        <v>-2066.2399999999998</v>
      </c>
      <c r="U9" s="15">
        <v>16025.17</v>
      </c>
      <c r="V9" s="15">
        <v>-16155.04</v>
      </c>
      <c r="W9" s="15">
        <v>-4138.24</v>
      </c>
      <c r="Y9" s="2" t="s">
        <v>186</v>
      </c>
      <c r="Z9" s="15">
        <v>22456.03</v>
      </c>
      <c r="AA9" s="15">
        <v>-26270.21</v>
      </c>
      <c r="AB9" s="15">
        <v>-4057.7</v>
      </c>
      <c r="AC9" s="15">
        <v>-1794.4</v>
      </c>
      <c r="AD9" s="15">
        <v>-39384.639999999999</v>
      </c>
      <c r="AE9" s="15">
        <v>-3424.51</v>
      </c>
      <c r="AG9" s="2" t="s">
        <v>186</v>
      </c>
      <c r="AH9" s="15">
        <v>-16726.364000000001</v>
      </c>
      <c r="AI9" s="15">
        <v>-8257.8109999999997</v>
      </c>
      <c r="AJ9" s="15">
        <v>-35790.014999999999</v>
      </c>
      <c r="AK9" s="15">
        <v>-12916.346</v>
      </c>
      <c r="AL9" s="15">
        <v>-45009.25</v>
      </c>
      <c r="AM9" s="15">
        <v>-47907.546999999999</v>
      </c>
      <c r="AO9" s="2" t="s">
        <v>186</v>
      </c>
      <c r="AP9" s="15">
        <v>70767</v>
      </c>
      <c r="AQ9" s="15">
        <v>-76657</v>
      </c>
      <c r="AR9" s="15">
        <v>-6035</v>
      </c>
      <c r="AS9" s="15">
        <v>-7369</v>
      </c>
      <c r="AT9" s="15">
        <v>-27465</v>
      </c>
      <c r="AU9" s="15">
        <v>-38063</v>
      </c>
    </row>
    <row r="10" spans="1:47" x14ac:dyDescent="0.3">
      <c r="A10" s="2" t="s">
        <v>187</v>
      </c>
      <c r="B10" s="15">
        <v>34</v>
      </c>
      <c r="C10" s="15">
        <v>6577.27</v>
      </c>
      <c r="D10" s="15">
        <v>-5814.9</v>
      </c>
      <c r="E10" s="15">
        <v>600.87</v>
      </c>
      <c r="F10" s="15">
        <v>-11.98</v>
      </c>
      <c r="G10" s="15">
        <v>-1742.81</v>
      </c>
      <c r="I10" s="2" t="s">
        <v>187</v>
      </c>
      <c r="J10" s="15">
        <v>1181.94</v>
      </c>
      <c r="K10" s="15">
        <v>829.74</v>
      </c>
      <c r="L10" s="15">
        <v>67.16</v>
      </c>
      <c r="M10" s="15">
        <v>-1463.37</v>
      </c>
      <c r="N10" s="15">
        <v>854.91</v>
      </c>
      <c r="O10" s="15">
        <v>56.4</v>
      </c>
      <c r="Q10" s="2" t="s">
        <v>187</v>
      </c>
      <c r="R10" s="15">
        <v>-246.69</v>
      </c>
      <c r="S10" s="15">
        <v>841.48</v>
      </c>
      <c r="T10" s="15">
        <v>-0.85</v>
      </c>
      <c r="U10" s="15">
        <v>1175.31</v>
      </c>
      <c r="V10" s="15">
        <v>-5322.4</v>
      </c>
      <c r="W10" s="15">
        <v>-467.11</v>
      </c>
      <c r="Y10" s="2" t="s">
        <v>187</v>
      </c>
      <c r="Z10" s="15">
        <v>501.52</v>
      </c>
      <c r="AA10" s="15">
        <v>-653.37</v>
      </c>
      <c r="AB10" s="15">
        <v>395.4</v>
      </c>
      <c r="AC10" s="15">
        <v>-180.24</v>
      </c>
      <c r="AD10" s="15">
        <v>250.24</v>
      </c>
      <c r="AE10" s="15">
        <v>-573.41999999999996</v>
      </c>
      <c r="AG10" s="2" t="s">
        <v>187</v>
      </c>
      <c r="AH10" s="15">
        <v>368.3</v>
      </c>
      <c r="AI10" s="15">
        <v>-146.18899999999999</v>
      </c>
      <c r="AJ10" s="15">
        <v>1128.6079999999999</v>
      </c>
      <c r="AK10" s="15">
        <v>-1914.009</v>
      </c>
      <c r="AL10" s="15">
        <v>-3647.6640000000002</v>
      </c>
      <c r="AM10" s="15">
        <v>-61.045000000000002</v>
      </c>
      <c r="AO10" s="2" t="s">
        <v>187</v>
      </c>
      <c r="AP10" s="15">
        <v>4675</v>
      </c>
      <c r="AQ10" s="15">
        <v>-2912</v>
      </c>
      <c r="AR10" s="15">
        <v>16141</v>
      </c>
      <c r="AS10" s="15">
        <v>40097</v>
      </c>
      <c r="AT10" s="15">
        <v>8241</v>
      </c>
      <c r="AU10" s="15">
        <v>13223</v>
      </c>
    </row>
  </sheetData>
  <mergeCells count="6">
    <mergeCell ref="AO3:AU3"/>
    <mergeCell ref="A3:G3"/>
    <mergeCell ref="I3:O3"/>
    <mergeCell ref="Q3:W3"/>
    <mergeCell ref="Y3:AE3"/>
    <mergeCell ref="AG3:AM3"/>
  </mergeCells>
  <pageMargins left="0.7" right="0.7" top="0.75" bottom="0.75" header="0.3" footer="0.3"/>
  <picture r:id="rId1"/>
  <tableParts count="6">
    <tablePart r:id="rId2"/>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D1400-3445-4BCC-9ADB-49E1DB96F9D2}">
  <dimension ref="A1:BA25"/>
  <sheetViews>
    <sheetView showGridLines="0" tabSelected="1" topLeftCell="AE3" workbookViewId="0">
      <selection activeCell="BD18" sqref="BD18"/>
    </sheetView>
  </sheetViews>
  <sheetFormatPr defaultRowHeight="14.4" x14ac:dyDescent="0.3"/>
  <cols>
    <col min="1" max="1" width="31.88671875" style="2" customWidth="1"/>
    <col min="2" max="2" width="18.21875" style="2" bestFit="1" customWidth="1"/>
    <col min="3" max="6" width="9.88671875" style="1" bestFit="1" customWidth="1"/>
    <col min="7" max="8" width="10.88671875" style="1" bestFit="1" customWidth="1"/>
    <col min="9" max="9" width="8.88671875" style="2"/>
    <col min="10" max="10" width="30.5546875" style="2" bestFit="1" customWidth="1"/>
    <col min="11" max="11" width="18.21875" style="2" bestFit="1" customWidth="1"/>
    <col min="12" max="15" width="9.88671875" style="2" bestFit="1" customWidth="1"/>
    <col min="16" max="17" width="10.88671875" style="2" bestFit="1" customWidth="1"/>
    <col min="18" max="18" width="8.88671875" style="2"/>
    <col min="19" max="19" width="30.5546875" style="2" bestFit="1" customWidth="1"/>
    <col min="20" max="20" width="18.21875" style="2" bestFit="1" customWidth="1"/>
    <col min="21" max="26" width="9.88671875" style="2" bestFit="1" customWidth="1"/>
    <col min="27" max="27" width="8.88671875" style="2"/>
    <col min="28" max="28" width="30.5546875" style="2" bestFit="1" customWidth="1"/>
    <col min="29" max="29" width="18.21875" style="2" bestFit="1" customWidth="1"/>
    <col min="30" max="31" width="9.88671875" style="2" bestFit="1" customWidth="1"/>
    <col min="32" max="35" width="10.88671875" style="2" bestFit="1" customWidth="1"/>
    <col min="36" max="36" width="8.88671875" style="2"/>
    <col min="37" max="37" width="30.5546875" style="2" bestFit="1" customWidth="1"/>
    <col min="38" max="38" width="18.21875" style="2" bestFit="1" customWidth="1"/>
    <col min="39" max="39" width="9.88671875" style="2" bestFit="1" customWidth="1"/>
    <col min="40" max="44" width="10.88671875" style="2" bestFit="1" customWidth="1"/>
    <col min="45" max="45" width="8.88671875" style="2"/>
    <col min="46" max="46" width="30.5546875" style="2" bestFit="1" customWidth="1"/>
    <col min="47" max="47" width="18.21875" style="2" bestFit="1" customWidth="1"/>
    <col min="48" max="48" width="10.88671875" style="2" bestFit="1" customWidth="1"/>
    <col min="49" max="53" width="12.33203125" style="2" bestFit="1" customWidth="1"/>
    <col min="54" max="16384" width="8.88671875" style="2"/>
  </cols>
  <sheetData>
    <row r="1" spans="1:53" ht="25.8" x14ac:dyDescent="0.3">
      <c r="A1" s="42" t="s">
        <v>188</v>
      </c>
    </row>
    <row r="3" spans="1:53" ht="67.2" customHeight="1" x14ac:dyDescent="0.3">
      <c r="A3" s="116" t="e" vm="1">
        <v>#VALUE!</v>
      </c>
      <c r="B3" s="116"/>
      <c r="C3" s="116"/>
      <c r="D3" s="116"/>
      <c r="E3" s="116"/>
      <c r="F3" s="116"/>
      <c r="G3" s="116"/>
      <c r="H3" s="116"/>
      <c r="J3" s="116" t="e" vm="2">
        <v>#VALUE!</v>
      </c>
      <c r="K3" s="116"/>
      <c r="L3" s="116"/>
      <c r="M3" s="116"/>
      <c r="N3" s="116"/>
      <c r="O3" s="116"/>
      <c r="P3" s="116"/>
      <c r="Q3" s="116"/>
      <c r="S3" s="116" t="e" vm="3">
        <v>#VALUE!</v>
      </c>
      <c r="T3" s="116"/>
      <c r="U3" s="116"/>
      <c r="V3" s="116"/>
      <c r="W3" s="116"/>
      <c r="X3" s="116"/>
      <c r="Y3" s="116"/>
      <c r="Z3" s="116"/>
      <c r="AB3" s="116" t="e" vm="4">
        <v>#VALUE!</v>
      </c>
      <c r="AC3" s="116"/>
      <c r="AD3" s="116"/>
      <c r="AE3" s="116"/>
      <c r="AF3" s="116"/>
      <c r="AG3" s="116"/>
      <c r="AH3" s="116"/>
      <c r="AI3" s="116"/>
      <c r="AK3" s="116" t="e" vm="5">
        <v>#VALUE!</v>
      </c>
      <c r="AL3" s="116"/>
      <c r="AM3" s="116"/>
      <c r="AN3" s="116"/>
      <c r="AO3" s="116"/>
      <c r="AP3" s="116"/>
      <c r="AQ3" s="116"/>
      <c r="AR3" s="116"/>
      <c r="AT3" s="116" t="e" vm="6">
        <v>#VALUE!</v>
      </c>
      <c r="AU3" s="116"/>
      <c r="AV3" s="116"/>
      <c r="AW3" s="116"/>
      <c r="AX3" s="116"/>
      <c r="AY3" s="116"/>
      <c r="AZ3" s="116"/>
      <c r="BA3" s="116"/>
    </row>
    <row r="4" spans="1:53" x14ac:dyDescent="0.3">
      <c r="A4" s="2" t="s">
        <v>189</v>
      </c>
      <c r="B4" s="2" t="s">
        <v>190</v>
      </c>
      <c r="C4" s="1" t="s">
        <v>41</v>
      </c>
      <c r="D4" s="1" t="s">
        <v>42</v>
      </c>
      <c r="E4" s="1" t="s">
        <v>43</v>
      </c>
      <c r="F4" s="1" t="s">
        <v>44</v>
      </c>
      <c r="G4" s="1" t="s">
        <v>45</v>
      </c>
      <c r="H4" s="1" t="s">
        <v>46</v>
      </c>
      <c r="J4" s="2" t="s">
        <v>189</v>
      </c>
      <c r="K4" s="2" t="s">
        <v>190</v>
      </c>
      <c r="L4" s="1" t="s">
        <v>41</v>
      </c>
      <c r="M4" s="1" t="s">
        <v>42</v>
      </c>
      <c r="N4" s="1" t="s">
        <v>43</v>
      </c>
      <c r="O4" s="1" t="s">
        <v>44</v>
      </c>
      <c r="P4" s="1" t="s">
        <v>45</v>
      </c>
      <c r="Q4" s="1" t="s">
        <v>46</v>
      </c>
      <c r="S4" s="2" t="s">
        <v>189</v>
      </c>
      <c r="T4" s="2" t="s">
        <v>190</v>
      </c>
      <c r="U4" s="1" t="s">
        <v>41</v>
      </c>
      <c r="V4" s="1" t="s">
        <v>42</v>
      </c>
      <c r="W4" s="1" t="s">
        <v>43</v>
      </c>
      <c r="X4" s="1" t="s">
        <v>44</v>
      </c>
      <c r="Y4" s="1" t="s">
        <v>45</v>
      </c>
      <c r="Z4" s="1" t="s">
        <v>46</v>
      </c>
      <c r="AB4" s="2" t="s">
        <v>189</v>
      </c>
      <c r="AC4" s="2" t="s">
        <v>190</v>
      </c>
      <c r="AD4" s="1" t="s">
        <v>41</v>
      </c>
      <c r="AE4" s="1" t="s">
        <v>42</v>
      </c>
      <c r="AF4" s="1" t="s">
        <v>43</v>
      </c>
      <c r="AG4" s="1" t="s">
        <v>44</v>
      </c>
      <c r="AH4" s="1" t="s">
        <v>45</v>
      </c>
      <c r="AI4" s="1" t="s">
        <v>46</v>
      </c>
      <c r="AK4" s="2" t="s">
        <v>189</v>
      </c>
      <c r="AL4" s="2" t="s">
        <v>190</v>
      </c>
      <c r="AM4" s="1" t="s">
        <v>41</v>
      </c>
      <c r="AN4" s="1" t="s">
        <v>42</v>
      </c>
      <c r="AO4" s="1" t="s">
        <v>43</v>
      </c>
      <c r="AP4" s="1" t="s">
        <v>44</v>
      </c>
      <c r="AQ4" s="1" t="s">
        <v>45</v>
      </c>
      <c r="AR4" s="1" t="s">
        <v>46</v>
      </c>
      <c r="AT4" s="2" t="s">
        <v>189</v>
      </c>
      <c r="AU4" s="2" t="s">
        <v>190</v>
      </c>
      <c r="AV4" s="1" t="s">
        <v>41</v>
      </c>
      <c r="AW4" s="1" t="s">
        <v>42</v>
      </c>
      <c r="AX4" s="1" t="s">
        <v>43</v>
      </c>
      <c r="AY4" s="1" t="s">
        <v>44</v>
      </c>
      <c r="AZ4" s="1" t="s">
        <v>45</v>
      </c>
      <c r="BA4" s="1" t="s">
        <v>46</v>
      </c>
    </row>
    <row r="5" spans="1:53" x14ac:dyDescent="0.3">
      <c r="A5" s="2" t="s">
        <v>191</v>
      </c>
      <c r="B5" s="2" t="s">
        <v>192</v>
      </c>
      <c r="C5" s="44">
        <f>'Balance Sheet'!B31/'Balance Sheet'!B56</f>
        <v>0.70229318485430436</v>
      </c>
      <c r="D5" s="44">
        <f>'Balance Sheet'!C31/'Balance Sheet'!C56</f>
        <v>0.90244502218036904</v>
      </c>
      <c r="E5" s="44">
        <f>'Balance Sheet'!D31/'Balance Sheet'!D56</f>
        <v>0.74636453518404777</v>
      </c>
      <c r="F5" s="44">
        <f>'Balance Sheet'!E31/'Balance Sheet'!E56</f>
        <v>0.74851615035060937</v>
      </c>
      <c r="G5" s="44">
        <f>'Balance Sheet'!F31/'Balance Sheet'!F56</f>
        <v>0.81220777371074249</v>
      </c>
      <c r="H5" s="44">
        <f>'Balance Sheet'!G31/'Balance Sheet'!G56</f>
        <v>0.80324929415916724</v>
      </c>
      <c r="J5" s="2" t="s">
        <v>191</v>
      </c>
      <c r="K5" s="2" t="s">
        <v>192</v>
      </c>
      <c r="L5" s="44">
        <f>'Balance Sheet'!J28/'Balance Sheet'!J56</f>
        <v>0.93433390909856018</v>
      </c>
      <c r="M5" s="44">
        <f>'Balance Sheet'!K28/'Balance Sheet'!K56</f>
        <v>0.86575400742332309</v>
      </c>
      <c r="N5" s="44">
        <f>'Balance Sheet'!L28/'Balance Sheet'!L56</f>
        <v>1.080420954156571</v>
      </c>
      <c r="O5" s="44">
        <f>'Balance Sheet'!M28/'Balance Sheet'!M56</f>
        <v>0.94563452108652668</v>
      </c>
      <c r="P5" s="44">
        <f>'Balance Sheet'!N28/'Balance Sheet'!N56</f>
        <v>0.93675157828778755</v>
      </c>
      <c r="Q5" s="44">
        <f>'Balance Sheet'!O28/'Balance Sheet'!O56</f>
        <v>0.98183475338032677</v>
      </c>
      <c r="S5" s="2" t="s">
        <v>191</v>
      </c>
      <c r="T5" s="2" t="s">
        <v>192</v>
      </c>
      <c r="U5" s="44">
        <f>'Balance Sheet'!R26/'Balance Sheet'!R51</f>
        <v>0.65943989321282659</v>
      </c>
      <c r="V5" s="44">
        <f>'Balance Sheet'!S26/'Balance Sheet'!S51</f>
        <v>0.7080289572049393</v>
      </c>
      <c r="W5" s="44">
        <f>'Balance Sheet'!T26/'Balance Sheet'!T51</f>
        <v>0.695554634194958</v>
      </c>
      <c r="X5" s="44">
        <f>'Balance Sheet'!U26/'Balance Sheet'!U51</f>
        <v>0.59534949081368949</v>
      </c>
      <c r="Y5" s="44">
        <f>'Balance Sheet'!V26/'Balance Sheet'!V51</f>
        <v>0.61198478194998218</v>
      </c>
      <c r="Z5" s="44">
        <f>'Balance Sheet'!W26/'Balance Sheet'!W51</f>
        <v>0.5993581900360746</v>
      </c>
      <c r="AB5" s="2" t="s">
        <v>191</v>
      </c>
      <c r="AC5" s="2" t="s">
        <v>192</v>
      </c>
      <c r="AD5" s="44">
        <f>'Balance Sheet'!Z30/'Balance Sheet'!Z56</f>
        <v>0.68559163495499931</v>
      </c>
      <c r="AE5" s="44">
        <f>'Balance Sheet'!AA30/'Balance Sheet'!AA56</f>
        <v>0.71656401308488638</v>
      </c>
      <c r="AF5" s="44">
        <f>'Balance Sheet'!AB30/'Balance Sheet'!AB56</f>
        <v>0.76156930662982236</v>
      </c>
      <c r="AG5" s="44">
        <f>'Balance Sheet'!AC30/'Balance Sheet'!AC56</f>
        <v>0.76877613723133142</v>
      </c>
      <c r="AH5" s="44">
        <f>'Balance Sheet'!AD30/'Balance Sheet'!AD56</f>
        <v>0.73222498252652812</v>
      </c>
      <c r="AI5" s="44">
        <f>'Balance Sheet'!AE30/'Balance Sheet'!AE56</f>
        <v>0.68362332899088285</v>
      </c>
      <c r="AK5" s="2" t="s">
        <v>191</v>
      </c>
      <c r="AL5" s="2" t="s">
        <v>192</v>
      </c>
      <c r="AM5" s="44">
        <f>'Balance Sheet'!AH46/'Balance Sheet'!AH73</f>
        <v>0.60272676401899661</v>
      </c>
      <c r="AN5" s="44">
        <f>'Balance Sheet'!AI46/'Balance Sheet'!AI73</f>
        <v>0.71201697614350312</v>
      </c>
      <c r="AO5" s="44">
        <f>'Balance Sheet'!AJ46/'Balance Sheet'!AJ73</f>
        <v>0.78999687536418406</v>
      </c>
      <c r="AP5" s="44">
        <f>'Balance Sheet'!AK46/'Balance Sheet'!AK73</f>
        <v>0.8239319941657901</v>
      </c>
      <c r="AQ5" s="44">
        <f>'Balance Sheet'!AL46/'Balance Sheet'!AL73</f>
        <v>0.79623587308456978</v>
      </c>
      <c r="AR5" s="44">
        <f>'Balance Sheet'!AM46/'Balance Sheet'!AM73</f>
        <v>0.78843477822965047</v>
      </c>
      <c r="AT5" s="2" t="s">
        <v>191</v>
      </c>
      <c r="AU5" s="2" t="s">
        <v>192</v>
      </c>
      <c r="AV5" s="44">
        <f>'Balance Sheet'!AP23/'Balance Sheet'!AP48</f>
        <v>0.503970582009302</v>
      </c>
      <c r="AW5" s="44">
        <f>'Balance Sheet'!AQ23/'Balance Sheet'!AQ48</f>
        <v>1.0442644967217909</v>
      </c>
      <c r="AX5" s="44">
        <f>'Balance Sheet'!AR23/'Balance Sheet'!AR48</f>
        <v>0.99851728015444174</v>
      </c>
      <c r="AY5" s="44">
        <f>'Balance Sheet'!AS23/'Balance Sheet'!AS48</f>
        <v>0.88134071713953366</v>
      </c>
      <c r="AZ5" s="44">
        <f>'Balance Sheet'!AT23/'Balance Sheet'!AT48</f>
        <v>1.0942070045913987</v>
      </c>
      <c r="BA5" s="44">
        <f>'Balance Sheet'!AU23/'Balance Sheet'!AU48</f>
        <v>1.0450811250896543</v>
      </c>
    </row>
    <row r="6" spans="1:53" x14ac:dyDescent="0.3">
      <c r="A6" s="2" t="s">
        <v>191</v>
      </c>
      <c r="B6" s="2" t="s">
        <v>193</v>
      </c>
      <c r="C6" s="44">
        <f>('Balance Sheet'!B31-'Balance Sheet'!B21)/'Balance Sheet'!B56</f>
        <v>0.35303738433639958</v>
      </c>
      <c r="D6" s="44">
        <f>('Balance Sheet'!C31-'Balance Sheet'!C21)/'Balance Sheet'!C56</f>
        <v>0.43962378462010904</v>
      </c>
      <c r="E6" s="44">
        <f>('Balance Sheet'!D31-'Balance Sheet'!D21)/'Balance Sheet'!D56</f>
        <v>0.23860581517873164</v>
      </c>
      <c r="F6" s="44">
        <f>('Balance Sheet'!E31-'Balance Sheet'!E21)/'Balance Sheet'!E56</f>
        <v>0.24005327554158745</v>
      </c>
      <c r="G6" s="44">
        <f>('Balance Sheet'!F31-'Balance Sheet'!F21)/'Balance Sheet'!F56</f>
        <v>0.28260416416821343</v>
      </c>
      <c r="H6" s="44">
        <f>('Balance Sheet'!G31-'Balance Sheet'!G21)/'Balance Sheet'!G56</f>
        <v>0.30403024086818425</v>
      </c>
      <c r="J6" s="2" t="s">
        <v>191</v>
      </c>
      <c r="K6" s="2" t="s">
        <v>193</v>
      </c>
      <c r="L6" s="44">
        <f>('Balance Sheet'!J28-'Balance Sheet'!J20)/'Balance Sheet'!J56</f>
        <v>0.67920632566937722</v>
      </c>
      <c r="M6" s="44">
        <f>('Balance Sheet'!K28-'Balance Sheet'!K20)/'Balance Sheet'!K56</f>
        <v>0.62757272952511611</v>
      </c>
      <c r="N6" s="44">
        <f>('Balance Sheet'!L28-'Balance Sheet'!L20)/'Balance Sheet'!L56</f>
        <v>0.84345469157568276</v>
      </c>
      <c r="O6" s="44">
        <f>('Balance Sheet'!M28-'Balance Sheet'!M20)/'Balance Sheet'!M56</f>
        <v>0.67305773749920561</v>
      </c>
      <c r="P6" s="44">
        <f>('Balance Sheet'!N28-'Balance Sheet'!N20)/'Balance Sheet'!N56</f>
        <v>0.6608804586207182</v>
      </c>
      <c r="Q6" s="44">
        <f>('Balance Sheet'!O28-'Balance Sheet'!O20)/'Balance Sheet'!O56</f>
        <v>0.69644389303687615</v>
      </c>
      <c r="S6" s="2" t="s">
        <v>191</v>
      </c>
      <c r="T6" s="2" t="s">
        <v>193</v>
      </c>
      <c r="U6" s="44">
        <f>('Balance Sheet'!R26-'Balance Sheet'!R17)/'Balance Sheet'!R51</f>
        <v>0.32067301161038797</v>
      </c>
      <c r="V6" s="44">
        <f>('Balance Sheet'!S26-'Balance Sheet'!S17)/'Balance Sheet'!S51</f>
        <v>0.24692366968882648</v>
      </c>
      <c r="W6" s="44">
        <f>('Balance Sheet'!T26-'Balance Sheet'!T17)/'Balance Sheet'!T51</f>
        <v>0.19842990449080236</v>
      </c>
      <c r="X6" s="44">
        <f>('Balance Sheet'!U26-'Balance Sheet'!U17)/'Balance Sheet'!U51</f>
        <v>0.19496170695296566</v>
      </c>
      <c r="Y6" s="44">
        <f>('Balance Sheet'!V26-'Balance Sheet'!V17)/'Balance Sheet'!V51</f>
        <v>0.21571757326634405</v>
      </c>
      <c r="Z6" s="44">
        <f>('Balance Sheet'!W26-'Balance Sheet'!W17)/'Balance Sheet'!W51</f>
        <v>0.20128821081346743</v>
      </c>
      <c r="AB6" s="2" t="s">
        <v>191</v>
      </c>
      <c r="AC6" s="2" t="s">
        <v>193</v>
      </c>
      <c r="AD6" s="44">
        <f>('Balance Sheet'!Z30-'Balance Sheet'!Z20)/'Balance Sheet'!Z56</f>
        <v>0.2707101580853235</v>
      </c>
      <c r="AE6" s="44">
        <f>('Balance Sheet'!AA30-'Balance Sheet'!AA20)/'Balance Sheet'!AA56</f>
        <v>0.20213505308990806</v>
      </c>
      <c r="AF6" s="44">
        <f>('Balance Sheet'!AB30-'Balance Sheet'!AB20)/'Balance Sheet'!AB56</f>
        <v>0.18214198372989449</v>
      </c>
      <c r="AG6" s="44">
        <f>('Balance Sheet'!AC30-'Balance Sheet'!AC20)/'Balance Sheet'!AC56</f>
        <v>0.18271671336379142</v>
      </c>
      <c r="AH6" s="44">
        <f>('Balance Sheet'!AD30-'Balance Sheet'!AD20)/'Balance Sheet'!AD56</f>
        <v>0.17130005588183586</v>
      </c>
      <c r="AI6" s="44">
        <f>('Balance Sheet'!AE30-'Balance Sheet'!AE20)/'Balance Sheet'!AE56</f>
        <v>0.18978650554340062</v>
      </c>
      <c r="AK6" s="2" t="s">
        <v>191</v>
      </c>
      <c r="AL6" s="2" t="s">
        <v>193</v>
      </c>
      <c r="AM6" s="44">
        <f>('Balance Sheet'!AH46-'Balance Sheet'!AH36)/'Balance Sheet'!AH73</f>
        <v>0.33847056927971175</v>
      </c>
      <c r="AN6" s="44">
        <f>('Balance Sheet'!AI46-'Balance Sheet'!AI36)/'Balance Sheet'!AI73</f>
        <v>0.35041053303602743</v>
      </c>
      <c r="AO6" s="44">
        <f>('Balance Sheet'!AJ46-'Balance Sheet'!AJ36)/'Balance Sheet'!AJ73</f>
        <v>0.36473879298451933</v>
      </c>
      <c r="AP6" s="44">
        <f>('Balance Sheet'!AK46-'Balance Sheet'!AK36)/'Balance Sheet'!AK73</f>
        <v>0.48947968098720601</v>
      </c>
      <c r="AQ6" s="44">
        <f>('Balance Sheet'!AL46-'Balance Sheet'!AL36)/'Balance Sheet'!AL73</f>
        <v>0.47858851491133497</v>
      </c>
      <c r="AR6" s="44">
        <f>('Balance Sheet'!AM46-'Balance Sheet'!AM36)/'Balance Sheet'!AM73</f>
        <v>0.43506855222059609</v>
      </c>
      <c r="AT6" s="2" t="s">
        <v>191</v>
      </c>
      <c r="AU6" s="2" t="s">
        <v>193</v>
      </c>
      <c r="AV6" s="44">
        <f>('Balance Sheet'!AP23-'Balance Sheet'!AP17)/'Balance Sheet'!AP48</f>
        <v>0.38663126508246592</v>
      </c>
      <c r="AW6" s="44">
        <f>('Balance Sheet'!AQ23-'Balance Sheet'!AQ17)/'Balance Sheet'!AQ48</f>
        <v>0.85873718326750481</v>
      </c>
      <c r="AX6" s="44">
        <f>('Balance Sheet'!AR23-'Balance Sheet'!AR17)/'Balance Sheet'!AR48</f>
        <v>0.77002418126996452</v>
      </c>
      <c r="AY6" s="44">
        <f>('Balance Sheet'!AS23-'Balance Sheet'!AS17)/'Balance Sheet'!AS48</f>
        <v>0.67514202869232454</v>
      </c>
      <c r="AZ6" s="44">
        <f>('Balance Sheet'!AT23-'Balance Sheet'!AT17)/'Balance Sheet'!AT48</f>
        <v>0.73964435407934537</v>
      </c>
      <c r="BA6" s="44">
        <f>('Balance Sheet'!AU23-'Balance Sheet'!AU17)/'Balance Sheet'!AU48</f>
        <v>0.69919553375850507</v>
      </c>
    </row>
    <row r="7" spans="1:53" x14ac:dyDescent="0.3">
      <c r="A7" s="2" t="s">
        <v>197</v>
      </c>
      <c r="B7" s="2" t="s">
        <v>194</v>
      </c>
      <c r="C7" s="44">
        <f>('Balance Sheet'!B39+'Balance Sheet'!B47)/'Balance Sheet'!B37</f>
        <v>1.3245488851515519</v>
      </c>
      <c r="D7" s="44">
        <f>('Balance Sheet'!C39+'Balance Sheet'!C47)/'Balance Sheet'!C37</f>
        <v>0.87155522874767433</v>
      </c>
      <c r="E7" s="44">
        <f>('Balance Sheet'!D39+'Balance Sheet'!D47)/'Balance Sheet'!D37</f>
        <v>1.0775842770012189</v>
      </c>
      <c r="F7" s="44">
        <f>('Balance Sheet'!E39+'Balance Sheet'!E47)/'Balance Sheet'!E37</f>
        <v>1.1295206339929704</v>
      </c>
      <c r="G7" s="44">
        <f>('Balance Sheet'!F39+'Balance Sheet'!F47)/'Balance Sheet'!F37</f>
        <v>0.60137322468361587</v>
      </c>
      <c r="H7" s="44">
        <f>('Balance Sheet'!G39+'Balance Sheet'!G47)/'Balance Sheet'!G37</f>
        <v>0.62740661318528146</v>
      </c>
      <c r="J7" s="2" t="s">
        <v>197</v>
      </c>
      <c r="K7" s="2" t="s">
        <v>194</v>
      </c>
      <c r="L7" s="44">
        <f>('Balance Sheet'!J37+'Balance Sheet'!J46)/'Balance Sheet'!J35</f>
        <v>0.12840771475560167</v>
      </c>
      <c r="M7" s="44">
        <f>('Balance Sheet'!K37+'Balance Sheet'!K46)/'Balance Sheet'!K35</f>
        <v>0.12688291235163476</v>
      </c>
      <c r="N7" s="44">
        <f>('Balance Sheet'!L37+'Balance Sheet'!L46)/'Balance Sheet'!L35</f>
        <v>0.12176757619026442</v>
      </c>
      <c r="O7" s="44">
        <f>('Balance Sheet'!M37+'Balance Sheet'!M46)/'Balance Sheet'!M35</f>
        <v>0.24997166202456328</v>
      </c>
      <c r="P7" s="44">
        <f>('Balance Sheet'!N37+'Balance Sheet'!N46)/'Balance Sheet'!N35</f>
        <v>0.24104944596712408</v>
      </c>
      <c r="Q7" s="44">
        <f>('Balance Sheet'!O37+'Balance Sheet'!O46)/'Balance Sheet'!O35</f>
        <v>0.19131016155704428</v>
      </c>
      <c r="S7" s="2" t="s">
        <v>197</v>
      </c>
      <c r="T7" s="2" t="s">
        <v>194</v>
      </c>
      <c r="U7" s="44">
        <f>('Balance Sheet'!R34+'Balance Sheet'!R42)/'Balance Sheet'!R32</f>
        <v>1.2713028338361207</v>
      </c>
      <c r="V7" s="44">
        <f>('Balance Sheet'!S34+'Balance Sheet'!S42)/'Balance Sheet'!S32</f>
        <v>1.1206172864793496</v>
      </c>
      <c r="W7" s="44">
        <f>('Balance Sheet'!T34+'Balance Sheet'!T42)/'Balance Sheet'!T32</f>
        <v>1.086332283601112</v>
      </c>
      <c r="X7" s="44">
        <f>('Balance Sheet'!U34+'Balance Sheet'!U42)/'Balance Sheet'!U32</f>
        <v>2.0781619470066115</v>
      </c>
      <c r="Y7" s="44">
        <f>('Balance Sheet'!V34+'Balance Sheet'!V42)/'Balance Sheet'!V32</f>
        <v>1.3386895304589488</v>
      </c>
      <c r="Z7" s="44">
        <f>('Balance Sheet'!W34+'Balance Sheet'!W42)/'Balance Sheet'!W32</f>
        <v>1.2988523254502116</v>
      </c>
      <c r="AB7" s="2" t="s">
        <v>197</v>
      </c>
      <c r="AC7" s="2" t="s">
        <v>194</v>
      </c>
      <c r="AD7" s="44">
        <f>('Balance Sheet'!Z40+'Balance Sheet'!Z47)/'Balance Sheet'!Z37</f>
        <v>1.3084302561704497</v>
      </c>
      <c r="AE7" s="44">
        <f>('Balance Sheet'!AA40+'Balance Sheet'!AA47)/'Balance Sheet'!AA37</f>
        <v>0.96189231495136385</v>
      </c>
      <c r="AF7" s="44">
        <f>('Balance Sheet'!AB40+'Balance Sheet'!AB47)/'Balance Sheet'!AB37</f>
        <v>0.91432815066458029</v>
      </c>
      <c r="AG7" s="44">
        <f>('Balance Sheet'!AC40+'Balance Sheet'!AC47)/'Balance Sheet'!AC37</f>
        <v>0.97835747453781519</v>
      </c>
      <c r="AH7" s="44">
        <f>('Balance Sheet'!AD40+'Balance Sheet'!AD47)/'Balance Sheet'!AD37</f>
        <v>0.65609914341280107</v>
      </c>
      <c r="AI7" s="44">
        <f>('Balance Sheet'!AE40+'Balance Sheet'!AE47)/'Balance Sheet'!AE37</f>
        <v>0.74629055745996353</v>
      </c>
      <c r="AK7" s="2" t="s">
        <v>197</v>
      </c>
      <c r="AL7" s="2" t="s">
        <v>194</v>
      </c>
      <c r="AM7" s="44">
        <f>('Balance Sheet'!AH64+'Balance Sheet'!AH56)/'Balance Sheet'!AH53</f>
        <v>0.46725815773818252</v>
      </c>
      <c r="AN7" s="44">
        <f>('Balance Sheet'!AI64+'Balance Sheet'!AI56)/'Balance Sheet'!AI53</f>
        <v>0.45268395309504261</v>
      </c>
      <c r="AO7" s="44">
        <f>('Balance Sheet'!AJ64+'Balance Sheet'!AJ56)/'Balance Sheet'!AJ53</f>
        <v>0.3803925687600001</v>
      </c>
      <c r="AP7" s="44">
        <f>('Balance Sheet'!AK64+'Balance Sheet'!AK56)/'Balance Sheet'!AK53</f>
        <v>0.42882455391990371</v>
      </c>
      <c r="AQ7" s="44">
        <f>('Balance Sheet'!AL64+'Balance Sheet'!AL56)/'Balance Sheet'!AL53</f>
        <v>0.43847317094469374</v>
      </c>
      <c r="AR7" s="44">
        <f>('Balance Sheet'!AM64+'Balance Sheet'!AM56)/'Balance Sheet'!AM53</f>
        <v>0.41031933408857513</v>
      </c>
      <c r="AT7" s="2" t="s">
        <v>197</v>
      </c>
      <c r="AU7" s="2" t="s">
        <v>194</v>
      </c>
      <c r="AV7" s="44">
        <f>('Balance Sheet'!AP40+'Balance Sheet'!AP32)/'Balance Sheet'!AP29</f>
        <v>0.65002875656608261</v>
      </c>
      <c r="AW7" s="44">
        <f>('Balance Sheet'!AQ40+'Balance Sheet'!AQ32)/'Balance Sheet'!AQ29</f>
        <v>0.40833918180419532</v>
      </c>
      <c r="AX7" s="44">
        <f>('Balance Sheet'!AR40+'Balance Sheet'!AR32)/'Balance Sheet'!AR29</f>
        <v>0.41262324320770605</v>
      </c>
      <c r="AY7" s="44">
        <f>('Balance Sheet'!AS40+'Balance Sheet'!AS32)/'Balance Sheet'!AS29</f>
        <v>0.45048153389522722</v>
      </c>
      <c r="AZ7" s="44">
        <f>('Balance Sheet'!AT40+'Balance Sheet'!AT32)/'Balance Sheet'!AT29</f>
        <v>0.41116607389690463</v>
      </c>
      <c r="BA7" s="44">
        <f>('Balance Sheet'!AU40+'Balance Sheet'!AU32)/'Balance Sheet'!AU29</f>
        <v>0.36607946793055257</v>
      </c>
    </row>
    <row r="8" spans="1:53" x14ac:dyDescent="0.3">
      <c r="A8" s="2" t="s">
        <v>197</v>
      </c>
      <c r="B8" s="2" t="s">
        <v>195</v>
      </c>
      <c r="C8" s="44">
        <f>('Balance Sheet'!B39+'Balance Sheet'!B47)/('Balance Sheet'!B39+'Balance Sheet'!B47+'Balance Sheet'!B37)</f>
        <v>0.56980900406626478</v>
      </c>
      <c r="D8" s="44">
        <f>('Balance Sheet'!C39+'Balance Sheet'!C47)/('Balance Sheet'!C39+'Balance Sheet'!C47+'Balance Sheet'!C37)</f>
        <v>0.4656850171238941</v>
      </c>
      <c r="E8" s="44">
        <f>('Balance Sheet'!D39+'Balance Sheet'!D47)/('Balance Sheet'!D39+'Balance Sheet'!D47+'Balance Sheet'!D37)</f>
        <v>0.51867175205840599</v>
      </c>
      <c r="F8" s="44">
        <f>('Balance Sheet'!E39+'Balance Sheet'!E47)/('Balance Sheet'!E39+'Balance Sheet'!E47+'Balance Sheet'!E37)</f>
        <v>0.53041074876793093</v>
      </c>
      <c r="G8" s="44">
        <f>('Balance Sheet'!F39+'Balance Sheet'!F47)/('Balance Sheet'!F39+'Balance Sheet'!F47+'Balance Sheet'!F37)</f>
        <v>0.37553595589961825</v>
      </c>
      <c r="H8" s="44">
        <f>('Balance Sheet'!G39+'Balance Sheet'!G47)/('Balance Sheet'!G39+'Balance Sheet'!G47+'Balance Sheet'!G37)</f>
        <v>0.38552541700520349</v>
      </c>
      <c r="J8" s="2" t="s">
        <v>197</v>
      </c>
      <c r="K8" s="2" t="s">
        <v>195</v>
      </c>
      <c r="L8" s="44">
        <f>('Balance Sheet'!J37+'Balance Sheet'!J46)/('Balance Sheet'!J35+'Balance Sheet'!J37+'Balance Sheet'!J46)</f>
        <v>0.11379549525980785</v>
      </c>
      <c r="M8" s="44">
        <f>('Balance Sheet'!K37+'Balance Sheet'!K46)/('Balance Sheet'!K35+'Balance Sheet'!K37+'Balance Sheet'!K46)</f>
        <v>0.11259635846891071</v>
      </c>
      <c r="N8" s="44">
        <f>('Balance Sheet'!L37+'Balance Sheet'!L46)/('Balance Sheet'!L35+'Balance Sheet'!L37+'Balance Sheet'!L46)</f>
        <v>0.10854973773070729</v>
      </c>
      <c r="O8" s="44">
        <f>('Balance Sheet'!M37+'Balance Sheet'!M46)/('Balance Sheet'!M35+'Balance Sheet'!M37+'Balance Sheet'!M46)</f>
        <v>0.19998186328455425</v>
      </c>
      <c r="P8" s="44">
        <f>('Balance Sheet'!N37+'Balance Sheet'!N46)/('Balance Sheet'!N35+'Balance Sheet'!N37+'Balance Sheet'!N46)</f>
        <v>0.19423033203909071</v>
      </c>
      <c r="Q8" s="44">
        <f>('Balance Sheet'!O37+'Balance Sheet'!O46)/('Balance Sheet'!O35+'Balance Sheet'!O37+'Balance Sheet'!O46)</f>
        <v>0.16058803805299671</v>
      </c>
      <c r="S8" s="2" t="s">
        <v>197</v>
      </c>
      <c r="T8" s="2" t="s">
        <v>195</v>
      </c>
      <c r="U8" s="44">
        <f>('Balance Sheet'!R34+'Balance Sheet'!R42)/('Balance Sheet'!R32+'Balance Sheet'!R34+'Balance Sheet'!R42)</f>
        <v>0.5597240556817128</v>
      </c>
      <c r="V8" s="44">
        <f>('Balance Sheet'!S34+'Balance Sheet'!S42)/('Balance Sheet'!S32+'Balance Sheet'!S34+'Balance Sheet'!S42)</f>
        <v>0.52843919250502724</v>
      </c>
      <c r="W8" s="44">
        <f>('Balance Sheet'!T34+'Balance Sheet'!T42)/('Balance Sheet'!T32+'Balance Sheet'!T34+'Balance Sheet'!T42)</f>
        <v>0.52068996493983655</v>
      </c>
      <c r="X8" s="44">
        <f>('Balance Sheet'!U34+'Balance Sheet'!U42)/('Balance Sheet'!U32+'Balance Sheet'!U34+'Balance Sheet'!U42)</f>
        <v>0.67513080298700345</v>
      </c>
      <c r="Y8" s="44">
        <f>('Balance Sheet'!V34+'Balance Sheet'!V42)/('Balance Sheet'!V32+'Balance Sheet'!V34+'Balance Sheet'!V42)</f>
        <v>0.57241010960366412</v>
      </c>
      <c r="Z8" s="44">
        <f>('Balance Sheet'!W34+'Balance Sheet'!W42)/('Balance Sheet'!W32+'Balance Sheet'!W34+'Balance Sheet'!W42)</f>
        <v>0.56500033128306404</v>
      </c>
      <c r="AB8" s="2" t="s">
        <v>197</v>
      </c>
      <c r="AC8" s="2" t="s">
        <v>195</v>
      </c>
      <c r="AD8" s="44">
        <f>('Balance Sheet'!Z40+'Balance Sheet'!Z47)/('Balance Sheet'!Z40+'Balance Sheet'!Z47+'Balance Sheet'!Z37)</f>
        <v>0.56680519269447571</v>
      </c>
      <c r="AE8" s="44">
        <f>('Balance Sheet'!AA40+'Balance Sheet'!AA47)/('Balance Sheet'!AA40+'Balance Sheet'!AA47+'Balance Sheet'!AA37)</f>
        <v>0.49028802835960422</v>
      </c>
      <c r="AF8" s="44">
        <f>('Balance Sheet'!AB40+'Balance Sheet'!AB47)/('Balance Sheet'!AB40+'Balance Sheet'!AB47+'Balance Sheet'!AB37)</f>
        <v>0.47762352047487844</v>
      </c>
      <c r="AG8" s="44">
        <f>('Balance Sheet'!AC40+'Balance Sheet'!AC47)/('Balance Sheet'!AC40+'Balance Sheet'!AC47+'Balance Sheet'!AC37)</f>
        <v>0.49453017825627266</v>
      </c>
      <c r="AH8" s="44">
        <f>('Balance Sheet'!AD40+'Balance Sheet'!AD47)/('Balance Sheet'!AD40+'Balance Sheet'!AD47+'Balance Sheet'!AD37)</f>
        <v>0.39617141644113579</v>
      </c>
      <c r="AI8" s="44">
        <f>('Balance Sheet'!AE40+'Balance Sheet'!AE47)/('Balance Sheet'!AE40+'Balance Sheet'!AE47+'Balance Sheet'!AE37)</f>
        <v>0.42735760911716059</v>
      </c>
      <c r="AK8" s="2" t="s">
        <v>197</v>
      </c>
      <c r="AL8" s="2" t="s">
        <v>195</v>
      </c>
      <c r="AM8" s="44">
        <f>('Balance Sheet'!AH56+'Balance Sheet'!AH64)/('Balance Sheet'!AH64+'Balance Sheet'!AH56+'Balance Sheet'!AH53)</f>
        <v>0.31845667735695088</v>
      </c>
      <c r="AN8" s="44">
        <f>('Balance Sheet'!AI56+'Balance Sheet'!AI64)/('Balance Sheet'!AI64+'Balance Sheet'!AI56+'Balance Sheet'!AI53)</f>
        <v>0.31161902224538823</v>
      </c>
      <c r="AO8" s="44">
        <f>('Balance Sheet'!AJ56+'Balance Sheet'!AJ64)/('Balance Sheet'!AJ64+'Balance Sheet'!AJ56+'Balance Sheet'!AJ53)</f>
        <v>0.27556839798239779</v>
      </c>
      <c r="AP8" s="44">
        <f>('Balance Sheet'!AK56+'Balance Sheet'!AK64)/('Balance Sheet'!AK64+'Balance Sheet'!AK56+'Balance Sheet'!AK53)</f>
        <v>0.30012400944779855</v>
      </c>
      <c r="AQ8" s="44">
        <f>('Balance Sheet'!AL56+'Balance Sheet'!AL64)/('Balance Sheet'!AL64+'Balance Sheet'!AL56+'Balance Sheet'!AL53)</f>
        <v>0.30481845598603252</v>
      </c>
      <c r="AR8" s="44">
        <f>('Balance Sheet'!AM56+'Balance Sheet'!AM64)/('Balance Sheet'!AM64+'Balance Sheet'!AM56+'Balance Sheet'!AM53)</f>
        <v>0.29094072822432498</v>
      </c>
      <c r="AT8" s="2" t="s">
        <v>197</v>
      </c>
      <c r="AU8" s="2" t="s">
        <v>195</v>
      </c>
      <c r="AV8" s="44">
        <f>('Balance Sheet'!AP32+'Balance Sheet'!AP40)/('Balance Sheet'!AP40+'Balance Sheet'!AP32+'Balance Sheet'!AP29)</f>
        <v>0.39394995631401858</v>
      </c>
      <c r="AW8" s="44">
        <f>('Balance Sheet'!AQ32+'Balance Sheet'!AQ40)/('Balance Sheet'!AQ40+'Balance Sheet'!AQ32+'Balance Sheet'!AQ29)</f>
        <v>0.28994377709571362</v>
      </c>
      <c r="AX8" s="44">
        <f>('Balance Sheet'!AR32+'Balance Sheet'!AR40)/('Balance Sheet'!AR40+'Balance Sheet'!AR32+'Balance Sheet'!AR29)</f>
        <v>0.29209716404690056</v>
      </c>
      <c r="AY8" s="44">
        <f>('Balance Sheet'!AS32+'Balance Sheet'!AS40)/('Balance Sheet'!AS40+'Balance Sheet'!AS32+'Balance Sheet'!AS29)</f>
        <v>0.31057378075367276</v>
      </c>
      <c r="AZ8" s="44">
        <f>('Balance Sheet'!AT32+'Balance Sheet'!AT40)/('Balance Sheet'!AT40+'Balance Sheet'!AT32+'Balance Sheet'!AT29)</f>
        <v>0.29136618396832514</v>
      </c>
      <c r="BA8" s="44">
        <f>('Balance Sheet'!AU32+'Balance Sheet'!AU40)/('Balance Sheet'!AU40+'Balance Sheet'!AU32+'Balance Sheet'!AU29)</f>
        <v>0.26797816417306913</v>
      </c>
    </row>
    <row r="9" spans="1:53" x14ac:dyDescent="0.3">
      <c r="A9" s="2" t="s">
        <v>197</v>
      </c>
      <c r="B9" s="2" t="s">
        <v>196</v>
      </c>
      <c r="C9" s="44">
        <f>('Income Statement'!B19+'Income Statement'!B15)/'Income Statement'!B15</f>
        <v>2.719574124829272</v>
      </c>
      <c r="D9" s="44">
        <f>('Income Statement'!C19+'Income Statement'!C15)/'Income Statement'!C15</f>
        <v>13.171903700804032</v>
      </c>
      <c r="E9" s="44">
        <f>('Income Statement'!D19+'Income Statement'!D15)/'Income Statement'!D15</f>
        <v>7.3512343750707316</v>
      </c>
      <c r="F9" s="44">
        <f>('Income Statement'!E19+'Income Statement'!E15)/'Income Statement'!E15</f>
        <v>2.1119795552903016</v>
      </c>
      <c r="G9" s="44">
        <f>('Income Statement'!F19+'Income Statement'!F15)/'Income Statement'!F15</f>
        <v>9.5316217108672454</v>
      </c>
      <c r="H9" s="44">
        <f>('Income Statement'!G19+'Income Statement'!G15)/'Income Statement'!G15</f>
        <v>5.7997377096651954</v>
      </c>
      <c r="J9" s="2" t="s">
        <v>197</v>
      </c>
      <c r="K9" s="2" t="s">
        <v>196</v>
      </c>
      <c r="L9" s="44">
        <f>('Income Statement'!J19+'Income Statement'!J14+'Income Statement'!J15)/'Income Statement'!J14</f>
        <v>34.218424289506046</v>
      </c>
      <c r="M9" s="44">
        <f>('Income Statement'!K19+'Income Statement'!K14+'Income Statement'!K15)/'Income Statement'!K14</f>
        <v>46.655659061750484</v>
      </c>
      <c r="N9" s="44">
        <f>('Income Statement'!L19+'Income Statement'!L14+'Income Statement'!L15)/'Income Statement'!L14</f>
        <v>80.619468589490282</v>
      </c>
      <c r="O9" s="44">
        <f>('Income Statement'!M19+'Income Statement'!M14+'Income Statement'!M15)/'Income Statement'!M14</f>
        <v>24.049129794315018</v>
      </c>
      <c r="P9" s="44">
        <f>('Income Statement'!N19+'Income Statement'!N14+'Income Statement'!N15)/'Income Statement'!N14</f>
        <v>21.279379866518344</v>
      </c>
      <c r="Q9" s="44">
        <f>('Income Statement'!O19+'Income Statement'!O14+'Income Statement'!O15)/'Income Statement'!O14</f>
        <v>22.325779756413883</v>
      </c>
      <c r="S9" s="2" t="s">
        <v>197</v>
      </c>
      <c r="T9" s="2" t="s">
        <v>196</v>
      </c>
      <c r="U9" s="44">
        <f>('Income Statement'!R20+'Income Statement'!R16)/'Income Statement'!R16</f>
        <v>3.4896957457084534</v>
      </c>
      <c r="V9" s="44">
        <f>('Income Statement'!S20+'Income Statement'!S16)/'Income Statement'!S16</f>
        <v>15.594240511585353</v>
      </c>
      <c r="W9" s="44">
        <f>('Income Statement'!T20+'Income Statement'!T16)/'Income Statement'!T16</f>
        <v>8.7062226767737592</v>
      </c>
      <c r="X9" s="44">
        <f>('Income Statement'!U20+'Income Statement'!U16)/'Income Statement'!U16</f>
        <v>-4.7381779210803732</v>
      </c>
      <c r="Y9" s="44">
        <f>('Income Statement'!V20+'Income Statement'!V16)/'Income Statement'!V16</f>
        <v>8.3131025039123543</v>
      </c>
      <c r="Z9" s="44">
        <f>('Income Statement'!W20+'Income Statement'!W16)/'Income Statement'!W16</f>
        <v>3.7097085705456667</v>
      </c>
      <c r="AB9" s="2" t="s">
        <v>197</v>
      </c>
      <c r="AC9" s="2" t="s">
        <v>196</v>
      </c>
      <c r="AD9" s="44">
        <f>('Income Statement'!Z23+'Income Statement'!Z15)/'Income Statement'!Z15</f>
        <v>1.4197673110656328</v>
      </c>
      <c r="AE9" s="44">
        <f>('Income Statement'!AA23+'Income Statement'!AA15)/'Income Statement'!AA15</f>
        <v>9.2343304208273747</v>
      </c>
      <c r="AF9" s="44">
        <f>('Income Statement'!AB23+'Income Statement'!AB15)/'Income Statement'!AB15</f>
        <v>7.0946847468127912</v>
      </c>
      <c r="AG9" s="44">
        <f>('Income Statement'!AC23+'Income Statement'!AC15)/'Income Statement'!AC15</f>
        <v>2.8797007436324331</v>
      </c>
      <c r="AH9" s="44">
        <f>('Income Statement'!AD23+'Income Statement'!AD15)/'Income Statement'!AD15</f>
        <v>8.1229686990857122</v>
      </c>
      <c r="AI9" s="44">
        <f>('Income Statement'!AE23+'Income Statement'!AE15)/'Income Statement'!AE15</f>
        <v>2.453800665735975</v>
      </c>
      <c r="AK9" s="2" t="s">
        <v>197</v>
      </c>
      <c r="AL9" s="2" t="s">
        <v>196</v>
      </c>
      <c r="AM9" s="44">
        <f>('Income Statement'!AH19+'Income Statement'!AH15)/'Income Statement'!AH15</f>
        <v>4.6128393974421638</v>
      </c>
      <c r="AN9" s="44">
        <f>('Income Statement'!AI19+'Income Statement'!AI15)/'Income Statement'!AI15</f>
        <v>6.5466322217761723</v>
      </c>
      <c r="AO9" s="44">
        <f>('Income Statement'!AJ19+'Income Statement'!AJ15)/'Income Statement'!AJ15</f>
        <v>10.608790874647543</v>
      </c>
      <c r="AP9" s="44">
        <f>('Income Statement'!AK19+'Income Statement'!AK15)/'Income Statement'!AK15</f>
        <v>7.4840074398974927</v>
      </c>
      <c r="AQ9" s="44">
        <f>('Income Statement'!AL19+'Income Statement'!AL15)/'Income Statement'!AL15</f>
        <v>6.4467659237915749</v>
      </c>
      <c r="AR9" s="44">
        <f>('Income Statement'!AM19+'Income Statement'!AM15)/'Income Statement'!AM15</f>
        <v>4.5441048391851755</v>
      </c>
      <c r="AT9" s="2" t="s">
        <v>197</v>
      </c>
      <c r="AU9" s="2" t="s">
        <v>196</v>
      </c>
      <c r="AV9" s="44">
        <f>('Income Statement'!AP21+'Income Statement'!AP17)/'Income Statement'!AP17</f>
        <v>4.6812061131763736</v>
      </c>
      <c r="AW9" s="44">
        <f>('Income Statement'!AQ21+'Income Statement'!AQ17)/'Income Statement'!AQ17</f>
        <v>2.413114551847511</v>
      </c>
      <c r="AX9" s="44">
        <f>('Income Statement'!AR21+'Income Statement'!AR17)/'Income Statement'!AR17</f>
        <v>5.9759947385728376</v>
      </c>
      <c r="AY9" s="44">
        <f>('Income Statement'!AS21+'Income Statement'!AS17)/'Income Statement'!AS17</f>
        <v>5.2874227783937906</v>
      </c>
      <c r="AZ9" s="44">
        <f>('Income Statement'!AT21+'Income Statement'!AT17)/'Income Statement'!AT17</f>
        <v>5.1156366344005955</v>
      </c>
      <c r="BA9" s="44">
        <f>('Income Statement'!AU21+'Income Statement'!AU17)/'Income Statement'!AU17</f>
        <v>5.5880246667992841</v>
      </c>
    </row>
    <row r="10" spans="1:53" x14ac:dyDescent="0.3">
      <c r="A10" s="2" t="s">
        <v>203</v>
      </c>
      <c r="B10" s="2" t="s">
        <v>198</v>
      </c>
      <c r="C10" s="43">
        <f>('Income Statement'!B8-(Table7[[#This Row],[2020]]+'Income Statement'!B11+'Income Statement'!B12))/'Income Statement'!B8</f>
        <v>0.22598647459102442</v>
      </c>
      <c r="D10" s="43">
        <f>('Income Statement'!C8-(Table7[[#This Row],[2021]]+'Income Statement'!C11+'Income Statement'!C12))/'Income Statement'!C8</f>
        <v>0.36213309955869094</v>
      </c>
      <c r="E10" s="43">
        <f>('Income Statement'!D8-(Table7[[#This Row],[2022]]+'Income Statement'!D11+'Income Statement'!D12))/'Income Statement'!D8</f>
        <v>0.30248751505107979</v>
      </c>
      <c r="F10" s="43">
        <f>('Income Statement'!E8-(Table7[[#This Row],[2023]]+'Income Statement'!E11+'Income Statement'!E12))/'Income Statement'!E8</f>
        <v>0.19123854287808081</v>
      </c>
      <c r="G10" s="43">
        <f>('Income Statement'!F8-(Table7[[#This Row],[2024]]+'Income Statement'!F11+'Income Statement'!F12))/'Income Statement'!F8</f>
        <v>0.26143791221889057</v>
      </c>
      <c r="H10" s="43">
        <f>('Income Statement'!G8-(Table7[[#This Row],[2025]]+'Income Statement'!G11+'Income Statement'!G12))/'Income Statement'!G8</f>
        <v>0.23430996525849845</v>
      </c>
      <c r="J10" s="2" t="s">
        <v>203</v>
      </c>
      <c r="K10" s="2" t="s">
        <v>198</v>
      </c>
      <c r="L10" s="43">
        <f>('Income Statement'!J8-(Table8[[#This Row],[2020]]+'Income Statement'!J11+'Income Statement'!J12))/'Income Statement'!J8</f>
        <v>0.23277639500052139</v>
      </c>
      <c r="M10" s="43">
        <f>('Income Statement'!K8-(Table8[[#This Row],[2021]]+'Income Statement'!K11+'Income Statement'!K12))/'Income Statement'!K8</f>
        <v>0.25317916133063118</v>
      </c>
      <c r="N10" s="43">
        <f>('Income Statement'!L8-(Table8[[#This Row],[2022]]+'Income Statement'!L11+'Income Statement'!L12))/'Income Statement'!L8</f>
        <v>0.25454428877251328</v>
      </c>
      <c r="O10" s="43">
        <f>('Income Statement'!M8-(Table8[[#This Row],[2023]]+'Income Statement'!M11+'Income Statement'!M12))/'Income Statement'!M8</f>
        <v>0.12480430152815664</v>
      </c>
      <c r="P10" s="43">
        <f>('Income Statement'!N8-(Table8[[#This Row],[2024]]+'Income Statement'!N11+'Income Statement'!N12))/'Income Statement'!N8</f>
        <v>0.19740802268426225</v>
      </c>
      <c r="Q10" s="43">
        <f>('Income Statement'!O8-(Table8[[#This Row],[2025]]+'Income Statement'!O11+'Income Statement'!O12))/'Income Statement'!O8</f>
        <v>0.1937936902066649</v>
      </c>
      <c r="S10" s="2" t="s">
        <v>203</v>
      </c>
      <c r="T10" s="2" t="s">
        <v>198</v>
      </c>
      <c r="U10" s="43">
        <f>('Income Statement'!R9-('Income Statement'!R11+'Income Statement'!R12+'Income Statement'!R13))/'Income Statement'!R9</f>
        <v>0.14731884230477779</v>
      </c>
      <c r="V10" s="43">
        <f>('Income Statement'!S9-('Income Statement'!S11+'Income Statement'!S12+'Income Statement'!S13))/'Income Statement'!S9</f>
        <v>0.26596237655948901</v>
      </c>
      <c r="W10" s="43">
        <f>('Income Statement'!T9-('Income Statement'!T11+'Income Statement'!T12+'Income Statement'!T13))/'Income Statement'!T9</f>
        <v>0.14455620796901134</v>
      </c>
      <c r="X10" s="43">
        <f>('Income Statement'!U9-('Income Statement'!U11+'Income Statement'!U12+'Income Statement'!U13))/'Income Statement'!U9</f>
        <v>8.709049139024462E-2</v>
      </c>
      <c r="Y10" s="43">
        <f>('Income Statement'!V9-('Income Statement'!V11+'Income Statement'!V12+'Income Statement'!V13))/'Income Statement'!V9</f>
        <v>0.16455432333731584</v>
      </c>
      <c r="Z10" s="43">
        <f>('Income Statement'!W9-('Income Statement'!W11+'Income Statement'!W12+'Income Statement'!W13))/'Income Statement'!W9</f>
        <v>0.15765966762805511</v>
      </c>
      <c r="AB10" s="2" t="s">
        <v>203</v>
      </c>
      <c r="AC10" s="2" t="s">
        <v>198</v>
      </c>
      <c r="AD10" s="43">
        <f>('Income Statement'!Z8-(Table10[[#This Row],[2020]]+'Income Statement'!Z12+'Income Statement'!Z13))/'Income Statement'!Z8</f>
        <v>0.282730114963056</v>
      </c>
      <c r="AE10" s="43">
        <f>('Income Statement'!AA8-(Table10[[#This Row],[2021]]+'Income Statement'!AA12+'Income Statement'!AA13))/'Income Statement'!AA8</f>
        <v>0.4740504946400706</v>
      </c>
      <c r="AF10" s="43">
        <f>('Income Statement'!AB8-(Table10[[#This Row],[2022]]+'Income Statement'!AB12+'Income Statement'!AB13))/'Income Statement'!AB8</f>
        <v>0.34178926227660811</v>
      </c>
      <c r="AG10" s="43">
        <f>('Income Statement'!AC8-(Table10[[#This Row],[2023]]+'Income Statement'!AC12+'Income Statement'!AC13))/'Income Statement'!AC8</f>
        <v>0.21763493276945955</v>
      </c>
      <c r="AH10" s="43">
        <f>('Income Statement'!AD8-(Table10[[#This Row],[2024]]+'Income Statement'!AD12+'Income Statement'!AD13))/'Income Statement'!AD8</f>
        <v>0.2782594305305609</v>
      </c>
      <c r="AI10" s="43">
        <f>('Income Statement'!AE8-(Table10[[#This Row],[2025]]+'Income Statement'!AE12+'Income Statement'!AE13))/'Income Statement'!AE8</f>
        <v>0.23884179202200043</v>
      </c>
      <c r="AK10" s="2" t="s">
        <v>203</v>
      </c>
      <c r="AL10" s="2" t="s">
        <v>198</v>
      </c>
      <c r="AM10" s="43">
        <f>('Income Statement'!AH8-(Table11[[#This Row],[2020]]+'Income Statement'!AH11))/'Income Statement'!AH8</f>
        <v>0.59185151436142258</v>
      </c>
      <c r="AN10" s="43">
        <f>('Income Statement'!AI8-(Table11[[#This Row],[2021]]+'Income Statement'!AI11))/'Income Statement'!AI8</f>
        <v>0.63599115900163217</v>
      </c>
      <c r="AO10" s="43">
        <f>('Income Statement'!AJ8-(Table11[[#This Row],[2022]]+'Income Statement'!AJ11))/'Income Statement'!AJ8</f>
        <v>0.58586547954236612</v>
      </c>
      <c r="AP10" s="43">
        <f>('Income Statement'!AK8-(Table11[[#This Row],[2023]]+'Income Statement'!AK11))/'Income Statement'!AK8</f>
        <v>0.61223142993157298</v>
      </c>
      <c r="AQ10" s="43">
        <f>('Income Statement'!AL8-(Table11[[#This Row],[2024]]+'Income Statement'!AL11))/'Income Statement'!AL8</f>
        <v>0.65472516105996603</v>
      </c>
      <c r="AR10" s="43">
        <f>('Income Statement'!AM8-(Table11[[#This Row],[2025]]+'Income Statement'!AM11))/'Income Statement'!AM8</f>
        <v>0.67129503851297034</v>
      </c>
      <c r="AT10" s="2" t="s">
        <v>203</v>
      </c>
      <c r="AU10" s="2" t="s">
        <v>198</v>
      </c>
      <c r="AV10" s="43">
        <f>(Table12[[#This Row],[2020]]-('Income Statement'!AP12+'Income Statement'!AP13+'Income Statement'!AP14))/Table12[[#This Row],[2020]]</f>
        <v>0.33033131648153774</v>
      </c>
      <c r="AW10" s="43">
        <f>(Table12[[#This Row],[2021]]-('Income Statement'!AQ12+'Income Statement'!AQ13+'Income Statement'!AQ14))/Table12[[#This Row],[2021]]</f>
        <v>0.37055668894946892</v>
      </c>
      <c r="AX10" s="43">
        <f>(Table12[[#This Row],[2022]]-('Income Statement'!AR12+'Income Statement'!AR13+'Income Statement'!AR14))/Table12[[#This Row],[2022]]</f>
        <v>0.29324127748242829</v>
      </c>
      <c r="AY10" s="43">
        <f>(Table12[[#This Row],[2023]]-('Income Statement'!AS12+'Income Statement'!AS13+'Income Statement'!AS14))/Table12[[#This Row],[2023]]</f>
        <v>0.28574915916241728</v>
      </c>
      <c r="AZ10" s="43">
        <f>(Table12[[#This Row],[2024]]-('Income Statement'!AT12+'Income Statement'!AT13+'Income Statement'!AT14))/Table12[[#This Row],[2024]]</f>
        <v>0.2990679736461514</v>
      </c>
      <c r="BA10" s="43">
        <f>(Table12[[#This Row],[2025]]-('Income Statement'!AU12+'Income Statement'!AU13+'Income Statement'!AU14))/Table12[[#This Row],[2025]]</f>
        <v>0.29091651089661608</v>
      </c>
    </row>
    <row r="11" spans="1:53" x14ac:dyDescent="0.3">
      <c r="A11" s="2" t="s">
        <v>203</v>
      </c>
      <c r="B11" s="2" t="s">
        <v>199</v>
      </c>
      <c r="C11" s="43">
        <f>('Income Statement'!B19+'Income Statement'!B15+'Income Statement'!B16)/'Income Statement'!B8</f>
        <v>2.9397443172272924E-2</v>
      </c>
      <c r="D11" s="43">
        <f>('Income Statement'!C19+'Income Statement'!C15+'Income Statement'!C16)/'Income Statement'!C8</f>
        <v>7.0132000833547301E-2</v>
      </c>
      <c r="E11" s="43">
        <f>('Income Statement'!D19+'Income Statement'!D15+'Income Statement'!D16)/'Income Statement'!D8</f>
        <v>4.9776550766915464E-2</v>
      </c>
      <c r="F11" s="43">
        <f>('Income Statement'!E19+'Income Statement'!E15+'Income Statement'!E16)/'Income Statement'!E8</f>
        <v>2.453203065560149E-2</v>
      </c>
      <c r="G11" s="43">
        <f>('Income Statement'!F19+'Income Statement'!F15+'Income Statement'!F16)/'Income Statement'!F8</f>
        <v>9.0955271391266482E-2</v>
      </c>
      <c r="H11" s="43">
        <f>('Income Statement'!G19+'Income Statement'!G15+'Income Statement'!G16)/'Income Statement'!G8</f>
        <v>5.5814740078640297E-2</v>
      </c>
      <c r="J11" s="2" t="s">
        <v>203</v>
      </c>
      <c r="K11" s="2" t="s">
        <v>199</v>
      </c>
      <c r="L11" s="43">
        <f>('Income Statement'!J19+'Income Statement'!J14+'Income Statement'!J15)/'Income Statement'!J8</f>
        <v>0.14263730816242459</v>
      </c>
      <c r="M11" s="43">
        <f>('Income Statement'!K19+'Income Statement'!K14+'Income Statement'!K15)/'Income Statement'!K8</f>
        <v>0.14285533727104027</v>
      </c>
      <c r="N11" s="43">
        <f>('Income Statement'!L19+'Income Statement'!L14+'Income Statement'!L15)/'Income Statement'!L8</f>
        <v>0.17357269687079951</v>
      </c>
      <c r="O11" s="43">
        <f>('Income Statement'!M19+'Income Statement'!M14+'Income Statement'!M15)/'Income Statement'!M8</f>
        <v>5.9889404803554251E-2</v>
      </c>
      <c r="P11" s="43">
        <f>('Income Statement'!N19+'Income Statement'!N14+'Income Statement'!N15)/'Income Statement'!N8</f>
        <v>0.11377913548962189</v>
      </c>
      <c r="Q11" s="43">
        <f>('Income Statement'!O19+'Income Statement'!O14+'Income Statement'!O15)/'Income Statement'!O8</f>
        <v>0.11632466804951229</v>
      </c>
      <c r="S11" s="2" t="s">
        <v>203</v>
      </c>
      <c r="T11" s="2" t="s">
        <v>199</v>
      </c>
      <c r="U11" s="43">
        <f>('Income Statement'!R20+'Income Statement'!R16+'Income Statement'!R17)/'Income Statement'!R9</f>
        <v>2.5374946009080978E-2</v>
      </c>
      <c r="V11" s="43">
        <f>('Income Statement'!S20+'Income Statement'!S16+'Income Statement'!S17)/'Income Statement'!S9</f>
        <v>6.8248937337295354E-2</v>
      </c>
      <c r="W11" s="43">
        <f>('Income Statement'!T20+'Income Statement'!T16+'Income Statement'!T17)/'Income Statement'!T9</f>
        <v>3.3681354746105424E-2</v>
      </c>
      <c r="X11" s="43">
        <f>('Income Statement'!U20+'Income Statement'!U16+'Income Statement'!U17)/'Income Statement'!U9</f>
        <v>-1.226838735552014E-2</v>
      </c>
      <c r="Y11" s="43">
        <f>('Income Statement'!V20+'Income Statement'!V16+'Income Statement'!V17)/'Income Statement'!V9</f>
        <v>5.7869207888281489E-2</v>
      </c>
      <c r="Z11" s="43">
        <f>('Income Statement'!W20+'Income Statement'!W16+'Income Statement'!W17)/'Income Statement'!W9</f>
        <v>3.9758087861021751E-2</v>
      </c>
      <c r="AB11" s="2" t="s">
        <v>203</v>
      </c>
      <c r="AC11" s="2" t="s">
        <v>199</v>
      </c>
      <c r="AD11" s="43">
        <f>('Income Statement'!Z23+'Income Statement'!Z15+'Income Statement'!Z17+'Income Statement'!Z18)/'Income Statement'!Z8</f>
        <v>3.3888930625389189E-2</v>
      </c>
      <c r="AE11" s="43">
        <f>('Income Statement'!AA23+'Income Statement'!AA15+'Income Statement'!AA17+'Income Statement'!AA18)/'Income Statement'!AA8</f>
        <v>8.4173205611571128E-2</v>
      </c>
      <c r="AF11" s="43">
        <f>('Income Statement'!AB23+'Income Statement'!AB15+'Income Statement'!AB17+'Income Statement'!AB18)/'Income Statement'!AB8</f>
        <v>6.869830062205165E-2</v>
      </c>
      <c r="AG11" s="43">
        <f>('Income Statement'!AC23+'Income Statement'!AC15+'Income Statement'!AC17+'Income Statement'!AC18)/'Income Statement'!AC8</f>
        <v>3.6519031437192713E-2</v>
      </c>
      <c r="AH11" s="43">
        <f>('Income Statement'!AD23+'Income Statement'!AD15+'Income Statement'!AD17+'Income Statement'!AD18)/'Income Statement'!AD8</f>
        <v>8.9747997458427348E-2</v>
      </c>
      <c r="AI11" s="43">
        <f>('Income Statement'!AE23+'Income Statement'!AE15+'Income Statement'!AE17+'Income Statement'!AE18)/'Income Statement'!AE8</f>
        <v>4.5782069428571506E-2</v>
      </c>
      <c r="AK11" s="2" t="s">
        <v>203</v>
      </c>
      <c r="AL11" s="2" t="s">
        <v>199</v>
      </c>
      <c r="AM11" s="43">
        <f>('Income Statement'!AH19+'Income Statement'!AH15+'Income Statement'!AH16)/'Income Statement'!AH8</f>
        <v>0.14095997430382268</v>
      </c>
      <c r="AN11" s="43">
        <f>('Income Statement'!AI19+'Income Statement'!AI15+'Income Statement'!AI16)/'Income Statement'!AI8</f>
        <v>0.15893420216723</v>
      </c>
      <c r="AO11" s="43">
        <f>('Income Statement'!AJ19+'Income Statement'!AJ15+'Income Statement'!AJ16)/'Income Statement'!AJ8</f>
        <v>0.16191838829516705</v>
      </c>
      <c r="AP11" s="43">
        <f>('Income Statement'!AK19+'Income Statement'!AK15+'Income Statement'!AK16)/'Income Statement'!AK8</f>
        <v>0.12065327678196956</v>
      </c>
      <c r="AQ11" s="43">
        <f>('Income Statement'!AL19+'Income Statement'!AL15+'Income Statement'!AL16)/'Income Statement'!AL8</f>
        <v>0.1719986084877268</v>
      </c>
      <c r="AR11" s="43">
        <f>('Income Statement'!AM19+'Income Statement'!AM15+'Income Statement'!AM16)/'Income Statement'!AM8</f>
        <v>0.14986073613452136</v>
      </c>
      <c r="AT11" s="2" t="s">
        <v>203</v>
      </c>
      <c r="AU11" s="2" t="s">
        <v>199</v>
      </c>
      <c r="AV11" s="43">
        <f>('Income Statement'!AP21+'Income Statement'!AP17+'Income Statement'!AP18)/'Income Statement'!AP10</f>
        <v>0.18169180205844765</v>
      </c>
      <c r="AW11" s="43">
        <f>('Income Statement'!AQ21+'Income Statement'!AQ17+'Income Statement'!AQ18)/'Income Statement'!AQ10</f>
        <v>0.1726339558464666</v>
      </c>
      <c r="AX11" s="43">
        <f>('Income Statement'!AR21+'Income Statement'!AR17+'Income Statement'!AR18)/'Income Statement'!AR10</f>
        <v>0.14149764763955811</v>
      </c>
      <c r="AY11" s="43">
        <f>('Income Statement'!AS21+'Income Statement'!AS17+'Income Statement'!AS18)/'Income Statement'!AS10</f>
        <v>0.1390130555856931</v>
      </c>
      <c r="AZ11" s="43">
        <f>('Income Statement'!AT21+'Income Statement'!AT17+'Income Statement'!AT18)/'Income Statement'!AT10</f>
        <v>0.15425393254414627</v>
      </c>
      <c r="BA11" s="43">
        <f>('Income Statement'!AU21+'Income Statement'!AU17+'Income Statement'!AU18)/'Income Statement'!AU10</f>
        <v>0.13511548846208501</v>
      </c>
    </row>
    <row r="12" spans="1:53" x14ac:dyDescent="0.3">
      <c r="A12" s="2" t="s">
        <v>203</v>
      </c>
      <c r="B12" s="2" t="s">
        <v>213</v>
      </c>
      <c r="C12" s="43">
        <f>'Income Statement'!B27/'Income Statement'!B8</f>
        <v>8.1145981990254617E-3</v>
      </c>
      <c r="D12" s="43">
        <f>'Income Statement'!C27/'Income Statement'!C8</f>
        <v>6.2185119511179138E-2</v>
      </c>
      <c r="E12" s="43">
        <f>'Income Statement'!D27/'Income Statement'!D8</f>
        <v>2.6119530950610356E-2</v>
      </c>
      <c r="F12" s="43">
        <f>'Income Statement'!E27/'Income Statement'!E8</f>
        <v>3.4912622485882313E-3</v>
      </c>
      <c r="G12" s="43">
        <f>'Income Statement'!F27/'Income Statement'!F8</f>
        <v>4.9611103944479984E-2</v>
      </c>
      <c r="H12" s="43">
        <f>'Income Statement'!G27/'Income Statement'!G8</f>
        <v>2.2750079391544734E-2</v>
      </c>
      <c r="J12" s="2" t="s">
        <v>203</v>
      </c>
      <c r="K12" s="2" t="s">
        <v>200</v>
      </c>
      <c r="L12" s="43">
        <f>'Income Statement'!J27/'Income Statement'!J8</f>
        <v>0.12837821883627318</v>
      </c>
      <c r="M12" s="43">
        <f>'Income Statement'!K27/'Income Statement'!K8</f>
        <v>0.10491855806284248</v>
      </c>
      <c r="N12" s="43">
        <f>'Income Statement'!L27/'Income Statement'!L8</f>
        <v>0.13082556240787088</v>
      </c>
      <c r="O12" s="43">
        <f>'Income Statement'!M27/'Income Statement'!M8</f>
        <v>3.8010984793160479E-2</v>
      </c>
      <c r="P12" s="43">
        <f>'Income Statement'!N27/'Income Statement'!N8</f>
        <v>7.3622816894392692E-2</v>
      </c>
      <c r="Q12" s="43">
        <f>'Income Statement'!O27/'Income Statement'!O8</f>
        <v>8.6813538623058822E-2</v>
      </c>
      <c r="S12" s="2" t="s">
        <v>203</v>
      </c>
      <c r="T12" s="2" t="s">
        <v>200</v>
      </c>
      <c r="U12" s="43">
        <f>'Income Statement'!R30/'Income Statement'!R9</f>
        <v>7.3100793725684966E-3</v>
      </c>
      <c r="V12" s="43">
        <f>'Income Statement'!S30/'Income Statement'!S9</f>
        <v>3.9026513597803812E-2</v>
      </c>
      <c r="W12" s="43">
        <f>'Income Statement'!T30/'Income Statement'!T9</f>
        <v>2.919279124337093E-2</v>
      </c>
      <c r="X12" s="43">
        <f>'Income Statement'!U30/'Income Statement'!U9</f>
        <v>-1.4916152190341377E-2</v>
      </c>
      <c r="Y12" s="43">
        <f>'Income Statement'!V30/'Income Statement'!V9</f>
        <v>3.4522721613030466E-2</v>
      </c>
      <c r="Z12" s="43">
        <f>'Income Statement'!W30/'Income Statement'!W9</f>
        <v>1.4367607383717781E-2</v>
      </c>
      <c r="AB12" s="2" t="s">
        <v>203</v>
      </c>
      <c r="AC12" s="2" t="s">
        <v>200</v>
      </c>
      <c r="AD12" s="43">
        <f>'Income Statement'!Z32/'Income Statement'!Z8</f>
        <v>-3.2419469844773129E-3</v>
      </c>
      <c r="AE12" s="43">
        <f>'Income Statement'!AA32/'Income Statement'!AA8</f>
        <v>4.1551858589620877E-2</v>
      </c>
      <c r="AF12" s="43">
        <f>'Income Statement'!AB32/'Income Statement'!AB8</f>
        <v>3.4774460456267066E-2</v>
      </c>
      <c r="AG12" s="43">
        <f>'Income Statement'!AC32/'Income Statement'!AC8</f>
        <v>1.2247960949210835E-2</v>
      </c>
      <c r="AH12" s="43">
        <f>'Income Statement'!AD32/'Income Statement'!AD8</f>
        <v>4.8765582891763033E-2</v>
      </c>
      <c r="AI12" s="43">
        <f>'Income Statement'!AE32/'Income Statement'!AE8</f>
        <v>1.5980074366613271E-2</v>
      </c>
      <c r="AK12" s="2" t="s">
        <v>203</v>
      </c>
      <c r="AL12" s="2" t="s">
        <v>200</v>
      </c>
      <c r="AM12" s="43">
        <f>'Income Statement'!AH29/'Income Statement'!AH8</f>
        <v>2.6394593191666524E-2</v>
      </c>
      <c r="AN12" s="43">
        <f>'Income Statement'!AI29/'Income Statement'!AI8</f>
        <v>5.7701312578618817E-2</v>
      </c>
      <c r="AO12" s="43">
        <f>'Income Statement'!AJ29/'Income Statement'!AJ8</f>
        <v>9.1415600293195745E-2</v>
      </c>
      <c r="AP12" s="43">
        <f>'Income Statement'!AK29/'Income Statement'!AK8</f>
        <v>4.73047319273638E-2</v>
      </c>
      <c r="AQ12" s="43">
        <f>'Income Statement'!AL29/'Income Statement'!AL8</f>
        <v>8.3092344311335456E-2</v>
      </c>
      <c r="AR12" s="43">
        <f>'Income Statement'!AM29/'Income Statement'!AM8</f>
        <v>5.6728004542513609E-2</v>
      </c>
      <c r="AT12" s="2" t="s">
        <v>203</v>
      </c>
      <c r="AU12" s="2" t="s">
        <v>200</v>
      </c>
      <c r="AV12" s="43">
        <f>'Income Statement'!AP28/'Income Statement'!AP10</f>
        <v>8.4568210365578336E-2</v>
      </c>
      <c r="AW12" s="43">
        <f>'Income Statement'!AQ28/'Income Statement'!AQ10</f>
        <v>0.11413177460903864</v>
      </c>
      <c r="AX12" s="43">
        <f>'Income Statement'!AR28/'Income Statement'!AR10</f>
        <v>8.2861186707962206E-2</v>
      </c>
      <c r="AY12" s="43">
        <f>'Income Statement'!AS28/'Income Statement'!AS10</f>
        <v>7.778561354019746E-2</v>
      </c>
      <c r="AZ12" s="43">
        <f>'Income Statement'!AT28/'Income Statement'!AT10</f>
        <v>7.5065616797900261E-2</v>
      </c>
      <c r="BA12" s="43">
        <f>'Income Statement'!AU28/'Income Statement'!AU10</f>
        <v>6.4242848241711392E-2</v>
      </c>
    </row>
    <row r="13" spans="1:53" x14ac:dyDescent="0.3">
      <c r="A13" s="2" t="s">
        <v>203</v>
      </c>
      <c r="B13" s="2" t="s">
        <v>201</v>
      </c>
      <c r="C13" s="43">
        <f>'Income Statement'!B27/'Balance Sheet'!B32</f>
        <v>2.1216190721234533E-2</v>
      </c>
      <c r="D13" s="43">
        <f>'Income Statement'!C27/'Balance Sheet'!C32</f>
        <v>0.11828479723297508</v>
      </c>
      <c r="E13" s="43">
        <f>'Income Statement'!D27/'Balance Sheet'!D32</f>
        <v>6.0595280837917834E-2</v>
      </c>
      <c r="F13" s="43">
        <f>'Income Statement'!E27/'Balance Sheet'!E32</f>
        <v>9.9400392552095578E-3</v>
      </c>
      <c r="G13" s="43">
        <f>'Income Statement'!F27/'Balance Sheet'!F32</f>
        <v>0.12480787875569217</v>
      </c>
      <c r="H13" s="43">
        <f>'Income Statement'!G27/'Balance Sheet'!G32</f>
        <v>5.2421346389829593E-2</v>
      </c>
      <c r="J13" s="2" t="s">
        <v>203</v>
      </c>
      <c r="K13" s="2" t="s">
        <v>201</v>
      </c>
      <c r="L13" s="43">
        <f>'Income Statement'!J27/'Balance Sheet'!J29</f>
        <v>0.12700719676835542</v>
      </c>
      <c r="M13" s="43">
        <f>'Income Statement'!K27/'Balance Sheet'!K29</f>
        <v>7.547856508131244E-2</v>
      </c>
      <c r="N13" s="43">
        <f>'Income Statement'!L27/'Balance Sheet'!L29</f>
        <v>0.12742032365569791</v>
      </c>
      <c r="O13" s="43">
        <f>'Income Statement'!M27/'Balance Sheet'!M29</f>
        <v>5.1914186902577666E-2</v>
      </c>
      <c r="P13" s="43">
        <f>'Income Statement'!N27/'Balance Sheet'!N29</f>
        <v>7.9402100255113031E-2</v>
      </c>
      <c r="Q13" s="43">
        <f>'Income Statement'!O27/'Balance Sheet'!O29</f>
        <v>9.3601118088020963E-2</v>
      </c>
      <c r="S13" s="2" t="s">
        <v>203</v>
      </c>
      <c r="T13" s="2" t="s">
        <v>201</v>
      </c>
      <c r="U13" s="43">
        <f>'Income Statement'!R30/'Balance Sheet'!R27</f>
        <v>1.8096929181954342E-2</v>
      </c>
      <c r="V13" s="43">
        <f>'Income Statement'!S30/'Balance Sheet'!S27</f>
        <v>7.9479077585960317E-2</v>
      </c>
      <c r="W13" s="43">
        <f>'Income Statement'!T30/'Balance Sheet'!T27</f>
        <v>7.1092873607164972E-2</v>
      </c>
      <c r="X13" s="43">
        <f>'Income Statement'!U30/'Balance Sheet'!U27</f>
        <v>-4.3264232053264885E-2</v>
      </c>
      <c r="Y13" s="43">
        <f>'Income Statement'!V30/'Balance Sheet'!V27</f>
        <v>8.7622437077049919E-2</v>
      </c>
      <c r="Z13" s="43">
        <f>'Income Statement'!W30/'Balance Sheet'!W27</f>
        <v>3.4587344740271309E-2</v>
      </c>
      <c r="AB13" s="2" t="s">
        <v>203</v>
      </c>
      <c r="AC13" s="2" t="s">
        <v>201</v>
      </c>
      <c r="AD13" s="43">
        <f>'Income Statement'!Z32/'Balance Sheet'!Z31</f>
        <v>-5.6903561546342209E-3</v>
      </c>
      <c r="AE13" s="43">
        <f>'Income Statement'!AA32/'Balance Sheet'!AA31</f>
        <v>6.1316550691780582E-2</v>
      </c>
      <c r="AF13" s="43">
        <f>'Income Statement'!AB32/'Balance Sheet'!AB31</f>
        <v>6.2652321212415499E-2</v>
      </c>
      <c r="AG13" s="43">
        <f>'Income Statement'!AC32/'Balance Sheet'!AC31</f>
        <v>2.6494487111829546E-2</v>
      </c>
      <c r="AH13" s="43">
        <f>'Income Statement'!AD32/'Balance Sheet'!AD31</f>
        <v>8.9478752472209891E-2</v>
      </c>
      <c r="AI13" s="43">
        <f>'Income Statement'!AE32/'Balance Sheet'!AE31</f>
        <v>2.7204037034958189E-2</v>
      </c>
      <c r="AK13" s="2" t="s">
        <v>203</v>
      </c>
      <c r="AL13" s="2" t="s">
        <v>201</v>
      </c>
      <c r="AM13" s="43">
        <f>'Income Statement'!AH29/'Balance Sheet'!AH47</f>
        <v>2.2699460896346217E-2</v>
      </c>
      <c r="AN13" s="43">
        <f>'Income Statement'!AI29/'Balance Sheet'!AI47</f>
        <v>3.9683115110199452E-2</v>
      </c>
      <c r="AO13" s="43">
        <f>'Income Statement'!AJ29/'Balance Sheet'!AJ47</f>
        <v>8.4987003972168088E-2</v>
      </c>
      <c r="AP13" s="43">
        <f>'Income Statement'!AK29/'Balance Sheet'!AK47</f>
        <v>5.3790229417961737E-2</v>
      </c>
      <c r="AQ13" s="43">
        <f>'Income Statement'!AL29/'Balance Sheet'!AL47</f>
        <v>7.503633876023004E-2</v>
      </c>
      <c r="AR13" s="43">
        <f>'Income Statement'!AM29/'Balance Sheet'!AM47</f>
        <v>5.0734142920603062E-2</v>
      </c>
      <c r="AT13" s="2" t="s">
        <v>203</v>
      </c>
      <c r="AU13" s="2" t="s">
        <v>201</v>
      </c>
      <c r="AV13" s="43">
        <f>'Income Statement'!AP28/'Balance Sheet'!AP24</f>
        <v>3.1803058354490432E-2</v>
      </c>
      <c r="AW13" s="43">
        <f>'Income Statement'!AQ28/'Balance Sheet'!AQ24</f>
        <v>3.6562878788745902E-2</v>
      </c>
      <c r="AX13" s="43">
        <f>'Income Statement'!AR28/'Balance Sheet'!AR24</f>
        <v>4.4269277445855112E-2</v>
      </c>
      <c r="AY13" s="43">
        <f>'Income Statement'!AS28/'Balance Sheet'!AS24</f>
        <v>5.1594355169510428E-2</v>
      </c>
      <c r="AZ13" s="43">
        <f>'Income Statement'!AT28/'Balance Sheet'!AT24</f>
        <v>4.3810041859316431E-2</v>
      </c>
      <c r="BA13" s="43">
        <f>'Income Statement'!AU28/'Balance Sheet'!AU24</f>
        <v>3.4489402885951793E-2</v>
      </c>
    </row>
    <row r="14" spans="1:53" x14ac:dyDescent="0.3">
      <c r="A14" s="2" t="s">
        <v>203</v>
      </c>
      <c r="B14" s="2" t="s">
        <v>202</v>
      </c>
      <c r="C14" s="43">
        <f>'Income Statement'!B27/'Balance Sheet'!B37</f>
        <v>8.0783985731481239E-2</v>
      </c>
      <c r="D14" s="43">
        <f>'Income Statement'!C27/'Balance Sheet'!C37</f>
        <v>0.35555301196450534</v>
      </c>
      <c r="E14" s="43">
        <f>'Income Statement'!D27/'Balance Sheet'!D37</f>
        <v>0.21892330734128568</v>
      </c>
      <c r="F14" s="43">
        <f>'Income Statement'!E27/'Balance Sheet'!E37</f>
        <v>3.4940537001734398E-2</v>
      </c>
      <c r="G14" s="43">
        <f>'Income Statement'!F27/'Balance Sheet'!F37</f>
        <v>0.33401590874925691</v>
      </c>
      <c r="H14" s="43">
        <f>'Income Statement'!G27/'Balance Sheet'!G37</f>
        <v>0.14066498017794107</v>
      </c>
      <c r="J14" s="2" t="s">
        <v>203</v>
      </c>
      <c r="K14" s="2" t="s">
        <v>202</v>
      </c>
      <c r="L14" s="43">
        <f>'Income Statement'!J27/'Balance Sheet'!J35</f>
        <v>0.19277852485518771</v>
      </c>
      <c r="M14" s="43">
        <f>'Income Statement'!K27/'Balance Sheet'!K35</f>
        <v>0.11529353603418048</v>
      </c>
      <c r="N14" s="43">
        <f>'Income Statement'!L27/'Balance Sheet'!L35</f>
        <v>0.19133103161069051</v>
      </c>
      <c r="O14" s="43">
        <f>'Income Statement'!M27/'Balance Sheet'!M35</f>
        <v>8.594086225470754E-2</v>
      </c>
      <c r="P14" s="43">
        <f>'Income Statement'!N27/'Balance Sheet'!N35</f>
        <v>0.1282817532253705</v>
      </c>
      <c r="Q14" s="43">
        <f>'Income Statement'!O27/'Balance Sheet'!O35</f>
        <v>0.14620835077418642</v>
      </c>
      <c r="S14" s="2" t="s">
        <v>203</v>
      </c>
      <c r="T14" s="2" t="s">
        <v>202</v>
      </c>
      <c r="U14" s="43">
        <f>'Income Statement'!R30/'Balance Sheet'!R32</f>
        <v>6.82914028189259E-2</v>
      </c>
      <c r="V14" s="43">
        <f>'Income Statement'!S30/'Balance Sheet'!S32</f>
        <v>0.28000654396985619</v>
      </c>
      <c r="W14" s="43">
        <f>'Income Statement'!T30/'Balance Sheet'!T32</f>
        <v>0.26550464312687055</v>
      </c>
      <c r="X14" s="43">
        <f>'Income Statement'!U30/'Balance Sheet'!U32</f>
        <v>-0.21635221724270512</v>
      </c>
      <c r="Y14" s="43">
        <f>'Income Statement'!V30/'Balance Sheet'!V32</f>
        <v>0.34130752844920226</v>
      </c>
      <c r="Z14" s="43">
        <f>'Income Statement'!W30/'Balance Sheet'!W32</f>
        <v>0.13169994147929379</v>
      </c>
      <c r="AB14" s="2" t="s">
        <v>203</v>
      </c>
      <c r="AC14" s="2" t="s">
        <v>202</v>
      </c>
      <c r="AD14" s="43">
        <f>'Income Statement'!Z32/'Balance Sheet'!Z37</f>
        <v>-1.9489337639646245E-2</v>
      </c>
      <c r="AE14" s="43">
        <f>'Income Statement'!AA32/'Balance Sheet'!AA37</f>
        <v>0.19290355743999432</v>
      </c>
      <c r="AF14" s="43">
        <f>'Income Statement'!AB32/'Balance Sheet'!AB37</f>
        <v>0.19038879451240698</v>
      </c>
      <c r="AG14" s="43">
        <f>'Income Statement'!AC32/'Balance Sheet'!AC37</f>
        <v>8.172547525617814E-2</v>
      </c>
      <c r="AH14" s="43">
        <f>'Income Statement'!AD32/'Balance Sheet'!AD37</f>
        <v>0.22938173066774403</v>
      </c>
      <c r="AI14" s="43">
        <f>'Income Statement'!AE32/'Balance Sheet'!AE37</f>
        <v>7.2183507616241802E-2</v>
      </c>
      <c r="AK14" s="2" t="s">
        <v>203</v>
      </c>
      <c r="AL14" s="2" t="s">
        <v>202</v>
      </c>
      <c r="AM14" s="43">
        <f>'Income Statement'!AH29/'Balance Sheet'!AH53</f>
        <v>5.1255969243678069E-2</v>
      </c>
      <c r="AN14" s="43">
        <f>'Income Statement'!AI29/'Balance Sheet'!AI53</f>
        <v>8.7979095584728217E-2</v>
      </c>
      <c r="AO14" s="43">
        <f>'Income Statement'!AJ29/'Balance Sheet'!AJ53</f>
        <v>0.17398239607534802</v>
      </c>
      <c r="AP14" s="43">
        <f>'Income Statement'!AK29/'Balance Sheet'!AK53</f>
        <v>0.10880350929238386</v>
      </c>
      <c r="AQ14" s="43">
        <f>'Income Statement'!AL29/'Balance Sheet'!AL53</f>
        <v>0.15369694447805532</v>
      </c>
      <c r="AR14" s="43">
        <f>'Income Statement'!AM29/'Balance Sheet'!AM53</f>
        <v>0.10241852851024678</v>
      </c>
      <c r="AT14" s="2" t="s">
        <v>203</v>
      </c>
      <c r="AU14" s="2" t="s">
        <v>202</v>
      </c>
      <c r="AV14" s="43">
        <f>'Income Statement'!AP28/'Balance Sheet'!AP29</f>
        <v>7.899236992446608E-2</v>
      </c>
      <c r="AW14" s="43">
        <f>'Income Statement'!AQ28/'Balance Sheet'!AQ29</f>
        <v>6.7323802960274653E-2</v>
      </c>
      <c r="AX14" s="43">
        <f>'Income Statement'!AR28/'Balance Sheet'!AR29</f>
        <v>8.0455626082917842E-2</v>
      </c>
      <c r="AY14" s="43">
        <f>'Income Statement'!AS28/'Balance Sheet'!AS29</f>
        <v>8.9788225275206954E-2</v>
      </c>
      <c r="AZ14" s="43">
        <f>'Income Statement'!AT28/'Balance Sheet'!AT29</f>
        <v>8.1619736903412177E-2</v>
      </c>
      <c r="BA14" s="43">
        <f>'Income Statement'!AU28/'Balance Sheet'!AU29</f>
        <v>6.4928823558656354E-2</v>
      </c>
    </row>
    <row r="15" spans="1:53" x14ac:dyDescent="0.3">
      <c r="A15" s="2" t="s">
        <v>204</v>
      </c>
      <c r="B15" s="2" t="s">
        <v>205</v>
      </c>
      <c r="C15" s="44">
        <f>'Income Statement'!B8/'Balance Sheet'!B32</f>
        <v>2.6145707034246661</v>
      </c>
      <c r="D15" s="44">
        <f>'Income Statement'!C8/'Balance Sheet'!C32</f>
        <v>1.9021399036100719</v>
      </c>
      <c r="E15" s="44">
        <f>'Income Statement'!D8/'Balance Sheet'!D32</f>
        <v>2.3199222433395903</v>
      </c>
      <c r="F15" s="44">
        <f>'Income Statement'!E8/'Balance Sheet'!E32</f>
        <v>2.8471190496299816</v>
      </c>
      <c r="G15" s="44">
        <f>'Income Statement'!F8/'Balance Sheet'!F32</f>
        <v>2.5157246832355362</v>
      </c>
      <c r="H15" s="44">
        <f>'Income Statement'!G8/'Balance Sheet'!G32</f>
        <v>2.3042269649974254</v>
      </c>
      <c r="J15" s="2" t="s">
        <v>204</v>
      </c>
      <c r="K15" s="2" t="s">
        <v>205</v>
      </c>
      <c r="L15" s="44">
        <f>'Income Statement'!J8/'Balance Sheet'!J29</f>
        <v>0.98932044640947792</v>
      </c>
      <c r="M15" s="44">
        <f>'Income Statement'!K8/'Balance Sheet'!K29</f>
        <v>0.71940147172155633</v>
      </c>
      <c r="N15" s="44">
        <f>'Income Statement'!L8/'Balance Sheet'!L29</f>
        <v>0.97397115143631818</v>
      </c>
      <c r="O15" s="44">
        <f>'Income Statement'!M8/'Balance Sheet'!M29</f>
        <v>1.3657680058823118</v>
      </c>
      <c r="P15" s="44">
        <f>'Income Statement'!N8/'Balance Sheet'!N29</f>
        <v>1.0784985362487605</v>
      </c>
      <c r="Q15" s="44">
        <f>'Income Statement'!O8/'Balance Sheet'!O29</f>
        <v>1.0781857250910318</v>
      </c>
      <c r="S15" s="2" t="s">
        <v>204</v>
      </c>
      <c r="T15" s="2" t="s">
        <v>205</v>
      </c>
      <c r="U15" s="44">
        <f>'Income Statement'!R9/'Balance Sheet'!R27</f>
        <v>2.4756132265627828</v>
      </c>
      <c r="V15" s="44">
        <f>'Income Statement'!S9/'Balance Sheet'!S27</f>
        <v>2.0365405530468124</v>
      </c>
      <c r="W15" s="44">
        <f>'Income Statement'!T9/'Balance Sheet'!T27</f>
        <v>2.4352886647421448</v>
      </c>
      <c r="X15" s="44">
        <f>'Income Statement'!U9/'Balance Sheet'!U27</f>
        <v>2.9004954830964835</v>
      </c>
      <c r="Y15" s="44">
        <f>'Income Statement'!V9/'Balance Sheet'!V27</f>
        <v>2.5381091925260373</v>
      </c>
      <c r="Z15" s="44">
        <f>'Income Statement'!W9/'Balance Sheet'!W27</f>
        <v>2.4073141627928756</v>
      </c>
      <c r="AB15" s="2" t="s">
        <v>204</v>
      </c>
      <c r="AC15" s="2" t="s">
        <v>205</v>
      </c>
      <c r="AD15" s="44">
        <f>'Income Statement'!Z8/'Balance Sheet'!Z31</f>
        <v>1.7552280101679874</v>
      </c>
      <c r="AE15" s="44">
        <f>'Income Statement'!AA8/'Balance Sheet'!AA31</f>
        <v>1.47566325004525</v>
      </c>
      <c r="AF15" s="44">
        <f>'Income Statement'!AB8/'Balance Sheet'!AB31</f>
        <v>1.8016762989380697</v>
      </c>
      <c r="AG15" s="44">
        <f>'Income Statement'!AC8/'Balance Sheet'!AC31</f>
        <v>2.1631753417320172</v>
      </c>
      <c r="AH15" s="44">
        <f>'Income Statement'!AD8/'Balance Sheet'!AD31</f>
        <v>1.834875073077896</v>
      </c>
      <c r="AI15" s="44">
        <f>'Income Statement'!AE8/'Balance Sheet'!AE31</f>
        <v>1.7023723676652489</v>
      </c>
      <c r="AK15" s="2" t="s">
        <v>204</v>
      </c>
      <c r="AL15" s="2" t="s">
        <v>205</v>
      </c>
      <c r="AM15" s="44">
        <f>'Income Statement'!AH8/'Balance Sheet'!AH47</f>
        <v>0.86000419599242173</v>
      </c>
      <c r="AN15" s="44">
        <f>'Income Statement'!AI8/'Balance Sheet'!AI47</f>
        <v>0.68773331726432874</v>
      </c>
      <c r="AO15" s="44">
        <f>'Income Statement'!AJ8/'Balance Sheet'!AJ47</f>
        <v>0.92967725092424791</v>
      </c>
      <c r="AP15" s="44">
        <f>'Income Statement'!AK8/'Balance Sheet'!AK47</f>
        <v>1.1371003962258235</v>
      </c>
      <c r="AQ15" s="44">
        <f>'Income Statement'!AL8/'Balance Sheet'!AL47</f>
        <v>0.90304755970152095</v>
      </c>
      <c r="AR15" s="44">
        <f>'Income Statement'!AM8/'Balance Sheet'!AM47</f>
        <v>0.89434034089073988</v>
      </c>
      <c r="AT15" s="2" t="s">
        <v>204</v>
      </c>
      <c r="AU15" s="2" t="s">
        <v>205</v>
      </c>
      <c r="AV15" s="44">
        <f>'Income Statement'!AP10/'Balance Sheet'!AP24</f>
        <v>0.37606398689306053</v>
      </c>
      <c r="AW15" s="44">
        <f>'Income Statement'!AQ10/'Balance Sheet'!AQ24</f>
        <v>0.32035670096248825</v>
      </c>
      <c r="AX15" s="44">
        <f>'Income Statement'!AR10/'Balance Sheet'!AR24</f>
        <v>0.53425830843913369</v>
      </c>
      <c r="AY15" s="44">
        <f>'Income Statement'!AS10/'Balance Sheet'!AS24</f>
        <v>0.66328917162616308</v>
      </c>
      <c r="AZ15" s="44">
        <f>'Income Statement'!AT10/'Balance Sheet'!AT24</f>
        <v>0.58362328490907556</v>
      </c>
      <c r="BA15" s="44">
        <f>'Income Statement'!AU10/'Balance Sheet'!AU24</f>
        <v>0.5368598035408807</v>
      </c>
    </row>
    <row r="16" spans="1:53" x14ac:dyDescent="0.3">
      <c r="A16" s="2" t="s">
        <v>204</v>
      </c>
      <c r="B16" s="2" t="s">
        <v>206</v>
      </c>
      <c r="C16" s="44">
        <f>('Income Statement'!B10+'Income Statement'!B11+'Income Statement'!B12)/'Balance Sheet'!B21</f>
        <v>12.532989472632662</v>
      </c>
      <c r="D16" s="44">
        <f>('Income Statement'!C10+'Income Statement'!C11+'Income Statement'!C12)/'Balance Sheet'!C21</f>
        <v>7.3135473019524664</v>
      </c>
      <c r="E16" s="44">
        <f>('Income Statement'!D10+'Income Statement'!D11+'Income Statement'!D12)/'Balance Sheet'!D21</f>
        <v>7.1944797307838035</v>
      </c>
      <c r="F16" s="44">
        <f>('Income Statement'!E10+'Income Statement'!E11+'Income Statement'!E12)/'Balance Sheet'!E21</f>
        <v>11.379656882639216</v>
      </c>
      <c r="G16" s="44">
        <f>('Income Statement'!F10+'Income Statement'!F11+'Income Statement'!F12)/'Balance Sheet'!F21</f>
        <v>8.7798781075694734</v>
      </c>
      <c r="H16" s="44">
        <f>('Income Statement'!G10+'Income Statement'!G11+'Income Statement'!G12)/'Balance Sheet'!G21</f>
        <v>8.5119914441980686</v>
      </c>
      <c r="J16" s="2" t="s">
        <v>204</v>
      </c>
      <c r="K16" s="2" t="s">
        <v>206</v>
      </c>
      <c r="L16" s="44">
        <f>('Income Statement'!J10+'Income Statement'!J11+'Income Statement'!J12)/'Balance Sheet'!J20</f>
        <v>17.864257416721905</v>
      </c>
      <c r="M16" s="44">
        <f>('Income Statement'!K10+'Income Statement'!K11+'Income Statement'!K12)/'Balance Sheet'!K20</f>
        <v>14.625136718031392</v>
      </c>
      <c r="N16" s="44">
        <f>('Income Statement'!L10+'Income Statement'!L11+'Income Statement'!L12)/'Balance Sheet'!L20</f>
        <v>19.601572438705926</v>
      </c>
      <c r="O16" s="44">
        <f>('Income Statement'!M10+'Income Statement'!M11+'Income Statement'!M12)/'Balance Sheet'!M20</f>
        <v>21.769789047503174</v>
      </c>
      <c r="P16" s="44">
        <f>('Income Statement'!N10+'Income Statement'!N11+'Income Statement'!N12)/'Balance Sheet'!N20</f>
        <v>18.082834170854273</v>
      </c>
      <c r="Q16" s="44">
        <f>('Income Statement'!O10+'Income Statement'!O11+'Income Statement'!O12)/'Balance Sheet'!O20</f>
        <v>18.518352234908608</v>
      </c>
      <c r="S16" s="2" t="s">
        <v>204</v>
      </c>
      <c r="T16" s="2" t="s">
        <v>206</v>
      </c>
      <c r="U16" s="44">
        <f>('Income Statement'!R11+'Income Statement'!R12+'Income Statement'!R13)/'Balance Sheet'!R17</f>
        <v>12.769649058081887</v>
      </c>
      <c r="V16" s="44">
        <f>('Income Statement'!S11+'Income Statement'!S12+'Income Statement'!S13)/'Balance Sheet'!S17</f>
        <v>6.9724550565118086</v>
      </c>
      <c r="W16" s="44">
        <f>('Income Statement'!T11+'Income Statement'!T12+'Income Statement'!T13)/'Balance Sheet'!T17</f>
        <v>9.0703533831474328</v>
      </c>
      <c r="X16" s="44">
        <f>('Income Statement'!U11+'Income Statement'!U12+'Income Statement'!U13)/'Balance Sheet'!U17</f>
        <v>14.444945393068471</v>
      </c>
      <c r="Y16" s="44">
        <f>('Income Statement'!V11+'Income Statement'!V12+'Income Statement'!V13)/'Balance Sheet'!V17</f>
        <v>11.328122798617775</v>
      </c>
      <c r="Z16" s="44">
        <f>('Income Statement'!W11+'Income Statement'!W12+'Income Statement'!W13)/'Balance Sheet'!W17</f>
        <v>10.303876789387264</v>
      </c>
      <c r="AB16" s="2" t="s">
        <v>204</v>
      </c>
      <c r="AC16" s="2" t="s">
        <v>206</v>
      </c>
      <c r="AD16" s="44">
        <f>('Income Statement'!Z10+'Income Statement'!Z12+'Income Statement'!Z13)/'Balance Sheet'!Z20</f>
        <v>6.1949677932320126</v>
      </c>
      <c r="AE16" s="44">
        <f>('Income Statement'!AA10+'Income Statement'!AA12+'Income Statement'!AA13)/'Balance Sheet'!AA20</f>
        <v>3.3017772565531778</v>
      </c>
      <c r="AF16" s="44">
        <f>('Income Statement'!AB10+'Income Statement'!AB12+'Income Statement'!AB13)/'Balance Sheet'!AB20</f>
        <v>4.3580464433693162</v>
      </c>
      <c r="AG16" s="44">
        <f>('Income Statement'!AC10+'Income Statement'!AC12+'Income Statement'!AC13)/'Balance Sheet'!AC20</f>
        <v>6.173312933839485</v>
      </c>
      <c r="AH16" s="44">
        <f>('Income Statement'!AD10+'Income Statement'!AD12+'Income Statement'!AD13)/'Balance Sheet'!AD20</f>
        <v>5.2629409001775729</v>
      </c>
      <c r="AI16" s="44">
        <f>('Income Statement'!AE10+'Income Statement'!AE12+'Income Statement'!AE13)/'Balance Sheet'!AE20</f>
        <v>5.767423681153482</v>
      </c>
      <c r="AK16" s="2" t="s">
        <v>204</v>
      </c>
      <c r="AL16" s="2" t="s">
        <v>206</v>
      </c>
      <c r="AM16" s="44">
        <f>('Income Statement'!AH10+'Income Statement'!AH11)/'Balance Sheet'!AH36</f>
        <v>5.3599256886352968</v>
      </c>
      <c r="AN16" s="44">
        <f>('Income Statement'!AI10+'Income Statement'!AI11)/'Balance Sheet'!AI36</f>
        <v>3.0207566292001631</v>
      </c>
      <c r="AO16" s="44">
        <f>('Income Statement'!AJ10+'Income Statement'!AJ11)/'Balance Sheet'!AJ36</f>
        <v>4.1229889929304084</v>
      </c>
      <c r="AP16" s="44">
        <f>('Income Statement'!AK10+'Income Statement'!AK11)/'Balance Sheet'!AK36</f>
        <v>6.0736405351155938</v>
      </c>
      <c r="AQ16" s="44">
        <f>('Income Statement'!AL10+'Income Statement'!AL11)/'Balance Sheet'!AL36</f>
        <v>4.2696683880191424</v>
      </c>
      <c r="AR16" s="44">
        <f>('Income Statement'!AM10+'Income Statement'!AM11)/'Balance Sheet'!AM36</f>
        <v>3.7670499673232709</v>
      </c>
      <c r="AT16" s="2" t="s">
        <v>204</v>
      </c>
      <c r="AU16" s="2" t="s">
        <v>206</v>
      </c>
      <c r="AV16" s="44">
        <f>('Income Statement'!AP12+'Income Statement'!AP13+'Income Statement'!AP14)/'Balance Sheet'!AP17</f>
        <v>6.3066594505437861</v>
      </c>
      <c r="AW16" s="44">
        <f>('Income Statement'!AQ12+'Income Statement'!AQ13+'Income Statement'!AQ14)/'Balance Sheet'!AQ17</f>
        <v>4.7058524988647594</v>
      </c>
      <c r="AX16" s="44">
        <f>('Income Statement'!AR12+'Income Statement'!AR13+'Income Statement'!AR14)/'Balance Sheet'!AR17</f>
        <v>7.0461642314308737</v>
      </c>
      <c r="AY16" s="44">
        <f>('Income Statement'!AS12+'Income Statement'!AS13+'Income Statement'!AS14)/'Balance Sheet'!AS17</f>
        <v>8.073314801945795</v>
      </c>
      <c r="AZ16" s="44">
        <f>('Income Statement'!AT12+'Income Statement'!AT13+'Income Statement'!AT14)/'Balance Sheet'!AT17</f>
        <v>4.6130552291421854</v>
      </c>
      <c r="BA16" s="44">
        <f>('Income Statement'!AU12+'Income Statement'!AU13+'Income Statement'!AU14)/'Balance Sheet'!AU17</f>
        <v>4.3625134505021519</v>
      </c>
    </row>
    <row r="17" spans="1:53" x14ac:dyDescent="0.3">
      <c r="A17" s="2" t="s">
        <v>204</v>
      </c>
      <c r="B17" s="2" t="s">
        <v>207</v>
      </c>
      <c r="C17" s="44">
        <f>'Income Statement'!B8/'Balance Sheet'!B23</f>
        <v>64.027947424065815</v>
      </c>
      <c r="D17" s="44">
        <f>'Income Statement'!C8/'Balance Sheet'!C23</f>
        <v>39.083397470506469</v>
      </c>
      <c r="E17" s="44">
        <f>'Income Statement'!D8/'Balance Sheet'!D23</f>
        <v>44.816192066521964</v>
      </c>
      <c r="F17" s="44">
        <f>'Income Statement'!E8/'Balance Sheet'!E23</f>
        <v>79.665238898357771</v>
      </c>
      <c r="G17" s="44">
        <f>'Income Statement'!F8/'Balance Sheet'!F23</f>
        <v>61.043574525625047</v>
      </c>
      <c r="H17" s="44">
        <f>'Income Statement'!G8/'Balance Sheet'!G23</f>
        <v>53.881922865237954</v>
      </c>
      <c r="J17" s="2" t="s">
        <v>204</v>
      </c>
      <c r="K17" s="2" t="s">
        <v>207</v>
      </c>
      <c r="L17" s="44">
        <f>'Income Statement'!J8/'Balance Sheet'!J22</f>
        <v>15.381768711436164</v>
      </c>
      <c r="M17" s="44">
        <f>'Income Statement'!K8/'Balance Sheet'!K22</f>
        <v>16.720965300585462</v>
      </c>
      <c r="N17" s="44">
        <f>'Income Statement'!L8/'Balance Sheet'!L22</f>
        <v>61.880556652191082</v>
      </c>
      <c r="O17" s="44">
        <f>'Income Statement'!M8/'Balance Sheet'!M22</f>
        <v>603.86224720022972</v>
      </c>
      <c r="P17" s="44">
        <f>'Income Statement'!N8/'Balance Sheet'!N22</f>
        <v>117.36808809542508</v>
      </c>
      <c r="Q17" s="44">
        <f>'Income Statement'!O8/'Balance Sheet'!O22</f>
        <v>108.98970527946068</v>
      </c>
      <c r="S17" s="2" t="s">
        <v>204</v>
      </c>
      <c r="T17" s="2" t="s">
        <v>207</v>
      </c>
      <c r="U17" s="44">
        <f>'Income Statement'!R9/'Balance Sheet'!R19</f>
        <v>73.566266499584415</v>
      </c>
      <c r="V17" s="44">
        <f>'Income Statement'!S9/'Balance Sheet'!S19</f>
        <v>39.770318442967167</v>
      </c>
      <c r="W17" s="44">
        <f>'Income Statement'!T9/'Balance Sheet'!T19</f>
        <v>59.392349900872347</v>
      </c>
      <c r="X17" s="44">
        <f>'Income Statement'!U9/'Balance Sheet'!U19</f>
        <v>68.492168175657667</v>
      </c>
      <c r="Y17" s="44">
        <f>'Income Statement'!V9/'Balance Sheet'!V19</f>
        <v>49.751351606430227</v>
      </c>
      <c r="Z17" s="44">
        <f>'Income Statement'!W9/'Balance Sheet'!W19</f>
        <v>39.794845132424108</v>
      </c>
      <c r="AB17" s="2" t="s">
        <v>204</v>
      </c>
      <c r="AC17" s="2" t="s">
        <v>207</v>
      </c>
      <c r="AD17" s="44">
        <f>'Income Statement'!Z8/'Balance Sheet'!Z22</f>
        <v>43.649020926914176</v>
      </c>
      <c r="AE17" s="44">
        <f>'Income Statement'!AA8/'Balance Sheet'!AA22</f>
        <v>37.951141571040587</v>
      </c>
      <c r="AF17" s="44">
        <f>'Income Statement'!AB8/'Balance Sheet'!AB22</f>
        <v>39.561307179197051</v>
      </c>
      <c r="AG17" s="44">
        <f>'Income Statement'!AC8/'Balance Sheet'!AC22</f>
        <v>58.730042817958839</v>
      </c>
      <c r="AH17" s="44">
        <f>'Income Statement'!AD8/'Balance Sheet'!AD22</f>
        <v>63.989965621825618</v>
      </c>
      <c r="AI17" s="44">
        <f>'Income Statement'!AE8/'Balance Sheet'!AE22</f>
        <v>46.513844027478903</v>
      </c>
      <c r="AK17" s="2" t="s">
        <v>204</v>
      </c>
      <c r="AL17" s="2" t="s">
        <v>207</v>
      </c>
      <c r="AM17" s="44">
        <f>'Income Statement'!AH8/'Balance Sheet'!AH26</f>
        <v>182.82239394599293</v>
      </c>
      <c r="AN17" s="44">
        <f>'Income Statement'!AI8/'Balance Sheet'!AI26</f>
        <v>144.32371410199787</v>
      </c>
      <c r="AO17" s="44">
        <f>'Income Statement'!AJ8/'Balance Sheet'!AJ26</f>
        <v>217.73875722238753</v>
      </c>
      <c r="AP17" s="44">
        <f>'Income Statement'!AK8/'Balance Sheet'!AK26</f>
        <v>264.21620668327688</v>
      </c>
      <c r="AQ17" s="44">
        <f>'Income Statement'!AL8/'Balance Sheet'!AL26</f>
        <v>262.3574186011474</v>
      </c>
      <c r="AR17" s="44">
        <f>'Income Statement'!AM8/'Balance Sheet'!AM26</f>
        <v>283.98102200334648</v>
      </c>
      <c r="AT17" s="2" t="s">
        <v>204</v>
      </c>
      <c r="AU17" s="2" t="s">
        <v>207</v>
      </c>
      <c r="AV17" s="44">
        <f>'Income Statement'!AP10/'Balance Sheet'!AP19</f>
        <v>48.833489242282504</v>
      </c>
      <c r="AW17" s="44">
        <f>'Income Statement'!AQ10/'Balance Sheet'!AQ19</f>
        <v>67.29670593892763</v>
      </c>
      <c r="AX17" s="44">
        <f>'Income Statement'!AR10/'Balance Sheet'!AR19</f>
        <v>31.807558705015978</v>
      </c>
      <c r="AY17" s="44">
        <f>'Income Statement'!AS10/'Balance Sheet'!AS19</f>
        <v>32.726949934903537</v>
      </c>
      <c r="AZ17" s="44">
        <f>'Income Statement'!AT10/'Balance Sheet'!AT19</f>
        <v>37.996607869742199</v>
      </c>
      <c r="BA17" s="44">
        <f>'Income Statement'!AU10/'Balance Sheet'!AU19</f>
        <v>35.205310756205506</v>
      </c>
    </row>
    <row r="18" spans="1:53" x14ac:dyDescent="0.3">
      <c r="A18" s="2" t="s">
        <v>204</v>
      </c>
      <c r="B18" s="2" t="s">
        <v>214</v>
      </c>
      <c r="C18" s="44">
        <f>('Income Statement'!B10+'Income Statement'!B11+'Income Statement'!B12)/'Balance Sheet'!B51</f>
        <v>20.459339831840339</v>
      </c>
      <c r="D18" s="44">
        <f>('Income Statement'!C10+'Income Statement'!C11+'Income Statement'!C12)/'Balance Sheet'!C51</f>
        <v>12.005021533589879</v>
      </c>
      <c r="E18" s="44">
        <f>('Income Statement'!D10+'Income Statement'!D11+'Income Statement'!D12)/'Balance Sheet'!D51</f>
        <v>9.9992384930400053</v>
      </c>
      <c r="F18" s="44">
        <f>('Income Statement'!E10+'Income Statement'!E11+'Income Statement'!E12)/'Balance Sheet'!E51</f>
        <v>18.032368947056018</v>
      </c>
      <c r="G18" s="44">
        <f>('Income Statement'!F10+'Income Statement'!F11+'Income Statement'!F12)/'Balance Sheet'!F51</f>
        <v>13.286883505541795</v>
      </c>
      <c r="H18" s="44">
        <f>('Income Statement'!G10+'Income Statement'!G11+'Income Statement'!G12)/'Balance Sheet'!G51</f>
        <v>12.577402734080954</v>
      </c>
      <c r="J18" s="2" t="s">
        <v>204</v>
      </c>
      <c r="K18" s="2" t="s">
        <v>217</v>
      </c>
      <c r="L18" s="44">
        <f>('Income Statement'!J10+'Income Statement'!J11+'Income Statement'!J12)/'Balance Sheet'!J50</f>
        <v>14.49757787760888</v>
      </c>
      <c r="M18" s="44">
        <f>('Income Statement'!K10+'Income Statement'!K11+'Income Statement'!K12)/'Balance Sheet'!K50</f>
        <v>9.8188732546180457</v>
      </c>
      <c r="N18" s="44">
        <f>('Income Statement'!L10+'Income Statement'!L11+'Income Statement'!L12)/'Balance Sheet'!L50</f>
        <v>13.076623778738581</v>
      </c>
      <c r="O18" s="44">
        <f>('Income Statement'!M10+'Income Statement'!M11+'Income Statement'!M12)/'Balance Sheet'!M50</f>
        <v>18.034687186780818</v>
      </c>
      <c r="P18" s="44">
        <f>('Income Statement'!N10+'Income Statement'!N11+'Income Statement'!N12)/'Balance Sheet'!N50</f>
        <v>16.259018897023498</v>
      </c>
      <c r="Q18" s="44">
        <f>('Income Statement'!O10+'Income Statement'!O11+'Income Statement'!O12)/'Balance Sheet'!O50</f>
        <v>14.915007377719929</v>
      </c>
      <c r="S18" s="2" t="s">
        <v>204</v>
      </c>
      <c r="T18" s="2" t="s">
        <v>217</v>
      </c>
      <c r="U18" s="44">
        <f>('Income Statement'!R11+'Income Statement'!R12+'Income Statement'!R13)/'Balance Sheet'!R46</f>
        <v>21.511007578960214</v>
      </c>
      <c r="V18" s="44">
        <f>('Income Statement'!S11+'Income Statement'!S12+'Income Statement'!S13)/'Balance Sheet'!S46</f>
        <v>11.267989426164345</v>
      </c>
      <c r="W18" s="44">
        <f>('Income Statement'!T11+'Income Statement'!T12+'Income Statement'!T13)/'Balance Sheet'!T46</f>
        <v>12.166293580206162</v>
      </c>
      <c r="X18" s="44">
        <f>('Income Statement'!U11+'Income Statement'!U12+'Income Statement'!U13)/'Balance Sheet'!U46</f>
        <v>18.644654638390133</v>
      </c>
      <c r="Y18" s="44">
        <f>('Income Statement'!V11+'Income Statement'!V12+'Income Statement'!V13)/'Balance Sheet'!V46</f>
        <v>14.196024836620941</v>
      </c>
      <c r="Z18" s="44">
        <f>('Income Statement'!W11+'Income Statement'!W12+'Income Statement'!W13)/'Balance Sheet'!W46</f>
        <v>13.251283858151458</v>
      </c>
      <c r="AC18" s="2" t="s">
        <v>217</v>
      </c>
      <c r="AD18" s="44">
        <f>('Income Statement'!Z10+'Income Statement'!Z12+'Income Statement'!Z13)/'Balance Sheet'!Z51</f>
        <v>15.053872425049661</v>
      </c>
      <c r="AE18" s="44">
        <f>('Income Statement'!AA10+'Income Statement'!AA12+'Income Statement'!AA13)/'Balance Sheet'!AA51</f>
        <v>7.395272547738843</v>
      </c>
      <c r="AF18" s="44">
        <f>('Income Statement'!AB10+'Income Statement'!AB12+'Income Statement'!AB13)/'Balance Sheet'!AB51</f>
        <v>9.9252861439183402</v>
      </c>
      <c r="AG18" s="44">
        <f>('Income Statement'!AC10+'Income Statement'!AC12+'Income Statement'!AC13)/'Balance Sheet'!AC51</f>
        <v>13.659400446887775</v>
      </c>
      <c r="AH18" s="44">
        <f>('Income Statement'!AD10+'Income Statement'!AD12+'Income Statement'!AD13)/'Balance Sheet'!AD51</f>
        <v>10.744319062940992</v>
      </c>
      <c r="AI18" s="44">
        <f>('Income Statement'!AE10+'Income Statement'!AE12+'Income Statement'!AE13)/'Balance Sheet'!AE51</f>
        <v>10.849692755952184</v>
      </c>
      <c r="AL18" s="2" t="s">
        <v>217</v>
      </c>
      <c r="AM18" s="44">
        <f>('Income Statement'!AH10+'Income Statement'!AH11)/'Balance Sheet'!AH67</f>
        <v>7.7153007217503182</v>
      </c>
      <c r="AN18" s="44">
        <f>('Income Statement'!AI10+'Income Statement'!AI11)/'Balance Sheet'!AI67</f>
        <v>4.9052591619884689</v>
      </c>
      <c r="AO18" s="44">
        <f>('Income Statement'!AJ10+'Income Statement'!AJ11)/'Balance Sheet'!AJ67</f>
        <v>5.5570045090811941</v>
      </c>
      <c r="AP18" s="44">
        <f>('Income Statement'!AK10+'Income Statement'!AK11)/'Balance Sheet'!AK67</f>
        <v>7.9864846066306061</v>
      </c>
      <c r="AQ18" s="44">
        <f>('Income Statement'!AL10+'Income Statement'!AL11)/'Balance Sheet'!AL67</f>
        <v>6.0208076794607166</v>
      </c>
      <c r="AR18" s="44">
        <f>('Income Statement'!AM10+'Income Statement'!AM11)/'Balance Sheet'!AM67</f>
        <v>5.6982274596848983</v>
      </c>
      <c r="AU18" s="2" t="s">
        <v>217</v>
      </c>
      <c r="AV18" s="44">
        <f>('Income Statement'!AP12+'Income Statement'!AP13+'Income Statement'!AP14)/'Balance Sheet'!AP44</f>
        <v>3.4443052584168448</v>
      </c>
      <c r="AW18" s="44">
        <f>('Income Statement'!AQ12+'Income Statement'!AQ13+'Income Statement'!AQ14)/'Balance Sheet'!AQ44</f>
        <v>2.0250002873596249</v>
      </c>
      <c r="AX18" s="44">
        <f>('Income Statement'!AR12+'Income Statement'!AR13+'Income Statement'!AR14)/'Balance Sheet'!AR44</f>
        <v>2.4146934815865078</v>
      </c>
      <c r="AY18" s="44">
        <f>('Income Statement'!AS12+'Income Statement'!AS13+'Income Statement'!AS14)/'Balance Sheet'!AS44</f>
        <v>3.5674482036090387</v>
      </c>
      <c r="AZ18" s="44">
        <f>('Income Statement'!AT12+'Income Statement'!AT13+'Income Statement'!AT14)/'Balance Sheet'!AT44</f>
        <v>3.023055775879993</v>
      </c>
      <c r="BA18" s="44">
        <f>('Income Statement'!AU12+'Income Statement'!AU13+'Income Statement'!AU14)/'Balance Sheet'!AU44</f>
        <v>3.1803332271059577</v>
      </c>
    </row>
    <row r="19" spans="1:53" x14ac:dyDescent="0.3">
      <c r="A19" s="2" t="s">
        <v>208</v>
      </c>
      <c r="B19" s="2" t="s">
        <v>209</v>
      </c>
      <c r="C19" s="44">
        <f ca="1">(('Company Profile'!B10/10000000)+'Balance Sheet'!B39+'Balance Sheet'!B47-'Balance Sheet'!B24)/(Table7[[#This Row],[2020]]+'Income Statement'!B15+'Income Statement'!B16)</f>
        <v>20.902370424931757</v>
      </c>
      <c r="D19" s="44">
        <f ca="1">(('Company Profile'!C10/10000000)+'Balance Sheet'!C39+'Balance Sheet'!C47-'Balance Sheet'!C24)/(Table7[[#This Row],[2021]]+'Income Statement'!C15+'Income Statement'!C16)</f>
        <v>7.346614773961246</v>
      </c>
      <c r="E19" s="44">
        <f ca="1">(('Company Profile'!D10/10000000)+'Balance Sheet'!D39+'Balance Sheet'!D47-'Balance Sheet'!D24)/(Table7[[#This Row],[2022]]+'Income Statement'!D15+'Income Statement'!D16)</f>
        <v>7.1951330339158268</v>
      </c>
      <c r="F19" s="44">
        <f ca="1">(('Company Profile'!E10/10000000)+'Balance Sheet'!E39+'Balance Sheet'!E47-'Balance Sheet'!E24)/(Table7[[#This Row],[2023]]+'Income Statement'!E15+'Income Statement'!E16)</f>
        <v>22.602951002311663</v>
      </c>
      <c r="G19" s="44">
        <f ca="1">(('Company Profile'!F10/10000000)+'Balance Sheet'!F39+'Balance Sheet'!F47-'Balance Sheet'!F24)/(Table7[[#This Row],[2024]]+'Income Statement'!F15+'Income Statement'!F16)</f>
        <v>7.7824468428485387</v>
      </c>
      <c r="H19" s="44">
        <f ca="1">(('Company Profile'!G10/10000000)+'Balance Sheet'!G39+'Balance Sheet'!G47-'Balance Sheet'!G24)/(Table7[[#This Row],[2025]]+'Income Statement'!G15+'Income Statement'!G16)</f>
        <v>73.011275328365357</v>
      </c>
      <c r="J19" s="2" t="s">
        <v>208</v>
      </c>
      <c r="K19" s="2" t="s">
        <v>209</v>
      </c>
      <c r="L19" s="44">
        <f ca="1">(('Company Profile'!C10/10000000)+'Balance Sheet'!J46+'Balance Sheet'!J37-'Balance Sheet'!J23)/(Table8[[#This Row],[2020]]+'Income Statement'!J14+'Income Statement'!J15)</f>
        <v>11.765092551251298</v>
      </c>
      <c r="M19" s="44">
        <f ca="1">(('Company Profile'!D10/10000000)+'Balance Sheet'!K46+'Balance Sheet'!K37-'Balance Sheet'!K23)/(Table8[[#This Row],[2021]]+'Income Statement'!K14+'Income Statement'!K15)</f>
        <v>12.828063501021031</v>
      </c>
      <c r="N19" s="44">
        <f ca="1">(('Company Profile'!E10/10000000)+'Balance Sheet'!L46+'Balance Sheet'!L37-'Balance Sheet'!L23)/(Table8[[#This Row],[2022]]+'Income Statement'!L14+'Income Statement'!L15)</f>
        <v>15.034522535458903</v>
      </c>
      <c r="O19" s="44">
        <f ca="1">(('Company Profile'!F10/10000000)+'Balance Sheet'!M46+'Balance Sheet'!M37-'Balance Sheet'!M23)/(Table8[[#This Row],[2023]]+'Income Statement'!M14+'Income Statement'!M15)</f>
        <v>37.737413976744378</v>
      </c>
      <c r="P19" s="44">
        <f ca="1">(('Company Profile'!G10/10000000)+'Balance Sheet'!N46+'Balance Sheet'!N37-'Balance Sheet'!N23)/(Table8[[#This Row],[2024]]+'Income Statement'!N14+'Income Statement'!N15)</f>
        <v>131.86903796556882</v>
      </c>
      <c r="Q19" s="44">
        <f ca="1">(Q25+'Balance Sheet'!O46+'Balance Sheet'!O37-'Balance Sheet'!O23)/(Table8[[#This Row],[2025]]+'Income Statement'!O14+'Income Statement'!O15)</f>
        <v>8.0394744596531762</v>
      </c>
      <c r="S19" s="2" t="s">
        <v>208</v>
      </c>
      <c r="T19" s="2" t="s">
        <v>209</v>
      </c>
      <c r="U19" s="44">
        <f ca="1">(('Company Profile'!$D$10/10000000)+'Balance Sheet'!R42+'Balance Sheet'!R34-'Balance Sheet'!R20)/('Income Statement'!R20+'Income Statement'!R16+'Income Statement'!R17)</f>
        <v>19.229108768795484</v>
      </c>
      <c r="V19" s="44">
        <f ca="1">(('Company Profile'!$D$10/10000000)+'Balance Sheet'!S42+'Balance Sheet'!S34-'Balance Sheet'!S20)/('Income Statement'!S20+'Income Statement'!S16+'Income Statement'!S17)</f>
        <v>7.7349007271376102</v>
      </c>
      <c r="W19" s="44">
        <f ca="1">(('Company Profile'!$D$10/10000000)+'Balance Sheet'!T42+'Balance Sheet'!T34-'Balance Sheet'!T20)/('Income Statement'!T20+'Income Statement'!T16+'Income Statement'!T17)</f>
        <v>11.573104685313298</v>
      </c>
      <c r="X19" s="44">
        <f ca="1">(('Company Profile'!$D$10/10000000)+'Balance Sheet'!U42+'Balance Sheet'!U34-'Balance Sheet'!U20)/('Income Statement'!U20+'Income Statement'!U16+'Income Statement'!U17)</f>
        <v>-29.361527354180158</v>
      </c>
      <c r="Y19" s="44">
        <f ca="1">(('Company Profile'!$D$10/10000000)+'Balance Sheet'!V42+'Balance Sheet'!V34-'Balance Sheet'!V20)/('Income Statement'!V20+'Income Statement'!V16+'Income Statement'!V17)</f>
        <v>6.1305526747904295</v>
      </c>
      <c r="Z19" s="44">
        <f ca="1">(('Company Profile'!$D$10/10000000)+'Balance Sheet'!W42+'Balance Sheet'!W34-'Balance Sheet'!W20)/('Income Statement'!W20+'Income Statement'!W16+'Income Statement'!W17)</f>
        <v>9.0295567638908469</v>
      </c>
      <c r="AB19" s="2" t="s">
        <v>208</v>
      </c>
      <c r="AC19" s="2" t="s">
        <v>209</v>
      </c>
      <c r="AD19" s="44">
        <f ca="1">(('Company Profile'!$E$10/10000000)+'Balance Sheet'!Z40+'Balance Sheet'!Z47-'Balance Sheet'!Z23)/('Income Statement'!Z23+'Income Statement'!Z15+'Income Statement'!Z17+'Income Statement'!Z18)</f>
        <v>18.528319279359827</v>
      </c>
      <c r="AE19" s="44">
        <f ca="1">(('Company Profile'!$E$10/10000000)+'Balance Sheet'!AA40+'Balance Sheet'!AA47-'Balance Sheet'!AA23)/('Income Statement'!AA23+'Income Statement'!AA15+'Income Statement'!AA17+'Income Statement'!AA18)</f>
        <v>7.8623556949744637</v>
      </c>
      <c r="AF19" s="44">
        <f ca="1">(('Company Profile'!$E$10/10000000)+'Balance Sheet'!AB40+'Balance Sheet'!AB47-'Balance Sheet'!AB23)/('Income Statement'!AB23+'Income Statement'!AB15+'Income Statement'!AB17+'Income Statement'!AB18)</f>
        <v>7.1078451279811343</v>
      </c>
      <c r="AG19" s="44">
        <f ca="1">(('Company Profile'!$E$10/10000000)+'Balance Sheet'!AC40+'Balance Sheet'!AC47-'Balance Sheet'!AC23)/('Income Statement'!AC23+'Income Statement'!AC15+'Income Statement'!AC17+'Income Statement'!AC18)</f>
        <v>10.83140423022471</v>
      </c>
      <c r="AH19" s="44">
        <f ca="1">(('Company Profile'!$E$10/10000000)+'Balance Sheet'!AD40+'Balance Sheet'!AD47-'Balance Sheet'!AD23)/('Income Statement'!AD23+'Income Statement'!AD15+'Income Statement'!AD17+'Income Statement'!AD18)</f>
        <v>4.5457059617829261</v>
      </c>
      <c r="AI19" s="44">
        <f ca="1">(('Company Profile'!$E$10/10000000)+'Balance Sheet'!AE40+'Balance Sheet'!AE47-'Balance Sheet'!AE23)/('Income Statement'!AE23+'Income Statement'!AE15+'Income Statement'!AE17+'Income Statement'!AE18)</f>
        <v>9.6384930034145686</v>
      </c>
      <c r="AK19" s="2" t="s">
        <v>208</v>
      </c>
      <c r="AL19" s="2" t="s">
        <v>209</v>
      </c>
      <c r="AM19" s="44">
        <f ca="1">(('Company Profile'!$F$10/10000000)+'Balance Sheet'!AH56+'Balance Sheet'!AH64-'Balance Sheet'!AH39)/(Table11[[#This Row],[2020]]+'Income Statement'!AH15+'Income Statement'!AH16)</f>
        <v>6.8146081496944779</v>
      </c>
      <c r="AN19" s="44">
        <f ca="1">(('Company Profile'!$F$10/10000000)+'Balance Sheet'!AI56+'Balance Sheet'!AI64-'Balance Sheet'!AI39)/(Table11[[#This Row],[2021]]+'Income Statement'!AI15+'Income Statement'!AI16)</f>
        <v>7.196497087321692</v>
      </c>
      <c r="AO19" s="44">
        <f ca="1">(('Company Profile'!$F$10/10000000)+'Balance Sheet'!AJ56+'Balance Sheet'!AJ64-'Balance Sheet'!AJ39)/(Table11[[#This Row],[2022]]+'Income Statement'!AJ15+'Income Statement'!AJ16)</f>
        <v>4.8105557089848618</v>
      </c>
      <c r="AP19" s="44">
        <f ca="1">(('Company Profile'!$F$10/10000000)+'Balance Sheet'!AK56+'Balance Sheet'!AK64-'Balance Sheet'!AK39)/(Table11[[#This Row],[2023]]+'Income Statement'!AK15+'Income Statement'!AK16)</f>
        <v>5.3087878293974669</v>
      </c>
      <c r="AQ19" s="44">
        <f ca="1">(('Company Profile'!$F$10/10000000)+'Balance Sheet'!AL56+'Balance Sheet'!AL64-'Balance Sheet'!AL39)/(Table11[[#This Row],[2024]]+'Income Statement'!AL15+'Income Statement'!AL16)</f>
        <v>4.1150544821868635</v>
      </c>
      <c r="AR19" s="44">
        <f ca="1">(('Company Profile'!$F$10/10000000)+'Balance Sheet'!AM56+'Balance Sheet'!AM64-'Balance Sheet'!AM39)/(Table11[[#This Row],[2025]]+'Income Statement'!AM15+'Income Statement'!AM16)</f>
        <v>4.6050024765370905</v>
      </c>
      <c r="AT19" s="2" t="s">
        <v>208</v>
      </c>
      <c r="AU19" s="2" t="s">
        <v>209</v>
      </c>
      <c r="AV19" s="44">
        <f ca="1">(('Company Profile'!$G$10/10000000)+'Balance Sheet'!AP32+'Balance Sheet'!AP40-'Balance Sheet'!AP20)/('Income Statement'!AP21+'Income Statement'!AP17+'Income Statement'!AP18)</f>
        <v>33.827077747989279</v>
      </c>
      <c r="AW19" s="44">
        <f ca="1">(('Company Profile'!$G$10/10000000)+'Balance Sheet'!AQ32+'Balance Sheet'!AQ40-'Balance Sheet'!AQ20)/('Income Statement'!AQ21+'Income Statement'!AQ17+'Income Statement'!AQ18)</f>
        <v>45.289043420671383</v>
      </c>
      <c r="AX19" s="44">
        <f ca="1">(('Company Profile'!$G$10/10000000)+'Balance Sheet'!AR32+'Balance Sheet'!AR40-'Balance Sheet'!AR20)/('Income Statement'!AR21+'Income Statement'!AR17+'Income Statement'!AR18)</f>
        <v>33.874643039068893</v>
      </c>
      <c r="AY19" s="44">
        <f ca="1">(('Company Profile'!$G$10/10000000)+'Balance Sheet'!AS32+'Balance Sheet'!AS40-'Balance Sheet'!AS20)/('Income Statement'!AS21+'Income Statement'!AS17+'Income Statement'!AS18)</f>
        <v>28.816512090742354</v>
      </c>
      <c r="AZ19" s="44">
        <f ca="1">(('Company Profile'!$G$10/10000000)+'Balance Sheet'!AT32+'Balance Sheet'!AT40-'Balance Sheet'!AT20)/('Income Statement'!AT21+'Income Statement'!AT17+'Income Statement'!AT18)</f>
        <v>24.801094996122369</v>
      </c>
      <c r="BA19" s="44">
        <f ca="1">(('Company Profile'!$G$10/10000000)+'Balance Sheet'!AU32+'Balance Sheet'!AU40-'Balance Sheet'!AU20)/('Income Statement'!AU21+'Income Statement'!AU17+'Income Statement'!AU18)</f>
        <v>28.537693998354975</v>
      </c>
    </row>
    <row r="20" spans="1:53" x14ac:dyDescent="0.3">
      <c r="A20" s="2" t="s">
        <v>208</v>
      </c>
      <c r="B20" s="2" t="s">
        <v>210</v>
      </c>
      <c r="C20" s="44">
        <f ca="1">C23/('Income Statement'!B27/('Company Profile'!$B$8/10000000))</f>
        <v>25.639508862585249</v>
      </c>
      <c r="D20" s="44">
        <f ca="1">D23/('Income Statement'!C27/('Company Profile'!$B$8/10000000))</f>
        <v>4.9829192686355652</v>
      </c>
      <c r="E20" s="44">
        <f ca="1">E23/('Income Statement'!D27/('Company Profile'!$B$8/10000000))</f>
        <v>7.341213122890708</v>
      </c>
      <c r="F20" s="44">
        <f ca="1">F23/('Income Statement'!E27/('Company Profile'!$B$8/10000000))</f>
        <v>40.065227180361489</v>
      </c>
      <c r="G20" s="44">
        <f ca="1">G23/('Income Statement'!F27/('Company Profile'!$B$8/10000000))</f>
        <v>5.162243469091365</v>
      </c>
      <c r="H20" s="44">
        <f ca="1">H23/('Income Statement'!G27/('Company Profile'!$B$8/10000000))</f>
        <v>13.838402541865829</v>
      </c>
      <c r="J20" s="2" t="s">
        <v>208</v>
      </c>
      <c r="K20" s="2" t="s">
        <v>210</v>
      </c>
      <c r="L20" s="44">
        <f ca="1">L23/('Income Statement'!J27/('Company Profile'!$C$8/10000000))</f>
        <v>3.7268258641419969</v>
      </c>
      <c r="M20" s="44">
        <f ca="1">M23/('Income Statement'!K27/('Company Profile'!$C$8/10000000))</f>
        <v>9.9041181802494478</v>
      </c>
      <c r="N20" s="44">
        <f ca="1">N23/('Income Statement'!L27/('Company Profile'!$C$8/10000000))</f>
        <v>5.7768816845109976</v>
      </c>
      <c r="O20" s="44">
        <f ca="1">O23/('Income Statement'!M27/('Company Profile'!$C$8/10000000))</f>
        <v>12.391399751579442</v>
      </c>
      <c r="P20" s="44">
        <f ca="1">P23/('Income Statement'!N27/('Company Profile'!$C$8/10000000))</f>
        <v>13.35225646054</v>
      </c>
      <c r="Q20" s="44">
        <f ca="1">Q23/('Income Statement'!O27/('Company Profile'!$C$8/10000000))</f>
        <v>9.5765142507303533</v>
      </c>
      <c r="S20" s="2" t="s">
        <v>208</v>
      </c>
      <c r="T20" s="2" t="s">
        <v>210</v>
      </c>
      <c r="U20" s="44">
        <f ca="1">U23/('Income Statement'!R30/('Company Profile'!$D$8/10000000))</f>
        <v>12.350306251801575</v>
      </c>
      <c r="V20" s="44">
        <f ca="1">V23/('Income Statement'!S30/('Company Profile'!$D$8/10000000))</f>
        <v>3.160936324017241</v>
      </c>
      <c r="W20" s="44">
        <f ca="1">W23/('Income Statement'!T30/('Company Profile'!$D$8/10000000))</f>
        <v>3.8247743320528205</v>
      </c>
      <c r="X20" s="44">
        <f ca="1">X23/('Income Statement'!U30/('Company Profile'!$D$8/10000000))</f>
        <v>-4.572534859166498</v>
      </c>
      <c r="Y20" s="44">
        <f ca="1">Y23/('Income Statement'!V30/('Company Profile'!$D$8/10000000))</f>
        <v>4.2362180976620776</v>
      </c>
      <c r="Z20" s="44">
        <f ca="1">Z23/('Income Statement'!W30/('Company Profile'!$D$8/10000000))</f>
        <v>15.217012917736765</v>
      </c>
      <c r="AB20" s="2" t="s">
        <v>208</v>
      </c>
      <c r="AC20" s="2" t="s">
        <v>210</v>
      </c>
      <c r="AD20" s="44">
        <f ca="1">AD23/('Income Statement'!Z32/('Company Profile'!$E$8/10000000))</f>
        <v>-39.88795727807458</v>
      </c>
      <c r="AE20" s="44">
        <f ca="1">AE23/('Income Statement'!AA32/('Company Profile'!$E$8/10000000))</f>
        <v>4.0354334971340347</v>
      </c>
      <c r="AF20" s="44">
        <f ca="1">AF23/('Income Statement'!AB32/('Company Profile'!$E$8/10000000))</f>
        <v>4.645310850248392</v>
      </c>
      <c r="AG20" s="44">
        <f ca="1">AG23/('Income Statement'!AC32/('Company Profile'!$E$8/10000000))</f>
        <v>9.3745383988394888</v>
      </c>
      <c r="AH20" s="44">
        <f ca="1">AH23/('Income Statement'!AD32/('Company Profile'!$E$8/10000000))</f>
        <v>5.5668789779697585</v>
      </c>
      <c r="AI20" s="44">
        <f ca="1">AI23/('Income Statement'!AE32/('Company Profile'!$E$8/10000000))</f>
        <v>17.307411578792397</v>
      </c>
      <c r="AK20" s="2" t="s">
        <v>208</v>
      </c>
      <c r="AL20" s="2" t="s">
        <v>210</v>
      </c>
      <c r="AM20" s="44">
        <f ca="1">AM23/('Income Statement'!AH29/('Company Profile'!$F$8/10000000))</f>
        <v>8.488422302603249</v>
      </c>
      <c r="AN20" s="44">
        <f ca="1">AN23/('Income Statement'!AI29/('Company Profile'!$F$8/10000000))</f>
        <v>6.513104491186648</v>
      </c>
      <c r="AO20" s="44">
        <f ca="1">AO23/('Income Statement'!AJ29/('Company Profile'!$F$8/10000000))</f>
        <v>4.361519385592465</v>
      </c>
      <c r="AP20" s="44">
        <f ca="1">AP23/('Income Statement'!AK29/('Company Profile'!$F$8/10000000))</f>
        <v>5.7801360654630018</v>
      </c>
      <c r="AQ20" s="44">
        <f ca="1">AQ23/('Income Statement'!AL29/('Company Profile'!$F$8/10000000))</f>
        <v>6.047385496346509</v>
      </c>
      <c r="AR20" s="44">
        <f ca="1">AR23/('Income Statement'!AM29/('Company Profile'!$F$8/10000000))</f>
        <v>8.2514925326016169</v>
      </c>
      <c r="AT20" s="2" t="s">
        <v>208</v>
      </c>
      <c r="AU20" s="2" t="s">
        <v>210</v>
      </c>
      <c r="AV20" s="44">
        <f ca="1">AV23/('Income Statement'!AP28/('Company Profile'!$G$8/10000000))</f>
        <v>23.369955524706334</v>
      </c>
      <c r="AW20" s="44">
        <f ca="1">AW23/('Income Statement'!AQ28/('Company Profile'!$G$8/10000000))</f>
        <v>42.826987378537432</v>
      </c>
      <c r="AX20" s="44">
        <f ca="1">AX23/('Income Statement'!AR28/('Company Profile'!$G$8/10000000))</f>
        <v>46.652406237182689</v>
      </c>
      <c r="AY20" s="44">
        <f ca="1">AY23/('Income Statement'!AS28/('Company Profile'!$G$8/10000000))</f>
        <v>36.829740271985493</v>
      </c>
      <c r="AZ20" s="44">
        <f ca="1">AZ23/('Income Statement'!AT28/('Company Profile'!$G$8/10000000))</f>
        <v>47.238410606060604</v>
      </c>
      <c r="BA20" s="44">
        <f ca="1">BA23/('Income Statement'!AU28/('Company Profile'!$G$8/10000000))</f>
        <v>57.153970407237253</v>
      </c>
    </row>
    <row r="21" spans="1:53" x14ac:dyDescent="0.3">
      <c r="A21" s="2" t="s">
        <v>208</v>
      </c>
      <c r="B21" s="2" t="s">
        <v>211</v>
      </c>
      <c r="C21" s="44">
        <f ca="1">C23/('Balance Sheet'!B37/('Company Profile'!$B$8/10000000))</f>
        <v>2.0712617181172734</v>
      </c>
      <c r="D21" s="44">
        <f ca="1">D23/('Balance Sheet'!C37/('Company Profile'!$B$8/10000000))</f>
        <v>1.7716919543393455</v>
      </c>
      <c r="E21" s="44">
        <f ca="1">E23/('Balance Sheet'!D37/('Company Profile'!$B$8/10000000))</f>
        <v>1.607162656760482</v>
      </c>
      <c r="F21" s="44">
        <f ca="1">F23/('Balance Sheet'!E37/('Company Profile'!$B$8/10000000))</f>
        <v>1.3999005527783155</v>
      </c>
      <c r="G21" s="44">
        <f ca="1">G23/('Balance Sheet'!F37/('Company Profile'!$B$8/10000000))</f>
        <v>1.7242714435134689</v>
      </c>
      <c r="H21" s="44">
        <f ca="1">H23/('Balance Sheet'!G37/('Company Profile'!$B$8/10000000))</f>
        <v>1.946578619245926</v>
      </c>
      <c r="J21" s="2" t="s">
        <v>208</v>
      </c>
      <c r="K21" s="2" t="s">
        <v>211</v>
      </c>
      <c r="L21" s="44">
        <f ca="1">L23/('Balance Sheet'!J35/('Company Profile'!$C$8/10000000))</f>
        <v>0.71845199248145442</v>
      </c>
      <c r="M21" s="44">
        <f ca="1">M23/('Balance Sheet'!K35/('Company Profile'!$C$8/10000000))</f>
        <v>1.1418808063013717</v>
      </c>
      <c r="N21" s="44">
        <f ca="1">N23/('Balance Sheet'!L35/('Company Profile'!$C$8/10000000))</f>
        <v>1.1052967321903926</v>
      </c>
      <c r="O21" s="44">
        <f ca="1">O23/('Balance Sheet'!M35/('Company Profile'!$C$8/10000000))</f>
        <v>1.064927579193506</v>
      </c>
      <c r="P21" s="44">
        <f ca="1">P23/('Balance Sheet'!N35/('Company Profile'!$C$8/10000000))</f>
        <v>1.7128508682728509</v>
      </c>
      <c r="Q21" s="44">
        <f ca="1">Q23/('Balance Sheet'!O35/('Company Profile'!$C$8/10000000))</f>
        <v>1.4001663547647787</v>
      </c>
      <c r="S21" s="2" t="s">
        <v>208</v>
      </c>
      <c r="T21" s="2" t="s">
        <v>211</v>
      </c>
      <c r="U21" s="44">
        <f ca="1">U23/('Balance Sheet'!R32/('Company Profile'!$D$8/10000000))</f>
        <v>0.84341973917888013</v>
      </c>
      <c r="V21" s="44">
        <f ca="1">V23/('Balance Sheet'!S32/('Company Profile'!$D$8/10000000))</f>
        <v>0.88508285579684909</v>
      </c>
      <c r="W21" s="44">
        <f ca="1">W23/('Balance Sheet'!T32/('Company Profile'!$D$8/10000000))</f>
        <v>1.0154953440724988</v>
      </c>
      <c r="X21" s="44">
        <f ca="1">X23/('Balance Sheet'!U32/('Company Profile'!$D$8/10000000))</f>
        <v>0.98927805520023226</v>
      </c>
      <c r="Y21" s="44">
        <f ca="1">Y23/('Balance Sheet'!V32/('Company Profile'!$D$8/10000000))</f>
        <v>1.4458531288848251</v>
      </c>
      <c r="Z21" s="44">
        <f ca="1">Z23/('Balance Sheet'!W32/('Company Profile'!$D$8/10000000))</f>
        <v>2.0040797107555894</v>
      </c>
      <c r="AB21" s="2" t="s">
        <v>208</v>
      </c>
      <c r="AC21" s="2" t="s">
        <v>211</v>
      </c>
      <c r="AD21" s="44">
        <f ca="1">AD23/('Balance Sheet'!Z37/('Company Profile'!$E$8/10000000))</f>
        <v>0.77738986714818037</v>
      </c>
      <c r="AE21" s="44">
        <f ca="1">AE23/('Balance Sheet'!AA37/('Company Profile'!$E$8/10000000))</f>
        <v>0.77844947740967241</v>
      </c>
      <c r="AF21" s="44">
        <f ca="1">AF23/('Balance Sheet'!AB37/('Company Profile'!$E$8/10000000))</f>
        <v>0.88441513291419571</v>
      </c>
      <c r="AG21" s="44">
        <f ca="1">AG23/('Balance Sheet'!AC37/('Company Profile'!$E$8/10000000))</f>
        <v>0.76613860595244865</v>
      </c>
      <c r="AH21" s="44">
        <f ca="1">AH23/('Balance Sheet'!AD37/('Company Profile'!$E$8/10000000))</f>
        <v>1.2769403343845853</v>
      </c>
      <c r="AI21" s="44">
        <f ca="1">AI23/('Balance Sheet'!AE37/('Company Profile'!$E$8/10000000))</f>
        <v>1.2493096755151927</v>
      </c>
      <c r="AK21" s="2" t="s">
        <v>208</v>
      </c>
      <c r="AL21" s="2" t="s">
        <v>211</v>
      </c>
      <c r="AM21" s="44">
        <f ca="1">AM23/('Balance Sheet'!AH53/('Company Profile'!$F$8/10000000))</f>
        <v>0.43508231246958307</v>
      </c>
      <c r="AN21" s="44">
        <f ca="1">AN23/('Balance Sheet'!AI53/('Company Profile'!$F$8/10000000))</f>
        <v>0.57301704258343267</v>
      </c>
      <c r="AO21" s="44">
        <f ca="1">AO23/('Balance Sheet'!AJ53/('Company Profile'!$F$8/10000000))</f>
        <v>0.75882759323445681</v>
      </c>
      <c r="AP21" s="44">
        <f ca="1">AP23/('Balance Sheet'!AK53/('Company Profile'!$F$8/10000000))</f>
        <v>0.62889908810984674</v>
      </c>
      <c r="AQ21" s="44">
        <f ca="1">AQ23/('Balance Sheet'!AL53/('Company Profile'!$F$8/10000000))</f>
        <v>0.9294646728693664</v>
      </c>
      <c r="AR21" s="44">
        <f ca="1">AR23/('Balance Sheet'!AM53/('Company Profile'!$F$8/10000000))</f>
        <v>0.84510572320234711</v>
      </c>
      <c r="AT21" s="2" t="s">
        <v>208</v>
      </c>
      <c r="AU21" s="2" t="s">
        <v>211</v>
      </c>
      <c r="AV21" s="44">
        <f ca="1">AV23/('Balance Sheet'!AP29/('Company Profile'!$G$8/10000000))</f>
        <v>1.8460481719259227</v>
      </c>
      <c r="AW21" s="44">
        <f ca="1">AW23/('Balance Sheet'!AQ29/('Company Profile'!$G$8/10000000))</f>
        <v>2.8832756596548239</v>
      </c>
      <c r="AX21" s="44">
        <f ca="1">AX23/('Balance Sheet'!AR29/('Company Profile'!$G$8/10000000))</f>
        <v>3.7534485520871548</v>
      </c>
      <c r="AY21" s="44">
        <f ca="1">AY23/('Balance Sheet'!AS29/('Company Profile'!$G$8/10000000))</f>
        <v>3.3068770163683952</v>
      </c>
      <c r="AZ21" s="44">
        <f ca="1">AZ23/('Balance Sheet'!AT29/('Company Profile'!$G$8/10000000))</f>
        <v>3.8555866454020213</v>
      </c>
      <c r="BA21" s="44">
        <f ca="1">BA23/('Balance Sheet'!AU29/('Company Profile'!$G$8/10000000))</f>
        <v>3.7109400602481739</v>
      </c>
    </row>
    <row r="22" spans="1:53" x14ac:dyDescent="0.3">
      <c r="A22" s="2" t="s">
        <v>208</v>
      </c>
      <c r="B22" s="2" t="s">
        <v>212</v>
      </c>
      <c r="C22" s="44">
        <f ca="1">C23/('Income Statement'!B8/('Company Profile'!$B$8/10000000))</f>
        <v>0.20805431244023165</v>
      </c>
      <c r="D22" s="44">
        <f ca="1">D23/('Income Statement'!C8/('Company Profile'!$B$8/10000000))</f>
        <v>0.30986343023466001</v>
      </c>
      <c r="E22" s="44">
        <f ca="1">E23/('Income Statement'!D8/('Company Profile'!$B$8/10000000))</f>
        <v>0.19174904337837073</v>
      </c>
      <c r="F22" s="44">
        <f ca="1">F23/('Income Statement'!E8/('Company Profile'!$B$8/10000000))</f>
        <v>0.13987821513590717</v>
      </c>
      <c r="G22" s="44">
        <f ca="1">G23/('Income Statement'!F8/('Company Profile'!$B$8/10000000))</f>
        <v>0.25610459733180468</v>
      </c>
      <c r="H22" s="44">
        <f ca="1">H23/('Income Statement'!G8/('Company Profile'!$B$8/10000000))</f>
        <v>0.31482475647960206</v>
      </c>
      <c r="J22" s="2" t="s">
        <v>208</v>
      </c>
      <c r="K22" s="2" t="s">
        <v>212</v>
      </c>
      <c r="L22" s="44">
        <f ca="1">L23/('Income Statement'!J8/('Company Profile'!$C$8/10000000))</f>
        <v>0.47844326635150419</v>
      </c>
      <c r="M22" s="44">
        <f ca="1">M23/('Income Statement'!K8/('Company Profile'!$C$8/10000000))</f>
        <v>1.0391257983557554</v>
      </c>
      <c r="N22" s="44">
        <f ca="1">N23/('Income Statement'!L8/('Company Profile'!$C$8/10000000))</f>
        <v>0.75576379533987958</v>
      </c>
      <c r="O22" s="44">
        <f ca="1">O23/('Income Statement'!M8/('Company Profile'!$C$8/10000000))</f>
        <v>0.47100930752325865</v>
      </c>
      <c r="P22" s="44">
        <f ca="1">P23/('Income Statement'!N8/('Company Profile'!$C$8/10000000))</f>
        <v>0.98303073252130835</v>
      </c>
      <c r="Q22" s="44">
        <f ca="1">Q23/('Income Statement'!O8/('Company Profile'!$C$8/10000000))</f>
        <v>0.83137108978005281</v>
      </c>
      <c r="S22" s="2" t="s">
        <v>208</v>
      </c>
      <c r="T22" s="2" t="s">
        <v>212</v>
      </c>
      <c r="U22" s="44">
        <f ca="1">U23/('Income Statement'!R9/('Company Profile'!$D$8/10000000))</f>
        <v>9.0281718976198438E-2</v>
      </c>
      <c r="V22" s="44">
        <f ca="1">V23/('Income Statement'!S9/('Company Profile'!$D$8/10000000))</f>
        <v>0.12336032443105084</v>
      </c>
      <c r="W22" s="44">
        <f ca="1">W23/('Income Statement'!T9/('Company Profile'!$D$8/10000000))</f>
        <v>0.11165583862862148</v>
      </c>
      <c r="X22" s="44">
        <f ca="1">X23/('Income Statement'!U9/('Company Profile'!$D$8/10000000))</f>
        <v>6.820462585496867E-2</v>
      </c>
      <c r="Y22" s="44">
        <f ca="1">Y23/('Income Statement'!V9/('Company Profile'!$D$8/10000000))</f>
        <v>0.14624577807766942</v>
      </c>
      <c r="Z22" s="44">
        <f ca="1">Z23/('Income Statement'!W9/('Company Profile'!$D$8/10000000))</f>
        <v>0.21863206715500363</v>
      </c>
      <c r="AB22" s="2" t="s">
        <v>208</v>
      </c>
      <c r="AC22" s="2" t="s">
        <v>212</v>
      </c>
      <c r="AD22" s="44">
        <f ca="1">AD23/('Income Statement'!Z8/('Company Profile'!$E$8/10000000))</f>
        <v>0.12931464281461374</v>
      </c>
      <c r="AE22" s="44">
        <f ca="1">AE23/('Income Statement'!AA8/('Company Profile'!$E$8/10000000))</f>
        <v>0.16767976202073265</v>
      </c>
      <c r="AF22" s="44">
        <f ca="1">AF23/('Income Statement'!AB8/('Company Profile'!$E$8/10000000))</f>
        <v>0.16153817846903107</v>
      </c>
      <c r="AG22" s="44">
        <f ca="1">AG23/('Income Statement'!AC8/('Company Profile'!$E$8/10000000))</f>
        <v>0.11481898022586355</v>
      </c>
      <c r="AH22" s="44">
        <f ca="1">AH23/('Income Statement'!AD8/('Company Profile'!$E$8/10000000))</f>
        <v>0.27147209824859736</v>
      </c>
      <c r="AI22" s="44">
        <f ca="1">AI23/('Income Statement'!AE8/('Company Profile'!$E$8/10000000))</f>
        <v>0.2765737241226861</v>
      </c>
      <c r="AK22" s="2" t="s">
        <v>208</v>
      </c>
      <c r="AL22" s="2" t="s">
        <v>212</v>
      </c>
      <c r="AM22" s="44">
        <f ca="1">AM23/('Income Statement'!AH8/('Company Profile'!$F$8/10000000))</f>
        <v>0.22404845351628203</v>
      </c>
      <c r="AN22" s="44">
        <f ca="1">AN23/('Income Statement'!AI8/('Company Profile'!$F$8/10000000))</f>
        <v>0.37581467810316682</v>
      </c>
      <c r="AO22" s="44">
        <f ca="1">AO23/('Income Statement'!AJ8/('Company Profile'!$F$8/10000000))</f>
        <v>0.39871091282434545</v>
      </c>
      <c r="AP22" s="44">
        <f ca="1">AP23/('Income Statement'!AK8/('Company Profile'!$F$8/10000000))</f>
        <v>0.2734277870804146</v>
      </c>
      <c r="AQ22" s="44">
        <f ca="1">AQ23/('Income Statement'!AL8/('Company Profile'!$F$8/10000000))</f>
        <v>0.50249143784580041</v>
      </c>
      <c r="AR22" s="44">
        <f ca="1">AR23/('Income Statement'!AM8/('Company Profile'!$F$8/10000000))</f>
        <v>0.46809070587194163</v>
      </c>
      <c r="AT22" s="2" t="s">
        <v>208</v>
      </c>
      <c r="AU22" s="2" t="s">
        <v>212</v>
      </c>
      <c r="AV22" s="44">
        <f ca="1">AV23/('Income Statement'!AP10/('Company Profile'!$G$8/10000000))</f>
        <v>1.976355315047575</v>
      </c>
      <c r="AW22" s="44">
        <f ca="1">AW23/('Income Statement'!AQ10/('Company Profile'!$G$8/10000000))</f>
        <v>4.8879200706713775</v>
      </c>
      <c r="AX22" s="44">
        <f ca="1">AX23/('Income Statement'!AR10/('Company Profile'!$G$8/10000000))</f>
        <v>3.8656737435948956</v>
      </c>
      <c r="AY22" s="44">
        <f ca="1">AY23/('Income Statement'!AS10/('Company Profile'!$G$8/10000000))</f>
        <v>2.8648239435825107</v>
      </c>
      <c r="AZ22" s="44">
        <f ca="1">AZ23/('Income Statement'!AT10/('Company Profile'!$G$8/10000000))</f>
        <v>3.5459804286964127</v>
      </c>
      <c r="BA22" s="44">
        <f ca="1">BA23/('Income Statement'!AU10/('Company Profile'!$G$8/10000000))</f>
        <v>3.6717338472834067</v>
      </c>
    </row>
    <row r="23" spans="1:53" x14ac:dyDescent="0.3">
      <c r="A23" s="2" t="s">
        <v>215</v>
      </c>
      <c r="B23" s="2" t="s">
        <v>216</v>
      </c>
      <c r="C23" s="44">
        <v>158.57</v>
      </c>
      <c r="D23" s="44">
        <v>218.7</v>
      </c>
      <c r="E23" s="44">
        <v>192.28</v>
      </c>
      <c r="F23" s="44">
        <v>172.7</v>
      </c>
      <c r="G23" s="44">
        <v>300.60000000000002</v>
      </c>
      <c r="H23" s="44">
        <f ca="1">'Company Profile'!B7</f>
        <v>365.15</v>
      </c>
      <c r="J23" s="2" t="s">
        <v>215</v>
      </c>
      <c r="K23" s="2" t="s">
        <v>216</v>
      </c>
      <c r="L23" s="44">
        <v>53.93</v>
      </c>
      <c r="M23" s="44">
        <v>92.53</v>
      </c>
      <c r="N23" s="44">
        <v>108.1</v>
      </c>
      <c r="O23" s="44">
        <v>105.45</v>
      </c>
      <c r="P23" s="44">
        <v>201.1</v>
      </c>
      <c r="Q23" s="44">
        <f ca="1">'Company Profile'!C7</f>
        <v>181.52</v>
      </c>
      <c r="S23" s="2" t="s">
        <v>215</v>
      </c>
      <c r="T23" s="2" t="s">
        <v>216</v>
      </c>
      <c r="U23" s="44">
        <v>122.8</v>
      </c>
      <c r="V23" s="44">
        <v>158.4</v>
      </c>
      <c r="W23" s="44">
        <v>197.6</v>
      </c>
      <c r="X23" s="44">
        <v>150</v>
      </c>
      <c r="Y23" s="44">
        <v>318.83</v>
      </c>
      <c r="Z23" s="44">
        <f ca="1">'Company Profile'!D7</f>
        <v>481.7</v>
      </c>
      <c r="AB23" s="2" t="s">
        <v>215</v>
      </c>
      <c r="AC23" s="2" t="s">
        <v>216</v>
      </c>
      <c r="AD23" s="44">
        <v>53</v>
      </c>
      <c r="AE23" s="44">
        <v>62.19</v>
      </c>
      <c r="AF23" s="44">
        <v>84.63</v>
      </c>
      <c r="AG23" s="44">
        <v>77.7</v>
      </c>
      <c r="AH23" s="44">
        <v>170.15</v>
      </c>
      <c r="AI23" s="44">
        <f ca="1">'Company Profile'!E7</f>
        <v>169</v>
      </c>
      <c r="AK23" s="2" t="s">
        <v>215</v>
      </c>
      <c r="AL23" s="2" t="s">
        <v>216</v>
      </c>
      <c r="AM23" s="44">
        <v>77.3</v>
      </c>
      <c r="AN23" s="44">
        <v>110.5</v>
      </c>
      <c r="AO23" s="44">
        <v>170.9</v>
      </c>
      <c r="AP23" s="44">
        <v>150.6</v>
      </c>
      <c r="AQ23" s="44">
        <v>265.7</v>
      </c>
      <c r="AR23" s="44">
        <f ca="1">'Company Profile'!F7</f>
        <v>251.4</v>
      </c>
      <c r="AT23" s="2" t="s">
        <v>215</v>
      </c>
      <c r="AU23" s="2" t="s">
        <v>216</v>
      </c>
      <c r="AV23" s="44">
        <v>533.66999999999996</v>
      </c>
      <c r="AW23" s="44">
        <v>1010.93</v>
      </c>
      <c r="AX23" s="44">
        <v>1307.83</v>
      </c>
      <c r="AY23" s="44">
        <v>1170.72</v>
      </c>
      <c r="AZ23" s="44">
        <v>1467.55</v>
      </c>
      <c r="BA23" s="44">
        <f ca="1">'Company Profile'!G7</f>
        <v>1489.25</v>
      </c>
    </row>
    <row r="24" spans="1:53" x14ac:dyDescent="0.3">
      <c r="A24" s="2" t="s">
        <v>208</v>
      </c>
      <c r="B24" s="2" t="s">
        <v>281</v>
      </c>
      <c r="C24" s="44">
        <f ca="1">'Income Statement'!B27/('Company Profile'!$B$8/10000000)</f>
        <v>6.1845958458040169</v>
      </c>
      <c r="D24" s="44">
        <f ca="1">'Income Statement'!C27/('Company Profile'!$B$8/10000000)</f>
        <v>43.889934435940589</v>
      </c>
      <c r="E24" s="44">
        <f ca="1">'Income Statement'!D27/('Company Profile'!$B$8/10000000)</f>
        <v>26.191856411367471</v>
      </c>
      <c r="F24" s="44">
        <f ca="1">'Income Statement'!E27/('Company Profile'!$B$8/10000000)</f>
        <v>4.310471003260683</v>
      </c>
      <c r="G24" s="44">
        <f ca="1">'Income Statement'!F27/('Company Profile'!$B$8/10000000)</f>
        <v>58.230496449813955</v>
      </c>
      <c r="H24" s="44">
        <f ca="1">'Income Statement'!G27/('Company Profile'!$B$8/10000000)</f>
        <v>26.386716161442639</v>
      </c>
      <c r="J24" s="2" t="s">
        <v>208</v>
      </c>
      <c r="K24" s="2" t="s">
        <v>281</v>
      </c>
      <c r="L24" s="44" cm="1">
        <f t="array" aca="1" ref="L24" ca="1">'Income Statement'!J27/'Company Profile'!$C$9</f>
        <v>14.4707592911417</v>
      </c>
      <c r="M24" s="44" cm="1">
        <f t="array" aca="1" ref="M24" ca="1">'Income Statement'!K27/'Company Profile'!$C$9</f>
        <v>9.3425783412521355</v>
      </c>
      <c r="N24" s="44" cm="1">
        <f t="array" aca="1" ref="N24" ca="1">'Income Statement'!L27/'Company Profile'!$C$9</f>
        <v>18.712517566326177</v>
      </c>
      <c r="O24" s="44" cm="1">
        <f t="array" aca="1" ref="O24" ca="1">'Income Statement'!M27/'Company Profile'!$C$9</f>
        <v>8.5099344798846523</v>
      </c>
      <c r="P24" s="44" cm="1">
        <f t="array" aca="1" ref="P24" ca="1">'Income Statement'!N27/'Company Profile'!$C$9</f>
        <v>15.061124731562188</v>
      </c>
      <c r="Q24" s="44" cm="1">
        <f t="array" aca="1" ref="Q24" ca="1">'Income Statement'!O27/'Company Profile'!$C$9</f>
        <v>18.954704733630649</v>
      </c>
      <c r="S24" s="2" t="s">
        <v>208</v>
      </c>
      <c r="T24" s="2" t="s">
        <v>281</v>
      </c>
      <c r="U24" s="44">
        <f ca="1">'Income Statement'!R30/'Company Profile'!$D$9</f>
        <v>9.943073272542275</v>
      </c>
      <c r="V24" s="44">
        <f ca="1">'Income Statement'!S30/'Company Profile'!$D$9</f>
        <v>50.111733917717487</v>
      </c>
      <c r="W24" s="44">
        <f ca="1">'Income Statement'!T30/'Company Profile'!$D$9</f>
        <v>51.663178751240146</v>
      </c>
      <c r="X24" s="44">
        <f ca="1">'Income Statement'!U30/'Company Profile'!$D$9</f>
        <v>-32.804561281648198</v>
      </c>
      <c r="Y24" s="44">
        <f ca="1">'Income Statement'!V30/'Company Profile'!$D$9</f>
        <v>75.262886057721815</v>
      </c>
      <c r="Z24" s="44">
        <f ca="1">'Income Statement'!W30/'Company Profile'!$D$9</f>
        <v>31.655358551909771</v>
      </c>
      <c r="AB24" s="2" t="s">
        <v>208</v>
      </c>
      <c r="AC24" s="2" t="s">
        <v>281</v>
      </c>
      <c r="AD24" s="44">
        <f ca="1">'Income Statement'!Z32/'Company Profile'!$E$9</f>
        <v>-1.3287218402917009</v>
      </c>
      <c r="AE24" s="44">
        <f ca="1">'Income Statement'!AA32/'Company Profile'!$E$9</f>
        <v>15.410983737971979</v>
      </c>
      <c r="AF24" s="44">
        <f ca="1">'Income Statement'!AB32/'Company Profile'!$E$9</f>
        <v>18.218371757720949</v>
      </c>
      <c r="AG24" s="44">
        <f ca="1">'Income Statement'!AC32/'Company Profile'!$E$9</f>
        <v>8.2884081001384331</v>
      </c>
      <c r="AH24" s="44">
        <f ca="1">'Income Statement'!AD32/'Company Profile'!$E$9</f>
        <v>30.564702533205374</v>
      </c>
      <c r="AI24" s="44">
        <f ca="1">'Income Statement'!AE32/'Company Profile'!$E$9</f>
        <v>9.7646028252476427</v>
      </c>
      <c r="AK24" s="2" t="s">
        <v>208</v>
      </c>
      <c r="AL24" s="2" t="s">
        <v>281</v>
      </c>
      <c r="AM24" s="44">
        <f ca="1">'Income Statement'!AH29/'Company Profile'!$F$9</f>
        <v>9.106521476469597</v>
      </c>
      <c r="AN24" s="44">
        <f ca="1">'Income Statement'!AI29/'Company Profile'!$F$9</f>
        <v>16.965795673864211</v>
      </c>
      <c r="AO24" s="44">
        <f ca="1">'Income Statement'!AJ29/'Company Profile'!$F$9</f>
        <v>39.183592893003983</v>
      </c>
      <c r="AP24" s="44">
        <f ca="1">'Income Statement'!AK29/'Company Profile'!$F$9</f>
        <v>26.054749973768413</v>
      </c>
      <c r="AQ24" s="44">
        <f ca="1">'Income Statement'!AL29/'Company Profile'!$F$9</f>
        <v>43.93634243434969</v>
      </c>
      <c r="AR24" s="44">
        <f ca="1">'Income Statement'!AM29/'Company Profile'!$F$9</f>
        <v>30.467215356097036</v>
      </c>
      <c r="AT24" s="2" t="s">
        <v>208</v>
      </c>
      <c r="AU24" s="2" t="s">
        <v>281</v>
      </c>
      <c r="AV24" s="44">
        <f ca="1">'Income Statement'!AP28/'Company Profile'!$G$9</f>
        <v>22.835730236448793</v>
      </c>
      <c r="AW24" s="44">
        <f ca="1">'Income Statement'!AQ28/'Company Profile'!$G$9</f>
        <v>23.60497578465263</v>
      </c>
      <c r="AX24" s="44">
        <f ca="1">'Income Statement'!AR28/'Company Profile'!$G$9</f>
        <v>28.033495064561947</v>
      </c>
      <c r="AY24" s="44">
        <f ca="1">'Income Statement'!AS28/'Company Profile'!$G$9</f>
        <v>31.787354223904401</v>
      </c>
      <c r="AZ24" s="44">
        <f ca="1">'Income Statement'!AT28/'Company Profile'!$G$9</f>
        <v>31.066879286825877</v>
      </c>
      <c r="BA24" s="44">
        <f ca="1">'Income Statement'!AU28/'Company Profile'!$G$9</f>
        <v>26.056807416679845</v>
      </c>
    </row>
    <row r="25" spans="1:53" x14ac:dyDescent="0.3">
      <c r="A25" s="2" t="s">
        <v>208</v>
      </c>
      <c r="B25" s="2" t="s">
        <v>6</v>
      </c>
      <c r="C25" s="44">
        <f ca="1">C23*'Company Profile'!$B$9</f>
        <v>68795.673784999992</v>
      </c>
      <c r="D25" s="44">
        <f ca="1">D23*'Company Profile'!$B$9</f>
        <v>94883.104349999994</v>
      </c>
      <c r="E25" s="44">
        <f ca="1">E23*'Company Profile'!$B$9</f>
        <v>83420.774140000009</v>
      </c>
      <c r="F25" s="44">
        <f ca="1">F23*'Company Profile'!$B$9</f>
        <v>74925.981350000002</v>
      </c>
      <c r="G25" s="44">
        <f ca="1">G23*'Company Profile'!$B$9</f>
        <v>130415.46030000001</v>
      </c>
      <c r="H25" s="44">
        <f ca="1">H23*'Company Profile'!$B$9</f>
        <v>158420.510075</v>
      </c>
      <c r="J25" s="2" t="s">
        <v>208</v>
      </c>
      <c r="K25" s="2" t="s">
        <v>283</v>
      </c>
      <c r="L25" s="44">
        <f ca="1">L23*'Company Profile'!$C$9</f>
        <v>35459.406439999999</v>
      </c>
      <c r="M25" s="44">
        <f ca="1">M23*'Company Profile'!$C$9</f>
        <v>60839.215240000005</v>
      </c>
      <c r="N25" s="44">
        <f ca="1">N23*'Company Profile'!$C$9</f>
        <v>71076.614799999996</v>
      </c>
      <c r="O25" s="44">
        <f ca="1">O23*'Company Profile'!$C$9</f>
        <v>69334.218600000007</v>
      </c>
      <c r="P25" s="44">
        <f ca="1">P23*'Company Profile'!$C$9</f>
        <v>132224.85880000002</v>
      </c>
      <c r="Q25" s="44">
        <f ca="1">Q23*'Company Profile'!$C$9</f>
        <v>119350.85216000001</v>
      </c>
      <c r="S25" s="2" t="s">
        <v>208</v>
      </c>
      <c r="T25" s="2" t="s">
        <v>283</v>
      </c>
      <c r="U25" s="44">
        <f ca="1">U23*'Company Profile'!$D$9</f>
        <v>26129.666439999997</v>
      </c>
      <c r="V25" s="44">
        <f ca="1">V23*'Company Profile'!$D$9</f>
        <v>33704.71632</v>
      </c>
      <c r="W25" s="44">
        <f ca="1">W23*'Company Profile'!$D$9</f>
        <v>42045.782479999994</v>
      </c>
      <c r="X25" s="44">
        <f ca="1">X23*'Company Profile'!$D$9</f>
        <v>31917.344999999998</v>
      </c>
      <c r="Y25" s="44">
        <f ca="1">Y23*'Company Profile'!$D$9</f>
        <v>67841.38070899999</v>
      </c>
      <c r="Z25" s="44">
        <f ca="1">Z23*'Company Profile'!$D$9</f>
        <v>102497.23391</v>
      </c>
      <c r="AB25" s="2" t="s">
        <v>208</v>
      </c>
      <c r="AC25" s="2" t="s">
        <v>283</v>
      </c>
      <c r="AD25" s="44">
        <f ca="1">AD23*'Company Profile'!$E$9</f>
        <v>74842.572</v>
      </c>
      <c r="AE25" s="44">
        <f ca="1">AE23*'Company Profile'!$E$9</f>
        <v>87819.991559999995</v>
      </c>
      <c r="AF25" s="44">
        <f ca="1">AF23*'Company Profile'!$E$9</f>
        <v>119508.05412</v>
      </c>
      <c r="AG25" s="44">
        <f ca="1">AG23*'Company Profile'!$E$9</f>
        <v>109722.03480000001</v>
      </c>
      <c r="AH25" s="44">
        <f ca="1">AH23*'Company Profile'!$E$9</f>
        <v>240272.89860000001</v>
      </c>
      <c r="AI25" s="44">
        <f ca="1">AI23*'Company Profile'!$E$9</f>
        <v>238648.95600000001</v>
      </c>
      <c r="AK25" s="2" t="s">
        <v>208</v>
      </c>
      <c r="AL25" s="2" t="s">
        <v>283</v>
      </c>
      <c r="AM25" s="44">
        <f ca="1">AM23*'Company Profile'!$F$9</f>
        <v>97245.564400000003</v>
      </c>
      <c r="AN25" s="44">
        <f ca="1">AN23*'Company Profile'!$F$9</f>
        <v>139012.09400000001</v>
      </c>
      <c r="AO25" s="44">
        <f ca="1">AO23*'Company Profile'!$F$9</f>
        <v>214996.98520000002</v>
      </c>
      <c r="AP25" s="44">
        <f ca="1">AP23*'Company Profile'!$F$9</f>
        <v>189459.01679999998</v>
      </c>
      <c r="AQ25" s="44">
        <f ca="1">AQ23*'Company Profile'!$F$9</f>
        <v>334258.03960000002</v>
      </c>
      <c r="AR25" s="44">
        <f ca="1">AR23*'Company Profile'!$F$9</f>
        <v>316268.23920000001</v>
      </c>
      <c r="AT25" s="2" t="s">
        <v>208</v>
      </c>
      <c r="AU25" s="2" t="s">
        <v>283</v>
      </c>
      <c r="AV25" s="44">
        <f ca="1">AV23*'Company Profile'!$G$9</f>
        <v>722201.73557999986</v>
      </c>
      <c r="AW25" s="44">
        <f ca="1">AW23*'Company Profile'!$G$9</f>
        <v>1368065.2848199997</v>
      </c>
      <c r="AX25" s="44">
        <f ca="1">AX23*'Company Profile'!$G$9</f>
        <v>1769852.3354199997</v>
      </c>
      <c r="AY25" s="44">
        <f ca="1">AY23*'Company Profile'!$G$9</f>
        <v>1584304.93728</v>
      </c>
      <c r="AZ25" s="44">
        <f ca="1">AZ23*'Company Profile'!$G$9</f>
        <v>1985997.2586999997</v>
      </c>
      <c r="BA25" s="44">
        <f ca="1">BA23*'Company Profile'!$G$9</f>
        <v>2015363.3044999999</v>
      </c>
    </row>
  </sheetData>
  <mergeCells count="6">
    <mergeCell ref="AT3:BA3"/>
    <mergeCell ref="AK3:AR3"/>
    <mergeCell ref="A3:H3"/>
    <mergeCell ref="J3:Q3"/>
    <mergeCell ref="S3:Z3"/>
    <mergeCell ref="AB3:AI3"/>
  </mergeCells>
  <conditionalFormatting sqref="C5:H5">
    <cfRule type="colorScale" priority="108">
      <colorScale>
        <cfvo type="num" val="1.2"/>
        <cfvo type="percentile" val="50"/>
        <cfvo type="num" val="1.5"/>
        <color rgb="FFF8696B"/>
        <color rgb="FFFFEB84"/>
        <color rgb="FF63BE7B"/>
      </colorScale>
    </cfRule>
  </conditionalFormatting>
  <conditionalFormatting sqref="C6:H6">
    <cfRule type="colorScale" priority="107">
      <colorScale>
        <cfvo type="min"/>
        <cfvo type="percentile" val="50"/>
        <cfvo type="num" val="1"/>
        <color rgb="FFF8696B"/>
        <color rgb="FFFFEB84"/>
        <color rgb="FF63BE7B"/>
      </colorScale>
    </cfRule>
  </conditionalFormatting>
  <conditionalFormatting sqref="C7:H7">
    <cfRule type="colorScale" priority="106">
      <colorScale>
        <cfvo type="num" val="0.5"/>
        <cfvo type="percentile" val="50"/>
        <cfvo type="num" val="1.5"/>
        <color rgb="FFF8696B"/>
        <color rgb="FFFFEB84"/>
        <color rgb="FF63BE7B"/>
      </colorScale>
    </cfRule>
  </conditionalFormatting>
  <conditionalFormatting sqref="C8:H8">
    <cfRule type="colorScale" priority="105">
      <colorScale>
        <cfvo type="num" val="0.3"/>
        <cfvo type="percentile" val="50"/>
        <cfvo type="num" val="0.45"/>
        <color rgb="FFF8696B"/>
        <color rgb="FFFFEB84"/>
        <color rgb="FF63BE7B"/>
      </colorScale>
    </cfRule>
  </conditionalFormatting>
  <conditionalFormatting sqref="C9:H9">
    <cfRule type="colorScale" priority="104">
      <colorScale>
        <cfvo type="min"/>
        <cfvo type="percentile" val="50"/>
        <cfvo type="num" val="3"/>
        <color rgb="FFF8696B"/>
        <color rgb="FFFFEB84"/>
        <color rgb="FF63BE7B"/>
      </colorScale>
    </cfRule>
  </conditionalFormatting>
  <conditionalFormatting sqref="C10:H10">
    <cfRule type="colorScale" priority="103">
      <colorScale>
        <cfvo type="num" val="0.2"/>
        <cfvo type="percentile" val="50"/>
        <cfvo type="num" val="0.35"/>
        <color rgb="FFF8696B"/>
        <color rgb="FFFFEB84"/>
        <color rgb="FF63BE7B"/>
      </colorScale>
    </cfRule>
  </conditionalFormatting>
  <conditionalFormatting sqref="C11:H11">
    <cfRule type="colorScale" priority="102">
      <colorScale>
        <cfvo type="num" val="0.15"/>
        <cfvo type="num" val="0.25"/>
        <cfvo type="num" val="0.3"/>
        <color rgb="FFF8696B"/>
        <color rgb="FFFFEB84"/>
        <color rgb="FF63BE7B"/>
      </colorScale>
    </cfRule>
  </conditionalFormatting>
  <conditionalFormatting sqref="C12:H12">
    <cfRule type="colorScale" priority="101">
      <colorScale>
        <cfvo type="num" val="0.08"/>
        <cfvo type="percentile" val="50"/>
        <cfvo type="num" val="0.15"/>
        <color rgb="FFF8696B"/>
        <color rgb="FFFFEB84"/>
        <color rgb="FF63BE7B"/>
      </colorScale>
    </cfRule>
  </conditionalFormatting>
  <conditionalFormatting sqref="C13:H13">
    <cfRule type="colorScale" priority="100">
      <colorScale>
        <cfvo type="min"/>
        <cfvo type="percentile" val="50"/>
        <cfvo type="num" val="0.05"/>
        <color rgb="FFF8696B"/>
        <color rgb="FFFFEB84"/>
        <color rgb="FF63BE7B"/>
      </colorScale>
    </cfRule>
  </conditionalFormatting>
  <conditionalFormatting sqref="C14:H14">
    <cfRule type="colorScale" priority="99">
      <colorScale>
        <cfvo type="num" val="0.1"/>
        <cfvo type="percentile" val="50"/>
        <cfvo type="num" val="0.18"/>
        <color rgb="FFF8696B"/>
        <color rgb="FFFFEB84"/>
        <color rgb="FF63BE7B"/>
      </colorScale>
    </cfRule>
  </conditionalFormatting>
  <conditionalFormatting sqref="C15:H15">
    <cfRule type="colorScale" priority="98">
      <colorScale>
        <cfvo type="min"/>
        <cfvo type="percentile" val="50"/>
        <cfvo type="num" val="1"/>
        <color rgb="FFF8696B"/>
        <color rgb="FFFFEB84"/>
        <color rgb="FF63BE7B"/>
      </colorScale>
    </cfRule>
  </conditionalFormatting>
  <conditionalFormatting sqref="C16:H16">
    <cfRule type="colorScale" priority="97">
      <colorScale>
        <cfvo type="num" val="5"/>
        <cfvo type="percentile" val="50"/>
        <cfvo type="num" val="8"/>
        <color rgb="FFF8696B"/>
        <color rgb="FFFFEB84"/>
        <color rgb="FF63BE7B"/>
      </colorScale>
    </cfRule>
  </conditionalFormatting>
  <conditionalFormatting sqref="C17:H17">
    <cfRule type="colorScale" priority="96">
      <colorScale>
        <cfvo type="num" val="6"/>
        <cfvo type="percentile" val="50"/>
        <cfvo type="num" val="10"/>
        <color rgb="FFF8696B"/>
        <color rgb="FFFFEB84"/>
        <color rgb="FF63BE7B"/>
      </colorScale>
    </cfRule>
  </conditionalFormatting>
  <conditionalFormatting sqref="C18:H18">
    <cfRule type="colorScale" priority="95">
      <colorScale>
        <cfvo type="min"/>
        <cfvo type="percentile" val="50"/>
        <cfvo type="num" val="8"/>
        <color rgb="FFF8696B"/>
        <color rgb="FFFFEB84"/>
        <color rgb="FF63BE7B"/>
      </colorScale>
    </cfRule>
  </conditionalFormatting>
  <conditionalFormatting sqref="C19:H19">
    <cfRule type="colorScale" priority="94">
      <colorScale>
        <cfvo type="num" val="5"/>
        <cfvo type="percentile" val="50"/>
        <cfvo type="num" val="8"/>
        <color rgb="FFF8696B"/>
        <color rgb="FFFFEB84"/>
        <color rgb="FF63BE7B"/>
      </colorScale>
    </cfRule>
  </conditionalFormatting>
  <conditionalFormatting sqref="C20:H20">
    <cfRule type="colorScale" priority="93">
      <colorScale>
        <cfvo type="num" val="8"/>
        <cfvo type="percentile" val="50"/>
        <cfvo type="num" val="15"/>
        <color rgb="FFF8696B"/>
        <color rgb="FFFFEB84"/>
        <color rgb="FF63BE7B"/>
      </colorScale>
    </cfRule>
  </conditionalFormatting>
  <conditionalFormatting sqref="C21:H21">
    <cfRule type="colorScale" priority="92">
      <colorScale>
        <cfvo type="num" val="0.8"/>
        <cfvo type="percentile" val="50"/>
        <cfvo type="num" val="1.5"/>
        <color rgb="FFF8696B"/>
        <color rgb="FFFFEB84"/>
        <color rgb="FF63BE7B"/>
      </colorScale>
    </cfRule>
  </conditionalFormatting>
  <conditionalFormatting sqref="C22:H22">
    <cfRule type="colorScale" priority="91">
      <colorScale>
        <cfvo type="min"/>
        <cfvo type="percentile" val="50"/>
        <cfvo type="num" val="1"/>
        <color rgb="FFF8696B"/>
        <color rgb="FFFFEB84"/>
        <color rgb="FF63BE7B"/>
      </colorScale>
    </cfRule>
  </conditionalFormatting>
  <conditionalFormatting sqref="L5:Q5">
    <cfRule type="colorScale" priority="54">
      <colorScale>
        <cfvo type="num" val="1.2"/>
        <cfvo type="percentile" val="50"/>
        <cfvo type="num" val="1.5"/>
        <color rgb="FFF8696B"/>
        <color rgb="FFFFEB84"/>
        <color rgb="FF63BE7B"/>
      </colorScale>
    </cfRule>
  </conditionalFormatting>
  <conditionalFormatting sqref="L6:Q6">
    <cfRule type="colorScale" priority="53">
      <colorScale>
        <cfvo type="min"/>
        <cfvo type="percentile" val="50"/>
        <cfvo type="num" val="1"/>
        <color rgb="FFF8696B"/>
        <color rgb="FFFFEB84"/>
        <color rgb="FF63BE7B"/>
      </colorScale>
    </cfRule>
  </conditionalFormatting>
  <conditionalFormatting sqref="L7:Q7">
    <cfRule type="colorScale" priority="52">
      <colorScale>
        <cfvo type="min"/>
        <cfvo type="percentile" val="50"/>
        <cfvo type="num" val="1.5"/>
        <color rgb="FFF8696B"/>
        <color rgb="FFFFEB84"/>
        <color rgb="FF63BE7B"/>
      </colorScale>
    </cfRule>
  </conditionalFormatting>
  <conditionalFormatting sqref="L8:Q8">
    <cfRule type="colorScale" priority="51">
      <colorScale>
        <cfvo type="num" val="0.3"/>
        <cfvo type="percentile" val="50"/>
        <cfvo type="num" val="0.45"/>
        <color rgb="FFF8696B"/>
        <color rgb="FFFFEB84"/>
        <color rgb="FF63BE7B"/>
      </colorScale>
    </cfRule>
  </conditionalFormatting>
  <conditionalFormatting sqref="L9:Q9">
    <cfRule type="colorScale" priority="50">
      <colorScale>
        <cfvo type="min"/>
        <cfvo type="percentile" val="50"/>
        <cfvo type="num" val="3"/>
        <color rgb="FFF8696B"/>
        <color rgb="FFFFEB84"/>
        <color rgb="FF63BE7B"/>
      </colorScale>
    </cfRule>
  </conditionalFormatting>
  <conditionalFormatting sqref="L10:Q10">
    <cfRule type="colorScale" priority="49">
      <colorScale>
        <cfvo type="num" val="0.2"/>
        <cfvo type="percentile" val="50"/>
        <cfvo type="num" val="0.35"/>
        <color rgb="FFF8696B"/>
        <color rgb="FFFFEB84"/>
        <color rgb="FF63BE7B"/>
      </colorScale>
    </cfRule>
  </conditionalFormatting>
  <conditionalFormatting sqref="L11:Q11">
    <cfRule type="colorScale" priority="48">
      <colorScale>
        <cfvo type="num" val="0.15"/>
        <cfvo type="percentile" val="50"/>
        <cfvo type="num" val="0.3"/>
        <color rgb="FFF8696B"/>
        <color rgb="FFFFEB84"/>
        <color rgb="FF63BE7B"/>
      </colorScale>
    </cfRule>
  </conditionalFormatting>
  <conditionalFormatting sqref="L12:Q12">
    <cfRule type="colorScale" priority="47">
      <colorScale>
        <cfvo type="num" val="0.08"/>
        <cfvo type="percentile" val="50"/>
        <cfvo type="num" val="0.15"/>
        <color rgb="FFF8696B"/>
        <color rgb="FFFFEB84"/>
        <color rgb="FF63BE7B"/>
      </colorScale>
    </cfRule>
  </conditionalFormatting>
  <conditionalFormatting sqref="L13:Q13">
    <cfRule type="colorScale" priority="46">
      <colorScale>
        <cfvo type="min"/>
        <cfvo type="percentile" val="50"/>
        <cfvo type="num" val="0.05"/>
        <color rgb="FFF8696B"/>
        <color rgb="FFFFEB84"/>
        <color rgb="FF63BE7B"/>
      </colorScale>
    </cfRule>
  </conditionalFormatting>
  <conditionalFormatting sqref="L14:Q14">
    <cfRule type="colorScale" priority="45">
      <colorScale>
        <cfvo type="num" val="0.1"/>
        <cfvo type="percentile" val="50"/>
        <cfvo type="num" val="0.18"/>
        <color rgb="FFF8696B"/>
        <color rgb="FFFFEB84"/>
        <color rgb="FF63BE7B"/>
      </colorScale>
    </cfRule>
  </conditionalFormatting>
  <conditionalFormatting sqref="L15:Q15">
    <cfRule type="colorScale" priority="44">
      <colorScale>
        <cfvo type="min"/>
        <cfvo type="percentile" val="50"/>
        <cfvo type="num" val="1"/>
        <color rgb="FFF8696B"/>
        <color rgb="FFFFEB84"/>
        <color rgb="FF63BE7B"/>
      </colorScale>
    </cfRule>
  </conditionalFormatting>
  <conditionalFormatting sqref="L16:Q16">
    <cfRule type="colorScale" priority="43">
      <colorScale>
        <cfvo type="min"/>
        <cfvo type="percentile" val="50"/>
        <cfvo type="num" val="8"/>
        <color rgb="FFF8696B"/>
        <color rgb="FFFFEB84"/>
        <color rgb="FF63BE7B"/>
      </colorScale>
    </cfRule>
  </conditionalFormatting>
  <conditionalFormatting sqref="L17:Q17">
    <cfRule type="colorScale" priority="42">
      <colorScale>
        <cfvo type="min"/>
        <cfvo type="percentile" val="50"/>
        <cfvo type="num" val="10"/>
        <color rgb="FFF8696B"/>
        <color rgb="FFFFEB84"/>
        <color rgb="FF63BE7B"/>
      </colorScale>
    </cfRule>
  </conditionalFormatting>
  <conditionalFormatting sqref="L18:Q18">
    <cfRule type="colorScale" priority="41">
      <colorScale>
        <cfvo type="min"/>
        <cfvo type="percentile" val="50"/>
        <cfvo type="num" val="12"/>
        <color rgb="FFF8696B"/>
        <color rgb="FFFFEB84"/>
        <color rgb="FF63BE7B"/>
      </colorScale>
    </cfRule>
  </conditionalFormatting>
  <conditionalFormatting sqref="L19:Q19">
    <cfRule type="colorScale" priority="40">
      <colorScale>
        <cfvo type="num" val="5"/>
        <cfvo type="percentile" val="50"/>
        <cfvo type="num" val="8"/>
        <color rgb="FFF8696B"/>
        <color rgb="FFFFEB84"/>
        <color rgb="FF63BE7B"/>
      </colorScale>
    </cfRule>
  </conditionalFormatting>
  <conditionalFormatting sqref="L20:Q20">
    <cfRule type="colorScale" priority="39">
      <colorScale>
        <cfvo type="num" val="8"/>
        <cfvo type="percentile" val="50"/>
        <cfvo type="num" val="15"/>
        <color rgb="FFF8696B"/>
        <color rgb="FFFFEB84"/>
        <color rgb="FF63BE7B"/>
      </colorScale>
    </cfRule>
  </conditionalFormatting>
  <conditionalFormatting sqref="L21:Q21">
    <cfRule type="colorScale" priority="38">
      <colorScale>
        <cfvo type="num" val="0.8"/>
        <cfvo type="percentile" val="50"/>
        <cfvo type="num" val="1.5"/>
        <color rgb="FFF8696B"/>
        <color rgb="FFFFEB84"/>
        <color rgb="FF63BE7B"/>
      </colorScale>
    </cfRule>
  </conditionalFormatting>
  <conditionalFormatting sqref="L22:Q22">
    <cfRule type="colorScale" priority="37">
      <colorScale>
        <cfvo type="num" val="1"/>
        <cfvo type="percentile" val="50"/>
        <cfvo type="num" val="2"/>
        <color rgb="FFF8696B"/>
        <color rgb="FFFFEB84"/>
        <color rgb="FF63BE7B"/>
      </colorScale>
    </cfRule>
  </conditionalFormatting>
  <conditionalFormatting sqref="U5:Z5">
    <cfRule type="colorScale" priority="90">
      <colorScale>
        <cfvo type="num" val="1.2"/>
        <cfvo type="percentile" val="50"/>
        <cfvo type="num" val="1.5"/>
        <color rgb="FFF8696B"/>
        <color rgb="FFFFEB84"/>
        <color rgb="FF63BE7B"/>
      </colorScale>
    </cfRule>
  </conditionalFormatting>
  <conditionalFormatting sqref="U6:Z6">
    <cfRule type="colorScale" priority="89">
      <colorScale>
        <cfvo type="min"/>
        <cfvo type="percentile" val="50"/>
        <cfvo type="num" val="1"/>
        <color rgb="FFF8696B"/>
        <color rgb="FFFFEB84"/>
        <color rgb="FF63BE7B"/>
      </colorScale>
    </cfRule>
  </conditionalFormatting>
  <conditionalFormatting sqref="U7:Z7">
    <cfRule type="colorScale" priority="88">
      <colorScale>
        <cfvo type="num" val="0.5"/>
        <cfvo type="percentile" val="50"/>
        <cfvo type="num" val="1.5"/>
        <color rgb="FFF8696B"/>
        <color rgb="FFFFEB84"/>
        <color rgb="FF63BE7B"/>
      </colorScale>
    </cfRule>
  </conditionalFormatting>
  <conditionalFormatting sqref="U8:Z8">
    <cfRule type="colorScale" priority="87">
      <colorScale>
        <cfvo type="num" val="0.3"/>
        <cfvo type="percentile" val="50"/>
        <cfvo type="num" val="0.45"/>
        <color rgb="FFF8696B"/>
        <color rgb="FFFFEB84"/>
        <color rgb="FF63BE7B"/>
      </colorScale>
    </cfRule>
  </conditionalFormatting>
  <conditionalFormatting sqref="U9:Z9">
    <cfRule type="colorScale" priority="86">
      <colorScale>
        <cfvo type="min"/>
        <cfvo type="percentile" val="50"/>
        <cfvo type="num" val="3"/>
        <color rgb="FFF8696B"/>
        <color rgb="FFFFEB84"/>
        <color rgb="FF63BE7B"/>
      </colorScale>
    </cfRule>
  </conditionalFormatting>
  <conditionalFormatting sqref="U10:Z10">
    <cfRule type="colorScale" priority="85">
      <colorScale>
        <cfvo type="num" val="0.2"/>
        <cfvo type="percentile" val="50"/>
        <cfvo type="num" val="0.35"/>
        <color rgb="FFF8696B"/>
        <color rgb="FFFFEB84"/>
        <color rgb="FF63BE7B"/>
      </colorScale>
    </cfRule>
  </conditionalFormatting>
  <conditionalFormatting sqref="U11:Z11">
    <cfRule type="colorScale" priority="84">
      <colorScale>
        <cfvo type="num" val="0.15"/>
        <cfvo type="num" val="0.25"/>
        <cfvo type="num" val="0.3"/>
        <color rgb="FFF8696B"/>
        <color rgb="FFFFEB84"/>
        <color rgb="FF63BE7B"/>
      </colorScale>
    </cfRule>
  </conditionalFormatting>
  <conditionalFormatting sqref="U12:Z12">
    <cfRule type="colorScale" priority="83">
      <colorScale>
        <cfvo type="num" val="0.08"/>
        <cfvo type="percentile" val="50"/>
        <cfvo type="num" val="0.15"/>
        <color rgb="FFF8696B"/>
        <color rgb="FFFFEB84"/>
        <color rgb="FF63BE7B"/>
      </colorScale>
    </cfRule>
  </conditionalFormatting>
  <conditionalFormatting sqref="U13:Z13">
    <cfRule type="colorScale" priority="82">
      <colorScale>
        <cfvo type="min"/>
        <cfvo type="percentile" val="50"/>
        <cfvo type="num" val="0.05"/>
        <color rgb="FFF8696B"/>
        <color rgb="FFFFEB84"/>
        <color rgb="FF63BE7B"/>
      </colorScale>
    </cfRule>
  </conditionalFormatting>
  <conditionalFormatting sqref="U14:Z14">
    <cfRule type="colorScale" priority="81">
      <colorScale>
        <cfvo type="num" val="0.1"/>
        <cfvo type="percentile" val="50"/>
        <cfvo type="num" val="0.18"/>
        <color rgb="FFF8696B"/>
        <color rgb="FFFFEB84"/>
        <color rgb="FF63BE7B"/>
      </colorScale>
    </cfRule>
  </conditionalFormatting>
  <conditionalFormatting sqref="U15:Z15">
    <cfRule type="colorScale" priority="80">
      <colorScale>
        <cfvo type="min"/>
        <cfvo type="percentile" val="50"/>
        <cfvo type="num" val="1"/>
        <color rgb="FFF8696B"/>
        <color rgb="FFFFEB84"/>
        <color rgb="FF63BE7B"/>
      </colorScale>
    </cfRule>
  </conditionalFormatting>
  <conditionalFormatting sqref="U16:Z16">
    <cfRule type="colorScale" priority="79">
      <colorScale>
        <cfvo type="num" val="5"/>
        <cfvo type="percentile" val="50"/>
        <cfvo type="num" val="8"/>
        <color rgb="FFF8696B"/>
        <color rgb="FFFFEB84"/>
        <color rgb="FF63BE7B"/>
      </colorScale>
    </cfRule>
  </conditionalFormatting>
  <conditionalFormatting sqref="U17:Z17">
    <cfRule type="colorScale" priority="78">
      <colorScale>
        <cfvo type="num" val="6"/>
        <cfvo type="percentile" val="50"/>
        <cfvo type="num" val="10"/>
        <color rgb="FFF8696B"/>
        <color rgb="FFFFEB84"/>
        <color rgb="FF63BE7B"/>
      </colorScale>
    </cfRule>
  </conditionalFormatting>
  <conditionalFormatting sqref="U18:Z18">
    <cfRule type="colorScale" priority="77">
      <colorScale>
        <cfvo type="min"/>
        <cfvo type="percentile" val="50"/>
        <cfvo type="num" val="8"/>
        <color rgb="FFF8696B"/>
        <color rgb="FFFFEB84"/>
        <color rgb="FF63BE7B"/>
      </colorScale>
    </cfRule>
  </conditionalFormatting>
  <conditionalFormatting sqref="U19:Z19">
    <cfRule type="colorScale" priority="76">
      <colorScale>
        <cfvo type="num" val="5"/>
        <cfvo type="percentile" val="50"/>
        <cfvo type="num" val="8"/>
        <color rgb="FFF8696B"/>
        <color rgb="FFFFEB84"/>
        <color rgb="FF63BE7B"/>
      </colorScale>
    </cfRule>
  </conditionalFormatting>
  <conditionalFormatting sqref="U20:Z20">
    <cfRule type="colorScale" priority="75">
      <colorScale>
        <cfvo type="num" val="8"/>
        <cfvo type="percentile" val="50"/>
        <cfvo type="num" val="15"/>
        <color rgb="FFF8696B"/>
        <color rgb="FFFFEB84"/>
        <color rgb="FF63BE7B"/>
      </colorScale>
    </cfRule>
  </conditionalFormatting>
  <conditionalFormatting sqref="U21:Z21">
    <cfRule type="colorScale" priority="74">
      <colorScale>
        <cfvo type="num" val="0.8"/>
        <cfvo type="percentile" val="50"/>
        <cfvo type="num" val="1.5"/>
        <color rgb="FFF8696B"/>
        <color rgb="FFFFEB84"/>
        <color rgb="FF63BE7B"/>
      </colorScale>
    </cfRule>
  </conditionalFormatting>
  <conditionalFormatting sqref="U22:Z22">
    <cfRule type="colorScale" priority="73">
      <colorScale>
        <cfvo type="min"/>
        <cfvo type="percentile" val="50"/>
        <cfvo type="num" val="1"/>
        <color rgb="FFF8696B"/>
        <color rgb="FFFFEB84"/>
        <color rgb="FF63BE7B"/>
      </colorScale>
    </cfRule>
  </conditionalFormatting>
  <conditionalFormatting sqref="AD5:AI5">
    <cfRule type="colorScale" priority="72">
      <colorScale>
        <cfvo type="num" val="1.2"/>
        <cfvo type="percentile" val="50"/>
        <cfvo type="num" val="1.5"/>
        <color rgb="FFF8696B"/>
        <color rgb="FFFFEB84"/>
        <color rgb="FF63BE7B"/>
      </colorScale>
    </cfRule>
  </conditionalFormatting>
  <conditionalFormatting sqref="AD6:AI6">
    <cfRule type="colorScale" priority="71">
      <colorScale>
        <cfvo type="min"/>
        <cfvo type="percentile" val="50"/>
        <cfvo type="num" val="1"/>
        <color rgb="FFF8696B"/>
        <color rgb="FFFFEB84"/>
        <color rgb="FF63BE7B"/>
      </colorScale>
    </cfRule>
  </conditionalFormatting>
  <conditionalFormatting sqref="AD7:AI7">
    <cfRule type="colorScale" priority="70">
      <colorScale>
        <cfvo type="num" val="0.5"/>
        <cfvo type="percentile" val="50"/>
        <cfvo type="num" val="1.5"/>
        <color rgb="FFF8696B"/>
        <color rgb="FFFFEB84"/>
        <color rgb="FF63BE7B"/>
      </colorScale>
    </cfRule>
  </conditionalFormatting>
  <conditionalFormatting sqref="AD8:AI8">
    <cfRule type="colorScale" priority="69">
      <colorScale>
        <cfvo type="num" val="0.3"/>
        <cfvo type="percentile" val="50"/>
        <cfvo type="num" val="0.45"/>
        <color rgb="FFF8696B"/>
        <color rgb="FFFFEB84"/>
        <color rgb="FF63BE7B"/>
      </colorScale>
    </cfRule>
  </conditionalFormatting>
  <conditionalFormatting sqref="AD9:AI9">
    <cfRule type="colorScale" priority="68">
      <colorScale>
        <cfvo type="min"/>
        <cfvo type="percentile" val="50"/>
        <cfvo type="num" val="3"/>
        <color rgb="FFF8696B"/>
        <color rgb="FFFFEB84"/>
        <color rgb="FF63BE7B"/>
      </colorScale>
    </cfRule>
  </conditionalFormatting>
  <conditionalFormatting sqref="AD10:AI10">
    <cfRule type="colorScale" priority="67">
      <colorScale>
        <cfvo type="num" val="0.2"/>
        <cfvo type="percentile" val="50"/>
        <cfvo type="num" val="0.35"/>
        <color rgb="FFF8696B"/>
        <color rgb="FFFFEB84"/>
        <color rgb="FF63BE7B"/>
      </colorScale>
    </cfRule>
  </conditionalFormatting>
  <conditionalFormatting sqref="AD11:AI11">
    <cfRule type="colorScale" priority="66">
      <colorScale>
        <cfvo type="num" val="0.15"/>
        <cfvo type="num" val="0.25"/>
        <cfvo type="num" val="0.3"/>
        <color rgb="FFF8696B"/>
        <color rgb="FFFFEB84"/>
        <color rgb="FF63BE7B"/>
      </colorScale>
    </cfRule>
  </conditionalFormatting>
  <conditionalFormatting sqref="AD12:AI12">
    <cfRule type="colorScale" priority="65">
      <colorScale>
        <cfvo type="num" val="0.08"/>
        <cfvo type="percentile" val="50"/>
        <cfvo type="num" val="0.15"/>
        <color rgb="FFF8696B"/>
        <color rgb="FFFFEB84"/>
        <color rgb="FF63BE7B"/>
      </colorScale>
    </cfRule>
  </conditionalFormatting>
  <conditionalFormatting sqref="AD13:AI13">
    <cfRule type="colorScale" priority="64">
      <colorScale>
        <cfvo type="min"/>
        <cfvo type="percentile" val="50"/>
        <cfvo type="num" val="0.05"/>
        <color rgb="FFF8696B"/>
        <color rgb="FFFFEB84"/>
        <color rgb="FF63BE7B"/>
      </colorScale>
    </cfRule>
  </conditionalFormatting>
  <conditionalFormatting sqref="AD14:AI14">
    <cfRule type="colorScale" priority="63">
      <colorScale>
        <cfvo type="num" val="0.1"/>
        <cfvo type="percentile" val="50"/>
        <cfvo type="num" val="0.18"/>
        <color rgb="FFF8696B"/>
        <color rgb="FFFFEB84"/>
        <color rgb="FF63BE7B"/>
      </colorScale>
    </cfRule>
  </conditionalFormatting>
  <conditionalFormatting sqref="AD15:AI15">
    <cfRule type="colorScale" priority="62">
      <colorScale>
        <cfvo type="min"/>
        <cfvo type="percentile" val="50"/>
        <cfvo type="num" val="1"/>
        <color rgb="FFF8696B"/>
        <color rgb="FFFFEB84"/>
        <color rgb="FF63BE7B"/>
      </colorScale>
    </cfRule>
  </conditionalFormatting>
  <conditionalFormatting sqref="AD16:AI16">
    <cfRule type="colorScale" priority="61">
      <colorScale>
        <cfvo type="num" val="5"/>
        <cfvo type="percentile" val="50"/>
        <cfvo type="num" val="8"/>
        <color rgb="FFF8696B"/>
        <color rgb="FFFFEB84"/>
        <color rgb="FF63BE7B"/>
      </colorScale>
    </cfRule>
  </conditionalFormatting>
  <conditionalFormatting sqref="AD17:AI17">
    <cfRule type="colorScale" priority="60">
      <colorScale>
        <cfvo type="num" val="6"/>
        <cfvo type="percentile" val="50"/>
        <cfvo type="num" val="10"/>
        <color rgb="FFF8696B"/>
        <color rgb="FFFFEB84"/>
        <color rgb="FF63BE7B"/>
      </colorScale>
    </cfRule>
  </conditionalFormatting>
  <conditionalFormatting sqref="AD18:AI18">
    <cfRule type="colorScale" priority="59">
      <colorScale>
        <cfvo type="min"/>
        <cfvo type="percentile" val="50"/>
        <cfvo type="num" val="8"/>
        <color rgb="FFF8696B"/>
        <color rgb="FFFFEB84"/>
        <color rgb="FF63BE7B"/>
      </colorScale>
    </cfRule>
  </conditionalFormatting>
  <conditionalFormatting sqref="AD19:AI19">
    <cfRule type="colorScale" priority="58">
      <colorScale>
        <cfvo type="num" val="5"/>
        <cfvo type="percentile" val="50"/>
        <cfvo type="num" val="8"/>
        <color rgb="FFF8696B"/>
        <color rgb="FFFFEB84"/>
        <color rgb="FF63BE7B"/>
      </colorScale>
    </cfRule>
  </conditionalFormatting>
  <conditionalFormatting sqref="AD20:AI20">
    <cfRule type="colorScale" priority="57">
      <colorScale>
        <cfvo type="num" val="8"/>
        <cfvo type="percentile" val="50"/>
        <cfvo type="num" val="15"/>
        <color rgb="FFF8696B"/>
        <color rgb="FFFFEB84"/>
        <color rgb="FF63BE7B"/>
      </colorScale>
    </cfRule>
  </conditionalFormatting>
  <conditionalFormatting sqref="AD21:AI21">
    <cfRule type="colorScale" priority="56">
      <colorScale>
        <cfvo type="num" val="0.8"/>
        <cfvo type="percentile" val="50"/>
        <cfvo type="num" val="1.5"/>
        <color rgb="FFF8696B"/>
        <color rgb="FFFFEB84"/>
        <color rgb="FF63BE7B"/>
      </colorScale>
    </cfRule>
  </conditionalFormatting>
  <conditionalFormatting sqref="AD22:AI22">
    <cfRule type="colorScale" priority="55">
      <colorScale>
        <cfvo type="min"/>
        <cfvo type="percentile" val="50"/>
        <cfvo type="num" val="1"/>
        <color rgb="FFF8696B"/>
        <color rgb="FFFFEB84"/>
        <color rgb="FF63BE7B"/>
      </colorScale>
    </cfRule>
  </conditionalFormatting>
  <conditionalFormatting sqref="AM5:AR5">
    <cfRule type="colorScale" priority="36">
      <colorScale>
        <cfvo type="num" val="1.2"/>
        <cfvo type="percentile" val="50"/>
        <cfvo type="num" val="1.5"/>
        <color rgb="FFF8696B"/>
        <color rgb="FFFFEB84"/>
        <color rgb="FF63BE7B"/>
      </colorScale>
    </cfRule>
  </conditionalFormatting>
  <conditionalFormatting sqref="AM6:AR6">
    <cfRule type="colorScale" priority="35">
      <colorScale>
        <cfvo type="min"/>
        <cfvo type="percentile" val="50"/>
        <cfvo type="num" val="1"/>
        <color rgb="FFF8696B"/>
        <color rgb="FFFFEB84"/>
        <color rgb="FF63BE7B"/>
      </colorScale>
    </cfRule>
  </conditionalFormatting>
  <conditionalFormatting sqref="AM7:AR7">
    <cfRule type="colorScale" priority="34">
      <colorScale>
        <cfvo type="num" val="0.5"/>
        <cfvo type="percentile" val="50"/>
        <cfvo type="num" val="1.5"/>
        <color rgb="FFF8696B"/>
        <color rgb="FFFFEB84"/>
        <color rgb="FF63BE7B"/>
      </colorScale>
    </cfRule>
  </conditionalFormatting>
  <conditionalFormatting sqref="AM8:AR8">
    <cfRule type="colorScale" priority="33">
      <colorScale>
        <cfvo type="num" val="0.3"/>
        <cfvo type="percentile" val="50"/>
        <cfvo type="num" val="0.45"/>
        <color rgb="FFF8696B"/>
        <color rgb="FFFFEB84"/>
        <color rgb="FF63BE7B"/>
      </colorScale>
    </cfRule>
  </conditionalFormatting>
  <conditionalFormatting sqref="AM9:AR9">
    <cfRule type="colorScale" priority="32">
      <colorScale>
        <cfvo type="min"/>
        <cfvo type="percentile" val="50"/>
        <cfvo type="num" val="3"/>
        <color rgb="FFF8696B"/>
        <color rgb="FFFFEB84"/>
        <color rgb="FF63BE7B"/>
      </colorScale>
    </cfRule>
  </conditionalFormatting>
  <conditionalFormatting sqref="AM10:AR10">
    <cfRule type="colorScale" priority="31">
      <colorScale>
        <cfvo type="num" val="0.2"/>
        <cfvo type="percentile" val="50"/>
        <cfvo type="num" val="0.35"/>
        <color rgb="FFF8696B"/>
        <color rgb="FFFFEB84"/>
        <color rgb="FF63BE7B"/>
      </colorScale>
    </cfRule>
  </conditionalFormatting>
  <conditionalFormatting sqref="AM11:AR11">
    <cfRule type="colorScale" priority="30">
      <colorScale>
        <cfvo type="num" val="0.15"/>
        <cfvo type="num" val="0.25"/>
        <cfvo type="num" val="0.3"/>
        <color rgb="FFF8696B"/>
        <color rgb="FFFFEB84"/>
        <color rgb="FF63BE7B"/>
      </colorScale>
    </cfRule>
  </conditionalFormatting>
  <conditionalFormatting sqref="AM12:AR12">
    <cfRule type="colorScale" priority="29">
      <colorScale>
        <cfvo type="num" val="0.08"/>
        <cfvo type="percentile" val="50"/>
        <cfvo type="num" val="0.15"/>
        <color rgb="FFF8696B"/>
        <color rgb="FFFFEB84"/>
        <color rgb="FF63BE7B"/>
      </colorScale>
    </cfRule>
  </conditionalFormatting>
  <conditionalFormatting sqref="AM13:AR13">
    <cfRule type="colorScale" priority="28">
      <colorScale>
        <cfvo type="min"/>
        <cfvo type="percentile" val="50"/>
        <cfvo type="num" val="0.05"/>
        <color rgb="FFF8696B"/>
        <color rgb="FFFFEB84"/>
        <color rgb="FF63BE7B"/>
      </colorScale>
    </cfRule>
  </conditionalFormatting>
  <conditionalFormatting sqref="AM14:AR14">
    <cfRule type="colorScale" priority="27">
      <colorScale>
        <cfvo type="num" val="0.1"/>
        <cfvo type="percentile" val="50"/>
        <cfvo type="num" val="0.18"/>
        <color rgb="FFF8696B"/>
        <color rgb="FFFFEB84"/>
        <color rgb="FF63BE7B"/>
      </colorScale>
    </cfRule>
  </conditionalFormatting>
  <conditionalFormatting sqref="AM15:AR15">
    <cfRule type="colorScale" priority="26">
      <colorScale>
        <cfvo type="min"/>
        <cfvo type="percentile" val="50"/>
        <cfvo type="num" val="1"/>
        <color rgb="FFF8696B"/>
        <color rgb="FFFFEB84"/>
        <color rgb="FF63BE7B"/>
      </colorScale>
    </cfRule>
  </conditionalFormatting>
  <conditionalFormatting sqref="AM16:AR16">
    <cfRule type="colorScale" priority="25">
      <colorScale>
        <cfvo type="num" val="5"/>
        <cfvo type="percentile" val="50"/>
        <cfvo type="num" val="8"/>
        <color rgb="FFF8696B"/>
        <color rgb="FFFFEB84"/>
        <color rgb="FF63BE7B"/>
      </colorScale>
    </cfRule>
  </conditionalFormatting>
  <conditionalFormatting sqref="AM17:AR17">
    <cfRule type="colorScale" priority="24">
      <colorScale>
        <cfvo type="num" val="6"/>
        <cfvo type="percentile" val="50"/>
        <cfvo type="num" val="10"/>
        <color rgb="FFF8696B"/>
        <color rgb="FFFFEB84"/>
        <color rgb="FF63BE7B"/>
      </colorScale>
    </cfRule>
  </conditionalFormatting>
  <conditionalFormatting sqref="AM18:AR18">
    <cfRule type="colorScale" priority="23">
      <colorScale>
        <cfvo type="min"/>
        <cfvo type="percentile" val="50"/>
        <cfvo type="num" val="8"/>
        <color rgb="FFF8696B"/>
        <color rgb="FFFFEB84"/>
        <color rgb="FF63BE7B"/>
      </colorScale>
    </cfRule>
  </conditionalFormatting>
  <conditionalFormatting sqref="AM19:AR19">
    <cfRule type="colorScale" priority="22">
      <colorScale>
        <cfvo type="num" val="5"/>
        <cfvo type="percentile" val="50"/>
        <cfvo type="num" val="8"/>
        <color rgb="FFF8696B"/>
        <color rgb="FFFFEB84"/>
        <color rgb="FF63BE7B"/>
      </colorScale>
    </cfRule>
  </conditionalFormatting>
  <conditionalFormatting sqref="AM20:AR20">
    <cfRule type="colorScale" priority="21">
      <colorScale>
        <cfvo type="num" val="8"/>
        <cfvo type="percentile" val="50"/>
        <cfvo type="num" val="15"/>
        <color rgb="FFF8696B"/>
        <color rgb="FFFFEB84"/>
        <color rgb="FF63BE7B"/>
      </colorScale>
    </cfRule>
  </conditionalFormatting>
  <conditionalFormatting sqref="AM21:AR21">
    <cfRule type="colorScale" priority="20">
      <colorScale>
        <cfvo type="num" val="0.8"/>
        <cfvo type="percentile" val="50"/>
        <cfvo type="num" val="1.5"/>
        <color rgb="FFF8696B"/>
        <color rgb="FFFFEB84"/>
        <color rgb="FF63BE7B"/>
      </colorScale>
    </cfRule>
  </conditionalFormatting>
  <conditionalFormatting sqref="AM22:AR22">
    <cfRule type="colorScale" priority="19">
      <colorScale>
        <cfvo type="min"/>
        <cfvo type="percentile" val="50"/>
        <cfvo type="num" val="1"/>
        <color rgb="FFF8696B"/>
        <color rgb="FFFFEB84"/>
        <color rgb="FF63BE7B"/>
      </colorScale>
    </cfRule>
  </conditionalFormatting>
  <conditionalFormatting sqref="AV5:BA5">
    <cfRule type="colorScale" priority="18">
      <colorScale>
        <cfvo type="num" val="1.2"/>
        <cfvo type="percentile" val="50"/>
        <cfvo type="num" val="1.5"/>
        <color rgb="FFF8696B"/>
        <color rgb="FFFFEB84"/>
        <color rgb="FF63BE7B"/>
      </colorScale>
    </cfRule>
  </conditionalFormatting>
  <conditionalFormatting sqref="AV6:BA6">
    <cfRule type="colorScale" priority="17">
      <colorScale>
        <cfvo type="min"/>
        <cfvo type="percentile" val="50"/>
        <cfvo type="num" val="1"/>
        <color rgb="FFF8696B"/>
        <color rgb="FFFFEB84"/>
        <color rgb="FF63BE7B"/>
      </colorScale>
    </cfRule>
  </conditionalFormatting>
  <conditionalFormatting sqref="AV7:BA7">
    <cfRule type="colorScale" priority="16">
      <colorScale>
        <cfvo type="num" val="0.5"/>
        <cfvo type="percentile" val="50"/>
        <cfvo type="num" val="1.5"/>
        <color rgb="FFF8696B"/>
        <color rgb="FFFFEB84"/>
        <color rgb="FF63BE7B"/>
      </colorScale>
    </cfRule>
  </conditionalFormatting>
  <conditionalFormatting sqref="AV8:BA8">
    <cfRule type="colorScale" priority="15">
      <colorScale>
        <cfvo type="num" val="0.3"/>
        <cfvo type="percentile" val="50"/>
        <cfvo type="num" val="0.45"/>
        <color rgb="FFF8696B"/>
        <color rgb="FFFFEB84"/>
        <color rgb="FF63BE7B"/>
      </colorScale>
    </cfRule>
  </conditionalFormatting>
  <conditionalFormatting sqref="AV9:BA9">
    <cfRule type="colorScale" priority="14">
      <colorScale>
        <cfvo type="min"/>
        <cfvo type="percentile" val="50"/>
        <cfvo type="num" val="3"/>
        <color rgb="FFF8696B"/>
        <color rgb="FFFFEB84"/>
        <color rgb="FF63BE7B"/>
      </colorScale>
    </cfRule>
  </conditionalFormatting>
  <conditionalFormatting sqref="AV10:BA10">
    <cfRule type="colorScale" priority="13">
      <colorScale>
        <cfvo type="num" val="0.2"/>
        <cfvo type="percentile" val="50"/>
        <cfvo type="num" val="0.35"/>
        <color rgb="FFF8696B"/>
        <color rgb="FFFFEB84"/>
        <color rgb="FF63BE7B"/>
      </colorScale>
    </cfRule>
  </conditionalFormatting>
  <conditionalFormatting sqref="AV11:BA11">
    <cfRule type="colorScale" priority="12">
      <colorScale>
        <cfvo type="num" val="0.15"/>
        <cfvo type="num" val="0.25"/>
        <cfvo type="num" val="0.3"/>
        <color rgb="FFF8696B"/>
        <color rgb="FFFFEB84"/>
        <color rgb="FF63BE7B"/>
      </colorScale>
    </cfRule>
  </conditionalFormatting>
  <conditionalFormatting sqref="AV12:BA12">
    <cfRule type="colorScale" priority="11">
      <colorScale>
        <cfvo type="num" val="0.08"/>
        <cfvo type="percentile" val="50"/>
        <cfvo type="num" val="0.15"/>
        <color rgb="FFF8696B"/>
        <color rgb="FFFFEB84"/>
        <color rgb="FF63BE7B"/>
      </colorScale>
    </cfRule>
  </conditionalFormatting>
  <conditionalFormatting sqref="AV13:BA13">
    <cfRule type="colorScale" priority="10">
      <colorScale>
        <cfvo type="min"/>
        <cfvo type="percentile" val="50"/>
        <cfvo type="num" val="0.05"/>
        <color rgb="FFF8696B"/>
        <color rgb="FFFFEB84"/>
        <color rgb="FF63BE7B"/>
      </colorScale>
    </cfRule>
  </conditionalFormatting>
  <conditionalFormatting sqref="AV14:BA14">
    <cfRule type="colorScale" priority="9">
      <colorScale>
        <cfvo type="num" val="0.1"/>
        <cfvo type="percentile" val="50"/>
        <cfvo type="num" val="0.18"/>
        <color rgb="FFF8696B"/>
        <color rgb="FFFFEB84"/>
        <color rgb="FF63BE7B"/>
      </colorScale>
    </cfRule>
  </conditionalFormatting>
  <conditionalFormatting sqref="AV15:BA15">
    <cfRule type="colorScale" priority="8">
      <colorScale>
        <cfvo type="min"/>
        <cfvo type="percentile" val="50"/>
        <cfvo type="num" val="1"/>
        <color rgb="FFF8696B"/>
        <color rgb="FFFFEB84"/>
        <color rgb="FF63BE7B"/>
      </colorScale>
    </cfRule>
  </conditionalFormatting>
  <conditionalFormatting sqref="AV16:BA16">
    <cfRule type="colorScale" priority="7">
      <colorScale>
        <cfvo type="num" val="5"/>
        <cfvo type="percentile" val="50"/>
        <cfvo type="num" val="8"/>
        <color rgb="FFF8696B"/>
        <color rgb="FFFFEB84"/>
        <color rgb="FF63BE7B"/>
      </colorScale>
    </cfRule>
  </conditionalFormatting>
  <conditionalFormatting sqref="AV17:BA17">
    <cfRule type="colorScale" priority="6">
      <colorScale>
        <cfvo type="num" val="6"/>
        <cfvo type="percentile" val="50"/>
        <cfvo type="num" val="10"/>
        <color rgb="FFF8696B"/>
        <color rgb="FFFFEB84"/>
        <color rgb="FF63BE7B"/>
      </colorScale>
    </cfRule>
  </conditionalFormatting>
  <conditionalFormatting sqref="AV18:BA18">
    <cfRule type="colorScale" priority="5">
      <colorScale>
        <cfvo type="min"/>
        <cfvo type="percentile" val="50"/>
        <cfvo type="num" val="8"/>
        <color rgb="FFF8696B"/>
        <color rgb="FFFFEB84"/>
        <color rgb="FF63BE7B"/>
      </colorScale>
    </cfRule>
  </conditionalFormatting>
  <conditionalFormatting sqref="AV19:BA19">
    <cfRule type="colorScale" priority="4">
      <colorScale>
        <cfvo type="num" val="5"/>
        <cfvo type="percentile" val="50"/>
        <cfvo type="num" val="8"/>
        <color rgb="FFF8696B"/>
        <color rgb="FFFFEB84"/>
        <color rgb="FF63BE7B"/>
      </colorScale>
    </cfRule>
  </conditionalFormatting>
  <conditionalFormatting sqref="AV20:BA20">
    <cfRule type="colorScale" priority="3">
      <colorScale>
        <cfvo type="num" val="8"/>
        <cfvo type="percentile" val="50"/>
        <cfvo type="num" val="15"/>
        <color rgb="FFF8696B"/>
        <color rgb="FFFFEB84"/>
        <color rgb="FF63BE7B"/>
      </colorScale>
    </cfRule>
  </conditionalFormatting>
  <conditionalFormatting sqref="AV21:BA21">
    <cfRule type="colorScale" priority="2">
      <colorScale>
        <cfvo type="num" val="0.8"/>
        <cfvo type="percentile" val="50"/>
        <cfvo type="num" val="1.5"/>
        <color rgb="FFF8696B"/>
        <color rgb="FFFFEB84"/>
        <color rgb="FF63BE7B"/>
      </colorScale>
    </cfRule>
  </conditionalFormatting>
  <conditionalFormatting sqref="AV22:BA22">
    <cfRule type="colorScale" priority="1">
      <colorScale>
        <cfvo type="min"/>
        <cfvo type="percentile" val="50"/>
        <cfvo type="num" val="1"/>
        <color rgb="FFF8696B"/>
        <color rgb="FFFFEB84"/>
        <color rgb="FF63BE7B"/>
      </colorScale>
    </cfRule>
  </conditionalFormatting>
  <pageMargins left="0.7" right="0.7" top="0.75" bottom="0.75" header="0.3" footer="0.3"/>
  <picture r:id="rId1"/>
  <tableParts count="6">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1E011-9A78-4572-BB34-30FD22B06152}">
  <dimension ref="A1:G19"/>
  <sheetViews>
    <sheetView showGridLines="0" topLeftCell="B3" workbookViewId="0">
      <selection activeCell="F21" sqref="F21"/>
    </sheetView>
  </sheetViews>
  <sheetFormatPr defaultRowHeight="14.4" x14ac:dyDescent="0.3"/>
  <cols>
    <col min="1" max="1" width="26.33203125" style="2" bestFit="1" customWidth="1"/>
    <col min="2" max="6" width="13" style="1" customWidth="1"/>
    <col min="7" max="7" width="13.88671875" style="1" bestFit="1" customWidth="1"/>
    <col min="8" max="16384" width="8.88671875" style="2"/>
  </cols>
  <sheetData>
    <row r="1" spans="1:7" ht="23.4" x14ac:dyDescent="0.3">
      <c r="A1" s="45" t="s">
        <v>218</v>
      </c>
    </row>
    <row r="3" spans="1:7" ht="50.4" customHeight="1" x14ac:dyDescent="0.3">
      <c r="A3" s="46" t="s">
        <v>10</v>
      </c>
      <c r="B3" s="47" t="e" vm="1">
        <v>#VALUE!</v>
      </c>
      <c r="C3" s="47" t="e" vm="2">
        <v>#VALUE!</v>
      </c>
      <c r="D3" s="47" t="e" vm="3">
        <v>#VALUE!</v>
      </c>
      <c r="E3" s="47" t="e" vm="4">
        <v>#VALUE!</v>
      </c>
      <c r="F3" s="47" t="e" vm="5">
        <v>#VALUE!</v>
      </c>
      <c r="G3" s="47" t="e" vm="6">
        <v>#VALUE!</v>
      </c>
    </row>
    <row r="4" spans="1:7" ht="15.6" x14ac:dyDescent="0.3">
      <c r="A4" s="48" t="s">
        <v>219</v>
      </c>
      <c r="B4" s="49">
        <v>7.1999999999999995E-2</v>
      </c>
      <c r="C4" s="49">
        <v>7.1999999999999995E-2</v>
      </c>
      <c r="D4" s="49">
        <v>7.1999999999999995E-2</v>
      </c>
      <c r="E4" s="49">
        <v>7.1999999999999995E-2</v>
      </c>
      <c r="F4" s="49">
        <v>7.1999999999999995E-2</v>
      </c>
      <c r="G4" s="50">
        <v>7.1999999999999995E-2</v>
      </c>
    </row>
    <row r="5" spans="1:7" ht="15.6" x14ac:dyDescent="0.3">
      <c r="A5" s="48" t="s">
        <v>8</v>
      </c>
      <c r="B5" s="51">
        <f ca="1">'Company Profile'!B12</f>
        <v>1.2921</v>
      </c>
      <c r="C5" s="51">
        <f ca="1">'Company Profile'!C12</f>
        <v>1.5484</v>
      </c>
      <c r="D5" s="51">
        <f ca="1">'Company Profile'!D12</f>
        <v>1.5871999999999999</v>
      </c>
      <c r="E5" s="51">
        <f ca="1">'Company Profile'!E12</f>
        <v>1.3210999999999999</v>
      </c>
      <c r="F5" s="51">
        <f ca="1">'Company Profile'!F12</f>
        <v>0.99350000000000005</v>
      </c>
      <c r="G5" s="52">
        <f ca="1">'Company Profile'!G12</f>
        <v>1.1398999999999999</v>
      </c>
    </row>
    <row r="6" spans="1:7" ht="15.6" x14ac:dyDescent="0.3">
      <c r="A6" s="48" t="s">
        <v>220</v>
      </c>
      <c r="B6" s="49">
        <v>7.2599999999999998E-2</v>
      </c>
      <c r="C6" s="49">
        <v>7.2599999999999998E-2</v>
      </c>
      <c r="D6" s="49">
        <v>7.2599999999999998E-2</v>
      </c>
      <c r="E6" s="49">
        <v>7.2599999999999998E-2</v>
      </c>
      <c r="F6" s="49">
        <v>7.2599999999999998E-2</v>
      </c>
      <c r="G6" s="50">
        <v>7.2599999999999998E-2</v>
      </c>
    </row>
    <row r="7" spans="1:7" ht="15.6" x14ac:dyDescent="0.3">
      <c r="A7" s="53" t="s">
        <v>221</v>
      </c>
      <c r="B7" s="54">
        <f ca="1">B4+(B5*B6)</f>
        <v>0.16580645999999999</v>
      </c>
      <c r="C7" s="54">
        <f t="shared" ref="C7:G7" ca="1" si="0">C4+(C5*C6)</f>
        <v>0.18441384</v>
      </c>
      <c r="D7" s="54">
        <f t="shared" ca="1" si="0"/>
        <v>0.18723071999999999</v>
      </c>
      <c r="E7" s="54">
        <f t="shared" ca="1" si="0"/>
        <v>0.16791185999999997</v>
      </c>
      <c r="F7" s="54">
        <f t="shared" ca="1" si="0"/>
        <v>0.14412809999999998</v>
      </c>
      <c r="G7" s="55">
        <f t="shared" ca="1" si="0"/>
        <v>0.15475674</v>
      </c>
    </row>
    <row r="8" spans="1:7" ht="15.6" x14ac:dyDescent="0.3">
      <c r="A8" s="48" t="s">
        <v>222</v>
      </c>
      <c r="B8" s="57">
        <f>AVERAGE('Income Statement'!G15)</f>
        <v>3591.44</v>
      </c>
      <c r="C8" s="57">
        <f>AVERAGE('Income Statement'!O14)</f>
        <v>747.99</v>
      </c>
      <c r="D8" s="57">
        <f>AVERAGE('Income Statement'!W16)</f>
        <v>3365.48</v>
      </c>
      <c r="E8" s="57">
        <f>AVERAGE('Income Statement'!AE15)</f>
        <v>9261.93</v>
      </c>
      <c r="F8" s="57">
        <f>AVERAGE('Income Statement'!AM15)</f>
        <v>14534.947</v>
      </c>
      <c r="G8" s="58">
        <f>AVERAGE('Income Statement'!AU17)</f>
        <v>10054</v>
      </c>
    </row>
    <row r="9" spans="1:7" ht="15.6" x14ac:dyDescent="0.3">
      <c r="A9" s="48" t="s">
        <v>223</v>
      </c>
      <c r="B9" s="57">
        <f>(AVERAGE('Balance Sheet'!G39)+AVERAGE('Balance Sheet'!G47))</f>
        <v>51060.91</v>
      </c>
      <c r="C9" s="57">
        <f>(AVERAGE('Balance Sheet'!O37)+AVERAGE('Balance Sheet'!O46))</f>
        <v>16307.37</v>
      </c>
      <c r="D9" s="57">
        <f>(AVERAGE('Balance Sheet'!W34)+AVERAGE('Balance Sheet'!W42))</f>
        <v>66428.88</v>
      </c>
      <c r="E9" s="57">
        <f>(AVERAGE('Balance Sheet'!AE40)+AVERAGE('Balance Sheet'!AE47))</f>
        <v>142559.9</v>
      </c>
      <c r="F9" s="57">
        <f>(AVERAGE('Balance Sheet'!AM56)+AVERAGE('Balance Sheet'!AM64))</f>
        <v>153555.90400000001</v>
      </c>
      <c r="G9" s="58">
        <f>(AVERAGE('Balance Sheet'!AU32)+AVERAGE('Balance Sheet'!AU40))</f>
        <v>198813</v>
      </c>
    </row>
    <row r="10" spans="1:7" ht="15.6" x14ac:dyDescent="0.3">
      <c r="A10" s="48" t="s">
        <v>224</v>
      </c>
      <c r="B10" s="49">
        <f>B8/B9</f>
        <v>7.033638844274416E-2</v>
      </c>
      <c r="C10" s="49">
        <f t="shared" ref="C10:G10" si="1">C8/C9</f>
        <v>4.5868217867136143E-2</v>
      </c>
      <c r="D10" s="49">
        <f t="shared" si="1"/>
        <v>5.0662904447583638E-2</v>
      </c>
      <c r="E10" s="49">
        <f t="shared" si="1"/>
        <v>6.4968690354019615E-2</v>
      </c>
      <c r="F10" s="49">
        <f t="shared" si="1"/>
        <v>9.4655735281920519E-2</v>
      </c>
      <c r="G10" s="49">
        <f t="shared" si="1"/>
        <v>5.0570133743769272E-2</v>
      </c>
    </row>
    <row r="11" spans="1:7" ht="15.6" x14ac:dyDescent="0.3">
      <c r="A11" s="48" t="s">
        <v>139</v>
      </c>
      <c r="B11" s="59">
        <f>'Income Statement'!G26/'Income Statement'!G21</f>
        <v>0.29740131732381525</v>
      </c>
      <c r="C11" s="59">
        <f>'Income Statement'!O26/'Income Statement'!O21</f>
        <v>0.22569275530877836</v>
      </c>
      <c r="D11" s="59">
        <f>'Income Statement'!W29/'Income Statement'!W24</f>
        <v>0.25157890994102061</v>
      </c>
      <c r="E11" s="59">
        <f>'Income Statement'!AE31/'Income Statement'!AE27</f>
        <v>0.19190843586730702</v>
      </c>
      <c r="F11" s="59">
        <f>'Income Statement'!AM28/'Income Statement'!AM23</f>
        <v>0.26850839636053198</v>
      </c>
      <c r="G11" s="60">
        <f>'Income Statement'!AU27/'Income Statement'!AU23</f>
        <v>0.23556191467221643</v>
      </c>
    </row>
    <row r="12" spans="1:7" ht="15.6" x14ac:dyDescent="0.3">
      <c r="A12" s="53" t="s">
        <v>225</v>
      </c>
      <c r="B12" s="62">
        <f>B10*(1-B11)</f>
        <v>4.9418253864072476E-2</v>
      </c>
      <c r="C12" s="62">
        <f t="shared" ref="C12:G12" si="2">C10*(1-C11)</f>
        <v>3.5516093395598851E-2</v>
      </c>
      <c r="D12" s="62">
        <f t="shared" si="2"/>
        <v>3.7917186172214463E-2</v>
      </c>
      <c r="E12" s="62">
        <f t="shared" si="2"/>
        <v>5.2500650607832315E-2</v>
      </c>
      <c r="F12" s="62">
        <f t="shared" si="2"/>
        <v>6.923987559504502E-2</v>
      </c>
      <c r="G12" s="62">
        <f t="shared" si="2"/>
        <v>3.8657736213856923E-2</v>
      </c>
    </row>
    <row r="13" spans="1:7" ht="15.6" x14ac:dyDescent="0.3">
      <c r="A13" s="48" t="s">
        <v>226</v>
      </c>
      <c r="B13" s="61">
        <f ca="1">'Company Profile'!B10/10000000</f>
        <v>159288.20000000001</v>
      </c>
      <c r="C13" s="61">
        <f ca="1">'Company Profile'!C10/10000000</f>
        <v>118660.5</v>
      </c>
      <c r="D13" s="61">
        <f ca="1">'Company Profile'!D10/10000000</f>
        <v>102039.7</v>
      </c>
      <c r="E13" s="61">
        <f ca="1">'Company Profile'!E10/10000000</f>
        <v>238874.9</v>
      </c>
      <c r="F13" s="61">
        <f ca="1">'Company Profile'!F10/10000000</f>
        <v>317274.7</v>
      </c>
      <c r="G13" s="61">
        <f ca="1">'Company Profile'!G10/10000000</f>
        <v>2000099</v>
      </c>
    </row>
    <row r="14" spans="1:7" ht="15.6" x14ac:dyDescent="0.3">
      <c r="A14" s="48" t="s">
        <v>223</v>
      </c>
      <c r="B14" s="57">
        <f>B9</f>
        <v>51060.91</v>
      </c>
      <c r="C14" s="57">
        <f t="shared" ref="C14:G14" si="3">C9</f>
        <v>16307.37</v>
      </c>
      <c r="D14" s="57">
        <f t="shared" si="3"/>
        <v>66428.88</v>
      </c>
      <c r="E14" s="57">
        <f t="shared" si="3"/>
        <v>142559.9</v>
      </c>
      <c r="F14" s="57">
        <f t="shared" si="3"/>
        <v>153555.90400000001</v>
      </c>
      <c r="G14" s="57">
        <f t="shared" si="3"/>
        <v>198813</v>
      </c>
    </row>
    <row r="15" spans="1:7" ht="15.6" x14ac:dyDescent="0.3">
      <c r="A15" s="48" t="s">
        <v>227</v>
      </c>
      <c r="B15" s="49">
        <f ca="1">B13/(B13+B14)</f>
        <v>0.75725635349728837</v>
      </c>
      <c r="C15" s="49">
        <f t="shared" ref="C15:G15" ca="1" si="4">C13/(C13+C14)</f>
        <v>0.87917591053337363</v>
      </c>
      <c r="D15" s="49">
        <f t="shared" ca="1" si="4"/>
        <v>0.60568979687488311</v>
      </c>
      <c r="E15" s="49">
        <f t="shared" ca="1" si="4"/>
        <v>0.62625355630896817</v>
      </c>
      <c r="F15" s="49">
        <f t="shared" ca="1" si="4"/>
        <v>0.67386167616241011</v>
      </c>
      <c r="G15" s="49">
        <f t="shared" ca="1" si="4"/>
        <v>0.90958574058443453</v>
      </c>
    </row>
    <row r="16" spans="1:7" ht="15.6" x14ac:dyDescent="0.3">
      <c r="A16" s="48" t="s">
        <v>228</v>
      </c>
      <c r="B16" s="49">
        <f ca="1">B14/(B14+B13)</f>
        <v>0.2427436465027116</v>
      </c>
      <c r="C16" s="49">
        <f t="shared" ref="C16:G16" ca="1" si="5">C14/(C14+C13)</f>
        <v>0.1208240894666264</v>
      </c>
      <c r="D16" s="49">
        <f t="shared" ca="1" si="5"/>
        <v>0.39431020312511683</v>
      </c>
      <c r="E16" s="49">
        <f t="shared" ca="1" si="5"/>
        <v>0.37374644369103188</v>
      </c>
      <c r="F16" s="49">
        <f t="shared" ca="1" si="5"/>
        <v>0.32613832383758978</v>
      </c>
      <c r="G16" s="49">
        <f t="shared" ca="1" si="5"/>
        <v>9.0414259415565509E-2</v>
      </c>
    </row>
    <row r="17" spans="1:7" ht="15.6" x14ac:dyDescent="0.3">
      <c r="A17" s="63" t="s">
        <v>218</v>
      </c>
      <c r="B17" s="64">
        <f ca="1">(B15*B7)+(B16*B12)</f>
        <v>0.13755396243265569</v>
      </c>
      <c r="C17" s="64">
        <f t="shared" ref="C17:G17" ca="1" si="6">(C15*C7)+(C16*C12)</f>
        <v>0.16642340534289077</v>
      </c>
      <c r="D17" s="64">
        <f t="shared" ca="1" si="6"/>
        <v>0.12835487014703686</v>
      </c>
      <c r="E17" s="64">
        <f t="shared" ca="1" si="6"/>
        <v>0.12477733092759631</v>
      </c>
      <c r="F17" s="64">
        <f t="shared" ca="1" si="6"/>
        <v>0.11970418001739466</v>
      </c>
      <c r="G17" s="64">
        <f t="shared" ca="1" si="6"/>
        <v>0.14425973455379093</v>
      </c>
    </row>
    <row r="18" spans="1:7" ht="15.6" x14ac:dyDescent="0.3">
      <c r="A18" s="56" t="s">
        <v>229</v>
      </c>
      <c r="B18" s="65">
        <f>'Balance Sheet'!G24</f>
        <v>557.92999999999995</v>
      </c>
      <c r="C18" s="65">
        <f>'Balance Sheet'!O23</f>
        <v>1403.34</v>
      </c>
      <c r="D18" s="65">
        <f>'Balance Sheet'!W20</f>
        <v>166.22</v>
      </c>
      <c r="E18" s="65">
        <f>'Balance Sheet'!AE23</f>
        <v>673.17</v>
      </c>
      <c r="F18" s="65">
        <f>'Balance Sheet'!AM39</f>
        <v>4554.357</v>
      </c>
      <c r="G18" s="66">
        <f>'Balance Sheet'!AU20</f>
        <v>82471</v>
      </c>
    </row>
    <row r="19" spans="1:7" ht="15.6" x14ac:dyDescent="0.3">
      <c r="A19" s="56" t="s">
        <v>230</v>
      </c>
      <c r="B19" s="67">
        <v>0.04</v>
      </c>
      <c r="C19" s="67">
        <v>0.04</v>
      </c>
      <c r="D19" s="67">
        <v>0.04</v>
      </c>
      <c r="E19" s="67">
        <v>0.04</v>
      </c>
      <c r="F19" s="67">
        <v>0.04</v>
      </c>
      <c r="G19" s="67">
        <v>0.04</v>
      </c>
    </row>
  </sheetData>
  <pageMargins left="0.7" right="0.7" top="0.75" bottom="0.75" header="0.3" footer="0.3"/>
  <pictur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57D3-E434-48B7-A56E-0E6F9249EBC8}">
  <dimension ref="A1:BA24"/>
  <sheetViews>
    <sheetView showGridLines="0" topLeftCell="AU1" workbookViewId="0">
      <selection activeCell="C10" sqref="C10"/>
    </sheetView>
  </sheetViews>
  <sheetFormatPr defaultRowHeight="14.4" x14ac:dyDescent="0.3"/>
  <cols>
    <col min="1" max="1" width="19.77734375" style="2" bestFit="1" customWidth="1"/>
    <col min="2" max="2" width="10.88671875" style="1" bestFit="1" customWidth="1"/>
    <col min="3" max="3" width="5.33203125" style="1" bestFit="1" customWidth="1"/>
    <col min="4" max="8" width="10.88671875" style="1" bestFit="1" customWidth="1"/>
    <col min="9" max="9" width="8.88671875" style="2"/>
    <col min="10" max="10" width="19.77734375" style="2" bestFit="1" customWidth="1"/>
    <col min="11" max="11" width="10.88671875" style="1" bestFit="1" customWidth="1"/>
    <col min="12" max="12" width="6" style="1" bestFit="1" customWidth="1"/>
    <col min="13" max="17" width="10.88671875" style="1" bestFit="1" customWidth="1"/>
    <col min="18" max="18" width="8.88671875" style="2"/>
    <col min="19" max="19" width="19.77734375" style="2" bestFit="1" customWidth="1"/>
    <col min="20" max="20" width="10.88671875" style="2" bestFit="1" customWidth="1"/>
    <col min="21" max="21" width="6" style="2" bestFit="1" customWidth="1"/>
    <col min="22" max="26" width="10.88671875" style="2" bestFit="1" customWidth="1"/>
    <col min="27" max="27" width="8.88671875" style="2"/>
    <col min="28" max="28" width="19.77734375" style="2" bestFit="1" customWidth="1"/>
    <col min="29" max="29" width="11.5546875" style="2" bestFit="1" customWidth="1"/>
    <col min="30" max="30" width="6" style="2" bestFit="1" customWidth="1"/>
    <col min="31" max="32" width="10.88671875" style="2" bestFit="1" customWidth="1"/>
    <col min="33" max="35" width="12.33203125" style="2" bestFit="1" customWidth="1"/>
    <col min="36" max="36" width="8.88671875" style="2"/>
    <col min="37" max="37" width="19.77734375" style="2" bestFit="1" customWidth="1"/>
    <col min="38" max="38" width="11.44140625" style="2" bestFit="1" customWidth="1"/>
    <col min="39" max="39" width="6" style="2" bestFit="1" customWidth="1"/>
    <col min="40" max="44" width="10.88671875" style="2" bestFit="1" customWidth="1"/>
    <col min="45" max="45" width="8.88671875" style="2"/>
    <col min="46" max="46" width="19.77734375" style="2" bestFit="1" customWidth="1"/>
    <col min="47" max="47" width="12.109375" style="2" bestFit="1" customWidth="1"/>
    <col min="48" max="48" width="6" style="2" bestFit="1" customWidth="1"/>
    <col min="49" max="53" width="10.88671875" style="2" bestFit="1" customWidth="1"/>
    <col min="54" max="16384" width="8.88671875" style="2"/>
  </cols>
  <sheetData>
    <row r="1" spans="1:53" ht="28.8" x14ac:dyDescent="0.3">
      <c r="A1" s="68" t="s">
        <v>231</v>
      </c>
      <c r="B1" s="69"/>
      <c r="C1" s="69"/>
    </row>
    <row r="3" spans="1:53" ht="42.6" customHeight="1" x14ac:dyDescent="0.3">
      <c r="A3" s="116" t="e" vm="1">
        <v>#VALUE!</v>
      </c>
      <c r="B3" s="116"/>
      <c r="C3" s="116"/>
      <c r="D3" s="116"/>
      <c r="E3" s="116"/>
      <c r="F3" s="116"/>
      <c r="G3" s="116"/>
      <c r="H3" s="116"/>
      <c r="J3" s="116" t="e" vm="2">
        <v>#VALUE!</v>
      </c>
      <c r="K3" s="116"/>
      <c r="L3" s="116"/>
      <c r="M3" s="116"/>
      <c r="N3" s="116"/>
      <c r="O3" s="116"/>
      <c r="P3" s="116"/>
      <c r="Q3" s="116"/>
      <c r="S3" s="116" t="e" vm="3">
        <v>#VALUE!</v>
      </c>
      <c r="T3" s="116"/>
      <c r="U3" s="116"/>
      <c r="V3" s="116"/>
      <c r="W3" s="116"/>
      <c r="X3" s="116"/>
      <c r="Y3" s="116"/>
      <c r="Z3" s="116"/>
      <c r="AB3" s="116" t="e" vm="4">
        <v>#VALUE!</v>
      </c>
      <c r="AC3" s="116"/>
      <c r="AD3" s="116"/>
      <c r="AE3" s="116"/>
      <c r="AF3" s="116"/>
      <c r="AG3" s="116"/>
      <c r="AH3" s="116"/>
      <c r="AI3" s="116"/>
      <c r="AK3" s="116" t="e" vm="5">
        <v>#VALUE!</v>
      </c>
      <c r="AL3" s="116"/>
      <c r="AM3" s="116"/>
      <c r="AN3" s="116"/>
      <c r="AO3" s="116"/>
      <c r="AP3" s="116"/>
      <c r="AQ3" s="116"/>
      <c r="AR3" s="116"/>
      <c r="AT3" s="116" t="e" vm="6">
        <v>#VALUE!</v>
      </c>
      <c r="AU3" s="116"/>
      <c r="AV3" s="116"/>
      <c r="AW3" s="116"/>
      <c r="AX3" s="116"/>
      <c r="AY3" s="116"/>
      <c r="AZ3" s="116"/>
      <c r="BA3" s="116"/>
    </row>
    <row r="4" spans="1:53" x14ac:dyDescent="0.3">
      <c r="A4" s="75" t="s">
        <v>10</v>
      </c>
      <c r="B4" s="76" t="s">
        <v>46</v>
      </c>
      <c r="C4" s="76" t="s">
        <v>190</v>
      </c>
      <c r="D4" s="76" t="s">
        <v>239</v>
      </c>
      <c r="E4" s="76" t="s">
        <v>240</v>
      </c>
      <c r="F4" s="76" t="s">
        <v>241</v>
      </c>
      <c r="G4" s="76" t="s">
        <v>242</v>
      </c>
      <c r="H4" s="76" t="s">
        <v>243</v>
      </c>
      <c r="J4" s="2" t="s">
        <v>10</v>
      </c>
      <c r="K4" s="1" t="s">
        <v>46</v>
      </c>
      <c r="L4" s="1" t="s">
        <v>190</v>
      </c>
      <c r="M4" s="1" t="s">
        <v>239</v>
      </c>
      <c r="N4" s="1" t="s">
        <v>240</v>
      </c>
      <c r="O4" s="1" t="s">
        <v>241</v>
      </c>
      <c r="P4" s="1" t="s">
        <v>242</v>
      </c>
      <c r="Q4" s="1" t="s">
        <v>243</v>
      </c>
      <c r="S4" s="2" t="s">
        <v>10</v>
      </c>
      <c r="T4" s="1" t="s">
        <v>46</v>
      </c>
      <c r="U4" s="1" t="s">
        <v>190</v>
      </c>
      <c r="V4" s="1" t="s">
        <v>239</v>
      </c>
      <c r="W4" s="1" t="s">
        <v>240</v>
      </c>
      <c r="X4" s="1" t="s">
        <v>241</v>
      </c>
      <c r="Y4" s="1" t="s">
        <v>242</v>
      </c>
      <c r="Z4" s="1" t="s">
        <v>243</v>
      </c>
      <c r="AB4" s="2" t="s">
        <v>10</v>
      </c>
      <c r="AC4" s="1" t="s">
        <v>46</v>
      </c>
      <c r="AD4" s="1" t="s">
        <v>190</v>
      </c>
      <c r="AE4" s="1" t="s">
        <v>239</v>
      </c>
      <c r="AF4" s="1" t="s">
        <v>240</v>
      </c>
      <c r="AG4" s="1" t="s">
        <v>241</v>
      </c>
      <c r="AH4" s="1" t="s">
        <v>242</v>
      </c>
      <c r="AI4" s="1" t="s">
        <v>243</v>
      </c>
      <c r="AK4" s="2" t="s">
        <v>10</v>
      </c>
      <c r="AL4" s="1" t="s">
        <v>46</v>
      </c>
      <c r="AM4" s="1" t="s">
        <v>190</v>
      </c>
      <c r="AN4" s="1" t="s">
        <v>239</v>
      </c>
      <c r="AO4" s="1" t="s">
        <v>240</v>
      </c>
      <c r="AP4" s="1" t="s">
        <v>241</v>
      </c>
      <c r="AQ4" s="1" t="s">
        <v>242</v>
      </c>
      <c r="AR4" s="1" t="s">
        <v>243</v>
      </c>
      <c r="AT4" s="2" t="s">
        <v>10</v>
      </c>
      <c r="AU4" s="1" t="s">
        <v>46</v>
      </c>
      <c r="AV4" s="1" t="s">
        <v>190</v>
      </c>
      <c r="AW4" s="1" t="s">
        <v>239</v>
      </c>
      <c r="AX4" s="1" t="s">
        <v>240</v>
      </c>
      <c r="AY4" s="1" t="s">
        <v>241</v>
      </c>
      <c r="AZ4" s="1" t="s">
        <v>242</v>
      </c>
      <c r="BA4" s="1" t="s">
        <v>243</v>
      </c>
    </row>
    <row r="5" spans="1:53" x14ac:dyDescent="0.3">
      <c r="A5" s="70" t="s">
        <v>232</v>
      </c>
      <c r="B5" s="77">
        <f>'Income Statement'!G8</f>
        <v>503202.19999999995</v>
      </c>
      <c r="C5" s="78">
        <f>('Income Statement'!G8/'Income Statement'!B8)^(1/6)-1</f>
        <v>7.2489430328699145E-2</v>
      </c>
      <c r="D5" s="77">
        <f>Table34[[#This Row],[2025]]*(1+C5)</f>
        <v>539679.04081814806</v>
      </c>
      <c r="E5" s="77">
        <f>Table34[[#This Row],[2026]]*(1+$C$5)</f>
        <v>578800.06704739435</v>
      </c>
      <c r="F5" s="77">
        <f>Table34[[#This Row],[2027]]*(1+$C$5)</f>
        <v>620756.95418187289</v>
      </c>
      <c r="G5" s="77">
        <f>Table34[[#This Row],[2028]]*(1+$C$5)</f>
        <v>665755.2721630953</v>
      </c>
      <c r="H5" s="77">
        <f>Table34[[#This Row],[2029]]*(1+$C$5)</f>
        <v>714015.49258052616</v>
      </c>
      <c r="J5" s="2" t="s">
        <v>232</v>
      </c>
      <c r="K5" s="28">
        <f>'Income Statement'!O8</f>
        <v>143559.06000000003</v>
      </c>
      <c r="L5" s="84">
        <f>('Income Statement'!O8/'Income Statement'!J8)^(1/6)-1</f>
        <v>0.11649024226103366</v>
      </c>
      <c r="M5" s="28">
        <f>Table14[[#This Row],[2025]]*(1+L5)</f>
        <v>160282.2896781663</v>
      </c>
      <c r="N5" s="28">
        <f>Table14[[#This Row],[2026]]*(1+$L$5)</f>
        <v>178953.61243292908</v>
      </c>
      <c r="O5" s="28">
        <f>Table14[[#This Row],[2027]]*(1+$L$5)</f>
        <v>199799.96209872811</v>
      </c>
      <c r="P5" s="28">
        <f>Table14[[#This Row],[2028]]*(1+$L$5)</f>
        <v>223074.70808735429</v>
      </c>
      <c r="Q5" s="28">
        <f>Table14[[#This Row],[2029]]*(1+$L$5)</f>
        <v>249060.73487475954</v>
      </c>
      <c r="S5" s="2" t="s">
        <v>232</v>
      </c>
      <c r="T5" s="28">
        <f>'Income Statement'!W9</f>
        <v>468811.52999999997</v>
      </c>
      <c r="U5" s="84">
        <f>('Income Statement'!W9/'Income Statement'!R9)^(1/6)-1</f>
        <v>8.3704074760561298E-2</v>
      </c>
      <c r="V5" s="28">
        <f>Table1422[[#This Row],[2025]]*(1+U5)</f>
        <v>508052.96535573312</v>
      </c>
      <c r="W5" s="28">
        <f>Table1422[[#This Row],[2026]]*(1+$U$5)</f>
        <v>550579.06875019427</v>
      </c>
      <c r="X5" s="28">
        <f>Table1422[[#This Row],[2027]]*(1+$U$5)</f>
        <v>596664.78028246074</v>
      </c>
      <c r="Y5" s="28">
        <f>Table1422[[#This Row],[2028]]*(1+$U$5)</f>
        <v>646608.05365821766</v>
      </c>
      <c r="Z5" s="28">
        <f>Table1422[[#This Row],[2029]]*(1+$U$5)</f>
        <v>700731.7825224062</v>
      </c>
      <c r="AB5" s="2" t="s">
        <v>232</v>
      </c>
      <c r="AC5" s="28">
        <f>'Income Statement'!AE8</f>
        <v>862876.46</v>
      </c>
      <c r="AD5" s="84">
        <f>('Income Statement'!AE8/'Income Statement'!Z8)^(1/6)-1</f>
        <v>6.8828281888188014E-2</v>
      </c>
      <c r="AE5" s="28">
        <f>Table142236[[#This Row],[2025]]*(1+AD5)</f>
        <v>922266.76422356174</v>
      </c>
      <c r="AF5" s="28">
        <f>Table142236[[#This Row],[2026]]*(1+$AD$5)</f>
        <v>985744.80104764807</v>
      </c>
      <c r="AG5" s="28">
        <f>Table142236[[#This Row],[2027]]*(1+$AD$5)</f>
        <v>1053591.9220839713</v>
      </c>
      <c r="AH5" s="28">
        <f>Table142236[[#This Row],[2028]]*(1+$AD$5)</f>
        <v>1126108.8438922847</v>
      </c>
      <c r="AI5" s="28">
        <f>Table142236[[#This Row],[2029]]*(1+$AD$5)</f>
        <v>1203616.9808364843</v>
      </c>
      <c r="AK5" s="2" t="s">
        <v>232</v>
      </c>
      <c r="AL5" s="28">
        <f>'Income Statement'!AM8</f>
        <v>675655.88300000003</v>
      </c>
      <c r="AM5" s="84">
        <f>('Income Statement'!AM8/'Income Statement'!AH8)^(1/6)-1</f>
        <v>7.6546893241028924E-2</v>
      </c>
      <c r="AN5" s="28">
        <f>Table14223640[[#This Row],[2025]]*(1+AM5)</f>
        <v>727375.24174367415</v>
      </c>
      <c r="AO5" s="28">
        <f>Table14223640[[#This Row],[2026]]*(1+$AM$5)</f>
        <v>783053.55671959475</v>
      </c>
      <c r="AP5" s="28">
        <f>Table14223640[[#This Row],[2027]]*(1+$AM$5)</f>
        <v>842993.87372781755</v>
      </c>
      <c r="AQ5" s="28">
        <f>Table14223640[[#This Row],[2028]]*(1+$AM$5)</f>
        <v>907522.43578290218</v>
      </c>
      <c r="AR5" s="28">
        <f>Table14223640[[#This Row],[2029]]*(1+$AM$5)</f>
        <v>976990.45878861449</v>
      </c>
      <c r="AT5" s="2" t="s">
        <v>232</v>
      </c>
      <c r="AU5" s="28">
        <f>'Income Statement'!AU10</f>
        <v>548886</v>
      </c>
      <c r="AV5" s="84">
        <f>('Income Statement'!AU10/'Income Statement'!AP10)^(1/6)-1</f>
        <v>7.015850821333447E-2</v>
      </c>
      <c r="AW5" s="28">
        <f>Table14223644[[#This Row],[2025]]*(1+$AV$5)</f>
        <v>587395.02293918433</v>
      </c>
      <c r="AX5" s="28">
        <f>Table14223644[[#This Row],[2026]]*(1+$AV$5)</f>
        <v>628605.78148053493</v>
      </c>
      <c r="AY5" s="28">
        <f>Table14223644[[#This Row],[2027]]*(1+$AV$5)</f>
        <v>672707.82536348654</v>
      </c>
      <c r="AZ5" s="28">
        <f>Table14223644[[#This Row],[2028]]*(1+$AV$5)</f>
        <v>719904.00285442511</v>
      </c>
      <c r="BA5" s="28">
        <f>Table14223644[[#This Row],[2029]]*(1+$AV$5)</f>
        <v>770411.39375149971</v>
      </c>
    </row>
    <row r="6" spans="1:53" x14ac:dyDescent="0.3">
      <c r="A6" s="70" t="s">
        <v>233</v>
      </c>
      <c r="B6" s="77">
        <f>'Income Statement'!G19+'Income Statement'!G15</f>
        <v>20829.409999999971</v>
      </c>
      <c r="C6" s="79">
        <f>(AVERAGE('Income Statement'!B19:G19)+AVERAGE('Income Statement'!B15:G15))/AVERAGE('Income Statement'!B8:G8)</f>
        <v>4.0777198227867177E-2</v>
      </c>
      <c r="D6" s="77">
        <f>D5*$C$6</f>
        <v>22006.599226866845</v>
      </c>
      <c r="E6" s="77">
        <f t="shared" ref="E6:H6" si="0">E5*$C$6</f>
        <v>23601.845068294413</v>
      </c>
      <c r="F6" s="77">
        <f t="shared" si="0"/>
        <v>25312.729372001293</v>
      </c>
      <c r="G6" s="77">
        <f t="shared" si="0"/>
        <v>27147.634704242198</v>
      </c>
      <c r="H6" s="77">
        <f t="shared" si="0"/>
        <v>29115.551278724342</v>
      </c>
      <c r="J6" s="2" t="s">
        <v>233</v>
      </c>
      <c r="K6" s="28">
        <f>'Income Statement'!O19+'Income Statement'!O14</f>
        <v>12900.23000000002</v>
      </c>
      <c r="L6" s="84">
        <f>(AVERAGE('Income Statement'!J19:O19)+AVERAGE('Income Statement'!J14:O14))/AVERAGE('Income Statement'!J8:O8)</f>
        <v>9.0849305062281421E-2</v>
      </c>
      <c r="M6" s="28">
        <f>M5*$L$6</f>
        <v>14561.534631052691</v>
      </c>
      <c r="N6" s="28">
        <f t="shared" ref="N6:Q6" si="1">N5*$L$6</f>
        <v>16257.811327916452</v>
      </c>
      <c r="O6" s="28">
        <f t="shared" si="1"/>
        <v>18151.687708139616</v>
      </c>
      <c r="P6" s="28">
        <f t="shared" si="1"/>
        <v>20266.182206707424</v>
      </c>
      <c r="Q6" s="28">
        <f t="shared" si="1"/>
        <v>22626.994681673023</v>
      </c>
      <c r="S6" s="2" t="s">
        <v>233</v>
      </c>
      <c r="T6" s="28">
        <f>'Income Statement'!W20+'Income Statement'!W16</f>
        <v>12484.95000000003</v>
      </c>
      <c r="U6" s="84">
        <f>(AVERAGE('Income Statement'!R20:W20)+AVERAGE('Income Statement'!R16:W16))/AVERAGE('Income Statement'!R9:W9)</f>
        <v>2.1843348447826271E-2</v>
      </c>
      <c r="V6" s="28">
        <f>V5*$U$6</f>
        <v>11097.577952216687</v>
      </c>
      <c r="W6" s="28">
        <f t="shared" ref="W6:Z6" si="2">W5*$U$6</f>
        <v>12026.490446790191</v>
      </c>
      <c r="X6" s="28">
        <f t="shared" si="2"/>
        <v>13033.156702255492</v>
      </c>
      <c r="Y6" s="28">
        <f t="shared" si="2"/>
        <v>14124.085025227196</v>
      </c>
      <c r="Z6" s="28">
        <f t="shared" si="2"/>
        <v>15306.328494103338</v>
      </c>
      <c r="AB6" s="2" t="s">
        <v>233</v>
      </c>
      <c r="AC6" s="28">
        <f>'Income Statement'!AE23+'Income Statement'!AE15</f>
        <v>22726.93</v>
      </c>
      <c r="AD6" s="84">
        <f>(AVERAGE('Income Statement'!Z23:AE23)+AVERAGE('Income Statement'!Z15:AE15))/AVERAGE('Income Statement'!Z8:AE8)</f>
        <v>4.1569805805952584E-2</v>
      </c>
      <c r="AE6" s="28">
        <f>AE5*$AD$6</f>
        <v>38338.450290057721</v>
      </c>
      <c r="AF6" s="28">
        <f t="shared" ref="AF6:AI6" si="3">AF5*$AD$6</f>
        <v>40977.219953778098</v>
      </c>
      <c r="AG6" s="28">
        <f t="shared" si="3"/>
        <v>43797.611599751013</v>
      </c>
      <c r="AH6" s="28">
        <f t="shared" si="3"/>
        <v>46812.125956968048</v>
      </c>
      <c r="AI6" s="28">
        <f t="shared" si="3"/>
        <v>50034.124158119608</v>
      </c>
      <c r="AK6" s="2" t="s">
        <v>233</v>
      </c>
      <c r="AL6" s="28">
        <f>'Income Statement'!AM19+'Income Statement'!AM15</f>
        <v>66048.323000000048</v>
      </c>
      <c r="AM6" s="84">
        <f>(AVERAGE('Income Statement'!AH19:AM19)+AVERAGE('Income Statement'!AH15:AM15))/AVERAGE('Income Statement'!AH8:AM8)</f>
        <v>9.9881344838842423E-2</v>
      </c>
      <c r="AN6" s="28">
        <f>AN5*$AM$6</f>
        <v>72651.217347836282</v>
      </c>
      <c r="AO6" s="28">
        <f t="shared" ref="AO6:AR6" si="4">AO5*$AM$6</f>
        <v>78212.442325991899</v>
      </c>
      <c r="AP6" s="28">
        <f t="shared" si="4"/>
        <v>84199.361798839731</v>
      </c>
      <c r="AQ6" s="28">
        <f t="shared" si="4"/>
        <v>90644.561357418279</v>
      </c>
      <c r="AR6" s="28">
        <f t="shared" si="4"/>
        <v>97583.120918524466</v>
      </c>
      <c r="AT6" s="2" t="s">
        <v>233</v>
      </c>
      <c r="AU6" s="28">
        <f>'Income Statement'!AU21+'Income Statement'!AU17</f>
        <v>56182</v>
      </c>
      <c r="AV6" s="84">
        <f>(AVERAGE('Income Statement'!AP21:AU21)+AVERAGE('Income Statement'!AP17:AU17))/AVERAGE('Income Statement'!AP10:AU10)</f>
        <v>0.12366470629505677</v>
      </c>
      <c r="AW6" s="28">
        <f>AW5*$AV$6</f>
        <v>72640.032990952372</v>
      </c>
      <c r="AX6" s="28">
        <f t="shared" ref="AX6:BA6" si="5">AX5*$AV$6</f>
        <v>77736.349342164991</v>
      </c>
      <c r="AY6" s="28">
        <f t="shared" si="5"/>
        <v>83190.2156459619</v>
      </c>
      <c r="AZ6" s="28">
        <f t="shared" si="5"/>
        <v>89026.717073628199</v>
      </c>
      <c r="BA6" s="28">
        <f t="shared" si="5"/>
        <v>95272.698734644553</v>
      </c>
    </row>
    <row r="7" spans="1:53" x14ac:dyDescent="0.3">
      <c r="A7" s="70" t="s">
        <v>139</v>
      </c>
      <c r="B7" s="77">
        <f>'Income Statement'!G26</f>
        <v>4845.7500000000009</v>
      </c>
      <c r="C7" s="79">
        <f>WACC!B11</f>
        <v>0.29740131732381525</v>
      </c>
      <c r="D7" s="77">
        <f>D6*$C$7</f>
        <v>6544.7915998874541</v>
      </c>
      <c r="E7" s="77">
        <f t="shared" ref="E7:H7" si="6">E6*$C$7</f>
        <v>7019.2198145833509</v>
      </c>
      <c r="F7" s="77">
        <f t="shared" si="6"/>
        <v>7528.0390602944153</v>
      </c>
      <c r="G7" s="77">
        <f t="shared" si="6"/>
        <v>8073.7423232673536</v>
      </c>
      <c r="H7" s="77">
        <f t="shared" si="6"/>
        <v>8659.0033049017129</v>
      </c>
      <c r="J7" s="2" t="s">
        <v>139</v>
      </c>
      <c r="K7" s="28">
        <f>'Income Statement'!O26</f>
        <v>3632.64</v>
      </c>
      <c r="L7" s="84">
        <f>WACC!C11</f>
        <v>0.22569275530877836</v>
      </c>
      <c r="M7" s="28">
        <f>M6*$L$7</f>
        <v>3286.4328724064771</v>
      </c>
      <c r="N7" s="28">
        <f t="shared" ref="N7:Q7" si="7">N6*$L$7</f>
        <v>3669.2702338877325</v>
      </c>
      <c r="O7" s="28">
        <f t="shared" si="7"/>
        <v>4096.7044123545138</v>
      </c>
      <c r="P7" s="28">
        <f t="shared" si="7"/>
        <v>4573.9305018215364</v>
      </c>
      <c r="Q7" s="28">
        <f t="shared" si="7"/>
        <v>5106.7487740638589</v>
      </c>
      <c r="S7" s="2" t="s">
        <v>139</v>
      </c>
      <c r="T7" s="28">
        <f>T6*Table1422[[#This Row],[Ratio]]</f>
        <v>3140.9501116681527</v>
      </c>
      <c r="U7" s="84">
        <f>WACC!D11</f>
        <v>0.25157890994102061</v>
      </c>
      <c r="V7" s="28">
        <f>V6*$U$7</f>
        <v>2791.9165642041776</v>
      </c>
      <c r="W7" s="28">
        <f t="shared" ref="W7:Z7" si="8">W6*$U$7</f>
        <v>3025.6113570195739</v>
      </c>
      <c r="X7" s="28">
        <f t="shared" si="8"/>
        <v>3278.8673562439435</v>
      </c>
      <c r="Y7" s="28">
        <f t="shared" si="8"/>
        <v>3553.3219145609505</v>
      </c>
      <c r="Z7" s="28">
        <f t="shared" si="8"/>
        <v>3850.7494377457015</v>
      </c>
      <c r="AB7" s="2" t="s">
        <v>139</v>
      </c>
      <c r="AC7" s="28">
        <f>AC6*Table142236[[#This Row],[Ratio]]</f>
        <v>4361.4895883657764</v>
      </c>
      <c r="AD7" s="84">
        <f>WACC!E11</f>
        <v>0.19190843586730702</v>
      </c>
      <c r="AE7" s="28">
        <f>AE6*$AD$7</f>
        <v>7357.4720287414802</v>
      </c>
      <c r="AF7" s="28">
        <f t="shared" ref="AF7:AI7" si="9">AF6*$AD$7</f>
        <v>7863.8741875201576</v>
      </c>
      <c r="AG7" s="28">
        <f t="shared" si="9"/>
        <v>8405.1311368320385</v>
      </c>
      <c r="AH7" s="28">
        <f t="shared" si="9"/>
        <v>8983.6418720251004</v>
      </c>
      <c r="AI7" s="28">
        <f t="shared" si="9"/>
        <v>9601.9705071753742</v>
      </c>
      <c r="AK7" s="2" t="s">
        <v>139</v>
      </c>
      <c r="AL7" s="28">
        <f>Table14223640[[#This Row],[Ratio]]*AL6</f>
        <v>17734.529291032453</v>
      </c>
      <c r="AM7" s="84">
        <f>WACC!F11</f>
        <v>0.26850839636053198</v>
      </c>
      <c r="AN7" s="28">
        <f>AN6*$AM$7</f>
        <v>19507.46186370798</v>
      </c>
      <c r="AO7" s="28">
        <f t="shared" ref="AO7:AR7" si="10">AO6*$AM$7</f>
        <v>21000.697464392681</v>
      </c>
      <c r="AP7" s="28">
        <f t="shared" si="10"/>
        <v>22608.235611186694</v>
      </c>
      <c r="AQ7" s="28">
        <f t="shared" si="10"/>
        <v>24338.825808884227</v>
      </c>
      <c r="AR7" s="28">
        <f t="shared" si="10"/>
        <v>26201.887309688886</v>
      </c>
      <c r="AT7" s="2" t="s">
        <v>139</v>
      </c>
      <c r="AU7" s="28">
        <f>AU6*Table14223644[[#This Row],[Ratio]]</f>
        <v>13234.339490114464</v>
      </c>
      <c r="AV7" s="84">
        <f>WACC!G11</f>
        <v>0.23556191467221643</v>
      </c>
      <c r="AW7" s="28">
        <f>AW6*$AV$7</f>
        <v>17111.225253201708</v>
      </c>
      <c r="AX7" s="28">
        <f t="shared" ref="AX7:BA7" si="11">AX6*$AV$7</f>
        <v>18311.723290668677</v>
      </c>
      <c r="AY7" s="28">
        <f t="shared" si="11"/>
        <v>19596.446479557362</v>
      </c>
      <c r="AZ7" s="28">
        <f t="shared" si="11"/>
        <v>20971.303930845559</v>
      </c>
      <c r="BA7" s="28">
        <f t="shared" si="11"/>
        <v>22442.619329922123</v>
      </c>
    </row>
    <row r="8" spans="1:53" x14ac:dyDescent="0.3">
      <c r="A8" s="70" t="s">
        <v>234</v>
      </c>
      <c r="B8" s="77">
        <f>B6-B7</f>
        <v>15983.659999999971</v>
      </c>
      <c r="C8" s="77"/>
      <c r="D8" s="77">
        <f t="shared" ref="D8:H8" si="12">D6-D7</f>
        <v>15461.807626979391</v>
      </c>
      <c r="E8" s="77">
        <f t="shared" si="12"/>
        <v>16582.625253711063</v>
      </c>
      <c r="F8" s="77">
        <f t="shared" si="12"/>
        <v>17784.69031170688</v>
      </c>
      <c r="G8" s="77">
        <f t="shared" si="12"/>
        <v>19073.892380974845</v>
      </c>
      <c r="H8" s="77">
        <f t="shared" si="12"/>
        <v>20456.547973822628</v>
      </c>
      <c r="J8" s="2" t="s">
        <v>234</v>
      </c>
      <c r="K8" s="28">
        <f>K6-K7</f>
        <v>9267.5900000000202</v>
      </c>
      <c r="L8" s="28"/>
      <c r="M8" s="28">
        <f t="shared" ref="M8:Q8" si="13">M6-M7</f>
        <v>11275.101758646215</v>
      </c>
      <c r="N8" s="28">
        <f t="shared" si="13"/>
        <v>12588.541094028718</v>
      </c>
      <c r="O8" s="28">
        <f t="shared" si="13"/>
        <v>14054.983295785103</v>
      </c>
      <c r="P8" s="28">
        <f t="shared" si="13"/>
        <v>15692.251704885888</v>
      </c>
      <c r="Q8" s="28">
        <f t="shared" si="13"/>
        <v>17520.245907609162</v>
      </c>
      <c r="S8" s="2" t="s">
        <v>234</v>
      </c>
      <c r="T8" s="28">
        <f>T6-T7</f>
        <v>9343.9998883318767</v>
      </c>
      <c r="U8" s="28"/>
      <c r="V8" s="28">
        <f t="shared" ref="V8:Z8" si="14">V6-V7</f>
        <v>8305.6613880125096</v>
      </c>
      <c r="W8" s="28">
        <f t="shared" si="14"/>
        <v>9000.8790897706167</v>
      </c>
      <c r="X8" s="28">
        <f t="shared" si="14"/>
        <v>9754.2893460115483</v>
      </c>
      <c r="Y8" s="28">
        <f t="shared" si="14"/>
        <v>10570.763110666245</v>
      </c>
      <c r="Z8" s="28">
        <f t="shared" si="14"/>
        <v>11455.579056357637</v>
      </c>
      <c r="AB8" s="2" t="s">
        <v>234</v>
      </c>
      <c r="AC8" s="28">
        <f>AC6-AC7</f>
        <v>18365.440411634223</v>
      </c>
      <c r="AD8" s="28"/>
      <c r="AE8" s="28">
        <f t="shared" ref="AE8:AI8" si="15">AE6-AE7</f>
        <v>30980.978261316239</v>
      </c>
      <c r="AF8" s="28">
        <f t="shared" si="15"/>
        <v>33113.345766257939</v>
      </c>
      <c r="AG8" s="28">
        <f t="shared" si="15"/>
        <v>35392.480462918975</v>
      </c>
      <c r="AH8" s="28">
        <f t="shared" si="15"/>
        <v>37828.484084942946</v>
      </c>
      <c r="AI8" s="28">
        <f t="shared" si="15"/>
        <v>40432.153650944238</v>
      </c>
      <c r="AK8" s="2" t="s">
        <v>234</v>
      </c>
      <c r="AL8" s="28">
        <f>AL6-AL7</f>
        <v>48313.793708967598</v>
      </c>
      <c r="AM8" s="28"/>
      <c r="AN8" s="28">
        <f t="shared" ref="AN8:AR8" si="16">AN6-AN7</f>
        <v>53143.755484128298</v>
      </c>
      <c r="AO8" s="28">
        <f t="shared" si="16"/>
        <v>57211.744861599218</v>
      </c>
      <c r="AP8" s="28">
        <f t="shared" si="16"/>
        <v>61591.126187653033</v>
      </c>
      <c r="AQ8" s="28">
        <f t="shared" si="16"/>
        <v>66305.735548534052</v>
      </c>
      <c r="AR8" s="28">
        <f t="shared" si="16"/>
        <v>71381.233608835581</v>
      </c>
      <c r="AT8" s="2" t="s">
        <v>234</v>
      </c>
      <c r="AU8" s="28">
        <f>AU6-AU7</f>
        <v>42947.660509885536</v>
      </c>
      <c r="AV8" s="28"/>
      <c r="AW8" s="28">
        <f t="shared" ref="AW8:BA8" si="17">AW6-AW7</f>
        <v>55528.807737750663</v>
      </c>
      <c r="AX8" s="28">
        <f t="shared" si="17"/>
        <v>59424.626051496314</v>
      </c>
      <c r="AY8" s="28">
        <f t="shared" si="17"/>
        <v>63593.769166404541</v>
      </c>
      <c r="AZ8" s="28">
        <f t="shared" si="17"/>
        <v>68055.413142782636</v>
      </c>
      <c r="BA8" s="28">
        <f t="shared" si="17"/>
        <v>72830.079404722434</v>
      </c>
    </row>
    <row r="9" spans="1:53" x14ac:dyDescent="0.3">
      <c r="A9" s="70" t="s">
        <v>235</v>
      </c>
      <c r="B9" s="77">
        <f>'Income Statement'!G16</f>
        <v>7256.69</v>
      </c>
      <c r="C9" s="79">
        <f>AVERAGE('Income Statement'!B16:G16)/AVERAGE('Income Statement'!B8:G8)</f>
        <v>1.2808478342916393E-2</v>
      </c>
      <c r="D9" s="77">
        <f>D5*$C$9</f>
        <v>6912.4673064451417</v>
      </c>
      <c r="E9" s="77">
        <f t="shared" ref="E9:H9" si="18">E5*$C$9</f>
        <v>7413.5481236551068</v>
      </c>
      <c r="F9" s="77">
        <f t="shared" si="18"/>
        <v>7950.9520038532628</v>
      </c>
      <c r="G9" s="77">
        <f t="shared" si="18"/>
        <v>8527.3119851834144</v>
      </c>
      <c r="H9" s="77">
        <f t="shared" si="18"/>
        <v>9145.4519732244498</v>
      </c>
      <c r="J9" s="2" t="s">
        <v>235</v>
      </c>
      <c r="K9" s="28">
        <f>'Income Statement'!O15</f>
        <v>3799.23</v>
      </c>
      <c r="L9" s="84">
        <f>AVERAGE('Income Statement'!J15:O15)/AVERAGE('Income Statement'!J8:O8)</f>
        <v>2.5839729670869397E-2</v>
      </c>
      <c r="M9" s="28">
        <f>M5*$L$9</f>
        <v>4141.6510363117977</v>
      </c>
      <c r="N9" s="28">
        <f t="shared" ref="N9:Q9" si="19">N5*$L$9</f>
        <v>4624.1129688924202</v>
      </c>
      <c r="O9" s="28">
        <f t="shared" si="19"/>
        <v>5162.7770088810857</v>
      </c>
      <c r="P9" s="28">
        <f t="shared" si="19"/>
        <v>5764.1901533853379</v>
      </c>
      <c r="Q9" s="28">
        <f t="shared" si="19"/>
        <v>6435.6620607918603</v>
      </c>
      <c r="S9" s="2" t="s">
        <v>235</v>
      </c>
      <c r="T9" s="28">
        <f>'Income Statement'!W17</f>
        <v>6154.1</v>
      </c>
      <c r="U9" s="84">
        <f>AVERAGE('Income Statement'!R17:W17)/AVERAGE(Table9[[#This Row],[2020]:[2025]])</f>
        <v>1.1670024540643951E-2</v>
      </c>
      <c r="V9" s="28">
        <f>V5*$U$9</f>
        <v>5928.9905736483361</v>
      </c>
      <c r="W9" s="28">
        <f t="shared" ref="W9:Z9" si="20">W5*$U$9</f>
        <v>6425.2712438796598</v>
      </c>
      <c r="X9" s="28">
        <f t="shared" si="20"/>
        <v>6963.0926284342477</v>
      </c>
      <c r="Y9" s="28">
        <f t="shared" si="20"/>
        <v>7545.9318543694208</v>
      </c>
      <c r="Z9" s="28">
        <f t="shared" si="20"/>
        <v>8177.5570984456599</v>
      </c>
      <c r="AB9" s="2" t="s">
        <v>235</v>
      </c>
      <c r="AC9" s="28">
        <f>'Income Statement'!AE17+'Income Statement'!AE18</f>
        <v>16777.34</v>
      </c>
      <c r="AD9" s="84">
        <f>(AVERAGE('Income Statement'!Z17:AE17)+AVERAGE('Income Statement'!Z18:AE18))/AVERAGE('Income Statement'!Z8:AE8)</f>
        <v>1.7463518204710423E-2</v>
      </c>
      <c r="AE9" s="28">
        <f>AE5*$AD$9</f>
        <v>16106.022426617546</v>
      </c>
      <c r="AF9" s="28">
        <f t="shared" ref="AF9:AI9" si="21">AF5*$AD$9</f>
        <v>17214.572278294258</v>
      </c>
      <c r="AG9" s="28">
        <f t="shared" si="21"/>
        <v>18399.42171164928</v>
      </c>
      <c r="AH9" s="28">
        <f t="shared" si="21"/>
        <v>19665.82229579832</v>
      </c>
      <c r="AI9" s="28">
        <f t="shared" si="21"/>
        <v>21019.387056336542</v>
      </c>
      <c r="AK9" s="2" t="s">
        <v>235</v>
      </c>
      <c r="AL9" s="28">
        <f>'Income Statement'!AM16</f>
        <v>35205.964999999997</v>
      </c>
      <c r="AM9" s="84">
        <f>AVERAGE('Income Statement'!AH16:AM16)/AVERAGE('Income Statement'!AH8:AM8)</f>
        <v>5.0122424937668685E-2</v>
      </c>
      <c r="AN9" s="28">
        <f>AN5*$AM$9</f>
        <v>36457.810955815919</v>
      </c>
      <c r="AO9" s="28">
        <f t="shared" ref="AO9:AR9" si="22">AO5*$AM$9</f>
        <v>39248.543118852373</v>
      </c>
      <c r="AP9" s="28">
        <f t="shared" si="22"/>
        <v>42252.897158837091</v>
      </c>
      <c r="AQ9" s="28">
        <f t="shared" si="22"/>
        <v>45487.225166778764</v>
      </c>
      <c r="AR9" s="28">
        <f t="shared" si="22"/>
        <v>48969.130935450819</v>
      </c>
      <c r="AT9" s="2" t="s">
        <v>235</v>
      </c>
      <c r="AU9" s="28">
        <f>AU5*Table14223644[[#This Row],[Ratio]]</f>
        <v>17655.626107798686</v>
      </c>
      <c r="AV9" s="84">
        <f>AVERAGE('Income Statement'!AT18:AU18)/AVERAGE('Income Statement'!AT10:AU10)</f>
        <v>3.2166289735571112E-2</v>
      </c>
      <c r="AW9" s="28">
        <f>AW5*$AV$9</f>
        <v>18894.318497094242</v>
      </c>
      <c r="AX9" s="28">
        <f t="shared" ref="AX9:BA9" si="23">AX5*$AV$9</f>
        <v>20219.91569655799</v>
      </c>
      <c r="AY9" s="28">
        <f t="shared" si="23"/>
        <v>21638.514818027881</v>
      </c>
      <c r="AZ9" s="28">
        <f t="shared" si="23"/>
        <v>23156.640737612852</v>
      </c>
      <c r="BA9" s="28">
        <f t="shared" si="23"/>
        <v>24781.276106995898</v>
      </c>
    </row>
    <row r="10" spans="1:53" x14ac:dyDescent="0.3">
      <c r="A10" s="70" t="s">
        <v>236</v>
      </c>
      <c r="B10" s="77">
        <f>ABS('Cash Flow Statement'!G6)</f>
        <v>13342.56</v>
      </c>
      <c r="C10" s="79">
        <f>(ABS(AVERAGE('Cash Flow Statement'!B6:G6))/AVERAGE('Income Statement'!B8:G8))</f>
        <v>1.9250692641004426E-2</v>
      </c>
      <c r="D10" s="77">
        <f>D5*$C$10</f>
        <v>10389.195339582251</v>
      </c>
      <c r="E10" s="77">
        <f t="shared" ref="E10:H10" si="24">E5*$C$10</f>
        <v>11142.302191322144</v>
      </c>
      <c r="F10" s="77">
        <f t="shared" si="24"/>
        <v>11950.001329721303</v>
      </c>
      <c r="G10" s="77">
        <f t="shared" si="24"/>
        <v>12816.250118539998</v>
      </c>
      <c r="H10" s="77">
        <f t="shared" si="24"/>
        <v>13745.292788583085</v>
      </c>
      <c r="J10" s="2" t="s">
        <v>236</v>
      </c>
      <c r="K10" s="28">
        <f>ABS('Cash Flow Statement'!O6)</f>
        <v>7929.71</v>
      </c>
      <c r="L10" s="84">
        <f>ABS(AVERAGE('Cash Flow Statement'!O6)/AVERAGE('Income Statement'!J8:O8))</f>
        <v>7.2975189966749968E-2</v>
      </c>
      <c r="M10" s="28">
        <f>M5*$L$10</f>
        <v>11696.630537569834</v>
      </c>
      <c r="N10" s="28">
        <f t="shared" ref="N10:Q10" si="25">N5*$L$10</f>
        <v>13059.173862529147</v>
      </c>
      <c r="O10" s="28">
        <f t="shared" si="25"/>
        <v>14580.440189504126</v>
      </c>
      <c r="P10" s="28">
        <f t="shared" si="25"/>
        <v>16278.919199451975</v>
      </c>
      <c r="Q10" s="28">
        <f t="shared" si="25"/>
        <v>18175.254440743927</v>
      </c>
      <c r="S10" s="2" t="s">
        <v>236</v>
      </c>
      <c r="T10" s="28">
        <f>ABS('Cash Flow Statement'!W6)</f>
        <v>9579.33</v>
      </c>
      <c r="U10" s="84">
        <f>ABS(AVERAGE('Cash Flow Statement'!U6:W6))/AVERAGE('Income Statement'!U9:W9)</f>
        <v>2.0773946390625981E-2</v>
      </c>
      <c r="V10" s="28">
        <f>V5*$U$10</f>
        <v>10554.265065898559</v>
      </c>
      <c r="W10" s="28">
        <f t="shared" ref="W10:Z10" si="26">W5*$U$10</f>
        <v>11437.700058017312</v>
      </c>
      <c r="X10" s="28">
        <f t="shared" si="26"/>
        <v>12395.082158762469</v>
      </c>
      <c r="Y10" s="28">
        <f t="shared" si="26"/>
        <v>13432.60104244282</v>
      </c>
      <c r="Z10" s="28">
        <f t="shared" si="26"/>
        <v>14556.964484328249</v>
      </c>
      <c r="AB10" s="2" t="s">
        <v>236</v>
      </c>
      <c r="AC10" s="28">
        <f>ABS('Cash Flow Statement'!AE6)</f>
        <v>5105.4799999999996</v>
      </c>
      <c r="AD10" s="84">
        <f>ABS(AVERAGE('Cash Flow Statement'!AA6:AE6))/AVERAGE('Income Statement'!Z8:AE8)</f>
        <v>7.1885058252925899E-3</v>
      </c>
      <c r="AE10" s="28">
        <f>AE5*$AD$10</f>
        <v>6629.7200070948211</v>
      </c>
      <c r="AF10" s="28">
        <f t="shared" ref="AF10:AI10" si="27">AF5*$AD$10</f>
        <v>7086.0322445829033</v>
      </c>
      <c r="AG10" s="28">
        <f t="shared" si="27"/>
        <v>7573.7516693818443</v>
      </c>
      <c r="AH10" s="28">
        <f t="shared" si="27"/>
        <v>8095.0399842331917</v>
      </c>
      <c r="AI10" s="28">
        <f t="shared" si="27"/>
        <v>8652.2076781641481</v>
      </c>
      <c r="AK10" s="2" t="s">
        <v>236</v>
      </c>
      <c r="AL10" s="28">
        <f>ABS('Cash Flow Statement'!AM6)</f>
        <v>41030.802000000003</v>
      </c>
      <c r="AM10" s="84">
        <f>ABS(AVERAGE('Cash Flow Statement'!AH6:AM6))/AVERAGE('Income Statement'!AH8:AM8)</f>
        <v>6.6334641360374563E-2</v>
      </c>
      <c r="AN10" s="28">
        <f>AN5*$AM$10</f>
        <v>48250.175795482377</v>
      </c>
      <c r="AO10" s="28">
        <f t="shared" ref="AO10:AR10" si="28">AO5*$AM$10</f>
        <v>51943.576850960038</v>
      </c>
      <c r="AP10" s="28">
        <f t="shared" si="28"/>
        <v>55919.696282727658</v>
      </c>
      <c r="AQ10" s="28">
        <f t="shared" si="28"/>
        <v>60200.17530415237</v>
      </c>
      <c r="AR10" s="28">
        <f t="shared" si="28"/>
        <v>64808.311696250545</v>
      </c>
      <c r="AT10" s="2" t="s">
        <v>236</v>
      </c>
      <c r="AU10" s="28">
        <f>ABS('Cash Flow Statement'!AU6)</f>
        <v>37304</v>
      </c>
      <c r="AV10" s="84">
        <f>ABS(AVERAGE('Cash Flow Statement'!AS6:AU6))/AVERAGE(Table12[[#This Row],[2023]:[2025]])</f>
        <v>6.0250569201962006E-2</v>
      </c>
      <c r="AW10" s="28">
        <f>AW5*$AV$10</f>
        <v>35390.884478485386</v>
      </c>
      <c r="AX10" s="28">
        <f t="shared" ref="AX10:BA10" si="29">AX5*$AV$10</f>
        <v>37873.856137846378</v>
      </c>
      <c r="AY10" s="28">
        <f t="shared" si="29"/>
        <v>40531.029384764115</v>
      </c>
      <c r="AZ10" s="28">
        <f t="shared" si="29"/>
        <v>43374.625942749997</v>
      </c>
      <c r="BA10" s="28">
        <f t="shared" si="29"/>
        <v>46417.724993204734</v>
      </c>
    </row>
    <row r="11" spans="1:53" x14ac:dyDescent="0.3">
      <c r="A11" s="70" t="s">
        <v>237</v>
      </c>
      <c r="B11" s="77">
        <f>(('Balance Sheet'!G31-'Balance Sheet'!G56)-('Balance Sheet'!F31-'Balance Sheet'!F56))</f>
        <v>-2650.5099999999802</v>
      </c>
      <c r="C11" s="79">
        <f>AVERAGE('Balance Sheet'!D60:G60)/AVERAGE('Income Statement'!D8:G8)</f>
        <v>-3.6773652251073756E-2</v>
      </c>
      <c r="D11" s="77" cm="1">
        <f t="array" ref="D11">Table36[2026]-'Balance Sheet'!G60</f>
        <v>-2006.1893742396314</v>
      </c>
      <c r="E11" s="77" cm="1">
        <f t="array" ref="E11">Table36[2027]-Table36[2026]</f>
        <v>-1438.6230142594395</v>
      </c>
      <c r="F11" s="77" cm="1">
        <f t="array" ref="F11">Table36[2028]-Table36[2027]</f>
        <v>-1542.9079770208627</v>
      </c>
      <c r="G11" s="77" cm="1">
        <f t="array" ref="G11">Table36[2029]-Table36[2028]</f>
        <v>-1654.7524973247127</v>
      </c>
      <c r="H11" s="77" cm="1">
        <f t="array" ref="H11">Table36[2030]-Table36[2029]</f>
        <v>-1774.7045631907713</v>
      </c>
      <c r="J11" s="2" t="s">
        <v>237</v>
      </c>
      <c r="K11" s="28">
        <f>'Balance Sheet'!O58-'Balance Sheet'!N58</f>
        <v>970.92000000000189</v>
      </c>
      <c r="L11" s="84">
        <f>(AVERAGE('Balance Sheet'!J58:O58))/AVERAGE('Income Statement'!J8:O8)</f>
        <v>-6.4993087119412521E-3</v>
      </c>
      <c r="M11" s="28" cm="1">
        <f t="array" ref="M11">Table3618[2026]-'Balance Sheet'!O58</f>
        <v>-643.91408167519626</v>
      </c>
      <c r="N11" s="28" cm="1">
        <f t="array" ref="N11">Table3618[2027]-Table3618[2026]</f>
        <v>-121.35069064349682</v>
      </c>
      <c r="O11" s="28" cm="1">
        <f t="array" ref="O11">Table3618[2028]-Table3618[2027]</f>
        <v>-135.48686199510121</v>
      </c>
      <c r="P11" s="28" cm="1">
        <f t="array" ref="P11">Table3618[2029]-Table3618[2028]</f>
        <v>-151.26975937209772</v>
      </c>
      <c r="Q11" s="28" cm="1">
        <f t="array" ref="Q11">Table3618[2030]-Table3618[2029]</f>
        <v>-168.89121028812178</v>
      </c>
      <c r="S11" s="2" t="s">
        <v>237</v>
      </c>
      <c r="T11" s="28">
        <f>'Balance Sheet'!W54-'Balance Sheet'!V54</f>
        <v>-5073.8500000000131</v>
      </c>
      <c r="U11" s="84">
        <f>AVERAGE('Balance Sheet'!U54:W54)/AVERAGE('Income Statement'!R9:W9)</f>
        <v>-8.7151535634363855E-2</v>
      </c>
      <c r="V11" s="28" cm="1">
        <f t="array" ref="V11">Table361846[2026]-'Balance Sheet'!W54</f>
        <v>-5704.7161143443736</v>
      </c>
      <c r="W11" s="28" cm="1">
        <f t="array" ref="W11">Table361846[2027]-Table361846[2026]</f>
        <v>-3706.2152153730203</v>
      </c>
      <c r="X11" s="28" cm="1">
        <f t="array" ref="X11">Table361846[2028]-Table361846[2027]</f>
        <v>-4016.4405308393398</v>
      </c>
      <c r="Y11" s="28" cm="1">
        <f t="array" ref="Y11">Table361846[2029]-Table361846[2028]</f>
        <v>-4352.6329693040534</v>
      </c>
      <c r="Z11" s="28" cm="1">
        <f t="array" ref="Z11">Table361846[2030]-Table361846[2029]</f>
        <v>-4716.9660847719715</v>
      </c>
      <c r="AB11" s="2" t="s">
        <v>237</v>
      </c>
      <c r="AC11" s="28">
        <f>'Balance Sheet'!AE59-'Balance Sheet'!AD59</f>
        <v>-15013.739999999932</v>
      </c>
      <c r="AD11" s="84">
        <f>AVERAGE('Balance Sheet'!Z59:AE59)/AVERAGE('Income Statement'!Z8:AE8)</f>
        <v>-7.0703315807550557E-2</v>
      </c>
      <c r="AE11" s="28" cm="1">
        <f t="array" ref="AE11">Table36184648[2026]-'Balance Sheet'!AE59</f>
        <v>7748.9617102936827</v>
      </c>
      <c r="AF11" s="28" cm="1">
        <f t="array" ref="AF11">Table36184648[2027]-Table36184648[2026]</f>
        <v>-4488.1076844167037</v>
      </c>
      <c r="AG11" s="28" cm="1">
        <f t="array" ref="AG11">Table36184648[2028]-Table36184648[2027]</f>
        <v>-4797.0164252642571</v>
      </c>
      <c r="AH11" s="28" cm="1">
        <f t="array" ref="AH11">Table36184648[2029]-Table36184648[2028]</f>
        <v>-5127.1868240046315</v>
      </c>
      <c r="AI11" s="28" cm="1">
        <f t="array" ref="AI11">Table36184648[2030]-Table36184648[2029]</f>
        <v>-5480.0822840206238</v>
      </c>
      <c r="AK11" s="2" t="s">
        <v>237</v>
      </c>
      <c r="AL11" s="28">
        <f>'Balance Sheet'!AM75-'Balance Sheet'!AL75</f>
        <v>-791.02499999996508</v>
      </c>
      <c r="AM11" s="84">
        <f>AVERAGE('Balance Sheet'!AK75:AM75)/AVERAGE('Income Statement'!AK8:AM8)</f>
        <v>-4.5774046245694679E-2</v>
      </c>
      <c r="AN11" s="28" cm="1">
        <f t="array" ref="AN11">Table3618464850[2026]-'Balance Sheet'!AM75</f>
        <v>2003.058046451697</v>
      </c>
      <c r="AO11" s="28" cm="1">
        <f t="array" ref="AO11">Table3618464850[2027]-Table3618464850[2026]</f>
        <v>-2548.6217645901415</v>
      </c>
      <c r="AP11" s="28" cm="1">
        <f t="array" ref="AP11">Table3618464850[2028]-Table3618464850[2027]</f>
        <v>-2743.710842715991</v>
      </c>
      <c r="AQ11" s="28" cm="1">
        <f t="array" ref="AQ11">Table3618464850[2029]-Table3618464850[2028]</f>
        <v>-2953.7333836776234</v>
      </c>
      <c r="AR11" s="28" cm="1">
        <f t="array" ref="AR11">Table3618464850[2030]-Table3618464850[2029]</f>
        <v>-3179.8324976604563</v>
      </c>
      <c r="AT11" s="2" t="s">
        <v>237</v>
      </c>
      <c r="AU11" s="28">
        <f>'Balance Sheet'!AU50-'Balance Sheet'!AT50</f>
        <v>-10983</v>
      </c>
      <c r="AV11" s="84">
        <f>AVERAGE('Balance Sheet'!AS50:AU50)/AVERAGE('Income Statement'!AS10:AU10)</f>
        <v>3.6607026816271714E-3</v>
      </c>
      <c r="AW11" s="28" cm="1">
        <f t="array" ref="AW11">Table361846485052[2026]-'Balance Sheet'!AU50</f>
        <v>-9477.7214643520747</v>
      </c>
      <c r="AX11" s="28" cm="1">
        <f t="array" ref="AX11">Table361846485052[2027]-'Balance Sheet'!AV50</f>
        <v>2301.1388699521381</v>
      </c>
      <c r="AY11" s="28" cm="1">
        <f t="array" ref="AY11">Table361846485052[2028]-'Balance Sheet'!AW50</f>
        <v>2462.5833402596982</v>
      </c>
      <c r="AZ11" s="28" cm="1">
        <f t="array" ref="AZ11">Table361846485052[2029]-'Balance Sheet'!AX50</f>
        <v>2635.3545137633287</v>
      </c>
      <c r="BA11" s="28" cm="1">
        <f t="array" ref="BA11">Table361846485052[2030]-'Balance Sheet'!AY50</f>
        <v>2820.2470550622415</v>
      </c>
    </row>
    <row r="12" spans="1:53" x14ac:dyDescent="0.3">
      <c r="A12" s="70" t="s">
        <v>231</v>
      </c>
      <c r="B12" s="77">
        <f>B8+B9-B10-B11</f>
        <v>12548.29999999995</v>
      </c>
      <c r="C12" s="79"/>
      <c r="D12" s="77">
        <f t="shared" ref="D12:H12" si="30">D8+D9-D10-D11</f>
        <v>13991.268968081911</v>
      </c>
      <c r="E12" s="77">
        <f t="shared" si="30"/>
        <v>14292.494200303465</v>
      </c>
      <c r="F12" s="77">
        <f t="shared" si="30"/>
        <v>15328.548962859704</v>
      </c>
      <c r="G12" s="77">
        <f t="shared" si="30"/>
        <v>16439.706744942974</v>
      </c>
      <c r="H12" s="77">
        <f t="shared" si="30"/>
        <v>17631.411721654767</v>
      </c>
      <c r="J12" s="2" t="s">
        <v>231</v>
      </c>
      <c r="K12" s="28">
        <f>K8+K9-K10-K11</f>
        <v>4166.1900000000178</v>
      </c>
      <c r="L12" s="28"/>
      <c r="M12" s="28">
        <f t="shared" ref="M12:Q12" si="31">M8+M9-M10-M11</f>
        <v>4364.0363390633747</v>
      </c>
      <c r="N12" s="28">
        <f t="shared" si="31"/>
        <v>4274.8308910354872</v>
      </c>
      <c r="O12" s="28">
        <f t="shared" si="31"/>
        <v>4772.8069771571645</v>
      </c>
      <c r="P12" s="28">
        <f t="shared" si="31"/>
        <v>5328.7924181913468</v>
      </c>
      <c r="Q12" s="28">
        <f t="shared" si="31"/>
        <v>5949.5447379452162</v>
      </c>
      <c r="S12" s="2" t="s">
        <v>231</v>
      </c>
      <c r="T12" s="28">
        <f>T8+T9-T10-T11</f>
        <v>10992.61988833189</v>
      </c>
      <c r="U12" s="28"/>
      <c r="V12" s="28">
        <f t="shared" ref="V12:Z12" si="32">V8+V9-V10-V11</f>
        <v>9385.1030101066608</v>
      </c>
      <c r="W12" s="28">
        <f t="shared" si="32"/>
        <v>7694.6654910059842</v>
      </c>
      <c r="X12" s="28">
        <f t="shared" si="32"/>
        <v>8338.7403465226653</v>
      </c>
      <c r="Y12" s="28">
        <f t="shared" si="32"/>
        <v>9036.7268918968985</v>
      </c>
      <c r="Z12" s="28">
        <f t="shared" si="32"/>
        <v>9793.1377552470203</v>
      </c>
      <c r="AB12" s="2" t="s">
        <v>231</v>
      </c>
      <c r="AC12" s="28">
        <f>AC8+AC9-AC10-AC11</f>
        <v>45051.040411634152</v>
      </c>
      <c r="AD12" s="28"/>
      <c r="AE12" s="28">
        <f>AE8+AE9-AE10-AE11</f>
        <v>32708.318970545282</v>
      </c>
      <c r="AF12" s="28">
        <f t="shared" ref="AF12:AI12" si="33">AF8+AF9-AF10-AF11</f>
        <v>47729.993484385996</v>
      </c>
      <c r="AG12" s="28">
        <f t="shared" si="33"/>
        <v>51015.166930450665</v>
      </c>
      <c r="AH12" s="28">
        <f t="shared" si="33"/>
        <v>54526.453220512711</v>
      </c>
      <c r="AI12" s="28">
        <f t="shared" si="33"/>
        <v>58279.415313137259</v>
      </c>
      <c r="AK12" s="2" t="s">
        <v>231</v>
      </c>
      <c r="AL12" s="28">
        <f>AL8+AL9-AL10-AL11</f>
        <v>43279.981708967556</v>
      </c>
      <c r="AM12" s="28"/>
      <c r="AN12" s="28">
        <f t="shared" ref="AN12:AR12" si="34">AN8+AN9-AN10-AN11</f>
        <v>39348.332598010144</v>
      </c>
      <c r="AO12" s="28">
        <f t="shared" si="34"/>
        <v>47065.332894081701</v>
      </c>
      <c r="AP12" s="28">
        <f t="shared" si="34"/>
        <v>50668.037906478457</v>
      </c>
      <c r="AQ12" s="28">
        <f t="shared" si="34"/>
        <v>54546.51879483807</v>
      </c>
      <c r="AR12" s="28">
        <f t="shared" si="34"/>
        <v>58721.885345696304</v>
      </c>
      <c r="AT12" s="2" t="s">
        <v>231</v>
      </c>
      <c r="AU12" s="28">
        <f>AU8+AU9-AU10-AU11</f>
        <v>34282.286617684222</v>
      </c>
      <c r="AV12" s="28">
        <f t="shared" ref="AV12:BA12" si="35">AV8+AV9-AV10-AV11</f>
        <v>-3.1744982148018068E-2</v>
      </c>
      <c r="AW12" s="28">
        <f t="shared" si="35"/>
        <v>48509.963220711594</v>
      </c>
      <c r="AX12" s="28">
        <f t="shared" si="35"/>
        <v>39469.546740255777</v>
      </c>
      <c r="AY12" s="28">
        <f t="shared" si="35"/>
        <v>42238.671259408606</v>
      </c>
      <c r="AZ12" s="28">
        <f t="shared" si="35"/>
        <v>45202.073423882161</v>
      </c>
      <c r="BA12" s="28">
        <f t="shared" si="35"/>
        <v>48373.383463451355</v>
      </c>
    </row>
    <row r="13" spans="1:53" x14ac:dyDescent="0.3">
      <c r="A13" s="70"/>
      <c r="B13" s="73"/>
      <c r="C13" s="74"/>
      <c r="D13" s="74"/>
      <c r="E13" s="74"/>
      <c r="F13" s="74"/>
      <c r="G13" s="74"/>
      <c r="H13" s="74"/>
      <c r="T13" s="1"/>
      <c r="U13" s="1"/>
      <c r="V13" s="1"/>
      <c r="W13" s="1"/>
      <c r="X13" s="1"/>
      <c r="Y13" s="1"/>
      <c r="Z13" s="1"/>
      <c r="AC13" s="1"/>
      <c r="AD13" s="1"/>
      <c r="AE13" s="1"/>
      <c r="AF13" s="1"/>
      <c r="AG13" s="1"/>
      <c r="AH13" s="1"/>
      <c r="AI13" s="1"/>
      <c r="AL13" s="1"/>
      <c r="AM13" s="1"/>
      <c r="AN13" s="1"/>
      <c r="AO13" s="1"/>
      <c r="AP13" s="1"/>
      <c r="AQ13" s="1"/>
      <c r="AR13" s="1"/>
      <c r="AU13" s="1"/>
      <c r="AV13" s="1"/>
      <c r="AW13" s="1"/>
      <c r="AX13" s="1"/>
      <c r="AY13" s="1"/>
      <c r="AZ13" s="1"/>
      <c r="BA13" s="1"/>
    </row>
    <row r="14" spans="1:53" x14ac:dyDescent="0.3">
      <c r="A14" s="75" t="s">
        <v>246</v>
      </c>
      <c r="B14" s="80" t="s">
        <v>247</v>
      </c>
      <c r="C14" s="74"/>
      <c r="D14" s="73"/>
      <c r="E14" s="73"/>
      <c r="F14" s="73"/>
      <c r="G14" s="73"/>
      <c r="H14" s="73"/>
      <c r="J14" s="2" t="s">
        <v>246</v>
      </c>
      <c r="K14" s="1" t="s">
        <v>247</v>
      </c>
      <c r="S14" s="2" t="s">
        <v>246</v>
      </c>
      <c r="T14" s="1" t="s">
        <v>247</v>
      </c>
      <c r="U14" s="1"/>
      <c r="V14" s="1"/>
      <c r="W14" s="1"/>
      <c r="X14" s="1"/>
      <c r="Y14" s="1"/>
      <c r="Z14" s="1"/>
      <c r="AB14" s="2" t="s">
        <v>246</v>
      </c>
      <c r="AC14" s="1" t="s">
        <v>247</v>
      </c>
      <c r="AD14" s="1"/>
      <c r="AE14" s="1"/>
      <c r="AF14" s="1"/>
      <c r="AG14" s="1"/>
      <c r="AH14" s="1"/>
      <c r="AI14" s="1"/>
      <c r="AK14" s="2" t="s">
        <v>246</v>
      </c>
      <c r="AL14" s="1" t="s">
        <v>247</v>
      </c>
      <c r="AM14" s="1"/>
      <c r="AN14" s="1"/>
      <c r="AO14" s="1"/>
      <c r="AP14" s="1"/>
      <c r="AQ14" s="1"/>
      <c r="AR14" s="1"/>
      <c r="AT14" s="2" t="s">
        <v>246</v>
      </c>
      <c r="AU14" s="1" t="s">
        <v>247</v>
      </c>
      <c r="AV14" s="1"/>
      <c r="AW14" s="1"/>
      <c r="AX14" s="1"/>
      <c r="AY14" s="1"/>
      <c r="AZ14" s="1"/>
      <c r="BA14" s="1"/>
    </row>
    <row r="15" spans="1:53" x14ac:dyDescent="0.3">
      <c r="A15" s="2" t="s">
        <v>248</v>
      </c>
      <c r="B15" s="81">
        <f ca="1">H12*(1+WACC!B19)/(WACC!B17-WACC!B19)</f>
        <v>187964.36078318491</v>
      </c>
      <c r="J15" s="2" t="s">
        <v>248</v>
      </c>
      <c r="K15" s="28">
        <f ca="1">Q12*(1+WACC!C19)/(WACC!C17-WACC!C19)</f>
        <v>48942.887677174658</v>
      </c>
      <c r="S15" s="2" t="s">
        <v>248</v>
      </c>
      <c r="T15" s="28">
        <f ca="1">Z12*(1+WACC!D19)/(WACC!D17-WACC!D19)</f>
        <v>115272.23398673593</v>
      </c>
      <c r="U15" s="1"/>
      <c r="V15" s="1"/>
      <c r="W15" s="1"/>
      <c r="X15" s="1"/>
      <c r="Y15" s="1"/>
      <c r="Z15" s="1"/>
      <c r="AB15" s="2" t="s">
        <v>248</v>
      </c>
      <c r="AC15" s="28">
        <f ca="1">AI12*(1+WACC!E19)/(WACC!E17-WACC!E19)</f>
        <v>714938.66653370985</v>
      </c>
      <c r="AD15" s="1"/>
      <c r="AE15" s="1"/>
      <c r="AF15" s="1"/>
      <c r="AG15" s="1"/>
      <c r="AH15" s="1"/>
      <c r="AI15" s="1"/>
      <c r="AK15" s="2" t="s">
        <v>248</v>
      </c>
      <c r="AL15" s="28">
        <f ca="1">AR12*(1+WACC!F19)/(WACC!F17-WACC!F19)</f>
        <v>766217.79116473021</v>
      </c>
      <c r="AM15" s="1"/>
      <c r="AN15" s="1"/>
      <c r="AO15" s="1"/>
      <c r="AP15" s="1"/>
      <c r="AQ15" s="1"/>
      <c r="AR15" s="1"/>
      <c r="AT15" s="2" t="s">
        <v>248</v>
      </c>
      <c r="AU15" s="28">
        <f ca="1">BA12*(1+WACC!G19)/(WACC!G17-WACC!G19)</f>
        <v>482528.74436423718</v>
      </c>
      <c r="AV15" s="1"/>
      <c r="AW15" s="1"/>
      <c r="AX15" s="1"/>
      <c r="AY15" s="1"/>
      <c r="AZ15" s="1"/>
      <c r="BA15" s="1"/>
    </row>
    <row r="16" spans="1:53" x14ac:dyDescent="0.3">
      <c r="A16" s="2" t="s">
        <v>249</v>
      </c>
      <c r="B16" s="81">
        <f ca="1">B15/(1+WACC!B17)^5</f>
        <v>98676.894766974219</v>
      </c>
      <c r="J16" s="2" t="s">
        <v>249</v>
      </c>
      <c r="K16" s="28">
        <f ca="1">K15/(1+WACC!C17)^5</f>
        <v>22667.752478217448</v>
      </c>
      <c r="S16" s="2" t="s">
        <v>249</v>
      </c>
      <c r="T16" s="28">
        <f ca="1">T15/(1+WACC!D17)^5</f>
        <v>63022.578994913412</v>
      </c>
      <c r="U16" s="1"/>
      <c r="V16" s="1"/>
      <c r="W16" s="1"/>
      <c r="X16" s="1"/>
      <c r="Y16" s="1"/>
      <c r="Z16" s="1"/>
      <c r="AB16" s="2" t="s">
        <v>249</v>
      </c>
      <c r="AC16" s="28">
        <f ca="1">AC15/(1+WACC!E17)^5</f>
        <v>397133.03207127319</v>
      </c>
      <c r="AD16" s="1"/>
      <c r="AE16" s="1"/>
      <c r="AF16" s="1"/>
      <c r="AG16" s="1"/>
      <c r="AH16" s="1"/>
      <c r="AI16" s="1"/>
      <c r="AK16" s="2" t="s">
        <v>249</v>
      </c>
      <c r="AL16" s="28">
        <f ca="1">AL15/(1+WACC!F17)^5</f>
        <v>435347.1787436498</v>
      </c>
      <c r="AM16" s="1"/>
      <c r="AN16" s="1"/>
      <c r="AO16" s="1"/>
      <c r="AP16" s="1"/>
      <c r="AQ16" s="1"/>
      <c r="AR16" s="1"/>
      <c r="AT16" s="2" t="s">
        <v>249</v>
      </c>
      <c r="AU16" s="28">
        <f ca="1">AU15/(1+WACC!G17)^5</f>
        <v>245980.17749775859</v>
      </c>
      <c r="AV16" s="1"/>
      <c r="AW16" s="1"/>
      <c r="AX16" s="1"/>
      <c r="AY16" s="1"/>
      <c r="AZ16" s="1"/>
      <c r="BA16" s="1"/>
    </row>
    <row r="17" spans="1:53" x14ac:dyDescent="0.3">
      <c r="A17" s="2" t="s">
        <v>238</v>
      </c>
      <c r="B17" s="15">
        <f ca="1">NPV(Table33[[#This Row],[Column2]],FCFF!D12:H12)</f>
        <v>52831.303993035486</v>
      </c>
      <c r="J17" s="2" t="s">
        <v>238</v>
      </c>
      <c r="K17" s="28">
        <f ca="1">NPV(Table33[[#This Row],[Column3]],FCFF!M12:Q12)</f>
        <v>15525.145422393281</v>
      </c>
      <c r="S17" s="2" t="s">
        <v>238</v>
      </c>
      <c r="T17" s="28">
        <f ca="1">NPV(Table33[[#This Row],[Column4]],FCFF!V12:Z12)</f>
        <v>31094.598630227269</v>
      </c>
      <c r="U17" s="1"/>
      <c r="V17" s="1"/>
      <c r="W17" s="1"/>
      <c r="X17" s="1"/>
      <c r="Y17" s="1"/>
      <c r="Z17" s="1"/>
      <c r="AB17" s="2" t="s">
        <v>238</v>
      </c>
      <c r="AC17" s="28">
        <f ca="1">NPV(Table33[[#This Row],[Column5]],FCFF!AE12:AI12)</f>
        <v>169098.72346859606</v>
      </c>
      <c r="AD17" s="1"/>
      <c r="AE17" s="1"/>
      <c r="AF17" s="1"/>
      <c r="AG17" s="1"/>
      <c r="AH17" s="1"/>
      <c r="AI17" s="1"/>
      <c r="AK17" s="2" t="s">
        <v>238</v>
      </c>
      <c r="AL17" s="28">
        <f ca="1">NPV(Table33[[#This Row],[Column6]],FCFF!AN12:AR12)</f>
        <v>176841.20530446421</v>
      </c>
      <c r="AM17" s="1"/>
      <c r="AN17" s="1"/>
      <c r="AO17" s="1"/>
      <c r="AP17" s="1"/>
      <c r="AQ17" s="1"/>
      <c r="AR17" s="1"/>
      <c r="AT17" s="2" t="s">
        <v>238</v>
      </c>
      <c r="AU17" s="28">
        <f ca="1">NPV(Table33[[#This Row],[Column7]],FCFF!AW12:BA12)</f>
        <v>151758.10591447615</v>
      </c>
      <c r="AV17" s="1"/>
      <c r="AW17" s="1"/>
      <c r="AX17" s="1"/>
      <c r="AY17" s="1"/>
      <c r="AZ17" s="1"/>
      <c r="BA17" s="1"/>
    </row>
    <row r="18" spans="1:53" x14ac:dyDescent="0.3">
      <c r="A18" s="2" t="s">
        <v>250</v>
      </c>
      <c r="B18" s="81">
        <f ca="1">B16+B17</f>
        <v>151508.19876000972</v>
      </c>
      <c r="J18" s="2" t="s">
        <v>250</v>
      </c>
      <c r="K18" s="28">
        <f ca="1">K16+K17</f>
        <v>38192.897900610726</v>
      </c>
      <c r="S18" s="2" t="s">
        <v>250</v>
      </c>
      <c r="T18" s="28">
        <f ca="1">T16+T17</f>
        <v>94117.177625140685</v>
      </c>
      <c r="U18" s="1"/>
      <c r="V18" s="1"/>
      <c r="W18" s="1"/>
      <c r="X18" s="1"/>
      <c r="Y18" s="1"/>
      <c r="Z18" s="1"/>
      <c r="AB18" s="2" t="s">
        <v>250</v>
      </c>
      <c r="AC18" s="28">
        <f ca="1">AC16+AC17</f>
        <v>566231.75553986919</v>
      </c>
      <c r="AD18" s="1"/>
      <c r="AE18" s="1"/>
      <c r="AF18" s="1"/>
      <c r="AG18" s="1"/>
      <c r="AH18" s="1"/>
      <c r="AI18" s="1"/>
      <c r="AK18" s="2" t="s">
        <v>250</v>
      </c>
      <c r="AL18" s="28">
        <f ca="1">AL16+AL17</f>
        <v>612188.38404811407</v>
      </c>
      <c r="AM18" s="1"/>
      <c r="AN18" s="1"/>
      <c r="AO18" s="1"/>
      <c r="AP18" s="1"/>
      <c r="AQ18" s="1"/>
      <c r="AR18" s="1"/>
      <c r="AT18" s="2" t="s">
        <v>250</v>
      </c>
      <c r="AU18" s="28">
        <f ca="1">AU16+AU17</f>
        <v>397738.28341223474</v>
      </c>
      <c r="AV18" s="1"/>
      <c r="AW18" s="1"/>
      <c r="AX18" s="1"/>
      <c r="AY18" s="1"/>
      <c r="AZ18" s="1"/>
      <c r="BA18" s="1"/>
    </row>
    <row r="19" spans="1:53" x14ac:dyDescent="0.3">
      <c r="A19" s="2" t="s">
        <v>251</v>
      </c>
      <c r="B19" s="81">
        <f>WACC!B9-WACC!B18</f>
        <v>50502.98</v>
      </c>
      <c r="J19" s="2" t="s">
        <v>251</v>
      </c>
      <c r="K19" s="28">
        <f>WACC!C14-WACC!C18</f>
        <v>14904.03</v>
      </c>
      <c r="S19" s="2" t="s">
        <v>251</v>
      </c>
      <c r="T19" s="28">
        <f>WACC!D14-WACC!D18</f>
        <v>66262.66</v>
      </c>
      <c r="U19" s="1"/>
      <c r="V19" s="1"/>
      <c r="W19" s="1"/>
      <c r="X19" s="1"/>
      <c r="Y19" s="1"/>
      <c r="Z19" s="1"/>
      <c r="AB19" s="2" t="s">
        <v>251</v>
      </c>
      <c r="AC19" s="28">
        <f>WACC!E14-WACC!E18</f>
        <v>141886.72999999998</v>
      </c>
      <c r="AD19" s="1"/>
      <c r="AE19" s="1"/>
      <c r="AF19" s="1"/>
      <c r="AG19" s="1"/>
      <c r="AH19" s="1"/>
      <c r="AI19" s="1"/>
      <c r="AK19" s="2" t="s">
        <v>251</v>
      </c>
      <c r="AL19" s="28">
        <f>WACC!F14-WACC!F18</f>
        <v>149001.54700000002</v>
      </c>
      <c r="AM19" s="1"/>
      <c r="AN19" s="1"/>
      <c r="AO19" s="1"/>
      <c r="AP19" s="1"/>
      <c r="AQ19" s="1"/>
      <c r="AR19" s="1"/>
      <c r="AT19" s="2" t="s">
        <v>251</v>
      </c>
      <c r="AU19" s="28">
        <f>WACC!G14-WACC!G18</f>
        <v>116342</v>
      </c>
      <c r="AV19" s="1"/>
      <c r="AW19" s="1"/>
      <c r="AX19" s="1"/>
      <c r="AY19" s="1"/>
      <c r="AZ19" s="1"/>
      <c r="BA19" s="1"/>
    </row>
    <row r="20" spans="1:53" x14ac:dyDescent="0.3">
      <c r="A20" s="2" t="s">
        <v>252</v>
      </c>
      <c r="B20" s="81">
        <f ca="1">B18-B19</f>
        <v>101005.21876000971</v>
      </c>
      <c r="J20" s="2" t="s">
        <v>252</v>
      </c>
      <c r="K20" s="28">
        <f ca="1">K18-K19</f>
        <v>23288.867900610727</v>
      </c>
      <c r="S20" s="2" t="s">
        <v>252</v>
      </c>
      <c r="T20" s="28">
        <f ca="1">T18-T19</f>
        <v>27854.517625140681</v>
      </c>
      <c r="U20" s="1"/>
      <c r="V20" s="1"/>
      <c r="W20" s="1"/>
      <c r="X20" s="1"/>
      <c r="Y20" s="1"/>
      <c r="Z20" s="1"/>
      <c r="AB20" s="2" t="s">
        <v>252</v>
      </c>
      <c r="AC20" s="28">
        <f ca="1">AC18-AC19</f>
        <v>424345.02553986921</v>
      </c>
      <c r="AD20" s="1"/>
      <c r="AE20" s="1"/>
      <c r="AF20" s="1"/>
      <c r="AG20" s="1"/>
      <c r="AH20" s="1"/>
      <c r="AI20" s="1"/>
      <c r="AK20" s="2" t="s">
        <v>252</v>
      </c>
      <c r="AL20" s="28">
        <f ca="1">AL18-AL19</f>
        <v>463186.83704811404</v>
      </c>
      <c r="AM20" s="1"/>
      <c r="AN20" s="1"/>
      <c r="AO20" s="1"/>
      <c r="AP20" s="1"/>
      <c r="AQ20" s="1"/>
      <c r="AR20" s="1"/>
      <c r="AT20" s="2" t="s">
        <v>252</v>
      </c>
      <c r="AU20" s="28">
        <f ca="1">AU18-AU19</f>
        <v>281396.28341223474</v>
      </c>
      <c r="AV20" s="1"/>
      <c r="AW20" s="1"/>
      <c r="AX20" s="1"/>
      <c r="AY20" s="1"/>
      <c r="AZ20" s="1"/>
      <c r="BA20" s="1"/>
    </row>
    <row r="21" spans="1:53" x14ac:dyDescent="0.3">
      <c r="A21" s="2" t="s">
        <v>253</v>
      </c>
      <c r="B21" s="15">
        <f ca="1">'Company Profile'!B8/10000000</f>
        <v>433.85050000000001</v>
      </c>
      <c r="J21" s="2" t="s">
        <v>253</v>
      </c>
      <c r="K21" s="28">
        <f ca="1">'Company Profile'!C8/10000000</f>
        <v>657.50800000000004</v>
      </c>
      <c r="S21" s="2" t="s">
        <v>253</v>
      </c>
      <c r="T21" s="28">
        <f ca="1">'Company Profile'!D8/10000000</f>
        <v>212.78229999999999</v>
      </c>
      <c r="U21" s="1"/>
      <c r="V21" s="1"/>
      <c r="W21" s="1"/>
      <c r="X21" s="1"/>
      <c r="Y21" s="1"/>
      <c r="Z21" s="1"/>
      <c r="AB21" s="2" t="s">
        <v>253</v>
      </c>
      <c r="AC21" s="28">
        <f ca="1">'Company Profile'!E8/10000000</f>
        <v>1412.124</v>
      </c>
      <c r="AD21" s="1"/>
      <c r="AE21" s="1"/>
      <c r="AF21" s="1"/>
      <c r="AG21" s="1"/>
      <c r="AH21" s="1"/>
      <c r="AI21" s="1"/>
      <c r="AK21" s="2" t="s">
        <v>253</v>
      </c>
      <c r="AL21" s="28">
        <f ca="1">'Company Profile'!F8/10000000</f>
        <v>1258.028</v>
      </c>
      <c r="AM21" s="1"/>
      <c r="AN21" s="1"/>
      <c r="AO21" s="1"/>
      <c r="AP21" s="1"/>
      <c r="AQ21" s="1"/>
      <c r="AR21" s="1"/>
      <c r="AT21" s="2" t="s">
        <v>253</v>
      </c>
      <c r="AU21" s="28">
        <f ca="1">'Company Profile'!G8/10000000</f>
        <v>1353.2739999999999</v>
      </c>
      <c r="AV21" s="1"/>
      <c r="AW21" s="1"/>
      <c r="AX21" s="1"/>
      <c r="AY21" s="1"/>
      <c r="AZ21" s="1"/>
      <c r="BA21" s="1"/>
    </row>
    <row r="22" spans="1:53" x14ac:dyDescent="0.3">
      <c r="A22" s="2" t="s">
        <v>254</v>
      </c>
      <c r="B22" s="15">
        <f ca="1">B20/B21</f>
        <v>232.81111525746704</v>
      </c>
      <c r="J22" s="2" t="s">
        <v>254</v>
      </c>
      <c r="K22" s="28">
        <f ca="1">K20/K21</f>
        <v>35.419900443204838</v>
      </c>
      <c r="S22" s="2" t="s">
        <v>254</v>
      </c>
      <c r="T22" s="28">
        <f ca="1">T20/T21</f>
        <v>130.90617793463406</v>
      </c>
      <c r="U22" s="1"/>
      <c r="V22" s="1"/>
      <c r="W22" s="1"/>
      <c r="X22" s="1"/>
      <c r="Y22" s="1"/>
      <c r="Z22" s="1"/>
      <c r="AB22" s="2" t="s">
        <v>254</v>
      </c>
      <c r="AC22" s="28">
        <f ca="1">AC20/AC21</f>
        <v>300.50124885624012</v>
      </c>
      <c r="AD22" s="1"/>
      <c r="AE22" s="1"/>
      <c r="AF22" s="1"/>
      <c r="AG22" s="1"/>
      <c r="AH22" s="1"/>
      <c r="AI22" s="1"/>
      <c r="AK22" s="2" t="s">
        <v>254</v>
      </c>
      <c r="AL22" s="28">
        <f ca="1">AL20/AL21</f>
        <v>368.18483932640135</v>
      </c>
      <c r="AM22" s="1"/>
      <c r="AN22" s="1"/>
      <c r="AO22" s="1"/>
      <c r="AP22" s="1"/>
      <c r="AQ22" s="1"/>
      <c r="AR22" s="1"/>
      <c r="AT22" s="2" t="s">
        <v>254</v>
      </c>
      <c r="AU22" s="28">
        <f ca="1">AU20/AU21</f>
        <v>207.9374047031383</v>
      </c>
      <c r="AV22" s="1"/>
      <c r="AW22" s="1"/>
      <c r="AX22" s="1"/>
      <c r="AY22" s="1"/>
      <c r="AZ22" s="1"/>
      <c r="BA22" s="1"/>
    </row>
    <row r="23" spans="1:53" x14ac:dyDescent="0.3">
      <c r="A23" s="2" t="s">
        <v>255</v>
      </c>
      <c r="B23" s="15">
        <f ca="1">'Company Profile'!B7</f>
        <v>365.15</v>
      </c>
      <c r="J23" s="2" t="s">
        <v>255</v>
      </c>
      <c r="K23" s="28">
        <f ca="1">'Company Profile'!C7</f>
        <v>181.52</v>
      </c>
      <c r="S23" s="2" t="s">
        <v>255</v>
      </c>
      <c r="T23" s="28">
        <f ca="1">'Company Profile'!D7</f>
        <v>481.7</v>
      </c>
      <c r="U23" s="1"/>
      <c r="V23" s="1"/>
      <c r="W23" s="1"/>
      <c r="X23" s="1"/>
      <c r="Y23" s="1"/>
      <c r="Z23" s="1"/>
      <c r="AB23" s="2" t="s">
        <v>255</v>
      </c>
      <c r="AC23" s="28">
        <f ca="1">'Company Profile'!E7</f>
        <v>169</v>
      </c>
      <c r="AD23" s="1"/>
      <c r="AE23" s="1"/>
      <c r="AF23" s="1"/>
      <c r="AG23" s="1"/>
      <c r="AH23" s="1"/>
      <c r="AI23" s="1"/>
      <c r="AK23" s="2" t="s">
        <v>255</v>
      </c>
      <c r="AL23" s="28">
        <f ca="1">'Company Profile'!F7</f>
        <v>251.4</v>
      </c>
      <c r="AM23" s="1"/>
      <c r="AN23" s="1"/>
      <c r="AO23" s="1"/>
      <c r="AP23" s="1"/>
      <c r="AQ23" s="1"/>
      <c r="AR23" s="1"/>
      <c r="AT23" s="2" t="s">
        <v>255</v>
      </c>
      <c r="AU23" s="28">
        <f ca="1">'Company Profile'!G7</f>
        <v>1489.25</v>
      </c>
      <c r="AV23" s="1"/>
      <c r="AW23" s="1"/>
      <c r="AX23" s="1"/>
      <c r="AY23" s="1"/>
      <c r="AZ23" s="1"/>
      <c r="BA23" s="1"/>
    </row>
    <row r="24" spans="1:53" x14ac:dyDescent="0.3">
      <c r="A24" s="2" t="e" vm="13">
        <v>#VALUE!</v>
      </c>
      <c r="B24" s="82">
        <f ca="1">(B22-B23)/B23</f>
        <v>-0.36242334586480335</v>
      </c>
      <c r="J24" s="2" t="e" vm="13">
        <v>#VALUE!</v>
      </c>
      <c r="K24" s="84">
        <f ca="1">(K22-K23)/K23</f>
        <v>-0.80487053524016716</v>
      </c>
      <c r="S24" s="2" t="e" vm="13">
        <v>#VALUE!</v>
      </c>
      <c r="T24" s="84">
        <f ca="1">(T22-T23)/T23</f>
        <v>-0.72824127478797163</v>
      </c>
      <c r="U24" s="1"/>
      <c r="V24" s="1"/>
      <c r="W24" s="1"/>
      <c r="X24" s="1"/>
      <c r="Y24" s="1"/>
      <c r="Z24" s="1"/>
      <c r="AB24" s="2" t="e" vm="13">
        <v>#VALUE!</v>
      </c>
      <c r="AC24" s="84">
        <f ca="1">(AC22-AC23)/AC23</f>
        <v>0.77811389855763391</v>
      </c>
      <c r="AD24" s="1"/>
      <c r="AE24" s="1"/>
      <c r="AF24" s="1"/>
      <c r="AG24" s="1"/>
      <c r="AH24" s="1"/>
      <c r="AI24" s="1"/>
      <c r="AK24" s="2" t="e" vm="13">
        <v>#VALUE!</v>
      </c>
      <c r="AL24" s="84">
        <f ca="1">(AL22-AL23)/AL23</f>
        <v>0.46453794481464333</v>
      </c>
      <c r="AM24" s="1"/>
      <c r="AN24" s="1"/>
      <c r="AO24" s="1"/>
      <c r="AP24" s="1"/>
      <c r="AQ24" s="1"/>
      <c r="AR24" s="1"/>
      <c r="AT24" s="2" t="e" vm="13">
        <v>#VALUE!</v>
      </c>
      <c r="AU24" s="84">
        <f ca="1">(AU22-AU23)/AU23</f>
        <v>-0.86037441349461918</v>
      </c>
      <c r="AV24" s="1"/>
      <c r="AW24" s="1"/>
      <c r="AX24" s="1"/>
      <c r="AY24" s="1"/>
      <c r="AZ24" s="1"/>
      <c r="BA24" s="1"/>
    </row>
  </sheetData>
  <mergeCells count="6">
    <mergeCell ref="AT3:BA3"/>
    <mergeCell ref="A3:H3"/>
    <mergeCell ref="J3:Q3"/>
    <mergeCell ref="S3:Z3"/>
    <mergeCell ref="AB3:AI3"/>
    <mergeCell ref="AK3:AR3"/>
  </mergeCells>
  <conditionalFormatting sqref="B24">
    <cfRule type="cellIs" dxfId="13" priority="11" operator="greaterThan">
      <formula>0</formula>
    </cfRule>
    <cfRule type="cellIs" dxfId="12" priority="12" operator="lessThan">
      <formula>0</formula>
    </cfRule>
  </conditionalFormatting>
  <conditionalFormatting sqref="K24">
    <cfRule type="cellIs" dxfId="11" priority="9" operator="lessThan">
      <formula>0</formula>
    </cfRule>
    <cfRule type="cellIs" dxfId="10" priority="10" operator="greaterThan">
      <formula>0</formula>
    </cfRule>
  </conditionalFormatting>
  <conditionalFormatting sqref="T24">
    <cfRule type="cellIs" dxfId="9" priority="7" operator="lessThan">
      <formula>0</formula>
    </cfRule>
    <cfRule type="cellIs" dxfId="8" priority="8" operator="greaterThan">
      <formula>0</formula>
    </cfRule>
  </conditionalFormatting>
  <conditionalFormatting sqref="AC24">
    <cfRule type="cellIs" dxfId="7" priority="5" operator="lessThan">
      <formula>0</formula>
    </cfRule>
    <cfRule type="cellIs" dxfId="6" priority="6" operator="greaterThan">
      <formula>0</formula>
    </cfRule>
  </conditionalFormatting>
  <conditionalFormatting sqref="AL24">
    <cfRule type="cellIs" dxfId="5" priority="3" operator="lessThan">
      <formula>0</formula>
    </cfRule>
    <cfRule type="cellIs" dxfId="4" priority="4" operator="greaterThan">
      <formula>0</formula>
    </cfRule>
  </conditionalFormatting>
  <conditionalFormatting sqref="AU24">
    <cfRule type="cellIs" dxfId="3" priority="1" operator="lessThan">
      <formula>0</formula>
    </cfRule>
    <cfRule type="cellIs" dxfId="2" priority="2" operator="greaterThan">
      <formula>0</formula>
    </cfRule>
  </conditionalFormatting>
  <pageMargins left="0.7" right="0.7" top="0.75" bottom="0.75" header="0.3" footer="0.3"/>
  <picture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743D7-5271-42B5-81DC-FE48B58CA769}">
  <dimension ref="A1:L25"/>
  <sheetViews>
    <sheetView showGridLines="0" topLeftCell="E1" workbookViewId="0">
      <selection activeCell="H4" sqref="H4"/>
    </sheetView>
  </sheetViews>
  <sheetFormatPr defaultRowHeight="14.4" x14ac:dyDescent="0.3"/>
  <cols>
    <col min="1" max="1" width="35.6640625" style="2" bestFit="1" customWidth="1"/>
    <col min="2" max="2" width="12.109375" style="1" customWidth="1"/>
    <col min="3" max="3" width="12.6640625" style="1" customWidth="1"/>
    <col min="4" max="4" width="12.44140625" style="1" customWidth="1"/>
    <col min="5" max="5" width="10.88671875" style="1" bestFit="1" customWidth="1"/>
    <col min="6" max="6" width="8.88671875" style="2"/>
    <col min="7" max="7" width="18.109375" style="2" bestFit="1" customWidth="1"/>
    <col min="8" max="10" width="11" style="1" bestFit="1" customWidth="1"/>
    <col min="11" max="11" width="12.33203125" style="1" bestFit="1" customWidth="1"/>
    <col min="12" max="12" width="12.5546875" style="1" bestFit="1" customWidth="1"/>
    <col min="13" max="16384" width="8.88671875" style="2"/>
  </cols>
  <sheetData>
    <row r="1" spans="1:12" ht="25.8" x14ac:dyDescent="0.3">
      <c r="A1" s="42" t="s">
        <v>257</v>
      </c>
    </row>
    <row r="3" spans="1:12" x14ac:dyDescent="0.3">
      <c r="A3" s="2" t="s">
        <v>258</v>
      </c>
      <c r="B3" s="1" t="s">
        <v>209</v>
      </c>
      <c r="C3" s="1" t="s">
        <v>210</v>
      </c>
      <c r="D3" s="1" t="s">
        <v>211</v>
      </c>
      <c r="E3" s="1" t="s">
        <v>212</v>
      </c>
      <c r="G3" s="2" t="s">
        <v>280</v>
      </c>
      <c r="H3" s="1" t="s">
        <v>269</v>
      </c>
      <c r="I3" s="1" t="s">
        <v>276</v>
      </c>
      <c r="J3" s="1" t="s">
        <v>277</v>
      </c>
      <c r="K3" s="1" t="s">
        <v>278</v>
      </c>
      <c r="L3" s="1" t="s">
        <v>279</v>
      </c>
    </row>
    <row r="4" spans="1:12" x14ac:dyDescent="0.3">
      <c r="A4" s="2" t="s">
        <v>259</v>
      </c>
      <c r="B4" s="81">
        <f ca="1">'Financial Ratios'!H19</f>
        <v>73.011275328365357</v>
      </c>
      <c r="C4" s="81">
        <f ca="1">'Financial Ratios'!H20</f>
        <v>13.838402541865829</v>
      </c>
      <c r="D4" s="81">
        <f ca="1">'Financial Ratios'!H21</f>
        <v>1.946578619245926</v>
      </c>
      <c r="E4" s="81">
        <f ca="1">'Financial Ratios'!H22</f>
        <v>0.31482475647960206</v>
      </c>
      <c r="G4" s="2" t="s">
        <v>209</v>
      </c>
      <c r="H4" s="28">
        <f ca="1">B20*B16</f>
        <v>207519.28500637342</v>
      </c>
      <c r="I4" s="28">
        <f ca="1">B21*B16</f>
        <v>165417.49591408917</v>
      </c>
      <c r="J4" s="28">
        <f ca="1">B16*B22</f>
        <v>293870.82925806299</v>
      </c>
      <c r="K4" s="28">
        <f ca="1">B23*B16</f>
        <v>1781834.9563695299</v>
      </c>
      <c r="L4" s="28">
        <f ca="1">B24*B16</f>
        <v>1305092.6383407426</v>
      </c>
    </row>
    <row r="5" spans="1:12" x14ac:dyDescent="0.3">
      <c r="A5" s="2" t="s">
        <v>260</v>
      </c>
      <c r="B5" s="81">
        <f ca="1">'Financial Ratios'!Q19</f>
        <v>8.0394744596531762</v>
      </c>
      <c r="C5" s="81">
        <f ca="1">'Financial Ratios'!Q20</f>
        <v>9.5765142507303533</v>
      </c>
      <c r="D5" s="81">
        <f ca="1">'Financial Ratios'!Q21</f>
        <v>1.4001663547647787</v>
      </c>
      <c r="E5" s="81">
        <f ca="1">'Financial Ratios'!Q22</f>
        <v>0.83137108978005281</v>
      </c>
      <c r="G5" s="2" t="s">
        <v>210</v>
      </c>
      <c r="H5" s="28">
        <f ca="1">C16*C20</f>
        <v>150792.37430705936</v>
      </c>
      <c r="I5" s="28">
        <f ca="1">C21*C16</f>
        <v>88723.091820419912</v>
      </c>
      <c r="J5" s="28">
        <f ca="1">C22*C16</f>
        <v>164161.7588900862</v>
      </c>
      <c r="K5" s="28">
        <f ca="1">C23*C16</f>
        <v>504867.01966819388</v>
      </c>
      <c r="L5" s="28">
        <f ca="1">C24*C16</f>
        <v>464473.4272268113</v>
      </c>
    </row>
    <row r="6" spans="1:12" x14ac:dyDescent="0.3">
      <c r="A6" s="2" t="s">
        <v>261</v>
      </c>
      <c r="B6" s="81">
        <f ca="1">'Financial Ratios'!Z19</f>
        <v>9.0295567638908469</v>
      </c>
      <c r="C6" s="81">
        <f ca="1">'Financial Ratios'!Z20</f>
        <v>15.217012917736765</v>
      </c>
      <c r="D6" s="81">
        <f ca="1">'Financial Ratios'!Z21</f>
        <v>2.0040797107555894</v>
      </c>
      <c r="E6" s="81">
        <f ca="1">'Financial Ratios'!Z22</f>
        <v>0.21863206715500363</v>
      </c>
      <c r="G6" s="2" t="s">
        <v>211</v>
      </c>
      <c r="H6" s="28">
        <f ca="1">D16*D20</f>
        <v>137106.26850932476</v>
      </c>
      <c r="I6" s="28">
        <f ca="1">D21*D16</f>
        <v>86161.848330272624</v>
      </c>
      <c r="J6" s="28">
        <f ca="1">D22*D16</f>
        <v>143603.07493484876</v>
      </c>
      <c r="K6" s="28">
        <f ca="1">D23*D16</f>
        <v>630467.04511521873</v>
      </c>
      <c r="L6" s="28">
        <f ca="1">D24*D16</f>
        <v>914928.71880991536</v>
      </c>
    </row>
    <row r="7" spans="1:12" x14ac:dyDescent="0.3">
      <c r="A7" s="2" t="s">
        <v>262</v>
      </c>
      <c r="B7" s="81">
        <f ca="1">'Financial Ratios'!AI19</f>
        <v>9.6384930034145686</v>
      </c>
      <c r="C7" s="81">
        <f ca="1">'Financial Ratios'!AI20</f>
        <v>17.307411578792397</v>
      </c>
      <c r="D7" s="81">
        <f ca="1">'Financial Ratios'!AI21</f>
        <v>1.2493096755151927</v>
      </c>
      <c r="E7" s="81">
        <f ca="1">'Financial Ratios'!AI22</f>
        <v>0.2765737241226861</v>
      </c>
      <c r="G7" s="2" t="s">
        <v>212</v>
      </c>
      <c r="H7" s="28">
        <f ca="1">E20*E16</f>
        <v>722146.57548784849</v>
      </c>
      <c r="I7" s="28">
        <f ca="1">E21*E16</f>
        <v>672792.44991122605</v>
      </c>
      <c r="J7" s="28">
        <f ca="1">E22*E16</f>
        <v>206021.92033193534</v>
      </c>
      <c r="K7" s="28">
        <f ca="1">E23*E16</f>
        <v>969635.23235126655</v>
      </c>
      <c r="L7" s="28">
        <f ca="1">E24*E16</f>
        <v>787707.49657537905</v>
      </c>
    </row>
    <row r="8" spans="1:12" x14ac:dyDescent="0.3">
      <c r="A8" s="2" t="s">
        <v>263</v>
      </c>
      <c r="B8" s="81">
        <f ca="1">'Financial Ratios'!AR19</f>
        <v>4.6050024765370905</v>
      </c>
      <c r="C8" s="81">
        <f ca="1">'Financial Ratios'!AR20</f>
        <v>8.2514925326016169</v>
      </c>
      <c r="D8" s="81">
        <f ca="1">'Financial Ratios'!AR21</f>
        <v>0.84510572320234711</v>
      </c>
      <c r="E8" s="81">
        <f ca="1">'Financial Ratios'!AR22</f>
        <v>0.46809070587194163</v>
      </c>
      <c r="G8" s="11" t="s">
        <v>6</v>
      </c>
      <c r="H8" s="29">
        <f ca="1">'Company Profile'!B10/10000000</f>
        <v>159288.20000000001</v>
      </c>
      <c r="I8" s="29">
        <f ca="1">'Company Profile'!D10/10000000</f>
        <v>102039.7</v>
      </c>
      <c r="J8" s="29">
        <f ca="1">'Company Profile'!C10/10000000</f>
        <v>118660.5</v>
      </c>
      <c r="K8" s="29">
        <f ca="1">'Company Profile'!F10/10000000</f>
        <v>317274.7</v>
      </c>
      <c r="L8" s="29">
        <f ca="1">'Company Profile'!G10/10000000</f>
        <v>2000099</v>
      </c>
    </row>
    <row r="9" spans="1:12" x14ac:dyDescent="0.3">
      <c r="A9" s="2" t="s">
        <v>270</v>
      </c>
      <c r="B9" s="81">
        <v>17.36</v>
      </c>
      <c r="C9" s="81">
        <v>0</v>
      </c>
      <c r="D9" s="81">
        <v>1.71</v>
      </c>
      <c r="E9" s="81">
        <v>0.2</v>
      </c>
      <c r="G9" s="11" t="s">
        <v>265</v>
      </c>
      <c r="H9" s="29">
        <f ca="1">AVERAGE(H4:H7)</f>
        <v>304391.12582765147</v>
      </c>
      <c r="I9" s="29">
        <f t="shared" ref="I9:L9" ca="1" si="0">AVERAGE(I4:I7)</f>
        <v>253273.72149400195</v>
      </c>
      <c r="J9" s="29">
        <f t="shared" ca="1" si="0"/>
        <v>201914.39585373335</v>
      </c>
      <c r="K9" s="29">
        <f t="shared" ca="1" si="0"/>
        <v>971701.06337605231</v>
      </c>
      <c r="L9" s="29">
        <f t="shared" ca="1" si="0"/>
        <v>868050.57023821212</v>
      </c>
    </row>
    <row r="10" spans="1:12" x14ac:dyDescent="0.3">
      <c r="A10" s="2" t="s">
        <v>271</v>
      </c>
      <c r="B10" s="81">
        <v>24.35</v>
      </c>
      <c r="C10" s="81">
        <v>0</v>
      </c>
      <c r="D10" s="81">
        <v>1.27</v>
      </c>
      <c r="E10" s="81">
        <v>0.2</v>
      </c>
    </row>
    <row r="11" spans="1:12" x14ac:dyDescent="0.3">
      <c r="A11" s="2" t="s">
        <v>272</v>
      </c>
      <c r="B11" s="81">
        <v>14.55</v>
      </c>
      <c r="C11" s="81">
        <v>0</v>
      </c>
      <c r="D11" s="81">
        <v>1.95</v>
      </c>
      <c r="E11" s="81">
        <v>0.81</v>
      </c>
      <c r="G11" s="2" t="s">
        <v>280</v>
      </c>
      <c r="H11" s="1" t="s">
        <v>269</v>
      </c>
      <c r="I11" s="1" t="s">
        <v>276</v>
      </c>
      <c r="J11" s="1" t="s">
        <v>277</v>
      </c>
      <c r="K11" s="1" t="s">
        <v>278</v>
      </c>
      <c r="L11" s="1" t="s">
        <v>279</v>
      </c>
    </row>
    <row r="12" spans="1:12" x14ac:dyDescent="0.3">
      <c r="A12" s="2" t="s">
        <v>273</v>
      </c>
      <c r="B12" s="81">
        <v>6.89</v>
      </c>
      <c r="C12" s="81">
        <v>9.7200000000000006</v>
      </c>
      <c r="D12" s="81">
        <v>1.28</v>
      </c>
      <c r="E12" s="81">
        <v>1.97</v>
      </c>
      <c r="G12" s="2" t="s">
        <v>209</v>
      </c>
      <c r="H12" s="28">
        <f ca="1">H4/('Company Profile'!$B$8/10000000)</f>
        <v>478.31980142093511</v>
      </c>
      <c r="I12" s="28">
        <f ca="1">I4/('Company Profile'!$D$8/10000000)</f>
        <v>777.40251850877246</v>
      </c>
      <c r="J12" s="28">
        <f ca="1">J4/('Company Profile'!$C$8/10000000)</f>
        <v>446.9463934401756</v>
      </c>
      <c r="K12" s="28">
        <f ca="1">K4/('Company Profile'!$F$8/10000000)</f>
        <v>1416.3714610243412</v>
      </c>
      <c r="L12" s="28">
        <f ca="1">L4/('Company Profile'!$G$8/10000000)</f>
        <v>964.39644768224514</v>
      </c>
    </row>
    <row r="13" spans="1:12" x14ac:dyDescent="0.3">
      <c r="A13" s="2" t="s">
        <v>274</v>
      </c>
      <c r="B13" s="81">
        <v>10.82</v>
      </c>
      <c r="C13" s="81">
        <v>19.59</v>
      </c>
      <c r="D13" s="81">
        <v>1.74</v>
      </c>
      <c r="E13" s="81">
        <v>6.32</v>
      </c>
      <c r="G13" s="2" t="s">
        <v>210</v>
      </c>
      <c r="H13" s="28">
        <f ca="1">H5/('Company Profile'!$B$8/10000000)</f>
        <v>347.56759369197306</v>
      </c>
      <c r="I13" s="28">
        <f ca="1">I5/('Company Profile'!$D$8/10000000)</f>
        <v>416.96650435877382</v>
      </c>
      <c r="J13" s="28">
        <f ca="1">J5/('Company Profile'!$C$8/10000000)</f>
        <v>249.67264107826247</v>
      </c>
      <c r="K13" s="28">
        <f ca="1">K5/('Company Profile'!$F$8/10000000)</f>
        <v>401.31620255526417</v>
      </c>
      <c r="L13" s="28">
        <f ca="1">L5/('Company Profile'!$G$8/10000000)</f>
        <v>343.22201359577684</v>
      </c>
    </row>
    <row r="14" spans="1:12" x14ac:dyDescent="0.3">
      <c r="A14" s="2" t="s">
        <v>275</v>
      </c>
      <c r="B14" s="81">
        <v>4.34</v>
      </c>
      <c r="C14" s="81">
        <v>7.41</v>
      </c>
      <c r="D14" s="81">
        <v>1.1100000000000001</v>
      </c>
      <c r="E14" s="81">
        <v>1.94</v>
      </c>
      <c r="G14" s="2" t="s">
        <v>211</v>
      </c>
      <c r="H14" s="28">
        <f ca="1">H6/('Company Profile'!$B$8/10000000)</f>
        <v>316.0219211671411</v>
      </c>
      <c r="I14" s="28">
        <f ca="1">I6/('Company Profile'!$D$8/10000000)</f>
        <v>404.92958451089504</v>
      </c>
      <c r="J14" s="28">
        <f ca="1">J6/('Company Profile'!$C$8/10000000)</f>
        <v>218.405061132106</v>
      </c>
      <c r="K14" s="28">
        <f ca="1">K6/('Company Profile'!$F$8/10000000)</f>
        <v>501.15501810390447</v>
      </c>
      <c r="L14" s="28">
        <f ca="1">L6/('Company Profile'!$G$8/10000000)</f>
        <v>676.08534473426334</v>
      </c>
    </row>
    <row r="15" spans="1:12" x14ac:dyDescent="0.3">
      <c r="A15" s="2" t="s">
        <v>264</v>
      </c>
      <c r="B15" s="81">
        <f ca="1">'Financial Ratios'!BA19</f>
        <v>28.537693998354975</v>
      </c>
      <c r="C15" s="81">
        <f ca="1">'Financial Ratios'!BA20</f>
        <v>57.153970407237253</v>
      </c>
      <c r="D15" s="81">
        <f ca="1">'Financial Ratios'!BA21</f>
        <v>3.7109400602481739</v>
      </c>
      <c r="E15" s="81">
        <f ca="1">'Financial Ratios'!BA22</f>
        <v>3.6717338472834067</v>
      </c>
      <c r="G15" s="2" t="s">
        <v>212</v>
      </c>
      <c r="H15" s="28">
        <f ca="1">H7/('Company Profile'!$B$8/10000000)</f>
        <v>1664.5055738966498</v>
      </c>
      <c r="I15" s="28">
        <f ca="1">I7/('Company Profile'!$D$8/10000000)</f>
        <v>3161.8816504531915</v>
      </c>
      <c r="J15" s="28">
        <f ca="1">J7/('Company Profile'!$C$8/10000000)</f>
        <v>313.33751122714148</v>
      </c>
      <c r="K15" s="28">
        <f ca="1">K7/('Company Profile'!$F$8/10000000)</f>
        <v>770.75806925701693</v>
      </c>
      <c r="L15" s="28">
        <f ca="1">L7/('Company Profile'!$G$8/10000000)</f>
        <v>582.07539387838608</v>
      </c>
    </row>
    <row r="16" spans="1:12" x14ac:dyDescent="0.3">
      <c r="A16" s="11" t="s">
        <v>265</v>
      </c>
      <c r="B16" s="29">
        <f ca="1">AVERAGE(B4:B15)</f>
        <v>17.597624669184668</v>
      </c>
      <c r="C16" s="29">
        <f t="shared" ref="C16:E16" ca="1" si="1">AVERAGE(C4:C15)</f>
        <v>13.17206701908035</v>
      </c>
      <c r="D16" s="29">
        <f t="shared" ca="1" si="1"/>
        <v>1.6846816786443339</v>
      </c>
      <c r="E16" s="29">
        <f t="shared" ca="1" si="1"/>
        <v>1.4351021825577244</v>
      </c>
      <c r="G16" s="11" t="s">
        <v>215</v>
      </c>
      <c r="H16" s="29">
        <f ca="1">'Company Profile'!B7</f>
        <v>365.15</v>
      </c>
      <c r="I16" s="29">
        <f ca="1">'Company Profile'!D7</f>
        <v>481.7</v>
      </c>
      <c r="J16" s="29">
        <f ca="1">'Company Profile'!C7</f>
        <v>181.52</v>
      </c>
      <c r="K16" s="29">
        <f ca="1">'Company Profile'!F7</f>
        <v>251.4</v>
      </c>
      <c r="L16" s="29">
        <f ca="1">'Company Profile'!G7</f>
        <v>1489.25</v>
      </c>
    </row>
    <row r="17" spans="1:12" x14ac:dyDescent="0.3">
      <c r="G17" s="11" t="s">
        <v>265</v>
      </c>
      <c r="H17" s="28">
        <f ca="1">H9/('Company Profile'!$B$8/10000000)</f>
        <v>701.60372254417473</v>
      </c>
      <c r="I17" s="28">
        <f ca="1">I9/('Company Profile'!$D$8/10000000)</f>
        <v>1190.2950644579082</v>
      </c>
      <c r="J17" s="28">
        <f ca="1">J9/('Company Profile'!$C$8/10000000)</f>
        <v>307.09040171942144</v>
      </c>
      <c r="K17" s="28">
        <f ca="1">K9/('Company Profile'!$F$8/10000000)</f>
        <v>772.40018773513168</v>
      </c>
      <c r="L17" s="28">
        <f ca="1">L9/('Company Profile'!$G$8/10000000)</f>
        <v>641.44479997266797</v>
      </c>
    </row>
    <row r="18" spans="1:12" x14ac:dyDescent="0.3">
      <c r="G18" s="11"/>
      <c r="H18" s="29"/>
      <c r="I18" s="29"/>
      <c r="J18" s="29"/>
      <c r="K18" s="29"/>
      <c r="L18" s="29"/>
    </row>
    <row r="19" spans="1:12" x14ac:dyDescent="0.3">
      <c r="A19" s="2" t="s">
        <v>10</v>
      </c>
      <c r="B19" s="85" t="s">
        <v>266</v>
      </c>
      <c r="C19" s="85" t="s">
        <v>267</v>
      </c>
      <c r="D19" s="85" t="s">
        <v>268</v>
      </c>
      <c r="E19" s="85" t="s">
        <v>232</v>
      </c>
      <c r="G19" s="2" t="s">
        <v>280</v>
      </c>
      <c r="H19" s="1" t="s">
        <v>269</v>
      </c>
      <c r="I19" s="1" t="s">
        <v>276</v>
      </c>
      <c r="J19" s="1" t="s">
        <v>277</v>
      </c>
      <c r="K19" s="1" t="s">
        <v>278</v>
      </c>
      <c r="L19" s="1" t="s">
        <v>279</v>
      </c>
    </row>
    <row r="20" spans="1:12" x14ac:dyDescent="0.3">
      <c r="A20" s="2" t="s">
        <v>269</v>
      </c>
      <c r="B20" s="81">
        <f>Table7[[#This Row],[2025]]+'Income Statement'!G15+'Income Statement'!G16</f>
        <v>11792.46</v>
      </c>
      <c r="C20" s="81">
        <f>'Income Statement'!G27</f>
        <v>11447.88999999997</v>
      </c>
      <c r="D20" s="81">
        <f>'Balance Sheet'!G37</f>
        <v>81384.08</v>
      </c>
      <c r="E20" s="81">
        <f>'Income Statement'!G8</f>
        <v>503202.19999999995</v>
      </c>
      <c r="G20" s="2" t="s">
        <v>209</v>
      </c>
      <c r="H20" s="83">
        <f ca="1">(H12-$H$16)/$H$16</f>
        <v>0.30992688325601847</v>
      </c>
      <c r="I20" s="83">
        <f ca="1">(I12-$I$16)/$I$16</f>
        <v>0.61387278079462837</v>
      </c>
      <c r="J20" s="83">
        <f ca="1">(J12-$J$16)/$J$16</f>
        <v>1.462243242839222</v>
      </c>
      <c r="K20" s="83">
        <f ca="1">(K12-$K$16)/$K$16</f>
        <v>4.63393580359722</v>
      </c>
      <c r="L20" s="83">
        <f ca="1">(L12-$L$16)/$L$16</f>
        <v>-0.35242810294964233</v>
      </c>
    </row>
    <row r="21" spans="1:12" x14ac:dyDescent="0.3">
      <c r="A21" s="2" t="s">
        <v>276</v>
      </c>
      <c r="B21" s="81">
        <f>Table9[[#This Row],[2025]]+'Income Statement'!W16+'Income Statement'!W17</f>
        <v>9399.99</v>
      </c>
      <c r="C21" s="81">
        <f>'Income Statement'!W30</f>
        <v>6735.7000000000298</v>
      </c>
      <c r="D21" s="81">
        <f>'Balance Sheet'!W32</f>
        <v>51144.29</v>
      </c>
      <c r="E21" s="81">
        <f>'Income Statement'!W9</f>
        <v>468811.52999999997</v>
      </c>
      <c r="G21" s="2" t="s">
        <v>210</v>
      </c>
      <c r="H21" s="83">
        <f t="shared" ref="H21:H23" ca="1" si="2">(H13-$H$16)/$H$16</f>
        <v>-4.8151188026912005E-2</v>
      </c>
      <c r="I21" s="83">
        <f t="shared" ref="I21:I23" ca="1" si="3">(I13-$I$16)/$I$16</f>
        <v>-0.13438550060457996</v>
      </c>
      <c r="J21" s="83">
        <f t="shared" ref="J21:J23" ca="1" si="4">(J13-$J$16)/$J$16</f>
        <v>0.37545527257747058</v>
      </c>
      <c r="K21" s="83">
        <f t="shared" ref="K21:K23" ca="1" si="5">(K13-$K$16)/$K$16</f>
        <v>0.59632538804798796</v>
      </c>
      <c r="L21" s="83">
        <f t="shared" ref="L21:L23" ca="1" si="6">(L13-$L$16)/$L$16</f>
        <v>-0.7695336487522062</v>
      </c>
    </row>
    <row r="22" spans="1:12" x14ac:dyDescent="0.3">
      <c r="A22" s="2" t="s">
        <v>277</v>
      </c>
      <c r="B22" s="81">
        <f>'Income Statement'!O19+'Income Statement'!O14+'Income Statement'!O15</f>
        <v>16699.460000000021</v>
      </c>
      <c r="C22" s="81">
        <f>'Income Statement'!O27</f>
        <v>12462.870000000021</v>
      </c>
      <c r="D22" s="81">
        <f>'Balance Sheet'!O35</f>
        <v>85240.48</v>
      </c>
      <c r="E22" s="81">
        <f>'Income Statement'!O8</f>
        <v>143559.06000000003</v>
      </c>
      <c r="G22" s="2" t="s">
        <v>211</v>
      </c>
      <c r="H22" s="83">
        <f t="shared" ca="1" si="2"/>
        <v>-0.13454218494552617</v>
      </c>
      <c r="I22" s="83">
        <f t="shared" ca="1" si="3"/>
        <v>-0.15937391631535178</v>
      </c>
      <c r="J22" s="83">
        <f t="shared" ca="1" si="4"/>
        <v>0.20320108600763545</v>
      </c>
      <c r="K22" s="83">
        <f t="shared" ca="1" si="5"/>
        <v>0.99345671481266684</v>
      </c>
      <c r="L22" s="83">
        <f t="shared" ca="1" si="6"/>
        <v>-0.54602293454137096</v>
      </c>
    </row>
    <row r="23" spans="1:12" x14ac:dyDescent="0.3">
      <c r="A23" s="2" t="s">
        <v>278</v>
      </c>
      <c r="B23" s="81">
        <f>'Income Statement'!AM19+'Income Statement'!AM15+'Income Statement'!AM16</f>
        <v>101254.28800000004</v>
      </c>
      <c r="C23" s="81">
        <f>'Income Statement'!AM29</f>
        <v>38328.610000000044</v>
      </c>
      <c r="D23" s="81">
        <f>'Balance Sheet'!AM53</f>
        <v>374235.11700000003</v>
      </c>
      <c r="E23" s="81">
        <f>'Income Statement'!AM8</f>
        <v>675655.88300000003</v>
      </c>
      <c r="G23" s="2" t="s">
        <v>212</v>
      </c>
      <c r="H23" s="83">
        <f t="shared" ca="1" si="2"/>
        <v>3.5584159219407088</v>
      </c>
      <c r="I23" s="83">
        <f t="shared" ca="1" si="3"/>
        <v>5.5640059174863854</v>
      </c>
      <c r="J23" s="83">
        <f t="shared" ca="1" si="4"/>
        <v>0.7261872588537982</v>
      </c>
      <c r="K23" s="83">
        <f t="shared" ca="1" si="5"/>
        <v>2.0658634417542441</v>
      </c>
      <c r="L23" s="83">
        <f t="shared" ca="1" si="6"/>
        <v>-0.60914863597221014</v>
      </c>
    </row>
    <row r="24" spans="1:12" x14ac:dyDescent="0.3">
      <c r="A24" s="2" t="s">
        <v>279</v>
      </c>
      <c r="B24" s="81">
        <f>'Income Statement'!AU21+'Income Statement'!AU17+'Income Statement'!AU18</f>
        <v>74163</v>
      </c>
      <c r="C24" s="81">
        <f>'Income Statement'!AU28</f>
        <v>35262</v>
      </c>
      <c r="D24" s="81">
        <f>'Balance Sheet'!AU29</f>
        <v>543087</v>
      </c>
      <c r="E24" s="81">
        <f>'Income Statement'!AU10</f>
        <v>548886</v>
      </c>
      <c r="G24" s="11" t="s">
        <v>265</v>
      </c>
      <c r="H24" s="86">
        <f ca="1">(H17-H16)/H16</f>
        <v>0.92141235805607224</v>
      </c>
      <c r="I24" s="86">
        <f t="shared" ref="I24:L24" ca="1" si="7">(I17-I16)/I16</f>
        <v>1.4710298203402703</v>
      </c>
      <c r="J24" s="86">
        <f t="shared" ca="1" si="7"/>
        <v>0.69177171506953183</v>
      </c>
      <c r="K24" s="86">
        <f t="shared" ca="1" si="7"/>
        <v>2.0723953370530297</v>
      </c>
      <c r="L24" s="86">
        <f t="shared" ca="1" si="7"/>
        <v>-0.56928333055385738</v>
      </c>
    </row>
    <row r="25" spans="1:12" x14ac:dyDescent="0.3">
      <c r="H25" s="28"/>
      <c r="I25" s="28"/>
      <c r="J25" s="28"/>
      <c r="K25" s="28"/>
      <c r="L25" s="28"/>
    </row>
  </sheetData>
  <conditionalFormatting sqref="H20:L24">
    <cfRule type="cellIs" dxfId="1" priority="1" operator="lessThan">
      <formula>0</formula>
    </cfRule>
    <cfRule type="cellIs" dxfId="0" priority="2" operator="greaterThan">
      <formula>0</formula>
    </cfRule>
  </conditionalFormatting>
  <pageMargins left="0.7" right="0.7" top="0.75" bottom="0.75" header="0.3" footer="0.3"/>
  <picture r:id="rId1"/>
  <tableParts count="5">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745A3-6EE9-4237-9731-424AA1DEA1C6}">
  <dimension ref="A1:R35"/>
  <sheetViews>
    <sheetView topLeftCell="N1" workbookViewId="0">
      <selection activeCell="T9" sqref="T9"/>
    </sheetView>
  </sheetViews>
  <sheetFormatPr defaultRowHeight="14.4" x14ac:dyDescent="0.3"/>
  <cols>
    <col min="1" max="1" width="14.6640625" style="2" bestFit="1" customWidth="1"/>
    <col min="2" max="2" width="8.88671875" style="2"/>
    <col min="3" max="3" width="8.88671875" style="99"/>
    <col min="4" max="5" width="8.88671875" style="2"/>
    <col min="6" max="6" width="9.5546875" style="2" bestFit="1" customWidth="1"/>
    <col min="7" max="8" width="8.88671875" style="2"/>
    <col min="9" max="9" width="13.6640625" style="2" bestFit="1" customWidth="1"/>
    <col min="10" max="18" width="11.44140625" style="2" customWidth="1"/>
    <col min="19" max="16384" width="8.88671875" style="2"/>
  </cols>
  <sheetData>
    <row r="1" spans="1:18" ht="43.2" x14ac:dyDescent="0.3">
      <c r="A1" s="94" t="s">
        <v>284</v>
      </c>
      <c r="B1" s="94" t="s">
        <v>269</v>
      </c>
      <c r="C1" s="97">
        <f>(FCFF!H5/FCFF!D5)^(1/5)-1</f>
        <v>5.7582891517465429E-2</v>
      </c>
      <c r="I1" s="102" t="s">
        <v>258</v>
      </c>
      <c r="J1" s="102" t="s">
        <v>292</v>
      </c>
      <c r="K1" s="102" t="s">
        <v>293</v>
      </c>
      <c r="L1" s="102" t="s">
        <v>294</v>
      </c>
      <c r="M1" s="102" t="s">
        <v>295</v>
      </c>
      <c r="N1" s="103" t="s">
        <v>183</v>
      </c>
      <c r="O1" s="103" t="s">
        <v>235</v>
      </c>
      <c r="P1" s="102" t="s">
        <v>296</v>
      </c>
      <c r="Q1" s="102" t="s">
        <v>297</v>
      </c>
      <c r="R1" s="102" t="s">
        <v>298</v>
      </c>
    </row>
    <row r="2" spans="1:18" x14ac:dyDescent="0.3">
      <c r="A2" s="94" t="s">
        <v>284</v>
      </c>
      <c r="B2" s="94" t="s">
        <v>277</v>
      </c>
      <c r="C2" s="97">
        <f>(FCFF!Q5/FCFF!M5)^(1/5)-1</f>
        <v>9.2154162867321698E-2</v>
      </c>
      <c r="I2" s="94" t="s">
        <v>269</v>
      </c>
      <c r="J2" s="109">
        <f>(('Income Statement'!G19+'Income Statement'!G15)-('Income Statement'!B19+'Income Statement'!B15))</f>
        <v>14895.679999999975</v>
      </c>
      <c r="K2" s="104">
        <f>(('Balance Sheet'!G32-'Balance Sheet'!G56)-('Balance Sheet'!B32-'Balance Sheet'!B58))</f>
        <v>94495.84</v>
      </c>
      <c r="L2" s="97">
        <f>J2/K2</f>
        <v>0.15763318258242875</v>
      </c>
      <c r="M2" s="104">
        <f>FCFF!H6-FCFF!D6</f>
        <v>7108.9520518574973</v>
      </c>
      <c r="N2" s="104">
        <f>AVERAGE(FCFF!D10:H10)</f>
        <v>12008.608353549756</v>
      </c>
      <c r="O2" s="104">
        <f>AVERAGE(FCFF!D9:H9)</f>
        <v>7989.9462784722755</v>
      </c>
      <c r="P2" s="105">
        <f>IF(N2-O2&lt;=0,N2,MAX(N2-O2,0.1*N2))</f>
        <v>4018.6620750774809</v>
      </c>
      <c r="Q2" s="106">
        <f>M2/P2</f>
        <v>1.7689847812646537</v>
      </c>
      <c r="R2" s="107">
        <f>MIN(MAX(Q2,0.06),0.12)</f>
        <v>0.12</v>
      </c>
    </row>
    <row r="3" spans="1:18" x14ac:dyDescent="0.3">
      <c r="A3" s="94" t="s">
        <v>284</v>
      </c>
      <c r="B3" s="94" t="s">
        <v>276</v>
      </c>
      <c r="C3" s="97">
        <f>(FCFF!Z5/FCFF!V5)^(1/5)-1</f>
        <v>6.6420696577748073E-2</v>
      </c>
      <c r="I3" s="94" t="str">
        <f>B2</f>
        <v>GAIL</v>
      </c>
      <c r="J3" s="104">
        <f>(('Income Statement'!O19+'Income Statement'!O14)-('Income Statement'!J19+'Income Statement'!J14))</f>
        <v>4408.9500000000226</v>
      </c>
      <c r="K3" s="104">
        <f>(('Balance Sheet'!O29-'Balance Sheet'!O56)-('Balance Sheet'!J29-'Balance Sheet'!J56))</f>
        <v>48811.189999999995</v>
      </c>
      <c r="L3" s="97">
        <f t="shared" ref="L3:L7" si="0">J3/K3</f>
        <v>9.0326623874566941E-2</v>
      </c>
      <c r="M3" s="104">
        <f>FCFF!Q6-FCFF!M6</f>
        <v>8065.4600506203315</v>
      </c>
      <c r="N3" s="104">
        <f>AVERAGE(FCFF!M10:Q10)</f>
        <v>14758.083645959803</v>
      </c>
      <c r="O3" s="104">
        <f>AVERAGE(FCFF!M9:Q9)</f>
        <v>5225.6786456525006</v>
      </c>
      <c r="P3" s="105">
        <f t="shared" ref="P3:P7" si="1">IF(N3-O3&lt;=0,N3,MAX(N3-O3,0.1*N3))</f>
        <v>9532.4050003073025</v>
      </c>
      <c r="Q3" s="106">
        <f t="shared" ref="Q3:Q7" si="2">M3/P3</f>
        <v>0.84610967015777439</v>
      </c>
      <c r="R3" s="107">
        <f t="shared" ref="R3:R7" si="3">MIN(MAX(Q3,0.06),0.12)</f>
        <v>0.12</v>
      </c>
    </row>
    <row r="4" spans="1:18" x14ac:dyDescent="0.3">
      <c r="A4" s="94" t="s">
        <v>284</v>
      </c>
      <c r="B4" s="94" t="s">
        <v>285</v>
      </c>
      <c r="C4" s="97">
        <f>(FCFF!AI5/FCFF!AE5)^(1/5)-1</f>
        <v>5.4693694534631909E-2</v>
      </c>
      <c r="I4" s="94" t="str">
        <f>B3</f>
        <v>HPCL</v>
      </c>
      <c r="J4" s="104">
        <f>(('Income Statement'!W20+'Income Statement'!W16)-('Income Statement'!R20+'Income Statement'!R16))</f>
        <v>8510.7099999999573</v>
      </c>
      <c r="K4" s="104">
        <f>('Balance Sheet'!W27-'Balance Sheet'!W51)-('Balance Sheet'!R27-'Balance Sheet'!R51)</f>
        <v>38605.08</v>
      </c>
      <c r="L4" s="97">
        <f t="shared" si="0"/>
        <v>0.22045570168485487</v>
      </c>
      <c r="M4" s="104">
        <f>FCFF!Z6-FCFF!V6</f>
        <v>4208.7505418866513</v>
      </c>
      <c r="N4" s="104">
        <f>AVERAGE(FCFF!V10:Z10)</f>
        <v>12475.322561889883</v>
      </c>
      <c r="O4" s="104">
        <f>AVERAGE(FCFF!V9:Z9)</f>
        <v>7008.1686797554648</v>
      </c>
      <c r="P4" s="105">
        <f t="shared" si="1"/>
        <v>5467.1538821344184</v>
      </c>
      <c r="Q4" s="106">
        <f t="shared" si="2"/>
        <v>0.76982478134372967</v>
      </c>
      <c r="R4" s="107">
        <f t="shared" si="3"/>
        <v>0.12</v>
      </c>
    </row>
    <row r="5" spans="1:18" x14ac:dyDescent="0.3">
      <c r="A5" s="94" t="s">
        <v>284</v>
      </c>
      <c r="B5" s="94" t="s">
        <v>278</v>
      </c>
      <c r="C5" s="97">
        <f>(Table14223640[[#This Row],[2030]]/Table14223640[[#This Row],[2026]])^(1/5)-1</f>
        <v>6.0782536956019984E-2</v>
      </c>
      <c r="I5" s="94" t="str">
        <f>B4</f>
        <v>IOCL</v>
      </c>
      <c r="J5" s="104">
        <f>(('Income Statement'!AE23+'Income Statement'!AE15)-('Income Statement'!Z23+'Income Statement'!Z15))</f>
        <v>13386.65000000008</v>
      </c>
      <c r="K5" s="104">
        <f>('Balance Sheet'!AE31-'Balance Sheet'!AE56)-('Balance Sheet'!Z31-'Balance Sheet'!Z56)</f>
        <v>108048.62999999998</v>
      </c>
      <c r="L5" s="97">
        <f t="shared" si="0"/>
        <v>0.12389467594360135</v>
      </c>
      <c r="M5" s="104">
        <f>FCFF!AI6-FCFF!AE6</f>
        <v>11695.673868061887</v>
      </c>
      <c r="N5" s="104">
        <f>AVERAGE(FCFF!AE10:AI10)</f>
        <v>7607.3503166913815</v>
      </c>
      <c r="O5" s="104">
        <f>AVERAGE(FCFF!AE9:AI9)</f>
        <v>18481.045153739185</v>
      </c>
      <c r="P5" s="105">
        <f t="shared" si="1"/>
        <v>7607.3503166913815</v>
      </c>
      <c r="Q5" s="106">
        <f t="shared" si="2"/>
        <v>1.5374175476578573</v>
      </c>
      <c r="R5" s="107">
        <f t="shared" si="3"/>
        <v>0.12</v>
      </c>
    </row>
    <row r="6" spans="1:18" x14ac:dyDescent="0.3">
      <c r="A6" s="94" t="s">
        <v>284</v>
      </c>
      <c r="B6" s="94" t="s">
        <v>286</v>
      </c>
      <c r="C6" s="97">
        <f>(FCFF!BA5/FCFF!AW5)^(1/5)-1</f>
        <v>5.5743671836259612E-2</v>
      </c>
      <c r="I6" s="94" t="str">
        <f>B5</f>
        <v>ONGC</v>
      </c>
      <c r="J6" s="104">
        <f>(('Income Statement'!AM19+'Income Statement'!AM15)-('Income Statement'!AH19+'Income Statement'!AH15))</f>
        <v>31501.204999999951</v>
      </c>
      <c r="K6" s="104">
        <f>('Balance Sheet'!AM47-'Balance Sheet'!AM73)-('Balance Sheet'!AH47-'Balance Sheet'!AH73)</f>
        <v>209017.1708000002</v>
      </c>
      <c r="L6" s="97">
        <f t="shared" si="0"/>
        <v>0.15071108693812596</v>
      </c>
      <c r="M6" s="104">
        <f>Table14223640[[#This Row],[2030]]-Table14223640[[#This Row],[2026]]</f>
        <v>24931.903570688184</v>
      </c>
      <c r="N6" s="104">
        <f>AVERAGE(FCFF!AN10:AR10)</f>
        <v>56224.387185914602</v>
      </c>
      <c r="O6" s="104">
        <f>AVERAGE(FCFF!AN9:AR9)</f>
        <v>42483.121467146993</v>
      </c>
      <c r="P6" s="105">
        <f t="shared" si="1"/>
        <v>13741.265718767609</v>
      </c>
      <c r="Q6" s="106">
        <f t="shared" si="2"/>
        <v>1.8143818830776683</v>
      </c>
      <c r="R6" s="107">
        <f t="shared" si="3"/>
        <v>0.12</v>
      </c>
    </row>
    <row r="7" spans="1:18" x14ac:dyDescent="0.3">
      <c r="A7" s="95" t="s">
        <v>284</v>
      </c>
      <c r="B7" s="95" t="s">
        <v>265</v>
      </c>
      <c r="C7" s="98">
        <f>AVERAGE(C1:C6)</f>
        <v>6.4562942381574451E-2</v>
      </c>
      <c r="E7" s="94" t="s">
        <v>289</v>
      </c>
      <c r="F7" s="96">
        <v>2020</v>
      </c>
      <c r="G7" s="97">
        <f>AVERAGE(-5.8%,9.7%)</f>
        <v>1.9499999999999997E-2</v>
      </c>
      <c r="I7" s="94" t="str">
        <f>B6</f>
        <v>RO2C</v>
      </c>
      <c r="J7" s="104">
        <f>(('Income Statement'!AU21+'Income Statement'!AU17)-('Income Statement'!AP21+'Income Statement'!AP17))</f>
        <v>-484</v>
      </c>
      <c r="K7" s="104">
        <f>('Balance Sheet'!AU24-'Balance Sheet'!AU48)-('Balance Sheet'!AP24-'Balance Sheet'!AP48)</f>
        <v>123449</v>
      </c>
      <c r="L7" s="97">
        <f t="shared" si="0"/>
        <v>-3.9206473928504884E-3</v>
      </c>
      <c r="M7" s="104">
        <f>FCFF!BA6-FCFF!AW6</f>
        <v>22632.665743692181</v>
      </c>
      <c r="N7" s="104">
        <f>AVERAGE(FCFF!AW10:BA10)</f>
        <v>40717.624187410125</v>
      </c>
      <c r="O7" s="104">
        <f>AVERAGE(FCFF!AW9:BA9)</f>
        <v>21738.13317125777</v>
      </c>
      <c r="P7" s="105">
        <f t="shared" si="1"/>
        <v>18979.491016152355</v>
      </c>
      <c r="Q7" s="106">
        <f t="shared" si="2"/>
        <v>1.1924801210122453</v>
      </c>
      <c r="R7" s="107">
        <f t="shared" si="3"/>
        <v>0.12</v>
      </c>
    </row>
    <row r="8" spans="1:18" x14ac:dyDescent="0.3">
      <c r="A8" s="94" t="s">
        <v>287</v>
      </c>
      <c r="B8" s="94" t="s">
        <v>269</v>
      </c>
      <c r="C8" s="97">
        <f>AVERAGE(FCFF!D10:H10)/AVERAGE(FCFF!D5:H5)</f>
        <v>1.9250692641004426E-2</v>
      </c>
      <c r="E8" s="94" t="s">
        <v>289</v>
      </c>
      <c r="F8" s="96">
        <v>2025</v>
      </c>
      <c r="G8" s="97">
        <v>7.8E-2</v>
      </c>
      <c r="I8" s="95" t="s">
        <v>265</v>
      </c>
      <c r="J8" s="95"/>
      <c r="K8" s="95"/>
      <c r="L8" s="108">
        <f>AVERAGE(L2:L7)</f>
        <v>0.12318343727178789</v>
      </c>
      <c r="M8" s="108"/>
      <c r="N8" s="108"/>
      <c r="O8" s="108"/>
      <c r="P8" s="108"/>
      <c r="Q8" s="108">
        <f t="shared" ref="Q8:R8" si="4">AVERAGE(Q2:Q7)</f>
        <v>1.3215331307523215</v>
      </c>
      <c r="R8" s="108">
        <f t="shared" si="4"/>
        <v>0.12</v>
      </c>
    </row>
    <row r="9" spans="1:18" x14ac:dyDescent="0.3">
      <c r="A9" s="94" t="s">
        <v>287</v>
      </c>
      <c r="B9" s="94" t="s">
        <v>277</v>
      </c>
      <c r="C9" s="97">
        <f>AVERAGE(FCFF!M10:Q10)/AVERAGE(FCFF!M5:Q5)</f>
        <v>7.2975189966749968E-2</v>
      </c>
      <c r="E9" s="95" t="s">
        <v>289</v>
      </c>
      <c r="F9" s="100" t="s">
        <v>7</v>
      </c>
      <c r="G9" s="98">
        <f>G8-G7</f>
        <v>5.8500000000000003E-2</v>
      </c>
    </row>
    <row r="10" spans="1:18" x14ac:dyDescent="0.3">
      <c r="A10" s="94" t="s">
        <v>287</v>
      </c>
      <c r="B10" s="94" t="s">
        <v>276</v>
      </c>
      <c r="C10" s="97">
        <f>AVERAGE(Table1422[[#This Row],[2026]:[2030]])/AVERAGE(FCFF!V5:Z5)</f>
        <v>2.0773946390625981E-2</v>
      </c>
      <c r="E10" s="95" t="s">
        <v>289</v>
      </c>
      <c r="F10" s="100" t="s">
        <v>290</v>
      </c>
      <c r="G10" s="101">
        <f>C21/G9</f>
        <v>19.577900404682961</v>
      </c>
    </row>
    <row r="11" spans="1:18" x14ac:dyDescent="0.3">
      <c r="A11" s="94" t="s">
        <v>287</v>
      </c>
      <c r="B11" s="94" t="s">
        <v>285</v>
      </c>
      <c r="C11" s="97">
        <f>AVERAGE(FCFF!AE10:AI10)/AVERAGE(FCFF!AE5:AI5)</f>
        <v>7.188505825292589E-3</v>
      </c>
    </row>
    <row r="12" spans="1:18" x14ac:dyDescent="0.3">
      <c r="A12" s="94" t="s">
        <v>287</v>
      </c>
      <c r="B12" s="94" t="s">
        <v>278</v>
      </c>
      <c r="C12" s="97">
        <f>AVERAGE(FCFF!AN10:AR10)/AVERAGE(FCFF!AN5:AR5)</f>
        <v>6.6334641360374563E-2</v>
      </c>
    </row>
    <row r="13" spans="1:18" x14ac:dyDescent="0.3">
      <c r="A13" s="94" t="s">
        <v>287</v>
      </c>
      <c r="B13" s="94" t="s">
        <v>286</v>
      </c>
      <c r="C13" s="97">
        <f>AVERAGE(FCFF!AW10:BA10)/AVERAGE(FCFF!AW5:BA5)</f>
        <v>6.025056920196202E-2</v>
      </c>
    </row>
    <row r="14" spans="1:18" x14ac:dyDescent="0.3">
      <c r="A14" s="95" t="s">
        <v>287</v>
      </c>
      <c r="B14" s="95" t="s">
        <v>265</v>
      </c>
      <c r="C14" s="98">
        <f>AVERAGE(C8:C13)</f>
        <v>4.112892423100159E-2</v>
      </c>
    </row>
    <row r="15" spans="1:18" x14ac:dyDescent="0.3">
      <c r="A15" s="94" t="s">
        <v>288</v>
      </c>
      <c r="B15" s="94" t="s">
        <v>269</v>
      </c>
      <c r="C15" s="97">
        <f>('Income Statement'!G27-'Income Statement'!B27)/'Income Statement'!B27</f>
        <v>3.2665223111296591</v>
      </c>
    </row>
    <row r="16" spans="1:18" x14ac:dyDescent="0.3">
      <c r="A16" s="94" t="s">
        <v>288</v>
      </c>
      <c r="B16" s="94" t="s">
        <v>277</v>
      </c>
      <c r="C16" s="97">
        <f>('Income Statement'!O27-'Income Statement'!J27)/'Income Statement'!J27</f>
        <v>0.30986248560113927</v>
      </c>
    </row>
    <row r="17" spans="1:3" x14ac:dyDescent="0.3">
      <c r="A17" s="94" t="s">
        <v>288</v>
      </c>
      <c r="B17" s="94" t="s">
        <v>276</v>
      </c>
      <c r="C17" s="97">
        <f>('Income Statement'!W30-'Income Statement'!R30)/'Income Statement'!R30</f>
        <v>2.1836593862106817</v>
      </c>
    </row>
    <row r="18" spans="1:3" x14ac:dyDescent="0.3">
      <c r="A18" s="94" t="s">
        <v>288</v>
      </c>
      <c r="B18" s="94" t="s">
        <v>285</v>
      </c>
      <c r="C18" s="97">
        <f>('Income Statement'!AE32-'Income Statement'!AA32)/'Income Statement'!AA32</f>
        <v>-0.36638679325914186</v>
      </c>
    </row>
    <row r="19" spans="1:3" x14ac:dyDescent="0.3">
      <c r="A19" s="94" t="s">
        <v>288</v>
      </c>
      <c r="B19" s="94" t="s">
        <v>278</v>
      </c>
      <c r="C19" s="97">
        <f>('Income Statement'!AM29-AVERAGE('Income Statement'!AH29:AI29))/AVERAGE('Income Statement'!AH29:AI29)</f>
        <v>1.3371313857853222</v>
      </c>
    </row>
    <row r="20" spans="1:3" x14ac:dyDescent="0.3">
      <c r="A20" s="94" t="s">
        <v>288</v>
      </c>
      <c r="B20" s="94" t="s">
        <v>286</v>
      </c>
      <c r="C20" s="97">
        <f>('Income Statement'!AU28-'Income Statement'!AP28)/'Income Statement'!AP28</f>
        <v>0.14105426657606057</v>
      </c>
    </row>
    <row r="21" spans="1:3" x14ac:dyDescent="0.3">
      <c r="A21" s="95" t="s">
        <v>288</v>
      </c>
      <c r="B21" s="95" t="s">
        <v>265</v>
      </c>
      <c r="C21" s="98">
        <f>AVERAGE(C15:C20)</f>
        <v>1.1453071736739533</v>
      </c>
    </row>
    <row r="22" spans="1:3" x14ac:dyDescent="0.3">
      <c r="A22" s="94" t="s">
        <v>291</v>
      </c>
      <c r="B22" s="94" t="str">
        <f>B15</f>
        <v>BPCL</v>
      </c>
      <c r="C22" s="97">
        <f>(FCFF!H10/FCFF!D10)^(1/5)-1</f>
        <v>5.7582891517465207E-2</v>
      </c>
    </row>
    <row r="23" spans="1:3" x14ac:dyDescent="0.3">
      <c r="A23" s="94" t="s">
        <v>291</v>
      </c>
      <c r="B23" s="94" t="str">
        <f t="shared" ref="B23:B28" si="5">B16</f>
        <v>GAIL</v>
      </c>
      <c r="C23" s="97">
        <f>(FCFF!Q10/FCFF!M10)^(1/5)-1</f>
        <v>9.2154162867321698E-2</v>
      </c>
    </row>
    <row r="24" spans="1:3" x14ac:dyDescent="0.3">
      <c r="A24" s="94" t="s">
        <v>291</v>
      </c>
      <c r="B24" s="94" t="str">
        <f t="shared" si="5"/>
        <v>HPCL</v>
      </c>
      <c r="C24" s="97">
        <f>(FCFF!Z10/FCFF!V10)^(1/5)-1</f>
        <v>6.6420696577748073E-2</v>
      </c>
    </row>
    <row r="25" spans="1:3" x14ac:dyDescent="0.3">
      <c r="A25" s="94" t="s">
        <v>291</v>
      </c>
      <c r="B25" s="94" t="str">
        <f t="shared" si="5"/>
        <v>IOCL</v>
      </c>
      <c r="C25" s="97">
        <f>(FCFF!AI10/FCFF!AE10)^(1/5)-1</f>
        <v>5.4693694534631909E-2</v>
      </c>
    </row>
    <row r="26" spans="1:3" x14ac:dyDescent="0.3">
      <c r="A26" s="94" t="s">
        <v>291</v>
      </c>
      <c r="B26" s="94" t="str">
        <f t="shared" si="5"/>
        <v>ONGC</v>
      </c>
      <c r="C26" s="97">
        <f>(FCFF!AR10/FCFF!AN10)^(1/5)-1</f>
        <v>6.0782536956019984E-2</v>
      </c>
    </row>
    <row r="27" spans="1:3" x14ac:dyDescent="0.3">
      <c r="A27" s="94" t="s">
        <v>291</v>
      </c>
      <c r="B27" s="94" t="str">
        <f t="shared" si="5"/>
        <v>RO2C</v>
      </c>
      <c r="C27" s="97">
        <f>(FCFF!BA10/FCFF!AW10)^(1/5)-1</f>
        <v>5.5743671836259612E-2</v>
      </c>
    </row>
    <row r="28" spans="1:3" x14ac:dyDescent="0.3">
      <c r="A28" s="95" t="s">
        <v>291</v>
      </c>
      <c r="B28" s="95" t="str">
        <f t="shared" si="5"/>
        <v>Average</v>
      </c>
      <c r="C28" s="98">
        <f>AVERAGE(C22:C27)</f>
        <v>6.4562942381574409E-2</v>
      </c>
    </row>
    <row r="29" spans="1:3" x14ac:dyDescent="0.3">
      <c r="A29" s="2" t="s">
        <v>299</v>
      </c>
      <c r="B29" s="2" t="str">
        <f>B22</f>
        <v>BPCL</v>
      </c>
      <c r="C29" s="99">
        <f>(FCFF!H8/FCFF!D8)^(1/5)-1</f>
        <v>5.7582891517465207E-2</v>
      </c>
    </row>
    <row r="30" spans="1:3" x14ac:dyDescent="0.3">
      <c r="A30" s="2" t="s">
        <v>299</v>
      </c>
      <c r="B30" s="2" t="str">
        <f t="shared" ref="B30:B35" si="6">B23</f>
        <v>GAIL</v>
      </c>
      <c r="C30" s="99">
        <f>(FCFF!Q8/FCFF!M8)^(1/5)-1</f>
        <v>9.2154162867321698E-2</v>
      </c>
    </row>
    <row r="31" spans="1:3" x14ac:dyDescent="0.3">
      <c r="A31" s="2" t="s">
        <v>299</v>
      </c>
      <c r="B31" s="2" t="str">
        <f t="shared" si="6"/>
        <v>HPCL</v>
      </c>
      <c r="C31" s="99">
        <f>(FCFF!Z8/FCFF!V8)^(1/5)-1</f>
        <v>6.6420696577748073E-2</v>
      </c>
    </row>
    <row r="32" spans="1:3" x14ac:dyDescent="0.3">
      <c r="A32" s="2" t="s">
        <v>299</v>
      </c>
      <c r="B32" s="2" t="str">
        <f t="shared" si="6"/>
        <v>IOCL</v>
      </c>
      <c r="C32" s="99">
        <f>(FCFF!AI8/FCFF!AE8)^(1/5)-1</f>
        <v>5.4693694534631909E-2</v>
      </c>
    </row>
    <row r="33" spans="1:3" x14ac:dyDescent="0.3">
      <c r="A33" s="2" t="s">
        <v>299</v>
      </c>
      <c r="B33" s="2" t="str">
        <f t="shared" si="6"/>
        <v>ONGC</v>
      </c>
      <c r="C33" s="99">
        <f>(FCFF!AR8/FCFF!AN8)^(1/5)-1</f>
        <v>6.0782536956019984E-2</v>
      </c>
    </row>
    <row r="34" spans="1:3" x14ac:dyDescent="0.3">
      <c r="A34" s="2" t="s">
        <v>299</v>
      </c>
      <c r="B34" s="2" t="str">
        <f t="shared" si="6"/>
        <v>RO2C</v>
      </c>
      <c r="C34" s="99">
        <f>(FCFF!BA8/FCFF!AW8)^(1/5)-1</f>
        <v>5.5743671836259612E-2</v>
      </c>
    </row>
    <row r="35" spans="1:3" x14ac:dyDescent="0.3">
      <c r="A35" s="11" t="s">
        <v>299</v>
      </c>
      <c r="B35" s="11" t="str">
        <f t="shared" si="6"/>
        <v>Average</v>
      </c>
      <c r="C35" s="110">
        <f>AVERAGE(C29:C34)</f>
        <v>6.4562942381574409E-2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Company Profile</vt:lpstr>
      <vt:lpstr>Balance Sheet</vt:lpstr>
      <vt:lpstr>Income Statement</vt:lpstr>
      <vt:lpstr>Cash Flow Statement</vt:lpstr>
      <vt:lpstr>Financial Ratios</vt:lpstr>
      <vt:lpstr>WACC</vt:lpstr>
      <vt:lpstr>FCFF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2025-11-10T18:05:06Z</dcterms:modified>
</cp:coreProperties>
</file>
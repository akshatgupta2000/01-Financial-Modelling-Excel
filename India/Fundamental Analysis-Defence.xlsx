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usic\Job &amp; Future\Fundamental Analysis Project-Flagship\Fundamental Analysis-India\"/>
    </mc:Choice>
  </mc:AlternateContent>
  <xr:revisionPtr revIDLastSave="0" documentId="13_ncr:1_{718CA8F5-F39B-4B6B-9A61-0B268F729B4D}" xr6:coauthVersionLast="47" xr6:coauthVersionMax="47" xr10:uidLastSave="{00000000-0000-0000-0000-000000000000}"/>
  <bookViews>
    <workbookView xWindow="13728" yWindow="0" windowWidth="9408" windowHeight="12336" firstSheet="4" activeTab="4" xr2:uid="{00000000-000D-0000-FFFF-FFFF00000000}"/>
  </bookViews>
  <sheets>
    <sheet name="Company Basic info" sheetId="1" r:id="rId1"/>
    <sheet name="Balance Sheet " sheetId="13" r:id="rId2"/>
    <sheet name="Income Statement" sheetId="14" r:id="rId3"/>
    <sheet name="Cash Flow Statement" sheetId="15" r:id="rId4"/>
    <sheet name="Ratio Analysis" sheetId="12" r:id="rId5"/>
    <sheet name="WACC" sheetId="18" r:id="rId6"/>
    <sheet name="DCF" sheetId="19" r:id="rId7"/>
    <sheet name="Relative Model" sheetId="21" r:id="rId8"/>
    <sheet name="Calc" sheetId="22"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31" i="12" l="1"/>
  <c r="AB31" i="12"/>
  <c r="AC31" i="12"/>
  <c r="AD31" i="12"/>
  <c r="AE31" i="12"/>
  <c r="AA31" i="12"/>
  <c r="V31" i="12"/>
  <c r="W31" i="12"/>
  <c r="X31" i="12"/>
  <c r="Y31" i="12"/>
  <c r="U31" i="12"/>
  <c r="P31" i="12"/>
  <c r="Q31" i="12"/>
  <c r="R31" i="12"/>
  <c r="S31" i="12"/>
  <c r="O31" i="12"/>
  <c r="D31" i="12"/>
  <c r="E31" i="12"/>
  <c r="F31" i="12"/>
  <c r="G31" i="12"/>
  <c r="C31" i="12"/>
  <c r="P3" i="22"/>
  <c r="P4" i="22"/>
  <c r="P5" i="22"/>
  <c r="P6" i="22"/>
  <c r="P2" i="22"/>
  <c r="D25" i="22"/>
  <c r="D24" i="22"/>
  <c r="D23" i="22"/>
  <c r="D22" i="22"/>
  <c r="D21" i="22"/>
  <c r="D20" i="22"/>
  <c r="A21" i="22"/>
  <c r="B21" i="22"/>
  <c r="A22" i="22"/>
  <c r="B22" i="22"/>
  <c r="A23" i="22"/>
  <c r="B23" i="22"/>
  <c r="A24" i="22"/>
  <c r="B24" i="22"/>
  <c r="A25" i="22"/>
  <c r="B25" i="22"/>
  <c r="C25" i="22"/>
  <c r="C21" i="22"/>
  <c r="C22" i="22"/>
  <c r="C23" i="22"/>
  <c r="C24" i="22"/>
  <c r="C20" i="22"/>
  <c r="B20" i="22"/>
  <c r="A20" i="22"/>
  <c r="N2" i="22"/>
  <c r="O3" i="22" l="1"/>
  <c r="O4" i="22"/>
  <c r="O5" i="22"/>
  <c r="O6" i="22"/>
  <c r="O2" i="22"/>
  <c r="P7" i="22" s="1"/>
  <c r="N3" i="22"/>
  <c r="N4" i="22"/>
  <c r="N5" i="22"/>
  <c r="N6" i="22"/>
  <c r="M6" i="22"/>
  <c r="M5" i="22"/>
  <c r="M4" i="22"/>
  <c r="M3" i="22"/>
  <c r="M2" i="22"/>
  <c r="D18" i="22"/>
  <c r="D17" i="22"/>
  <c r="D16" i="22"/>
  <c r="D15" i="22"/>
  <c r="D14" i="22"/>
  <c r="D12" i="22"/>
  <c r="L6" i="22" s="1"/>
  <c r="D11" i="22"/>
  <c r="L5" i="22" s="1"/>
  <c r="D10" i="22"/>
  <c r="L4" i="22" s="1"/>
  <c r="D9" i="22"/>
  <c r="L3" i="22" s="1"/>
  <c r="D8" i="22"/>
  <c r="D6" i="22"/>
  <c r="D5" i="22"/>
  <c r="D4" i="22"/>
  <c r="D3" i="22"/>
  <c r="D2" i="22"/>
  <c r="A9" i="22"/>
  <c r="A10" i="22"/>
  <c r="A11" i="22"/>
  <c r="A12" i="22"/>
  <c r="A13" i="22"/>
  <c r="A8" i="22"/>
  <c r="K6" i="22"/>
  <c r="K5" i="22"/>
  <c r="K4" i="22"/>
  <c r="K3" i="22"/>
  <c r="K2" i="22"/>
  <c r="J7" i="22"/>
  <c r="J3" i="22"/>
  <c r="J4" i="22"/>
  <c r="J5" i="22"/>
  <c r="J6" i="22"/>
  <c r="J2" i="22"/>
  <c r="I6" i="22"/>
  <c r="I5" i="22"/>
  <c r="I4" i="22"/>
  <c r="I3" i="22"/>
  <c r="I2" i="22"/>
  <c r="H6" i="22"/>
  <c r="H4" i="22"/>
  <c r="H5" i="22"/>
  <c r="H3" i="22"/>
  <c r="H2" i="22"/>
  <c r="G3" i="22"/>
  <c r="G4" i="22"/>
  <c r="G5" i="22"/>
  <c r="G6" i="22"/>
  <c r="G7" i="22"/>
  <c r="G2" i="22"/>
  <c r="C15" i="22"/>
  <c r="C16" i="22"/>
  <c r="C17" i="22"/>
  <c r="C18" i="22"/>
  <c r="C19" i="22"/>
  <c r="C14" i="22"/>
  <c r="C9" i="22"/>
  <c r="C10" i="22"/>
  <c r="C11" i="22"/>
  <c r="C12" i="22"/>
  <c r="C13" i="22"/>
  <c r="C8" i="22"/>
  <c r="C31" i="19"/>
  <c r="C30" i="19"/>
  <c r="C29" i="19"/>
  <c r="C28" i="19"/>
  <c r="C27" i="19"/>
  <c r="C25" i="19"/>
  <c r="C24" i="19"/>
  <c r="C23" i="19"/>
  <c r="G19" i="19"/>
  <c r="G17" i="19"/>
  <c r="C22" i="19"/>
  <c r="C21" i="19"/>
  <c r="C20" i="19"/>
  <c r="C19" i="19"/>
  <c r="C18" i="19"/>
  <c r="C17" i="19"/>
  <c r="C16" i="19"/>
  <c r="C15" i="19"/>
  <c r="O7" i="22" l="1"/>
  <c r="D19" i="22"/>
  <c r="D13" i="22"/>
  <c r="L2" i="22"/>
  <c r="D7" i="22"/>
  <c r="C32" i="19"/>
  <c r="C26" i="19"/>
  <c r="G20" i="19" s="1"/>
  <c r="B32" i="19" l="1"/>
  <c r="B28" i="19"/>
  <c r="B29" i="19"/>
  <c r="B30" i="19"/>
  <c r="B31" i="19"/>
  <c r="B27" i="19"/>
  <c r="B22" i="19"/>
  <c r="B23" i="19"/>
  <c r="B24" i="19"/>
  <c r="B25" i="19"/>
  <c r="B26" i="19"/>
  <c r="B21" i="19"/>
  <c r="J30" i="12"/>
  <c r="K30" i="12"/>
  <c r="L30" i="12"/>
  <c r="M30" i="12"/>
  <c r="I30" i="12"/>
  <c r="D30" i="12"/>
  <c r="E30" i="12"/>
  <c r="F30" i="12"/>
  <c r="G30" i="12"/>
  <c r="C30" i="12"/>
  <c r="AC8" i="12"/>
  <c r="AD8" i="12"/>
  <c r="AE8" i="12"/>
  <c r="AF8" i="12"/>
  <c r="AB8" i="12"/>
  <c r="AA8" i="12"/>
  <c r="W8" i="12"/>
  <c r="X8" i="12"/>
  <c r="Y8" i="12"/>
  <c r="V8" i="12"/>
  <c r="U8" i="12"/>
  <c r="Q8" i="12"/>
  <c r="R8" i="12"/>
  <c r="S8" i="12"/>
  <c r="P8" i="12"/>
  <c r="O8" i="12"/>
  <c r="M8" i="12"/>
  <c r="L8" i="12"/>
  <c r="K8" i="12"/>
  <c r="J8" i="12"/>
  <c r="I8" i="12"/>
  <c r="G8" i="12"/>
  <c r="F8" i="12"/>
  <c r="E8" i="12"/>
  <c r="D8" i="12"/>
  <c r="C8" i="12"/>
  <c r="E5" i="21" l="1" a="1"/>
  <c r="E5" i="21" s="1"/>
  <c r="F5" i="21" s="1"/>
  <c r="D15" i="21" s="1"/>
  <c r="E6" i="21" a="1"/>
  <c r="E6" i="21" s="1"/>
  <c r="F6" i="21" s="1"/>
  <c r="B22" i="21" s="1"/>
  <c r="E7" i="21" a="1"/>
  <c r="E7" i="21" s="1"/>
  <c r="F7" i="21" s="1"/>
  <c r="F22" i="21" s="1"/>
  <c r="E8" i="21" a="1"/>
  <c r="E8" i="21" s="1"/>
  <c r="F8" i="21" s="1"/>
  <c r="J22" i="21" s="1"/>
  <c r="E4" i="21" a="1"/>
  <c r="E4" i="21" s="1"/>
  <c r="F4" i="21" s="1"/>
  <c r="I15" i="21" s="1"/>
  <c r="K8" i="21"/>
  <c r="J24" i="21" s="1"/>
  <c r="K7" i="21"/>
  <c r="F24" i="21" s="1"/>
  <c r="K6" i="21"/>
  <c r="B24" i="21" s="1"/>
  <c r="K5" i="21"/>
  <c r="D17" i="21" s="1"/>
  <c r="K4" i="21"/>
  <c r="I17" i="21" s="1"/>
  <c r="I8" i="21"/>
  <c r="J23" i="21" s="1"/>
  <c r="I7" i="21"/>
  <c r="F23" i="21" s="1"/>
  <c r="I6" i="21"/>
  <c r="B23" i="21" s="1"/>
  <c r="I5" i="21"/>
  <c r="D16" i="21" s="1"/>
  <c r="I4" i="21"/>
  <c r="I16" i="21" s="1"/>
  <c r="B5" i="21" a="1"/>
  <c r="B5" i="21" s="1"/>
  <c r="B6" i="21" a="1"/>
  <c r="B6" i="21" s="1"/>
  <c r="D22" i="21" s="1"/>
  <c r="B7" i="21" a="1"/>
  <c r="B7" i="21" s="1"/>
  <c r="H24" i="21" s="1"/>
  <c r="B8" i="21" a="1"/>
  <c r="B8" i="21" s="1"/>
  <c r="L24" i="21" s="1"/>
  <c r="B4" i="21" a="1"/>
  <c r="B4" i="21" s="1"/>
  <c r="K15" i="21" s="1"/>
  <c r="W5" i="19"/>
  <c r="W8" i="19"/>
  <c r="AQ10" i="19"/>
  <c r="AP10" i="19"/>
  <c r="AP9" i="19"/>
  <c r="AP8" i="19"/>
  <c r="AP5" i="19"/>
  <c r="AP6" i="19" s="1"/>
  <c r="AP4" i="19"/>
  <c r="AQ5" i="19"/>
  <c r="AR5" i="19" s="1"/>
  <c r="AQ9" i="19"/>
  <c r="AQ8" i="19"/>
  <c r="AR8" i="19" s="1"/>
  <c r="AS8" i="19" s="1"/>
  <c r="AT8" i="19" s="1"/>
  <c r="AU8" i="19" s="1"/>
  <c r="AQ4" i="19"/>
  <c r="AF10" i="19"/>
  <c r="AF8" i="19"/>
  <c r="AF5" i="19"/>
  <c r="AF6" i="19" s="1"/>
  <c r="AF7" i="19" s="1"/>
  <c r="AG8" i="19"/>
  <c r="AG5" i="19"/>
  <c r="AH5" i="19" s="1"/>
  <c r="AH6" i="19" s="1"/>
  <c r="AG4" i="19"/>
  <c r="AH4" i="19" s="1"/>
  <c r="AI4" i="19" s="1"/>
  <c r="AG10" i="19"/>
  <c r="AF9" i="19"/>
  <c r="AG9" i="19"/>
  <c r="AF4" i="19"/>
  <c r="W9" i="19"/>
  <c r="W4" i="19"/>
  <c r="Y25" i="14"/>
  <c r="Z25" i="14"/>
  <c r="AA25" i="14"/>
  <c r="X25" i="14"/>
  <c r="W10" i="19"/>
  <c r="X10" i="19" s="1"/>
  <c r="Y10" i="19" s="1"/>
  <c r="Z10" i="19" s="1"/>
  <c r="AA10" i="19" s="1"/>
  <c r="AB10" i="19" s="1"/>
  <c r="AC10" i="19" s="1"/>
  <c r="V10" i="19"/>
  <c r="V9" i="19"/>
  <c r="V8" i="19"/>
  <c r="V5" i="19"/>
  <c r="V4" i="19"/>
  <c r="C9" i="19"/>
  <c r="C10" i="19"/>
  <c r="D10" i="19" s="1"/>
  <c r="E10" i="19" s="1"/>
  <c r="F10" i="19" s="1"/>
  <c r="G10" i="19" s="1"/>
  <c r="H10" i="19" s="1"/>
  <c r="I10" i="19" s="1"/>
  <c r="M10" i="19"/>
  <c r="M9" i="19"/>
  <c r="M8" i="19"/>
  <c r="M5" i="19"/>
  <c r="M4" i="19"/>
  <c r="N4" i="19" s="1"/>
  <c r="L10" i="19"/>
  <c r="L9" i="19"/>
  <c r="L8" i="19"/>
  <c r="L5" i="19"/>
  <c r="L4" i="19"/>
  <c r="C8" i="19"/>
  <c r="C5" i="19"/>
  <c r="AE37" i="14"/>
  <c r="AF37" i="14"/>
  <c r="AG37" i="14"/>
  <c r="AH37" i="14"/>
  <c r="AI37" i="14"/>
  <c r="AD37" i="14"/>
  <c r="X24" i="14"/>
  <c r="Y24" i="14"/>
  <c r="Z24" i="14"/>
  <c r="AA24" i="14"/>
  <c r="W24" i="14"/>
  <c r="Q27" i="14"/>
  <c r="R27" i="14"/>
  <c r="S27" i="14"/>
  <c r="T27" i="14"/>
  <c r="P27" i="14"/>
  <c r="J36" i="14"/>
  <c r="K36" i="14"/>
  <c r="L36" i="14"/>
  <c r="M36" i="14"/>
  <c r="I36" i="14"/>
  <c r="C37" i="14"/>
  <c r="D37" i="14"/>
  <c r="E37" i="14"/>
  <c r="F37" i="14"/>
  <c r="B37" i="14"/>
  <c r="C4" i="19"/>
  <c r="B10" i="19"/>
  <c r="AF51" i="13"/>
  <c r="AG51" i="13"/>
  <c r="AH51" i="13"/>
  <c r="AI51" i="13"/>
  <c r="AE51" i="13"/>
  <c r="X64" i="13"/>
  <c r="Y64" i="13"/>
  <c r="Z64" i="13"/>
  <c r="AA64" i="13"/>
  <c r="AB64" i="13"/>
  <c r="W64" i="13"/>
  <c r="Q52" i="13"/>
  <c r="R52" i="13"/>
  <c r="S52" i="13"/>
  <c r="T52" i="13"/>
  <c r="P52" i="13"/>
  <c r="J51" i="13"/>
  <c r="K51" i="13"/>
  <c r="L51" i="13"/>
  <c r="M51" i="13"/>
  <c r="I51" i="13"/>
  <c r="C65" i="13"/>
  <c r="D65" i="13"/>
  <c r="E65" i="13"/>
  <c r="F65" i="13"/>
  <c r="B65" i="13"/>
  <c r="AE56" i="15"/>
  <c r="AF56" i="15"/>
  <c r="AG56" i="15"/>
  <c r="AH56" i="15"/>
  <c r="AI56" i="15"/>
  <c r="AD56" i="15"/>
  <c r="X50" i="15"/>
  <c r="Y50" i="15"/>
  <c r="Z50" i="15"/>
  <c r="AA50" i="15"/>
  <c r="W50" i="15"/>
  <c r="Q52" i="15"/>
  <c r="R52" i="15"/>
  <c r="S52" i="15"/>
  <c r="T52" i="15"/>
  <c r="P52" i="15"/>
  <c r="J49" i="15"/>
  <c r="K49" i="15"/>
  <c r="L49" i="15"/>
  <c r="M49" i="15"/>
  <c r="I49" i="15"/>
  <c r="B9" i="19"/>
  <c r="C62" i="15"/>
  <c r="D62" i="15"/>
  <c r="E62" i="15"/>
  <c r="F62" i="15"/>
  <c r="B62" i="15"/>
  <c r="B8" i="19"/>
  <c r="D8" i="19" s="1"/>
  <c r="E8" i="19" s="1"/>
  <c r="F8" i="19" s="1"/>
  <c r="G8" i="19" s="1"/>
  <c r="H8" i="19" s="1"/>
  <c r="I8" i="19" s="1"/>
  <c r="B5" i="19"/>
  <c r="B6" i="19" s="1"/>
  <c r="B7" i="19" s="1"/>
  <c r="B4" i="19"/>
  <c r="F11" i="18"/>
  <c r="E11" i="18"/>
  <c r="D11" i="18"/>
  <c r="C11" i="18"/>
  <c r="B11" i="18"/>
  <c r="F7" i="18"/>
  <c r="F9" i="18" s="1"/>
  <c r="D7" i="18"/>
  <c r="D9" i="18" s="1"/>
  <c r="E7" i="18"/>
  <c r="E9" i="18" s="1"/>
  <c r="B7" i="18"/>
  <c r="B9" i="18" s="1"/>
  <c r="C9" i="18"/>
  <c r="C21" i="12"/>
  <c r="AB19" i="12"/>
  <c r="AC19" i="12"/>
  <c r="AD19" i="12"/>
  <c r="AE19" i="12"/>
  <c r="AF19" i="12"/>
  <c r="AA19" i="12"/>
  <c r="AC18" i="12"/>
  <c r="AD18" i="12"/>
  <c r="AE18" i="12"/>
  <c r="AF18" i="12"/>
  <c r="AB18" i="12"/>
  <c r="AA18" i="12"/>
  <c r="AB17" i="12"/>
  <c r="AC17" i="12"/>
  <c r="AD17" i="12"/>
  <c r="AE17" i="12"/>
  <c r="AF17" i="12"/>
  <c r="AA17" i="12"/>
  <c r="AB15" i="12"/>
  <c r="AC15" i="12"/>
  <c r="AD15" i="12"/>
  <c r="AE15" i="12"/>
  <c r="AF15" i="12"/>
  <c r="AA15" i="12"/>
  <c r="AB14" i="12"/>
  <c r="AC14" i="12"/>
  <c r="AD14" i="12"/>
  <c r="AE14" i="12"/>
  <c r="AF14" i="12"/>
  <c r="AA14" i="12"/>
  <c r="AB12" i="12"/>
  <c r="AC12" i="12"/>
  <c r="AD12" i="12"/>
  <c r="AE12" i="12"/>
  <c r="AF12" i="12"/>
  <c r="AA12" i="12"/>
  <c r="AB11" i="12"/>
  <c r="AC11" i="12"/>
  <c r="AD11" i="12"/>
  <c r="AE11" i="12"/>
  <c r="AF11" i="12"/>
  <c r="AA11" i="12"/>
  <c r="AB9" i="12"/>
  <c r="AC9" i="12"/>
  <c r="AD9" i="12"/>
  <c r="AE9" i="12"/>
  <c r="AF9" i="12"/>
  <c r="AA9" i="12"/>
  <c r="AB7" i="12"/>
  <c r="AC7" i="12"/>
  <c r="AD7" i="12"/>
  <c r="AE7" i="12"/>
  <c r="AF7" i="12"/>
  <c r="AA7" i="12"/>
  <c r="AB6" i="12"/>
  <c r="AC6" i="12"/>
  <c r="AD6" i="12"/>
  <c r="AE6" i="12"/>
  <c r="AF6" i="12"/>
  <c r="AA6" i="12"/>
  <c r="AB5" i="12"/>
  <c r="AC5" i="12"/>
  <c r="AD5" i="12"/>
  <c r="AE5" i="12"/>
  <c r="AF5" i="12"/>
  <c r="AA5" i="12"/>
  <c r="AB4" i="12"/>
  <c r="AC4" i="12"/>
  <c r="AD4" i="12"/>
  <c r="AE4" i="12"/>
  <c r="AF4" i="12"/>
  <c r="AA4" i="12"/>
  <c r="V19" i="12"/>
  <c r="W19" i="12"/>
  <c r="X19" i="12"/>
  <c r="Y19" i="12"/>
  <c r="U19" i="12"/>
  <c r="W18" i="12"/>
  <c r="X18" i="12"/>
  <c r="Y18" i="12"/>
  <c r="V18" i="12"/>
  <c r="U18" i="12"/>
  <c r="V17" i="12"/>
  <c r="W17" i="12"/>
  <c r="X17" i="12"/>
  <c r="Y17" i="12"/>
  <c r="U17" i="12"/>
  <c r="V15" i="12"/>
  <c r="W15" i="12"/>
  <c r="X15" i="12"/>
  <c r="Y15" i="12"/>
  <c r="U15" i="12"/>
  <c r="V14" i="12"/>
  <c r="W14" i="12"/>
  <c r="X14" i="12"/>
  <c r="Y14" i="12"/>
  <c r="U14" i="12"/>
  <c r="V12" i="12"/>
  <c r="W12" i="12"/>
  <c r="X12" i="12"/>
  <c r="Y12" i="12"/>
  <c r="U12" i="12"/>
  <c r="V11" i="12"/>
  <c r="W11" i="12"/>
  <c r="X11" i="12"/>
  <c r="Y11" i="12"/>
  <c r="U11" i="12"/>
  <c r="V9" i="12"/>
  <c r="W9" i="12"/>
  <c r="X9" i="12"/>
  <c r="Y9" i="12"/>
  <c r="U9" i="12"/>
  <c r="V7" i="12"/>
  <c r="W7" i="12"/>
  <c r="X7" i="12"/>
  <c r="Y7" i="12"/>
  <c r="U7" i="12"/>
  <c r="V6" i="12"/>
  <c r="W6" i="12"/>
  <c r="X6" i="12"/>
  <c r="Y6" i="12"/>
  <c r="U6" i="12"/>
  <c r="V5" i="12"/>
  <c r="W5" i="12"/>
  <c r="X5" i="12"/>
  <c r="Y5" i="12"/>
  <c r="U5" i="12"/>
  <c r="V4" i="12"/>
  <c r="W4" i="12"/>
  <c r="X4" i="12"/>
  <c r="Y4" i="12"/>
  <c r="U4" i="12"/>
  <c r="C27" i="12"/>
  <c r="D27" i="12"/>
  <c r="E27" i="12"/>
  <c r="F27" i="12"/>
  <c r="G27" i="12"/>
  <c r="I27" i="12"/>
  <c r="J27" i="12"/>
  <c r="K27" i="12"/>
  <c r="L27" i="12"/>
  <c r="M27" i="12"/>
  <c r="P19" i="12"/>
  <c r="Q19" i="12"/>
  <c r="R19" i="12"/>
  <c r="S19" i="12"/>
  <c r="O19" i="12"/>
  <c r="Q18" i="12"/>
  <c r="R18" i="12"/>
  <c r="S18" i="12"/>
  <c r="P18" i="12"/>
  <c r="O18" i="12"/>
  <c r="P17" i="12"/>
  <c r="Q17" i="12"/>
  <c r="R17" i="12"/>
  <c r="S17" i="12"/>
  <c r="O17" i="12"/>
  <c r="P15" i="12"/>
  <c r="Q15" i="12"/>
  <c r="R15" i="12"/>
  <c r="S15" i="12"/>
  <c r="O15" i="12"/>
  <c r="P14" i="12"/>
  <c r="Q14" i="12"/>
  <c r="R14" i="12"/>
  <c r="S14" i="12"/>
  <c r="O14" i="12"/>
  <c r="P12" i="12"/>
  <c r="Q12" i="12"/>
  <c r="R12" i="12"/>
  <c r="S12" i="12"/>
  <c r="O12" i="12"/>
  <c r="P11" i="12"/>
  <c r="Q11" i="12"/>
  <c r="R11" i="12"/>
  <c r="S11" i="12"/>
  <c r="O11" i="12"/>
  <c r="P9" i="12"/>
  <c r="Q9" i="12"/>
  <c r="R9" i="12"/>
  <c r="S9" i="12"/>
  <c r="O9" i="12"/>
  <c r="P7" i="12"/>
  <c r="Q7" i="12"/>
  <c r="R7" i="12"/>
  <c r="S7" i="12"/>
  <c r="O7" i="12"/>
  <c r="P6" i="12"/>
  <c r="Q6" i="12"/>
  <c r="R6" i="12"/>
  <c r="S6" i="12"/>
  <c r="O6" i="12"/>
  <c r="P5" i="12"/>
  <c r="Q5" i="12"/>
  <c r="R5" i="12"/>
  <c r="S5" i="12"/>
  <c r="O5" i="12"/>
  <c r="P4" i="12"/>
  <c r="Q4" i="12"/>
  <c r="R4" i="12"/>
  <c r="S4" i="12"/>
  <c r="O4" i="12"/>
  <c r="AG52" i="15"/>
  <c r="AE53" i="15"/>
  <c r="AD53" i="15"/>
  <c r="AE51" i="15"/>
  <c r="AD51" i="15"/>
  <c r="AE49" i="15"/>
  <c r="AF49" i="15"/>
  <c r="AG49" i="15"/>
  <c r="AH49" i="15"/>
  <c r="AI49" i="15"/>
  <c r="AD49" i="15"/>
  <c r="AE43" i="15"/>
  <c r="AF43" i="15"/>
  <c r="AG43" i="15"/>
  <c r="AH43" i="15"/>
  <c r="AI43" i="15"/>
  <c r="AD43" i="15"/>
  <c r="AE32" i="15"/>
  <c r="AD32" i="15"/>
  <c r="AE30" i="15"/>
  <c r="AD30" i="15"/>
  <c r="AE23" i="15"/>
  <c r="AF23" i="15"/>
  <c r="AF30" i="15" s="1"/>
  <c r="AF32" i="15" s="1"/>
  <c r="AG23" i="15"/>
  <c r="AG30" i="15" s="1"/>
  <c r="AG32" i="15" s="1"/>
  <c r="AH23" i="15"/>
  <c r="AH30" i="15" s="1"/>
  <c r="AH32" i="15" s="1"/>
  <c r="AI23" i="15"/>
  <c r="AI30" i="15" s="1"/>
  <c r="AI32" i="15" s="1"/>
  <c r="AD23" i="15"/>
  <c r="X44" i="15"/>
  <c r="Y44" i="15"/>
  <c r="Z44" i="15"/>
  <c r="AA44" i="15"/>
  <c r="W44" i="15"/>
  <c r="X36" i="15"/>
  <c r="Y36" i="15"/>
  <c r="Z36" i="15"/>
  <c r="AA36" i="15"/>
  <c r="W36" i="15"/>
  <c r="X28" i="15"/>
  <c r="X30" i="15" s="1"/>
  <c r="W28" i="15"/>
  <c r="W30" i="15" s="1"/>
  <c r="X15" i="15"/>
  <c r="Y15" i="15"/>
  <c r="Y28" i="15" s="1"/>
  <c r="Y30" i="15" s="1"/>
  <c r="Z15" i="15"/>
  <c r="Z28" i="15" s="1"/>
  <c r="Z30" i="15" s="1"/>
  <c r="AA15" i="15"/>
  <c r="AA28" i="15" s="1"/>
  <c r="AA30" i="15" s="1"/>
  <c r="W15" i="15"/>
  <c r="P47" i="15"/>
  <c r="P49" i="15" s="1"/>
  <c r="Q48" i="15" s="1"/>
  <c r="Q46" i="15"/>
  <c r="R46" i="15"/>
  <c r="S46" i="15"/>
  <c r="T46" i="15"/>
  <c r="P46" i="15"/>
  <c r="Q40" i="15"/>
  <c r="R40" i="15"/>
  <c r="S40" i="15"/>
  <c r="T40" i="15"/>
  <c r="P40" i="15"/>
  <c r="P30" i="15"/>
  <c r="P32" i="15" s="1"/>
  <c r="Q28" i="15"/>
  <c r="Q30" i="15" s="1"/>
  <c r="Q32" i="15" s="1"/>
  <c r="Q47" i="15" s="1"/>
  <c r="P28" i="15"/>
  <c r="Q15" i="15"/>
  <c r="R15" i="15"/>
  <c r="R28" i="15" s="1"/>
  <c r="R30" i="15" s="1"/>
  <c r="R32" i="15" s="1"/>
  <c r="S15" i="15"/>
  <c r="S28" i="15" s="1"/>
  <c r="S30" i="15" s="1"/>
  <c r="S32" i="15" s="1"/>
  <c r="T15" i="15"/>
  <c r="T28" i="15" s="1"/>
  <c r="T30" i="15" s="1"/>
  <c r="T32" i="15" s="1"/>
  <c r="P15" i="15"/>
  <c r="AE34" i="14"/>
  <c r="AF34" i="14"/>
  <c r="AG34" i="14"/>
  <c r="AH34" i="14"/>
  <c r="AI34" i="14"/>
  <c r="AD34" i="14"/>
  <c r="AE30" i="14"/>
  <c r="AF30" i="14"/>
  <c r="AG30" i="14"/>
  <c r="AH30" i="14"/>
  <c r="AI30" i="14"/>
  <c r="AD30" i="14"/>
  <c r="AE18" i="14"/>
  <c r="AE20" i="14" s="1"/>
  <c r="AF18" i="14"/>
  <c r="AF20" i="14" s="1"/>
  <c r="AF21" i="14" s="1"/>
  <c r="AF23" i="14" s="1"/>
  <c r="AF25" i="14" s="1"/>
  <c r="AG18" i="14"/>
  <c r="AG20" i="14" s="1"/>
  <c r="AH18" i="14"/>
  <c r="AH20" i="14" s="1"/>
  <c r="AH21" i="14" s="1"/>
  <c r="AH23" i="14" s="1"/>
  <c r="AH25" i="14" s="1"/>
  <c r="AH31" i="14" s="1"/>
  <c r="AH35" i="14" s="1"/>
  <c r="AI18" i="14"/>
  <c r="AI20" i="14" s="1"/>
  <c r="AD18" i="14"/>
  <c r="AD20" i="14" s="1"/>
  <c r="AE6" i="14"/>
  <c r="AF6" i="14"/>
  <c r="AG6" i="14"/>
  <c r="AH6" i="14"/>
  <c r="AI6" i="14"/>
  <c r="AD6" i="14"/>
  <c r="X21" i="14"/>
  <c r="Y21" i="14"/>
  <c r="Z21" i="14"/>
  <c r="AA21" i="14"/>
  <c r="W21" i="14"/>
  <c r="X14" i="14"/>
  <c r="X15" i="14" s="1"/>
  <c r="X17" i="14" s="1"/>
  <c r="Y14" i="14"/>
  <c r="Z14" i="14"/>
  <c r="AA14" i="14"/>
  <c r="W14" i="14"/>
  <c r="W15" i="14" s="1"/>
  <c r="W17" i="14" s="1"/>
  <c r="X6" i="14"/>
  <c r="Y6" i="14"/>
  <c r="Z6" i="14"/>
  <c r="Z15" i="14" s="1"/>
  <c r="Z17" i="14" s="1"/>
  <c r="AA6" i="14"/>
  <c r="W6" i="14"/>
  <c r="Q24" i="14"/>
  <c r="R24" i="14"/>
  <c r="S24" i="14"/>
  <c r="T24" i="14"/>
  <c r="P24" i="14"/>
  <c r="Q17" i="14"/>
  <c r="Q18" i="14" s="1"/>
  <c r="Q20" i="14" s="1"/>
  <c r="R17" i="14"/>
  <c r="S17" i="14"/>
  <c r="T17" i="14"/>
  <c r="P17" i="14"/>
  <c r="P18" i="14" s="1"/>
  <c r="P20" i="14" s="1"/>
  <c r="Q6" i="14"/>
  <c r="R6" i="14"/>
  <c r="S6" i="14"/>
  <c r="T6" i="14"/>
  <c r="T18" i="14" s="1"/>
  <c r="T20" i="14" s="1"/>
  <c r="P6" i="14"/>
  <c r="AF48" i="13"/>
  <c r="AG48" i="13"/>
  <c r="AH48" i="13"/>
  <c r="AH49" i="13" s="1"/>
  <c r="AE48" i="13"/>
  <c r="AE49" i="13" s="1"/>
  <c r="AI5" i="13"/>
  <c r="AH5" i="13"/>
  <c r="AE38" i="13"/>
  <c r="AG5" i="13"/>
  <c r="AF44" i="13"/>
  <c r="AG44" i="13"/>
  <c r="AH44" i="13"/>
  <c r="AI44" i="13"/>
  <c r="AI48" i="13" s="1"/>
  <c r="AI49" i="13" s="1"/>
  <c r="AE44" i="13"/>
  <c r="AF35" i="13"/>
  <c r="AF38" i="13" s="1"/>
  <c r="AG35" i="13"/>
  <c r="AG38" i="13" s="1"/>
  <c r="AG49" i="13" s="1"/>
  <c r="AH35" i="13"/>
  <c r="AH38" i="13" s="1"/>
  <c r="AI35" i="13"/>
  <c r="AI38" i="13" s="1"/>
  <c r="AE35" i="13"/>
  <c r="AF29" i="13"/>
  <c r="AG29" i="13"/>
  <c r="AH29" i="13"/>
  <c r="AI29" i="13"/>
  <c r="AE29" i="13"/>
  <c r="AF23" i="13"/>
  <c r="AG23" i="13"/>
  <c r="AH23" i="13"/>
  <c r="AI23" i="13"/>
  <c r="AE23" i="13"/>
  <c r="AF13" i="13"/>
  <c r="AG13" i="13"/>
  <c r="AH13" i="13"/>
  <c r="AI13" i="13"/>
  <c r="AI24" i="13" s="1"/>
  <c r="AE13" i="13"/>
  <c r="X61" i="13"/>
  <c r="Y61" i="13"/>
  <c r="Z61" i="13"/>
  <c r="AA61" i="13"/>
  <c r="AB61" i="13"/>
  <c r="W61" i="13"/>
  <c r="AA62" i="13"/>
  <c r="Z33" i="13"/>
  <c r="Y33" i="13"/>
  <c r="X55" i="13"/>
  <c r="Y55" i="13"/>
  <c r="Z55" i="13"/>
  <c r="AA55" i="13"/>
  <c r="AB55" i="13"/>
  <c r="W55" i="13"/>
  <c r="X50" i="13"/>
  <c r="Y50" i="13"/>
  <c r="Z50" i="13"/>
  <c r="AA50" i="13"/>
  <c r="AB50" i="13"/>
  <c r="W50" i="13"/>
  <c r="Z40" i="13"/>
  <c r="X38" i="13"/>
  <c r="X40" i="13" s="1"/>
  <c r="Y38" i="13"/>
  <c r="Y40" i="13" s="1"/>
  <c r="Z38" i="13"/>
  <c r="AA38" i="13"/>
  <c r="AA40" i="13" s="1"/>
  <c r="AB38" i="13"/>
  <c r="AB40" i="13" s="1"/>
  <c r="W38" i="13"/>
  <c r="W40" i="13" s="1"/>
  <c r="X31" i="13"/>
  <c r="Y31" i="13"/>
  <c r="Z31" i="13"/>
  <c r="AA31" i="13"/>
  <c r="AB31" i="13"/>
  <c r="W31" i="13"/>
  <c r="X19" i="13"/>
  <c r="X33" i="13" s="1"/>
  <c r="Y19" i="13"/>
  <c r="Z19" i="13"/>
  <c r="AA19" i="13"/>
  <c r="AB19" i="13"/>
  <c r="W19" i="13"/>
  <c r="Q48" i="13"/>
  <c r="Q42" i="13"/>
  <c r="R42" i="13"/>
  <c r="R48" i="13" s="1"/>
  <c r="S42" i="13"/>
  <c r="S48" i="13" s="1"/>
  <c r="T42" i="13"/>
  <c r="T48" i="13" s="1"/>
  <c r="P42" i="13"/>
  <c r="P48" i="13" s="1"/>
  <c r="Q37" i="13"/>
  <c r="R37" i="13"/>
  <c r="S37" i="13"/>
  <c r="T37" i="13"/>
  <c r="P37" i="13"/>
  <c r="Q31" i="13"/>
  <c r="R31" i="13"/>
  <c r="S31" i="13"/>
  <c r="T31" i="13"/>
  <c r="P31" i="13"/>
  <c r="Q25" i="13"/>
  <c r="R25" i="13"/>
  <c r="S25" i="13"/>
  <c r="T25" i="13"/>
  <c r="P25" i="13"/>
  <c r="Q15" i="13"/>
  <c r="R15" i="13"/>
  <c r="S15" i="13"/>
  <c r="T15" i="13"/>
  <c r="P15" i="13"/>
  <c r="D13" i="1" a="1"/>
  <c r="D13" i="1" s="1"/>
  <c r="E13" i="1" a="1"/>
  <c r="E13" i="1" s="1"/>
  <c r="F13" i="1" a="1"/>
  <c r="F13" i="1" s="1"/>
  <c r="G13" i="1" a="1"/>
  <c r="G13" i="1" s="1"/>
  <c r="C13" i="1" a="1"/>
  <c r="C13" i="1" s="1"/>
  <c r="F5" i="1" a="1"/>
  <c r="F5" i="1" s="1"/>
  <c r="G5" i="1" a="1"/>
  <c r="G5" i="1" s="1"/>
  <c r="F6" i="1" a="1"/>
  <c r="F6" i="1" s="1"/>
  <c r="G6" i="1" a="1"/>
  <c r="G6" i="1" s="1"/>
  <c r="F7" i="1" a="1"/>
  <c r="F7" i="1" s="1"/>
  <c r="G7" i="1" a="1"/>
  <c r="G7" i="1" s="1"/>
  <c r="F8" i="1" a="1"/>
  <c r="F8" i="1" s="1"/>
  <c r="G8" i="1" a="1"/>
  <c r="G8" i="1" s="1"/>
  <c r="F9" i="1" a="1"/>
  <c r="F9" i="1" s="1"/>
  <c r="F10" i="1" s="1"/>
  <c r="AC24" i="12" s="1"/>
  <c r="G9" i="1" a="1"/>
  <c r="G9" i="1" s="1"/>
  <c r="G10" i="1" s="1"/>
  <c r="W24" i="12" s="1"/>
  <c r="D16" i="1" a="1"/>
  <c r="D16" i="1" s="1"/>
  <c r="C5" i="18" s="1"/>
  <c r="C6" i="18" s="1"/>
  <c r="E16" i="1" a="1"/>
  <c r="E16" i="1" s="1"/>
  <c r="D5" i="18" s="1"/>
  <c r="D6" i="18" s="1"/>
  <c r="F16" i="1" a="1"/>
  <c r="F16" i="1" s="1"/>
  <c r="F5" i="18" s="1"/>
  <c r="F6" i="18" s="1"/>
  <c r="G16" i="1" a="1"/>
  <c r="G16" i="1" s="1"/>
  <c r="E5" i="18" s="1"/>
  <c r="E6" i="18" s="1"/>
  <c r="C16" i="1" a="1"/>
  <c r="C16" i="1" s="1"/>
  <c r="B5" i="18" s="1"/>
  <c r="E14" i="1" a="1"/>
  <c r="E14" i="1" s="1"/>
  <c r="E15" i="1" s="1"/>
  <c r="F14" i="1" a="1"/>
  <c r="F14" i="1" s="1"/>
  <c r="F15" i="1" s="1"/>
  <c r="G14" i="1" a="1"/>
  <c r="G14" i="1" s="1"/>
  <c r="G15" i="1" s="1"/>
  <c r="E12" i="1" a="1"/>
  <c r="E12" i="1" s="1"/>
  <c r="F12" i="1" a="1"/>
  <c r="F12" i="1" s="1"/>
  <c r="G12" i="1" a="1"/>
  <c r="G12" i="1" s="1"/>
  <c r="E11" i="1" a="1"/>
  <c r="E11" i="1" s="1"/>
  <c r="F11" i="1" a="1"/>
  <c r="F11" i="1" s="1"/>
  <c r="G11" i="1" a="1"/>
  <c r="G11" i="1" s="1"/>
  <c r="E9" i="1" a="1"/>
  <c r="E9" i="1" s="1"/>
  <c r="E10" i="1" s="1"/>
  <c r="P24" i="12" s="1"/>
  <c r="E8" i="1" a="1"/>
  <c r="E8" i="1" s="1"/>
  <c r="E7" i="1" a="1"/>
  <c r="E7" i="1" s="1"/>
  <c r="E6" i="1" a="1"/>
  <c r="E6" i="1" s="1"/>
  <c r="E5" i="1" a="1"/>
  <c r="E5" i="1" s="1"/>
  <c r="L24" i="12"/>
  <c r="K24" i="12"/>
  <c r="G24" i="12"/>
  <c r="F24" i="12"/>
  <c r="E24" i="12"/>
  <c r="D24" i="12"/>
  <c r="J23" i="12"/>
  <c r="K23" i="12"/>
  <c r="L23" i="12"/>
  <c r="M23" i="12"/>
  <c r="I23" i="12"/>
  <c r="E23" i="12"/>
  <c r="G23" i="12"/>
  <c r="F23" i="12"/>
  <c r="D23" i="12"/>
  <c r="C23" i="12"/>
  <c r="D14" i="1" a="1"/>
  <c r="D14" i="1" s="1"/>
  <c r="D15" i="1" s="1"/>
  <c r="C7" i="21" s="1"/>
  <c r="F21" i="21" s="1"/>
  <c r="C14" i="1" a="1"/>
  <c r="C14" i="1" s="1"/>
  <c r="C15" i="1" s="1"/>
  <c r="C6" i="21" s="1"/>
  <c r="B21" i="21" s="1"/>
  <c r="M21" i="12"/>
  <c r="L21" i="12"/>
  <c r="K21" i="12"/>
  <c r="J21" i="12"/>
  <c r="I21" i="12"/>
  <c r="G21" i="12"/>
  <c r="F21" i="12"/>
  <c r="E21" i="12"/>
  <c r="D21" i="12"/>
  <c r="M19" i="12"/>
  <c r="L19" i="12"/>
  <c r="K19" i="12"/>
  <c r="J19" i="12"/>
  <c r="I19" i="12"/>
  <c r="G19" i="12"/>
  <c r="F19" i="12"/>
  <c r="E19" i="12"/>
  <c r="D19" i="12"/>
  <c r="M18" i="12"/>
  <c r="L18" i="12"/>
  <c r="K18" i="12"/>
  <c r="J18" i="12"/>
  <c r="I18" i="12"/>
  <c r="G18" i="12"/>
  <c r="F18" i="12"/>
  <c r="E18" i="12"/>
  <c r="D18" i="12"/>
  <c r="M15" i="12"/>
  <c r="L15" i="12"/>
  <c r="K15" i="12"/>
  <c r="G15" i="12"/>
  <c r="F15" i="12"/>
  <c r="E15" i="12"/>
  <c r="D15" i="12"/>
  <c r="C30" i="13"/>
  <c r="D30" i="13"/>
  <c r="E30" i="13"/>
  <c r="F30" i="13"/>
  <c r="B30" i="13"/>
  <c r="M6" i="12"/>
  <c r="L6" i="12"/>
  <c r="K6" i="12"/>
  <c r="G6" i="12"/>
  <c r="F6" i="12"/>
  <c r="E6" i="12"/>
  <c r="D6" i="12"/>
  <c r="M5" i="12"/>
  <c r="L5" i="12"/>
  <c r="K5" i="12"/>
  <c r="G5" i="12"/>
  <c r="F5" i="12"/>
  <c r="E5" i="12"/>
  <c r="D5" i="12"/>
  <c r="M4" i="12"/>
  <c r="L4" i="12"/>
  <c r="K4" i="12"/>
  <c r="G4" i="12"/>
  <c r="F4" i="12"/>
  <c r="E4" i="12"/>
  <c r="D4" i="12"/>
  <c r="J44" i="15"/>
  <c r="K44" i="15"/>
  <c r="L44" i="15"/>
  <c r="M44" i="15"/>
  <c r="I44" i="15"/>
  <c r="J37" i="15"/>
  <c r="K37" i="15"/>
  <c r="L37" i="15"/>
  <c r="M37" i="15"/>
  <c r="I37" i="15"/>
  <c r="J18" i="15"/>
  <c r="J25" i="15" s="1"/>
  <c r="J27" i="15" s="1"/>
  <c r="K18" i="15"/>
  <c r="K25" i="15" s="1"/>
  <c r="K27" i="15" s="1"/>
  <c r="L18" i="15"/>
  <c r="L25" i="15" s="1"/>
  <c r="L27" i="15" s="1"/>
  <c r="M18" i="15"/>
  <c r="M25" i="15" s="1"/>
  <c r="M27" i="15" s="1"/>
  <c r="I18" i="15"/>
  <c r="I25" i="15" s="1"/>
  <c r="I27" i="15" s="1"/>
  <c r="F57" i="15"/>
  <c r="E57" i="15"/>
  <c r="D57" i="15"/>
  <c r="C57" i="15"/>
  <c r="B57" i="15"/>
  <c r="F44" i="15"/>
  <c r="F49" i="15" s="1"/>
  <c r="E44" i="15"/>
  <c r="E49" i="15" s="1"/>
  <c r="D44" i="15"/>
  <c r="D49" i="15" s="1"/>
  <c r="C44" i="15"/>
  <c r="C49" i="15" s="1"/>
  <c r="B44" i="15"/>
  <c r="B49" i="15" s="1"/>
  <c r="F23" i="15"/>
  <c r="F36" i="15" s="1"/>
  <c r="F38" i="15" s="1"/>
  <c r="F40" i="15" s="1"/>
  <c r="E23" i="15"/>
  <c r="E36" i="15" s="1"/>
  <c r="E38" i="15" s="1"/>
  <c r="E40" i="15" s="1"/>
  <c r="D23" i="15"/>
  <c r="D36" i="15" s="1"/>
  <c r="D38" i="15" s="1"/>
  <c r="D40" i="15" s="1"/>
  <c r="D58" i="15" s="1"/>
  <c r="D60" i="15" s="1"/>
  <c r="C23" i="15"/>
  <c r="C36" i="15" s="1"/>
  <c r="C38" i="15" s="1"/>
  <c r="C40" i="15" s="1"/>
  <c r="B23" i="15"/>
  <c r="B36" i="15" s="1"/>
  <c r="B38" i="15" s="1"/>
  <c r="B40" i="15" s="1"/>
  <c r="M26" i="14"/>
  <c r="M11" i="14"/>
  <c r="M18" i="14" s="1"/>
  <c r="M5" i="14"/>
  <c r="M9" i="14" s="1"/>
  <c r="C19" i="12" s="1"/>
  <c r="F27" i="14"/>
  <c r="E27" i="14"/>
  <c r="F12" i="14"/>
  <c r="F18" i="14" s="1"/>
  <c r="E9" i="14"/>
  <c r="E20" i="14" s="1"/>
  <c r="E22" i="14" s="1"/>
  <c r="E28" i="14" s="1"/>
  <c r="E29" i="14" s="1"/>
  <c r="E30" i="14" s="1"/>
  <c r="J6" i="12" s="1"/>
  <c r="F7" i="14"/>
  <c r="F9" i="14" s="1"/>
  <c r="I4" i="12" s="1"/>
  <c r="M41" i="13"/>
  <c r="M47" i="13" s="1"/>
  <c r="M12" i="12" s="1"/>
  <c r="M37" i="13"/>
  <c r="M19" i="13"/>
  <c r="M12" i="13"/>
  <c r="M15" i="13" s="1"/>
  <c r="M8" i="13"/>
  <c r="M9" i="13" s="1"/>
  <c r="M9" i="12" s="1"/>
  <c r="L47" i="13"/>
  <c r="L26" i="13"/>
  <c r="L37" i="13" s="1"/>
  <c r="L48" i="13" s="1"/>
  <c r="L17" i="12" s="1"/>
  <c r="L20" i="13"/>
  <c r="L19" i="13"/>
  <c r="L12" i="13"/>
  <c r="L11" i="13"/>
  <c r="L9" i="13"/>
  <c r="L9" i="12" s="1"/>
  <c r="K47" i="13"/>
  <c r="K37" i="13"/>
  <c r="K20" i="13"/>
  <c r="K19" i="13"/>
  <c r="K12" i="13"/>
  <c r="K15" i="13" s="1"/>
  <c r="K8" i="13"/>
  <c r="K6" i="13"/>
  <c r="K9" i="13" s="1"/>
  <c r="K9" i="12" s="1"/>
  <c r="J41" i="13"/>
  <c r="J37" i="13"/>
  <c r="J48" i="13" s="1"/>
  <c r="J20" i="13"/>
  <c r="J17" i="13"/>
  <c r="J22" i="13" s="1"/>
  <c r="J11" i="12" s="1"/>
  <c r="J15" i="13"/>
  <c r="J8" i="13"/>
  <c r="J9" i="13" s="1"/>
  <c r="J9" i="12" s="1"/>
  <c r="I41" i="13"/>
  <c r="I47" i="13" s="1"/>
  <c r="I37" i="13"/>
  <c r="I17" i="13"/>
  <c r="I22" i="13" s="1"/>
  <c r="I15" i="13"/>
  <c r="I8" i="13"/>
  <c r="I6" i="13"/>
  <c r="F53" i="13"/>
  <c r="F58" i="13" s="1"/>
  <c r="G12" i="12" s="1"/>
  <c r="E53" i="13"/>
  <c r="E58" i="13" s="1"/>
  <c r="C36" i="13"/>
  <c r="D9" i="12" s="1"/>
  <c r="D36" i="13"/>
  <c r="E9" i="12" s="1"/>
  <c r="E36" i="13"/>
  <c r="F9" i="12" s="1"/>
  <c r="F36" i="13"/>
  <c r="G9" i="12" s="1"/>
  <c r="B36" i="13"/>
  <c r="C48" i="13"/>
  <c r="D48" i="13"/>
  <c r="E48" i="13"/>
  <c r="F48" i="13"/>
  <c r="B48" i="13"/>
  <c r="C19" i="13"/>
  <c r="C31" i="13" s="1"/>
  <c r="D17" i="12" s="1"/>
  <c r="D19" i="13"/>
  <c r="D31" i="13" s="1"/>
  <c r="E17" i="12" s="1"/>
  <c r="E19" i="13"/>
  <c r="E31" i="13" s="1"/>
  <c r="F17" i="12" s="1"/>
  <c r="F19" i="13"/>
  <c r="F31" i="13" s="1"/>
  <c r="G17" i="12" s="1"/>
  <c r="B19" i="13"/>
  <c r="B31" i="13" s="1"/>
  <c r="D53" i="13"/>
  <c r="D58" i="13" s="1"/>
  <c r="C53" i="13"/>
  <c r="C58" i="13" s="1"/>
  <c r="F7" i="12" s="1"/>
  <c r="B53" i="13"/>
  <c r="B58" i="13" s="1"/>
  <c r="D12" i="1" a="1"/>
  <c r="D12" i="1" s="1"/>
  <c r="C12" i="1" a="1"/>
  <c r="C12" i="1" s="1"/>
  <c r="D11" i="1" a="1"/>
  <c r="D11" i="1" s="1"/>
  <c r="C11" i="1" a="1"/>
  <c r="C11" i="1" s="1"/>
  <c r="D9" i="1" a="1"/>
  <c r="D9" i="1" s="1"/>
  <c r="D10" i="1" s="1"/>
  <c r="C10" i="18" s="1"/>
  <c r="C9" i="1" a="1"/>
  <c r="C9" i="1" s="1"/>
  <c r="C10" i="1" s="1"/>
  <c r="B10" i="18" s="1"/>
  <c r="D8" i="1" a="1"/>
  <c r="D8" i="1" s="1"/>
  <c r="C8" i="1" a="1"/>
  <c r="C8" i="1" s="1"/>
  <c r="D7" i="1" a="1"/>
  <c r="D7" i="1" s="1"/>
  <c r="C7" i="1" a="1"/>
  <c r="C7" i="1" s="1"/>
  <c r="D6" i="1" a="1"/>
  <c r="D6" i="1" s="1"/>
  <c r="C6" i="1" a="1"/>
  <c r="C6" i="1" s="1"/>
  <c r="D5" i="1" a="1"/>
  <c r="D5" i="1" s="1"/>
  <c r="C5" i="1" a="1"/>
  <c r="C5" i="1" s="1"/>
  <c r="B6" i="18" l="1"/>
  <c r="D5" i="19"/>
  <c r="E5" i="19" s="1"/>
  <c r="AH8" i="19"/>
  <c r="AI8" i="19" s="1"/>
  <c r="AJ8" i="19" s="1"/>
  <c r="AK8" i="19" s="1"/>
  <c r="AL8" i="19" s="1"/>
  <c r="AM8" i="19" s="1"/>
  <c r="O4" i="19"/>
  <c r="X4" i="19"/>
  <c r="Y4" i="19" s="1"/>
  <c r="Y8" i="19" s="1"/>
  <c r="B11" i="19"/>
  <c r="D4" i="19"/>
  <c r="L6" i="19"/>
  <c r="L7" i="19" s="1"/>
  <c r="L11" i="19" s="1"/>
  <c r="AF11" i="19"/>
  <c r="X27" i="12"/>
  <c r="X28" i="12" s="1"/>
  <c r="Y27" i="12"/>
  <c r="Y28" i="12" s="1"/>
  <c r="U27" i="12"/>
  <c r="U28" i="12" s="1"/>
  <c r="V27" i="12"/>
  <c r="V28" i="12" s="1"/>
  <c r="W27" i="12"/>
  <c r="W28" i="12" s="1"/>
  <c r="O27" i="12"/>
  <c r="O28" i="12" s="1"/>
  <c r="R27" i="12"/>
  <c r="R28" i="12" s="1"/>
  <c r="P27" i="12"/>
  <c r="P28" i="12" s="1"/>
  <c r="Q27" i="12"/>
  <c r="Q28" i="12" s="1"/>
  <c r="S27" i="12"/>
  <c r="S28" i="12" s="1"/>
  <c r="AB27" i="12"/>
  <c r="AB28" i="12" s="1"/>
  <c r="AC27" i="12"/>
  <c r="AC28" i="12" s="1"/>
  <c r="AD27" i="12"/>
  <c r="AD28" i="12" s="1"/>
  <c r="AA27" i="12"/>
  <c r="AA28" i="12" s="1"/>
  <c r="AE27" i="12"/>
  <c r="AE28" i="12" s="1"/>
  <c r="AF27" i="12"/>
  <c r="AF28" i="12" s="1"/>
  <c r="X49" i="15"/>
  <c r="V23" i="12" s="1"/>
  <c r="T28" i="14"/>
  <c r="P28" i="14"/>
  <c r="Q28" i="14"/>
  <c r="R28" i="14"/>
  <c r="S28" i="14"/>
  <c r="AE55" i="15"/>
  <c r="AB23" i="12" s="1"/>
  <c r="AE38" i="14"/>
  <c r="AF38" i="14"/>
  <c r="AG38" i="14"/>
  <c r="AH38" i="14"/>
  <c r="AI38" i="14"/>
  <c r="AD38" i="14"/>
  <c r="Q51" i="15"/>
  <c r="P23" i="12" s="1"/>
  <c r="X26" i="14"/>
  <c r="Y26" i="14"/>
  <c r="W26" i="14"/>
  <c r="Z26" i="14"/>
  <c r="AA26" i="14"/>
  <c r="O9" i="19"/>
  <c r="P4" i="19"/>
  <c r="E4" i="19"/>
  <c r="N8" i="19"/>
  <c r="O8" i="19" s="1"/>
  <c r="P8" i="19" s="1"/>
  <c r="Q8" i="19" s="1"/>
  <c r="R8" i="19" s="1"/>
  <c r="S8" i="19" s="1"/>
  <c r="N5" i="19"/>
  <c r="N6" i="19" s="1"/>
  <c r="N7" i="19" s="1"/>
  <c r="X5" i="19"/>
  <c r="Y5" i="19" s="1"/>
  <c r="Z5" i="19" s="1"/>
  <c r="AA5" i="19" s="1"/>
  <c r="AB5" i="19" s="1"/>
  <c r="AC5" i="19" s="1"/>
  <c r="AH10" i="19"/>
  <c r="AI10" i="19" s="1"/>
  <c r="AJ10" i="19" s="1"/>
  <c r="AK10" i="19" s="1"/>
  <c r="AL10" i="19" s="1"/>
  <c r="N10" i="19"/>
  <c r="V6" i="19"/>
  <c r="V7" i="19" s="1"/>
  <c r="V11" i="19" s="1"/>
  <c r="AR4" i="19"/>
  <c r="AR9" i="19" s="1"/>
  <c r="D9" i="19"/>
  <c r="E9" i="19" s="1"/>
  <c r="F9" i="19" s="1"/>
  <c r="G9" i="19" s="1"/>
  <c r="H9" i="19" s="1"/>
  <c r="I9" i="19" s="1"/>
  <c r="O10" i="19"/>
  <c r="P10" i="19" s="1"/>
  <c r="Q10" i="19" s="1"/>
  <c r="R10" i="19" s="1"/>
  <c r="S10" i="19" s="1"/>
  <c r="N9" i="19"/>
  <c r="H23" i="21"/>
  <c r="H22" i="21"/>
  <c r="L23" i="21"/>
  <c r="L22" i="21"/>
  <c r="H21" i="21"/>
  <c r="L21" i="21"/>
  <c r="D21" i="21"/>
  <c r="D24" i="21"/>
  <c r="D23" i="21"/>
  <c r="K14" i="21"/>
  <c r="K17" i="21"/>
  <c r="K16" i="21"/>
  <c r="G5" i="21"/>
  <c r="G7" i="21"/>
  <c r="G6" i="21"/>
  <c r="F14" i="21"/>
  <c r="F17" i="21"/>
  <c r="F16" i="21"/>
  <c r="F15" i="21"/>
  <c r="G4" i="21"/>
  <c r="H8" i="21"/>
  <c r="J8" i="21" s="1"/>
  <c r="H6" i="21"/>
  <c r="L6" i="21" s="1"/>
  <c r="H7" i="21"/>
  <c r="L7" i="21" s="1"/>
  <c r="D7" i="21"/>
  <c r="C8" i="21"/>
  <c r="G8" i="21"/>
  <c r="H4" i="21"/>
  <c r="L4" i="21" s="1"/>
  <c r="H5" i="21"/>
  <c r="D6" i="21"/>
  <c r="C4" i="21"/>
  <c r="C5" i="21"/>
  <c r="AP7" i="19"/>
  <c r="AP11" i="19" s="1"/>
  <c r="AS5" i="19"/>
  <c r="AR6" i="19"/>
  <c r="AR7" i="19" s="1"/>
  <c r="AV8" i="19"/>
  <c r="AH7" i="19"/>
  <c r="AI5" i="19"/>
  <c r="AI9" i="19"/>
  <c r="AJ4" i="19"/>
  <c r="AH9" i="19"/>
  <c r="Y9" i="19"/>
  <c r="Z4" i="19"/>
  <c r="Z8" i="19" s="1"/>
  <c r="X9" i="19"/>
  <c r="F5" i="19"/>
  <c r="E6" i="19"/>
  <c r="E7" i="19" s="1"/>
  <c r="E11" i="19" s="1"/>
  <c r="D6" i="19"/>
  <c r="D7" i="19" s="1"/>
  <c r="D11" i="19" s="1"/>
  <c r="C22" i="12"/>
  <c r="B12" i="18"/>
  <c r="B13" i="18" s="1"/>
  <c r="C12" i="18"/>
  <c r="C13" i="18" s="1"/>
  <c r="E10" i="18"/>
  <c r="F10" i="18"/>
  <c r="D10" i="18"/>
  <c r="V22" i="12"/>
  <c r="AD22" i="12"/>
  <c r="AA24" i="12"/>
  <c r="AB24" i="12"/>
  <c r="AF24" i="12"/>
  <c r="AE24" i="12"/>
  <c r="AD24" i="12"/>
  <c r="AD55" i="15"/>
  <c r="AA23" i="12" s="1"/>
  <c r="AE21" i="12"/>
  <c r="AC22" i="12"/>
  <c r="AD21" i="12"/>
  <c r="AB22" i="12"/>
  <c r="AB21" i="12"/>
  <c r="AI55" i="15"/>
  <c r="AF23" i="12" s="1"/>
  <c r="AA22" i="12"/>
  <c r="AH55" i="15"/>
  <c r="AE23" i="12" s="1"/>
  <c r="AC21" i="12"/>
  <c r="AF22" i="12"/>
  <c r="AG55" i="15"/>
  <c r="AD23" i="12" s="1"/>
  <c r="AA21" i="12"/>
  <c r="AE22" i="12"/>
  <c r="AF55" i="15"/>
  <c r="AC23" i="12" s="1"/>
  <c r="AF21" i="12"/>
  <c r="V24" i="12"/>
  <c r="P22" i="12"/>
  <c r="U24" i="12"/>
  <c r="Y24" i="12"/>
  <c r="X24" i="12"/>
  <c r="X21" i="12"/>
  <c r="W49" i="15"/>
  <c r="U23" i="12" s="1"/>
  <c r="AA49" i="15"/>
  <c r="Y23" i="12" s="1"/>
  <c r="Z49" i="15"/>
  <c r="X23" i="12" s="1"/>
  <c r="Y49" i="15"/>
  <c r="W23" i="12" s="1"/>
  <c r="W21" i="12"/>
  <c r="V21" i="12"/>
  <c r="U22" i="12"/>
  <c r="Y22" i="12"/>
  <c r="X22" i="12"/>
  <c r="U21" i="12"/>
  <c r="W22" i="12"/>
  <c r="Y21" i="12"/>
  <c r="P51" i="15"/>
  <c r="O23" i="12" s="1"/>
  <c r="T51" i="15"/>
  <c r="S23" i="12" s="1"/>
  <c r="S51" i="15"/>
  <c r="R23" i="12" s="1"/>
  <c r="O24" i="12"/>
  <c r="R51" i="15"/>
  <c r="Q23" i="12" s="1"/>
  <c r="S24" i="12"/>
  <c r="R24" i="12"/>
  <c r="Q24" i="12"/>
  <c r="R21" i="12"/>
  <c r="Q21" i="12"/>
  <c r="P21" i="12"/>
  <c r="O22" i="12"/>
  <c r="S22" i="12"/>
  <c r="R22" i="12"/>
  <c r="O21" i="12"/>
  <c r="Q22" i="12"/>
  <c r="S21" i="12"/>
  <c r="AI51" i="15"/>
  <c r="AI53" i="15" s="1"/>
  <c r="AH51" i="15"/>
  <c r="AH53" i="15" s="1"/>
  <c r="AG51" i="15"/>
  <c r="AG53" i="15" s="1"/>
  <c r="AF51" i="15"/>
  <c r="AF53" i="15" s="1"/>
  <c r="AA45" i="15"/>
  <c r="Z45" i="15"/>
  <c r="Y45" i="15"/>
  <c r="X45" i="15"/>
  <c r="W45" i="15"/>
  <c r="W47" i="15" s="1"/>
  <c r="X46" i="15" s="1"/>
  <c r="T47" i="15"/>
  <c r="S47" i="15"/>
  <c r="R47" i="15"/>
  <c r="R49" i="15" s="1"/>
  <c r="S48" i="15" s="1"/>
  <c r="Q49" i="15"/>
  <c r="R48" i="15" s="1"/>
  <c r="AI21" i="14"/>
  <c r="AI23" i="14" s="1"/>
  <c r="AI25" i="14" s="1"/>
  <c r="AI31" i="14" s="1"/>
  <c r="AI35" i="14" s="1"/>
  <c r="AF31" i="14"/>
  <c r="AF35" i="14" s="1"/>
  <c r="AG21" i="14"/>
  <c r="AG23" i="14" s="1"/>
  <c r="AG25" i="14" s="1"/>
  <c r="AG31" i="14" s="1"/>
  <c r="AG35" i="14" s="1"/>
  <c r="AE21" i="14"/>
  <c r="AE23" i="14" s="1"/>
  <c r="AE25" i="14" s="1"/>
  <c r="AE31" i="14" s="1"/>
  <c r="AE35" i="14" s="1"/>
  <c r="AD21" i="14"/>
  <c r="AD23" i="14" s="1"/>
  <c r="AD25" i="14" s="1"/>
  <c r="AD31" i="14" s="1"/>
  <c r="AD35" i="14" s="1"/>
  <c r="AA15" i="14"/>
  <c r="AA17" i="14" s="1"/>
  <c r="AA22" i="14" s="1"/>
  <c r="Z22" i="14"/>
  <c r="Y15" i="14"/>
  <c r="Y17" i="14" s="1"/>
  <c r="Y22" i="14" s="1"/>
  <c r="X22" i="14"/>
  <c r="W22" i="14"/>
  <c r="T25" i="14"/>
  <c r="S18" i="14"/>
  <c r="S20" i="14" s="1"/>
  <c r="S25" i="14" s="1"/>
  <c r="R18" i="14"/>
  <c r="R20" i="14" s="1"/>
  <c r="R25" i="14" s="1"/>
  <c r="Q25" i="14"/>
  <c r="P25" i="14"/>
  <c r="AH24" i="13"/>
  <c r="AF49" i="13"/>
  <c r="AG24" i="13"/>
  <c r="AF24" i="13"/>
  <c r="AE24" i="13"/>
  <c r="AB33" i="13"/>
  <c r="AA33" i="13"/>
  <c r="AB62" i="13"/>
  <c r="Z62" i="13"/>
  <c r="Y62" i="13"/>
  <c r="X62" i="13"/>
  <c r="W62" i="13"/>
  <c r="W33" i="13"/>
  <c r="T49" i="13"/>
  <c r="T50" i="13" s="1"/>
  <c r="T26" i="13"/>
  <c r="S49" i="13"/>
  <c r="S50" i="13" s="1"/>
  <c r="R49" i="13"/>
  <c r="R50" i="13" s="1"/>
  <c r="S26" i="13"/>
  <c r="R26" i="13"/>
  <c r="Q49" i="13"/>
  <c r="Q50" i="13" s="1"/>
  <c r="P49" i="13"/>
  <c r="P50" i="13" s="1"/>
  <c r="Q26" i="13"/>
  <c r="P26" i="13"/>
  <c r="J24" i="12"/>
  <c r="L7" i="12"/>
  <c r="G7" i="12"/>
  <c r="G11" i="12"/>
  <c r="I12" i="12"/>
  <c r="L22" i="13"/>
  <c r="L12" i="12" s="1"/>
  <c r="D12" i="12"/>
  <c r="M22" i="12"/>
  <c r="J12" i="12"/>
  <c r="C12" i="12"/>
  <c r="D7" i="12"/>
  <c r="F12" i="12"/>
  <c r="F11" i="12"/>
  <c r="E12" i="12"/>
  <c r="E7" i="12"/>
  <c r="E11" i="12"/>
  <c r="D11" i="12"/>
  <c r="C14" i="12"/>
  <c r="L22" i="12"/>
  <c r="I11" i="12"/>
  <c r="G14" i="12"/>
  <c r="K22" i="12"/>
  <c r="M11" i="12"/>
  <c r="F14" i="12"/>
  <c r="G22" i="12"/>
  <c r="J22" i="12"/>
  <c r="E14" i="12"/>
  <c r="F22" i="12"/>
  <c r="C11" i="12"/>
  <c r="D14" i="12"/>
  <c r="E22" i="12"/>
  <c r="M24" i="12"/>
  <c r="D22" i="12"/>
  <c r="M48" i="13"/>
  <c r="M17" i="12" s="1"/>
  <c r="J15" i="12"/>
  <c r="J17" i="12"/>
  <c r="J4" i="12"/>
  <c r="M20" i="14"/>
  <c r="J5" i="12"/>
  <c r="C17" i="12"/>
  <c r="C18" i="12"/>
  <c r="C4" i="12"/>
  <c r="E58" i="15"/>
  <c r="E60" i="15" s="1"/>
  <c r="B58" i="15"/>
  <c r="B60" i="15" s="1"/>
  <c r="C58" i="15"/>
  <c r="C60" i="15" s="1"/>
  <c r="L15" i="13"/>
  <c r="J23" i="13"/>
  <c r="K22" i="13"/>
  <c r="K12" i="12" s="1"/>
  <c r="K48" i="13"/>
  <c r="C59" i="13"/>
  <c r="I9" i="13"/>
  <c r="M23" i="13"/>
  <c r="M45" i="15"/>
  <c r="M47" i="15" s="1"/>
  <c r="L45" i="15"/>
  <c r="L47" i="15" s="1"/>
  <c r="F58" i="15"/>
  <c r="F60" i="15" s="1"/>
  <c r="K45" i="15"/>
  <c r="K47" i="15" s="1"/>
  <c r="J45" i="15"/>
  <c r="J47" i="15" s="1"/>
  <c r="I45" i="15"/>
  <c r="I47" i="15" s="1"/>
  <c r="F20" i="14"/>
  <c r="I48" i="13"/>
  <c r="M7" i="12" s="1"/>
  <c r="D59" i="13"/>
  <c r="F59" i="13"/>
  <c r="E59" i="13"/>
  <c r="B59" i="13"/>
  <c r="AH11" i="19" l="1"/>
  <c r="X8" i="19"/>
  <c r="N11" i="19"/>
  <c r="Q4" i="19"/>
  <c r="P9" i="19"/>
  <c r="F4" i="19"/>
  <c r="AS4" i="19"/>
  <c r="AR10" i="19"/>
  <c r="AR11" i="19" s="1"/>
  <c r="X6" i="19"/>
  <c r="X7" i="19" s="1"/>
  <c r="O5" i="19"/>
  <c r="D8" i="21"/>
  <c r="J21" i="21"/>
  <c r="D4" i="21"/>
  <c r="I14" i="21"/>
  <c r="D5" i="21"/>
  <c r="D14" i="21"/>
  <c r="G10" i="21"/>
  <c r="B15" i="21" s="1"/>
  <c r="L8" i="21"/>
  <c r="J7" i="21"/>
  <c r="J6" i="21"/>
  <c r="J4" i="21"/>
  <c r="L5" i="21"/>
  <c r="J5" i="21"/>
  <c r="AS6" i="19"/>
  <c r="AS7" i="19" s="1"/>
  <c r="AT5" i="19"/>
  <c r="AJ5" i="19"/>
  <c r="AI6" i="19"/>
  <c r="AI7" i="19" s="1"/>
  <c r="AI11" i="19" s="1"/>
  <c r="AK4" i="19"/>
  <c r="AJ9" i="19"/>
  <c r="AM10" i="19"/>
  <c r="Y6" i="19"/>
  <c r="Y7" i="19" s="1"/>
  <c r="Y11" i="19" s="1"/>
  <c r="AA4" i="19"/>
  <c r="AA8" i="19" s="1"/>
  <c r="Z9" i="19"/>
  <c r="G5" i="19"/>
  <c r="F6" i="19"/>
  <c r="F7" i="19" s="1"/>
  <c r="F11" i="19" s="1"/>
  <c r="B14" i="18"/>
  <c r="C14" i="18"/>
  <c r="C15" i="18" s="1"/>
  <c r="F12" i="18"/>
  <c r="F13" i="18" s="1"/>
  <c r="D12" i="18"/>
  <c r="D13" i="18" s="1"/>
  <c r="E12" i="18"/>
  <c r="E13" i="18" s="1"/>
  <c r="X47" i="15"/>
  <c r="Y46" i="15" s="1"/>
  <c r="Y47" i="15" s="1"/>
  <c r="Z46" i="15" s="1"/>
  <c r="Z47" i="15" s="1"/>
  <c r="AA46" i="15" s="1"/>
  <c r="AA47" i="15" s="1"/>
  <c r="S49" i="15"/>
  <c r="T48" i="15" s="1"/>
  <c r="T49" i="15" s="1"/>
  <c r="J7" i="12"/>
  <c r="L11" i="12"/>
  <c r="K23" i="13"/>
  <c r="K11" i="12"/>
  <c r="L23" i="13"/>
  <c r="I23" i="13"/>
  <c r="I22" i="12"/>
  <c r="K17" i="12"/>
  <c r="K7" i="12"/>
  <c r="I17" i="12"/>
  <c r="F22" i="14"/>
  <c r="I5" i="12"/>
  <c r="I24" i="12"/>
  <c r="M21" i="14"/>
  <c r="C24" i="12"/>
  <c r="B15" i="18" l="1"/>
  <c r="X11" i="19"/>
  <c r="D10" i="21"/>
  <c r="B14" i="21" s="1"/>
  <c r="K21" i="21" s="1"/>
  <c r="AT4" i="19"/>
  <c r="AS9" i="19"/>
  <c r="AS10" i="19"/>
  <c r="G4" i="19"/>
  <c r="AS11" i="19"/>
  <c r="O6" i="19"/>
  <c r="O7" i="19" s="1"/>
  <c r="O11" i="19" s="1"/>
  <c r="P5" i="19"/>
  <c r="Q9" i="19"/>
  <c r="R4" i="19"/>
  <c r="C22" i="21"/>
  <c r="E22" i="21" s="1"/>
  <c r="K22" i="21"/>
  <c r="M22" i="21" s="1"/>
  <c r="G22" i="21"/>
  <c r="I22" i="21" s="1"/>
  <c r="E15" i="21"/>
  <c r="G15" i="21" s="1"/>
  <c r="J15" i="21"/>
  <c r="L15" i="21" s="1"/>
  <c r="L10" i="21"/>
  <c r="B17" i="21" s="1"/>
  <c r="J10" i="21"/>
  <c r="B16" i="21" s="1"/>
  <c r="AU5" i="19"/>
  <c r="AT6" i="19"/>
  <c r="AT7" i="19" s="1"/>
  <c r="AK5" i="19"/>
  <c r="AJ6" i="19"/>
  <c r="AJ7" i="19" s="1"/>
  <c r="AJ11" i="19" s="1"/>
  <c r="AL4" i="19"/>
  <c r="AK9" i="19"/>
  <c r="Z6" i="19"/>
  <c r="Z7" i="19" s="1"/>
  <c r="Z11" i="19" s="1"/>
  <c r="AB4" i="19"/>
  <c r="AB8" i="19" s="1"/>
  <c r="AA9" i="19"/>
  <c r="N12" i="19"/>
  <c r="N13" i="19" s="1"/>
  <c r="S12" i="19"/>
  <c r="R12" i="19"/>
  <c r="Q12" i="19"/>
  <c r="P12" i="19"/>
  <c r="O12" i="19"/>
  <c r="F12" i="19"/>
  <c r="F13" i="19" s="1"/>
  <c r="E12" i="19"/>
  <c r="E13" i="19" s="1"/>
  <c r="I12" i="19"/>
  <c r="H12" i="19"/>
  <c r="G12" i="19"/>
  <c r="D12" i="19"/>
  <c r="D13" i="19" s="1"/>
  <c r="G6" i="19"/>
  <c r="G7" i="19" s="1"/>
  <c r="G11" i="19" s="1"/>
  <c r="H5" i="19"/>
  <c r="F14" i="18"/>
  <c r="F15" i="18" s="1"/>
  <c r="E14" i="18"/>
  <c r="E15" i="18" s="1"/>
  <c r="D14" i="18"/>
  <c r="D15" i="18" s="1"/>
  <c r="M27" i="14"/>
  <c r="M28" i="14" s="1"/>
  <c r="M29" i="14" s="1"/>
  <c r="C5" i="12"/>
  <c r="C15" i="12"/>
  <c r="C7" i="12"/>
  <c r="F28" i="14"/>
  <c r="F29" i="14" s="1"/>
  <c r="F30" i="14" s="1"/>
  <c r="I15" i="12"/>
  <c r="I7" i="12"/>
  <c r="G21" i="21" l="1"/>
  <c r="I21" i="21" s="1"/>
  <c r="C21" i="21"/>
  <c r="E21" i="21" s="1"/>
  <c r="M21" i="21"/>
  <c r="J14" i="21"/>
  <c r="E14" i="21"/>
  <c r="H4" i="19"/>
  <c r="S4" i="19"/>
  <c r="R9" i="19"/>
  <c r="O13" i="19"/>
  <c r="Q5" i="19"/>
  <c r="P6" i="19"/>
  <c r="P7" i="19" s="1"/>
  <c r="P11" i="19" s="1"/>
  <c r="P13" i="19" s="1"/>
  <c r="AU4" i="19"/>
  <c r="AT9" i="19"/>
  <c r="AT10" i="19"/>
  <c r="C23" i="21"/>
  <c r="E23" i="21" s="1"/>
  <c r="G23" i="21"/>
  <c r="I23" i="21" s="1"/>
  <c r="K23" i="21"/>
  <c r="M23" i="21" s="1"/>
  <c r="C24" i="21"/>
  <c r="E24" i="21" s="1"/>
  <c r="G24" i="21"/>
  <c r="I24" i="21" s="1"/>
  <c r="K24" i="21"/>
  <c r="M24" i="21" s="1"/>
  <c r="E17" i="21"/>
  <c r="G17" i="21" s="1"/>
  <c r="J17" i="21"/>
  <c r="L17" i="21" s="1"/>
  <c r="E16" i="21"/>
  <c r="G16" i="21" s="1"/>
  <c r="J16" i="21"/>
  <c r="L16" i="21" s="1"/>
  <c r="AV12" i="19"/>
  <c r="AU12" i="19"/>
  <c r="AT12" i="19"/>
  <c r="AS12" i="19"/>
  <c r="AS13" i="19" s="1"/>
  <c r="AR12" i="19"/>
  <c r="AR13" i="19" s="1"/>
  <c r="AV5" i="19"/>
  <c r="AU6" i="19"/>
  <c r="AU7" i="19" s="1"/>
  <c r="AL5" i="19"/>
  <c r="AK6" i="19"/>
  <c r="AK7" i="19" s="1"/>
  <c r="AK11" i="19" s="1"/>
  <c r="AM12" i="19"/>
  <c r="AL12" i="19"/>
  <c r="AK12" i="19"/>
  <c r="AJ12" i="19"/>
  <c r="AJ13" i="19" s="1"/>
  <c r="AI12" i="19"/>
  <c r="AI13" i="19" s="1"/>
  <c r="AH12" i="19"/>
  <c r="AH13" i="19" s="1"/>
  <c r="AM4" i="19"/>
  <c r="AM9" i="19" s="1"/>
  <c r="AL9" i="19"/>
  <c r="AA6" i="19"/>
  <c r="AA7" i="19" s="1"/>
  <c r="AA11" i="19" s="1"/>
  <c r="AC4" i="19"/>
  <c r="AB9" i="19"/>
  <c r="AC12" i="19"/>
  <c r="AB12" i="19"/>
  <c r="AA12" i="19"/>
  <c r="Z12" i="19"/>
  <c r="Z13" i="19" s="1"/>
  <c r="Y12" i="19"/>
  <c r="Y13" i="19" s="1"/>
  <c r="X12" i="19"/>
  <c r="X13" i="19" s="1"/>
  <c r="G13" i="19"/>
  <c r="H6" i="19"/>
  <c r="H7" i="19" s="1"/>
  <c r="H11" i="19" s="1"/>
  <c r="H13" i="19" s="1"/>
  <c r="I5" i="19"/>
  <c r="I9" i="12"/>
  <c r="I6" i="12"/>
  <c r="C6" i="12"/>
  <c r="C9" i="12"/>
  <c r="K25" i="21" l="1"/>
  <c r="G14" i="21"/>
  <c r="E18" i="21"/>
  <c r="L14" i="21"/>
  <c r="J18" i="21"/>
  <c r="C25" i="21"/>
  <c r="G25" i="21"/>
  <c r="AT11" i="19"/>
  <c r="AU10" i="19"/>
  <c r="AV4" i="19"/>
  <c r="AU9" i="19"/>
  <c r="AU11" i="19" s="1"/>
  <c r="AU13" i="19" s="1"/>
  <c r="AT13" i="19"/>
  <c r="S9" i="19"/>
  <c r="AC9" i="19"/>
  <c r="AC8" i="19"/>
  <c r="R5" i="19"/>
  <c r="Q6" i="19"/>
  <c r="Q7" i="19" s="1"/>
  <c r="Q11" i="19" s="1"/>
  <c r="Q13" i="19" s="1"/>
  <c r="I4" i="19"/>
  <c r="AV6" i="19"/>
  <c r="AV7" i="19" s="1"/>
  <c r="AK13" i="19"/>
  <c r="AM5" i="19"/>
  <c r="AL6" i="19"/>
  <c r="AL7" i="19" s="1"/>
  <c r="AL11" i="19" s="1"/>
  <c r="AL13" i="19" s="1"/>
  <c r="AB6" i="19"/>
  <c r="AB7" i="19" s="1"/>
  <c r="AB11" i="19" s="1"/>
  <c r="AB13" i="19" s="1"/>
  <c r="AA13" i="19"/>
  <c r="I6" i="19"/>
  <c r="I7" i="19" s="1"/>
  <c r="I11" i="19" s="1"/>
  <c r="I13" i="19" s="1"/>
  <c r="AV9" i="19" l="1"/>
  <c r="AV10" i="19"/>
  <c r="AV11" i="19"/>
  <c r="AV13" i="19" s="1"/>
  <c r="S5" i="19"/>
  <c r="S6" i="19" s="1"/>
  <c r="S7" i="19" s="1"/>
  <c r="S11" i="19" s="1"/>
  <c r="S13" i="19" s="1"/>
  <c r="R6" i="19"/>
  <c r="R7" i="19" s="1"/>
  <c r="R11" i="19" s="1"/>
  <c r="R13" i="19" s="1"/>
  <c r="AM6" i="19"/>
  <c r="AM7" i="19" s="1"/>
  <c r="AM11" i="19" s="1"/>
  <c r="AM13" i="19" s="1"/>
  <c r="AC6" i="19"/>
  <c r="AC7" i="19" s="1"/>
  <c r="AC11" i="19" s="1"/>
  <c r="AC13" i="1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1">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9"/>
        </ext>
      </extLst>
    </bk>
    <bk>
      <extLst>
        <ext uri="{3e2802c4-a4d2-4d8b-9148-e3be6c30e623}">
          <xlrd:rvb i="22"/>
        </ext>
      </extLst>
    </bk>
  </futureMetadata>
  <cellMetadata count="1">
    <bk>
      <rc t="1" v="0"/>
    </bk>
  </cellMetadata>
  <valueMetadata count="11">
    <bk>
      <rc t="2" v="0"/>
    </bk>
    <bk>
      <rc t="2" v="1"/>
    </bk>
    <bk>
      <rc t="2" v="2"/>
    </bk>
    <bk>
      <rc t="2" v="3"/>
    </bk>
    <bk>
      <rc t="2" v="4"/>
    </bk>
    <bk>
      <rc t="2" v="5"/>
    </bk>
    <bk>
      <rc t="2" v="6"/>
    </bk>
    <bk>
      <rc t="2" v="7"/>
    </bk>
    <bk>
      <rc t="2" v="8"/>
    </bk>
    <bk>
      <rc t="2" v="9"/>
    </bk>
    <bk>
      <rc t="2" v="10"/>
    </bk>
  </valueMetadata>
</metadata>
</file>

<file path=xl/sharedStrings.xml><?xml version="1.0" encoding="utf-8"?>
<sst xmlns="http://schemas.openxmlformats.org/spreadsheetml/2006/main" count="1073" uniqueCount="528">
  <si>
    <t>Company Basic Info</t>
  </si>
  <si>
    <t>Attribute</t>
  </si>
  <si>
    <t>Mazagon Dock Shipbuilders</t>
  </si>
  <si>
    <t>Bharat Electronics Limited</t>
  </si>
  <si>
    <t>Company Name</t>
  </si>
  <si>
    <t>Ticker Symbol</t>
  </si>
  <si>
    <t>Industry/Sector</t>
  </si>
  <si>
    <t>Listed Exchange</t>
  </si>
  <si>
    <t>Year of Corporation</t>
  </si>
  <si>
    <t>Market Capitalization (in ₹)</t>
  </si>
  <si>
    <t>Market Price</t>
  </si>
  <si>
    <t>Daily change (%)</t>
  </si>
  <si>
    <t>Particulars</t>
  </si>
  <si>
    <t>Profit/Loss Before Tax</t>
  </si>
  <si>
    <t>Profit/Loss For The Period</t>
  </si>
  <si>
    <t>Logo</t>
  </si>
  <si>
    <t>Total Assets</t>
  </si>
  <si>
    <t>Ratio Analysis</t>
  </si>
  <si>
    <t>Current Ratio</t>
  </si>
  <si>
    <t>EV/EBITDA</t>
  </si>
  <si>
    <t>Dividend Yield</t>
  </si>
  <si>
    <t>ASSETS</t>
  </si>
  <si>
    <t>NON-CURRENT ASSETS</t>
  </si>
  <si>
    <t>Property, plant and equipment</t>
  </si>
  <si>
    <t>Capital work-in-progress</t>
  </si>
  <si>
    <t>Investment property</t>
  </si>
  <si>
    <t>Other intangible assets</t>
  </si>
  <si>
    <t>Intangible assets under development</t>
  </si>
  <si>
    <t>Financial assets</t>
  </si>
  <si>
    <t>Investments</t>
  </si>
  <si>
    <t>Trade receivables</t>
  </si>
  <si>
    <t>Loans</t>
  </si>
  <si>
    <t>Other financial assets</t>
  </si>
  <si>
    <t>Deferred tax assets (net)</t>
  </si>
  <si>
    <t>Inventories</t>
  </si>
  <si>
    <t>Other non-current assets</t>
  </si>
  <si>
    <t>CURRENT ASSETS</t>
  </si>
  <si>
    <t>Cash &amp; Cash equivalents</t>
  </si>
  <si>
    <t>Bank Balances</t>
  </si>
  <si>
    <t>Other finance assets</t>
  </si>
  <si>
    <t>Current tax assets (net)</t>
  </si>
  <si>
    <t>Other current assets</t>
  </si>
  <si>
    <t>TOTAL ASSETS</t>
  </si>
  <si>
    <t>EQUITY AND LIABILITIES</t>
  </si>
  <si>
    <t>Equity share capital</t>
  </si>
  <si>
    <t>Other equity</t>
  </si>
  <si>
    <t>Total shareholder's funds</t>
  </si>
  <si>
    <t>LIABILITIES</t>
  </si>
  <si>
    <t>NON-CURRENT LIABILITIES</t>
  </si>
  <si>
    <t>Deferred income</t>
  </si>
  <si>
    <t>Financial liabilities</t>
  </si>
  <si>
    <t>Borrowings</t>
  </si>
  <si>
    <t>Trade payables</t>
  </si>
  <si>
    <t>Other financial liabilities</t>
  </si>
  <si>
    <t>Other non-current liabilities</t>
  </si>
  <si>
    <t>Total non-current liabilities</t>
  </si>
  <si>
    <t>CURRENT LIABILITIES</t>
  </si>
  <si>
    <t>Trade Payables</t>
  </si>
  <si>
    <t>Other current liabilities</t>
  </si>
  <si>
    <t>Short term provisions</t>
  </si>
  <si>
    <t>Long term provisions</t>
  </si>
  <si>
    <t>Current tax liabilities (net)</t>
  </si>
  <si>
    <t>TOTAL EQUITY AND LIABILITIES</t>
  </si>
  <si>
    <t>Lease liabilities</t>
  </si>
  <si>
    <t>Deferred tax liabilities (net)</t>
  </si>
  <si>
    <t>Total Non-current assets</t>
  </si>
  <si>
    <t>Investment in associate</t>
  </si>
  <si>
    <t>Non controlling interest</t>
  </si>
  <si>
    <t>EQUITIES AND LIABILITIES</t>
  </si>
  <si>
    <t>SHAREHOLDER'S FUNDS</t>
  </si>
  <si>
    <t>Equity Share Capital</t>
  </si>
  <si>
    <t>Total Share Capital</t>
  </si>
  <si>
    <t>Reserves and Surplus</t>
  </si>
  <si>
    <t>Total Reserves and Surplus</t>
  </si>
  <si>
    <t>Total Shareholders Funds</t>
  </si>
  <si>
    <t>Other Financial Liabilities</t>
  </si>
  <si>
    <t>Other long-term liabilities</t>
  </si>
  <si>
    <t>Long term Provisions</t>
  </si>
  <si>
    <t>Total Non-Current Liabilities</t>
  </si>
  <si>
    <t>Other Current Liabilities</t>
  </si>
  <si>
    <t>Contract Liability</t>
  </si>
  <si>
    <t>Short Term Provisions</t>
  </si>
  <si>
    <t>Total Current Liabilities</t>
  </si>
  <si>
    <t>Total Capital And Liabilities</t>
  </si>
  <si>
    <t>Property, Plant and equipment</t>
  </si>
  <si>
    <t>Other Intangible Assets</t>
  </si>
  <si>
    <t>Capital Work-In-Progress</t>
  </si>
  <si>
    <t>Intangible Assets Under Development</t>
  </si>
  <si>
    <t>Trade receivable</t>
  </si>
  <si>
    <t>Other Financial assets</t>
  </si>
  <si>
    <t>Deferred Tax Assets [Net]</t>
  </si>
  <si>
    <t>Non-current tax assets [Net]</t>
  </si>
  <si>
    <t>Other Non-Current Assets</t>
  </si>
  <si>
    <t>Total Non-Current Assets</t>
  </si>
  <si>
    <t>Trade Receivables</t>
  </si>
  <si>
    <t>Cash And Cash Equivalents</t>
  </si>
  <si>
    <t>Short Term Loans And Advances</t>
  </si>
  <si>
    <t>Contract assets</t>
  </si>
  <si>
    <t>Assets held for sale</t>
  </si>
  <si>
    <t>Other CurrentAssets</t>
  </si>
  <si>
    <t>Total Current Assets</t>
  </si>
  <si>
    <t>Mar 24</t>
  </si>
  <si>
    <t>Mar 23</t>
  </si>
  <si>
    <t>Mar 22</t>
  </si>
  <si>
    <t>Mar 21</t>
  </si>
  <si>
    <t>Mar 20</t>
  </si>
  <si>
    <t>INCOME</t>
  </si>
  <si>
    <t>Revenue From Operations [Gross]</t>
  </si>
  <si>
    <t>Revenue From Operations [Net]</t>
  </si>
  <si>
    <t>Other Operating Revenues</t>
  </si>
  <si>
    <t>Total Operating Revenues</t>
  </si>
  <si>
    <t>Other Income</t>
  </si>
  <si>
    <t>Total Revenue</t>
  </si>
  <si>
    <t>EXPENSES</t>
  </si>
  <si>
    <t>Cost Of Materials Consumed</t>
  </si>
  <si>
    <t>Operating And Direct Expenses</t>
  </si>
  <si>
    <t>Employee Benefit Expenses</t>
  </si>
  <si>
    <t>Finance Costs</t>
  </si>
  <si>
    <t>Provsions and Contingencies</t>
  </si>
  <si>
    <t>Depreciation And Amortisation Expenses</t>
  </si>
  <si>
    <t>Other Expenses</t>
  </si>
  <si>
    <t>Total Expenses</t>
  </si>
  <si>
    <t>Profit/Loss Before Exceptional, Extraordinary Items And Tax</t>
  </si>
  <si>
    <t>Exceptional Items</t>
  </si>
  <si>
    <t>Tax Expenses-Continued Operations</t>
  </si>
  <si>
    <t>Current Tax</t>
  </si>
  <si>
    <t>Deferred Tax</t>
  </si>
  <si>
    <t>Tax For Earlier Years</t>
  </si>
  <si>
    <t>Total Tax Expenses</t>
  </si>
  <si>
    <t>Profit/Loss After Tax And Before Extraordinary Items</t>
  </si>
  <si>
    <t>Profit/Loss From Continuing Operations</t>
  </si>
  <si>
    <t>OTHER ADDITIONAL INFORMATION</t>
  </si>
  <si>
    <t>EARNINGS PER SHARE</t>
  </si>
  <si>
    <t>Basic EPS (Rs.)</t>
  </si>
  <si>
    <t>Diluted EPS (Rs.)</t>
  </si>
  <si>
    <t>Purchase Of Stock-In Trade</t>
  </si>
  <si>
    <t>Changes In Inventories Of FG,WIP And Stock-In Trade</t>
  </si>
  <si>
    <t>CASH FLOW FROM OPERATING ACTIVITIES</t>
  </si>
  <si>
    <t>Profit after share of associate but before exceptional items and tax</t>
  </si>
  <si>
    <t>Adjustments for</t>
  </si>
  <si>
    <t>Depreciation and ammortization expense</t>
  </si>
  <si>
    <t>Provision for doubtful advances</t>
  </si>
  <si>
    <t>Provision for performance warranty</t>
  </si>
  <si>
    <t>Provision for onerous contract</t>
  </si>
  <si>
    <t>Provision for obselete / redundant materials</t>
  </si>
  <si>
    <t>Provision for doubtful debts, liquidated damages, customer's claims and disallowances</t>
  </si>
  <si>
    <t>Provision for intangible assets under development</t>
  </si>
  <si>
    <t>Intangible assets under development charged off</t>
  </si>
  <si>
    <t>Provision for impairement of capital work in progress</t>
  </si>
  <si>
    <t>Contract costs charged off</t>
  </si>
  <si>
    <t>Corporate Social responsibility</t>
  </si>
  <si>
    <t>Transfer from government grants</t>
  </si>
  <si>
    <t>Interest income</t>
  </si>
  <si>
    <t>Interest on lease liability</t>
  </si>
  <si>
    <t>Finance cost</t>
  </si>
  <si>
    <t>Profit on sale of property, plant and equipment</t>
  </si>
  <si>
    <t>Operating Profit before working capital changes</t>
  </si>
  <si>
    <t>Increase/ Decrease in</t>
  </si>
  <si>
    <t>Other assets</t>
  </si>
  <si>
    <t>Provisions</t>
  </si>
  <si>
    <t>Other liabilities</t>
  </si>
  <si>
    <t>Current tax asstes</t>
  </si>
  <si>
    <t>Cash generated from Operations</t>
  </si>
  <si>
    <t>Income taxes paid (net)</t>
  </si>
  <si>
    <t>Cash flow before Expectional items</t>
  </si>
  <si>
    <t>Exceptional items</t>
  </si>
  <si>
    <t>Net cash from/used in operating activities</t>
  </si>
  <si>
    <t>CASH FLOW FROM INVESTING ACTIVITIES</t>
  </si>
  <si>
    <t>Purchase of property, plant &amp; equipment and other tangible assets</t>
  </si>
  <si>
    <t>Less: Receipt of grant</t>
  </si>
  <si>
    <t>Purchase of property, plant &amp; equipment and other tangible assets (net)</t>
  </si>
  <si>
    <t>Proceeds from sale of property, plant &amp; equipment</t>
  </si>
  <si>
    <t>Increase/decrease in term deposits &amp; other bank balances</t>
  </si>
  <si>
    <t>Other investments</t>
  </si>
  <si>
    <t>Interest received</t>
  </si>
  <si>
    <t>Net cash from/used in Investing activities</t>
  </si>
  <si>
    <t>CASH FLOW FROM FINANCING ACTIVITIES</t>
  </si>
  <si>
    <t>Proceeds/Repayment from borrowings (net)</t>
  </si>
  <si>
    <t>Corporate Social responsibility expenditure</t>
  </si>
  <si>
    <t>Dividends paid</t>
  </si>
  <si>
    <t>Repayment of lease liabilities</t>
  </si>
  <si>
    <t>Net cash from / used in Financing activities</t>
  </si>
  <si>
    <t xml:space="preserve">Net Increase/Decrease in cash and cash equivalents </t>
  </si>
  <si>
    <t>Cash and Cash equivalents at the beginning of the year</t>
  </si>
  <si>
    <t>Cash and Cash equivalents at the end of the year</t>
  </si>
  <si>
    <t>Profit before tax but after exceptional items</t>
  </si>
  <si>
    <t>Ajustments for</t>
  </si>
  <si>
    <t>Plus: Non cash expenditure and non operating expenses</t>
  </si>
  <si>
    <t>Depreciation / Ammortization</t>
  </si>
  <si>
    <t>Ammortization of prepaid rentals</t>
  </si>
  <si>
    <t>(-) Non Operating income</t>
  </si>
  <si>
    <t>Profit/Loss on sale of fixed assets</t>
  </si>
  <si>
    <t>Ammortization gain on deferred depsoits of vendors</t>
  </si>
  <si>
    <t>Ammortization of deferred revenue</t>
  </si>
  <si>
    <t>Interest income on deferred payment liability to foreign supplier</t>
  </si>
  <si>
    <t>Interest income deferred deposit with MbPT</t>
  </si>
  <si>
    <t>Operating profit before working capital changes</t>
  </si>
  <si>
    <t>Movement in working capital</t>
  </si>
  <si>
    <t>Decrease / Increase in inventories</t>
  </si>
  <si>
    <t>Decrease / Increase in trade receivables and loans and advances</t>
  </si>
  <si>
    <t>Decrease / Increase Other current and non-current assets</t>
  </si>
  <si>
    <t>Decrease / Increase in trade payables and provisions</t>
  </si>
  <si>
    <t>Decrease / Increase in other current and non-current liabilities</t>
  </si>
  <si>
    <t>Cash flow from operations</t>
  </si>
  <si>
    <t xml:space="preserve">Direct tax paid </t>
  </si>
  <si>
    <t>Net cash from / used in Operating activities</t>
  </si>
  <si>
    <t>Purchase of property, plant and equipment</t>
  </si>
  <si>
    <t>Capital work in progress</t>
  </si>
  <si>
    <t>Proceeds from sale of property, plant and equipment</t>
  </si>
  <si>
    <t>Capital advance</t>
  </si>
  <si>
    <t xml:space="preserve">Interest received </t>
  </si>
  <si>
    <t>Dividend received</t>
  </si>
  <si>
    <t>Principal portion of lease payments</t>
  </si>
  <si>
    <t>Net cash from / used in Investing activities</t>
  </si>
  <si>
    <t>Buy back of equity share capital</t>
  </si>
  <si>
    <t>Payment of buy back tax</t>
  </si>
  <si>
    <t>Dividend paid</t>
  </si>
  <si>
    <t>Finance cost - Lease</t>
  </si>
  <si>
    <t>Finance cost - Othes</t>
  </si>
  <si>
    <t>Net increase / decrease in cash and cash equivalents</t>
  </si>
  <si>
    <t>Cash and cash equivalents at the beginning of the period</t>
  </si>
  <si>
    <t>Cash and cash equivalents at the end of the period</t>
  </si>
  <si>
    <t>Forex variation</t>
  </si>
  <si>
    <t>Fixed deposits / Term deposits</t>
  </si>
  <si>
    <t>Profitability ratios</t>
  </si>
  <si>
    <t>Gross Profit margin</t>
  </si>
  <si>
    <t>Operating profit margin</t>
  </si>
  <si>
    <t>Net profit margin</t>
  </si>
  <si>
    <t>Return on capital employed</t>
  </si>
  <si>
    <t>Return on Equity</t>
  </si>
  <si>
    <t>Liquidity ratios</t>
  </si>
  <si>
    <t>Quick ratio</t>
  </si>
  <si>
    <t>Solvency ratio</t>
  </si>
  <si>
    <t>Debt-to-Equity ratio</t>
  </si>
  <si>
    <t>Interest Coverage ratio</t>
  </si>
  <si>
    <t>Efficiency ratios</t>
  </si>
  <si>
    <t>Asset turnover ratio</t>
  </si>
  <si>
    <t>Inventory turnover ratio</t>
  </si>
  <si>
    <t>Days Sales outstanding</t>
  </si>
  <si>
    <t>Market Value ratios</t>
  </si>
  <si>
    <t>Price-to-Earnings ratio (P/E)</t>
  </si>
  <si>
    <t>Price-to-Book (P/B) Ratio</t>
  </si>
  <si>
    <t>Market Price per share</t>
  </si>
  <si>
    <t>Book value per share</t>
  </si>
  <si>
    <t>No. of Shares Outstanding</t>
  </si>
  <si>
    <t>Shares outstanding (Total)</t>
  </si>
  <si>
    <t>Beta</t>
  </si>
  <si>
    <t>2024</t>
  </si>
  <si>
    <t>2025</t>
  </si>
  <si>
    <t>2020</t>
  </si>
  <si>
    <t>2021</t>
  </si>
  <si>
    <t>2022</t>
  </si>
  <si>
    <t>2023</t>
  </si>
  <si>
    <t>Bharat Dynamics Limited</t>
  </si>
  <si>
    <t>Hindustan Aeronautics Limited</t>
  </si>
  <si>
    <t>GRSE</t>
  </si>
  <si>
    <t>Change (in Rs)</t>
  </si>
  <si>
    <t>Assets</t>
  </si>
  <si>
    <t>Non-current assets</t>
  </si>
  <si>
    <t>PPE</t>
  </si>
  <si>
    <t>Right of use assets</t>
  </si>
  <si>
    <t>Intangible assets</t>
  </si>
  <si>
    <t>Total non-current assets</t>
  </si>
  <si>
    <t>Current Assets</t>
  </si>
  <si>
    <t>Cash and cash equivalents</t>
  </si>
  <si>
    <t>Bank Balances other than cash</t>
  </si>
  <si>
    <t>Current tax assets</t>
  </si>
  <si>
    <t>Other Current assets</t>
  </si>
  <si>
    <t>Total current assets</t>
  </si>
  <si>
    <t>Total assets</t>
  </si>
  <si>
    <t>Equity and Liabilities</t>
  </si>
  <si>
    <t>Equity</t>
  </si>
  <si>
    <t>Total equity</t>
  </si>
  <si>
    <t>Non-current Liabilities</t>
  </si>
  <si>
    <t>Total non-current Liabilities</t>
  </si>
  <si>
    <t>Current Liabilities</t>
  </si>
  <si>
    <t>Total outstanding dues of micro and small enterprises (Trade Payables)</t>
  </si>
  <si>
    <t>Total outstanding dues of creditors other than above (Trade Payables)</t>
  </si>
  <si>
    <t>Total Trade Payables</t>
  </si>
  <si>
    <t>Total current liabilities</t>
  </si>
  <si>
    <t>Total Liabilities</t>
  </si>
  <si>
    <t>Total Equity and Liabilities</t>
  </si>
  <si>
    <t>Investment Property</t>
  </si>
  <si>
    <t>Goodwill</t>
  </si>
  <si>
    <t>Investments accounted for using the equity method</t>
  </si>
  <si>
    <t>Bank balances</t>
  </si>
  <si>
    <t>Equity attributable to the owners</t>
  </si>
  <si>
    <t>Non-controlling interests</t>
  </si>
  <si>
    <t>Liabilities</t>
  </si>
  <si>
    <t>Non-current liabilities</t>
  </si>
  <si>
    <t>Total outstanding dues of micro and small ent</t>
  </si>
  <si>
    <t>Total outstanding dues of creditors other than above</t>
  </si>
  <si>
    <t>Total Trade payables</t>
  </si>
  <si>
    <t>Total equity and liabilities</t>
  </si>
  <si>
    <t>Lease Liabilities</t>
  </si>
  <si>
    <t>Non-Current assets</t>
  </si>
  <si>
    <t>Non-current tax assets</t>
  </si>
  <si>
    <t>Current Investments</t>
  </si>
  <si>
    <t xml:space="preserve">Trade receivables </t>
  </si>
  <si>
    <t>Bank Balances other than above</t>
  </si>
  <si>
    <t>Assets classified as held for sale</t>
  </si>
  <si>
    <t>Oher equity</t>
  </si>
  <si>
    <t>Total outstanding dues other than above</t>
  </si>
  <si>
    <t>Total trade payables</t>
  </si>
  <si>
    <t>BALANCE SHEET</t>
  </si>
  <si>
    <t>INCOME STATEMENT</t>
  </si>
  <si>
    <t>Income</t>
  </si>
  <si>
    <t>Revenue from Operations</t>
  </si>
  <si>
    <t>Other income</t>
  </si>
  <si>
    <t>Total income</t>
  </si>
  <si>
    <t>Expenses</t>
  </si>
  <si>
    <t>Cost of materials consumed</t>
  </si>
  <si>
    <t>Purchase of products for resale</t>
  </si>
  <si>
    <t>Changes in inventories of WIP and scrap</t>
  </si>
  <si>
    <t>Sub-contracting charges</t>
  </si>
  <si>
    <t>Employee benefit expenses</t>
  </si>
  <si>
    <t>Depreciation and amortisation expense</t>
  </si>
  <si>
    <t>Other expenses-project related</t>
  </si>
  <si>
    <t>Other expenses</t>
  </si>
  <si>
    <t>Total expenses</t>
  </si>
  <si>
    <t>Profit before exceptional items and tax</t>
  </si>
  <si>
    <t>Profit before tax</t>
  </si>
  <si>
    <t>Tax expense</t>
  </si>
  <si>
    <t>Current tax</t>
  </si>
  <si>
    <t>Deferred tax</t>
  </si>
  <si>
    <t>Total tax expense</t>
  </si>
  <si>
    <t>Profit for the period</t>
  </si>
  <si>
    <t>Changes in inventories of finished goods and WIP</t>
  </si>
  <si>
    <t>Finance costs</t>
  </si>
  <si>
    <t>Profit/loss before exceptional items and tax</t>
  </si>
  <si>
    <t>Profit/Loss for the year</t>
  </si>
  <si>
    <t>Total Income</t>
  </si>
  <si>
    <t>Purchases of stock-in-trade</t>
  </si>
  <si>
    <t>Changes in Inventories of Finished goods, SIT, WIP and scrap</t>
  </si>
  <si>
    <t>Depreciation and amortization expenses</t>
  </si>
  <si>
    <t>Impairement loss</t>
  </si>
  <si>
    <t>Direct input to WIP/Expenses capitalised</t>
  </si>
  <si>
    <t>Total Gross expenses</t>
  </si>
  <si>
    <t>Less: Expenses relating to capital and other accounts</t>
  </si>
  <si>
    <t>Profit/loss before share of Profit/Loss of joint ventures, exceptional items and tax</t>
  </si>
  <si>
    <t>Share of profit/loss of joint ventures accounted using equity method</t>
  </si>
  <si>
    <t>Profit/Loss before tax</t>
  </si>
  <si>
    <t>Earlier year tax refund/liability</t>
  </si>
  <si>
    <t>Profit/loss for the period from Continuing operations</t>
  </si>
  <si>
    <t>Profit/Loss from discontinued operations</t>
  </si>
  <si>
    <t>Tax expense of discontinued operations</t>
  </si>
  <si>
    <t>Profit/loss from discontinued operations after tax</t>
  </si>
  <si>
    <t>Profit/Loss for the period</t>
  </si>
  <si>
    <t xml:space="preserve">CASH FLOW STATEMENT </t>
  </si>
  <si>
    <t>Cash flow from Operating Activities</t>
  </si>
  <si>
    <t>Depreciation and amoritsation expense</t>
  </si>
  <si>
    <t>Profit on sale of PPE</t>
  </si>
  <si>
    <t>Deferred revenue on customer provided assets</t>
  </si>
  <si>
    <t>Provision for expenses</t>
  </si>
  <si>
    <t>Liabilities/provisions no required written back</t>
  </si>
  <si>
    <t>Fair value adjustment to investment carried at fair value through P&amp;L</t>
  </si>
  <si>
    <t>Gain on sale of financial assets measured at fair value through P&amp;L</t>
  </si>
  <si>
    <t>Changes in working capital</t>
  </si>
  <si>
    <t>Adjustments for increase/decrease in operating liabilities</t>
  </si>
  <si>
    <t>Cash generated from operations</t>
  </si>
  <si>
    <t>Income tax paid</t>
  </si>
  <si>
    <t>Net cash flow before exceptional items</t>
  </si>
  <si>
    <t>Cash Flow from Investing activities</t>
  </si>
  <si>
    <t>Purchase of PPE</t>
  </si>
  <si>
    <t>Bank deposits</t>
  </si>
  <si>
    <t>Proceeds from sale of PPE</t>
  </si>
  <si>
    <t>Net cash from/used in investing activities</t>
  </si>
  <si>
    <t>Cash flow from Financing activities</t>
  </si>
  <si>
    <t>Proceeds from issue of equity shares</t>
  </si>
  <si>
    <t>Net cash from/used in financing activities</t>
  </si>
  <si>
    <t>Net increase/decrease in cash and cash equivalents</t>
  </si>
  <si>
    <t>Cash and cash equivalents at the beginning of the year</t>
  </si>
  <si>
    <t>Cash and cash equivalents at the end of the year</t>
  </si>
  <si>
    <t>Redemption/Investments in mutual funds during the year</t>
  </si>
  <si>
    <t>Cash flow from Operating activities</t>
  </si>
  <si>
    <t>Unrealised fair value gain (net)</t>
  </si>
  <si>
    <t>Actuarial Gain/loss on remeasurements of defined benefit plan</t>
  </si>
  <si>
    <t>Retirement/write off of assets-net</t>
  </si>
  <si>
    <t>Unrealised loss/gain on foreign exchange fluctuation</t>
  </si>
  <si>
    <t>Liquidated damages written back</t>
  </si>
  <si>
    <t>Liabilities no longer required written back</t>
  </si>
  <si>
    <t>Adjustments for:</t>
  </si>
  <si>
    <t>Increase/decrease in trade and other receivables</t>
  </si>
  <si>
    <t>Increase/decrease in other financial assets</t>
  </si>
  <si>
    <t>Increase/decrease in other non current assets</t>
  </si>
  <si>
    <t>Increase/decrease in other current assets</t>
  </si>
  <si>
    <t>Increase/decrease in assets held for sale</t>
  </si>
  <si>
    <t>Increase/decrease in Inventories</t>
  </si>
  <si>
    <t>Increase/decrease in Trade payables</t>
  </si>
  <si>
    <t>Increase/decrease in provisions</t>
  </si>
  <si>
    <t>Increase/decrease in other financial liabilities</t>
  </si>
  <si>
    <t>Increase/decrease in other current liabilities</t>
  </si>
  <si>
    <t>Increase/decrease in other non-current liabilities</t>
  </si>
  <si>
    <t>Cash generated from/used in operations</t>
  </si>
  <si>
    <t>Taxes paid</t>
  </si>
  <si>
    <t>Cash flow from Investing activities</t>
  </si>
  <si>
    <t>Investments in Mutual fund (net)</t>
  </si>
  <si>
    <t>Investments in fixed deposits (net)</t>
  </si>
  <si>
    <t>Cash flow from financing activities</t>
  </si>
  <si>
    <t>Interest and other borrowing cost paid</t>
  </si>
  <si>
    <t>Principal component of lease rent</t>
  </si>
  <si>
    <t>Interest component of lease rent</t>
  </si>
  <si>
    <t>Interim dividend</t>
  </si>
  <si>
    <t>Opening cash balance</t>
  </si>
  <si>
    <t>Closing cash balance</t>
  </si>
  <si>
    <t>Profit after tax</t>
  </si>
  <si>
    <t>Income tax expense</t>
  </si>
  <si>
    <t>Gain/loss on sale of PPE</t>
  </si>
  <si>
    <t>Share of Profit/Loss of Joint venture</t>
  </si>
  <si>
    <t>Other adjustments</t>
  </si>
  <si>
    <t>Net gain/loss on fair value adjustments</t>
  </si>
  <si>
    <t>Depreciation, amortisation and impairment expense</t>
  </si>
  <si>
    <t>Reversal of provision for impairment in value of investments</t>
  </si>
  <si>
    <t>Provision for doubtful debts</t>
  </si>
  <si>
    <t>Provision for doubtful contract assets</t>
  </si>
  <si>
    <t>Provision for doubtful claims</t>
  </si>
  <si>
    <t>Provision for replacement and other charges</t>
  </si>
  <si>
    <t>Provision for warranty</t>
  </si>
  <si>
    <t>Provision for raw materials and components</t>
  </si>
  <si>
    <t>Provision for liquidated damages</t>
  </si>
  <si>
    <t xml:space="preserve">Increase/decrease in trade receivables </t>
  </si>
  <si>
    <t>Increase/decrease in Loans, Financial assets and other assets</t>
  </si>
  <si>
    <t>Increase/decrease in trade payables</t>
  </si>
  <si>
    <t>Increase/decrease in financial liabilities, provisions and other liabilities</t>
  </si>
  <si>
    <t>Net cash used in/generated from Operating activities</t>
  </si>
  <si>
    <t>Purchase of Intangible assets</t>
  </si>
  <si>
    <t>Investment in joint ventures</t>
  </si>
  <si>
    <t>Purchase of other non current investments</t>
  </si>
  <si>
    <t>Investment in short term deposits</t>
  </si>
  <si>
    <t>Dividend received from Joint ventures</t>
  </si>
  <si>
    <t>Share application money paid</t>
  </si>
  <si>
    <t>Net cash used in/generated from Investing activities</t>
  </si>
  <si>
    <t>Payment of lease liabilities</t>
  </si>
  <si>
    <t>Interest paid</t>
  </si>
  <si>
    <t>Net cash used in/generated from Financing activities</t>
  </si>
  <si>
    <t>Net increase/decrease in Cash and cash equivalents</t>
  </si>
  <si>
    <t>Opening balance</t>
  </si>
  <si>
    <t>Closing balance</t>
  </si>
  <si>
    <t>Repayment of Borrowings-current (net)</t>
  </si>
  <si>
    <t>Effect of exchange differences on translation of foreign currency</t>
  </si>
  <si>
    <t>DPS</t>
  </si>
  <si>
    <t>WACC</t>
  </si>
  <si>
    <t>Component</t>
  </si>
  <si>
    <t>Risk free rate</t>
  </si>
  <si>
    <t>Equity risk premium</t>
  </si>
  <si>
    <t>Cost of Equity</t>
  </si>
  <si>
    <t>Cost of debt</t>
  </si>
  <si>
    <t>Tax rate</t>
  </si>
  <si>
    <t>After tax cost of debt</t>
  </si>
  <si>
    <t>Market value of equity</t>
  </si>
  <si>
    <t>Market value of debt</t>
  </si>
  <si>
    <t>Total Capital</t>
  </si>
  <si>
    <t>Weight of equity</t>
  </si>
  <si>
    <t>Weight of Debt</t>
  </si>
  <si>
    <t>WACC &amp; Key Assumptions</t>
  </si>
  <si>
    <t>Terminal Growth</t>
  </si>
  <si>
    <t>Year</t>
  </si>
  <si>
    <t>Growth</t>
  </si>
  <si>
    <t>Revenue</t>
  </si>
  <si>
    <t>EBIT</t>
  </si>
  <si>
    <t>Tax</t>
  </si>
  <si>
    <t>NOPAT</t>
  </si>
  <si>
    <t>Add: Depreciation</t>
  </si>
  <si>
    <t>Less: CapEx</t>
  </si>
  <si>
    <t>Less: Change in WC</t>
  </si>
  <si>
    <t>Free Cash Flow to Firm (FCFF)</t>
  </si>
  <si>
    <t>VALUATION</t>
  </si>
  <si>
    <t>2026</t>
  </si>
  <si>
    <t>2027</t>
  </si>
  <si>
    <t>2028</t>
  </si>
  <si>
    <t>2029</t>
  </si>
  <si>
    <t>2030</t>
  </si>
  <si>
    <t>CapEx</t>
  </si>
  <si>
    <t>Working Capital</t>
  </si>
  <si>
    <t>Discount factor</t>
  </si>
  <si>
    <t>PV of FCFF</t>
  </si>
  <si>
    <t xml:space="preserve">Growth </t>
  </si>
  <si>
    <t>Revenue YoY</t>
  </si>
  <si>
    <t>Book Value</t>
  </si>
  <si>
    <t>Shares Outstanding</t>
  </si>
  <si>
    <t>Relative Valuation Model</t>
  </si>
  <si>
    <t>Company</t>
  </si>
  <si>
    <t>Current Market Price</t>
  </si>
  <si>
    <t>EPS</t>
  </si>
  <si>
    <t>P/E</t>
  </si>
  <si>
    <t>P/B</t>
  </si>
  <si>
    <t>EV</t>
  </si>
  <si>
    <t>EBITDA</t>
  </si>
  <si>
    <t>EV/Sales</t>
  </si>
  <si>
    <t>Average</t>
  </si>
  <si>
    <t>Components</t>
  </si>
  <si>
    <t>Sales</t>
  </si>
  <si>
    <t>Target Price</t>
  </si>
  <si>
    <t>Upside/Downside</t>
  </si>
  <si>
    <t>Metric</t>
  </si>
  <si>
    <t>Value</t>
  </si>
  <si>
    <t>Current market Price</t>
  </si>
  <si>
    <t>Current Price</t>
  </si>
  <si>
    <t>Return on Assets</t>
  </si>
  <si>
    <t>Market Cap</t>
  </si>
  <si>
    <t>Revenue CAGR</t>
  </si>
  <si>
    <t>BEL</t>
  </si>
  <si>
    <t>MDL</t>
  </si>
  <si>
    <t>BDL</t>
  </si>
  <si>
    <t>HAL</t>
  </si>
  <si>
    <t>Earnings growth</t>
  </si>
  <si>
    <t>Capex senstivity</t>
  </si>
  <si>
    <t>GDP Growth</t>
  </si>
  <si>
    <t>Change</t>
  </si>
  <si>
    <t>Earnings to GDP</t>
  </si>
  <si>
    <t>Metrics</t>
  </si>
  <si>
    <t>Amount</t>
  </si>
  <si>
    <t>2020-24</t>
  </si>
  <si>
    <t>2020-25</t>
  </si>
  <si>
    <t>Avg Capex</t>
  </si>
  <si>
    <t>2025-30</t>
  </si>
  <si>
    <t>2026-30</t>
  </si>
  <si>
    <t>Capex CAGR</t>
  </si>
  <si>
    <t>Change in EBIT (Historical)</t>
  </si>
  <si>
    <t>Change in CE</t>
  </si>
  <si>
    <t>Incremental ROCE (Historical)</t>
  </si>
  <si>
    <t>Change in EBIT (Forecast)</t>
  </si>
  <si>
    <t>Capex</t>
  </si>
  <si>
    <t>Depreciation</t>
  </si>
  <si>
    <t>Effective Capital</t>
  </si>
  <si>
    <t>Raw ROCE (Forecast)</t>
  </si>
  <si>
    <t>Adjusted ROCE (Forecast)</t>
  </si>
  <si>
    <t>D/CE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</si>
</sst>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quot;₹&quot;\ * #,##0.00_ ;_ &quot;₹&quot;\ * \-#,##0.00_ ;_ &quot;₹&quot;\ * &quot;-&quot;??_ ;_ @_ "/>
    <numFmt numFmtId="43" formatCode="_ * #,##0.00_ ;_ * \-#,##0.00_ ;_ * &quot;-&quot;??_ ;_ @_ "/>
    <numFmt numFmtId="164" formatCode="_ [$₹-4009]\ * #,##0_ ;_ [$₹-4009]\ * \-#,##0_ ;_ [$₹-4009]\ * &quot;-&quot;_ ;_ @_ "/>
    <numFmt numFmtId="165" formatCode="_ [$₹-4009]\ * #,##0.00_ ;_ [$₹-4009]\ * \-#,##0.00_ ;_ [$₹-4009]\ * &quot;-&quot;??_ ;_ @_ "/>
    <numFmt numFmtId="166" formatCode="0.0%"/>
    <numFmt numFmtId="167" formatCode="0.000%"/>
    <numFmt numFmtId="168" formatCode="0.0000%"/>
    <numFmt numFmtId="169" formatCode="&quot;₹&quot;\ #,##0.00"/>
    <numFmt numFmtId="170" formatCode="_ * #,##0.000_ ;_ * \-#,##0.000_ ;_ * &quot;-&quot;??_ ;_ @_ "/>
    <numFmt numFmtId="171" formatCode="_ * #,##0.0000_ ;_ * \-#,##0.0000_ ;_ * &quot;-&quot;??_ ;_ @_ "/>
    <numFmt numFmtId="172" formatCode="_ * #,##0.00000_ ;_ * \-#,##0.00000_ ;_ * &quot;-&quot;??_ ;_ @_ "/>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8"/>
      <color theme="1"/>
      <name val="Agency FB"/>
      <family val="2"/>
    </font>
    <font>
      <b/>
      <sz val="12"/>
      <color theme="1"/>
      <name val="Calibri"/>
      <family val="2"/>
      <scheme val="minor"/>
    </font>
    <font>
      <sz val="18"/>
      <color theme="1"/>
      <name val="Calibri"/>
      <family val="2"/>
      <scheme val="minor"/>
    </font>
    <font>
      <b/>
      <sz val="20"/>
      <color rgb="FF002060"/>
      <name val="Calibri"/>
      <family val="2"/>
      <scheme val="minor"/>
    </font>
    <font>
      <b/>
      <sz val="22"/>
      <color rgb="FF002060"/>
      <name val="Calibri"/>
      <family val="2"/>
      <scheme val="minor"/>
    </font>
    <font>
      <sz val="8"/>
      <name val="Calibri"/>
      <family val="2"/>
      <scheme val="minor"/>
    </font>
    <font>
      <b/>
      <sz val="26"/>
      <color rgb="FF002060"/>
      <name val="Calibri"/>
      <family val="2"/>
      <scheme val="minor"/>
    </font>
    <font>
      <b/>
      <sz val="36"/>
      <color rgb="FF002060"/>
      <name val="Calibri"/>
      <family val="2"/>
      <scheme val="minor"/>
    </font>
    <font>
      <b/>
      <sz val="14"/>
      <color theme="1"/>
      <name val="Agency FB"/>
      <family val="2"/>
    </font>
    <font>
      <b/>
      <sz val="2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4"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34">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horizontal="center" vertical="center"/>
    </xf>
    <xf numFmtId="0" fontId="2" fillId="0" borderId="8" xfId="0" applyFont="1" applyBorder="1" applyAlignment="1">
      <alignment horizontal="left" vertical="center"/>
    </xf>
    <xf numFmtId="0" fontId="2" fillId="0" borderId="0" xfId="0" applyFont="1" applyAlignment="1">
      <alignment horizontal="left" vertical="center"/>
    </xf>
    <xf numFmtId="43" fontId="0" fillId="0" borderId="1" xfId="1" applyFont="1" applyBorder="1" applyAlignment="1">
      <alignment vertical="center"/>
    </xf>
    <xf numFmtId="43" fontId="4" fillId="0" borderId="1" xfId="1" applyFont="1" applyBorder="1" applyAlignment="1">
      <alignment vertical="center"/>
    </xf>
    <xf numFmtId="0" fontId="0" fillId="0" borderId="0" xfId="0" applyAlignment="1">
      <alignment horizontal="center" vertical="center"/>
    </xf>
    <xf numFmtId="0" fontId="0" fillId="0" borderId="1" xfId="0" applyBorder="1" applyAlignment="1">
      <alignment vertical="center"/>
    </xf>
    <xf numFmtId="0" fontId="2" fillId="0" borderId="1" xfId="0" applyFont="1" applyBorder="1" applyAlignment="1">
      <alignment vertical="center"/>
    </xf>
    <xf numFmtId="43" fontId="2" fillId="0" borderId="1" xfId="1" applyFont="1" applyBorder="1" applyAlignment="1">
      <alignment vertical="center"/>
    </xf>
    <xf numFmtId="0" fontId="2" fillId="0" borderId="2" xfId="0" applyFont="1" applyBorder="1" applyAlignment="1">
      <alignment vertical="center"/>
    </xf>
    <xf numFmtId="0" fontId="2" fillId="0" borderId="8" xfId="0" applyFont="1" applyBorder="1" applyAlignment="1">
      <alignment vertical="center"/>
    </xf>
    <xf numFmtId="0" fontId="2" fillId="0" borderId="3" xfId="0" applyFont="1" applyBorder="1" applyAlignment="1">
      <alignment vertical="center"/>
    </xf>
    <xf numFmtId="43" fontId="0" fillId="0" borderId="0" xfId="0" applyNumberFormat="1" applyAlignment="1">
      <alignment vertical="center"/>
    </xf>
    <xf numFmtId="2" fontId="0" fillId="0" borderId="1" xfId="0" applyNumberFormat="1" applyBorder="1" applyAlignment="1">
      <alignment vertical="center"/>
    </xf>
    <xf numFmtId="0" fontId="0" fillId="0" borderId="1" xfId="0" applyBorder="1" applyAlignment="1">
      <alignment horizontal="center" vertical="center" wrapText="1"/>
    </xf>
    <xf numFmtId="10" fontId="0" fillId="0" borderId="1" xfId="2" applyNumberFormat="1" applyFont="1" applyBorder="1" applyAlignment="1">
      <alignment vertical="center"/>
    </xf>
    <xf numFmtId="166" fontId="0" fillId="0" borderId="1" xfId="2" applyNumberFormat="1" applyFont="1" applyBorder="1" applyAlignment="1">
      <alignment vertical="center"/>
    </xf>
    <xf numFmtId="2" fontId="0" fillId="0" borderId="1" xfId="0" applyNumberFormat="1" applyBorder="1" applyAlignment="1">
      <alignment horizontal="right" vertical="center"/>
    </xf>
    <xf numFmtId="0" fontId="0" fillId="0" borderId="3" xfId="0"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xf>
    <xf numFmtId="0" fontId="2" fillId="0" borderId="0" xfId="0" applyFont="1" applyAlignment="1">
      <alignment vertical="center"/>
    </xf>
    <xf numFmtId="0" fontId="0" fillId="0" borderId="1" xfId="0" applyBorder="1" applyAlignment="1">
      <alignment horizontal="left" vertical="center"/>
    </xf>
    <xf numFmtId="0" fontId="2" fillId="0" borderId="1" xfId="0" applyFont="1" applyBorder="1" applyAlignment="1">
      <alignment horizontal="left" vertical="center"/>
    </xf>
    <xf numFmtId="0" fontId="2" fillId="0" borderId="10" xfId="0" applyFont="1" applyBorder="1" applyAlignment="1">
      <alignment vertical="center"/>
    </xf>
    <xf numFmtId="43" fontId="2" fillId="0" borderId="10" xfId="1" applyFont="1" applyBorder="1" applyAlignment="1">
      <alignment vertical="center"/>
    </xf>
    <xf numFmtId="0" fontId="0" fillId="0" borderId="2" xfId="0" applyBorder="1" applyAlignment="1">
      <alignment vertical="center"/>
    </xf>
    <xf numFmtId="0" fontId="0" fillId="0" borderId="11" xfId="0" applyBorder="1" applyAlignment="1">
      <alignment vertical="center"/>
    </xf>
    <xf numFmtId="43" fontId="0" fillId="0" borderId="2" xfId="1" applyFont="1" applyBorder="1" applyAlignment="1">
      <alignment vertical="center"/>
    </xf>
    <xf numFmtId="0" fontId="2" fillId="0" borderId="5" xfId="0" applyFont="1" applyBorder="1" applyAlignment="1">
      <alignment vertical="center"/>
    </xf>
    <xf numFmtId="0" fontId="2" fillId="2" borderId="8" xfId="0" applyFont="1" applyFill="1" applyBorder="1" applyAlignment="1">
      <alignment vertical="center"/>
    </xf>
    <xf numFmtId="0" fontId="2" fillId="0" borderId="11" xfId="0" applyFont="1" applyBorder="1" applyAlignment="1">
      <alignment vertical="center"/>
    </xf>
    <xf numFmtId="0" fontId="2" fillId="0" borderId="7" xfId="0" applyFont="1" applyBorder="1" applyAlignment="1">
      <alignment horizontal="center" vertical="center"/>
    </xf>
    <xf numFmtId="0" fontId="2" fillId="0" borderId="11"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4" fillId="0" borderId="3" xfId="0" applyFont="1" applyBorder="1" applyAlignment="1">
      <alignment vertical="center"/>
    </xf>
    <xf numFmtId="44" fontId="0" fillId="0" borderId="1" xfId="0" applyNumberFormat="1" applyBorder="1" applyAlignment="1">
      <alignment vertical="center"/>
    </xf>
    <xf numFmtId="44" fontId="0" fillId="0" borderId="2" xfId="0" applyNumberFormat="1" applyBorder="1" applyAlignment="1">
      <alignment vertical="center"/>
    </xf>
    <xf numFmtId="44" fontId="0" fillId="0" borderId="0" xfId="0" applyNumberFormat="1" applyAlignment="1">
      <alignment vertical="center"/>
    </xf>
    <xf numFmtId="43" fontId="4" fillId="0" borderId="2" xfId="1" applyFont="1" applyBorder="1" applyAlignment="1">
      <alignment vertical="center"/>
    </xf>
    <xf numFmtId="44" fontId="2" fillId="0" borderId="1" xfId="0" applyNumberFormat="1" applyFont="1" applyBorder="1" applyAlignment="1">
      <alignment vertical="center"/>
    </xf>
    <xf numFmtId="44" fontId="2" fillId="0" borderId="2" xfId="0" applyNumberFormat="1" applyFont="1" applyBorder="1" applyAlignment="1">
      <alignment vertical="center"/>
    </xf>
    <xf numFmtId="44" fontId="2" fillId="0" borderId="0" xfId="0" applyNumberFormat="1" applyFont="1" applyAlignment="1">
      <alignment vertical="center"/>
    </xf>
    <xf numFmtId="0" fontId="4" fillId="0" borderId="5" xfId="0" applyFont="1" applyBorder="1" applyAlignment="1">
      <alignment vertical="center"/>
    </xf>
    <xf numFmtId="43" fontId="4" fillId="0" borderId="10" xfId="1" applyFont="1" applyBorder="1" applyAlignment="1">
      <alignment vertical="center"/>
    </xf>
    <xf numFmtId="43" fontId="4" fillId="0" borderId="4" xfId="1" applyFont="1" applyBorder="1" applyAlignment="1">
      <alignment vertical="center"/>
    </xf>
    <xf numFmtId="44" fontId="2" fillId="0" borderId="10" xfId="0" applyNumberFormat="1" applyFont="1" applyBorder="1" applyAlignment="1">
      <alignment vertical="center"/>
    </xf>
    <xf numFmtId="44" fontId="2" fillId="0" borderId="4" xfId="0" applyNumberFormat="1" applyFont="1" applyBorder="1" applyAlignment="1">
      <alignment vertical="center"/>
    </xf>
    <xf numFmtId="43" fontId="0" fillId="0" borderId="11" xfId="1" applyFont="1" applyBorder="1" applyAlignment="1">
      <alignment vertical="center"/>
    </xf>
    <xf numFmtId="43" fontId="4" fillId="0" borderId="11" xfId="1" applyFont="1" applyBorder="1" applyAlignment="1">
      <alignment vertical="center"/>
    </xf>
    <xf numFmtId="43" fontId="0" fillId="0" borderId="0" xfId="1" applyFont="1" applyBorder="1" applyAlignment="1">
      <alignment vertical="center"/>
    </xf>
    <xf numFmtId="43" fontId="2" fillId="0" borderId="0" xfId="1" applyFont="1" applyBorder="1" applyAlignment="1">
      <alignment vertical="center"/>
    </xf>
    <xf numFmtId="0" fontId="4" fillId="0" borderId="2" xfId="0" applyFont="1" applyBorder="1" applyAlignment="1">
      <alignment vertical="center"/>
    </xf>
    <xf numFmtId="0" fontId="4" fillId="0" borderId="8" xfId="0" applyFont="1" applyBorder="1" applyAlignment="1">
      <alignment vertical="center"/>
    </xf>
    <xf numFmtId="43" fontId="0" fillId="0" borderId="10" xfId="1" applyFont="1" applyBorder="1" applyAlignment="1">
      <alignment vertical="center"/>
    </xf>
    <xf numFmtId="43" fontId="2" fillId="0" borderId="11" xfId="1" applyFont="1" applyBorder="1" applyAlignment="1">
      <alignment vertical="center"/>
    </xf>
    <xf numFmtId="49" fontId="2" fillId="0" borderId="0" xfId="0" applyNumberFormat="1" applyFont="1" applyAlignment="1">
      <alignment horizontal="left" vertical="center"/>
    </xf>
    <xf numFmtId="0" fontId="0" fillId="0" borderId="10" xfId="0" applyBorder="1" applyAlignment="1">
      <alignment vertical="center"/>
    </xf>
    <xf numFmtId="0" fontId="2" fillId="0" borderId="12" xfId="0" applyFont="1" applyBorder="1" applyAlignment="1">
      <alignment vertical="center"/>
    </xf>
    <xf numFmtId="43" fontId="2" fillId="0" borderId="12" xfId="1" applyFont="1" applyBorder="1" applyAlignment="1">
      <alignment vertical="center"/>
    </xf>
    <xf numFmtId="49" fontId="2"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0" fillId="0" borderId="12" xfId="0" applyBorder="1" applyAlignment="1">
      <alignment vertical="center"/>
    </xf>
    <xf numFmtId="43" fontId="0" fillId="0" borderId="12" xfId="1" applyFont="1" applyBorder="1" applyAlignment="1">
      <alignment vertical="center"/>
    </xf>
    <xf numFmtId="0" fontId="3" fillId="0" borderId="0" xfId="0" applyFont="1" applyAlignment="1">
      <alignment vertical="center"/>
    </xf>
    <xf numFmtId="1"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44"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43" fontId="0" fillId="0" borderId="1" xfId="1" applyFont="1" applyBorder="1" applyAlignment="1">
      <alignment horizontal="center" vertical="center" wrapText="1"/>
    </xf>
    <xf numFmtId="1"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2" fillId="2" borderId="9" xfId="0" applyFont="1" applyFill="1" applyBorder="1" applyAlignment="1">
      <alignment vertical="center"/>
    </xf>
    <xf numFmtId="0" fontId="2" fillId="2" borderId="3" xfId="0" applyFont="1" applyFill="1" applyBorder="1" applyAlignment="1">
      <alignment vertical="center"/>
    </xf>
    <xf numFmtId="0" fontId="2" fillId="2" borderId="0" xfId="0" applyFont="1" applyFill="1" applyAlignment="1">
      <alignment vertical="center"/>
    </xf>
    <xf numFmtId="43" fontId="2" fillId="2" borderId="0" xfId="1" applyFont="1" applyFill="1" applyBorder="1" applyAlignment="1">
      <alignment vertical="center"/>
    </xf>
    <xf numFmtId="43" fontId="2" fillId="0" borderId="8" xfId="1" applyFont="1" applyBorder="1" applyAlignment="1">
      <alignment vertical="center"/>
    </xf>
    <xf numFmtId="43" fontId="2" fillId="2" borderId="8" xfId="1" applyFont="1" applyFill="1" applyBorder="1" applyAlignment="1">
      <alignment vertical="center"/>
    </xf>
    <xf numFmtId="43" fontId="2" fillId="0" borderId="3" xfId="1" applyFont="1" applyBorder="1" applyAlignment="1">
      <alignment vertical="center"/>
    </xf>
    <xf numFmtId="43" fontId="2" fillId="2" borderId="1" xfId="1" applyFont="1" applyFill="1" applyBorder="1" applyAlignment="1">
      <alignment vertical="center"/>
    </xf>
    <xf numFmtId="43" fontId="0" fillId="0" borderId="0" xfId="1" applyFont="1" applyAlignment="1">
      <alignment vertical="center"/>
    </xf>
    <xf numFmtId="0" fontId="0" fillId="0" borderId="4" xfId="0" applyBorder="1" applyAlignment="1">
      <alignment vertical="center"/>
    </xf>
    <xf numFmtId="0" fontId="0" fillId="0" borderId="7" xfId="0" applyBorder="1" applyAlignment="1">
      <alignment vertical="center"/>
    </xf>
    <xf numFmtId="43" fontId="0" fillId="0" borderId="6" xfId="1" applyFont="1" applyBorder="1" applyAlignment="1">
      <alignment vertical="center"/>
    </xf>
    <xf numFmtId="0" fontId="4" fillId="0" borderId="0" xfId="0" applyFont="1" applyAlignment="1">
      <alignment vertical="center"/>
    </xf>
    <xf numFmtId="0" fontId="4" fillId="2" borderId="2" xfId="0" applyFont="1" applyFill="1" applyBorder="1" applyAlignment="1">
      <alignment vertical="center"/>
    </xf>
    <xf numFmtId="0" fontId="0" fillId="2" borderId="8" xfId="0" applyFill="1" applyBorder="1" applyAlignment="1">
      <alignment vertical="center"/>
    </xf>
    <xf numFmtId="0" fontId="0" fillId="2" borderId="3" xfId="0" applyFill="1" applyBorder="1" applyAlignment="1">
      <alignment vertical="center"/>
    </xf>
    <xf numFmtId="0" fontId="2" fillId="2" borderId="2" xfId="0" applyFont="1" applyFill="1" applyBorder="1" applyAlignment="1">
      <alignment vertical="center"/>
    </xf>
    <xf numFmtId="43" fontId="2" fillId="0" borderId="2" xfId="1" applyFont="1" applyBorder="1" applyAlignment="1">
      <alignment vertical="center"/>
    </xf>
    <xf numFmtId="43" fontId="2" fillId="2" borderId="3" xfId="1" applyFont="1" applyFill="1" applyBorder="1" applyAlignment="1">
      <alignment vertical="center"/>
    </xf>
    <xf numFmtId="0" fontId="6" fillId="0" borderId="0" xfId="0" applyFont="1" applyAlignment="1">
      <alignment vertical="center"/>
    </xf>
    <xf numFmtId="0" fontId="4" fillId="0" borderId="11" xfId="0" applyFont="1" applyBorder="1" applyAlignment="1">
      <alignment vertical="center"/>
    </xf>
    <xf numFmtId="0" fontId="4" fillId="0" borderId="1" xfId="0" applyFont="1" applyBorder="1" applyAlignment="1">
      <alignment vertical="center"/>
    </xf>
    <xf numFmtId="0" fontId="4" fillId="0" borderId="10" xfId="0" applyFont="1" applyBorder="1" applyAlignment="1">
      <alignment vertical="center"/>
    </xf>
    <xf numFmtId="0" fontId="0" fillId="0" borderId="5" xfId="0" applyBorder="1" applyAlignment="1">
      <alignment vertical="center"/>
    </xf>
    <xf numFmtId="0" fontId="4" fillId="0" borderId="2" xfId="0" applyFont="1" applyBorder="1" applyAlignment="1">
      <alignment horizontal="center" vertical="center"/>
    </xf>
    <xf numFmtId="49" fontId="4" fillId="0" borderId="8" xfId="0" applyNumberFormat="1" applyFont="1" applyBorder="1" applyAlignment="1">
      <alignment horizontal="center" vertical="center"/>
    </xf>
    <xf numFmtId="49" fontId="4" fillId="0" borderId="3" xfId="0" applyNumberFormat="1" applyFont="1" applyBorder="1" applyAlignment="1">
      <alignment horizontal="center" vertical="center"/>
    </xf>
    <xf numFmtId="0" fontId="4" fillId="0" borderId="6" xfId="0" applyFont="1" applyBorder="1" applyAlignment="1">
      <alignment vertical="center"/>
    </xf>
    <xf numFmtId="0" fontId="4" fillId="0" borderId="9" xfId="0" applyFont="1" applyBorder="1" applyAlignment="1">
      <alignment vertical="center"/>
    </xf>
    <xf numFmtId="0" fontId="4" fillId="0" borderId="9" xfId="0" applyFont="1" applyBorder="1" applyAlignment="1">
      <alignment horizontal="center" vertical="center"/>
    </xf>
    <xf numFmtId="49" fontId="4" fillId="0" borderId="9" xfId="0" applyNumberFormat="1" applyFont="1" applyBorder="1" applyAlignment="1">
      <alignment horizontal="center" vertical="center"/>
    </xf>
    <xf numFmtId="0" fontId="4" fillId="0" borderId="7" xfId="0" applyFont="1" applyBorder="1" applyAlignment="1">
      <alignment vertical="center"/>
    </xf>
    <xf numFmtId="43" fontId="4" fillId="0" borderId="6" xfId="1" applyFont="1" applyBorder="1" applyAlignment="1">
      <alignment vertical="center"/>
    </xf>
    <xf numFmtId="43" fontId="0" fillId="0" borderId="4" xfId="1" applyFont="1" applyBorder="1" applyAlignment="1">
      <alignment vertical="center"/>
    </xf>
    <xf numFmtId="0" fontId="0" fillId="0" borderId="14" xfId="0" applyBorder="1" applyAlignment="1">
      <alignment vertical="center"/>
    </xf>
    <xf numFmtId="43" fontId="0" fillId="0" borderId="13" xfId="1" applyFont="1" applyBorder="1" applyAlignment="1">
      <alignment vertical="center"/>
    </xf>
    <xf numFmtId="0" fontId="2" fillId="0" borderId="3" xfId="0" applyFont="1" applyBorder="1" applyAlignment="1">
      <alignment vertical="center" wrapText="1"/>
    </xf>
    <xf numFmtId="0" fontId="7" fillId="0" borderId="0" xfId="0" applyFont="1" applyAlignment="1">
      <alignment vertical="center"/>
    </xf>
    <xf numFmtId="43" fontId="1" fillId="0" borderId="1" xfId="1" applyFont="1" applyBorder="1" applyAlignment="1">
      <alignment vertical="center"/>
    </xf>
    <xf numFmtId="43" fontId="1" fillId="0" borderId="2" xfId="1" applyFont="1" applyBorder="1" applyAlignment="1">
      <alignment vertical="center"/>
    </xf>
    <xf numFmtId="0" fontId="0" fillId="3" borderId="3" xfId="0" applyFill="1" applyBorder="1" applyAlignment="1">
      <alignment vertical="center"/>
    </xf>
    <xf numFmtId="43" fontId="0" fillId="3" borderId="1" xfId="1" applyFont="1" applyFill="1" applyBorder="1" applyAlignment="1">
      <alignment vertical="center"/>
    </xf>
    <xf numFmtId="43" fontId="0" fillId="3" borderId="2" xfId="1" applyFont="1" applyFill="1" applyBorder="1" applyAlignment="1">
      <alignment vertical="center"/>
    </xf>
    <xf numFmtId="10" fontId="0" fillId="0" borderId="3" xfId="2" applyNumberFormat="1" applyFont="1" applyBorder="1" applyAlignment="1">
      <alignment vertical="center"/>
    </xf>
    <xf numFmtId="2" fontId="0" fillId="0" borderId="2" xfId="0" applyNumberFormat="1" applyBorder="1" applyAlignment="1">
      <alignment vertical="center"/>
    </xf>
    <xf numFmtId="10" fontId="0" fillId="0" borderId="2" xfId="2" applyNumberFormat="1" applyFont="1" applyBorder="1" applyAlignment="1">
      <alignment vertical="center"/>
    </xf>
    <xf numFmtId="10" fontId="0" fillId="0" borderId="7" xfId="2" applyNumberFormat="1" applyFont="1" applyBorder="1" applyAlignment="1">
      <alignment vertical="center"/>
    </xf>
    <xf numFmtId="10" fontId="0" fillId="0" borderId="11" xfId="2" applyNumberFormat="1" applyFont="1" applyBorder="1" applyAlignment="1">
      <alignment vertical="center"/>
    </xf>
    <xf numFmtId="166" fontId="0" fillId="0" borderId="2" xfId="2" applyNumberFormat="1" applyFont="1" applyBorder="1" applyAlignment="1">
      <alignment vertical="center"/>
    </xf>
    <xf numFmtId="43" fontId="0" fillId="0" borderId="2" xfId="0" applyNumberFormat="1" applyBorder="1" applyAlignment="1">
      <alignment vertical="center"/>
    </xf>
    <xf numFmtId="166" fontId="0" fillId="0" borderId="3" xfId="2" applyNumberFormat="1" applyFont="1" applyBorder="1" applyAlignment="1">
      <alignment vertical="center"/>
    </xf>
    <xf numFmtId="2" fontId="0" fillId="0" borderId="3" xfId="0" applyNumberFormat="1" applyBorder="1" applyAlignment="1">
      <alignment vertical="center"/>
    </xf>
    <xf numFmtId="2" fontId="0" fillId="0" borderId="3" xfId="0" applyNumberFormat="1" applyBorder="1" applyAlignment="1">
      <alignment horizontal="right" vertical="center"/>
    </xf>
    <xf numFmtId="43" fontId="0" fillId="0" borderId="3" xfId="0" applyNumberFormat="1" applyBorder="1" applyAlignment="1">
      <alignment vertical="center"/>
    </xf>
    <xf numFmtId="10" fontId="0" fillId="0" borderId="0" xfId="2" applyNumberFormat="1" applyFont="1" applyBorder="1" applyAlignment="1">
      <alignment vertical="center"/>
    </xf>
    <xf numFmtId="166" fontId="0" fillId="0" borderId="0" xfId="2" applyNumberFormat="1" applyFont="1" applyBorder="1" applyAlignment="1">
      <alignment vertical="center"/>
    </xf>
    <xf numFmtId="2" fontId="0" fillId="0" borderId="0" xfId="0" applyNumberFormat="1" applyAlignment="1">
      <alignment vertical="center"/>
    </xf>
    <xf numFmtId="10" fontId="0" fillId="0" borderId="1" xfId="2" applyNumberFormat="1" applyFont="1" applyBorder="1" applyAlignment="1">
      <alignment horizontal="center" vertical="center"/>
    </xf>
    <xf numFmtId="166" fontId="0" fillId="0" borderId="1" xfId="2" applyNumberFormat="1"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43" fontId="0" fillId="0" borderId="1" xfId="0" applyNumberFormat="1" applyBorder="1" applyAlignment="1">
      <alignment horizontal="center" vertical="center"/>
    </xf>
    <xf numFmtId="10" fontId="0" fillId="0" borderId="3" xfId="2" applyNumberFormat="1" applyFont="1" applyBorder="1" applyAlignment="1">
      <alignment horizontal="right" vertical="center"/>
    </xf>
    <xf numFmtId="10" fontId="0" fillId="0" borderId="1" xfId="2" applyNumberFormat="1" applyFont="1" applyBorder="1" applyAlignment="1">
      <alignment horizontal="right" vertical="center"/>
    </xf>
    <xf numFmtId="10" fontId="0" fillId="0" borderId="2" xfId="2" applyNumberFormat="1" applyFont="1" applyBorder="1" applyAlignment="1">
      <alignment horizontal="right" vertical="center"/>
    </xf>
    <xf numFmtId="166" fontId="0" fillId="0" borderId="3" xfId="2" applyNumberFormat="1" applyFont="1" applyBorder="1" applyAlignment="1">
      <alignment horizontal="right" vertical="center"/>
    </xf>
    <xf numFmtId="166" fontId="0" fillId="0" borderId="1" xfId="2" applyNumberFormat="1" applyFont="1" applyBorder="1" applyAlignment="1">
      <alignment horizontal="right" vertical="center"/>
    </xf>
    <xf numFmtId="166" fontId="0" fillId="0" borderId="2" xfId="2" applyNumberFormat="1" applyFont="1" applyBorder="1" applyAlignment="1">
      <alignment horizontal="right" vertical="center"/>
    </xf>
    <xf numFmtId="0" fontId="2" fillId="0" borderId="3" xfId="0" applyFont="1" applyBorder="1" applyAlignment="1">
      <alignment horizontal="right" vertical="center"/>
    </xf>
    <xf numFmtId="0" fontId="2" fillId="0" borderId="2" xfId="0" applyFont="1" applyBorder="1" applyAlignment="1">
      <alignment horizontal="right" vertical="center"/>
    </xf>
    <xf numFmtId="2" fontId="0" fillId="0" borderId="2" xfId="0" applyNumberFormat="1" applyBorder="1" applyAlignment="1">
      <alignment horizontal="right" vertical="center"/>
    </xf>
    <xf numFmtId="0" fontId="0" fillId="0" borderId="3" xfId="0" applyBorder="1" applyAlignment="1">
      <alignment horizontal="right" vertical="center"/>
    </xf>
    <xf numFmtId="0" fontId="0" fillId="0" borderId="2" xfId="0" applyBorder="1" applyAlignment="1">
      <alignment horizontal="right" vertical="center"/>
    </xf>
    <xf numFmtId="0" fontId="5" fillId="0" borderId="0" xfId="0" applyFont="1" applyAlignment="1">
      <alignment horizontal="center" vertical="center"/>
    </xf>
    <xf numFmtId="43" fontId="0" fillId="0" borderId="5" xfId="1" applyFont="1" applyBorder="1" applyAlignment="1">
      <alignment horizontal="right" vertical="center"/>
    </xf>
    <xf numFmtId="43" fontId="0" fillId="0" borderId="2" xfId="1" applyFont="1" applyBorder="1" applyAlignment="1">
      <alignment horizontal="right" vertical="center"/>
    </xf>
    <xf numFmtId="10" fontId="0" fillId="0" borderId="7" xfId="2" applyNumberFormat="1" applyFont="1" applyBorder="1" applyAlignment="1">
      <alignment horizontal="right" vertical="center"/>
    </xf>
    <xf numFmtId="10" fontId="0" fillId="0" borderId="11" xfId="2" applyNumberFormat="1" applyFont="1" applyBorder="1" applyAlignment="1">
      <alignment horizontal="right" vertical="center"/>
    </xf>
    <xf numFmtId="10" fontId="0" fillId="0" borderId="6" xfId="2" applyNumberFormat="1" applyFont="1" applyBorder="1" applyAlignment="1">
      <alignment horizontal="right" vertical="center"/>
    </xf>
    <xf numFmtId="0" fontId="2" fillId="0" borderId="8" xfId="0" applyFont="1" applyBorder="1" applyAlignment="1">
      <alignment horizontal="center" vertical="center"/>
    </xf>
    <xf numFmtId="10" fontId="0" fillId="0" borderId="6" xfId="2" applyNumberFormat="1" applyFont="1" applyBorder="1" applyAlignment="1">
      <alignment vertical="center"/>
    </xf>
    <xf numFmtId="10" fontId="0" fillId="0" borderId="0" xfId="2" applyNumberFormat="1" applyFont="1" applyAlignment="1">
      <alignment vertical="center"/>
    </xf>
    <xf numFmtId="166" fontId="0" fillId="0" borderId="0" xfId="2" applyNumberFormat="1" applyFont="1" applyAlignment="1">
      <alignment vertical="center"/>
    </xf>
    <xf numFmtId="167" fontId="0" fillId="0" borderId="1" xfId="2" applyNumberFormat="1" applyFont="1" applyBorder="1" applyAlignment="1">
      <alignment vertical="center"/>
    </xf>
    <xf numFmtId="168" fontId="0" fillId="0" borderId="1" xfId="2" applyNumberFormat="1" applyFont="1" applyBorder="1" applyAlignment="1">
      <alignment vertical="center"/>
    </xf>
    <xf numFmtId="0" fontId="9" fillId="0" borderId="0" xfId="0" applyFont="1" applyAlignment="1">
      <alignment vertical="center"/>
    </xf>
    <xf numFmtId="0" fontId="10" fillId="0" borderId="0" xfId="0" applyFont="1" applyAlignment="1">
      <alignment vertical="center"/>
    </xf>
    <xf numFmtId="4" fontId="0" fillId="0" borderId="1" xfId="0" applyNumberFormat="1" applyBorder="1" applyAlignment="1">
      <alignment vertical="center"/>
    </xf>
    <xf numFmtId="10" fontId="0" fillId="0" borderId="1" xfId="0" applyNumberFormat="1" applyBorder="1" applyAlignment="1">
      <alignment vertical="center"/>
    </xf>
    <xf numFmtId="169" fontId="0" fillId="0" borderId="1" xfId="1" applyNumberFormat="1" applyFont="1" applyBorder="1" applyAlignment="1">
      <alignment vertical="center"/>
    </xf>
    <xf numFmtId="0" fontId="11" fillId="0" borderId="1" xfId="0" applyFont="1" applyBorder="1" applyAlignment="1">
      <alignment vertical="center"/>
    </xf>
    <xf numFmtId="43" fontId="0" fillId="0" borderId="0" xfId="1" applyFont="1" applyBorder="1" applyAlignment="1">
      <alignment horizontal="center" vertical="center"/>
    </xf>
    <xf numFmtId="43" fontId="0" fillId="0" borderId="1" xfId="1" applyFont="1" applyBorder="1" applyAlignment="1">
      <alignment horizontal="center" vertical="center"/>
    </xf>
    <xf numFmtId="43" fontId="2" fillId="0" borderId="1" xfId="1" applyFont="1" applyBorder="1" applyAlignment="1">
      <alignment horizontal="center" vertical="center"/>
    </xf>
    <xf numFmtId="9" fontId="0" fillId="0" borderId="1" xfId="2" applyFont="1" applyBorder="1" applyAlignment="1">
      <alignment horizontal="center" vertical="center"/>
    </xf>
    <xf numFmtId="44" fontId="0" fillId="0" borderId="1" xfId="0" applyNumberFormat="1" applyBorder="1" applyAlignment="1">
      <alignment horizontal="center" vertical="center"/>
    </xf>
    <xf numFmtId="43" fontId="2" fillId="0" borderId="1" xfId="0" applyNumberFormat="1" applyFont="1" applyBorder="1" applyAlignment="1">
      <alignment horizontal="center" vertical="center"/>
    </xf>
    <xf numFmtId="0" fontId="0" fillId="0" borderId="10" xfId="0" applyBorder="1" applyAlignment="1">
      <alignment horizontal="center" vertical="center"/>
    </xf>
    <xf numFmtId="43" fontId="0" fillId="0" borderId="10" xfId="1" applyFont="1" applyBorder="1" applyAlignment="1">
      <alignment horizontal="center" vertical="center"/>
    </xf>
    <xf numFmtId="166" fontId="0" fillId="0" borderId="10" xfId="2" applyNumberFormat="1" applyFont="1" applyBorder="1" applyAlignment="1">
      <alignment horizontal="center" vertical="center"/>
    </xf>
    <xf numFmtId="10" fontId="0" fillId="0" borderId="10" xfId="2" applyNumberFormat="1" applyFont="1" applyBorder="1" applyAlignment="1">
      <alignment horizontal="center" vertical="center"/>
    </xf>
    <xf numFmtId="166" fontId="2" fillId="0" borderId="1" xfId="2" applyNumberFormat="1" applyFont="1" applyBorder="1" applyAlignment="1">
      <alignment horizontal="center" vertical="center"/>
    </xf>
    <xf numFmtId="0" fontId="0" fillId="0" borderId="3" xfId="0" applyBorder="1" applyAlignment="1">
      <alignment horizontal="left" vertical="center"/>
    </xf>
    <xf numFmtId="0" fontId="2" fillId="0" borderId="3" xfId="0" applyFont="1" applyBorder="1" applyAlignment="1">
      <alignment horizontal="left" vertical="center"/>
    </xf>
    <xf numFmtId="0" fontId="0" fillId="0" borderId="5" xfId="0" applyBorder="1" applyAlignment="1">
      <alignment horizontal="left" vertical="center"/>
    </xf>
    <xf numFmtId="9" fontId="2" fillId="0" borderId="1" xfId="2" applyFont="1" applyBorder="1" applyAlignment="1">
      <alignment vertical="center"/>
    </xf>
    <xf numFmtId="10" fontId="2" fillId="0" borderId="1" xfId="2" applyNumberFormat="1" applyFont="1" applyBorder="1" applyAlignment="1">
      <alignment vertical="center"/>
    </xf>
    <xf numFmtId="166" fontId="2" fillId="0" borderId="1" xfId="2" applyNumberFormat="1" applyFont="1" applyBorder="1" applyAlignment="1">
      <alignment vertical="center"/>
    </xf>
    <xf numFmtId="0" fontId="12" fillId="0" borderId="0" xfId="0" applyFont="1" applyAlignment="1">
      <alignment horizontal="center" vertical="center"/>
    </xf>
    <xf numFmtId="43" fontId="0" fillId="0" borderId="0" xfId="0" applyNumberFormat="1" applyAlignment="1">
      <alignment horizontal="center" vertical="center"/>
    </xf>
    <xf numFmtId="0" fontId="2" fillId="0" borderId="1" xfId="0" applyFont="1" applyBorder="1" applyAlignment="1">
      <alignment vertical="center" wrapText="1"/>
    </xf>
    <xf numFmtId="43" fontId="0" fillId="0" borderId="1" xfId="0" applyNumberFormat="1" applyBorder="1" applyAlignment="1">
      <alignment vertical="center"/>
    </xf>
    <xf numFmtId="43" fontId="0" fillId="0" borderId="1" xfId="2" applyNumberFormat="1" applyFont="1" applyBorder="1" applyAlignment="1">
      <alignment vertical="center"/>
    </xf>
    <xf numFmtId="0" fontId="0" fillId="0" borderId="0" xfId="0" applyAlignment="1">
      <alignment horizontal="center" vertical="center" wrapText="1"/>
    </xf>
    <xf numFmtId="0" fontId="0" fillId="0" borderId="3" xfId="0" applyBorder="1" applyAlignment="1">
      <alignment vertical="center" wrapText="1"/>
    </xf>
    <xf numFmtId="0" fontId="0" fillId="0" borderId="5" xfId="0" applyBorder="1" applyAlignment="1">
      <alignment vertical="center" wrapText="1"/>
    </xf>
    <xf numFmtId="43" fontId="0" fillId="0" borderId="1" xfId="0" applyNumberFormat="1" applyBorder="1" applyAlignment="1">
      <alignment vertical="center" wrapText="1"/>
    </xf>
    <xf numFmtId="9" fontId="0" fillId="0" borderId="0" xfId="2" applyFont="1" applyBorder="1" applyAlignment="1">
      <alignment horizontal="center" vertical="center"/>
    </xf>
    <xf numFmtId="43" fontId="0" fillId="0" borderId="3" xfId="1" applyFont="1" applyBorder="1" applyAlignment="1">
      <alignment horizontal="right" vertical="center"/>
    </xf>
    <xf numFmtId="0" fontId="0" fillId="0" borderId="1" xfId="0" applyBorder="1" applyAlignment="1">
      <alignment horizontal="right" vertical="center"/>
    </xf>
    <xf numFmtId="0" fontId="2" fillId="0" borderId="1" xfId="0" applyFont="1" applyBorder="1" applyAlignment="1">
      <alignment horizontal="right" vertical="center"/>
    </xf>
    <xf numFmtId="43" fontId="0" fillId="0" borderId="1" xfId="0" applyNumberFormat="1" applyBorder="1" applyAlignment="1">
      <alignment horizontal="right" vertical="center"/>
    </xf>
    <xf numFmtId="43" fontId="0" fillId="0" borderId="2" xfId="0" applyNumberFormat="1" applyBorder="1" applyAlignment="1">
      <alignment horizontal="right" vertical="center"/>
    </xf>
    <xf numFmtId="43" fontId="0" fillId="2" borderId="0" xfId="1" applyFont="1" applyFill="1" applyAlignment="1">
      <alignment vertical="center"/>
    </xf>
    <xf numFmtId="43" fontId="0" fillId="0" borderId="1" xfId="1" applyFont="1" applyBorder="1" applyAlignment="1">
      <alignment horizontal="right" vertical="center"/>
    </xf>
    <xf numFmtId="43" fontId="0" fillId="0" borderId="3" xfId="1" applyFont="1" applyBorder="1" applyAlignment="1">
      <alignment vertical="center"/>
    </xf>
    <xf numFmtId="43" fontId="0" fillId="0" borderId="10" xfId="1" applyFont="1" applyBorder="1" applyAlignment="1">
      <alignment horizontal="right" vertical="center"/>
    </xf>
    <xf numFmtId="43" fontId="0" fillId="0" borderId="4" xfId="1" applyFont="1" applyBorder="1" applyAlignment="1">
      <alignment horizontal="right" vertical="center"/>
    </xf>
    <xf numFmtId="43" fontId="0" fillId="0" borderId="5" xfId="1" applyFont="1" applyBorder="1" applyAlignment="1">
      <alignment vertical="center"/>
    </xf>
    <xf numFmtId="43" fontId="1" fillId="0" borderId="0" xfId="1" applyFont="1" applyAlignment="1">
      <alignment vertical="center"/>
    </xf>
    <xf numFmtId="43" fontId="1" fillId="0" borderId="0" xfId="1" applyFont="1" applyBorder="1" applyAlignment="1">
      <alignment vertical="center"/>
    </xf>
    <xf numFmtId="10" fontId="0" fillId="0" borderId="0" xfId="2" applyNumberFormat="1" applyFont="1" applyAlignment="1">
      <alignment horizontal="center" vertical="center"/>
    </xf>
    <xf numFmtId="10" fontId="2" fillId="0" borderId="1" xfId="2" applyNumberFormat="1" applyFont="1" applyBorder="1" applyAlignment="1">
      <alignment horizontal="center" vertical="center"/>
    </xf>
    <xf numFmtId="43" fontId="0" fillId="0" borderId="1" xfId="2" applyNumberFormat="1" applyFont="1" applyBorder="1" applyAlignment="1">
      <alignment horizontal="center" vertical="center"/>
    </xf>
    <xf numFmtId="43" fontId="2" fillId="0" borderId="1" xfId="2"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2" fontId="2" fillId="0" borderId="1" xfId="1" applyNumberFormat="1" applyFont="1" applyBorder="1" applyAlignment="1">
      <alignment horizontal="center" vertical="center"/>
    </xf>
    <xf numFmtId="10" fontId="2" fillId="0" borderId="1" xfId="0" applyNumberFormat="1" applyFont="1" applyBorder="1" applyAlignment="1">
      <alignment horizontal="center" vertical="center"/>
    </xf>
    <xf numFmtId="2" fontId="0" fillId="0" borderId="1" xfId="1" applyNumberFormat="1" applyFont="1" applyBorder="1" applyAlignment="1">
      <alignment horizontal="center" vertical="center"/>
    </xf>
    <xf numFmtId="166" fontId="2" fillId="0" borderId="1" xfId="0" applyNumberFormat="1" applyFont="1" applyBorder="1" applyAlignment="1">
      <alignment vertical="center"/>
    </xf>
    <xf numFmtId="166" fontId="0" fillId="0" borderId="1" xfId="0" applyNumberFormat="1" applyBorder="1" applyAlignment="1">
      <alignment vertical="center"/>
    </xf>
    <xf numFmtId="10" fontId="2" fillId="0" borderId="0" xfId="2" applyNumberFormat="1" applyFont="1" applyAlignment="1">
      <alignment horizontal="center" vertical="center"/>
    </xf>
    <xf numFmtId="0" fontId="5" fillId="0" borderId="0" xfId="0" applyFont="1" applyAlignment="1">
      <alignment vertical="center"/>
    </xf>
    <xf numFmtId="170" fontId="0" fillId="0" borderId="0" xfId="1" applyNumberFormat="1" applyFont="1" applyAlignment="1">
      <alignment vertical="center"/>
    </xf>
    <xf numFmtId="171" fontId="0" fillId="0" borderId="0" xfId="1" applyNumberFormat="1" applyFont="1" applyAlignment="1">
      <alignment vertical="center"/>
    </xf>
    <xf numFmtId="172" fontId="0" fillId="0" borderId="0" xfId="1" applyNumberFormat="1" applyFont="1" applyAlignment="1">
      <alignment vertical="center"/>
    </xf>
    <xf numFmtId="0" fontId="0" fillId="0" borderId="1" xfId="0" applyBorder="1" applyAlignment="1">
      <alignment horizontal="left" vertical="center"/>
    </xf>
    <xf numFmtId="0" fontId="0" fillId="0" borderId="0" xfId="0" applyAlignment="1">
      <alignment horizontal="center" vertical="center"/>
    </xf>
    <xf numFmtId="0" fontId="5" fillId="0" borderId="9" xfId="0" applyFont="1" applyBorder="1" applyAlignment="1">
      <alignment horizontal="center" vertical="center"/>
    </xf>
    <xf numFmtId="0" fontId="12" fillId="0" borderId="0" xfId="0" applyFont="1" applyAlignment="1">
      <alignment horizontal="center" vertical="center"/>
    </xf>
    <xf numFmtId="43" fontId="0" fillId="0" borderId="0" xfId="0" applyNumberFormat="1" applyAlignment="1">
      <alignment horizontal="center" vertical="center"/>
    </xf>
    <xf numFmtId="0" fontId="0" fillId="0" borderId="9" xfId="0" applyBorder="1" applyAlignment="1">
      <alignment horizontal="center" vertical="center"/>
    </xf>
  </cellXfs>
  <cellStyles count="3">
    <cellStyle name="Comma" xfId="1" builtinId="3"/>
    <cellStyle name="Normal" xfId="0" builtinId="0"/>
    <cellStyle name="Percent" xfId="2" builtinId="5"/>
  </cellStyles>
  <dxfs count="28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font>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font>
      <alignment horizontal="center" vertical="center" textRotation="0" wrapText="0" indent="0" justifyLastLine="0" shrinkToFit="0" readingOrder="0"/>
    </dxf>
    <dxf>
      <alignment vertical="center" textRotation="0" wrapText="0" indent="0" justifyLastLine="0" shrinkToFit="0" readingOrder="0"/>
      <border diagonalUp="0" diagonalDown="0" outline="0">
        <left style="thin">
          <color indexed="64"/>
        </left>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top style="thin">
          <color indexed="64"/>
        </top>
        <bottom/>
      </border>
    </dxf>
    <dxf>
      <alignment horizontal="righ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5" formatCode="_ * #,##0.00_ ;_ * \-#,##0.00_ ;_ * &quot;-&quot;??_ ;_ @_ "/>
      <alignment horizontal="right" vertical="center" textRotation="0" wrapText="0" indent="0" justifyLastLine="0" shrinkToFit="0" readingOrder="0"/>
      <border diagonalUp="0" diagonalDown="0" outline="0">
        <left/>
        <right style="thin">
          <color indexed="64"/>
        </right>
        <top style="thin">
          <color indexed="64"/>
        </top>
        <bottom/>
      </border>
    </dxf>
    <dxf>
      <alignment horizontal="right"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font>
        <b val="0"/>
      </font>
    </dxf>
    <dxf>
      <border diagonalUp="0" diagonalDown="0">
        <left style="thin">
          <color indexed="64"/>
        </left>
        <right style="thin">
          <color indexed="64"/>
        </right>
        <top style="thin">
          <color indexed="64"/>
        </top>
        <bottom style="thin">
          <color indexed="64"/>
        </bottom>
      </border>
    </dxf>
    <dxf>
      <alignment horizontal="right" vertical="center"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30" formatCode="@"/>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b/>
        <i val="0"/>
        <strike val="0"/>
        <condense val="0"/>
        <extend val="0"/>
        <outline val="0"/>
        <shadow val="0"/>
        <u val="none"/>
        <vertAlign val="baseline"/>
        <sz val="11"/>
        <color theme="1"/>
        <name val="Calibri"/>
        <family val="2"/>
        <scheme val="minor"/>
      </font>
      <numFmt numFmtId="30" formatCode="@"/>
      <alignment vertical="center" textRotation="0" indent="0" justifyLastLine="0" shrinkToFit="0" readingOrder="0"/>
    </dxf>
    <dxf>
      <font>
        <b/>
        <i val="0"/>
        <strike val="0"/>
        <condense val="0"/>
        <extend val="0"/>
        <outline val="0"/>
        <shadow val="0"/>
        <u val="none"/>
        <vertAlign val="baseline"/>
        <sz val="11"/>
        <color theme="1"/>
        <name val="Calibri"/>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0" formatCode="@"/>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Calibri"/>
        <family val="2"/>
        <scheme val="minor"/>
      </font>
      <numFmt numFmtId="30" formatCode="@"/>
      <alignment horizontal="center" vertical="center" textRotation="0" wrapText="0" indent="0" justifyLastLine="0" shrinkToFit="0" readingOrder="0"/>
      <border diagonalUp="0" diagonalDown="0">
        <left/>
        <right/>
        <top/>
        <bottom/>
        <vertical/>
        <horizontal/>
      </border>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alignment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Calibri"/>
        <family val="2"/>
        <scheme val="minor"/>
      </font>
      <numFmt numFmtId="30" formatCode="@"/>
      <alignment horizontal="center" vertical="center" textRotation="0" wrapText="0" indent="0" justifyLastLine="0" shrinkToFit="0" readingOrder="0"/>
      <border diagonalUp="0" diagonalDown="0">
        <left/>
        <right/>
        <top/>
        <bottom/>
        <vertical/>
        <horizontal/>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34" formatCode="_ &quot;₹&quot;\ * #,##0.00_ ;_ &quot;₹&quot;\ * \-#,##0.00_ ;_ &quot;₹&quot;\ * &quot;-&quot;??_ ;_ @_ "/>
      <alignment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34" formatCode="_ &quot;₹&quot;\ * #,##0.00_ ;_ &quot;₹&quot;\ * \-#,##0.00_ ;_ &quot;₹&quot;\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4" formatCode="_ &quot;₹&quot;\ * #,##0.00_ ;_ &quot;₹&quot;\ * \-#,##0.00_ ;_ &quot;₹&quot;\ * &quot;-&quot;??_ ;_ @_ "/>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3">
  <rv s="0">
    <v>0</v>
    <v>5</v>
  </rv>
  <rv s="0">
    <v>1</v>
    <v>5</v>
  </rv>
  <rv s="0">
    <v>2</v>
    <v>5</v>
  </rv>
  <rv s="0">
    <v>3</v>
    <v>5</v>
  </rv>
  <rv s="0">
    <v>4</v>
    <v>5</v>
  </rv>
  <rv s="1">
    <v>https://www.bing.com/financeapi/forcetrigger?t=ah7pa2&amp;q=XBOM%3a500049&amp;form=skydnc</v>
    <v>Learn more on Bing</v>
  </rv>
  <rv s="2">
    <v>en-IN</v>
    <v>ah7pa2</v>
    <v>268435456</v>
    <v>1</v>
    <v>Powered by Refinitiv</v>
    <v>0</v>
    <v>BHARAT ELECTRONICS LIMITED (XBOM:500049)</v>
    <v>2</v>
    <v>3</v>
    <v>Finance</v>
    <v>4</v>
    <v>435.95</v>
    <v>240.15</v>
    <v>1.0960000000000001</v>
    <v>2.4500000000000002</v>
    <v>1.2E-4</v>
    <v>5.914E-3</v>
    <v>0.05</v>
    <v>INR</v>
    <v>Bharat Electronics Limited is an India-based company, which manufactures and supplies electronic equipment and systems for the defense sector as well as for non-defense markets. It manufactures electronic products and systems for the army, navy, and the air force. Its defense products include radar and fire control systems, weapon systems, communication, network centric systems (c4i), electronic warfare systems, avionics, anti-submarine warfare systems &amp; sonars, electro-optics, tank electronics, gun upgrades, strategic components, and others. Its non-defense products include electronic voting machines, software solutions / services, healthcare solutions, civil aviation and solar cells/power plants, railway / metro / airport solutions, space electronics and systems, alternate energy solutions, secure communication solutions. It also offers software, electronic manufacturing services and cybersecurity. Its subsidiaries include BEL Optronic Devices Ltd. and BEL-THALES Systems Ltd.</v>
    <v>8844</v>
    <v>Bombay Stock Exchange</v>
    <v>XBOM</v>
    <v>XBOM</v>
    <v>Outer Ring Road, Nagavara, BANGALORE, KARNATAKA, 560045 IN</v>
    <v>420.3</v>
    <v>Aerospace &amp; Defense</v>
    <v>Stock</v>
    <v>45971.438657407409</v>
    <v>5</v>
    <v>413.85</v>
    <v>3028076000000</v>
    <v>BHARAT ELECTRONICS LIMITED</v>
    <v>BHARAT ELECTRONICS LIMITED</v>
    <v>416</v>
    <v>53.4923</v>
    <v>414.25</v>
    <v>416.7</v>
    <v>416.75</v>
    <v>7309779000</v>
    <v>500049</v>
    <v>BHARAT ELECTRONICS LIMITED (XBOM:500049)</v>
    <v>822641</v>
    <v>18312240</v>
    <v>1954</v>
  </rv>
  <rv s="3">
    <v>6</v>
  </rv>
  <rv s="1">
    <v>https://www.bing.com/financeapi/forcetrigger?t=bwg4fr&amp;q=XBOM%3a543237&amp;form=skydnc</v>
    <v>Learn more on Bing</v>
  </rv>
  <rv s="2">
    <v>en-IN</v>
    <v>bwg4fr</v>
    <v>268435456</v>
    <v>1</v>
    <v>Powered by Refinitiv</v>
    <v>0</v>
    <v>Mazagon Dock Shipbuilders Ltd (XBOM:543237)</v>
    <v>2</v>
    <v>3</v>
    <v>Finance</v>
    <v>4</v>
    <v>3778</v>
    <v>1917.95</v>
    <v>1.9085000000000001</v>
    <v>34.799999999999997</v>
    <v>1.3489999999999999E-3</v>
    <v>1.3030999999999999E-2</v>
    <v>3.65</v>
    <v>INR</v>
    <v>Mazagon Dock Shipbuilders Limited is an India-based shipbuilding yard company, which is principally engaged in the building and repairing of ships, submarines, various types of vessels, and related engineering products for its customers. It is also engaged in the production of defense equipment. The Company's segments include Shipbuilding (New Construction and Ship Repairs) and Submarine. Its Shipbuilding segment includes the building and repair of Naval ships. Its Submarine segment includes the building, repair and refits of diesel and electric submarines for the Indian Navy. It provides cargo ships, passenger ships, supply vessels, multipurpose support vessels, water tankers, tugs, dredgers, fishing trawlers, barges, and border outposts. The Company caters to both national and international customers in the defense sector as well as civil operations. It offers supply chain management, tug support, and yard services and berth facilities for repairs and refits of commercial vessels.</v>
    <v>6039</v>
    <v>Bombay Stock Exchange</v>
    <v>XBOM</v>
    <v>XBOM</v>
    <v>Dockyard Road, MUMBAI, MAHARASHTRA, 400010 IN</v>
    <v>2743.6</v>
    <v>Aerospace &amp; Defense</v>
    <v>Stock</v>
    <v>45971.438634259262</v>
    <v>8</v>
    <v>2658.85</v>
    <v>1077146000000</v>
    <v>Mazagon Dock Shipbuilders Ltd</v>
    <v>Mazagon Dock Shipbuilders Ltd</v>
    <v>2671.35</v>
    <v>39.669400000000003</v>
    <v>2670.55</v>
    <v>2705.35</v>
    <v>2709</v>
    <v>403380000</v>
    <v>543237</v>
    <v>Mazagon Dock Shipbuilders Ltd (XBOM:543237)</v>
    <v>84255</v>
    <v>1109240</v>
    <v>1934</v>
  </rv>
  <rv s="3">
    <v>9</v>
  </rv>
  <rv s="1">
    <v>https://www.bing.com/financeapi/forcetrigger?t=azgik2&amp;q=XBOM%3a541143&amp;form=skydnc</v>
    <v>Learn more on Bing</v>
  </rv>
  <rv s="2">
    <v>en-IN</v>
    <v>azgik2</v>
    <v>268435456</v>
    <v>1</v>
    <v>Powered by Refinitiv</v>
    <v>0</v>
    <v>BHARAT DYNAMICS LIMITED (XBOM:541143)</v>
    <v>2</v>
    <v>3</v>
    <v>Finance</v>
    <v>4</v>
    <v>2096</v>
    <v>897.15</v>
    <v>1.2892999999999999</v>
    <v>67.650000000000006</v>
    <v>-2.9710000000000001E-4</v>
    <v>4.6757999999999994E-2</v>
    <v>-0.45</v>
    <v>INR</v>
    <v>Bharat Dynamics Limited is an India-based company, which is engaged in the manufacturing of guided missile systems and allied equipment for the Indian Armed Forces. The Company is working in collaboration with the Defence Research and Development Organisation (DRDO) and foreign original equipment manufacturers (OEMs) for manufacture and supply of various missiles and allied equipment to the Indian Armed Forces. It has a product portfolio consisting of surface to air missiles (SAMs), air-to-air missiles, anti-tank guided missiles (ATGMs), underwater weapons, launchers, countermeasures and test equipment. Its products include Akash SAM, Astra Weapon System, Milan 2T ATGM, Konkurs - M ATGM, submarine fired decoy and heavy weight torpedo. The Company also offers product life cycle support and refurbishment/life extension of vintage missiles. The Company also commenced the export of selected defense equipment and has entered into strategic alliances with public and private sector companies.</v>
    <v>2269</v>
    <v>Bombay Stock Exchange</v>
    <v>XBOM</v>
    <v>XBOM</v>
    <v>Plot No.38-39 Tsfc Building, Near Icici Towers, Nanakramguda, Gachibowli,, Financial District, HYDERABAD, TELANGANA, 500032 IN</v>
    <v>1520.5</v>
    <v>Aerospace &amp; Defense</v>
    <v>Stock</v>
    <v>45971.438634259262</v>
    <v>11</v>
    <v>1440.95</v>
    <v>530672500000</v>
    <v>BHARAT DYNAMICS LIMITED</v>
    <v>BHARAT DYNAMICS LIMITED</v>
    <v>1440.95</v>
    <v>98.977800000000002</v>
    <v>1446.8</v>
    <v>1514.45</v>
    <v>1514</v>
    <v>366562500</v>
    <v>541143</v>
    <v>BHARAT DYNAMICS LIMITED (XBOM:541143)</v>
    <v>82190</v>
    <v>1085270</v>
    <v>1970</v>
  </rv>
  <rv s="3">
    <v>12</v>
  </rv>
  <rv s="1">
    <v>https://www.bing.com/financeapi/forcetrigger?t=azjgkr&amp;q=XBOM%3a541154&amp;form=skydnc</v>
    <v>Learn more on Bing</v>
  </rv>
  <rv s="2">
    <v>en-IN</v>
    <v>azjgkr</v>
    <v>268435456</v>
    <v>1</v>
    <v>Powered by Refinitiv</v>
    <v>0</v>
    <v>HINDUSTAN AERONAUTICS LIMITED (XBOM:541154)</v>
    <v>2</v>
    <v>3</v>
    <v>Finance</v>
    <v>4</v>
    <v>5166</v>
    <v>3045.95</v>
    <v>1.4937</v>
    <v>162.55000000000001</v>
    <v>-3.1320000000000002E-4</v>
    <v>3.5131000000000003E-2</v>
    <v>-1.5</v>
    <v>INR</v>
    <v>Hindustan Aeronautics Limited is an India-based company engaged in the design, development, manufacture, repair, overhaul, upgrade, and servicing of a wide range of products, including aircraft, helicopters, aero-engines, avionics, accessories, and aerospace structures. The Company’s aircraft products include the HAWK, Light Combat Aircraft (LCA), SU-30 MKI, Intermediate Jet Trainer (IJT), Dornier, and HTT-40. Its helicopter products include the Dhruv, Cheetah, Chetak, Lancer, Cheetal, Rudra, Light Combat Helicopter (LCH), and Light Utility Helicopter (LUH). Its civil aviation products include Do-228 Aircraft (Civil) and DHRUV (ALH) - NG. Its space products include Structures, Propellant Tank, and Cryogenic Engines. Its system products include Flight Data Recorder, Panel Instruments, Ground Radars, Forgings, Castings, and Others. Its maintenance, repair, and operations (MRO) products include Aircraft MRO, Helicopter MRO, Power Plant Services, and Systems, Accessories and Avionics.</v>
    <v>23999</v>
    <v>Bombay Stock Exchange</v>
    <v>XBOM</v>
    <v>XBOM</v>
    <v>15/1, Cubbon Road, BANGALORE, KARNATAKA, 560001 IN</v>
    <v>4792.95</v>
    <v>Aerospace &amp; Defense</v>
    <v>Stock</v>
    <v>45971.438657407409</v>
    <v>14</v>
    <v>4642.7</v>
    <v>3094155000000</v>
    <v>HINDUSTAN AERONAUTICS LIMITED</v>
    <v>HINDUSTAN AERONAUTICS LIMITED</v>
    <v>4674.95</v>
    <v>38.5366</v>
    <v>4626.95</v>
    <v>4789.5</v>
    <v>4788</v>
    <v>668775000</v>
    <v>541154</v>
    <v>HINDUSTAN AERONAUTICS LIMITED (XBOM:541154)</v>
    <v>109282</v>
    <v>818570</v>
    <v>1963</v>
  </rv>
  <rv s="3">
    <v>15</v>
  </rv>
  <rv s="1">
    <v>https://www.bing.com/financeapi/forcetrigger?t=bmzvec&amp;q=XNSE%3aGRSE&amp;form=skydnc</v>
    <v>Learn more on Bing</v>
  </rv>
  <rv s="4">
    <v>en-IN</v>
    <v>bmzvec</v>
    <v>268435456</v>
    <v>1</v>
    <v>Powered by Refinitiv</v>
    <v>5</v>
    <v>GARDEN REACH SHIPBUILDERS &amp; ENGINEERS LIMITED (XNSE:GRSE)</v>
    <v>2</v>
    <v>6</v>
    <v>Finance</v>
    <v>7</v>
    <v>3538.4</v>
    <v>1184.9000000000001</v>
    <v>1.5609</v>
    <v>108.4</v>
    <v>4.2111999999999997E-2</v>
    <v>INR</v>
    <v>Garden Reach Shipbuilders &amp; Engineers Ltd. is an India-based warship building company. The Company is under the administrative control of the Ministry of Defense, primarily catering to the shipbuilding requirements of the Indian Navy and the Indian Coast Guard. The Company's divisions include ship division, engineering division and engine division. It has built over 785 platforms, including 108 warships for Indian Navy, Indian Coast Guard and foreign countries. It has designed and built warships, such as frigates, anti-submarine warfare corvettes, fleet tanker and landing ship tank (large), among others. The Company offers both defense and commercial ship repair services. Its engineering product includes prefabricated steel bridges of various ranges and types, and various deck machinery items. The Company is also engaged in engine production and other engineering activities. It is involved in assembly/testing/overhauling of MTU diesel engines and manufacturing of diesel alternators.</v>
    <v>1690</v>
    <v>National Stock Exchange of India</v>
    <v>XNSE</v>
    <v>XNSE</v>
    <v>GRSE Bhavan, 61, Garden Reach Road, KOLKATA, WEST BENGAL, 700024 IN</v>
    <v>2748</v>
    <v>Aerospace &amp; Defense</v>
    <v>Stock</v>
    <v>45971.464780092596</v>
    <v>17</v>
    <v>2580</v>
    <v>294868300000</v>
    <v>GARDEN REACH SHIPBUILDERS &amp; ENGINEERS LIMITED</v>
    <v>GARDEN REACH SHIPBUILDERS &amp; ENGINEERS LIMITED</v>
    <v>2584.9</v>
    <v>49.850700000000003</v>
    <v>2574.1</v>
    <v>2682.5</v>
    <v>114552000</v>
    <v>GRSE</v>
    <v>GARDEN REACH SHIPBUILDERS &amp; ENGINEERS LIMITED (XNSE:GRSE)</v>
    <v>3632699</v>
    <v>678240</v>
    <v>1934</v>
  </rv>
  <rv s="3">
    <v>18</v>
  </rv>
  <rv s="1">
    <v>https://www.bing.com/financeapi/forcetrigger?t=bmzvbh&amp;q=XBOM%3a542011&amp;form=skydnc</v>
    <v>Learn more on Bing</v>
  </rv>
  <rv s="2">
    <v>en-IN</v>
    <v>bmzvbh</v>
    <v>268435456</v>
    <v>1</v>
    <v>Powered by Refinitiv</v>
    <v>0</v>
    <v>GARDEN REACH SHIPBUILDERS &amp; ENGINEERS LIMITED (XBOM:542011)</v>
    <v>2</v>
    <v>3</v>
    <v>Finance</v>
    <v>4</v>
    <v>3535</v>
    <v>1180.0999999999999</v>
    <v>1.5609</v>
    <v>108.2</v>
    <v>2.405E-3</v>
    <v>4.2039E-2</v>
    <v>6.45</v>
    <v>INR</v>
    <v>Garden Reach Shipbuilders &amp; Engineers Ltd. is an India-based warship building company. The Company is under the administrative control of the Ministry of Defense, primarily catering to the shipbuilding requirements of the Indian Navy and the Indian Coast Guard. The Company's divisions include ship division, engineering division and engine division. It has built over 785 platforms, including 108 warships for Indian Navy, Indian Coast Guard and foreign countries. It has designed and built warships, such as frigates, anti-submarine warfare corvettes, fleet tanker and landing ship tank (large), among others. The Company offers both defense and commercial ship repair services. Its engineering product includes prefabricated steel bridges of various ranges and types, and various deck machinery items. The Company is also engaged in engine production and other engineering activities. It is involved in assembly/testing/overhauling of MTU diesel engines and manufacturing of diesel alternators.</v>
    <v>1690</v>
    <v>Bombay Stock Exchange</v>
    <v>XBOM</v>
    <v>XBOM</v>
    <v>GRSE Bhavan, 61, Garden Reach Road, KOLKATA, WEST BENGAL, 700024 IN</v>
    <v>2748.3</v>
    <v>Aerospace &amp; Defense</v>
    <v>Stock</v>
    <v>45971.438668981478</v>
    <v>20</v>
    <v>2580.0500000000002</v>
    <v>294868300000</v>
    <v>GARDEN REACH SHIPBUILDERS &amp; ENGINEERS LIMITED</v>
    <v>GARDEN REACH SHIPBUILDERS &amp; ENGINEERS LIMITED</v>
    <v>2580.0500000000002</v>
    <v>49.8414</v>
    <v>2573.8000000000002</v>
    <v>2682</v>
    <v>2688.45</v>
    <v>114552000</v>
    <v>542011</v>
    <v>GARDEN REACH SHIPBUILDERS &amp; ENGINEERS LIMITED (XBOM:542011)</v>
    <v>194676</v>
    <v>678240</v>
    <v>1934</v>
  </rv>
  <rv s="3">
    <v>21</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8">
    <spb s="0">
      <v>0</v>
      <v>Name</v>
      <v>LearnMoreOnLink</v>
    </spb>
    <spb s="1">
      <v>0</v>
      <v>0</v>
      <v>0</v>
    </spb>
    <spb s="2">
      <v>1</v>
      <v>1</v>
      <v>1</v>
      <v>1</v>
    </spb>
    <spb s="3">
      <v>1</v>
      <v>2</v>
      <v>2</v>
      <v>1</v>
      <v>3</v>
      <v>1</v>
      <v>1</v>
      <v>1</v>
      <v>4</v>
      <v>4</v>
      <v>5</v>
      <v>6</v>
      <v>1</v>
      <v>1</v>
      <v>1</v>
      <v>4</v>
      <v>7</v>
      <v>8</v>
      <v>9</v>
      <v>4</v>
      <v>1</v>
      <v>1</v>
      <v>5</v>
    </spb>
    <spb s="4">
      <v>at close</v>
      <v>from previous close</v>
      <v>from previous close</v>
      <v>GMT</v>
      <v>Delayed 15 minutes</v>
      <v>from close</v>
      <v>from close</v>
    </spb>
    <spb s="0">
      <v>1</v>
      <v>Name</v>
      <v>LearnMoreOnLink</v>
    </spb>
    <spb s="5">
      <v>1</v>
      <v>2</v>
      <v>2</v>
      <v>1</v>
      <v>3</v>
      <v>1</v>
      <v>1</v>
      <v>1</v>
      <v>4</v>
      <v>4</v>
      <v>5</v>
      <v>6</v>
      <v>1</v>
      <v>1</v>
      <v>1</v>
      <v>4</v>
      <v>7</v>
      <v>8</v>
      <v>9</v>
      <v>4</v>
    </spb>
    <spb s="6">
      <v>Delayed 5 minutes</v>
      <v>from previous close</v>
      <v>from previous close</v>
      <v>GMT</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5F671B-7FCE-4009-8869-F296DFA23850}" name="Table3" displayName="Table3" ref="A2:F59" totalsRowShown="0" headerRowDxfId="279" dataDxfId="277" headerRowBorderDxfId="278" tableBorderDxfId="276" totalsRowBorderDxfId="275">
  <autoFilter ref="A2:F59" xr:uid="{385F671B-7FCE-4009-8869-F296DFA23850}">
    <filterColumn colId="0" hiddenButton="1"/>
    <filterColumn colId="1" hiddenButton="1"/>
    <filterColumn colId="2" hiddenButton="1"/>
    <filterColumn colId="3" hiddenButton="1"/>
    <filterColumn colId="4" hiddenButton="1"/>
    <filterColumn colId="5" hiddenButton="1"/>
  </autoFilter>
  <tableColumns count="6">
    <tableColumn id="1" xr3:uid="{A67F704B-B178-48B0-BE2A-ADE7CE5F6762}" name="Particulars" dataDxfId="274"/>
    <tableColumn id="2" xr3:uid="{388BBC28-89BE-46AD-8B82-B188C39EECAA}" name="2020" dataDxfId="273"/>
    <tableColumn id="3" xr3:uid="{77219364-7796-4BF7-B7C9-FFC807700453}" name="2021" dataDxfId="272"/>
    <tableColumn id="4" xr3:uid="{241C1E01-99B2-4102-968A-C5260F31F77B}" name="2022" dataDxfId="271"/>
    <tableColumn id="5" xr3:uid="{C1F729C1-BF30-4FDF-B792-EC942F16D6C3}" name="2023" dataDxfId="270"/>
    <tableColumn id="6" xr3:uid="{68801330-F995-4421-95B2-7C8543872AC0}" name="2024" dataDxfId="26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CCAB83-DD94-4719-ABCC-51F4B7E2258D}" name="Table4" displayName="Table4" ref="H2:M48" totalsRowShown="0" headerRowDxfId="268" dataDxfId="266" headerRowBorderDxfId="267" tableBorderDxfId="265" totalsRowBorderDxfId="264" dataCellStyle="Comma">
  <autoFilter ref="H2:M48" xr:uid="{16CCAB83-DD94-4719-ABCC-51F4B7E2258D}">
    <filterColumn colId="0" hiddenButton="1"/>
    <filterColumn colId="1" hiddenButton="1"/>
    <filterColumn colId="2" hiddenButton="1"/>
    <filterColumn colId="3" hiddenButton="1"/>
    <filterColumn colId="4" hiddenButton="1"/>
    <filterColumn colId="5" hiddenButton="1"/>
  </autoFilter>
  <tableColumns count="6">
    <tableColumn id="1" xr3:uid="{61062DA6-32DA-4724-B2B3-EBACFF470050}" name="Particulars" dataDxfId="263"/>
    <tableColumn id="2" xr3:uid="{EBC25544-EBE4-4ADC-B0F1-1B91FA4611DE}" name="2020" dataDxfId="262" dataCellStyle="Comma"/>
    <tableColumn id="3" xr3:uid="{4E1DAF29-7963-4206-A8D2-6B4F5A07A3FE}" name="2021" dataDxfId="261" dataCellStyle="Comma"/>
    <tableColumn id="4" xr3:uid="{3E092FAA-C97E-45F1-8548-A205A594DE26}" name="2022" dataDxfId="260" dataCellStyle="Comma"/>
    <tableColumn id="5" xr3:uid="{15F3BFE0-CDC4-4F67-8B66-14FD989772C3}" name="2023" dataDxfId="259" dataCellStyle="Comma"/>
    <tableColumn id="6" xr3:uid="{7A5E3399-8AF7-4F9E-A25E-881CB37CA9D0}" name="2024" dataDxfId="258"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051DF6-8FE4-451D-AFB3-E4435BF705B6}" name="Table9" displayName="Table9" ref="O2:T50" totalsRowShown="0" headerRowDxfId="257" dataDxfId="256" tableBorderDxfId="255">
  <autoFilter ref="O2:T50" xr:uid="{EB051DF6-8FE4-451D-AFB3-E4435BF705B6}">
    <filterColumn colId="0" hiddenButton="1"/>
    <filterColumn colId="1" hiddenButton="1"/>
    <filterColumn colId="2" hiddenButton="1"/>
    <filterColumn colId="3" hiddenButton="1"/>
    <filterColumn colId="4" hiddenButton="1"/>
    <filterColumn colId="5" hiddenButton="1"/>
  </autoFilter>
  <tableColumns count="6">
    <tableColumn id="1" xr3:uid="{C663EDA0-AFE4-49F4-98C7-60111402FD7B}" name="Particulars" dataDxfId="254"/>
    <tableColumn id="2" xr3:uid="{0DFAECA0-1679-45FD-BB5C-47991CCC9FD3}" name="2020" dataDxfId="253"/>
    <tableColumn id="3" xr3:uid="{C34BDEA7-80A0-4CDF-9B68-B01D7CCF9C80}" name="2021" dataDxfId="252"/>
    <tableColumn id="4" xr3:uid="{96AD9E43-3619-4826-988F-56D693E0E49D}" name="2022" dataDxfId="251"/>
    <tableColumn id="5" xr3:uid="{BF4416D7-9311-4DF6-B3DC-40725FFCEAA9}" name="2023" dataDxfId="250"/>
    <tableColumn id="6" xr3:uid="{4DCCA763-8D01-4952-89D4-7D51883419B9}" name="2024" dataDxfId="24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293DB8A-7D63-49BE-B511-DD9E6B6E523D}" name="Table10" displayName="Table10" ref="V2:AB62" totalsRowShown="0" headerRowDxfId="248" dataDxfId="247" tableBorderDxfId="246">
  <autoFilter ref="V2:AB62" xr:uid="{6293DB8A-7D63-49BE-B511-DD9E6B6E523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8F2A4A8-B1CE-4787-8A07-90E80ACA9340}" name="Particulars" dataDxfId="245"/>
    <tableColumn id="2" xr3:uid="{4A285516-0CB7-4390-AF09-21D8F2575E7E}" name="2020" dataDxfId="244" dataCellStyle="Comma"/>
    <tableColumn id="3" xr3:uid="{3E3D0F11-8691-42F3-8524-5C746DEE78A4}" name="2021" dataDxfId="243" dataCellStyle="Comma"/>
    <tableColumn id="4" xr3:uid="{2A140F00-1245-4B0A-8CD9-35CEF5638720}" name="2022" dataDxfId="242" dataCellStyle="Comma"/>
    <tableColumn id="5" xr3:uid="{2BA981F9-4FFC-45E2-994F-7C5B7F811237}" name="2023" dataDxfId="241" dataCellStyle="Comma"/>
    <tableColumn id="6" xr3:uid="{24DC35B0-ACA7-423D-AA79-A3D4F5F5D102}" name="2024" dataDxfId="240" dataCellStyle="Comma"/>
    <tableColumn id="7" xr3:uid="{B0EF8C61-CBCF-430E-A93A-A754E1229D5F}" name="2025" dataDxfId="239"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64F55A-47C2-41FC-B1A7-C9603DFC919F}" name="Table1" displayName="Table1" ref="AD2:AI49" totalsRowShown="0" headerRowDxfId="238" dataDxfId="237" tableBorderDxfId="236">
  <autoFilter ref="AD2:AI49" xr:uid="{BB64F55A-47C2-41FC-B1A7-C9603DFC919F}">
    <filterColumn colId="0" hiddenButton="1"/>
    <filterColumn colId="1" hiddenButton="1"/>
    <filterColumn colId="2" hiddenButton="1"/>
    <filterColumn colId="3" hiddenButton="1"/>
    <filterColumn colId="4" hiddenButton="1"/>
    <filterColumn colId="5" hiddenButton="1"/>
  </autoFilter>
  <tableColumns count="6">
    <tableColumn id="1" xr3:uid="{181F4C7A-FC89-4C2F-B897-7052A211B04D}" name="Particulars" dataDxfId="235"/>
    <tableColumn id="2" xr3:uid="{0B2A26A7-C835-4AC1-9A11-39E92829C40C}" name="2020" dataDxfId="234"/>
    <tableColumn id="3" xr3:uid="{F2BE3405-5A2F-4AC9-B7D0-83118145B9B8}" name="2021" dataDxfId="233"/>
    <tableColumn id="4" xr3:uid="{D0D0D716-4CDE-4D99-A4E5-D5CF85454F2D}" name="2022" dataDxfId="232"/>
    <tableColumn id="5" xr3:uid="{FD322999-23DF-49E5-8E8B-DB2816A37FAC}" name="2023" dataDxfId="231"/>
    <tableColumn id="6" xr3:uid="{34659722-3A05-4913-A0AF-32A07374A696}" name="2024" dataDxfId="23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174CD6-3026-49DF-9B26-492DFE46B314}" name="Table5" displayName="Table5" ref="A2:F35" totalsRowShown="0" headerRowDxfId="229" dataDxfId="227" headerRowBorderDxfId="228" tableBorderDxfId="226">
  <autoFilter ref="A2:F35" xr:uid="{F0174CD6-3026-49DF-9B26-492DFE46B314}">
    <filterColumn colId="0" hiddenButton="1"/>
    <filterColumn colId="1" hiddenButton="1"/>
    <filterColumn colId="2" hiddenButton="1"/>
    <filterColumn colId="3" hiddenButton="1"/>
    <filterColumn colId="4" hiddenButton="1"/>
    <filterColumn colId="5" hiddenButton="1"/>
  </autoFilter>
  <tableColumns count="6">
    <tableColumn id="1" xr3:uid="{A75AC835-B1FB-4013-8F9F-7745020C5139}" name="Particulars" dataDxfId="225"/>
    <tableColumn id="2" xr3:uid="{4B157827-A682-4103-AFBB-B840CF752408}" name="Mar 24" dataDxfId="224"/>
    <tableColumn id="3" xr3:uid="{993EF167-50EB-47E7-9F37-C00491415C91}" name="Mar 23" dataDxfId="223"/>
    <tableColumn id="4" xr3:uid="{3EAE7988-8F1A-4C45-B360-8BBD36602177}" name="Mar 22" dataDxfId="222"/>
    <tableColumn id="5" xr3:uid="{F713F7A5-755C-4FF6-97E5-920FB93BB38E}" name="Mar 21" dataDxfId="221"/>
    <tableColumn id="6" xr3:uid="{BC391337-192C-47E1-862A-E49E4B064E74}" name="Mar 20" dataDxfId="22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4B46F05-D003-4EA9-90DD-C792122E4F91}" name="Table6" displayName="Table6" ref="H2:M34" totalsRowShown="0" headerRowDxfId="219" dataDxfId="217" headerRowBorderDxfId="218" tableBorderDxfId="216" dataCellStyle="Comma">
  <autoFilter ref="H2:M34" xr:uid="{44B46F05-D003-4EA9-90DD-C792122E4F91}">
    <filterColumn colId="0" hiddenButton="1"/>
    <filterColumn colId="1" hiddenButton="1"/>
    <filterColumn colId="2" hiddenButton="1"/>
    <filterColumn colId="3" hiddenButton="1"/>
    <filterColumn colId="4" hiddenButton="1"/>
    <filterColumn colId="5" hiddenButton="1"/>
  </autoFilter>
  <tableColumns count="6">
    <tableColumn id="1" xr3:uid="{F7024305-8FD5-4F14-AAB2-CA7CF4ABFD8E}" name="Particulars" dataDxfId="215"/>
    <tableColumn id="2" xr3:uid="{09AB33E2-EBD9-40FD-B3CF-A72AA025F6F9}" name="Mar 24" dataDxfId="214" dataCellStyle="Comma"/>
    <tableColumn id="3" xr3:uid="{ADB7993D-BF7E-467E-871C-E065ED8B86D7}" name="Mar 23" dataDxfId="213" dataCellStyle="Comma"/>
    <tableColumn id="4" xr3:uid="{0D03C94E-DEF3-4D14-99FC-6A1D49236B2B}" name="Mar 22" dataDxfId="212" dataCellStyle="Comma"/>
    <tableColumn id="5" xr3:uid="{799A2AEF-82C3-4C56-8EF0-9CA730023832}" name="Mar 21" dataDxfId="211" dataCellStyle="Comma"/>
    <tableColumn id="6" xr3:uid="{4C04AD2C-2CB2-44A7-B37B-262F381E1442}" name="Mar 20" dataDxfId="210"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74C92E-A362-4350-A7A8-3C4BBF8F015D}" name="Table2" displayName="Table2" ref="O2:T25" totalsRowShown="0" headerRowDxfId="209" dataDxfId="208" tableBorderDxfId="207">
  <autoFilter ref="O2:T25" xr:uid="{D574C92E-A362-4350-A7A8-3C4BBF8F015D}">
    <filterColumn colId="0" hiddenButton="1"/>
    <filterColumn colId="1" hiddenButton="1"/>
    <filterColumn colId="2" hiddenButton="1"/>
    <filterColumn colId="3" hiddenButton="1"/>
    <filterColumn colId="4" hiddenButton="1"/>
    <filterColumn colId="5" hiddenButton="1"/>
  </autoFilter>
  <tableColumns count="6">
    <tableColumn id="1" xr3:uid="{F516D762-F2BD-4CEB-9359-E5AD60B144AF}" name="Particulars" dataDxfId="206"/>
    <tableColumn id="2" xr3:uid="{9C065036-29EA-435B-9D5E-E555EE8C1424}" name="2020" dataDxfId="205"/>
    <tableColumn id="3" xr3:uid="{9EECBEF4-B5B2-4EBA-803B-6556CF5E5DAA}" name="2021" dataDxfId="204"/>
    <tableColumn id="4" xr3:uid="{21A29499-F626-4851-993A-09AEAE24077F}" name="2022" dataDxfId="203"/>
    <tableColumn id="5" xr3:uid="{C69FEDED-8C41-4D07-AD5E-92904D2C2954}" name="2023" dataDxfId="202"/>
    <tableColumn id="6" xr3:uid="{3D967C56-24F5-4D03-A1E9-EE16836D4F88}" name="2024" dataDxfId="20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1D94FC-F31B-4F9B-B96A-3ADD236BFC94}" name="Table11" displayName="Table11" ref="V2:AA22" totalsRowShown="0" headerRowDxfId="200" tableBorderDxfId="199">
  <autoFilter ref="V2:AA22" xr:uid="{581D94FC-F31B-4F9B-B96A-3ADD236BFC94}">
    <filterColumn colId="0" hiddenButton="1"/>
    <filterColumn colId="1" hiddenButton="1"/>
    <filterColumn colId="2" hiddenButton="1"/>
    <filterColumn colId="3" hiddenButton="1"/>
    <filterColumn colId="4" hiddenButton="1"/>
    <filterColumn colId="5" hiddenButton="1"/>
  </autoFilter>
  <tableColumns count="6">
    <tableColumn id="1" xr3:uid="{846FD86C-3261-4607-97D3-C8D7EF67549C}" name="Particulars"/>
    <tableColumn id="2" xr3:uid="{B3609518-E62E-4463-9FF6-FD8C95C71419}" name="2020"/>
    <tableColumn id="3" xr3:uid="{EE3FB95D-594C-4237-9C5B-2102F6DBB7AC}" name="2021"/>
    <tableColumn id="4" xr3:uid="{0FD461E2-83DB-4B89-987C-58129C8546F7}" name="2022"/>
    <tableColumn id="5" xr3:uid="{90F7432D-525D-4849-B044-FAFC82E24C09}" name="2023"/>
    <tableColumn id="6" xr3:uid="{4E0BB855-9A80-449E-AE5F-AF0D205604D7}" name="20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BAE2726-4050-45DA-8269-92ED4655BE89}" name="Table12" displayName="Table12" ref="AC2:AI35" totalsRowShown="0" headerRowDxfId="198" dataDxfId="197" tableBorderDxfId="196">
  <autoFilter ref="AC2:AI35" xr:uid="{5BAE2726-4050-45DA-8269-92ED4655BE8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B369D8-4507-498F-891C-C3F8B7D77FD0}" name="Particulars" dataDxfId="195"/>
    <tableColumn id="2" xr3:uid="{15D7BB5C-29AC-4452-A194-BF574DD534C7}" name="2020" dataDxfId="194"/>
    <tableColumn id="3" xr3:uid="{E481B43F-95F2-44C7-9128-5936286864B1}" name="2021" dataDxfId="193"/>
    <tableColumn id="4" xr3:uid="{5A54177B-41EF-45ED-A116-419FE151F15D}" name="2022" dataDxfId="192"/>
    <tableColumn id="5" xr3:uid="{713226A2-F722-4CAF-AD76-276FAE591BF8}" name="2023" dataDxfId="191"/>
    <tableColumn id="6" xr3:uid="{E6C3E0D5-394D-4737-B11B-E0C644DFC56C}" name="2024" dataDxfId="190"/>
    <tableColumn id="7" xr3:uid="{74D84E4B-3C17-47E5-B5B2-EDAE69EB9BB5}" name="2025" dataDxfId="18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81B9692-ADBB-4B06-BFE6-9DB81CC10423}" name="Table7" displayName="Table7" ref="A2:F60" totalsRowShown="0" headerRowDxfId="188" dataDxfId="187" tableBorderDxfId="186" dataCellStyle="Comma">
  <autoFilter ref="A2:F60" xr:uid="{D81B9692-ADBB-4B06-BFE6-9DB81CC10423}">
    <filterColumn colId="0" hiddenButton="1"/>
    <filterColumn colId="1" hiddenButton="1"/>
    <filterColumn colId="2" hiddenButton="1"/>
    <filterColumn colId="3" hiddenButton="1"/>
    <filterColumn colId="4" hiddenButton="1"/>
    <filterColumn colId="5" hiddenButton="1"/>
  </autoFilter>
  <tableColumns count="6">
    <tableColumn id="1" xr3:uid="{A7091E83-F2C6-40A1-ACAD-CEA8D4270A67}" name="Particulars" dataDxfId="185"/>
    <tableColumn id="2" xr3:uid="{80BE4819-F250-436C-933F-CB773528A274}" name="2020" dataDxfId="184" dataCellStyle="Comma"/>
    <tableColumn id="3" xr3:uid="{44E8B9F2-041D-4463-8513-893C7441D094}" name="2021" dataDxfId="183" dataCellStyle="Comma"/>
    <tableColumn id="4" xr3:uid="{25BF436C-FFFA-4CAF-BA15-ABB96E2C2FE6}" name="2022" dataDxfId="182" dataCellStyle="Comma"/>
    <tableColumn id="5" xr3:uid="{9A88EE32-7867-4137-9A1F-B6754C7E02A9}" name="2023" dataDxfId="181" dataCellStyle="Comma"/>
    <tableColumn id="6" xr3:uid="{86B86155-E54D-40AB-AC74-B7D0E77EDC4C}" name="2024" dataDxfId="180" dataCellStyle="Comma"/>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0F7743-17BB-473B-85EA-AEFC1DE9F381}" name="Table8" displayName="Table8" ref="H2:M47" totalsRowShown="0" headerRowDxfId="179" dataDxfId="178" tableBorderDxfId="177" dataCellStyle="Comma">
  <autoFilter ref="H2:M47" xr:uid="{990F7743-17BB-473B-85EA-AEFC1DE9F381}">
    <filterColumn colId="0" hiddenButton="1"/>
    <filterColumn colId="1" hiddenButton="1"/>
    <filterColumn colId="2" hiddenButton="1"/>
    <filterColumn colId="3" hiddenButton="1"/>
    <filterColumn colId="4" hiddenButton="1"/>
    <filterColumn colId="5" hiddenButton="1"/>
  </autoFilter>
  <tableColumns count="6">
    <tableColumn id="1" xr3:uid="{DD0F52D9-9EB4-4C9A-AA62-A7D83A592C4A}" name="Particulars" dataDxfId="176"/>
    <tableColumn id="2" xr3:uid="{82AA56F8-6949-4007-86BB-F613D5C1F692}" name="Mar 20" dataDxfId="175" dataCellStyle="Comma"/>
    <tableColumn id="3" xr3:uid="{DEBB0EBE-5324-4FEF-960B-18CC3745F285}" name="Mar 21" dataDxfId="174" dataCellStyle="Comma"/>
    <tableColumn id="4" xr3:uid="{B91FDD28-EB34-4944-9334-EEBA5C0CBF83}" name="Mar 22" dataDxfId="173" dataCellStyle="Comma"/>
    <tableColumn id="5" xr3:uid="{E1817CB1-C278-42E9-A450-EF71A930F232}" name="Mar 23" dataDxfId="172" dataCellStyle="Comma"/>
    <tableColumn id="6" xr3:uid="{9CEAFDAE-7975-47C7-AA67-CF62214B2FB8}" name="Mar 24" dataDxfId="171" dataCellStyle="Comm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C1AD4AC-E0AA-413E-AD34-1FD2B2368456}" name="Table13" displayName="Table13" ref="O2:T49" totalsRowShown="0" headerRowDxfId="170" dataDxfId="169" tableBorderDxfId="168">
  <autoFilter ref="O2:T49" xr:uid="{DC1AD4AC-E0AA-413E-AD34-1FD2B2368456}">
    <filterColumn colId="0" hiddenButton="1"/>
    <filterColumn colId="1" hiddenButton="1"/>
    <filterColumn colId="2" hiddenButton="1"/>
    <filterColumn colId="3" hiddenButton="1"/>
    <filterColumn colId="4" hiddenButton="1"/>
    <filterColumn colId="5" hiddenButton="1"/>
  </autoFilter>
  <tableColumns count="6">
    <tableColumn id="1" xr3:uid="{C76FDCB8-59C7-4203-9F33-A7D36BCE1105}" name="Particulars" dataDxfId="167"/>
    <tableColumn id="2" xr3:uid="{40126B23-3A47-4B43-A497-6DB113153A5B}" name="2020" dataDxfId="166"/>
    <tableColumn id="3" xr3:uid="{35397F52-833F-4862-992B-789B0456473F}" name="2021" dataDxfId="165"/>
    <tableColumn id="4" xr3:uid="{A3687D70-D770-4774-AB21-397A4EDA4CD8}" name="2022" dataDxfId="164"/>
    <tableColumn id="5" xr3:uid="{A0B1391B-2809-4976-A6DE-3B5C637109F7}" name="2023" dataDxfId="163"/>
    <tableColumn id="6" xr3:uid="{67F1DAC3-D0DE-4BE6-B3F3-AADCDAE5F82F}" name="2024" dataDxfId="16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25EEDB2-0533-4B60-BC56-D6A99795710A}" name="Table14" displayName="Table14" ref="V2:AA47" totalsRowShown="0" headerRowDxfId="161" dataDxfId="160" tableBorderDxfId="159">
  <autoFilter ref="V2:AA47" xr:uid="{925EEDB2-0533-4B60-BC56-D6A99795710A}">
    <filterColumn colId="0" hiddenButton="1"/>
    <filterColumn colId="1" hiddenButton="1"/>
    <filterColumn colId="2" hiddenButton="1"/>
    <filterColumn colId="3" hiddenButton="1"/>
    <filterColumn colId="4" hiddenButton="1"/>
    <filterColumn colId="5" hiddenButton="1"/>
  </autoFilter>
  <tableColumns count="6">
    <tableColumn id="1" xr3:uid="{11312F30-EB51-4A13-A15F-28194D61A081}" name="Particulars" dataDxfId="158"/>
    <tableColumn id="2" xr3:uid="{4242EEF6-2AFE-4573-8D9C-E2EBBC8963B2}" name="2020" dataDxfId="157"/>
    <tableColumn id="3" xr3:uid="{8433CE00-1DBF-432F-BF7A-B539A52BDA72}" name="2021" dataDxfId="156"/>
    <tableColumn id="4" xr3:uid="{3ACA9E49-6F7C-46A9-BFA6-942F2698CF6C}" name="2022" dataDxfId="155"/>
    <tableColumn id="5" xr3:uid="{D1035E88-AC7A-4E1F-8E1C-4D6E2017D9CE}" name="2023" dataDxfId="154"/>
    <tableColumn id="6" xr3:uid="{DEE2EEA2-94F6-451E-9CD8-79AC44D12539}" name="2024" dataDxfId="153"/>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3A1E409-2C4E-4550-9D6F-18FB27D7A37C}" name="Table15" displayName="Table15" ref="AC2:AI53" totalsRowShown="0" headerRowDxfId="152" dataDxfId="151" tableBorderDxfId="150">
  <autoFilter ref="AC2:AI53" xr:uid="{33A1E409-2C4E-4550-9D6F-18FB27D7A37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37E137E-6373-4182-9E97-F29EB7A7893F}" name="Particulars" dataDxfId="149"/>
    <tableColumn id="2" xr3:uid="{D8663BEC-807F-46AA-8B1F-FB570C5EB090}" name="2020" dataDxfId="148"/>
    <tableColumn id="3" xr3:uid="{DE07D60A-0E7F-42D6-8D3B-5667599120C3}" name="2021" dataDxfId="147"/>
    <tableColumn id="4" xr3:uid="{E4E4DA66-6A96-43E6-9A5E-C8E70480926D}" name="2022" dataDxfId="146"/>
    <tableColumn id="5" xr3:uid="{3D22EE97-2C62-409A-83C1-9E8D5CE60BA4}" name="2023" dataDxfId="145"/>
    <tableColumn id="6" xr3:uid="{FAA2B223-4F56-45D6-B9A9-09785D7046A3}" name="2024" dataDxfId="144"/>
    <tableColumn id="7" xr3:uid="{3E73BA36-29ED-4C28-826A-8A2C053C457B}" name="2025" dataDxfId="14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08A655-786C-4B8B-9959-4E55BE2BF5D2}" name="Table17" displayName="Table17" ref="C3:G28" headerRowDxfId="142" dataDxfId="140" totalsRowDxfId="138" headerRowBorderDxfId="141" tableBorderDxfId="139" totalsRowBorderDxfId="137" totalsRowCellStyle="Comma">
  <autoFilter ref="C3:G28" xr:uid="{3508A655-786C-4B8B-9959-4E55BE2BF5D2}">
    <filterColumn colId="0" hiddenButton="1"/>
    <filterColumn colId="1" hiddenButton="1"/>
    <filterColumn colId="2" hiddenButton="1"/>
    <filterColumn colId="3" hiddenButton="1"/>
    <filterColumn colId="4" hiddenButton="1"/>
  </autoFilter>
  <tableColumns count="5">
    <tableColumn id="1" xr3:uid="{2985A74D-C34A-49FD-8BD1-6452ADF97BA9}" name="2020" dataDxfId="136" totalsRowDxfId="135" totalsRowCellStyle="Comma"/>
    <tableColumn id="2" xr3:uid="{36347668-5769-4785-ABBA-22E2C59D1D60}" name="2021" dataDxfId="134" totalsRowDxfId="133" totalsRowCellStyle="Comma"/>
    <tableColumn id="3" xr3:uid="{17B0C7F0-F7CB-4308-94E0-455807280D29}" name="2022" dataDxfId="132" totalsRowDxfId="131" totalsRowCellStyle="Comma"/>
    <tableColumn id="4" xr3:uid="{EDD0BAF7-CE5E-48DD-B86D-CBEF5139793E}" name="2023" dataDxfId="130" totalsRowDxfId="129" totalsRowCellStyle="Comma"/>
    <tableColumn id="5" xr3:uid="{20B18E77-2BF1-41AD-A904-9ADC873704DB}" name="2024" dataDxfId="128" totalsRowDxfId="127" totalsRowCellStyle="Comma"/>
  </tableColumns>
  <tableStyleInfo name="TableStyleDark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E62820B-28DF-40C2-811D-96C5EBE2D7C6}" name="Table18" displayName="Table18" ref="I3:M28" totalsRowShown="0" headerRowDxfId="126" dataDxfId="124" headerRowBorderDxfId="125" tableBorderDxfId="123" totalsRowBorderDxfId="122">
  <autoFilter ref="I3:M28" xr:uid="{FE62820B-28DF-40C2-811D-96C5EBE2D7C6}">
    <filterColumn colId="0" hiddenButton="1"/>
    <filterColumn colId="1" hiddenButton="1"/>
    <filterColumn colId="2" hiddenButton="1"/>
    <filterColumn colId="3" hiddenButton="1"/>
    <filterColumn colId="4" hiddenButton="1"/>
  </autoFilter>
  <tableColumns count="5">
    <tableColumn id="1" xr3:uid="{7664F20A-EBA1-44CB-97C4-28F593640E54}" name="2020" dataDxfId="121"/>
    <tableColumn id="2" xr3:uid="{AB203E5D-052A-4F0D-87A1-4550731E658A}" name="2021" dataDxfId="120"/>
    <tableColumn id="3" xr3:uid="{4E270E73-9096-41BE-9469-1DC378506503}" name="2022" dataDxfId="119"/>
    <tableColumn id="4" xr3:uid="{5E4CE576-98EC-4703-AD20-D6FA06541CFE}" name="2023" dataDxfId="118"/>
    <tableColumn id="5" xr3:uid="{1E13B237-6B8B-4DA2-B8AF-EED1DEDF9661}" name="2024" dataDxfId="117"/>
  </tableColumns>
  <tableStyleInfo name="TableStyleDark10"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C07267D-4689-41A9-8898-E96B5A1CC482}" name="Table19" displayName="Table19" ref="O3:S24" totalsRowShown="0" headerRowDxfId="116" dataDxfId="115" tableBorderDxfId="114" dataCellStyle="Comma">
  <autoFilter ref="O3:S24" xr:uid="{BC07267D-4689-41A9-8898-E96B5A1CC482}">
    <filterColumn colId="0" hiddenButton="1"/>
    <filterColumn colId="1" hiddenButton="1"/>
    <filterColumn colId="2" hiddenButton="1"/>
    <filterColumn colId="3" hiddenButton="1"/>
    <filterColumn colId="4" hiddenButton="1"/>
  </autoFilter>
  <tableColumns count="5">
    <tableColumn id="1" xr3:uid="{D834D66F-50B0-486A-821D-385D430E16CF}" name="2020" dataDxfId="113" dataCellStyle="Comma"/>
    <tableColumn id="2" xr3:uid="{3A492C71-155B-477C-8E5F-132BA58A5719}" name="2021" dataDxfId="112" dataCellStyle="Comma"/>
    <tableColumn id="3" xr3:uid="{EE46AD55-C9A7-4C28-A3E4-D21AAEF9C5ED}" name="2022" dataDxfId="111" dataCellStyle="Comma"/>
    <tableColumn id="4" xr3:uid="{789CD21C-7D91-4A70-8BA6-C087B60CE0DB}" name="2023" dataDxfId="110" dataCellStyle="Comma"/>
    <tableColumn id="5" xr3:uid="{6D42EC34-95CD-4EC0-85EE-B637EA8AACD1}" name="2024" dataDxfId="109" dataCellStyle="Comma"/>
  </tableColumns>
  <tableStyleInfo name="TableStyleDark10"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B1C5FF-5A8C-4A5B-A9F0-B21CEE7EFEA5}" name="Table20" displayName="Table20" ref="U3:Y24" totalsRowShown="0" headerRowDxfId="108" dataDxfId="107" tableBorderDxfId="106">
  <autoFilter ref="U3:Y24" xr:uid="{C5B1C5FF-5A8C-4A5B-A9F0-B21CEE7EFEA5}">
    <filterColumn colId="0" hiddenButton="1"/>
    <filterColumn colId="1" hiddenButton="1"/>
    <filterColumn colId="2" hiddenButton="1"/>
    <filterColumn colId="3" hiddenButton="1"/>
    <filterColumn colId="4" hiddenButton="1"/>
  </autoFilter>
  <tableColumns count="5">
    <tableColumn id="1" xr3:uid="{F141394C-E86E-4227-8959-4DA224F254E0}" name="2020" dataDxfId="105"/>
    <tableColumn id="2" xr3:uid="{42B37E2D-1DAF-4342-B6E2-42DB7509509E}" name="2021" dataDxfId="104"/>
    <tableColumn id="3" xr3:uid="{7277FFB0-D55D-4F90-B003-40C47B6775A5}" name="2022" dataDxfId="103"/>
    <tableColumn id="4" xr3:uid="{1D42D47B-71AF-481E-B4D3-1A3F6F1C69B1}" name="2023" dataDxfId="102"/>
    <tableColumn id="5" xr3:uid="{2CF76A22-EDA7-4A5B-9BFC-32FDB04B13B5}" name="2024" dataDxfId="101"/>
  </tableColumns>
  <tableStyleInfo name="TableStyleDark10"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B3EDA76-BE03-4D1E-A47C-2388E2335C1E}" name="Table21" displayName="Table21" ref="AA3:AF24" totalsRowShown="0" headerRowDxfId="100" dataDxfId="99" tableBorderDxfId="98">
  <autoFilter ref="AA3:AF24" xr:uid="{1B3EDA76-BE03-4D1E-A47C-2388E2335C1E}">
    <filterColumn colId="0" hiddenButton="1"/>
    <filterColumn colId="1" hiddenButton="1"/>
    <filterColumn colId="2" hiddenButton="1"/>
    <filterColumn colId="3" hiddenButton="1"/>
    <filterColumn colId="4" hiddenButton="1"/>
    <filterColumn colId="5" hiddenButton="1"/>
  </autoFilter>
  <tableColumns count="6">
    <tableColumn id="1" xr3:uid="{5335E4F4-963F-4134-8DEF-55153681F6E2}" name="2020" dataDxfId="97"/>
    <tableColumn id="2" xr3:uid="{05877C7B-2922-4AE1-A166-E283D1C47A18}" name="2021" dataDxfId="96"/>
    <tableColumn id="3" xr3:uid="{C0D74F65-D2F7-4383-B0BB-23E5FF320EAD}" name="2022" dataDxfId="95"/>
    <tableColumn id="4" xr3:uid="{23E6DE2A-45EF-4C10-B5C5-9DFC3268316B}" name="2023" dataDxfId="94"/>
    <tableColumn id="5" xr3:uid="{B24C29E3-D81A-47F9-AEAE-27445872E447}" name="2024" dataDxfId="93"/>
    <tableColumn id="6" xr3:uid="{F43D2CBB-BFCE-4D1E-BE78-7E3C9B96AA56}" name="2025" dataDxfId="92"/>
  </tableColumns>
  <tableStyleInfo name="TableStyleDark10"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A09A8A5-71A1-4F48-ACEA-94AA01016452}" name="Table22" displayName="Table22" ref="A3:I13" totalsRowShown="0" headerRowDxfId="91" dataDxfId="90" tableBorderDxfId="89">
  <autoFilter ref="A3:I13" xr:uid="{EA09A8A5-71A1-4F48-ACEA-94AA010164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CA849A8-4866-493A-AF1E-B440531EA1D4}" name="Year" dataDxfId="88"/>
    <tableColumn id="2" xr3:uid="{9548CB8D-9247-43A2-B813-5E2CE81798A0}" name="2024" dataDxfId="87"/>
    <tableColumn id="3" xr3:uid="{E87452C7-6BEC-40D1-AEF8-2660E765EE3A}" name="Growth" dataDxfId="86"/>
    <tableColumn id="4" xr3:uid="{BB4E5DCC-EE49-446C-AA8C-F519836E13DA}" name="2025" dataDxfId="85" dataCellStyle="Comma"/>
    <tableColumn id="5" xr3:uid="{645A0842-1032-43C0-B62E-320C4C2EC6D3}" name="2026" dataDxfId="84" dataCellStyle="Comma"/>
    <tableColumn id="6" xr3:uid="{202EF6E6-BDDD-4C30-BC13-E65E14B4FBEA}" name="2027" dataDxfId="83"/>
    <tableColumn id="7" xr3:uid="{584FC818-D25C-4FEF-95E5-0380FE6AF625}" name="2028" dataDxfId="82"/>
    <tableColumn id="8" xr3:uid="{53A2A22D-1FBF-482B-8170-150DCA661598}" name="2029" dataDxfId="81"/>
    <tableColumn id="9" xr3:uid="{7B70DE94-A648-45EB-A8C9-950EB0F70826}" name="2030" dataDxfId="80"/>
  </tableColumns>
  <tableStyleInfo name="TableStyleMedium1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F2CB859-B691-4F2D-8901-6F4EB70146A3}" name="Table23" displayName="Table23" ref="K3:S13" totalsRowShown="0" headerRowDxfId="79" dataDxfId="78" tableBorderDxfId="77">
  <autoFilter ref="K3:S13" xr:uid="{AF2CB859-B691-4F2D-8901-6F4EB70146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7FD767FE-049D-4EAB-8A4F-2CD81CA0D790}" name="Year" dataDxfId="76"/>
    <tableColumn id="2" xr3:uid="{59AAD787-B2C8-4009-8E00-AF2501ACD171}" name="2024" dataDxfId="75"/>
    <tableColumn id="3" xr3:uid="{A0376E2F-57AC-4B4C-9D80-C57C9C3E3C22}" name="Growth" dataDxfId="74" dataCellStyle="Percent"/>
    <tableColumn id="4" xr3:uid="{CDFF712A-1546-4C9A-A328-30FF44AFA5DE}" name="2025" dataDxfId="73"/>
    <tableColumn id="5" xr3:uid="{13C106D3-91CD-4C69-BF60-B06A0539273E}" name="2026" dataDxfId="72"/>
    <tableColumn id="6" xr3:uid="{161A6935-C056-4213-BEF4-2059FF4BBB97}" name="2027" dataDxfId="71"/>
    <tableColumn id="7" xr3:uid="{E71C453B-04E6-40C4-8CA9-799B49209370}" name="2028" dataDxfId="70"/>
    <tableColumn id="8" xr3:uid="{806AA9E0-8421-48C1-98AA-C6EF2AA79C99}" name="2029" dataDxfId="69"/>
    <tableColumn id="9" xr3:uid="{BE31B2DD-CC4E-4A7D-8878-E87CD4A96C47}" name="2030" dataDxfId="68"/>
  </tableColumns>
  <tableStyleInfo name="TableStyleMedium1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255FBD5-6F6B-4D59-91AC-E9A71AB3CAD8}" name="Table24" displayName="Table24" ref="U3:AC13" totalsRowShown="0" headerRowDxfId="67" dataDxfId="66" tableBorderDxfId="65">
  <autoFilter ref="U3:AC13" xr:uid="{0255FBD5-6F6B-4D59-91AC-E9A71AB3CA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BB2D2E4B-D5BE-4EAA-951F-93363FE23845}" name="Year" dataDxfId="64"/>
    <tableColumn id="2" xr3:uid="{7B692445-F1FD-4FDA-8AAE-796EE3A0CA41}" name="2024" dataDxfId="63"/>
    <tableColumn id="3" xr3:uid="{E13356A2-4FA6-4EED-BA55-79D76C6405E9}" name="Growth" dataDxfId="62" dataCellStyle="Percent"/>
    <tableColumn id="4" xr3:uid="{2B25F074-2F44-4E08-A453-D3334A33FEDB}" name="2025" dataDxfId="61" dataCellStyle="Comma"/>
    <tableColumn id="5" xr3:uid="{73825F8D-B22A-4A07-BB7A-608686208F29}" name="2026" dataDxfId="60" dataCellStyle="Comma"/>
    <tableColumn id="6" xr3:uid="{FB03DBBE-46BF-401D-883D-81F10AF6FE82}" name="2027" dataDxfId="59" dataCellStyle="Comma"/>
    <tableColumn id="7" xr3:uid="{573EC682-31F3-4839-9E68-5D4085E35218}" name="2028" dataDxfId="58" dataCellStyle="Comma"/>
    <tableColumn id="8" xr3:uid="{E8522016-48CB-469C-97EC-ABFF2E840EF5}" name="2029" dataDxfId="57" dataCellStyle="Comma"/>
    <tableColumn id="9" xr3:uid="{C209A767-BAF9-4DAC-A6E0-AA269A1761E7}" name="2030" dataDxfId="56" dataCellStyle="Comma"/>
  </tableColumns>
  <tableStyleInfo name="TableStyleMedium1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EB0BE62-BC22-4F75-AD29-CD9635F9DD1F}" name="Table25" displayName="Table25" ref="AE3:AM13" totalsRowShown="0" headerRowDxfId="55" dataDxfId="54" tableBorderDxfId="53">
  <autoFilter ref="AE3:AM13" xr:uid="{DEB0BE62-BC22-4F75-AD29-CD9635F9DD1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828C877-F64E-4403-801E-3AD64014692E}" name="Year" dataDxfId="52"/>
    <tableColumn id="2" xr3:uid="{FD3BB26B-B993-4EA1-9DC1-85687C89009B}" name="2024" dataDxfId="51"/>
    <tableColumn id="3" xr3:uid="{F85AC5C1-A7B8-4F14-94E5-EDFEFE5093FB}" name="Growth" dataDxfId="50" dataCellStyle="Percent"/>
    <tableColumn id="4" xr3:uid="{B0F0CC13-C1B1-464E-B3DF-385CF2A85A02}" name="2025" dataDxfId="49"/>
    <tableColumn id="5" xr3:uid="{6609779C-A79F-4196-9999-B89F7286FFB1}" name="2026" dataDxfId="48"/>
    <tableColumn id="6" xr3:uid="{269A0FE7-BDAD-4945-A399-7B00EFFFA6E3}" name="2027" dataDxfId="47"/>
    <tableColumn id="7" xr3:uid="{569BE4CB-5F93-4F57-862E-A9FE9771C309}" name="2028" dataDxfId="46"/>
    <tableColumn id="8" xr3:uid="{F08C942E-5815-4FB3-9D2E-BDA0B0E118E8}" name="2029" dataDxfId="45"/>
    <tableColumn id="9" xr3:uid="{FB41B887-B846-49C5-997C-DE973DDE23E8}" name="2030" dataDxfId="44"/>
  </tableColumns>
  <tableStyleInfo name="TableStyleMedium1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B94D332-8CBC-4845-9860-2031F14E76D6}" name="Table26" displayName="Table26" ref="AO3:AV13" totalsRowShown="0" headerRowDxfId="43" dataDxfId="42" tableBorderDxfId="41">
  <autoFilter ref="AO3:AV13" xr:uid="{7B94D332-8CBC-4845-9860-2031F14E76D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DEED278-1072-471C-81EB-E439C04B7D10}" name="Year" dataDxfId="40"/>
    <tableColumn id="2" xr3:uid="{A1A582F3-6586-4F67-A2FE-DE16CECC1044}" name="2025" dataDxfId="39" dataCellStyle="Comma"/>
    <tableColumn id="3" xr3:uid="{2F5CED02-21EA-41A1-9B02-BB02D057794E}" name="Growth " dataDxfId="38" dataCellStyle="Percent"/>
    <tableColumn id="4" xr3:uid="{DAE2FAB1-4F14-4AE7-A394-469AF67F697B}" name="2026" dataDxfId="37" dataCellStyle="Comma"/>
    <tableColumn id="5" xr3:uid="{0DC60C38-F080-4C98-8DFD-5D985550227D}" name="2027" dataDxfId="36" dataCellStyle="Comma"/>
    <tableColumn id="6" xr3:uid="{1E3F67E0-09A7-4F0A-B3E0-8BC215D0471C}" name="2028" dataDxfId="35" dataCellStyle="Comma"/>
    <tableColumn id="7" xr3:uid="{6AA39A70-7702-478B-9F07-4A778FA0EF5F}" name="2029" dataDxfId="34" dataCellStyle="Comma"/>
    <tableColumn id="8" xr3:uid="{16F0A3B8-173C-49CD-B548-74429CEEFB34}" name="2030" dataDxfId="33" dataCellStyle="Comma"/>
  </tableColumns>
  <tableStyleInfo name="TableStyleMedium1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A3A07AA-36AD-401E-9FA4-5E5CBEB796C6}" name="Table16" displayName="Table16" ref="A3:L8" totalsRowShown="0" headerRowDxfId="32" dataDxfId="31" tableBorderDxfId="30" dataCellStyle="Comma">
  <autoFilter ref="A3:L8" xr:uid="{AA3A07AA-36AD-401E-9FA4-5E5CBEB796C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9FE848E-04A0-4608-BE30-09A6636B5EEC}" name="Company" dataDxfId="29"/>
    <tableColumn id="2" xr3:uid="{0940BEC6-EC82-4B60-9815-2F3B3F5C8B28}" name="Current Market Price" dataDxfId="28" dataCellStyle="Comma">
      <calculatedColumnFormula array="1">_FV(A4,"Price")</calculatedColumnFormula>
    </tableColumn>
    <tableColumn id="3" xr3:uid="{739742C9-9897-492F-A49A-BB90494B5E76}" name="EPS" dataDxfId="27" dataCellStyle="Comma"/>
    <tableColumn id="4" xr3:uid="{D4DB79DA-8854-4B38-A6EB-B988D2AA274B}" name="P/E" dataDxfId="26" dataCellStyle="Comma">
      <calculatedColumnFormula>B4/C4</calculatedColumnFormula>
    </tableColumn>
    <tableColumn id="5" xr3:uid="{DD3FAE4A-FDA6-4BED-9637-C382599CCBE5}" name="Shares Outstanding" dataDxfId="25" dataCellStyle="Comma">
      <calculatedColumnFormula array="1">_FV(A4,"Shares outstanding",TRUE)/10000000</calculatedColumnFormula>
    </tableColumn>
    <tableColumn id="6" xr3:uid="{DBD7E61D-3F6F-4267-A9D5-36F0B88FCD57}" name="Book Value" dataDxfId="24" dataCellStyle="Comma"/>
    <tableColumn id="7" xr3:uid="{CAE77B5F-C41B-4156-9A6E-847229823F84}" name="P/B" dataDxfId="23" dataCellStyle="Comma">
      <calculatedColumnFormula>B4/F4</calculatedColumnFormula>
    </tableColumn>
    <tableColumn id="8" xr3:uid="{BDBBDD49-F20B-4915-BC3A-368DD093817A}" name="EV" dataDxfId="22" dataCellStyle="Comma"/>
    <tableColumn id="9" xr3:uid="{C82B6DCB-0443-447D-8D63-E85E239755B2}" name="EBITDA" dataDxfId="21" dataCellStyle="Comma"/>
    <tableColumn id="10" xr3:uid="{7FED1CA5-0EF2-454B-B5DB-50189C4CE3C1}" name="EV/EBITDA" dataDxfId="20" dataCellStyle="Comma">
      <calculatedColumnFormula>H4/I4</calculatedColumnFormula>
    </tableColumn>
    <tableColumn id="11" xr3:uid="{4ED8BAA9-70AF-4356-B569-1A5C99C51E08}" name="Revenue" dataDxfId="19" dataCellStyle="Comma"/>
    <tableColumn id="12" xr3:uid="{B23CE6D7-069B-4C86-8DBA-67FA9D689433}" name="EV/Sales" dataDxfId="18" dataCellStyle="Comma">
      <calculatedColumnFormula>H4/K4</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table" Target="../tables/table6.xml"/><Relationship Id="rId5" Type="http://schemas.openxmlformats.org/officeDocument/2006/relationships/table" Target="../tables/table10.xml"/><Relationship Id="rId4" Type="http://schemas.openxmlformats.org/officeDocument/2006/relationships/table" Target="../tables/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 Id="rId5" Type="http://schemas.openxmlformats.org/officeDocument/2006/relationships/table" Target="../tables/table15.xml"/><Relationship Id="rId4" Type="http://schemas.openxmlformats.org/officeDocument/2006/relationships/table" Target="../tables/table1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table" Target="../tables/table16.xml"/><Relationship Id="rId5" Type="http://schemas.openxmlformats.org/officeDocument/2006/relationships/table" Target="../tables/table20.xml"/><Relationship Id="rId4"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table" Target="../tables/table21.xml"/><Relationship Id="rId5" Type="http://schemas.openxmlformats.org/officeDocument/2006/relationships/table" Target="../tables/table25.xml"/><Relationship Id="rId4"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
  <sheetViews>
    <sheetView topLeftCell="C7" workbookViewId="0">
      <selection activeCell="I3" sqref="I3"/>
    </sheetView>
  </sheetViews>
  <sheetFormatPr defaultRowHeight="14.4" x14ac:dyDescent="0.3"/>
  <cols>
    <col min="1" max="2" width="12.6640625" style="3" customWidth="1"/>
    <col min="3" max="4" width="27.109375" style="1" customWidth="1"/>
    <col min="5" max="7" width="27.109375" style="2" customWidth="1"/>
    <col min="8" max="16384" width="8.88671875" style="2"/>
  </cols>
  <sheetData>
    <row r="1" spans="1:7" ht="27" customHeight="1" x14ac:dyDescent="0.3">
      <c r="A1" s="70" t="s">
        <v>0</v>
      </c>
      <c r="B1" s="70"/>
      <c r="C1" s="70"/>
      <c r="D1" s="70"/>
    </row>
    <row r="2" spans="1:7" ht="55.2" customHeight="1" x14ac:dyDescent="0.3">
      <c r="A2" s="228" t="s">
        <v>15</v>
      </c>
      <c r="B2" s="228"/>
      <c r="C2" s="4" t="e" vm="1">
        <v>#VALUE!</v>
      </c>
      <c r="D2" s="5" t="e" vm="2">
        <v>#VALUE!</v>
      </c>
      <c r="E2" s="25" t="e" vm="3">
        <v>#VALUE!</v>
      </c>
      <c r="F2" s="25" t="e" vm="4">
        <v>#VALUE!</v>
      </c>
      <c r="G2" s="25" t="e" vm="5">
        <v>#VALUE!</v>
      </c>
    </row>
    <row r="3" spans="1:7" s="3" customFormat="1" ht="28.8" customHeight="1" x14ac:dyDescent="0.3">
      <c r="A3" s="228" t="s">
        <v>1</v>
      </c>
      <c r="B3" s="228"/>
      <c r="C3" s="19" t="s">
        <v>3</v>
      </c>
      <c r="D3" s="19" t="s">
        <v>2</v>
      </c>
      <c r="E3" s="25" t="s">
        <v>253</v>
      </c>
      <c r="F3" s="25" t="s">
        <v>254</v>
      </c>
      <c r="G3" s="25" t="s">
        <v>255</v>
      </c>
    </row>
    <row r="4" spans="1:7" ht="28.2" customHeight="1" x14ac:dyDescent="0.3">
      <c r="A4" s="228" t="s">
        <v>4</v>
      </c>
      <c r="B4" s="228"/>
      <c r="C4" s="19" t="e" vm="6">
        <v>#VALUE!</v>
      </c>
      <c r="D4" s="19" t="e" vm="7">
        <v>#VALUE!</v>
      </c>
      <c r="E4" s="19" t="e" vm="8">
        <v>#VALUE!</v>
      </c>
      <c r="F4" s="19" t="e" vm="9">
        <v>#VALUE!</v>
      </c>
      <c r="G4" s="19" t="e" vm="10">
        <v>#VALUE!</v>
      </c>
    </row>
    <row r="5" spans="1:7" x14ac:dyDescent="0.3">
      <c r="A5" s="228" t="s">
        <v>5</v>
      </c>
      <c r="B5" s="228"/>
      <c r="C5" s="19" t="str" cm="1">
        <f t="array" aca="1" ref="C5" ca="1">_FV(C4,"Ticker symbol",TRUE)</f>
        <v>500049</v>
      </c>
      <c r="D5" s="19" t="str" cm="1">
        <f t="array" aca="1" ref="D5" ca="1">_FV(D4,"Ticker symbol",TRUE)</f>
        <v>543237</v>
      </c>
      <c r="E5" s="25" t="str" cm="1">
        <f t="array" aca="1" ref="E5" ca="1">_FV(E4,"Ticker symbol",TRUE)</f>
        <v>541143</v>
      </c>
      <c r="F5" s="25" t="str" cm="1">
        <f t="array" aca="1" ref="F5" ca="1">_FV(F4,"Ticker symbol",TRUE)</f>
        <v>541154</v>
      </c>
      <c r="G5" s="25" t="str" cm="1">
        <f t="array" aca="1" ref="G5" ca="1">_FV(G4,"Ticker symbol",TRUE)</f>
        <v>GRSE</v>
      </c>
    </row>
    <row r="6" spans="1:7" x14ac:dyDescent="0.3">
      <c r="A6" s="228" t="s">
        <v>6</v>
      </c>
      <c r="B6" s="228"/>
      <c r="C6" s="19" t="str" cm="1">
        <f t="array" aca="1" ref="C6" ca="1">_FV(C4,"Industry")</f>
        <v>Aerospace &amp; Defense</v>
      </c>
      <c r="D6" s="19" t="str" cm="1">
        <f t="array" aca="1" ref="D6" ca="1">_FV(D4,"Industry")</f>
        <v>Aerospace &amp; Defense</v>
      </c>
      <c r="E6" s="25" t="str" cm="1">
        <f t="array" aca="1" ref="E6" ca="1">_FV(E4,"Industry")</f>
        <v>Aerospace &amp; Defense</v>
      </c>
      <c r="F6" s="25" t="str" cm="1">
        <f t="array" aca="1" ref="F6" ca="1">_FV(F4,"Industry")</f>
        <v>Aerospace &amp; Defense</v>
      </c>
      <c r="G6" s="25" t="str" cm="1">
        <f t="array" aca="1" ref="G6" ca="1">_FV(G4,"Industry")</f>
        <v>Aerospace &amp; Defense</v>
      </c>
    </row>
    <row r="7" spans="1:7" x14ac:dyDescent="0.3">
      <c r="A7" s="228" t="s">
        <v>7</v>
      </c>
      <c r="B7" s="228"/>
      <c r="C7" s="19" t="str" cm="1">
        <f t="array" aca="1" ref="C7" ca="1">_FV(C4,"Exchange")</f>
        <v>Bombay Stock Exchange</v>
      </c>
      <c r="D7" s="19" t="str" cm="1">
        <f t="array" aca="1" ref="D7" ca="1">_FV(D4,"Exchange")</f>
        <v>Bombay Stock Exchange</v>
      </c>
      <c r="E7" s="25" t="str" cm="1">
        <f t="array" aca="1" ref="E7" ca="1">_FV(E4,"Exchange")</f>
        <v>Bombay Stock Exchange</v>
      </c>
      <c r="F7" s="25" t="str" cm="1">
        <f t="array" aca="1" ref="F7" ca="1">_FV(F4,"Exchange")</f>
        <v>Bombay Stock Exchange</v>
      </c>
      <c r="G7" s="25" t="str" cm="1">
        <f t="array" aca="1" ref="G7" ca="1">_FV(G4,"Exchange")</f>
        <v>National Stock Exchange of India</v>
      </c>
    </row>
    <row r="8" spans="1:7" x14ac:dyDescent="0.3">
      <c r="A8" s="228" t="s">
        <v>8</v>
      </c>
      <c r="B8" s="228"/>
      <c r="C8" s="71" cm="1">
        <f t="array" aca="1" ref="C8" ca="1">_FV(C4,"Year incorporated",TRUE)</f>
        <v>1954</v>
      </c>
      <c r="D8" s="71" cm="1">
        <f t="array" aca="1" ref="D8" ca="1">_FV(D4,"Year incorporated",TRUE)</f>
        <v>1934</v>
      </c>
      <c r="E8" s="79" cm="1">
        <f t="array" aca="1" ref="E8" ca="1">_FV(E4,"Year incorporated",TRUE)</f>
        <v>1970</v>
      </c>
      <c r="F8" s="79" cm="1">
        <f t="array" aca="1" ref="F8" ca="1">_FV(F4,"Year incorporated",TRUE)</f>
        <v>1963</v>
      </c>
      <c r="G8" s="79" cm="1">
        <f t="array" aca="1" ref="G8" ca="1">_FV(G4,"Year incorporated",TRUE)</f>
        <v>1934</v>
      </c>
    </row>
    <row r="9" spans="1:7" x14ac:dyDescent="0.3">
      <c r="A9" s="228" t="s">
        <v>9</v>
      </c>
      <c r="B9" s="228"/>
      <c r="C9" s="72" cm="1">
        <f t="array" aca="1" ref="C9" ca="1">_FV(C4,"Market cap",TRUE)</f>
        <v>3028076000000</v>
      </c>
      <c r="D9" s="72" cm="1">
        <f t="array" aca="1" ref="D9" ca="1">_FV(D4,"Market cap",TRUE)</f>
        <v>1077146000000</v>
      </c>
      <c r="E9" s="80" cm="1">
        <f t="array" aca="1" ref="E9" ca="1">_FV(E4,"Market cap",TRUE)</f>
        <v>530672500000</v>
      </c>
      <c r="F9" s="80" cm="1">
        <f t="array" aca="1" ref="F9" ca="1">_FV(F4,"Market cap",TRUE)</f>
        <v>3094155000000</v>
      </c>
      <c r="G9" s="80" cm="1">
        <f t="array" aca="1" ref="G9" ca="1">_FV(G4,"Market cap",TRUE)</f>
        <v>294868300000</v>
      </c>
    </row>
    <row r="10" spans="1:7" x14ac:dyDescent="0.3">
      <c r="A10" s="228"/>
      <c r="B10" s="228"/>
      <c r="C10" s="78">
        <f ca="1">C9/10000000</f>
        <v>302807.59999999998</v>
      </c>
      <c r="D10" s="78">
        <f t="shared" ref="D10:G10" ca="1" si="0">D9/10000000</f>
        <v>107714.6</v>
      </c>
      <c r="E10" s="78">
        <f t="shared" ca="1" si="0"/>
        <v>53067.25</v>
      </c>
      <c r="F10" s="78">
        <f t="shared" ca="1" si="0"/>
        <v>309415.5</v>
      </c>
      <c r="G10" s="78">
        <f t="shared" ca="1" si="0"/>
        <v>29486.83</v>
      </c>
    </row>
    <row r="11" spans="1:7" x14ac:dyDescent="0.3">
      <c r="A11" s="228" t="s">
        <v>10</v>
      </c>
      <c r="B11" s="228"/>
      <c r="C11" s="73" cm="1">
        <f t="array" aca="1" ref="C11" ca="1">_FV(C4,"Price")</f>
        <v>416.7</v>
      </c>
      <c r="D11" s="73" cm="1">
        <f t="array" aca="1" ref="D11" ca="1">_FV(D4,"Price")</f>
        <v>2705.35</v>
      </c>
      <c r="E11" s="73" cm="1">
        <f t="array" aca="1" ref="E11" ca="1">_FV(E4,"Price")</f>
        <v>1514.45</v>
      </c>
      <c r="F11" s="73" cm="1">
        <f t="array" aca="1" ref="F11" ca="1">_FV(F4,"Price")</f>
        <v>4789.5</v>
      </c>
      <c r="G11" s="73" cm="1">
        <f t="array" aca="1" ref="G11" ca="1">_FV(G4,"Price")</f>
        <v>2682.5</v>
      </c>
    </row>
    <row r="12" spans="1:7" x14ac:dyDescent="0.3">
      <c r="A12" s="228" t="s">
        <v>11</v>
      </c>
      <c r="B12" s="228"/>
      <c r="C12" s="75" cm="1">
        <f t="array" aca="1" ref="C12" ca="1">_FV(C4,"Change (%)",TRUE)</f>
        <v>5.914E-3</v>
      </c>
      <c r="D12" s="75" cm="1">
        <f t="array" aca="1" ref="D12" ca="1">_FV(D4,"Change (%)",TRUE)</f>
        <v>1.3030999999999999E-2</v>
      </c>
      <c r="E12" s="75" cm="1">
        <f t="array" aca="1" ref="E12" ca="1">_FV(E4,"Change (%)",TRUE)</f>
        <v>4.6757999999999994E-2</v>
      </c>
      <c r="F12" s="75" cm="1">
        <f t="array" aca="1" ref="F12" ca="1">_FV(F4,"Change (%)",TRUE)</f>
        <v>3.5131000000000003E-2</v>
      </c>
      <c r="G12" s="75" cm="1">
        <f t="array" aca="1" ref="G12" ca="1">_FV(G4,"Change (%)",TRUE)</f>
        <v>4.2111999999999997E-2</v>
      </c>
    </row>
    <row r="13" spans="1:7" x14ac:dyDescent="0.3">
      <c r="A13" s="228" t="s">
        <v>256</v>
      </c>
      <c r="B13" s="228"/>
      <c r="C13" s="74" cm="1">
        <f t="array" aca="1" ref="C13" ca="1">_FV(C4,"Change")</f>
        <v>2.4500000000000002</v>
      </c>
      <c r="D13" s="74" cm="1">
        <f t="array" aca="1" ref="D13" ca="1">_FV(D4,"Change")</f>
        <v>34.799999999999997</v>
      </c>
      <c r="E13" s="74" cm="1">
        <f t="array" aca="1" ref="E13" ca="1">_FV(E4,"Change")</f>
        <v>67.650000000000006</v>
      </c>
      <c r="F13" s="74" cm="1">
        <f t="array" aca="1" ref="F13" ca="1">_FV(F4,"Change")</f>
        <v>162.55000000000001</v>
      </c>
      <c r="G13" s="74" cm="1">
        <f t="array" aca="1" ref="G13" ca="1">_FV(G4,"Change")</f>
        <v>108.4</v>
      </c>
    </row>
    <row r="14" spans="1:7" x14ac:dyDescent="0.3">
      <c r="A14" s="228" t="s">
        <v>244</v>
      </c>
      <c r="B14" s="228"/>
      <c r="C14" s="76" cm="1">
        <f t="array" aca="1" ref="C14" ca="1">_FV(C4,"Shares outstanding",TRUE)</f>
        <v>7309779000</v>
      </c>
      <c r="D14" s="76" cm="1">
        <f t="array" aca="1" ref="D14" ca="1">_FV(D4,"Shares outstanding",TRUE)</f>
        <v>403380000</v>
      </c>
      <c r="E14" s="76" cm="1">
        <f t="array" aca="1" ref="E14" ca="1">_FV(E4,"Shares outstanding",TRUE)</f>
        <v>366562500</v>
      </c>
      <c r="F14" s="76" cm="1">
        <f t="array" aca="1" ref="F14" ca="1">_FV(F4,"Shares outstanding",TRUE)</f>
        <v>668775000</v>
      </c>
      <c r="G14" s="76" cm="1">
        <f t="array" aca="1" ref="G14" ca="1">_FV(G4,"Shares outstanding",TRUE)</f>
        <v>114552000</v>
      </c>
    </row>
    <row r="15" spans="1:7" x14ac:dyDescent="0.3">
      <c r="A15" s="228"/>
      <c r="B15" s="228"/>
      <c r="C15" s="78">
        <f ca="1">C14/10000000</f>
        <v>730.97789999999998</v>
      </c>
      <c r="D15" s="78">
        <f t="shared" ref="D15:G15" ca="1" si="1">D14/10000000</f>
        <v>40.338000000000001</v>
      </c>
      <c r="E15" s="78">
        <f t="shared" ca="1" si="1"/>
        <v>36.65625</v>
      </c>
      <c r="F15" s="78">
        <f t="shared" ca="1" si="1"/>
        <v>66.877499999999998</v>
      </c>
      <c r="G15" s="78">
        <f t="shared" ca="1" si="1"/>
        <v>11.4552</v>
      </c>
    </row>
    <row r="16" spans="1:7" x14ac:dyDescent="0.3">
      <c r="A16" s="228" t="s">
        <v>246</v>
      </c>
      <c r="B16" s="228"/>
      <c r="C16" s="77" cm="1">
        <f t="array" aca="1" ref="C16" ca="1">_FV(C4,"Beta")</f>
        <v>1.0960000000000001</v>
      </c>
      <c r="D16" s="77" cm="1">
        <f t="array" aca="1" ref="D16" ca="1">_FV(D4,"Beta")</f>
        <v>1.9085000000000001</v>
      </c>
      <c r="E16" s="77" cm="1">
        <f t="array" aca="1" ref="E16" ca="1">_FV(E4,"Beta")</f>
        <v>1.2892999999999999</v>
      </c>
      <c r="F16" s="77" cm="1">
        <f t="array" aca="1" ref="F16" ca="1">_FV(F4,"Beta")</f>
        <v>1.4937</v>
      </c>
      <c r="G16" s="77" cm="1">
        <f t="array" aca="1" ref="G16" ca="1">_FV(G4,"Beta")</f>
        <v>1.5609</v>
      </c>
    </row>
  </sheetData>
  <mergeCells count="13">
    <mergeCell ref="A7:B7"/>
    <mergeCell ref="A16:B16"/>
    <mergeCell ref="A13:B13"/>
    <mergeCell ref="A11:B11"/>
    <mergeCell ref="A12:B12"/>
    <mergeCell ref="A8:B8"/>
    <mergeCell ref="A9:B10"/>
    <mergeCell ref="A14:B15"/>
    <mergeCell ref="A3:B3"/>
    <mergeCell ref="A4:B4"/>
    <mergeCell ref="A5:B5"/>
    <mergeCell ref="A6:B6"/>
    <mergeCell ref="A2:B2"/>
  </mergeCells>
  <conditionalFormatting sqref="C12:G13">
    <cfRule type="cellIs" dxfId="17" priority="1" operator="lessThan">
      <formula>0</formula>
    </cfRule>
    <cfRule type="cellIs" dxfId="16"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31333-90FA-4CD1-95AE-7178916238F1}">
  <dimension ref="A1:AI65"/>
  <sheetViews>
    <sheetView topLeftCell="AD31" zoomScaleNormal="90" workbookViewId="0">
      <selection activeCell="V64" sqref="V64:AB64"/>
    </sheetView>
  </sheetViews>
  <sheetFormatPr defaultRowHeight="14.4" x14ac:dyDescent="0.3"/>
  <cols>
    <col min="1" max="1" width="31.21875" style="2" bestFit="1" customWidth="1"/>
    <col min="2" max="6" width="12.5546875" style="2" bestFit="1" customWidth="1"/>
    <col min="7" max="7" width="12.5546875" style="2" customWidth="1"/>
    <col min="8" max="8" width="37" style="2" customWidth="1"/>
    <col min="9" max="9" width="11" style="2" bestFit="1" customWidth="1"/>
    <col min="10" max="13" width="11.109375" style="2" bestFit="1" customWidth="1"/>
    <col min="14" max="14" width="8.88671875" style="2"/>
    <col min="15" max="15" width="63.33203125" style="2" bestFit="1" customWidth="1"/>
    <col min="16" max="19" width="9.88671875" style="2" bestFit="1" customWidth="1"/>
    <col min="20" max="20" width="11" style="2" bestFit="1" customWidth="1"/>
    <col min="21" max="21" width="8.88671875" style="2"/>
    <col min="22" max="22" width="46.6640625" style="2" bestFit="1" customWidth="1"/>
    <col min="23" max="24" width="11" style="2" bestFit="1" customWidth="1"/>
    <col min="25" max="26" width="10.88671875" style="2" bestFit="1" customWidth="1"/>
    <col min="27" max="27" width="11" style="2" bestFit="1" customWidth="1"/>
    <col min="28" max="28" width="12.109375" style="2" bestFit="1" customWidth="1"/>
    <col min="29" max="29" width="8.88671875" style="2"/>
    <col min="30" max="30" width="41.33203125" style="2" bestFit="1" customWidth="1"/>
    <col min="31" max="33" width="9.88671875" style="2" bestFit="1" customWidth="1"/>
    <col min="34" max="35" width="11" style="2" bestFit="1" customWidth="1"/>
    <col min="36" max="16384" width="8.88671875" style="2"/>
  </cols>
  <sheetData>
    <row r="1" spans="1:35" ht="34.200000000000003" customHeight="1" x14ac:dyDescent="0.3">
      <c r="A1" s="100" t="s">
        <v>304</v>
      </c>
      <c r="F1" s="2" t="e" vm="1">
        <v>#VALUE!</v>
      </c>
      <c r="M1" s="2" t="e" vm="2">
        <v>#VALUE!</v>
      </c>
      <c r="T1" s="2" t="e" vm="3">
        <v>#VALUE!</v>
      </c>
      <c r="AB1" s="2" t="e" vm="4">
        <v>#VALUE!</v>
      </c>
      <c r="AI1" s="10" t="e" vm="5">
        <v>#VALUE!</v>
      </c>
    </row>
    <row r="2" spans="1:35" s="10" customFormat="1" x14ac:dyDescent="0.3">
      <c r="A2" s="37" t="s">
        <v>12</v>
      </c>
      <c r="B2" s="38" t="s">
        <v>249</v>
      </c>
      <c r="C2" s="38" t="s">
        <v>250</v>
      </c>
      <c r="D2" s="38" t="s">
        <v>251</v>
      </c>
      <c r="E2" s="38" t="s">
        <v>252</v>
      </c>
      <c r="F2" s="39" t="s">
        <v>247</v>
      </c>
      <c r="G2" s="40"/>
      <c r="H2" s="37" t="s">
        <v>12</v>
      </c>
      <c r="I2" s="38" t="s">
        <v>249</v>
      </c>
      <c r="J2" s="38" t="s">
        <v>250</v>
      </c>
      <c r="K2" s="38" t="s">
        <v>251</v>
      </c>
      <c r="L2" s="38" t="s">
        <v>252</v>
      </c>
      <c r="M2" s="39" t="s">
        <v>247</v>
      </c>
      <c r="O2" s="40" t="s">
        <v>12</v>
      </c>
      <c r="P2" s="40" t="s">
        <v>249</v>
      </c>
      <c r="Q2" s="40" t="s">
        <v>250</v>
      </c>
      <c r="R2" s="40" t="s">
        <v>251</v>
      </c>
      <c r="S2" s="40" t="s">
        <v>252</v>
      </c>
      <c r="T2" s="40" t="s">
        <v>247</v>
      </c>
      <c r="U2" s="40"/>
      <c r="V2" s="10" t="s">
        <v>12</v>
      </c>
      <c r="W2" s="10" t="s">
        <v>249</v>
      </c>
      <c r="X2" s="10" t="s">
        <v>250</v>
      </c>
      <c r="Y2" s="10" t="s">
        <v>251</v>
      </c>
      <c r="Z2" s="10" t="s">
        <v>252</v>
      </c>
      <c r="AA2" s="10" t="s">
        <v>247</v>
      </c>
      <c r="AB2" s="10" t="s">
        <v>248</v>
      </c>
      <c r="AD2" s="10" t="s">
        <v>12</v>
      </c>
      <c r="AE2" s="10" t="s">
        <v>249</v>
      </c>
      <c r="AF2" s="10" t="s">
        <v>250</v>
      </c>
      <c r="AG2" s="10" t="s">
        <v>251</v>
      </c>
      <c r="AH2" s="10" t="s">
        <v>252</v>
      </c>
      <c r="AI2" s="10" t="s">
        <v>247</v>
      </c>
    </row>
    <row r="3" spans="1:35" ht="15.6" x14ac:dyDescent="0.3">
      <c r="A3" s="15" t="s">
        <v>21</v>
      </c>
      <c r="B3" s="15"/>
      <c r="C3" s="15"/>
      <c r="D3" s="15"/>
      <c r="E3" s="15"/>
      <c r="F3" s="15"/>
      <c r="G3" s="7"/>
      <c r="H3" s="49" t="s">
        <v>68</v>
      </c>
      <c r="I3" s="63"/>
      <c r="J3" s="63"/>
      <c r="K3" s="63"/>
      <c r="L3" s="63"/>
      <c r="M3" s="90"/>
      <c r="O3" s="15" t="s">
        <v>257</v>
      </c>
      <c r="P3" s="15"/>
      <c r="Q3" s="15"/>
      <c r="R3" s="15"/>
      <c r="S3" s="15"/>
      <c r="T3" s="15"/>
      <c r="U3" s="26"/>
      <c r="V3" s="14" t="s">
        <v>257</v>
      </c>
      <c r="W3" s="85"/>
      <c r="X3" s="85"/>
      <c r="Y3" s="85"/>
      <c r="Z3" s="85"/>
      <c r="AA3" s="85"/>
      <c r="AB3" s="87"/>
      <c r="AD3" s="35" t="s">
        <v>257</v>
      </c>
      <c r="AE3" s="35"/>
      <c r="AF3" s="35"/>
      <c r="AG3" s="35"/>
      <c r="AH3" s="35"/>
      <c r="AI3" s="35"/>
    </row>
    <row r="4" spans="1:35" ht="15.6" x14ac:dyDescent="0.3">
      <c r="A4" s="35" t="s">
        <v>22</v>
      </c>
      <c r="B4" s="35"/>
      <c r="C4" s="35"/>
      <c r="D4" s="35"/>
      <c r="E4" s="35"/>
      <c r="F4" s="35"/>
      <c r="G4" s="7"/>
      <c r="H4" s="94" t="s">
        <v>69</v>
      </c>
      <c r="I4" s="95"/>
      <c r="J4" s="95"/>
      <c r="K4" s="95"/>
      <c r="L4" s="95"/>
      <c r="M4" s="96"/>
      <c r="O4" s="81" t="s">
        <v>258</v>
      </c>
      <c r="P4" s="81"/>
      <c r="Q4" s="81"/>
      <c r="R4" s="81"/>
      <c r="S4" s="81"/>
      <c r="T4" s="81"/>
      <c r="U4" s="26"/>
      <c r="V4" s="83" t="s">
        <v>258</v>
      </c>
      <c r="W4" s="84"/>
      <c r="X4" s="84"/>
      <c r="Y4" s="84"/>
      <c r="Z4" s="84"/>
      <c r="AA4" s="84"/>
      <c r="AB4" s="84"/>
      <c r="AD4" s="83" t="s">
        <v>295</v>
      </c>
      <c r="AE4" s="83"/>
      <c r="AF4" s="83"/>
      <c r="AG4" s="83"/>
      <c r="AH4" s="83"/>
      <c r="AI4" s="83"/>
    </row>
    <row r="5" spans="1:35" x14ac:dyDescent="0.3">
      <c r="A5" s="23" t="s">
        <v>23</v>
      </c>
      <c r="B5" s="42">
        <v>2496.63</v>
      </c>
      <c r="C5" s="42">
        <v>2485.5</v>
      </c>
      <c r="D5" s="42">
        <v>2509.37</v>
      </c>
      <c r="E5" s="42">
        <v>2694.31</v>
      </c>
      <c r="F5" s="43">
        <v>2788.47</v>
      </c>
      <c r="G5" s="44"/>
      <c r="H5" s="91" t="s">
        <v>70</v>
      </c>
      <c r="I5" s="54">
        <v>201.69</v>
      </c>
      <c r="J5" s="54">
        <v>201.69</v>
      </c>
      <c r="K5" s="54">
        <v>201.69</v>
      </c>
      <c r="L5" s="54">
        <v>201.69</v>
      </c>
      <c r="M5" s="92">
        <v>201.69</v>
      </c>
      <c r="O5" s="23" t="s">
        <v>259</v>
      </c>
      <c r="P5" s="8">
        <v>753.05160000000001</v>
      </c>
      <c r="Q5" s="8">
        <v>742.73109999999997</v>
      </c>
      <c r="R5" s="8">
        <v>704.26440000000002</v>
      </c>
      <c r="S5" s="8">
        <v>646.28380000000004</v>
      </c>
      <c r="T5" s="33">
        <v>672.35500000000002</v>
      </c>
      <c r="V5" s="23" t="s">
        <v>259</v>
      </c>
      <c r="W5" s="8">
        <v>6350.59</v>
      </c>
      <c r="X5" s="8">
        <v>6547.01</v>
      </c>
      <c r="Y5" s="8">
        <v>5927.58</v>
      </c>
      <c r="Z5" s="8">
        <v>5798.62</v>
      </c>
      <c r="AA5" s="8">
        <v>5780.23</v>
      </c>
      <c r="AB5" s="33">
        <v>5970.26</v>
      </c>
      <c r="AD5" s="23" t="s">
        <v>259</v>
      </c>
      <c r="AE5" s="8">
        <v>299.23309999999998</v>
      </c>
      <c r="AF5" s="8">
        <v>334.9742</v>
      </c>
      <c r="AG5" s="8">
        <f>482.9569+11.6104</f>
        <v>494.56730000000005</v>
      </c>
      <c r="AH5" s="8">
        <f>488.2643+10.9865</f>
        <v>499.25079999999997</v>
      </c>
      <c r="AI5" s="33">
        <f>475.1622+9.8172</f>
        <v>484.9794</v>
      </c>
    </row>
    <row r="6" spans="1:35" ht="15.6" x14ac:dyDescent="0.3">
      <c r="A6" s="23" t="s">
        <v>24</v>
      </c>
      <c r="B6" s="42">
        <v>199.44</v>
      </c>
      <c r="C6" s="42">
        <v>397.47</v>
      </c>
      <c r="D6" s="42">
        <v>445.93</v>
      </c>
      <c r="E6" s="42">
        <v>361.23</v>
      </c>
      <c r="F6" s="43">
        <v>456.42</v>
      </c>
      <c r="G6" s="44"/>
      <c r="H6" s="41" t="s">
        <v>71</v>
      </c>
      <c r="I6" s="9">
        <f>I5</f>
        <v>201.69</v>
      </c>
      <c r="J6" s="9">
        <v>201.69</v>
      </c>
      <c r="K6" s="9">
        <f>K5</f>
        <v>201.69</v>
      </c>
      <c r="L6" s="9">
        <v>201.69</v>
      </c>
      <c r="M6" s="45">
        <v>201.69</v>
      </c>
      <c r="O6" s="23" t="s">
        <v>24</v>
      </c>
      <c r="P6" s="8">
        <v>42.058500000000002</v>
      </c>
      <c r="Q6" s="8">
        <v>21.4986</v>
      </c>
      <c r="R6" s="8">
        <v>40.7318</v>
      </c>
      <c r="S6" s="8">
        <v>74.346599999999995</v>
      </c>
      <c r="T6" s="33">
        <v>72.874799999999993</v>
      </c>
      <c r="V6" s="23" t="s">
        <v>24</v>
      </c>
      <c r="W6" s="8">
        <v>860</v>
      </c>
      <c r="X6" s="8">
        <v>791.56</v>
      </c>
      <c r="Y6" s="8">
        <v>949.1</v>
      </c>
      <c r="Z6" s="8">
        <v>636.9</v>
      </c>
      <c r="AA6" s="8">
        <v>936.88</v>
      </c>
      <c r="AB6" s="33">
        <v>1091.08</v>
      </c>
      <c r="AD6" s="23" t="s">
        <v>24</v>
      </c>
      <c r="AE6" s="8">
        <v>51.5152</v>
      </c>
      <c r="AF6" s="8">
        <v>151.2972</v>
      </c>
      <c r="AG6" s="8">
        <v>9.6598000000000006</v>
      </c>
      <c r="AH6" s="8">
        <v>4.8445</v>
      </c>
      <c r="AI6" s="33">
        <v>116.18600000000001</v>
      </c>
    </row>
    <row r="7" spans="1:35" x14ac:dyDescent="0.3">
      <c r="A7" s="23" t="s">
        <v>25</v>
      </c>
      <c r="B7" s="42">
        <v>0.09</v>
      </c>
      <c r="C7" s="42">
        <v>0.08</v>
      </c>
      <c r="D7" s="42">
        <v>7.0000000000000007E-2</v>
      </c>
      <c r="E7" s="42">
        <v>0.06</v>
      </c>
      <c r="F7" s="43">
        <v>0.04</v>
      </c>
      <c r="G7" s="44"/>
      <c r="H7" s="23" t="s">
        <v>72</v>
      </c>
      <c r="I7" s="8">
        <v>2857.69</v>
      </c>
      <c r="J7" s="8">
        <v>3230.02</v>
      </c>
      <c r="K7" s="8">
        <v>3655.99</v>
      </c>
      <c r="L7" s="8">
        <v>3975.87</v>
      </c>
      <c r="M7" s="33">
        <v>6041.78</v>
      </c>
      <c r="O7" s="23" t="s">
        <v>25</v>
      </c>
      <c r="P7" s="8">
        <v>9.7000000000000003E-3</v>
      </c>
      <c r="Q7" s="8">
        <v>9.7000000000000003E-3</v>
      </c>
      <c r="R7" s="8">
        <v>9.7000000000000003E-3</v>
      </c>
      <c r="S7" s="8">
        <v>9.7000000000000003E-3</v>
      </c>
      <c r="T7" s="33">
        <v>9.7000000000000003E-3</v>
      </c>
      <c r="V7" s="23" t="s">
        <v>282</v>
      </c>
      <c r="W7" s="8">
        <v>0.03</v>
      </c>
      <c r="X7" s="8">
        <v>0.03</v>
      </c>
      <c r="Y7" s="8">
        <v>0.03</v>
      </c>
      <c r="Z7" s="8">
        <v>0.03</v>
      </c>
      <c r="AA7" s="8">
        <v>0.02</v>
      </c>
      <c r="AB7" s="33">
        <v>0.02</v>
      </c>
      <c r="AD7" s="23" t="s">
        <v>261</v>
      </c>
      <c r="AE7" s="8">
        <v>4.4555999999999996</v>
      </c>
      <c r="AF7" s="8">
        <v>5.2286000000000001</v>
      </c>
      <c r="AG7" s="8">
        <v>6.0869</v>
      </c>
      <c r="AH7" s="8">
        <v>8.3596000000000004</v>
      </c>
      <c r="AI7" s="33">
        <v>7.5872000000000002</v>
      </c>
    </row>
    <row r="8" spans="1:35" ht="15.6" x14ac:dyDescent="0.3">
      <c r="A8" s="23" t="s">
        <v>66</v>
      </c>
      <c r="B8" s="42">
        <v>0</v>
      </c>
      <c r="C8" s="42">
        <v>189.89</v>
      </c>
      <c r="D8" s="42">
        <v>232.92</v>
      </c>
      <c r="E8" s="42">
        <v>200.73</v>
      </c>
      <c r="F8" s="43">
        <v>151.57</v>
      </c>
      <c r="G8" s="44"/>
      <c r="H8" s="41" t="s">
        <v>73</v>
      </c>
      <c r="I8" s="9">
        <f>I7</f>
        <v>2857.69</v>
      </c>
      <c r="J8" s="9">
        <f>J7</f>
        <v>3230.02</v>
      </c>
      <c r="K8" s="9">
        <f>K7</f>
        <v>3655.99</v>
      </c>
      <c r="L8" s="9">
        <v>3975.87</v>
      </c>
      <c r="M8" s="45">
        <f>M7</f>
        <v>6041.78</v>
      </c>
      <c r="O8" s="23" t="s">
        <v>260</v>
      </c>
      <c r="P8" s="8">
        <v>41.514499999999998</v>
      </c>
      <c r="Q8" s="8">
        <v>39.750399999999999</v>
      </c>
      <c r="R8" s="8">
        <v>56.8232</v>
      </c>
      <c r="S8" s="8">
        <v>54.560299999999998</v>
      </c>
      <c r="T8" s="33">
        <v>52.897399999999998</v>
      </c>
      <c r="V8" s="23" t="s">
        <v>283</v>
      </c>
      <c r="W8" s="8">
        <v>0</v>
      </c>
      <c r="X8" s="8">
        <v>0</v>
      </c>
      <c r="Y8" s="8">
        <v>0</v>
      </c>
      <c r="Z8" s="8">
        <v>0</v>
      </c>
      <c r="AA8" s="8">
        <v>0</v>
      </c>
      <c r="AB8" s="33">
        <v>0</v>
      </c>
      <c r="AD8" s="11" t="s">
        <v>27</v>
      </c>
      <c r="AE8" s="8">
        <v>0</v>
      </c>
      <c r="AF8" s="8">
        <v>0</v>
      </c>
      <c r="AG8" s="8">
        <v>0</v>
      </c>
      <c r="AH8" s="8">
        <v>1.196</v>
      </c>
      <c r="AI8" s="8">
        <v>13.1439</v>
      </c>
    </row>
    <row r="9" spans="1:35" ht="15.6" x14ac:dyDescent="0.3">
      <c r="A9" s="23" t="s">
        <v>26</v>
      </c>
      <c r="B9" s="42">
        <v>22.97</v>
      </c>
      <c r="C9" s="42">
        <v>166.56</v>
      </c>
      <c r="D9" s="42">
        <v>165.82</v>
      </c>
      <c r="E9" s="42">
        <v>268.49</v>
      </c>
      <c r="F9" s="43">
        <v>246.7</v>
      </c>
      <c r="G9" s="44"/>
      <c r="H9" s="41" t="s">
        <v>74</v>
      </c>
      <c r="I9" s="9">
        <f>I6+I8</f>
        <v>3059.38</v>
      </c>
      <c r="J9" s="9">
        <f>J6+J8</f>
        <v>3431.71</v>
      </c>
      <c r="K9" s="9">
        <f>K6+K8</f>
        <v>3857.68</v>
      </c>
      <c r="L9" s="9">
        <f>L6+L8</f>
        <v>4177.5599999999995</v>
      </c>
      <c r="M9" s="45">
        <f>M6+M8</f>
        <v>6243.4699999999993</v>
      </c>
      <c r="O9" s="23" t="s">
        <v>261</v>
      </c>
      <c r="P9" s="8">
        <v>137.792</v>
      </c>
      <c r="Q9" s="8">
        <v>132.49789999999999</v>
      </c>
      <c r="R9" s="8">
        <v>112.749</v>
      </c>
      <c r="S9" s="8">
        <v>107.383</v>
      </c>
      <c r="T9" s="33">
        <v>98.359899999999996</v>
      </c>
      <c r="V9" s="23" t="s">
        <v>26</v>
      </c>
      <c r="W9" s="8">
        <v>1006.87</v>
      </c>
      <c r="X9" s="8">
        <v>944.07</v>
      </c>
      <c r="Y9" s="8">
        <v>838.27</v>
      </c>
      <c r="Z9" s="8">
        <v>1035.75</v>
      </c>
      <c r="AA9" s="8">
        <v>956.64</v>
      </c>
      <c r="AB9" s="33">
        <v>700.52</v>
      </c>
      <c r="AD9" s="23" t="s">
        <v>29</v>
      </c>
      <c r="AE9" s="8">
        <v>4.4000000000000003E-3</v>
      </c>
      <c r="AF9" s="8">
        <v>4.4000000000000003E-3</v>
      </c>
      <c r="AG9" s="8">
        <v>4.4000000000000003E-3</v>
      </c>
      <c r="AH9" s="8">
        <v>4.4000000000000003E-3</v>
      </c>
      <c r="AI9" s="33">
        <v>4.4000000000000003E-3</v>
      </c>
    </row>
    <row r="10" spans="1:35" ht="15.6" x14ac:dyDescent="0.3">
      <c r="A10" s="23" t="s">
        <v>27</v>
      </c>
      <c r="B10" s="42">
        <v>483.43</v>
      </c>
      <c r="C10" s="42">
        <v>485.21</v>
      </c>
      <c r="D10" s="42">
        <v>560.11</v>
      </c>
      <c r="E10" s="42">
        <v>493.71</v>
      </c>
      <c r="F10" s="43">
        <v>437.3</v>
      </c>
      <c r="G10" s="44"/>
      <c r="H10" s="41" t="s">
        <v>48</v>
      </c>
      <c r="I10" s="8"/>
      <c r="J10" s="8"/>
      <c r="K10" s="8"/>
      <c r="L10" s="8"/>
      <c r="M10" s="33"/>
      <c r="O10" s="23" t="s">
        <v>29</v>
      </c>
      <c r="P10" s="8">
        <v>3.9043000000000001</v>
      </c>
      <c r="Q10" s="8">
        <v>4.5225999999999997</v>
      </c>
      <c r="R10" s="8">
        <v>0</v>
      </c>
      <c r="S10" s="8">
        <v>0</v>
      </c>
      <c r="T10" s="33">
        <v>0</v>
      </c>
      <c r="V10" s="23" t="s">
        <v>27</v>
      </c>
      <c r="W10" s="8">
        <v>1182.69</v>
      </c>
      <c r="X10" s="8">
        <v>1286.27</v>
      </c>
      <c r="Y10" s="8">
        <v>1523.84</v>
      </c>
      <c r="Z10" s="8">
        <v>1248.0999999999999</v>
      </c>
      <c r="AA10" s="8">
        <v>1556.55</v>
      </c>
      <c r="AB10" s="33">
        <v>2006.67</v>
      </c>
      <c r="AD10" s="23" t="s">
        <v>32</v>
      </c>
      <c r="AE10" s="8">
        <v>76.604200000000006</v>
      </c>
      <c r="AF10" s="8">
        <v>694.55899999999997</v>
      </c>
      <c r="AG10" s="8">
        <v>1141.2663</v>
      </c>
      <c r="AH10" s="8">
        <v>90.440600000000003</v>
      </c>
      <c r="AI10" s="33">
        <v>90.164500000000004</v>
      </c>
    </row>
    <row r="11" spans="1:35" x14ac:dyDescent="0.3">
      <c r="A11" s="15" t="s">
        <v>28</v>
      </c>
      <c r="B11" s="15"/>
      <c r="C11" s="15"/>
      <c r="D11" s="15"/>
      <c r="E11" s="15"/>
      <c r="F11" s="15"/>
      <c r="G11" s="7"/>
      <c r="H11" s="23" t="s">
        <v>57</v>
      </c>
      <c r="I11" s="8">
        <v>15.62</v>
      </c>
      <c r="J11" s="8">
        <v>15.44</v>
      </c>
      <c r="K11" s="8">
        <v>17.73</v>
      </c>
      <c r="L11" s="8">
        <f>18.02</f>
        <v>18.02</v>
      </c>
      <c r="M11" s="33">
        <v>17.649999999999999</v>
      </c>
      <c r="O11" s="23" t="s">
        <v>31</v>
      </c>
      <c r="P11" s="8">
        <v>3.0034999999999998</v>
      </c>
      <c r="Q11" s="8">
        <v>2.5196000000000001</v>
      </c>
      <c r="R11" s="8">
        <v>2.0369000000000002</v>
      </c>
      <c r="S11" s="8">
        <v>1.7385999999999999</v>
      </c>
      <c r="T11" s="33">
        <v>1.7021999999999999</v>
      </c>
      <c r="V11" s="23" t="s">
        <v>284</v>
      </c>
      <c r="W11" s="8">
        <v>157.54</v>
      </c>
      <c r="X11" s="8">
        <v>160.96</v>
      </c>
      <c r="Y11" s="8">
        <v>167.79</v>
      </c>
      <c r="Z11" s="8">
        <v>168.33</v>
      </c>
      <c r="AA11" s="8">
        <v>201.64</v>
      </c>
      <c r="AB11" s="33">
        <v>244.72</v>
      </c>
      <c r="AD11" s="23" t="s">
        <v>296</v>
      </c>
      <c r="AE11" s="8">
        <v>120.6002</v>
      </c>
      <c r="AF11" s="8">
        <v>117.1477</v>
      </c>
      <c r="AG11" s="8">
        <v>153.9376</v>
      </c>
      <c r="AH11" s="8">
        <v>205.84350000000001</v>
      </c>
      <c r="AI11" s="33">
        <v>198.42750000000001</v>
      </c>
    </row>
    <row r="12" spans="1:35" x14ac:dyDescent="0.3">
      <c r="A12" s="23" t="s">
        <v>29</v>
      </c>
      <c r="B12" s="42">
        <v>1161.67</v>
      </c>
      <c r="C12" s="42">
        <v>1116.05</v>
      </c>
      <c r="D12" s="42">
        <v>1339.1</v>
      </c>
      <c r="E12" s="42">
        <v>449.26</v>
      </c>
      <c r="F12" s="43">
        <v>530.66</v>
      </c>
      <c r="G12" s="44"/>
      <c r="H12" s="23" t="s">
        <v>75</v>
      </c>
      <c r="I12" s="8">
        <v>36</v>
      </c>
      <c r="J12" s="8">
        <v>30.41</v>
      </c>
      <c r="K12" s="8">
        <f>0.97+4.74</f>
        <v>5.71</v>
      </c>
      <c r="L12" s="8">
        <f>0.48+0.31</f>
        <v>0.79</v>
      </c>
      <c r="M12" s="33">
        <f>0.81+0.69</f>
        <v>1.5</v>
      </c>
      <c r="O12" s="23" t="s">
        <v>32</v>
      </c>
      <c r="P12" s="8">
        <v>46.768900000000002</v>
      </c>
      <c r="Q12" s="8">
        <v>44.0411</v>
      </c>
      <c r="R12" s="8">
        <v>40.857599999999998</v>
      </c>
      <c r="S12" s="8">
        <v>106.0314</v>
      </c>
      <c r="T12" s="33">
        <v>108.2881</v>
      </c>
      <c r="V12" s="23" t="s">
        <v>29</v>
      </c>
      <c r="W12" s="8">
        <v>833.26</v>
      </c>
      <c r="X12" s="8">
        <v>894.55</v>
      </c>
      <c r="Y12" s="8">
        <v>1194.9100000000001</v>
      </c>
      <c r="Z12" s="8">
        <v>1289.5899999999999</v>
      </c>
      <c r="AA12" s="8">
        <v>1389.69</v>
      </c>
      <c r="AB12" s="33">
        <v>1509.48</v>
      </c>
      <c r="AD12" s="23" t="s">
        <v>35</v>
      </c>
      <c r="AE12" s="8">
        <v>24.0806</v>
      </c>
      <c r="AF12" s="8">
        <v>2.5430000000000001</v>
      </c>
      <c r="AG12" s="8">
        <v>0.10780000000000001</v>
      </c>
      <c r="AH12" s="8">
        <v>0.16339999999999999</v>
      </c>
      <c r="AI12" s="33">
        <v>0.2016</v>
      </c>
    </row>
    <row r="13" spans="1:35" x14ac:dyDescent="0.3">
      <c r="A13" s="23" t="s">
        <v>30</v>
      </c>
      <c r="B13" s="42">
        <v>0</v>
      </c>
      <c r="C13" s="42">
        <v>0</v>
      </c>
      <c r="D13" s="42">
        <v>0</v>
      </c>
      <c r="E13" s="42">
        <v>0</v>
      </c>
      <c r="F13" s="43">
        <v>0</v>
      </c>
      <c r="G13" s="44"/>
      <c r="H13" s="23" t="s">
        <v>76</v>
      </c>
      <c r="I13" s="8">
        <v>154.84</v>
      </c>
      <c r="J13" s="8">
        <v>148.02000000000001</v>
      </c>
      <c r="K13" s="8">
        <v>140.37</v>
      </c>
      <c r="L13" s="8">
        <v>133.5</v>
      </c>
      <c r="M13" s="33">
        <v>126.63</v>
      </c>
      <c r="O13" s="23" t="s">
        <v>33</v>
      </c>
      <c r="P13" s="8">
        <v>54.249699999999997</v>
      </c>
      <c r="Q13" s="8">
        <v>47.732500000000002</v>
      </c>
      <c r="R13" s="8">
        <v>57.107100000000003</v>
      </c>
      <c r="S13" s="8">
        <v>56.420200000000001</v>
      </c>
      <c r="T13" s="33">
        <v>70.728099999999998</v>
      </c>
      <c r="V13" s="23" t="s">
        <v>30</v>
      </c>
      <c r="W13" s="8">
        <v>0</v>
      </c>
      <c r="X13" s="8">
        <v>0</v>
      </c>
      <c r="Y13" s="8">
        <v>0</v>
      </c>
      <c r="Z13" s="8">
        <v>0</v>
      </c>
      <c r="AA13" s="8">
        <v>0</v>
      </c>
      <c r="AB13" s="33">
        <v>0</v>
      </c>
      <c r="AD13" s="16" t="s">
        <v>262</v>
      </c>
      <c r="AE13" s="13">
        <f>SUM(AE5:AE12)</f>
        <v>576.49329999999998</v>
      </c>
      <c r="AF13" s="13">
        <f>SUM(AF5:AF12)</f>
        <v>1305.7540999999999</v>
      </c>
      <c r="AG13" s="13">
        <f>SUM(AG5:AG12)</f>
        <v>1805.6301000000001</v>
      </c>
      <c r="AH13" s="13">
        <f>SUM(AH5:AH12)</f>
        <v>810.1028</v>
      </c>
      <c r="AI13" s="13">
        <f>SUM(AI5:AI12)</f>
        <v>910.69450000000006</v>
      </c>
    </row>
    <row r="14" spans="1:35" x14ac:dyDescent="0.3">
      <c r="A14" s="23" t="s">
        <v>31</v>
      </c>
      <c r="B14" s="42">
        <v>33.090000000000003</v>
      </c>
      <c r="C14" s="42">
        <v>7.36</v>
      </c>
      <c r="D14" s="42">
        <v>7.28</v>
      </c>
      <c r="E14" s="42">
        <v>6.56</v>
      </c>
      <c r="F14" s="43">
        <v>7.03</v>
      </c>
      <c r="G14" s="44"/>
      <c r="H14" s="23" t="s">
        <v>77</v>
      </c>
      <c r="I14" s="8">
        <v>1215.07</v>
      </c>
      <c r="J14" s="8">
        <v>730.16</v>
      </c>
      <c r="K14" s="8">
        <v>564.73</v>
      </c>
      <c r="L14" s="8">
        <v>410.85</v>
      </c>
      <c r="M14" s="33">
        <v>425.21</v>
      </c>
      <c r="O14" s="23" t="s">
        <v>35</v>
      </c>
      <c r="P14" s="8">
        <v>28.845700000000001</v>
      </c>
      <c r="Q14" s="8">
        <v>27.455500000000001</v>
      </c>
      <c r="R14" s="8">
        <v>26.065300000000001</v>
      </c>
      <c r="S14" s="8">
        <v>25.215199999999999</v>
      </c>
      <c r="T14" s="33">
        <v>23.824999999999999</v>
      </c>
      <c r="V14" s="23" t="s">
        <v>97</v>
      </c>
      <c r="W14" s="8">
        <v>0</v>
      </c>
      <c r="X14" s="8">
        <v>0</v>
      </c>
      <c r="Y14" s="8">
        <v>0</v>
      </c>
      <c r="Z14" s="8">
        <v>0</v>
      </c>
      <c r="AA14" s="8">
        <v>0</v>
      </c>
      <c r="AB14" s="33">
        <v>0</v>
      </c>
      <c r="AD14" s="83" t="s">
        <v>263</v>
      </c>
      <c r="AE14" s="84"/>
      <c r="AF14" s="84"/>
      <c r="AG14" s="84"/>
      <c r="AH14" s="84"/>
      <c r="AI14" s="84"/>
    </row>
    <row r="15" spans="1:35" ht="15.6" x14ac:dyDescent="0.3">
      <c r="A15" s="23" t="s">
        <v>32</v>
      </c>
      <c r="B15" s="42">
        <v>28.45</v>
      </c>
      <c r="C15" s="42">
        <v>28.71</v>
      </c>
      <c r="D15" s="42">
        <v>24.17</v>
      </c>
      <c r="E15" s="42">
        <v>20.45</v>
      </c>
      <c r="F15" s="43">
        <v>18.829999999999998</v>
      </c>
      <c r="G15" s="44"/>
      <c r="H15" s="41" t="s">
        <v>78</v>
      </c>
      <c r="I15" s="9">
        <f>SUM(I11:I14)</f>
        <v>1421.53</v>
      </c>
      <c r="J15" s="9">
        <f>SUM(J11:J14)</f>
        <v>924.03</v>
      </c>
      <c r="K15" s="9">
        <f>SUM(K11:K14)</f>
        <v>728.54</v>
      </c>
      <c r="L15" s="9">
        <f>L11+L12+L13+L14</f>
        <v>563.16000000000008</v>
      </c>
      <c r="M15" s="45">
        <f>SUM(M11:M14)</f>
        <v>570.99</v>
      </c>
      <c r="O15" s="16" t="s">
        <v>262</v>
      </c>
      <c r="P15" s="13">
        <f>SUM(P5:P14)</f>
        <v>1111.1984000000002</v>
      </c>
      <c r="Q15" s="13">
        <f t="shared" ref="Q15:T15" si="0">SUM(Q5:Q14)</f>
        <v>1062.759</v>
      </c>
      <c r="R15" s="13">
        <f t="shared" si="0"/>
        <v>1040.645</v>
      </c>
      <c r="S15" s="13">
        <f t="shared" si="0"/>
        <v>1071.9888000000001</v>
      </c>
      <c r="T15" s="13">
        <f t="shared" si="0"/>
        <v>1101.0401999999999</v>
      </c>
      <c r="U15" s="26"/>
      <c r="V15" s="23" t="s">
        <v>31</v>
      </c>
      <c r="W15" s="8">
        <v>47.96</v>
      </c>
      <c r="X15" s="8">
        <v>46.13</v>
      </c>
      <c r="Y15" s="8">
        <v>6.93</v>
      </c>
      <c r="Z15" s="8">
        <v>6.21</v>
      </c>
      <c r="AA15" s="8">
        <v>5.61</v>
      </c>
      <c r="AB15" s="33">
        <v>5.57</v>
      </c>
      <c r="AD15" s="23" t="s">
        <v>34</v>
      </c>
      <c r="AE15" s="8">
        <v>441.0222</v>
      </c>
      <c r="AF15" s="8">
        <v>787.87450000000001</v>
      </c>
      <c r="AG15" s="8">
        <v>1172.268</v>
      </c>
      <c r="AH15" s="8">
        <v>2918.5048999999999</v>
      </c>
      <c r="AI15" s="33">
        <v>3984.4414000000002</v>
      </c>
    </row>
    <row r="16" spans="1:35" ht="15.6" x14ac:dyDescent="0.3">
      <c r="A16" s="23" t="s">
        <v>33</v>
      </c>
      <c r="B16" s="42">
        <v>497.4</v>
      </c>
      <c r="C16" s="42">
        <v>463.46</v>
      </c>
      <c r="D16" s="42">
        <v>620.94000000000005</v>
      </c>
      <c r="E16" s="42">
        <v>503.72</v>
      </c>
      <c r="F16" s="43">
        <v>574.67999999999995</v>
      </c>
      <c r="G16" s="44"/>
      <c r="H16" s="41" t="s">
        <v>56</v>
      </c>
      <c r="I16" s="8"/>
      <c r="J16" s="8"/>
      <c r="K16" s="8"/>
      <c r="L16" s="8"/>
      <c r="M16" s="33"/>
      <c r="O16" s="83" t="s">
        <v>263</v>
      </c>
      <c r="P16" s="84"/>
      <c r="Q16" s="84"/>
      <c r="R16" s="84"/>
      <c r="S16" s="84"/>
      <c r="T16" s="84"/>
      <c r="U16" s="26"/>
      <c r="V16" s="23" t="s">
        <v>32</v>
      </c>
      <c r="W16" s="8">
        <v>345.13</v>
      </c>
      <c r="X16" s="8">
        <v>344.76</v>
      </c>
      <c r="Y16" s="8">
        <v>410.3</v>
      </c>
      <c r="Z16" s="8">
        <v>412.98</v>
      </c>
      <c r="AA16" s="8">
        <v>395.47</v>
      </c>
      <c r="AB16" s="33">
        <v>389.11</v>
      </c>
      <c r="AD16" s="23" t="s">
        <v>297</v>
      </c>
      <c r="AE16" s="8">
        <v>54.004300000000001</v>
      </c>
      <c r="AF16" s="8">
        <v>825.81960000000004</v>
      </c>
      <c r="AG16" s="8">
        <v>196.6782</v>
      </c>
      <c r="AH16" s="8">
        <v>233.66399999999999</v>
      </c>
      <c r="AI16" s="33">
        <v>0</v>
      </c>
    </row>
    <row r="17" spans="1:35" x14ac:dyDescent="0.3">
      <c r="A17" s="23" t="s">
        <v>34</v>
      </c>
      <c r="B17" s="42">
        <v>52.55</v>
      </c>
      <c r="C17" s="42">
        <v>39.380000000000003</v>
      </c>
      <c r="D17" s="42">
        <v>27.34</v>
      </c>
      <c r="E17" s="42">
        <v>5.87</v>
      </c>
      <c r="F17" s="43">
        <v>0</v>
      </c>
      <c r="G17" s="44"/>
      <c r="H17" s="23" t="s">
        <v>57</v>
      </c>
      <c r="I17" s="8">
        <f>20.07+4708.17</f>
        <v>4728.24</v>
      </c>
      <c r="J17" s="8">
        <f>39.36+6232.46</f>
        <v>6271.82</v>
      </c>
      <c r="K17" s="8">
        <v>6165.65</v>
      </c>
      <c r="L17" s="8">
        <v>4462.79</v>
      </c>
      <c r="M17" s="33">
        <v>4466.42</v>
      </c>
      <c r="O17" s="23" t="s">
        <v>34</v>
      </c>
      <c r="P17" s="8">
        <v>856.51769999999999</v>
      </c>
      <c r="Q17" s="8">
        <v>1397.01</v>
      </c>
      <c r="R17" s="8">
        <v>1654.4512999999999</v>
      </c>
      <c r="S17" s="8">
        <v>1822.4375</v>
      </c>
      <c r="T17" s="33">
        <v>1982.4730999999999</v>
      </c>
      <c r="V17" s="23" t="s">
        <v>33</v>
      </c>
      <c r="W17" s="8">
        <v>470.11</v>
      </c>
      <c r="X17" s="8">
        <v>52.35</v>
      </c>
      <c r="Y17" s="8">
        <v>565.57000000000005</v>
      </c>
      <c r="Z17" s="8">
        <v>1125.71</v>
      </c>
      <c r="AA17" s="8">
        <v>1454.33</v>
      </c>
      <c r="AB17" s="33">
        <v>1567.99</v>
      </c>
      <c r="AD17" s="23" t="s">
        <v>298</v>
      </c>
      <c r="AE17" s="8">
        <v>535.28</v>
      </c>
      <c r="AF17" s="8">
        <v>178.13740000000001</v>
      </c>
      <c r="AG17" s="8">
        <v>154.94329999999999</v>
      </c>
      <c r="AH17" s="8">
        <v>50.844999999999999</v>
      </c>
      <c r="AI17" s="33">
        <v>194.20699999999999</v>
      </c>
    </row>
    <row r="18" spans="1:35" x14ac:dyDescent="0.3">
      <c r="A18" s="23" t="s">
        <v>35</v>
      </c>
      <c r="B18" s="42">
        <v>340.78</v>
      </c>
      <c r="C18" s="42">
        <v>396.69</v>
      </c>
      <c r="D18" s="42">
        <v>683.82</v>
      </c>
      <c r="E18" s="42">
        <v>439.04</v>
      </c>
      <c r="F18" s="43">
        <v>252</v>
      </c>
      <c r="G18" s="44"/>
      <c r="H18" s="23" t="s">
        <v>79</v>
      </c>
      <c r="I18" s="8">
        <v>43.63</v>
      </c>
      <c r="J18" s="8">
        <v>16.489999999999998</v>
      </c>
      <c r="K18" s="8">
        <v>19.23</v>
      </c>
      <c r="L18" s="8">
        <v>17.28</v>
      </c>
      <c r="M18" s="33">
        <v>56.26</v>
      </c>
      <c r="O18" s="23" t="s">
        <v>30</v>
      </c>
      <c r="P18" s="8">
        <v>338.36799999999999</v>
      </c>
      <c r="Q18" s="8">
        <v>322.6927</v>
      </c>
      <c r="R18" s="8">
        <v>304.16129999999998</v>
      </c>
      <c r="S18" s="8">
        <v>184.5727</v>
      </c>
      <c r="T18" s="33">
        <v>310.44720000000001</v>
      </c>
      <c r="V18" s="23" t="s">
        <v>35</v>
      </c>
      <c r="W18" s="8">
        <v>629.4</v>
      </c>
      <c r="X18" s="8">
        <v>706.86</v>
      </c>
      <c r="Y18" s="8">
        <v>1814.64</v>
      </c>
      <c r="Z18" s="8">
        <v>3596.54</v>
      </c>
      <c r="AA18" s="8">
        <v>2400.63</v>
      </c>
      <c r="AB18" s="33">
        <v>2686.83</v>
      </c>
      <c r="AD18" s="23" t="s">
        <v>264</v>
      </c>
      <c r="AE18" s="8">
        <v>729.22749999999996</v>
      </c>
      <c r="AF18" s="8">
        <v>9.3204999999999991</v>
      </c>
      <c r="AG18" s="8">
        <v>9.7126000000000001</v>
      </c>
      <c r="AH18" s="8">
        <v>13.9855</v>
      </c>
      <c r="AI18" s="33">
        <v>5.27</v>
      </c>
    </row>
    <row r="19" spans="1:35" x14ac:dyDescent="0.3">
      <c r="A19" s="16" t="s">
        <v>65</v>
      </c>
      <c r="B19" s="46">
        <f>SUM(B5:B18)</f>
        <v>5316.4999999999991</v>
      </c>
      <c r="C19" s="46">
        <f t="shared" ref="C19:F19" si="1">SUM(C5:C18)</f>
        <v>5776.36</v>
      </c>
      <c r="D19" s="46">
        <f t="shared" si="1"/>
        <v>6616.869999999999</v>
      </c>
      <c r="E19" s="46">
        <f t="shared" si="1"/>
        <v>5443.43</v>
      </c>
      <c r="F19" s="47">
        <f t="shared" si="1"/>
        <v>5463.7</v>
      </c>
      <c r="G19" s="48"/>
      <c r="H19" s="23" t="s">
        <v>75</v>
      </c>
      <c r="I19" s="8">
        <v>124.08</v>
      </c>
      <c r="J19" s="8">
        <v>158.11000000000001</v>
      </c>
      <c r="K19" s="8">
        <f>169.73+6.9</f>
        <v>176.63</v>
      </c>
      <c r="L19" s="8">
        <f>146.58+5.73</f>
        <v>152.31</v>
      </c>
      <c r="M19" s="33">
        <f>196.74+0.12</f>
        <v>196.86</v>
      </c>
      <c r="O19" s="23" t="s">
        <v>264</v>
      </c>
      <c r="P19" s="8">
        <v>297.49470000000002</v>
      </c>
      <c r="Q19" s="8">
        <v>456.91669999999999</v>
      </c>
      <c r="R19" s="8">
        <v>265.0437</v>
      </c>
      <c r="S19" s="8">
        <v>1052.8837000000001</v>
      </c>
      <c r="T19" s="33">
        <v>593.84199999999998</v>
      </c>
      <c r="V19" s="16" t="s">
        <v>262</v>
      </c>
      <c r="W19" s="13">
        <f>SUM(W5:W18)</f>
        <v>11883.58</v>
      </c>
      <c r="X19" s="13">
        <f t="shared" ref="X19:AB19" si="2">SUM(X5:X18)</f>
        <v>11774.55</v>
      </c>
      <c r="Y19" s="13">
        <f t="shared" si="2"/>
        <v>13398.96</v>
      </c>
      <c r="Z19" s="13">
        <f t="shared" si="2"/>
        <v>15318.759999999998</v>
      </c>
      <c r="AA19" s="13">
        <f t="shared" si="2"/>
        <v>15077.689999999999</v>
      </c>
      <c r="AB19" s="13">
        <f t="shared" si="2"/>
        <v>16172.25</v>
      </c>
      <c r="AD19" s="23" t="s">
        <v>299</v>
      </c>
      <c r="AE19" s="8">
        <v>1882.0938000000001</v>
      </c>
      <c r="AF19" s="8">
        <v>2271.8514</v>
      </c>
      <c r="AG19" s="8">
        <v>2548.0263</v>
      </c>
      <c r="AH19" s="8">
        <v>4313.8207000000002</v>
      </c>
      <c r="AI19" s="33">
        <v>3715.0684000000001</v>
      </c>
    </row>
    <row r="20" spans="1:35" x14ac:dyDescent="0.3">
      <c r="A20" s="15" t="s">
        <v>36</v>
      </c>
      <c r="B20" s="15"/>
      <c r="C20" s="15"/>
      <c r="D20" s="15"/>
      <c r="E20" s="15"/>
      <c r="F20" s="15"/>
      <c r="G20" s="7"/>
      <c r="H20" s="23" t="s">
        <v>80</v>
      </c>
      <c r="I20" s="8">
        <v>11437.25</v>
      </c>
      <c r="J20" s="8">
        <f>14176.08+90</f>
        <v>14266.08</v>
      </c>
      <c r="K20" s="8">
        <f>18707.76</f>
        <v>18707.759999999998</v>
      </c>
      <c r="L20" s="8">
        <f>19333.34</f>
        <v>19333.34</v>
      </c>
      <c r="M20" s="33">
        <v>17723.39</v>
      </c>
      <c r="O20" s="23" t="s">
        <v>265</v>
      </c>
      <c r="P20" s="8">
        <v>366</v>
      </c>
      <c r="Q20" s="8">
        <v>1104.038</v>
      </c>
      <c r="R20" s="8">
        <v>1634.49</v>
      </c>
      <c r="S20" s="8">
        <v>2805.98</v>
      </c>
      <c r="T20" s="33">
        <v>3634.64</v>
      </c>
      <c r="V20" s="83" t="s">
        <v>263</v>
      </c>
      <c r="W20" s="84"/>
      <c r="X20" s="84"/>
      <c r="Y20" s="84"/>
      <c r="Z20" s="84"/>
      <c r="AA20" s="84"/>
      <c r="AB20" s="84"/>
      <c r="AD20" s="23" t="s">
        <v>32</v>
      </c>
      <c r="AE20" s="8">
        <v>207.32749999999999</v>
      </c>
      <c r="AF20" s="8">
        <v>143.80029999999999</v>
      </c>
      <c r="AG20" s="8">
        <v>127.51300000000001</v>
      </c>
      <c r="AH20" s="8">
        <v>234.22919999999999</v>
      </c>
      <c r="AI20" s="33">
        <v>222.34790000000001</v>
      </c>
    </row>
    <row r="21" spans="1:35" x14ac:dyDescent="0.3">
      <c r="A21" s="23" t="s">
        <v>34</v>
      </c>
      <c r="B21" s="42">
        <v>3910.2</v>
      </c>
      <c r="C21" s="42">
        <v>4967.9799999999996</v>
      </c>
      <c r="D21" s="42">
        <v>5591.9</v>
      </c>
      <c r="E21" s="42">
        <v>6448.04</v>
      </c>
      <c r="F21" s="43">
        <v>7446.89</v>
      </c>
      <c r="G21" s="44"/>
      <c r="H21" s="23" t="s">
        <v>81</v>
      </c>
      <c r="I21" s="8">
        <v>126.75</v>
      </c>
      <c r="J21" s="8">
        <v>70.27</v>
      </c>
      <c r="K21" s="8">
        <v>114.67</v>
      </c>
      <c r="L21" s="8">
        <v>174.13</v>
      </c>
      <c r="M21" s="33">
        <v>191.42</v>
      </c>
      <c r="O21" s="23" t="s">
        <v>31</v>
      </c>
      <c r="P21" s="8">
        <v>2.3696000000000002</v>
      </c>
      <c r="Q21" s="8">
        <v>1.9686999999999999</v>
      </c>
      <c r="R21" s="8">
        <v>1.8373999999999999</v>
      </c>
      <c r="S21" s="8">
        <v>2.0215999999999998</v>
      </c>
      <c r="T21" s="33">
        <v>1.9984999999999999</v>
      </c>
      <c r="V21" s="23" t="s">
        <v>34</v>
      </c>
      <c r="W21" s="8">
        <v>19435.900000000001</v>
      </c>
      <c r="X21" s="8">
        <v>16544.77</v>
      </c>
      <c r="Y21" s="8">
        <v>14347.28</v>
      </c>
      <c r="Z21" s="8">
        <v>12148.69</v>
      </c>
      <c r="AA21" s="8">
        <v>13217.54</v>
      </c>
      <c r="AB21" s="33">
        <v>21675.7</v>
      </c>
      <c r="AD21" s="23" t="s">
        <v>41</v>
      </c>
      <c r="AE21" s="8">
        <v>958.18439999999998</v>
      </c>
      <c r="AF21" s="8">
        <v>1260.2192</v>
      </c>
      <c r="AG21" s="8">
        <v>1620.3632</v>
      </c>
      <c r="AH21" s="8">
        <v>2200.7017000000001</v>
      </c>
      <c r="AI21" s="33">
        <v>1324.2873999999999</v>
      </c>
    </row>
    <row r="22" spans="1:35" ht="15.6" x14ac:dyDescent="0.3">
      <c r="A22" s="15" t="s">
        <v>28</v>
      </c>
      <c r="B22" s="15"/>
      <c r="C22" s="15"/>
      <c r="D22" s="15"/>
      <c r="E22" s="15"/>
      <c r="F22" s="15"/>
      <c r="G22" s="7"/>
      <c r="H22" s="41" t="s">
        <v>82</v>
      </c>
      <c r="I22" s="9">
        <f>SUM(I17:I21)</f>
        <v>16459.95</v>
      </c>
      <c r="J22" s="9">
        <f>SUM(J17:J21)</f>
        <v>20782.77</v>
      </c>
      <c r="K22" s="9">
        <f>SUM(K17:K21)</f>
        <v>25183.939999999995</v>
      </c>
      <c r="L22" s="9">
        <f>SUM(L17:L21)</f>
        <v>24139.850000000002</v>
      </c>
      <c r="M22" s="45">
        <v>22634.35</v>
      </c>
      <c r="O22" s="23" t="s">
        <v>32</v>
      </c>
      <c r="P22" s="8">
        <v>2425.5043000000001</v>
      </c>
      <c r="Q22" s="8">
        <v>1215.9431</v>
      </c>
      <c r="R22" s="8">
        <v>1291.6231</v>
      </c>
      <c r="S22" s="8">
        <v>1324.1177</v>
      </c>
      <c r="T22" s="33">
        <v>1061.6302000000001</v>
      </c>
      <c r="V22" s="23" t="s">
        <v>29</v>
      </c>
      <c r="W22" s="8">
        <v>0</v>
      </c>
      <c r="X22" s="8">
        <v>0</v>
      </c>
      <c r="Y22" s="8">
        <v>0</v>
      </c>
      <c r="Z22" s="8">
        <v>0</v>
      </c>
      <c r="AA22" s="8">
        <v>0</v>
      </c>
      <c r="AB22" s="33">
        <v>0</v>
      </c>
      <c r="AD22" s="23" t="s">
        <v>300</v>
      </c>
      <c r="AE22" s="8">
        <v>0.52800000000000002</v>
      </c>
      <c r="AF22" s="8">
        <v>0.43390000000000001</v>
      </c>
      <c r="AG22" s="8">
        <v>0.4587</v>
      </c>
      <c r="AH22" s="8">
        <v>7.9000000000000001E-2</v>
      </c>
      <c r="AI22" s="33">
        <v>0.15989999999999999</v>
      </c>
    </row>
    <row r="23" spans="1:35" ht="15.6" x14ac:dyDescent="0.3">
      <c r="A23" s="23" t="s">
        <v>30</v>
      </c>
      <c r="B23" s="42">
        <v>6732.91</v>
      </c>
      <c r="C23" s="42">
        <v>6561.99</v>
      </c>
      <c r="D23" s="42">
        <v>6108.09</v>
      </c>
      <c r="E23" s="42">
        <v>7033.48</v>
      </c>
      <c r="F23" s="43">
        <v>7392.38</v>
      </c>
      <c r="G23" s="44"/>
      <c r="H23" s="41" t="s">
        <v>83</v>
      </c>
      <c r="I23" s="9">
        <f>I9+I15+I22</f>
        <v>20940.86</v>
      </c>
      <c r="J23" s="9">
        <f>J9+J15+J22</f>
        <v>25138.510000000002</v>
      </c>
      <c r="K23" s="9">
        <f>K9+K15+K22</f>
        <v>29770.159999999996</v>
      </c>
      <c r="L23" s="9">
        <f>L9+L15+L22</f>
        <v>28880.57</v>
      </c>
      <c r="M23" s="45">
        <f>M9+M15+M22</f>
        <v>29448.809999999998</v>
      </c>
      <c r="O23" s="23" t="s">
        <v>266</v>
      </c>
      <c r="P23" s="8">
        <v>36.453899999999997</v>
      </c>
      <c r="Q23" s="8">
        <v>42.232599999999998</v>
      </c>
      <c r="R23" s="8">
        <v>29.1205</v>
      </c>
      <c r="S23" s="8">
        <v>119.48869999999999</v>
      </c>
      <c r="T23" s="33">
        <v>46.707999999999998</v>
      </c>
      <c r="V23" s="23" t="s">
        <v>30</v>
      </c>
      <c r="W23" s="8">
        <v>11234.73</v>
      </c>
      <c r="X23" s="8">
        <v>5637.86</v>
      </c>
      <c r="Y23" s="8">
        <v>4641.53</v>
      </c>
      <c r="Z23" s="8">
        <v>4719.07</v>
      </c>
      <c r="AA23" s="8">
        <v>4616.8500000000004</v>
      </c>
      <c r="AB23" s="33">
        <v>4647.79</v>
      </c>
      <c r="AD23" s="16" t="s">
        <v>268</v>
      </c>
      <c r="AE23" s="13">
        <f>SUM(AE15:AE22)</f>
        <v>4807.6677</v>
      </c>
      <c r="AF23" s="13">
        <f t="shared" ref="AF23:AI23" si="3">SUM(AF15:AF22)</f>
        <v>5477.4567999999999</v>
      </c>
      <c r="AG23" s="13">
        <f t="shared" si="3"/>
        <v>5829.9633000000003</v>
      </c>
      <c r="AH23" s="13">
        <f t="shared" si="3"/>
        <v>9965.8299999999981</v>
      </c>
      <c r="AI23" s="13">
        <f t="shared" si="3"/>
        <v>9445.7820000000011</v>
      </c>
    </row>
    <row r="24" spans="1:35" ht="15.6" x14ac:dyDescent="0.3">
      <c r="A24" s="23" t="s">
        <v>37</v>
      </c>
      <c r="B24" s="42">
        <v>1556.22</v>
      </c>
      <c r="C24" s="42">
        <v>3042.9</v>
      </c>
      <c r="D24" s="42">
        <v>1300.8599999999999</v>
      </c>
      <c r="E24" s="42">
        <v>3945.69</v>
      </c>
      <c r="F24" s="43">
        <v>1206.32</v>
      </c>
      <c r="G24" s="44"/>
      <c r="H24" s="41" t="s">
        <v>21</v>
      </c>
      <c r="I24" s="8"/>
      <c r="J24" s="8"/>
      <c r="K24" s="8"/>
      <c r="L24" s="8"/>
      <c r="M24" s="33"/>
      <c r="O24" s="23" t="s">
        <v>267</v>
      </c>
      <c r="P24" s="8">
        <v>251.3545</v>
      </c>
      <c r="Q24" s="8">
        <v>358.19529999999997</v>
      </c>
      <c r="R24" s="8">
        <v>342.50790000000001</v>
      </c>
      <c r="S24" s="8">
        <v>288.64069999999998</v>
      </c>
      <c r="T24" s="33">
        <v>1607.2715000000001</v>
      </c>
      <c r="V24" s="23" t="s">
        <v>97</v>
      </c>
      <c r="W24" s="8">
        <v>7841.73</v>
      </c>
      <c r="X24" s="8">
        <v>8346.16</v>
      </c>
      <c r="Y24" s="8">
        <v>7808.65</v>
      </c>
      <c r="Z24" s="8">
        <v>9376.4</v>
      </c>
      <c r="AA24" s="8">
        <v>11893.96</v>
      </c>
      <c r="AB24" s="33">
        <v>15889.16</v>
      </c>
      <c r="AD24" s="16" t="s">
        <v>16</v>
      </c>
      <c r="AE24" s="13">
        <f>AE13+AE23</f>
        <v>5384.1610000000001</v>
      </c>
      <c r="AF24" s="13">
        <f t="shared" ref="AF24:AI24" si="4">AF13+AF23</f>
        <v>6783.2109</v>
      </c>
      <c r="AG24" s="13">
        <f t="shared" si="4"/>
        <v>7635.5934000000007</v>
      </c>
      <c r="AH24" s="13">
        <f t="shared" si="4"/>
        <v>10775.932799999999</v>
      </c>
      <c r="AI24" s="13">
        <f t="shared" si="4"/>
        <v>10356.476500000001</v>
      </c>
    </row>
    <row r="25" spans="1:35" ht="15.6" x14ac:dyDescent="0.3">
      <c r="A25" s="23" t="s">
        <v>38</v>
      </c>
      <c r="B25" s="42">
        <v>1.48</v>
      </c>
      <c r="C25" s="42">
        <v>2030.86</v>
      </c>
      <c r="D25" s="42">
        <v>6262.88</v>
      </c>
      <c r="E25" s="42">
        <v>4165.8900000000003</v>
      </c>
      <c r="F25" s="43">
        <v>9850.27</v>
      </c>
      <c r="G25" s="44"/>
      <c r="H25" s="41" t="s">
        <v>22</v>
      </c>
      <c r="I25" s="8"/>
      <c r="J25" s="8"/>
      <c r="K25" s="8"/>
      <c r="L25" s="8"/>
      <c r="M25" s="33"/>
      <c r="O25" s="16" t="s">
        <v>268</v>
      </c>
      <c r="P25" s="13">
        <f>SUM(P17:P24)</f>
        <v>4574.0627000000013</v>
      </c>
      <c r="Q25" s="13">
        <f t="shared" ref="Q25:T25" si="5">SUM(Q17:Q24)</f>
        <v>4898.9971000000005</v>
      </c>
      <c r="R25" s="13">
        <f t="shared" si="5"/>
        <v>5523.2352000000001</v>
      </c>
      <c r="S25" s="13">
        <f t="shared" si="5"/>
        <v>7600.1426000000001</v>
      </c>
      <c r="T25" s="13">
        <f t="shared" si="5"/>
        <v>9239.0104999999985</v>
      </c>
      <c r="V25" s="23" t="s">
        <v>264</v>
      </c>
      <c r="W25" s="8">
        <v>279.32</v>
      </c>
      <c r="X25" s="8">
        <v>7146.15</v>
      </c>
      <c r="Y25" s="8">
        <v>3070.37</v>
      </c>
      <c r="Z25" s="8">
        <v>4440.7700000000004</v>
      </c>
      <c r="AA25" s="8">
        <v>4254.6899999999996</v>
      </c>
      <c r="AB25" s="33">
        <v>4548.55</v>
      </c>
      <c r="AD25" s="83" t="s">
        <v>270</v>
      </c>
      <c r="AE25" s="84"/>
      <c r="AF25" s="84"/>
      <c r="AG25" s="84"/>
      <c r="AH25" s="84"/>
      <c r="AI25" s="84"/>
    </row>
    <row r="26" spans="1:35" x14ac:dyDescent="0.3">
      <c r="A26" s="23" t="s">
        <v>31</v>
      </c>
      <c r="B26" s="42">
        <v>32.619999999999997</v>
      </c>
      <c r="C26" s="42">
        <v>1.52</v>
      </c>
      <c r="D26" s="42">
        <v>1.48</v>
      </c>
      <c r="E26" s="42">
        <v>1.72</v>
      </c>
      <c r="F26" s="43">
        <v>1.41</v>
      </c>
      <c r="G26" s="44"/>
      <c r="H26" s="23" t="s">
        <v>84</v>
      </c>
      <c r="I26" s="8">
        <v>819.22</v>
      </c>
      <c r="J26" s="8">
        <v>794.93</v>
      </c>
      <c r="K26" s="8">
        <v>956.56</v>
      </c>
      <c r="L26" s="8">
        <f>777.63+229.34</f>
        <v>1006.97</v>
      </c>
      <c r="M26" s="33">
        <v>819.65</v>
      </c>
      <c r="O26" s="16" t="s">
        <v>269</v>
      </c>
      <c r="P26" s="13">
        <f>P15+P25</f>
        <v>5685.2611000000015</v>
      </c>
      <c r="Q26" s="13">
        <f t="shared" ref="Q26:T26" si="6">Q15+Q25</f>
        <v>5961.7561000000005</v>
      </c>
      <c r="R26" s="13">
        <f t="shared" si="6"/>
        <v>6563.8801999999996</v>
      </c>
      <c r="S26" s="13">
        <f t="shared" si="6"/>
        <v>8672.1314000000002</v>
      </c>
      <c r="T26" s="13">
        <f t="shared" si="6"/>
        <v>10340.050699999998</v>
      </c>
      <c r="V26" s="23" t="s">
        <v>285</v>
      </c>
      <c r="W26" s="8">
        <v>37.24</v>
      </c>
      <c r="X26" s="8">
        <v>31.2</v>
      </c>
      <c r="Y26" s="8">
        <v>11277.35</v>
      </c>
      <c r="Z26" s="8">
        <v>15875.84</v>
      </c>
      <c r="AA26" s="8">
        <v>22176.92</v>
      </c>
      <c r="AB26" s="33">
        <v>33633.699999999997</v>
      </c>
      <c r="AD26" s="83" t="s">
        <v>271</v>
      </c>
      <c r="AE26" s="84"/>
      <c r="AF26" s="84"/>
      <c r="AG26" s="84"/>
      <c r="AH26" s="84"/>
      <c r="AI26" s="84"/>
    </row>
    <row r="27" spans="1:35" x14ac:dyDescent="0.3">
      <c r="A27" s="23" t="s">
        <v>39</v>
      </c>
      <c r="B27" s="42">
        <v>29.03</v>
      </c>
      <c r="C27" s="42">
        <v>60.66</v>
      </c>
      <c r="D27" s="42">
        <v>102.54</v>
      </c>
      <c r="E27" s="42">
        <v>203.42</v>
      </c>
      <c r="F27" s="43">
        <v>294.39999999999998</v>
      </c>
      <c r="G27" s="44"/>
      <c r="H27" s="23" t="s">
        <v>85</v>
      </c>
      <c r="I27" s="8">
        <v>17.13</v>
      </c>
      <c r="J27" s="8">
        <v>11.92</v>
      </c>
      <c r="K27" s="8">
        <v>8.06</v>
      </c>
      <c r="L27" s="8">
        <v>17.36</v>
      </c>
      <c r="M27" s="33">
        <v>18.29</v>
      </c>
      <c r="O27" s="15" t="s">
        <v>270</v>
      </c>
      <c r="P27" s="85"/>
      <c r="Q27" s="85"/>
      <c r="R27" s="85"/>
      <c r="S27" s="85"/>
      <c r="T27" s="85"/>
      <c r="V27" s="23" t="s">
        <v>31</v>
      </c>
      <c r="W27" s="8">
        <v>19.43</v>
      </c>
      <c r="X27" s="8">
        <v>14.7</v>
      </c>
      <c r="Y27" s="8">
        <v>7.51</v>
      </c>
      <c r="Z27" s="8">
        <v>7.76</v>
      </c>
      <c r="AA27" s="8">
        <v>10.77</v>
      </c>
      <c r="AB27" s="33">
        <v>7.43</v>
      </c>
      <c r="AD27" s="23" t="s">
        <v>44</v>
      </c>
      <c r="AE27" s="8">
        <v>114.55200000000001</v>
      </c>
      <c r="AF27" s="8">
        <v>114.55200000000001</v>
      </c>
      <c r="AG27" s="8">
        <v>114.55200000000001</v>
      </c>
      <c r="AH27" s="8">
        <v>114.55200000000001</v>
      </c>
      <c r="AI27" s="33">
        <v>114.55200000000001</v>
      </c>
    </row>
    <row r="28" spans="1:35" x14ac:dyDescent="0.3">
      <c r="A28" s="23" t="s">
        <v>40</v>
      </c>
      <c r="B28" s="42">
        <v>279.89</v>
      </c>
      <c r="C28" s="42">
        <v>133.63999999999999</v>
      </c>
      <c r="D28" s="42">
        <v>144.74</v>
      </c>
      <c r="E28" s="42">
        <v>403.14</v>
      </c>
      <c r="F28" s="43">
        <v>449.61</v>
      </c>
      <c r="G28" s="44"/>
      <c r="H28" s="23" t="s">
        <v>86</v>
      </c>
      <c r="I28" s="8">
        <v>79.959999999999994</v>
      </c>
      <c r="J28" s="8">
        <v>80.150000000000006</v>
      </c>
      <c r="K28" s="8">
        <v>86.94</v>
      </c>
      <c r="L28" s="8">
        <v>61.62</v>
      </c>
      <c r="M28" s="33">
        <v>68.239999999999995</v>
      </c>
      <c r="O28" s="35" t="s">
        <v>271</v>
      </c>
      <c r="P28" s="86"/>
      <c r="Q28" s="86"/>
      <c r="R28" s="86"/>
      <c r="S28" s="86"/>
      <c r="T28" s="86"/>
      <c r="V28" s="23" t="s">
        <v>32</v>
      </c>
      <c r="W28" s="8">
        <v>1219.03</v>
      </c>
      <c r="X28" s="8">
        <v>1055.0999999999999</v>
      </c>
      <c r="Y28" s="8">
        <v>1023.23</v>
      </c>
      <c r="Z28" s="8">
        <v>1119.27</v>
      </c>
      <c r="AA28" s="8">
        <v>1514.19</v>
      </c>
      <c r="AB28" s="33">
        <v>1346.93</v>
      </c>
      <c r="AD28" s="23" t="s">
        <v>301</v>
      </c>
      <c r="AE28" s="8">
        <v>925.67899999999997</v>
      </c>
      <c r="AF28" s="8">
        <v>1022.5656</v>
      </c>
      <c r="AG28" s="8">
        <v>1143.3387</v>
      </c>
      <c r="AH28" s="8">
        <v>1299.2655</v>
      </c>
      <c r="AI28" s="33">
        <v>1558.8869</v>
      </c>
    </row>
    <row r="29" spans="1:35" x14ac:dyDescent="0.3">
      <c r="A29" s="23" t="s">
        <v>41</v>
      </c>
      <c r="B29" s="42">
        <v>6052.24</v>
      </c>
      <c r="C29" s="42">
        <v>6913.76</v>
      </c>
      <c r="D29" s="42">
        <v>7781.22</v>
      </c>
      <c r="E29" s="42">
        <v>7846.36</v>
      </c>
      <c r="F29" s="43">
        <v>7421.7</v>
      </c>
      <c r="G29" s="44"/>
      <c r="H29" s="23" t="s">
        <v>87</v>
      </c>
      <c r="I29" s="8">
        <v>0</v>
      </c>
      <c r="J29" s="8">
        <v>0</v>
      </c>
      <c r="K29" s="8">
        <v>0</v>
      </c>
      <c r="L29" s="8">
        <v>0</v>
      </c>
      <c r="M29" s="33">
        <v>3.39</v>
      </c>
      <c r="O29" s="23" t="s">
        <v>44</v>
      </c>
      <c r="P29" s="8">
        <v>183.28120000000001</v>
      </c>
      <c r="Q29" s="8">
        <v>183.28120000000001</v>
      </c>
      <c r="R29" s="8">
        <v>183.28120000000001</v>
      </c>
      <c r="S29" s="8">
        <v>183.28120000000001</v>
      </c>
      <c r="T29" s="33">
        <v>183.28120000000001</v>
      </c>
      <c r="V29" s="23" t="s">
        <v>40</v>
      </c>
      <c r="W29" s="8">
        <v>35.31</v>
      </c>
      <c r="X29" s="8">
        <v>0</v>
      </c>
      <c r="Y29" s="8">
        <v>0</v>
      </c>
      <c r="Z29" s="8">
        <v>0</v>
      </c>
      <c r="AA29" s="8">
        <v>0</v>
      </c>
      <c r="AB29" s="33">
        <v>0</v>
      </c>
      <c r="AD29" s="16" t="s">
        <v>272</v>
      </c>
      <c r="AE29" s="13">
        <f>AE27+AE28</f>
        <v>1040.231</v>
      </c>
      <c r="AF29" s="13">
        <f t="shared" ref="AF29:AI29" si="7">AF27+AF28</f>
        <v>1137.1176</v>
      </c>
      <c r="AG29" s="13">
        <f t="shared" si="7"/>
        <v>1257.8906999999999</v>
      </c>
      <c r="AH29" s="13">
        <f t="shared" si="7"/>
        <v>1413.8174999999999</v>
      </c>
      <c r="AI29" s="13">
        <f t="shared" si="7"/>
        <v>1673.4388999999999</v>
      </c>
    </row>
    <row r="30" spans="1:35" x14ac:dyDescent="0.3">
      <c r="A30" s="16" t="s">
        <v>100</v>
      </c>
      <c r="B30" s="46">
        <f>B21+SUM(B23:B29)</f>
        <v>18594.59</v>
      </c>
      <c r="C30" s="46">
        <f t="shared" ref="C30:F30" si="8">C21+SUM(C23:C29)</f>
        <v>23713.31</v>
      </c>
      <c r="D30" s="46">
        <f t="shared" si="8"/>
        <v>27293.71</v>
      </c>
      <c r="E30" s="46">
        <f t="shared" si="8"/>
        <v>30047.74</v>
      </c>
      <c r="F30" s="47">
        <f t="shared" si="8"/>
        <v>34062.980000000003</v>
      </c>
      <c r="G30" s="48"/>
      <c r="H30" s="23" t="s">
        <v>29</v>
      </c>
      <c r="I30" s="8">
        <v>484.18</v>
      </c>
      <c r="J30" s="8">
        <v>518.65</v>
      </c>
      <c r="K30" s="8">
        <v>542.32000000000005</v>
      </c>
      <c r="L30" s="8">
        <v>6</v>
      </c>
      <c r="M30" s="33">
        <v>678.79</v>
      </c>
      <c r="O30" s="23" t="s">
        <v>45</v>
      </c>
      <c r="P30" s="8">
        <v>2423.5484999999999</v>
      </c>
      <c r="Q30" s="8">
        <v>2501.4659999999999</v>
      </c>
      <c r="R30" s="8">
        <v>2847.2761999999998</v>
      </c>
      <c r="S30" s="8">
        <v>3028.2165</v>
      </c>
      <c r="T30" s="33">
        <v>3453.5421000000001</v>
      </c>
      <c r="V30" s="23" t="s">
        <v>41</v>
      </c>
      <c r="W30" s="8">
        <v>1291.1099999999999</v>
      </c>
      <c r="X30" s="8">
        <v>1395.41</v>
      </c>
      <c r="Y30" s="8">
        <v>2808.99</v>
      </c>
      <c r="Z30" s="8">
        <v>4189.13</v>
      </c>
      <c r="AA30" s="8">
        <v>5332.57</v>
      </c>
      <c r="AB30" s="33">
        <v>8345.34</v>
      </c>
      <c r="AD30" s="97" t="s">
        <v>288</v>
      </c>
      <c r="AE30" s="86"/>
      <c r="AF30" s="86"/>
      <c r="AG30" s="86"/>
      <c r="AH30" s="86"/>
      <c r="AI30" s="99"/>
    </row>
    <row r="31" spans="1:35" x14ac:dyDescent="0.3">
      <c r="A31" s="16" t="s">
        <v>42</v>
      </c>
      <c r="B31" s="46">
        <f>B19+B21+B23+B24+B25+B26+B27+B28+B29</f>
        <v>23911.089999999997</v>
      </c>
      <c r="C31" s="46">
        <f>C19+C21+C23+C24+C25+C26+C27+C28+C29</f>
        <v>29489.670000000006</v>
      </c>
      <c r="D31" s="46">
        <f>D19+D21+D23+D24+D25+D26+D27+D28+D29</f>
        <v>33910.58</v>
      </c>
      <c r="E31" s="46">
        <f>E19+E21+E23+E24+E25+E26+E27+E28+E29</f>
        <v>35491.17</v>
      </c>
      <c r="F31" s="47">
        <f>F19+F21+F23+F24+F25+F26+F27+F28+F29</f>
        <v>39526.68</v>
      </c>
      <c r="G31" s="7"/>
      <c r="H31" s="23" t="s">
        <v>88</v>
      </c>
      <c r="I31" s="8">
        <v>15.62</v>
      </c>
      <c r="J31" s="8">
        <v>15.44</v>
      </c>
      <c r="K31" s="8">
        <v>17.73</v>
      </c>
      <c r="L31" s="8">
        <v>18.02</v>
      </c>
      <c r="M31" s="33">
        <v>17.649999999999999</v>
      </c>
      <c r="O31" s="16" t="s">
        <v>272</v>
      </c>
      <c r="P31" s="13">
        <f>SUM(P29:P30)</f>
        <v>2606.8296999999998</v>
      </c>
      <c r="Q31" s="13">
        <f t="shared" ref="Q31:T31" si="9">SUM(Q29:Q30)</f>
        <v>2684.7471999999998</v>
      </c>
      <c r="R31" s="13">
        <f t="shared" si="9"/>
        <v>3030.5573999999997</v>
      </c>
      <c r="S31" s="13">
        <f t="shared" si="9"/>
        <v>3211.4976999999999</v>
      </c>
      <c r="T31" s="13">
        <f t="shared" si="9"/>
        <v>3636.8233</v>
      </c>
      <c r="V31" s="16" t="s">
        <v>268</v>
      </c>
      <c r="W31" s="13">
        <f>SUM(W21:W30)</f>
        <v>41393.799999999996</v>
      </c>
      <c r="X31" s="13">
        <f t="shared" ref="X31:AB31" si="10">SUM(X21:X30)</f>
        <v>40171.35</v>
      </c>
      <c r="Y31" s="13">
        <f t="shared" si="10"/>
        <v>44984.91</v>
      </c>
      <c r="Z31" s="13">
        <f t="shared" si="10"/>
        <v>51876.93</v>
      </c>
      <c r="AA31" s="13">
        <f t="shared" si="10"/>
        <v>63017.49</v>
      </c>
      <c r="AB31" s="13">
        <f t="shared" si="10"/>
        <v>90094.599999999977</v>
      </c>
      <c r="AD31" s="83" t="s">
        <v>289</v>
      </c>
      <c r="AE31" s="84"/>
      <c r="AF31" s="84"/>
      <c r="AG31" s="84"/>
      <c r="AH31" s="84"/>
      <c r="AI31" s="84"/>
    </row>
    <row r="32" spans="1:35" x14ac:dyDescent="0.3">
      <c r="A32" s="6" t="s">
        <v>43</v>
      </c>
      <c r="B32" s="6"/>
      <c r="C32" s="6"/>
      <c r="D32" s="6"/>
      <c r="E32" s="6"/>
      <c r="F32" s="6"/>
      <c r="G32" s="44"/>
      <c r="H32" s="23" t="s">
        <v>31</v>
      </c>
      <c r="I32" s="8">
        <v>6.89</v>
      </c>
      <c r="J32" s="8">
        <v>7.1</v>
      </c>
      <c r="K32" s="8">
        <v>0</v>
      </c>
      <c r="L32" s="8">
        <v>0</v>
      </c>
      <c r="M32" s="33">
        <v>20</v>
      </c>
      <c r="O32" s="83" t="s">
        <v>273</v>
      </c>
      <c r="P32" s="84"/>
      <c r="Q32" s="84"/>
      <c r="R32" s="84"/>
      <c r="S32" s="84"/>
      <c r="T32" s="84"/>
      <c r="V32" s="11" t="s">
        <v>98</v>
      </c>
      <c r="W32" s="8">
        <v>0</v>
      </c>
      <c r="X32" s="8">
        <v>0</v>
      </c>
      <c r="Y32" s="8">
        <v>8.11</v>
      </c>
      <c r="Z32" s="8">
        <v>8.11</v>
      </c>
      <c r="AA32" s="8">
        <v>0</v>
      </c>
      <c r="AB32" s="8">
        <v>0</v>
      </c>
      <c r="AD32" s="11" t="s">
        <v>294</v>
      </c>
      <c r="AE32" s="8">
        <v>0</v>
      </c>
      <c r="AF32" s="8">
        <v>0</v>
      </c>
      <c r="AG32" s="8">
        <v>9.7354000000000003</v>
      </c>
      <c r="AH32" s="8">
        <v>9.2316000000000003</v>
      </c>
      <c r="AI32" s="8">
        <v>8.2883999999999993</v>
      </c>
    </row>
    <row r="33" spans="1:35" x14ac:dyDescent="0.3">
      <c r="A33" s="23" t="s">
        <v>44</v>
      </c>
      <c r="B33" s="42">
        <v>243.66</v>
      </c>
      <c r="C33" s="42">
        <v>243.66</v>
      </c>
      <c r="D33" s="42">
        <v>243.66</v>
      </c>
      <c r="E33" s="42">
        <v>730.98</v>
      </c>
      <c r="F33" s="43">
        <v>730.98</v>
      </c>
      <c r="G33" s="44"/>
      <c r="H33" s="23" t="s">
        <v>89</v>
      </c>
      <c r="I33" s="8">
        <v>153.44999999999999</v>
      </c>
      <c r="J33" s="8">
        <v>141.59</v>
      </c>
      <c r="K33" s="8">
        <v>141.16</v>
      </c>
      <c r="L33" s="8">
        <v>131.66999999999999</v>
      </c>
      <c r="M33" s="33">
        <v>137.44999999999999</v>
      </c>
      <c r="O33" s="23" t="s">
        <v>63</v>
      </c>
      <c r="P33" s="8">
        <v>7.7119</v>
      </c>
      <c r="Q33" s="8">
        <v>6.5270999999999999</v>
      </c>
      <c r="R33" s="8">
        <v>5.2074999999999996</v>
      </c>
      <c r="S33" s="8">
        <v>3.7410999999999999</v>
      </c>
      <c r="T33" s="33">
        <v>2.1150000000000002</v>
      </c>
      <c r="V33" s="82" t="s">
        <v>269</v>
      </c>
      <c r="W33" s="88">
        <f>W19+W31</f>
        <v>53277.38</v>
      </c>
      <c r="X33" s="88">
        <f>X19+X31</f>
        <v>51945.899999999994</v>
      </c>
      <c r="Y33" s="88">
        <f>Y19+Y31+Y32</f>
        <v>58391.98</v>
      </c>
      <c r="Z33" s="88">
        <f t="shared" ref="Z33:AB33" si="11">Z19+Z31+Z32</f>
        <v>67203.8</v>
      </c>
      <c r="AA33" s="88">
        <f t="shared" si="11"/>
        <v>78095.179999999993</v>
      </c>
      <c r="AB33" s="88">
        <f t="shared" si="11"/>
        <v>106266.84999999998</v>
      </c>
      <c r="AD33" s="23" t="s">
        <v>290</v>
      </c>
      <c r="AE33" s="8">
        <v>0</v>
      </c>
      <c r="AF33" s="8">
        <v>0</v>
      </c>
      <c r="AG33" s="8">
        <v>0</v>
      </c>
      <c r="AH33" s="8">
        <v>0</v>
      </c>
      <c r="AI33" s="33">
        <v>0</v>
      </c>
    </row>
    <row r="34" spans="1:35" x14ac:dyDescent="0.3">
      <c r="A34" s="23" t="s">
        <v>45</v>
      </c>
      <c r="B34" s="42">
        <v>9609.2800000000007</v>
      </c>
      <c r="C34" s="42">
        <v>10815.92</v>
      </c>
      <c r="D34" s="42">
        <v>12042.27</v>
      </c>
      <c r="E34" s="42">
        <v>13130.65</v>
      </c>
      <c r="F34" s="43">
        <v>15595.49</v>
      </c>
      <c r="G34" s="44"/>
      <c r="H34" s="23" t="s">
        <v>90</v>
      </c>
      <c r="I34" s="8">
        <v>414.72</v>
      </c>
      <c r="J34" s="8">
        <v>423.61</v>
      </c>
      <c r="K34" s="8">
        <v>446.83</v>
      </c>
      <c r="L34" s="8">
        <v>450.1</v>
      </c>
      <c r="M34" s="33">
        <v>599.79999999999995</v>
      </c>
      <c r="O34" s="23" t="s">
        <v>53</v>
      </c>
      <c r="P34" s="8">
        <v>45.403799999999997</v>
      </c>
      <c r="Q34" s="8">
        <v>43.253900000000002</v>
      </c>
      <c r="R34" s="8">
        <v>41.061599999999999</v>
      </c>
      <c r="S34" s="8">
        <v>45.5747</v>
      </c>
      <c r="T34" s="33">
        <v>46.396599999999999</v>
      </c>
      <c r="V34" s="83" t="s">
        <v>270</v>
      </c>
      <c r="W34" s="84"/>
      <c r="X34" s="84"/>
      <c r="Y34" s="84"/>
      <c r="Z34" s="84"/>
      <c r="AA34" s="84"/>
      <c r="AB34" s="84"/>
      <c r="AD34" s="23" t="s">
        <v>302</v>
      </c>
      <c r="AE34" s="8">
        <v>10.750500000000001</v>
      </c>
      <c r="AF34" s="8">
        <v>9.2367000000000008</v>
      </c>
      <c r="AG34" s="8">
        <v>8.1891999999999996</v>
      </c>
      <c r="AH34" s="8">
        <v>8.1736000000000004</v>
      </c>
      <c r="AI34" s="33">
        <v>7.8356000000000003</v>
      </c>
    </row>
    <row r="35" spans="1:35" x14ac:dyDescent="0.3">
      <c r="A35" s="23" t="s">
        <v>67</v>
      </c>
      <c r="B35" s="42">
        <v>0</v>
      </c>
      <c r="C35" s="42">
        <v>14.99</v>
      </c>
      <c r="D35" s="42">
        <v>16.34</v>
      </c>
      <c r="E35" s="42">
        <v>17.75</v>
      </c>
      <c r="F35" s="43">
        <v>17.920000000000002</v>
      </c>
      <c r="G35" s="48"/>
      <c r="H35" s="23" t="s">
        <v>91</v>
      </c>
      <c r="I35" s="8">
        <v>225.94</v>
      </c>
      <c r="J35" s="8">
        <v>218.82</v>
      </c>
      <c r="K35" s="8">
        <v>313.2</v>
      </c>
      <c r="L35" s="8">
        <v>265.5</v>
      </c>
      <c r="M35" s="33">
        <v>178.56</v>
      </c>
      <c r="O35" s="23" t="s">
        <v>159</v>
      </c>
      <c r="P35" s="8">
        <v>0.2913</v>
      </c>
      <c r="Q35" s="8">
        <v>29.068200000000001</v>
      </c>
      <c r="R35" s="8">
        <v>44.656399999999998</v>
      </c>
      <c r="S35" s="8">
        <v>0.37</v>
      </c>
      <c r="T35" s="33">
        <v>0.4007</v>
      </c>
      <c r="V35" s="35" t="s">
        <v>271</v>
      </c>
      <c r="W35" s="86"/>
      <c r="X35" s="86"/>
      <c r="Y35" s="86"/>
      <c r="Z35" s="86"/>
      <c r="AA35" s="86"/>
      <c r="AB35" s="86"/>
      <c r="AD35" s="16" t="s">
        <v>303</v>
      </c>
      <c r="AE35" s="13">
        <f>AE33+AE34</f>
        <v>10.750500000000001</v>
      </c>
      <c r="AF35" s="13">
        <f t="shared" ref="AF35:AI35" si="12">AF33+AF34</f>
        <v>9.2367000000000008</v>
      </c>
      <c r="AG35" s="13">
        <f t="shared" si="12"/>
        <v>8.1891999999999996</v>
      </c>
      <c r="AH35" s="13">
        <f t="shared" si="12"/>
        <v>8.1736000000000004</v>
      </c>
      <c r="AI35" s="13">
        <f t="shared" si="12"/>
        <v>7.8356000000000003</v>
      </c>
    </row>
    <row r="36" spans="1:35" x14ac:dyDescent="0.3">
      <c r="A36" s="16" t="s">
        <v>46</v>
      </c>
      <c r="B36" s="46">
        <f>B33+B34+B35</f>
        <v>9852.94</v>
      </c>
      <c r="C36" s="46">
        <f t="shared" ref="C36:F36" si="13">C33+C34+C35</f>
        <v>11074.57</v>
      </c>
      <c r="D36" s="46">
        <f t="shared" si="13"/>
        <v>12302.27</v>
      </c>
      <c r="E36" s="46">
        <f t="shared" si="13"/>
        <v>13879.38</v>
      </c>
      <c r="F36" s="47">
        <f t="shared" si="13"/>
        <v>16344.39</v>
      </c>
      <c r="G36" s="7"/>
      <c r="H36" s="23" t="s">
        <v>92</v>
      </c>
      <c r="I36" s="8">
        <v>651.75</v>
      </c>
      <c r="J36" s="8">
        <v>842.06</v>
      </c>
      <c r="K36" s="8">
        <v>727.92</v>
      </c>
      <c r="L36" s="8">
        <v>838.14</v>
      </c>
      <c r="M36" s="33">
        <v>1118.8</v>
      </c>
      <c r="O36" s="23" t="s">
        <v>54</v>
      </c>
      <c r="P36" s="8">
        <v>710.36090000000002</v>
      </c>
      <c r="Q36" s="8">
        <v>677.18870000000004</v>
      </c>
      <c r="R36" s="8">
        <v>861.33950000000004</v>
      </c>
      <c r="S36" s="8">
        <v>3205.2818000000002</v>
      </c>
      <c r="T36" s="33">
        <v>3648.5576999999998</v>
      </c>
      <c r="V36" s="23" t="s">
        <v>44</v>
      </c>
      <c r="W36" s="8">
        <v>334.39</v>
      </c>
      <c r="X36" s="8">
        <v>334.39</v>
      </c>
      <c r="Y36" s="8">
        <v>334.39</v>
      </c>
      <c r="Z36" s="8">
        <v>334.39</v>
      </c>
      <c r="AA36" s="8">
        <v>334.39</v>
      </c>
      <c r="AB36" s="33">
        <v>334.39</v>
      </c>
      <c r="AD36" s="23" t="s">
        <v>159</v>
      </c>
      <c r="AE36" s="8">
        <v>76.624600000000001</v>
      </c>
      <c r="AF36" s="8">
        <v>82.866600000000005</v>
      </c>
      <c r="AG36" s="8">
        <v>89.074299999999994</v>
      </c>
      <c r="AH36" s="8">
        <v>89.333699999999993</v>
      </c>
      <c r="AI36" s="33">
        <v>92.013499999999993</v>
      </c>
    </row>
    <row r="37" spans="1:35" ht="15.6" x14ac:dyDescent="0.3">
      <c r="A37" s="6" t="s">
        <v>47</v>
      </c>
      <c r="B37" s="6"/>
      <c r="C37" s="6"/>
      <c r="D37" s="6"/>
      <c r="E37" s="6"/>
      <c r="F37" s="6"/>
      <c r="G37" s="7"/>
      <c r="H37" s="41" t="s">
        <v>93</v>
      </c>
      <c r="I37" s="9">
        <f>SUM(I26:I36)</f>
        <v>2868.86</v>
      </c>
      <c r="J37" s="9">
        <f>SUM(J26:J36)</f>
        <v>3054.27</v>
      </c>
      <c r="K37" s="9">
        <f>SUM(K26:K36)</f>
        <v>3240.7200000000003</v>
      </c>
      <c r="L37" s="9">
        <f>SUM(L26:L36)</f>
        <v>2795.3799999999997</v>
      </c>
      <c r="M37" s="45">
        <f>SUM(M26:M36)</f>
        <v>3660.62</v>
      </c>
      <c r="O37" s="16" t="s">
        <v>274</v>
      </c>
      <c r="P37" s="13">
        <f>SUM(P33:P36)</f>
        <v>763.76790000000005</v>
      </c>
      <c r="Q37" s="13">
        <f t="shared" ref="Q37:T37" si="14">SUM(Q33:Q36)</f>
        <v>756.03790000000004</v>
      </c>
      <c r="R37" s="13">
        <f t="shared" si="14"/>
        <v>952.2650000000001</v>
      </c>
      <c r="S37" s="13">
        <f t="shared" si="14"/>
        <v>3254.9676000000004</v>
      </c>
      <c r="T37" s="13">
        <f t="shared" si="14"/>
        <v>3697.47</v>
      </c>
      <c r="V37" s="23" t="s">
        <v>45</v>
      </c>
      <c r="W37" s="8">
        <v>12914.12</v>
      </c>
      <c r="X37" s="8">
        <v>15077.88</v>
      </c>
      <c r="Y37" s="8">
        <v>18978.740000000002</v>
      </c>
      <c r="Z37" s="8">
        <v>23237.759999999998</v>
      </c>
      <c r="AA37" s="8">
        <v>28803.78</v>
      </c>
      <c r="AB37" s="33">
        <v>34647.22</v>
      </c>
      <c r="AD37" s="23" t="s">
        <v>64</v>
      </c>
      <c r="AE37" s="8">
        <v>9.5378000000000007</v>
      </c>
      <c r="AF37" s="8">
        <v>5.5087000000000002</v>
      </c>
      <c r="AG37" s="8">
        <v>10.7813</v>
      </c>
      <c r="AH37" s="8">
        <v>14.519</v>
      </c>
      <c r="AI37" s="33">
        <v>13.9839</v>
      </c>
    </row>
    <row r="38" spans="1:35" ht="15.6" x14ac:dyDescent="0.3">
      <c r="A38" s="6" t="s">
        <v>48</v>
      </c>
      <c r="B38" s="6"/>
      <c r="C38" s="6"/>
      <c r="D38" s="6"/>
      <c r="E38" s="6"/>
      <c r="F38" s="6"/>
      <c r="G38" s="44"/>
      <c r="H38" s="41" t="s">
        <v>36</v>
      </c>
      <c r="I38" s="8"/>
      <c r="J38" s="8"/>
      <c r="K38" s="8"/>
      <c r="L38" s="8"/>
      <c r="M38" s="33"/>
      <c r="O38" s="83" t="s">
        <v>275</v>
      </c>
      <c r="P38" s="84"/>
      <c r="Q38" s="84"/>
      <c r="R38" s="84"/>
      <c r="S38" s="84"/>
      <c r="T38" s="84"/>
      <c r="V38" s="16" t="s">
        <v>286</v>
      </c>
      <c r="W38" s="13">
        <f>W36+W37</f>
        <v>13248.51</v>
      </c>
      <c r="X38" s="13">
        <f t="shared" ref="X38:AB38" si="15">X36+X37</f>
        <v>15412.269999999999</v>
      </c>
      <c r="Y38" s="13">
        <f t="shared" si="15"/>
        <v>19313.13</v>
      </c>
      <c r="Z38" s="13">
        <f t="shared" si="15"/>
        <v>23572.149999999998</v>
      </c>
      <c r="AA38" s="13">
        <f t="shared" si="15"/>
        <v>29138.17</v>
      </c>
      <c r="AB38" s="13">
        <f t="shared" si="15"/>
        <v>34981.61</v>
      </c>
      <c r="AD38" s="16" t="s">
        <v>55</v>
      </c>
      <c r="AE38" s="13">
        <f>SUM(AE35,AE36:AE37,AE32)</f>
        <v>96.912900000000008</v>
      </c>
      <c r="AF38" s="13">
        <f>SUM(AF35,AF36:AF37,AF32)</f>
        <v>97.612000000000009</v>
      </c>
      <c r="AG38" s="13">
        <f>SUM(AG35,AG36:AG37,AG32)</f>
        <v>117.78019999999999</v>
      </c>
      <c r="AH38" s="13">
        <f>SUM(AH35,AH36:AH37,AH32)</f>
        <v>121.25789999999999</v>
      </c>
      <c r="AI38" s="13">
        <f>SUM(AI35,AI36:AI37,AI32)</f>
        <v>122.12139999999999</v>
      </c>
    </row>
    <row r="39" spans="1:35" x14ac:dyDescent="0.3">
      <c r="A39" s="23" t="s">
        <v>49</v>
      </c>
      <c r="B39" s="42">
        <v>68.89</v>
      </c>
      <c r="C39" s="42">
        <v>164.99</v>
      </c>
      <c r="D39" s="42">
        <v>148.43</v>
      </c>
      <c r="E39" s="42">
        <v>133.94999999999999</v>
      </c>
      <c r="F39" s="43">
        <v>117.76</v>
      </c>
      <c r="G39" s="7"/>
      <c r="H39" s="23" t="s">
        <v>34</v>
      </c>
      <c r="I39" s="8">
        <v>4622.6899999999996</v>
      </c>
      <c r="J39" s="8">
        <v>5888.61</v>
      </c>
      <c r="K39" s="8">
        <v>7700.1</v>
      </c>
      <c r="L39" s="8">
        <v>7356.86</v>
      </c>
      <c r="M39" s="33">
        <v>5713.37</v>
      </c>
      <c r="O39" s="23" t="s">
        <v>51</v>
      </c>
      <c r="P39" s="8">
        <v>2.1663000000000001</v>
      </c>
      <c r="Q39" s="8">
        <v>0</v>
      </c>
      <c r="R39" s="8">
        <v>0</v>
      </c>
      <c r="S39" s="8">
        <v>0</v>
      </c>
      <c r="T39" s="33">
        <v>0</v>
      </c>
      <c r="V39" s="23" t="s">
        <v>287</v>
      </c>
      <c r="W39" s="8">
        <v>4.3099999999999996</v>
      </c>
      <c r="X39" s="8">
        <v>3.91</v>
      </c>
      <c r="Y39" s="8">
        <v>3.75</v>
      </c>
      <c r="Z39" s="8">
        <v>3.74</v>
      </c>
      <c r="AA39" s="8">
        <v>3.64</v>
      </c>
      <c r="AB39" s="33">
        <v>3.56</v>
      </c>
      <c r="AD39" s="83" t="s">
        <v>275</v>
      </c>
      <c r="AE39" s="84"/>
      <c r="AF39" s="84"/>
      <c r="AG39" s="84"/>
      <c r="AH39" s="84"/>
      <c r="AI39" s="84"/>
    </row>
    <row r="40" spans="1:35" x14ac:dyDescent="0.3">
      <c r="A40" s="6" t="s">
        <v>50</v>
      </c>
      <c r="B40" s="6"/>
      <c r="C40" s="6"/>
      <c r="D40" s="6"/>
      <c r="E40" s="6"/>
      <c r="F40" s="6"/>
      <c r="G40" s="44"/>
      <c r="H40" s="23" t="s">
        <v>94</v>
      </c>
      <c r="I40" s="8">
        <v>1432.82</v>
      </c>
      <c r="J40" s="8">
        <v>965.94</v>
      </c>
      <c r="K40" s="8">
        <v>1005.41</v>
      </c>
      <c r="L40" s="8">
        <v>1002.33</v>
      </c>
      <c r="M40" s="33">
        <v>1846.93</v>
      </c>
      <c r="O40" s="23" t="s">
        <v>276</v>
      </c>
      <c r="P40" s="8">
        <v>13.8062</v>
      </c>
      <c r="Q40" s="8">
        <v>29.376899999999999</v>
      </c>
      <c r="R40" s="8">
        <v>39.963700000000003</v>
      </c>
      <c r="S40" s="8">
        <v>42.760599999999997</v>
      </c>
      <c r="T40" s="33">
        <v>12.070499999999999</v>
      </c>
      <c r="V40" s="16" t="s">
        <v>272</v>
      </c>
      <c r="W40" s="13">
        <f>W38+W39</f>
        <v>13252.82</v>
      </c>
      <c r="X40" s="13">
        <f t="shared" ref="X40:AB40" si="16">X38+X39</f>
        <v>15416.179999999998</v>
      </c>
      <c r="Y40" s="13">
        <f t="shared" si="16"/>
        <v>19316.88</v>
      </c>
      <c r="Z40" s="13">
        <f t="shared" si="16"/>
        <v>23575.89</v>
      </c>
      <c r="AA40" s="13">
        <f t="shared" si="16"/>
        <v>29141.809999999998</v>
      </c>
      <c r="AB40" s="13">
        <f t="shared" si="16"/>
        <v>34985.17</v>
      </c>
      <c r="AD40" s="11" t="s">
        <v>51</v>
      </c>
      <c r="AE40" s="8">
        <v>0</v>
      </c>
      <c r="AF40" s="8">
        <v>0</v>
      </c>
      <c r="AG40" s="8">
        <v>0</v>
      </c>
      <c r="AH40" s="8">
        <v>301.17180000000002</v>
      </c>
      <c r="AI40" s="8">
        <v>55.584800000000001</v>
      </c>
    </row>
    <row r="41" spans="1:35" x14ac:dyDescent="0.3">
      <c r="A41" s="23" t="s">
        <v>51</v>
      </c>
      <c r="B41" s="42">
        <v>0</v>
      </c>
      <c r="C41" s="42">
        <v>0</v>
      </c>
      <c r="D41" s="42">
        <v>0</v>
      </c>
      <c r="E41" s="42"/>
      <c r="F41" s="43"/>
      <c r="G41" s="44"/>
      <c r="H41" s="23" t="s">
        <v>95</v>
      </c>
      <c r="I41" s="8">
        <f>483.28+5315</f>
        <v>5798.28</v>
      </c>
      <c r="J41" s="8">
        <f>739.91+7288</f>
        <v>8027.91</v>
      </c>
      <c r="K41" s="8">
        <v>11480.47</v>
      </c>
      <c r="L41" s="8">
        <v>13286.42</v>
      </c>
      <c r="M41" s="33">
        <f>3523.48+10686.15</f>
        <v>14209.63</v>
      </c>
      <c r="O41" s="23" t="s">
        <v>277</v>
      </c>
      <c r="P41" s="8">
        <v>331.67910000000001</v>
      </c>
      <c r="Q41" s="8">
        <v>713.2242</v>
      </c>
      <c r="R41" s="8">
        <v>512.50609999999995</v>
      </c>
      <c r="S41" s="8">
        <v>421.61770000000001</v>
      </c>
      <c r="T41" s="33">
        <v>786.31659999999999</v>
      </c>
      <c r="V41" s="35" t="s">
        <v>288</v>
      </c>
      <c r="W41" s="86"/>
      <c r="X41" s="86"/>
      <c r="Y41" s="86"/>
      <c r="Z41" s="86"/>
      <c r="AA41" s="86"/>
      <c r="AB41" s="86"/>
      <c r="AD41" s="11" t="s">
        <v>294</v>
      </c>
      <c r="AE41" s="8">
        <v>0</v>
      </c>
      <c r="AF41" s="8">
        <v>0</v>
      </c>
      <c r="AG41" s="8">
        <v>1.4688000000000001</v>
      </c>
      <c r="AH41" s="8">
        <v>1.7040999999999999</v>
      </c>
      <c r="AI41" s="8">
        <v>1.7974000000000001</v>
      </c>
    </row>
    <row r="42" spans="1:35" x14ac:dyDescent="0.3">
      <c r="A42" s="23" t="s">
        <v>52</v>
      </c>
      <c r="B42" s="42">
        <v>0.2</v>
      </c>
      <c r="C42" s="42">
        <v>0.28999999999999998</v>
      </c>
      <c r="D42" s="42">
        <v>0.34</v>
      </c>
      <c r="E42" s="42">
        <v>0.37</v>
      </c>
      <c r="F42" s="43">
        <v>0</v>
      </c>
      <c r="G42" s="44"/>
      <c r="H42" s="23" t="s">
        <v>96</v>
      </c>
      <c r="I42" s="8">
        <v>2.11</v>
      </c>
      <c r="J42" s="8">
        <v>2.12</v>
      </c>
      <c r="K42" s="8">
        <v>0</v>
      </c>
      <c r="L42" s="8">
        <v>0</v>
      </c>
      <c r="M42" s="33">
        <v>0</v>
      </c>
      <c r="O42" s="16" t="s">
        <v>278</v>
      </c>
      <c r="P42" s="13">
        <f>P40+P41</f>
        <v>345.4853</v>
      </c>
      <c r="Q42" s="13">
        <f t="shared" ref="Q42:T42" si="17">Q40+Q41</f>
        <v>742.60109999999997</v>
      </c>
      <c r="R42" s="13">
        <f t="shared" si="17"/>
        <v>552.46979999999996</v>
      </c>
      <c r="S42" s="13">
        <f t="shared" si="17"/>
        <v>464.37830000000002</v>
      </c>
      <c r="T42" s="13">
        <f t="shared" si="17"/>
        <v>798.38710000000003</v>
      </c>
      <c r="V42" s="83" t="s">
        <v>289</v>
      </c>
      <c r="W42" s="84"/>
      <c r="X42" s="84"/>
      <c r="Y42" s="84"/>
      <c r="Z42" s="84"/>
      <c r="AA42" s="84"/>
      <c r="AB42" s="84"/>
      <c r="AD42" s="23" t="s">
        <v>290</v>
      </c>
      <c r="AE42" s="8">
        <v>2.9342999999999999</v>
      </c>
      <c r="AF42" s="8">
        <v>0.9536</v>
      </c>
      <c r="AG42" s="8">
        <v>2.2852000000000001</v>
      </c>
      <c r="AH42" s="8">
        <v>2.3614999999999999</v>
      </c>
      <c r="AI42" s="33">
        <v>0.50319999999999998</v>
      </c>
    </row>
    <row r="43" spans="1:35" x14ac:dyDescent="0.3">
      <c r="A43" s="23" t="s">
        <v>63</v>
      </c>
      <c r="B43" s="42">
        <v>0</v>
      </c>
      <c r="C43" s="42">
        <v>1.17</v>
      </c>
      <c r="D43" s="42">
        <v>51.51</v>
      </c>
      <c r="E43" s="42">
        <v>59.42</v>
      </c>
      <c r="F43" s="43">
        <v>60.25</v>
      </c>
      <c r="G43" s="44"/>
      <c r="H43" s="23" t="s">
        <v>32</v>
      </c>
      <c r="I43" s="8">
        <v>187.85</v>
      </c>
      <c r="J43" s="8">
        <v>139.59</v>
      </c>
      <c r="K43" s="8">
        <v>140.66</v>
      </c>
      <c r="L43" s="8">
        <v>221.4</v>
      </c>
      <c r="M43" s="33">
        <v>307.56</v>
      </c>
      <c r="O43" s="23" t="s">
        <v>63</v>
      </c>
      <c r="P43" s="8">
        <v>1.0609999999999999</v>
      </c>
      <c r="Q43" s="8">
        <v>1.1848000000000001</v>
      </c>
      <c r="R43" s="8">
        <v>1.3196000000000001</v>
      </c>
      <c r="S43" s="8">
        <v>1.4663999999999999</v>
      </c>
      <c r="T43" s="33">
        <v>1.6261000000000001</v>
      </c>
      <c r="V43" s="23" t="s">
        <v>51</v>
      </c>
      <c r="W43" s="8">
        <v>0</v>
      </c>
      <c r="X43" s="8">
        <v>0</v>
      </c>
      <c r="Y43" s="8">
        <v>0</v>
      </c>
      <c r="Z43" s="8">
        <v>0</v>
      </c>
      <c r="AA43" s="8">
        <v>0</v>
      </c>
      <c r="AB43" s="33">
        <v>0</v>
      </c>
      <c r="AD43" s="23" t="s">
        <v>302</v>
      </c>
      <c r="AE43" s="8">
        <v>543.84370000000001</v>
      </c>
      <c r="AF43" s="8">
        <v>781.76139999999998</v>
      </c>
      <c r="AG43" s="8">
        <v>409.40309999999999</v>
      </c>
      <c r="AH43" s="8">
        <v>1171.5059000000001</v>
      </c>
      <c r="AI43" s="33">
        <v>991.91690000000006</v>
      </c>
    </row>
    <row r="44" spans="1:35" x14ac:dyDescent="0.3">
      <c r="A44" s="23" t="s">
        <v>53</v>
      </c>
      <c r="B44" s="42">
        <v>49.34</v>
      </c>
      <c r="C44" s="42">
        <v>6.71</v>
      </c>
      <c r="D44" s="42">
        <v>20.22</v>
      </c>
      <c r="E44" s="42">
        <v>4.7300000000000004</v>
      </c>
      <c r="F44" s="43">
        <v>4.8</v>
      </c>
      <c r="G44" s="44"/>
      <c r="H44" s="23" t="s">
        <v>97</v>
      </c>
      <c r="I44" s="8">
        <v>55.47</v>
      </c>
      <c r="J44" s="8">
        <v>213.7</v>
      </c>
      <c r="K44" s="8">
        <v>407</v>
      </c>
      <c r="L44" s="8">
        <v>283.23</v>
      </c>
      <c r="M44" s="33">
        <v>57.3</v>
      </c>
      <c r="O44" s="23" t="s">
        <v>53</v>
      </c>
      <c r="P44" s="8">
        <v>165.5462</v>
      </c>
      <c r="Q44" s="8">
        <v>144.17850000000001</v>
      </c>
      <c r="R44" s="8">
        <v>164.36590000000001</v>
      </c>
      <c r="S44" s="8">
        <v>167.61580000000001</v>
      </c>
      <c r="T44" s="33">
        <v>290.40030000000002</v>
      </c>
      <c r="V44" s="23" t="s">
        <v>52</v>
      </c>
      <c r="W44" s="8">
        <v>0</v>
      </c>
      <c r="X44" s="8">
        <v>0</v>
      </c>
      <c r="Y44" s="8">
        <v>0</v>
      </c>
      <c r="Z44" s="8">
        <v>0</v>
      </c>
      <c r="AA44" s="8">
        <v>0</v>
      </c>
      <c r="AB44" s="33">
        <v>0</v>
      </c>
      <c r="AD44" s="16" t="s">
        <v>303</v>
      </c>
      <c r="AE44" s="13">
        <f>AE42+AE43</f>
        <v>546.77800000000002</v>
      </c>
      <c r="AF44" s="13">
        <f t="shared" ref="AF44:AI44" si="18">AF42+AF43</f>
        <v>782.71500000000003</v>
      </c>
      <c r="AG44" s="13">
        <f t="shared" si="18"/>
        <v>411.68829999999997</v>
      </c>
      <c r="AH44" s="13">
        <f t="shared" si="18"/>
        <v>1173.8674000000001</v>
      </c>
      <c r="AI44" s="13">
        <f t="shared" si="18"/>
        <v>992.42010000000005</v>
      </c>
    </row>
    <row r="45" spans="1:35" x14ac:dyDescent="0.3">
      <c r="A45" s="23" t="s">
        <v>60</v>
      </c>
      <c r="B45" s="42">
        <v>1160.57</v>
      </c>
      <c r="C45" s="42">
        <v>1412.03</v>
      </c>
      <c r="D45" s="42">
        <v>1805.32</v>
      </c>
      <c r="E45" s="42">
        <v>844.65</v>
      </c>
      <c r="F45" s="43">
        <v>967.28</v>
      </c>
      <c r="G45" s="44"/>
      <c r="H45" s="23" t="s">
        <v>98</v>
      </c>
      <c r="I45" s="8">
        <v>0.22</v>
      </c>
      <c r="J45" s="8">
        <v>0.35</v>
      </c>
      <c r="K45" s="8">
        <v>0.44</v>
      </c>
      <c r="L45" s="8">
        <v>0.32</v>
      </c>
      <c r="M45" s="33">
        <v>7.0000000000000007E-2</v>
      </c>
      <c r="O45" s="23" t="s">
        <v>58</v>
      </c>
      <c r="P45" s="8">
        <v>1474.1556</v>
      </c>
      <c r="Q45" s="8">
        <v>1403.0257999999999</v>
      </c>
      <c r="R45" s="8">
        <v>1553.5965000000001</v>
      </c>
      <c r="S45" s="8">
        <v>1220.7882</v>
      </c>
      <c r="T45" s="33">
        <v>1515.4221</v>
      </c>
      <c r="V45" s="11" t="s">
        <v>294</v>
      </c>
      <c r="W45" s="8">
        <v>0</v>
      </c>
      <c r="X45" s="8">
        <v>0</v>
      </c>
      <c r="Y45" s="8">
        <v>2.41</v>
      </c>
      <c r="Z45" s="8">
        <v>2.5099999999999998</v>
      </c>
      <c r="AA45" s="8">
        <v>1.08</v>
      </c>
      <c r="AB45" s="8">
        <v>1.1399999999999999</v>
      </c>
      <c r="AD45" s="23" t="s">
        <v>53</v>
      </c>
      <c r="AE45" s="8">
        <v>24.264099999999999</v>
      </c>
      <c r="AF45" s="8">
        <v>24.0122</v>
      </c>
      <c r="AG45" s="8">
        <v>23.933499999999999</v>
      </c>
      <c r="AH45" s="8">
        <v>28.945599999999999</v>
      </c>
      <c r="AI45" s="33">
        <v>35.465200000000003</v>
      </c>
    </row>
    <row r="46" spans="1:35" x14ac:dyDescent="0.3">
      <c r="A46" s="23" t="s">
        <v>54</v>
      </c>
      <c r="B46" s="42">
        <v>1.1200000000000001</v>
      </c>
      <c r="C46" s="42">
        <v>0</v>
      </c>
      <c r="D46" s="42">
        <v>0</v>
      </c>
      <c r="E46" s="42">
        <v>0</v>
      </c>
      <c r="F46" s="43">
        <v>0</v>
      </c>
      <c r="G46" s="44"/>
      <c r="H46" s="23" t="s">
        <v>99</v>
      </c>
      <c r="I46" s="8">
        <v>5972.56</v>
      </c>
      <c r="J46" s="8">
        <v>6846.02</v>
      </c>
      <c r="K46" s="8">
        <v>5795.36</v>
      </c>
      <c r="L46" s="8">
        <v>3934.63</v>
      </c>
      <c r="M46" s="33">
        <v>3653.33</v>
      </c>
      <c r="O46" s="23" t="s">
        <v>159</v>
      </c>
      <c r="P46" s="8">
        <v>326.2491</v>
      </c>
      <c r="Q46" s="8">
        <v>229.98079999999999</v>
      </c>
      <c r="R46" s="8">
        <v>309.30599999999998</v>
      </c>
      <c r="S46" s="8">
        <v>351.7174</v>
      </c>
      <c r="T46" s="33">
        <v>399.92180000000002</v>
      </c>
      <c r="V46" s="23" t="s">
        <v>53</v>
      </c>
      <c r="W46" s="8">
        <v>552.07000000000005</v>
      </c>
      <c r="X46" s="8">
        <v>495.6</v>
      </c>
      <c r="Y46" s="8">
        <v>524.70000000000005</v>
      </c>
      <c r="Z46" s="8">
        <v>525.03</v>
      </c>
      <c r="AA46" s="8">
        <v>505.86</v>
      </c>
      <c r="AB46" s="33">
        <v>496.65</v>
      </c>
      <c r="AD46" s="23" t="s">
        <v>58</v>
      </c>
      <c r="AE46" s="8">
        <v>3523.3861999999999</v>
      </c>
      <c r="AF46" s="8">
        <v>4579.8352000000004</v>
      </c>
      <c r="AG46" s="8">
        <v>5656.7691999999997</v>
      </c>
      <c r="AH46" s="8">
        <v>7706.3711000000003</v>
      </c>
      <c r="AI46" s="33">
        <v>7333.0420999999997</v>
      </c>
    </row>
    <row r="47" spans="1:35" ht="15.6" x14ac:dyDescent="0.3">
      <c r="A47" s="23" t="s">
        <v>64</v>
      </c>
      <c r="B47" s="42">
        <v>0</v>
      </c>
      <c r="C47" s="42">
        <v>0.36</v>
      </c>
      <c r="D47" s="42">
        <v>1.45</v>
      </c>
      <c r="E47" s="42">
        <v>2.89</v>
      </c>
      <c r="F47" s="43">
        <v>5.47</v>
      </c>
      <c r="G47" s="48"/>
      <c r="H47" s="41" t="s">
        <v>100</v>
      </c>
      <c r="I47" s="9">
        <f>SUM(I39:I46)</f>
        <v>18072</v>
      </c>
      <c r="J47" s="9">
        <v>22084.240000000002</v>
      </c>
      <c r="K47" s="9">
        <f>SUM(K39:K46)</f>
        <v>26529.439999999999</v>
      </c>
      <c r="L47" s="9">
        <f>SUM(L39:L46)</f>
        <v>26085.190000000002</v>
      </c>
      <c r="M47" s="45">
        <f>SUM(M39:M46)</f>
        <v>25788.190000000002</v>
      </c>
      <c r="O47" s="23" t="s">
        <v>61</v>
      </c>
      <c r="P47" s="8">
        <v>0</v>
      </c>
      <c r="Q47" s="8">
        <v>0</v>
      </c>
      <c r="R47" s="8">
        <v>0</v>
      </c>
      <c r="S47" s="8">
        <v>0</v>
      </c>
      <c r="T47" s="33">
        <v>0</v>
      </c>
      <c r="V47" s="23" t="s">
        <v>159</v>
      </c>
      <c r="W47" s="8">
        <v>1288.75</v>
      </c>
      <c r="X47" s="8">
        <v>1215.72</v>
      </c>
      <c r="Y47" s="8">
        <v>1263.01</v>
      </c>
      <c r="Z47" s="8">
        <v>1347.1</v>
      </c>
      <c r="AA47" s="8">
        <v>1578.34</v>
      </c>
      <c r="AB47" s="33">
        <v>1868.06</v>
      </c>
      <c r="AD47" s="23" t="s">
        <v>159</v>
      </c>
      <c r="AE47" s="8">
        <v>152.589</v>
      </c>
      <c r="AF47" s="8">
        <v>161.91890000000001</v>
      </c>
      <c r="AG47" s="8">
        <v>166.06270000000001</v>
      </c>
      <c r="AH47" s="8">
        <v>28.7974</v>
      </c>
      <c r="AI47" s="33">
        <v>38.039200000000001</v>
      </c>
    </row>
    <row r="48" spans="1:35" ht="15.6" x14ac:dyDescent="0.3">
      <c r="A48" s="16" t="s">
        <v>55</v>
      </c>
      <c r="B48" s="46">
        <f>SUM(B39:B47)</f>
        <v>1280.1199999999999</v>
      </c>
      <c r="C48" s="46">
        <f t="shared" ref="C48:F48" si="19">SUM(C39:C47)</f>
        <v>1585.55</v>
      </c>
      <c r="D48" s="46">
        <f t="shared" si="19"/>
        <v>2027.27</v>
      </c>
      <c r="E48" s="46">
        <f t="shared" si="19"/>
        <v>1046.01</v>
      </c>
      <c r="F48" s="47">
        <f t="shared" si="19"/>
        <v>1155.56</v>
      </c>
      <c r="G48" s="7"/>
      <c r="H48" s="49" t="s">
        <v>16</v>
      </c>
      <c r="I48" s="50">
        <f>I37+I47</f>
        <v>20940.86</v>
      </c>
      <c r="J48" s="50">
        <f>J37+J47</f>
        <v>25138.510000000002</v>
      </c>
      <c r="K48" s="50">
        <f>K37+K47</f>
        <v>29770.16</v>
      </c>
      <c r="L48" s="50">
        <f>L37+L47</f>
        <v>28880.570000000003</v>
      </c>
      <c r="M48" s="51">
        <f>M37+M47</f>
        <v>29448.81</v>
      </c>
      <c r="O48" s="16" t="s">
        <v>279</v>
      </c>
      <c r="P48" s="13">
        <f>SUM(P39,P42,P43:P47)</f>
        <v>2314.6635000000001</v>
      </c>
      <c r="Q48" s="13">
        <f t="shared" ref="Q48:T48" si="20">SUM(Q39,Q42,Q43:Q47)</f>
        <v>2520.9709999999995</v>
      </c>
      <c r="R48" s="13">
        <f t="shared" si="20"/>
        <v>2581.0578</v>
      </c>
      <c r="S48" s="13">
        <f t="shared" si="20"/>
        <v>2205.9661000000001</v>
      </c>
      <c r="T48" s="13">
        <f t="shared" si="20"/>
        <v>3005.7574000000004</v>
      </c>
      <c r="V48" s="23" t="s">
        <v>64</v>
      </c>
      <c r="W48" s="8">
        <v>0</v>
      </c>
      <c r="X48" s="8">
        <v>0</v>
      </c>
      <c r="Y48" s="8">
        <v>0</v>
      </c>
      <c r="Z48" s="8">
        <v>0</v>
      </c>
      <c r="AA48" s="8">
        <v>0</v>
      </c>
      <c r="AB48" s="33">
        <v>0</v>
      </c>
      <c r="AD48" s="16" t="s">
        <v>279</v>
      </c>
      <c r="AE48" s="13">
        <f>SUM(AE44,AE45:AE47,AE41,AE40)</f>
        <v>4247.0173000000004</v>
      </c>
      <c r="AF48" s="13">
        <f t="shared" ref="AF48:AI48" si="21">SUM(AF44,AF45:AF47,AF41,AF40)</f>
        <v>5548.4813000000004</v>
      </c>
      <c r="AG48" s="13">
        <f t="shared" si="21"/>
        <v>6259.9224999999997</v>
      </c>
      <c r="AH48" s="13">
        <f t="shared" si="21"/>
        <v>9240.8574000000008</v>
      </c>
      <c r="AI48" s="13">
        <f t="shared" si="21"/>
        <v>8456.3487999999998</v>
      </c>
    </row>
    <row r="49" spans="1:35" x14ac:dyDescent="0.3">
      <c r="A49" s="6" t="s">
        <v>56</v>
      </c>
      <c r="B49" s="6"/>
      <c r="C49" s="6"/>
      <c r="D49" s="6"/>
      <c r="E49" s="6"/>
      <c r="F49" s="6"/>
      <c r="G49" s="44"/>
      <c r="O49" s="16" t="s">
        <v>280</v>
      </c>
      <c r="P49" s="13">
        <f>P37+P48</f>
        <v>3078.4314000000004</v>
      </c>
      <c r="Q49" s="13">
        <f t="shared" ref="Q49:T49" si="22">Q37+Q48</f>
        <v>3277.0088999999998</v>
      </c>
      <c r="R49" s="13">
        <f t="shared" si="22"/>
        <v>3533.3227999999999</v>
      </c>
      <c r="S49" s="13">
        <f t="shared" si="22"/>
        <v>5460.9337000000005</v>
      </c>
      <c r="T49" s="13">
        <f t="shared" si="22"/>
        <v>6703.2273999999998</v>
      </c>
      <c r="V49" s="23" t="s">
        <v>54</v>
      </c>
      <c r="W49" s="8">
        <v>7056.54</v>
      </c>
      <c r="X49" s="8">
        <v>9307.69</v>
      </c>
      <c r="Y49" s="8">
        <v>12262.44</v>
      </c>
      <c r="Z49" s="8">
        <v>10926</v>
      </c>
      <c r="AA49" s="8">
        <v>10543.76</v>
      </c>
      <c r="AB49" s="33">
        <v>24820.58</v>
      </c>
      <c r="AD49" s="34" t="s">
        <v>281</v>
      </c>
      <c r="AE49" s="30">
        <f>AE29+AE38+AE48</f>
        <v>5384.1612000000005</v>
      </c>
      <c r="AF49" s="30">
        <f>AF29+AF38+AF48+AF41</f>
        <v>6783.2109</v>
      </c>
      <c r="AG49" s="30">
        <f>AG29+AG38+AG48+AG41</f>
        <v>7637.0621999999994</v>
      </c>
      <c r="AH49" s="30">
        <f>AH29+AH38+AH48+AH41</f>
        <v>10777.636900000001</v>
      </c>
      <c r="AI49" s="30">
        <f>AI29+AI38+AI48+AI41</f>
        <v>10253.706499999998</v>
      </c>
    </row>
    <row r="50" spans="1:35" x14ac:dyDescent="0.3">
      <c r="A50" s="23" t="s">
        <v>49</v>
      </c>
      <c r="B50" s="42">
        <v>4.22</v>
      </c>
      <c r="C50" s="42">
        <v>17.11</v>
      </c>
      <c r="D50" s="42">
        <v>16.54</v>
      </c>
      <c r="E50" s="42">
        <v>16.649999999999999</v>
      </c>
      <c r="F50" s="43">
        <v>16.37</v>
      </c>
      <c r="G50" s="7"/>
      <c r="O50" s="34" t="s">
        <v>281</v>
      </c>
      <c r="P50" s="30">
        <f>P31+P49</f>
        <v>5685.2610999999997</v>
      </c>
      <c r="Q50" s="30">
        <f t="shared" ref="Q50:T50" si="23">Q31+Q49</f>
        <v>5961.7560999999996</v>
      </c>
      <c r="R50" s="30">
        <f t="shared" si="23"/>
        <v>6563.8801999999996</v>
      </c>
      <c r="S50" s="30">
        <f t="shared" si="23"/>
        <v>8672.4314000000013</v>
      </c>
      <c r="T50" s="30">
        <f t="shared" si="23"/>
        <v>10340.0507</v>
      </c>
      <c r="V50" s="16" t="s">
        <v>55</v>
      </c>
      <c r="W50" s="13">
        <f t="shared" ref="W50:AB50" si="24">SUM(W43:W49)</f>
        <v>8897.36</v>
      </c>
      <c r="X50" s="13">
        <f t="shared" si="24"/>
        <v>11019.01</v>
      </c>
      <c r="Y50" s="13">
        <f t="shared" si="24"/>
        <v>14052.560000000001</v>
      </c>
      <c r="Z50" s="13">
        <f t="shared" si="24"/>
        <v>12800.64</v>
      </c>
      <c r="AA50" s="13">
        <f t="shared" si="24"/>
        <v>12629.04</v>
      </c>
      <c r="AB50" s="13">
        <f t="shared" si="24"/>
        <v>27186.43</v>
      </c>
    </row>
    <row r="51" spans="1:35" x14ac:dyDescent="0.3">
      <c r="A51" s="15" t="s">
        <v>50</v>
      </c>
      <c r="B51" s="15"/>
      <c r="C51" s="15"/>
      <c r="D51" s="15"/>
      <c r="E51" s="15"/>
      <c r="F51" s="15"/>
      <c r="G51" s="44"/>
      <c r="H51" s="2" t="s">
        <v>473</v>
      </c>
      <c r="I51" s="17">
        <f>I47-I22</f>
        <v>1612.0499999999993</v>
      </c>
      <c r="J51" s="17">
        <f t="shared" ref="J51:M51" si="25">J47-J22</f>
        <v>1301.4700000000012</v>
      </c>
      <c r="K51" s="17">
        <f t="shared" si="25"/>
        <v>1345.5000000000036</v>
      </c>
      <c r="L51" s="17">
        <f t="shared" si="25"/>
        <v>1945.3400000000001</v>
      </c>
      <c r="M51" s="17">
        <f t="shared" si="25"/>
        <v>3153.8400000000038</v>
      </c>
      <c r="V51" s="26" t="s">
        <v>275</v>
      </c>
      <c r="W51" s="57"/>
      <c r="X51" s="57"/>
      <c r="Y51" s="57"/>
      <c r="Z51" s="57"/>
      <c r="AA51" s="57"/>
      <c r="AB51" s="57"/>
      <c r="AD51" s="2" t="s">
        <v>473</v>
      </c>
      <c r="AE51" s="17">
        <f>AE23-AE48</f>
        <v>560.65039999999954</v>
      </c>
      <c r="AF51" s="17">
        <f t="shared" ref="AF51:AI51" si="26">AF23-AF48</f>
        <v>-71.024500000000444</v>
      </c>
      <c r="AG51" s="17">
        <f t="shared" si="26"/>
        <v>-429.95919999999933</v>
      </c>
      <c r="AH51" s="17">
        <f t="shared" si="26"/>
        <v>724.97259999999733</v>
      </c>
      <c r="AI51" s="17">
        <f t="shared" si="26"/>
        <v>989.43320000000131</v>
      </c>
    </row>
    <row r="52" spans="1:35" x14ac:dyDescent="0.3">
      <c r="A52" s="23" t="s">
        <v>63</v>
      </c>
      <c r="B52" s="42">
        <v>0</v>
      </c>
      <c r="C52" s="42">
        <v>1.35</v>
      </c>
      <c r="D52" s="42">
        <v>1.19</v>
      </c>
      <c r="E52" s="42">
        <v>1.92</v>
      </c>
      <c r="F52" s="43">
        <v>2.2599999999999998</v>
      </c>
      <c r="G52" s="44"/>
      <c r="O52" s="2" t="s">
        <v>473</v>
      </c>
      <c r="P52" s="17">
        <f>P25-P48</f>
        <v>2259.3992000000012</v>
      </c>
      <c r="Q52" s="17">
        <f t="shared" ref="Q52:T52" si="27">Q25-Q48</f>
        <v>2378.026100000001</v>
      </c>
      <c r="R52" s="17">
        <f t="shared" si="27"/>
        <v>2942.1774</v>
      </c>
      <c r="S52" s="17">
        <f t="shared" si="27"/>
        <v>5394.1764999999996</v>
      </c>
      <c r="T52" s="17">
        <f t="shared" si="27"/>
        <v>6233.2530999999981</v>
      </c>
      <c r="V52" s="23" t="s">
        <v>51</v>
      </c>
      <c r="W52" s="8">
        <v>5886.5</v>
      </c>
      <c r="X52" s="8">
        <v>9.07</v>
      </c>
      <c r="Y52" s="8">
        <v>0</v>
      </c>
      <c r="Z52" s="8">
        <v>0</v>
      </c>
      <c r="AA52" s="8">
        <v>0</v>
      </c>
      <c r="AB52" s="33">
        <v>0</v>
      </c>
    </row>
    <row r="53" spans="1:35" x14ac:dyDescent="0.3">
      <c r="A53" s="23" t="s">
        <v>57</v>
      </c>
      <c r="B53" s="42">
        <f>64.78+2359.97</f>
        <v>2424.75</v>
      </c>
      <c r="C53" s="42">
        <f>153.43+3145.47</f>
        <v>3298.8999999999996</v>
      </c>
      <c r="D53" s="42">
        <f>248.44+3120.86</f>
        <v>3369.3</v>
      </c>
      <c r="E53" s="42">
        <f>207.54+3122.84</f>
        <v>3330.38</v>
      </c>
      <c r="F53" s="43">
        <f>213.06+3493.25</f>
        <v>3706.31</v>
      </c>
      <c r="G53" s="44"/>
      <c r="V53" s="23" t="s">
        <v>290</v>
      </c>
      <c r="W53" s="8">
        <v>47.79</v>
      </c>
      <c r="X53" s="8">
        <v>46.98</v>
      </c>
      <c r="Y53" s="8">
        <v>45.75</v>
      </c>
      <c r="Z53" s="8">
        <v>64.069999999999993</v>
      </c>
      <c r="AA53" s="8">
        <v>146.05000000000001</v>
      </c>
      <c r="AB53" s="33">
        <v>177.09</v>
      </c>
    </row>
    <row r="54" spans="1:35" x14ac:dyDescent="0.3">
      <c r="A54" s="23" t="s">
        <v>53</v>
      </c>
      <c r="B54" s="42">
        <v>831.95</v>
      </c>
      <c r="C54" s="42">
        <v>958.95</v>
      </c>
      <c r="D54" s="42">
        <v>960.43</v>
      </c>
      <c r="E54" s="42">
        <v>1290.23</v>
      </c>
      <c r="F54" s="43">
        <v>1317.14</v>
      </c>
      <c r="G54" s="44"/>
      <c r="V54" s="23" t="s">
        <v>291</v>
      </c>
      <c r="W54" s="8">
        <v>4035.95</v>
      </c>
      <c r="X54" s="8">
        <v>2194.04</v>
      </c>
      <c r="Y54" s="8">
        <v>2511.86</v>
      </c>
      <c r="Z54" s="8">
        <v>3070.9</v>
      </c>
      <c r="AA54" s="8">
        <v>3266.82</v>
      </c>
      <c r="AB54" s="33">
        <v>4928.58</v>
      </c>
    </row>
    <row r="55" spans="1:35" x14ac:dyDescent="0.3">
      <c r="A55" s="23" t="s">
        <v>58</v>
      </c>
      <c r="B55" s="42">
        <v>9201.75</v>
      </c>
      <c r="C55" s="42">
        <v>12202.96</v>
      </c>
      <c r="D55" s="42">
        <v>14809.07</v>
      </c>
      <c r="E55" s="42">
        <v>15299.06</v>
      </c>
      <c r="F55" s="43">
        <v>16289.84</v>
      </c>
      <c r="G55" s="44"/>
      <c r="V55" s="16" t="s">
        <v>292</v>
      </c>
      <c r="W55" s="13">
        <f>W53+W54</f>
        <v>4083.74</v>
      </c>
      <c r="X55" s="13">
        <f t="shared" ref="X55:AB55" si="28">X53+X54</f>
        <v>2241.02</v>
      </c>
      <c r="Y55" s="13">
        <f t="shared" si="28"/>
        <v>2557.61</v>
      </c>
      <c r="Z55" s="13">
        <f t="shared" si="28"/>
        <v>3134.9700000000003</v>
      </c>
      <c r="AA55" s="13">
        <f t="shared" si="28"/>
        <v>3412.8700000000003</v>
      </c>
      <c r="AB55" s="13">
        <f t="shared" si="28"/>
        <v>5105.67</v>
      </c>
    </row>
    <row r="56" spans="1:35" x14ac:dyDescent="0.3">
      <c r="A56" s="23" t="s">
        <v>59</v>
      </c>
      <c r="B56" s="42">
        <v>315.36</v>
      </c>
      <c r="C56" s="42">
        <v>350.28</v>
      </c>
      <c r="D56" s="42">
        <v>423.82</v>
      </c>
      <c r="E56" s="42">
        <v>627.54</v>
      </c>
      <c r="F56" s="43">
        <v>694.53</v>
      </c>
      <c r="G56" s="44"/>
      <c r="V56" s="11" t="s">
        <v>294</v>
      </c>
      <c r="W56" s="8">
        <v>0</v>
      </c>
      <c r="X56" s="8">
        <v>0</v>
      </c>
      <c r="Y56" s="8">
        <v>0.08</v>
      </c>
      <c r="Z56" s="8">
        <v>0.14000000000000001</v>
      </c>
      <c r="AA56" s="8">
        <v>0.02</v>
      </c>
      <c r="AB56" s="8">
        <v>0.02</v>
      </c>
    </row>
    <row r="57" spans="1:35" x14ac:dyDescent="0.3">
      <c r="A57" s="23" t="s">
        <v>61</v>
      </c>
      <c r="B57" s="42">
        <v>0</v>
      </c>
      <c r="C57" s="42">
        <v>0</v>
      </c>
      <c r="D57" s="42">
        <v>0.69</v>
      </c>
      <c r="E57" s="42">
        <v>0</v>
      </c>
      <c r="F57" s="43">
        <v>0.28000000000000003</v>
      </c>
      <c r="G57" s="44"/>
      <c r="V57" s="23" t="s">
        <v>53</v>
      </c>
      <c r="W57" s="8">
        <v>2505.39</v>
      </c>
      <c r="X57" s="8">
        <v>1967.48</v>
      </c>
      <c r="Y57" s="8">
        <v>1853.6</v>
      </c>
      <c r="Z57" s="8">
        <v>2109.4299999999998</v>
      </c>
      <c r="AA57" s="8">
        <v>2451.38</v>
      </c>
      <c r="AB57" s="33">
        <v>2829.32</v>
      </c>
    </row>
    <row r="58" spans="1:35" x14ac:dyDescent="0.3">
      <c r="A58" s="16" t="s">
        <v>82</v>
      </c>
      <c r="B58" s="46">
        <f>SUM(B50:B57)</f>
        <v>12778.03</v>
      </c>
      <c r="C58" s="46">
        <f t="shared" ref="C58:F58" si="29">SUM(C50:C57)</f>
        <v>16829.549999999996</v>
      </c>
      <c r="D58" s="46">
        <f t="shared" si="29"/>
        <v>19581.039999999997</v>
      </c>
      <c r="E58" s="46">
        <f t="shared" si="29"/>
        <v>20565.78</v>
      </c>
      <c r="F58" s="47">
        <f t="shared" si="29"/>
        <v>22026.729999999996</v>
      </c>
      <c r="G58" s="48"/>
      <c r="V58" s="23" t="s">
        <v>58</v>
      </c>
      <c r="W58" s="8">
        <v>13028.89</v>
      </c>
      <c r="X58" s="8">
        <v>16894.22</v>
      </c>
      <c r="Y58" s="8">
        <v>14755.15</v>
      </c>
      <c r="Z58" s="8">
        <v>18537.14</v>
      </c>
      <c r="AA58" s="8">
        <v>22549.68</v>
      </c>
      <c r="AB58" s="33">
        <v>27603.27</v>
      </c>
    </row>
    <row r="59" spans="1:35" x14ac:dyDescent="0.3">
      <c r="A59" s="34" t="s">
        <v>62</v>
      </c>
      <c r="B59" s="52">
        <f>B36+B48+B50+B53+B54+B55+B56+B57</f>
        <v>23911.090000000004</v>
      </c>
      <c r="C59" s="52">
        <f>C36+C48+C50+C53+C54+C55+C56+C57+C52</f>
        <v>29489.669999999995</v>
      </c>
      <c r="D59" s="52">
        <f>D36+D48+D50+D53+D54+D55+D56+D57+D52</f>
        <v>33910.580000000009</v>
      </c>
      <c r="E59" s="52">
        <f>E36+E48+E50+E53+E54+E55+E56+E57+E52</f>
        <v>35491.17</v>
      </c>
      <c r="F59" s="53">
        <f>F36+F48+F50+F53+F54+F55+F56+F57+F52</f>
        <v>39526.68</v>
      </c>
      <c r="G59" s="44"/>
      <c r="V59" s="23" t="s">
        <v>159</v>
      </c>
      <c r="W59" s="8">
        <v>5041.92</v>
      </c>
      <c r="X59" s="8">
        <v>3976.38</v>
      </c>
      <c r="Y59" s="8">
        <v>5056.96</v>
      </c>
      <c r="Z59" s="8">
        <v>6778.31</v>
      </c>
      <c r="AA59" s="8">
        <v>7610.71</v>
      </c>
      <c r="AB59" s="33">
        <v>8417.36</v>
      </c>
    </row>
    <row r="60" spans="1:35" x14ac:dyDescent="0.3">
      <c r="V60" s="23" t="s">
        <v>61</v>
      </c>
      <c r="W60" s="8">
        <v>580.76</v>
      </c>
      <c r="X60" s="8">
        <v>422.54</v>
      </c>
      <c r="Y60" s="8">
        <v>799.14</v>
      </c>
      <c r="Z60" s="8">
        <v>267.27999999999997</v>
      </c>
      <c r="AA60" s="8">
        <v>299.67</v>
      </c>
      <c r="AB60" s="33">
        <v>139.61000000000001</v>
      </c>
    </row>
    <row r="61" spans="1:35" x14ac:dyDescent="0.3">
      <c r="V61" s="16" t="s">
        <v>279</v>
      </c>
      <c r="W61" s="13">
        <f>SUM(W52,W55,W56:W60)</f>
        <v>31127.199999999993</v>
      </c>
      <c r="X61" s="13">
        <f t="shared" ref="X61:AB61" si="30">SUM(X52,X55,X56:X60)</f>
        <v>25510.710000000003</v>
      </c>
      <c r="Y61" s="13">
        <f t="shared" si="30"/>
        <v>25022.539999999997</v>
      </c>
      <c r="Z61" s="13">
        <f t="shared" si="30"/>
        <v>30827.27</v>
      </c>
      <c r="AA61" s="13">
        <f t="shared" si="30"/>
        <v>36324.33</v>
      </c>
      <c r="AB61" s="13">
        <f t="shared" si="30"/>
        <v>44095.25</v>
      </c>
    </row>
    <row r="62" spans="1:35" x14ac:dyDescent="0.3">
      <c r="V62" s="34" t="s">
        <v>293</v>
      </c>
      <c r="W62" s="30">
        <f t="shared" ref="W62:AB62" si="31">W40+W50+W61</f>
        <v>53277.37999999999</v>
      </c>
      <c r="X62" s="30">
        <f t="shared" si="31"/>
        <v>51945.9</v>
      </c>
      <c r="Y62" s="30">
        <f t="shared" si="31"/>
        <v>58391.979999999996</v>
      </c>
      <c r="Z62" s="30">
        <f t="shared" si="31"/>
        <v>67203.8</v>
      </c>
      <c r="AA62" s="30">
        <f t="shared" si="31"/>
        <v>78095.179999999993</v>
      </c>
      <c r="AB62" s="30">
        <f t="shared" si="31"/>
        <v>106266.85</v>
      </c>
    </row>
    <row r="64" spans="1:35" x14ac:dyDescent="0.3">
      <c r="V64" s="2" t="s">
        <v>473</v>
      </c>
      <c r="W64" s="17">
        <f>W31-W61</f>
        <v>10266.600000000002</v>
      </c>
      <c r="X64" s="17">
        <f t="shared" ref="X64:AB64" si="32">X31-X61</f>
        <v>14660.639999999996</v>
      </c>
      <c r="Y64" s="17">
        <f t="shared" si="32"/>
        <v>19962.370000000006</v>
      </c>
      <c r="Z64" s="17">
        <f t="shared" si="32"/>
        <v>21049.66</v>
      </c>
      <c r="AA64" s="17">
        <f t="shared" si="32"/>
        <v>26693.159999999996</v>
      </c>
      <c r="AB64" s="17">
        <f t="shared" si="32"/>
        <v>45999.349999999977</v>
      </c>
    </row>
    <row r="65" spans="1:35" x14ac:dyDescent="0.3">
      <c r="A65" s="2" t="s">
        <v>473</v>
      </c>
      <c r="B65" s="44">
        <f>B30-B58</f>
        <v>5816.5599999999995</v>
      </c>
      <c r="C65" s="44">
        <f t="shared" ref="C65:F65" si="33">C30-C58</f>
        <v>6883.7600000000057</v>
      </c>
      <c r="D65" s="44">
        <f t="shared" si="33"/>
        <v>7712.6700000000019</v>
      </c>
      <c r="E65" s="44">
        <f t="shared" si="33"/>
        <v>9481.9600000000028</v>
      </c>
      <c r="F65" s="44">
        <f t="shared" si="33"/>
        <v>12036.250000000007</v>
      </c>
      <c r="G65" s="44"/>
      <c r="H65" s="44"/>
      <c r="I65" s="44"/>
      <c r="J65" s="44"/>
      <c r="K65" s="44"/>
      <c r="L65" s="44"/>
      <c r="M65" s="44"/>
      <c r="N65" s="44"/>
      <c r="O65" s="44"/>
      <c r="P65" s="44"/>
      <c r="Q65" s="44"/>
      <c r="R65" s="44"/>
      <c r="S65" s="44"/>
      <c r="T65" s="44"/>
      <c r="U65" s="44"/>
      <c r="V65" s="44"/>
      <c r="W65" s="44"/>
      <c r="X65" s="44"/>
      <c r="Y65" s="44"/>
      <c r="Z65" s="44"/>
      <c r="AA65" s="44"/>
      <c r="AB65" s="44"/>
      <c r="AC65" s="44"/>
      <c r="AD65" s="44"/>
      <c r="AE65" s="44"/>
      <c r="AF65" s="44"/>
      <c r="AG65" s="44"/>
      <c r="AH65" s="44"/>
      <c r="AI65" s="44"/>
    </row>
  </sheetData>
  <pageMargins left="0.7" right="0.7" top="0.75" bottom="0.75" header="0.3" footer="0.3"/>
  <tableParts count="5">
    <tablePart r:id="rId1"/>
    <tablePart r:id="rId2"/>
    <tablePart r:id="rId3"/>
    <tablePart r:id="rId4"/>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7A62-683B-43DF-89BA-70D79E3C7817}">
  <dimension ref="A1:AI38"/>
  <sheetViews>
    <sheetView topLeftCell="AC6" zoomScale="80" zoomScaleNormal="80" workbookViewId="0">
      <selection activeCell="A40" sqref="A40"/>
    </sheetView>
  </sheetViews>
  <sheetFormatPr defaultRowHeight="14.4" x14ac:dyDescent="0.3"/>
  <cols>
    <col min="1" max="1" width="57.5546875" style="2" bestFit="1" customWidth="1"/>
    <col min="2" max="2" width="11" style="2" bestFit="1" customWidth="1"/>
    <col min="3" max="6" width="9.88671875" style="2" bestFit="1" customWidth="1"/>
    <col min="7" max="7" width="8.88671875" style="2"/>
    <col min="8" max="8" width="57.5546875" style="2" bestFit="1" customWidth="1"/>
    <col min="9" max="13" width="11" style="2" bestFit="1" customWidth="1"/>
    <col min="14" max="14" width="8.88671875" style="2"/>
    <col min="15" max="15" width="34" style="2" bestFit="1" customWidth="1"/>
    <col min="16" max="21" width="8.88671875" style="2"/>
    <col min="22" max="22" width="41.44140625" style="2" bestFit="1" customWidth="1"/>
    <col min="23" max="28" width="8.88671875" style="2"/>
    <col min="29" max="29" width="60" style="2" customWidth="1"/>
    <col min="30" max="35" width="9.88671875" style="2" bestFit="1" customWidth="1"/>
    <col min="36" max="16384" width="8.88671875" style="2"/>
  </cols>
  <sheetData>
    <row r="1" spans="1:35" ht="37.200000000000003" customHeight="1" x14ac:dyDescent="0.3">
      <c r="A1" s="100" t="s">
        <v>305</v>
      </c>
      <c r="F1" s="2" t="e" vm="2">
        <v>#VALUE!</v>
      </c>
      <c r="M1" s="2" t="e" vm="1">
        <v>#VALUE!</v>
      </c>
      <c r="T1" s="10" t="e" vm="5">
        <v>#VALUE!</v>
      </c>
      <c r="AA1" s="2" t="e" vm="3">
        <v>#VALUE!</v>
      </c>
      <c r="AI1" s="2" t="e" vm="4">
        <v>#VALUE!</v>
      </c>
    </row>
    <row r="2" spans="1:35" s="10" customFormat="1" ht="15.6" x14ac:dyDescent="0.3">
      <c r="A2" s="110" t="s">
        <v>12</v>
      </c>
      <c r="B2" s="111" t="s">
        <v>101</v>
      </c>
      <c r="C2" s="111" t="s">
        <v>102</v>
      </c>
      <c r="D2" s="111" t="s">
        <v>103</v>
      </c>
      <c r="E2" s="111" t="s">
        <v>104</v>
      </c>
      <c r="F2" s="111" t="s">
        <v>105</v>
      </c>
      <c r="H2" s="105" t="s">
        <v>12</v>
      </c>
      <c r="I2" s="106" t="s">
        <v>101</v>
      </c>
      <c r="J2" s="106" t="s">
        <v>102</v>
      </c>
      <c r="K2" s="106" t="s">
        <v>103</v>
      </c>
      <c r="L2" s="106" t="s">
        <v>104</v>
      </c>
      <c r="M2" s="107" t="s">
        <v>105</v>
      </c>
      <c r="O2" s="10" t="s">
        <v>12</v>
      </c>
      <c r="P2" s="10" t="s">
        <v>249</v>
      </c>
      <c r="Q2" s="10" t="s">
        <v>250</v>
      </c>
      <c r="R2" s="10" t="s">
        <v>251</v>
      </c>
      <c r="S2" s="10" t="s">
        <v>252</v>
      </c>
      <c r="T2" s="10" t="s">
        <v>247</v>
      </c>
      <c r="V2" s="10" t="s">
        <v>12</v>
      </c>
      <c r="W2" s="10" t="s">
        <v>249</v>
      </c>
      <c r="X2" s="10" t="s">
        <v>250</v>
      </c>
      <c r="Y2" s="10" t="s">
        <v>251</v>
      </c>
      <c r="Z2" s="10" t="s">
        <v>252</v>
      </c>
      <c r="AA2" s="10" t="s">
        <v>247</v>
      </c>
      <c r="AC2" s="10" t="s">
        <v>12</v>
      </c>
      <c r="AD2" s="10" t="s">
        <v>249</v>
      </c>
      <c r="AE2" s="10" t="s">
        <v>250</v>
      </c>
      <c r="AF2" s="10" t="s">
        <v>251</v>
      </c>
      <c r="AG2" s="10" t="s">
        <v>252</v>
      </c>
      <c r="AH2" s="10" t="s">
        <v>247</v>
      </c>
      <c r="AI2" s="10" t="s">
        <v>248</v>
      </c>
    </row>
    <row r="3" spans="1:35" ht="15.6" x14ac:dyDescent="0.3">
      <c r="A3" s="93" t="s">
        <v>106</v>
      </c>
      <c r="B3" s="93"/>
      <c r="C3" s="93"/>
      <c r="D3" s="93"/>
      <c r="E3" s="93"/>
      <c r="F3" s="93"/>
      <c r="H3" s="108" t="s">
        <v>106</v>
      </c>
      <c r="I3" s="109"/>
      <c r="J3" s="109"/>
      <c r="K3" s="109"/>
      <c r="L3" s="109"/>
      <c r="M3" s="112"/>
      <c r="O3" s="26" t="s">
        <v>306</v>
      </c>
      <c r="P3" s="26"/>
      <c r="Q3" s="26"/>
      <c r="R3" s="26"/>
      <c r="S3" s="26"/>
      <c r="T3" s="26"/>
      <c r="V3" s="83" t="s">
        <v>306</v>
      </c>
      <c r="W3" s="83"/>
      <c r="X3" s="83"/>
      <c r="Y3" s="83"/>
      <c r="Z3" s="83"/>
      <c r="AA3" s="83"/>
      <c r="AC3" s="26" t="s">
        <v>306</v>
      </c>
      <c r="AD3" s="26"/>
      <c r="AE3" s="26"/>
      <c r="AF3" s="26"/>
      <c r="AG3" s="26"/>
      <c r="AH3" s="26"/>
      <c r="AI3" s="26"/>
    </row>
    <row r="4" spans="1:35" ht="15.6" x14ac:dyDescent="0.3">
      <c r="A4" s="112" t="s">
        <v>107</v>
      </c>
      <c r="B4" s="55">
        <v>9068.01</v>
      </c>
      <c r="C4" s="55">
        <v>7584.03</v>
      </c>
      <c r="D4" s="55">
        <v>5717.61</v>
      </c>
      <c r="E4" s="55">
        <v>4041.58</v>
      </c>
      <c r="F4" s="113">
        <v>4977.6499999999996</v>
      </c>
      <c r="H4" s="102" t="s">
        <v>107</v>
      </c>
      <c r="I4" s="9">
        <v>19819.93</v>
      </c>
      <c r="J4" s="9">
        <v>17333.37</v>
      </c>
      <c r="K4" s="9">
        <v>15043.67</v>
      </c>
      <c r="L4" s="9">
        <v>13818.16</v>
      </c>
      <c r="M4" s="9">
        <v>12967.67</v>
      </c>
      <c r="O4" s="23" t="s">
        <v>307</v>
      </c>
      <c r="P4" s="8">
        <v>1433.2953</v>
      </c>
      <c r="Q4" s="8">
        <v>1140.8353</v>
      </c>
      <c r="R4" s="8">
        <v>1757.51</v>
      </c>
      <c r="S4" s="8">
        <v>2561.1451000000002</v>
      </c>
      <c r="T4" s="33">
        <v>3592.6423</v>
      </c>
      <c r="V4" s="23" t="s">
        <v>307</v>
      </c>
      <c r="W4" s="8">
        <v>3104.8719999999998</v>
      </c>
      <c r="X4" s="8">
        <v>1913.7594999999999</v>
      </c>
      <c r="Y4" s="8">
        <v>2817.4027999999998</v>
      </c>
      <c r="Z4" s="8">
        <v>2489.3924999999999</v>
      </c>
      <c r="AA4" s="33">
        <v>2369.2750999999998</v>
      </c>
      <c r="AC4" s="23" t="s">
        <v>307</v>
      </c>
      <c r="AD4" s="8">
        <v>21445.16</v>
      </c>
      <c r="AE4" s="8">
        <v>22754.54</v>
      </c>
      <c r="AF4" s="8">
        <v>24620.02</v>
      </c>
      <c r="AG4" s="8">
        <v>26927.46</v>
      </c>
      <c r="AH4" s="8">
        <v>30381.08</v>
      </c>
      <c r="AI4" s="33">
        <v>30980.95</v>
      </c>
    </row>
    <row r="5" spans="1:35" ht="15.6" x14ac:dyDescent="0.3">
      <c r="A5" s="41" t="s">
        <v>108</v>
      </c>
      <c r="B5" s="9">
        <v>9068.01</v>
      </c>
      <c r="C5" s="9">
        <v>7584.03</v>
      </c>
      <c r="D5" s="9">
        <v>5717.61</v>
      </c>
      <c r="E5" s="9">
        <v>4041.58</v>
      </c>
      <c r="F5" s="45">
        <v>4977.6499999999996</v>
      </c>
      <c r="H5" s="102" t="s">
        <v>108</v>
      </c>
      <c r="I5" s="9">
        <v>19819.93</v>
      </c>
      <c r="J5" s="9">
        <v>17333.37</v>
      </c>
      <c r="K5" s="9">
        <v>15043.67</v>
      </c>
      <c r="L5" s="9">
        <v>13818.16</v>
      </c>
      <c r="M5" s="9">
        <f>M4</f>
        <v>12967.67</v>
      </c>
      <c r="O5" s="23" t="s">
        <v>308</v>
      </c>
      <c r="P5" s="8">
        <v>225.49940000000001</v>
      </c>
      <c r="Q5" s="8">
        <v>187.59559999999999</v>
      </c>
      <c r="R5" s="8">
        <v>160.65</v>
      </c>
      <c r="S5" s="8">
        <v>201.8355</v>
      </c>
      <c r="T5" s="33">
        <v>299.62189999999998</v>
      </c>
      <c r="V5" s="23" t="s">
        <v>308</v>
      </c>
      <c r="W5" s="8">
        <v>88.050299999999993</v>
      </c>
      <c r="X5" s="8">
        <v>94.613600000000005</v>
      </c>
      <c r="Y5" s="8">
        <v>111.21040000000001</v>
      </c>
      <c r="Z5" s="8">
        <v>155.40219999999999</v>
      </c>
      <c r="AA5" s="33">
        <v>361.82929999999999</v>
      </c>
      <c r="AC5" s="23" t="s">
        <v>308</v>
      </c>
      <c r="AD5" s="8">
        <v>296.57</v>
      </c>
      <c r="AE5" s="8">
        <v>358.23</v>
      </c>
      <c r="AF5" s="8">
        <v>984.93</v>
      </c>
      <c r="AG5" s="8">
        <v>1670.12</v>
      </c>
      <c r="AH5" s="8">
        <v>1896.6</v>
      </c>
      <c r="AI5" s="33">
        <v>2561.69</v>
      </c>
    </row>
    <row r="6" spans="1:35" x14ac:dyDescent="0.3">
      <c r="A6" s="23" t="s">
        <v>109</v>
      </c>
      <c r="B6" s="8">
        <v>398.57</v>
      </c>
      <c r="C6" s="8">
        <v>243.15</v>
      </c>
      <c r="D6" s="8">
        <v>15.67</v>
      </c>
      <c r="E6" s="8">
        <v>6.24</v>
      </c>
      <c r="F6" s="33">
        <v>0</v>
      </c>
      <c r="H6" s="11" t="s">
        <v>109</v>
      </c>
      <c r="I6" s="8">
        <v>349.46</v>
      </c>
      <c r="J6" s="8">
        <v>312.83</v>
      </c>
      <c r="K6" s="8">
        <v>270.08999999999997</v>
      </c>
      <c r="L6" s="8">
        <v>245.67</v>
      </c>
      <c r="M6" s="8">
        <v>0</v>
      </c>
      <c r="O6" s="16" t="s">
        <v>309</v>
      </c>
      <c r="P6" s="13">
        <f>P4+P5</f>
        <v>1658.7946999999999</v>
      </c>
      <c r="Q6" s="13">
        <f t="shared" ref="Q6:T6" si="0">Q4+Q5</f>
        <v>1328.4308999999998</v>
      </c>
      <c r="R6" s="13">
        <f t="shared" si="0"/>
        <v>1918.16</v>
      </c>
      <c r="S6" s="13">
        <f t="shared" si="0"/>
        <v>2762.9806000000003</v>
      </c>
      <c r="T6" s="13">
        <f t="shared" si="0"/>
        <v>3892.2642000000001</v>
      </c>
      <c r="V6" s="16" t="s">
        <v>309</v>
      </c>
      <c r="W6" s="13">
        <f>W4+W5</f>
        <v>3192.9222999999997</v>
      </c>
      <c r="X6" s="13">
        <f t="shared" ref="X6:AA6" si="1">X4+X5</f>
        <v>2008.3730999999998</v>
      </c>
      <c r="Y6" s="13">
        <f t="shared" si="1"/>
        <v>2928.6131999999998</v>
      </c>
      <c r="Z6" s="13">
        <f t="shared" si="1"/>
        <v>2644.7946999999999</v>
      </c>
      <c r="AA6" s="13">
        <f t="shared" si="1"/>
        <v>2731.1043999999997</v>
      </c>
      <c r="AC6" s="16" t="s">
        <v>331</v>
      </c>
      <c r="AD6" s="13">
        <f>AD4+AD5</f>
        <v>21741.73</v>
      </c>
      <c r="AE6" s="13">
        <f t="shared" ref="AE6:AI6" si="2">AE4+AE5</f>
        <v>23112.77</v>
      </c>
      <c r="AF6" s="13">
        <f t="shared" si="2"/>
        <v>25604.95</v>
      </c>
      <c r="AG6" s="13">
        <f t="shared" si="2"/>
        <v>28597.579999999998</v>
      </c>
      <c r="AH6" s="13">
        <f t="shared" si="2"/>
        <v>32277.68</v>
      </c>
      <c r="AI6" s="13">
        <f t="shared" si="2"/>
        <v>33542.639999999999</v>
      </c>
    </row>
    <row r="7" spans="1:35" ht="15.6" x14ac:dyDescent="0.3">
      <c r="A7" s="41" t="s">
        <v>110</v>
      </c>
      <c r="B7" s="9">
        <v>9466.58</v>
      </c>
      <c r="C7" s="9">
        <v>7827.18</v>
      </c>
      <c r="D7" s="9">
        <v>5733.28</v>
      </c>
      <c r="E7" s="9">
        <v>4047.82</v>
      </c>
      <c r="F7" s="45">
        <f>F5+F6</f>
        <v>4977.6499999999996</v>
      </c>
      <c r="H7" s="102" t="s">
        <v>110</v>
      </c>
      <c r="I7" s="9">
        <v>20169.39</v>
      </c>
      <c r="J7" s="9">
        <v>17646.2</v>
      </c>
      <c r="K7" s="9">
        <v>15313.76</v>
      </c>
      <c r="L7" s="9">
        <v>14063.83</v>
      </c>
      <c r="M7" s="9">
        <v>0</v>
      </c>
      <c r="O7" s="26" t="s">
        <v>310</v>
      </c>
      <c r="P7" s="57"/>
      <c r="Q7" s="57"/>
      <c r="R7" s="57"/>
      <c r="S7" s="57"/>
      <c r="T7" s="57"/>
      <c r="V7" s="83" t="s">
        <v>310</v>
      </c>
      <c r="W7" s="84"/>
      <c r="X7" s="84"/>
      <c r="Y7" s="84"/>
      <c r="Z7" s="84"/>
      <c r="AA7" s="84"/>
      <c r="AC7" s="26" t="s">
        <v>310</v>
      </c>
      <c r="AD7" s="56"/>
      <c r="AE7" s="56"/>
      <c r="AF7" s="56"/>
      <c r="AG7" s="56"/>
      <c r="AH7" s="56"/>
      <c r="AI7" s="56"/>
    </row>
    <row r="8" spans="1:35" x14ac:dyDescent="0.3">
      <c r="A8" s="23" t="s">
        <v>111</v>
      </c>
      <c r="B8" s="8">
        <v>1138.02</v>
      </c>
      <c r="C8" s="8">
        <v>713.48</v>
      </c>
      <c r="D8" s="8">
        <v>433.63</v>
      </c>
      <c r="E8" s="8">
        <v>574.1</v>
      </c>
      <c r="F8" s="33">
        <v>557.66999999999996</v>
      </c>
      <c r="H8" s="11" t="s">
        <v>111</v>
      </c>
      <c r="I8" s="8">
        <v>755.84</v>
      </c>
      <c r="J8" s="8">
        <v>360.02</v>
      </c>
      <c r="K8" s="8">
        <v>233.59</v>
      </c>
      <c r="L8" s="8">
        <v>126.1</v>
      </c>
      <c r="M8" s="8">
        <v>99.4</v>
      </c>
      <c r="O8" s="23" t="s">
        <v>311</v>
      </c>
      <c r="P8" s="8">
        <v>691.69709999999998</v>
      </c>
      <c r="Q8" s="8">
        <v>447.24889999999999</v>
      </c>
      <c r="R8" s="8">
        <v>935.20370000000003</v>
      </c>
      <c r="S8" s="8">
        <v>1495.2438999999999</v>
      </c>
      <c r="T8" s="33">
        <v>2060.3678</v>
      </c>
      <c r="V8" s="23" t="s">
        <v>311</v>
      </c>
      <c r="W8" s="8">
        <v>1014.0885</v>
      </c>
      <c r="X8" s="8">
        <v>970.08309999999994</v>
      </c>
      <c r="Y8" s="8">
        <v>1263.3655000000001</v>
      </c>
      <c r="Z8" s="8">
        <v>1210.3345999999999</v>
      </c>
      <c r="AA8" s="33">
        <v>1119.9590000000001</v>
      </c>
      <c r="AC8" s="23" t="s">
        <v>311</v>
      </c>
      <c r="AD8" s="8">
        <v>8164.53</v>
      </c>
      <c r="AE8" s="8">
        <v>7764.72</v>
      </c>
      <c r="AF8" s="8">
        <v>8752.24</v>
      </c>
      <c r="AG8" s="8">
        <v>9993.68</v>
      </c>
      <c r="AH8" s="8">
        <v>12346.33</v>
      </c>
      <c r="AI8" s="33">
        <v>19234.46</v>
      </c>
    </row>
    <row r="9" spans="1:35" ht="15.6" x14ac:dyDescent="0.3">
      <c r="A9" s="49" t="s">
        <v>112</v>
      </c>
      <c r="B9" s="50">
        <v>10604.6</v>
      </c>
      <c r="C9" s="50">
        <v>8540.66</v>
      </c>
      <c r="D9" s="50">
        <v>6166.91</v>
      </c>
      <c r="E9" s="50">
        <f>E7+E8</f>
        <v>4621.92</v>
      </c>
      <c r="F9" s="51">
        <f>F7+F8</f>
        <v>5535.32</v>
      </c>
      <c r="H9" s="102" t="s">
        <v>112</v>
      </c>
      <c r="I9" s="9">
        <v>20925.23</v>
      </c>
      <c r="J9" s="9">
        <v>18006.22</v>
      </c>
      <c r="K9" s="9">
        <v>15547.35</v>
      </c>
      <c r="L9" s="9">
        <v>14189.93</v>
      </c>
      <c r="M9" s="9">
        <f>M5+M8</f>
        <v>13067.07</v>
      </c>
      <c r="O9" s="23" t="s">
        <v>312</v>
      </c>
      <c r="P9" s="8">
        <v>54.262599999999999</v>
      </c>
      <c r="Q9" s="8">
        <v>23.922699999999999</v>
      </c>
      <c r="R9" s="8">
        <v>8.3650000000000002</v>
      </c>
      <c r="S9" s="8">
        <v>112.1006</v>
      </c>
      <c r="T9" s="33">
        <v>197.06559999999999</v>
      </c>
      <c r="V9" s="23" t="s">
        <v>327</v>
      </c>
      <c r="W9" s="8">
        <v>503.66329999999999</v>
      </c>
      <c r="X9" s="8">
        <v>-128.9075</v>
      </c>
      <c r="Y9" s="8">
        <v>-84.355800000000002</v>
      </c>
      <c r="Z9" s="8">
        <v>-19.037199999999999</v>
      </c>
      <c r="AA9" s="33">
        <v>-222.63149999999999</v>
      </c>
      <c r="AC9" s="23" t="s">
        <v>332</v>
      </c>
      <c r="AD9" s="8">
        <v>587.15</v>
      </c>
      <c r="AE9" s="8">
        <v>821.16</v>
      </c>
      <c r="AF9" s="8">
        <v>656.68</v>
      </c>
      <c r="AG9" s="8">
        <v>799.15</v>
      </c>
      <c r="AH9" s="8">
        <v>671.4</v>
      </c>
      <c r="AI9" s="33">
        <v>679.37</v>
      </c>
    </row>
    <row r="10" spans="1:35" ht="15.6" x14ac:dyDescent="0.3">
      <c r="A10" s="93" t="s">
        <v>113</v>
      </c>
      <c r="B10" s="93"/>
      <c r="C10" s="93"/>
      <c r="D10" s="93"/>
      <c r="E10" s="93"/>
      <c r="F10" s="93"/>
      <c r="H10" s="58" t="s">
        <v>113</v>
      </c>
      <c r="I10" s="59"/>
      <c r="J10" s="59"/>
      <c r="K10" s="59"/>
      <c r="L10" s="59"/>
      <c r="M10" s="41"/>
      <c r="O10" s="23" t="s">
        <v>313</v>
      </c>
      <c r="P10" s="8">
        <v>-24.1995</v>
      </c>
      <c r="Q10" s="8">
        <v>11.329000000000001</v>
      </c>
      <c r="R10" s="8">
        <v>0.3871</v>
      </c>
      <c r="S10" s="8">
        <v>4.7266000000000004</v>
      </c>
      <c r="T10" s="33">
        <v>-6.0555000000000003</v>
      </c>
      <c r="V10" s="23" t="s">
        <v>315</v>
      </c>
      <c r="W10" s="8">
        <v>534.03070000000002</v>
      </c>
      <c r="X10" s="8">
        <v>501.08859999999999</v>
      </c>
      <c r="Y10" s="8">
        <v>570.66269999999997</v>
      </c>
      <c r="Z10" s="8">
        <v>532.46429999999998</v>
      </c>
      <c r="AA10" s="33">
        <v>600.00760000000002</v>
      </c>
      <c r="AC10" s="23" t="s">
        <v>333</v>
      </c>
      <c r="AD10" s="8">
        <v>635.67999999999995</v>
      </c>
      <c r="AE10" s="8">
        <v>2458.14</v>
      </c>
      <c r="AF10" s="8">
        <v>592.29999999999995</v>
      </c>
      <c r="AG10" s="8">
        <v>-690.72</v>
      </c>
      <c r="AH10" s="8">
        <v>-1958.64</v>
      </c>
      <c r="AI10" s="33">
        <v>-7625.79</v>
      </c>
    </row>
    <row r="11" spans="1:35" x14ac:dyDescent="0.3">
      <c r="A11" s="91" t="s">
        <v>114</v>
      </c>
      <c r="B11" s="54">
        <v>0</v>
      </c>
      <c r="C11" s="54">
        <v>0</v>
      </c>
      <c r="D11" s="54">
        <v>0</v>
      </c>
      <c r="E11" s="54">
        <v>1881.91</v>
      </c>
      <c r="F11" s="92">
        <v>2503.1799999999998</v>
      </c>
      <c r="H11" s="11" t="s">
        <v>114</v>
      </c>
      <c r="I11" s="8">
        <v>10497.62</v>
      </c>
      <c r="J11" s="8">
        <v>9378.44</v>
      </c>
      <c r="K11" s="8">
        <v>8125.98</v>
      </c>
      <c r="L11" s="8">
        <v>6723.94</v>
      </c>
      <c r="M11" s="8">
        <f>5869.26+27.74</f>
        <v>5897</v>
      </c>
      <c r="O11" s="23" t="s">
        <v>314</v>
      </c>
      <c r="P11" s="8">
        <v>170.07210000000001</v>
      </c>
      <c r="Q11" s="8">
        <v>129.92599999999999</v>
      </c>
      <c r="R11" s="8">
        <v>254.59350000000001</v>
      </c>
      <c r="S11" s="8">
        <v>317.93340000000001</v>
      </c>
      <c r="T11" s="33">
        <v>524.93240000000003</v>
      </c>
      <c r="V11" s="23" t="s">
        <v>328</v>
      </c>
      <c r="W11" s="8">
        <v>4.6557000000000004</v>
      </c>
      <c r="X11" s="8">
        <v>3.9127999999999998</v>
      </c>
      <c r="Y11" s="8">
        <v>3.4243000000000001</v>
      </c>
      <c r="Z11" s="8">
        <v>4.5364000000000004</v>
      </c>
      <c r="AA11" s="33">
        <v>3.1052</v>
      </c>
      <c r="AC11" s="23" t="s">
        <v>315</v>
      </c>
      <c r="AD11" s="8">
        <v>4777.62</v>
      </c>
      <c r="AE11" s="8">
        <v>4305.17</v>
      </c>
      <c r="AF11" s="8">
        <v>4604.42</v>
      </c>
      <c r="AG11" s="8">
        <v>4910.37</v>
      </c>
      <c r="AH11" s="8">
        <v>5290.69</v>
      </c>
      <c r="AI11" s="33">
        <v>5730.37</v>
      </c>
    </row>
    <row r="12" spans="1:35" x14ac:dyDescent="0.3">
      <c r="A12" s="23" t="s">
        <v>115</v>
      </c>
      <c r="B12" s="8">
        <v>6627.6</v>
      </c>
      <c r="C12" s="8">
        <v>5155.53</v>
      </c>
      <c r="D12" s="8">
        <v>4215.1400000000003</v>
      </c>
      <c r="E12" s="8">
        <v>1155.21</v>
      </c>
      <c r="F12" s="33">
        <f>362.23+744.09+16.52+113.7</f>
        <v>1236.5400000000002</v>
      </c>
      <c r="H12" s="11" t="s">
        <v>135</v>
      </c>
      <c r="I12" s="8">
        <v>628.86</v>
      </c>
      <c r="J12" s="8">
        <v>827.85</v>
      </c>
      <c r="K12" s="8">
        <v>1053.49</v>
      </c>
      <c r="L12" s="8">
        <v>1233.21</v>
      </c>
      <c r="M12" s="8">
        <v>950.97</v>
      </c>
      <c r="O12" s="23" t="s">
        <v>315</v>
      </c>
      <c r="P12" s="8">
        <v>296.94150000000002</v>
      </c>
      <c r="Q12" s="8">
        <v>269.38040000000001</v>
      </c>
      <c r="R12" s="8">
        <v>290.286</v>
      </c>
      <c r="S12" s="8">
        <v>316.91070000000002</v>
      </c>
      <c r="T12" s="33">
        <v>348.93329999999997</v>
      </c>
      <c r="V12" s="23" t="s">
        <v>316</v>
      </c>
      <c r="W12" s="8">
        <v>96.438400000000001</v>
      </c>
      <c r="X12" s="8">
        <v>94.538399999999996</v>
      </c>
      <c r="Y12" s="8">
        <v>90.354699999999994</v>
      </c>
      <c r="Z12" s="8">
        <v>77.257900000000006</v>
      </c>
      <c r="AA12" s="33">
        <v>67.039199999999994</v>
      </c>
      <c r="AC12" s="23" t="s">
        <v>328</v>
      </c>
      <c r="AD12" s="8">
        <v>348.46</v>
      </c>
      <c r="AE12" s="8">
        <v>259.17</v>
      </c>
      <c r="AF12" s="8">
        <v>58.2</v>
      </c>
      <c r="AG12" s="8">
        <v>57.97</v>
      </c>
      <c r="AH12" s="8">
        <v>32.11</v>
      </c>
      <c r="AI12" s="33">
        <v>8.68</v>
      </c>
    </row>
    <row r="13" spans="1:35" x14ac:dyDescent="0.3">
      <c r="A13" s="23" t="s">
        <v>116</v>
      </c>
      <c r="B13" s="8">
        <v>896.55</v>
      </c>
      <c r="C13" s="8">
        <v>792.71</v>
      </c>
      <c r="D13" s="8">
        <v>798.73</v>
      </c>
      <c r="E13" s="8">
        <v>652.80999999999995</v>
      </c>
      <c r="F13" s="33">
        <v>792.92</v>
      </c>
      <c r="H13" s="11" t="s">
        <v>136</v>
      </c>
      <c r="I13" s="8">
        <v>-560.57000000000005</v>
      </c>
      <c r="J13" s="8">
        <v>-397.45</v>
      </c>
      <c r="K13" s="8">
        <v>-276.97000000000003</v>
      </c>
      <c r="L13" s="8">
        <v>-129.33000000000001</v>
      </c>
      <c r="M13" s="8">
        <v>249.31</v>
      </c>
      <c r="O13" s="23" t="s">
        <v>154</v>
      </c>
      <c r="P13" s="8">
        <v>1.3355999999999999</v>
      </c>
      <c r="Q13" s="8">
        <v>2.7010000000000001</v>
      </c>
      <c r="R13" s="8">
        <v>0.7641</v>
      </c>
      <c r="S13" s="8">
        <v>6.4806999999999997</v>
      </c>
      <c r="T13" s="33">
        <v>11.4892</v>
      </c>
      <c r="V13" s="23" t="s">
        <v>318</v>
      </c>
      <c r="W13" s="8">
        <v>297.5917</v>
      </c>
      <c r="X13" s="8">
        <v>226.7766</v>
      </c>
      <c r="Y13" s="8">
        <v>341.66359999999997</v>
      </c>
      <c r="Z13" s="8">
        <v>357.43520000000001</v>
      </c>
      <c r="AA13" s="33">
        <v>335.3895</v>
      </c>
      <c r="AC13" s="23" t="s">
        <v>334</v>
      </c>
      <c r="AD13" s="8">
        <v>998.52</v>
      </c>
      <c r="AE13" s="8">
        <v>1178.28</v>
      </c>
      <c r="AF13" s="8">
        <v>1110.53</v>
      </c>
      <c r="AG13" s="8">
        <v>1784.67</v>
      </c>
      <c r="AH13" s="8">
        <v>1407.17</v>
      </c>
      <c r="AI13" s="33">
        <v>1340.37</v>
      </c>
    </row>
    <row r="14" spans="1:35" x14ac:dyDescent="0.3">
      <c r="A14" s="23" t="s">
        <v>117</v>
      </c>
      <c r="B14" s="8">
        <v>5.12</v>
      </c>
      <c r="C14" s="8">
        <v>6.37</v>
      </c>
      <c r="D14" s="8">
        <v>7.16</v>
      </c>
      <c r="E14" s="8">
        <v>8.36</v>
      </c>
      <c r="F14" s="33">
        <v>9.26</v>
      </c>
      <c r="H14" s="11" t="s">
        <v>116</v>
      </c>
      <c r="I14" s="8">
        <v>2466.6999999999998</v>
      </c>
      <c r="J14" s="8">
        <v>2297.73</v>
      </c>
      <c r="K14" s="8">
        <v>2109.39</v>
      </c>
      <c r="L14" s="8">
        <v>1940.68</v>
      </c>
      <c r="M14" s="8">
        <v>2074.7399999999998</v>
      </c>
      <c r="O14" s="23" t="s">
        <v>316</v>
      </c>
      <c r="P14" s="8">
        <v>30.089200000000002</v>
      </c>
      <c r="Q14" s="8">
        <v>29.087599999999998</v>
      </c>
      <c r="R14" s="8">
        <v>35.710099999999997</v>
      </c>
      <c r="S14" s="8">
        <v>39.1663</v>
      </c>
      <c r="T14" s="33">
        <v>41.326599999999999</v>
      </c>
      <c r="V14" s="16" t="s">
        <v>319</v>
      </c>
      <c r="W14" s="13">
        <f>SUM(W8:W13)</f>
        <v>2450.4683</v>
      </c>
      <c r="X14" s="13">
        <f t="shared" ref="X14:AA14" si="3">SUM(X8:X13)</f>
        <v>1667.4919999999997</v>
      </c>
      <c r="Y14" s="13">
        <f t="shared" si="3"/>
        <v>2185.1149999999998</v>
      </c>
      <c r="Z14" s="13">
        <f t="shared" si="3"/>
        <v>2162.9911999999999</v>
      </c>
      <c r="AA14" s="13">
        <f t="shared" si="3"/>
        <v>1902.8690000000001</v>
      </c>
      <c r="AC14" s="23" t="s">
        <v>335</v>
      </c>
      <c r="AD14" s="8">
        <v>31.79</v>
      </c>
      <c r="AE14" s="8">
        <v>63.85</v>
      </c>
      <c r="AF14" s="8">
        <v>176.43</v>
      </c>
      <c r="AG14" s="8">
        <v>597.42999999999995</v>
      </c>
      <c r="AH14" s="8">
        <v>14.95</v>
      </c>
      <c r="AI14" s="33">
        <v>24.75</v>
      </c>
    </row>
    <row r="15" spans="1:35" x14ac:dyDescent="0.3">
      <c r="A15" s="23" t="s">
        <v>118</v>
      </c>
      <c r="B15" s="8">
        <v>168.5</v>
      </c>
      <c r="C15" s="8">
        <v>117.39</v>
      </c>
      <c r="D15" s="8">
        <v>102.55</v>
      </c>
      <c r="E15" s="8">
        <v>19.82</v>
      </c>
      <c r="F15" s="33">
        <v>38.64</v>
      </c>
      <c r="H15" s="11" t="s">
        <v>117</v>
      </c>
      <c r="I15" s="8">
        <v>7.02</v>
      </c>
      <c r="J15" s="8">
        <v>14.79</v>
      </c>
      <c r="K15" s="8">
        <v>4.8499999999999996</v>
      </c>
      <c r="L15" s="8">
        <v>6.08</v>
      </c>
      <c r="M15" s="8">
        <v>3.6</v>
      </c>
      <c r="O15" s="23" t="s">
        <v>317</v>
      </c>
      <c r="P15" s="8">
        <v>73.119</v>
      </c>
      <c r="Q15" s="8">
        <v>75.311099999999996</v>
      </c>
      <c r="R15" s="8">
        <v>23.488</v>
      </c>
      <c r="S15" s="8">
        <v>57.074300000000001</v>
      </c>
      <c r="T15" s="33">
        <v>99.040199999999999</v>
      </c>
      <c r="V15" s="16" t="s">
        <v>329</v>
      </c>
      <c r="W15" s="13">
        <f>W6-W14</f>
        <v>742.45399999999972</v>
      </c>
      <c r="X15" s="13">
        <f t="shared" ref="X15:AA15" si="4">X6-X14</f>
        <v>340.88110000000006</v>
      </c>
      <c r="Y15" s="13">
        <f t="shared" si="4"/>
        <v>743.4982</v>
      </c>
      <c r="Z15" s="13">
        <f t="shared" si="4"/>
        <v>481.80349999999999</v>
      </c>
      <c r="AA15" s="13">
        <f t="shared" si="4"/>
        <v>828.23539999999957</v>
      </c>
      <c r="AC15" s="23" t="s">
        <v>318</v>
      </c>
      <c r="AD15" s="8">
        <v>1448.69</v>
      </c>
      <c r="AE15" s="8">
        <v>1216.03</v>
      </c>
      <c r="AF15" s="8">
        <v>1210.8599999999999</v>
      </c>
      <c r="AG15" s="8">
        <v>1560.59</v>
      </c>
      <c r="AH15" s="8">
        <v>1530.53</v>
      </c>
      <c r="AI15" s="33">
        <v>1784.62</v>
      </c>
    </row>
    <row r="16" spans="1:35" x14ac:dyDescent="0.3">
      <c r="A16" s="23" t="s">
        <v>119</v>
      </c>
      <c r="B16" s="8">
        <v>83.13</v>
      </c>
      <c r="C16" s="8">
        <v>75.58</v>
      </c>
      <c r="D16" s="8">
        <v>74.510000000000005</v>
      </c>
      <c r="E16" s="8">
        <v>59.65</v>
      </c>
      <c r="F16" s="33">
        <v>68.69</v>
      </c>
      <c r="H16" s="11" t="s">
        <v>119</v>
      </c>
      <c r="I16" s="8">
        <v>412.43</v>
      </c>
      <c r="J16" s="8">
        <v>407.87</v>
      </c>
      <c r="K16" s="8">
        <v>380.18</v>
      </c>
      <c r="L16" s="8">
        <v>366.33</v>
      </c>
      <c r="M16" s="8">
        <v>371.86</v>
      </c>
      <c r="O16" s="23" t="s">
        <v>318</v>
      </c>
      <c r="P16" s="8">
        <v>130.9991</v>
      </c>
      <c r="Q16" s="8">
        <v>111.6574</v>
      </c>
      <c r="R16" s="8">
        <v>104.443</v>
      </c>
      <c r="S16" s="8">
        <v>108.1262</v>
      </c>
      <c r="T16" s="33">
        <v>134.24369999999999</v>
      </c>
      <c r="V16" s="23" t="s">
        <v>165</v>
      </c>
      <c r="W16" s="8">
        <v>0</v>
      </c>
      <c r="X16" s="8">
        <v>0</v>
      </c>
      <c r="Y16" s="8">
        <v>-33.585700000000003</v>
      </c>
      <c r="Z16" s="8">
        <v>0</v>
      </c>
      <c r="AA16" s="33">
        <v>0</v>
      </c>
      <c r="AC16" s="23" t="s">
        <v>336</v>
      </c>
      <c r="AD16" s="8">
        <v>178.29</v>
      </c>
      <c r="AE16" s="8">
        <v>259.77</v>
      </c>
      <c r="AF16" s="8">
        <v>323.14999999999998</v>
      </c>
      <c r="AG16" s="8">
        <v>516.03</v>
      </c>
      <c r="AH16" s="8">
        <v>425.99</v>
      </c>
      <c r="AI16" s="33">
        <v>372.33</v>
      </c>
    </row>
    <row r="17" spans="1:35" x14ac:dyDescent="0.3">
      <c r="A17" s="23" t="s">
        <v>120</v>
      </c>
      <c r="B17" s="8">
        <v>362.32</v>
      </c>
      <c r="C17" s="8">
        <v>963.75</v>
      </c>
      <c r="D17" s="8">
        <v>182.16</v>
      </c>
      <c r="E17" s="8">
        <v>114.2</v>
      </c>
      <c r="F17" s="33">
        <v>138.4</v>
      </c>
      <c r="H17" s="11" t="s">
        <v>120</v>
      </c>
      <c r="I17" s="8">
        <v>2138.61</v>
      </c>
      <c r="J17" s="8">
        <v>1492.11</v>
      </c>
      <c r="K17" s="8">
        <v>992.63</v>
      </c>
      <c r="L17" s="8">
        <v>1114.21</v>
      </c>
      <c r="M17" s="8">
        <v>1041.19</v>
      </c>
      <c r="O17" s="16" t="s">
        <v>319</v>
      </c>
      <c r="P17" s="13">
        <f>SUM(P8:P16)</f>
        <v>1424.3166999999999</v>
      </c>
      <c r="Q17" s="13">
        <f t="shared" ref="Q17:T17" si="5">SUM(Q8:Q16)</f>
        <v>1100.5641000000001</v>
      </c>
      <c r="R17" s="13">
        <f t="shared" si="5"/>
        <v>1653.2405000000003</v>
      </c>
      <c r="S17" s="13">
        <f t="shared" si="5"/>
        <v>2457.7627000000002</v>
      </c>
      <c r="T17" s="13">
        <f t="shared" si="5"/>
        <v>3411.3433</v>
      </c>
      <c r="V17" s="16" t="s">
        <v>321</v>
      </c>
      <c r="W17" s="13">
        <f>W15+W16</f>
        <v>742.45399999999972</v>
      </c>
      <c r="X17" s="13">
        <f t="shared" ref="X17:AA17" si="6">X15+X16</f>
        <v>340.88110000000006</v>
      </c>
      <c r="Y17" s="13">
        <f t="shared" si="6"/>
        <v>709.91250000000002</v>
      </c>
      <c r="Z17" s="13">
        <f t="shared" si="6"/>
        <v>481.80349999999999</v>
      </c>
      <c r="AA17" s="13">
        <f t="shared" si="6"/>
        <v>828.23539999999957</v>
      </c>
      <c r="AC17" s="23" t="s">
        <v>159</v>
      </c>
      <c r="AD17" s="8">
        <v>1453.27</v>
      </c>
      <c r="AE17" s="8">
        <v>1450.26</v>
      </c>
      <c r="AF17" s="8">
        <v>3729.54</v>
      </c>
      <c r="AG17" s="8">
        <v>3724.8</v>
      </c>
      <c r="AH17" s="8">
        <v>3303.04</v>
      </c>
      <c r="AI17" s="33">
        <v>2527.84</v>
      </c>
    </row>
    <row r="18" spans="1:35" ht="15.6" x14ac:dyDescent="0.3">
      <c r="A18" s="49" t="s">
        <v>121</v>
      </c>
      <c r="B18" s="50">
        <v>8143.22</v>
      </c>
      <c r="C18" s="50">
        <v>7111.33</v>
      </c>
      <c r="D18" s="50">
        <v>5380.25</v>
      </c>
      <c r="E18" s="50">
        <v>3891.96</v>
      </c>
      <c r="F18" s="51">
        <f>SUM(F11:F17)</f>
        <v>4787.63</v>
      </c>
      <c r="H18" s="103" t="s">
        <v>121</v>
      </c>
      <c r="I18" s="50">
        <v>15590.67</v>
      </c>
      <c r="J18" s="50">
        <v>14021.34</v>
      </c>
      <c r="K18" s="50">
        <v>12389.55</v>
      </c>
      <c r="L18" s="50">
        <v>11255.12</v>
      </c>
      <c r="M18" s="50">
        <f>SUM(M11:M17)</f>
        <v>10588.670000000002</v>
      </c>
      <c r="O18" s="16" t="s">
        <v>320</v>
      </c>
      <c r="P18" s="13">
        <f>P6-P17</f>
        <v>234.47800000000007</v>
      </c>
      <c r="Q18" s="13">
        <f t="shared" ref="Q18:T18" si="7">Q6-Q17</f>
        <v>227.86679999999978</v>
      </c>
      <c r="R18" s="13">
        <f t="shared" si="7"/>
        <v>264.91949999999974</v>
      </c>
      <c r="S18" s="13">
        <f t="shared" si="7"/>
        <v>305.2179000000001</v>
      </c>
      <c r="T18" s="13">
        <f t="shared" si="7"/>
        <v>480.92090000000007</v>
      </c>
      <c r="V18" s="83" t="s">
        <v>322</v>
      </c>
      <c r="W18" s="84"/>
      <c r="X18" s="84"/>
      <c r="Y18" s="84"/>
      <c r="Z18" s="84"/>
      <c r="AA18" s="84"/>
      <c r="AC18" s="16" t="s">
        <v>337</v>
      </c>
      <c r="AD18" s="13">
        <f>SUM(AD8:AD17)</f>
        <v>18624</v>
      </c>
      <c r="AE18" s="13">
        <f t="shared" ref="AE18:AI18" si="8">SUM(AE8:AE17)</f>
        <v>19776.549999999996</v>
      </c>
      <c r="AF18" s="13">
        <f t="shared" si="8"/>
        <v>21214.350000000002</v>
      </c>
      <c r="AG18" s="13">
        <f t="shared" si="8"/>
        <v>23253.969999999998</v>
      </c>
      <c r="AH18" s="13">
        <f t="shared" si="8"/>
        <v>23063.57</v>
      </c>
      <c r="AI18" s="13">
        <f t="shared" si="8"/>
        <v>24076.999999999996</v>
      </c>
    </row>
    <row r="19" spans="1:35" x14ac:dyDescent="0.3">
      <c r="B19" s="56"/>
      <c r="C19" s="56"/>
      <c r="D19" s="56"/>
      <c r="E19" s="56"/>
      <c r="F19" s="56"/>
      <c r="H19" s="115"/>
      <c r="I19" s="56"/>
      <c r="J19" s="56"/>
      <c r="K19" s="56"/>
      <c r="L19" s="56"/>
      <c r="M19" s="116"/>
      <c r="O19" s="23" t="s">
        <v>165</v>
      </c>
      <c r="P19" s="8">
        <v>-10.606999999999999</v>
      </c>
      <c r="Q19" s="8">
        <v>-20.749400000000001</v>
      </c>
      <c r="R19" s="8">
        <v>-7.6853999999999996</v>
      </c>
      <c r="S19" s="8">
        <v>0</v>
      </c>
      <c r="T19" s="33">
        <v>0</v>
      </c>
      <c r="V19" s="23" t="s">
        <v>323</v>
      </c>
      <c r="W19" s="8">
        <v>190.02930000000001</v>
      </c>
      <c r="X19" s="8">
        <v>72.043700000000001</v>
      </c>
      <c r="Y19" s="8">
        <v>216.53559999999999</v>
      </c>
      <c r="Z19" s="8">
        <v>127.75360000000001</v>
      </c>
      <c r="AA19" s="33">
        <v>228.74719999999999</v>
      </c>
      <c r="AC19" s="23" t="s">
        <v>338</v>
      </c>
      <c r="AD19" s="8">
        <v>734.97</v>
      </c>
      <c r="AE19" s="8">
        <v>933.94</v>
      </c>
      <c r="AF19" s="8">
        <v>834.16</v>
      </c>
      <c r="AG19" s="8">
        <v>1163.02</v>
      </c>
      <c r="AH19" s="8">
        <v>984.27</v>
      </c>
      <c r="AI19" s="33">
        <v>1355.07</v>
      </c>
    </row>
    <row r="20" spans="1:35" ht="15.6" x14ac:dyDescent="0.3">
      <c r="A20" s="112" t="s">
        <v>122</v>
      </c>
      <c r="B20" s="55">
        <v>2461.38</v>
      </c>
      <c r="C20" s="55">
        <v>1429.33</v>
      </c>
      <c r="D20" s="55">
        <v>786.66</v>
      </c>
      <c r="E20" s="55">
        <f>E9-E18</f>
        <v>729.96</v>
      </c>
      <c r="F20" s="113">
        <f>F9-F18</f>
        <v>747.6899999999996</v>
      </c>
      <c r="H20" s="101" t="s">
        <v>122</v>
      </c>
      <c r="I20" s="55">
        <v>5334.56</v>
      </c>
      <c r="J20" s="55">
        <v>3984.88</v>
      </c>
      <c r="K20" s="55">
        <v>3157.8</v>
      </c>
      <c r="L20" s="55">
        <v>2934.81</v>
      </c>
      <c r="M20" s="55">
        <f>M9-M18</f>
        <v>2478.3999999999978</v>
      </c>
      <c r="O20" s="16" t="s">
        <v>321</v>
      </c>
      <c r="P20" s="13">
        <f>P18+P19</f>
        <v>223.87100000000007</v>
      </c>
      <c r="Q20" s="13">
        <f t="shared" ref="Q20:T20" si="9">Q18+Q19</f>
        <v>207.11739999999978</v>
      </c>
      <c r="R20" s="13">
        <f t="shared" si="9"/>
        <v>257.23409999999973</v>
      </c>
      <c r="S20" s="13">
        <f t="shared" si="9"/>
        <v>305.2179000000001</v>
      </c>
      <c r="T20" s="13">
        <f t="shared" si="9"/>
        <v>480.92090000000007</v>
      </c>
      <c r="V20" s="23" t="s">
        <v>324</v>
      </c>
      <c r="W20" s="8">
        <v>17.523900000000001</v>
      </c>
      <c r="X20" s="8">
        <v>11.0722</v>
      </c>
      <c r="Y20" s="8">
        <v>-6.5475000000000003</v>
      </c>
      <c r="Z20" s="8"/>
      <c r="AA20" s="33">
        <v>-13.2326</v>
      </c>
      <c r="AC20" s="16" t="s">
        <v>319</v>
      </c>
      <c r="AD20" s="13">
        <f>AD18-AD19</f>
        <v>17889.03</v>
      </c>
      <c r="AE20" s="13">
        <f t="shared" ref="AE20:AI20" si="10">AE18-AE19</f>
        <v>18842.609999999997</v>
      </c>
      <c r="AF20" s="13">
        <f t="shared" si="10"/>
        <v>20380.190000000002</v>
      </c>
      <c r="AG20" s="13">
        <f t="shared" si="10"/>
        <v>22090.949999999997</v>
      </c>
      <c r="AH20" s="13">
        <f t="shared" si="10"/>
        <v>22079.3</v>
      </c>
      <c r="AI20" s="13">
        <f t="shared" si="10"/>
        <v>22721.929999999997</v>
      </c>
    </row>
    <row r="21" spans="1:35" ht="28.8" x14ac:dyDescent="0.3">
      <c r="A21" s="23" t="s">
        <v>123</v>
      </c>
      <c r="B21" s="8">
        <v>0</v>
      </c>
      <c r="C21" s="8">
        <v>0</v>
      </c>
      <c r="D21" s="8">
        <v>-13.97</v>
      </c>
      <c r="E21" s="8">
        <v>126.14</v>
      </c>
      <c r="F21" s="33">
        <v>12.32</v>
      </c>
      <c r="H21" s="102" t="s">
        <v>13</v>
      </c>
      <c r="I21" s="9">
        <v>5334.56</v>
      </c>
      <c r="J21" s="9">
        <v>3984.88</v>
      </c>
      <c r="K21" s="9">
        <v>3157.8</v>
      </c>
      <c r="L21" s="9">
        <v>2934.81</v>
      </c>
      <c r="M21" s="9">
        <f>M20</f>
        <v>2478.3999999999978</v>
      </c>
      <c r="O21" s="26" t="s">
        <v>322</v>
      </c>
      <c r="P21" s="57"/>
      <c r="Q21" s="57"/>
      <c r="R21" s="57"/>
      <c r="S21" s="57"/>
      <c r="T21" s="57"/>
      <c r="V21" s="16" t="s">
        <v>325</v>
      </c>
      <c r="W21" s="13">
        <f>W19+W20</f>
        <v>207.5532</v>
      </c>
      <c r="X21" s="13">
        <f t="shared" ref="X21:AA21" si="11">X19+X20</f>
        <v>83.115899999999996</v>
      </c>
      <c r="Y21" s="13">
        <f t="shared" si="11"/>
        <v>209.98809999999997</v>
      </c>
      <c r="Z21" s="13">
        <f t="shared" si="11"/>
        <v>127.75360000000001</v>
      </c>
      <c r="AA21" s="13">
        <f t="shared" si="11"/>
        <v>215.5146</v>
      </c>
      <c r="AC21" s="117" t="s">
        <v>339</v>
      </c>
      <c r="AD21" s="13">
        <f>AD6-AD20</f>
        <v>3852.7000000000007</v>
      </c>
      <c r="AE21" s="13">
        <f t="shared" ref="AE21:AI21" si="12">AE6-AE20</f>
        <v>4270.1600000000035</v>
      </c>
      <c r="AF21" s="13">
        <f t="shared" si="12"/>
        <v>5224.7599999999984</v>
      </c>
      <c r="AG21" s="13">
        <f t="shared" si="12"/>
        <v>6506.630000000001</v>
      </c>
      <c r="AH21" s="13">
        <f t="shared" si="12"/>
        <v>10198.380000000001</v>
      </c>
      <c r="AI21" s="13">
        <f t="shared" si="12"/>
        <v>10820.710000000003</v>
      </c>
    </row>
    <row r="22" spans="1:35" ht="15.6" x14ac:dyDescent="0.3">
      <c r="A22" s="49" t="s">
        <v>13</v>
      </c>
      <c r="B22" s="50">
        <v>2461.38</v>
      </c>
      <c r="C22" s="50">
        <v>1429.33</v>
      </c>
      <c r="D22" s="50">
        <v>772.69</v>
      </c>
      <c r="E22" s="50">
        <f>E20-E21</f>
        <v>603.82000000000005</v>
      </c>
      <c r="F22" s="51">
        <f>F20-F21</f>
        <v>735.36999999999955</v>
      </c>
      <c r="H22" s="14" t="s">
        <v>124</v>
      </c>
      <c r="I22" s="15"/>
      <c r="J22" s="15"/>
      <c r="K22" s="15"/>
      <c r="L22" s="15"/>
      <c r="M22" s="16"/>
      <c r="O22" s="23" t="s">
        <v>323</v>
      </c>
      <c r="P22" s="8">
        <v>58.087800000000001</v>
      </c>
      <c r="Q22" s="8">
        <v>58.871099999999998</v>
      </c>
      <c r="R22" s="8">
        <v>62.82</v>
      </c>
      <c r="S22" s="8">
        <v>73.539000000000001</v>
      </c>
      <c r="T22" s="33">
        <v>124.5575</v>
      </c>
      <c r="V22" s="34" t="s">
        <v>330</v>
      </c>
      <c r="W22" s="30">
        <f>W17-W21</f>
        <v>534.90079999999966</v>
      </c>
      <c r="X22" s="30">
        <f t="shared" ref="X22:AA22" si="13">X17-X21</f>
        <v>257.76520000000005</v>
      </c>
      <c r="Y22" s="30">
        <f t="shared" si="13"/>
        <v>499.92440000000005</v>
      </c>
      <c r="Z22" s="30">
        <f t="shared" si="13"/>
        <v>354.04989999999998</v>
      </c>
      <c r="AA22" s="30">
        <f t="shared" si="13"/>
        <v>612.7207999999996</v>
      </c>
      <c r="AC22" s="23" t="s">
        <v>340</v>
      </c>
      <c r="AD22" s="8">
        <v>7.02</v>
      </c>
      <c r="AE22" s="8">
        <v>4.8099999999999996</v>
      </c>
      <c r="AF22" s="8">
        <v>-0.23</v>
      </c>
      <c r="AG22" s="8">
        <v>2.87</v>
      </c>
      <c r="AH22" s="8">
        <v>26.5</v>
      </c>
      <c r="AI22" s="33">
        <v>40.65</v>
      </c>
    </row>
    <row r="23" spans="1:35" x14ac:dyDescent="0.3">
      <c r="A23" s="26" t="s">
        <v>124</v>
      </c>
      <c r="B23" s="57"/>
      <c r="C23" s="57"/>
      <c r="D23" s="57"/>
      <c r="E23" s="57"/>
      <c r="F23" s="57"/>
      <c r="H23" s="11" t="s">
        <v>125</v>
      </c>
      <c r="I23" s="8">
        <v>1449.59</v>
      </c>
      <c r="J23" s="8">
        <v>874.46</v>
      </c>
      <c r="K23" s="8">
        <v>910.52</v>
      </c>
      <c r="L23" s="8">
        <v>824.93</v>
      </c>
      <c r="M23" s="8">
        <v>757.67</v>
      </c>
      <c r="O23" s="23" t="s">
        <v>324</v>
      </c>
      <c r="P23" s="8">
        <v>2.3014999999999999</v>
      </c>
      <c r="Q23" s="8">
        <v>-5.2248999999999999</v>
      </c>
      <c r="R23" s="8">
        <v>4.8948</v>
      </c>
      <c r="S23" s="8">
        <v>3.5548999999999999</v>
      </c>
      <c r="T23" s="33">
        <v>-0.90429999999999999</v>
      </c>
      <c r="AC23" s="16" t="s">
        <v>329</v>
      </c>
      <c r="AD23" s="13">
        <f>AD21+AD22</f>
        <v>3859.7200000000007</v>
      </c>
      <c r="AE23" s="13">
        <f t="shared" ref="AE23:AI23" si="14">AE21+AE22</f>
        <v>4274.9700000000039</v>
      </c>
      <c r="AF23" s="13">
        <f t="shared" si="14"/>
        <v>5224.5299999999988</v>
      </c>
      <c r="AG23" s="13">
        <f t="shared" si="14"/>
        <v>6509.5000000000009</v>
      </c>
      <c r="AH23" s="13">
        <f t="shared" si="14"/>
        <v>10224.880000000001</v>
      </c>
      <c r="AI23" s="13">
        <f t="shared" si="14"/>
        <v>10861.360000000002</v>
      </c>
    </row>
    <row r="24" spans="1:35" x14ac:dyDescent="0.3">
      <c r="A24" s="91" t="s">
        <v>125</v>
      </c>
      <c r="B24" s="54">
        <v>763.88</v>
      </c>
      <c r="C24" s="54">
        <v>358.87</v>
      </c>
      <c r="D24" s="54">
        <v>209.44</v>
      </c>
      <c r="E24" s="54">
        <v>148.63</v>
      </c>
      <c r="F24" s="92">
        <v>180.43</v>
      </c>
      <c r="H24" s="11" t="s">
        <v>126</v>
      </c>
      <c r="I24" s="8">
        <v>-66.13</v>
      </c>
      <c r="J24" s="8">
        <v>123.76</v>
      </c>
      <c r="K24" s="8">
        <v>-101.65</v>
      </c>
      <c r="L24" s="8">
        <v>69.38</v>
      </c>
      <c r="M24" s="8">
        <v>-31.43</v>
      </c>
      <c r="O24" s="16" t="s">
        <v>325</v>
      </c>
      <c r="P24" s="13">
        <f>SUM(P22:P23)</f>
        <v>60.389299999999999</v>
      </c>
      <c r="Q24" s="13">
        <f t="shared" ref="Q24:T24" si="15">SUM(Q22:Q23)</f>
        <v>53.6462</v>
      </c>
      <c r="R24" s="13">
        <f t="shared" si="15"/>
        <v>67.714799999999997</v>
      </c>
      <c r="S24" s="13">
        <f t="shared" si="15"/>
        <v>77.093900000000005</v>
      </c>
      <c r="T24" s="13">
        <f t="shared" si="15"/>
        <v>123.6532</v>
      </c>
      <c r="W24" s="17">
        <f>W15+W11</f>
        <v>747.10969999999975</v>
      </c>
      <c r="X24" s="17">
        <f t="shared" ref="X24:AA24" si="16">X15+X11</f>
        <v>344.79390000000006</v>
      </c>
      <c r="Y24" s="17">
        <f t="shared" si="16"/>
        <v>746.92250000000001</v>
      </c>
      <c r="Z24" s="17">
        <f t="shared" si="16"/>
        <v>486.3399</v>
      </c>
      <c r="AA24" s="17">
        <f t="shared" si="16"/>
        <v>831.34059999999954</v>
      </c>
      <c r="AC24" s="23" t="s">
        <v>165</v>
      </c>
      <c r="AD24" s="8">
        <v>118.92</v>
      </c>
      <c r="AE24" s="8">
        <v>2.02</v>
      </c>
      <c r="AF24" s="8">
        <v>0</v>
      </c>
      <c r="AG24" s="8">
        <v>0</v>
      </c>
      <c r="AH24" s="8">
        <v>0</v>
      </c>
      <c r="AI24" s="33">
        <v>5.89</v>
      </c>
    </row>
    <row r="25" spans="1:35" x14ac:dyDescent="0.3">
      <c r="A25" s="23" t="s">
        <v>126</v>
      </c>
      <c r="B25" s="8">
        <v>-149.69</v>
      </c>
      <c r="C25" s="8">
        <v>-3.27</v>
      </c>
      <c r="D25" s="8">
        <v>-23.22</v>
      </c>
      <c r="E25" s="8">
        <v>-8.8800000000000008</v>
      </c>
      <c r="F25" s="33">
        <v>170.32</v>
      </c>
      <c r="H25" s="11" t="s">
        <v>127</v>
      </c>
      <c r="I25" s="8">
        <v>-68.900000000000006</v>
      </c>
      <c r="J25" s="8">
        <v>-20.010000000000002</v>
      </c>
      <c r="K25" s="8">
        <v>0</v>
      </c>
      <c r="L25" s="8">
        <v>-24.92</v>
      </c>
      <c r="M25" s="8">
        <v>-40.47</v>
      </c>
      <c r="O25" s="34" t="s">
        <v>326</v>
      </c>
      <c r="P25" s="30">
        <f>P20-P24</f>
        <v>163.48170000000007</v>
      </c>
      <c r="Q25" s="30">
        <f t="shared" ref="Q25:T25" si="17">Q20-Q24</f>
        <v>153.47119999999978</v>
      </c>
      <c r="R25" s="30">
        <f t="shared" si="17"/>
        <v>189.51929999999973</v>
      </c>
      <c r="S25" s="30">
        <f t="shared" si="17"/>
        <v>228.12400000000008</v>
      </c>
      <c r="T25" s="30">
        <f t="shared" si="17"/>
        <v>357.2677000000001</v>
      </c>
      <c r="V25" s="2" t="s">
        <v>477</v>
      </c>
      <c r="X25" s="163">
        <f>(X6/W6)-1</f>
        <v>-0.37099217854440114</v>
      </c>
      <c r="Y25" s="163">
        <f t="shared" ref="Y25:AA25" si="18">(Y6/X6)-1</f>
        <v>0.45820176539906865</v>
      </c>
      <c r="Z25" s="163">
        <f t="shared" si="18"/>
        <v>-9.6912251846710151E-2</v>
      </c>
      <c r="AA25" s="163">
        <f t="shared" si="18"/>
        <v>3.2633799515705331E-2</v>
      </c>
      <c r="AC25" s="16" t="s">
        <v>341</v>
      </c>
      <c r="AD25" s="13">
        <f>AD23+AD24</f>
        <v>3978.6400000000008</v>
      </c>
      <c r="AE25" s="13">
        <f t="shared" ref="AE25:AI25" si="19">AE23+AE24</f>
        <v>4276.9900000000043</v>
      </c>
      <c r="AF25" s="13">
        <f t="shared" si="19"/>
        <v>5224.5299999999988</v>
      </c>
      <c r="AG25" s="13">
        <f t="shared" si="19"/>
        <v>6509.5000000000009</v>
      </c>
      <c r="AH25" s="13">
        <f t="shared" si="19"/>
        <v>10224.880000000001</v>
      </c>
      <c r="AI25" s="13">
        <f t="shared" si="19"/>
        <v>10867.250000000002</v>
      </c>
    </row>
    <row r="26" spans="1:35" ht="15.6" x14ac:dyDescent="0.3">
      <c r="A26" s="23" t="s">
        <v>127</v>
      </c>
      <c r="B26" s="8">
        <v>1.76</v>
      </c>
      <c r="C26" s="8">
        <v>1.01</v>
      </c>
      <c r="D26" s="8">
        <v>0</v>
      </c>
      <c r="E26" s="8">
        <v>10.6</v>
      </c>
      <c r="F26" s="33">
        <v>0.92</v>
      </c>
      <c r="H26" s="102" t="s">
        <v>128</v>
      </c>
      <c r="I26" s="9">
        <v>1314.56</v>
      </c>
      <c r="J26" s="9">
        <v>978.21</v>
      </c>
      <c r="K26" s="9">
        <v>808.87</v>
      </c>
      <c r="L26" s="9">
        <v>869.39</v>
      </c>
      <c r="M26" s="9">
        <f>SUM(M23:M25)</f>
        <v>685.77</v>
      </c>
      <c r="V26" s="2" t="s">
        <v>483</v>
      </c>
      <c r="W26" s="89">
        <f ca="1">W22/'Company Basic info'!$E$15</f>
        <v>14.592349190110818</v>
      </c>
      <c r="X26" s="89">
        <f ca="1">X22/'Company Basic info'!$E$15</f>
        <v>7.0319577152600186</v>
      </c>
      <c r="Y26" s="89">
        <f ca="1">Y22/'Company Basic info'!$E$15</f>
        <v>13.638176300085252</v>
      </c>
      <c r="Z26" s="89">
        <f ca="1">Z22/'Company Basic info'!$E$15</f>
        <v>9.6586502983802216</v>
      </c>
      <c r="AA26" s="89">
        <f ca="1">AA22/'Company Basic info'!$E$15</f>
        <v>16.715315942028976</v>
      </c>
      <c r="AC26" s="83" t="s">
        <v>322</v>
      </c>
      <c r="AD26" s="84"/>
      <c r="AE26" s="84"/>
      <c r="AF26" s="84"/>
      <c r="AG26" s="84"/>
      <c r="AH26" s="84"/>
      <c r="AI26" s="84"/>
    </row>
    <row r="27" spans="1:35" ht="15.6" x14ac:dyDescent="0.3">
      <c r="A27" s="41" t="s">
        <v>128</v>
      </c>
      <c r="B27" s="9">
        <v>615.95000000000005</v>
      </c>
      <c r="C27" s="9">
        <v>356.61</v>
      </c>
      <c r="D27" s="9">
        <v>186.22</v>
      </c>
      <c r="E27" s="9">
        <f>SUM(E24:E26)</f>
        <v>150.35</v>
      </c>
      <c r="F27" s="45">
        <f>SUM(F24:F26)</f>
        <v>351.67</v>
      </c>
      <c r="H27" s="102" t="s">
        <v>129</v>
      </c>
      <c r="I27" s="9">
        <v>4020</v>
      </c>
      <c r="J27" s="9">
        <v>3006.67</v>
      </c>
      <c r="K27" s="9">
        <v>2348.9299999999998</v>
      </c>
      <c r="L27" s="9">
        <v>2065.42</v>
      </c>
      <c r="M27" s="9">
        <f>M21-M26</f>
        <v>1792.6299999999978</v>
      </c>
      <c r="P27" s="17">
        <f>P18+P13</f>
        <v>235.81360000000006</v>
      </c>
      <c r="Q27" s="17">
        <f t="shared" ref="Q27:T27" si="20">Q18+Q13</f>
        <v>230.56779999999978</v>
      </c>
      <c r="R27" s="17">
        <f t="shared" si="20"/>
        <v>265.68359999999973</v>
      </c>
      <c r="S27" s="17">
        <f t="shared" si="20"/>
        <v>311.69860000000011</v>
      </c>
      <c r="T27" s="17">
        <f t="shared" si="20"/>
        <v>492.41010000000006</v>
      </c>
      <c r="AC27" s="23" t="s">
        <v>323</v>
      </c>
      <c r="AD27" s="8">
        <v>1180</v>
      </c>
      <c r="AE27" s="8">
        <v>645</v>
      </c>
      <c r="AF27" s="8">
        <v>1900</v>
      </c>
      <c r="AG27" s="8">
        <v>2250</v>
      </c>
      <c r="AH27" s="8">
        <v>2905</v>
      </c>
      <c r="AI27" s="33">
        <v>2880</v>
      </c>
    </row>
    <row r="28" spans="1:35" ht="15.6" x14ac:dyDescent="0.3">
      <c r="A28" s="16" t="s">
        <v>129</v>
      </c>
      <c r="B28" s="13">
        <v>1845.43</v>
      </c>
      <c r="C28" s="13">
        <v>1072.72</v>
      </c>
      <c r="D28" s="13">
        <v>586.47</v>
      </c>
      <c r="E28" s="13">
        <f>E22-E27</f>
        <v>453.47</v>
      </c>
      <c r="F28" s="98">
        <f>F22-F27</f>
        <v>383.69999999999953</v>
      </c>
      <c r="H28" s="102" t="s">
        <v>130</v>
      </c>
      <c r="I28" s="9">
        <v>4020</v>
      </c>
      <c r="J28" s="9">
        <v>3006.67</v>
      </c>
      <c r="K28" s="9">
        <v>2348.9299999999998</v>
      </c>
      <c r="L28" s="9">
        <v>2065.42</v>
      </c>
      <c r="M28" s="9">
        <f>M27</f>
        <v>1792.6299999999978</v>
      </c>
      <c r="O28" s="2" t="s">
        <v>483</v>
      </c>
      <c r="P28" s="89">
        <f ca="1">P25/'Company Basic info'!$G$15</f>
        <v>14.271396396396403</v>
      </c>
      <c r="Q28" s="89">
        <f ca="1">Q25/'Company Basic info'!$G$15</f>
        <v>13.397513792862611</v>
      </c>
      <c r="R28" s="89">
        <f ca="1">R25/'Company Basic info'!$G$15</f>
        <v>16.544390320553088</v>
      </c>
      <c r="S28" s="89">
        <f ca="1">S25/'Company Basic info'!$G$15</f>
        <v>19.914449333053991</v>
      </c>
      <c r="T28" s="89">
        <f ca="1">T25/'Company Basic info'!$G$15</f>
        <v>31.188255115580706</v>
      </c>
      <c r="AC28" s="23" t="s">
        <v>342</v>
      </c>
      <c r="AD28" s="8">
        <v>0</v>
      </c>
      <c r="AE28" s="8">
        <v>-49.33</v>
      </c>
      <c r="AF28" s="8">
        <v>-1192.73</v>
      </c>
      <c r="AG28" s="8">
        <v>-973.46</v>
      </c>
      <c r="AH28" s="8">
        <v>0</v>
      </c>
      <c r="AI28" s="33">
        <v>-256.08</v>
      </c>
    </row>
    <row r="29" spans="1:35" ht="15.6" x14ac:dyDescent="0.3">
      <c r="A29" s="23" t="s">
        <v>130</v>
      </c>
      <c r="B29" s="8">
        <v>1845.43</v>
      </c>
      <c r="C29" s="8">
        <v>1072.72</v>
      </c>
      <c r="D29" s="8">
        <v>586.47</v>
      </c>
      <c r="E29" s="8">
        <f>E28+60.39</f>
        <v>513.86</v>
      </c>
      <c r="F29" s="33">
        <f>F28+93.37</f>
        <v>477.06999999999954</v>
      </c>
      <c r="H29" s="102" t="s">
        <v>14</v>
      </c>
      <c r="I29" s="9">
        <v>4020</v>
      </c>
      <c r="J29" s="9">
        <v>3006.67</v>
      </c>
      <c r="K29" s="9">
        <v>2348.9299999999998</v>
      </c>
      <c r="L29" s="9">
        <v>2065.42</v>
      </c>
      <c r="M29" s="9">
        <f>M28+32.09</f>
        <v>1824.7199999999978</v>
      </c>
      <c r="AC29" s="23" t="s">
        <v>324</v>
      </c>
      <c r="AD29" s="8">
        <v>-84.01</v>
      </c>
      <c r="AE29" s="8">
        <v>442.26</v>
      </c>
      <c r="AF29" s="8">
        <v>-562.62</v>
      </c>
      <c r="AG29" s="8">
        <v>-594.77</v>
      </c>
      <c r="AH29" s="8">
        <v>-301.07</v>
      </c>
      <c r="AI29" s="33">
        <v>-120.71</v>
      </c>
    </row>
    <row r="30" spans="1:35" ht="15.6" x14ac:dyDescent="0.3">
      <c r="A30" s="41" t="s">
        <v>14</v>
      </c>
      <c r="B30" s="9">
        <v>1845.43</v>
      </c>
      <c r="C30" s="9">
        <v>1072.72</v>
      </c>
      <c r="D30" s="9">
        <v>586.47</v>
      </c>
      <c r="E30" s="9">
        <f>E29</f>
        <v>513.86</v>
      </c>
      <c r="F30" s="45">
        <f>F29</f>
        <v>477.06999999999954</v>
      </c>
      <c r="H30" s="11"/>
      <c r="I30" s="8"/>
      <c r="J30" s="8"/>
      <c r="K30" s="8"/>
      <c r="L30" s="8"/>
      <c r="M30" s="8"/>
      <c r="AC30" s="16" t="s">
        <v>325</v>
      </c>
      <c r="AD30" s="13">
        <f>SUM(AD27:AD29)</f>
        <v>1095.99</v>
      </c>
      <c r="AE30" s="13">
        <f t="shared" ref="AE30:AI30" si="21">SUM(AE27:AE29)</f>
        <v>1037.9299999999998</v>
      </c>
      <c r="AF30" s="13">
        <f t="shared" si="21"/>
        <v>144.64999999999998</v>
      </c>
      <c r="AG30" s="13">
        <f t="shared" si="21"/>
        <v>681.77</v>
      </c>
      <c r="AH30" s="13">
        <f t="shared" si="21"/>
        <v>2603.9299999999998</v>
      </c>
      <c r="AI30" s="13">
        <f t="shared" si="21"/>
        <v>2503.21</v>
      </c>
    </row>
    <row r="31" spans="1:35" ht="15.6" x14ac:dyDescent="0.3">
      <c r="A31" s="104"/>
      <c r="B31" s="63"/>
      <c r="C31" s="63"/>
      <c r="D31" s="63"/>
      <c r="E31" s="63"/>
      <c r="F31" s="90"/>
      <c r="H31" s="58" t="s">
        <v>131</v>
      </c>
      <c r="I31" s="59"/>
      <c r="J31" s="59"/>
      <c r="K31" s="59"/>
      <c r="L31" s="59"/>
      <c r="M31" s="41"/>
      <c r="AC31" s="16" t="s">
        <v>343</v>
      </c>
      <c r="AD31" s="13">
        <f>AD25-AD30</f>
        <v>2882.6500000000005</v>
      </c>
      <c r="AE31" s="13">
        <f t="shared" ref="AE31:AI31" si="22">AE25-AE30</f>
        <v>3239.0600000000045</v>
      </c>
      <c r="AF31" s="13">
        <f t="shared" si="22"/>
        <v>5079.8799999999992</v>
      </c>
      <c r="AG31" s="13">
        <f t="shared" si="22"/>
        <v>5827.7300000000014</v>
      </c>
      <c r="AH31" s="13">
        <f t="shared" si="22"/>
        <v>7620.9500000000007</v>
      </c>
      <c r="AI31" s="13">
        <f t="shared" si="22"/>
        <v>8364.0400000000009</v>
      </c>
    </row>
    <row r="32" spans="1:35" ht="15.6" x14ac:dyDescent="0.3">
      <c r="A32" s="26" t="s">
        <v>131</v>
      </c>
      <c r="B32" s="26"/>
      <c r="C32" s="26"/>
      <c r="D32" s="26"/>
      <c r="E32" s="26"/>
      <c r="F32" s="26"/>
      <c r="H32" s="58" t="s">
        <v>132</v>
      </c>
      <c r="I32" s="59"/>
      <c r="J32" s="59"/>
      <c r="K32" s="59"/>
      <c r="L32" s="59"/>
      <c r="M32" s="41"/>
      <c r="AC32" s="23" t="s">
        <v>344</v>
      </c>
      <c r="AD32" s="8">
        <v>0</v>
      </c>
      <c r="AE32" s="8">
        <v>0</v>
      </c>
      <c r="AF32" s="8">
        <v>0</v>
      </c>
      <c r="AG32" s="8">
        <v>0</v>
      </c>
      <c r="AH32" s="8">
        <v>0</v>
      </c>
      <c r="AI32" s="33">
        <v>0</v>
      </c>
    </row>
    <row r="33" spans="1:35" x14ac:dyDescent="0.3">
      <c r="A33" s="26" t="s">
        <v>132</v>
      </c>
      <c r="B33" s="26"/>
      <c r="C33" s="26"/>
      <c r="D33" s="26"/>
      <c r="E33" s="26"/>
      <c r="F33" s="26"/>
      <c r="H33" s="11" t="s">
        <v>133</v>
      </c>
      <c r="I33" s="8">
        <v>5.5</v>
      </c>
      <c r="J33" s="8">
        <v>4.1100000000000003</v>
      </c>
      <c r="K33" s="8">
        <v>9.64</v>
      </c>
      <c r="L33" s="8">
        <v>8.48</v>
      </c>
      <c r="M33" s="8">
        <v>7.49</v>
      </c>
      <c r="AC33" s="23" t="s">
        <v>345</v>
      </c>
      <c r="AD33" s="8">
        <v>0</v>
      </c>
      <c r="AE33" s="8">
        <v>0</v>
      </c>
      <c r="AF33" s="8">
        <v>0</v>
      </c>
      <c r="AG33" s="8">
        <v>0</v>
      </c>
      <c r="AH33" s="8">
        <v>0</v>
      </c>
      <c r="AI33" s="33">
        <v>0</v>
      </c>
    </row>
    <row r="34" spans="1:35" x14ac:dyDescent="0.3">
      <c r="A34" s="91" t="s">
        <v>133</v>
      </c>
      <c r="B34" s="54">
        <v>91.5</v>
      </c>
      <c r="C34" s="54">
        <v>53.19</v>
      </c>
      <c r="D34" s="54">
        <v>29.08</v>
      </c>
      <c r="E34" s="54">
        <v>23.78</v>
      </c>
      <c r="F34" s="92">
        <v>21.36</v>
      </c>
      <c r="H34" s="63" t="s">
        <v>134</v>
      </c>
      <c r="I34" s="60">
        <v>5.5</v>
      </c>
      <c r="J34" s="60">
        <v>4.1100000000000003</v>
      </c>
      <c r="K34" s="60">
        <v>9.64</v>
      </c>
      <c r="L34" s="60">
        <v>8.48</v>
      </c>
      <c r="M34" s="60">
        <v>7.49</v>
      </c>
      <c r="AC34" s="16" t="s">
        <v>346</v>
      </c>
      <c r="AD34" s="13">
        <f>AD32-AD33</f>
        <v>0</v>
      </c>
      <c r="AE34" s="13">
        <f t="shared" ref="AE34:AI34" si="23">AE32-AE33</f>
        <v>0</v>
      </c>
      <c r="AF34" s="13">
        <f t="shared" si="23"/>
        <v>0</v>
      </c>
      <c r="AG34" s="13">
        <f t="shared" si="23"/>
        <v>0</v>
      </c>
      <c r="AH34" s="13">
        <f t="shared" si="23"/>
        <v>0</v>
      </c>
      <c r="AI34" s="13">
        <f t="shared" si="23"/>
        <v>0</v>
      </c>
    </row>
    <row r="35" spans="1:35" x14ac:dyDescent="0.3">
      <c r="A35" s="104" t="s">
        <v>134</v>
      </c>
      <c r="B35" s="60">
        <v>91.5</v>
      </c>
      <c r="C35" s="60">
        <v>53.19</v>
      </c>
      <c r="D35" s="60">
        <v>29.08</v>
      </c>
      <c r="E35" s="60">
        <v>23.78</v>
      </c>
      <c r="F35" s="114">
        <v>21.36</v>
      </c>
      <c r="AC35" s="34" t="s">
        <v>347</v>
      </c>
      <c r="AD35" s="30">
        <f>AD31+AD34</f>
        <v>2882.6500000000005</v>
      </c>
      <c r="AE35" s="30">
        <f t="shared" ref="AE35:AI35" si="24">AE31+AE34</f>
        <v>3239.0600000000045</v>
      </c>
      <c r="AF35" s="30">
        <f t="shared" si="24"/>
        <v>5079.8799999999992</v>
      </c>
      <c r="AG35" s="30">
        <f t="shared" si="24"/>
        <v>5827.7300000000014</v>
      </c>
      <c r="AH35" s="30">
        <f t="shared" si="24"/>
        <v>7620.9500000000007</v>
      </c>
      <c r="AI35" s="30">
        <f t="shared" si="24"/>
        <v>8364.0400000000009</v>
      </c>
    </row>
    <row r="36" spans="1:35" x14ac:dyDescent="0.3">
      <c r="I36" s="17">
        <f>I20+I15</f>
        <v>5341.5800000000008</v>
      </c>
      <c r="J36" s="17">
        <f t="shared" ref="J36:M36" si="25">J20+J15</f>
        <v>3999.67</v>
      </c>
      <c r="K36" s="17">
        <f t="shared" si="25"/>
        <v>3162.65</v>
      </c>
      <c r="L36" s="17">
        <f t="shared" si="25"/>
        <v>2940.89</v>
      </c>
      <c r="M36" s="17">
        <f t="shared" si="25"/>
        <v>2481.9999999999977</v>
      </c>
    </row>
    <row r="37" spans="1:35" x14ac:dyDescent="0.3">
      <c r="A37" s="2" t="s">
        <v>459</v>
      </c>
      <c r="B37" s="17">
        <f>B20+B14</f>
        <v>2466.5</v>
      </c>
      <c r="C37" s="17">
        <f t="shared" ref="C37:F37" si="26">C20+C14</f>
        <v>1435.6999999999998</v>
      </c>
      <c r="D37" s="17">
        <f t="shared" si="26"/>
        <v>793.81999999999994</v>
      </c>
      <c r="E37" s="17">
        <f t="shared" si="26"/>
        <v>738.32</v>
      </c>
      <c r="F37" s="17">
        <f t="shared" si="26"/>
        <v>756.94999999999959</v>
      </c>
      <c r="AD37" s="17">
        <f>AD21+AD12</f>
        <v>4201.1600000000008</v>
      </c>
      <c r="AE37" s="17">
        <f t="shared" ref="AE37:AI37" si="27">AE21+AE12</f>
        <v>4529.3300000000036</v>
      </c>
      <c r="AF37" s="17">
        <f t="shared" si="27"/>
        <v>5282.9599999999982</v>
      </c>
      <c r="AG37" s="17">
        <f t="shared" si="27"/>
        <v>6564.6000000000013</v>
      </c>
      <c r="AH37" s="17">
        <f t="shared" si="27"/>
        <v>10230.490000000002</v>
      </c>
      <c r="AI37" s="17">
        <f t="shared" si="27"/>
        <v>10829.390000000003</v>
      </c>
    </row>
    <row r="38" spans="1:35" x14ac:dyDescent="0.3">
      <c r="AC38" s="2" t="s">
        <v>483</v>
      </c>
      <c r="AD38" s="89">
        <f ca="1">AD35/'Company Basic info'!$F$15</f>
        <v>43.103435385593073</v>
      </c>
      <c r="AE38" s="89">
        <f ca="1">AE35/'Company Basic info'!$F$15</f>
        <v>48.432731486673461</v>
      </c>
      <c r="AF38" s="89">
        <f ca="1">AF35/'Company Basic info'!$F$15</f>
        <v>75.957982879144694</v>
      </c>
      <c r="AG38" s="89">
        <f ca="1">AG35/'Company Basic info'!$F$15</f>
        <v>87.140368584352004</v>
      </c>
      <c r="AH38" s="89">
        <f ca="1">AH35/'Company Basic info'!$F$15</f>
        <v>113.95387088333148</v>
      </c>
      <c r="AI38" s="89">
        <f ca="1">AI35/'Company Basic info'!$F$15</f>
        <v>125.06508167918957</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A337B-90DF-4D1D-A921-BF1B29C2EC37}">
  <dimension ref="A1:AI62"/>
  <sheetViews>
    <sheetView topLeftCell="AC31" workbookViewId="0">
      <selection activeCell="AC56" sqref="AC56"/>
    </sheetView>
  </sheetViews>
  <sheetFormatPr defaultRowHeight="14.4" x14ac:dyDescent="0.3"/>
  <cols>
    <col min="1" max="1" width="60.109375" style="2" bestFit="1" customWidth="1"/>
    <col min="2" max="6" width="9.5546875" style="2" bestFit="1" customWidth="1"/>
    <col min="7" max="7" width="8.88671875" style="2"/>
    <col min="8" max="8" width="53.88671875" style="2" bestFit="1" customWidth="1"/>
    <col min="9" max="13" width="9.5546875" style="2" bestFit="1" customWidth="1"/>
    <col min="14" max="14" width="8.88671875" style="2"/>
    <col min="15" max="15" width="57.88671875" style="2" bestFit="1" customWidth="1"/>
    <col min="16" max="16" width="8.88671875" style="2"/>
    <col min="17" max="17" width="9.5546875" style="2" bestFit="1" customWidth="1"/>
    <col min="18" max="18" width="8.88671875" style="2"/>
    <col min="19" max="20" width="9.5546875" style="2" bestFit="1" customWidth="1"/>
    <col min="21" max="21" width="8.88671875" style="2"/>
    <col min="22" max="22" width="52.88671875" style="2" bestFit="1" customWidth="1"/>
    <col min="23" max="23" width="8.88671875" style="2"/>
    <col min="24" max="24" width="9.5546875" style="2" bestFit="1" customWidth="1"/>
    <col min="25" max="25" width="8.88671875" style="2"/>
    <col min="26" max="27" width="9.5546875" style="2" bestFit="1" customWidth="1"/>
    <col min="28" max="28" width="8.88671875" style="2"/>
    <col min="29" max="29" width="59.109375" style="2" bestFit="1" customWidth="1"/>
    <col min="30" max="30" width="9.5546875" style="2" bestFit="1" customWidth="1"/>
    <col min="31" max="31" width="10" style="2" bestFit="1" customWidth="1"/>
    <col min="32" max="32" width="10.5546875" style="2" bestFit="1" customWidth="1"/>
    <col min="33" max="34" width="10" style="2" bestFit="1" customWidth="1"/>
    <col min="35" max="35" width="10.5546875" style="2" bestFit="1" customWidth="1"/>
    <col min="36" max="16384" width="8.88671875" style="2"/>
  </cols>
  <sheetData>
    <row r="1" spans="1:35" ht="45" customHeight="1" x14ac:dyDescent="0.3">
      <c r="A1" s="118" t="s">
        <v>348</v>
      </c>
      <c r="F1" s="2" t="e" vm="1">
        <v>#VALUE!</v>
      </c>
      <c r="M1" s="2" t="e" vm="2">
        <v>#VALUE!</v>
      </c>
      <c r="T1" s="2" t="e" vm="3">
        <v>#VALUE!</v>
      </c>
      <c r="AA1" s="2" t="e" vm="5">
        <v>#VALUE!</v>
      </c>
      <c r="AI1" s="2" t="e" vm="4">
        <v>#VALUE!</v>
      </c>
    </row>
    <row r="2" spans="1:35" s="10" customFormat="1" x14ac:dyDescent="0.3">
      <c r="A2" s="67" t="s">
        <v>12</v>
      </c>
      <c r="B2" s="66" t="s">
        <v>249</v>
      </c>
      <c r="C2" s="66" t="s">
        <v>250</v>
      </c>
      <c r="D2" s="66" t="s">
        <v>251</v>
      </c>
      <c r="E2" s="66" t="s">
        <v>252</v>
      </c>
      <c r="F2" s="66" t="s">
        <v>247</v>
      </c>
      <c r="H2" s="67" t="s">
        <v>12</v>
      </c>
      <c r="I2" s="66" t="s">
        <v>105</v>
      </c>
      <c r="J2" s="66" t="s">
        <v>104</v>
      </c>
      <c r="K2" s="66" t="s">
        <v>103</v>
      </c>
      <c r="L2" s="66" t="s">
        <v>102</v>
      </c>
      <c r="M2" s="66" t="s">
        <v>101</v>
      </c>
      <c r="O2" s="10" t="s">
        <v>12</v>
      </c>
      <c r="P2" s="10" t="s">
        <v>249</v>
      </c>
      <c r="Q2" s="10" t="s">
        <v>250</v>
      </c>
      <c r="R2" s="10" t="s">
        <v>251</v>
      </c>
      <c r="S2" s="10" t="s">
        <v>252</v>
      </c>
      <c r="T2" s="10" t="s">
        <v>247</v>
      </c>
      <c r="V2" s="10" t="s">
        <v>12</v>
      </c>
      <c r="W2" s="10" t="s">
        <v>249</v>
      </c>
      <c r="X2" s="10" t="s">
        <v>250</v>
      </c>
      <c r="Y2" s="10" t="s">
        <v>251</v>
      </c>
      <c r="Z2" s="10" t="s">
        <v>252</v>
      </c>
      <c r="AA2" s="10" t="s">
        <v>247</v>
      </c>
      <c r="AC2" s="10" t="s">
        <v>12</v>
      </c>
      <c r="AD2" s="10" t="s">
        <v>249</v>
      </c>
      <c r="AE2" s="10" t="s">
        <v>250</v>
      </c>
      <c r="AF2" s="10" t="s">
        <v>251</v>
      </c>
      <c r="AG2" s="10" t="s">
        <v>252</v>
      </c>
      <c r="AH2" s="10" t="s">
        <v>247</v>
      </c>
      <c r="AI2" s="10" t="s">
        <v>248</v>
      </c>
    </row>
    <row r="3" spans="1:35" x14ac:dyDescent="0.3">
      <c r="A3" s="26" t="s">
        <v>137</v>
      </c>
      <c r="B3" s="26"/>
      <c r="C3" s="26"/>
      <c r="D3" s="26"/>
      <c r="E3" s="26"/>
      <c r="F3" s="26"/>
      <c r="H3" s="62" t="s">
        <v>137</v>
      </c>
      <c r="O3" s="83" t="s">
        <v>349</v>
      </c>
      <c r="P3" s="83"/>
      <c r="Q3" s="83"/>
      <c r="R3" s="83"/>
      <c r="S3" s="83"/>
      <c r="T3" s="83"/>
      <c r="V3" s="83" t="s">
        <v>374</v>
      </c>
      <c r="W3" s="83"/>
      <c r="X3" s="83"/>
      <c r="Y3" s="83"/>
      <c r="Z3" s="83"/>
      <c r="AA3" s="83"/>
      <c r="AC3" s="26" t="s">
        <v>374</v>
      </c>
      <c r="AD3" s="26"/>
      <c r="AE3" s="26"/>
      <c r="AF3" s="26"/>
      <c r="AG3" s="26"/>
      <c r="AH3" s="26"/>
      <c r="AI3" s="26"/>
    </row>
    <row r="4" spans="1:35" x14ac:dyDescent="0.3">
      <c r="A4" s="68" t="s">
        <v>138</v>
      </c>
      <c r="B4" s="69">
        <v>2510.4899999999998</v>
      </c>
      <c r="C4" s="69">
        <v>2972.2</v>
      </c>
      <c r="D4" s="69">
        <v>3212</v>
      </c>
      <c r="E4" s="69">
        <v>3968.8</v>
      </c>
      <c r="F4" s="69">
        <v>5308.34</v>
      </c>
      <c r="H4" s="64" t="s">
        <v>185</v>
      </c>
      <c r="I4" s="65">
        <v>726.78</v>
      </c>
      <c r="J4" s="65">
        <v>603.82000000000005</v>
      </c>
      <c r="K4" s="65">
        <v>749.33</v>
      </c>
      <c r="L4" s="65">
        <v>1402.68</v>
      </c>
      <c r="M4" s="65">
        <v>2424.83</v>
      </c>
      <c r="O4" s="23" t="s">
        <v>320</v>
      </c>
      <c r="P4" s="8">
        <v>742.45399999999995</v>
      </c>
      <c r="Q4" s="8">
        <v>340.8811</v>
      </c>
      <c r="R4" s="8">
        <v>743.4982</v>
      </c>
      <c r="S4" s="8">
        <v>481.80349999999999</v>
      </c>
      <c r="T4" s="33">
        <v>828.23519999999996</v>
      </c>
      <c r="V4" s="121" t="s">
        <v>321</v>
      </c>
      <c r="W4" s="122">
        <v>223.87100000000001</v>
      </c>
      <c r="X4" s="122">
        <v>207.1174</v>
      </c>
      <c r="Y4" s="122">
        <v>257.24160000000001</v>
      </c>
      <c r="Z4" s="122">
        <v>305.21789999999999</v>
      </c>
      <c r="AA4" s="123">
        <v>480.92090000000002</v>
      </c>
      <c r="AC4" s="23" t="s">
        <v>405</v>
      </c>
      <c r="AD4" s="8">
        <v>2882.65</v>
      </c>
      <c r="AE4" s="8">
        <v>3239.06</v>
      </c>
      <c r="AF4" s="8">
        <v>5079.88</v>
      </c>
      <c r="AG4" s="8">
        <v>5827.73</v>
      </c>
      <c r="AH4" s="8">
        <v>7620.95</v>
      </c>
      <c r="AI4" s="33">
        <v>8364.0499999999993</v>
      </c>
    </row>
    <row r="5" spans="1:35" x14ac:dyDescent="0.3">
      <c r="A5" s="26" t="s">
        <v>139</v>
      </c>
      <c r="B5" s="56"/>
      <c r="C5" s="56"/>
      <c r="D5" s="56"/>
      <c r="E5" s="56"/>
      <c r="F5" s="56"/>
      <c r="H5" s="2" t="s">
        <v>186</v>
      </c>
      <c r="I5" s="56"/>
      <c r="J5" s="56"/>
      <c r="K5" s="56"/>
      <c r="L5" s="56"/>
      <c r="M5" s="56"/>
      <c r="O5" s="83" t="s">
        <v>139</v>
      </c>
      <c r="P5" s="84"/>
      <c r="Q5" s="84"/>
      <c r="R5" s="84"/>
      <c r="S5" s="84"/>
      <c r="T5" s="84"/>
      <c r="V5" s="83" t="s">
        <v>139</v>
      </c>
      <c r="W5" s="84"/>
      <c r="X5" s="84"/>
      <c r="Y5" s="84"/>
      <c r="Z5" s="84"/>
      <c r="AA5" s="84"/>
      <c r="AC5" s="26" t="s">
        <v>139</v>
      </c>
      <c r="AD5" s="57"/>
      <c r="AE5" s="57"/>
      <c r="AF5" s="57"/>
      <c r="AG5" s="57"/>
      <c r="AH5" s="57"/>
      <c r="AI5" s="57"/>
    </row>
    <row r="6" spans="1:35" x14ac:dyDescent="0.3">
      <c r="A6" s="32" t="s">
        <v>140</v>
      </c>
      <c r="B6" s="54">
        <v>371.86</v>
      </c>
      <c r="C6" s="54">
        <v>387.32</v>
      </c>
      <c r="D6" s="54">
        <v>401.13</v>
      </c>
      <c r="E6" s="54">
        <v>428.82</v>
      </c>
      <c r="F6" s="54">
        <v>443.2</v>
      </c>
      <c r="H6" s="26" t="s">
        <v>187</v>
      </c>
      <c r="I6" s="56"/>
      <c r="J6" s="56"/>
      <c r="K6" s="56"/>
      <c r="L6" s="56"/>
      <c r="M6" s="56"/>
      <c r="O6" s="23" t="s">
        <v>350</v>
      </c>
      <c r="P6" s="8">
        <v>96.438400000000001</v>
      </c>
      <c r="Q6" s="8">
        <v>94.538399999999996</v>
      </c>
      <c r="R6" s="8">
        <v>90.354699999999994</v>
      </c>
      <c r="S6" s="8">
        <v>77.257900000000006</v>
      </c>
      <c r="T6" s="33">
        <v>67.039199999999994</v>
      </c>
      <c r="V6" s="23" t="s">
        <v>152</v>
      </c>
      <c r="W6" s="8">
        <v>-203.9684</v>
      </c>
      <c r="X6" s="8">
        <v>-152.6823</v>
      </c>
      <c r="Y6" s="8">
        <v>-130.19</v>
      </c>
      <c r="Z6" s="8">
        <v>-178.34</v>
      </c>
      <c r="AA6" s="33">
        <v>-271.35469999999998</v>
      </c>
      <c r="AC6" s="23" t="s">
        <v>406</v>
      </c>
      <c r="AD6" s="8">
        <v>1095.99</v>
      </c>
      <c r="AE6" s="8">
        <v>1037.93</v>
      </c>
      <c r="AF6" s="8">
        <v>144.65</v>
      </c>
      <c r="AG6" s="8">
        <v>681.77</v>
      </c>
      <c r="AH6" s="8">
        <v>2603.9299999999998</v>
      </c>
      <c r="AI6" s="33">
        <v>2503.21</v>
      </c>
    </row>
    <row r="7" spans="1:35" x14ac:dyDescent="0.3">
      <c r="A7" s="11" t="s">
        <v>141</v>
      </c>
      <c r="B7" s="8">
        <v>0</v>
      </c>
      <c r="C7" s="8">
        <v>0</v>
      </c>
      <c r="D7" s="8">
        <v>0</v>
      </c>
      <c r="E7" s="8">
        <v>-2.6</v>
      </c>
      <c r="F7" s="8">
        <v>19.13</v>
      </c>
      <c r="H7" s="32" t="s">
        <v>188</v>
      </c>
      <c r="I7" s="54">
        <v>71.14</v>
      </c>
      <c r="J7" s="54">
        <v>71.08</v>
      </c>
      <c r="K7" s="54">
        <v>74.510000000000005</v>
      </c>
      <c r="L7" s="54">
        <v>75.58</v>
      </c>
      <c r="M7" s="54">
        <v>83.13</v>
      </c>
      <c r="O7" s="23" t="s">
        <v>328</v>
      </c>
      <c r="P7" s="8">
        <v>4.6557000000000004</v>
      </c>
      <c r="Q7" s="8">
        <v>3.9127999999999998</v>
      </c>
      <c r="R7" s="8">
        <v>3.4243000000000001</v>
      </c>
      <c r="S7" s="8">
        <v>4.5364000000000004</v>
      </c>
      <c r="T7" s="33">
        <v>3.1052</v>
      </c>
      <c r="V7" s="23" t="s">
        <v>375</v>
      </c>
      <c r="W7" s="8">
        <v>-6.9694000000000003</v>
      </c>
      <c r="X7" s="8">
        <v>-3.1796000000000002</v>
      </c>
      <c r="Y7" s="8">
        <v>-4.2169999999999996</v>
      </c>
      <c r="Z7" s="8">
        <v>-2.6817000000000002</v>
      </c>
      <c r="AA7" s="33">
        <v>-5.7270000000000003</v>
      </c>
      <c r="AC7" s="23" t="s">
        <v>407</v>
      </c>
      <c r="AD7" s="8">
        <v>-0.23</v>
      </c>
      <c r="AE7" s="8">
        <v>-0.12</v>
      </c>
      <c r="AF7" s="8">
        <v>-1.57</v>
      </c>
      <c r="AG7" s="8">
        <v>-3.18</v>
      </c>
      <c r="AH7" s="8">
        <v>-5.9</v>
      </c>
      <c r="AI7" s="33">
        <v>-1.88</v>
      </c>
    </row>
    <row r="8" spans="1:35" x14ac:dyDescent="0.3">
      <c r="A8" s="11" t="s">
        <v>142</v>
      </c>
      <c r="B8" s="8">
        <v>0</v>
      </c>
      <c r="C8" s="8">
        <v>0</v>
      </c>
      <c r="D8" s="8">
        <v>0</v>
      </c>
      <c r="E8" s="8">
        <v>32.15</v>
      </c>
      <c r="F8" s="8">
        <v>168.52</v>
      </c>
      <c r="H8" s="11" t="s">
        <v>154</v>
      </c>
      <c r="I8" s="8">
        <v>9.26</v>
      </c>
      <c r="J8" s="8">
        <v>8.36</v>
      </c>
      <c r="K8" s="8">
        <v>7.16</v>
      </c>
      <c r="L8" s="8">
        <v>6.37</v>
      </c>
      <c r="M8" s="8">
        <v>5.12</v>
      </c>
      <c r="O8" s="23" t="s">
        <v>152</v>
      </c>
      <c r="P8" s="8">
        <v>-53.933999999999997</v>
      </c>
      <c r="Q8" s="8">
        <v>-56.288600000000002</v>
      </c>
      <c r="R8" s="8">
        <v>-63.751600000000003</v>
      </c>
      <c r="S8" s="8">
        <v>-111.7617</v>
      </c>
      <c r="T8" s="33">
        <v>-319.06369999999998</v>
      </c>
      <c r="V8" s="23" t="s">
        <v>376</v>
      </c>
      <c r="W8" s="8">
        <v>4.7510000000000003</v>
      </c>
      <c r="X8" s="8">
        <v>3.5552000000000001</v>
      </c>
      <c r="Y8" s="8">
        <v>1.123</v>
      </c>
      <c r="Z8" s="8">
        <v>0.54330000000000001</v>
      </c>
      <c r="AA8" s="33">
        <v>1.0974999999999999</v>
      </c>
      <c r="AC8" s="23" t="s">
        <v>154</v>
      </c>
      <c r="AD8" s="8">
        <v>348.46</v>
      </c>
      <c r="AE8" s="8">
        <v>259.17</v>
      </c>
      <c r="AF8" s="8">
        <v>55.86</v>
      </c>
      <c r="AG8" s="8">
        <v>25.82</v>
      </c>
      <c r="AH8" s="8">
        <v>31.41</v>
      </c>
      <c r="AI8" s="33">
        <v>8.68</v>
      </c>
    </row>
    <row r="9" spans="1:35" x14ac:dyDescent="0.3">
      <c r="A9" s="11" t="s">
        <v>143</v>
      </c>
      <c r="B9" s="8">
        <v>0</v>
      </c>
      <c r="C9" s="8">
        <v>0</v>
      </c>
      <c r="D9" s="8">
        <v>0</v>
      </c>
      <c r="E9" s="8">
        <v>18.440000000000001</v>
      </c>
      <c r="F9" s="8">
        <v>31.32</v>
      </c>
      <c r="H9" s="11" t="s">
        <v>189</v>
      </c>
      <c r="I9" s="8">
        <v>0.15</v>
      </c>
      <c r="J9" s="8">
        <v>0.15</v>
      </c>
      <c r="K9" s="8">
        <v>0.15</v>
      </c>
      <c r="L9" s="8">
        <v>0.15</v>
      </c>
      <c r="M9" s="8">
        <v>0.15</v>
      </c>
      <c r="O9" s="23" t="s">
        <v>351</v>
      </c>
      <c r="P9" s="8">
        <v>6.1999999999999998E-3</v>
      </c>
      <c r="Q9" s="8">
        <v>-0.10290000000000001</v>
      </c>
      <c r="R9" s="8">
        <v>8.9999999999999993E-3</v>
      </c>
      <c r="S9" s="8">
        <v>-0.10059999999999999</v>
      </c>
      <c r="T9" s="33">
        <v>6.2399999999999997E-2</v>
      </c>
      <c r="V9" s="23" t="s">
        <v>316</v>
      </c>
      <c r="W9" s="8">
        <v>30.089200000000002</v>
      </c>
      <c r="X9" s="8">
        <v>29.087599999999998</v>
      </c>
      <c r="Y9" s="8">
        <v>36.295999999999999</v>
      </c>
      <c r="Z9" s="8">
        <v>39.1663</v>
      </c>
      <c r="AA9" s="33">
        <v>41.326599999999999</v>
      </c>
      <c r="AC9" s="23" t="s">
        <v>152</v>
      </c>
      <c r="AD9" s="8">
        <v>-66.290000000000006</v>
      </c>
      <c r="AE9" s="8">
        <v>-89.23</v>
      </c>
      <c r="AF9" s="8">
        <v>-687.69</v>
      </c>
      <c r="AG9" s="8">
        <v>-1499.13</v>
      </c>
      <c r="AH9" s="8">
        <v>-1634.43</v>
      </c>
      <c r="AI9" s="33">
        <v>-2287.44</v>
      </c>
    </row>
    <row r="10" spans="1:35" x14ac:dyDescent="0.3">
      <c r="A10" s="11"/>
      <c r="B10" s="8"/>
      <c r="C10" s="8"/>
      <c r="D10" s="8"/>
      <c r="E10" s="8"/>
      <c r="F10" s="8"/>
      <c r="H10" s="63" t="s">
        <v>222</v>
      </c>
      <c r="I10" s="60">
        <v>0</v>
      </c>
      <c r="J10" s="60">
        <v>0</v>
      </c>
      <c r="K10" s="60">
        <v>0</v>
      </c>
      <c r="L10" s="60">
        <v>-0.1</v>
      </c>
      <c r="M10" s="60">
        <v>0.02</v>
      </c>
      <c r="O10" s="23" t="s">
        <v>352</v>
      </c>
      <c r="P10" s="8">
        <v>-13.0684</v>
      </c>
      <c r="Q10" s="8">
        <v>-13.446199999999999</v>
      </c>
      <c r="R10" s="8">
        <v>-26.543199999999999</v>
      </c>
      <c r="S10" s="8">
        <v>-10.210599999999999</v>
      </c>
      <c r="T10" s="33">
        <v>-8.2888999999999999</v>
      </c>
      <c r="V10" s="23" t="s">
        <v>377</v>
      </c>
      <c r="W10" s="8">
        <v>-1.1052999999999999</v>
      </c>
      <c r="X10" s="8">
        <v>-1.5397000000000001</v>
      </c>
      <c r="Y10" s="8">
        <v>-0.28220000000000001</v>
      </c>
      <c r="Z10" s="8">
        <v>-0.24479999999999999</v>
      </c>
      <c r="AA10" s="33">
        <v>3.0642999999999998</v>
      </c>
      <c r="AC10" s="23" t="s">
        <v>408</v>
      </c>
      <c r="AD10" s="8">
        <v>-7.02</v>
      </c>
      <c r="AE10" s="8">
        <v>-4.8099999999999996</v>
      </c>
      <c r="AF10" s="8">
        <v>0.23</v>
      </c>
      <c r="AG10" s="8">
        <v>-2.87</v>
      </c>
      <c r="AH10" s="8">
        <v>-26.5</v>
      </c>
      <c r="AI10" s="33">
        <v>-40.65</v>
      </c>
    </row>
    <row r="11" spans="1:35" x14ac:dyDescent="0.3">
      <c r="A11" s="11" t="s">
        <v>144</v>
      </c>
      <c r="B11" s="8">
        <v>0</v>
      </c>
      <c r="C11" s="8">
        <v>0</v>
      </c>
      <c r="D11" s="8">
        <v>0</v>
      </c>
      <c r="E11" s="8">
        <v>177.21</v>
      </c>
      <c r="F11" s="8">
        <v>72.349999999999994</v>
      </c>
      <c r="H11" s="26" t="s">
        <v>190</v>
      </c>
      <c r="I11" s="56"/>
      <c r="J11" s="56"/>
      <c r="K11" s="56"/>
      <c r="L11" s="56"/>
      <c r="M11" s="56"/>
      <c r="O11" s="23" t="s">
        <v>353</v>
      </c>
      <c r="P11" s="8">
        <v>21.019200000000001</v>
      </c>
      <c r="Q11" s="8">
        <v>10.95</v>
      </c>
      <c r="R11" s="8">
        <v>104.84950000000001</v>
      </c>
      <c r="S11" s="8">
        <v>26.221900000000002</v>
      </c>
      <c r="T11" s="33">
        <v>25.370799999999999</v>
      </c>
      <c r="V11" s="23" t="s">
        <v>154</v>
      </c>
      <c r="W11" s="8">
        <v>1.3355999999999999</v>
      </c>
      <c r="X11" s="8">
        <v>2.7010000000000001</v>
      </c>
      <c r="Y11" s="8">
        <v>0.7641</v>
      </c>
      <c r="Z11" s="8">
        <v>6.4806999999999997</v>
      </c>
      <c r="AA11" s="33">
        <v>11.4892</v>
      </c>
      <c r="AC11" s="23" t="s">
        <v>409</v>
      </c>
      <c r="AD11" s="8">
        <v>0.22</v>
      </c>
      <c r="AE11" s="8">
        <v>-0.14000000000000001</v>
      </c>
      <c r="AF11" s="8">
        <v>0.19</v>
      </c>
      <c r="AG11" s="8">
        <v>-0.25</v>
      </c>
      <c r="AH11" s="8">
        <v>0.45</v>
      </c>
      <c r="AI11" s="33">
        <v>0.34</v>
      </c>
    </row>
    <row r="12" spans="1:35" ht="28.8" x14ac:dyDescent="0.3">
      <c r="A12" s="24" t="s">
        <v>145</v>
      </c>
      <c r="B12" s="8">
        <v>0</v>
      </c>
      <c r="C12" s="8">
        <v>0</v>
      </c>
      <c r="D12" s="8">
        <v>0</v>
      </c>
      <c r="E12" s="8">
        <v>375.36</v>
      </c>
      <c r="F12" s="8">
        <v>831.18</v>
      </c>
      <c r="H12" s="32" t="s">
        <v>191</v>
      </c>
      <c r="I12" s="54">
        <v>2.0299999999999998</v>
      </c>
      <c r="J12" s="54">
        <v>0</v>
      </c>
      <c r="K12" s="54">
        <v>2.56</v>
      </c>
      <c r="L12" s="54">
        <v>-0.9</v>
      </c>
      <c r="M12" s="54">
        <v>-1.48</v>
      </c>
      <c r="O12" s="23" t="s">
        <v>354</v>
      </c>
      <c r="P12" s="8">
        <v>-8.4490999999999996</v>
      </c>
      <c r="Q12" s="8">
        <v>-8.2125000000000004</v>
      </c>
      <c r="R12" s="8">
        <v>-23.6508</v>
      </c>
      <c r="S12" s="8">
        <v>-9.5992999999999995</v>
      </c>
      <c r="T12" s="33">
        <v>-0.10580000000000001</v>
      </c>
      <c r="V12" s="23" t="s">
        <v>378</v>
      </c>
      <c r="W12" s="8">
        <v>-0.24590000000000001</v>
      </c>
      <c r="X12" s="8">
        <v>-0.86470000000000002</v>
      </c>
      <c r="Y12" s="8">
        <v>-0.44900000000000001</v>
      </c>
      <c r="Z12" s="8">
        <v>3.5268000000000002</v>
      </c>
      <c r="AA12" s="33">
        <v>2.5971000000000002</v>
      </c>
      <c r="AC12" s="23" t="s">
        <v>410</v>
      </c>
      <c r="AD12" s="8">
        <v>0.37</v>
      </c>
      <c r="AE12" s="8">
        <v>0.64</v>
      </c>
      <c r="AF12" s="8">
        <v>3.13</v>
      </c>
      <c r="AG12" s="8">
        <v>-2.91</v>
      </c>
      <c r="AH12" s="8">
        <v>2.21</v>
      </c>
      <c r="AI12" s="33">
        <v>-1.68</v>
      </c>
    </row>
    <row r="13" spans="1:35" x14ac:dyDescent="0.3">
      <c r="A13" s="11" t="s">
        <v>146</v>
      </c>
      <c r="B13" s="8">
        <v>0</v>
      </c>
      <c r="C13" s="8">
        <v>72.13</v>
      </c>
      <c r="D13" s="8">
        <v>0</v>
      </c>
      <c r="E13" s="8">
        <v>5.44</v>
      </c>
      <c r="F13" s="8">
        <v>96.66</v>
      </c>
      <c r="H13" s="11" t="s">
        <v>152</v>
      </c>
      <c r="I13" s="8">
        <v>-527.78</v>
      </c>
      <c r="J13" s="8">
        <v>-368.24</v>
      </c>
      <c r="K13" s="8">
        <v>-347.48</v>
      </c>
      <c r="L13" s="8">
        <v>-601.77</v>
      </c>
      <c r="M13" s="8">
        <v>-994.41</v>
      </c>
      <c r="O13" s="23" t="s">
        <v>355</v>
      </c>
      <c r="P13" s="8">
        <v>-1.6128</v>
      </c>
      <c r="Q13" s="8">
        <v>-2.0062000000000002</v>
      </c>
      <c r="R13" s="8">
        <v>3.1758000000000002</v>
      </c>
      <c r="S13" s="8">
        <v>1.3024</v>
      </c>
      <c r="T13" s="33">
        <v>-1.2544</v>
      </c>
      <c r="V13" s="23" t="s">
        <v>379</v>
      </c>
      <c r="W13" s="8">
        <v>0</v>
      </c>
      <c r="X13" s="8">
        <v>-3.3969999999999998</v>
      </c>
      <c r="Y13" s="8">
        <v>0</v>
      </c>
      <c r="Z13" s="8">
        <v>-8.4707000000000008</v>
      </c>
      <c r="AA13" s="33">
        <v>-6.7567000000000004</v>
      </c>
      <c r="AC13" s="23" t="s">
        <v>411</v>
      </c>
      <c r="AD13" s="8">
        <v>1030.31</v>
      </c>
      <c r="AE13" s="8">
        <v>1242.1300000000001</v>
      </c>
      <c r="AF13" s="8">
        <v>1286.96</v>
      </c>
      <c r="AG13" s="8">
        <v>2382.1</v>
      </c>
      <c r="AH13" s="8">
        <v>1422.12</v>
      </c>
      <c r="AI13" s="33">
        <v>1362.67</v>
      </c>
    </row>
    <row r="14" spans="1:35" x14ac:dyDescent="0.3">
      <c r="A14" s="11" t="s">
        <v>147</v>
      </c>
      <c r="B14" s="8">
        <v>0</v>
      </c>
      <c r="C14" s="8">
        <v>0.75</v>
      </c>
      <c r="D14" s="8">
        <v>0</v>
      </c>
      <c r="E14" s="8">
        <v>19.5</v>
      </c>
      <c r="F14" s="8">
        <v>0</v>
      </c>
      <c r="H14" s="11" t="s">
        <v>192</v>
      </c>
      <c r="I14" s="8">
        <v>-0.14000000000000001</v>
      </c>
      <c r="J14" s="8">
        <v>-0.09</v>
      </c>
      <c r="K14" s="8">
        <v>-7.0000000000000007E-2</v>
      </c>
      <c r="L14" s="8">
        <v>-0.05</v>
      </c>
      <c r="M14" s="8">
        <v>-0.04</v>
      </c>
      <c r="O14" s="23" t="s">
        <v>356</v>
      </c>
      <c r="P14" s="8">
        <v>0</v>
      </c>
      <c r="Q14" s="8">
        <v>0</v>
      </c>
      <c r="R14" s="8">
        <v>0</v>
      </c>
      <c r="S14" s="8">
        <v>0</v>
      </c>
      <c r="T14" s="33">
        <v>0</v>
      </c>
      <c r="V14" s="23" t="s">
        <v>380</v>
      </c>
      <c r="W14" s="8">
        <v>-6.3902999999999999</v>
      </c>
      <c r="X14" s="8">
        <v>8.9492999999999991</v>
      </c>
      <c r="Y14" s="8">
        <v>-6.5454999999999997</v>
      </c>
      <c r="Z14" s="8">
        <v>0</v>
      </c>
      <c r="AA14" s="33">
        <v>0</v>
      </c>
      <c r="AC14" s="23" t="s">
        <v>412</v>
      </c>
      <c r="AD14" s="8">
        <v>1.33</v>
      </c>
      <c r="AE14" s="8">
        <v>0.25</v>
      </c>
      <c r="AF14" s="8">
        <v>0.86</v>
      </c>
      <c r="AG14" s="8">
        <v>0.03</v>
      </c>
      <c r="AH14" s="8">
        <v>0</v>
      </c>
      <c r="AI14" s="33">
        <v>-7.83</v>
      </c>
    </row>
    <row r="15" spans="1:35" x14ac:dyDescent="0.3">
      <c r="A15" s="11" t="s">
        <v>148</v>
      </c>
      <c r="B15" s="8">
        <v>0</v>
      </c>
      <c r="C15" s="8">
        <v>14.68</v>
      </c>
      <c r="D15" s="8">
        <v>0</v>
      </c>
      <c r="E15" s="8">
        <v>0</v>
      </c>
      <c r="F15" s="8">
        <v>0</v>
      </c>
      <c r="H15" s="11" t="s">
        <v>193</v>
      </c>
      <c r="I15" s="8">
        <v>-8.07</v>
      </c>
      <c r="J15" s="8">
        <v>-8.0399999999999991</v>
      </c>
      <c r="K15" s="8">
        <v>-7.63</v>
      </c>
      <c r="L15" s="8">
        <v>-6.87</v>
      </c>
      <c r="M15" s="8">
        <v>-6.87</v>
      </c>
      <c r="O15" s="16" t="s">
        <v>196</v>
      </c>
      <c r="P15" s="13">
        <f>SUM(P4,P6:P14)</f>
        <v>787.50919999999996</v>
      </c>
      <c r="Q15" s="13">
        <f t="shared" ref="Q15:T15" si="0">SUM(Q4,Q6:Q14)</f>
        <v>370.22590000000002</v>
      </c>
      <c r="R15" s="13">
        <f t="shared" si="0"/>
        <v>831.36590000000001</v>
      </c>
      <c r="S15" s="13">
        <f t="shared" si="0"/>
        <v>459.44990000000001</v>
      </c>
      <c r="T15" s="13">
        <f t="shared" si="0"/>
        <v>595.1</v>
      </c>
      <c r="V15" s="16" t="s">
        <v>196</v>
      </c>
      <c r="W15" s="13">
        <f>SUM(W4,W6:W14)</f>
        <v>41.367500000000007</v>
      </c>
      <c r="X15" s="13">
        <f t="shared" ref="X15:AA15" si="1">SUM(X4,X6:X14)</f>
        <v>89.747199999999992</v>
      </c>
      <c r="Y15" s="13">
        <f t="shared" si="1"/>
        <v>153.74100000000001</v>
      </c>
      <c r="Z15" s="13">
        <f t="shared" si="1"/>
        <v>165.1978</v>
      </c>
      <c r="AA15" s="13">
        <f t="shared" si="1"/>
        <v>256.65719999999999</v>
      </c>
      <c r="AC15" s="23" t="s">
        <v>413</v>
      </c>
      <c r="AD15" s="8">
        <v>37.67</v>
      </c>
      <c r="AE15" s="8">
        <v>14.26</v>
      </c>
      <c r="AF15" s="8">
        <v>1054.18</v>
      </c>
      <c r="AG15" s="8">
        <v>104.16</v>
      </c>
      <c r="AH15" s="8">
        <v>35.340000000000003</v>
      </c>
      <c r="AI15" s="33">
        <v>0.83</v>
      </c>
    </row>
    <row r="16" spans="1:35" x14ac:dyDescent="0.3">
      <c r="A16" s="11" t="s">
        <v>149</v>
      </c>
      <c r="B16" s="8">
        <v>12.47</v>
      </c>
      <c r="C16" s="8">
        <v>0</v>
      </c>
      <c r="D16" s="8">
        <v>0</v>
      </c>
      <c r="E16" s="8">
        <v>41.8</v>
      </c>
      <c r="F16" s="8">
        <v>0.02</v>
      </c>
      <c r="H16" s="11" t="s">
        <v>194</v>
      </c>
      <c r="I16" s="8">
        <v>-3.74</v>
      </c>
      <c r="J16" s="8">
        <v>-3.71</v>
      </c>
      <c r="K16" s="8">
        <v>-3.98</v>
      </c>
      <c r="L16" s="8">
        <v>-4.74</v>
      </c>
      <c r="M16" s="8">
        <v>-4.33</v>
      </c>
      <c r="O16" s="97" t="s">
        <v>357</v>
      </c>
      <c r="P16" s="86"/>
      <c r="Q16" s="86"/>
      <c r="R16" s="86"/>
      <c r="S16" s="86"/>
      <c r="T16" s="99"/>
      <c r="V16" s="83" t="s">
        <v>381</v>
      </c>
      <c r="W16" s="84"/>
      <c r="X16" s="84"/>
      <c r="Y16" s="84"/>
      <c r="Z16" s="84"/>
      <c r="AA16" s="84"/>
      <c r="AC16" s="23" t="s">
        <v>414</v>
      </c>
      <c r="AD16" s="8">
        <v>33.42</v>
      </c>
      <c r="AE16" s="8">
        <v>29.55</v>
      </c>
      <c r="AF16" s="8">
        <v>67.77</v>
      </c>
      <c r="AG16" s="8">
        <v>26.78</v>
      </c>
      <c r="AH16" s="8">
        <v>23.86</v>
      </c>
      <c r="AI16" s="33">
        <v>150.1</v>
      </c>
    </row>
    <row r="17" spans="1:35" x14ac:dyDescent="0.3">
      <c r="A17" s="11" t="s">
        <v>150</v>
      </c>
      <c r="B17" s="8">
        <v>31.17</v>
      </c>
      <c r="C17" s="8">
        <v>47.11</v>
      </c>
      <c r="D17" s="8">
        <v>53.48</v>
      </c>
      <c r="E17" s="8">
        <v>0</v>
      </c>
      <c r="F17" s="8">
        <v>0</v>
      </c>
      <c r="H17" s="11" t="s">
        <v>195</v>
      </c>
      <c r="I17" s="8">
        <v>-0.19</v>
      </c>
      <c r="J17" s="8">
        <v>-0.2</v>
      </c>
      <c r="K17" s="8">
        <v>-0.22</v>
      </c>
      <c r="L17" s="8">
        <v>-0.23</v>
      </c>
      <c r="M17" s="8">
        <v>-0.25</v>
      </c>
      <c r="O17" s="83" t="s">
        <v>139</v>
      </c>
      <c r="P17" s="84"/>
      <c r="Q17" s="84"/>
      <c r="R17" s="84"/>
      <c r="S17" s="84"/>
      <c r="T17" s="84"/>
      <c r="V17" s="23" t="s">
        <v>382</v>
      </c>
      <c r="W17" s="8">
        <v>-303.58330000000001</v>
      </c>
      <c r="X17" s="8">
        <v>360.32220000000001</v>
      </c>
      <c r="Y17" s="8">
        <v>27.411100000000001</v>
      </c>
      <c r="Z17" s="8">
        <v>100.8141</v>
      </c>
      <c r="AA17" s="33">
        <v>-140.81100000000001</v>
      </c>
      <c r="AC17" s="23" t="s">
        <v>415</v>
      </c>
      <c r="AD17" s="8">
        <v>463.28</v>
      </c>
      <c r="AE17" s="8">
        <v>211.75</v>
      </c>
      <c r="AF17" s="8">
        <v>787.29</v>
      </c>
      <c r="AG17" s="8">
        <v>2450.52</v>
      </c>
      <c r="AH17" s="8">
        <v>38.979999999999997</v>
      </c>
      <c r="AI17" s="33">
        <v>4.09</v>
      </c>
    </row>
    <row r="18" spans="1:35" x14ac:dyDescent="0.3">
      <c r="A18" s="11" t="s">
        <v>151</v>
      </c>
      <c r="B18" s="8">
        <v>-19.98</v>
      </c>
      <c r="C18" s="8">
        <v>-17.36</v>
      </c>
      <c r="D18" s="8">
        <v>-17.13</v>
      </c>
      <c r="E18" s="8">
        <v>-16.55</v>
      </c>
      <c r="F18" s="8">
        <v>-16.57</v>
      </c>
      <c r="H18" s="29" t="s">
        <v>196</v>
      </c>
      <c r="I18" s="30">
        <f>SUM(I4:I17)</f>
        <v>269.43999999999994</v>
      </c>
      <c r="J18" s="30">
        <f t="shared" ref="J18:M18" si="2">SUM(J4:J17)</f>
        <v>303.13000000000011</v>
      </c>
      <c r="K18" s="30">
        <f t="shared" si="2"/>
        <v>474.32999999999987</v>
      </c>
      <c r="L18" s="30">
        <f t="shared" si="2"/>
        <v>870.12</v>
      </c>
      <c r="M18" s="30">
        <f t="shared" si="2"/>
        <v>1505.8700000000003</v>
      </c>
      <c r="O18" s="23" t="s">
        <v>30</v>
      </c>
      <c r="P18" s="8">
        <v>187.55709999999999</v>
      </c>
      <c r="Q18" s="8">
        <v>15.6753</v>
      </c>
      <c r="R18" s="8">
        <v>18.531300000000002</v>
      </c>
      <c r="S18" s="8">
        <v>119.5886</v>
      </c>
      <c r="T18" s="33">
        <v>-125.8745</v>
      </c>
      <c r="V18" s="23" t="s">
        <v>383</v>
      </c>
      <c r="W18" s="8">
        <v>334.88560000000001</v>
      </c>
      <c r="X18" s="8">
        <v>-554.42759999999998</v>
      </c>
      <c r="Y18" s="8">
        <v>-430.42</v>
      </c>
      <c r="Z18" s="8">
        <v>944.10950000000003</v>
      </c>
      <c r="AA18" s="33">
        <v>12.157400000000001</v>
      </c>
      <c r="AC18" s="23" t="s">
        <v>141</v>
      </c>
      <c r="AD18" s="8">
        <v>213.84</v>
      </c>
      <c r="AE18" s="8">
        <v>325.61</v>
      </c>
      <c r="AF18" s="8">
        <v>515.44000000000005</v>
      </c>
      <c r="AG18" s="8">
        <v>439.01</v>
      </c>
      <c r="AH18" s="8">
        <v>10.15</v>
      </c>
      <c r="AI18" s="33">
        <v>2.4</v>
      </c>
    </row>
    <row r="19" spans="1:35" x14ac:dyDescent="0.3">
      <c r="A19" s="11" t="s">
        <v>152</v>
      </c>
      <c r="B19" s="8">
        <v>-70.58</v>
      </c>
      <c r="C19" s="8">
        <v>-60.5</v>
      </c>
      <c r="D19" s="8">
        <v>-176.45</v>
      </c>
      <c r="E19" s="8">
        <v>-260.88</v>
      </c>
      <c r="F19" s="8">
        <v>-571.95000000000005</v>
      </c>
      <c r="H19" s="26" t="s">
        <v>197</v>
      </c>
      <c r="I19" s="56"/>
      <c r="J19" s="56"/>
      <c r="K19" s="56"/>
      <c r="L19" s="56"/>
      <c r="M19" s="56"/>
      <c r="O19" s="23" t="s">
        <v>31</v>
      </c>
      <c r="P19" s="8">
        <v>6.54E-2</v>
      </c>
      <c r="Q19" s="8">
        <v>0.88480000000000003</v>
      </c>
      <c r="R19" s="8">
        <v>0.61399999999999999</v>
      </c>
      <c r="S19" s="8">
        <v>0.11409999999999999</v>
      </c>
      <c r="T19" s="33">
        <v>5.9499999999999997E-2</v>
      </c>
      <c r="V19" s="23" t="s">
        <v>384</v>
      </c>
      <c r="W19" s="8">
        <v>-15.5191</v>
      </c>
      <c r="X19" s="8">
        <v>24.990100000000002</v>
      </c>
      <c r="Y19" s="8">
        <v>-34.354700000000001</v>
      </c>
      <c r="Z19" s="8">
        <v>-51.961500000000001</v>
      </c>
      <c r="AA19" s="33">
        <v>7.3777999999999997</v>
      </c>
      <c r="AC19" s="23" t="s">
        <v>416</v>
      </c>
      <c r="AD19" s="8">
        <v>182.13</v>
      </c>
      <c r="AE19" s="8">
        <v>430.09</v>
      </c>
      <c r="AF19" s="8">
        <v>0</v>
      </c>
      <c r="AG19" s="8">
        <v>0</v>
      </c>
      <c r="AH19" s="8">
        <v>1166.1099999999999</v>
      </c>
      <c r="AI19" s="33">
        <v>1263.73</v>
      </c>
    </row>
    <row r="20" spans="1:35" x14ac:dyDescent="0.3">
      <c r="A20" s="11" t="s">
        <v>153</v>
      </c>
      <c r="B20" s="8">
        <v>0.28000000000000003</v>
      </c>
      <c r="C20" s="8">
        <v>0.24</v>
      </c>
      <c r="D20" s="8">
        <v>3.06</v>
      </c>
      <c r="E20" s="8">
        <v>3.7</v>
      </c>
      <c r="F20" s="8">
        <v>4.21</v>
      </c>
      <c r="H20" s="32" t="s">
        <v>198</v>
      </c>
      <c r="I20" s="54">
        <v>-832.4</v>
      </c>
      <c r="J20" s="54">
        <v>-1265.92</v>
      </c>
      <c r="K20" s="54">
        <v>-1811.49</v>
      </c>
      <c r="L20" s="54">
        <v>343.24</v>
      </c>
      <c r="M20" s="54">
        <v>1643.49</v>
      </c>
      <c r="O20" s="23" t="s">
        <v>32</v>
      </c>
      <c r="P20" s="8">
        <v>-978.34770000000003</v>
      </c>
      <c r="Q20" s="8">
        <v>1206.3969999999999</v>
      </c>
      <c r="R20" s="8">
        <v>-69.653899999999993</v>
      </c>
      <c r="S20" s="8">
        <v>-95.860500000000002</v>
      </c>
      <c r="T20" s="33">
        <v>390.89460000000003</v>
      </c>
      <c r="V20" s="23" t="s">
        <v>385</v>
      </c>
      <c r="W20" s="8">
        <v>-396.6191</v>
      </c>
      <c r="X20" s="8">
        <v>-302.03480000000002</v>
      </c>
      <c r="Y20" s="8">
        <v>-360.14400000000001</v>
      </c>
      <c r="Z20" s="8">
        <v>-580.33849999999995</v>
      </c>
      <c r="AA20" s="33">
        <v>876.41430000000003</v>
      </c>
      <c r="AC20" s="23" t="s">
        <v>417</v>
      </c>
      <c r="AD20" s="8">
        <v>521.6</v>
      </c>
      <c r="AE20" s="8">
        <v>438.75</v>
      </c>
      <c r="AF20" s="8">
        <v>0</v>
      </c>
      <c r="AG20" s="8">
        <v>0</v>
      </c>
      <c r="AH20" s="8">
        <v>324.25</v>
      </c>
      <c r="AI20" s="33">
        <v>370.15</v>
      </c>
    </row>
    <row r="21" spans="1:35" x14ac:dyDescent="0.3">
      <c r="A21" s="11" t="s">
        <v>154</v>
      </c>
      <c r="B21" s="8">
        <v>3.32</v>
      </c>
      <c r="C21" s="8">
        <v>6.13</v>
      </c>
      <c r="D21" s="8">
        <v>1.99</v>
      </c>
      <c r="E21" s="8">
        <v>11.25</v>
      </c>
      <c r="F21" s="8">
        <v>2.93</v>
      </c>
      <c r="H21" s="11" t="s">
        <v>199</v>
      </c>
      <c r="I21" s="8">
        <v>46.11</v>
      </c>
      <c r="J21" s="8">
        <v>470.75</v>
      </c>
      <c r="K21" s="8">
        <v>-37.56</v>
      </c>
      <c r="L21" s="8">
        <v>7.76</v>
      </c>
      <c r="M21" s="8">
        <v>-859.65</v>
      </c>
      <c r="O21" s="23" t="s">
        <v>34</v>
      </c>
      <c r="P21" s="8">
        <v>797.70060000000001</v>
      </c>
      <c r="Q21" s="8">
        <v>-544.08860000000004</v>
      </c>
      <c r="R21" s="8">
        <v>-261.41199999999998</v>
      </c>
      <c r="S21" s="8">
        <v>-179.51</v>
      </c>
      <c r="T21" s="33">
        <v>-163.15649999999999</v>
      </c>
      <c r="V21" s="23" t="s">
        <v>386</v>
      </c>
      <c r="W21" s="8">
        <v>-9.7299999999999998E-2</v>
      </c>
      <c r="X21" s="8">
        <v>9.4299999999999995E-2</v>
      </c>
      <c r="Y21" s="8">
        <v>-2.4799999999999999E-2</v>
      </c>
      <c r="Z21" s="8">
        <v>0.37969999999999998</v>
      </c>
      <c r="AA21" s="33">
        <v>-8.09E-2</v>
      </c>
      <c r="AC21" s="23" t="s">
        <v>418</v>
      </c>
      <c r="AD21" s="8">
        <v>-207.21</v>
      </c>
      <c r="AE21" s="8">
        <v>-321.83</v>
      </c>
      <c r="AF21" s="8">
        <v>560.04999999999995</v>
      </c>
      <c r="AG21" s="8">
        <v>281.39999999999998</v>
      </c>
      <c r="AH21" s="8">
        <v>1001.64</v>
      </c>
      <c r="AI21" s="33">
        <v>76.78</v>
      </c>
    </row>
    <row r="22" spans="1:35" x14ac:dyDescent="0.3">
      <c r="A22" s="11" t="s">
        <v>155</v>
      </c>
      <c r="B22" s="8">
        <v>-0.21</v>
      </c>
      <c r="C22" s="8">
        <v>-1.21</v>
      </c>
      <c r="D22" s="8">
        <v>-0.45</v>
      </c>
      <c r="E22" s="8">
        <v>-1.52</v>
      </c>
      <c r="F22" s="8">
        <v>-7.02</v>
      </c>
      <c r="H22" s="11" t="s">
        <v>200</v>
      </c>
      <c r="I22" s="8">
        <v>387.03</v>
      </c>
      <c r="J22" s="8">
        <v>-3136.06</v>
      </c>
      <c r="K22" s="8">
        <v>-2489.61</v>
      </c>
      <c r="L22" s="8">
        <v>1808.26</v>
      </c>
      <c r="M22" s="8">
        <v>565.9</v>
      </c>
      <c r="O22" s="23" t="s">
        <v>158</v>
      </c>
      <c r="P22" s="8">
        <v>18.754300000000001</v>
      </c>
      <c r="Q22" s="8">
        <v>-106.8408</v>
      </c>
      <c r="R22" s="8">
        <v>15.6874</v>
      </c>
      <c r="S22" s="8">
        <v>53.327199999999998</v>
      </c>
      <c r="T22" s="33">
        <v>-1318.6307999999999</v>
      </c>
      <c r="V22" s="23" t="s">
        <v>387</v>
      </c>
      <c r="W22" s="8">
        <v>-91.453100000000006</v>
      </c>
      <c r="X22" s="8">
        <v>-346.85230000000001</v>
      </c>
      <c r="Y22" s="8">
        <v>-384.39350000000002</v>
      </c>
      <c r="Z22" s="8">
        <v>-1746.2369000000001</v>
      </c>
      <c r="AA22" s="33">
        <v>-1065.9365</v>
      </c>
      <c r="AC22" s="23" t="s">
        <v>419</v>
      </c>
      <c r="AD22" s="8">
        <v>0</v>
      </c>
      <c r="AE22" s="8">
        <v>0</v>
      </c>
      <c r="AF22" s="8">
        <v>743.95</v>
      </c>
      <c r="AG22" s="8">
        <v>422.9</v>
      </c>
      <c r="AH22" s="8">
        <v>702.71</v>
      </c>
      <c r="AI22" s="33">
        <v>658.43</v>
      </c>
    </row>
    <row r="23" spans="1:35" x14ac:dyDescent="0.3">
      <c r="A23" s="29" t="s">
        <v>156</v>
      </c>
      <c r="B23" s="30">
        <f>SUM(B4:B22)</f>
        <v>2838.82</v>
      </c>
      <c r="C23" s="30">
        <f>SUM(C4:C22)</f>
        <v>3421.49</v>
      </c>
      <c r="D23" s="30">
        <f>SUM(D4:D22)</f>
        <v>3477.63</v>
      </c>
      <c r="E23" s="30">
        <f>SUM(E4:E22)</f>
        <v>4800.9199999999973</v>
      </c>
      <c r="F23" s="30">
        <f>SUM(F4:F22)</f>
        <v>6382.3200000000015</v>
      </c>
      <c r="H23" s="11" t="s">
        <v>201</v>
      </c>
      <c r="I23" s="8">
        <v>1829.63</v>
      </c>
      <c r="J23" s="8">
        <v>1106.3399999999999</v>
      </c>
      <c r="K23" s="8">
        <v>-528.66</v>
      </c>
      <c r="L23" s="8">
        <v>-1801.94</v>
      </c>
      <c r="M23" s="8">
        <v>24.44</v>
      </c>
      <c r="O23" s="83" t="s">
        <v>358</v>
      </c>
      <c r="P23" s="84"/>
      <c r="Q23" s="84"/>
      <c r="R23" s="84"/>
      <c r="S23" s="84"/>
      <c r="T23" s="84"/>
      <c r="V23" s="23" t="s">
        <v>388</v>
      </c>
      <c r="W23" s="8">
        <v>173.17439999999999</v>
      </c>
      <c r="X23" s="8">
        <v>235.28800000000001</v>
      </c>
      <c r="Y23" s="8">
        <v>-362.1053</v>
      </c>
      <c r="Z23" s="8">
        <v>761.46780000000001</v>
      </c>
      <c r="AA23" s="33">
        <v>-180.3596</v>
      </c>
      <c r="AC23" s="16" t="s">
        <v>196</v>
      </c>
      <c r="AD23" s="13">
        <f>SUM(AD4,AD6:AD22)</f>
        <v>6530.5199999999995</v>
      </c>
      <c r="AE23" s="13">
        <f t="shared" ref="AE23:AI23" si="3">SUM(AE4,AE6:AE22)</f>
        <v>6813.06</v>
      </c>
      <c r="AF23" s="13">
        <f t="shared" si="3"/>
        <v>9611.1799999999985</v>
      </c>
      <c r="AG23" s="13">
        <f t="shared" si="3"/>
        <v>11133.88</v>
      </c>
      <c r="AH23" s="13">
        <f t="shared" si="3"/>
        <v>13317.279999999999</v>
      </c>
      <c r="AI23" s="13">
        <f t="shared" si="3"/>
        <v>12425.98</v>
      </c>
    </row>
    <row r="24" spans="1:35" x14ac:dyDescent="0.3">
      <c r="A24" s="26" t="s">
        <v>157</v>
      </c>
      <c r="B24" s="56"/>
      <c r="C24" s="56"/>
      <c r="D24" s="56"/>
      <c r="E24" s="56"/>
      <c r="F24" s="56"/>
      <c r="H24" s="11" t="s">
        <v>202</v>
      </c>
      <c r="I24" s="8">
        <v>-1587.2</v>
      </c>
      <c r="J24" s="8">
        <v>2746.65</v>
      </c>
      <c r="K24" s="8">
        <v>4532.8100000000004</v>
      </c>
      <c r="L24" s="8">
        <v>600.30999999999995</v>
      </c>
      <c r="M24" s="8">
        <v>-1519.14</v>
      </c>
      <c r="O24" s="23" t="s">
        <v>52</v>
      </c>
      <c r="P24" s="8">
        <v>-173.97190000000001</v>
      </c>
      <c r="Q24" s="8">
        <v>397.11579999999998</v>
      </c>
      <c r="R24" s="8">
        <v>-190.13130000000001</v>
      </c>
      <c r="S24" s="8">
        <v>-88.091499999999996</v>
      </c>
      <c r="T24" s="33">
        <v>334.00880000000001</v>
      </c>
      <c r="V24" s="23" t="s">
        <v>389</v>
      </c>
      <c r="W24" s="8">
        <v>22.395399999999999</v>
      </c>
      <c r="X24" s="8">
        <v>10.019600000000001</v>
      </c>
      <c r="Y24" s="8">
        <v>16.896999999999998</v>
      </c>
      <c r="Z24" s="8">
        <v>-124.93210000000001</v>
      </c>
      <c r="AA24" s="33">
        <v>18.6783</v>
      </c>
      <c r="AC24" s="83" t="s">
        <v>139</v>
      </c>
      <c r="AD24" s="84"/>
      <c r="AE24" s="84"/>
      <c r="AF24" s="84"/>
      <c r="AG24" s="84"/>
      <c r="AH24" s="84"/>
      <c r="AI24" s="84"/>
    </row>
    <row r="25" spans="1:35" x14ac:dyDescent="0.3">
      <c r="A25" s="32" t="s">
        <v>94</v>
      </c>
      <c r="B25" s="54">
        <v>-1350.35</v>
      </c>
      <c r="C25" s="54">
        <v>162.03</v>
      </c>
      <c r="D25" s="54">
        <v>453.9</v>
      </c>
      <c r="E25" s="54">
        <v>-1300.75</v>
      </c>
      <c r="F25" s="54">
        <v>-1190.08</v>
      </c>
      <c r="H25" s="12" t="s">
        <v>203</v>
      </c>
      <c r="I25" s="13">
        <f>I18+SUM(I20:I24)</f>
        <v>112.61000000000001</v>
      </c>
      <c r="J25" s="13">
        <f t="shared" ref="J25:M25" si="4">J18+SUM(J20:J24)</f>
        <v>224.88999999999987</v>
      </c>
      <c r="K25" s="13">
        <f t="shared" si="4"/>
        <v>139.82000000000056</v>
      </c>
      <c r="L25" s="13">
        <f t="shared" si="4"/>
        <v>1827.75</v>
      </c>
      <c r="M25" s="13">
        <f t="shared" si="4"/>
        <v>1360.9100000000003</v>
      </c>
      <c r="O25" s="23" t="s">
        <v>53</v>
      </c>
      <c r="P25" s="8">
        <v>41.600999999999999</v>
      </c>
      <c r="Q25" s="8">
        <v>-22.531300000000002</v>
      </c>
      <c r="R25" s="8">
        <v>26.8995</v>
      </c>
      <c r="S25" s="8">
        <v>17.362300000000001</v>
      </c>
      <c r="T25" s="33">
        <v>123.7122</v>
      </c>
      <c r="V25" s="23" t="s">
        <v>390</v>
      </c>
      <c r="W25" s="8">
        <v>2.7395</v>
      </c>
      <c r="X25" s="8">
        <v>-0.25190000000000001</v>
      </c>
      <c r="Y25" s="8">
        <v>1.5911</v>
      </c>
      <c r="Z25" s="8">
        <v>3.8624000000000001</v>
      </c>
      <c r="AA25" s="33">
        <v>4.8228999999999997</v>
      </c>
      <c r="AC25" s="23" t="s">
        <v>420</v>
      </c>
      <c r="AD25" s="8">
        <v>-1883.81</v>
      </c>
      <c r="AE25" s="8">
        <v>5078.18</v>
      </c>
      <c r="AF25" s="8">
        <v>611.37</v>
      </c>
      <c r="AG25" s="8">
        <v>-1749.45</v>
      </c>
      <c r="AH25" s="8">
        <v>-2474.4299999999998</v>
      </c>
      <c r="AI25" s="33">
        <v>-4177.07</v>
      </c>
    </row>
    <row r="26" spans="1:35" x14ac:dyDescent="0.3">
      <c r="A26" s="11" t="s">
        <v>31</v>
      </c>
      <c r="B26" s="8">
        <v>-5.97</v>
      </c>
      <c r="C26" s="8">
        <v>40.79</v>
      </c>
      <c r="D26" s="8">
        <v>0.12</v>
      </c>
      <c r="E26" s="8">
        <v>0.48</v>
      </c>
      <c r="F26" s="8">
        <v>-0.16</v>
      </c>
      <c r="H26" s="12" t="s">
        <v>204</v>
      </c>
      <c r="I26" s="13">
        <v>-208.15</v>
      </c>
      <c r="J26" s="13">
        <v>-156.68</v>
      </c>
      <c r="K26" s="13">
        <v>-302.45</v>
      </c>
      <c r="L26" s="13">
        <v>-312.14999999999998</v>
      </c>
      <c r="M26" s="13">
        <v>-677.16</v>
      </c>
      <c r="O26" s="23" t="s">
        <v>160</v>
      </c>
      <c r="P26" s="8">
        <v>51.442599999999999</v>
      </c>
      <c r="Q26" s="8">
        <v>-88.038300000000007</v>
      </c>
      <c r="R26" s="8">
        <v>364.0412</v>
      </c>
      <c r="S26" s="8">
        <v>2079.5551</v>
      </c>
      <c r="T26" s="33">
        <v>748.88279999999997</v>
      </c>
      <c r="V26" s="23" t="s">
        <v>391</v>
      </c>
      <c r="W26" s="8">
        <v>737.65150000000006</v>
      </c>
      <c r="X26" s="8">
        <v>1058.0822000000001</v>
      </c>
      <c r="Y26" s="8">
        <v>1078.1320000000001</v>
      </c>
      <c r="Z26" s="8">
        <v>2051.2271999999998</v>
      </c>
      <c r="AA26" s="33">
        <v>-371.625</v>
      </c>
      <c r="AC26" s="23" t="s">
        <v>421</v>
      </c>
      <c r="AD26" s="8">
        <v>-30.02</v>
      </c>
      <c r="AE26" s="8">
        <v>-217.4</v>
      </c>
      <c r="AF26" s="8">
        <v>-1351.44</v>
      </c>
      <c r="AG26" s="8">
        <v>-1624.92</v>
      </c>
      <c r="AH26" s="8">
        <v>-1361.94</v>
      </c>
      <c r="AI26" s="33">
        <v>-2620.31</v>
      </c>
    </row>
    <row r="27" spans="1:35" x14ac:dyDescent="0.3">
      <c r="A27" s="11" t="s">
        <v>32</v>
      </c>
      <c r="B27" s="8">
        <v>4.21</v>
      </c>
      <c r="C27" s="8">
        <v>-27.13</v>
      </c>
      <c r="D27" s="8">
        <v>-34.56</v>
      </c>
      <c r="E27" s="8">
        <v>-111.37</v>
      </c>
      <c r="F27" s="8">
        <v>45.65</v>
      </c>
      <c r="H27" s="29" t="s">
        <v>205</v>
      </c>
      <c r="I27" s="30">
        <f>I25+I26</f>
        <v>-95.539999999999992</v>
      </c>
      <c r="J27" s="30">
        <f t="shared" ref="J27:M27" si="5">J25+J26</f>
        <v>68.209999999999866</v>
      </c>
      <c r="K27" s="30">
        <f t="shared" si="5"/>
        <v>-162.62999999999943</v>
      </c>
      <c r="L27" s="30">
        <f t="shared" si="5"/>
        <v>1515.6</v>
      </c>
      <c r="M27" s="30">
        <f t="shared" si="5"/>
        <v>683.75000000000034</v>
      </c>
      <c r="O27" s="23" t="s">
        <v>159</v>
      </c>
      <c r="P27" s="8">
        <v>-54.445099999999996</v>
      </c>
      <c r="Q27" s="8">
        <v>-82.964399999999998</v>
      </c>
      <c r="R27" s="8">
        <v>-2.8595999999999999</v>
      </c>
      <c r="S27" s="8">
        <v>-14.956799999999999</v>
      </c>
      <c r="T27" s="33">
        <v>-17.311</v>
      </c>
      <c r="V27" s="23" t="s">
        <v>392</v>
      </c>
      <c r="W27" s="8">
        <v>-1.6875</v>
      </c>
      <c r="X27" s="8">
        <v>-4.0290999999999997</v>
      </c>
      <c r="Y27" s="8">
        <v>5.2725999999999997</v>
      </c>
      <c r="Z27" s="8">
        <v>3.7376999999999998</v>
      </c>
      <c r="AA27" s="33">
        <v>-0.53510000000000002</v>
      </c>
      <c r="AC27" s="23" t="s">
        <v>387</v>
      </c>
      <c r="AD27" s="8">
        <v>46.23</v>
      </c>
      <c r="AE27" s="8">
        <v>2461.04</v>
      </c>
      <c r="AF27" s="8">
        <v>1765.67</v>
      </c>
      <c r="AG27" s="8">
        <v>1917.19</v>
      </c>
      <c r="AH27" s="8">
        <v>-2070.4899999999998</v>
      </c>
      <c r="AI27" s="33">
        <v>-8534.94</v>
      </c>
    </row>
    <row r="28" spans="1:35" x14ac:dyDescent="0.3">
      <c r="A28" s="11" t="s">
        <v>158</v>
      </c>
      <c r="B28" s="8">
        <v>-1365.28</v>
      </c>
      <c r="C28" s="8">
        <v>-902.72</v>
      </c>
      <c r="D28" s="8">
        <v>-1154.5899999999999</v>
      </c>
      <c r="E28" s="8">
        <v>140.44</v>
      </c>
      <c r="F28" s="8">
        <v>592.54999999999995</v>
      </c>
      <c r="H28" s="26" t="s">
        <v>167</v>
      </c>
      <c r="I28" s="56"/>
      <c r="J28" s="56"/>
      <c r="K28" s="56"/>
      <c r="L28" s="56"/>
      <c r="M28" s="56"/>
      <c r="O28" s="16" t="s">
        <v>359</v>
      </c>
      <c r="P28" s="13">
        <f>SUM(P15,P18:P22,P24:P27)</f>
        <v>677.86549999999977</v>
      </c>
      <c r="Q28" s="13">
        <f t="shared" ref="Q28:T28" si="6">SUM(Q15,Q18:Q22,Q24:Q27)</f>
        <v>1145.8353999999999</v>
      </c>
      <c r="R28" s="13">
        <f t="shared" si="6"/>
        <v>733.0825000000001</v>
      </c>
      <c r="S28" s="13">
        <f t="shared" si="6"/>
        <v>2350.9784</v>
      </c>
      <c r="T28" s="13">
        <f t="shared" si="6"/>
        <v>567.68510000000015</v>
      </c>
      <c r="V28" s="16" t="s">
        <v>393</v>
      </c>
      <c r="W28" s="13">
        <f>SUM(W17:W27,W15)</f>
        <v>503.25450000000006</v>
      </c>
      <c r="X28" s="13">
        <f t="shared" ref="X28:AA28" si="7">SUM(X17:X27,X15)</f>
        <v>570.94790000000012</v>
      </c>
      <c r="Y28" s="13">
        <f t="shared" si="7"/>
        <v>-288.39750000000004</v>
      </c>
      <c r="Z28" s="13">
        <f t="shared" si="7"/>
        <v>1527.3271999999995</v>
      </c>
      <c r="AA28" s="13">
        <f t="shared" si="7"/>
        <v>-583.24020000000007</v>
      </c>
      <c r="AC28" s="23" t="s">
        <v>422</v>
      </c>
      <c r="AD28" s="8">
        <v>1454.5</v>
      </c>
      <c r="AE28" s="8">
        <v>-1842.72</v>
      </c>
      <c r="AF28" s="8">
        <v>302.01</v>
      </c>
      <c r="AG28" s="8">
        <v>577.36</v>
      </c>
      <c r="AH28" s="8">
        <v>277.89999999999998</v>
      </c>
      <c r="AI28" s="33">
        <v>1692.8</v>
      </c>
    </row>
    <row r="29" spans="1:35" x14ac:dyDescent="0.3">
      <c r="A29" s="11" t="s">
        <v>34</v>
      </c>
      <c r="B29" s="8">
        <v>473.64</v>
      </c>
      <c r="C29" s="8">
        <v>-996.51</v>
      </c>
      <c r="D29" s="8">
        <v>-611.88</v>
      </c>
      <c r="E29" s="8">
        <v>-1011.88</v>
      </c>
      <c r="F29" s="8">
        <v>-1065.33</v>
      </c>
      <c r="H29" s="32" t="s">
        <v>206</v>
      </c>
      <c r="I29" s="54">
        <v>-109.5</v>
      </c>
      <c r="J29" s="54">
        <v>-41.9</v>
      </c>
      <c r="K29" s="54">
        <v>-32.01</v>
      </c>
      <c r="L29" s="54">
        <v>-135.57</v>
      </c>
      <c r="M29" s="54">
        <v>103.03</v>
      </c>
      <c r="O29" s="23" t="s">
        <v>360</v>
      </c>
      <c r="P29" s="8">
        <v>-173.64410000000001</v>
      </c>
      <c r="Q29" s="8">
        <v>-77.822400000000002</v>
      </c>
      <c r="R29" s="8">
        <v>-203.42349999999999</v>
      </c>
      <c r="S29" s="8">
        <v>-218.12180000000001</v>
      </c>
      <c r="T29" s="33">
        <v>-155.9665</v>
      </c>
      <c r="V29" s="23" t="s">
        <v>394</v>
      </c>
      <c r="W29" s="8">
        <v>124.5821</v>
      </c>
      <c r="X29" s="8">
        <v>-53.6462</v>
      </c>
      <c r="Y29" s="8">
        <v>-67.714799999999997</v>
      </c>
      <c r="Z29" s="8">
        <v>-77.093900000000005</v>
      </c>
      <c r="AA29" s="33">
        <v>-123.6532</v>
      </c>
      <c r="AC29" s="23" t="s">
        <v>423</v>
      </c>
      <c r="AD29" s="8">
        <v>-2770.13</v>
      </c>
      <c r="AE29" s="8">
        <v>3689.14</v>
      </c>
      <c r="AF29" s="8">
        <v>261.79000000000002</v>
      </c>
      <c r="AG29" s="8">
        <v>1331.36</v>
      </c>
      <c r="AH29" s="8">
        <v>2503.83</v>
      </c>
      <c r="AI29" s="33">
        <v>18395.150000000001</v>
      </c>
    </row>
    <row r="30" spans="1:35" x14ac:dyDescent="0.3">
      <c r="A30" s="11" t="s">
        <v>52</v>
      </c>
      <c r="B30" s="8">
        <v>1016.02</v>
      </c>
      <c r="C30" s="8">
        <v>848.86</v>
      </c>
      <c r="D30" s="8">
        <v>70.45</v>
      </c>
      <c r="E30" s="8">
        <v>-38.89</v>
      </c>
      <c r="F30" s="8">
        <v>375.56</v>
      </c>
      <c r="H30" s="11" t="s">
        <v>207</v>
      </c>
      <c r="I30" s="8">
        <v>8.81</v>
      </c>
      <c r="J30" s="8">
        <v>-0.19</v>
      </c>
      <c r="K30" s="8">
        <v>-6.79</v>
      </c>
      <c r="L30" s="8">
        <v>25.32</v>
      </c>
      <c r="M30" s="8">
        <v>-10.01</v>
      </c>
      <c r="O30" s="16" t="s">
        <v>361</v>
      </c>
      <c r="P30" s="13">
        <f>P28+P29</f>
        <v>504.22139999999979</v>
      </c>
      <c r="Q30" s="13">
        <f t="shared" ref="Q30:T30" si="8">Q28+Q29</f>
        <v>1068.0129999999999</v>
      </c>
      <c r="R30" s="13">
        <f t="shared" si="8"/>
        <v>529.65900000000011</v>
      </c>
      <c r="S30" s="13">
        <f t="shared" si="8"/>
        <v>2132.8566000000001</v>
      </c>
      <c r="T30" s="13">
        <f t="shared" si="8"/>
        <v>411.71860000000015</v>
      </c>
      <c r="V30" s="16" t="s">
        <v>166</v>
      </c>
      <c r="W30" s="13">
        <f>W28+W29</f>
        <v>627.83660000000009</v>
      </c>
      <c r="X30" s="13">
        <f t="shared" ref="X30:AA30" si="9">X28+X29</f>
        <v>517.3017000000001</v>
      </c>
      <c r="Y30" s="13">
        <f t="shared" si="9"/>
        <v>-356.1123</v>
      </c>
      <c r="Z30" s="13">
        <f t="shared" si="9"/>
        <v>1450.2332999999994</v>
      </c>
      <c r="AA30" s="13">
        <f t="shared" si="9"/>
        <v>-706.89340000000004</v>
      </c>
      <c r="AC30" s="16" t="s">
        <v>162</v>
      </c>
      <c r="AD30" s="13">
        <f>SUM(AD25:AD29,AD23)</f>
        <v>3347.2899999999995</v>
      </c>
      <c r="AE30" s="13">
        <f t="shared" ref="AE30:AI30" si="10">SUM(AE25:AE29,AE23)</f>
        <v>15981.3</v>
      </c>
      <c r="AF30" s="13">
        <f t="shared" si="10"/>
        <v>11200.579999999998</v>
      </c>
      <c r="AG30" s="13">
        <f t="shared" si="10"/>
        <v>11585.42</v>
      </c>
      <c r="AH30" s="13">
        <f t="shared" si="10"/>
        <v>10192.149999999998</v>
      </c>
      <c r="AI30" s="13">
        <f t="shared" si="10"/>
        <v>17181.61</v>
      </c>
    </row>
    <row r="31" spans="1:35" x14ac:dyDescent="0.3">
      <c r="A31" s="11" t="s">
        <v>53</v>
      </c>
      <c r="B31" s="8">
        <v>-99.25</v>
      </c>
      <c r="C31" s="8">
        <v>78.91</v>
      </c>
      <c r="D31" s="8">
        <v>60.93</v>
      </c>
      <c r="E31" s="8">
        <v>327.16000000000003</v>
      </c>
      <c r="F31" s="8">
        <v>33.51</v>
      </c>
      <c r="H31" s="11" t="s">
        <v>208</v>
      </c>
      <c r="I31" s="8">
        <v>0.17</v>
      </c>
      <c r="J31" s="8">
        <v>0.16</v>
      </c>
      <c r="K31" s="8">
        <v>1.27</v>
      </c>
      <c r="L31" s="8">
        <v>1.31</v>
      </c>
      <c r="M31" s="8">
        <v>1.66</v>
      </c>
      <c r="O31" s="23" t="s">
        <v>165</v>
      </c>
      <c r="P31" s="8">
        <v>0</v>
      </c>
      <c r="Q31" s="8">
        <v>0</v>
      </c>
      <c r="R31" s="8">
        <v>0</v>
      </c>
      <c r="S31" s="8">
        <v>0</v>
      </c>
      <c r="T31" s="33">
        <v>0</v>
      </c>
      <c r="V31" s="83" t="s">
        <v>395</v>
      </c>
      <c r="W31" s="84"/>
      <c r="X31" s="84"/>
      <c r="Y31" s="84"/>
      <c r="Z31" s="84"/>
      <c r="AA31" s="84"/>
      <c r="AC31" s="23" t="s">
        <v>360</v>
      </c>
      <c r="AD31" s="8">
        <v>-1819.9</v>
      </c>
      <c r="AE31" s="8">
        <v>-718.58</v>
      </c>
      <c r="AF31" s="8">
        <v>-1027.45</v>
      </c>
      <c r="AG31" s="8">
        <v>-2755.7</v>
      </c>
      <c r="AH31" s="8">
        <v>-1969.33</v>
      </c>
      <c r="AI31" s="33">
        <v>-3538.15</v>
      </c>
    </row>
    <row r="32" spans="1:35" x14ac:dyDescent="0.3">
      <c r="A32" s="11" t="s">
        <v>159</v>
      </c>
      <c r="B32" s="8">
        <v>33.04</v>
      </c>
      <c r="C32" s="8">
        <v>146.5</v>
      </c>
      <c r="D32" s="8">
        <v>267.55</v>
      </c>
      <c r="E32" s="8">
        <v>-1029.4100000000001</v>
      </c>
      <c r="F32" s="8">
        <v>-86.94</v>
      </c>
      <c r="H32" s="11" t="s">
        <v>209</v>
      </c>
      <c r="I32" s="8">
        <v>-1.01</v>
      </c>
      <c r="J32" s="8">
        <v>1.03</v>
      </c>
      <c r="K32" s="8">
        <v>-2.39</v>
      </c>
      <c r="L32" s="8">
        <v>-5.26</v>
      </c>
      <c r="M32" s="8">
        <v>-431.17</v>
      </c>
      <c r="O32" s="16" t="s">
        <v>166</v>
      </c>
      <c r="P32" s="13">
        <f>P30+P31</f>
        <v>504.22139999999979</v>
      </c>
      <c r="Q32" s="13">
        <f t="shared" ref="Q32:T32" si="11">Q30+Q31</f>
        <v>1068.0129999999999</v>
      </c>
      <c r="R32" s="13">
        <f t="shared" si="11"/>
        <v>529.65900000000011</v>
      </c>
      <c r="S32" s="13">
        <f t="shared" si="11"/>
        <v>2132.8566000000001</v>
      </c>
      <c r="T32" s="13">
        <f t="shared" si="11"/>
        <v>411.71860000000015</v>
      </c>
      <c r="V32" s="23" t="s">
        <v>363</v>
      </c>
      <c r="W32" s="8">
        <v>-67.367599999999996</v>
      </c>
      <c r="X32" s="8">
        <v>-163.84399999999999</v>
      </c>
      <c r="Y32" s="8">
        <v>-54.827800000000003</v>
      </c>
      <c r="Z32" s="8">
        <v>-42.258400000000002</v>
      </c>
      <c r="AA32" s="33">
        <v>-48.069099999999999</v>
      </c>
      <c r="AC32" s="16" t="s">
        <v>424</v>
      </c>
      <c r="AD32" s="13">
        <f>AD30+AD31</f>
        <v>1527.3899999999994</v>
      </c>
      <c r="AE32" s="13">
        <f t="shared" ref="AE32:AI32" si="12">AE30+AE31</f>
        <v>15262.72</v>
      </c>
      <c r="AF32" s="13">
        <f t="shared" si="12"/>
        <v>10173.129999999997</v>
      </c>
      <c r="AG32" s="13">
        <f t="shared" si="12"/>
        <v>8829.7200000000012</v>
      </c>
      <c r="AH32" s="13">
        <f t="shared" si="12"/>
        <v>8222.8199999999979</v>
      </c>
      <c r="AI32" s="13">
        <f t="shared" si="12"/>
        <v>13643.460000000001</v>
      </c>
    </row>
    <row r="33" spans="1:35" x14ac:dyDescent="0.3">
      <c r="A33" s="11" t="s">
        <v>160</v>
      </c>
      <c r="B33" s="8">
        <v>1758.8</v>
      </c>
      <c r="C33" s="8">
        <v>2977.06</v>
      </c>
      <c r="D33" s="8">
        <v>2606.11</v>
      </c>
      <c r="E33" s="8">
        <v>489.99</v>
      </c>
      <c r="F33" s="8">
        <v>990.78</v>
      </c>
      <c r="H33" s="11" t="s">
        <v>210</v>
      </c>
      <c r="I33" s="8">
        <v>527.78</v>
      </c>
      <c r="J33" s="8">
        <v>368.24</v>
      </c>
      <c r="K33" s="8">
        <v>347.48</v>
      </c>
      <c r="L33" s="8">
        <v>601.77</v>
      </c>
      <c r="M33" s="8">
        <v>994.41</v>
      </c>
      <c r="O33" s="83" t="s">
        <v>362</v>
      </c>
      <c r="P33" s="84"/>
      <c r="Q33" s="84"/>
      <c r="R33" s="84"/>
      <c r="S33" s="84"/>
      <c r="T33" s="84"/>
      <c r="V33" s="23" t="s">
        <v>396</v>
      </c>
      <c r="W33" s="8">
        <v>-51.849400000000003</v>
      </c>
      <c r="X33" s="8">
        <v>-771.81529999999998</v>
      </c>
      <c r="Y33" s="8">
        <v>629.14139999999998</v>
      </c>
      <c r="Z33" s="122">
        <v>-36.572800000000001</v>
      </c>
      <c r="AA33" s="33">
        <v>233.66399999999999</v>
      </c>
      <c r="AC33" s="26" t="s">
        <v>395</v>
      </c>
      <c r="AD33" s="57"/>
      <c r="AE33" s="57"/>
      <c r="AF33" s="57"/>
      <c r="AG33" s="57"/>
      <c r="AH33" s="57"/>
      <c r="AI33" s="57"/>
    </row>
    <row r="34" spans="1:35" x14ac:dyDescent="0.3">
      <c r="A34" s="63" t="s">
        <v>161</v>
      </c>
      <c r="B34" s="60">
        <v>-159.03</v>
      </c>
      <c r="C34" s="60">
        <v>-122.99</v>
      </c>
      <c r="D34" s="60">
        <v>-124.15</v>
      </c>
      <c r="E34" s="60">
        <v>0</v>
      </c>
      <c r="F34" s="60">
        <v>0</v>
      </c>
      <c r="H34" s="11" t="s">
        <v>211</v>
      </c>
      <c r="I34" s="8">
        <v>31.33</v>
      </c>
      <c r="J34" s="8">
        <v>26.1</v>
      </c>
      <c r="K34" s="8">
        <v>23.36</v>
      </c>
      <c r="L34" s="8">
        <v>26.65</v>
      </c>
      <c r="M34" s="8">
        <v>36.549999999999997</v>
      </c>
      <c r="O34" s="23" t="s">
        <v>363</v>
      </c>
      <c r="P34" s="8">
        <v>-56.888399999999997</v>
      </c>
      <c r="Q34" s="8">
        <v>-56.609099999999998</v>
      </c>
      <c r="R34" s="8">
        <v>-102.0442</v>
      </c>
      <c r="S34" s="8">
        <v>-108.25709999999999</v>
      </c>
      <c r="T34" s="33">
        <v>-80.889700000000005</v>
      </c>
      <c r="V34" s="23" t="s">
        <v>397</v>
      </c>
      <c r="W34" s="8">
        <v>249.76519999999999</v>
      </c>
      <c r="X34" s="8">
        <v>-389.75760000000002</v>
      </c>
      <c r="Y34" s="8">
        <v>-276.17489999999998</v>
      </c>
      <c r="Z34" s="8">
        <v>-1765.7944</v>
      </c>
      <c r="AA34" s="33">
        <v>598.75229999999999</v>
      </c>
      <c r="AC34" s="23" t="s">
        <v>363</v>
      </c>
      <c r="AD34" s="8">
        <v>-890.23</v>
      </c>
      <c r="AE34" s="8">
        <v>-762.98</v>
      </c>
      <c r="AF34" s="8">
        <v>-799.29</v>
      </c>
      <c r="AG34" s="8">
        <v>-782.42</v>
      </c>
      <c r="AH34" s="8">
        <v>-916.42</v>
      </c>
      <c r="AI34" s="33">
        <v>-930.09</v>
      </c>
    </row>
    <row r="35" spans="1:35" x14ac:dyDescent="0.3">
      <c r="B35" s="56"/>
      <c r="C35" s="56"/>
      <c r="D35" s="56"/>
      <c r="E35" s="56"/>
      <c r="F35" s="56"/>
      <c r="H35" s="11" t="s">
        <v>223</v>
      </c>
      <c r="I35" s="8">
        <v>0</v>
      </c>
      <c r="J35" s="8">
        <v>0</v>
      </c>
      <c r="K35" s="8">
        <v>0</v>
      </c>
      <c r="L35" s="8">
        <v>-658</v>
      </c>
      <c r="M35" s="8">
        <v>731.85</v>
      </c>
      <c r="O35" s="23" t="s">
        <v>364</v>
      </c>
      <c r="P35" s="8">
        <v>-11.654</v>
      </c>
      <c r="Q35" s="8">
        <v>-738.03800000000001</v>
      </c>
      <c r="R35" s="8">
        <v>-530.452</v>
      </c>
      <c r="S35" s="8">
        <v>-1171.49</v>
      </c>
      <c r="T35" s="33">
        <v>-828.66</v>
      </c>
      <c r="V35" s="23" t="s">
        <v>174</v>
      </c>
      <c r="W35" s="8">
        <v>114.4014</v>
      </c>
      <c r="X35" s="8">
        <v>152.6823</v>
      </c>
      <c r="Y35" s="8">
        <v>130.19</v>
      </c>
      <c r="Z35" s="8">
        <v>178.34</v>
      </c>
      <c r="AA35" s="33">
        <v>271.35469999999998</v>
      </c>
      <c r="AC35" s="23" t="s">
        <v>425</v>
      </c>
      <c r="AD35" s="8">
        <v>-490.49</v>
      </c>
      <c r="AE35" s="8">
        <v>-554.29999999999995</v>
      </c>
      <c r="AF35" s="8">
        <v>-701.28</v>
      </c>
      <c r="AG35" s="8">
        <v>-998.8</v>
      </c>
      <c r="AH35" s="8">
        <v>-838.75</v>
      </c>
      <c r="AI35" s="33">
        <v>-826.83</v>
      </c>
    </row>
    <row r="36" spans="1:35" x14ac:dyDescent="0.3">
      <c r="A36" s="36" t="s">
        <v>162</v>
      </c>
      <c r="B36" s="61">
        <f>B23+SUM(B25:B34)</f>
        <v>3144.65</v>
      </c>
      <c r="C36" s="61">
        <f>C23+SUM(C25:C34)</f>
        <v>5626.29</v>
      </c>
      <c r="D36" s="61">
        <f>D23+SUM(D25:D34)</f>
        <v>5011.51</v>
      </c>
      <c r="E36" s="61">
        <f>E23+SUM(E25:E34)</f>
        <v>2266.6899999999978</v>
      </c>
      <c r="F36" s="61">
        <f>F23+SUM(F25:F34)</f>
        <v>6077.8600000000015</v>
      </c>
      <c r="H36" s="11" t="s">
        <v>212</v>
      </c>
      <c r="I36" s="8">
        <v>-3.86</v>
      </c>
      <c r="J36" s="8">
        <v>-5.19</v>
      </c>
      <c r="K36" s="8">
        <v>-4.5199999999999996</v>
      </c>
      <c r="L36" s="8">
        <v>-5.88</v>
      </c>
      <c r="M36" s="8">
        <v>-6.51</v>
      </c>
      <c r="O36" s="23" t="s">
        <v>365</v>
      </c>
      <c r="P36" s="8">
        <v>3.5999999999999999E-3</v>
      </c>
      <c r="Q36" s="8">
        <v>0.11210000000000001</v>
      </c>
      <c r="R36" s="8">
        <v>4.4999999999999997E-3</v>
      </c>
      <c r="S36" s="8">
        <v>0.19359999999999999</v>
      </c>
      <c r="T36" s="33">
        <v>0.17469999999999999</v>
      </c>
      <c r="V36" s="16" t="s">
        <v>366</v>
      </c>
      <c r="W36" s="13">
        <f>SUM(W32:W35)</f>
        <v>244.9496</v>
      </c>
      <c r="X36" s="13">
        <f t="shared" ref="X36:AA36" si="13">SUM(X32:X35)</f>
        <v>-1172.7346000000002</v>
      </c>
      <c r="Y36" s="13">
        <f t="shared" si="13"/>
        <v>428.32869999999997</v>
      </c>
      <c r="Z36" s="13">
        <f t="shared" si="13"/>
        <v>-1666.2856000000002</v>
      </c>
      <c r="AA36" s="13">
        <f t="shared" si="13"/>
        <v>1055.7019</v>
      </c>
      <c r="AC36" s="23" t="s">
        <v>365</v>
      </c>
      <c r="AD36" s="8">
        <v>1.57</v>
      </c>
      <c r="AE36" s="8">
        <v>1.23</v>
      </c>
      <c r="AF36" s="8">
        <v>3.17</v>
      </c>
      <c r="AG36" s="8">
        <v>5.0599999999999996</v>
      </c>
      <c r="AH36" s="8">
        <v>7.97</v>
      </c>
      <c r="AI36" s="33">
        <v>3.35</v>
      </c>
    </row>
    <row r="37" spans="1:35" x14ac:dyDescent="0.3">
      <c r="A37" s="11" t="s">
        <v>163</v>
      </c>
      <c r="B37" s="8">
        <v>-574.24</v>
      </c>
      <c r="C37" s="8">
        <v>-533.07000000000005</v>
      </c>
      <c r="D37" s="8">
        <v>-804.29</v>
      </c>
      <c r="E37" s="8">
        <v>-1067.33</v>
      </c>
      <c r="F37" s="8">
        <v>-1418.37</v>
      </c>
      <c r="H37" s="29" t="s">
        <v>213</v>
      </c>
      <c r="I37" s="30">
        <f>SUM(I29:I36)</f>
        <v>453.71999999999997</v>
      </c>
      <c r="J37" s="30">
        <f t="shared" ref="J37:M37" si="14">SUM(J29:J36)</f>
        <v>348.25000000000006</v>
      </c>
      <c r="K37" s="30">
        <f t="shared" si="14"/>
        <v>326.40000000000003</v>
      </c>
      <c r="L37" s="30">
        <f t="shared" si="14"/>
        <v>-149.65999999999997</v>
      </c>
      <c r="M37" s="30">
        <f t="shared" si="14"/>
        <v>1419.81</v>
      </c>
      <c r="O37" s="11" t="s">
        <v>373</v>
      </c>
      <c r="P37" s="8">
        <v>0</v>
      </c>
      <c r="Q37" s="8">
        <v>0</v>
      </c>
      <c r="R37" s="8">
        <v>0</v>
      </c>
      <c r="S37" s="8">
        <v>0</v>
      </c>
      <c r="T37" s="8">
        <v>0</v>
      </c>
      <c r="V37" s="83" t="s">
        <v>398</v>
      </c>
      <c r="W37" s="84"/>
      <c r="X37" s="84"/>
      <c r="Y37" s="84"/>
      <c r="Z37" s="84"/>
      <c r="AA37" s="84"/>
      <c r="AC37" s="23" t="s">
        <v>426</v>
      </c>
      <c r="AD37" s="8">
        <v>-1</v>
      </c>
      <c r="AE37" s="8">
        <v>0</v>
      </c>
      <c r="AF37" s="8">
        <v>-10</v>
      </c>
      <c r="AG37" s="8">
        <v>0</v>
      </c>
      <c r="AH37" s="8">
        <v>-10.5</v>
      </c>
      <c r="AI37" s="33">
        <v>-12.89</v>
      </c>
    </row>
    <row r="38" spans="1:35" x14ac:dyDescent="0.3">
      <c r="A38" s="12" t="s">
        <v>164</v>
      </c>
      <c r="B38" s="13">
        <f>B36+B37</f>
        <v>2570.41</v>
      </c>
      <c r="C38" s="13">
        <f>C36+C37</f>
        <v>5093.22</v>
      </c>
      <c r="D38" s="13">
        <f>D36+D37</f>
        <v>4207.22</v>
      </c>
      <c r="E38" s="13">
        <f>E36+E37</f>
        <v>1199.3599999999979</v>
      </c>
      <c r="F38" s="13">
        <f>F36+F37</f>
        <v>4659.4900000000016</v>
      </c>
      <c r="H38" s="26" t="s">
        <v>176</v>
      </c>
      <c r="I38" s="56"/>
      <c r="J38" s="56"/>
      <c r="K38" s="56"/>
      <c r="L38" s="56"/>
      <c r="M38" s="56"/>
      <c r="O38" s="11" t="s">
        <v>356</v>
      </c>
      <c r="P38" s="8">
        <v>0</v>
      </c>
      <c r="Q38" s="8">
        <v>0</v>
      </c>
      <c r="R38" s="8">
        <v>0</v>
      </c>
      <c r="S38" s="8">
        <v>0</v>
      </c>
      <c r="T38" s="8">
        <v>0</v>
      </c>
      <c r="V38" s="23" t="s">
        <v>399</v>
      </c>
      <c r="W38" s="8">
        <v>-1.5849</v>
      </c>
      <c r="X38" s="8">
        <v>-2.3371</v>
      </c>
      <c r="Y38" s="8">
        <v>-0.13789999999999999</v>
      </c>
      <c r="Z38" s="8">
        <v>-4.4206000000000003</v>
      </c>
      <c r="AA38" s="33">
        <v>-10.622400000000001</v>
      </c>
      <c r="AC38" s="23" t="s">
        <v>427</v>
      </c>
      <c r="AD38" s="8">
        <v>-75.92</v>
      </c>
      <c r="AE38" s="8">
        <v>-61.29</v>
      </c>
      <c r="AF38" s="8">
        <v>-234.55</v>
      </c>
      <c r="AG38" s="8">
        <v>-94.68</v>
      </c>
      <c r="AH38" s="8">
        <v>-100.1</v>
      </c>
      <c r="AI38" s="33">
        <v>-106.9</v>
      </c>
    </row>
    <row r="39" spans="1:35" x14ac:dyDescent="0.3">
      <c r="A39" s="11" t="s">
        <v>165</v>
      </c>
      <c r="B39" s="8">
        <v>0</v>
      </c>
      <c r="C39" s="8">
        <v>0</v>
      </c>
      <c r="D39" s="8">
        <v>0</v>
      </c>
      <c r="E39" s="8">
        <v>0</v>
      </c>
      <c r="F39" s="8">
        <v>0</v>
      </c>
      <c r="H39" s="32" t="s">
        <v>214</v>
      </c>
      <c r="I39" s="54">
        <v>-277.88</v>
      </c>
      <c r="J39" s="54">
        <v>0</v>
      </c>
      <c r="K39" s="54">
        <v>0</v>
      </c>
      <c r="L39" s="54">
        <v>0</v>
      </c>
      <c r="M39" s="54">
        <v>0</v>
      </c>
      <c r="O39" s="11" t="s">
        <v>174</v>
      </c>
      <c r="P39" s="119">
        <v>35.362499999999997</v>
      </c>
      <c r="Q39" s="119">
        <v>60.750999999999998</v>
      </c>
      <c r="R39" s="119">
        <v>59.48</v>
      </c>
      <c r="S39" s="119">
        <v>108.52</v>
      </c>
      <c r="T39" s="119">
        <v>186.97020000000001</v>
      </c>
      <c r="V39" s="23" t="s">
        <v>400</v>
      </c>
      <c r="W39" s="8">
        <v>-1.0711999999999999</v>
      </c>
      <c r="X39" s="8">
        <v>-1.6332</v>
      </c>
      <c r="Y39" s="8">
        <v>-1.1835</v>
      </c>
      <c r="Z39" s="8">
        <v>-1.6253</v>
      </c>
      <c r="AA39" s="33">
        <v>-1.704</v>
      </c>
      <c r="AC39" s="23" t="s">
        <v>428</v>
      </c>
      <c r="AD39" s="8">
        <v>59.55</v>
      </c>
      <c r="AE39" s="8">
        <v>6.04</v>
      </c>
      <c r="AF39" s="8">
        <v>-11246.15</v>
      </c>
      <c r="AG39" s="8">
        <v>-4598.49</v>
      </c>
      <c r="AH39" s="8">
        <v>-6301.08</v>
      </c>
      <c r="AI39" s="33">
        <v>-11456.78</v>
      </c>
    </row>
    <row r="40" spans="1:35" x14ac:dyDescent="0.3">
      <c r="A40" s="29" t="s">
        <v>166</v>
      </c>
      <c r="B40" s="30">
        <f>B38+B39</f>
        <v>2570.41</v>
      </c>
      <c r="C40" s="30">
        <f>C38+C39</f>
        <v>5093.22</v>
      </c>
      <c r="D40" s="30">
        <f>D38+D39</f>
        <v>4207.22</v>
      </c>
      <c r="E40" s="30">
        <f t="shared" ref="E40:F40" si="15">E38+E39</f>
        <v>1199.3599999999979</v>
      </c>
      <c r="F40" s="30">
        <f t="shared" si="15"/>
        <v>4659.4900000000016</v>
      </c>
      <c r="H40" s="11" t="s">
        <v>215</v>
      </c>
      <c r="I40" s="8">
        <v>-59.52</v>
      </c>
      <c r="J40" s="8">
        <v>0</v>
      </c>
      <c r="K40" s="8">
        <v>0</v>
      </c>
      <c r="L40" s="8">
        <v>0</v>
      </c>
      <c r="M40" s="8">
        <v>0</v>
      </c>
      <c r="O40" s="16" t="s">
        <v>366</v>
      </c>
      <c r="P40" s="13">
        <f>SUM(P34:P39)</f>
        <v>-33.176299999999998</v>
      </c>
      <c r="Q40" s="13">
        <f t="shared" ref="Q40:T40" si="16">SUM(Q34:Q39)</f>
        <v>-733.78399999999999</v>
      </c>
      <c r="R40" s="13">
        <f t="shared" si="16"/>
        <v>-573.01170000000002</v>
      </c>
      <c r="S40" s="13">
        <f t="shared" si="16"/>
        <v>-1171.0335</v>
      </c>
      <c r="T40" s="13">
        <f t="shared" si="16"/>
        <v>-722.40480000000002</v>
      </c>
      <c r="V40" s="23" t="s">
        <v>401</v>
      </c>
      <c r="W40" s="8">
        <v>-0.47820000000000001</v>
      </c>
      <c r="X40" s="8">
        <v>-0.3639</v>
      </c>
      <c r="Y40" s="8">
        <v>-0.62619999999999998</v>
      </c>
      <c r="Z40" s="8">
        <v>-0.88800000000000001</v>
      </c>
      <c r="AA40" s="33">
        <v>-0.85409999999999997</v>
      </c>
      <c r="AC40" s="23" t="s">
        <v>174</v>
      </c>
      <c r="AD40" s="8">
        <v>66.290000000000006</v>
      </c>
      <c r="AE40" s="8">
        <v>89.23</v>
      </c>
      <c r="AF40" s="8">
        <v>200.91</v>
      </c>
      <c r="AG40" s="8">
        <v>738.91</v>
      </c>
      <c r="AH40" s="8">
        <v>1745.88</v>
      </c>
      <c r="AI40" s="33">
        <v>2554.5500000000002</v>
      </c>
    </row>
    <row r="41" spans="1:35" x14ac:dyDescent="0.3">
      <c r="A41" s="26" t="s">
        <v>167</v>
      </c>
      <c r="B41" s="57"/>
      <c r="C41" s="57"/>
      <c r="D41" s="57"/>
      <c r="E41" s="57"/>
      <c r="F41" s="57"/>
      <c r="H41" s="11" t="s">
        <v>216</v>
      </c>
      <c r="I41" s="8">
        <v>-261.8</v>
      </c>
      <c r="J41" s="8">
        <v>-155.28</v>
      </c>
      <c r="K41" s="8">
        <v>-180.11</v>
      </c>
      <c r="L41" s="8">
        <v>-216.42</v>
      </c>
      <c r="M41" s="8">
        <v>-447.75</v>
      </c>
      <c r="O41" s="83" t="s">
        <v>367</v>
      </c>
      <c r="P41" s="84"/>
      <c r="Q41" s="84"/>
      <c r="R41" s="84"/>
      <c r="S41" s="84"/>
      <c r="T41" s="84"/>
      <c r="V41" s="11" t="s">
        <v>51</v>
      </c>
      <c r="W41" s="8">
        <v>0</v>
      </c>
      <c r="X41" s="8">
        <v>0</v>
      </c>
      <c r="Y41" s="8">
        <v>0</v>
      </c>
      <c r="Z41" s="8">
        <v>299.99970000000002</v>
      </c>
      <c r="AA41" s="8">
        <v>-245.59970000000001</v>
      </c>
      <c r="AC41" s="23" t="s">
        <v>429</v>
      </c>
      <c r="AD41" s="8">
        <v>1.35</v>
      </c>
      <c r="AE41" s="8">
        <v>1.1100000000000001</v>
      </c>
      <c r="AF41" s="8">
        <v>1.96</v>
      </c>
      <c r="AG41" s="8">
        <v>2.4</v>
      </c>
      <c r="AH41" s="8">
        <v>2.95</v>
      </c>
      <c r="AI41" s="33">
        <v>4.91</v>
      </c>
    </row>
    <row r="42" spans="1:35" x14ac:dyDescent="0.3">
      <c r="A42" s="32" t="s">
        <v>168</v>
      </c>
      <c r="B42" s="54">
        <v>-762.2</v>
      </c>
      <c r="C42" s="54">
        <v>-469.25</v>
      </c>
      <c r="D42" s="54">
        <v>-554.55999999999995</v>
      </c>
      <c r="E42" s="54">
        <v>-590.45000000000005</v>
      </c>
      <c r="F42" s="54">
        <v>-652.53</v>
      </c>
      <c r="H42" s="11" t="s">
        <v>217</v>
      </c>
      <c r="I42" s="8">
        <v>-5.04</v>
      </c>
      <c r="J42" s="8">
        <v>-4.55</v>
      </c>
      <c r="K42" s="8">
        <v>-3.1</v>
      </c>
      <c r="L42" s="8">
        <v>-1.55</v>
      </c>
      <c r="M42" s="8">
        <v>-0.75</v>
      </c>
      <c r="O42" s="23" t="s">
        <v>368</v>
      </c>
      <c r="P42" s="119">
        <v>0</v>
      </c>
      <c r="Q42" s="119">
        <v>0</v>
      </c>
      <c r="R42" s="119">
        <v>0</v>
      </c>
      <c r="S42" s="119">
        <v>0</v>
      </c>
      <c r="T42" s="120">
        <v>0</v>
      </c>
      <c r="V42" s="23" t="s">
        <v>216</v>
      </c>
      <c r="W42" s="119">
        <v>-70.430199999999999</v>
      </c>
      <c r="X42" s="119">
        <v>-16.037299999999998</v>
      </c>
      <c r="Y42" s="119">
        <v>-13.173500000000001</v>
      </c>
      <c r="Z42" s="119">
        <v>-9.7369000000000003</v>
      </c>
      <c r="AA42" s="120">
        <v>-8.0185999999999993</v>
      </c>
      <c r="AC42" s="23" t="s">
        <v>430</v>
      </c>
      <c r="AD42" s="8">
        <v>-10</v>
      </c>
      <c r="AE42" s="8">
        <v>10</v>
      </c>
      <c r="AF42" s="8">
        <v>0</v>
      </c>
      <c r="AG42" s="8">
        <v>0</v>
      </c>
      <c r="AH42" s="8">
        <v>0</v>
      </c>
      <c r="AI42" s="8">
        <v>-0.41</v>
      </c>
    </row>
    <row r="43" spans="1:35" x14ac:dyDescent="0.3">
      <c r="A43" s="11" t="s">
        <v>169</v>
      </c>
      <c r="B43" s="8">
        <v>15.62</v>
      </c>
      <c r="C43" s="8">
        <v>0</v>
      </c>
      <c r="D43" s="8">
        <v>0</v>
      </c>
      <c r="E43" s="8">
        <v>2.2799999999999998</v>
      </c>
      <c r="F43" s="8">
        <v>0.1</v>
      </c>
      <c r="H43" s="11" t="s">
        <v>218</v>
      </c>
      <c r="I43" s="8">
        <v>-0.34</v>
      </c>
      <c r="J43" s="8">
        <v>0</v>
      </c>
      <c r="K43" s="8">
        <v>0</v>
      </c>
      <c r="L43" s="8">
        <v>-0.02</v>
      </c>
      <c r="M43" s="8">
        <v>0</v>
      </c>
      <c r="O43" s="23" t="s">
        <v>328</v>
      </c>
      <c r="P43" s="119">
        <v>-3.2654999999999998</v>
      </c>
      <c r="Q43" s="119">
        <v>-2.5226000000000002</v>
      </c>
      <c r="R43" s="119">
        <v>-2.0341</v>
      </c>
      <c r="S43" s="119">
        <v>-3.1463000000000001</v>
      </c>
      <c r="T43" s="120">
        <v>-1.7150000000000001</v>
      </c>
      <c r="V43" s="23" t="s">
        <v>402</v>
      </c>
      <c r="W43" s="119">
        <v>-79.268500000000003</v>
      </c>
      <c r="X43" s="119">
        <v>-44.102499999999999</v>
      </c>
      <c r="Y43" s="119">
        <v>-56.703200000000002</v>
      </c>
      <c r="Z43" s="119">
        <v>-63.003599999999999</v>
      </c>
      <c r="AA43" s="120">
        <v>-90.725200000000001</v>
      </c>
      <c r="AC43" s="16" t="s">
        <v>431</v>
      </c>
      <c r="AD43" s="13">
        <f>SUM(AD34:AD42)</f>
        <v>-1338.8800000000003</v>
      </c>
      <c r="AE43" s="13">
        <f t="shared" ref="AE43:AI43" si="17">SUM(AE34:AE42)</f>
        <v>-1270.96</v>
      </c>
      <c r="AF43" s="13">
        <f t="shared" si="17"/>
        <v>-12785.23</v>
      </c>
      <c r="AG43" s="13">
        <f t="shared" si="17"/>
        <v>-5728.02</v>
      </c>
      <c r="AH43" s="13">
        <f t="shared" si="17"/>
        <v>-6410.05</v>
      </c>
      <c r="AI43" s="13">
        <f t="shared" si="17"/>
        <v>-10771.09</v>
      </c>
    </row>
    <row r="44" spans="1:35" x14ac:dyDescent="0.3">
      <c r="A44" s="11" t="s">
        <v>170</v>
      </c>
      <c r="B44" s="8">
        <f>B42+B43</f>
        <v>-746.58</v>
      </c>
      <c r="C44" s="8">
        <f>C42+C43</f>
        <v>-469.25</v>
      </c>
      <c r="D44" s="8">
        <f>D42+D43</f>
        <v>-554.55999999999995</v>
      </c>
      <c r="E44" s="8">
        <f>E42+E43</f>
        <v>-588.17000000000007</v>
      </c>
      <c r="F44" s="8">
        <f>F42+F43</f>
        <v>-652.42999999999995</v>
      </c>
      <c r="H44" s="12" t="s">
        <v>181</v>
      </c>
      <c r="I44" s="13">
        <f>SUM(I39:I43)</f>
        <v>-604.58000000000004</v>
      </c>
      <c r="J44" s="13">
        <f t="shared" ref="J44:M44" si="18">SUM(J39:J43)</f>
        <v>-159.83000000000001</v>
      </c>
      <c r="K44" s="13">
        <f t="shared" si="18"/>
        <v>-183.21</v>
      </c>
      <c r="L44" s="13">
        <f t="shared" si="18"/>
        <v>-217.99</v>
      </c>
      <c r="M44" s="13">
        <f t="shared" si="18"/>
        <v>-448.5</v>
      </c>
      <c r="O44" s="23" t="s">
        <v>180</v>
      </c>
      <c r="P44" s="119">
        <v>-0.94720000000000004</v>
      </c>
      <c r="Q44" s="119">
        <v>-1.0609999999999999</v>
      </c>
      <c r="R44" s="119">
        <v>-1.1848000000000001</v>
      </c>
      <c r="S44" s="119">
        <v>-1.3196000000000001</v>
      </c>
      <c r="T44" s="120">
        <v>-1.4663999999999999</v>
      </c>
      <c r="V44" s="16" t="s">
        <v>369</v>
      </c>
      <c r="W44" s="13">
        <f>SUM(W38:W43)</f>
        <v>-152.833</v>
      </c>
      <c r="X44" s="13">
        <f>SUM(X38:X43)</f>
        <v>-64.47399999999999</v>
      </c>
      <c r="Y44" s="13">
        <f>SUM(Y38:Y43)</f>
        <v>-71.824300000000008</v>
      </c>
      <c r="Z44" s="13">
        <f>SUM(Z38:Z43)</f>
        <v>220.32530000000003</v>
      </c>
      <c r="AA44" s="13">
        <f>SUM(AA38:AA43)</f>
        <v>-357.524</v>
      </c>
      <c r="AC44" s="83" t="s">
        <v>367</v>
      </c>
      <c r="AD44" s="84"/>
      <c r="AE44" s="84"/>
      <c r="AF44" s="84"/>
      <c r="AG44" s="84"/>
      <c r="AH44" s="84"/>
      <c r="AI44" s="84"/>
    </row>
    <row r="45" spans="1:35" x14ac:dyDescent="0.3">
      <c r="A45" s="11" t="s">
        <v>171</v>
      </c>
      <c r="B45" s="8">
        <v>0.86</v>
      </c>
      <c r="C45" s="8">
        <v>1.33</v>
      </c>
      <c r="D45" s="8">
        <v>7.4</v>
      </c>
      <c r="E45" s="8">
        <v>1.7</v>
      </c>
      <c r="F45" s="8">
        <v>8.5299999999999994</v>
      </c>
      <c r="H45" s="12" t="s">
        <v>219</v>
      </c>
      <c r="I45" s="13">
        <f>I27+I37+I44</f>
        <v>-246.40000000000009</v>
      </c>
      <c r="J45" s="13">
        <f t="shared" ref="J45:M45" si="19">J27+J37+J44</f>
        <v>256.62999999999988</v>
      </c>
      <c r="K45" s="13">
        <f t="shared" si="19"/>
        <v>-19.439999999999401</v>
      </c>
      <c r="L45" s="13">
        <f t="shared" si="19"/>
        <v>1147.95</v>
      </c>
      <c r="M45" s="13">
        <f t="shared" si="19"/>
        <v>1655.0600000000004</v>
      </c>
      <c r="O45" s="23" t="s">
        <v>179</v>
      </c>
      <c r="P45" s="119">
        <v>-186.6592</v>
      </c>
      <c r="Q45" s="119">
        <v>-169.05719999999999</v>
      </c>
      <c r="R45" s="119">
        <v>-145.3006</v>
      </c>
      <c r="S45" s="119">
        <v>-166.91659999999999</v>
      </c>
      <c r="T45" s="120">
        <v>-145.17410000000001</v>
      </c>
      <c r="V45" s="16" t="s">
        <v>370</v>
      </c>
      <c r="W45" s="13">
        <f>W30+W36+W44</f>
        <v>719.95320000000015</v>
      </c>
      <c r="X45" s="13">
        <f>X30+X36+X44</f>
        <v>-719.90690000000018</v>
      </c>
      <c r="Y45" s="13">
        <f>Y30+Y36+Y44</f>
        <v>0.39209999999995659</v>
      </c>
      <c r="Z45" s="13">
        <f>Z30+Z36+Z44</f>
        <v>4.2729999999992856</v>
      </c>
      <c r="AA45" s="13">
        <f>AA30+AA36+AA44</f>
        <v>-8.71550000000002</v>
      </c>
      <c r="AC45" s="11" t="s">
        <v>438</v>
      </c>
      <c r="AD45" s="8">
        <v>1752.67</v>
      </c>
      <c r="AE45" s="8">
        <v>-5859.8</v>
      </c>
      <c r="AF45" s="8">
        <v>-9.07</v>
      </c>
      <c r="AG45" s="8">
        <v>0</v>
      </c>
      <c r="AH45" s="8">
        <v>-0.31</v>
      </c>
      <c r="AI45" s="8">
        <v>-0.02</v>
      </c>
    </row>
    <row r="46" spans="1:35" x14ac:dyDescent="0.3">
      <c r="A46" s="11" t="s">
        <v>172</v>
      </c>
      <c r="B46" s="8">
        <v>172.3</v>
      </c>
      <c r="C46" s="8">
        <v>-1992.23</v>
      </c>
      <c r="D46" s="8">
        <v>-4234.8</v>
      </c>
      <c r="E46" s="8">
        <v>2094.39</v>
      </c>
      <c r="F46" s="8">
        <v>-5690.04</v>
      </c>
      <c r="H46" s="12" t="s">
        <v>220</v>
      </c>
      <c r="I46" s="13">
        <v>729.68</v>
      </c>
      <c r="J46" s="13">
        <v>483.28</v>
      </c>
      <c r="K46" s="13">
        <v>739.91</v>
      </c>
      <c r="L46" s="13">
        <v>720.47</v>
      </c>
      <c r="M46" s="13">
        <v>1868.42</v>
      </c>
      <c r="O46" s="16" t="s">
        <v>369</v>
      </c>
      <c r="P46" s="13">
        <f>SUM(P42:P45)</f>
        <v>-190.87190000000001</v>
      </c>
      <c r="Q46" s="13">
        <f t="shared" ref="Q46:T46" si="20">SUM(Q42:Q45)</f>
        <v>-172.64079999999998</v>
      </c>
      <c r="R46" s="13">
        <f t="shared" si="20"/>
        <v>-148.51949999999999</v>
      </c>
      <c r="S46" s="13">
        <f t="shared" si="20"/>
        <v>-171.38249999999999</v>
      </c>
      <c r="T46" s="13">
        <f t="shared" si="20"/>
        <v>-148.35550000000001</v>
      </c>
      <c r="V46" s="23" t="s">
        <v>403</v>
      </c>
      <c r="W46" s="119">
        <v>9.2743000000000002</v>
      </c>
      <c r="X46" s="119">
        <f>W47</f>
        <v>729.22750000000019</v>
      </c>
      <c r="Y46" s="119">
        <f>X47</f>
        <v>9.3206000000000131</v>
      </c>
      <c r="Z46" s="119">
        <f>Y47</f>
        <v>9.7126999999999697</v>
      </c>
      <c r="AA46" s="120">
        <f>Z47</f>
        <v>13.985699999999255</v>
      </c>
      <c r="AC46" s="23" t="s">
        <v>432</v>
      </c>
      <c r="AD46" s="8">
        <v>-0.06</v>
      </c>
      <c r="AE46" s="8">
        <v>-2.97</v>
      </c>
      <c r="AF46" s="8">
        <v>-7.0000000000000007E-2</v>
      </c>
      <c r="AG46" s="8">
        <v>-3.68</v>
      </c>
      <c r="AH46" s="8">
        <v>-25.65</v>
      </c>
      <c r="AI46" s="33">
        <v>-37.14</v>
      </c>
    </row>
    <row r="47" spans="1:35" x14ac:dyDescent="0.3">
      <c r="A47" s="11" t="s">
        <v>173</v>
      </c>
      <c r="B47" s="8">
        <v>-146.12</v>
      </c>
      <c r="C47" s="8">
        <v>-195.57</v>
      </c>
      <c r="D47" s="8">
        <v>-266.14999999999998</v>
      </c>
      <c r="E47" s="8">
        <v>922.04</v>
      </c>
      <c r="F47" s="8">
        <v>-32.51</v>
      </c>
      <c r="H47" s="29" t="s">
        <v>221</v>
      </c>
      <c r="I47" s="30">
        <f>I45+I46</f>
        <v>483.27999999999986</v>
      </c>
      <c r="J47" s="30">
        <f t="shared" ref="J47:M47" si="21">J45+J46</f>
        <v>739.90999999999985</v>
      </c>
      <c r="K47" s="30">
        <f t="shared" si="21"/>
        <v>720.4700000000006</v>
      </c>
      <c r="L47" s="30">
        <f t="shared" si="21"/>
        <v>1868.42</v>
      </c>
      <c r="M47" s="30">
        <f t="shared" si="21"/>
        <v>3523.4800000000005</v>
      </c>
      <c r="O47" s="16" t="s">
        <v>370</v>
      </c>
      <c r="P47" s="13">
        <f>P32+P40+P46</f>
        <v>280.17319999999984</v>
      </c>
      <c r="Q47" s="13">
        <f t="shared" ref="Q47:T47" si="22">Q32+Q40+Q46</f>
        <v>161.58819999999994</v>
      </c>
      <c r="R47" s="13">
        <f t="shared" si="22"/>
        <v>-191.87219999999991</v>
      </c>
      <c r="S47" s="13">
        <f t="shared" si="22"/>
        <v>790.44060000000013</v>
      </c>
      <c r="T47" s="13">
        <f t="shared" si="22"/>
        <v>-459.04169999999988</v>
      </c>
      <c r="V47" s="34" t="s">
        <v>404</v>
      </c>
      <c r="W47" s="30">
        <f>W45+W46</f>
        <v>729.22750000000019</v>
      </c>
      <c r="X47" s="30">
        <f t="shared" ref="X47:AA47" si="23">X45+X46</f>
        <v>9.3206000000000131</v>
      </c>
      <c r="Y47" s="30">
        <f t="shared" si="23"/>
        <v>9.7126999999999697</v>
      </c>
      <c r="Z47" s="30">
        <f t="shared" si="23"/>
        <v>13.985699999999255</v>
      </c>
      <c r="AA47" s="30">
        <f t="shared" si="23"/>
        <v>5.2701999999992353</v>
      </c>
      <c r="AC47" s="23" t="s">
        <v>433</v>
      </c>
      <c r="AD47" s="8">
        <v>-348.29</v>
      </c>
      <c r="AE47" s="8">
        <v>-259</v>
      </c>
      <c r="AF47" s="8">
        <v>-116.99</v>
      </c>
      <c r="AG47" s="8">
        <v>-55.68</v>
      </c>
      <c r="AH47" s="8">
        <v>0</v>
      </c>
      <c r="AI47" s="33">
        <v>0</v>
      </c>
    </row>
    <row r="48" spans="1:35" x14ac:dyDescent="0.3">
      <c r="A48" s="11" t="s">
        <v>174</v>
      </c>
      <c r="B48" s="8">
        <v>70.58</v>
      </c>
      <c r="C48" s="8">
        <v>60.5</v>
      </c>
      <c r="D48" s="8">
        <v>176.45</v>
      </c>
      <c r="E48" s="8">
        <v>277.69</v>
      </c>
      <c r="F48" s="8">
        <v>442.6</v>
      </c>
      <c r="O48" s="23" t="s">
        <v>371</v>
      </c>
      <c r="P48" s="8">
        <v>15.155200000000001</v>
      </c>
      <c r="Q48" s="8">
        <f>P49</f>
        <v>295.32839999999982</v>
      </c>
      <c r="R48" s="8">
        <f>Q49</f>
        <v>456.91659999999979</v>
      </c>
      <c r="S48" s="8">
        <f>R49</f>
        <v>265.04439999999988</v>
      </c>
      <c r="T48" s="33">
        <f>S49</f>
        <v>1055.4850000000001</v>
      </c>
      <c r="AC48" s="23" t="s">
        <v>216</v>
      </c>
      <c r="AD48" s="8">
        <v>-1340.38</v>
      </c>
      <c r="AE48" s="8">
        <v>-1003.16</v>
      </c>
      <c r="AF48" s="8">
        <v>-1337.55</v>
      </c>
      <c r="AG48" s="8">
        <v>-1671.94</v>
      </c>
      <c r="AH48" s="8">
        <v>-1972.89</v>
      </c>
      <c r="AI48" s="33">
        <v>-2541.35</v>
      </c>
    </row>
    <row r="49" spans="1:35" x14ac:dyDescent="0.3">
      <c r="A49" s="29" t="s">
        <v>175</v>
      </c>
      <c r="B49" s="30">
        <f>SUM(B44:B48)</f>
        <v>-648.96</v>
      </c>
      <c r="C49" s="30">
        <f>SUM(C44:C48)</f>
        <v>-2595.2200000000003</v>
      </c>
      <c r="D49" s="30">
        <f>SUM(D44:D48)</f>
        <v>-4871.66</v>
      </c>
      <c r="E49" s="30">
        <f t="shared" ref="E49:F49" si="24">SUM(E44:E48)</f>
        <v>2707.65</v>
      </c>
      <c r="F49" s="30">
        <f t="shared" si="24"/>
        <v>-5923.8499999999995</v>
      </c>
      <c r="H49" s="2" t="s">
        <v>472</v>
      </c>
      <c r="I49" s="2">
        <f>ABS(I29)</f>
        <v>109.5</v>
      </c>
      <c r="J49" s="2">
        <f t="shared" ref="J49:M49" si="25">ABS(J29)</f>
        <v>41.9</v>
      </c>
      <c r="K49" s="2">
        <f t="shared" si="25"/>
        <v>32.01</v>
      </c>
      <c r="L49" s="2">
        <f t="shared" si="25"/>
        <v>135.57</v>
      </c>
      <c r="M49" s="2">
        <f t="shared" si="25"/>
        <v>103.03</v>
      </c>
      <c r="O49" s="34" t="s">
        <v>372</v>
      </c>
      <c r="P49" s="30">
        <f>P47+P48</f>
        <v>295.32839999999982</v>
      </c>
      <c r="Q49" s="30">
        <f t="shared" ref="Q49:T49" si="26">Q47+Q48</f>
        <v>456.91659999999979</v>
      </c>
      <c r="R49" s="30">
        <f t="shared" si="26"/>
        <v>265.04439999999988</v>
      </c>
      <c r="S49" s="30">
        <f t="shared" si="26"/>
        <v>1055.4850000000001</v>
      </c>
      <c r="T49" s="30">
        <f t="shared" si="26"/>
        <v>596.44330000000025</v>
      </c>
      <c r="V49" s="2" t="s">
        <v>440</v>
      </c>
      <c r="W49" s="89">
        <f ca="1">ABS(SUM(W42:W43))/'Company Basic info'!$G$15</f>
        <v>13.068187373419931</v>
      </c>
      <c r="X49" s="89">
        <f ca="1">ABS(SUM(X42:X43))/'Company Basic info'!$G$15</f>
        <v>5.25</v>
      </c>
      <c r="Y49" s="89">
        <f ca="1">ABS(SUM(Y42:Y43))/'Company Basic info'!$G$15</f>
        <v>6.099998254068022</v>
      </c>
      <c r="Z49" s="89">
        <f ca="1">ABS(SUM(Z42:Z43))/'Company Basic info'!$G$15</f>
        <v>6.3499982540680211</v>
      </c>
      <c r="AA49" s="89">
        <f ca="1">ABS(SUM(AA42:AA43))/'Company Basic info'!$G$15</f>
        <v>8.6199979048816253</v>
      </c>
      <c r="AC49" s="16" t="s">
        <v>434</v>
      </c>
      <c r="AD49" s="13">
        <f>SUM(AD45:AD48)</f>
        <v>63.940000000000055</v>
      </c>
      <c r="AE49" s="13">
        <f t="shared" ref="AE49:AI49" si="27">SUM(AE45:AE48)</f>
        <v>-7124.93</v>
      </c>
      <c r="AF49" s="13">
        <f t="shared" si="27"/>
        <v>-1463.6799999999998</v>
      </c>
      <c r="AG49" s="13">
        <f t="shared" si="27"/>
        <v>-1731.3</v>
      </c>
      <c r="AH49" s="13">
        <f t="shared" si="27"/>
        <v>-1998.8500000000001</v>
      </c>
      <c r="AI49" s="13">
        <f t="shared" si="27"/>
        <v>-2578.5099999999998</v>
      </c>
    </row>
    <row r="50" spans="1:35" x14ac:dyDescent="0.3">
      <c r="A50" s="26" t="s">
        <v>176</v>
      </c>
      <c r="B50" s="57"/>
      <c r="C50" s="57"/>
      <c r="D50" s="57"/>
      <c r="E50" s="57"/>
      <c r="F50" s="57"/>
      <c r="V50" s="2" t="s">
        <v>472</v>
      </c>
      <c r="W50" s="89">
        <f>ABS(W32)</f>
        <v>67.367599999999996</v>
      </c>
      <c r="X50" s="89">
        <f t="shared" ref="X50:AA50" si="28">ABS(X32)</f>
        <v>163.84399999999999</v>
      </c>
      <c r="Y50" s="89">
        <f t="shared" si="28"/>
        <v>54.827800000000003</v>
      </c>
      <c r="Z50" s="89">
        <f t="shared" si="28"/>
        <v>42.258400000000002</v>
      </c>
      <c r="AA50" s="89">
        <f t="shared" si="28"/>
        <v>48.069099999999999</v>
      </c>
      <c r="AC50" s="11" t="s">
        <v>439</v>
      </c>
      <c r="AD50" s="8">
        <v>0</v>
      </c>
      <c r="AE50" s="8">
        <v>0</v>
      </c>
      <c r="AF50" s="8">
        <v>0</v>
      </c>
      <c r="AG50" s="8">
        <v>0</v>
      </c>
      <c r="AH50" s="8">
        <v>0</v>
      </c>
      <c r="AI50" s="8">
        <v>0</v>
      </c>
    </row>
    <row r="51" spans="1:35" x14ac:dyDescent="0.3">
      <c r="A51" s="32" t="s">
        <v>177</v>
      </c>
      <c r="B51" s="54">
        <v>-25.01</v>
      </c>
      <c r="C51" s="54">
        <v>-8.33</v>
      </c>
      <c r="D51" s="54">
        <v>0</v>
      </c>
      <c r="E51" s="54">
        <v>0</v>
      </c>
      <c r="F51" s="54">
        <v>0</v>
      </c>
      <c r="O51" s="2" t="s">
        <v>440</v>
      </c>
      <c r="P51" s="89">
        <f ca="1">ABS(P45/'Company Basic info'!$E$15)</f>
        <v>5.0921520886615514</v>
      </c>
      <c r="Q51" s="89">
        <f ca="1">ABS(Q45/'Company Basic info'!$E$15)</f>
        <v>4.6119611253196933</v>
      </c>
      <c r="R51" s="89">
        <f ca="1">ABS(R45/'Company Basic info'!$E$15)</f>
        <v>3.9638697357203752</v>
      </c>
      <c r="S51" s="89">
        <f ca="1">ABS(S45/'Company Basic info'!$E$15)</f>
        <v>4.553564535379369</v>
      </c>
      <c r="T51" s="89">
        <f ca="1">ABS(T45/'Company Basic info'!$E$15)</f>
        <v>3.9604187553282184</v>
      </c>
      <c r="AC51" s="16" t="s">
        <v>435</v>
      </c>
      <c r="AD51" s="13">
        <f>AD32+AD43+AD49</f>
        <v>252.44999999999914</v>
      </c>
      <c r="AE51" s="13">
        <f t="shared" ref="AE51:AI51" si="29">AE32+AE43+AE49</f>
        <v>6866.8299999999981</v>
      </c>
      <c r="AF51" s="13">
        <f t="shared" si="29"/>
        <v>-4075.780000000002</v>
      </c>
      <c r="AG51" s="13">
        <f t="shared" si="29"/>
        <v>1370.4000000000008</v>
      </c>
      <c r="AH51" s="13">
        <f t="shared" si="29"/>
        <v>-186.08000000000243</v>
      </c>
      <c r="AI51" s="13">
        <f t="shared" si="29"/>
        <v>293.86000000000104</v>
      </c>
    </row>
    <row r="52" spans="1:35" x14ac:dyDescent="0.3">
      <c r="A52" s="11" t="s">
        <v>178</v>
      </c>
      <c r="B52" s="8">
        <v>-50.42</v>
      </c>
      <c r="C52" s="8">
        <v>-36.700000000000003</v>
      </c>
      <c r="D52" s="8">
        <v>-47.57</v>
      </c>
      <c r="E52" s="8">
        <v>0</v>
      </c>
      <c r="F52" s="8">
        <v>0</v>
      </c>
      <c r="O52" s="2" t="s">
        <v>472</v>
      </c>
      <c r="P52" s="89">
        <f>ABS(P34)</f>
        <v>56.888399999999997</v>
      </c>
      <c r="Q52" s="89">
        <f t="shared" ref="Q52:T52" si="30">ABS(Q34)</f>
        <v>56.609099999999998</v>
      </c>
      <c r="R52" s="89">
        <f t="shared" si="30"/>
        <v>102.0442</v>
      </c>
      <c r="S52" s="89">
        <f t="shared" si="30"/>
        <v>108.25709999999999</v>
      </c>
      <c r="T52" s="89">
        <f t="shared" si="30"/>
        <v>80.889700000000005</v>
      </c>
      <c r="AC52" s="23" t="s">
        <v>436</v>
      </c>
      <c r="AD52" s="8">
        <v>26.87</v>
      </c>
      <c r="AE52" s="8">
        <v>279.32</v>
      </c>
      <c r="AF52" s="8">
        <v>7146.15</v>
      </c>
      <c r="AG52" s="8">
        <f>AF53</f>
        <v>3070.3699999999976</v>
      </c>
      <c r="AH52" s="8">
        <v>4440.7700000000004</v>
      </c>
      <c r="AI52" s="33">
        <v>4254.6899999999996</v>
      </c>
    </row>
    <row r="53" spans="1:35" x14ac:dyDescent="0.3">
      <c r="A53" s="11" t="s">
        <v>179</v>
      </c>
      <c r="B53" s="8">
        <v>-980.17</v>
      </c>
      <c r="C53" s="8">
        <v>-1022.74</v>
      </c>
      <c r="D53" s="8">
        <v>-1023.31</v>
      </c>
      <c r="E53" s="8">
        <v>-1242.8</v>
      </c>
      <c r="F53" s="8">
        <v>-1462.09</v>
      </c>
      <c r="I53" s="17"/>
      <c r="AC53" s="34" t="s">
        <v>437</v>
      </c>
      <c r="AD53" s="30">
        <f>AD50+AD51+AD52</f>
        <v>279.31999999999914</v>
      </c>
      <c r="AE53" s="30">
        <f t="shared" ref="AE53:AI53" si="31">AE50+AE51+AE52</f>
        <v>7146.1499999999978</v>
      </c>
      <c r="AF53" s="30">
        <f t="shared" si="31"/>
        <v>3070.3699999999976</v>
      </c>
      <c r="AG53" s="30">
        <f t="shared" si="31"/>
        <v>4440.7699999999986</v>
      </c>
      <c r="AH53" s="30">
        <f t="shared" si="31"/>
        <v>4254.6899999999978</v>
      </c>
      <c r="AI53" s="30">
        <f t="shared" si="31"/>
        <v>4548.5500000000011</v>
      </c>
    </row>
    <row r="54" spans="1:35" x14ac:dyDescent="0.3">
      <c r="A54" s="11" t="s">
        <v>180</v>
      </c>
      <c r="B54" s="8">
        <v>-1.32</v>
      </c>
      <c r="C54" s="8">
        <v>-1.59</v>
      </c>
      <c r="D54" s="8">
        <v>-1.67</v>
      </c>
      <c r="E54" s="8">
        <v>-4.33</v>
      </c>
      <c r="F54" s="8">
        <v>-5.78</v>
      </c>
    </row>
    <row r="55" spans="1:35" x14ac:dyDescent="0.3">
      <c r="A55" s="11" t="s">
        <v>153</v>
      </c>
      <c r="B55" s="8">
        <v>-0.28000000000000003</v>
      </c>
      <c r="C55" s="8">
        <v>-0.24</v>
      </c>
      <c r="D55" s="8">
        <v>-3.06</v>
      </c>
      <c r="E55" s="8">
        <v>-3.7</v>
      </c>
      <c r="F55" s="8">
        <v>-4.21</v>
      </c>
      <c r="AC55" s="2" t="s">
        <v>440</v>
      </c>
      <c r="AD55" s="89">
        <f ca="1">ABS(AD48)/'Company Basic info'!$F$15</f>
        <v>20.042316175096261</v>
      </c>
      <c r="AE55" s="89">
        <f ca="1">ABS(AE48)/'Company Basic info'!$F$15</f>
        <v>14.999962618219879</v>
      </c>
      <c r="AF55" s="89">
        <f ca="1">ABS(AF48)/'Company Basic info'!$F$15</f>
        <v>20</v>
      </c>
      <c r="AG55" s="89">
        <f ca="1">ABS(AG48)/'Company Basic info'!$F$15</f>
        <v>25.000037381780121</v>
      </c>
      <c r="AH55" s="89">
        <f ca="1">ABS(AH48)/'Company Basic info'!$F$15</f>
        <v>29.500056072670183</v>
      </c>
      <c r="AI55" s="89">
        <f ca="1">ABS(AI48)/'Company Basic info'!$F$15</f>
        <v>38.000074763560242</v>
      </c>
    </row>
    <row r="56" spans="1:35" x14ac:dyDescent="0.3">
      <c r="A56" s="11" t="s">
        <v>154</v>
      </c>
      <c r="B56" s="8">
        <v>-3.32</v>
      </c>
      <c r="C56" s="8">
        <v>-6.13</v>
      </c>
      <c r="D56" s="8">
        <v>-1.99</v>
      </c>
      <c r="E56" s="8">
        <v>-11.25</v>
      </c>
      <c r="F56" s="8">
        <v>-2.93</v>
      </c>
      <c r="AC56" s="2" t="s">
        <v>472</v>
      </c>
      <c r="AD56" s="2">
        <f>ABS(AD34)</f>
        <v>890.23</v>
      </c>
      <c r="AE56" s="2">
        <f t="shared" ref="AE56:AI56" si="32">ABS(AE34)</f>
        <v>762.98</v>
      </c>
      <c r="AF56" s="2">
        <f t="shared" si="32"/>
        <v>799.29</v>
      </c>
      <c r="AG56" s="2">
        <f t="shared" si="32"/>
        <v>782.42</v>
      </c>
      <c r="AH56" s="2">
        <f t="shared" si="32"/>
        <v>916.42</v>
      </c>
      <c r="AI56" s="2">
        <f t="shared" si="32"/>
        <v>930.09</v>
      </c>
    </row>
    <row r="57" spans="1:35" x14ac:dyDescent="0.3">
      <c r="A57" s="12" t="s">
        <v>181</v>
      </c>
      <c r="B57" s="13">
        <f>SUM(B51:B56)</f>
        <v>-1060.5199999999998</v>
      </c>
      <c r="C57" s="13">
        <f>SUM(C51:C56)</f>
        <v>-1075.73</v>
      </c>
      <c r="D57" s="13">
        <f>SUM(D51:D56)</f>
        <v>-1077.5999999999999</v>
      </c>
      <c r="E57" s="13">
        <f t="shared" ref="E57:F57" si="33">SUM(E51:E56)</f>
        <v>-1262.08</v>
      </c>
      <c r="F57" s="13">
        <f t="shared" si="33"/>
        <v>-1475.01</v>
      </c>
    </row>
    <row r="58" spans="1:35" x14ac:dyDescent="0.3">
      <c r="A58" s="12" t="s">
        <v>182</v>
      </c>
      <c r="B58" s="13">
        <f>B40+B49+B57</f>
        <v>860.93000000000006</v>
      </c>
      <c r="C58" s="13">
        <f>C40+C49+C57</f>
        <v>1422.27</v>
      </c>
      <c r="D58" s="13">
        <f>D40+D49+D57</f>
        <v>-1742.0399999999995</v>
      </c>
      <c r="E58" s="13">
        <f t="shared" ref="E58:F58" si="34">E40+E49+E57</f>
        <v>2644.929999999998</v>
      </c>
      <c r="F58" s="13">
        <f t="shared" si="34"/>
        <v>-2739.3699999999981</v>
      </c>
    </row>
    <row r="59" spans="1:35" x14ac:dyDescent="0.3">
      <c r="A59" s="12" t="s">
        <v>183</v>
      </c>
      <c r="B59" s="13">
        <v>759.7</v>
      </c>
      <c r="C59" s="13">
        <v>1620.63</v>
      </c>
      <c r="D59" s="13">
        <v>3042.9</v>
      </c>
      <c r="E59" s="13">
        <v>1300.8599999999999</v>
      </c>
      <c r="F59" s="13">
        <v>3945.69</v>
      </c>
    </row>
    <row r="60" spans="1:35" x14ac:dyDescent="0.3">
      <c r="A60" s="29" t="s">
        <v>184</v>
      </c>
      <c r="B60" s="30">
        <f>B58+B59</f>
        <v>1620.63</v>
      </c>
      <c r="C60" s="30">
        <f>C58+C59</f>
        <v>3042.9</v>
      </c>
      <c r="D60" s="30">
        <f>D58+D59</f>
        <v>1300.8600000000006</v>
      </c>
      <c r="E60" s="30">
        <f>E58+E59</f>
        <v>3945.7899999999981</v>
      </c>
      <c r="F60" s="30">
        <f>F58+F59</f>
        <v>1206.320000000002</v>
      </c>
    </row>
    <row r="62" spans="1:35" x14ac:dyDescent="0.3">
      <c r="A62" s="2" t="s">
        <v>472</v>
      </c>
      <c r="B62" s="2">
        <f>ABS(B42)</f>
        <v>762.2</v>
      </c>
      <c r="C62" s="2">
        <f t="shared" ref="C62:F62" si="35">ABS(C42)</f>
        <v>469.25</v>
      </c>
      <c r="D62" s="2">
        <f t="shared" si="35"/>
        <v>554.55999999999995</v>
      </c>
      <c r="E62" s="2">
        <f t="shared" si="35"/>
        <v>590.45000000000005</v>
      </c>
      <c r="F62" s="2">
        <f t="shared" si="35"/>
        <v>652.53</v>
      </c>
    </row>
  </sheetData>
  <phoneticPr fontId="8" type="noConversion"/>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BE36E-352A-489C-BCC1-C27D6113AF03}">
  <dimension ref="A1:AF31"/>
  <sheetViews>
    <sheetView tabSelected="1" zoomScale="90" zoomScaleNormal="90" workbookViewId="0">
      <pane xSplit="1" topLeftCell="AB1" activePane="topRight" state="frozen"/>
      <selection pane="topRight" activeCell="AF32" sqref="AF32"/>
    </sheetView>
  </sheetViews>
  <sheetFormatPr defaultRowHeight="14.4" x14ac:dyDescent="0.3"/>
  <cols>
    <col min="1" max="1" width="25.33203125" style="2" bestFit="1" customWidth="1"/>
    <col min="2" max="2" width="2.77734375" style="2" customWidth="1"/>
    <col min="3" max="3" width="11.5546875" style="2" bestFit="1" customWidth="1"/>
    <col min="4" max="6" width="11" style="2" bestFit="1" customWidth="1"/>
    <col min="7" max="7" width="12.109375" style="2" bestFit="1" customWidth="1"/>
    <col min="8" max="8" width="3.21875" style="2" customWidth="1"/>
    <col min="9" max="11" width="9.77734375" style="2" bestFit="1" customWidth="1"/>
    <col min="12" max="13" width="10.88671875" style="2" bestFit="1" customWidth="1"/>
    <col min="14" max="14" width="8.88671875" style="2"/>
    <col min="15" max="16" width="9.77734375" style="2" bestFit="1" customWidth="1"/>
    <col min="17" max="19" width="10.88671875" style="2" bestFit="1" customWidth="1"/>
    <col min="20" max="20" width="8.88671875" style="2"/>
    <col min="21" max="25" width="9.77734375" style="2" bestFit="1" customWidth="1"/>
    <col min="26" max="26" width="8.88671875" style="2"/>
    <col min="27" max="30" width="10.88671875" style="2" bestFit="1" customWidth="1"/>
    <col min="31" max="32" width="12" style="2" bestFit="1" customWidth="1"/>
    <col min="33" max="16384" width="8.88671875" style="2"/>
  </cols>
  <sheetData>
    <row r="1" spans="1:32" ht="33" customHeight="1" x14ac:dyDescent="0.3">
      <c r="A1" s="224" t="s">
        <v>17</v>
      </c>
      <c r="B1" s="224"/>
      <c r="C1" s="224"/>
      <c r="D1" s="224"/>
      <c r="E1" s="224"/>
      <c r="F1" s="224"/>
      <c r="G1" s="224"/>
      <c r="H1" s="224"/>
      <c r="I1" s="224"/>
      <c r="J1" s="224"/>
      <c r="K1" s="224"/>
      <c r="L1" s="224"/>
      <c r="M1" s="224"/>
      <c r="N1" s="224"/>
      <c r="O1" s="224"/>
      <c r="P1" s="224"/>
      <c r="Q1" s="224"/>
      <c r="R1" s="224"/>
      <c r="S1" s="224"/>
      <c r="T1" s="224"/>
      <c r="U1" s="224"/>
      <c r="V1" s="224"/>
      <c r="W1" s="224"/>
      <c r="X1" s="224"/>
      <c r="Y1" s="224"/>
    </row>
    <row r="2" spans="1:32" ht="33" customHeight="1" x14ac:dyDescent="0.3">
      <c r="C2" s="154"/>
      <c r="D2" s="154"/>
      <c r="E2" s="154"/>
      <c r="F2" s="230" t="e" vm="2">
        <v>#VALUE!</v>
      </c>
      <c r="G2" s="230"/>
      <c r="H2" s="154"/>
      <c r="I2" s="154"/>
      <c r="J2" s="154"/>
      <c r="K2" s="230" t="e" vm="1">
        <v>#VALUE!</v>
      </c>
      <c r="L2" s="230"/>
      <c r="R2" s="229" t="e" vm="3">
        <v>#VALUE!</v>
      </c>
      <c r="S2" s="229"/>
      <c r="X2" s="229" t="e" vm="5">
        <v>#VALUE!</v>
      </c>
      <c r="Y2" s="229"/>
      <c r="AE2" s="229" t="e" vm="4">
        <v>#VALUE!</v>
      </c>
      <c r="AF2" s="229"/>
    </row>
    <row r="3" spans="1:32" x14ac:dyDescent="0.3">
      <c r="A3" s="12" t="s">
        <v>224</v>
      </c>
      <c r="B3" s="26"/>
      <c r="C3" s="141" t="s">
        <v>249</v>
      </c>
      <c r="D3" s="160" t="s">
        <v>250</v>
      </c>
      <c r="E3" s="160" t="s">
        <v>251</v>
      </c>
      <c r="F3" s="160" t="s">
        <v>252</v>
      </c>
      <c r="G3" s="140" t="s">
        <v>247</v>
      </c>
      <c r="H3" s="26"/>
      <c r="I3" s="141" t="s">
        <v>249</v>
      </c>
      <c r="J3" s="160" t="s">
        <v>250</v>
      </c>
      <c r="K3" s="160" t="s">
        <v>251</v>
      </c>
      <c r="L3" s="160" t="s">
        <v>252</v>
      </c>
      <c r="M3" s="140" t="s">
        <v>247</v>
      </c>
      <c r="O3" s="40" t="s">
        <v>249</v>
      </c>
      <c r="P3" s="40" t="s">
        <v>250</v>
      </c>
      <c r="Q3" s="40" t="s">
        <v>251</v>
      </c>
      <c r="R3" s="40" t="s">
        <v>252</v>
      </c>
      <c r="S3" s="40" t="s">
        <v>247</v>
      </c>
      <c r="U3" s="40" t="s">
        <v>249</v>
      </c>
      <c r="V3" s="40" t="s">
        <v>250</v>
      </c>
      <c r="W3" s="40" t="s">
        <v>251</v>
      </c>
      <c r="X3" s="40" t="s">
        <v>252</v>
      </c>
      <c r="Y3" s="40" t="s">
        <v>247</v>
      </c>
      <c r="AA3" s="40" t="s">
        <v>249</v>
      </c>
      <c r="AB3" s="40" t="s">
        <v>250</v>
      </c>
      <c r="AC3" s="40" t="s">
        <v>251</v>
      </c>
      <c r="AD3" s="40" t="s">
        <v>252</v>
      </c>
      <c r="AE3" s="40" t="s">
        <v>247</v>
      </c>
      <c r="AF3" s="40" t="s">
        <v>248</v>
      </c>
    </row>
    <row r="4" spans="1:32" s="162" customFormat="1" x14ac:dyDescent="0.3">
      <c r="A4" s="128" t="s">
        <v>225</v>
      </c>
      <c r="B4" s="135"/>
      <c r="C4" s="157">
        <f>('Income Statement'!M9-('Income Statement'!M11+'Income Statement'!M12+'Income Statement'!M13))/'Income Statement'!M9</f>
        <v>0.45685758169199364</v>
      </c>
      <c r="D4" s="158">
        <f>('Income Statement'!L9-('Income Statement'!L11+'Income Statement'!L12+'Income Statement'!L13))/'Income Statement'!L9</f>
        <v>0.4483538678485377</v>
      </c>
      <c r="E4" s="158">
        <f>('Income Statement'!K9-('Income Statement'!K11+'Income Statement'!K12+'Income Statement'!K13))/'Income Statement'!K9</f>
        <v>0.42739437910640721</v>
      </c>
      <c r="F4" s="158">
        <f>('Income Statement'!J9-('Income Statement'!J11+'Income Statement'!J12+'Income Statement'!J13))/'Income Statement'!J9</f>
        <v>0.45525268490554932</v>
      </c>
      <c r="G4" s="159">
        <f>('Income Statement'!I9-('Income Statement'!I11+'Income Statement'!I12+'Income Statement'!I13))/'Income Statement'!I9</f>
        <v>0.49506361459348347</v>
      </c>
      <c r="H4" s="135"/>
      <c r="I4" s="127">
        <f>('Income Statement'!F9-('Income Statement'!F11+'Income Statement'!F12))/'Income Statement'!F9</f>
        <v>0.32438955652067081</v>
      </c>
      <c r="J4" s="128">
        <f>('Income Statement'!E9-('Income Statement'!E11+'Income Statement'!E12))/'Income Statement'!E9</f>
        <v>0.34288780420258252</v>
      </c>
      <c r="K4" s="128">
        <f>('Income Statement'!D9-'Income Statement'!D12)/'Income Statement'!D9</f>
        <v>0.31649075468913923</v>
      </c>
      <c r="L4" s="128">
        <f>('Income Statement'!C9-'Income Statement'!C12)/'Income Statement'!C9</f>
        <v>0.3963546142803952</v>
      </c>
      <c r="M4" s="161">
        <f>('Income Statement'!B9-'Income Statement'!B12)/'Income Statement'!B9</f>
        <v>0.37502593214265506</v>
      </c>
      <c r="O4" s="20">
        <f>('Income Statement'!W6-('Income Statement'!W8+'Income Statement'!W9))/'Income Statement'!W6</f>
        <v>0.52465119492572676</v>
      </c>
      <c r="P4" s="20">
        <f>('Income Statement'!X6-('Income Statement'!X8+'Income Statement'!X9))/'Income Statement'!X6</f>
        <v>0.58116567086065829</v>
      </c>
      <c r="Q4" s="20">
        <f>('Income Statement'!Y6-('Income Statement'!Y8+'Income Statement'!Y9))/'Income Statement'!Y6</f>
        <v>0.597417064158558</v>
      </c>
      <c r="R4" s="20">
        <f>('Income Statement'!Z6-('Income Statement'!Z8+'Income Statement'!Z9))/'Income Statement'!Z6</f>
        <v>0.54956904594522971</v>
      </c>
      <c r="S4" s="20">
        <f>('Income Statement'!AA6-('Income Statement'!AA8+'Income Statement'!AA9))/'Income Statement'!AA6</f>
        <v>0.67144152380260524</v>
      </c>
      <c r="U4" s="20">
        <f>('Income Statement'!P6-('Income Statement'!P8+'Income Statement'!P9+'Income Statement'!P10))/'Income Statement'!P6</f>
        <v>0.56488877134705096</v>
      </c>
      <c r="V4" s="20">
        <f>('Income Statement'!Q6-('Income Statement'!Q8+'Income Statement'!Q9+'Income Statement'!Q10))/'Income Statement'!Q6</f>
        <v>0.63678908703493708</v>
      </c>
      <c r="W4" s="20">
        <f>('Income Statement'!R6-('Income Statement'!R8+'Income Statement'!R9+'Income Statement'!R10))/'Income Statement'!R6</f>
        <v>0.50788474371272463</v>
      </c>
      <c r="X4" s="20">
        <f>('Income Statement'!S6-('Income Statement'!S8+'Income Statement'!S9+'Income Statement'!S10))/'Income Statement'!S6</f>
        <v>0.4165463557724583</v>
      </c>
      <c r="Y4" s="20">
        <f>('Income Statement'!T6-('Income Statement'!T8+'Income Statement'!T9+'Income Statement'!T10))/'Income Statement'!T6</f>
        <v>0.42157628970818584</v>
      </c>
      <c r="AA4" s="20">
        <f>('Income Statement'!AD6-('Income Statement'!AD8+'Income Statement'!AD9+'Income Statement'!AD10))/'Income Statement'!AD6</f>
        <v>0.56823307068940687</v>
      </c>
      <c r="AB4" s="20">
        <f>('Income Statement'!AE6-('Income Statement'!AE8+'Income Statement'!AE9+'Income Statement'!AE10))/'Income Statement'!AE6</f>
        <v>0.5221680482261537</v>
      </c>
      <c r="AC4" s="20">
        <f>('Income Statement'!AF6-('Income Statement'!AF8+'Income Statement'!AF9+'Income Statement'!AF10))/'Income Statement'!AF6</f>
        <v>0.60940286936705601</v>
      </c>
      <c r="AD4" s="20">
        <f>('Income Statement'!AG6-('Income Statement'!AG8+'Income Statement'!AG9+'Income Statement'!AG10))/'Income Statement'!AG6</f>
        <v>0.64674948020077216</v>
      </c>
      <c r="AE4" s="20">
        <f>('Income Statement'!AH6-('Income Statement'!AH8+'Income Statement'!AH9+'Income Statement'!AH10))/'Income Statement'!AH6</f>
        <v>0.65737655246597648</v>
      </c>
      <c r="AF4" s="20">
        <f>('Income Statement'!AI6-('Income Statement'!AI8+'Income Statement'!AI9+'Income Statement'!AI10))/'Income Statement'!AI6</f>
        <v>0.6336591276059369</v>
      </c>
    </row>
    <row r="5" spans="1:32" s="162" customFormat="1" x14ac:dyDescent="0.3">
      <c r="A5" s="20" t="s">
        <v>226</v>
      </c>
      <c r="B5" s="135"/>
      <c r="C5" s="143">
        <f>'Income Statement'!M21/'Income Statement'!M9</f>
        <v>0.18966761485168426</v>
      </c>
      <c r="D5" s="144">
        <f>'Income Statement'!L21/'Income Statement'!L9</f>
        <v>0.20682343041861376</v>
      </c>
      <c r="E5" s="144">
        <f>'Income Statement'!K21/'Income Statement'!K9</f>
        <v>0.20310856834122859</v>
      </c>
      <c r="F5" s="144">
        <f>'Income Statement'!J20/'Income Statement'!J9</f>
        <v>0.22130574879125101</v>
      </c>
      <c r="G5" s="145">
        <f>'Income Statement'!I20/'Income Statement'!I9</f>
        <v>0.25493435436551953</v>
      </c>
      <c r="H5" s="135"/>
      <c r="I5" s="124">
        <f>'Income Statement'!F20/'Income Statement'!F9</f>
        <v>0.13507620155654951</v>
      </c>
      <c r="J5" s="20">
        <f>'Income Statement'!E20/'Income Statement'!E9</f>
        <v>0.15793436493924604</v>
      </c>
      <c r="K5" s="20">
        <f>'Income Statement'!D20/'Income Statement'!D9</f>
        <v>0.127561452980504</v>
      </c>
      <c r="L5" s="20">
        <f>'Income Statement'!C20/'Income Statement'!C9</f>
        <v>0.16735591862923943</v>
      </c>
      <c r="M5" s="126">
        <f>'Income Statement'!B20/'Income Statement'!B9</f>
        <v>0.23210493559398751</v>
      </c>
      <c r="O5" s="20">
        <f>('Income Statement'!W6-('Income Statement'!W8+'Income Statement'!W9+'Income Statement'!W10+'Income Statement'!W12+'Income Statement'!W13))/'Income Statement'!W6</f>
        <v>0.23398931442835286</v>
      </c>
      <c r="P5" s="20">
        <f>('Income Statement'!X6-('Income Statement'!X8+'Income Statement'!X9+'Income Statement'!X10+'Income Statement'!X12+'Income Statement'!X13))/'Income Statement'!X6</f>
        <v>0.17167821058746513</v>
      </c>
      <c r="Q5" s="20">
        <f>('Income Statement'!Y6-('Income Statement'!Y8+'Income Statement'!Y9+'Income Statement'!Y10+'Income Statement'!Y12+'Income Statement'!Y13))/'Income Statement'!Y6</f>
        <v>0.25504306953202277</v>
      </c>
      <c r="R5" s="20">
        <f>('Income Statement'!Z6-('Income Statement'!Z8+'Income Statement'!Z9+'Income Statement'!Z10+'Income Statement'!Z12+'Income Statement'!Z13))/'Income Statement'!Z6</f>
        <v>0.18388569063602553</v>
      </c>
      <c r="S5" s="20">
        <f>('Income Statement'!AA6-('Income Statement'!AA8+'Income Statement'!AA9+'Income Statement'!AA10+'Income Statement'!AA12+'Income Statement'!AA13))/'Income Statement'!AA6</f>
        <v>0.3043972248003407</v>
      </c>
      <c r="U5" s="20">
        <f>('Income Statement'!P18+'Income Statement'!P13)/'Income Statement'!P6</f>
        <v>0.14215960540505709</v>
      </c>
      <c r="V5" s="20">
        <f>('Income Statement'!Q18+'Income Statement'!Q13)/'Income Statement'!Q6</f>
        <v>0.17356401450764192</v>
      </c>
      <c r="W5" s="20">
        <f>('Income Statement'!R18+'Income Statement'!R13)/'Income Statement'!R6</f>
        <v>0.13850961337948853</v>
      </c>
      <c r="X5" s="20">
        <f>('Income Statement'!S18+'Income Statement'!S13)/'Income Statement'!S6</f>
        <v>0.11281244609535082</v>
      </c>
      <c r="Y5" s="20">
        <f>('Income Statement'!T18+'Income Statement'!T13)/'Income Statement'!T6</f>
        <v>0.12650993732645385</v>
      </c>
      <c r="AA5" s="20">
        <f>('Income Statement'!AD21+'Income Statement'!AD12)/'Income Statement'!AD6</f>
        <v>0.19323025352628337</v>
      </c>
      <c r="AB5" s="20">
        <f>('Income Statement'!AE21+'Income Statement'!AE12)/'Income Statement'!AE6</f>
        <v>0.19596655874652857</v>
      </c>
      <c r="AC5" s="20">
        <f>('Income Statement'!AF21+'Income Statement'!AF12)/'Income Statement'!AF6</f>
        <v>0.20632572998580345</v>
      </c>
      <c r="AD5" s="20">
        <f>('Income Statement'!AG21+'Income Statement'!AG12)/'Income Statement'!AG6</f>
        <v>0.22955089206848978</v>
      </c>
      <c r="AE5" s="20">
        <f>('Income Statement'!AH21+'Income Statement'!AH12)/'Income Statement'!AH6</f>
        <v>0.31695245754961326</v>
      </c>
      <c r="AF5" s="20">
        <f>('Income Statement'!AI21+'Income Statement'!AI12)/'Income Statement'!AI6</f>
        <v>0.32285443244777401</v>
      </c>
    </row>
    <row r="6" spans="1:32" s="162" customFormat="1" x14ac:dyDescent="0.3">
      <c r="A6" s="20" t="s">
        <v>227</v>
      </c>
      <c r="B6" s="135"/>
      <c r="C6" s="143">
        <f>'Income Statement'!M29/'Income Statement'!M9</f>
        <v>0.13964262837805244</v>
      </c>
      <c r="D6" s="144">
        <f>'Income Statement'!L29/'Income Statement'!L9</f>
        <v>0.14555533395865941</v>
      </c>
      <c r="E6" s="144">
        <f>'Income Statement'!K29/'Income Statement'!K9</f>
        <v>0.15108233879085503</v>
      </c>
      <c r="F6" s="144">
        <f>'Income Statement'!J29/'Income Statement'!J9</f>
        <v>0.16697952152089665</v>
      </c>
      <c r="G6" s="145">
        <f>'Income Statement'!I29/'Income Statement'!I9</f>
        <v>0.19211258370875733</v>
      </c>
      <c r="H6" s="135"/>
      <c r="I6" s="124">
        <f>'Income Statement'!F30/'Income Statement'!F9</f>
        <v>8.6186525801579594E-2</v>
      </c>
      <c r="J6" s="20">
        <f>'Income Statement'!E30/'Income Statement'!E9</f>
        <v>0.11117890400526188</v>
      </c>
      <c r="K6" s="20">
        <f>'Income Statement'!D30/'Income Statement'!D9</f>
        <v>9.5099490668746595E-2</v>
      </c>
      <c r="L6" s="20">
        <f>'Income Statement'!C30/'Income Statement'!C9</f>
        <v>0.12560153430765306</v>
      </c>
      <c r="M6" s="126">
        <f>'Income Statement'!B30/'Income Statement'!B9</f>
        <v>0.17402165098164948</v>
      </c>
      <c r="O6" s="20">
        <f>'Income Statement'!W22/Table11[[#This Row],[2020]]</f>
        <v>0.16752703315079095</v>
      </c>
      <c r="P6" s="20">
        <f>'Income Statement'!X22/Table11[[#This Row],[2021]]</f>
        <v>0.12834527608440885</v>
      </c>
      <c r="Q6" s="20">
        <f>'Income Statement'!Y22/Table11[[#This Row],[2022]]</f>
        <v>0.17070345786872779</v>
      </c>
      <c r="R6" s="20">
        <f>'Income Statement'!Z22/Table11[[#This Row],[2023]]</f>
        <v>0.13386668538015445</v>
      </c>
      <c r="S6" s="20">
        <f>'Income Statement'!AA22/Table11[[#This Row],[2024]]</f>
        <v>0.22434909482039561</v>
      </c>
      <c r="U6" s="20">
        <f>'Income Statement'!P25/Table2[[#This Row],[2020]]</f>
        <v>9.8554510693818875E-2</v>
      </c>
      <c r="V6" s="20">
        <f>'Income Statement'!Q25/Table2[[#This Row],[2021]]</f>
        <v>0.11552817688898971</v>
      </c>
      <c r="W6" s="20">
        <f>'Income Statement'!R25/Table2[[#This Row],[2022]]</f>
        <v>9.8802654627351064E-2</v>
      </c>
      <c r="X6" s="20">
        <f>'Income Statement'!S25/Table2[[#This Row],[2023]]</f>
        <v>8.2564459555018246E-2</v>
      </c>
      <c r="Y6" s="20">
        <f>'Income Statement'!T25/Table2[[#This Row],[2024]]</f>
        <v>9.1789169912977669E-2</v>
      </c>
      <c r="AA6" s="20">
        <f>'Income Statement'!AD35/Table12[[#This Row],[2020]]</f>
        <v>0.13258604536069579</v>
      </c>
      <c r="AB6" s="20">
        <f>'Income Statement'!AE35/Table12[[#This Row],[2021]]</f>
        <v>0.14014157541480335</v>
      </c>
      <c r="AC6" s="20">
        <f>'Income Statement'!AF35/Table12[[#This Row],[2022]]</f>
        <v>0.19839445107293704</v>
      </c>
      <c r="AD6" s="20">
        <f>'Income Statement'!AG35/Table12[[#This Row],[2023]]</f>
        <v>0.2037840264805624</v>
      </c>
      <c r="AE6" s="20">
        <f>'Income Statement'!AH35/Table12[[#This Row],[2024]]</f>
        <v>0.23610587873725747</v>
      </c>
      <c r="AF6" s="20">
        <f>'Income Statement'!AI35/Table12[[#This Row],[2025]]</f>
        <v>0.24935544727546791</v>
      </c>
    </row>
    <row r="7" spans="1:32" x14ac:dyDescent="0.3">
      <c r="A7" s="11" t="s">
        <v>228</v>
      </c>
      <c r="C7" s="146">
        <f>'Income Statement'!M21/('Balance Sheet '!F31-'Balance Sheet '!F58)</f>
        <v>0.14162326178074777</v>
      </c>
      <c r="D7" s="147">
        <f>'Income Statement'!L21/('Balance Sheet '!E31-'Balance Sheet '!E58)</f>
        <v>0.19663204780578597</v>
      </c>
      <c r="E7" s="147">
        <f>'Income Statement'!K21/('Balance Sheet '!D31-'Balance Sheet '!D58)</f>
        <v>0.22036994907024227</v>
      </c>
      <c r="F7" s="147">
        <f>'Income Statement'!J21/('Balance Sheet '!C31-'Balance Sheet '!C58)</f>
        <v>0.31475846990391854</v>
      </c>
      <c r="G7" s="148">
        <f>'Income Statement'!I21/('Balance Sheet '!B31-'Balance Sheet '!B58)</f>
        <v>0.47916385971152609</v>
      </c>
      <c r="H7" s="136"/>
      <c r="I7" s="131">
        <f>'Income Statement'!F22/('Balance Sheet '!M48-'Balance Sheet '!M22)</f>
        <v>0.10791317287063087</v>
      </c>
      <c r="J7" s="21">
        <f>'Income Statement'!E22/('Balance Sheet '!L48-'Balance Sheet '!L22)</f>
        <v>0.12736883848866837</v>
      </c>
      <c r="K7" s="21">
        <f>'Income Statement'!D22/('Balance Sheet '!K48-'Balance Sheet '!K22)</f>
        <v>0.16848079682178335</v>
      </c>
      <c r="L7" s="21">
        <f>'Income Statement'!C22/('Balance Sheet '!J48-'Balance Sheet '!J22)</f>
        <v>0.32814860391116074</v>
      </c>
      <c r="M7" s="129">
        <f>'Income Statement'!B22/('Balance Sheet '!I48-'Balance Sheet '!I22)</f>
        <v>0.54930360127741917</v>
      </c>
      <c r="O7" s="20">
        <f>('Income Statement'!W15+'Income Statement'!W11)/('Balance Sheet '!P26-'Balance Sheet '!P48)</f>
        <v>0.22165496705984702</v>
      </c>
      <c r="P7" s="20">
        <f>('Income Statement'!X15+'Income Statement'!X11)/('Balance Sheet '!Q26-'Balance Sheet '!Q48)</f>
        <v>0.10020791475759412</v>
      </c>
      <c r="Q7" s="20">
        <f>('Income Statement'!Y15+'Income Statement'!Y11)/('Balance Sheet '!R26-'Balance Sheet '!R48)</f>
        <v>0.18753597951040954</v>
      </c>
      <c r="R7" s="20">
        <f>('Income Statement'!Z15+'Income Statement'!Z11)/('Balance Sheet '!S26-'Balance Sheet '!S48)</f>
        <v>7.5213032367112534E-2</v>
      </c>
      <c r="S7" s="20">
        <f>('Income Statement'!AA15+'Income Statement'!AA11)/('Balance Sheet '!T26-'Balance Sheet '!T48)</f>
        <v>0.11334978927008547</v>
      </c>
      <c r="U7" s="20">
        <f>('Income Statement'!P18+'Income Statement'!P13)/('Balance Sheet '!AE24-'Balance Sheet '!AE48)</f>
        <v>0.20737361513764721</v>
      </c>
      <c r="V7" s="20">
        <f>('Income Statement'!Q18+'Income Statement'!Q13)/('Balance Sheet '!AF24-'Balance Sheet '!AF48)</f>
        <v>0.18673546013637304</v>
      </c>
      <c r="W7" s="20">
        <f>('Income Statement'!R18+'Income Statement'!R13)/('Balance Sheet '!AG24-'Balance Sheet '!AG48)</f>
        <v>0.19313020287046817</v>
      </c>
      <c r="X7" s="20">
        <f>('Income Statement'!S18+'Income Statement'!S13)/('Balance Sheet '!AH24-'Balance Sheet '!AH48)</f>
        <v>0.20305100322759426</v>
      </c>
      <c r="Y7" s="20">
        <f>('Income Statement'!T18+'Income Statement'!T13)/('Balance Sheet '!AI24-'Balance Sheet '!AI48)</f>
        <v>0.2591457932011621</v>
      </c>
      <c r="AA7" s="20">
        <f>('Income Statement'!AD21+'Income Statement'!AD12)/('Balance Sheet '!W33-'Balance Sheet '!W61)</f>
        <v>0.18966708171220278</v>
      </c>
      <c r="AB7" s="20">
        <f>('Income Statement'!AE21+'Income Statement'!AE12)/('Balance Sheet '!X33-'Balance Sheet '!X61)</f>
        <v>0.17133714567589661</v>
      </c>
      <c r="AC7" s="20">
        <f>('Income Statement'!AF21+'Income Statement'!AF12)/('Balance Sheet '!Y33-'Balance Sheet '!Y61)</f>
        <v>0.15831731068906155</v>
      </c>
      <c r="AD7" s="20">
        <f>('Income Statement'!AG21+'Income Statement'!AG12)/('Balance Sheet '!Z33-'Balance Sheet '!Z61)</f>
        <v>0.18046251250462872</v>
      </c>
      <c r="AE7" s="20">
        <f>('Income Statement'!AH21+'Income Statement'!AH12)/('Balance Sheet '!AA33-'Balance Sheet '!AA61)</f>
        <v>0.24491936362319666</v>
      </c>
      <c r="AF7" s="20">
        <f>('Income Statement'!AI21+'Income Statement'!AI12)/('Balance Sheet '!AB33-'Balance Sheet '!AB61)</f>
        <v>0.17418548018709518</v>
      </c>
    </row>
    <row r="8" spans="1:32" x14ac:dyDescent="0.3">
      <c r="A8" s="11" t="s">
        <v>498</v>
      </c>
      <c r="C8" s="146">
        <f>'Income Statement'!F9/'Balance Sheet '!B31</f>
        <v>0.23149592929473314</v>
      </c>
      <c r="D8" s="147">
        <f>'Income Statement'!E9/AVERAGE('Balance Sheet '!B31:C31)</f>
        <v>0.17310315433712928</v>
      </c>
      <c r="E8" s="147">
        <f>'Income Statement'!D9/AVERAGE('Balance Sheet '!C31:D31)</f>
        <v>0.19453898052452473</v>
      </c>
      <c r="F8" s="147">
        <f>'Income Statement'!C9/AVERAGE('Balance Sheet '!D31:E31)</f>
        <v>0.24612232400479814</v>
      </c>
      <c r="G8" s="148">
        <f>'Income Statement'!B9/AVERAGE('Balance Sheet '!E31:F31)</f>
        <v>0.28272204548650753</v>
      </c>
      <c r="H8" s="136"/>
      <c r="I8" s="131">
        <f>'Income Statement'!M9/'Balance Sheet '!I48</f>
        <v>0.62399872784594324</v>
      </c>
      <c r="J8" s="21">
        <f>'Income Statement'!L9/AVERAGE('Balance Sheet '!I48:J48)</f>
        <v>0.61589079885423781</v>
      </c>
      <c r="K8" s="21">
        <f>'Income Statement'!K9/AVERAGE('Balance Sheet '!J48:K48)</f>
        <v>0.56629854629514798</v>
      </c>
      <c r="L8" s="21">
        <f>'Income Statement'!J9/AVERAGE('Balance Sheet '!K48:L48)</f>
        <v>0.61401520492583805</v>
      </c>
      <c r="M8" s="129">
        <f>'Income Statement'!I9/AVERAGE('Balance Sheet '!L48:M48)</f>
        <v>0.7174850821318518</v>
      </c>
      <c r="O8" s="21">
        <f>'Income Statement'!W6/'Balance Sheet '!P26</f>
        <v>0.56161401276715306</v>
      </c>
      <c r="P8" s="21">
        <f>'Income Statement'!X6/AVERAGE('Balance Sheet '!P26:Q26)</f>
        <v>0.3448733809717392</v>
      </c>
      <c r="Q8" s="21">
        <f>'Income Statement'!Y6/AVERAGE('Balance Sheet '!Q26:R26)</f>
        <v>0.46761907017849458</v>
      </c>
      <c r="R8" s="21">
        <f>'Income Statement'!Z6/AVERAGE('Balance Sheet '!R26:S26)</f>
        <v>0.34717677689350146</v>
      </c>
      <c r="S8" s="21">
        <f>'Income Statement'!AA6/AVERAGE('Balance Sheet '!S26:T26)</f>
        <v>0.2873004672093899</v>
      </c>
      <c r="U8" s="21">
        <f>'Income Statement'!P6/'Balance Sheet '!AE24</f>
        <v>0.30808787107220603</v>
      </c>
      <c r="V8" s="21">
        <f>'Income Statement'!Q6/AVERAGE('Balance Sheet '!AE24:AF24)</f>
        <v>0.21835954566326682</v>
      </c>
      <c r="W8" s="21">
        <f>'Income Statement'!R6/AVERAGE('Balance Sheet '!AF24:AG24)</f>
        <v>0.26606367075805309</v>
      </c>
      <c r="X8" s="21">
        <f>'Income Statement'!S6/AVERAGE('Balance Sheet '!AG24:AH24)</f>
        <v>0.30013596591465624</v>
      </c>
      <c r="Y8" s="21">
        <f>'Income Statement'!T6/AVERAGE('Balance Sheet '!AH24:AI24)</f>
        <v>0.36836918542932068</v>
      </c>
      <c r="AA8" s="21">
        <f>'Income Statement'!AD6/'Balance Sheet '!W33</f>
        <v>0.40808557027391362</v>
      </c>
      <c r="AB8" s="21">
        <f>'Income Statement'!AE6/AVERAGE('Balance Sheet '!W33:X33)</f>
        <v>0.43930905784347346</v>
      </c>
      <c r="AC8" s="21">
        <f>'Income Statement'!AF6/AVERAGE('Balance Sheet '!X33:Y33)</f>
        <v>0.46411894083881255</v>
      </c>
      <c r="AD8" s="21">
        <f>'Income Statement'!AG6/AVERAGE('Balance Sheet '!Y33:Z33)</f>
        <v>0.45539077825704016</v>
      </c>
      <c r="AE8" s="21">
        <f>'Income Statement'!AH6/AVERAGE('Balance Sheet '!Z33:AA33)</f>
        <v>0.44429327721364603</v>
      </c>
      <c r="AF8" s="21">
        <f>'Income Statement'!AI6/AVERAGE('Balance Sheet '!AA33:AB33)</f>
        <v>0.36387796337456257</v>
      </c>
    </row>
    <row r="9" spans="1:32" x14ac:dyDescent="0.3">
      <c r="A9" s="11" t="s">
        <v>229</v>
      </c>
      <c r="B9" s="26"/>
      <c r="C9" s="146">
        <f>'Income Statement'!M29/'Balance Sheet '!B36</f>
        <v>0.18519548479946063</v>
      </c>
      <c r="D9" s="147">
        <f>'Income Statement'!L29/'Balance Sheet '!C36</f>
        <v>0.18650114631990228</v>
      </c>
      <c r="E9" s="147">
        <f>'Income Statement'!K29/'Balance Sheet '!D36</f>
        <v>0.19093468116046874</v>
      </c>
      <c r="F9" s="147">
        <f>'Income Statement'!L29/'Balance Sheet '!E36</f>
        <v>0.14881212273170705</v>
      </c>
      <c r="G9" s="148">
        <f>'Income Statement'!I29/'Balance Sheet '!F36</f>
        <v>0.24595595185871116</v>
      </c>
      <c r="H9" s="26"/>
      <c r="I9" s="131">
        <f>'Income Statement'!F30/'Balance Sheet '!I9</f>
        <v>0.15593682380090068</v>
      </c>
      <c r="J9" s="21">
        <f>'Income Statement'!E30/'Balance Sheet '!J9</f>
        <v>0.14973875997680458</v>
      </c>
      <c r="K9" s="21">
        <f>'Income Statement'!D30/'Balance Sheet '!K9</f>
        <v>0.15202660666514589</v>
      </c>
      <c r="L9" s="21">
        <f>'Income Statement'!C30/'Balance Sheet '!L9</f>
        <v>0.25678147052346351</v>
      </c>
      <c r="M9" s="129">
        <f>'Income Statement'!B30/'Balance Sheet '!M9</f>
        <v>0.29557761949685035</v>
      </c>
      <c r="O9" s="21">
        <f>'Income Statement'!W22/'Balance Sheet '!P31</f>
        <v>0.20519207679734494</v>
      </c>
      <c r="P9" s="21">
        <f>'Income Statement'!X22/'Balance Sheet '!Q31</f>
        <v>9.6010976377962173E-2</v>
      </c>
      <c r="Q9" s="21">
        <f>'Income Statement'!Y22/'Balance Sheet '!R31</f>
        <v>0.16496120482654447</v>
      </c>
      <c r="R9" s="21">
        <f>'Income Statement'!Z22/'Balance Sheet '!S31</f>
        <v>0.11024448188145985</v>
      </c>
      <c r="S9" s="21">
        <f>'Income Statement'!AA22/'Balance Sheet '!T31</f>
        <v>0.16847692325332375</v>
      </c>
      <c r="U9" s="20">
        <f>'Income Statement'!P25/'Balance Sheet '!AE29</f>
        <v>0.15715903486821683</v>
      </c>
      <c r="V9" s="20">
        <f>'Income Statement'!Q25/'Balance Sheet '!AF29</f>
        <v>0.1349651082702438</v>
      </c>
      <c r="W9" s="20">
        <f>'Income Statement'!R25/'Balance Sheet '!AG29</f>
        <v>0.15066436217391521</v>
      </c>
      <c r="X9" s="20">
        <f>'Income Statement'!S25/'Balance Sheet '!AH29</f>
        <v>0.16135321567316863</v>
      </c>
      <c r="Y9" s="20">
        <f>'Income Statement'!T25/'Balance Sheet '!AI29</f>
        <v>0.21349312484608798</v>
      </c>
      <c r="AA9" s="20">
        <f>'Income Statement'!AD35/'Balance Sheet '!W40</f>
        <v>0.21751219740402425</v>
      </c>
      <c r="AB9" s="20">
        <f>'Income Statement'!AE35/'Balance Sheet '!X40</f>
        <v>0.21010782178205009</v>
      </c>
      <c r="AC9" s="20">
        <f>'Income Statement'!AF35/'Balance Sheet '!Y40</f>
        <v>0.26297621562074203</v>
      </c>
      <c r="AD9" s="20">
        <f>'Income Statement'!AG35/'Balance Sheet '!Z40</f>
        <v>0.24719024393140626</v>
      </c>
      <c r="AE9" s="20">
        <f>'Income Statement'!AH35/'Balance Sheet '!AA40</f>
        <v>0.26151258278054801</v>
      </c>
      <c r="AF9" s="20">
        <f>'Income Statement'!AI35/'Balance Sheet '!AB40</f>
        <v>0.23907387044281908</v>
      </c>
    </row>
    <row r="10" spans="1:32" x14ac:dyDescent="0.3">
      <c r="A10" s="12" t="s">
        <v>230</v>
      </c>
      <c r="C10" s="149"/>
      <c r="D10" s="201"/>
      <c r="E10" s="201"/>
      <c r="F10" s="201"/>
      <c r="G10" s="150"/>
      <c r="H10" s="137"/>
      <c r="I10" s="16"/>
      <c r="J10" s="11"/>
      <c r="K10" s="11"/>
      <c r="L10" s="11"/>
      <c r="M10" s="31"/>
      <c r="O10" s="204"/>
      <c r="P10" s="204"/>
      <c r="Q10" s="204"/>
      <c r="R10" s="204"/>
      <c r="S10" s="204"/>
    </row>
    <row r="11" spans="1:32" x14ac:dyDescent="0.3">
      <c r="A11" s="11" t="s">
        <v>18</v>
      </c>
      <c r="C11" s="133">
        <f>'Balance Sheet '!B30/'Balance Sheet '!B58</f>
        <v>1.4552000582249376</v>
      </c>
      <c r="D11" s="22">
        <f>'Balance Sheet '!C30/'Balance Sheet '!C58</f>
        <v>1.4090281677169032</v>
      </c>
      <c r="E11" s="22">
        <f>'Balance Sheet '!D30/'Balance Sheet '!D58</f>
        <v>1.3938845944852778</v>
      </c>
      <c r="F11" s="22">
        <f>'Balance Sheet '!E30/'Balance Sheet '!E58</f>
        <v>1.4610552091873006</v>
      </c>
      <c r="G11" s="151">
        <f>'Balance Sheet '!F30/'Balance Sheet '!F58</f>
        <v>1.546438350131863</v>
      </c>
      <c r="H11" s="137"/>
      <c r="I11" s="132">
        <f>'Balance Sheet '!I47/'Balance Sheet '!I22</f>
        <v>1.0979377215605151</v>
      </c>
      <c r="J11" s="18">
        <f>'Balance Sheet '!J47/'Balance Sheet '!J22</f>
        <v>1.0626225474275086</v>
      </c>
      <c r="K11" s="18">
        <f>'Balance Sheet '!K47/'Balance Sheet '!K22</f>
        <v>1.0534269061949799</v>
      </c>
      <c r="L11" s="18">
        <f>'Balance Sheet '!L47/'Balance Sheet '!L22</f>
        <v>1.0805862505359396</v>
      </c>
      <c r="M11" s="125">
        <f>'Balance Sheet '!M47/'Balance Sheet '!M22</f>
        <v>1.139338660045462</v>
      </c>
      <c r="O11" s="8">
        <f>'Balance Sheet '!P25/'Balance Sheet '!P48</f>
        <v>1.9761242616907386</v>
      </c>
      <c r="P11" s="8">
        <f>'Balance Sheet '!Q25/'Balance Sheet '!Q48</f>
        <v>1.943297681726605</v>
      </c>
      <c r="Q11" s="8">
        <f>'Balance Sheet '!R25/'Balance Sheet '!R48</f>
        <v>2.1399114735051654</v>
      </c>
      <c r="R11" s="8">
        <f>'Balance Sheet '!S25/'Balance Sheet '!S48</f>
        <v>3.4452671779498334</v>
      </c>
      <c r="S11" s="8">
        <f>'Balance Sheet '!T25/'Balance Sheet '!T48</f>
        <v>3.0737711899170561</v>
      </c>
      <c r="U11" s="8">
        <f>'Balance Sheet '!AE23/'Balance Sheet '!AE48</f>
        <v>1.1320103876195653</v>
      </c>
      <c r="V11" s="8">
        <f>'Balance Sheet '!AF23/'Balance Sheet '!AF48</f>
        <v>0.98719929001112428</v>
      </c>
      <c r="W11" s="8">
        <f>'Balance Sheet '!AG23/'Balance Sheet '!AG48</f>
        <v>0.93131557139884724</v>
      </c>
      <c r="X11" s="8">
        <f>'Balance Sheet '!AH23/'Balance Sheet '!AH48</f>
        <v>1.0784529582720319</v>
      </c>
      <c r="Y11" s="8">
        <f>'Balance Sheet '!AI23/'Balance Sheet '!AI48</f>
        <v>1.1170047763403517</v>
      </c>
      <c r="AA11" s="8">
        <f>'Balance Sheet '!W31/'Balance Sheet '!W61</f>
        <v>1.3298272893160967</v>
      </c>
      <c r="AB11" s="8">
        <f>'Balance Sheet '!X31/'Balance Sheet '!X61</f>
        <v>1.5746856908333791</v>
      </c>
      <c r="AC11" s="8">
        <f>'Balance Sheet '!Y31/'Balance Sheet '!Y61</f>
        <v>1.7977755255861319</v>
      </c>
      <c r="AD11" s="8">
        <f>'Balance Sheet '!Z31/'Balance Sheet '!Z61</f>
        <v>1.6828259524764924</v>
      </c>
      <c r="AE11" s="8">
        <f>'Balance Sheet '!AA31/'Balance Sheet '!AA61</f>
        <v>1.734856224464429</v>
      </c>
      <c r="AF11" s="8">
        <f>'Balance Sheet '!AB31/'Balance Sheet '!AB61</f>
        <v>2.0431815218192431</v>
      </c>
    </row>
    <row r="12" spans="1:32" x14ac:dyDescent="0.3">
      <c r="A12" s="11" t="s">
        <v>231</v>
      </c>
      <c r="B12" s="26"/>
      <c r="C12" s="133">
        <f>('Balance Sheet '!B30-'Balance Sheet '!B21)/'Balance Sheet '!B58</f>
        <v>1.1491904464146663</v>
      </c>
      <c r="D12" s="22">
        <f>('Balance Sheet '!C30-'Balance Sheet '!C21)/'Balance Sheet '!C58</f>
        <v>1.1138342974113988</v>
      </c>
      <c r="E12" s="22">
        <f>('Balance Sheet '!D30-'Balance Sheet '!D21)/'Balance Sheet '!D58</f>
        <v>1.1083073217765758</v>
      </c>
      <c r="F12" s="22">
        <f>('Balance Sheet '!E30-'Balance Sheet '!E21)/'Balance Sheet '!E58</f>
        <v>1.1475227295050323</v>
      </c>
      <c r="G12" s="151">
        <f>('Balance Sheet '!F30-'Balance Sheet '!F21)/'Balance Sheet '!F58</f>
        <v>1.208354122468474</v>
      </c>
      <c r="I12" s="132">
        <f>('Balance Sheet '!I47-'Balance Sheet '!I39)/'Balance Sheet '!I22</f>
        <v>0.8170930045352508</v>
      </c>
      <c r="J12" s="18">
        <f>('Balance Sheet '!J47-'Balance Sheet '!J39)/'Balance Sheet '!J22</f>
        <v>0.77928158758433075</v>
      </c>
      <c r="K12" s="18">
        <f>('Balance Sheet '!K47-'Balance Sheet '!K39)/'Balance Sheet '!K22</f>
        <v>0.74767252463276201</v>
      </c>
      <c r="L12" s="18">
        <f>('Balance Sheet '!L47-'Balance Sheet '!L39)/'Balance Sheet '!L22</f>
        <v>0.77582627895368028</v>
      </c>
      <c r="M12" s="125">
        <f>('Balance Sheet '!M47-'Balance Sheet '!M39)/'Balance Sheet '!M22</f>
        <v>0.88691833430162581</v>
      </c>
      <c r="O12" s="8">
        <f>('Balance Sheet '!P25-'Balance Sheet '!P17)/'Balance Sheet '!P48</f>
        <v>1.6060844265267937</v>
      </c>
      <c r="P12" s="8">
        <f>('Balance Sheet '!Q25-'Balance Sheet '!Q17)/'Balance Sheet '!Q48</f>
        <v>1.3891421599058462</v>
      </c>
      <c r="Q12" s="8">
        <f>('Balance Sheet '!R25-'Balance Sheet '!R17)/'Balance Sheet '!R48</f>
        <v>1.4989140886345127</v>
      </c>
      <c r="R12" s="8">
        <f>('Balance Sheet '!S25-'Balance Sheet '!S17)/'Balance Sheet '!S48</f>
        <v>2.6191268759751112</v>
      </c>
      <c r="S12" s="8">
        <f>('Balance Sheet '!T25-'Balance Sheet '!T17)/'Balance Sheet '!T48</f>
        <v>2.4142126041176835</v>
      </c>
      <c r="U12" s="8">
        <f>('Balance Sheet '!AE23-'Balance Sheet '!AE15)/'Balance Sheet '!AE48</f>
        <v>1.0281675801038059</v>
      </c>
      <c r="V12" s="8">
        <f>('Balance Sheet '!AF23-'Balance Sheet '!AF15)/'Balance Sheet '!AF48</f>
        <v>0.84520106429844144</v>
      </c>
      <c r="W12" s="8">
        <f>('Balance Sheet '!AG23-'Balance Sheet '!AG15)/'Balance Sheet '!AG48</f>
        <v>0.74404999422916185</v>
      </c>
      <c r="X12" s="8">
        <f>('Balance Sheet '!AH23-'Balance Sheet '!AH15)/'Balance Sheet '!AH48</f>
        <v>0.76262675582462702</v>
      </c>
      <c r="Y12" s="8">
        <f>('Balance Sheet '!AI23-'Balance Sheet '!AI15)/'Balance Sheet '!AI48</f>
        <v>0.6458272629435533</v>
      </c>
      <c r="AA12" s="8">
        <f>('Balance Sheet '!W31-'Balance Sheet '!W21)/'Balance Sheet '!W61</f>
        <v>0.70542483744120899</v>
      </c>
      <c r="AB12" s="8">
        <f>('Balance Sheet '!X31-'Balance Sheet '!X21)/'Balance Sheet '!X61</f>
        <v>0.92614356872074499</v>
      </c>
      <c r="AC12" s="8">
        <f>('Balance Sheet '!Y31-'Balance Sheet '!Y21)/'Balance Sheet '!Y61</f>
        <v>1.224401279806127</v>
      </c>
      <c r="AD12" s="8">
        <f>('Balance Sheet '!Z31-'Balance Sheet '!Z21)/'Balance Sheet '!Z61</f>
        <v>1.2887368878269143</v>
      </c>
      <c r="AE12" s="8">
        <f>('Balance Sheet '!AA31-'Balance Sheet '!AA21)/'Balance Sheet '!AA61</f>
        <v>1.3709805521533363</v>
      </c>
      <c r="AF12" s="8">
        <f>('Balance Sheet '!AB31-'Balance Sheet '!AB21)/'Balance Sheet '!AB61</f>
        <v>1.5516161037753495</v>
      </c>
    </row>
    <row r="13" spans="1:32" x14ac:dyDescent="0.3">
      <c r="A13" s="12" t="s">
        <v>232</v>
      </c>
      <c r="C13" s="152"/>
      <c r="D13" s="200"/>
      <c r="E13" s="200"/>
      <c r="F13" s="200"/>
      <c r="G13" s="153"/>
      <c r="H13" s="137"/>
      <c r="I13" s="23"/>
      <c r="J13" s="11"/>
      <c r="K13" s="11"/>
      <c r="L13" s="11"/>
      <c r="M13" s="31"/>
      <c r="O13" s="56"/>
      <c r="P13" s="56"/>
      <c r="Q13" s="56"/>
      <c r="R13" s="56"/>
      <c r="S13" s="56"/>
      <c r="U13" s="56"/>
      <c r="V13" s="56"/>
      <c r="W13" s="56"/>
      <c r="X13" s="56"/>
      <c r="Y13" s="56"/>
      <c r="AA13" s="56"/>
      <c r="AB13" s="56"/>
      <c r="AC13" s="56"/>
      <c r="AD13" s="56"/>
      <c r="AE13" s="56"/>
      <c r="AF13" s="56"/>
    </row>
    <row r="14" spans="1:32" x14ac:dyDescent="0.3">
      <c r="A14" s="11" t="s">
        <v>233</v>
      </c>
      <c r="C14" s="133">
        <f>('Balance Sheet '!B43+'Balance Sheet '!B52)/'Balance Sheet '!B36</f>
        <v>0</v>
      </c>
      <c r="D14" s="22">
        <f>('Balance Sheet '!C43+'Balance Sheet '!C52)/'Balance Sheet '!C36</f>
        <v>2.275483382199038E-4</v>
      </c>
      <c r="E14" s="22">
        <f>('Balance Sheet '!D43+'Balance Sheet '!D52)/'Balance Sheet '!D36</f>
        <v>4.2837622650128788E-3</v>
      </c>
      <c r="F14" s="22">
        <f>('Balance Sheet '!E43+'Balance Sheet '!E52)/'Balance Sheet '!E36</f>
        <v>4.4195057704306678E-3</v>
      </c>
      <c r="G14" s="151">
        <f>('Balance Sheet '!F43+'Balance Sheet '!F52)/'Balance Sheet '!F36</f>
        <v>3.8245538683303569E-3</v>
      </c>
      <c r="H14" s="137"/>
      <c r="I14" s="133">
        <v>0</v>
      </c>
      <c r="J14" s="22">
        <v>0</v>
      </c>
      <c r="K14" s="22">
        <v>0</v>
      </c>
      <c r="L14" s="22">
        <v>0</v>
      </c>
      <c r="M14" s="151">
        <v>0</v>
      </c>
      <c r="O14" s="8">
        <f>('Balance Sheet '!P33+'Balance Sheet '!P39+'Balance Sheet '!P43)/'Balance Sheet '!P31</f>
        <v>4.1963615805052402E-3</v>
      </c>
      <c r="P14" s="8">
        <f>('Balance Sheet '!Q33+'Balance Sheet '!Q39+'Balance Sheet '!Q43)/'Balance Sheet '!Q31</f>
        <v>2.8724864672547198E-3</v>
      </c>
      <c r="Q14" s="8">
        <f>('Balance Sheet '!R33+'Balance Sheet '!R39+'Balance Sheet '!R43)/'Balance Sheet '!R31</f>
        <v>2.1537622088926615E-3</v>
      </c>
      <c r="R14" s="8">
        <f>('Balance Sheet '!S33+'Balance Sheet '!S39+'Balance Sheet '!S43)/'Balance Sheet '!S31</f>
        <v>1.6215175866387821E-3</v>
      </c>
      <c r="S14" s="8">
        <f>('Balance Sheet '!T33+'Balance Sheet '!T39+'Balance Sheet '!T43)/'Balance Sheet '!T31</f>
        <v>1.0286724680849907E-3</v>
      </c>
      <c r="U14" s="8">
        <f>('Balance Sheet '!AE32+'Balance Sheet '!AE40+'Balance Sheet '!AE41)/'Balance Sheet '!AE29</f>
        <v>0</v>
      </c>
      <c r="V14" s="8">
        <f>('Balance Sheet '!AF32+'Balance Sheet '!AF40+'Balance Sheet '!AF41)/'Balance Sheet '!AF29</f>
        <v>0</v>
      </c>
      <c r="W14" s="8">
        <f>('Balance Sheet '!AG32+'Balance Sheet '!AG40+'Balance Sheet '!AG41)/'Balance Sheet '!AG29</f>
        <v>8.9071331873270074E-3</v>
      </c>
      <c r="X14" s="8">
        <f>('Balance Sheet '!AH32+'Balance Sheet '!AH40+'Balance Sheet '!AH41)/'Balance Sheet '!AH29</f>
        <v>0.22075515404215892</v>
      </c>
      <c r="Y14" s="8">
        <f>('Balance Sheet '!AI32+'Balance Sheet '!AI40+'Balance Sheet '!AI41)/'Balance Sheet '!AI29</f>
        <v>3.9242902743565955E-2</v>
      </c>
      <c r="AA14" s="8">
        <f>('Balance Sheet '!W43+'Balance Sheet '!W45+'Balance Sheet '!W52+'Balance Sheet '!W56)/'Balance Sheet '!W40</f>
        <v>0.44416961823974066</v>
      </c>
      <c r="AB14" s="8">
        <f>('Balance Sheet '!X43+'Balance Sheet '!X45+'Balance Sheet '!X52+'Balance Sheet '!X56)/'Balance Sheet '!X40</f>
        <v>5.8834289687847454E-4</v>
      </c>
      <c r="AC14" s="8">
        <f>('Balance Sheet '!Y43+'Balance Sheet '!Y45+'Balance Sheet '!Y52+'Balance Sheet '!Y56)/'Balance Sheet '!Y40</f>
        <v>1.2890280417955695E-4</v>
      </c>
      <c r="AD14" s="8">
        <f>('Balance Sheet '!Z43+'Balance Sheet '!Z45+'Balance Sheet '!Z52+'Balance Sheet '!Z56)/'Balance Sheet '!Z40</f>
        <v>1.1240296760800971E-4</v>
      </c>
      <c r="AE14" s="8">
        <f>('Balance Sheet '!AA43+'Balance Sheet '!AA45+'Balance Sheet '!AA52+'Balance Sheet '!AA56)/'Balance Sheet '!AA40</f>
        <v>3.7746454321128306E-5</v>
      </c>
      <c r="AF14" s="8">
        <f>('Balance Sheet '!AB43+'Balance Sheet '!AB45+'Balance Sheet '!AB52+'Balance Sheet '!AB56)/'Balance Sheet '!AB40</f>
        <v>3.3156906197683189E-5</v>
      </c>
    </row>
    <row r="15" spans="1:32" x14ac:dyDescent="0.3">
      <c r="A15" s="11" t="s">
        <v>234</v>
      </c>
      <c r="B15" s="26"/>
      <c r="C15" s="133">
        <f>'Income Statement'!M21/'Income Statement'!M15</f>
        <v>688.44444444444377</v>
      </c>
      <c r="D15" s="22">
        <f>'Income Statement'!L21/'Income Statement'!L15</f>
        <v>482.69901315789474</v>
      </c>
      <c r="E15" s="22">
        <f>'Income Statement'!K21/'Income Statement'!K15</f>
        <v>651.09278350515467</v>
      </c>
      <c r="F15" s="22">
        <f>'Income Statement'!J21/'Income Statement'!J15</f>
        <v>269.43069641649765</v>
      </c>
      <c r="G15" s="151">
        <f>'Income Statement'!I21/'Income Statement'!I15</f>
        <v>759.90883190883198</v>
      </c>
      <c r="I15" s="132">
        <f>'Income Statement'!F22/'Income Statement'!F14</f>
        <v>79.413606911447033</v>
      </c>
      <c r="J15" s="18">
        <f>'Income Statement'!E22/'Income Statement'!E14</f>
        <v>72.227272727272734</v>
      </c>
      <c r="K15" s="18">
        <f>'Income Statement'!D22/'Income Statement'!D14</f>
        <v>107.91759776536314</v>
      </c>
      <c r="L15" s="18">
        <f>'Income Statement'!C22/'Income Statement'!C14</f>
        <v>224.38461538461536</v>
      </c>
      <c r="M15" s="125">
        <f>'Income Statement'!B22/'Income Statement'!B14</f>
        <v>480.73828125</v>
      </c>
      <c r="O15" s="8">
        <f>('Income Statement'!W15+'Income Statement'!W11)/'Income Statement'!W11</f>
        <v>160.47204502008285</v>
      </c>
      <c r="P15" s="8">
        <f>('Income Statement'!X15+'Income Statement'!X11)/'Income Statement'!X11</f>
        <v>88.119479656511984</v>
      </c>
      <c r="Q15" s="8">
        <f>('Income Statement'!Y15+'Income Statement'!Y11)/'Income Statement'!Y11</f>
        <v>218.12414216044155</v>
      </c>
      <c r="R15" s="8">
        <f>('Income Statement'!Z15+'Income Statement'!Z11)/'Income Statement'!Z11</f>
        <v>107.20833700731856</v>
      </c>
      <c r="S15" s="8">
        <f>('Income Statement'!AA15+'Income Statement'!AA11)/'Income Statement'!AA11</f>
        <v>267.72529949761673</v>
      </c>
      <c r="U15" s="8">
        <f>('Income Statement'!P18+'Income Statement'!P13)/'Income Statement'!P13</f>
        <v>176.56004791853854</v>
      </c>
      <c r="V15" s="8">
        <f>('Income Statement'!Q18+'Income Statement'!Q13)/'Income Statement'!Q13</f>
        <v>85.363865235098032</v>
      </c>
      <c r="W15" s="8">
        <f>('Income Statement'!R18+'Income Statement'!R13)/'Income Statement'!R13</f>
        <v>347.70789163721992</v>
      </c>
      <c r="X15" s="8">
        <f>('Income Statement'!S18+'Income Statement'!S13)/'Income Statement'!S13</f>
        <v>48.096440199361197</v>
      </c>
      <c r="Y15" s="8">
        <f>('Income Statement'!T18+'Income Statement'!T13)/'Income Statement'!T13</f>
        <v>42.858519305086517</v>
      </c>
      <c r="AA15" s="8">
        <f>('Income Statement'!AD21+'Income Statement'!AD12)/'Income Statement'!AD12</f>
        <v>12.056362279745167</v>
      </c>
      <c r="AB15" s="8">
        <f>('Income Statement'!AE21+'Income Statement'!AE12)/'Income Statement'!AE12</f>
        <v>17.47628969402324</v>
      </c>
      <c r="AC15" s="8">
        <f>('Income Statement'!AF21+'Income Statement'!AF12)/'Income Statement'!AF12</f>
        <v>90.772508591065261</v>
      </c>
      <c r="AD15" s="8">
        <f>('Income Statement'!AG21+'Income Statement'!AG12)/'Income Statement'!AG12</f>
        <v>113.24133172330518</v>
      </c>
      <c r="AE15" s="8">
        <f>('Income Statement'!AH21+'Income Statement'!AH12)/'Income Statement'!AH12</f>
        <v>318.60759887885399</v>
      </c>
      <c r="AF15" s="8">
        <f>('Income Statement'!AI21+'Income Statement'!AI12)/'Income Statement'!AI12</f>
        <v>1247.6255760368667</v>
      </c>
    </row>
    <row r="16" spans="1:32" x14ac:dyDescent="0.3">
      <c r="A16" s="12" t="s">
        <v>235</v>
      </c>
      <c r="C16" s="152"/>
      <c r="D16" s="200"/>
      <c r="E16" s="200"/>
      <c r="F16" s="200"/>
      <c r="G16" s="153"/>
      <c r="H16" s="137"/>
      <c r="I16" s="23"/>
      <c r="J16" s="11"/>
      <c r="K16" s="11"/>
      <c r="L16" s="11"/>
      <c r="M16" s="31"/>
      <c r="O16" s="56"/>
      <c r="P16" s="56"/>
      <c r="Q16" s="56"/>
      <c r="R16" s="56"/>
      <c r="S16" s="56"/>
      <c r="U16" s="56"/>
      <c r="V16" s="56"/>
      <c r="W16" s="56"/>
      <c r="X16" s="56"/>
      <c r="Y16" s="56"/>
      <c r="AA16" s="56"/>
      <c r="AB16" s="56"/>
      <c r="AC16" s="56"/>
      <c r="AD16" s="56"/>
      <c r="AE16" s="56"/>
      <c r="AF16" s="56"/>
    </row>
    <row r="17" spans="1:32" x14ac:dyDescent="0.3">
      <c r="A17" s="11" t="s">
        <v>236</v>
      </c>
      <c r="C17" s="133">
        <f>'Income Statement'!M9/'Balance Sheet '!B31</f>
        <v>0.54648575200879601</v>
      </c>
      <c r="D17" s="22">
        <f>'Income Statement'!L9/'Balance Sheet '!C31</f>
        <v>0.48118307190280518</v>
      </c>
      <c r="E17" s="22">
        <f>'Income Statement'!K9/'Balance Sheet '!D31</f>
        <v>0.45848080451587675</v>
      </c>
      <c r="F17" s="22">
        <f>'Income Statement'!J9/'Balance Sheet '!E31</f>
        <v>0.50734365759145172</v>
      </c>
      <c r="G17" s="151">
        <f>'Income Statement'!I9/'Balance Sheet '!F31</f>
        <v>0.52939508200536955</v>
      </c>
      <c r="H17" s="137"/>
      <c r="I17" s="132">
        <f>'Income Statement'!F9/'Balance Sheet '!I48</f>
        <v>0.26433107331790573</v>
      </c>
      <c r="J17" s="18">
        <f>'Income Statement'!E9/'Balance Sheet '!J48</f>
        <v>0.18385815229303565</v>
      </c>
      <c r="K17" s="18">
        <f>'Income Statement'!D9/'Balance Sheet '!K48</f>
        <v>0.20715071736262083</v>
      </c>
      <c r="L17" s="18">
        <f>'Income Statement'!C9/'Balance Sheet '!L48</f>
        <v>0.29572338773092077</v>
      </c>
      <c r="M17" s="125">
        <f>'Income Statement'!B9/'Balance Sheet '!M48</f>
        <v>0.36010283607385152</v>
      </c>
      <c r="O17" s="8">
        <f>'Income Statement'!W6/'Balance Sheet '!P26</f>
        <v>0.56161401276715306</v>
      </c>
      <c r="P17" s="8">
        <f>'Income Statement'!X6/'Balance Sheet '!Q26</f>
        <v>0.33687609259962842</v>
      </c>
      <c r="Q17" s="8">
        <f>'Income Statement'!Y6/'Balance Sheet '!R26</f>
        <v>0.4461710315797659</v>
      </c>
      <c r="R17" s="8">
        <f>'Income Statement'!Z6/'Balance Sheet '!S26</f>
        <v>0.30497631758670074</v>
      </c>
      <c r="S17" s="8">
        <f>'Income Statement'!AA6/'Balance Sheet '!T26</f>
        <v>0.26412872424310263</v>
      </c>
      <c r="U17" s="8">
        <f>'Income Statement'!P6/'Balance Sheet '!AE24</f>
        <v>0.30808787107220603</v>
      </c>
      <c r="V17" s="8">
        <f>'Income Statement'!Q6/'Balance Sheet '!AF24</f>
        <v>0.19584101387736594</v>
      </c>
      <c r="W17" s="8">
        <f>'Income Statement'!R6/'Balance Sheet '!AG24</f>
        <v>0.25121295746313571</v>
      </c>
      <c r="X17" s="8">
        <f>'Income Statement'!S6/'Balance Sheet '!AH24</f>
        <v>0.25640291669227938</v>
      </c>
      <c r="Y17" s="8">
        <f>'Income Statement'!T6/'Balance Sheet '!AI24</f>
        <v>0.37582899937058706</v>
      </c>
      <c r="AA17" s="8">
        <f>'Income Statement'!AD6/'Balance Sheet '!W33</f>
        <v>0.40808557027391362</v>
      </c>
      <c r="AB17" s="8">
        <f>'Income Statement'!AE6/'Balance Sheet '!X33</f>
        <v>0.44493925410860152</v>
      </c>
      <c r="AC17" s="8">
        <f>'Income Statement'!AF6/'Balance Sheet '!Y33</f>
        <v>0.43850114347895036</v>
      </c>
      <c r="AD17" s="8">
        <f>'Income Statement'!AG6/'Balance Sheet '!Z33</f>
        <v>0.4255351631901767</v>
      </c>
      <c r="AE17" s="8">
        <f>'Income Statement'!AH6/'Balance Sheet '!AA33</f>
        <v>0.4133120635614132</v>
      </c>
      <c r="AF17" s="8">
        <f>'Income Statement'!AI6/'Balance Sheet '!AB33</f>
        <v>0.31564537765069733</v>
      </c>
    </row>
    <row r="18" spans="1:32" x14ac:dyDescent="0.3">
      <c r="A18" s="11" t="s">
        <v>237</v>
      </c>
      <c r="C18" s="133">
        <f>'Income Statement'!M11/'Balance Sheet '!B21</f>
        <v>1.5081070021993761</v>
      </c>
      <c r="D18" s="22">
        <f>'Income Statement'!L11/'Balance Sheet '!C21</f>
        <v>1.3534555292090549</v>
      </c>
      <c r="E18" s="22">
        <f>'Income Statement'!K11/'Balance Sheet '!D21</f>
        <v>1.4531697634077863</v>
      </c>
      <c r="F18" s="22">
        <f>'Income Statement'!J11/'Balance Sheet '!E21</f>
        <v>1.4544636819870846</v>
      </c>
      <c r="G18" s="151">
        <f>'Income Statement'!I11/'Balance Sheet '!F21</f>
        <v>1.4096649742375678</v>
      </c>
      <c r="H18" s="137"/>
      <c r="I18" s="132">
        <f>'Income Statement'!F11/'Balance Sheet '!I39</f>
        <v>0.54149856468852553</v>
      </c>
      <c r="J18" s="18">
        <f>'Income Statement'!E11/'Balance Sheet '!J39</f>
        <v>0.31958475769324174</v>
      </c>
      <c r="K18" s="18">
        <f>'Income Statement'!D11/'Balance Sheet '!K39</f>
        <v>0</v>
      </c>
      <c r="L18" s="18">
        <f>'Income Statement'!C11/'Balance Sheet '!L39</f>
        <v>0</v>
      </c>
      <c r="M18" s="125">
        <f>'Income Statement'!B11/'Balance Sheet '!M39</f>
        <v>0</v>
      </c>
      <c r="O18" s="8">
        <f>('Income Statement'!W8+'Income Statement'!W9)/Table9[[#This Row],[2020]]</f>
        <v>4.4855063126536789</v>
      </c>
      <c r="P18" s="8">
        <f>('Income Statement'!X8+'Income Statement'!X9)/AVERAGE(Table9[[#This Row],[2020]:[2021]])</f>
        <v>2.5449269635904841</v>
      </c>
      <c r="Q18" s="8">
        <f>('Income Statement'!Y8+'Income Statement'!Y9)/AVERAGE(Table9[[#This Row],[2020]:[2021]])</f>
        <v>3.5670240266892286</v>
      </c>
      <c r="R18" s="8">
        <f>('Income Statement'!Z8+'Income Statement'!Z9)/AVERAGE(Table9[[#This Row],[2020]:[2021]])</f>
        <v>3.6041997353646948</v>
      </c>
      <c r="S18" s="8">
        <f>('Income Statement'!AA8+'Income Statement'!AA9)/AVERAGE(Table9[[#This Row],[2020]:[2021]])</f>
        <v>2.7148112117389527</v>
      </c>
      <c r="U18" s="8">
        <f>('Income Statement'!P8+'Income Statement'!P9+'Income Statement'!P10)/'Balance Sheet '!AE15</f>
        <v>1.6365620596876982</v>
      </c>
      <c r="V18" s="8">
        <f>('Income Statement'!Q8+'Income Statement'!Q9+'Income Statement'!Q10)/AVERAGE('Balance Sheet '!AE15:AF15)</f>
        <v>0.78525819135164088</v>
      </c>
      <c r="W18" s="8">
        <f>('Income Statement'!R8+'Income Statement'!R9+'Income Statement'!R10)/AVERAGE('Balance Sheet '!AF15:AG15)</f>
        <v>0.96315017913238465</v>
      </c>
      <c r="X18" s="8">
        <f>('Income Statement'!S8+'Income Statement'!S9+'Income Statement'!S10)/AVERAGE('Balance Sheet '!AG15:AH15)</f>
        <v>0.78814988727435831</v>
      </c>
      <c r="Y18" s="8">
        <f>('Income Statement'!T8+'Income Statement'!T9+'Income Statement'!T10)/AVERAGE('Balance Sheet '!AH15:AI15)</f>
        <v>0.65229477447912354</v>
      </c>
      <c r="AA18" s="8">
        <f>('Income Statement'!AD8+'Income Statement'!AD9+'Income Statement'!AD10)/'Balance Sheet '!W21</f>
        <v>0.48299075422285564</v>
      </c>
      <c r="AB18" s="8">
        <f>('Income Statement'!AE8+'Income Statement'!AE9+'Income Statement'!AE10)/(AVERAGE('Balance Sheet '!W21:X21))</f>
        <v>0.61388628949933399</v>
      </c>
      <c r="AC18" s="8">
        <f>('Income Statement'!AF8+'Income Statement'!AF9+'Income Statement'!AF10)/(AVERAGE('Balance Sheet '!X21:Y21))</f>
        <v>0.64749474379330596</v>
      </c>
      <c r="AD18" s="8">
        <f>('Income Statement'!AG8+'Income Statement'!AG9+'Income Statement'!AG10)/(AVERAGE('Balance Sheet '!Y21:Z21))</f>
        <v>0.76253935975923892</v>
      </c>
      <c r="AE18" s="8">
        <f>('Income Statement'!AH8+'Income Statement'!AH9+'Income Statement'!AH10)/(AVERAGE('Balance Sheet '!Z21:AA21))</f>
        <v>0.87195377476274549</v>
      </c>
      <c r="AF18" s="8">
        <f>('Income Statement'!AI8+'Income Statement'!AI9+'Income Statement'!AI10)/(AVERAGE('Balance Sheet '!AA21:AB21))</f>
        <v>0.70432209791925282</v>
      </c>
    </row>
    <row r="19" spans="1:32" x14ac:dyDescent="0.3">
      <c r="A19" s="11" t="s">
        <v>238</v>
      </c>
      <c r="B19" s="26"/>
      <c r="C19" s="133">
        <f>('Balance Sheet '!B23/'Income Statement'!M9)*365</f>
        <v>188.06910424448634</v>
      </c>
      <c r="D19" s="22">
        <f>('Balance Sheet '!C23/'Income Statement'!L9)*365</f>
        <v>168.7905683819441</v>
      </c>
      <c r="E19" s="22">
        <f>('Balance Sheet '!D23/'Income Statement'!K9)*365</f>
        <v>143.39761116846279</v>
      </c>
      <c r="F19" s="22">
        <f>('Balance Sheet '!E23/'Income Statement'!J9)*365</f>
        <v>142.57407717999666</v>
      </c>
      <c r="G19" s="151">
        <f>('Balance Sheet '!F23/'Income Statement'!I9)*365</f>
        <v>128.94571290255831</v>
      </c>
      <c r="I19" s="132">
        <f>('Income Statement'!F11/'Balance Sheet '!B21)*365</f>
        <v>233.660861337016</v>
      </c>
      <c r="J19" s="18">
        <f>('Income Statement'!E11/'Balance Sheet '!C21)*365</f>
        <v>138.26487828050838</v>
      </c>
      <c r="K19" s="18">
        <f>('Income Statement'!D11/'Balance Sheet '!D21)*365</f>
        <v>0</v>
      </c>
      <c r="L19" s="18">
        <f>'Income Statement'!D11/'Balance Sheet '!D21*365</f>
        <v>0</v>
      </c>
      <c r="M19" s="125">
        <f>'Income Statement'!B11/'Balance Sheet '!F21*365</f>
        <v>0</v>
      </c>
      <c r="O19" s="8">
        <f>(Table9[[#This Row],[2020]]/'Income Statement'!W6)*365</f>
        <v>34.00820793540764</v>
      </c>
      <c r="P19" s="8">
        <f>(Table9[[#This Row],[2021]]/'Income Statement'!X6)*365</f>
        <v>83.039648111200066</v>
      </c>
      <c r="Q19" s="8">
        <f>(Table9[[#This Row],[2022]]/'Income Statement'!Y6)*365</f>
        <v>33.033024128963163</v>
      </c>
      <c r="R19" s="8">
        <f>(Table9[[#This Row],[2023]]/'Income Statement'!Z6)*365</f>
        <v>145.30524826747424</v>
      </c>
      <c r="S19" s="8">
        <f>(Table9[[#This Row],[2024]]/'Income Statement'!AA6)*365</f>
        <v>79.364351652027665</v>
      </c>
      <c r="U19" s="8">
        <f>('Balance Sheet '!AE17/'Income Statement'!P6)*365</f>
        <v>117.78262855554095</v>
      </c>
      <c r="V19" s="8">
        <f>('Balance Sheet '!AF17/'Income Statement'!Q6)*365</f>
        <v>48.945075728063848</v>
      </c>
      <c r="W19" s="8">
        <f>('Balance Sheet '!AG17/'Income Statement'!R6)*365</f>
        <v>29.483622064895524</v>
      </c>
      <c r="X19" s="8">
        <f>('Balance Sheet '!AH17/'Income Statement'!S6)*365</f>
        <v>6.7168133572852433</v>
      </c>
      <c r="Y19" s="8">
        <f>('Balance Sheet '!AI17/'Income Statement'!T6)*365</f>
        <v>18.211907352024049</v>
      </c>
      <c r="AA19" s="8">
        <f>('Balance Sheet '!W23/'Income Statement'!AD6)*365</f>
        <v>188.60856288804982</v>
      </c>
      <c r="AB19" s="8">
        <f>('Balance Sheet '!X23/'Income Statement'!AE6)*365</f>
        <v>89.033850118354479</v>
      </c>
      <c r="AC19" s="8">
        <f>('Balance Sheet '!Y23/'Income Statement'!AF6)*365</f>
        <v>66.165270777720707</v>
      </c>
      <c r="AD19" s="8">
        <f>('Balance Sheet '!Z23/'Income Statement'!AG6)*365</f>
        <v>60.230989825013161</v>
      </c>
      <c r="AE19" s="8">
        <f>('Balance Sheet '!AA23/'Income Statement'!AH6)*365</f>
        <v>52.207911163379777</v>
      </c>
      <c r="AF19" s="8">
        <f>('Balance Sheet '!AB23/'Income Statement'!AI6)*365</f>
        <v>50.575725405036692</v>
      </c>
    </row>
    <row r="20" spans="1:32" x14ac:dyDescent="0.3">
      <c r="A20" s="12" t="s">
        <v>239</v>
      </c>
      <c r="C20" s="152"/>
      <c r="D20" s="200"/>
      <c r="E20" s="200"/>
      <c r="F20" s="200"/>
      <c r="G20" s="153"/>
      <c r="H20" s="137"/>
      <c r="I20" s="23"/>
      <c r="J20" s="11"/>
      <c r="K20" s="11"/>
      <c r="L20" s="11"/>
      <c r="M20" s="31"/>
      <c r="O20" s="56"/>
      <c r="P20" s="56"/>
      <c r="Q20" s="56"/>
      <c r="R20" s="56"/>
      <c r="S20" s="56"/>
      <c r="U20" s="56"/>
      <c r="V20" s="56"/>
      <c r="W20" s="56"/>
      <c r="X20" s="56"/>
      <c r="Y20" s="56"/>
      <c r="AA20" s="56"/>
      <c r="AB20" s="56"/>
      <c r="AC20" s="56"/>
      <c r="AD20" s="56"/>
      <c r="AE20" s="56"/>
      <c r="AF20" s="56"/>
    </row>
    <row r="21" spans="1:32" x14ac:dyDescent="0.3">
      <c r="A21" s="11" t="s">
        <v>240</v>
      </c>
      <c r="C21" s="133">
        <f>C26/'Income Statement'!M34</f>
        <v>3.2843791722296398</v>
      </c>
      <c r="D21" s="22">
        <f>D26/'Income Statement'!L33</f>
        <v>4.9528301886792452</v>
      </c>
      <c r="E21" s="22">
        <f>E26/'Income Statement'!K33</f>
        <v>7.2946058091286297</v>
      </c>
      <c r="F21" s="22">
        <f>F26/'Income Statement'!J33</f>
        <v>24.075425790754256</v>
      </c>
      <c r="G21" s="151">
        <f>G26/'Income Statement'!I33</f>
        <v>37.272727272727273</v>
      </c>
      <c r="H21" s="137"/>
      <c r="I21" s="132">
        <f>I26/'Income Statement'!F34</f>
        <v>3.887172284644195</v>
      </c>
      <c r="J21" s="18">
        <f>J26/'Income Statement'!E35</f>
        <v>4.4638351555929354</v>
      </c>
      <c r="K21" s="18">
        <f>K26/'Income Statement'!D35</f>
        <v>4.121389270976616</v>
      </c>
      <c r="L21" s="18">
        <f>L26/'Income Statement'!C35</f>
        <v>6.2327505170144759</v>
      </c>
      <c r="M21" s="125">
        <f>M26/'Income Statement'!B35</f>
        <v>10.186338797814207</v>
      </c>
      <c r="O21" s="8">
        <f ca="1">'Company Basic info'!$E$11/('Income Statement'!W22/'Company Basic info'!$E$15)</f>
        <v>103.78383769943892</v>
      </c>
      <c r="P21" s="8">
        <f ca="1">'Company Basic info'!$E$11/('Income Statement'!X22/'Company Basic info'!$E$15)</f>
        <v>215.36676716833765</v>
      </c>
      <c r="Q21" s="8">
        <f ca="1">'Company Basic info'!$E$11/('Income Statement'!Y22/'Company Basic info'!$E$15)</f>
        <v>111.04490561472895</v>
      </c>
      <c r="R21" s="8">
        <f ca="1">'Company Basic info'!$E$11/('Income Statement'!Z22/'Company Basic info'!$E$15)</f>
        <v>156.79727013762749</v>
      </c>
      <c r="S21" s="8">
        <f ca="1">'Company Basic info'!$E$11/('Income Statement'!AA22/'Company Basic info'!$E$15)</f>
        <v>90.602535139169476</v>
      </c>
      <c r="U21" s="8">
        <f ca="1">'Company Basic info'!$G$11/('Income Statement'!P25/'Company Basic info'!$G$15)</f>
        <v>187.96338672768869</v>
      </c>
      <c r="V21" s="8">
        <f ca="1">'Company Basic info'!$G$11/('Income Statement'!Q25/'Company Basic info'!$G$15)</f>
        <v>200.2237162412234</v>
      </c>
      <c r="W21" s="8">
        <f ca="1">'Company Basic info'!$G$11/('Income Statement'!R25/'Company Basic info'!$G$15)</f>
        <v>162.139549903361</v>
      </c>
      <c r="X21" s="8">
        <f ca="1">'Company Basic info'!$G$11/('Income Statement'!S25/'Company Basic info'!$G$15)</f>
        <v>134.70118882712907</v>
      </c>
      <c r="Y21" s="8">
        <f ca="1">'Company Basic info'!$G$11/('Income Statement'!T25/'Company Basic info'!$G$15)</f>
        <v>86.009941564826576</v>
      </c>
      <c r="AA21" s="8">
        <f ca="1">'Company Basic info'!$F$11/('Income Statement'!AD35/'Company Basic info'!$F$15)</f>
        <v>111.11643322984057</v>
      </c>
      <c r="AB21" s="8">
        <f ca="1">'Company Basic info'!$F$11/('Income Statement'!AE35/'Company Basic info'!$F$15)</f>
        <v>98.889735370755574</v>
      </c>
      <c r="AC21" s="8">
        <f ca="1">'Company Basic info'!$F$11/('Income Statement'!AF35/'Company Basic info'!$F$15)</f>
        <v>63.054597008197049</v>
      </c>
      <c r="AD21" s="8">
        <f ca="1">'Company Basic info'!$F$11/('Income Statement'!AG35/'Company Basic info'!$F$15)</f>
        <v>54.963045002084847</v>
      </c>
      <c r="AE21" s="8">
        <f ca="1">'Company Basic info'!$F$11/('Income Statement'!AH35/'Company Basic info'!$F$15)</f>
        <v>42.030165038479453</v>
      </c>
      <c r="AF21" s="8">
        <f ca="1">'Company Basic info'!$F$11/('Income Statement'!AI35/'Company Basic info'!$F$15)</f>
        <v>38.296061024337519</v>
      </c>
    </row>
    <row r="22" spans="1:32" x14ac:dyDescent="0.3">
      <c r="A22" s="11" t="s">
        <v>241</v>
      </c>
      <c r="C22" s="133">
        <f>C26/C27</f>
        <v>1.8250499850805952</v>
      </c>
      <c r="D22" s="22">
        <f>D26/D27</f>
        <v>2.772221404533088</v>
      </c>
      <c r="E22" s="22">
        <f>E26/E27</f>
        <v>4.1782950301041994</v>
      </c>
      <c r="F22" s="22">
        <f>F26/F27</f>
        <v>5.2113618187555932</v>
      </c>
      <c r="G22" s="151">
        <f>G26/G27</f>
        <v>9.1683384941255088</v>
      </c>
      <c r="H22" s="135"/>
      <c r="I22" s="132">
        <f>I26/I27</f>
        <v>1.0958924357222706</v>
      </c>
      <c r="J22" s="18">
        <f>J26/J27</f>
        <v>1.2490382345827591</v>
      </c>
      <c r="K22" s="18">
        <f>K26/K27</f>
        <v>1.2545216295804733</v>
      </c>
      <c r="L22" s="18">
        <f>L26/L27</f>
        <v>3.2044489127624742</v>
      </c>
      <c r="M22" s="125">
        <f>M26/M27</f>
        <v>6.0280867850730449</v>
      </c>
      <c r="O22" s="8">
        <f ca="1">'Company Basic info'!$E$11/('Balance Sheet '!P31/'Company Basic info'!$E$15)</f>
        <v>21.295621195546456</v>
      </c>
      <c r="P22" s="8">
        <f ca="1">'Company Basic info'!$E$11/('Balance Sheet '!Q31/'Company Basic info'!$E$15)</f>
        <v>20.677573595197345</v>
      </c>
      <c r="Q22" s="8">
        <f ca="1">'Company Basic info'!$E$11/('Balance Sheet '!R31/'Company Basic info'!$E$15)</f>
        <v>18.318101420055601</v>
      </c>
      <c r="R22" s="8">
        <f ca="1">'Company Basic info'!$E$11/('Balance Sheet '!S31/'Company Basic info'!$E$15)</f>
        <v>17.286033806750041</v>
      </c>
      <c r="S22" s="8">
        <f ca="1">'Company Basic info'!$E$11/('Balance Sheet '!T31/'Company Basic info'!$E$15)</f>
        <v>15.264436359198426</v>
      </c>
      <c r="U22" s="8">
        <f ca="1">'Company Basic info'!$G$11/('Balance Sheet '!AE29/'Company Basic info'!$G$15)</f>
        <v>29.540144448684956</v>
      </c>
      <c r="V22" s="8">
        <f ca="1">'Company Basic info'!$G$11/('Balance Sheet '!AF29/'Company Basic info'!$G$15)</f>
        <v>27.023215540767286</v>
      </c>
      <c r="W22" s="8">
        <f ca="1">'Company Basic info'!$G$11/('Balance Sheet '!AG29/'Company Basic info'!$G$15)</f>
        <v>24.428651869355583</v>
      </c>
      <c r="X22" s="8">
        <f ca="1">'Company Basic info'!$G$11/('Balance Sheet '!AH29/'Company Basic info'!$G$15)</f>
        <v>21.734469972255969</v>
      </c>
      <c r="Y22" s="8">
        <f ca="1">'Company Basic info'!$G$11/('Balance Sheet '!AI29/'Company Basic info'!$G$15)</f>
        <v>18.36253119250425</v>
      </c>
      <c r="AA22" s="8">
        <f ca="1">'Company Basic info'!$F$11/('Balance Sheet '!W40/'Company Basic info'!$F$15)</f>
        <v>24.169179559520163</v>
      </c>
      <c r="AB22" s="8">
        <f ca="1">'Company Basic info'!$F$11/('Balance Sheet '!X40/'Company Basic info'!$F$15)</f>
        <v>20.777506895352804</v>
      </c>
      <c r="AC22" s="8">
        <f ca="1">'Company Basic info'!$F$11/('Balance Sheet '!Y40/'Company Basic info'!$F$15)</f>
        <v>16.581859298706622</v>
      </c>
      <c r="AD22" s="8">
        <f ca="1">'Company Basic info'!$F$11/('Balance Sheet '!Z40/'Company Basic info'!$F$15)</f>
        <v>13.586328501278214</v>
      </c>
      <c r="AE22" s="8">
        <f ca="1">'Company Basic info'!$F$11/('Balance Sheet '!AA40/'Company Basic info'!$F$15)</f>
        <v>10.991417013905451</v>
      </c>
      <c r="AF22" s="8">
        <f ca="1">'Company Basic info'!$F$11/('Balance Sheet '!AB40/'Company Basic info'!$F$15)</f>
        <v>9.1555875318027624</v>
      </c>
    </row>
    <row r="23" spans="1:32" x14ac:dyDescent="0.3">
      <c r="A23" s="11" t="s">
        <v>20</v>
      </c>
      <c r="C23" s="143">
        <f>(-'Cash Flow Statement'!B52/'Ratio Analysis'!C28)/'Ratio Analysis'!C26</f>
        <v>2.8038981859079036E-3</v>
      </c>
      <c r="D23" s="144">
        <f>(-'Cash Flow Statement'!C52/'Ratio Analysis'!D28)/'Ratio Analysis'!D26</f>
        <v>1.1953945714103312E-3</v>
      </c>
      <c r="E23" s="144">
        <f>(-'Cash Flow Statement'!D52/'Ratio Analysis'!E28)/'Ratio Analysis'!E26</f>
        <v>9.2544112473130118E-4</v>
      </c>
      <c r="F23" s="144">
        <f>(-'Cash Flow Statement'!E53/'Ratio Analysis'!F28)/'Ratio Analysis'!F26</f>
        <v>1.7182246746326315E-2</v>
      </c>
      <c r="G23" s="145">
        <f>(-'Cash Flow Statement'!F53/'Ratio Analysis'!G28)/'Ratio Analysis'!G26</f>
        <v>9.756965089966093E-3</v>
      </c>
      <c r="H23" s="17"/>
      <c r="I23" s="124">
        <f>(-'Cash Flow Statement'!I41/'Ratio Analysis'!I28)/'Ratio Analysis'!I26</f>
        <v>7.8085121372255636E-2</v>
      </c>
      <c r="J23" s="20">
        <f>(-'Cash Flow Statement'!J41/'Ratio Analysis'!J28)/'Ratio Analysis'!J26</f>
        <v>3.622673625522211E-2</v>
      </c>
      <c r="K23" s="20">
        <f>(-'Cash Flow Statement'!K41/'Ratio Analysis'!K28)/'Ratio Analysis'!K26</f>
        <v>3.721632393802473E-2</v>
      </c>
      <c r="L23" s="20">
        <f>(-'Cash Flow Statement'!L41/'Ratio Analysis'!L28)/'Ratio Analysis'!L26</f>
        <v>1.6166698698273734E-2</v>
      </c>
      <c r="M23" s="126">
        <f>(-'Cash Flow Statement'!M41/'Ratio Analysis'!M28)/'Ratio Analysis'!M26</f>
        <v>1.1896797493709444E-2</v>
      </c>
      <c r="O23" s="8">
        <f ca="1">'Cash Flow Statement'!P51/'Company Basic info'!$E$11</f>
        <v>3.3623771591413062E-3</v>
      </c>
      <c r="P23" s="8">
        <f ca="1">'Cash Flow Statement'!Q51/'Company Basic info'!$E$11</f>
        <v>3.0453043186105143E-3</v>
      </c>
      <c r="Q23" s="8">
        <f ca="1">'Cash Flow Statement'!R51/'Company Basic info'!$E$11</f>
        <v>2.6173658659713922E-3</v>
      </c>
      <c r="R23" s="8">
        <f ca="1">'Cash Flow Statement'!S51/'Company Basic info'!$E$11</f>
        <v>3.006744716153963E-3</v>
      </c>
      <c r="S23" s="8">
        <f ca="1">'Cash Flow Statement'!T51/'Company Basic info'!$E$11</f>
        <v>2.6150871638734976E-3</v>
      </c>
      <c r="U23" s="20">
        <f ca="1">'Cash Flow Statement'!W49/'Company Basic info'!$G$11</f>
        <v>4.8716448735955011E-3</v>
      </c>
      <c r="V23" s="20">
        <f ca="1">'Cash Flow Statement'!X49/'Company Basic info'!$G$11</f>
        <v>1.9571295433364398E-3</v>
      </c>
      <c r="W23" s="20">
        <f ca="1">'Cash Flow Statement'!Y49/'Company Basic info'!$G$11</f>
        <v>2.2739974852070913E-3</v>
      </c>
      <c r="X23" s="20">
        <f ca="1">'Cash Flow Statement'!Z49/'Company Basic info'!$G$11</f>
        <v>2.3671941301278737E-3</v>
      </c>
      <c r="Y23" s="20">
        <f ca="1">'Cash Flow Statement'!AA49/'Company Basic info'!$G$11</f>
        <v>3.2134195358365799E-3</v>
      </c>
      <c r="AA23" s="20">
        <f ca="1">'Cash Flow Statement'!AD55/'Company Basic info'!$F$11</f>
        <v>4.1846364286660951E-3</v>
      </c>
      <c r="AB23" s="20">
        <f ca="1">'Cash Flow Statement'!AE55/'Company Basic info'!$F$11</f>
        <v>3.1318431189518484E-3</v>
      </c>
      <c r="AC23" s="20">
        <f ca="1">'Cash Flow Statement'!AF55/'Company Basic info'!$F$11</f>
        <v>4.1758012318613633E-3</v>
      </c>
      <c r="AD23" s="20">
        <f ca="1">'Cash Flow Statement'!AG55/'Company Basic info'!$F$11</f>
        <v>5.2197593447708785E-3</v>
      </c>
      <c r="AE23" s="20">
        <f ca="1">'Cash Flow Statement'!AH55/'Company Basic info'!$F$11</f>
        <v>6.1593185244117723E-3</v>
      </c>
      <c r="AF23" s="20">
        <f ca="1">'Cash Flow Statement'!AI55/'Company Basic info'!$F$11</f>
        <v>7.9340379504249381E-3</v>
      </c>
    </row>
    <row r="24" spans="1:32" x14ac:dyDescent="0.3">
      <c r="A24" s="11" t="s">
        <v>19</v>
      </c>
      <c r="C24" s="199">
        <f>((C26*C28)-'Balance Sheet '!B24)/'Income Statement'!M20</f>
        <v>6.6276178179470682</v>
      </c>
      <c r="D24" s="202">
        <f>((D26*D28)-'Balance Sheet '!C24)/'Income Statement'!L20</f>
        <v>9.4242080407249524</v>
      </c>
      <c r="E24" s="202">
        <f>((E26*E28)-'Balance Sheet '!D24)/'Income Statement'!K20</f>
        <v>15.865999619988598</v>
      </c>
      <c r="F24" s="202">
        <f>((F26*F28)-'Balance Sheet '!E24)/'Income Statement'!J20</f>
        <v>17.16106407219289</v>
      </c>
      <c r="G24" s="203">
        <f>((G26*G28)-'Balance Sheet '!F24)/'Income Statement'!I20</f>
        <v>27.864449926516897</v>
      </c>
      <c r="H24" s="17"/>
      <c r="I24" s="134">
        <f>((I26*I28)-'Balance Sheet '!I41)/'Income Statement'!F20</f>
        <v>-3.2707787986999972</v>
      </c>
      <c r="J24" s="192">
        <f>((J26*J28)-'Balance Sheet '!J41)/'Income Statement'!E20</f>
        <v>-5.1257233273056046</v>
      </c>
      <c r="K24" s="192">
        <f>((K26*K28)-'Balance Sheet '!K41)/'Income Statement'!D20</f>
        <v>-8.4419278976940486</v>
      </c>
      <c r="L24" s="192">
        <f>((L26*L28)-'Balance Sheet '!L41)/'Income Statement'!C20</f>
        <v>7.0213036877417645E-2</v>
      </c>
      <c r="M24" s="130">
        <f>((M26*M28)-'Balance Sheet '!M41)/'Income Statement'!B20</f>
        <v>9.5176482298547995</v>
      </c>
      <c r="O24" s="8">
        <f ca="1">('Company Basic info'!$E$10+'Balance Sheet '!P33+'Balance Sheet '!P39+'Balance Sheet '!P43-'Balance Sheet '!P19)/('Income Statement'!W15+'Income Statement'!W11+'Income Statement'!W12)</f>
        <v>62.569869459726142</v>
      </c>
      <c r="P24" s="8">
        <f ca="1">('Company Basic info'!$E$10+'Balance Sheet '!Q33+'Balance Sheet '!Q39+'Balance Sheet '!Q43-'Balance Sheet '!Q19)/('Income Statement'!X15+'Income Statement'!X11+'Income Statement'!X12)</f>
        <v>119.76821462933637</v>
      </c>
      <c r="Q24" s="8">
        <f ca="1">('Company Basic info'!$E$10+'Balance Sheet '!R33+'Balance Sheet '!R39+'Balance Sheet '!R43-'Balance Sheet '!R19)/('Income Statement'!Y15+'Income Statement'!Y11+'Income Statement'!Y12)</f>
        <v>63.071983089949178</v>
      </c>
      <c r="R24" s="8">
        <f ca="1">('Company Basic info'!$E$10+'Balance Sheet '!S33+'Balance Sheet '!S39+'Balance Sheet '!S43-'Balance Sheet '!S19)/('Income Statement'!Z15+'Income Statement'!Z11+'Income Statement'!Z12)</f>
        <v>92.29910727117813</v>
      </c>
      <c r="S24" s="8">
        <f ca="1">('Company Basic info'!$E$10+'Balance Sheet '!T33+'Balance Sheet '!T39+'Balance Sheet '!T43-'Balance Sheet '!T19)/('Income Statement'!AA15+'Income Statement'!AA11+'Income Statement'!AA12)</f>
        <v>58.413100005142631</v>
      </c>
      <c r="U24" s="8">
        <f ca="1">('Company Basic info'!$G$10+'Balance Sheet '!AE32+'Balance Sheet '!AE40+'Balance Sheet '!AE41-'Balance Sheet '!AE18)/('Income Statement'!P18+'Income Statement'!P13+'Income Statement'!P14)</f>
        <v>108.1508073626904</v>
      </c>
      <c r="V24" s="8">
        <f ca="1">('Company Basic info'!$G$10+'Balance Sheet '!AF32+'Balance Sheet '!AF40+'Balance Sheet '!AF41-'Balance Sheet '!AF18)/('Income Statement'!Q18+'Income Statement'!Q13+'Income Statement'!Q14)</f>
        <v>113.52550149159242</v>
      </c>
      <c r="W24" s="8">
        <f ca="1">('Company Basic info'!$G$10+'Balance Sheet '!AG32+'Balance Sheet '!AG40+'Balance Sheet '!AG41-'Balance Sheet '!AG18)/('Income Statement'!R18+'Income Statement'!R13+'Income Statement'!R14)</f>
        <v>97.839873892520075</v>
      </c>
      <c r="X24" s="8">
        <f ca="1">('Company Basic info'!$G$10+'Balance Sheet '!AH32+'Balance Sheet '!AH40+'Balance Sheet '!AH41-'Balance Sheet '!AH18)/('Income Statement'!S18+'Income Statement'!S13+'Income Statement'!S14)</f>
        <v>84.890087324209389</v>
      </c>
      <c r="Y24" s="8">
        <f ca="1">('Company Basic info'!$G$10+'Balance Sheet '!AI32+'Balance Sheet '!AI40+'Balance Sheet '!AI41-'Balance Sheet '!AI18)/('Income Statement'!T18+'Income Statement'!T13+'Income Statement'!T14)</f>
        <v>55.359188528725866</v>
      </c>
      <c r="AA24" s="8">
        <f ca="1">('Company Basic info'!$F$10+'Balance Sheet '!W43+'Balance Sheet '!W45+'Balance Sheet '!W52+'Balance Sheet '!W56-'Balance Sheet '!W25)/('Income Statement'!AD21+'Income Statement'!AD12+'Income Statement'!AD13)</f>
        <v>60.585012923872235</v>
      </c>
      <c r="AB24" s="8">
        <f ca="1">('Company Basic info'!$F$10+'Balance Sheet '!X43+'Balance Sheet '!X45+'Balance Sheet '!X52+'Balance Sheet '!X56-'Balance Sheet '!X25)/('Income Statement'!AE21+'Income Statement'!AE12+'Income Statement'!AE13)</f>
        <v>52.960594714775503</v>
      </c>
      <c r="AC24" s="8">
        <f ca="1">('Company Basic info'!$F$10+'Balance Sheet '!Y43+'Balance Sheet '!Y45+'Balance Sheet '!Y52+'Balance Sheet '!Y56-'Balance Sheet '!Y25)/('Income Statement'!AF21+'Income Statement'!AF12+'Income Statement'!AF13)</f>
        <v>47.915554728325233</v>
      </c>
      <c r="AD24" s="8">
        <f ca="1">('Company Basic info'!$F$10+'Balance Sheet '!Z43+'Balance Sheet '!Z45+'Balance Sheet '!Z52+'Balance Sheet '!Z56-'Balance Sheet '!Z25)/('Income Statement'!AG21+'Income Statement'!AG12+'Income Statement'!AG13)</f>
        <v>36.527430541831798</v>
      </c>
      <c r="AE24" s="8">
        <f ca="1">('Company Basic info'!$F$10+'Balance Sheet '!AA43+'Balance Sheet '!AA45+'Balance Sheet '!AA52+'Balance Sheet '!AA56-'Balance Sheet '!AA25)/('Income Statement'!AH21+'Income Statement'!AH12+'Income Statement'!AH13)</f>
        <v>26.221930353696532</v>
      </c>
      <c r="AF24" s="8">
        <f ca="1">('Company Basic info'!$F$10+'Balance Sheet '!AB43+'Balance Sheet '!AB45+'Balance Sheet '!AB52+'Balance Sheet '!AB56-'Balance Sheet '!AB25)/('Income Statement'!AI21+'Income Statement'!AI12+'Income Statement'!AI13)</f>
        <v>25.051283673630376</v>
      </c>
    </row>
    <row r="25" spans="1:32" x14ac:dyDescent="0.3">
      <c r="A25" s="11"/>
      <c r="C25" s="199"/>
      <c r="D25" s="202"/>
      <c r="E25" s="202"/>
      <c r="F25" s="202"/>
      <c r="G25" s="203"/>
      <c r="H25" s="137"/>
      <c r="I25" s="134"/>
      <c r="J25" s="192"/>
      <c r="K25" s="192"/>
      <c r="L25" s="192"/>
      <c r="M25" s="130"/>
    </row>
    <row r="26" spans="1:32" s="89" customFormat="1" x14ac:dyDescent="0.3">
      <c r="A26" s="8" t="s">
        <v>242</v>
      </c>
      <c r="C26" s="199">
        <v>24.6</v>
      </c>
      <c r="D26" s="205">
        <v>42</v>
      </c>
      <c r="E26" s="205">
        <v>70.319999999999993</v>
      </c>
      <c r="F26" s="205">
        <v>98.95</v>
      </c>
      <c r="G26" s="156">
        <v>205</v>
      </c>
      <c r="I26" s="206">
        <v>83.03</v>
      </c>
      <c r="J26" s="8">
        <v>106.15</v>
      </c>
      <c r="K26" s="8">
        <v>119.85</v>
      </c>
      <c r="L26" s="8">
        <v>331.52</v>
      </c>
      <c r="M26" s="33">
        <v>932.05</v>
      </c>
      <c r="O26" s="8">
        <v>189.95</v>
      </c>
      <c r="P26" s="8">
        <v>166.5</v>
      </c>
      <c r="Q26" s="8">
        <v>274.2</v>
      </c>
      <c r="R26" s="8">
        <v>495</v>
      </c>
      <c r="S26" s="8">
        <v>888.5</v>
      </c>
      <c r="U26" s="8">
        <v>198.1</v>
      </c>
      <c r="V26" s="8">
        <v>185.8</v>
      </c>
      <c r="W26" s="8">
        <v>226</v>
      </c>
      <c r="X26" s="8">
        <v>455.4</v>
      </c>
      <c r="Y26" s="8">
        <v>798</v>
      </c>
      <c r="AA26" s="8">
        <v>463</v>
      </c>
      <c r="AB26" s="8">
        <v>508.5</v>
      </c>
      <c r="AC26" s="8">
        <v>746</v>
      </c>
      <c r="AD26" s="8">
        <v>1380</v>
      </c>
      <c r="AE26" s="8">
        <v>3392</v>
      </c>
      <c r="AF26" s="8">
        <v>4400</v>
      </c>
    </row>
    <row r="27" spans="1:32" s="89" customFormat="1" x14ac:dyDescent="0.3">
      <c r="A27" s="8" t="s">
        <v>243</v>
      </c>
      <c r="C27" s="155">
        <f>'Balance Sheet '!B36/'Ratio Analysis'!C28</f>
        <v>13.479082875044462</v>
      </c>
      <c r="D27" s="207">
        <f>'Balance Sheet '!C36/'Ratio Analysis'!D28</f>
        <v>15.150305069906153</v>
      </c>
      <c r="E27" s="207">
        <f>'Balance Sheet '!D36/'Ratio Analysis'!E28</f>
        <v>16.829831185531752</v>
      </c>
      <c r="F27" s="207">
        <f>'Balance Sheet '!E36/'Ratio Analysis'!F28</f>
        <v>18.987359435278666</v>
      </c>
      <c r="G27" s="208">
        <f>'Balance Sheet '!F36/'Ratio Analysis'!G28</f>
        <v>22.359558401050641</v>
      </c>
      <c r="H27" s="56"/>
      <c r="I27" s="209">
        <f>'Balance Sheet '!I9/'Ratio Analysis'!I28</f>
        <v>75.764735017335312</v>
      </c>
      <c r="J27" s="60">
        <f>'Balance Sheet '!J9/'Ratio Analysis'!J28</f>
        <v>84.98538880633977</v>
      </c>
      <c r="K27" s="60">
        <f>'Balance Sheet '!K9/'Ratio Analysis'!K28</f>
        <v>95.534422981674084</v>
      </c>
      <c r="L27" s="60">
        <f>'Balance Sheet '!L9/'Ratio Analysis'!L28</f>
        <v>103.4561664190193</v>
      </c>
      <c r="M27" s="114">
        <f>'Balance Sheet '!M9/'Ratio Analysis'!M28</f>
        <v>154.61788013868249</v>
      </c>
      <c r="O27" s="8">
        <f ca="1">'Company Basic info'!$E$15</f>
        <v>36.65625</v>
      </c>
      <c r="P27" s="8">
        <f ca="1">'Company Basic info'!$E$15</f>
        <v>36.65625</v>
      </c>
      <c r="Q27" s="8">
        <f ca="1">'Company Basic info'!$E$15</f>
        <v>36.65625</v>
      </c>
      <c r="R27" s="8">
        <f ca="1">'Company Basic info'!$E$15</f>
        <v>36.65625</v>
      </c>
      <c r="S27" s="8">
        <f ca="1">'Company Basic info'!$E$15</f>
        <v>36.65625</v>
      </c>
      <c r="U27" s="8">
        <f ca="1">'Company Basic info'!$G$15</f>
        <v>11.4552</v>
      </c>
      <c r="V27" s="8">
        <f ca="1">'Company Basic info'!$G$15</f>
        <v>11.4552</v>
      </c>
      <c r="W27" s="8">
        <f ca="1">'Company Basic info'!$G$15</f>
        <v>11.4552</v>
      </c>
      <c r="X27" s="8">
        <f ca="1">'Company Basic info'!$G$15</f>
        <v>11.4552</v>
      </c>
      <c r="Y27" s="8">
        <f ca="1">'Company Basic info'!$G$15</f>
        <v>11.4552</v>
      </c>
      <c r="AA27" s="8">
        <f ca="1">'Company Basic info'!$F$15</f>
        <v>66.877499999999998</v>
      </c>
      <c r="AB27" s="8">
        <f ca="1">'Company Basic info'!$F$15</f>
        <v>66.877499999999998</v>
      </c>
      <c r="AC27" s="8">
        <f ca="1">'Company Basic info'!$F$15</f>
        <v>66.877499999999998</v>
      </c>
      <c r="AD27" s="8">
        <f ca="1">'Company Basic info'!$F$15</f>
        <v>66.877499999999998</v>
      </c>
      <c r="AE27" s="8">
        <f ca="1">'Company Basic info'!$F$15</f>
        <v>66.877499999999998</v>
      </c>
      <c r="AF27" s="8">
        <f ca="1">'Company Basic info'!$F$15</f>
        <v>66.877499999999998</v>
      </c>
    </row>
    <row r="28" spans="1:32" s="89" customFormat="1" x14ac:dyDescent="0.3">
      <c r="A28" s="8" t="s">
        <v>245</v>
      </c>
      <c r="C28" s="155">
        <v>730.98</v>
      </c>
      <c r="D28" s="207">
        <v>730.98</v>
      </c>
      <c r="E28" s="207">
        <v>730.98</v>
      </c>
      <c r="F28" s="207">
        <v>730.98</v>
      </c>
      <c r="G28" s="208">
        <v>730.98</v>
      </c>
      <c r="I28" s="209">
        <v>40.380000000000003</v>
      </c>
      <c r="J28" s="60">
        <v>40.380000000000003</v>
      </c>
      <c r="K28" s="60">
        <v>40.380000000000003</v>
      </c>
      <c r="L28" s="60">
        <v>40.380000000000003</v>
      </c>
      <c r="M28" s="114">
        <v>40.380000000000003</v>
      </c>
      <c r="O28" s="8">
        <f ca="1">O26*O27</f>
        <v>6962.8546874999993</v>
      </c>
      <c r="P28" s="8">
        <f t="shared" ref="P28:S28" ca="1" si="0">P26*P27</f>
        <v>6103.265625</v>
      </c>
      <c r="Q28" s="8">
        <f t="shared" ca="1" si="0"/>
        <v>10051.143749999999</v>
      </c>
      <c r="R28" s="8">
        <f t="shared" ca="1" si="0"/>
        <v>18144.84375</v>
      </c>
      <c r="S28" s="8">
        <f t="shared" ca="1" si="0"/>
        <v>32569.078125</v>
      </c>
      <c r="U28" s="8">
        <f ca="1">U26*U27</f>
        <v>2269.2751199999998</v>
      </c>
      <c r="V28" s="8">
        <f t="shared" ref="V28:Y28" ca="1" si="1">V26*V27</f>
        <v>2128.3761600000003</v>
      </c>
      <c r="W28" s="8">
        <f t="shared" ca="1" si="1"/>
        <v>2588.8751999999999</v>
      </c>
      <c r="X28" s="8">
        <f t="shared" ca="1" si="1"/>
        <v>5216.6980799999992</v>
      </c>
      <c r="Y28" s="8">
        <f t="shared" ca="1" si="1"/>
        <v>9141.2495999999992</v>
      </c>
      <c r="AA28" s="8">
        <f ca="1">AA26*AA27</f>
        <v>30964.282499999998</v>
      </c>
      <c r="AB28" s="8">
        <f t="shared" ref="AB28:AF28" ca="1" si="2">AB26*AB27</f>
        <v>34007.208749999998</v>
      </c>
      <c r="AC28" s="8">
        <f t="shared" ca="1" si="2"/>
        <v>49890.614999999998</v>
      </c>
      <c r="AD28" s="8">
        <f t="shared" ca="1" si="2"/>
        <v>92290.95</v>
      </c>
      <c r="AE28" s="8">
        <f t="shared" ca="1" si="2"/>
        <v>226848.47999999998</v>
      </c>
      <c r="AF28" s="8">
        <f t="shared" ca="1" si="2"/>
        <v>294261</v>
      </c>
    </row>
    <row r="29" spans="1:32" s="210" customFormat="1" x14ac:dyDescent="0.3">
      <c r="A29" s="211"/>
      <c r="C29" s="2"/>
      <c r="D29" s="2"/>
      <c r="E29" s="2"/>
      <c r="F29" s="2"/>
      <c r="G29" s="2"/>
    </row>
    <row r="30" spans="1:32" x14ac:dyDescent="0.3">
      <c r="A30" s="2" t="s">
        <v>499</v>
      </c>
      <c r="C30" s="89">
        <f>C26*C28</f>
        <v>17982.108</v>
      </c>
      <c r="D30" s="89">
        <f t="shared" ref="D30:G30" si="3">D26*D28</f>
        <v>30701.16</v>
      </c>
      <c r="E30" s="89">
        <f t="shared" si="3"/>
        <v>51402.513599999998</v>
      </c>
      <c r="F30" s="89">
        <f t="shared" si="3"/>
        <v>72330.471000000005</v>
      </c>
      <c r="G30" s="89">
        <f t="shared" si="3"/>
        <v>149850.9</v>
      </c>
      <c r="H30" s="89"/>
      <c r="I30" s="89">
        <f>I26*I28</f>
        <v>3352.7514000000001</v>
      </c>
      <c r="J30" s="89">
        <f t="shared" ref="J30:M30" si="4">J26*J28</f>
        <v>4286.3370000000004</v>
      </c>
      <c r="K30" s="89">
        <f t="shared" si="4"/>
        <v>4839.5429999999997</v>
      </c>
      <c r="L30" s="89">
        <f t="shared" si="4"/>
        <v>13386.777599999999</v>
      </c>
      <c r="M30" s="89">
        <f t="shared" si="4"/>
        <v>37636.179000000004</v>
      </c>
    </row>
    <row r="31" spans="1:32" x14ac:dyDescent="0.3">
      <c r="A31" s="2" t="s">
        <v>527</v>
      </c>
      <c r="C31" s="227">
        <f>('Balance Sheet '!B41+'Balance Sheet '!B52)/(Table3[[#This Row],[2020]]-'Balance Sheet '!B58)</f>
        <v>0</v>
      </c>
      <c r="D31" s="227">
        <f>('Balance Sheet '!C41+'Balance Sheet '!C52)/(Table3[[#This Row],[2021]]-'Balance Sheet '!C58)</f>
        <v>1.066340603406602E-4</v>
      </c>
      <c r="E31" s="227">
        <f>('Balance Sheet '!D41+'Balance Sheet '!D52)/(Table3[[#This Row],[2022]]-'Balance Sheet '!D58)</f>
        <v>8.3045233831651228E-5</v>
      </c>
      <c r="F31" s="227">
        <f>('Balance Sheet '!E41+'Balance Sheet '!E52)/(Table3[[#This Row],[2023]]-'Balance Sheet '!E58)</f>
        <v>1.2863985463696425E-4</v>
      </c>
      <c r="G31" s="227">
        <f>('Balance Sheet '!F41+'Balance Sheet '!F52)/(Table3[[#This Row],[2024]]-'Balance Sheet '!F58)</f>
        <v>1.2914322612350316E-4</v>
      </c>
      <c r="I31" s="2">
        <v>0</v>
      </c>
      <c r="J31" s="2">
        <v>0</v>
      </c>
      <c r="K31" s="2">
        <v>0</v>
      </c>
      <c r="L31" s="2">
        <v>0</v>
      </c>
      <c r="M31" s="2">
        <v>0</v>
      </c>
      <c r="O31" s="225">
        <f>('Balance Sheet '!P33+'Balance Sheet '!P39+'Balance Sheet '!P43)/('Balance Sheet '!P26-'Balance Sheet '!P48)</f>
        <v>3.2454778938903876E-3</v>
      </c>
      <c r="P31" s="225">
        <f>('Balance Sheet '!Q33+'Balance Sheet '!Q39+'Balance Sheet '!Q43)/('Balance Sheet '!Q26-'Balance Sheet '!Q48)</f>
        <v>2.2413198662130911E-3</v>
      </c>
      <c r="Q31" s="225">
        <f>('Balance Sheet '!R33+'Balance Sheet '!R39+'Balance Sheet '!R43)/('Balance Sheet '!R26-'Balance Sheet '!R48)</f>
        <v>1.6388127173333164E-3</v>
      </c>
      <c r="R31" s="225">
        <f>('Balance Sheet '!S33+'Balance Sheet '!S39+'Balance Sheet '!S43)/('Balance Sheet '!S26-'Balance Sheet '!S48)</f>
        <v>8.0534594437293452E-4</v>
      </c>
      <c r="S31" s="225">
        <f>('Balance Sheet '!T33+'Balance Sheet '!T39+'Balance Sheet '!T43)/('Balance Sheet '!T26-'Balance Sheet '!T48)</f>
        <v>5.1008322778692283E-4</v>
      </c>
      <c r="U31" s="226">
        <f>('Balance Sheet '!W43+'Balance Sheet '!W45+'Balance Sheet '!W52+'Balance Sheet '!W56)/('Balance Sheet '!W33-'Balance Sheet '!W61)</f>
        <v>0.26575404804836794</v>
      </c>
      <c r="V31" s="226">
        <f>('Balance Sheet '!X43+'Balance Sheet '!X45+'Balance Sheet '!X52+'Balance Sheet '!X56)/('Balance Sheet '!X33-'Balance Sheet '!X61)</f>
        <v>3.4310326500395887E-4</v>
      </c>
      <c r="W31" s="226">
        <f>('Balance Sheet '!Y43+'Balance Sheet '!Y45+'Balance Sheet '!Y52+'Balance Sheet '!Y56)/('Balance Sheet '!Y33-'Balance Sheet '!Y61)</f>
        <v>7.4619172512334643E-5</v>
      </c>
      <c r="X31" s="226">
        <f>('Balance Sheet '!Z43+'Balance Sheet '!Z45+'Balance Sheet '!Z52+'Balance Sheet '!Z56)/('Balance Sheet '!Z33-'Balance Sheet '!Z61)</f>
        <v>7.2849169505722507E-5</v>
      </c>
      <c r="Y31" s="226">
        <f>('Balance Sheet '!AA43+'Balance Sheet '!AA45+'Balance Sheet '!AA52+'Balance Sheet '!AA56)/('Balance Sheet '!AA33-'Balance Sheet '!AA61)</f>
        <v>2.6334154081135538E-5</v>
      </c>
      <c r="AA31" s="89">
        <f>('Balance Sheet '!AE32+'Balance Sheet '!AE40+'Balance Sheet '!AE41)/('Balance Sheet '!AE24-'Balance Sheet '!AE48)</f>
        <v>0</v>
      </c>
      <c r="AB31" s="89">
        <f>('Balance Sheet '!AF32+'Balance Sheet '!AF40+'Balance Sheet '!AF41)/('Balance Sheet '!AF24-'Balance Sheet '!AF48)</f>
        <v>0</v>
      </c>
      <c r="AC31" s="89">
        <f>('Balance Sheet '!AG32+'Balance Sheet '!AG40+'Balance Sheet '!AG41)/('Balance Sheet '!AG24-'Balance Sheet '!AG48)</f>
        <v>8.1445351500856727E-3</v>
      </c>
      <c r="AD31" s="89">
        <f>('Balance Sheet '!AH32+'Balance Sheet '!AH40+'Balance Sheet '!AH41)/('Balance Sheet '!AH24-'Balance Sheet '!AH48)</f>
        <v>0.2033173745081189</v>
      </c>
      <c r="AE31" s="89">
        <f>('Balance Sheet '!AI32+'Balance Sheet '!AI40+'Balance Sheet '!AI41)/('Balance Sheet '!AI24-'Balance Sheet '!AI48)</f>
        <v>3.4561150811074415E-2</v>
      </c>
      <c r="AF31" s="89">
        <f>('Balance Sheet '!AI32+'Balance Sheet '!AI40)/('Balance Sheet '!AI24-'Balance Sheet '!AI48)</f>
        <v>3.3615214387959273E-2</v>
      </c>
    </row>
  </sheetData>
  <mergeCells count="5">
    <mergeCell ref="AE2:AF2"/>
    <mergeCell ref="K2:L2"/>
    <mergeCell ref="F2:G2"/>
    <mergeCell ref="R2:S2"/>
    <mergeCell ref="X2:Y2"/>
  </mergeCells>
  <phoneticPr fontId="8" type="noConversion"/>
  <conditionalFormatting sqref="C11:G11 H10 I11:M11 N10 O11:S11 T10 U11:Y11 Z10 AA11:AF11">
    <cfRule type="colorScale" priority="14">
      <colorScale>
        <cfvo type="num" val="1.5"/>
        <cfvo type="num" val="3"/>
        <color rgb="FFFFEF9C"/>
        <color rgb="FF63BE7B"/>
      </colorScale>
    </cfRule>
  </conditionalFormatting>
  <conditionalFormatting sqref="C12:G12 H11 I12:M12 N11 O12:S12 T11 U12:Y12 Z11 AA12:AF12">
    <cfRule type="colorScale" priority="13">
      <colorScale>
        <cfvo type="num" val="1"/>
        <cfvo type="num" val="2.5"/>
        <color rgb="FFFFEF9C"/>
        <color rgb="FF63BE7B"/>
      </colorScale>
    </cfRule>
  </conditionalFormatting>
  <conditionalFormatting sqref="C14:G14 H13 I14:M14 N13 O14:S14 T13 U14:Y14 Z13 AA14:AF14">
    <cfRule type="colorScale" priority="11">
      <colorScale>
        <cfvo type="num" val="0"/>
        <cfvo type="num" val="0.3"/>
        <color rgb="FF63BE7B"/>
        <color rgb="FFFFEF9C"/>
      </colorScale>
    </cfRule>
  </conditionalFormatting>
  <conditionalFormatting sqref="C17:G17 H16 I17:M17 N16 O17:S17 T16 U17:Y17 Z16 AA17:AF17">
    <cfRule type="colorScale" priority="9">
      <colorScale>
        <cfvo type="num" val="0.7"/>
        <cfvo type="num" val="1.2"/>
        <color rgb="FFFFEF9C"/>
        <color rgb="FF63BE7B"/>
      </colorScale>
    </cfRule>
  </conditionalFormatting>
  <conditionalFormatting sqref="C18:G18 H17 I18:M18 N17 O18:S18 T17 U18:Y18 Z17 AA18:AF18">
    <cfRule type="colorScale" priority="8">
      <colorScale>
        <cfvo type="num" val="2"/>
        <cfvo type="num" val="5"/>
        <color rgb="FFFFEF9C"/>
        <color rgb="FF63BE7B"/>
      </colorScale>
    </cfRule>
  </conditionalFormatting>
  <conditionalFormatting sqref="C19:G19 H18 I19:M19 N18 O19:S19 T18 U19:Y19 Z18 AA19:AF19">
    <cfRule type="colorScale" priority="7">
      <colorScale>
        <cfvo type="num" val="30"/>
        <cfvo type="num" val="60"/>
        <color rgb="FFFFEF9C"/>
        <color rgb="FF63BE7B"/>
      </colorScale>
    </cfRule>
  </conditionalFormatting>
  <conditionalFormatting sqref="C21:G21 H20 I21:M21 N20 O21:S21 T20 U21:Y21 Z20 AA21:AF21">
    <cfRule type="colorScale" priority="6">
      <colorScale>
        <cfvo type="num" val="18"/>
        <cfvo type="num" val="28"/>
        <color rgb="FFFFEF9C"/>
        <color rgb="FF63BE7B"/>
      </colorScale>
    </cfRule>
  </conditionalFormatting>
  <conditionalFormatting sqref="C22:G22 H21 I22:M22 N21 O22:S22 T21 U22:Y22 Z21 AA22:AF22">
    <cfRule type="colorScale" priority="5">
      <colorScale>
        <cfvo type="num" val="3"/>
        <cfvo type="num" val="6"/>
        <color rgb="FFFFEF9C"/>
        <color rgb="FF63BE7B"/>
      </colorScale>
    </cfRule>
  </conditionalFormatting>
  <conditionalFormatting sqref="C23:G23 H22 I23:M23 N22 O23:S23 T22 U23:Y23 Z22 AA23:AF23">
    <cfRule type="colorScale" priority="4">
      <colorScale>
        <cfvo type="num" val="1.4999999999999999E-2"/>
        <cfvo type="num" val="0.04"/>
        <color rgb="FFFFEF9C"/>
        <color rgb="FF63BE7B"/>
      </colorScale>
    </cfRule>
  </conditionalFormatting>
  <conditionalFormatting sqref="C24:G24 H23 I24:M24 N23 O24:S24 T23 U24:Y24 Z23 AA24:AF24">
    <cfRule type="colorScale" priority="3">
      <colorScale>
        <cfvo type="num" val="10"/>
        <cfvo type="num" val="18"/>
        <color rgb="FFFFEF9C"/>
        <color rgb="FF63BE7B"/>
      </colorScale>
    </cfRule>
  </conditionalFormatting>
  <conditionalFormatting sqref="C4:AF4">
    <cfRule type="colorScale" priority="19">
      <colorScale>
        <cfvo type="num" val="0.3"/>
        <cfvo type="num" val="0.45"/>
        <color rgb="FFFFEF9C"/>
        <color rgb="FF63BE7B"/>
      </colorScale>
    </cfRule>
  </conditionalFormatting>
  <conditionalFormatting sqref="C5:AF5">
    <cfRule type="colorScale" priority="18">
      <colorScale>
        <cfvo type="num" val="0.2"/>
        <cfvo type="num" val="0.3"/>
        <color rgb="FFFFEF9C"/>
        <color rgb="FF63BE7B"/>
      </colorScale>
    </cfRule>
  </conditionalFormatting>
  <conditionalFormatting sqref="C6:AF6 C9:G9 H8 I9:M9 N8 O9:S9 T8 U9:Y9 Z8 AA9:AF9">
    <cfRule type="colorScale" priority="17">
      <colorScale>
        <cfvo type="num" val="0.15"/>
        <cfvo type="num" val="0.25"/>
        <color rgb="FFFFEF9C"/>
        <color rgb="FF63BE7B"/>
      </colorScale>
    </cfRule>
  </conditionalFormatting>
  <conditionalFormatting sqref="C7:AF7">
    <cfRule type="colorScale" priority="16">
      <colorScale>
        <cfvo type="num" val="0.2"/>
        <cfvo type="num" val="0.35"/>
        <color rgb="FFFFEF9C"/>
        <color rgb="FF63BE7B"/>
      </colorScale>
    </cfRule>
  </conditionalFormatting>
  <conditionalFormatting sqref="C8:AF8">
    <cfRule type="colorScale" priority="1">
      <colorScale>
        <cfvo type="min"/>
        <cfvo type="num" val="0.1"/>
        <color rgb="FFFFEF9C"/>
        <color rgb="FF63BE7B"/>
      </colorScale>
    </cfRule>
    <cfRule type="colorScale" priority="2">
      <colorScale>
        <cfvo type="min"/>
        <cfvo type="percentile" val="50"/>
        <cfvo type="max"/>
        <color rgb="FFF8696B"/>
        <color rgb="FFFFEB84"/>
        <color rgb="FF63BE7B"/>
      </colorScale>
    </cfRule>
  </conditionalFormatting>
  <conditionalFormatting sqref="AA15:AF15 Z14 T14 U15:Y15 N14 O15:S15 H14 I15:M15 C15:G15">
    <cfRule type="colorScale" priority="10">
      <colorScale>
        <cfvo type="min"/>
        <cfvo type="num" val="10"/>
        <color rgb="FFFFEF9C"/>
        <color rgb="FF63BE7B"/>
      </colorScale>
    </cfRule>
  </conditionalFormatting>
  <pageMargins left="0.7" right="0.7" top="0.75" bottom="0.75" header="0.3" footer="0.3"/>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A9C2-145A-4F9C-B2E5-6AC0708AB636}">
  <dimension ref="A1:F16"/>
  <sheetViews>
    <sheetView workbookViewId="0">
      <selection activeCell="F7" sqref="F7"/>
    </sheetView>
  </sheetViews>
  <sheetFormatPr defaultRowHeight="14.4" x14ac:dyDescent="0.3"/>
  <cols>
    <col min="1" max="1" width="19.44140625" style="2" bestFit="1" customWidth="1"/>
    <col min="2" max="6" width="13.77734375" style="2" customWidth="1"/>
    <col min="7" max="16384" width="8.88671875" style="2"/>
  </cols>
  <sheetData>
    <row r="1" spans="1:6" ht="46.2" x14ac:dyDescent="0.3">
      <c r="A1" s="167" t="s">
        <v>454</v>
      </c>
    </row>
    <row r="2" spans="1:6" ht="39" customHeight="1" x14ac:dyDescent="0.3">
      <c r="A2" s="171" t="s">
        <v>442</v>
      </c>
      <c r="B2" s="25" t="e" vm="1">
        <v>#VALUE!</v>
      </c>
      <c r="C2" s="25" t="e" vm="2">
        <v>#VALUE!</v>
      </c>
      <c r="D2" s="25" t="e" vm="3">
        <v>#VALUE!</v>
      </c>
      <c r="E2" s="25" t="e" vm="5">
        <v>#VALUE!</v>
      </c>
      <c r="F2" s="25" t="e" vm="4">
        <v>#VALUE!</v>
      </c>
    </row>
    <row r="3" spans="1:6" x14ac:dyDescent="0.3">
      <c r="A3" s="11" t="s">
        <v>443</v>
      </c>
      <c r="B3" s="20">
        <v>7.3649999999999993E-2</v>
      </c>
      <c r="C3" s="20">
        <v>7.3649999999999993E-2</v>
      </c>
      <c r="D3" s="20">
        <v>7.3649999999999993E-2</v>
      </c>
      <c r="E3" s="20">
        <v>7.3649999999999993E-2</v>
      </c>
      <c r="F3" s="20">
        <v>7.3649999999999993E-2</v>
      </c>
    </row>
    <row r="4" spans="1:6" x14ac:dyDescent="0.3">
      <c r="A4" s="11" t="s">
        <v>444</v>
      </c>
      <c r="B4" s="20">
        <v>7.2599999999999998E-2</v>
      </c>
      <c r="C4" s="20">
        <v>7.2599999999999998E-2</v>
      </c>
      <c r="D4" s="20">
        <v>7.2599999999999998E-2</v>
      </c>
      <c r="E4" s="20">
        <v>7.2599999999999998E-2</v>
      </c>
      <c r="F4" s="20">
        <v>7.2599999999999998E-2</v>
      </c>
    </row>
    <row r="5" spans="1:6" x14ac:dyDescent="0.3">
      <c r="A5" s="11" t="s">
        <v>246</v>
      </c>
      <c r="B5" s="168">
        <f ca="1">'Company Basic info'!C16</f>
        <v>1.0960000000000001</v>
      </c>
      <c r="C5" s="168">
        <f ca="1">'Company Basic info'!D16</f>
        <v>1.9085000000000001</v>
      </c>
      <c r="D5" s="168">
        <f ca="1">'Company Basic info'!E16</f>
        <v>1.2892999999999999</v>
      </c>
      <c r="E5" s="168">
        <f ca="1">'Company Basic info'!G16</f>
        <v>1.5609</v>
      </c>
      <c r="F5" s="168">
        <f ca="1">'Company Basic info'!F16</f>
        <v>1.4937</v>
      </c>
    </row>
    <row r="6" spans="1:6" x14ac:dyDescent="0.3">
      <c r="A6" s="12" t="s">
        <v>445</v>
      </c>
      <c r="B6" s="186">
        <f ca="1">B3+(B4*B5)</f>
        <v>0.15321960000000001</v>
      </c>
      <c r="C6" s="186">
        <f t="shared" ref="C6:F6" ca="1" si="0">C3+(C4*C5)</f>
        <v>0.21220709999999998</v>
      </c>
      <c r="D6" s="186">
        <f t="shared" ca="1" si="0"/>
        <v>0.16725318</v>
      </c>
      <c r="E6" s="186">
        <f t="shared" ca="1" si="0"/>
        <v>0.18697133999999999</v>
      </c>
      <c r="F6" s="186">
        <f t="shared" ca="1" si="0"/>
        <v>0.18209261999999998</v>
      </c>
    </row>
    <row r="7" spans="1:6" x14ac:dyDescent="0.3">
      <c r="A7" s="11" t="s">
        <v>446</v>
      </c>
      <c r="B7" s="20">
        <f>AVERAGE('Income Statement'!B14:F14)/(AVERAGE('Balance Sheet '!B41:F41)+AVERAGE('Balance Sheet '!B43:F43)+AVERAGE('Balance Sheet '!B52:F52))</f>
        <v>0.20254649019936335</v>
      </c>
      <c r="C7" s="20">
        <v>0</v>
      </c>
      <c r="D7" s="20">
        <f>AVERAGE('Income Statement'!W11:AA11)/(AVERAGE('Balance Sheet '!P33:T33)+AVERAGE('Balance Sheet '!P39)+AVERAGE('Balance Sheet '!P43:T43))</f>
        <v>0.45883342680874933</v>
      </c>
      <c r="E7" s="20">
        <f>AVERAGE('Income Statement'!P13:T13)/(AVERAGE('Balance Sheet '!AG32:AI32)+AVERAGE('Balance Sheet '!AH40:AI40)+AVERAGE('Balance Sheet '!AG41:AI41))</f>
        <v>2.4080558290441735E-2</v>
      </c>
      <c r="F7" s="20">
        <f>AVERAGE('Income Statement'!AD12:AI12)/(AVERAGE('Balance Sheet '!Y45:AB45)+AVERAGE('Balance Sheet '!Y56:AB56)+AVERAGE('Balance Sheet '!W52:X52))</f>
        <v>4.3202520537851861E-2</v>
      </c>
    </row>
    <row r="8" spans="1:6" x14ac:dyDescent="0.3">
      <c r="A8" s="11" t="s">
        <v>447</v>
      </c>
      <c r="B8" s="169">
        <v>0.25</v>
      </c>
      <c r="C8" s="169">
        <v>0.25</v>
      </c>
      <c r="D8" s="169">
        <v>0.25</v>
      </c>
      <c r="E8" s="169">
        <v>0.25</v>
      </c>
      <c r="F8" s="169">
        <v>0.25</v>
      </c>
    </row>
    <row r="9" spans="1:6" x14ac:dyDescent="0.3">
      <c r="A9" s="12" t="s">
        <v>448</v>
      </c>
      <c r="B9" s="187">
        <f>B7*(1-B8)</f>
        <v>0.15190986764952252</v>
      </c>
      <c r="C9" s="187">
        <f t="shared" ref="C9:F9" si="1">C7*(1-C8)</f>
        <v>0</v>
      </c>
      <c r="D9" s="187">
        <f t="shared" si="1"/>
        <v>0.34412507010656201</v>
      </c>
      <c r="E9" s="187">
        <f t="shared" si="1"/>
        <v>1.8060418717831303E-2</v>
      </c>
      <c r="F9" s="187">
        <f t="shared" si="1"/>
        <v>3.2401890403388894E-2</v>
      </c>
    </row>
    <row r="10" spans="1:6" x14ac:dyDescent="0.3">
      <c r="A10" s="11" t="s">
        <v>449</v>
      </c>
      <c r="B10" s="42">
        <f ca="1">'Company Basic info'!C10</f>
        <v>302807.59999999998</v>
      </c>
      <c r="C10" s="42">
        <f ca="1">'Company Basic info'!D10</f>
        <v>107714.6</v>
      </c>
      <c r="D10" s="42">
        <f ca="1">'Company Basic info'!E10</f>
        <v>53067.25</v>
      </c>
      <c r="E10" s="42">
        <f ca="1">'Company Basic info'!G10</f>
        <v>29486.83</v>
      </c>
      <c r="F10" s="42">
        <f ca="1">'Company Basic info'!F10</f>
        <v>309415.5</v>
      </c>
    </row>
    <row r="11" spans="1:6" x14ac:dyDescent="0.3">
      <c r="A11" s="11" t="s">
        <v>450</v>
      </c>
      <c r="B11" s="170">
        <f>('Balance Sheet '!F43+'Balance Sheet '!F52)</f>
        <v>62.51</v>
      </c>
      <c r="C11" s="170">
        <f>0</f>
        <v>0</v>
      </c>
      <c r="D11" s="170">
        <f>'Balance Sheet '!T33+'Balance Sheet '!T43</f>
        <v>3.7411000000000003</v>
      </c>
      <c r="E11" s="170">
        <f>'Balance Sheet '!AI32+'Balance Sheet '!AI40+'Balance Sheet '!AI41</f>
        <v>65.670599999999993</v>
      </c>
      <c r="F11" s="170">
        <f>'Balance Sheet '!AB45+'Balance Sheet '!AB56</f>
        <v>1.1599999999999999</v>
      </c>
    </row>
    <row r="12" spans="1:6" x14ac:dyDescent="0.3">
      <c r="A12" s="11" t="s">
        <v>451</v>
      </c>
      <c r="B12" s="170">
        <f ca="1">B10+B11</f>
        <v>302870.11</v>
      </c>
      <c r="C12" s="170">
        <f t="shared" ref="C12:F12" ca="1" si="2">C10+C11</f>
        <v>107714.6</v>
      </c>
      <c r="D12" s="170">
        <f t="shared" ca="1" si="2"/>
        <v>53070.991099999999</v>
      </c>
      <c r="E12" s="170">
        <f t="shared" ca="1" si="2"/>
        <v>29552.500600000003</v>
      </c>
      <c r="F12" s="170">
        <f t="shared" ca="1" si="2"/>
        <v>309416.65999999997</v>
      </c>
    </row>
    <row r="13" spans="1:6" x14ac:dyDescent="0.3">
      <c r="A13" s="11" t="s">
        <v>452</v>
      </c>
      <c r="B13" s="164">
        <f ca="1">B10/B12</f>
        <v>0.99979360789349592</v>
      </c>
      <c r="C13" s="20">
        <f t="shared" ref="C13:F13" ca="1" si="3">C10/C12</f>
        <v>1</v>
      </c>
      <c r="D13" s="20">
        <f t="shared" ca="1" si="3"/>
        <v>0.99992950762888622</v>
      </c>
      <c r="E13" s="20">
        <f t="shared" ca="1" si="3"/>
        <v>0.99777783271578713</v>
      </c>
      <c r="F13" s="165">
        <f t="shared" ca="1" si="3"/>
        <v>0.99999625100988432</v>
      </c>
    </row>
    <row r="14" spans="1:6" x14ac:dyDescent="0.3">
      <c r="A14" s="11" t="s">
        <v>453</v>
      </c>
      <c r="B14" s="164">
        <f ca="1">(1-B13)</f>
        <v>2.0639210650408302E-4</v>
      </c>
      <c r="C14" s="20">
        <f t="shared" ref="C14:F14" ca="1" si="4">(1-C13)</f>
        <v>0</v>
      </c>
      <c r="D14" s="20">
        <f t="shared" ca="1" si="4"/>
        <v>7.0492371113783925E-5</v>
      </c>
      <c r="E14" s="20">
        <f t="shared" ca="1" si="4"/>
        <v>2.2221672842128726E-3</v>
      </c>
      <c r="F14" s="165">
        <f t="shared" ca="1" si="4"/>
        <v>3.7489901156817496E-6</v>
      </c>
    </row>
    <row r="15" spans="1:6" x14ac:dyDescent="0.3">
      <c r="A15" s="12" t="s">
        <v>441</v>
      </c>
      <c r="B15" s="187">
        <f ca="1">(B13*B6)+(B9*B14)</f>
        <v>0.15321932968158125</v>
      </c>
      <c r="C15" s="187">
        <f t="shared" ref="C15:F15" ca="1" si="5">(C13*C6)+(C9*C14)</f>
        <v>0.21220709999999998</v>
      </c>
      <c r="D15" s="187">
        <f t="shared" ca="1" si="5"/>
        <v>0.167265648118917</v>
      </c>
      <c r="E15" s="187">
        <f t="shared" ca="1" si="5"/>
        <v>0.18659599167678051</v>
      </c>
      <c r="F15" s="187">
        <f t="shared" ca="1" si="5"/>
        <v>0.18209205881093432</v>
      </c>
    </row>
    <row r="16" spans="1:6" x14ac:dyDescent="0.3">
      <c r="A16" s="12" t="s">
        <v>455</v>
      </c>
      <c r="B16" s="188">
        <v>5.5E-2</v>
      </c>
      <c r="C16" s="188">
        <v>5.5E-2</v>
      </c>
      <c r="D16" s="188">
        <v>5.5E-2</v>
      </c>
      <c r="E16" s="188">
        <v>5.5E-2</v>
      </c>
      <c r="F16" s="188">
        <v>5.5E-2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2AED2-C0AF-478D-908D-AC0E157CF622}">
  <dimension ref="A1:BC32"/>
  <sheetViews>
    <sheetView topLeftCell="A2" workbookViewId="0">
      <selection activeCell="E23" sqref="E23"/>
    </sheetView>
  </sheetViews>
  <sheetFormatPr defaultRowHeight="14.4" x14ac:dyDescent="0.3"/>
  <cols>
    <col min="1" max="1" width="25.6640625" style="2" bestFit="1" customWidth="1"/>
    <col min="2" max="2" width="11.109375" style="10" customWidth="1"/>
    <col min="3" max="3" width="11.109375" style="212" customWidth="1"/>
    <col min="4" max="4" width="9.88671875" style="10" bestFit="1" customWidth="1"/>
    <col min="5" max="5" width="11" style="10" bestFit="1" customWidth="1"/>
    <col min="6" max="6" width="9.88671875" style="10" bestFit="1" customWidth="1"/>
    <col min="7" max="7" width="9.88671875" style="212" bestFit="1" customWidth="1"/>
    <col min="8" max="9" width="9.88671875" style="10" bestFit="1" customWidth="1"/>
    <col min="10" max="10" width="8.88671875" style="10"/>
    <col min="11" max="11" width="25.6640625" style="3" bestFit="1" customWidth="1"/>
    <col min="12" max="12" width="9.88671875" style="10" bestFit="1" customWidth="1"/>
    <col min="13" max="13" width="9.109375" style="10" customWidth="1"/>
    <col min="14" max="19" width="9.88671875" style="10" bestFit="1" customWidth="1"/>
    <col min="20" max="20" width="8.88671875" style="10"/>
    <col min="21" max="21" width="25.6640625" style="3" bestFit="1" customWidth="1"/>
    <col min="22" max="22" width="8.88671875" style="10"/>
    <col min="23" max="23" width="9.109375" style="10" customWidth="1"/>
    <col min="24" max="26" width="8.88671875" style="10"/>
    <col min="27" max="29" width="9.6640625" style="10" bestFit="1" customWidth="1"/>
    <col min="30" max="30" width="8.88671875" style="10"/>
    <col min="31" max="31" width="25.6640625" style="10" bestFit="1" customWidth="1"/>
    <col min="32" max="32" width="8.88671875" style="10"/>
    <col min="33" max="33" width="9.109375" style="10" customWidth="1"/>
    <col min="34" max="38" width="8.88671875" style="10"/>
    <col min="39" max="39" width="9.88671875" style="10" bestFit="1" customWidth="1"/>
    <col min="40" max="40" width="8.88671875" style="10"/>
    <col min="41" max="41" width="25.6640625" style="3" bestFit="1" customWidth="1"/>
    <col min="42" max="42" width="10.6640625" style="10" bestFit="1" customWidth="1"/>
    <col min="43" max="43" width="9.5546875" style="10" customWidth="1"/>
    <col min="44" max="48" width="10.6640625" style="10" bestFit="1" customWidth="1"/>
    <col min="49" max="55" width="8.88671875" style="10"/>
    <col min="56" max="16384" width="8.88671875" style="2"/>
  </cols>
  <sheetData>
    <row r="1" spans="1:55" ht="48.6" customHeight="1" x14ac:dyDescent="0.3">
      <c r="A1" s="166" t="s">
        <v>466</v>
      </c>
      <c r="B1" s="40"/>
      <c r="C1" s="40"/>
      <c r="D1" s="40"/>
      <c r="E1" s="40"/>
      <c r="G1" s="10"/>
    </row>
    <row r="2" spans="1:55" ht="34.200000000000003" customHeight="1" x14ac:dyDescent="0.3">
      <c r="A2" s="26"/>
      <c r="B2" s="40"/>
      <c r="C2" s="40"/>
      <c r="D2" s="40"/>
      <c r="E2" s="40"/>
      <c r="G2" s="10"/>
      <c r="H2" s="229" t="e" vm="1">
        <v>#VALUE!</v>
      </c>
      <c r="I2" s="229"/>
      <c r="R2" s="229" t="e" vm="2">
        <v>#VALUE!</v>
      </c>
      <c r="S2" s="229"/>
      <c r="AB2" s="229" t="e" vm="3">
        <v>#VALUE!</v>
      </c>
      <c r="AC2" s="229"/>
      <c r="AL2" s="229" t="e" vm="5">
        <v>#VALUE!</v>
      </c>
      <c r="AM2" s="229"/>
      <c r="AU2" s="229" t="e" vm="4">
        <v>#VALUE!</v>
      </c>
      <c r="AV2" s="229"/>
    </row>
    <row r="3" spans="1:55" x14ac:dyDescent="0.3">
      <c r="A3" s="26" t="s">
        <v>456</v>
      </c>
      <c r="B3" s="40" t="s">
        <v>247</v>
      </c>
      <c r="C3" s="40" t="s">
        <v>457</v>
      </c>
      <c r="D3" s="40" t="s">
        <v>248</v>
      </c>
      <c r="E3" s="40" t="s">
        <v>467</v>
      </c>
      <c r="F3" s="40" t="s">
        <v>468</v>
      </c>
      <c r="G3" s="40" t="s">
        <v>469</v>
      </c>
      <c r="H3" s="40" t="s">
        <v>470</v>
      </c>
      <c r="I3" s="40" t="s">
        <v>471</v>
      </c>
      <c r="K3" s="3" t="s">
        <v>456</v>
      </c>
      <c r="L3" s="10" t="s">
        <v>247</v>
      </c>
      <c r="M3" s="10" t="s">
        <v>457</v>
      </c>
      <c r="N3" s="10" t="s">
        <v>248</v>
      </c>
      <c r="O3" s="10" t="s">
        <v>467</v>
      </c>
      <c r="P3" s="10" t="s">
        <v>468</v>
      </c>
      <c r="Q3" s="10" t="s">
        <v>469</v>
      </c>
      <c r="R3" s="10" t="s">
        <v>470</v>
      </c>
      <c r="S3" s="10" t="s">
        <v>471</v>
      </c>
      <c r="U3" s="3" t="s">
        <v>456</v>
      </c>
      <c r="V3" s="10" t="s">
        <v>247</v>
      </c>
      <c r="W3" s="10" t="s">
        <v>457</v>
      </c>
      <c r="X3" s="10" t="s">
        <v>248</v>
      </c>
      <c r="Y3" s="10" t="s">
        <v>467</v>
      </c>
      <c r="Z3" s="10" t="s">
        <v>468</v>
      </c>
      <c r="AA3" s="10" t="s">
        <v>469</v>
      </c>
      <c r="AB3" s="10" t="s">
        <v>470</v>
      </c>
      <c r="AC3" s="10" t="s">
        <v>471</v>
      </c>
      <c r="AE3" s="3" t="s">
        <v>456</v>
      </c>
      <c r="AF3" s="10" t="s">
        <v>247</v>
      </c>
      <c r="AG3" s="10" t="s">
        <v>457</v>
      </c>
      <c r="AH3" s="10" t="s">
        <v>248</v>
      </c>
      <c r="AI3" s="10" t="s">
        <v>467</v>
      </c>
      <c r="AJ3" s="10" t="s">
        <v>468</v>
      </c>
      <c r="AK3" s="10" t="s">
        <v>469</v>
      </c>
      <c r="AL3" s="10" t="s">
        <v>470</v>
      </c>
      <c r="AM3" s="10" t="s">
        <v>471</v>
      </c>
      <c r="AO3" s="3" t="s">
        <v>456</v>
      </c>
      <c r="AP3" s="10" t="s">
        <v>248</v>
      </c>
      <c r="AQ3" s="10" t="s">
        <v>476</v>
      </c>
      <c r="AR3" s="10" t="s">
        <v>467</v>
      </c>
      <c r="AS3" s="10" t="s">
        <v>468</v>
      </c>
      <c r="AT3" s="10" t="s">
        <v>469</v>
      </c>
      <c r="AU3" s="10" t="s">
        <v>470</v>
      </c>
      <c r="AV3" s="10" t="s">
        <v>471</v>
      </c>
    </row>
    <row r="4" spans="1:55" x14ac:dyDescent="0.3">
      <c r="A4" s="11" t="s">
        <v>458</v>
      </c>
      <c r="B4" s="142">
        <f>'Income Statement'!B9</f>
        <v>10604.6</v>
      </c>
      <c r="C4" s="139">
        <f>('Income Statement'!B9/'Income Statement'!F9)^(1/5)-1</f>
        <v>0.13885992722292295</v>
      </c>
      <c r="D4" s="173">
        <f>Table22[[#This Row],[2024]]*(1+C4)</f>
        <v>12077.153984228209</v>
      </c>
      <c r="E4" s="173">
        <f>Table22[[#This Row],[2025]]*(1+$C$4)</f>
        <v>13754.186707538172</v>
      </c>
      <c r="F4" s="173">
        <f>Table22[[#This Row],[2026]]*(1+$C$4)</f>
        <v>15664.092072757418</v>
      </c>
      <c r="G4" s="173">
        <f>Table22[[#This Row],[2027]]*(1+$C$4)</f>
        <v>17839.206757993677</v>
      </c>
      <c r="H4" s="173">
        <f>Table22[[#This Row],[2028]]*(1+$C$4)</f>
        <v>20316.357710123353</v>
      </c>
      <c r="I4" s="173">
        <f>Table22[[#This Row],[2029]]*(1+$C$4)</f>
        <v>23137.485663185951</v>
      </c>
      <c r="K4" s="27" t="s">
        <v>458</v>
      </c>
      <c r="L4" s="142">
        <f>'Income Statement'!I9</f>
        <v>20925.23</v>
      </c>
      <c r="M4" s="139">
        <f>('Income Statement'!I9/'Income Statement'!M9)^(1/5)-1</f>
        <v>9.8748776623165169E-2</v>
      </c>
      <c r="N4" s="173">
        <f>Table23[[#This Row],[2024]]*(1+M4)</f>
        <v>22991.570863058354</v>
      </c>
      <c r="O4" s="173">
        <f>Table23[[#This Row],[2025]]*(1+$M$4)</f>
        <v>25261.960358430177</v>
      </c>
      <c r="P4" s="173">
        <f>Table23[[#This Row],[2026]]*(1+$M$4)</f>
        <v>27756.548038928053</v>
      </c>
      <c r="Q4" s="173">
        <f>Table23[[#This Row],[2027]]*(1+$M$4)</f>
        <v>30497.473201054312</v>
      </c>
      <c r="R4" s="173">
        <f>Table23[[#This Row],[2028]]*(1+$M$4)</f>
        <v>33509.061369756193</v>
      </c>
      <c r="S4" s="173">
        <f>Table23[[#This Row],[2029]]*(1+$M$4)</f>
        <v>36818.040185810183</v>
      </c>
      <c r="U4" s="27" t="s">
        <v>458</v>
      </c>
      <c r="V4" s="142">
        <f>'Income Statement'!AA6</f>
        <v>2731.1043999999997</v>
      </c>
      <c r="W4" s="139">
        <f>('Income Statement'!AA6/'Income Statement'!X6)^(1/4)-1</f>
        <v>7.9874973917296588E-2</v>
      </c>
      <c r="X4" s="173">
        <f>Table24[[#This Row],[2024]]*(1+W4)</f>
        <v>2949.2512927154135</v>
      </c>
      <c r="Y4" s="173">
        <f>Table24[[#This Row],[2025]]*(1+$W$4)</f>
        <v>3184.8226627966105</v>
      </c>
      <c r="Z4" s="173">
        <f>Table24[[#This Row],[2026]]*(1+$W$4)</f>
        <v>3439.2102899187048</v>
      </c>
      <c r="AA4" s="173">
        <f>Table24[[#This Row],[2027]]*(1+$W$4)</f>
        <v>3713.9171221220595</v>
      </c>
      <c r="AB4" s="173">
        <f>Table24[[#This Row],[2028]]*(1+$W$4)</f>
        <v>4010.5661553825603</v>
      </c>
      <c r="AC4" s="173">
        <f>Table24[[#This Row],[2029]]*(1+$W$4)</f>
        <v>4330.9100224373351</v>
      </c>
      <c r="AE4" s="183" t="s">
        <v>458</v>
      </c>
      <c r="AF4" s="142">
        <f>'Income Statement'!T6</f>
        <v>3892.2642000000001</v>
      </c>
      <c r="AG4" s="139">
        <f>('Income Statement'!T6/'Income Statement'!P6)^(1/5)-1</f>
        <v>0.18599247786025508</v>
      </c>
      <c r="AH4" s="142">
        <f>Table25[[#This Row],[2024]]*(1+$AG$4)</f>
        <v>4616.1960630447638</v>
      </c>
      <c r="AI4" s="142">
        <f>Table25[[#This Row],[2025]]*(1+$AG$4)</f>
        <v>5474.7738070992136</v>
      </c>
      <c r="AJ4" s="142">
        <f>Table25[[#This Row],[2026]]*(1+$AG$4)</f>
        <v>6493.0405532060186</v>
      </c>
      <c r="AK4" s="142">
        <f>Table25[[#This Row],[2027]]*(1+$AG$4)</f>
        <v>7700.6972545439276</v>
      </c>
      <c r="AL4" s="142">
        <f>Table25[[#This Row],[2028]]*(1+$AG$4)</f>
        <v>9132.9690181682163</v>
      </c>
      <c r="AM4" s="142">
        <f>Table25[[#This Row],[2029]]*(1+$AG$4)</f>
        <v>10831.632556078264</v>
      </c>
      <c r="AO4" s="27" t="s">
        <v>458</v>
      </c>
      <c r="AP4" s="173">
        <f>'Income Statement'!AI6</f>
        <v>33542.639999999999</v>
      </c>
      <c r="AQ4" s="139">
        <f>('Income Statement'!AI6/'Income Statement'!AD6)^(1/6)-1</f>
        <v>7.4939092308204502E-2</v>
      </c>
      <c r="AR4" s="173">
        <f>Table26[[#This Row],[2025]]*(1+AQ4)</f>
        <v>36056.294995220873</v>
      </c>
      <c r="AS4" s="173">
        <f>Table26[[#This Row],[2026]]*(1+$AQ$4)</f>
        <v>38758.321014159585</v>
      </c>
      <c r="AT4" s="173">
        <f>Table26[[#This Row],[2027]]*(1+$AQ$4)</f>
        <v>41662.834410350712</v>
      </c>
      <c r="AU4" s="173">
        <f>Table26[[#This Row],[2028]]*(1+$AQ$4)</f>
        <v>44785.009404049422</v>
      </c>
      <c r="AV4" s="173">
        <f>Table26[[#This Row],[2029]]*(1+$AQ$4)</f>
        <v>48141.157357803291</v>
      </c>
    </row>
    <row r="5" spans="1:55" x14ac:dyDescent="0.3">
      <c r="A5" s="11" t="s">
        <v>459</v>
      </c>
      <c r="B5" s="142">
        <f>'Income Statement'!B20+'Income Statement'!B14</f>
        <v>2466.5</v>
      </c>
      <c r="C5" s="139">
        <f>('Income Statement'!B37/'Income Statement'!F37)^(1/5)-1</f>
        <v>0.26649297533111582</v>
      </c>
      <c r="D5" s="173">
        <f>Table22[[#This Row],[2024]]*(1+C5)</f>
        <v>3123.804923654197</v>
      </c>
      <c r="E5" s="173">
        <f>Table22[[#This Row],[2025]]*(1+$C$5)</f>
        <v>3956.2769921127929</v>
      </c>
      <c r="F5" s="173">
        <f>Table22[[#This Row],[2026]]*(1+$C$5)</f>
        <v>5010.5970189749687</v>
      </c>
      <c r="G5" s="173">
        <f>Table22[[#This Row],[2027]]*(1+$C$5)</f>
        <v>6345.8859267468279</v>
      </c>
      <c r="H5" s="173">
        <f>Table22[[#This Row],[2028]]*(1+$C$5)</f>
        <v>8037.0199484774457</v>
      </c>
      <c r="I5" s="173">
        <f>Table22[[#This Row],[2029]]*(1+$C$5)</f>
        <v>10178.829307342732</v>
      </c>
      <c r="K5" s="27" t="s">
        <v>459</v>
      </c>
      <c r="L5" s="142">
        <f>'Income Statement'!I36</f>
        <v>5341.5800000000008</v>
      </c>
      <c r="M5" s="139">
        <f>('Income Statement'!I36/'Income Statement'!M36)^(1/5)-1</f>
        <v>0.16566455809646174</v>
      </c>
      <c r="N5" s="173">
        <f>Table23[[#This Row],[2024]]*(1+M5)</f>
        <v>6226.4904902368989</v>
      </c>
      <c r="O5" s="173">
        <f>Table23[[#This Row],[2025]]*(1+$M$5)</f>
        <v>7257.9992857938159</v>
      </c>
      <c r="P5" s="173">
        <f>Table23[[#This Row],[2026]]*(1+$M$5)</f>
        <v>8460.3925301392828</v>
      </c>
      <c r="Q5" s="173">
        <f>Table23[[#This Row],[2027]]*(1+$M$5)</f>
        <v>9861.9797199674122</v>
      </c>
      <c r="R5" s="173">
        <f>Table23[[#This Row],[2028]]*(1+$M$5)</f>
        <v>11495.760232232082</v>
      </c>
      <c r="S5" s="173">
        <f>Table23[[#This Row],[2029]]*(1+$M$5)</f>
        <v>13400.200271087688</v>
      </c>
      <c r="U5" s="27" t="s">
        <v>459</v>
      </c>
      <c r="V5" s="142">
        <f>'Income Statement'!AA24</f>
        <v>831.34059999999954</v>
      </c>
      <c r="W5" s="139">
        <f>('Income Statement'!AA24/'Income Statement'!X24)^(1/4)-1</f>
        <v>0.2461056184992334</v>
      </c>
      <c r="X5" s="173">
        <f>Table24[[#This Row],[2024]]*(1+W5)</f>
        <v>1035.9381925465232</v>
      </c>
      <c r="Y5" s="173">
        <f>Table24[[#This Row],[2025]]*(1+$W$5)</f>
        <v>1290.8884021501633</v>
      </c>
      <c r="Z5" s="173">
        <f>Table24[[#This Row],[2026]]*(1+$W$5)</f>
        <v>1608.5832907748163</v>
      </c>
      <c r="AA5" s="173">
        <f>Table24[[#This Row],[2027]]*(1+$W$5)</f>
        <v>2004.4646764584847</v>
      </c>
      <c r="AB5" s="173">
        <f>Table24[[#This Row],[2028]]*(1+$W$5)</f>
        <v>2497.7746954181657</v>
      </c>
      <c r="AC5" s="173">
        <f>Table24[[#This Row],[2029]]*(1+$W$5)</f>
        <v>3112.4910817057876</v>
      </c>
      <c r="AE5" s="183" t="s">
        <v>459</v>
      </c>
      <c r="AF5" s="173">
        <f>'Income Statement'!T27</f>
        <v>492.41010000000006</v>
      </c>
      <c r="AG5" s="139">
        <f>('Income Statement'!T27/'Income Statement'!P27)^(1/5)-1</f>
        <v>0.15864827871860854</v>
      </c>
      <c r="AH5" s="173">
        <f>Table25[[#This Row],[2024]]*(1+$AG$5)</f>
        <v>570.53011478865801</v>
      </c>
      <c r="AI5" s="173">
        <f>Table25[[#This Row],[2025]]*(1+$AG$5)</f>
        <v>661.04373545700878</v>
      </c>
      <c r="AJ5" s="173">
        <f>Table25[[#This Row],[2026]]*(1+$AG$5)</f>
        <v>765.91718624498242</v>
      </c>
      <c r="AK5" s="173">
        <f>Table25[[#This Row],[2027]]*(1+$AG$5)</f>
        <v>887.42862948374875</v>
      </c>
      <c r="AL5" s="173">
        <f>Table25[[#This Row],[2028]]*(1+$AG$5)</f>
        <v>1028.2176540369594</v>
      </c>
      <c r="AM5" s="173">
        <f>Table25[[#This Row],[2029]]*(1+$AG$5)</f>
        <v>1191.3426149980087</v>
      </c>
      <c r="AO5" s="27" t="s">
        <v>459</v>
      </c>
      <c r="AP5" s="173">
        <f>'Income Statement'!AI37</f>
        <v>10829.390000000003</v>
      </c>
      <c r="AQ5" s="139">
        <f>('Income Statement'!AI37/'Income Statement'!AD37)^(1/6)-1</f>
        <v>0.17095209714156101</v>
      </c>
      <c r="AR5" s="173">
        <f>Table26[[#This Row],[2025]]*(1+AQ5)</f>
        <v>12680.696931263852</v>
      </c>
      <c r="AS5" s="173">
        <f>Table26[[#This Row],[2026]]*(1+$AQ$5)</f>
        <v>14848.488664879964</v>
      </c>
      <c r="AT5" s="173">
        <f>Table26[[#This Row],[2027]]*(1+$AQ$5)</f>
        <v>17386.868941523891</v>
      </c>
      <c r="AU5" s="173">
        <f>Table26[[#This Row],[2028]]*(1+$AQ$5)</f>
        <v>20359.190649802873</v>
      </c>
      <c r="AV5" s="173">
        <f>Table26[[#This Row],[2029]]*(1+$AQ$5)</f>
        <v>23839.636987491533</v>
      </c>
    </row>
    <row r="6" spans="1:55" x14ac:dyDescent="0.3">
      <c r="A6" s="11" t="s">
        <v>460</v>
      </c>
      <c r="B6" s="142">
        <f>B5*Table22[[#This Row],[Growth]]</f>
        <v>616.625</v>
      </c>
      <c r="C6" s="139">
        <v>0.25</v>
      </c>
      <c r="D6" s="173">
        <f>D5*$C$6</f>
        <v>780.95123091354924</v>
      </c>
      <c r="E6" s="173">
        <f t="shared" ref="E6:I6" si="0">E5*$C$6</f>
        <v>989.06924802819822</v>
      </c>
      <c r="F6" s="173">
        <f t="shared" si="0"/>
        <v>1252.6492547437422</v>
      </c>
      <c r="G6" s="173">
        <f t="shared" si="0"/>
        <v>1586.471481686707</v>
      </c>
      <c r="H6" s="173">
        <f t="shared" si="0"/>
        <v>2009.2549871193614</v>
      </c>
      <c r="I6" s="173">
        <f t="shared" si="0"/>
        <v>2544.707326835683</v>
      </c>
      <c r="K6" s="27" t="s">
        <v>460</v>
      </c>
      <c r="L6" s="142">
        <f>L5*Table23[[#This Row],[Growth]]</f>
        <v>1335.3950000000002</v>
      </c>
      <c r="M6" s="139">
        <v>0.25</v>
      </c>
      <c r="N6" s="173">
        <f>N5*$M$6</f>
        <v>1556.6226225592247</v>
      </c>
      <c r="O6" s="173">
        <f t="shared" ref="O6:S6" si="1">O5*$M$6</f>
        <v>1814.499821448454</v>
      </c>
      <c r="P6" s="173">
        <f t="shared" si="1"/>
        <v>2115.0981325348207</v>
      </c>
      <c r="Q6" s="173">
        <f t="shared" si="1"/>
        <v>2465.494929991853</v>
      </c>
      <c r="R6" s="173">
        <f t="shared" si="1"/>
        <v>2873.9400580580204</v>
      </c>
      <c r="S6" s="173">
        <f t="shared" si="1"/>
        <v>3350.0500677719219</v>
      </c>
      <c r="U6" s="27" t="s">
        <v>460</v>
      </c>
      <c r="V6" s="142">
        <f>V5*$W$6</f>
        <v>207.83514999999989</v>
      </c>
      <c r="W6" s="139">
        <v>0.25</v>
      </c>
      <c r="X6" s="173">
        <f>X5*$W$6</f>
        <v>258.98454813663079</v>
      </c>
      <c r="Y6" s="173">
        <f t="shared" ref="Y6:AC6" si="2">Y5*$W$6</f>
        <v>322.72210053754083</v>
      </c>
      <c r="Z6" s="173">
        <f t="shared" si="2"/>
        <v>402.14582269370408</v>
      </c>
      <c r="AA6" s="173">
        <f t="shared" si="2"/>
        <v>501.11616911462119</v>
      </c>
      <c r="AB6" s="173">
        <f t="shared" si="2"/>
        <v>624.44367385454143</v>
      </c>
      <c r="AC6" s="173">
        <f t="shared" si="2"/>
        <v>778.12277042644689</v>
      </c>
      <c r="AE6" s="183" t="s">
        <v>460</v>
      </c>
      <c r="AF6" s="173">
        <f>AF5*Table25[[#This Row],[Growth]]</f>
        <v>123.10252500000001</v>
      </c>
      <c r="AG6" s="139">
        <v>0.25</v>
      </c>
      <c r="AH6" s="173">
        <f>AH5*$AG$6</f>
        <v>142.6325286971645</v>
      </c>
      <c r="AI6" s="173">
        <f t="shared" ref="AI6:AM6" si="3">AI5*$AG$6</f>
        <v>165.26093386425219</v>
      </c>
      <c r="AJ6" s="173">
        <f t="shared" si="3"/>
        <v>191.4792965612456</v>
      </c>
      <c r="AK6" s="173">
        <f t="shared" si="3"/>
        <v>221.85715737093719</v>
      </c>
      <c r="AL6" s="173">
        <f t="shared" si="3"/>
        <v>257.05441350923985</v>
      </c>
      <c r="AM6" s="173">
        <f t="shared" si="3"/>
        <v>297.83565374950217</v>
      </c>
      <c r="AO6" s="27" t="s">
        <v>460</v>
      </c>
      <c r="AP6" s="173">
        <f>DCF!AP5*AQ6</f>
        <v>2707.3475000000008</v>
      </c>
      <c r="AQ6" s="139">
        <v>0.25</v>
      </c>
      <c r="AR6" s="173">
        <f>AR5*$AQ$6</f>
        <v>3170.174232815963</v>
      </c>
      <c r="AS6" s="173">
        <f t="shared" ref="AS6:AV6" si="4">AS5*$AQ$6</f>
        <v>3712.122166219991</v>
      </c>
      <c r="AT6" s="173">
        <f t="shared" si="4"/>
        <v>4346.7172353809729</v>
      </c>
      <c r="AU6" s="173">
        <f t="shared" si="4"/>
        <v>5089.7976624507182</v>
      </c>
      <c r="AV6" s="173">
        <f t="shared" si="4"/>
        <v>5959.9092468728832</v>
      </c>
    </row>
    <row r="7" spans="1:55" s="26" customFormat="1" x14ac:dyDescent="0.3">
      <c r="A7" s="12" t="s">
        <v>461</v>
      </c>
      <c r="B7" s="177">
        <f>B5-B6</f>
        <v>1849.875</v>
      </c>
      <c r="C7" s="182"/>
      <c r="D7" s="174">
        <f>D5-D6</f>
        <v>2342.8536927406476</v>
      </c>
      <c r="E7" s="174">
        <f t="shared" ref="E7:I7" si="5">E5-E6</f>
        <v>2967.2077440845947</v>
      </c>
      <c r="F7" s="174">
        <f t="shared" si="5"/>
        <v>3757.9477642312268</v>
      </c>
      <c r="G7" s="174">
        <f t="shared" si="5"/>
        <v>4759.4144450601207</v>
      </c>
      <c r="H7" s="174">
        <f t="shared" si="5"/>
        <v>6027.7649613580843</v>
      </c>
      <c r="I7" s="174">
        <f t="shared" si="5"/>
        <v>7634.1219805070486</v>
      </c>
      <c r="J7" s="40"/>
      <c r="K7" s="28" t="s">
        <v>461</v>
      </c>
      <c r="L7" s="177">
        <f>L5-L6</f>
        <v>4006.1850000000004</v>
      </c>
      <c r="M7" s="182"/>
      <c r="N7" s="174">
        <f>N5-N6</f>
        <v>4669.8678676776744</v>
      </c>
      <c r="O7" s="174">
        <f t="shared" ref="O7:S7" si="6">O5-O6</f>
        <v>5443.499464345362</v>
      </c>
      <c r="P7" s="174">
        <f t="shared" si="6"/>
        <v>6345.2943976044626</v>
      </c>
      <c r="Q7" s="174">
        <f t="shared" si="6"/>
        <v>7396.4847899755587</v>
      </c>
      <c r="R7" s="174">
        <f t="shared" si="6"/>
        <v>8621.8201741740613</v>
      </c>
      <c r="S7" s="174">
        <f t="shared" si="6"/>
        <v>10050.150203315767</v>
      </c>
      <c r="T7" s="40"/>
      <c r="U7" s="28" t="s">
        <v>461</v>
      </c>
      <c r="V7" s="177">
        <f>V5-V6</f>
        <v>623.50544999999966</v>
      </c>
      <c r="W7" s="182"/>
      <c r="X7" s="174">
        <f>X5-X6</f>
        <v>776.95364440989238</v>
      </c>
      <c r="Y7" s="174">
        <f t="shared" ref="Y7:AC7" si="7">Y5-Y6</f>
        <v>968.16630161262242</v>
      </c>
      <c r="Z7" s="174">
        <f t="shared" si="7"/>
        <v>1206.4374680811122</v>
      </c>
      <c r="AA7" s="174">
        <f t="shared" si="7"/>
        <v>1503.3485073438635</v>
      </c>
      <c r="AB7" s="174">
        <f t="shared" si="7"/>
        <v>1873.3310215636243</v>
      </c>
      <c r="AC7" s="174">
        <f t="shared" si="7"/>
        <v>2334.3683112793406</v>
      </c>
      <c r="AD7" s="40"/>
      <c r="AE7" s="184" t="s">
        <v>461</v>
      </c>
      <c r="AF7" s="174">
        <f>AF5-AF6</f>
        <v>369.30757500000004</v>
      </c>
      <c r="AG7" s="174"/>
      <c r="AH7" s="174">
        <f t="shared" ref="AH7:AM7" si="8">AH5-AH6</f>
        <v>427.89758609149351</v>
      </c>
      <c r="AI7" s="174">
        <f t="shared" si="8"/>
        <v>495.78280159275658</v>
      </c>
      <c r="AJ7" s="174">
        <f t="shared" si="8"/>
        <v>574.43788968373678</v>
      </c>
      <c r="AK7" s="174">
        <f t="shared" si="8"/>
        <v>665.57147211281153</v>
      </c>
      <c r="AL7" s="174">
        <f t="shared" si="8"/>
        <v>771.16324052771961</v>
      </c>
      <c r="AM7" s="174">
        <f t="shared" si="8"/>
        <v>893.50696124850651</v>
      </c>
      <c r="AN7" s="40"/>
      <c r="AO7" s="28" t="s">
        <v>461</v>
      </c>
      <c r="AP7" s="174">
        <f>AP5-AP6</f>
        <v>8122.0425000000023</v>
      </c>
      <c r="AQ7" s="182"/>
      <c r="AR7" s="174">
        <f>AR5-AR6</f>
        <v>9510.5226984478886</v>
      </c>
      <c r="AS7" s="174">
        <f t="shared" ref="AS7:AV7" si="9">AS5-AS6</f>
        <v>11136.366498659972</v>
      </c>
      <c r="AT7" s="174">
        <f t="shared" si="9"/>
        <v>13040.151706142919</v>
      </c>
      <c r="AU7" s="174">
        <f t="shared" si="9"/>
        <v>15269.392987352156</v>
      </c>
      <c r="AV7" s="174">
        <f t="shared" si="9"/>
        <v>17879.727740618648</v>
      </c>
      <c r="AW7" s="40"/>
      <c r="AX7" s="40"/>
      <c r="AY7" s="40"/>
      <c r="AZ7" s="40"/>
      <c r="BA7" s="40"/>
      <c r="BB7" s="40"/>
      <c r="BC7" s="40"/>
    </row>
    <row r="8" spans="1:55" x14ac:dyDescent="0.3">
      <c r="A8" s="11" t="s">
        <v>462</v>
      </c>
      <c r="B8" s="142">
        <f>'Income Statement'!B16</f>
        <v>83.13</v>
      </c>
      <c r="C8" s="139">
        <f>('Income Statement'!B16/'Income Statement'!F16)^(1/5)-1</f>
        <v>3.8897862745008505E-2</v>
      </c>
      <c r="D8" s="173">
        <f>Table22[[#This Row],[2024]]*(1+C8)</f>
        <v>86.363579329992547</v>
      </c>
      <c r="E8" s="173">
        <f>Table22[[#This Row],[2025]]*(1+$C$8)</f>
        <v>89.722937984938255</v>
      </c>
      <c r="F8" s="173">
        <f>Table22[[#This Row],[2026]]*(1+$C$8)</f>
        <v>93.212968511755292</v>
      </c>
      <c r="G8" s="173">
        <f>Table22[[#This Row],[2027]]*(1+$C$8)</f>
        <v>96.838753766980346</v>
      </c>
      <c r="H8" s="173">
        <f>Table22[[#This Row],[2028]]*(1+$C$8)</f>
        <v>100.60557431940602</v>
      </c>
      <c r="I8" s="173">
        <f>Table22[[#This Row],[2029]]*(1+$C$8)</f>
        <v>104.51891614066503</v>
      </c>
      <c r="K8" s="27" t="s">
        <v>462</v>
      </c>
      <c r="L8" s="142">
        <f>'Income Statement'!I16</f>
        <v>412.43</v>
      </c>
      <c r="M8" s="139">
        <f>('Income Statement'!I16/'Income Statement'!M16)^(1/5)-1</f>
        <v>2.0925747236619774E-2</v>
      </c>
      <c r="N8" s="173">
        <f>Table23[[#This Row],[2024]]*(1+M8)</f>
        <v>421.06040593279909</v>
      </c>
      <c r="O8" s="173">
        <f>Table23[[#This Row],[2025]]*(1+$M$8)</f>
        <v>429.87140955869734</v>
      </c>
      <c r="P8" s="173">
        <f>Table23[[#This Row],[2026]]*(1+$M$8)</f>
        <v>438.8667900193721</v>
      </c>
      <c r="Q8" s="173">
        <f>Table23[[#This Row],[2027]]*(1+$M$8)</f>
        <v>448.05040553786415</v>
      </c>
      <c r="R8" s="173">
        <f>Table23[[#This Row],[2028]]*(1+$M$8)</f>
        <v>457.42619507341448</v>
      </c>
      <c r="S8" s="173">
        <f>Table23[[#This Row],[2029]]*(1+$M$8)</f>
        <v>466.9981800109295</v>
      </c>
      <c r="U8" s="27" t="s">
        <v>462</v>
      </c>
      <c r="V8" s="142">
        <f>'Income Statement'!AA12</f>
        <v>67.039199999999994</v>
      </c>
      <c r="W8" s="139">
        <f>AVERAGE('Income Statement'!W12:AA12)/AVERAGE('Income Statement'!W6:AA6)</f>
        <v>3.151448691217483E-2</v>
      </c>
      <c r="X8" s="173">
        <f>X4*$W$8</f>
        <v>92.944141264994599</v>
      </c>
      <c r="Y8" s="173">
        <f t="shared" ref="Y8:AC8" si="10">Y4*$W$8</f>
        <v>100.36805212430157</v>
      </c>
      <c r="Z8" s="173">
        <f t="shared" si="10"/>
        <v>108.38494766986003</v>
      </c>
      <c r="AA8" s="173">
        <f t="shared" si="10"/>
        <v>117.04219253801766</v>
      </c>
      <c r="AB8" s="173">
        <f t="shared" si="10"/>
        <v>126.39093461421503</v>
      </c>
      <c r="AC8" s="173">
        <f t="shared" si="10"/>
        <v>136.48640721990819</v>
      </c>
      <c r="AE8" s="183" t="s">
        <v>462</v>
      </c>
      <c r="AF8" s="173">
        <f>'Income Statement'!T14</f>
        <v>41.326599999999999</v>
      </c>
      <c r="AG8" s="139">
        <f>('Income Statement'!T14/'Income Statement'!P14)^(1/5)-1</f>
        <v>6.5525400602912898E-2</v>
      </c>
      <c r="AH8" s="173">
        <f>Table25[[#This Row],[2024]]*(1+AG8)</f>
        <v>44.034542020556337</v>
      </c>
      <c r="AI8" s="173">
        <f>Table25[[#This Row],[2025]]*(1+$AG$8)</f>
        <v>46.919923026819092</v>
      </c>
      <c r="AJ8" s="173">
        <f>Table25[[#This Row],[2026]]*(1+$AG$8)</f>
        <v>49.994369779409247</v>
      </c>
      <c r="AK8" s="173">
        <f>Table25[[#This Row],[2027]]*(1+$AG$8)</f>
        <v>53.270270887095201</v>
      </c>
      <c r="AL8" s="173">
        <f>Table25[[#This Row],[2028]]*(1+$AG$8)</f>
        <v>56.760826727197802</v>
      </c>
      <c r="AM8" s="173">
        <f>Table25[[#This Row],[2029]]*(1+$AG$8)</f>
        <v>60.480102637049967</v>
      </c>
      <c r="AO8" s="27" t="s">
        <v>462</v>
      </c>
      <c r="AP8" s="173">
        <f>'Income Statement'!AI13</f>
        <v>1340.37</v>
      </c>
      <c r="AQ8" s="139">
        <f>('Income Statement'!AI13/'Income Statement'!AD13)^(1/6)-1</f>
        <v>5.0295057589379244E-2</v>
      </c>
      <c r="AR8" s="173">
        <f>Table26[[#This Row],[2025]]*(1+AQ8)</f>
        <v>1407.7839863410761</v>
      </c>
      <c r="AS8" s="173">
        <f>Table26[[#This Row],[2026]]*(1+$AQ$8)</f>
        <v>1478.5885630075063</v>
      </c>
      <c r="AT8" s="173">
        <f>Table26[[#This Row],[2027]]*(1+$AQ$8)</f>
        <v>1552.9542599349663</v>
      </c>
      <c r="AU8" s="173">
        <f>Table26[[#This Row],[2028]]*(1+$AQ$8)</f>
        <v>1631.0601838720672</v>
      </c>
      <c r="AV8" s="173">
        <f>Table26[[#This Row],[2029]]*(1+$AQ$8)</f>
        <v>1713.0944497516564</v>
      </c>
    </row>
    <row r="9" spans="1:55" x14ac:dyDescent="0.3">
      <c r="A9" s="11" t="s">
        <v>463</v>
      </c>
      <c r="B9" s="25">
        <f>'Cash Flow Statement'!B62</f>
        <v>762.2</v>
      </c>
      <c r="C9" s="139">
        <f>('Cash Flow Statement'!B62/'Cash Flow Statement'!F62)^(1/5)-1</f>
        <v>3.1558096880069275E-2</v>
      </c>
      <c r="D9" s="173">
        <f>Table22[[#This Row],[2024]]*(1+C9)</f>
        <v>786.2535814419889</v>
      </c>
      <c r="E9" s="173">
        <f>Table22[[#This Row],[2025]]*(1+$C$9)</f>
        <v>811.06624813743667</v>
      </c>
      <c r="F9" s="173">
        <f>Table22[[#This Row],[2026]]*(1+$C$9)</f>
        <v>836.66195537231215</v>
      </c>
      <c r="G9" s="173">
        <f>Table22[[#This Row],[2027]]*(1+$C$9)</f>
        <v>863.06541441581976</v>
      </c>
      <c r="H9" s="173">
        <f>Table22[[#This Row],[2028]]*(1+$C$9)</f>
        <v>890.30211637779132</v>
      </c>
      <c r="I9" s="173">
        <f>Table22[[#This Row],[2029]]*(1+$C$9)</f>
        <v>918.39835681897239</v>
      </c>
      <c r="K9" s="27" t="s">
        <v>463</v>
      </c>
      <c r="L9" s="173">
        <f>'Cash Flow Statement'!M49</f>
        <v>103.03</v>
      </c>
      <c r="M9" s="139">
        <f>AVERAGE('Cash Flow Statement'!I49:M49)/AVERAGE(Table6[[#This Row],[Mar 24]:[Mar 20]])</f>
        <v>5.1630986666797172E-3</v>
      </c>
      <c r="N9" s="173">
        <f>N4*$M$9</f>
        <v>118.70774886792883</v>
      </c>
      <c r="O9" s="173">
        <f t="shared" ref="O9:S9" si="11">O4*$M$9</f>
        <v>130.4299938443267</v>
      </c>
      <c r="P9" s="173">
        <f t="shared" si="11"/>
        <v>143.30979617142094</v>
      </c>
      <c r="Q9" s="173">
        <f t="shared" si="11"/>
        <v>157.46146322146393</v>
      </c>
      <c r="R9" s="173">
        <f t="shared" si="11"/>
        <v>173.01059007987701</v>
      </c>
      <c r="S9" s="173">
        <f t="shared" si="11"/>
        <v>190.0951741931168</v>
      </c>
      <c r="U9" s="27" t="s">
        <v>463</v>
      </c>
      <c r="V9" s="142">
        <f>'Cash Flow Statement'!T52</f>
        <v>80.889700000000005</v>
      </c>
      <c r="W9" s="139">
        <f>AVERAGE('Cash Flow Statement'!P52:T52)/AVERAGE('Income Statement'!W6:AA6)</f>
        <v>2.9964035397897746E-2</v>
      </c>
      <c r="X9" s="173">
        <f>X4*$W$9</f>
        <v>88.371470132220338</v>
      </c>
      <c r="Y9" s="173">
        <f t="shared" ref="Y9:AC9" si="12">Y4*$W$9</f>
        <v>95.4301390040646</v>
      </c>
      <c r="Z9" s="173">
        <f t="shared" si="12"/>
        <v>103.05261886793824</v>
      </c>
      <c r="AA9" s="173">
        <f t="shared" si="12"/>
        <v>111.28394411212392</v>
      </c>
      <c r="AB9" s="173">
        <f t="shared" si="12"/>
        <v>120.17274624549371</v>
      </c>
      <c r="AC9" s="173">
        <f t="shared" si="12"/>
        <v>129.77154121742242</v>
      </c>
      <c r="AE9" s="183" t="s">
        <v>463</v>
      </c>
      <c r="AF9" s="173">
        <f>'Cash Flow Statement'!AA50</f>
        <v>48.069099999999999</v>
      </c>
      <c r="AG9" s="139">
        <f>AVERAGE('Cash Flow Statement'!W50:AA50)/AVERAGE('Income Statement'!P6:T6)</f>
        <v>3.2555914943877114E-2</v>
      </c>
      <c r="AH9" s="173">
        <f>AH4*$AG$9</f>
        <v>150.28448639274572</v>
      </c>
      <c r="AI9" s="173">
        <f t="shared" ref="AI9:AM9" si="13">AI4*$AG$9</f>
        <v>178.23627040088829</v>
      </c>
      <c r="AJ9" s="173">
        <f t="shared" si="13"/>
        <v>211.38687597731993</v>
      </c>
      <c r="AK9" s="173">
        <f t="shared" si="13"/>
        <v>250.70324482748012</v>
      </c>
      <c r="AL9" s="173">
        <f t="shared" si="13"/>
        <v>297.33216254054935</v>
      </c>
      <c r="AM9" s="173">
        <f t="shared" si="13"/>
        <v>352.63370819901422</v>
      </c>
      <c r="AO9" s="27" t="s">
        <v>463</v>
      </c>
      <c r="AP9" s="173">
        <f>'Cash Flow Statement'!AI56</f>
        <v>930.09</v>
      </c>
      <c r="AQ9" s="139">
        <f>AVERAGE('Cash Flow Statement'!AD56:AI56)/AVERAGE('Income Statement'!AD6:AI6)</f>
        <v>3.081945458245175E-2</v>
      </c>
      <c r="AR9" s="173">
        <f>AR4*$AQ$9</f>
        <v>1111.2353460166921</v>
      </c>
      <c r="AS9" s="173">
        <f t="shared" ref="AS9:AV9" si="14">AS4*$AQ$9</f>
        <v>1194.5103141879765</v>
      </c>
      <c r="AT9" s="173">
        <f t="shared" si="14"/>
        <v>1284.0258328860116</v>
      </c>
      <c r="AU9" s="173">
        <f t="shared" si="14"/>
        <v>1380.2495633027756</v>
      </c>
      <c r="AV9" s="173">
        <f t="shared" si="14"/>
        <v>1483.6842127354814</v>
      </c>
    </row>
    <row r="10" spans="1:55" x14ac:dyDescent="0.3">
      <c r="A10" s="11" t="s">
        <v>464</v>
      </c>
      <c r="B10" s="176">
        <f>('Balance Sheet '!F65-'Balance Sheet '!E65)</f>
        <v>2554.2900000000045</v>
      </c>
      <c r="C10" s="139">
        <f>('Balance Sheet '!F65/'Balance Sheet '!B65)^(1/5)-1</f>
        <v>0.15655155662903208</v>
      </c>
      <c r="D10" s="173">
        <f>Table22[[#This Row],[2024]]*(1+C10)</f>
        <v>2954.1680755819757</v>
      </c>
      <c r="E10" s="173">
        <f>Table22[[#This Row],[2025]]*(1+$C$10)</f>
        <v>3416.6476863581261</v>
      </c>
      <c r="F10" s="173">
        <f>Table22[[#This Row],[2026]]*(1+$C$10)</f>
        <v>3951.5292001104717</v>
      </c>
      <c r="G10" s="173">
        <f>Table22[[#This Row],[2027]]*(1+$C$10)</f>
        <v>4570.14724745284</v>
      </c>
      <c r="H10" s="173">
        <f>Table22[[#This Row],[2028]]*(1+$C$10)</f>
        <v>5285.6109130654686</v>
      </c>
      <c r="I10" s="173">
        <f>Table22[[#This Row],[2029]]*(1+$C$10)</f>
        <v>6113.0815292412672</v>
      </c>
      <c r="K10" s="27" t="s">
        <v>464</v>
      </c>
      <c r="L10" s="142">
        <f>'Balance Sheet '!M51-'Balance Sheet '!L51</f>
        <v>1208.5000000000036</v>
      </c>
      <c r="M10" s="139">
        <f>('Balance Sheet '!M51/'Balance Sheet '!I51)^(1/5)-1</f>
        <v>0.14364761814368321</v>
      </c>
      <c r="N10" s="173">
        <f>Table23[[#This Row],[2024]]*(1+M10)</f>
        <v>1382.0981465266452</v>
      </c>
      <c r="O10" s="173">
        <f>Table23[[#This Row],[2025]]*(1+$M$10)</f>
        <v>1580.6332533159971</v>
      </c>
      <c r="P10" s="173">
        <f>Table23[[#This Row],[2026]]*(1+$M$10)</f>
        <v>1807.687455313541</v>
      </c>
      <c r="Q10" s="173">
        <f>Table23[[#This Row],[2027]]*(1+$M$10)</f>
        <v>2067.3574526175471</v>
      </c>
      <c r="R10" s="173">
        <f>Table23[[#This Row],[2028]]*(1+$M$10)</f>
        <v>2364.3284265376501</v>
      </c>
      <c r="S10" s="173">
        <f>Table23[[#This Row],[2029]]*(1+$M$10)</f>
        <v>2703.9585735191858</v>
      </c>
      <c r="U10" s="27" t="s">
        <v>464</v>
      </c>
      <c r="V10" s="142">
        <f>'Balance Sheet '!T52-'Balance Sheet '!S52</f>
        <v>839.07659999999851</v>
      </c>
      <c r="W10" s="139">
        <f>('Balance Sheet '!T52/'Balance Sheet '!P52)^(1/5)-1</f>
        <v>0.22502332574941941</v>
      </c>
      <c r="X10" s="173">
        <f>Table24[[#This Row],[2024]]*(1+W10)</f>
        <v>1027.8884070905135</v>
      </c>
      <c r="Y10" s="173">
        <f>Table24[[#This Row],[2025]]*(1+$W$10)</f>
        <v>1259.187274953294</v>
      </c>
      <c r="Z10" s="173">
        <f>Table24[[#This Row],[2026]]*(1+$W$10)</f>
        <v>1542.5337833046328</v>
      </c>
      <c r="AA10" s="173">
        <f>Table24[[#This Row],[2027]]*(1+$W$10)</f>
        <v>1889.6398653046756</v>
      </c>
      <c r="AB10" s="173">
        <f>Table24[[#This Row],[2028]]*(1+$W$10)</f>
        <v>2314.8529122642185</v>
      </c>
      <c r="AC10" s="173">
        <f>Table24[[#This Row],[2029]]*(1+$W$10)</f>
        <v>2835.7488132026419</v>
      </c>
      <c r="AE10" s="183" t="s">
        <v>464</v>
      </c>
      <c r="AF10" s="173">
        <f>'Balance Sheet '!AI51-'Balance Sheet '!AH51</f>
        <v>264.46060000000398</v>
      </c>
      <c r="AG10" s="139">
        <f>('Balance Sheet '!AI51/'Balance Sheet '!AE51)^(1/5)-1</f>
        <v>0.12031169210423065</v>
      </c>
      <c r="AH10" s="173">
        <f>Table25[[#This Row],[2024]]*(1+AG10)</f>
        <v>296.27830228090454</v>
      </c>
      <c r="AI10" s="173">
        <f>Table25[[#This Row],[2025]]*(1+$AG$10)</f>
        <v>331.92404616208893</v>
      </c>
      <c r="AJ10" s="173">
        <f>Table25[[#This Row],[2026]]*(1+$AG$10)</f>
        <v>371.85838980593263</v>
      </c>
      <c r="AK10" s="173">
        <f>Table25[[#This Row],[2027]]*(1+$AG$10)</f>
        <v>416.59730190663896</v>
      </c>
      <c r="AL10" s="173">
        <f>Table25[[#This Row],[2028]]*(1+$AG$10)</f>
        <v>466.71882822508371</v>
      </c>
      <c r="AM10" s="173">
        <f>Table25[[#This Row],[2029]]*(1+$AG$10)</f>
        <v>522.87056018574731</v>
      </c>
      <c r="AO10" s="27" t="s">
        <v>464</v>
      </c>
      <c r="AP10" s="173">
        <f>'Balance Sheet '!AB64-'Balance Sheet '!AA64</f>
        <v>19306.189999999981</v>
      </c>
      <c r="AQ10" s="139">
        <f>AVERAGE('Balance Sheet '!X64:AA64)/AVERAGE('Income Statement'!AE6:AH6)</f>
        <v>0.75156118576208053</v>
      </c>
      <c r="AR10" s="173">
        <f>AR4*$AQ$10</f>
        <v>27098.511820795567</v>
      </c>
      <c r="AS10" s="173">
        <f t="shared" ref="AS10:AV10" si="15">AS4*$AQ$10</f>
        <v>29129.249699549142</v>
      </c>
      <c r="AT10" s="173">
        <f t="shared" si="15"/>
        <v>31312.169231652391</v>
      </c>
      <c r="AU10" s="173">
        <f t="shared" si="15"/>
        <v>33658.674772073311</v>
      </c>
      <c r="AV10" s="173">
        <f t="shared" si="15"/>
        <v>36181.025307789547</v>
      </c>
    </row>
    <row r="11" spans="1:55" s="26" customFormat="1" x14ac:dyDescent="0.3">
      <c r="A11" s="12" t="s">
        <v>465</v>
      </c>
      <c r="B11" s="177">
        <f>B7+B8-B9-B10</f>
        <v>-1383.4850000000044</v>
      </c>
      <c r="C11" s="177"/>
      <c r="D11" s="177">
        <f t="shared" ref="D11:I11" si="16">D7+D8-D9-D10</f>
        <v>-1311.2043849533243</v>
      </c>
      <c r="E11" s="177">
        <f t="shared" si="16"/>
        <v>-1170.7832524260298</v>
      </c>
      <c r="F11" s="177">
        <f t="shared" si="16"/>
        <v>-937.03042273980191</v>
      </c>
      <c r="G11" s="177">
        <f t="shared" si="16"/>
        <v>-576.95946304155859</v>
      </c>
      <c r="H11" s="177">
        <f t="shared" si="16"/>
        <v>-47.542493765769905</v>
      </c>
      <c r="I11" s="177">
        <f t="shared" si="16"/>
        <v>707.16101058747427</v>
      </c>
      <c r="J11" s="40"/>
      <c r="K11" s="28" t="s">
        <v>465</v>
      </c>
      <c r="L11" s="177">
        <f>L7+L8-L9-L10</f>
        <v>3107.0849999999973</v>
      </c>
      <c r="M11" s="177"/>
      <c r="N11" s="177">
        <f t="shared" ref="N11:S11" si="17">N7+N8-N9-N10</f>
        <v>3590.1223782158995</v>
      </c>
      <c r="O11" s="177">
        <f t="shared" si="17"/>
        <v>4162.3076267437355</v>
      </c>
      <c r="P11" s="177">
        <f t="shared" si="17"/>
        <v>4833.1639361388725</v>
      </c>
      <c r="Q11" s="177">
        <f t="shared" si="17"/>
        <v>5619.7162796744115</v>
      </c>
      <c r="R11" s="177">
        <f t="shared" si="17"/>
        <v>6541.9073526299489</v>
      </c>
      <c r="S11" s="177">
        <f t="shared" si="17"/>
        <v>7623.0946356143932</v>
      </c>
      <c r="T11" s="40"/>
      <c r="U11" s="28" t="s">
        <v>465</v>
      </c>
      <c r="V11" s="177">
        <f>V7+V8-V9-V10</f>
        <v>-229.42164999999886</v>
      </c>
      <c r="W11" s="182"/>
      <c r="X11" s="174">
        <f>X7+X8-X9-X10</f>
        <v>-246.36209154784683</v>
      </c>
      <c r="Y11" s="174">
        <f t="shared" ref="Y11:AC11" si="18">Y7+Y8-Y9-Y10</f>
        <v>-286.08306022043462</v>
      </c>
      <c r="Z11" s="174">
        <f t="shared" si="18"/>
        <v>-330.76398642159893</v>
      </c>
      <c r="AA11" s="174">
        <f t="shared" si="18"/>
        <v>-380.53310953491837</v>
      </c>
      <c r="AB11" s="174">
        <f t="shared" si="18"/>
        <v>-435.30370233187296</v>
      </c>
      <c r="AC11" s="174">
        <f t="shared" si="18"/>
        <v>-494.66563592081593</v>
      </c>
      <c r="AD11" s="40"/>
      <c r="AE11" s="184" t="s">
        <v>465</v>
      </c>
      <c r="AF11" s="174">
        <f>AF7+AF8-AF9-AF10</f>
        <v>98.104474999996057</v>
      </c>
      <c r="AG11" s="174"/>
      <c r="AH11" s="174">
        <f t="shared" ref="AH11:AM11" si="19">AH7+AH8-AH9-AH10</f>
        <v>25.369339438399606</v>
      </c>
      <c r="AI11" s="174">
        <f t="shared" si="19"/>
        <v>32.54240805659839</v>
      </c>
      <c r="AJ11" s="174">
        <f t="shared" si="19"/>
        <v>41.186993679893419</v>
      </c>
      <c r="AK11" s="174">
        <f t="shared" si="19"/>
        <v>51.541196265787619</v>
      </c>
      <c r="AL11" s="174">
        <f t="shared" si="19"/>
        <v>63.873076489284358</v>
      </c>
      <c r="AM11" s="174">
        <f t="shared" si="19"/>
        <v>78.482795500794964</v>
      </c>
      <c r="AN11" s="40"/>
      <c r="AO11" s="28" t="s">
        <v>465</v>
      </c>
      <c r="AP11" s="174">
        <f>AP7+AP8-AP9-AP10</f>
        <v>-10773.867499999978</v>
      </c>
      <c r="AQ11" s="174"/>
      <c r="AR11" s="174">
        <f t="shared" ref="AR11:AV11" si="20">AR7+AR8-AR9-AR10</f>
        <v>-17291.440482023296</v>
      </c>
      <c r="AS11" s="174">
        <f t="shared" si="20"/>
        <v>-17708.80495206964</v>
      </c>
      <c r="AT11" s="174">
        <f t="shared" si="20"/>
        <v>-18003.089098460518</v>
      </c>
      <c r="AU11" s="174">
        <f t="shared" si="20"/>
        <v>-18138.471164151862</v>
      </c>
      <c r="AV11" s="174">
        <f t="shared" si="20"/>
        <v>-18071.887330154725</v>
      </c>
      <c r="AW11" s="40"/>
      <c r="AX11" s="40"/>
      <c r="AY11" s="40"/>
      <c r="AZ11" s="40"/>
      <c r="BA11" s="40"/>
      <c r="BB11" s="40"/>
      <c r="BC11" s="40"/>
    </row>
    <row r="12" spans="1:55" x14ac:dyDescent="0.3">
      <c r="A12" s="63" t="s">
        <v>474</v>
      </c>
      <c r="B12" s="178"/>
      <c r="C12" s="178"/>
      <c r="D12" s="181">
        <f ca="1">1/(1+WACC!$B$15)^1</f>
        <v>0.86713773716931453</v>
      </c>
      <c r="E12" s="181">
        <f ca="1">1/(1+WACC!$B$15)^2</f>
        <v>0.75192785522311922</v>
      </c>
      <c r="F12" s="181">
        <f ca="1">1/(1+WACC!$B$15)^3</f>
        <v>0.65202501889275144</v>
      </c>
      <c r="G12" s="181">
        <f ca="1">1/(1+WACC!$B$15)^4</f>
        <v>0.5653954994604401</v>
      </c>
      <c r="H12" s="181">
        <f ca="1">1/(1+WACC!$B$15)^5</f>
        <v>0.49027577400784045</v>
      </c>
      <c r="I12" s="181">
        <f ca="1">1/(1+WACC!$B$15)^6</f>
        <v>0.425136625262093</v>
      </c>
      <c r="K12" s="27" t="s">
        <v>474</v>
      </c>
      <c r="L12" s="25"/>
      <c r="M12" s="139"/>
      <c r="N12" s="138">
        <f ca="1">1/(1+WACC!$C$15)^1</f>
        <v>0.82494154670435438</v>
      </c>
      <c r="O12" s="138">
        <f ca="1">1/(1+WACC!$C$15)^2</f>
        <v>0.68052855547897251</v>
      </c>
      <c r="P12" s="138">
        <f ca="1">1/(1+WACC!$C$15)^3</f>
        <v>0.56139627913330359</v>
      </c>
      <c r="Q12" s="138">
        <f ca="1">1/(1+WACC!$C$15)^4</f>
        <v>0.4631191148222969</v>
      </c>
      <c r="R12" s="138">
        <f ca="1">1/(1+WACC!$C$15)^5</f>
        <v>0.38204619888985708</v>
      </c>
      <c r="S12" s="138">
        <f ca="1">1/(1+WACC!$C$15)^6</f>
        <v>0.31516578222471808</v>
      </c>
      <c r="U12" s="27" t="s">
        <v>474</v>
      </c>
      <c r="V12" s="25"/>
      <c r="W12" s="139"/>
      <c r="X12" s="138">
        <f ca="1">1/(1+WACC!$D$15)^1</f>
        <v>0.85670301495767442</v>
      </c>
      <c r="Y12" s="138">
        <f ca="1">1/(1+WACC!$D$15)^2</f>
        <v>0.73394005583756916</v>
      </c>
      <c r="Z12" s="138">
        <f ca="1">1/(1+WACC!$D$15)^3</f>
        <v>0.62876865863424936</v>
      </c>
      <c r="AA12" s="138">
        <f ca="1">1/(1+WACC!$D$15)^4</f>
        <v>0.53866800556285421</v>
      </c>
      <c r="AB12" s="138">
        <f ca="1">1/(1+WACC!$D$15)^5</f>
        <v>0.4614785044269345</v>
      </c>
      <c r="AC12" s="138">
        <f ca="1">1/(1+WACC!$D$15)^6</f>
        <v>0.39535002608071323</v>
      </c>
      <c r="AE12" s="183" t="s">
        <v>474</v>
      </c>
      <c r="AF12" s="173"/>
      <c r="AG12" s="139"/>
      <c r="AH12" s="138">
        <f ca="1">1/(1+WACC!$E$15)^1</f>
        <v>0.84274682117112032</v>
      </c>
      <c r="AI12" s="138">
        <f ca="1">1/(1+WACC!$E$15)^2</f>
        <v>0.71022220459402829</v>
      </c>
      <c r="AJ12" s="138">
        <f ca="1">1/(1+WACC!$E$15)^3</f>
        <v>0.59853750524676241</v>
      </c>
      <c r="AK12" s="138">
        <f ca="1">1/(1+WACC!$E$15)^4</f>
        <v>0.5044155798984018</v>
      </c>
      <c r="AL12" s="138">
        <f ca="1">1/(1+WACC!$E$15)^5</f>
        <v>0.42509462650856539</v>
      </c>
      <c r="AM12" s="138">
        <f ca="1">1/(1+WACC!$E$15)^6</f>
        <v>0.35824714518701811</v>
      </c>
      <c r="AO12" s="27" t="s">
        <v>474</v>
      </c>
      <c r="AP12" s="173"/>
      <c r="AQ12" s="139"/>
      <c r="AR12" s="175">
        <f ca="1">1/(1+WACC!$F$15)^1</f>
        <v>0.8459578021409766</v>
      </c>
      <c r="AS12" s="175">
        <f ca="1">1/(1+WACC!$F$15)^2</f>
        <v>0.71564460300319177</v>
      </c>
      <c r="AT12" s="175">
        <f ca="1">1/(1+WACC!$F$15)^3</f>
        <v>0.60540513547063179</v>
      </c>
      <c r="AU12" s="175">
        <f ca="1">1/(1+WACC!$F$15)^4</f>
        <v>0.51214719780759588</v>
      </c>
      <c r="AV12" s="175">
        <f ca="1">1/(1+WACC!$F$15)^5</f>
        <v>0.43325491782997377</v>
      </c>
    </row>
    <row r="13" spans="1:55" x14ac:dyDescent="0.3">
      <c r="A13" s="63" t="s">
        <v>475</v>
      </c>
      <c r="B13" s="178"/>
      <c r="C13" s="178"/>
      <c r="D13" s="179">
        <f ca="1">D11*D12</f>
        <v>-1136.9948033349085</v>
      </c>
      <c r="E13" s="179">
        <f t="shared" ref="E13:I13" ca="1" si="21">E11*E12</f>
        <v>-880.34453992785234</v>
      </c>
      <c r="F13" s="179">
        <f t="shared" ca="1" si="21"/>
        <v>-610.96727909000219</v>
      </c>
      <c r="G13" s="179">
        <f t="shared" ca="1" si="21"/>
        <v>-326.21028377480934</v>
      </c>
      <c r="H13" s="179">
        <f t="shared" ca="1" si="21"/>
        <v>-23.30893292927577</v>
      </c>
      <c r="I13" s="179">
        <f t="shared" ca="1" si="21"/>
        <v>300.64004555809004</v>
      </c>
      <c r="K13" s="27" t="s">
        <v>475</v>
      </c>
      <c r="L13" s="25"/>
      <c r="M13" s="139"/>
      <c r="N13" s="142">
        <f ca="1">N11*N12</f>
        <v>2961.6411075433393</v>
      </c>
      <c r="O13" s="142">
        <f t="shared" ref="O13:S13" ca="1" si="22">O11*O12</f>
        <v>2832.5691966870245</v>
      </c>
      <c r="P13" s="142">
        <f t="shared" ca="1" si="22"/>
        <v>2713.3202501896349</v>
      </c>
      <c r="Q13" s="142">
        <f t="shared" ca="1" si="22"/>
        <v>2602.5980289952649</v>
      </c>
      <c r="R13" s="142">
        <f t="shared" ca="1" si="22"/>
        <v>2499.3108375618799</v>
      </c>
      <c r="S13" s="142">
        <f t="shared" ca="1" si="22"/>
        <v>2402.5385838064626</v>
      </c>
      <c r="U13" s="27" t="s">
        <v>475</v>
      </c>
      <c r="V13" s="25"/>
      <c r="W13" s="139"/>
      <c r="X13" s="173">
        <f ca="1">X11*X12</f>
        <v>-211.05914660031897</v>
      </c>
      <c r="Y13" s="173">
        <f t="shared" ref="Y13:AC13" ca="1" si="23">Y11*Y12</f>
        <v>-209.96781719236844</v>
      </c>
      <c r="Z13" s="173">
        <f t="shared" ca="1" si="23"/>
        <v>-207.97402806682584</v>
      </c>
      <c r="AA13" s="173">
        <f t="shared" ca="1" si="23"/>
        <v>-204.98101116380562</v>
      </c>
      <c r="AB13" s="173">
        <f t="shared" ca="1" si="23"/>
        <v>-200.88330152362022</v>
      </c>
      <c r="AC13" s="173">
        <f t="shared" ca="1" si="23"/>
        <v>-195.56607206252718</v>
      </c>
      <c r="AE13" s="185" t="s">
        <v>475</v>
      </c>
      <c r="AF13" s="179"/>
      <c r="AG13" s="180"/>
      <c r="AH13" s="179">
        <f ca="1">AH11*AH12</f>
        <v>21.379930166922403</v>
      </c>
      <c r="AI13" s="179">
        <f t="shared" ref="AI13:AM13" ca="1" si="24">AI11*AI12</f>
        <v>23.112340792755777</v>
      </c>
      <c r="AJ13" s="179">
        <f t="shared" ca="1" si="24"/>
        <v>24.651960445777579</v>
      </c>
      <c r="AK13" s="179">
        <f t="shared" ca="1" si="24"/>
        <v>25.998182403064604</v>
      </c>
      <c r="AL13" s="179">
        <f t="shared" ca="1" si="24"/>
        <v>27.152101594165362</v>
      </c>
      <c r="AM13" s="179">
        <f t="shared" ca="1" si="24"/>
        <v>28.116237434456345</v>
      </c>
      <c r="AO13" s="27" t="s">
        <v>475</v>
      </c>
      <c r="AP13" s="173"/>
      <c r="AQ13" s="139"/>
      <c r="AR13" s="173">
        <f ca="1">AR11*AR12</f>
        <v>-14627.828986023937</v>
      </c>
      <c r="AS13" s="173">
        <f t="shared" ref="AS13:AV13" ca="1" si="25">AS11*AS12</f>
        <v>-12673.210689584834</v>
      </c>
      <c r="AT13" s="173">
        <f t="shared" ca="1" si="25"/>
        <v>-10899.162594543344</v>
      </c>
      <c r="AU13" s="173">
        <f t="shared" ca="1" si="25"/>
        <v>-9289.5671792342582</v>
      </c>
      <c r="AV13" s="173">
        <f t="shared" ca="1" si="25"/>
        <v>-7829.7340602587292</v>
      </c>
    </row>
    <row r="14" spans="1:55" x14ac:dyDescent="0.3">
      <c r="C14" s="10"/>
      <c r="D14" s="172"/>
      <c r="E14" s="172"/>
      <c r="G14" s="10"/>
    </row>
    <row r="15" spans="1:55" x14ac:dyDescent="0.3">
      <c r="A15" s="11" t="s">
        <v>500</v>
      </c>
      <c r="B15" s="142" t="s">
        <v>501</v>
      </c>
      <c r="C15" s="138">
        <f>(I4/D4)^(1/6)-1</f>
        <v>0.11444487963900785</v>
      </c>
      <c r="G15" s="10"/>
      <c r="L15" s="190"/>
      <c r="AE15" s="3"/>
      <c r="AF15" s="190"/>
    </row>
    <row r="16" spans="1:55" x14ac:dyDescent="0.3">
      <c r="A16" s="11" t="s">
        <v>500</v>
      </c>
      <c r="B16" s="142" t="s">
        <v>502</v>
      </c>
      <c r="C16" s="138">
        <f>(S4/N4)^(1/6)-1</f>
        <v>8.1638167653912408E-2</v>
      </c>
      <c r="G16" s="10"/>
      <c r="L16" s="190"/>
      <c r="AE16" s="3"/>
      <c r="AF16" s="190"/>
    </row>
    <row r="17" spans="1:32" x14ac:dyDescent="0.3">
      <c r="A17" s="11" t="s">
        <v>500</v>
      </c>
      <c r="B17" s="142" t="s">
        <v>503</v>
      </c>
      <c r="C17" s="138">
        <f>(AC4/X4)^(1/6)-1</f>
        <v>6.6132617450269882E-2</v>
      </c>
      <c r="E17" s="25" t="s">
        <v>507</v>
      </c>
      <c r="F17" s="25">
        <v>2020</v>
      </c>
      <c r="G17" s="138">
        <f>AVERAGE(-5.8%,9.7%)</f>
        <v>1.9499999999999997E-2</v>
      </c>
      <c r="L17" s="190"/>
      <c r="AE17" s="3"/>
      <c r="AF17" s="190"/>
    </row>
    <row r="18" spans="1:32" x14ac:dyDescent="0.3">
      <c r="A18" s="11" t="s">
        <v>500</v>
      </c>
      <c r="B18" s="142" t="s">
        <v>255</v>
      </c>
      <c r="C18" s="138">
        <f>(AM4/AH4)^(1/6)-1</f>
        <v>0.15274950776128038</v>
      </c>
      <c r="E18" s="25" t="s">
        <v>507</v>
      </c>
      <c r="F18" s="25">
        <v>2025</v>
      </c>
      <c r="G18" s="138">
        <v>7.8E-2</v>
      </c>
      <c r="L18" s="172"/>
      <c r="AE18" s="3"/>
      <c r="AF18" s="172"/>
    </row>
    <row r="19" spans="1:32" x14ac:dyDescent="0.3">
      <c r="A19" s="11" t="s">
        <v>500</v>
      </c>
      <c r="B19" s="142" t="s">
        <v>504</v>
      </c>
      <c r="C19" s="138">
        <f>(AV4/AR4)^(1/5)-1</f>
        <v>5.9514941809010402E-2</v>
      </c>
      <c r="E19" s="25" t="s">
        <v>507</v>
      </c>
      <c r="F19" s="216" t="s">
        <v>508</v>
      </c>
      <c r="G19" s="213">
        <f>G18-G17</f>
        <v>5.8500000000000003E-2</v>
      </c>
      <c r="L19" s="190"/>
      <c r="AE19" s="3"/>
      <c r="AF19" s="190"/>
    </row>
    <row r="20" spans="1:32" ht="28.8" x14ac:dyDescent="0.3">
      <c r="A20" s="11" t="s">
        <v>500</v>
      </c>
      <c r="B20" s="177" t="s">
        <v>489</v>
      </c>
      <c r="C20" s="213">
        <f>AVERAGE(C15:C19)</f>
        <v>9.4896022862696189E-2</v>
      </c>
      <c r="E20" s="25" t="s">
        <v>507</v>
      </c>
      <c r="F20" s="217" t="s">
        <v>509</v>
      </c>
      <c r="G20" s="218">
        <f>C26/G19</f>
        <v>24.969914154087061</v>
      </c>
      <c r="L20" s="190"/>
      <c r="AE20" s="3"/>
      <c r="AF20" s="190"/>
    </row>
    <row r="21" spans="1:32" x14ac:dyDescent="0.3">
      <c r="A21" s="11" t="s">
        <v>505</v>
      </c>
      <c r="B21" s="214" t="str">
        <f>B15</f>
        <v>BEL</v>
      </c>
      <c r="C21" s="138">
        <f>('Income Statement'!I29-'Income Statement'!M29)/'Income Statement'!M29</f>
        <v>1.2030777324740263</v>
      </c>
      <c r="L21" s="172"/>
      <c r="AE21" s="3"/>
      <c r="AF21" s="172"/>
    </row>
    <row r="22" spans="1:32" x14ac:dyDescent="0.3">
      <c r="A22" s="11" t="s">
        <v>505</v>
      </c>
      <c r="B22" s="214" t="str">
        <f t="shared" ref="B22:B26" si="26">B16</f>
        <v>MDL</v>
      </c>
      <c r="C22" s="138">
        <f>('Income Statement'!B30-'Income Statement'!F30)/'Income Statement'!F30</f>
        <v>2.8682583268702748</v>
      </c>
      <c r="L22" s="190"/>
      <c r="AE22" s="3"/>
      <c r="AF22" s="190"/>
    </row>
    <row r="23" spans="1:32" x14ac:dyDescent="0.3">
      <c r="A23" s="11" t="s">
        <v>505</v>
      </c>
      <c r="B23" s="214" t="str">
        <f t="shared" si="26"/>
        <v>BDL</v>
      </c>
      <c r="C23" s="138">
        <f>('Income Statement'!AA22-'Income Statement'!W22)/'Income Statement'!W22</f>
        <v>0.1454849198206471</v>
      </c>
      <c r="L23" s="198"/>
      <c r="AE23" s="3"/>
      <c r="AF23" s="198"/>
    </row>
    <row r="24" spans="1:32" x14ac:dyDescent="0.3">
      <c r="A24" s="11" t="s">
        <v>505</v>
      </c>
      <c r="B24" s="214" t="str">
        <f t="shared" si="26"/>
        <v>GRSE</v>
      </c>
      <c r="C24" s="138">
        <f>('Income Statement'!T25-'Income Statement'!P25)/'Income Statement'!P25</f>
        <v>1.1853681482392215</v>
      </c>
    </row>
    <row r="25" spans="1:32" x14ac:dyDescent="0.3">
      <c r="A25" s="11" t="s">
        <v>505</v>
      </c>
      <c r="B25" s="214" t="str">
        <f t="shared" si="26"/>
        <v>HAL</v>
      </c>
      <c r="C25" s="138">
        <f>('Income Statement'!AI35-'Income Statement'!AD35)/'Income Statement'!AD35</f>
        <v>1.9015107626662964</v>
      </c>
    </row>
    <row r="26" spans="1:32" x14ac:dyDescent="0.3">
      <c r="A26" s="12" t="s">
        <v>505</v>
      </c>
      <c r="B26" s="215" t="str">
        <f t="shared" si="26"/>
        <v>Average</v>
      </c>
      <c r="C26" s="213">
        <f>AVERAGE(C21:C25)</f>
        <v>1.4607399780140931</v>
      </c>
    </row>
    <row r="27" spans="1:32" x14ac:dyDescent="0.3">
      <c r="A27" s="11" t="s">
        <v>506</v>
      </c>
      <c r="B27" s="142" t="str">
        <f>B21</f>
        <v>BEL</v>
      </c>
      <c r="C27" s="138">
        <f>AVERAGE(D9:I9)/AVERAGE(D4:I4)</f>
        <v>4.967237115211489E-2</v>
      </c>
    </row>
    <row r="28" spans="1:32" x14ac:dyDescent="0.3">
      <c r="A28" s="11" t="s">
        <v>506</v>
      </c>
      <c r="B28" s="142" t="str">
        <f t="shared" ref="B28:B31" si="27">B22</f>
        <v>MDL</v>
      </c>
      <c r="C28" s="138">
        <f>AVERAGE(N9:S9)/AVERAGE(N4:S4)</f>
        <v>5.1630986666797172E-3</v>
      </c>
    </row>
    <row r="29" spans="1:32" x14ac:dyDescent="0.3">
      <c r="A29" s="11" t="s">
        <v>506</v>
      </c>
      <c r="B29" s="142" t="str">
        <f t="shared" si="27"/>
        <v>BDL</v>
      </c>
      <c r="C29" s="138">
        <f>AVERAGE(X9:AC9)/AVERAGE(X4:AC4)</f>
        <v>2.9964035397897743E-2</v>
      </c>
    </row>
    <row r="30" spans="1:32" x14ac:dyDescent="0.3">
      <c r="A30" s="11" t="s">
        <v>506</v>
      </c>
      <c r="B30" s="142" t="str">
        <f t="shared" si="27"/>
        <v>GRSE</v>
      </c>
      <c r="C30" s="138">
        <f>AVERAGE(AH9:AM9)/AVERAGE(AH4:AM4)</f>
        <v>3.2555914943877121E-2</v>
      </c>
    </row>
    <row r="31" spans="1:32" x14ac:dyDescent="0.3">
      <c r="A31" s="11" t="s">
        <v>506</v>
      </c>
      <c r="B31" s="142" t="str">
        <f t="shared" si="27"/>
        <v>HAL</v>
      </c>
      <c r="C31" s="138">
        <f>AVERAGE(AR9:AV9)/AVERAGE(AR4:AV4)</f>
        <v>3.0819454582451746E-2</v>
      </c>
    </row>
    <row r="32" spans="1:32" x14ac:dyDescent="0.3">
      <c r="A32" s="12" t="s">
        <v>506</v>
      </c>
      <c r="B32" s="177" t="str">
        <f>B26</f>
        <v>Average</v>
      </c>
      <c r="C32" s="213">
        <f>AVERAGE(C27:C31)</f>
        <v>2.9634974948604242E-2</v>
      </c>
    </row>
  </sheetData>
  <mergeCells count="5">
    <mergeCell ref="H2:I2"/>
    <mergeCell ref="R2:S2"/>
    <mergeCell ref="AB2:AC2"/>
    <mergeCell ref="AL2:AM2"/>
    <mergeCell ref="AU2:AV2"/>
  </mergeCells>
  <conditionalFormatting sqref="D14:E14">
    <cfRule type="cellIs" dxfId="15" priority="7" operator="greaterThan">
      <formula>0</formula>
    </cfRule>
    <cfRule type="cellIs" dxfId="14" priority="8" operator="lessThan">
      <formula>0</formula>
    </cfRule>
  </conditionalFormatting>
  <conditionalFormatting sqref="L23">
    <cfRule type="cellIs" dxfId="13" priority="3" operator="lessThan">
      <formula>0</formula>
    </cfRule>
    <cfRule type="cellIs" dxfId="12" priority="4" operator="greaterThan">
      <formula>0</formula>
    </cfRule>
  </conditionalFormatting>
  <conditionalFormatting sqref="AF23">
    <cfRule type="cellIs" dxfId="11" priority="1" operator="lessThan">
      <formula>0</formula>
    </cfRule>
    <cfRule type="cellIs" dxfId="10" priority="2" operator="greaterThan">
      <formula>0</formula>
    </cfRule>
  </conditionalFormatting>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B095-27BE-4234-AE7E-B09BAB43B034}">
  <dimension ref="A1:M26"/>
  <sheetViews>
    <sheetView topLeftCell="A11" workbookViewId="0">
      <selection activeCell="K28" sqref="K28"/>
    </sheetView>
  </sheetViews>
  <sheetFormatPr defaultRowHeight="14.4" x14ac:dyDescent="0.3"/>
  <cols>
    <col min="1" max="1" width="36.33203125" style="1" customWidth="1"/>
    <col min="2" max="2" width="20.33203125" style="2" customWidth="1"/>
    <col min="3" max="3" width="10.21875" style="2" bestFit="1" customWidth="1"/>
    <col min="4" max="4" width="9.88671875" style="2" bestFit="1" customWidth="1"/>
    <col min="5" max="5" width="12.77734375" style="2" customWidth="1"/>
    <col min="6" max="6" width="12.44140625" style="2" customWidth="1"/>
    <col min="7" max="7" width="9.88671875" style="2" bestFit="1" customWidth="1"/>
    <col min="8" max="8" width="10.88671875" style="2" bestFit="1" customWidth="1"/>
    <col min="9" max="9" width="9.88671875" style="2" bestFit="1" customWidth="1"/>
    <col min="10" max="10" width="12.109375" style="2" customWidth="1"/>
    <col min="11" max="11" width="12.77734375" style="2" customWidth="1"/>
    <col min="12" max="12" width="10.21875" style="2" customWidth="1"/>
    <col min="13" max="16384" width="8.88671875" style="2"/>
  </cols>
  <sheetData>
    <row r="1" spans="1:12" ht="28.8" x14ac:dyDescent="0.3">
      <c r="A1" s="231" t="s">
        <v>480</v>
      </c>
      <c r="B1" s="231"/>
      <c r="C1" s="231"/>
      <c r="D1" s="231"/>
      <c r="E1" s="189"/>
    </row>
    <row r="2" spans="1:12" ht="28.8" customHeight="1" x14ac:dyDescent="0.3"/>
    <row r="3" spans="1:12" s="1" customFormat="1" ht="34.799999999999997" customHeight="1" x14ac:dyDescent="0.3">
      <c r="A3" s="1" t="s">
        <v>481</v>
      </c>
      <c r="B3" s="194" t="s">
        <v>482</v>
      </c>
      <c r="C3" s="194" t="s">
        <v>483</v>
      </c>
      <c r="D3" s="194" t="s">
        <v>484</v>
      </c>
      <c r="E3" s="194" t="s">
        <v>479</v>
      </c>
      <c r="F3" s="194" t="s">
        <v>478</v>
      </c>
      <c r="G3" s="194" t="s">
        <v>485</v>
      </c>
      <c r="H3" s="194" t="s">
        <v>486</v>
      </c>
      <c r="I3" s="194" t="s">
        <v>487</v>
      </c>
      <c r="J3" s="194" t="s">
        <v>19</v>
      </c>
      <c r="K3" s="194" t="s">
        <v>458</v>
      </c>
      <c r="L3" s="194" t="s">
        <v>488</v>
      </c>
    </row>
    <row r="4" spans="1:12" ht="28.8" x14ac:dyDescent="0.3">
      <c r="A4" s="195" t="e" vm="9">
        <v>#VALUE!</v>
      </c>
      <c r="B4" s="173" cm="1">
        <f t="array" aca="1" ref="B4" ca="1">_FV(A4,"Price")</f>
        <v>4789.5</v>
      </c>
      <c r="C4" s="173">
        <f ca="1">'Income Statement'!AI35/'Company Basic info'!F15</f>
        <v>125.06508167918957</v>
      </c>
      <c r="D4" s="173">
        <f ca="1">B4/C4</f>
        <v>38.296061024337519</v>
      </c>
      <c r="E4" s="173" cm="1">
        <f t="array" aca="1" ref="E4" ca="1">_FV(A4,"Shares outstanding",TRUE)/10000000</f>
        <v>66.877499999999998</v>
      </c>
      <c r="F4" s="173">
        <f ca="1">'Balance Sheet '!AB40/E4</f>
        <v>523.12317296549656</v>
      </c>
      <c r="G4" s="173">
        <f ca="1">B4/F4</f>
        <v>9.1555875318027624</v>
      </c>
      <c r="H4" s="173">
        <f ca="1">'Company Basic info'!F10+'Balance Sheet '!AB45+'Balance Sheet '!AB56-'Balance Sheet '!AB25</f>
        <v>304868.11000000004</v>
      </c>
      <c r="I4" s="8">
        <f>('Income Statement'!AI21+'Income Statement'!AI12+'Income Statement'!AI13)</f>
        <v>12169.760000000002</v>
      </c>
      <c r="J4" s="8">
        <f ca="1">H4/I4</f>
        <v>25.051283673630376</v>
      </c>
      <c r="K4" s="8">
        <f>'Income Statement'!AI6</f>
        <v>33542.639999999999</v>
      </c>
      <c r="L4" s="33">
        <f ca="1">H4/K4</f>
        <v>9.088971828097014</v>
      </c>
    </row>
    <row r="5" spans="1:12" ht="28.8" x14ac:dyDescent="0.3">
      <c r="A5" s="195" t="e" vm="8">
        <v>#VALUE!</v>
      </c>
      <c r="B5" s="173" cm="1">
        <f t="array" aca="1" ref="B5" ca="1">_FV(A5,"Price")</f>
        <v>1514.45</v>
      </c>
      <c r="C5" s="8">
        <f ca="1">'Income Statement'!AA22/'Company Basic info'!E15</f>
        <v>16.715315942028976</v>
      </c>
      <c r="D5" s="8">
        <f ca="1">B5/C5</f>
        <v>90.602535139169476</v>
      </c>
      <c r="E5" s="173" cm="1">
        <f t="array" aca="1" ref="E5" ca="1">_FV(A5,"Shares outstanding",TRUE)/10000000</f>
        <v>36.65625</v>
      </c>
      <c r="F5" s="8">
        <f ca="1">'Balance Sheet '!T31/E5</f>
        <v>99.214275873827788</v>
      </c>
      <c r="G5" s="173">
        <f t="shared" ref="G5:G8" ca="1" si="0">B5/F5</f>
        <v>15.264436359198426</v>
      </c>
      <c r="H5" s="8">
        <f ca="1">'Company Basic info'!E10+'Balance Sheet '!T43+'Balance Sheet '!T33-'Balance Sheet '!T19</f>
        <v>52477.149100000002</v>
      </c>
      <c r="I5" s="8">
        <f>('Income Statement'!AA15+'Income Statement'!AA11+'Income Statement'!AA12)</f>
        <v>898.37979999999948</v>
      </c>
      <c r="J5" s="8">
        <f t="shared" ref="J5:J8" ca="1" si="1">H5/I5</f>
        <v>58.413100005142631</v>
      </c>
      <c r="K5" s="8">
        <f>'Income Statement'!AA6</f>
        <v>2731.1043999999997</v>
      </c>
      <c r="L5" s="33">
        <f t="shared" ref="L5:L8" ca="1" si="2">H5/K5</f>
        <v>19.2146258121806</v>
      </c>
    </row>
    <row r="6" spans="1:12" ht="28.8" x14ac:dyDescent="0.3">
      <c r="A6" s="195" t="e" vm="6">
        <v>#VALUE!</v>
      </c>
      <c r="B6" s="173" cm="1">
        <f t="array" aca="1" ref="B6" ca="1">_FV(A6,"Price")</f>
        <v>416.7</v>
      </c>
      <c r="C6" s="8">
        <f ca="1">'Income Statement'!F30/'Company Basic info'!C15</f>
        <v>0.65264627015399446</v>
      </c>
      <c r="D6" s="8">
        <f ca="1">B6/C6</f>
        <v>638.47756289433471</v>
      </c>
      <c r="E6" s="173" cm="1">
        <f t="array" aca="1" ref="E6" ca="1">_FV(A6,"Shares outstanding",TRUE)/10000000</f>
        <v>730.97789999999998</v>
      </c>
      <c r="F6" s="8">
        <f ca="1">'Balance Sheet '!F36/E6</f>
        <v>22.359622637018163</v>
      </c>
      <c r="G6" s="173">
        <f t="shared" ca="1" si="0"/>
        <v>18.63627158492914</v>
      </c>
      <c r="H6" s="8">
        <f ca="1">'Company Basic info'!C10+'Balance Sheet '!F43+'Balance Sheet '!F52-'Balance Sheet '!F24</f>
        <v>301663.78999999998</v>
      </c>
      <c r="I6" s="8">
        <f>'Income Statement'!B20+'Income Statement'!B14+'Income Statement'!B16</f>
        <v>2549.63</v>
      </c>
      <c r="J6" s="8">
        <f t="shared" ca="1" si="1"/>
        <v>118.31669301035835</v>
      </c>
      <c r="K6" s="8">
        <f>'Income Statement'!B9</f>
        <v>10604.6</v>
      </c>
      <c r="L6" s="33">
        <f t="shared" ca="1" si="2"/>
        <v>28.446503404183087</v>
      </c>
    </row>
    <row r="7" spans="1:12" ht="28.8" x14ac:dyDescent="0.3">
      <c r="A7" s="195" t="e" vm="7">
        <v>#VALUE!</v>
      </c>
      <c r="B7" s="173" cm="1">
        <f t="array" aca="1" ref="B7" ca="1">_FV(A7,"Price")</f>
        <v>2705.35</v>
      </c>
      <c r="C7" s="8">
        <f ca="1">'Income Statement'!M29/'Company Basic info'!D15</f>
        <v>45.235757846199554</v>
      </c>
      <c r="D7" s="8">
        <f ca="1">B7/C7</f>
        <v>59.805563757727292</v>
      </c>
      <c r="E7" s="173" cm="1">
        <f t="array" aca="1" ref="E7" ca="1">_FV(A7,"Shares outstanding",TRUE)/10000000</f>
        <v>40.338000000000001</v>
      </c>
      <c r="F7" s="8">
        <f ca="1">'Balance Sheet '!M9/E7</f>
        <v>154.77886856066237</v>
      </c>
      <c r="G7" s="173">
        <f t="shared" ca="1" si="0"/>
        <v>17.478807185747673</v>
      </c>
      <c r="H7" s="8">
        <f ca="1">'Company Basic info'!D10-'Balance Sheet '!M41</f>
        <v>93504.97</v>
      </c>
      <c r="I7" s="8">
        <f>'Income Statement'!I20+'Income Statement'!I15+'Income Statement'!I16</f>
        <v>5754.0100000000011</v>
      </c>
      <c r="J7" s="8">
        <f t="shared" ca="1" si="1"/>
        <v>16.250401024676702</v>
      </c>
      <c r="K7" s="8">
        <f>'Income Statement'!I9</f>
        <v>20925.23</v>
      </c>
      <c r="L7" s="33">
        <f t="shared" ca="1" si="2"/>
        <v>4.4685277055497119</v>
      </c>
    </row>
    <row r="8" spans="1:12" ht="28.8" x14ac:dyDescent="0.3">
      <c r="A8" s="196" t="e" vm="11">
        <v>#VALUE!</v>
      </c>
      <c r="B8" s="179" cm="1">
        <f t="array" aca="1" ref="B8" ca="1">_FV(A8,"Price")</f>
        <v>2682</v>
      </c>
      <c r="C8" s="60">
        <f ca="1">'Income Statement'!T25/'Company Basic info'!G15</f>
        <v>31.188255115580706</v>
      </c>
      <c r="D8" s="60">
        <f ca="1">B8/C8</f>
        <v>85.993909888859221</v>
      </c>
      <c r="E8" s="179" cm="1">
        <f t="array" aca="1" ref="E8" ca="1">_FV(A8,"Shares outstanding",TRUE)/10000000</f>
        <v>11.4552</v>
      </c>
      <c r="F8" s="60">
        <f ca="1">'Balance Sheet '!AI29/E8</f>
        <v>146.08552447796635</v>
      </c>
      <c r="G8" s="179">
        <f t="shared" ca="1" si="0"/>
        <v>18.35910853990546</v>
      </c>
      <c r="H8" s="60">
        <f ca="1">'Company Basic info'!G10+'Balance Sheet '!AI32+'Balance Sheet '!AI40+'Balance Sheet '!AI41-'Balance Sheet '!AI18</f>
        <v>29547.230600000003</v>
      </c>
      <c r="I8" s="60">
        <f>'Income Statement'!T18+'Income Statement'!T13+'Income Statement'!T14</f>
        <v>533.73670000000004</v>
      </c>
      <c r="J8" s="60">
        <f t="shared" ca="1" si="1"/>
        <v>55.359188528725866</v>
      </c>
      <c r="K8" s="60">
        <f>'Income Statement'!T6</f>
        <v>3892.2642000000001</v>
      </c>
      <c r="L8" s="114">
        <f t="shared" ca="1" si="2"/>
        <v>7.5912705514697594</v>
      </c>
    </row>
    <row r="9" spans="1:12" x14ac:dyDescent="0.3">
      <c r="B9" s="162"/>
      <c r="C9" s="162"/>
      <c r="D9" s="162"/>
      <c r="E9" s="162"/>
      <c r="F9" s="162"/>
      <c r="G9" s="162"/>
      <c r="H9" s="162"/>
    </row>
    <row r="10" spans="1:12" x14ac:dyDescent="0.3">
      <c r="A10" s="1" t="s">
        <v>489</v>
      </c>
      <c r="B10" s="17"/>
      <c r="C10" s="17"/>
      <c r="D10" s="17">
        <f ca="1">AVERAGE(D4:D8)</f>
        <v>182.63512654088566</v>
      </c>
      <c r="E10" s="17"/>
      <c r="F10" s="17"/>
      <c r="G10" s="17">
        <f ca="1">AVERAGE(G4:G8)</f>
        <v>15.778842240316692</v>
      </c>
      <c r="H10" s="17"/>
      <c r="I10" s="17"/>
      <c r="J10" s="17">
        <f ca="1">AVERAGE(J4:J8)</f>
        <v>54.678133248506789</v>
      </c>
      <c r="K10" s="17"/>
      <c r="L10" s="17">
        <f t="shared" ref="L10" ca="1" si="3">AVERAGE(L4:L8)</f>
        <v>13.761979860296034</v>
      </c>
    </row>
    <row r="11" spans="1:12" x14ac:dyDescent="0.3">
      <c r="B11" s="17"/>
      <c r="C11" s="17"/>
      <c r="D11" s="17"/>
      <c r="E11" s="17"/>
      <c r="F11" s="17"/>
      <c r="G11" s="17"/>
    </row>
    <row r="12" spans="1:12" ht="30" customHeight="1" x14ac:dyDescent="0.3">
      <c r="B12" s="17"/>
      <c r="C12" s="232" t="e" vm="3">
        <v>#VALUE!</v>
      </c>
      <c r="D12" s="232"/>
      <c r="E12" s="232"/>
      <c r="F12" s="232"/>
      <c r="G12" s="232"/>
      <c r="H12" s="233" t="e" vm="4">
        <v>#VALUE!</v>
      </c>
      <c r="I12" s="233"/>
      <c r="J12" s="233"/>
      <c r="K12" s="233"/>
      <c r="L12" s="233"/>
    </row>
    <row r="13" spans="1:12" ht="28.8" x14ac:dyDescent="0.3">
      <c r="A13" s="191" t="s">
        <v>490</v>
      </c>
      <c r="B13" s="25" t="s">
        <v>489</v>
      </c>
      <c r="C13" s="27" t="s">
        <v>494</v>
      </c>
      <c r="D13" s="25" t="s">
        <v>495</v>
      </c>
      <c r="E13" s="25" t="s">
        <v>492</v>
      </c>
      <c r="F13" s="19" t="s">
        <v>482</v>
      </c>
      <c r="G13" s="19" t="s">
        <v>493</v>
      </c>
      <c r="H13" s="27" t="s">
        <v>494</v>
      </c>
      <c r="I13" s="25" t="s">
        <v>495</v>
      </c>
      <c r="J13" s="11" t="s">
        <v>492</v>
      </c>
      <c r="K13" s="19" t="s">
        <v>496</v>
      </c>
      <c r="L13" s="24" t="s">
        <v>493</v>
      </c>
    </row>
    <row r="14" spans="1:12" x14ac:dyDescent="0.3">
      <c r="A14" s="24" t="s">
        <v>484</v>
      </c>
      <c r="B14" s="192">
        <f ca="1">D10</f>
        <v>182.63512654088566</v>
      </c>
      <c r="C14" s="11" t="s">
        <v>483</v>
      </c>
      <c r="D14" s="192">
        <f ca="1">C5</f>
        <v>16.715315942028976</v>
      </c>
      <c r="E14" s="192">
        <f ca="1">B14*D14</f>
        <v>3052.8038422433456</v>
      </c>
      <c r="F14" s="192">
        <f ca="1">$B$5</f>
        <v>1514.45</v>
      </c>
      <c r="G14" s="20">
        <f ca="1">(E14-F14)/F14</f>
        <v>1.0157838438002875</v>
      </c>
      <c r="H14" s="11" t="s">
        <v>483</v>
      </c>
      <c r="I14" s="192">
        <f ca="1">C4</f>
        <v>125.06508167918957</v>
      </c>
      <c r="J14" s="8">
        <f ca="1">B14*I14</f>
        <v>22841.277018324989</v>
      </c>
      <c r="K14" s="8">
        <f ca="1">$B$4</f>
        <v>4789.5</v>
      </c>
      <c r="L14" s="20">
        <f ca="1">(J14-K14)/K14</f>
        <v>3.769031635520407</v>
      </c>
    </row>
    <row r="15" spans="1:12" x14ac:dyDescent="0.3">
      <c r="A15" s="24" t="s">
        <v>485</v>
      </c>
      <c r="B15" s="192">
        <f ca="1">G10</f>
        <v>15.778842240316692</v>
      </c>
      <c r="C15" s="11" t="s">
        <v>478</v>
      </c>
      <c r="D15" s="8">
        <f ca="1">F5</f>
        <v>99.214275873827788</v>
      </c>
      <c r="E15" s="192">
        <f t="shared" ref="E15" ca="1" si="4">B15*D15</f>
        <v>1565.4864070003871</v>
      </c>
      <c r="F15" s="192">
        <f t="shared" ref="F15:F17" ca="1" si="5">$B$5</f>
        <v>1514.45</v>
      </c>
      <c r="G15" s="20">
        <f t="shared" ref="G15:G17" ca="1" si="6">(E15-F15)/F15</f>
        <v>3.3699631549662941E-2</v>
      </c>
      <c r="H15" s="11" t="s">
        <v>478</v>
      </c>
      <c r="I15" s="192">
        <f ca="1">F4</f>
        <v>523.12317296549656</v>
      </c>
      <c r="J15" s="8">
        <f ca="1">B15*I15</f>
        <v>8254.2780184764724</v>
      </c>
      <c r="K15" s="8">
        <f t="shared" ref="K15:K17" ca="1" si="7">$B$4</f>
        <v>4789.5</v>
      </c>
      <c r="L15" s="20">
        <f t="shared" ref="L15:L17" ca="1" si="8">(J15-K15)/K15</f>
        <v>0.72341121588401136</v>
      </c>
    </row>
    <row r="16" spans="1:12" x14ac:dyDescent="0.3">
      <c r="A16" s="24" t="s">
        <v>19</v>
      </c>
      <c r="B16" s="193">
        <f ca="1">J10</f>
        <v>54.678133248506789</v>
      </c>
      <c r="C16" s="11" t="s">
        <v>487</v>
      </c>
      <c r="D16" s="192">
        <f>I5</f>
        <v>898.37979999999948</v>
      </c>
      <c r="E16" s="192">
        <f ca="1">(B16*D16)/E5</f>
        <v>1340.0642567684051</v>
      </c>
      <c r="F16" s="192">
        <f t="shared" ca="1" si="5"/>
        <v>1514.45</v>
      </c>
      <c r="G16" s="20">
        <f t="shared" ca="1" si="6"/>
        <v>-0.11514790401241039</v>
      </c>
      <c r="H16" s="11" t="s">
        <v>487</v>
      </c>
      <c r="I16" s="192">
        <f>I4</f>
        <v>12169.760000000002</v>
      </c>
      <c r="J16" s="8">
        <f ca="1">(B16*I16)/E4</f>
        <v>9949.8300457156456</v>
      </c>
      <c r="K16" s="8">
        <f t="shared" ca="1" si="7"/>
        <v>4789.5</v>
      </c>
      <c r="L16" s="20">
        <f t="shared" ca="1" si="8"/>
        <v>1.0774256280855299</v>
      </c>
    </row>
    <row r="17" spans="1:13" x14ac:dyDescent="0.3">
      <c r="A17" s="24" t="s">
        <v>488</v>
      </c>
      <c r="B17" s="193">
        <f ca="1">L10</f>
        <v>13.761979860296034</v>
      </c>
      <c r="C17" s="11" t="s">
        <v>491</v>
      </c>
      <c r="D17" s="192">
        <f>K5</f>
        <v>2731.1043999999997</v>
      </c>
      <c r="E17" s="192">
        <f ca="1">(B17*D17)/E5</f>
        <v>1025.3477578630079</v>
      </c>
      <c r="F17" s="192">
        <f t="shared" ca="1" si="5"/>
        <v>1514.45</v>
      </c>
      <c r="G17" s="20">
        <f t="shared" ca="1" si="6"/>
        <v>-0.32295700890553808</v>
      </c>
      <c r="H17" s="11" t="s">
        <v>491</v>
      </c>
      <c r="I17" s="192">
        <f>K4</f>
        <v>33542.639999999999</v>
      </c>
      <c r="J17" s="8">
        <f ca="1">(B17*I17)/E4</f>
        <v>6902.3683023611857</v>
      </c>
      <c r="K17" s="8">
        <f t="shared" ca="1" si="7"/>
        <v>4789.5</v>
      </c>
      <c r="L17" s="20">
        <f t="shared" ca="1" si="8"/>
        <v>0.44114590298803336</v>
      </c>
    </row>
    <row r="18" spans="1:13" x14ac:dyDescent="0.3">
      <c r="B18" s="17"/>
      <c r="C18" s="17"/>
      <c r="E18" s="17">
        <f ca="1">AVERAGE(E14:E17)</f>
        <v>1745.9255659687865</v>
      </c>
      <c r="J18" s="17">
        <f ca="1">AVERAGE(J14:J17)</f>
        <v>11986.938346219573</v>
      </c>
    </row>
    <row r="19" spans="1:13" ht="32.4" customHeight="1" x14ac:dyDescent="0.3">
      <c r="B19" s="232" t="e" vm="1">
        <v>#VALUE!</v>
      </c>
      <c r="C19" s="232"/>
      <c r="D19" s="232"/>
      <c r="E19" s="232"/>
      <c r="F19" s="229" t="e" vm="2">
        <v>#VALUE!</v>
      </c>
      <c r="G19" s="229"/>
      <c r="H19" s="229"/>
      <c r="I19" s="229"/>
      <c r="J19" s="229" t="e" vm="5">
        <v>#VALUE!</v>
      </c>
      <c r="K19" s="229"/>
      <c r="L19" s="229"/>
      <c r="M19" s="229"/>
    </row>
    <row r="20" spans="1:13" s="1" customFormat="1" ht="28.8" x14ac:dyDescent="0.3">
      <c r="A20" s="24" t="s">
        <v>494</v>
      </c>
      <c r="B20" s="197" t="s">
        <v>495</v>
      </c>
      <c r="C20" s="197" t="s">
        <v>492</v>
      </c>
      <c r="D20" s="24" t="s">
        <v>497</v>
      </c>
      <c r="E20" s="24" t="s">
        <v>493</v>
      </c>
      <c r="F20" s="24" t="s">
        <v>495</v>
      </c>
      <c r="G20" s="24" t="s">
        <v>492</v>
      </c>
      <c r="H20" s="24" t="s">
        <v>497</v>
      </c>
      <c r="I20" s="24" t="s">
        <v>493</v>
      </c>
      <c r="J20" s="24" t="s">
        <v>495</v>
      </c>
      <c r="K20" s="24" t="s">
        <v>492</v>
      </c>
      <c r="L20" s="24" t="s">
        <v>497</v>
      </c>
      <c r="M20" s="24" t="s">
        <v>493</v>
      </c>
    </row>
    <row r="21" spans="1:13" x14ac:dyDescent="0.3">
      <c r="A21" s="11" t="s">
        <v>483</v>
      </c>
      <c r="B21" s="192">
        <f ca="1">C6</f>
        <v>0.65264627015399446</v>
      </c>
      <c r="C21" s="192">
        <f ca="1">B14*B21</f>
        <v>119.19613413601184</v>
      </c>
      <c r="D21" s="192">
        <f ca="1">$B$6</f>
        <v>416.7</v>
      </c>
      <c r="E21" s="20">
        <f ca="1">(C21-D21)/D21</f>
        <v>-0.7139521619006195</v>
      </c>
      <c r="F21" s="192">
        <f ca="1">C7</f>
        <v>45.235757846199554</v>
      </c>
      <c r="G21" s="8">
        <f ca="1">B14*F21</f>
        <v>8261.6383584135165</v>
      </c>
      <c r="H21" s="8">
        <f ca="1">$B$7</f>
        <v>2705.35</v>
      </c>
      <c r="I21" s="20">
        <f ca="1">(G21-H21)/H21</f>
        <v>2.0538149808392689</v>
      </c>
      <c r="J21" s="8">
        <f ca="1">C8</f>
        <v>31.188255115580706</v>
      </c>
      <c r="K21" s="8">
        <f ca="1">B14*J21</f>
        <v>5696.0709196235066</v>
      </c>
      <c r="L21" s="8">
        <f ca="1">$B$8</f>
        <v>2682</v>
      </c>
      <c r="M21" s="20">
        <f ca="1">(K21-L21)/L21</f>
        <v>1.1238146605605916</v>
      </c>
    </row>
    <row r="22" spans="1:13" x14ac:dyDescent="0.3">
      <c r="A22" s="11" t="s">
        <v>478</v>
      </c>
      <c r="B22" s="192">
        <f ca="1">F6</f>
        <v>22.359622637018163</v>
      </c>
      <c r="C22" s="192">
        <f ca="1">B15*B22</f>
        <v>352.80895814252347</v>
      </c>
      <c r="D22" s="192">
        <f t="shared" ref="D22:D24" ca="1" si="9">$B$6</f>
        <v>416.7</v>
      </c>
      <c r="E22" s="20">
        <f t="shared" ref="E22:E24" ca="1" si="10">(C22-D22)/D22</f>
        <v>-0.15332623435919493</v>
      </c>
      <c r="F22" s="192">
        <f ca="1">F7</f>
        <v>154.77886856066237</v>
      </c>
      <c r="G22" s="8">
        <f ca="1">B15*F22</f>
        <v>2442.2313491534046</v>
      </c>
      <c r="H22" s="8">
        <f t="shared" ref="H22:H24" ca="1" si="11">$B$7</f>
        <v>2705.35</v>
      </c>
      <c r="I22" s="20">
        <f t="shared" ref="I22:I24" ca="1" si="12">(G22-H22)/H22</f>
        <v>-9.7258635979298541E-2</v>
      </c>
      <c r="J22" s="8">
        <f ca="1">F8</f>
        <v>146.08552447796635</v>
      </c>
      <c r="K22" s="8">
        <f ca="1">B15*J22</f>
        <v>2305.0604443317534</v>
      </c>
      <c r="L22" s="8">
        <f t="shared" ref="L22:L24" ca="1" si="13">$B$8</f>
        <v>2682</v>
      </c>
      <c r="M22" s="20">
        <f t="shared" ref="M22:M24" ca="1" si="14">(K22-L22)/L22</f>
        <v>-0.14054420420143424</v>
      </c>
    </row>
    <row r="23" spans="1:13" x14ac:dyDescent="0.3">
      <c r="A23" s="11" t="s">
        <v>487</v>
      </c>
      <c r="B23" s="192">
        <f>I6</f>
        <v>2549.63</v>
      </c>
      <c r="C23" s="192">
        <f ca="1">(B16*B23)/E6</f>
        <v>190.71576428561022</v>
      </c>
      <c r="D23" s="192">
        <f t="shared" ca="1" si="9"/>
        <v>416.7</v>
      </c>
      <c r="E23" s="20">
        <f t="shared" ca="1" si="10"/>
        <v>-0.54231878021211855</v>
      </c>
      <c r="F23" s="192">
        <f>I7</f>
        <v>5754.0100000000011</v>
      </c>
      <c r="G23" s="8">
        <f ca="1">(B16*F23)/E7</f>
        <v>7799.5568816808127</v>
      </c>
      <c r="H23" s="8">
        <f t="shared" ca="1" si="11"/>
        <v>2705.35</v>
      </c>
      <c r="I23" s="20">
        <f t="shared" ca="1" si="12"/>
        <v>1.8830121358348508</v>
      </c>
      <c r="J23" s="8">
        <f>I8</f>
        <v>533.73670000000004</v>
      </c>
      <c r="K23" s="8">
        <f ca="1">(B16*J23)/E8</f>
        <v>2547.6400588569645</v>
      </c>
      <c r="L23" s="8">
        <f t="shared" ca="1" si="13"/>
        <v>2682</v>
      </c>
      <c r="M23" s="20">
        <f t="shared" ca="1" si="14"/>
        <v>-5.0096920634987128E-2</v>
      </c>
    </row>
    <row r="24" spans="1:13" x14ac:dyDescent="0.3">
      <c r="A24" s="11" t="s">
        <v>491</v>
      </c>
      <c r="B24" s="8">
        <f>K6</f>
        <v>10604.6</v>
      </c>
      <c r="C24" s="8">
        <f ca="1">(B17*B24)/E6</f>
        <v>199.65075774041233</v>
      </c>
      <c r="D24" s="192">
        <f t="shared" ca="1" si="9"/>
        <v>416.7</v>
      </c>
      <c r="E24" s="20">
        <f t="shared" ca="1" si="10"/>
        <v>-0.52087651130210622</v>
      </c>
      <c r="F24" s="192">
        <f>K7</f>
        <v>20925.23</v>
      </c>
      <c r="G24" s="8">
        <f ca="1">(B17*F24)/E7</f>
        <v>7138.9903771149384</v>
      </c>
      <c r="H24" s="8">
        <f t="shared" ca="1" si="11"/>
        <v>2705.35</v>
      </c>
      <c r="I24" s="20">
        <f t="shared" ca="1" si="12"/>
        <v>1.6388416940931629</v>
      </c>
      <c r="J24" s="8">
        <f>K8</f>
        <v>3892.2642000000001</v>
      </c>
      <c r="K24" s="8">
        <f ca="1">(B17*J24)/E8</f>
        <v>4676.0651521886357</v>
      </c>
      <c r="L24" s="8">
        <f t="shared" ca="1" si="13"/>
        <v>2682</v>
      </c>
      <c r="M24" s="20">
        <f t="shared" ca="1" si="14"/>
        <v>0.7434993110323026</v>
      </c>
    </row>
    <row r="25" spans="1:13" x14ac:dyDescent="0.3">
      <c r="B25" s="2" t="s">
        <v>489</v>
      </c>
      <c r="C25" s="17">
        <f ca="1">AVERAGE(C21:C24)</f>
        <v>215.59290357613946</v>
      </c>
      <c r="G25" s="17">
        <f ca="1">AVERAGE(G21:G24)</f>
        <v>6410.6042415906686</v>
      </c>
      <c r="K25" s="17">
        <f ca="1">AVERAGE(K21:K24)</f>
        <v>3806.2091437502149</v>
      </c>
    </row>
    <row r="26" spans="1:13" x14ac:dyDescent="0.3">
      <c r="K26" s="17"/>
    </row>
  </sheetData>
  <mergeCells count="6">
    <mergeCell ref="A1:D1"/>
    <mergeCell ref="C12:G12"/>
    <mergeCell ref="H12:L12"/>
    <mergeCell ref="B19:E19"/>
    <mergeCell ref="F19:I19"/>
    <mergeCell ref="J19:M19"/>
  </mergeCells>
  <conditionalFormatting sqref="E21:E24">
    <cfRule type="cellIs" dxfId="9" priority="5" operator="lessThan">
      <formula>0</formula>
    </cfRule>
    <cfRule type="cellIs" dxfId="8" priority="6" operator="greaterThan">
      <formula>0</formula>
    </cfRule>
  </conditionalFormatting>
  <conditionalFormatting sqref="G14:G17">
    <cfRule type="cellIs" dxfId="7" priority="9" operator="lessThan">
      <formula>0</formula>
    </cfRule>
    <cfRule type="cellIs" dxfId="6" priority="10" operator="greaterThan">
      <formula>0</formula>
    </cfRule>
  </conditionalFormatting>
  <conditionalFormatting sqref="I21:I24">
    <cfRule type="cellIs" dxfId="5" priority="1" operator="lessThan">
      <formula>0</formula>
    </cfRule>
    <cfRule type="cellIs" dxfId="4" priority="4" operator="greaterThan">
      <formula>0</formula>
    </cfRule>
  </conditionalFormatting>
  <conditionalFormatting sqref="L14:L17">
    <cfRule type="cellIs" dxfId="3" priority="7" operator="lessThan">
      <formula>0</formula>
    </cfRule>
    <cfRule type="cellIs" dxfId="2" priority="8" operator="greaterThan">
      <formula>0</formula>
    </cfRule>
  </conditionalFormatting>
  <conditionalFormatting sqref="M21:M24">
    <cfRule type="cellIs" dxfId="1" priority="2" operator="lessThan">
      <formula>0</formula>
    </cfRule>
    <cfRule type="cellIs" dxfId="0" priority="3" operator="greaterThan">
      <formula>0</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0D39-668D-421F-8CA5-A69CB7A8245A}">
  <dimension ref="A1:P25"/>
  <sheetViews>
    <sheetView workbookViewId="0">
      <selection activeCell="G3" sqref="G3"/>
    </sheetView>
  </sheetViews>
  <sheetFormatPr defaultRowHeight="14.4" x14ac:dyDescent="0.3"/>
  <cols>
    <col min="1" max="1" width="8.88671875" style="2"/>
    <col min="2" max="2" width="11" style="2" bestFit="1" customWidth="1"/>
    <col min="3" max="6" width="8.88671875" style="2"/>
    <col min="7" max="8" width="11.21875" style="2" customWidth="1"/>
    <col min="9" max="9" width="11.21875" style="89" customWidth="1"/>
    <col min="10" max="16" width="11.21875" style="2" customWidth="1"/>
    <col min="17" max="16384" width="8.88671875" style="2"/>
  </cols>
  <sheetData>
    <row r="1" spans="1:16" ht="43.2" x14ac:dyDescent="0.3">
      <c r="A1" s="12" t="s">
        <v>456</v>
      </c>
      <c r="B1" s="12" t="s">
        <v>510</v>
      </c>
      <c r="C1" s="12" t="s">
        <v>481</v>
      </c>
      <c r="D1" s="12" t="s">
        <v>511</v>
      </c>
      <c r="G1" s="217" t="s">
        <v>481</v>
      </c>
      <c r="H1" s="217" t="s">
        <v>518</v>
      </c>
      <c r="I1" s="217" t="s">
        <v>519</v>
      </c>
      <c r="J1" s="217" t="s">
        <v>520</v>
      </c>
      <c r="K1" s="217" t="s">
        <v>521</v>
      </c>
      <c r="L1" s="216" t="s">
        <v>522</v>
      </c>
      <c r="M1" s="216" t="s">
        <v>523</v>
      </c>
      <c r="N1" s="217" t="s">
        <v>524</v>
      </c>
      <c r="O1" s="217" t="s">
        <v>525</v>
      </c>
      <c r="P1" s="217" t="s">
        <v>526</v>
      </c>
    </row>
    <row r="2" spans="1:16" x14ac:dyDescent="0.3">
      <c r="A2" s="11" t="s">
        <v>512</v>
      </c>
      <c r="B2" s="11" t="s">
        <v>514</v>
      </c>
      <c r="C2" s="11" t="s">
        <v>501</v>
      </c>
      <c r="D2" s="220">
        <f>ABS(AVERAGE('Cash Flow Statement'!B42:F42))</f>
        <v>605.798</v>
      </c>
      <c r="G2" s="11" t="str">
        <f>C2</f>
        <v>BEL</v>
      </c>
      <c r="H2" s="192">
        <f>(('Income Statement'!I21+'Income Statement'!I15)-('Income Statement'!M20+'Income Statement'!M15))</f>
        <v>2859.5800000000031</v>
      </c>
      <c r="I2" s="8">
        <f>(('Balance Sheet '!F31-'Balance Sheet '!F58)-('Balance Sheet '!B31-'Balance Sheet '!B58))</f>
        <v>6366.8900000000085</v>
      </c>
      <c r="J2" s="138">
        <f>H2/I2</f>
        <v>0.44913293617449013</v>
      </c>
      <c r="K2" s="192">
        <f>DCF!I5-DCF!D5</f>
        <v>7055.0243836885347</v>
      </c>
      <c r="L2" s="18">
        <f>D8</f>
        <v>850.95794542738679</v>
      </c>
      <c r="M2" s="192">
        <f>AVERAGE(DCF!D8:I8)</f>
        <v>95.210455008956259</v>
      </c>
      <c r="N2" s="8">
        <f>IF(L2-M2&lt;=0,L2,MAX(L2-M2,0.1*L2))</f>
        <v>755.74749041843052</v>
      </c>
      <c r="O2" s="21">
        <f>K2/N2</f>
        <v>9.3351608482119062</v>
      </c>
      <c r="P2" s="222">
        <f>MIN(MAX(O2,0.1),0.25)</f>
        <v>0.25</v>
      </c>
    </row>
    <row r="3" spans="1:16" x14ac:dyDescent="0.3">
      <c r="A3" s="11" t="s">
        <v>512</v>
      </c>
      <c r="B3" s="11" t="s">
        <v>514</v>
      </c>
      <c r="C3" s="11" t="s">
        <v>502</v>
      </c>
      <c r="D3" s="220">
        <f>ABS(AVERAGE('Cash Flow Statement'!I29:M29))</f>
        <v>43.190000000000005</v>
      </c>
      <c r="G3" s="11" t="str">
        <f t="shared" ref="G3:G7" si="0">C3</f>
        <v>MDL</v>
      </c>
      <c r="H3" s="192">
        <f>(('Income Statement'!B20+'Income Statement'!B14)-('Income Statement'!F20+'Income Statement'!F14))</f>
        <v>1709.5500000000004</v>
      </c>
      <c r="I3" s="8">
        <f>(('Balance Sheet '!M48-'Balance Sheet '!M22)-('Balance Sheet '!I48-'Balance Sheet '!I22))</f>
        <v>2333.5500000000029</v>
      </c>
      <c r="J3" s="138">
        <f t="shared" ref="J3:J6" si="1">H3/I3</f>
        <v>0.73259625891881397</v>
      </c>
      <c r="K3" s="192">
        <f>DCF!S5-DCF!N5</f>
        <v>7173.7097808507888</v>
      </c>
      <c r="L3" s="18">
        <f t="shared" ref="L3:L6" si="2">D9</f>
        <v>152.16912772968905</v>
      </c>
      <c r="M3" s="192">
        <f>AVERAGE(DCF!N8:S8)</f>
        <v>443.71223102217942</v>
      </c>
      <c r="N3" s="8">
        <f t="shared" ref="N3:N6" si="3">IF(L3-M3&lt;=0,L3,MAX(L3-M3,0.1*L3))</f>
        <v>152.16912772968905</v>
      </c>
      <c r="O3" s="21">
        <f t="shared" ref="O3:O6" si="4">K3/N3</f>
        <v>47.143003892314205</v>
      </c>
      <c r="P3" s="222">
        <f t="shared" ref="P3:P6" si="5">MIN(MAX(O3,0.1),0.25)</f>
        <v>0.25</v>
      </c>
    </row>
    <row r="4" spans="1:16" x14ac:dyDescent="0.3">
      <c r="A4" s="11" t="s">
        <v>512</v>
      </c>
      <c r="B4" s="11" t="s">
        <v>514</v>
      </c>
      <c r="C4" s="11" t="s">
        <v>503</v>
      </c>
      <c r="D4" s="220">
        <f>ABS(AVERAGE('Cash Flow Statement'!P34:T34))</f>
        <v>80.937699999999992</v>
      </c>
      <c r="G4" s="11" t="str">
        <f t="shared" si="0"/>
        <v>BDL</v>
      </c>
      <c r="H4" s="192">
        <f>(('Income Statement'!AA15+'Income Statement'!AA11)-('Income Statement'!W15+'Income Statement'!W11))</f>
        <v>84.230899999999792</v>
      </c>
      <c r="I4" s="8">
        <f>(('Balance Sheet '!T26-'Balance Sheet '!T48)-('Balance Sheet '!P26-'Balance Sheet '!P48))</f>
        <v>3963.6956999999961</v>
      </c>
      <c r="J4" s="138">
        <f t="shared" si="1"/>
        <v>2.1250597012278181E-2</v>
      </c>
      <c r="K4" s="192">
        <f>DCF!AC5-DCF!X5</f>
        <v>2076.5528891592644</v>
      </c>
      <c r="L4" s="18">
        <f t="shared" si="2"/>
        <v>108.01374326321053</v>
      </c>
      <c r="M4" s="192">
        <f>AVERAGE(DCF!X8:AC8)</f>
        <v>113.6027792385495</v>
      </c>
      <c r="N4" s="8">
        <f t="shared" si="3"/>
        <v>108.01374326321053</v>
      </c>
      <c r="O4" s="21">
        <f t="shared" si="4"/>
        <v>19.224895151527797</v>
      </c>
      <c r="P4" s="222">
        <f t="shared" si="5"/>
        <v>0.25</v>
      </c>
    </row>
    <row r="5" spans="1:16" x14ac:dyDescent="0.3">
      <c r="A5" s="11" t="s">
        <v>512</v>
      </c>
      <c r="B5" s="11" t="s">
        <v>514</v>
      </c>
      <c r="C5" s="11" t="s">
        <v>255</v>
      </c>
      <c r="D5" s="220">
        <f>ABS(AVERAGE('Cash Flow Statement'!W32:AA32))</f>
        <v>75.273380000000003</v>
      </c>
      <c r="G5" s="11" t="str">
        <f t="shared" si="0"/>
        <v>GRSE</v>
      </c>
      <c r="H5" s="192">
        <f>(('Income Statement'!T18+'Income Statement'!T13)-('Income Statement'!P18+'Income Statement'!P13))</f>
        <v>256.59649999999999</v>
      </c>
      <c r="I5" s="8">
        <f>(('Balance Sheet '!AI24-'Balance Sheet '!AI48)-('Balance Sheet '!AE24-'Balance Sheet '!AE48))</f>
        <v>762.98400000000129</v>
      </c>
      <c r="J5" s="138">
        <f t="shared" si="1"/>
        <v>0.33630652805301231</v>
      </c>
      <c r="K5" s="192">
        <f>Table25[[#This Row],[2030]]-Table25[[#This Row],[2025]]</f>
        <v>620.81250020935067</v>
      </c>
      <c r="L5" s="18">
        <f t="shared" si="2"/>
        <v>240.09612472299963</v>
      </c>
      <c r="M5" s="192">
        <f>AVERAGE(DCF!AH8:AM8)</f>
        <v>51.910005846354608</v>
      </c>
      <c r="N5" s="8">
        <f t="shared" si="3"/>
        <v>188.18611887664503</v>
      </c>
      <c r="O5" s="21">
        <f t="shared" si="4"/>
        <v>3.2989282308132934</v>
      </c>
      <c r="P5" s="222">
        <f t="shared" si="5"/>
        <v>0.25</v>
      </c>
    </row>
    <row r="6" spans="1:16" x14ac:dyDescent="0.3">
      <c r="A6" s="11" t="s">
        <v>513</v>
      </c>
      <c r="B6" s="11" t="s">
        <v>514</v>
      </c>
      <c r="C6" s="11" t="s">
        <v>504</v>
      </c>
      <c r="D6" s="220">
        <f>ABS(AVERAGE('Cash Flow Statement'!AD34:AI34))</f>
        <v>846.90500000000009</v>
      </c>
      <c r="G6" s="11" t="str">
        <f t="shared" si="0"/>
        <v>HAL</v>
      </c>
      <c r="H6" s="192">
        <f>(('Income Statement'!AI21+'Income Statement'!AI12)-('Income Statement'!AD21+'Income Statement'!AD12))</f>
        <v>6628.2300000000023</v>
      </c>
      <c r="I6" s="8">
        <f>(('Balance Sheet '!AB33-'Balance Sheet '!AB61)-('Balance Sheet '!W33-'Balance Sheet '!W61))</f>
        <v>40021.419999999969</v>
      </c>
      <c r="J6" s="138">
        <f t="shared" si="1"/>
        <v>0.16561706206326532</v>
      </c>
      <c r="K6" s="192">
        <f>DCF!AV5-DCF!AR5</f>
        <v>11158.940056227681</v>
      </c>
      <c r="L6" s="18">
        <f t="shared" si="2"/>
        <v>1290.7410538257875</v>
      </c>
      <c r="M6" s="192">
        <f>AVERAGE(DCF!AR8:AV8)</f>
        <v>1556.6962885814546</v>
      </c>
      <c r="N6" s="8">
        <f t="shared" si="3"/>
        <v>1290.7410538257875</v>
      </c>
      <c r="O6" s="21">
        <f t="shared" si="4"/>
        <v>8.6453747040526174</v>
      </c>
      <c r="P6" s="222">
        <f t="shared" si="5"/>
        <v>0.25</v>
      </c>
    </row>
    <row r="7" spans="1:16" x14ac:dyDescent="0.3">
      <c r="A7" s="12" t="s">
        <v>512</v>
      </c>
      <c r="B7" s="12" t="s">
        <v>514</v>
      </c>
      <c r="C7" s="12" t="s">
        <v>489</v>
      </c>
      <c r="D7" s="218">
        <f>AVERAGE(D2:D6)</f>
        <v>330.420816</v>
      </c>
      <c r="G7" s="12" t="str">
        <f t="shared" si="0"/>
        <v>Average</v>
      </c>
      <c r="H7" s="12"/>
      <c r="I7" s="13"/>
      <c r="J7" s="219">
        <f>AVERAGE(J2:J6)</f>
        <v>0.34098067644437197</v>
      </c>
      <c r="K7" s="12"/>
      <c r="L7" s="12"/>
      <c r="M7" s="12"/>
      <c r="N7" s="12"/>
      <c r="O7" s="221">
        <f>AVERAGE(O2:O6)</f>
        <v>17.529472565383962</v>
      </c>
      <c r="P7" s="221">
        <f>AVERAGE(P2:P6)</f>
        <v>0.25</v>
      </c>
    </row>
    <row r="8" spans="1:16" x14ac:dyDescent="0.3">
      <c r="A8" s="11" t="str">
        <f>A14</f>
        <v>2025-30</v>
      </c>
      <c r="B8" s="11" t="s">
        <v>514</v>
      </c>
      <c r="C8" s="11" t="str">
        <f>C2</f>
        <v>BEL</v>
      </c>
      <c r="D8" s="220">
        <f>AVERAGE(DCF!D9:I9)</f>
        <v>850.95794542738679</v>
      </c>
    </row>
    <row r="9" spans="1:16" x14ac:dyDescent="0.3">
      <c r="A9" s="11" t="str">
        <f t="shared" ref="A9:A13" si="6">A15</f>
        <v>2025-30</v>
      </c>
      <c r="B9" s="11" t="s">
        <v>514</v>
      </c>
      <c r="C9" s="11" t="str">
        <f t="shared" ref="C9:C13" si="7">C3</f>
        <v>MDL</v>
      </c>
      <c r="D9" s="220">
        <f>AVERAGE(Table23[[#This Row],[2025]:[2030]])</f>
        <v>152.16912772968905</v>
      </c>
    </row>
    <row r="10" spans="1:16" x14ac:dyDescent="0.3">
      <c r="A10" s="11" t="str">
        <f t="shared" si="6"/>
        <v>2025-30</v>
      </c>
      <c r="B10" s="11" t="s">
        <v>514</v>
      </c>
      <c r="C10" s="11" t="str">
        <f t="shared" si="7"/>
        <v>BDL</v>
      </c>
      <c r="D10" s="220">
        <f>AVERAGE(DCF!X9:AC9)</f>
        <v>108.01374326321053</v>
      </c>
    </row>
    <row r="11" spans="1:16" x14ac:dyDescent="0.3">
      <c r="A11" s="11" t="str">
        <f t="shared" si="6"/>
        <v>2025-30</v>
      </c>
      <c r="B11" s="11" t="s">
        <v>514</v>
      </c>
      <c r="C11" s="11" t="str">
        <f t="shared" si="7"/>
        <v>GRSE</v>
      </c>
      <c r="D11" s="220">
        <f>AVERAGE(DCF!AH9:AM9)</f>
        <v>240.09612472299963</v>
      </c>
    </row>
    <row r="12" spans="1:16" x14ac:dyDescent="0.3">
      <c r="A12" s="11" t="str">
        <f t="shared" si="6"/>
        <v>2026-30</v>
      </c>
      <c r="B12" s="11" t="s">
        <v>514</v>
      </c>
      <c r="C12" s="11" t="str">
        <f t="shared" si="7"/>
        <v>HAL</v>
      </c>
      <c r="D12" s="220">
        <f>AVERAGE(DCF!AR9:AV9)</f>
        <v>1290.7410538257875</v>
      </c>
    </row>
    <row r="13" spans="1:16" x14ac:dyDescent="0.3">
      <c r="A13" s="12" t="str">
        <f t="shared" si="6"/>
        <v>2025-30</v>
      </c>
      <c r="B13" s="12" t="s">
        <v>514</v>
      </c>
      <c r="C13" s="12" t="str">
        <f t="shared" si="7"/>
        <v>Average</v>
      </c>
      <c r="D13" s="218">
        <f>AVERAGE(D8:D12)</f>
        <v>528.3955989938147</v>
      </c>
    </row>
    <row r="14" spans="1:16" x14ac:dyDescent="0.3">
      <c r="A14" s="11" t="s">
        <v>515</v>
      </c>
      <c r="B14" s="11" t="s">
        <v>517</v>
      </c>
      <c r="C14" s="11" t="str">
        <f>C8</f>
        <v>BEL</v>
      </c>
      <c r="D14" s="138">
        <f>(DCF!I9/DCF!D9)^(1/6)-1</f>
        <v>2.6230087963856619E-2</v>
      </c>
    </row>
    <row r="15" spans="1:16" x14ac:dyDescent="0.3">
      <c r="A15" s="11" t="s">
        <v>515</v>
      </c>
      <c r="B15" s="11" t="s">
        <v>517</v>
      </c>
      <c r="C15" s="11" t="str">
        <f t="shared" ref="C15:C19" si="8">C9</f>
        <v>MDL</v>
      </c>
      <c r="D15" s="138">
        <f>(DCF!S9/DCF!N9)^(1/6)-1</f>
        <v>8.1638167653912408E-2</v>
      </c>
    </row>
    <row r="16" spans="1:16" x14ac:dyDescent="0.3">
      <c r="A16" s="11" t="s">
        <v>515</v>
      </c>
      <c r="B16" s="11" t="s">
        <v>517</v>
      </c>
      <c r="C16" s="11" t="str">
        <f t="shared" si="8"/>
        <v>BDL</v>
      </c>
      <c r="D16" s="138">
        <f>(DCF!AC9/DCF!X9)^(1/6)-1</f>
        <v>6.6132617450269882E-2</v>
      </c>
    </row>
    <row r="17" spans="1:4" x14ac:dyDescent="0.3">
      <c r="A17" s="11" t="s">
        <v>515</v>
      </c>
      <c r="B17" s="11" t="s">
        <v>517</v>
      </c>
      <c r="C17" s="11" t="str">
        <f t="shared" si="8"/>
        <v>GRSE</v>
      </c>
      <c r="D17" s="138">
        <f>(DCF!AM9/DCF!AH9)^(1/6)-1</f>
        <v>0.1527495077612806</v>
      </c>
    </row>
    <row r="18" spans="1:4" x14ac:dyDescent="0.3">
      <c r="A18" s="11" t="s">
        <v>516</v>
      </c>
      <c r="B18" s="11" t="s">
        <v>517</v>
      </c>
      <c r="C18" s="11" t="str">
        <f t="shared" si="8"/>
        <v>HAL</v>
      </c>
      <c r="D18" s="138">
        <f>(DCF!AV9/DCF!AR9)^(1/5)-1</f>
        <v>5.9514941809010402E-2</v>
      </c>
    </row>
    <row r="19" spans="1:4" x14ac:dyDescent="0.3">
      <c r="A19" s="12" t="s">
        <v>515</v>
      </c>
      <c r="B19" s="12" t="s">
        <v>517</v>
      </c>
      <c r="C19" s="12" t="str">
        <f t="shared" si="8"/>
        <v>Average</v>
      </c>
      <c r="D19" s="213">
        <f>AVERAGE(D14:D18)</f>
        <v>7.7253064527665977E-2</v>
      </c>
    </row>
    <row r="20" spans="1:4" x14ac:dyDescent="0.3">
      <c r="A20" s="2" t="str">
        <f>A14</f>
        <v>2025-30</v>
      </c>
      <c r="B20" s="2" t="str">
        <f>B14</f>
        <v>Capex CAGR</v>
      </c>
      <c r="C20" s="2" t="str">
        <f>C14</f>
        <v>BEL</v>
      </c>
      <c r="D20" s="212">
        <f>(DCF!I7/DCF!B7)^(1/7)-1</f>
        <v>0.22446181048168889</v>
      </c>
    </row>
    <row r="21" spans="1:4" x14ac:dyDescent="0.3">
      <c r="A21" s="2" t="str">
        <f t="shared" ref="A21:B21" si="9">A15</f>
        <v>2025-30</v>
      </c>
      <c r="B21" s="2" t="str">
        <f t="shared" si="9"/>
        <v>Capex CAGR</v>
      </c>
      <c r="C21" s="2" t="str">
        <f t="shared" ref="C21:C24" si="10">C15</f>
        <v>MDL</v>
      </c>
      <c r="D21" s="212">
        <f>(DCF!S7/DCF!L7)^(1/7)-1</f>
        <v>0.140415414515632</v>
      </c>
    </row>
    <row r="22" spans="1:4" x14ac:dyDescent="0.3">
      <c r="A22" s="2" t="str">
        <f t="shared" ref="A22:B22" si="11">A16</f>
        <v>2025-30</v>
      </c>
      <c r="B22" s="2" t="str">
        <f t="shared" si="11"/>
        <v>Capex CAGR</v>
      </c>
      <c r="C22" s="2" t="str">
        <f t="shared" si="10"/>
        <v>BDL</v>
      </c>
      <c r="D22" s="212">
        <f>(DCF!AC7/DCF!V7)^(1/7)-1</f>
        <v>0.20754732649723162</v>
      </c>
    </row>
    <row r="23" spans="1:4" x14ac:dyDescent="0.3">
      <c r="A23" s="2" t="str">
        <f t="shared" ref="A23:B23" si="12">A17</f>
        <v>2025-30</v>
      </c>
      <c r="B23" s="2" t="str">
        <f t="shared" si="12"/>
        <v>Capex CAGR</v>
      </c>
      <c r="C23" s="2" t="str">
        <f t="shared" si="10"/>
        <v>GRSE</v>
      </c>
      <c r="D23" s="212">
        <f>(DCF!AM7/DCF!AF7)^(1/7)-1</f>
        <v>0.13452919194651747</v>
      </c>
    </row>
    <row r="24" spans="1:4" x14ac:dyDescent="0.3">
      <c r="A24" s="2" t="str">
        <f t="shared" ref="A24:B24" si="13">A18</f>
        <v>2026-30</v>
      </c>
      <c r="B24" s="2" t="str">
        <f t="shared" si="13"/>
        <v>Capex CAGR</v>
      </c>
      <c r="C24" s="2" t="str">
        <f t="shared" si="10"/>
        <v>HAL</v>
      </c>
      <c r="D24" s="212">
        <f>(DCF!AV7/DCF!AP7)^(1/6)-1</f>
        <v>0.14055423286067859</v>
      </c>
    </row>
    <row r="25" spans="1:4" x14ac:dyDescent="0.3">
      <c r="A25" s="26" t="str">
        <f t="shared" ref="A25:B25" si="14">A19</f>
        <v>2025-30</v>
      </c>
      <c r="B25" s="26" t="str">
        <f t="shared" si="14"/>
        <v>Capex CAGR</v>
      </c>
      <c r="C25" s="26" t="str">
        <f>C19</f>
        <v>Average</v>
      </c>
      <c r="D25" s="223">
        <f>AVERAGE(D20:D24)</f>
        <v>0.16950159526034972</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Company Basic info</vt:lpstr>
      <vt:lpstr>Balance Sheet </vt:lpstr>
      <vt:lpstr>Income Statement</vt:lpstr>
      <vt:lpstr>Cash Flow Statement</vt:lpstr>
      <vt:lpstr>Ratio Analysis</vt:lpstr>
      <vt:lpstr>WACC</vt:lpstr>
      <vt:lpstr>DCF</vt:lpstr>
      <vt:lpstr>Relative Model</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2025-11-10T16:57:02Z</dcterms:modified>
</cp:coreProperties>
</file>
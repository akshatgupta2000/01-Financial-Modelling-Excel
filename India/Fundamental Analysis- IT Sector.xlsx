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Music\Job &amp; Future\Fundamental Analysis Project-Flagship\Fundamental Analysis-India\"/>
    </mc:Choice>
  </mc:AlternateContent>
  <xr:revisionPtr revIDLastSave="0" documentId="13_ncr:1_{0969EF5A-2DE2-41C1-B15B-BFBA83C5085E}" xr6:coauthVersionLast="47" xr6:coauthVersionMax="47" xr10:uidLastSave="{00000000-0000-0000-0000-000000000000}"/>
  <bookViews>
    <workbookView xWindow="6924" yWindow="372" windowWidth="9408" windowHeight="12336" firstSheet="4" activeTab="4" xr2:uid="{00000000-000D-0000-FFFF-FFFF00000000}"/>
  </bookViews>
  <sheets>
    <sheet name="Company Profile" sheetId="2" r:id="rId1"/>
    <sheet name="Balance Sheet" sheetId="1" r:id="rId2"/>
    <sheet name="Income Statement" sheetId="3" r:id="rId3"/>
    <sheet name="Cash flow statement" sheetId="4" r:id="rId4"/>
    <sheet name="Financial Ratios" sheetId="5" r:id="rId5"/>
    <sheet name="WACC" sheetId="8" r:id="rId6"/>
    <sheet name="Valuation" sheetId="6" r:id="rId7"/>
    <sheet name="Calc" sheetId="13" r:id="rId8"/>
    <sheet name="FCFF" sheetId="9" r:id="rId9"/>
    <sheet name="DDM" sheetId="10" r:id="rId10"/>
    <sheet name="RIM" sheetId="11" r:id="rId11"/>
    <sheet name="Summary" sheetId="12"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27" i="5" l="1"/>
  <c r="AK27" i="5"/>
  <c r="AL27" i="5"/>
  <c r="AM27" i="5"/>
  <c r="AI27" i="5"/>
  <c r="AB27" i="5"/>
  <c r="AC27" i="5"/>
  <c r="AD27" i="5"/>
  <c r="AE27" i="5"/>
  <c r="AA27" i="5"/>
  <c r="T26" i="5"/>
  <c r="U26" i="5"/>
  <c r="V26" i="5"/>
  <c r="W26" i="5"/>
  <c r="S26" i="5"/>
  <c r="L26" i="5"/>
  <c r="M26" i="5"/>
  <c r="N26" i="5"/>
  <c r="O26" i="5"/>
  <c r="K26" i="5"/>
  <c r="D26" i="5"/>
  <c r="E26" i="5"/>
  <c r="F26" i="5"/>
  <c r="G26" i="5"/>
  <c r="C26" i="5"/>
  <c r="O3" i="13" l="1"/>
  <c r="O4" i="13"/>
  <c r="O5" i="13"/>
  <c r="O6" i="13"/>
  <c r="O2" i="13"/>
  <c r="C42" i="6"/>
  <c r="C41" i="6"/>
  <c r="C40" i="6"/>
  <c r="C39" i="6"/>
  <c r="C38" i="6"/>
  <c r="B39" i="6"/>
  <c r="B40" i="6"/>
  <c r="B41" i="6"/>
  <c r="B42" i="6"/>
  <c r="B43" i="6"/>
  <c r="B38" i="6"/>
  <c r="C36" i="6"/>
  <c r="C35" i="6"/>
  <c r="C34" i="6"/>
  <c r="C33" i="6"/>
  <c r="C32" i="6"/>
  <c r="B33" i="6"/>
  <c r="B34" i="6"/>
  <c r="B35" i="6"/>
  <c r="B36" i="6"/>
  <c r="B37" i="6"/>
  <c r="B32" i="6"/>
  <c r="AS9" i="6"/>
  <c r="AT9" i="6"/>
  <c r="AU9" i="6"/>
  <c r="AV9" i="6"/>
  <c r="AW9" i="6"/>
  <c r="AR9" i="6"/>
  <c r="AQ9" i="6"/>
  <c r="AI9" i="6"/>
  <c r="AJ9" i="6"/>
  <c r="AK9" i="6"/>
  <c r="AL9" i="6"/>
  <c r="AM9" i="6"/>
  <c r="AH9" i="6"/>
  <c r="AG9" i="6"/>
  <c r="Y9" i="6"/>
  <c r="Z9" i="6"/>
  <c r="AA9" i="6"/>
  <c r="AB9" i="6"/>
  <c r="AC9" i="6"/>
  <c r="X9" i="6"/>
  <c r="W9" i="6"/>
  <c r="O9" i="6"/>
  <c r="P9" i="6"/>
  <c r="Q9" i="6"/>
  <c r="R9" i="6"/>
  <c r="S9" i="6"/>
  <c r="N9" i="6"/>
  <c r="E9" i="6"/>
  <c r="F9" i="6"/>
  <c r="G9" i="6"/>
  <c r="H9" i="6"/>
  <c r="I9" i="6"/>
  <c r="D9" i="6"/>
  <c r="M9" i="6"/>
  <c r="C9" i="6"/>
  <c r="C43" i="6" l="1"/>
  <c r="C37" i="6"/>
  <c r="D25" i="13"/>
  <c r="D24" i="13"/>
  <c r="D23" i="13"/>
  <c r="D22" i="13"/>
  <c r="D21" i="13"/>
  <c r="D20" i="13"/>
  <c r="C21" i="13"/>
  <c r="C22" i="13"/>
  <c r="C23" i="13"/>
  <c r="C24" i="13"/>
  <c r="C25" i="13"/>
  <c r="A21" i="13"/>
  <c r="A22" i="13"/>
  <c r="A23" i="13"/>
  <c r="A24" i="13"/>
  <c r="A25" i="13"/>
  <c r="A20" i="13"/>
  <c r="C20" i="13"/>
  <c r="D6" i="13" l="1"/>
  <c r="D5" i="13"/>
  <c r="D4" i="13"/>
  <c r="D3" i="13"/>
  <c r="D2" i="13"/>
  <c r="L6" i="13"/>
  <c r="L5" i="13"/>
  <c r="L4" i="13"/>
  <c r="L3" i="13"/>
  <c r="L2" i="13"/>
  <c r="J6" i="13"/>
  <c r="J5" i="13"/>
  <c r="J4" i="13"/>
  <c r="J3" i="13"/>
  <c r="J2" i="13"/>
  <c r="I3" i="13"/>
  <c r="I4" i="13"/>
  <c r="I5" i="13"/>
  <c r="I7" i="13" s="1"/>
  <c r="I6" i="13"/>
  <c r="I2" i="13"/>
  <c r="H6" i="13"/>
  <c r="H5" i="13"/>
  <c r="H4" i="13"/>
  <c r="H3" i="13"/>
  <c r="H2" i="13"/>
  <c r="G6" i="13"/>
  <c r="G5" i="13"/>
  <c r="G4" i="13"/>
  <c r="G3" i="13"/>
  <c r="G2" i="13"/>
  <c r="F3" i="13"/>
  <c r="F4" i="13"/>
  <c r="F5" i="13"/>
  <c r="F6" i="13"/>
  <c r="F2" i="13"/>
  <c r="F7" i="13"/>
  <c r="C3" i="13"/>
  <c r="C4" i="13"/>
  <c r="C10" i="13" s="1"/>
  <c r="C16" i="13" s="1"/>
  <c r="C5" i="13"/>
  <c r="C6" i="13"/>
  <c r="C12" i="13" s="1"/>
  <c r="C18" i="13" s="1"/>
  <c r="C2" i="13"/>
  <c r="A19" i="13"/>
  <c r="A18" i="13"/>
  <c r="A17" i="13"/>
  <c r="A16" i="13"/>
  <c r="A15" i="13"/>
  <c r="A14" i="13"/>
  <c r="C13" i="13"/>
  <c r="C19" i="13" s="1"/>
  <c r="C11" i="13"/>
  <c r="C17" i="13" s="1"/>
  <c r="C9" i="13"/>
  <c r="C15" i="13" s="1"/>
  <c r="C8" i="13"/>
  <c r="C14" i="13" s="1"/>
  <c r="C30" i="6"/>
  <c r="C29" i="6"/>
  <c r="C28" i="6"/>
  <c r="C27" i="6"/>
  <c r="C26" i="6"/>
  <c r="C18" i="6"/>
  <c r="C17" i="6"/>
  <c r="C16" i="6"/>
  <c r="C15" i="6"/>
  <c r="G19" i="6"/>
  <c r="G21" i="6" s="1"/>
  <c r="C14" i="6"/>
  <c r="C19" i="6"/>
  <c r="AJ30" i="5"/>
  <c r="AJ31" i="5" s="1"/>
  <c r="AK30" i="5"/>
  <c r="AL30" i="5"/>
  <c r="AM30" i="5"/>
  <c r="AI30" i="5"/>
  <c r="AI31" i="5" s="1"/>
  <c r="AK29" i="5"/>
  <c r="AK31" i="5" s="1"/>
  <c r="AL29" i="5"/>
  <c r="AL31" i="5" s="1"/>
  <c r="AM29" i="5"/>
  <c r="AM31" i="5" s="1"/>
  <c r="AA29" i="5"/>
  <c r="AB29" i="5"/>
  <c r="AB31" i="5" s="1"/>
  <c r="AC29" i="5"/>
  <c r="AB30" i="5"/>
  <c r="AC30" i="5"/>
  <c r="AD30" i="5"/>
  <c r="AD31" i="5" s="1"/>
  <c r="AE30" i="5"/>
  <c r="AE31" i="5" s="1"/>
  <c r="AA30" i="5"/>
  <c r="T29" i="5"/>
  <c r="T30" i="5"/>
  <c r="U30" i="5"/>
  <c r="U31" i="5" s="1"/>
  <c r="V30" i="5"/>
  <c r="V31" i="5" s="1"/>
  <c r="W30" i="5"/>
  <c r="W31" i="5" s="1"/>
  <c r="S30" i="5"/>
  <c r="S31" i="5" s="1"/>
  <c r="L30" i="5"/>
  <c r="L31" i="5" s="1"/>
  <c r="M30" i="5"/>
  <c r="M31" i="5" s="1"/>
  <c r="N30" i="5"/>
  <c r="N31" i="5" s="1"/>
  <c r="O30" i="5"/>
  <c r="O31" i="5" s="1"/>
  <c r="K31" i="5"/>
  <c r="K30" i="5"/>
  <c r="D30" i="5"/>
  <c r="D31" i="5" s="1"/>
  <c r="E30" i="5"/>
  <c r="E31" i="5" s="1"/>
  <c r="F30" i="5"/>
  <c r="F31" i="5" s="1"/>
  <c r="G30" i="5"/>
  <c r="G31" i="5" s="1"/>
  <c r="C30" i="5"/>
  <c r="C31" i="5" s="1"/>
  <c r="AP3" i="6"/>
  <c r="AQ3" i="6"/>
  <c r="AF3" i="6"/>
  <c r="AG3" i="6"/>
  <c r="V3" i="6"/>
  <c r="W3" i="6"/>
  <c r="L3" i="6"/>
  <c r="M3" i="6"/>
  <c r="C3" i="6"/>
  <c r="D3" i="6" s="1"/>
  <c r="B3" i="6"/>
  <c r="N4" i="12" a="1"/>
  <c r="N4" i="12" s="1"/>
  <c r="K4" i="12" a="1"/>
  <c r="K4" i="12" s="1"/>
  <c r="H4" i="12" a="1"/>
  <c r="H4" i="12" s="1"/>
  <c r="B4" i="12" a="1"/>
  <c r="B4" i="12" s="1"/>
  <c r="E4" i="12" a="1"/>
  <c r="E4" i="12" s="1"/>
  <c r="AP19" i="11"/>
  <c r="AF19" i="11"/>
  <c r="V19" i="11"/>
  <c r="L19" i="11"/>
  <c r="B19" i="11"/>
  <c r="AP17" i="11"/>
  <c r="AF17" i="11"/>
  <c r="V17" i="11"/>
  <c r="L17" i="11"/>
  <c r="B17" i="11"/>
  <c r="AS8" i="11"/>
  <c r="AT8" i="11"/>
  <c r="AU8" i="11"/>
  <c r="AV8" i="11"/>
  <c r="AW8" i="11"/>
  <c r="AI8" i="11"/>
  <c r="AJ8" i="11"/>
  <c r="AK8" i="11"/>
  <c r="AL8" i="11"/>
  <c r="AM8" i="11"/>
  <c r="Y8" i="11"/>
  <c r="Z8" i="11"/>
  <c r="AA8" i="11"/>
  <c r="AB8" i="11"/>
  <c r="AC8" i="11"/>
  <c r="O8" i="11"/>
  <c r="P8" i="11"/>
  <c r="Q8" i="11"/>
  <c r="R8" i="11"/>
  <c r="S8" i="11"/>
  <c r="E8" i="11"/>
  <c r="F8" i="11"/>
  <c r="G8" i="11"/>
  <c r="H8" i="11"/>
  <c r="I8" i="11"/>
  <c r="AP6" i="11"/>
  <c r="AQ6" i="11"/>
  <c r="AF6" i="11"/>
  <c r="AH6" i="11" s="1"/>
  <c r="AI6" i="11" s="1"/>
  <c r="AJ6" i="11" s="1"/>
  <c r="AK6" i="11" s="1"/>
  <c r="AL6" i="11" s="1"/>
  <c r="AM6" i="11" s="1"/>
  <c r="V6" i="11"/>
  <c r="X6" i="11" s="1"/>
  <c r="Y6" i="11" s="1"/>
  <c r="Z6" i="11" s="1"/>
  <c r="AA6" i="11" s="1"/>
  <c r="AB6" i="11" s="1"/>
  <c r="AC6" i="11" s="1"/>
  <c r="N6" i="11"/>
  <c r="O6" i="11"/>
  <c r="P6" i="11" s="1"/>
  <c r="Q6" i="11" s="1"/>
  <c r="R6" i="11" s="1"/>
  <c r="S6" i="11" s="1"/>
  <c r="AG6" i="11"/>
  <c r="W6" i="11"/>
  <c r="M6" i="11"/>
  <c r="L6" i="11"/>
  <c r="F6" i="11"/>
  <c r="G6" i="11" s="1"/>
  <c r="H6" i="11" s="1"/>
  <c r="I6" i="11" s="1"/>
  <c r="E6" i="11"/>
  <c r="D6" i="11"/>
  <c r="C6" i="11"/>
  <c r="B6" i="11"/>
  <c r="AS4" i="11"/>
  <c r="AT4" i="11"/>
  <c r="AU4" i="11"/>
  <c r="AV4" i="11"/>
  <c r="AW4" i="11"/>
  <c r="AI4" i="11"/>
  <c r="AJ4" i="11"/>
  <c r="AK4" i="11"/>
  <c r="AL4" i="11"/>
  <c r="AM4" i="11"/>
  <c r="Y4" i="11"/>
  <c r="Z4" i="11"/>
  <c r="AA4" i="11"/>
  <c r="AB4" i="11"/>
  <c r="AC4" i="11"/>
  <c r="O4" i="11"/>
  <c r="P4" i="11"/>
  <c r="Q4" i="11"/>
  <c r="R4" i="11"/>
  <c r="S4" i="11"/>
  <c r="AP5" i="11"/>
  <c r="AF5" i="11"/>
  <c r="V5" i="11"/>
  <c r="L5" i="11"/>
  <c r="B5" i="11"/>
  <c r="E4" i="11"/>
  <c r="F4" i="11"/>
  <c r="G4" i="11"/>
  <c r="H4" i="11"/>
  <c r="I4" i="11"/>
  <c r="AR4" i="11"/>
  <c r="AH4" i="11"/>
  <c r="X4" i="11"/>
  <c r="N4" i="11"/>
  <c r="D4" i="11"/>
  <c r="AF16" i="10"/>
  <c r="AP14" i="10"/>
  <c r="AF14" i="10"/>
  <c r="AP16" i="10"/>
  <c r="V16" i="10"/>
  <c r="V14" i="10"/>
  <c r="L16" i="10"/>
  <c r="L14" i="10"/>
  <c r="AR5" i="10"/>
  <c r="AH5" i="10"/>
  <c r="X5" i="10"/>
  <c r="N5" i="10"/>
  <c r="AP4" i="10"/>
  <c r="AF4" i="10"/>
  <c r="V4" i="10"/>
  <c r="L4" i="10"/>
  <c r="B16" i="10"/>
  <c r="B14" i="10"/>
  <c r="I5" i="10"/>
  <c r="H5" i="10"/>
  <c r="G5" i="10"/>
  <c r="F5" i="10"/>
  <c r="E5" i="10"/>
  <c r="D5" i="10"/>
  <c r="B4" i="10"/>
  <c r="AE51" i="4"/>
  <c r="AF51" i="4"/>
  <c r="AG51" i="4"/>
  <c r="AH51" i="4"/>
  <c r="AD51" i="4"/>
  <c r="X51" i="4"/>
  <c r="Y51" i="4"/>
  <c r="Z51" i="4"/>
  <c r="AA51" i="4"/>
  <c r="W51" i="4"/>
  <c r="Q55" i="4"/>
  <c r="R55" i="4"/>
  <c r="S55" i="4"/>
  <c r="T55" i="4"/>
  <c r="P55" i="4"/>
  <c r="J62" i="4"/>
  <c r="K62" i="4"/>
  <c r="L62" i="4"/>
  <c r="M62" i="4"/>
  <c r="I62" i="4"/>
  <c r="C62" i="4"/>
  <c r="D62" i="4"/>
  <c r="E62" i="4"/>
  <c r="F62" i="4"/>
  <c r="B62" i="4"/>
  <c r="AH13" i="9"/>
  <c r="AH11" i="9"/>
  <c r="Z13" i="9"/>
  <c r="Z11" i="9"/>
  <c r="R13" i="9"/>
  <c r="R11" i="9"/>
  <c r="J13" i="9"/>
  <c r="B11" i="9"/>
  <c r="J11" i="9"/>
  <c r="B13" i="9"/>
  <c r="J4" i="8"/>
  <c r="K4" i="8"/>
  <c r="L4" i="8"/>
  <c r="M4" i="8"/>
  <c r="I4" i="8"/>
  <c r="F11" i="8"/>
  <c r="E11" i="8"/>
  <c r="D11" i="8"/>
  <c r="C11" i="8"/>
  <c r="B11" i="8"/>
  <c r="D9" i="8"/>
  <c r="C9" i="8"/>
  <c r="E9" i="8"/>
  <c r="F9" i="8"/>
  <c r="B9" i="8"/>
  <c r="F7" i="8"/>
  <c r="E7" i="8"/>
  <c r="C7" i="8"/>
  <c r="B7" i="8"/>
  <c r="AT10" i="6"/>
  <c r="AU10" i="6" s="1"/>
  <c r="AV10" i="6" s="1"/>
  <c r="AW10" i="6" s="1"/>
  <c r="AS10" i="6"/>
  <c r="AR10" i="6"/>
  <c r="D18" i="13"/>
  <c r="AT8" i="6"/>
  <c r="AU8" i="6" s="1"/>
  <c r="AV8" i="6" s="1"/>
  <c r="AW8" i="6" s="1"/>
  <c r="AS8" i="6"/>
  <c r="AR8" i="6"/>
  <c r="AT4" i="6"/>
  <c r="AU4" i="6" s="1"/>
  <c r="AS4" i="6"/>
  <c r="AR4" i="6"/>
  <c r="AR6" i="6" s="1"/>
  <c r="AR7" i="6" s="1"/>
  <c r="AS3" i="6"/>
  <c r="AT3" i="6" s="1"/>
  <c r="AU3" i="6" s="1"/>
  <c r="AR3" i="6"/>
  <c r="AJ10" i="6"/>
  <c r="AK10" i="6" s="1"/>
  <c r="AL10" i="6" s="1"/>
  <c r="AM10" i="6" s="1"/>
  <c r="AI10" i="6"/>
  <c r="AH10" i="6"/>
  <c r="AJ8" i="6"/>
  <c r="AK8" i="6" s="1"/>
  <c r="AL8" i="6" s="1"/>
  <c r="AM8" i="6" s="1"/>
  <c r="AI8" i="6"/>
  <c r="AH8" i="6"/>
  <c r="AJ4" i="6"/>
  <c r="AK4" i="6" s="1"/>
  <c r="AI4" i="6"/>
  <c r="AI7" i="6" s="1"/>
  <c r="AH4" i="6"/>
  <c r="AH3" i="6"/>
  <c r="AH5" i="6" s="1"/>
  <c r="AQ10" i="6"/>
  <c r="AQ8" i="6"/>
  <c r="AP11" i="6"/>
  <c r="AP10" i="6"/>
  <c r="AD65" i="1"/>
  <c r="AG65" i="1"/>
  <c r="AH65" i="1"/>
  <c r="AP9" i="6"/>
  <c r="AP8" i="6"/>
  <c r="AP7" i="6"/>
  <c r="AP6" i="6"/>
  <c r="AP5" i="6"/>
  <c r="AQ4" i="6"/>
  <c r="AD20" i="3"/>
  <c r="AH20" i="3"/>
  <c r="AF9" i="6"/>
  <c r="AF8" i="6"/>
  <c r="AF10" i="6"/>
  <c r="AG10" i="6"/>
  <c r="W68" i="1"/>
  <c r="Z68" i="1"/>
  <c r="AA68" i="1"/>
  <c r="AG8" i="6"/>
  <c r="AG4" i="6"/>
  <c r="W31" i="3"/>
  <c r="AA31" i="3"/>
  <c r="AI6" i="6"/>
  <c r="AJ6" i="6"/>
  <c r="AJ7" i="6" s="1"/>
  <c r="AH6" i="6"/>
  <c r="AH7" i="6" s="1"/>
  <c r="AF7" i="6"/>
  <c r="AF6" i="6"/>
  <c r="AF5" i="6"/>
  <c r="Z10" i="6"/>
  <c r="AA10" i="6" s="1"/>
  <c r="AB10" i="6" s="1"/>
  <c r="AC10" i="6" s="1"/>
  <c r="Y10" i="6"/>
  <c r="X10" i="6"/>
  <c r="Z8" i="6"/>
  <c r="AA8" i="6" s="1"/>
  <c r="AB8" i="6" s="1"/>
  <c r="AC8" i="6" s="1"/>
  <c r="Y8" i="6"/>
  <c r="X8" i="6"/>
  <c r="Y6" i="6"/>
  <c r="Z6" i="6"/>
  <c r="AA6" i="6"/>
  <c r="AB6" i="6"/>
  <c r="AC6" i="6"/>
  <c r="X6" i="6"/>
  <c r="Z4" i="6"/>
  <c r="AA4" i="6" s="1"/>
  <c r="Y4" i="6"/>
  <c r="X4" i="6"/>
  <c r="X3" i="6"/>
  <c r="X5" i="6" s="1"/>
  <c r="V10" i="6"/>
  <c r="W10" i="6"/>
  <c r="V9" i="6"/>
  <c r="V8" i="6"/>
  <c r="W8" i="6"/>
  <c r="W4" i="6"/>
  <c r="P24" i="3"/>
  <c r="T24" i="3"/>
  <c r="Y7" i="6"/>
  <c r="Z7" i="6"/>
  <c r="V7" i="6"/>
  <c r="V6" i="6"/>
  <c r="V5" i="6"/>
  <c r="AP4" i="6"/>
  <c r="AF4" i="6"/>
  <c r="V4" i="6"/>
  <c r="S57" i="1"/>
  <c r="P57" i="1"/>
  <c r="T57" i="1"/>
  <c r="P10" i="6"/>
  <c r="Q10" i="6" s="1"/>
  <c r="R10" i="6" s="1"/>
  <c r="S10" i="6" s="1"/>
  <c r="O10" i="6"/>
  <c r="N10" i="6"/>
  <c r="D15" i="13"/>
  <c r="P8" i="6"/>
  <c r="Q8" i="6" s="1"/>
  <c r="O8" i="6"/>
  <c r="N8" i="6"/>
  <c r="O7" i="6"/>
  <c r="P7" i="6"/>
  <c r="Q7" i="6"/>
  <c r="R7" i="6"/>
  <c r="S7" i="6"/>
  <c r="N7" i="6"/>
  <c r="O6" i="6"/>
  <c r="P6" i="6"/>
  <c r="Q6" i="6"/>
  <c r="R6" i="6"/>
  <c r="S6" i="6"/>
  <c r="N6" i="6"/>
  <c r="P4" i="6"/>
  <c r="Q4" i="6" s="1"/>
  <c r="R4" i="6" s="1"/>
  <c r="S4" i="6" s="1"/>
  <c r="O4" i="6"/>
  <c r="N4" i="6"/>
  <c r="N3" i="6"/>
  <c r="N5" i="6" s="1"/>
  <c r="L11" i="6"/>
  <c r="L10" i="6"/>
  <c r="L9" i="6"/>
  <c r="L8" i="6"/>
  <c r="L7" i="6"/>
  <c r="L6" i="6"/>
  <c r="L5" i="6"/>
  <c r="L4" i="6"/>
  <c r="M10" i="6"/>
  <c r="I56" i="1"/>
  <c r="M56" i="1"/>
  <c r="M8" i="6"/>
  <c r="M4" i="6"/>
  <c r="I25" i="3"/>
  <c r="M25" i="3"/>
  <c r="F10" i="6"/>
  <c r="G10" i="6" s="1"/>
  <c r="H10" i="6" s="1"/>
  <c r="I10" i="6" s="1"/>
  <c r="E10" i="6"/>
  <c r="D10" i="6"/>
  <c r="F8" i="6"/>
  <c r="G8" i="6" s="1"/>
  <c r="H8" i="6" s="1"/>
  <c r="I8" i="6" s="1"/>
  <c r="E8" i="6"/>
  <c r="D8" i="6"/>
  <c r="E6" i="6"/>
  <c r="F6" i="6"/>
  <c r="G6" i="6"/>
  <c r="H6" i="6"/>
  <c r="I6" i="6"/>
  <c r="D6" i="6"/>
  <c r="F4" i="6"/>
  <c r="G4" i="6"/>
  <c r="H4" i="6" s="1"/>
  <c r="E4" i="6"/>
  <c r="G7" i="6"/>
  <c r="D4" i="6"/>
  <c r="C10" i="6"/>
  <c r="B65" i="1"/>
  <c r="F65" i="1"/>
  <c r="B61" i="4"/>
  <c r="F61" i="4"/>
  <c r="C8" i="6"/>
  <c r="C4" i="6"/>
  <c r="B25" i="3"/>
  <c r="F25" i="3"/>
  <c r="B11" i="6"/>
  <c r="B10" i="6"/>
  <c r="B9" i="6"/>
  <c r="B8" i="6"/>
  <c r="B7" i="6"/>
  <c r="B6" i="6"/>
  <c r="B5" i="6"/>
  <c r="B4" i="6"/>
  <c r="AJ20" i="5"/>
  <c r="AK20" i="5"/>
  <c r="AL20" i="5"/>
  <c r="AM20" i="5"/>
  <c r="AI20" i="5"/>
  <c r="AJ19" i="5"/>
  <c r="AK19" i="5"/>
  <c r="AL19" i="5"/>
  <c r="AM19" i="5"/>
  <c r="AI19" i="5"/>
  <c r="AJ18" i="5"/>
  <c r="AK18" i="5"/>
  <c r="AL18" i="5"/>
  <c r="AM18" i="5"/>
  <c r="AI18" i="5"/>
  <c r="AJ17" i="5"/>
  <c r="AK17" i="5"/>
  <c r="AL17" i="5"/>
  <c r="AM17" i="5"/>
  <c r="AI17" i="5"/>
  <c r="AJ16" i="5"/>
  <c r="AK16" i="5"/>
  <c r="AL16" i="5"/>
  <c r="AM16" i="5"/>
  <c r="AI16" i="5"/>
  <c r="AJ15" i="5"/>
  <c r="AK15" i="5"/>
  <c r="AL15" i="5"/>
  <c r="AM15" i="5"/>
  <c r="AI15" i="5"/>
  <c r="AJ14" i="5"/>
  <c r="AK14" i="5"/>
  <c r="AL14" i="5"/>
  <c r="AM14" i="5"/>
  <c r="AI14" i="5"/>
  <c r="AJ13" i="5"/>
  <c r="AK13" i="5"/>
  <c r="AL13" i="5"/>
  <c r="AM13" i="5"/>
  <c r="AI13" i="5"/>
  <c r="AJ12" i="5"/>
  <c r="AK12" i="5"/>
  <c r="AL12" i="5"/>
  <c r="AM12" i="5"/>
  <c r="AI12" i="5"/>
  <c r="AK11" i="5"/>
  <c r="AL11" i="5"/>
  <c r="AM11" i="5"/>
  <c r="AJ11" i="5"/>
  <c r="AI11" i="5"/>
  <c r="AJ10" i="5"/>
  <c r="AK10" i="5"/>
  <c r="AK26" i="5" s="1"/>
  <c r="AL10" i="5"/>
  <c r="AM10" i="5"/>
  <c r="AI10" i="5"/>
  <c r="M6" i="8" s="1"/>
  <c r="AQ4" i="10" s="1"/>
  <c r="AJ9" i="5"/>
  <c r="AK9" i="5"/>
  <c r="AL9" i="5"/>
  <c r="AM9" i="5"/>
  <c r="AI9" i="5"/>
  <c r="AK8" i="5"/>
  <c r="AL8" i="5"/>
  <c r="AM8" i="5"/>
  <c r="AJ8" i="5"/>
  <c r="AI8" i="5"/>
  <c r="AK7" i="5"/>
  <c r="AL7" i="5"/>
  <c r="AM7" i="5"/>
  <c r="AJ7" i="5"/>
  <c r="AI7" i="5"/>
  <c r="AJ6" i="5"/>
  <c r="AK6" i="5"/>
  <c r="AL6" i="5"/>
  <c r="AM6" i="5"/>
  <c r="AI6" i="5"/>
  <c r="AJ5" i="5"/>
  <c r="AK5" i="5"/>
  <c r="AL5" i="5"/>
  <c r="AM5" i="5"/>
  <c r="AI5" i="5"/>
  <c r="AJ4" i="5"/>
  <c r="AK4" i="5"/>
  <c r="AL4" i="5"/>
  <c r="AM4" i="5"/>
  <c r="AI4" i="5"/>
  <c r="AA26" i="5"/>
  <c r="AB20" i="5"/>
  <c r="AC20" i="5"/>
  <c r="AD20" i="5"/>
  <c r="AE20" i="5"/>
  <c r="AA20" i="5"/>
  <c r="AB19" i="5"/>
  <c r="AC19" i="5"/>
  <c r="AD19" i="5"/>
  <c r="AE19" i="5"/>
  <c r="AA19" i="5"/>
  <c r="AB18" i="5"/>
  <c r="AC18" i="5"/>
  <c r="AD18" i="5"/>
  <c r="AE18" i="5"/>
  <c r="AA18" i="5"/>
  <c r="AB17" i="5"/>
  <c r="AC17" i="5"/>
  <c r="AD17" i="5"/>
  <c r="AE17" i="5"/>
  <c r="AA17" i="5"/>
  <c r="AB16" i="5"/>
  <c r="AC16" i="5"/>
  <c r="AD16" i="5"/>
  <c r="AE16" i="5"/>
  <c r="AA16" i="5"/>
  <c r="AB15" i="5"/>
  <c r="AC15" i="5"/>
  <c r="AD15" i="5"/>
  <c r="AE15" i="5"/>
  <c r="AA15" i="5"/>
  <c r="AB14" i="5"/>
  <c r="AC14" i="5"/>
  <c r="AD14" i="5"/>
  <c r="AE14" i="5"/>
  <c r="AA14" i="5"/>
  <c r="AB13" i="5"/>
  <c r="AC13" i="5"/>
  <c r="AD13" i="5"/>
  <c r="AE13" i="5"/>
  <c r="AA13" i="5"/>
  <c r="AB12" i="5"/>
  <c r="AC12" i="5"/>
  <c r="AD12" i="5"/>
  <c r="AE12" i="5"/>
  <c r="AA12" i="5"/>
  <c r="AC11" i="5"/>
  <c r="AD11" i="5"/>
  <c r="AE11" i="5"/>
  <c r="AB11" i="5"/>
  <c r="AA11" i="5"/>
  <c r="AB10" i="5"/>
  <c r="AC10" i="5"/>
  <c r="AC26" i="5" s="1"/>
  <c r="AD10" i="5"/>
  <c r="AE10" i="5"/>
  <c r="AA10" i="5"/>
  <c r="AB9" i="5"/>
  <c r="AC9" i="5"/>
  <c r="AD9" i="5"/>
  <c r="AE9" i="5"/>
  <c r="AA9" i="5"/>
  <c r="AC8" i="5"/>
  <c r="AD8" i="5"/>
  <c r="AE8" i="5"/>
  <c r="AB8" i="5"/>
  <c r="AA8" i="5"/>
  <c r="AC7" i="5"/>
  <c r="AD7" i="5"/>
  <c r="AE7" i="5"/>
  <c r="AB7" i="5"/>
  <c r="AA7" i="5"/>
  <c r="AB6" i="5"/>
  <c r="AC6" i="5"/>
  <c r="AD6" i="5"/>
  <c r="AE6" i="5"/>
  <c r="AA6" i="5"/>
  <c r="AB5" i="5"/>
  <c r="AC5" i="5"/>
  <c r="AD5" i="5"/>
  <c r="AE5" i="5"/>
  <c r="AA5" i="5"/>
  <c r="AB4" i="5"/>
  <c r="AC4" i="5"/>
  <c r="AD4" i="5"/>
  <c r="AE4" i="5"/>
  <c r="AA4" i="5"/>
  <c r="AB3" i="5"/>
  <c r="AC3" i="5"/>
  <c r="AD3" i="5"/>
  <c r="AE3" i="5"/>
  <c r="AA3" i="5"/>
  <c r="T20" i="5"/>
  <c r="U20" i="5"/>
  <c r="V20" i="5"/>
  <c r="W20" i="5"/>
  <c r="S20" i="5"/>
  <c r="T19" i="5"/>
  <c r="U19" i="5"/>
  <c r="V19" i="5"/>
  <c r="W19" i="5"/>
  <c r="S19" i="5"/>
  <c r="T18" i="5"/>
  <c r="U18" i="5"/>
  <c r="V18" i="5"/>
  <c r="W18" i="5"/>
  <c r="S18" i="5"/>
  <c r="T17" i="5"/>
  <c r="U17" i="5"/>
  <c r="V17" i="5"/>
  <c r="W17" i="5"/>
  <c r="S17" i="5"/>
  <c r="T16" i="5"/>
  <c r="U16" i="5"/>
  <c r="V16" i="5"/>
  <c r="W16" i="5"/>
  <c r="S16" i="5"/>
  <c r="T15" i="5"/>
  <c r="U15" i="5"/>
  <c r="V15" i="5"/>
  <c r="W15" i="5"/>
  <c r="S15" i="5"/>
  <c r="T14" i="5"/>
  <c r="U14" i="5"/>
  <c r="V14" i="5"/>
  <c r="W14" i="5"/>
  <c r="S14" i="5"/>
  <c r="T13" i="5"/>
  <c r="U13" i="5"/>
  <c r="V13" i="5"/>
  <c r="W13" i="5"/>
  <c r="T12" i="5"/>
  <c r="U12" i="5"/>
  <c r="V12" i="5"/>
  <c r="W12" i="5"/>
  <c r="S12" i="5"/>
  <c r="S13" i="5"/>
  <c r="U11" i="5"/>
  <c r="V11" i="5"/>
  <c r="W11" i="5"/>
  <c r="T11" i="5"/>
  <c r="S11" i="5"/>
  <c r="T10" i="5"/>
  <c r="U10" i="5"/>
  <c r="V10" i="5"/>
  <c r="W10" i="5"/>
  <c r="V3" i="10" s="1"/>
  <c r="V3" i="11" s="1"/>
  <c r="S10" i="5"/>
  <c r="T9" i="5"/>
  <c r="U9" i="5"/>
  <c r="V9" i="5"/>
  <c r="W9" i="5"/>
  <c r="S9" i="5"/>
  <c r="W8" i="5"/>
  <c r="V8" i="5"/>
  <c r="U8" i="5"/>
  <c r="T8" i="5"/>
  <c r="S8" i="5"/>
  <c r="W7" i="5"/>
  <c r="V7" i="5"/>
  <c r="U7" i="5"/>
  <c r="T7" i="5"/>
  <c r="S7" i="5"/>
  <c r="T6" i="5"/>
  <c r="U6" i="5"/>
  <c r="V6" i="5"/>
  <c r="W6" i="5"/>
  <c r="S6" i="5"/>
  <c r="T5" i="5"/>
  <c r="U5" i="5"/>
  <c r="V5" i="5"/>
  <c r="W5" i="5"/>
  <c r="S5" i="5"/>
  <c r="T4" i="5"/>
  <c r="U4" i="5"/>
  <c r="V4" i="5"/>
  <c r="W4" i="5"/>
  <c r="S4" i="5"/>
  <c r="T3" i="5"/>
  <c r="U3" i="5"/>
  <c r="V3" i="5"/>
  <c r="W3" i="5"/>
  <c r="S3" i="5"/>
  <c r="L20" i="5"/>
  <c r="M20" i="5"/>
  <c r="N20" i="5"/>
  <c r="O20" i="5"/>
  <c r="K20" i="5"/>
  <c r="L19" i="5"/>
  <c r="M19" i="5"/>
  <c r="N19" i="5"/>
  <c r="O19" i="5"/>
  <c r="K19" i="5"/>
  <c r="L18" i="5"/>
  <c r="M18" i="5"/>
  <c r="N18" i="5"/>
  <c r="O18" i="5"/>
  <c r="K18" i="5"/>
  <c r="L17" i="5"/>
  <c r="M17" i="5"/>
  <c r="N17" i="5"/>
  <c r="O17" i="5"/>
  <c r="K17" i="5"/>
  <c r="L15" i="5"/>
  <c r="M15" i="5"/>
  <c r="N15" i="5"/>
  <c r="O15" i="5"/>
  <c r="K15" i="5"/>
  <c r="L14" i="5"/>
  <c r="M14" i="5"/>
  <c r="N14" i="5"/>
  <c r="O14" i="5"/>
  <c r="K14" i="5"/>
  <c r="L13" i="5"/>
  <c r="M13" i="5"/>
  <c r="N13" i="5"/>
  <c r="O13" i="5"/>
  <c r="K13" i="5"/>
  <c r="L12" i="5"/>
  <c r="M12" i="5"/>
  <c r="N12" i="5"/>
  <c r="O12" i="5"/>
  <c r="K12" i="5"/>
  <c r="N11" i="5"/>
  <c r="O11" i="5"/>
  <c r="M11" i="5"/>
  <c r="L11" i="5"/>
  <c r="K11" i="5"/>
  <c r="L10" i="5"/>
  <c r="M10" i="5"/>
  <c r="N10" i="5"/>
  <c r="O10" i="5"/>
  <c r="L3" i="10" s="1"/>
  <c r="L3" i="11" s="1"/>
  <c r="K10" i="5"/>
  <c r="L9" i="5"/>
  <c r="M9" i="5"/>
  <c r="N9" i="5"/>
  <c r="O9" i="5"/>
  <c r="K9" i="5"/>
  <c r="O8" i="5"/>
  <c r="N8" i="5"/>
  <c r="M8" i="5"/>
  <c r="L8" i="5"/>
  <c r="K8" i="5"/>
  <c r="O7" i="5"/>
  <c r="N7" i="5"/>
  <c r="M7" i="5"/>
  <c r="L7" i="5"/>
  <c r="K7" i="5"/>
  <c r="L6" i="5"/>
  <c r="M6" i="5"/>
  <c r="N6" i="5"/>
  <c r="O6" i="5"/>
  <c r="K6" i="5"/>
  <c r="L5" i="5"/>
  <c r="M5" i="5"/>
  <c r="N5" i="5"/>
  <c r="O5" i="5"/>
  <c r="K5" i="5"/>
  <c r="L4" i="5"/>
  <c r="M4" i="5"/>
  <c r="N4" i="5"/>
  <c r="O4" i="5"/>
  <c r="K4" i="5"/>
  <c r="L3" i="5"/>
  <c r="M3" i="5"/>
  <c r="N3" i="5"/>
  <c r="O3" i="5"/>
  <c r="K3" i="5"/>
  <c r="C14" i="5"/>
  <c r="D20" i="5"/>
  <c r="E20" i="5"/>
  <c r="F20" i="5"/>
  <c r="G20" i="5"/>
  <c r="C20" i="5"/>
  <c r="D19" i="5"/>
  <c r="E19" i="5"/>
  <c r="F19" i="5"/>
  <c r="G19" i="5"/>
  <c r="C19" i="5"/>
  <c r="D18" i="5"/>
  <c r="E18" i="5"/>
  <c r="F18" i="5"/>
  <c r="G18" i="5"/>
  <c r="C18" i="5"/>
  <c r="D17" i="5"/>
  <c r="E17" i="5"/>
  <c r="F17" i="5"/>
  <c r="G17" i="5"/>
  <c r="C17" i="5"/>
  <c r="D16" i="5"/>
  <c r="E16" i="5"/>
  <c r="F16" i="5"/>
  <c r="G16" i="5"/>
  <c r="C16" i="5"/>
  <c r="D15" i="5"/>
  <c r="E15" i="5"/>
  <c r="F15" i="5"/>
  <c r="G15" i="5"/>
  <c r="C15" i="5"/>
  <c r="D14" i="5"/>
  <c r="E14" i="5"/>
  <c r="F14" i="5"/>
  <c r="G14" i="5"/>
  <c r="D13" i="5"/>
  <c r="E13" i="5"/>
  <c r="F13" i="5"/>
  <c r="G13" i="5"/>
  <c r="C13" i="5"/>
  <c r="D12" i="5"/>
  <c r="E12" i="5"/>
  <c r="F12" i="5"/>
  <c r="G12" i="5"/>
  <c r="C12" i="5"/>
  <c r="G11" i="5"/>
  <c r="F11" i="5"/>
  <c r="E11" i="5"/>
  <c r="D11" i="5"/>
  <c r="C11" i="5"/>
  <c r="D10" i="5"/>
  <c r="E10" i="5"/>
  <c r="F10" i="5"/>
  <c r="G10" i="5"/>
  <c r="B3" i="10" s="1"/>
  <c r="B3" i="11" s="1"/>
  <c r="C10" i="5"/>
  <c r="D9" i="5"/>
  <c r="E9" i="5"/>
  <c r="F9" i="5"/>
  <c r="G9" i="5"/>
  <c r="C9" i="5"/>
  <c r="G8" i="5"/>
  <c r="F8" i="5"/>
  <c r="E8" i="5"/>
  <c r="D8" i="5"/>
  <c r="C8" i="5"/>
  <c r="G7" i="5"/>
  <c r="F7" i="5"/>
  <c r="E7" i="5"/>
  <c r="D7" i="5"/>
  <c r="C7" i="5"/>
  <c r="D6" i="5"/>
  <c r="E6" i="5"/>
  <c r="F6" i="5"/>
  <c r="G6" i="5"/>
  <c r="C6" i="5"/>
  <c r="D5" i="5"/>
  <c r="E5" i="5"/>
  <c r="F5" i="5"/>
  <c r="G5" i="5"/>
  <c r="D4" i="5"/>
  <c r="E4" i="5"/>
  <c r="F4" i="5"/>
  <c r="G4" i="5"/>
  <c r="C4" i="5"/>
  <c r="C5" i="5"/>
  <c r="D3" i="5"/>
  <c r="E3" i="5"/>
  <c r="F3" i="5"/>
  <c r="G3" i="5"/>
  <c r="C3" i="5"/>
  <c r="C7" i="2" a="1"/>
  <c r="C7" i="2" s="1"/>
  <c r="D7" i="2" a="1"/>
  <c r="D7" i="2" s="1"/>
  <c r="E7" i="2" a="1"/>
  <c r="E7" i="2" s="1"/>
  <c r="F7" i="2" a="1"/>
  <c r="F7" i="2" s="1"/>
  <c r="B7" i="2" a="1"/>
  <c r="B7" i="2" s="1"/>
  <c r="AE14" i="4"/>
  <c r="AA30" i="4"/>
  <c r="AA12" i="4"/>
  <c r="Z12" i="4"/>
  <c r="Y11" i="4"/>
  <c r="T45" i="4"/>
  <c r="T12" i="4"/>
  <c r="R44" i="4"/>
  <c r="S44" i="4"/>
  <c r="R45" i="4"/>
  <c r="R28" i="4"/>
  <c r="S28" i="4"/>
  <c r="S12" i="4"/>
  <c r="R12" i="4"/>
  <c r="M12" i="4"/>
  <c r="L54" i="4"/>
  <c r="K54" i="4"/>
  <c r="L37" i="4"/>
  <c r="K37" i="4"/>
  <c r="L27" i="4"/>
  <c r="K27" i="4"/>
  <c r="L23" i="4"/>
  <c r="K23" i="4"/>
  <c r="E39" i="4"/>
  <c r="F39" i="4"/>
  <c r="F40" i="4"/>
  <c r="E40" i="4"/>
  <c r="D39" i="4"/>
  <c r="D9" i="4"/>
  <c r="AE44" i="4"/>
  <c r="AF44" i="4"/>
  <c r="AG44" i="4"/>
  <c r="AH44" i="4"/>
  <c r="AD44" i="4"/>
  <c r="AE34" i="4"/>
  <c r="AF34" i="4"/>
  <c r="AG34" i="4"/>
  <c r="AH34" i="4"/>
  <c r="AD34" i="4"/>
  <c r="AE22" i="4"/>
  <c r="AF22" i="4"/>
  <c r="AG22" i="4"/>
  <c r="AH22" i="4"/>
  <c r="AD22" i="4"/>
  <c r="AE16" i="4"/>
  <c r="AF16" i="4"/>
  <c r="AG16" i="4"/>
  <c r="AH16" i="4"/>
  <c r="AH23" i="4" s="1"/>
  <c r="AH25" i="4" s="1"/>
  <c r="AD16" i="4"/>
  <c r="X44" i="4"/>
  <c r="Y44" i="4"/>
  <c r="Z44" i="4"/>
  <c r="AA44" i="4"/>
  <c r="W44" i="4"/>
  <c r="X33" i="4"/>
  <c r="Y33" i="4"/>
  <c r="Z33" i="4"/>
  <c r="AA33" i="4"/>
  <c r="W33" i="4"/>
  <c r="X20" i="4"/>
  <c r="X22" i="4" s="1"/>
  <c r="Y20" i="4"/>
  <c r="Y22" i="4" s="1"/>
  <c r="Z20" i="4"/>
  <c r="Z22" i="4" s="1"/>
  <c r="AA20" i="4"/>
  <c r="AA22" i="4" s="1"/>
  <c r="W20" i="4"/>
  <c r="W22" i="4" s="1"/>
  <c r="Q49" i="4"/>
  <c r="R49" i="4"/>
  <c r="S49" i="4"/>
  <c r="T49" i="4"/>
  <c r="P49" i="4"/>
  <c r="Q38" i="4"/>
  <c r="R38" i="4"/>
  <c r="S38" i="4"/>
  <c r="T38" i="4"/>
  <c r="P38" i="4"/>
  <c r="Q19" i="4"/>
  <c r="Q21" i="4" s="1"/>
  <c r="R19" i="4"/>
  <c r="R21" i="4" s="1"/>
  <c r="S19" i="4"/>
  <c r="S21" i="4" s="1"/>
  <c r="T19" i="4"/>
  <c r="T21" i="4" s="1"/>
  <c r="P19" i="4"/>
  <c r="P21" i="4" s="1"/>
  <c r="J56" i="4"/>
  <c r="K56" i="4"/>
  <c r="L56" i="4"/>
  <c r="M56" i="4"/>
  <c r="I56" i="4"/>
  <c r="J47" i="4"/>
  <c r="K47" i="4"/>
  <c r="L47" i="4"/>
  <c r="M47" i="4"/>
  <c r="I47" i="4"/>
  <c r="J18" i="4"/>
  <c r="J20" i="4" s="1"/>
  <c r="K18" i="4"/>
  <c r="K20" i="4" s="1"/>
  <c r="L18" i="4"/>
  <c r="L20" i="4" s="1"/>
  <c r="M18" i="4"/>
  <c r="M20" i="4" s="1"/>
  <c r="I18" i="4"/>
  <c r="I20" i="4" s="1"/>
  <c r="C55" i="4"/>
  <c r="D55" i="4"/>
  <c r="E55" i="4"/>
  <c r="F55" i="4"/>
  <c r="B55" i="4"/>
  <c r="C43" i="4"/>
  <c r="D43" i="4"/>
  <c r="E43" i="4"/>
  <c r="F43" i="4"/>
  <c r="B43" i="4"/>
  <c r="C16" i="4"/>
  <c r="C27" i="4" s="1"/>
  <c r="C29" i="4" s="1"/>
  <c r="D16" i="4"/>
  <c r="D27" i="4" s="1"/>
  <c r="D29" i="4" s="1"/>
  <c r="E16" i="4"/>
  <c r="E27" i="4" s="1"/>
  <c r="E29" i="4" s="1"/>
  <c r="F16" i="4"/>
  <c r="F27" i="4" s="1"/>
  <c r="F29" i="4" s="1"/>
  <c r="B16" i="4"/>
  <c r="B27" i="4" s="1"/>
  <c r="B29" i="4" s="1"/>
  <c r="AE17" i="3"/>
  <c r="AF17" i="3"/>
  <c r="AG17" i="3"/>
  <c r="AH17" i="3"/>
  <c r="AD17" i="3"/>
  <c r="AE12" i="3"/>
  <c r="AF12" i="3"/>
  <c r="AG12" i="3"/>
  <c r="AH12" i="3"/>
  <c r="AD12" i="3"/>
  <c r="AE5" i="3"/>
  <c r="AF5" i="3"/>
  <c r="AG5" i="3"/>
  <c r="AH5" i="3"/>
  <c r="AD5" i="3"/>
  <c r="AA20" i="3"/>
  <c r="Z20" i="3"/>
  <c r="W23" i="3"/>
  <c r="X27" i="3"/>
  <c r="Y27" i="3"/>
  <c r="Z27" i="3"/>
  <c r="AA27" i="3"/>
  <c r="W27" i="3"/>
  <c r="X21" i="3"/>
  <c r="Y21" i="3"/>
  <c r="Z21" i="3"/>
  <c r="AA21" i="3"/>
  <c r="W21" i="3"/>
  <c r="X6" i="3"/>
  <c r="Y6" i="3"/>
  <c r="Z6" i="3"/>
  <c r="AA6" i="3"/>
  <c r="W6" i="3"/>
  <c r="R13" i="3"/>
  <c r="R14" i="3" s="1"/>
  <c r="S13" i="3"/>
  <c r="Q19" i="3"/>
  <c r="R19" i="3"/>
  <c r="S19" i="3"/>
  <c r="T19" i="3"/>
  <c r="P19" i="3"/>
  <c r="Q14" i="3"/>
  <c r="S14" i="3"/>
  <c r="T14" i="3"/>
  <c r="P14" i="3"/>
  <c r="Q5" i="3"/>
  <c r="R5" i="3"/>
  <c r="S5" i="3"/>
  <c r="T5" i="3"/>
  <c r="P5" i="3"/>
  <c r="J21" i="3"/>
  <c r="K21" i="3"/>
  <c r="L21" i="3"/>
  <c r="M21" i="3"/>
  <c r="I21" i="3"/>
  <c r="J16" i="3"/>
  <c r="K16" i="3"/>
  <c r="L16" i="3"/>
  <c r="M16" i="3"/>
  <c r="I16" i="3"/>
  <c r="J5" i="3"/>
  <c r="K5" i="3"/>
  <c r="L5" i="3"/>
  <c r="M5" i="3"/>
  <c r="I5" i="3"/>
  <c r="C20" i="3"/>
  <c r="D20" i="3"/>
  <c r="E20" i="3"/>
  <c r="F20" i="3"/>
  <c r="B20" i="3"/>
  <c r="C12" i="3"/>
  <c r="D12" i="3"/>
  <c r="E12" i="3"/>
  <c r="F12" i="3"/>
  <c r="B12" i="3"/>
  <c r="C5" i="3"/>
  <c r="D5" i="3"/>
  <c r="E5" i="3"/>
  <c r="F5" i="3"/>
  <c r="F13" i="3" s="1"/>
  <c r="F16" i="3" s="1"/>
  <c r="B5" i="3"/>
  <c r="C18" i="2" a="1"/>
  <c r="C18" i="2" s="1"/>
  <c r="D18" i="2" a="1"/>
  <c r="D18" i="2" s="1"/>
  <c r="E18" i="2" a="1"/>
  <c r="E18" i="2" s="1"/>
  <c r="F18" i="2" a="1"/>
  <c r="F18" i="2" s="1"/>
  <c r="B18" i="2" a="1"/>
  <c r="B18" i="2" s="1"/>
  <c r="C17" i="2" a="1"/>
  <c r="C17" i="2" s="1"/>
  <c r="C4" i="8" s="1"/>
  <c r="C6" i="8" s="1"/>
  <c r="D17" i="2" a="1"/>
  <c r="D17" i="2" s="1"/>
  <c r="D4" i="8" s="1"/>
  <c r="D6" i="8" s="1"/>
  <c r="E17" i="2" a="1"/>
  <c r="E17" i="2" s="1"/>
  <c r="E4" i="8" s="1"/>
  <c r="E6" i="8" s="1"/>
  <c r="F17" i="2" a="1"/>
  <c r="F17" i="2" s="1"/>
  <c r="F4" i="8" s="1"/>
  <c r="F6" i="8" s="1"/>
  <c r="B17" i="2" a="1"/>
  <c r="B17" i="2" s="1"/>
  <c r="B4" i="8" s="1"/>
  <c r="C15" i="2" a="1"/>
  <c r="C15" i="2" s="1"/>
  <c r="D15" i="2" a="1"/>
  <c r="D15" i="2" s="1"/>
  <c r="E15" i="2" a="1"/>
  <c r="E15" i="2" s="1"/>
  <c r="F15" i="2" a="1"/>
  <c r="F15" i="2" s="1"/>
  <c r="B15" i="2" a="1"/>
  <c r="B15" i="2" s="1"/>
  <c r="C12" i="2" a="1"/>
  <c r="C12" i="2" s="1"/>
  <c r="C13" i="2" s="1"/>
  <c r="D12" i="2" a="1"/>
  <c r="D12" i="2" s="1"/>
  <c r="D13" i="2" s="1"/>
  <c r="E12" i="2" a="1"/>
  <c r="E12" i="2" s="1"/>
  <c r="E13" i="2" s="1"/>
  <c r="F12" i="2" a="1"/>
  <c r="F12" i="2" s="1"/>
  <c r="F13" i="2" s="1"/>
  <c r="B12" i="2" a="1"/>
  <c r="B12" i="2" s="1"/>
  <c r="B13" i="2" s="1"/>
  <c r="C10" i="2" a="1"/>
  <c r="C10" i="2" s="1"/>
  <c r="D10" i="2" a="1"/>
  <c r="D10" i="2" s="1"/>
  <c r="E10" i="2" a="1"/>
  <c r="E10" i="2" s="1"/>
  <c r="F10" i="2" a="1"/>
  <c r="F10" i="2" s="1"/>
  <c r="B10" i="2" a="1"/>
  <c r="B10" i="2" s="1"/>
  <c r="C9" i="2" a="1"/>
  <c r="C9" i="2" s="1"/>
  <c r="K21" i="5" s="1"/>
  <c r="D9" i="2" a="1"/>
  <c r="D9" i="2" s="1"/>
  <c r="S22" i="5" s="1"/>
  <c r="E9" i="2" a="1"/>
  <c r="E9" i="2" s="1"/>
  <c r="AD21" i="5" s="1"/>
  <c r="F9" i="2" a="1"/>
  <c r="F9" i="2" s="1"/>
  <c r="B9" i="2" a="1"/>
  <c r="B9" i="2" s="1"/>
  <c r="C6" i="2" a="1"/>
  <c r="C6" i="2" s="1"/>
  <c r="D6" i="2" a="1"/>
  <c r="D6" i="2" s="1"/>
  <c r="E6" i="2" a="1"/>
  <c r="E6" i="2" s="1"/>
  <c r="F6" i="2" a="1"/>
  <c r="F6" i="2" s="1"/>
  <c r="B6" i="2" a="1"/>
  <c r="B6" i="2" s="1"/>
  <c r="C5" i="2" a="1"/>
  <c r="C5" i="2" s="1"/>
  <c r="D5" i="2" a="1"/>
  <c r="D5" i="2" s="1"/>
  <c r="E5" i="2" a="1"/>
  <c r="E5" i="2" s="1"/>
  <c r="F5" i="2" a="1"/>
  <c r="F5" i="2" s="1"/>
  <c r="B5" i="2" a="1"/>
  <c r="B5" i="2" s="1"/>
  <c r="AH39" i="1"/>
  <c r="AE31" i="1"/>
  <c r="AF31" i="1"/>
  <c r="AG31" i="1"/>
  <c r="AH31" i="1"/>
  <c r="AD31" i="1"/>
  <c r="AE61" i="1"/>
  <c r="AF61" i="1"/>
  <c r="AG61" i="1"/>
  <c r="AH61" i="1"/>
  <c r="AD61" i="1"/>
  <c r="AE49" i="1"/>
  <c r="AF49" i="1"/>
  <c r="AG49" i="1"/>
  <c r="AH49" i="1"/>
  <c r="AD49" i="1"/>
  <c r="AE40" i="1"/>
  <c r="AF40" i="1"/>
  <c r="AG40" i="1"/>
  <c r="AH40" i="1"/>
  <c r="AD40" i="1"/>
  <c r="AE18" i="1"/>
  <c r="AF18" i="1"/>
  <c r="AG18" i="1"/>
  <c r="AH18" i="1"/>
  <c r="AD18" i="1"/>
  <c r="X33" i="1"/>
  <c r="Y33" i="1"/>
  <c r="Z33" i="1"/>
  <c r="AA33" i="1"/>
  <c r="W33" i="1"/>
  <c r="X65" i="1"/>
  <c r="Y65" i="1"/>
  <c r="Z65" i="1"/>
  <c r="AA65" i="1"/>
  <c r="W65" i="1"/>
  <c r="X53" i="1"/>
  <c r="Y53" i="1"/>
  <c r="Z53" i="1"/>
  <c r="AA53" i="1"/>
  <c r="W53" i="1"/>
  <c r="X39" i="1"/>
  <c r="X41" i="1" s="1"/>
  <c r="Y39" i="1"/>
  <c r="Y41" i="1" s="1"/>
  <c r="Z39" i="1"/>
  <c r="Z41" i="1" s="1"/>
  <c r="AA39" i="1"/>
  <c r="AA41" i="1" s="1"/>
  <c r="W39" i="1"/>
  <c r="W41" i="1" s="1"/>
  <c r="X19" i="1"/>
  <c r="Y19" i="1"/>
  <c r="Z19" i="1"/>
  <c r="AA19" i="1"/>
  <c r="W19" i="1"/>
  <c r="T50" i="1"/>
  <c r="T48" i="1"/>
  <c r="T54" i="1" s="1"/>
  <c r="T43" i="1"/>
  <c r="T44" i="1" s="1"/>
  <c r="T20" i="1"/>
  <c r="T14" i="1"/>
  <c r="S43" i="1"/>
  <c r="R43" i="1"/>
  <c r="S50" i="1"/>
  <c r="R50" i="1"/>
  <c r="S48" i="1"/>
  <c r="R48" i="1"/>
  <c r="S20" i="1"/>
  <c r="R20" i="1"/>
  <c r="R14" i="1"/>
  <c r="S14" i="1"/>
  <c r="R15" i="1"/>
  <c r="R11" i="1"/>
  <c r="S15" i="1"/>
  <c r="T15" i="1"/>
  <c r="Q54" i="1"/>
  <c r="R54" i="1"/>
  <c r="S54" i="1"/>
  <c r="P54" i="1"/>
  <c r="Q44" i="1"/>
  <c r="R44" i="1"/>
  <c r="S44" i="1"/>
  <c r="P44" i="1"/>
  <c r="Q32" i="1"/>
  <c r="Q34" i="1" s="1"/>
  <c r="R32" i="1"/>
  <c r="R34" i="1" s="1"/>
  <c r="S32" i="1"/>
  <c r="S34" i="1" s="1"/>
  <c r="T32" i="1"/>
  <c r="T34" i="1" s="1"/>
  <c r="P32" i="1"/>
  <c r="P34" i="1" s="1"/>
  <c r="Q27" i="1"/>
  <c r="R27" i="1"/>
  <c r="S27" i="1"/>
  <c r="T27" i="1"/>
  <c r="P27" i="1"/>
  <c r="Q15" i="1"/>
  <c r="P15" i="1"/>
  <c r="J52" i="1"/>
  <c r="K52" i="1"/>
  <c r="L52" i="1"/>
  <c r="M52" i="1"/>
  <c r="I52" i="1"/>
  <c r="J43" i="1"/>
  <c r="K43" i="1"/>
  <c r="L43" i="1"/>
  <c r="M43" i="1"/>
  <c r="I43" i="1"/>
  <c r="J33" i="1"/>
  <c r="J35" i="1" s="1"/>
  <c r="K33" i="1"/>
  <c r="K35" i="1" s="1"/>
  <c r="L33" i="1"/>
  <c r="L35" i="1" s="1"/>
  <c r="M33" i="1"/>
  <c r="M35" i="1" s="1"/>
  <c r="I33" i="1"/>
  <c r="I35" i="1" s="1"/>
  <c r="J27" i="1"/>
  <c r="K27" i="1"/>
  <c r="L27" i="1"/>
  <c r="M27" i="1"/>
  <c r="I27" i="1"/>
  <c r="J17" i="1"/>
  <c r="K17" i="1"/>
  <c r="L17" i="1"/>
  <c r="M17" i="1"/>
  <c r="I17" i="1"/>
  <c r="C60" i="1"/>
  <c r="D60" i="1"/>
  <c r="E60" i="1"/>
  <c r="F60" i="1"/>
  <c r="B60" i="1"/>
  <c r="C49" i="1"/>
  <c r="D49" i="1"/>
  <c r="E49" i="1"/>
  <c r="F49" i="1"/>
  <c r="B49" i="1"/>
  <c r="C38" i="1"/>
  <c r="C40" i="1" s="1"/>
  <c r="D38" i="1"/>
  <c r="D40" i="1" s="1"/>
  <c r="E38" i="1"/>
  <c r="E40" i="1" s="1"/>
  <c r="F38" i="1"/>
  <c r="F40" i="1" s="1"/>
  <c r="B38" i="1"/>
  <c r="B40" i="1" s="1"/>
  <c r="C32" i="1"/>
  <c r="D32" i="1"/>
  <c r="E32" i="1"/>
  <c r="F32" i="1"/>
  <c r="B32" i="1"/>
  <c r="C19" i="1"/>
  <c r="D19" i="1"/>
  <c r="E19" i="1"/>
  <c r="F19" i="1"/>
  <c r="B19" i="1"/>
  <c r="AG3" i="10" l="1"/>
  <c r="AA31" i="5"/>
  <c r="AB26" i="5"/>
  <c r="G21" i="5"/>
  <c r="AJ26" i="5"/>
  <c r="K6" i="8"/>
  <c r="W4" i="10" s="1"/>
  <c r="I6" i="8"/>
  <c r="C4" i="10" s="1"/>
  <c r="AQ3" i="10"/>
  <c r="C3" i="10"/>
  <c r="AL26" i="5"/>
  <c r="AP3" i="10"/>
  <c r="AR3" i="10" s="1"/>
  <c r="AS3" i="10" s="1"/>
  <c r="J6" i="8"/>
  <c r="M4" i="10" s="1"/>
  <c r="M3" i="10"/>
  <c r="N3" i="10" s="1"/>
  <c r="AC31" i="5"/>
  <c r="T31" i="5"/>
  <c r="L6" i="8"/>
  <c r="AG4" i="10" s="1"/>
  <c r="AM26" i="5"/>
  <c r="W3" i="10"/>
  <c r="AE26" i="5"/>
  <c r="AD26" i="5"/>
  <c r="AD25" i="5" s="1"/>
  <c r="AF3" i="10"/>
  <c r="AF3" i="11" s="1"/>
  <c r="C24" i="6"/>
  <c r="D12" i="13"/>
  <c r="K6" i="13" s="1"/>
  <c r="M6" i="13" s="1"/>
  <c r="N6" i="13" s="1"/>
  <c r="D17" i="13"/>
  <c r="D11" i="13"/>
  <c r="K5" i="13" s="1"/>
  <c r="M5" i="13" s="1"/>
  <c r="N5" i="13" s="1"/>
  <c r="AJ11" i="6"/>
  <c r="AB3" i="9" s="1"/>
  <c r="C23" i="6"/>
  <c r="D16" i="13"/>
  <c r="C21" i="6"/>
  <c r="D9" i="13"/>
  <c r="K3" i="13" s="1"/>
  <c r="M3" i="13" s="1"/>
  <c r="N3" i="13" s="1"/>
  <c r="D14" i="13"/>
  <c r="B6" i="8"/>
  <c r="I5" i="8" s="1"/>
  <c r="D7" i="13"/>
  <c r="C31" i="6"/>
  <c r="G22" i="6" s="1"/>
  <c r="D3" i="10"/>
  <c r="AH3" i="10"/>
  <c r="AP3" i="11"/>
  <c r="X3" i="10"/>
  <c r="F23" i="5"/>
  <c r="D23" i="5"/>
  <c r="F10" i="8"/>
  <c r="F12" i="8" s="1"/>
  <c r="F13" i="8" s="1"/>
  <c r="AL23" i="5"/>
  <c r="AM23" i="5"/>
  <c r="AI23" i="5"/>
  <c r="AJ23" i="5"/>
  <c r="AK23" i="5"/>
  <c r="AE23" i="5"/>
  <c r="AA23" i="5"/>
  <c r="AB23" i="5"/>
  <c r="AC23" i="5"/>
  <c r="E10" i="8"/>
  <c r="E12" i="8" s="1"/>
  <c r="E13" i="8" s="1"/>
  <c r="AD23" i="5"/>
  <c r="S23" i="5"/>
  <c r="T23" i="5"/>
  <c r="U23" i="5"/>
  <c r="D10" i="8"/>
  <c r="D12" i="8" s="1"/>
  <c r="D13" i="8" s="1"/>
  <c r="V23" i="5"/>
  <c r="W23" i="5"/>
  <c r="L23" i="5"/>
  <c r="M23" i="5"/>
  <c r="C10" i="8"/>
  <c r="N23" i="5"/>
  <c r="K23" i="5"/>
  <c r="O23" i="5"/>
  <c r="E23" i="5"/>
  <c r="C21" i="5"/>
  <c r="C25" i="5" s="1"/>
  <c r="C23" i="5"/>
  <c r="F21" i="5"/>
  <c r="G25" i="5"/>
  <c r="G23" i="5"/>
  <c r="B10" i="8"/>
  <c r="B12" i="8" s="1"/>
  <c r="B14" i="8" s="1"/>
  <c r="E21" i="5"/>
  <c r="D21" i="5"/>
  <c r="AI3" i="6"/>
  <c r="Y3" i="6"/>
  <c r="O3" i="6"/>
  <c r="E3" i="6"/>
  <c r="D5" i="6"/>
  <c r="K25" i="5"/>
  <c r="AR6" i="11"/>
  <c r="AS6" i="11" s="1"/>
  <c r="AT6" i="11" s="1"/>
  <c r="AU6" i="11" s="1"/>
  <c r="AV6" i="11" s="1"/>
  <c r="AW6" i="11" s="1"/>
  <c r="AP18" i="10"/>
  <c r="AP21" i="11" s="1"/>
  <c r="O6" i="12" s="1"/>
  <c r="V18" i="10"/>
  <c r="L18" i="10"/>
  <c r="L21" i="11" s="1"/>
  <c r="F6" i="12" s="1"/>
  <c r="B18" i="10"/>
  <c r="B21" i="11" s="1"/>
  <c r="AH15" i="9"/>
  <c r="Z15" i="9"/>
  <c r="AF18" i="10" s="1"/>
  <c r="R15" i="9"/>
  <c r="J15" i="9"/>
  <c r="B15" i="9"/>
  <c r="C6" i="12" s="1"/>
  <c r="M5" i="8"/>
  <c r="L5" i="8"/>
  <c r="K5" i="8"/>
  <c r="J5" i="8"/>
  <c r="AR11" i="6"/>
  <c r="AH3" i="9" s="1"/>
  <c r="AV4" i="6"/>
  <c r="AU6" i="6"/>
  <c r="AU7" i="6" s="1"/>
  <c r="AU11" i="6" s="1"/>
  <c r="AK3" i="9" s="1"/>
  <c r="AT6" i="6"/>
  <c r="AT7" i="6" s="1"/>
  <c r="AT11" i="6" s="1"/>
  <c r="AJ3" i="9" s="1"/>
  <c r="AS5" i="6"/>
  <c r="AS6" i="6"/>
  <c r="AS7" i="6" s="1"/>
  <c r="AS11" i="6" s="1"/>
  <c r="AI3" i="9" s="1"/>
  <c r="AR5" i="6"/>
  <c r="AV3" i="6"/>
  <c r="AU5" i="6"/>
  <c r="AT5" i="6"/>
  <c r="AH11" i="6"/>
  <c r="Z3" i="9" s="1"/>
  <c r="AI11" i="6"/>
  <c r="AA3" i="9" s="1"/>
  <c r="AL4" i="6"/>
  <c r="AK6" i="6"/>
  <c r="AK7" i="6" s="1"/>
  <c r="AK11" i="6" s="1"/>
  <c r="AC3" i="9" s="1"/>
  <c r="AF11" i="6"/>
  <c r="Y11" i="6"/>
  <c r="S3" i="9" s="1"/>
  <c r="Z11" i="6"/>
  <c r="T3" i="9" s="1"/>
  <c r="X7" i="6"/>
  <c r="X11" i="6" s="1"/>
  <c r="R3" i="9" s="1"/>
  <c r="AB4" i="6"/>
  <c r="AA7" i="6"/>
  <c r="AA11" i="6" s="1"/>
  <c r="U3" i="9" s="1"/>
  <c r="V11" i="6"/>
  <c r="P11" i="6"/>
  <c r="L3" i="9" s="1"/>
  <c r="O11" i="6"/>
  <c r="K3" i="9" s="1"/>
  <c r="N11" i="6"/>
  <c r="J3" i="9" s="1"/>
  <c r="R8" i="6"/>
  <c r="Q11" i="6"/>
  <c r="M3" i="9" s="1"/>
  <c r="D7" i="6"/>
  <c r="D11" i="6" s="1"/>
  <c r="B3" i="9" s="1"/>
  <c r="I4" i="6"/>
  <c r="I7" i="6" s="1"/>
  <c r="H7" i="6"/>
  <c r="F7" i="6"/>
  <c r="E7" i="6"/>
  <c r="AM22" i="5"/>
  <c r="AL22" i="5"/>
  <c r="AI24" i="5"/>
  <c r="AK22" i="5"/>
  <c r="AM24" i="5"/>
  <c r="AJ22" i="5"/>
  <c r="AL24" i="5"/>
  <c r="AK24" i="5"/>
  <c r="AJ24" i="5"/>
  <c r="AL21" i="5"/>
  <c r="AJ21" i="5"/>
  <c r="AK21" i="5"/>
  <c r="AI21" i="5"/>
  <c r="AM21" i="5"/>
  <c r="AI22" i="5"/>
  <c r="AE24" i="5"/>
  <c r="AD24" i="5"/>
  <c r="AC24" i="5"/>
  <c r="AB24" i="5"/>
  <c r="AA24" i="5"/>
  <c r="AC21" i="5"/>
  <c r="AB21" i="5"/>
  <c r="AA22" i="5"/>
  <c r="AE22" i="5"/>
  <c r="AD22" i="5"/>
  <c r="AA21" i="5"/>
  <c r="AC22" i="5"/>
  <c r="AE21" i="5"/>
  <c r="AB22" i="5"/>
  <c r="W22" i="5"/>
  <c r="U22" i="5"/>
  <c r="W24" i="5"/>
  <c r="S24" i="5"/>
  <c r="T22" i="5"/>
  <c r="V24" i="5"/>
  <c r="V22" i="5"/>
  <c r="U24" i="5"/>
  <c r="T24" i="5"/>
  <c r="S21" i="5"/>
  <c r="W21" i="5"/>
  <c r="V21" i="5"/>
  <c r="U21" i="5"/>
  <c r="T21" i="5"/>
  <c r="K24" i="5"/>
  <c r="O24" i="5"/>
  <c r="N24" i="5"/>
  <c r="M24" i="5"/>
  <c r="L24" i="5"/>
  <c r="K22" i="5"/>
  <c r="O22" i="5"/>
  <c r="N22" i="5"/>
  <c r="M22" i="5"/>
  <c r="L22" i="5"/>
  <c r="O21" i="5"/>
  <c r="N21" i="5"/>
  <c r="M21" i="5"/>
  <c r="L21" i="5"/>
  <c r="C24" i="5"/>
  <c r="G24" i="5"/>
  <c r="F24" i="5"/>
  <c r="E24" i="5"/>
  <c r="D24" i="5"/>
  <c r="C22" i="5"/>
  <c r="G22" i="5"/>
  <c r="F22" i="5"/>
  <c r="E22" i="5"/>
  <c r="D22" i="5"/>
  <c r="AH45" i="4"/>
  <c r="AH48" i="4" s="1"/>
  <c r="AG23" i="4"/>
  <c r="AG25" i="4" s="1"/>
  <c r="AG45" i="4" s="1"/>
  <c r="AG48" i="4" s="1"/>
  <c r="AF23" i="4"/>
  <c r="AF25" i="4" s="1"/>
  <c r="AF45" i="4" s="1"/>
  <c r="AF48" i="4" s="1"/>
  <c r="AE23" i="4"/>
  <c r="AE25" i="4" s="1"/>
  <c r="AE45" i="4" s="1"/>
  <c r="AE48" i="4" s="1"/>
  <c r="AD23" i="4"/>
  <c r="AD25" i="4" s="1"/>
  <c r="AD45" i="4" s="1"/>
  <c r="AD48" i="4" s="1"/>
  <c r="AA45" i="4"/>
  <c r="AA48" i="4" s="1"/>
  <c r="Z45" i="4"/>
  <c r="Z48" i="4" s="1"/>
  <c r="Y45" i="4"/>
  <c r="Y48" i="4" s="1"/>
  <c r="X45" i="4"/>
  <c r="X48" i="4" s="1"/>
  <c r="W45" i="4"/>
  <c r="W48" i="4" s="1"/>
  <c r="T50" i="4"/>
  <c r="T53" i="4" s="1"/>
  <c r="S50" i="4"/>
  <c r="S53" i="4" s="1"/>
  <c r="R50" i="4"/>
  <c r="R53" i="4" s="1"/>
  <c r="P50" i="4"/>
  <c r="P53" i="4" s="1"/>
  <c r="Q50" i="4"/>
  <c r="Q53" i="4" s="1"/>
  <c r="M57" i="4"/>
  <c r="M60" i="4" s="1"/>
  <c r="K57" i="4"/>
  <c r="K60" i="4" s="1"/>
  <c r="L57" i="4"/>
  <c r="L60" i="4" s="1"/>
  <c r="J57" i="4"/>
  <c r="J60" i="4" s="1"/>
  <c r="I57" i="4"/>
  <c r="I60" i="4" s="1"/>
  <c r="F56" i="4"/>
  <c r="F59" i="4" s="1"/>
  <c r="E56" i="4"/>
  <c r="E59" i="4" s="1"/>
  <c r="D56" i="4"/>
  <c r="D59" i="4" s="1"/>
  <c r="C56" i="4"/>
  <c r="C59" i="4" s="1"/>
  <c r="B56" i="4"/>
  <c r="B59" i="4" s="1"/>
  <c r="AH13" i="3"/>
  <c r="AH18" i="3" s="1"/>
  <c r="AF13" i="3"/>
  <c r="AF18" i="3" s="1"/>
  <c r="AG13" i="3"/>
  <c r="AG18" i="3" s="1"/>
  <c r="AE13" i="3"/>
  <c r="AE18" i="3" s="1"/>
  <c r="AD13" i="3"/>
  <c r="AD18" i="3" s="1"/>
  <c r="AA23" i="3"/>
  <c r="AA28" i="3" s="1"/>
  <c r="Z23" i="3"/>
  <c r="Z28" i="3" s="1"/>
  <c r="Y23" i="3"/>
  <c r="Y28" i="3" s="1"/>
  <c r="X23" i="3"/>
  <c r="X28" i="3" s="1"/>
  <c r="W28" i="3"/>
  <c r="T15" i="3"/>
  <c r="T20" i="3" s="1"/>
  <c r="R15" i="3"/>
  <c r="R20" i="3" s="1"/>
  <c r="S15" i="3"/>
  <c r="S20" i="3" s="1"/>
  <c r="Q15" i="3"/>
  <c r="Q20" i="3" s="1"/>
  <c r="P15" i="3"/>
  <c r="P20" i="3" s="1"/>
  <c r="M17" i="3"/>
  <c r="M22" i="3" s="1"/>
  <c r="L17" i="3"/>
  <c r="L22" i="3" s="1"/>
  <c r="K17" i="3"/>
  <c r="K22" i="3" s="1"/>
  <c r="J17" i="3"/>
  <c r="J22" i="3" s="1"/>
  <c r="I17" i="3"/>
  <c r="I22" i="3" s="1"/>
  <c r="F21" i="3"/>
  <c r="E13" i="3"/>
  <c r="E16" i="3" s="1"/>
  <c r="E21" i="3" s="1"/>
  <c r="D13" i="3"/>
  <c r="D16" i="3" s="1"/>
  <c r="D21" i="3" s="1"/>
  <c r="C13" i="3"/>
  <c r="C16" i="3" s="1"/>
  <c r="C21" i="3" s="1"/>
  <c r="B13" i="3"/>
  <c r="B16" i="3" s="1"/>
  <c r="B21" i="3" s="1"/>
  <c r="C16" i="2"/>
  <c r="E16" i="2"/>
  <c r="B16" i="2"/>
  <c r="D16" i="2"/>
  <c r="F16" i="2"/>
  <c r="AH62" i="1"/>
  <c r="AH32" i="1"/>
  <c r="AF62" i="1"/>
  <c r="AG62" i="1"/>
  <c r="AG32" i="1"/>
  <c r="AF32" i="1"/>
  <c r="AE62" i="1"/>
  <c r="AD62" i="1"/>
  <c r="AE32" i="1"/>
  <c r="AD32" i="1"/>
  <c r="AA66" i="1"/>
  <c r="Z66" i="1"/>
  <c r="AA34" i="1"/>
  <c r="Z34" i="1"/>
  <c r="X66" i="1"/>
  <c r="Y66" i="1"/>
  <c r="X34" i="1"/>
  <c r="Y34" i="1"/>
  <c r="W66" i="1"/>
  <c r="W34" i="1"/>
  <c r="T55" i="1"/>
  <c r="T28" i="1"/>
  <c r="S55" i="1"/>
  <c r="R55" i="1"/>
  <c r="S28" i="1"/>
  <c r="R28" i="1"/>
  <c r="Q55" i="1"/>
  <c r="P55" i="1"/>
  <c r="Q28" i="1"/>
  <c r="P28" i="1"/>
  <c r="M53" i="1"/>
  <c r="M28" i="1"/>
  <c r="L53" i="1"/>
  <c r="K53" i="1"/>
  <c r="L28" i="1"/>
  <c r="K28" i="1"/>
  <c r="J53" i="1"/>
  <c r="I53" i="1"/>
  <c r="J28" i="1"/>
  <c r="I28" i="1"/>
  <c r="E61" i="1"/>
  <c r="F33" i="1"/>
  <c r="E33" i="1"/>
  <c r="D61" i="1"/>
  <c r="D33" i="1"/>
  <c r="F61" i="1"/>
  <c r="C61" i="1"/>
  <c r="B61" i="1"/>
  <c r="C33" i="1"/>
  <c r="B33" i="1"/>
  <c r="AS3" i="11" l="1"/>
  <c r="AS5" i="11" s="1"/>
  <c r="AS9" i="11" s="1"/>
  <c r="AS4" i="10"/>
  <c r="AS6" i="10" s="1"/>
  <c r="AT3" i="10"/>
  <c r="AT4" i="10" s="1"/>
  <c r="AT6" i="10" s="1"/>
  <c r="AR4" i="10"/>
  <c r="AR6" i="10" s="1"/>
  <c r="AR3" i="11"/>
  <c r="AR5" i="11" s="1"/>
  <c r="D19" i="13"/>
  <c r="C22" i="6"/>
  <c r="D10" i="13"/>
  <c r="K4" i="13" s="1"/>
  <c r="M4" i="13" s="1"/>
  <c r="N4" i="13" s="1"/>
  <c r="I11" i="6"/>
  <c r="G3" i="9" s="1"/>
  <c r="G11" i="6"/>
  <c r="E3" i="9" s="1"/>
  <c r="F11" i="6"/>
  <c r="D3" i="9" s="1"/>
  <c r="E11" i="6"/>
  <c r="C3" i="9" s="1"/>
  <c r="H11" i="6"/>
  <c r="F3" i="9" s="1"/>
  <c r="D8" i="13"/>
  <c r="C20" i="6"/>
  <c r="C25" i="6" s="1"/>
  <c r="F14" i="8"/>
  <c r="F15" i="8" s="1"/>
  <c r="AH4" i="9" s="1"/>
  <c r="AH5" i="9" s="1"/>
  <c r="B13" i="8"/>
  <c r="D14" i="8"/>
  <c r="D15" i="8" s="1"/>
  <c r="D4" i="10"/>
  <c r="D6" i="10" s="1"/>
  <c r="D3" i="11"/>
  <c r="D5" i="11" s="1"/>
  <c r="E3" i="10"/>
  <c r="X3" i="11"/>
  <c r="X5" i="11" s="1"/>
  <c r="Y3" i="10"/>
  <c r="X4" i="10"/>
  <c r="X6" i="10" s="1"/>
  <c r="O3" i="10"/>
  <c r="N4" i="10"/>
  <c r="N6" i="10" s="1"/>
  <c r="N3" i="11"/>
  <c r="N5" i="11" s="1"/>
  <c r="AH4" i="10"/>
  <c r="AH6" i="10" s="1"/>
  <c r="AH3" i="11"/>
  <c r="AH5" i="11" s="1"/>
  <c r="AI3" i="10"/>
  <c r="AU3" i="10"/>
  <c r="AT3" i="11"/>
  <c r="AT5" i="11" s="1"/>
  <c r="AT9" i="11" s="1"/>
  <c r="E14" i="8"/>
  <c r="E15" i="8" s="1"/>
  <c r="AB4" i="9" s="1"/>
  <c r="AB5" i="9" s="1"/>
  <c r="C12" i="8"/>
  <c r="C14" i="8" s="1"/>
  <c r="F25" i="5"/>
  <c r="U25" i="5"/>
  <c r="L25" i="5"/>
  <c r="V25" i="5"/>
  <c r="AL25" i="5"/>
  <c r="D25" i="5"/>
  <c r="O25" i="5"/>
  <c r="M25" i="5"/>
  <c r="W25" i="5"/>
  <c r="AB25" i="5"/>
  <c r="E25" i="5"/>
  <c r="AC25" i="5"/>
  <c r="AM25" i="5"/>
  <c r="AE25" i="5"/>
  <c r="T25" i="5"/>
  <c r="AK25" i="5"/>
  <c r="N25" i="5"/>
  <c r="AJ25" i="5"/>
  <c r="AI5" i="6"/>
  <c r="AJ3" i="6"/>
  <c r="Y5" i="6"/>
  <c r="Z3" i="6"/>
  <c r="P3" i="6"/>
  <c r="O5" i="6"/>
  <c r="E5" i="6"/>
  <c r="F3" i="6"/>
  <c r="S25" i="5"/>
  <c r="AI25" i="5"/>
  <c r="AA25" i="5"/>
  <c r="AF21" i="11"/>
  <c r="L6" i="12"/>
  <c r="V21" i="11"/>
  <c r="I6" i="12"/>
  <c r="D7" i="11"/>
  <c r="D8" i="11" s="1"/>
  <c r="D9" i="11" s="1"/>
  <c r="N7" i="11"/>
  <c r="N8" i="11" s="1"/>
  <c r="AH7" i="11"/>
  <c r="AH8" i="11" s="1"/>
  <c r="AR7" i="11"/>
  <c r="AR8" i="11" s="1"/>
  <c r="AR9" i="11" s="1"/>
  <c r="X7" i="11"/>
  <c r="X8" i="11" s="1"/>
  <c r="AR7" i="10"/>
  <c r="AW7" i="10"/>
  <c r="AW10" i="11" s="1"/>
  <c r="AV7" i="10"/>
  <c r="AV10" i="11" s="1"/>
  <c r="AU7" i="10"/>
  <c r="AT7" i="10"/>
  <c r="AS7" i="10"/>
  <c r="AM7" i="10"/>
  <c r="AM10" i="11" s="1"/>
  <c r="AL7" i="10"/>
  <c r="AL10" i="11" s="1"/>
  <c r="AK7" i="10"/>
  <c r="AJ7" i="10"/>
  <c r="AI7" i="10"/>
  <c r="AH7" i="10"/>
  <c r="X7" i="10"/>
  <c r="AC7" i="10"/>
  <c r="AB7" i="10"/>
  <c r="AA7" i="10"/>
  <c r="Z7" i="10"/>
  <c r="Y7" i="10"/>
  <c r="S7" i="10"/>
  <c r="R7" i="10"/>
  <c r="Q7" i="10"/>
  <c r="N7" i="10"/>
  <c r="P7" i="10"/>
  <c r="O7" i="10"/>
  <c r="I7" i="10"/>
  <c r="H7" i="10"/>
  <c r="G7" i="10"/>
  <c r="F7" i="10"/>
  <c r="E7" i="10"/>
  <c r="D7" i="10"/>
  <c r="AW4" i="6"/>
  <c r="AW6" i="6" s="1"/>
  <c r="AW7" i="6" s="1"/>
  <c r="AW11" i="6" s="1"/>
  <c r="AM3" i="9" s="1"/>
  <c r="AV6" i="6"/>
  <c r="AV7" i="6" s="1"/>
  <c r="AV11" i="6" s="1"/>
  <c r="AL3" i="9" s="1"/>
  <c r="AW3" i="6"/>
  <c r="AW5" i="6" s="1"/>
  <c r="AV5" i="6"/>
  <c r="AM4" i="6"/>
  <c r="AM6" i="6" s="1"/>
  <c r="AM7" i="6" s="1"/>
  <c r="AM11" i="6" s="1"/>
  <c r="AE3" i="9" s="1"/>
  <c r="AL6" i="6"/>
  <c r="AL7" i="6" s="1"/>
  <c r="AL11" i="6" s="1"/>
  <c r="AD3" i="9" s="1"/>
  <c r="AC4" i="6"/>
  <c r="AC7" i="6" s="1"/>
  <c r="AC11" i="6" s="1"/>
  <c r="W3" i="9" s="1"/>
  <c r="AB7" i="6"/>
  <c r="AB11" i="6" s="1"/>
  <c r="V3" i="9" s="1"/>
  <c r="R11" i="6"/>
  <c r="N3" i="9" s="1"/>
  <c r="S8" i="6"/>
  <c r="S11" i="6" s="1"/>
  <c r="O3" i="9" s="1"/>
  <c r="X9" i="11" l="1"/>
  <c r="AH9" i="11"/>
  <c r="N9" i="11"/>
  <c r="R7" i="9"/>
  <c r="R8" i="9" s="1"/>
  <c r="K2" i="13"/>
  <c r="M2" i="13" s="1"/>
  <c r="N2" i="13" s="1"/>
  <c r="D13" i="13"/>
  <c r="B15" i="8"/>
  <c r="G4" i="9" s="1"/>
  <c r="G5" i="9" s="1"/>
  <c r="AK4" i="9"/>
  <c r="AK5" i="9" s="1"/>
  <c r="W4" i="9"/>
  <c r="W5" i="9" s="1"/>
  <c r="V4" i="9"/>
  <c r="V5" i="9" s="1"/>
  <c r="T4" i="9"/>
  <c r="T5" i="9" s="1"/>
  <c r="AJ4" i="9"/>
  <c r="AJ5" i="9" s="1"/>
  <c r="AH7" i="9"/>
  <c r="AL4" i="9"/>
  <c r="AL5" i="9" s="1"/>
  <c r="U4" i="9"/>
  <c r="U5" i="9" s="1"/>
  <c r="AI4" i="9"/>
  <c r="AI5" i="9" s="1"/>
  <c r="S4" i="9"/>
  <c r="S5" i="9" s="1"/>
  <c r="AM4" i="9"/>
  <c r="AM5" i="9" s="1"/>
  <c r="R4" i="9"/>
  <c r="R5" i="9" s="1"/>
  <c r="AA4" i="9"/>
  <c r="AA5" i="9" s="1"/>
  <c r="AE4" i="9"/>
  <c r="AE5" i="9" s="1"/>
  <c r="AD4" i="9"/>
  <c r="AD5" i="9" s="1"/>
  <c r="Z7" i="9"/>
  <c r="Z8" i="9" s="1"/>
  <c r="Z4" i="9"/>
  <c r="Z5" i="9" s="1"/>
  <c r="AC4" i="9"/>
  <c r="AC5" i="9" s="1"/>
  <c r="E4" i="10"/>
  <c r="E6" i="10" s="1"/>
  <c r="E8" i="10" s="1"/>
  <c r="F3" i="10"/>
  <c r="E3" i="11"/>
  <c r="E5" i="11" s="1"/>
  <c r="E9" i="11" s="1"/>
  <c r="O3" i="11"/>
  <c r="O5" i="11" s="1"/>
  <c r="O9" i="11" s="1"/>
  <c r="O4" i="10"/>
  <c r="O6" i="10" s="1"/>
  <c r="P3" i="10"/>
  <c r="AU3" i="11"/>
  <c r="AU5" i="11" s="1"/>
  <c r="AU9" i="11" s="1"/>
  <c r="AV3" i="10"/>
  <c r="AU4" i="10"/>
  <c r="AU6" i="10" s="1"/>
  <c r="AU8" i="10" s="1"/>
  <c r="AJ3" i="10"/>
  <c r="AI3" i="11"/>
  <c r="AI5" i="11" s="1"/>
  <c r="AI9" i="11" s="1"/>
  <c r="AI4" i="10"/>
  <c r="AI6" i="10" s="1"/>
  <c r="AI8" i="10" s="1"/>
  <c r="Y4" i="10"/>
  <c r="Y6" i="10" s="1"/>
  <c r="Y8" i="10" s="1"/>
  <c r="Y3" i="11"/>
  <c r="Y5" i="11" s="1"/>
  <c r="Y9" i="11" s="1"/>
  <c r="Z3" i="10"/>
  <c r="C13" i="8"/>
  <c r="C15" i="8" s="1"/>
  <c r="AK3" i="6"/>
  <c r="AJ5" i="6"/>
  <c r="AA3" i="6"/>
  <c r="Z5" i="6"/>
  <c r="Q3" i="6"/>
  <c r="P5" i="6"/>
  <c r="F5" i="6"/>
  <c r="G3" i="6"/>
  <c r="I10" i="11"/>
  <c r="Y10" i="11"/>
  <c r="AS8" i="10"/>
  <c r="AS10" i="11"/>
  <c r="AS11" i="11" s="1"/>
  <c r="H10" i="11"/>
  <c r="O8" i="10"/>
  <c r="O10" i="11"/>
  <c r="O11" i="11" s="1"/>
  <c r="Z10" i="11"/>
  <c r="AT8" i="10"/>
  <c r="AT10" i="11"/>
  <c r="AT11" i="11" s="1"/>
  <c r="D8" i="10"/>
  <c r="D10" i="11"/>
  <c r="D11" i="11" s="1"/>
  <c r="P10" i="11"/>
  <c r="AA10" i="11"/>
  <c r="AH8" i="10"/>
  <c r="AH10" i="11"/>
  <c r="AU10" i="11"/>
  <c r="E10" i="11"/>
  <c r="E11" i="11" s="1"/>
  <c r="N8" i="10"/>
  <c r="N10" i="11"/>
  <c r="N11" i="11" s="1"/>
  <c r="AB10" i="11"/>
  <c r="AI10" i="11"/>
  <c r="S10" i="11"/>
  <c r="F10" i="11"/>
  <c r="Q10" i="11"/>
  <c r="AC10" i="11"/>
  <c r="AJ10" i="11"/>
  <c r="G10" i="11"/>
  <c r="R10" i="11"/>
  <c r="X8" i="10"/>
  <c r="X10" i="11"/>
  <c r="X11" i="11" s="1"/>
  <c r="AK10" i="11"/>
  <c r="AR8" i="10"/>
  <c r="AR10" i="11"/>
  <c r="AR11" i="11" s="1"/>
  <c r="AH11" i="11" l="1"/>
  <c r="O7" i="13"/>
  <c r="N7" i="13"/>
  <c r="F4" i="9"/>
  <c r="F5" i="9" s="1"/>
  <c r="B4" i="9"/>
  <c r="B5" i="9" s="1"/>
  <c r="D4" i="9"/>
  <c r="D5" i="9" s="1"/>
  <c r="B7" i="9"/>
  <c r="B8" i="9" s="1"/>
  <c r="C4" i="9"/>
  <c r="C5" i="9" s="1"/>
  <c r="E4" i="9"/>
  <c r="E5" i="9" s="1"/>
  <c r="AH8" i="9"/>
  <c r="AH9" i="9"/>
  <c r="R9" i="9"/>
  <c r="R10" i="9" s="1"/>
  <c r="R12" i="9" s="1"/>
  <c r="R14" i="9" s="1"/>
  <c r="R16" i="9" s="1"/>
  <c r="Z9" i="9"/>
  <c r="Z10" i="9" s="1"/>
  <c r="Z12" i="9" s="1"/>
  <c r="Z14" i="9" s="1"/>
  <c r="Z16" i="9" s="1"/>
  <c r="Y11" i="11"/>
  <c r="G3" i="10"/>
  <c r="F3" i="11"/>
  <c r="F5" i="11" s="1"/>
  <c r="F9" i="11" s="1"/>
  <c r="F11" i="11" s="1"/>
  <c r="F4" i="10"/>
  <c r="F6" i="10" s="1"/>
  <c r="F8" i="10" s="1"/>
  <c r="AV3" i="11"/>
  <c r="AV5" i="11" s="1"/>
  <c r="AV9" i="11" s="1"/>
  <c r="AV11" i="11" s="1"/>
  <c r="AW3" i="10"/>
  <c r="AV4" i="10"/>
  <c r="AV6" i="10" s="1"/>
  <c r="AV8" i="10" s="1"/>
  <c r="AA3" i="10"/>
  <c r="Z3" i="11"/>
  <c r="Z5" i="11" s="1"/>
  <c r="Z9" i="11" s="1"/>
  <c r="Z11" i="11" s="1"/>
  <c r="Z4" i="10"/>
  <c r="Z6" i="10" s="1"/>
  <c r="Z8" i="10" s="1"/>
  <c r="Q3" i="10"/>
  <c r="P4" i="10"/>
  <c r="P6" i="10" s="1"/>
  <c r="P8" i="10" s="1"/>
  <c r="P3" i="11"/>
  <c r="P5" i="11" s="1"/>
  <c r="P9" i="11" s="1"/>
  <c r="P11" i="11" s="1"/>
  <c r="AI11" i="11"/>
  <c r="AU11" i="11"/>
  <c r="AK3" i="10"/>
  <c r="AJ3" i="11"/>
  <c r="AJ5" i="11" s="1"/>
  <c r="AJ9" i="11" s="1"/>
  <c r="AJ11" i="11" s="1"/>
  <c r="AJ4" i="10"/>
  <c r="AJ6" i="10" s="1"/>
  <c r="AJ8" i="10" s="1"/>
  <c r="J7" i="9"/>
  <c r="J8" i="9" s="1"/>
  <c r="J4" i="9"/>
  <c r="J5" i="9" s="1"/>
  <c r="N4" i="9"/>
  <c r="N5" i="9" s="1"/>
  <c r="O4" i="9"/>
  <c r="O5" i="9" s="1"/>
  <c r="L4" i="9"/>
  <c r="L5" i="9" s="1"/>
  <c r="K4" i="9"/>
  <c r="K5" i="9" s="1"/>
  <c r="M4" i="9"/>
  <c r="M5" i="9" s="1"/>
  <c r="AL3" i="6"/>
  <c r="AK5" i="6"/>
  <c r="AB3" i="6"/>
  <c r="AA5" i="6"/>
  <c r="R3" i="6"/>
  <c r="Q5" i="6"/>
  <c r="G5" i="6"/>
  <c r="H3" i="6"/>
  <c r="B9" i="9" l="1"/>
  <c r="B10" i="9" s="1"/>
  <c r="B12" i="9" s="1"/>
  <c r="B14" i="9" s="1"/>
  <c r="B16" i="9" s="1"/>
  <c r="AH10" i="9"/>
  <c r="AH12" i="9" s="1"/>
  <c r="AH14" i="9" s="1"/>
  <c r="AH16" i="9" s="1"/>
  <c r="H5" i="12"/>
  <c r="H7" i="12" s="1"/>
  <c r="K5" i="12"/>
  <c r="K7" i="12" s="1"/>
  <c r="G3" i="11"/>
  <c r="G5" i="11" s="1"/>
  <c r="G9" i="11" s="1"/>
  <c r="G11" i="11" s="1"/>
  <c r="H3" i="10"/>
  <c r="G4" i="10"/>
  <c r="G6" i="10" s="1"/>
  <c r="G8" i="10" s="1"/>
  <c r="AA3" i="11"/>
  <c r="AA5" i="11" s="1"/>
  <c r="AA9" i="11" s="1"/>
  <c r="AA11" i="11" s="1"/>
  <c r="AB3" i="10"/>
  <c r="AA4" i="10"/>
  <c r="AA6" i="10" s="1"/>
  <c r="AA8" i="10" s="1"/>
  <c r="AK3" i="11"/>
  <c r="AK5" i="11" s="1"/>
  <c r="AK9" i="11" s="1"/>
  <c r="AK4" i="10"/>
  <c r="AK6" i="10" s="1"/>
  <c r="AK8" i="10" s="1"/>
  <c r="AL3" i="10"/>
  <c r="AW4" i="10"/>
  <c r="AW6" i="10" s="1"/>
  <c r="AW3" i="11"/>
  <c r="AW5" i="11" s="1"/>
  <c r="AW9" i="11" s="1"/>
  <c r="R3" i="10"/>
  <c r="Q4" i="10"/>
  <c r="Q6" i="10" s="1"/>
  <c r="Q8" i="10" s="1"/>
  <c r="Q3" i="11"/>
  <c r="Q5" i="11" s="1"/>
  <c r="Q9" i="11" s="1"/>
  <c r="Q11" i="11" s="1"/>
  <c r="J9" i="9"/>
  <c r="J10" i="9" s="1"/>
  <c r="J12" i="9" s="1"/>
  <c r="J14" i="9" s="1"/>
  <c r="AM3" i="6"/>
  <c r="AM5" i="6" s="1"/>
  <c r="AL5" i="6"/>
  <c r="AC3" i="6"/>
  <c r="AC5" i="6" s="1"/>
  <c r="AB5" i="6"/>
  <c r="S3" i="6"/>
  <c r="S5" i="6" s="1"/>
  <c r="R5" i="6"/>
  <c r="I3" i="6"/>
  <c r="I5" i="6" s="1"/>
  <c r="H5" i="6"/>
  <c r="B5" i="12" l="1"/>
  <c r="B7" i="12" s="1"/>
  <c r="N5" i="12"/>
  <c r="N7" i="12" s="1"/>
  <c r="H3" i="11"/>
  <c r="H5" i="11" s="1"/>
  <c r="H9" i="11" s="1"/>
  <c r="H11" i="11" s="1"/>
  <c r="I3" i="10"/>
  <c r="H4" i="10"/>
  <c r="H6" i="10" s="1"/>
  <c r="H8" i="10" s="1"/>
  <c r="AF13" i="11"/>
  <c r="AF14" i="11" s="1"/>
  <c r="AK11" i="11"/>
  <c r="AB3" i="11"/>
  <c r="AB5" i="11" s="1"/>
  <c r="AB9" i="11" s="1"/>
  <c r="AB11" i="11" s="1"/>
  <c r="AB4" i="10"/>
  <c r="AB6" i="10" s="1"/>
  <c r="AB8" i="10" s="1"/>
  <c r="AC3" i="10"/>
  <c r="S3" i="10"/>
  <c r="R4" i="10"/>
  <c r="R6" i="10" s="1"/>
  <c r="R8" i="10" s="1"/>
  <c r="R3" i="11"/>
  <c r="R5" i="11" s="1"/>
  <c r="R9" i="11" s="1"/>
  <c r="R11" i="11" s="1"/>
  <c r="AP13" i="11"/>
  <c r="AP14" i="11" s="1"/>
  <c r="AW11" i="11"/>
  <c r="AP15" i="11" s="1"/>
  <c r="AP10" i="10"/>
  <c r="AP11" i="10" s="1"/>
  <c r="AW8" i="10"/>
  <c r="AP12" i="10" s="1"/>
  <c r="AL3" i="11"/>
  <c r="AL5" i="11" s="1"/>
  <c r="AL9" i="11" s="1"/>
  <c r="AL11" i="11" s="1"/>
  <c r="AL4" i="10"/>
  <c r="AL6" i="10" s="1"/>
  <c r="AL8" i="10" s="1"/>
  <c r="AM3" i="10"/>
  <c r="J16" i="9"/>
  <c r="E5" i="12"/>
  <c r="E7" i="12" s="1"/>
  <c r="I4" i="10" l="1"/>
  <c r="I6" i="10" s="1"/>
  <c r="I3" i="11"/>
  <c r="I5" i="11" s="1"/>
  <c r="I9" i="11" s="1"/>
  <c r="AP13" i="10"/>
  <c r="AP15" i="10" s="1"/>
  <c r="AP17" i="10" s="1"/>
  <c r="AP16" i="11"/>
  <c r="AP18" i="11" s="1"/>
  <c r="AP20" i="11" s="1"/>
  <c r="AM4" i="10"/>
  <c r="AM6" i="10" s="1"/>
  <c r="AM3" i="11"/>
  <c r="AM5" i="11" s="1"/>
  <c r="AM9" i="11" s="1"/>
  <c r="AM11" i="11" s="1"/>
  <c r="AF15" i="11" s="1"/>
  <c r="AF16" i="11" s="1"/>
  <c r="AF18" i="11" s="1"/>
  <c r="AF20" i="11" s="1"/>
  <c r="S4" i="10"/>
  <c r="S6" i="10" s="1"/>
  <c r="S3" i="11"/>
  <c r="S5" i="11" s="1"/>
  <c r="S9" i="11" s="1"/>
  <c r="AC4" i="10"/>
  <c r="AC6" i="10" s="1"/>
  <c r="AC3" i="11"/>
  <c r="AC5" i="11" s="1"/>
  <c r="AC9" i="11" s="1"/>
  <c r="B13" i="11" l="1"/>
  <c r="B14" i="11" s="1"/>
  <c r="I11" i="11"/>
  <c r="B15" i="11" s="1"/>
  <c r="B10" i="10"/>
  <c r="B11" i="10" s="1"/>
  <c r="I8" i="10"/>
  <c r="B12" i="10" s="1"/>
  <c r="AF22" i="11"/>
  <c r="M5" i="12"/>
  <c r="M7" i="12" s="1"/>
  <c r="V10" i="10"/>
  <c r="V11" i="10" s="1"/>
  <c r="AC8" i="10"/>
  <c r="V12" i="10" s="1"/>
  <c r="AF10" i="10"/>
  <c r="AF11" i="10" s="1"/>
  <c r="AM8" i="10"/>
  <c r="AF12" i="10" s="1"/>
  <c r="L13" i="11"/>
  <c r="L14" i="11" s="1"/>
  <c r="S11" i="11"/>
  <c r="L15" i="11" s="1"/>
  <c r="AP22" i="11"/>
  <c r="P5" i="12"/>
  <c r="P7" i="12" s="1"/>
  <c r="L10" i="10"/>
  <c r="L11" i="10" s="1"/>
  <c r="S8" i="10"/>
  <c r="L12" i="10" s="1"/>
  <c r="V13" i="11"/>
  <c r="V14" i="11" s="1"/>
  <c r="AC11" i="11"/>
  <c r="V15" i="11" s="1"/>
  <c r="AP19" i="10"/>
  <c r="O5" i="12"/>
  <c r="O7" i="12" s="1"/>
  <c r="B16" i="11" l="1"/>
  <c r="B18" i="11" s="1"/>
  <c r="B20" i="11" s="1"/>
  <c r="D5" i="12" s="1"/>
  <c r="D7" i="12" s="1"/>
  <c r="B13" i="10"/>
  <c r="B15" i="10" s="1"/>
  <c r="B17" i="10" s="1"/>
  <c r="B19" i="10" s="1"/>
  <c r="L16" i="11"/>
  <c r="L18" i="11" s="1"/>
  <c r="L20" i="11" s="1"/>
  <c r="L22" i="11" s="1"/>
  <c r="V16" i="11"/>
  <c r="V18" i="11" s="1"/>
  <c r="V20" i="11" s="1"/>
  <c r="AF13" i="10"/>
  <c r="AF15" i="10" s="1"/>
  <c r="AF17" i="10" s="1"/>
  <c r="L13" i="10"/>
  <c r="L15" i="10" s="1"/>
  <c r="L17" i="10" s="1"/>
  <c r="V13" i="10"/>
  <c r="V15" i="10" s="1"/>
  <c r="V17" i="10" s="1"/>
  <c r="B22" i="11" l="1"/>
  <c r="C5" i="12"/>
  <c r="C7" i="12" s="1"/>
  <c r="I5" i="12"/>
  <c r="I7" i="12" s="1"/>
  <c r="V19" i="10"/>
  <c r="L19" i="10"/>
  <c r="F5" i="12"/>
  <c r="F7" i="12" s="1"/>
  <c r="AF19" i="10"/>
  <c r="L5" i="12"/>
  <c r="L7" i="12" s="1"/>
  <c r="V22" i="11"/>
  <c r="J5" i="12"/>
  <c r="J7" i="12" s="1"/>
  <c r="G5" i="12"/>
  <c r="G7" i="1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1">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7"/>
        </ext>
      </extLst>
    </bk>
    <bk>
      <extLst>
        <ext uri="{3e2802c4-a4d2-4d8b-9148-e3be6c30e623}">
          <xlrd:rvb i="10"/>
        </ext>
      </extLst>
    </bk>
    <bk>
      <extLst>
        <ext uri="{3e2802c4-a4d2-4d8b-9148-e3be6c30e623}">
          <xlrd:rvb i="13"/>
        </ext>
      </extLst>
    </bk>
    <bk>
      <extLst>
        <ext uri="{3e2802c4-a4d2-4d8b-9148-e3be6c30e623}">
          <xlrd:rvb i="16"/>
        </ext>
      </extLst>
    </bk>
    <bk>
      <extLst>
        <ext uri="{3e2802c4-a4d2-4d8b-9148-e3be6c30e623}">
          <xlrd:rvb i="19"/>
        </ext>
      </extLst>
    </bk>
    <bk>
      <extLst>
        <ext uri="{3e2802c4-a4d2-4d8b-9148-e3be6c30e623}">
          <xlrd:rvb i="21"/>
        </ext>
      </extLst>
    </bk>
  </futureMetadata>
  <futureMetadata name="XLDAPR" count="1">
    <bk>
      <extLst>
        <ext uri="{bdbb8cdc-fa1e-496e-a857-3c3f30c029c3}">
          <xda:dynamicArrayProperties fDynamic="1" fCollapsed="0"/>
        </ext>
      </extLst>
    </bk>
  </futureMetadata>
  <cellMetadata count="1">
    <bk>
      <rc t="2" v="0"/>
    </bk>
  </cellMetadata>
  <valueMetadata count="11">
    <bk>
      <rc t="1" v="0"/>
    </bk>
    <bk>
      <rc t="1" v="1"/>
    </bk>
    <bk>
      <rc t="1" v="2"/>
    </bk>
    <bk>
      <rc t="1" v="3"/>
    </bk>
    <bk>
      <rc t="1" v="4"/>
    </bk>
    <bk>
      <rc t="1" v="5"/>
    </bk>
    <bk>
      <rc t="1" v="6"/>
    </bk>
    <bk>
      <rc t="1" v="7"/>
    </bk>
    <bk>
      <rc t="1" v="8"/>
    </bk>
    <bk>
      <rc t="1" v="9"/>
    </bk>
    <bk>
      <rc t="1" v="10"/>
    </bk>
  </valueMetadata>
</metadata>
</file>

<file path=xl/sharedStrings.xml><?xml version="1.0" encoding="utf-8"?>
<sst xmlns="http://schemas.openxmlformats.org/spreadsheetml/2006/main" count="1362" uniqueCount="482">
  <si>
    <t>Consolidated Balance Sheet</t>
  </si>
  <si>
    <t>Particulars</t>
  </si>
  <si>
    <t>ASSETS</t>
  </si>
  <si>
    <t>Non-Current Assets</t>
  </si>
  <si>
    <t>Property, plant and equipment</t>
  </si>
  <si>
    <t>Capital work-in-progress</t>
  </si>
  <si>
    <t>Right-of-use assets</t>
  </si>
  <si>
    <t>Goodwill</t>
  </si>
  <si>
    <t>Other Tangible assets</t>
  </si>
  <si>
    <t>Financial Assets</t>
  </si>
  <si>
    <t>Investments</t>
  </si>
  <si>
    <t>Trade receivables</t>
  </si>
  <si>
    <t>Unbilled receivables</t>
  </si>
  <si>
    <t>Loans</t>
  </si>
  <si>
    <t>Other financial assets</t>
  </si>
  <si>
    <t>Income tax assets (net)</t>
  </si>
  <si>
    <t>Deferred tax assets (net)</t>
  </si>
  <si>
    <t>Other assets</t>
  </si>
  <si>
    <t>Total non-current assets</t>
  </si>
  <si>
    <t>Current Assets</t>
  </si>
  <si>
    <t>Inventories</t>
  </si>
  <si>
    <t>Cash and Cash Equivalents</t>
  </si>
  <si>
    <t>Other balances with banks</t>
  </si>
  <si>
    <t>Total current assets</t>
  </si>
  <si>
    <t>Total Assets</t>
  </si>
  <si>
    <t>EQUITY AND LIABILITIES</t>
  </si>
  <si>
    <t>Equity</t>
  </si>
  <si>
    <t>Share capital</t>
  </si>
  <si>
    <t>Other equity</t>
  </si>
  <si>
    <t>Equity distributable to shareholders of the company</t>
  </si>
  <si>
    <t>Non controlling interests</t>
  </si>
  <si>
    <t>Total Equity</t>
  </si>
  <si>
    <t>Liabilities</t>
  </si>
  <si>
    <t>Non-current Liabilities</t>
  </si>
  <si>
    <t>Financial Liabilities</t>
  </si>
  <si>
    <t>Lease liabilities</t>
  </si>
  <si>
    <t>Trade payables</t>
  </si>
  <si>
    <t>Other financial liabilities</t>
  </si>
  <si>
    <t>Unearned and deferred revenue</t>
  </si>
  <si>
    <t>Other liabilities</t>
  </si>
  <si>
    <t>Employee benefit obligations</t>
  </si>
  <si>
    <t>Income tax liabilities (net)</t>
  </si>
  <si>
    <t>Deferred tax liabilities</t>
  </si>
  <si>
    <t>Total non-current liabilities</t>
  </si>
  <si>
    <t>Current Liabilities</t>
  </si>
  <si>
    <t>Provisions</t>
  </si>
  <si>
    <t>Total current liabilities</t>
  </si>
  <si>
    <t>Total Equity and Liabilities</t>
  </si>
  <si>
    <t>Non current assets</t>
  </si>
  <si>
    <t>Capital work in progress</t>
  </si>
  <si>
    <t>Other intangible assets</t>
  </si>
  <si>
    <t>Financial assets</t>
  </si>
  <si>
    <t>Other non current assets</t>
  </si>
  <si>
    <t>Total non current assets</t>
  </si>
  <si>
    <t>Current assets</t>
  </si>
  <si>
    <t>Cash and cash equivalents</t>
  </si>
  <si>
    <t>Other current assets</t>
  </si>
  <si>
    <t>Total assets</t>
  </si>
  <si>
    <t>Equity share capital</t>
  </si>
  <si>
    <t>Total equity distributable to equity holders of the company</t>
  </si>
  <si>
    <t>Non controlling interest</t>
  </si>
  <si>
    <t>Total equity</t>
  </si>
  <si>
    <t>Non current liabilities</t>
  </si>
  <si>
    <t>Financial liabilities</t>
  </si>
  <si>
    <t>Deferred tax liabilities (net)</t>
  </si>
  <si>
    <t>Other non-current liabilities</t>
  </si>
  <si>
    <t>Current liabilities</t>
  </si>
  <si>
    <t>Other current liabilities</t>
  </si>
  <si>
    <t>Total equity and liabilities</t>
  </si>
  <si>
    <t>Right of use assets</t>
  </si>
  <si>
    <t>Others</t>
  </si>
  <si>
    <t>Other bank balances</t>
  </si>
  <si>
    <t>Current tax assets (net)</t>
  </si>
  <si>
    <t>EQUITY</t>
  </si>
  <si>
    <t>LIABILITIES</t>
  </si>
  <si>
    <t>Borrowings</t>
  </si>
  <si>
    <t>Long-term provisions</t>
  </si>
  <si>
    <t>Other non current liabilities</t>
  </si>
  <si>
    <t>Total non current liabilities</t>
  </si>
  <si>
    <t xml:space="preserve">Other current liabilities </t>
  </si>
  <si>
    <t>Short term provisions</t>
  </si>
  <si>
    <t>Current tax liabilities (net)</t>
  </si>
  <si>
    <t>Investments accounted for using the equity method</t>
  </si>
  <si>
    <t>Derivative assets</t>
  </si>
  <si>
    <t>Non current tax assets (net)</t>
  </si>
  <si>
    <t>Assets held for sale</t>
  </si>
  <si>
    <t>Equity attributable to the shareholders of the company</t>
  </si>
  <si>
    <t>Derivative liabilities</t>
  </si>
  <si>
    <t>Non-current tax liabilities (net)</t>
  </si>
  <si>
    <t>Long term provisions</t>
  </si>
  <si>
    <t>Contract liabilities</t>
  </si>
  <si>
    <t>Contract assets</t>
  </si>
  <si>
    <t>Right of use asset</t>
  </si>
  <si>
    <t>Other tangible assets</t>
  </si>
  <si>
    <t>Intangible assets under development</t>
  </si>
  <si>
    <t>Unbilled revenue</t>
  </si>
  <si>
    <t>Other reserves</t>
  </si>
  <si>
    <t>Retained earnings</t>
  </si>
  <si>
    <t>Due to micro and small enterprises</t>
  </si>
  <si>
    <t>Total Equity and liabilities</t>
  </si>
  <si>
    <t>Logo</t>
  </si>
  <si>
    <t>Company name</t>
  </si>
  <si>
    <t>Listed Name</t>
  </si>
  <si>
    <t>Ticker symbol</t>
  </si>
  <si>
    <t>Industry</t>
  </si>
  <si>
    <t>Share Price</t>
  </si>
  <si>
    <t>Outstanding shares</t>
  </si>
  <si>
    <t>In USD</t>
  </si>
  <si>
    <t>Beta</t>
  </si>
  <si>
    <t>Change (%)</t>
  </si>
  <si>
    <t>Tata Consultancy Services</t>
  </si>
  <si>
    <t>Infosys</t>
  </si>
  <si>
    <t>HCL Technologies</t>
  </si>
  <si>
    <t>Wipro</t>
  </si>
  <si>
    <t>LT Mindtree</t>
  </si>
  <si>
    <t>Conversion</t>
  </si>
  <si>
    <t>Market cap (INR)</t>
  </si>
  <si>
    <t>COMPANY PROFILE</t>
  </si>
  <si>
    <t>Revenue from Operations</t>
  </si>
  <si>
    <t>Other Income</t>
  </si>
  <si>
    <t>Total Income</t>
  </si>
  <si>
    <t>Expenses</t>
  </si>
  <si>
    <t>Employee benefit expenses</t>
  </si>
  <si>
    <t>Cost of equipments and software licenses</t>
  </si>
  <si>
    <t>Finance costs</t>
  </si>
  <si>
    <t>Depreciation and ammortisation expenses</t>
  </si>
  <si>
    <t>Other expenses</t>
  </si>
  <si>
    <t>Total Expenses</t>
  </si>
  <si>
    <t>Profit before exceptional items and tax</t>
  </si>
  <si>
    <t>Exceptional items</t>
  </si>
  <si>
    <t>Provision towards legal claim</t>
  </si>
  <si>
    <t>Profit before tax</t>
  </si>
  <si>
    <t>Tax expenses</t>
  </si>
  <si>
    <t>Current tax</t>
  </si>
  <si>
    <t>Deferred tax</t>
  </si>
  <si>
    <t>Total tax expense</t>
  </si>
  <si>
    <t>Profit for the year</t>
  </si>
  <si>
    <t>Other income</t>
  </si>
  <si>
    <t>Total income</t>
  </si>
  <si>
    <t>Cost of technical sub contractors</t>
  </si>
  <si>
    <t>Travel expenses</t>
  </si>
  <si>
    <t>Cost of software package and others</t>
  </si>
  <si>
    <t>Communication expenses</t>
  </si>
  <si>
    <t>Consultancy and professional charges</t>
  </si>
  <si>
    <t>Depreciation and ammortization expenses</t>
  </si>
  <si>
    <t>Finance cost</t>
  </si>
  <si>
    <t>Total expenses</t>
  </si>
  <si>
    <t>Tax expense</t>
  </si>
  <si>
    <t>Profit for the period</t>
  </si>
  <si>
    <t>Revenue from operations</t>
  </si>
  <si>
    <t>Purchase of stock-in-trade</t>
  </si>
  <si>
    <t>Changes in inventories of stock in trade</t>
  </si>
  <si>
    <t>Depreciation, ammortization and impairment expenses</t>
  </si>
  <si>
    <t>Outsourcing costs</t>
  </si>
  <si>
    <t>Other operating income</t>
  </si>
  <si>
    <t>Purchase of stock in trade</t>
  </si>
  <si>
    <t>Changes in inventories of finished goods and stock in trade</t>
  </si>
  <si>
    <t>Sub-contracting/technical fees/third party application</t>
  </si>
  <si>
    <t>Facility expenses</t>
  </si>
  <si>
    <t>Travel</t>
  </si>
  <si>
    <t>Communication</t>
  </si>
  <si>
    <t>Marketing and brand building</t>
  </si>
  <si>
    <t>Legal and professional charges</t>
  </si>
  <si>
    <t>Allowance for lifetime expected credit loss</t>
  </si>
  <si>
    <t>Share of net profit/loss of associates</t>
  </si>
  <si>
    <t>Operating expenses</t>
  </si>
  <si>
    <t>Total tax expenses</t>
  </si>
  <si>
    <t>Profit/Loss for the year</t>
  </si>
  <si>
    <t>Adjustments:</t>
  </si>
  <si>
    <t>Depreciation and ammortization</t>
  </si>
  <si>
    <t>Bad debts and advances written off</t>
  </si>
  <si>
    <t>Net gain on lease</t>
  </si>
  <si>
    <t>Unrealised foreign exchange gain</t>
  </si>
  <si>
    <t>Net gain on disposal of PPE</t>
  </si>
  <si>
    <t>Net gain on investments</t>
  </si>
  <si>
    <t>Interest income</t>
  </si>
  <si>
    <t>Dividend income</t>
  </si>
  <si>
    <t>Operating profit before working capital changes</t>
  </si>
  <si>
    <t>Net change in</t>
  </si>
  <si>
    <t>Loans and other financial assets</t>
  </si>
  <si>
    <t>Other liabilties and provisions</t>
  </si>
  <si>
    <t>Cash generated from operations</t>
  </si>
  <si>
    <t xml:space="preserve">Taxes paid </t>
  </si>
  <si>
    <t>Net cash generated from Operating activities</t>
  </si>
  <si>
    <t>CASH FLOW FROM INVESTING ACTIVITIES</t>
  </si>
  <si>
    <t>Bank deposits placed</t>
  </si>
  <si>
    <t>Inter-corporate deposits placed</t>
  </si>
  <si>
    <t>Purchase of investments</t>
  </si>
  <si>
    <t>Payment of purchase of PPE</t>
  </si>
  <si>
    <t>Payment including advances for acquiring right of use assests</t>
  </si>
  <si>
    <t>Payments for purchase of intangible assets</t>
  </si>
  <si>
    <t>Proceeds from bank deposits</t>
  </si>
  <si>
    <t>Proceeds from inter-corporate deposits</t>
  </si>
  <si>
    <t>Proceeds from disposal/redemption of investments</t>
  </si>
  <si>
    <t>Proceeds from disposal of PPE</t>
  </si>
  <si>
    <t>Interest received</t>
  </si>
  <si>
    <t>Dividend received</t>
  </si>
  <si>
    <t>Net cash generated from/used in investing activities</t>
  </si>
  <si>
    <t>CASH FLOW FINANCING ACTIVITIES</t>
  </si>
  <si>
    <t>Repayment of lease liabilities</t>
  </si>
  <si>
    <t>Interest paid</t>
  </si>
  <si>
    <t>Dividend paid</t>
  </si>
  <si>
    <t>Dividend paid to non-controlling interest</t>
  </si>
  <si>
    <t>Purchase of non-controlling interests</t>
  </si>
  <si>
    <t>Transfer of funds to buy back escrow account</t>
  </si>
  <si>
    <t>Transfer of funds from buy-back escrow account</t>
  </si>
  <si>
    <t>Expenses for buy back of equity shares</t>
  </si>
  <si>
    <t>Tax on buy-back of equity shares</t>
  </si>
  <si>
    <t>Buy-back of equity shares</t>
  </si>
  <si>
    <t>Net cash used in financing activities</t>
  </si>
  <si>
    <t>Net cash in cash and cash equivalents</t>
  </si>
  <si>
    <t>Cash and cash equivalents at the beginning of the year</t>
  </si>
  <si>
    <t>Exchange difference on translation of foreign currency cash and cash equivalents</t>
  </si>
  <si>
    <t>Cash and cash equivalents at the end of the year</t>
  </si>
  <si>
    <t>Income tax expense</t>
  </si>
  <si>
    <t>Interest and dividend income</t>
  </si>
  <si>
    <t>Impairment loss recognised/reversed</t>
  </si>
  <si>
    <t>Exchange differences on translation</t>
  </si>
  <si>
    <t>Stock compensation expense</t>
  </si>
  <si>
    <t>Other adjustments</t>
  </si>
  <si>
    <t>Changes in assets and liabilities</t>
  </si>
  <si>
    <t>Trade receivables and unbilled revenue</t>
  </si>
  <si>
    <t>Loans, other financial assets and other assets</t>
  </si>
  <si>
    <t>Other financial liabilities, other liabilities and provisions</t>
  </si>
  <si>
    <t>Income tax paid</t>
  </si>
  <si>
    <t>Net cash generated by operating activities</t>
  </si>
  <si>
    <t>Expenditure on PPE and intangibles</t>
  </si>
  <si>
    <t>Deposits placed with corporation</t>
  </si>
  <si>
    <t>Interest and dividend received</t>
  </si>
  <si>
    <t>Payments towards acquisition of business, net cash acq</t>
  </si>
  <si>
    <t>Payments of contingent consideration pertaining of acq</t>
  </si>
  <si>
    <t>Redemption of escrow pertaining to buyback</t>
  </si>
  <si>
    <t>Other receipts</t>
  </si>
  <si>
    <t>Payments to acquire investments</t>
  </si>
  <si>
    <t>Other payments</t>
  </si>
  <si>
    <t>Preference, equity securities and others</t>
  </si>
  <si>
    <t>Tax free bonds and government bonds</t>
  </si>
  <si>
    <t>Liquid mutual funds and fixed maturity plan securities</t>
  </si>
  <si>
    <t>Non-convertible debentures</t>
  </si>
  <si>
    <t>Certificates of deposits</t>
  </si>
  <si>
    <t>Government securities</t>
  </si>
  <si>
    <t>Proceeds on sale of investments</t>
  </si>
  <si>
    <t>Commercial paper</t>
  </si>
  <si>
    <t xml:space="preserve">Preference, equity securities </t>
  </si>
  <si>
    <t>Net cash generated/used in investing activities</t>
  </si>
  <si>
    <t>CASH FLOW FROM FINANCING ACTIVITIES</t>
  </si>
  <si>
    <t>Payment of lease liabilities</t>
  </si>
  <si>
    <t>Payment of dividends</t>
  </si>
  <si>
    <t>Payment of dividend to non controlling interests</t>
  </si>
  <si>
    <t>Shares issued on exercise of employee stock options</t>
  </si>
  <si>
    <t>Payment towards purchase of non controlling interest</t>
  </si>
  <si>
    <t>Buyback of equity shares including transaction cost</t>
  </si>
  <si>
    <t>Net cash generated from/used in financing activities</t>
  </si>
  <si>
    <t>Net increase/decrease in cash and cash equivalents</t>
  </si>
  <si>
    <t>Effect of exchange rate changes on cash and cash eq</t>
  </si>
  <si>
    <t>Consolidated Income Statement</t>
  </si>
  <si>
    <t>Consolidated Cash flow Statement</t>
  </si>
  <si>
    <t>Profits before tax</t>
  </si>
  <si>
    <t>Adjustments for:</t>
  </si>
  <si>
    <t>Depreciation, ammortization and impairment expense</t>
  </si>
  <si>
    <t>Provision for doubtful debts</t>
  </si>
  <si>
    <t>Income on investments carried at fair value</t>
  </si>
  <si>
    <t xml:space="preserve">Profits on sale of investments </t>
  </si>
  <si>
    <t>Interest expense</t>
  </si>
  <si>
    <t>Profit on sale of PPE (net)</t>
  </si>
  <si>
    <t>Other non-cash charges (net)</t>
  </si>
  <si>
    <t>Other financial assets and other assets</t>
  </si>
  <si>
    <t>Provisions, other financial liabilities and other liabilities</t>
  </si>
  <si>
    <t>Net cash flow from operating activities</t>
  </si>
  <si>
    <t>Investments in bank deposits</t>
  </si>
  <si>
    <t>Proceeds from bank deposits on maturity</t>
  </si>
  <si>
    <t>Purchase of investments in securities</t>
  </si>
  <si>
    <t>Proceeds from sale/maturity of investments in securities</t>
  </si>
  <si>
    <t>Investments in equity instruments</t>
  </si>
  <si>
    <t>Deposits placed with body corporates</t>
  </si>
  <si>
    <t>Proceeds from maturity of deposits placed with body corp</t>
  </si>
  <si>
    <t>Payments for business acquisitions, net of cash acquired</t>
  </si>
  <si>
    <t>Purchase of non-controlling interest</t>
  </si>
  <si>
    <t>Investment in limited liability partnership</t>
  </si>
  <si>
    <t>Distribution from LLP</t>
  </si>
  <si>
    <t>Purchase of PPE and intangibles</t>
  </si>
  <si>
    <t>Proceeds from sale of PPE</t>
  </si>
  <si>
    <t>Income taxes paid</t>
  </si>
  <si>
    <t>Net cash flow generated/used in investing activities</t>
  </si>
  <si>
    <t>Proceeds from long term borrowings</t>
  </si>
  <si>
    <t>Repayment of long term borrowings</t>
  </si>
  <si>
    <t>Proceeds from short term borrowings</t>
  </si>
  <si>
    <t>Repayment of short term borrowings</t>
  </si>
  <si>
    <t>Payments for deferred and contingent consideration on business acquisitions</t>
  </si>
  <si>
    <t>Corporate dividend tax</t>
  </si>
  <si>
    <t>Payment of lease liabilities including interest</t>
  </si>
  <si>
    <t>Net cash flow generated/used in financing activities</t>
  </si>
  <si>
    <t>Effects of exchange differences on cash and cash eq</t>
  </si>
  <si>
    <t>Gain on sale of PPE and intangibles assets,net</t>
  </si>
  <si>
    <t>Depreciation, ammortization and impairment</t>
  </si>
  <si>
    <t>Unrealized exchange gain/loss, net and exchange gain/loss on borrowings</t>
  </si>
  <si>
    <t>Share based compensation expenses</t>
  </si>
  <si>
    <t>Share of net profit/loss of associates accounted for using equity method</t>
  </si>
  <si>
    <t>Dividend and interest income/expenses, net</t>
  </si>
  <si>
    <t>Gain on sale of business and loss control in subsidiary, net</t>
  </si>
  <si>
    <t>Changes in operating assets and liabilities</t>
  </si>
  <si>
    <t>Unbilled receivables and contract assets</t>
  </si>
  <si>
    <t>Trade payables, other liabilities and provisions</t>
  </si>
  <si>
    <t>Net cash flow from operating activties</t>
  </si>
  <si>
    <t>Purchase of PPE</t>
  </si>
  <si>
    <t>Proceeds from sale of investments</t>
  </si>
  <si>
    <t>Proceeds from sale of hosted data centre services business and loss of control in subsidiary, net of related expenses and cash</t>
  </si>
  <si>
    <t>Payment for business acquisitions including deposits and escrow, net</t>
  </si>
  <si>
    <t>Proceeds from sale of business</t>
  </si>
  <si>
    <t>Cash generated from investing activities</t>
  </si>
  <si>
    <t>Proceeds from issuance of equity shares and shares pending allotment</t>
  </si>
  <si>
    <t>Repayment of borrowings</t>
  </si>
  <si>
    <t>Proceeds from borrowings</t>
  </si>
  <si>
    <t>Payment for deferred contingent consideration in respect of business combination</t>
  </si>
  <si>
    <t xml:space="preserve">Payment for buy back of shares, including transaction cost </t>
  </si>
  <si>
    <t xml:space="preserve">Payment of cash dividend </t>
  </si>
  <si>
    <t>Payment of cash dividend to Non controlling interest</t>
  </si>
  <si>
    <t>Cash generated/used in financing activities</t>
  </si>
  <si>
    <t xml:space="preserve">Net increase/decrease in cash and cash equivalents </t>
  </si>
  <si>
    <t>Effect of exchange rate changes on cash and cash equivalents</t>
  </si>
  <si>
    <t>Net profit after tax</t>
  </si>
  <si>
    <t>Depreciation and ammortization expense</t>
  </si>
  <si>
    <t>Expense recognised in respect of equity settled stock option</t>
  </si>
  <si>
    <t>Income from investments</t>
  </si>
  <si>
    <t>Allowance for expected credit loss</t>
  </si>
  <si>
    <t>Unrealised foreign exchange loss/gain, net</t>
  </si>
  <si>
    <t>Change in fair value of contingent consideration</t>
  </si>
  <si>
    <t>Gain from modification in leases</t>
  </si>
  <si>
    <t>Net gain on sale of PPE</t>
  </si>
  <si>
    <t>Change in working capital</t>
  </si>
  <si>
    <t>Decrease in inventories</t>
  </si>
  <si>
    <t>Decrease/Increase in trade receivables and unbilled revenue</t>
  </si>
  <si>
    <t>Increase in other assets</t>
  </si>
  <si>
    <t>Increase in trade and other liabilities</t>
  </si>
  <si>
    <t>Decrease/Increase in working capital</t>
  </si>
  <si>
    <t>Net cash generated from operating activities</t>
  </si>
  <si>
    <t>Sale of PPE</t>
  </si>
  <si>
    <t>Purchase of Investments</t>
  </si>
  <si>
    <t>Sale of Investments</t>
  </si>
  <si>
    <t>Payment towards contingent consideration</t>
  </si>
  <si>
    <t>Payment towards transfer of business under common control</t>
  </si>
  <si>
    <t>Net cash used in Investing activities</t>
  </si>
  <si>
    <t>CASH FLOW FROM FINANCING ACTIVTIES</t>
  </si>
  <si>
    <t>Proceeds from issue of share capital</t>
  </si>
  <si>
    <t>Share issue expenses paid</t>
  </si>
  <si>
    <t>Net repayment of/proceeds from short term borrowings</t>
  </si>
  <si>
    <t>Deposit under credit support agreement received/paid</t>
  </si>
  <si>
    <t>Payment towards lease liabilities (net)</t>
  </si>
  <si>
    <t>Interest paid on lease liabilities</t>
  </si>
  <si>
    <t>Net cash generated/used in financing activities</t>
  </si>
  <si>
    <t>Net decrease/increase in cash and cash equivalents</t>
  </si>
  <si>
    <t xml:space="preserve">Effect of exchange difference on translation </t>
  </si>
  <si>
    <t>Cash and Cash equivalents at the end of the year</t>
  </si>
  <si>
    <t>Category</t>
  </si>
  <si>
    <t>Ratio name</t>
  </si>
  <si>
    <t>Profitability</t>
  </si>
  <si>
    <t>Gross Profit Margin</t>
  </si>
  <si>
    <t>FINANCIAL RATIO</t>
  </si>
  <si>
    <t>EBITDA Margin</t>
  </si>
  <si>
    <t>EBIT Margin</t>
  </si>
  <si>
    <t>Net Profit margin</t>
  </si>
  <si>
    <t>Return on Assets</t>
  </si>
  <si>
    <t>Return on Equity</t>
  </si>
  <si>
    <t>Return on capital employed</t>
  </si>
  <si>
    <t>Earning Per Share</t>
  </si>
  <si>
    <t>Asset Turnover ratio</t>
  </si>
  <si>
    <t>Revenue per employee</t>
  </si>
  <si>
    <t>Employees</t>
  </si>
  <si>
    <t>PAT per employee</t>
  </si>
  <si>
    <t>Operating Cash flow margin</t>
  </si>
  <si>
    <t xml:space="preserve">Efficiency </t>
  </si>
  <si>
    <t xml:space="preserve">Liquidity </t>
  </si>
  <si>
    <t>Current Ratio</t>
  </si>
  <si>
    <t>Quick ratio</t>
  </si>
  <si>
    <t>Cash ratio</t>
  </si>
  <si>
    <t>Leverage</t>
  </si>
  <si>
    <t>Debt to Equity ratio</t>
  </si>
  <si>
    <t>Interest coverage ratio</t>
  </si>
  <si>
    <t>Financial leverage ratio</t>
  </si>
  <si>
    <t>Valuation</t>
  </si>
  <si>
    <t>P/E Ratio</t>
  </si>
  <si>
    <t>P/B Ratio</t>
  </si>
  <si>
    <t>EV/EBITDA</t>
  </si>
  <si>
    <t>Dividend Yield</t>
  </si>
  <si>
    <t>PEG Ratio</t>
  </si>
  <si>
    <t>In Crores</t>
  </si>
  <si>
    <t>In crores</t>
  </si>
  <si>
    <t>Year</t>
  </si>
  <si>
    <t>Revenue</t>
  </si>
  <si>
    <t>EBIT</t>
  </si>
  <si>
    <t>CAGR</t>
  </si>
  <si>
    <t>Tax</t>
  </si>
  <si>
    <t>NOPAT</t>
  </si>
  <si>
    <t>Add: Depreciation &amp; Ammortization</t>
  </si>
  <si>
    <t>Less: CapEx</t>
  </si>
  <si>
    <t>Less: Change in Working capital</t>
  </si>
  <si>
    <t>Free cash flow to firm (FCFF)</t>
  </si>
  <si>
    <t>Working capital</t>
  </si>
  <si>
    <t>Component</t>
  </si>
  <si>
    <t>WACC CALCULATION</t>
  </si>
  <si>
    <t>Cost of Equity (Ke)</t>
  </si>
  <si>
    <t>Risk-Free Rate (Rf)</t>
  </si>
  <si>
    <t>Cost of Debt (Pre tax)</t>
  </si>
  <si>
    <t>Tax rate</t>
  </si>
  <si>
    <t xml:space="preserve">Market Risk Premium </t>
  </si>
  <si>
    <t>Debt</t>
  </si>
  <si>
    <t>Total Capital</t>
  </si>
  <si>
    <t>We</t>
  </si>
  <si>
    <t>Wd</t>
  </si>
  <si>
    <t>Cost of debt (Kd)</t>
  </si>
  <si>
    <t>WACC</t>
  </si>
  <si>
    <t>KEY ASSUMPTIONS</t>
  </si>
  <si>
    <t>Parameter</t>
  </si>
  <si>
    <t>Terminal growth rate</t>
  </si>
  <si>
    <t>Risk-free rate (Rf)</t>
  </si>
  <si>
    <t>Cost of equity (Ke)</t>
  </si>
  <si>
    <t>FCFF</t>
  </si>
  <si>
    <t>Factor</t>
  </si>
  <si>
    <t>PV of FCFF</t>
  </si>
  <si>
    <t>Terminal Value</t>
  </si>
  <si>
    <t>PV of TV</t>
  </si>
  <si>
    <t>Enterprise Value</t>
  </si>
  <si>
    <t>Net debt</t>
  </si>
  <si>
    <t>Shares Outstanding</t>
  </si>
  <si>
    <t>Intrinsic Value per Share</t>
  </si>
  <si>
    <t>Current Market Price</t>
  </si>
  <si>
    <t>Upside/Downside</t>
  </si>
  <si>
    <t>Dividend Payout ratio</t>
  </si>
  <si>
    <t>DPS</t>
  </si>
  <si>
    <t>EPS</t>
  </si>
  <si>
    <t>Dividend</t>
  </si>
  <si>
    <t>PV of Dividend</t>
  </si>
  <si>
    <t>DDM</t>
  </si>
  <si>
    <t>Net Debt</t>
  </si>
  <si>
    <t>Equity Value</t>
  </si>
  <si>
    <t>Intrinsic Value per share</t>
  </si>
  <si>
    <t>Current Market price</t>
  </si>
  <si>
    <t>Share outstanding</t>
  </si>
  <si>
    <t>Net Income</t>
  </si>
  <si>
    <t>Book Value</t>
  </si>
  <si>
    <t>Required Return</t>
  </si>
  <si>
    <t>Residual Income</t>
  </si>
  <si>
    <t>PV Factor</t>
  </si>
  <si>
    <t>PV of RI</t>
  </si>
  <si>
    <t>RIM</t>
  </si>
  <si>
    <t>VALUATION MODELS</t>
  </si>
  <si>
    <t>DCF</t>
  </si>
  <si>
    <t>SUMMARY</t>
  </si>
  <si>
    <t>Market value of equity</t>
  </si>
  <si>
    <t>Market Price</t>
  </si>
  <si>
    <t>Outstanding Shares</t>
  </si>
  <si>
    <t>Market Cap</t>
  </si>
  <si>
    <t>Revenue CAGR</t>
  </si>
  <si>
    <t>TCS</t>
  </si>
  <si>
    <t>HCL</t>
  </si>
  <si>
    <t>LTM</t>
  </si>
  <si>
    <t>Average</t>
  </si>
  <si>
    <t>Capex intensity</t>
  </si>
  <si>
    <t>Earnings growth</t>
  </si>
  <si>
    <t>GDP g</t>
  </si>
  <si>
    <t>Change</t>
  </si>
  <si>
    <t>Sensitivity</t>
  </si>
  <si>
    <t>Metrics</t>
  </si>
  <si>
    <t>Company</t>
  </si>
  <si>
    <t>Amount</t>
  </si>
  <si>
    <t>2020-24</t>
  </si>
  <si>
    <t>Avg Capex</t>
  </si>
  <si>
    <t>2025-30</t>
  </si>
  <si>
    <t>Capex CAGR</t>
  </si>
  <si>
    <t>Change in EBIT (Historical)</t>
  </si>
  <si>
    <t>Change in CE</t>
  </si>
  <si>
    <t>Incremental ROCE (Historical)</t>
  </si>
  <si>
    <t>Change in EBIT (Forecast)</t>
  </si>
  <si>
    <t>Capex</t>
  </si>
  <si>
    <t>Depreciation</t>
  </si>
  <si>
    <t>Effective Capital</t>
  </si>
  <si>
    <t>Raw ROCE (Forecast)</t>
  </si>
  <si>
    <t>Adjusted ROCE (Forecast)</t>
  </si>
  <si>
    <t>Earnings CAGR</t>
  </si>
  <si>
    <t>NPM</t>
  </si>
  <si>
    <t>Debt/Capital employed</t>
  </si>
  <si>
    <t>Debt/Capital Employed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</si>
</sst>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4009]\ * #,##0.00_ ;_ [$₹-4009]\ * \-#,##0.00_ ;_ [$₹-4009]\ * &quot;-&quot;??_ ;_ @_ "/>
    <numFmt numFmtId="165" formatCode="_ [$₹-4009]\ * #,##0_ ;_ [$₹-4009]\ * \-#,##0_ ;_ [$₹-4009]\ * &quot;-&quot;_ ;_ @_ "/>
    <numFmt numFmtId="166" formatCode="_ [$₹-4009]\ * #,##0.000_ ;_ [$₹-4009]\ * \-#,##0.000_ ;_ [$₹-4009]\ * &quot;-&quot;_ ;_ @_ "/>
    <numFmt numFmtId="167" formatCode="_-[$$-409]* #,##0.00_ ;_-[$$-409]* \-#,##0.00\ ;_-[$$-409]* &quot;-&quot;??_ ;_-@_ "/>
    <numFmt numFmtId="168" formatCode="0.0%"/>
    <numFmt numFmtId="169" formatCode="_ * #,##0.0000_ ;_ * \-#,##0.0000_ ;_ * &quot;-&quot;??_ ;_ @_ "/>
  </numFmts>
  <fonts count="18"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2"/>
      <color theme="0"/>
      <name val="Calibri"/>
      <family val="2"/>
      <scheme val="minor"/>
    </font>
    <font>
      <b/>
      <sz val="20"/>
      <color theme="0"/>
      <name val="Calibri"/>
      <family val="2"/>
      <scheme val="minor"/>
    </font>
    <font>
      <sz val="12"/>
      <color theme="1"/>
      <name val="Calibri"/>
      <family val="2"/>
      <scheme val="minor"/>
    </font>
    <font>
      <b/>
      <sz val="12"/>
      <color theme="1"/>
      <name val="Calibri"/>
      <family val="2"/>
      <scheme val="minor"/>
    </font>
    <font>
      <sz val="12"/>
      <color theme="0"/>
      <name val="Calibri"/>
      <family val="2"/>
      <scheme val="minor"/>
    </font>
    <font>
      <b/>
      <sz val="36"/>
      <color theme="0"/>
      <name val="Calibri"/>
      <family val="2"/>
      <scheme val="minor"/>
    </font>
    <font>
      <sz val="11"/>
      <color theme="0"/>
      <name val="Calibri"/>
      <family val="2"/>
      <scheme val="minor"/>
    </font>
    <font>
      <b/>
      <sz val="20"/>
      <name val="Calibri"/>
      <family val="2"/>
      <scheme val="minor"/>
    </font>
    <font>
      <b/>
      <sz val="11"/>
      <name val="Calibri"/>
      <family val="2"/>
      <scheme val="minor"/>
    </font>
    <font>
      <sz val="11"/>
      <name val="Calibri"/>
      <family val="2"/>
      <scheme val="minor"/>
    </font>
    <font>
      <sz val="16"/>
      <color theme="0"/>
      <name val="Calibri"/>
      <family val="2"/>
      <scheme val="minor"/>
    </font>
    <font>
      <b/>
      <sz val="16"/>
      <color theme="0"/>
      <name val="Calibri"/>
      <family val="2"/>
      <scheme val="minor"/>
    </font>
    <font>
      <b/>
      <sz val="24"/>
      <color theme="0"/>
      <name val="Calibri"/>
      <family val="2"/>
      <scheme val="minor"/>
    </font>
    <font>
      <b/>
      <sz val="20"/>
      <color theme="0"/>
      <name val="Amasis MT Pro Black"/>
      <family val="1"/>
    </font>
  </fonts>
  <fills count="5">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solid">
        <fgColor theme="0" tint="-0.14999847407452621"/>
        <bgColor indexed="64"/>
      </patternFill>
    </fill>
  </fills>
  <borders count="99">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style="medium">
        <color theme="1"/>
      </left>
      <right style="thin">
        <color theme="0"/>
      </right>
      <top style="medium">
        <color theme="1"/>
      </top>
      <bottom style="thin">
        <color theme="0"/>
      </bottom>
      <diagonal/>
    </border>
    <border>
      <left style="thin">
        <color theme="0"/>
      </left>
      <right style="thin">
        <color theme="0"/>
      </right>
      <top style="medium">
        <color theme="1"/>
      </top>
      <bottom style="thin">
        <color theme="0"/>
      </bottom>
      <diagonal/>
    </border>
    <border>
      <left style="thin">
        <color theme="0"/>
      </left>
      <right style="medium">
        <color theme="1"/>
      </right>
      <top style="medium">
        <color theme="1"/>
      </top>
      <bottom style="thin">
        <color theme="0"/>
      </bottom>
      <diagonal/>
    </border>
    <border>
      <left style="medium">
        <color theme="1"/>
      </left>
      <right style="thin">
        <color theme="0"/>
      </right>
      <top style="thin">
        <color theme="0"/>
      </top>
      <bottom/>
      <diagonal/>
    </border>
    <border>
      <left style="thin">
        <color theme="0"/>
      </left>
      <right style="medium">
        <color theme="1"/>
      </right>
      <top style="thin">
        <color theme="0"/>
      </top>
      <bottom/>
      <diagonal/>
    </border>
    <border>
      <left style="thin">
        <color theme="1"/>
      </left>
      <right style="medium">
        <color theme="1"/>
      </right>
      <top style="thin">
        <color theme="1"/>
      </top>
      <bottom style="thin">
        <color theme="1"/>
      </bottom>
      <diagonal/>
    </border>
    <border>
      <left style="thin">
        <color theme="1"/>
      </left>
      <right style="thin">
        <color theme="1"/>
      </right>
      <top style="thin">
        <color theme="1"/>
      </top>
      <bottom style="medium">
        <color theme="1"/>
      </bottom>
      <diagonal/>
    </border>
    <border>
      <left style="thin">
        <color theme="1"/>
      </left>
      <right style="medium">
        <color theme="1"/>
      </right>
      <top style="thin">
        <color theme="1"/>
      </top>
      <bottom style="medium">
        <color theme="1"/>
      </bottom>
      <diagonal/>
    </border>
    <border>
      <left/>
      <right style="thin">
        <color theme="1"/>
      </right>
      <top style="thin">
        <color theme="1"/>
      </top>
      <bottom style="thin">
        <color theme="1"/>
      </bottom>
      <diagonal/>
    </border>
    <border>
      <left/>
      <right style="thin">
        <color theme="1"/>
      </right>
      <top style="thin">
        <color theme="1"/>
      </top>
      <bottom style="medium">
        <color theme="1"/>
      </bottom>
      <diagonal/>
    </border>
    <border>
      <left style="medium">
        <color theme="1"/>
      </left>
      <right style="medium">
        <color theme="1"/>
      </right>
      <top style="medium">
        <color theme="1"/>
      </top>
      <bottom style="thin">
        <color theme="1"/>
      </bottom>
      <diagonal/>
    </border>
    <border>
      <left style="medium">
        <color theme="1"/>
      </left>
      <right style="medium">
        <color theme="1"/>
      </right>
      <top style="thin">
        <color theme="1"/>
      </top>
      <bottom style="thin">
        <color theme="1"/>
      </bottom>
      <diagonal/>
    </border>
    <border>
      <left style="medium">
        <color theme="1"/>
      </left>
      <right style="medium">
        <color theme="1"/>
      </right>
      <top style="thin">
        <color theme="1"/>
      </top>
      <bottom style="medium">
        <color theme="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theme="1"/>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top style="thin">
        <color indexed="64"/>
      </top>
      <bottom/>
      <diagonal/>
    </border>
    <border>
      <left style="medium">
        <color indexed="64"/>
      </left>
      <right/>
      <top/>
      <bottom/>
      <diagonal/>
    </border>
    <border>
      <left style="medium">
        <color indexed="64"/>
      </left>
      <right/>
      <top/>
      <bottom style="medium">
        <color indexed="64"/>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
      <left style="medium">
        <color theme="1"/>
      </left>
      <right/>
      <top style="medium">
        <color theme="1"/>
      </top>
      <bottom style="thin">
        <color theme="0"/>
      </bottom>
      <diagonal/>
    </border>
    <border>
      <left/>
      <right/>
      <top style="medium">
        <color theme="1"/>
      </top>
      <bottom style="thin">
        <color theme="0"/>
      </bottom>
      <diagonal/>
    </border>
    <border>
      <left/>
      <right style="medium">
        <color theme="1"/>
      </right>
      <top style="medium">
        <color theme="1"/>
      </top>
      <bottom style="thin">
        <color theme="0"/>
      </bottom>
      <diagonal/>
    </border>
    <border>
      <left style="medium">
        <color theme="1"/>
      </left>
      <right style="thin">
        <color theme="1"/>
      </right>
      <top style="thin">
        <color theme="1"/>
      </top>
      <bottom style="medium">
        <color theme="1"/>
      </bottom>
      <diagonal/>
    </border>
    <border>
      <left style="thin">
        <color theme="0"/>
      </left>
      <right style="thin">
        <color theme="0"/>
      </right>
      <top/>
      <bottom/>
      <diagonal/>
    </border>
    <border>
      <left style="thin">
        <color theme="0"/>
      </left>
      <right style="medium">
        <color theme="1"/>
      </right>
      <top/>
      <bottom/>
      <diagonal/>
    </border>
    <border>
      <left style="medium">
        <color theme="1"/>
      </left>
      <right/>
      <top/>
      <bottom/>
      <diagonal/>
    </border>
    <border>
      <left/>
      <right/>
      <top/>
      <bottom style="thin">
        <color indexed="64"/>
      </bottom>
      <diagonal/>
    </border>
    <border>
      <left style="thin">
        <color theme="0"/>
      </left>
      <right style="thin">
        <color theme="0"/>
      </right>
      <top style="thin">
        <color theme="0"/>
      </top>
      <bottom style="thin">
        <color theme="0"/>
      </bottom>
      <diagonal/>
    </border>
    <border>
      <left style="medium">
        <color theme="1"/>
      </left>
      <right style="medium">
        <color theme="1"/>
      </right>
      <top style="medium">
        <color theme="1"/>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right style="medium">
        <color theme="1"/>
      </right>
      <top style="thin">
        <color theme="1"/>
      </top>
      <bottom style="thin">
        <color theme="1"/>
      </bottom>
      <diagonal/>
    </border>
    <border>
      <left style="thin">
        <color theme="1"/>
      </left>
      <right/>
      <top style="thin">
        <color theme="1"/>
      </top>
      <bottom style="medium">
        <color theme="1"/>
      </bottom>
      <diagonal/>
    </border>
    <border>
      <left style="medium">
        <color theme="1"/>
      </left>
      <right/>
      <top style="thin">
        <color theme="1"/>
      </top>
      <bottom style="thin">
        <color theme="1"/>
      </bottom>
      <diagonal/>
    </border>
    <border>
      <left/>
      <right/>
      <top style="medium">
        <color theme="1"/>
      </top>
      <bottom style="thin">
        <color theme="1"/>
      </bottom>
      <diagonal/>
    </border>
    <border>
      <left/>
      <right style="medium">
        <color theme="1"/>
      </right>
      <top style="medium">
        <color theme="1"/>
      </top>
      <bottom style="thin">
        <color theme="1"/>
      </bottom>
      <diagonal/>
    </border>
    <border>
      <left style="medium">
        <color theme="1"/>
      </left>
      <right/>
      <top style="medium">
        <color theme="1"/>
      </top>
      <bottom style="thin">
        <color theme="1"/>
      </bottom>
      <diagonal/>
    </border>
    <border>
      <left/>
      <right style="thin">
        <color theme="1"/>
      </right>
      <top style="thin">
        <color theme="1"/>
      </top>
      <bottom/>
      <diagonal/>
    </border>
    <border>
      <left style="thin">
        <color theme="1"/>
      </left>
      <right style="thin">
        <color theme="1"/>
      </right>
      <top style="thin">
        <color theme="1"/>
      </top>
      <bottom/>
      <diagonal/>
    </border>
    <border>
      <left style="thin">
        <color theme="1"/>
      </left>
      <right style="medium">
        <color theme="1"/>
      </right>
      <top style="thin">
        <color theme="1"/>
      </top>
      <bottom/>
      <diagonal/>
    </border>
    <border>
      <left style="medium">
        <color theme="1"/>
      </left>
      <right style="thin">
        <color theme="1"/>
      </right>
      <top style="thin">
        <color theme="1"/>
      </top>
      <bottom/>
      <diagonal/>
    </border>
    <border>
      <left style="thin">
        <color theme="1"/>
      </left>
      <right/>
      <top style="thin">
        <color theme="1"/>
      </top>
      <bottom/>
      <diagonal/>
    </border>
    <border>
      <left/>
      <right style="thin">
        <color theme="0"/>
      </right>
      <top style="thin">
        <color theme="0"/>
      </top>
      <bottom/>
      <diagonal/>
    </border>
    <border>
      <left style="medium">
        <color theme="1"/>
      </left>
      <right style="thin">
        <color theme="0"/>
      </right>
      <top style="thin">
        <color theme="0"/>
      </top>
      <bottom style="thin">
        <color theme="0"/>
      </bottom>
      <diagonal/>
    </border>
    <border>
      <left style="medium">
        <color theme="1"/>
      </left>
      <right/>
      <top style="thin">
        <color theme="0"/>
      </top>
      <bottom style="thin">
        <color theme="0"/>
      </bottom>
      <diagonal/>
    </border>
    <border>
      <left style="medium">
        <color theme="1"/>
      </left>
      <right/>
      <top style="thin">
        <color theme="0"/>
      </top>
      <bottom style="medium">
        <color theme="1"/>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313">
    <xf numFmtId="0" fontId="0" fillId="0" borderId="0" xfId="0"/>
    <xf numFmtId="0" fontId="0" fillId="0" borderId="0" xfId="0" applyAlignment="1">
      <alignment vertical="center"/>
    </xf>
    <xf numFmtId="43" fontId="0" fillId="0" borderId="0" xfId="1" applyFont="1" applyAlignment="1">
      <alignment vertical="center"/>
    </xf>
    <xf numFmtId="0" fontId="3" fillId="0" borderId="1" xfId="0" applyFont="1" applyBorder="1" applyAlignment="1">
      <alignment vertical="center"/>
    </xf>
    <xf numFmtId="0" fontId="0" fillId="0" borderId="1" xfId="0" applyBorder="1" applyAlignment="1">
      <alignment vertical="center"/>
    </xf>
    <xf numFmtId="43" fontId="0" fillId="0" borderId="1" xfId="1" applyFont="1" applyBorder="1" applyAlignment="1">
      <alignment vertical="center"/>
    </xf>
    <xf numFmtId="43" fontId="3" fillId="0" borderId="1" xfId="1" applyFont="1" applyBorder="1" applyAlignment="1">
      <alignment vertical="center"/>
    </xf>
    <xf numFmtId="43" fontId="3" fillId="0" borderId="1" xfId="0" applyNumberFormat="1" applyFont="1" applyBorder="1" applyAlignment="1">
      <alignment vertical="center"/>
    </xf>
    <xf numFmtId="0" fontId="3" fillId="0" borderId="1" xfId="0" applyFont="1" applyBorder="1" applyAlignment="1">
      <alignment vertical="center" wrapText="1"/>
    </xf>
    <xf numFmtId="43" fontId="0" fillId="0" borderId="1" xfId="1" applyFont="1" applyBorder="1" applyAlignment="1">
      <alignment horizontal="left" vertical="center"/>
    </xf>
    <xf numFmtId="43" fontId="3" fillId="0" borderId="1" xfId="1" applyFont="1" applyBorder="1" applyAlignment="1">
      <alignment horizontal="left" vertical="center"/>
    </xf>
    <xf numFmtId="43" fontId="0" fillId="0" borderId="0" xfId="1" applyFont="1" applyBorder="1" applyAlignment="1">
      <alignment vertical="center"/>
    </xf>
    <xf numFmtId="43" fontId="3" fillId="0" borderId="0" xfId="1" applyFont="1" applyBorder="1" applyAlignment="1">
      <alignment vertical="center"/>
    </xf>
    <xf numFmtId="43" fontId="3" fillId="0" borderId="0" xfId="0" applyNumberFormat="1" applyFont="1" applyAlignment="1">
      <alignment vertical="center"/>
    </xf>
    <xf numFmtId="0" fontId="3" fillId="0" borderId="0" xfId="0" applyFont="1" applyAlignment="1">
      <alignment vertical="center"/>
    </xf>
    <xf numFmtId="0" fontId="3" fillId="0" borderId="0" xfId="0" applyFont="1" applyAlignment="1">
      <alignment horizontal="left" vertical="center"/>
    </xf>
    <xf numFmtId="0" fontId="2" fillId="0" borderId="2" xfId="0" applyFont="1" applyBorder="1" applyAlignment="1">
      <alignment horizontal="center" vertical="center"/>
    </xf>
    <xf numFmtId="43" fontId="1" fillId="0" borderId="1" xfId="1" applyFont="1" applyBorder="1" applyAlignment="1">
      <alignment vertical="center"/>
    </xf>
    <xf numFmtId="0" fontId="0" fillId="0" borderId="1" xfId="0" applyBorder="1" applyAlignment="1">
      <alignment vertical="center" wrapText="1"/>
    </xf>
    <xf numFmtId="0" fontId="6" fillId="0" borderId="0" xfId="0" applyFont="1" applyAlignment="1">
      <alignment vertical="center"/>
    </xf>
    <xf numFmtId="0" fontId="7" fillId="0" borderId="0" xfId="0" applyFont="1" applyAlignment="1">
      <alignment vertical="center"/>
    </xf>
    <xf numFmtId="0" fontId="6" fillId="0" borderId="0" xfId="0" applyFont="1" applyAlignment="1">
      <alignment vertical="center" wrapText="1"/>
    </xf>
    <xf numFmtId="0" fontId="8" fillId="2" borderId="7" xfId="0" applyFont="1" applyFill="1" applyBorder="1" applyAlignment="1">
      <alignment horizontal="center" vertical="center"/>
    </xf>
    <xf numFmtId="0" fontId="6" fillId="0" borderId="6" xfId="0" applyFont="1" applyBorder="1" applyAlignment="1">
      <alignment horizontal="center" vertical="center"/>
    </xf>
    <xf numFmtId="0" fontId="6" fillId="0" borderId="6" xfId="0" applyFont="1" applyBorder="1" applyAlignment="1">
      <alignment horizontal="center" vertical="center" wrapText="1"/>
    </xf>
    <xf numFmtId="164" fontId="6" fillId="0" borderId="6" xfId="0" applyNumberFormat="1" applyFont="1" applyBorder="1" applyAlignment="1">
      <alignment horizontal="center" vertical="center"/>
    </xf>
    <xf numFmtId="3" fontId="6" fillId="0" borderId="6" xfId="0" applyNumberFormat="1" applyFont="1" applyBorder="1" applyAlignment="1">
      <alignment horizontal="center" vertical="center"/>
    </xf>
    <xf numFmtId="165" fontId="6" fillId="0" borderId="6" xfId="0" applyNumberFormat="1" applyFont="1" applyBorder="1" applyAlignment="1">
      <alignment horizontal="center" vertical="center"/>
    </xf>
    <xf numFmtId="166" fontId="6" fillId="0" borderId="6" xfId="0" applyNumberFormat="1" applyFont="1" applyBorder="1" applyAlignment="1">
      <alignment horizontal="center" vertical="center"/>
    </xf>
    <xf numFmtId="167" fontId="6" fillId="0" borderId="6" xfId="1" applyNumberFormat="1" applyFont="1" applyBorder="1" applyAlignment="1">
      <alignment horizontal="center" vertical="center"/>
    </xf>
    <xf numFmtId="4" fontId="6" fillId="0" borderId="6" xfId="0" applyNumberFormat="1" applyFont="1" applyBorder="1" applyAlignment="1">
      <alignment horizontal="center" vertical="center"/>
    </xf>
    <xf numFmtId="0" fontId="4" fillId="2" borderId="11" xfId="0" applyFont="1" applyFill="1" applyBorder="1" applyAlignment="1">
      <alignment vertical="center"/>
    </xf>
    <xf numFmtId="0" fontId="8" fillId="2" borderId="12" xfId="0" applyFont="1" applyFill="1" applyBorder="1" applyAlignment="1">
      <alignment horizontal="center" vertical="center"/>
    </xf>
    <xf numFmtId="0" fontId="6" fillId="0" borderId="13" xfId="0" applyFont="1" applyBorder="1" applyAlignment="1">
      <alignment horizontal="center" vertical="center"/>
    </xf>
    <xf numFmtId="0" fontId="6" fillId="0" borderId="13" xfId="0" applyFont="1" applyBorder="1" applyAlignment="1">
      <alignment horizontal="center" vertical="center" wrapText="1"/>
    </xf>
    <xf numFmtId="164" fontId="6" fillId="0" borderId="13" xfId="0" applyNumberFormat="1" applyFont="1" applyBorder="1" applyAlignment="1">
      <alignment horizontal="center" vertical="center"/>
    </xf>
    <xf numFmtId="3" fontId="6" fillId="0" borderId="13" xfId="0" applyNumberFormat="1" applyFont="1" applyBorder="1" applyAlignment="1">
      <alignment horizontal="center" vertical="center"/>
    </xf>
    <xf numFmtId="165" fontId="6" fillId="0" borderId="13" xfId="0" applyNumberFormat="1" applyFont="1" applyBorder="1" applyAlignment="1">
      <alignment horizontal="center" vertical="center"/>
    </xf>
    <xf numFmtId="166" fontId="6" fillId="0" borderId="13" xfId="0" applyNumberFormat="1" applyFont="1" applyBorder="1" applyAlignment="1">
      <alignment horizontal="center" vertical="center"/>
    </xf>
    <xf numFmtId="167" fontId="6" fillId="0" borderId="13" xfId="1" applyNumberFormat="1" applyFont="1" applyBorder="1" applyAlignment="1">
      <alignment horizontal="center" vertical="center"/>
    </xf>
    <xf numFmtId="4" fontId="6" fillId="0" borderId="13" xfId="0" applyNumberFormat="1" applyFont="1" applyBorder="1" applyAlignment="1">
      <alignment horizontal="center" vertical="center"/>
    </xf>
    <xf numFmtId="10" fontId="6" fillId="0" borderId="14" xfId="0" applyNumberFormat="1" applyFont="1" applyBorder="1" applyAlignment="1">
      <alignment horizontal="center" vertical="center"/>
    </xf>
    <xf numFmtId="10" fontId="6" fillId="0" borderId="15" xfId="0" applyNumberFormat="1" applyFont="1" applyBorder="1" applyAlignment="1">
      <alignment horizontal="center" vertical="center"/>
    </xf>
    <xf numFmtId="0" fontId="6" fillId="0" borderId="16" xfId="0" applyFont="1" applyBorder="1" applyAlignment="1">
      <alignment horizontal="center" vertical="center"/>
    </xf>
    <xf numFmtId="0" fontId="6" fillId="0" borderId="16" xfId="0" applyFont="1" applyBorder="1" applyAlignment="1">
      <alignment horizontal="center" vertical="center" wrapText="1"/>
    </xf>
    <xf numFmtId="164" fontId="6" fillId="0" borderId="16" xfId="0" applyNumberFormat="1" applyFont="1" applyBorder="1" applyAlignment="1">
      <alignment horizontal="center" vertical="center"/>
    </xf>
    <xf numFmtId="3" fontId="6" fillId="0" borderId="16" xfId="0" applyNumberFormat="1" applyFont="1" applyBorder="1" applyAlignment="1">
      <alignment horizontal="center" vertical="center"/>
    </xf>
    <xf numFmtId="165" fontId="6" fillId="0" borderId="16" xfId="0" applyNumberFormat="1" applyFont="1" applyBorder="1" applyAlignment="1">
      <alignment horizontal="center" vertical="center"/>
    </xf>
    <xf numFmtId="166" fontId="6" fillId="0" borderId="16" xfId="0" applyNumberFormat="1" applyFont="1" applyBorder="1" applyAlignment="1">
      <alignment horizontal="center" vertical="center"/>
    </xf>
    <xf numFmtId="167" fontId="6" fillId="0" borderId="16" xfId="1" applyNumberFormat="1" applyFont="1" applyBorder="1" applyAlignment="1">
      <alignment horizontal="center" vertical="center"/>
    </xf>
    <xf numFmtId="4" fontId="6" fillId="0" borderId="16" xfId="0" applyNumberFormat="1" applyFont="1" applyBorder="1" applyAlignment="1">
      <alignment horizontal="center" vertical="center"/>
    </xf>
    <xf numFmtId="10" fontId="6" fillId="0" borderId="17" xfId="0" applyNumberFormat="1" applyFont="1" applyBorder="1" applyAlignment="1">
      <alignment horizontal="center" vertical="center"/>
    </xf>
    <xf numFmtId="0" fontId="7" fillId="0" borderId="18" xfId="0" applyFont="1" applyBorder="1" applyAlignment="1">
      <alignment vertical="center"/>
    </xf>
    <xf numFmtId="0" fontId="7" fillId="0" borderId="19" xfId="0" applyFont="1" applyBorder="1" applyAlignment="1">
      <alignment vertical="center" wrapText="1"/>
    </xf>
    <xf numFmtId="0" fontId="7" fillId="0" borderId="19" xfId="0" applyFont="1" applyBorder="1" applyAlignment="1">
      <alignment vertical="center"/>
    </xf>
    <xf numFmtId="0" fontId="7" fillId="0" borderId="20" xfId="0" applyFont="1" applyBorder="1" applyAlignment="1">
      <alignment vertical="center"/>
    </xf>
    <xf numFmtId="0" fontId="3" fillId="0" borderId="6" xfId="0" applyFont="1" applyBorder="1" applyAlignment="1">
      <alignment vertical="center"/>
    </xf>
    <xf numFmtId="0" fontId="0" fillId="0" borderId="6" xfId="0" applyBorder="1" applyAlignment="1">
      <alignment vertical="center"/>
    </xf>
    <xf numFmtId="43" fontId="0" fillId="0" borderId="6" xfId="1" applyFont="1" applyBorder="1" applyAlignment="1">
      <alignment vertical="center"/>
    </xf>
    <xf numFmtId="43" fontId="3" fillId="0" borderId="6" xfId="1" applyFont="1" applyBorder="1" applyAlignment="1">
      <alignment vertical="center"/>
    </xf>
    <xf numFmtId="43" fontId="3" fillId="0" borderId="6" xfId="0" applyNumberFormat="1" applyFont="1" applyBorder="1" applyAlignment="1">
      <alignment vertical="center"/>
    </xf>
    <xf numFmtId="0" fontId="11" fillId="0" borderId="0" xfId="0" applyFont="1" applyAlignment="1">
      <alignment vertical="center"/>
    </xf>
    <xf numFmtId="0" fontId="13" fillId="0" borderId="0" xfId="0" applyFont="1" applyAlignment="1">
      <alignment vertical="center"/>
    </xf>
    <xf numFmtId="0" fontId="12" fillId="0" borderId="0" xfId="0" applyFont="1" applyAlignment="1">
      <alignment horizontal="center" vertical="center"/>
    </xf>
    <xf numFmtId="0" fontId="12" fillId="0" borderId="0" xfId="0" applyFont="1" applyAlignment="1">
      <alignment vertical="center"/>
    </xf>
    <xf numFmtId="0" fontId="13" fillId="0" borderId="1" xfId="0" applyFont="1" applyBorder="1" applyAlignment="1">
      <alignment vertical="center"/>
    </xf>
    <xf numFmtId="0" fontId="12" fillId="0" borderId="1" xfId="0" applyFont="1" applyBorder="1" applyAlignment="1">
      <alignment horizontal="left" vertical="center"/>
    </xf>
    <xf numFmtId="0" fontId="12" fillId="0" borderId="0" xfId="0" applyFont="1" applyAlignment="1">
      <alignment horizontal="left" vertical="center"/>
    </xf>
    <xf numFmtId="0" fontId="12" fillId="0" borderId="1" xfId="0" applyFont="1" applyBorder="1" applyAlignment="1">
      <alignment vertical="center"/>
    </xf>
    <xf numFmtId="10" fontId="13" fillId="0" borderId="1" xfId="2" applyNumberFormat="1" applyFont="1" applyBorder="1" applyAlignment="1">
      <alignment vertical="center"/>
    </xf>
    <xf numFmtId="43" fontId="6" fillId="0" borderId="16" xfId="1" applyFont="1" applyBorder="1" applyAlignment="1">
      <alignment horizontal="center" vertical="center"/>
    </xf>
    <xf numFmtId="43" fontId="6" fillId="0" borderId="6" xfId="1" applyFont="1" applyBorder="1" applyAlignment="1">
      <alignment horizontal="center" vertical="center"/>
    </xf>
    <xf numFmtId="43" fontId="6" fillId="0" borderId="13" xfId="1" applyFont="1" applyBorder="1" applyAlignment="1">
      <alignment horizontal="center" vertical="center"/>
    </xf>
    <xf numFmtId="10" fontId="13" fillId="0" borderId="25" xfId="2" applyNumberFormat="1" applyFont="1" applyFill="1" applyBorder="1" applyAlignment="1">
      <alignment vertical="center"/>
    </xf>
    <xf numFmtId="10" fontId="13" fillId="0" borderId="26" xfId="2" applyNumberFormat="1" applyFont="1" applyFill="1" applyBorder="1" applyAlignment="1">
      <alignment vertical="center"/>
    </xf>
    <xf numFmtId="10" fontId="13" fillId="0" borderId="27" xfId="2" applyNumberFormat="1" applyFont="1" applyBorder="1" applyAlignment="1">
      <alignment vertical="center"/>
    </xf>
    <xf numFmtId="43" fontId="13" fillId="0" borderId="28" xfId="1" applyFont="1" applyBorder="1" applyAlignment="1">
      <alignment vertical="center"/>
    </xf>
    <xf numFmtId="43" fontId="13" fillId="0" borderId="29" xfId="1" applyFont="1" applyBorder="1" applyAlignment="1">
      <alignment vertical="center"/>
    </xf>
    <xf numFmtId="0" fontId="12" fillId="0" borderId="24" xfId="0" applyFont="1" applyBorder="1" applyAlignment="1">
      <alignment horizontal="left" vertical="center"/>
    </xf>
    <xf numFmtId="0" fontId="12" fillId="0" borderId="35" xfId="0" applyFont="1" applyBorder="1" applyAlignment="1">
      <alignment vertical="center"/>
    </xf>
    <xf numFmtId="0" fontId="12" fillId="0" borderId="36" xfId="0" applyFont="1" applyBorder="1" applyAlignment="1">
      <alignment vertical="center"/>
    </xf>
    <xf numFmtId="0" fontId="12" fillId="0" borderId="37" xfId="0" applyFont="1" applyBorder="1" applyAlignment="1">
      <alignment vertical="center"/>
    </xf>
    <xf numFmtId="10" fontId="13" fillId="0" borderId="30" xfId="2" applyNumberFormat="1" applyFont="1" applyFill="1" applyBorder="1" applyAlignment="1">
      <alignment vertical="center"/>
    </xf>
    <xf numFmtId="10" fontId="13" fillId="0" borderId="4" xfId="2" applyNumberFormat="1" applyFont="1" applyBorder="1" applyAlignment="1">
      <alignment vertical="center"/>
    </xf>
    <xf numFmtId="43" fontId="13" fillId="0" borderId="31" xfId="1" applyFont="1" applyBorder="1" applyAlignment="1">
      <alignment vertical="center"/>
    </xf>
    <xf numFmtId="0" fontId="12" fillId="0" borderId="24" xfId="0" applyFont="1" applyBorder="1" applyAlignment="1">
      <alignment vertical="center"/>
    </xf>
    <xf numFmtId="43" fontId="13" fillId="0" borderId="30" xfId="1" applyFont="1" applyBorder="1" applyAlignment="1">
      <alignment vertical="center"/>
    </xf>
    <xf numFmtId="43" fontId="13" fillId="0" borderId="25" xfId="1" applyFont="1" applyBorder="1" applyAlignment="1">
      <alignment vertical="center"/>
    </xf>
    <xf numFmtId="43" fontId="13" fillId="0" borderId="26" xfId="1" applyFont="1" applyBorder="1" applyAlignment="1">
      <alignment vertical="center"/>
    </xf>
    <xf numFmtId="43" fontId="13" fillId="0" borderId="4" xfId="1" applyFont="1" applyBorder="1" applyAlignment="1">
      <alignment vertical="center"/>
    </xf>
    <xf numFmtId="169" fontId="6" fillId="0" borderId="16" xfId="1" applyNumberFormat="1" applyFont="1" applyBorder="1" applyAlignment="1">
      <alignment horizontal="center" vertical="center"/>
    </xf>
    <xf numFmtId="169" fontId="6" fillId="0" borderId="41" xfId="1" applyNumberFormat="1" applyFont="1" applyBorder="1" applyAlignment="1">
      <alignment horizontal="center" vertical="center"/>
    </xf>
    <xf numFmtId="10" fontId="13" fillId="0" borderId="31" xfId="2" applyNumberFormat="1" applyFont="1" applyBorder="1" applyAlignment="1">
      <alignment vertical="center"/>
    </xf>
    <xf numFmtId="43" fontId="13" fillId="0" borderId="45" xfId="1" applyFont="1" applyBorder="1" applyAlignment="1">
      <alignment vertical="center"/>
    </xf>
    <xf numFmtId="10" fontId="13" fillId="0" borderId="46" xfId="2" applyNumberFormat="1" applyFont="1" applyBorder="1" applyAlignment="1">
      <alignment vertical="center"/>
    </xf>
    <xf numFmtId="43" fontId="13" fillId="0" borderId="47" xfId="1" applyFont="1" applyBorder="1" applyAlignment="1">
      <alignment vertical="center"/>
    </xf>
    <xf numFmtId="43" fontId="13" fillId="0" borderId="48" xfId="1" applyFont="1" applyBorder="1" applyAlignment="1">
      <alignment vertical="center"/>
    </xf>
    <xf numFmtId="43" fontId="13" fillId="0" borderId="49" xfId="1" applyFont="1" applyBorder="1" applyAlignment="1">
      <alignment vertical="center"/>
    </xf>
    <xf numFmtId="43" fontId="13" fillId="0" borderId="50" xfId="1" applyFont="1" applyBorder="1" applyAlignment="1">
      <alignment vertical="center"/>
    </xf>
    <xf numFmtId="43" fontId="13" fillId="0" borderId="46" xfId="1" applyFont="1" applyBorder="1" applyAlignment="1">
      <alignment vertical="center"/>
    </xf>
    <xf numFmtId="43" fontId="13" fillId="0" borderId="30" xfId="0" applyNumberFormat="1" applyFont="1" applyBorder="1" applyAlignment="1">
      <alignment vertical="center"/>
    </xf>
    <xf numFmtId="168" fontId="13" fillId="0" borderId="4" xfId="2" applyNumberFormat="1" applyFont="1" applyBorder="1" applyAlignment="1">
      <alignment vertical="center"/>
    </xf>
    <xf numFmtId="43" fontId="13" fillId="0" borderId="31" xfId="0" applyNumberFormat="1" applyFont="1" applyBorder="1" applyAlignment="1">
      <alignment vertical="center"/>
    </xf>
    <xf numFmtId="43" fontId="13" fillId="0" borderId="28" xfId="0" applyNumberFormat="1" applyFont="1" applyBorder="1" applyAlignment="1">
      <alignment vertical="center"/>
    </xf>
    <xf numFmtId="10" fontId="13" fillId="0" borderId="0" xfId="2" applyNumberFormat="1" applyFont="1" applyAlignment="1">
      <alignment vertical="center"/>
    </xf>
    <xf numFmtId="43" fontId="13" fillId="0" borderId="29" xfId="0" applyNumberFormat="1" applyFont="1" applyBorder="1" applyAlignment="1">
      <alignment vertical="center"/>
    </xf>
    <xf numFmtId="43" fontId="13" fillId="0" borderId="48" xfId="0" applyNumberFormat="1" applyFont="1" applyBorder="1" applyAlignment="1">
      <alignment vertical="center"/>
    </xf>
    <xf numFmtId="168" fontId="13" fillId="0" borderId="45" xfId="2" applyNumberFormat="1" applyFont="1" applyBorder="1" applyAlignment="1">
      <alignment vertical="center"/>
    </xf>
    <xf numFmtId="0" fontId="13" fillId="3" borderId="38" xfId="0" applyFont="1" applyFill="1" applyBorder="1" applyAlignment="1">
      <alignment vertical="center"/>
    </xf>
    <xf numFmtId="0" fontId="13" fillId="3" borderId="39" xfId="0" applyFont="1" applyFill="1" applyBorder="1" applyAlignment="1">
      <alignment vertical="center"/>
    </xf>
    <xf numFmtId="0" fontId="13" fillId="3" borderId="40" xfId="0" applyFont="1" applyFill="1" applyBorder="1" applyAlignment="1">
      <alignment vertical="center"/>
    </xf>
    <xf numFmtId="168" fontId="13" fillId="0" borderId="1" xfId="2" applyNumberFormat="1" applyFont="1" applyBorder="1" applyAlignment="1">
      <alignment vertical="center"/>
    </xf>
    <xf numFmtId="43" fontId="13" fillId="0" borderId="1" xfId="1" applyFont="1" applyBorder="1" applyAlignment="1">
      <alignment vertical="center"/>
    </xf>
    <xf numFmtId="0" fontId="13" fillId="4" borderId="1" xfId="0" applyFont="1" applyFill="1" applyBorder="1" applyAlignment="1">
      <alignment vertical="center"/>
    </xf>
    <xf numFmtId="43" fontId="13" fillId="0" borderId="27" xfId="1" applyFont="1" applyBorder="1" applyAlignment="1">
      <alignment vertical="center"/>
    </xf>
    <xf numFmtId="0" fontId="13" fillId="4" borderId="27" xfId="0" applyFont="1" applyFill="1" applyBorder="1" applyAlignment="1">
      <alignment vertical="center"/>
    </xf>
    <xf numFmtId="168" fontId="13" fillId="0" borderId="27" xfId="2" applyNumberFormat="1" applyFont="1" applyBorder="1" applyAlignment="1">
      <alignment vertical="center"/>
    </xf>
    <xf numFmtId="0" fontId="13" fillId="0" borderId="28" xfId="0" applyFont="1" applyBorder="1" applyAlignment="1">
      <alignment vertical="center"/>
    </xf>
    <xf numFmtId="0" fontId="13" fillId="4" borderId="4" xfId="0" applyFont="1" applyFill="1" applyBorder="1" applyAlignment="1">
      <alignment vertical="center"/>
    </xf>
    <xf numFmtId="0" fontId="13" fillId="0" borderId="39" xfId="0" applyFont="1" applyBorder="1" applyAlignment="1">
      <alignment vertical="center"/>
    </xf>
    <xf numFmtId="0" fontId="13" fillId="0" borderId="40" xfId="0" applyFont="1" applyBorder="1" applyAlignment="1">
      <alignment vertical="center"/>
    </xf>
    <xf numFmtId="0" fontId="12" fillId="0" borderId="54" xfId="0" applyFont="1" applyBorder="1" applyAlignment="1">
      <alignment horizontal="left" vertical="center"/>
    </xf>
    <xf numFmtId="0" fontId="12" fillId="0" borderId="32" xfId="0" applyFont="1" applyBorder="1" applyAlignment="1">
      <alignment vertical="center"/>
    </xf>
    <xf numFmtId="0" fontId="12" fillId="0" borderId="57" xfId="0" applyFont="1" applyBorder="1" applyAlignment="1">
      <alignment vertical="center"/>
    </xf>
    <xf numFmtId="0" fontId="12" fillId="0" borderId="21" xfId="0" applyFont="1" applyBorder="1" applyAlignment="1">
      <alignment vertical="center"/>
    </xf>
    <xf numFmtId="0" fontId="12" fillId="0" borderId="58" xfId="0" applyFont="1" applyBorder="1" applyAlignment="1">
      <alignment vertical="center"/>
    </xf>
    <xf numFmtId="43" fontId="13" fillId="0" borderId="23" xfId="1" applyFont="1" applyBorder="1" applyAlignment="1">
      <alignment vertical="center"/>
    </xf>
    <xf numFmtId="43" fontId="13" fillId="0" borderId="59" xfId="1" applyFont="1" applyBorder="1" applyAlignment="1">
      <alignment vertical="center"/>
    </xf>
    <xf numFmtId="0" fontId="13" fillId="0" borderId="38" xfId="0" applyFont="1" applyBorder="1" applyAlignment="1">
      <alignment vertical="center"/>
    </xf>
    <xf numFmtId="10" fontId="13" fillId="0" borderId="30" xfId="2" applyNumberFormat="1" applyFont="1" applyBorder="1" applyAlignment="1">
      <alignment vertical="center"/>
    </xf>
    <xf numFmtId="10" fontId="13" fillId="0" borderId="25" xfId="2" applyNumberFormat="1" applyFont="1" applyBorder="1" applyAlignment="1">
      <alignment vertical="center"/>
    </xf>
    <xf numFmtId="10" fontId="13" fillId="0" borderId="26" xfId="2" applyNumberFormat="1" applyFont="1" applyBorder="1" applyAlignment="1">
      <alignment vertical="center"/>
    </xf>
    <xf numFmtId="10" fontId="13" fillId="0" borderId="28" xfId="2" applyNumberFormat="1" applyFont="1" applyBorder="1" applyAlignment="1">
      <alignment vertical="center"/>
    </xf>
    <xf numFmtId="10" fontId="13" fillId="0" borderId="29" xfId="2" applyNumberFormat="1" applyFont="1" applyBorder="1" applyAlignment="1">
      <alignment vertical="center"/>
    </xf>
    <xf numFmtId="43" fontId="13" fillId="0" borderId="25" xfId="0" applyNumberFormat="1" applyFont="1" applyBorder="1" applyAlignment="1">
      <alignment vertical="center"/>
    </xf>
    <xf numFmtId="43" fontId="13" fillId="0" borderId="26" xfId="0" applyNumberFormat="1" applyFont="1" applyBorder="1" applyAlignment="1">
      <alignment vertical="center"/>
    </xf>
    <xf numFmtId="9" fontId="13" fillId="0" borderId="31" xfId="2" applyFont="1" applyBorder="1" applyAlignment="1">
      <alignment vertical="center"/>
    </xf>
    <xf numFmtId="9" fontId="13" fillId="0" borderId="28" xfId="2" applyFont="1" applyBorder="1" applyAlignment="1">
      <alignment vertical="center"/>
    </xf>
    <xf numFmtId="9" fontId="13" fillId="0" borderId="29" xfId="2" applyFont="1" applyBorder="1" applyAlignment="1">
      <alignment vertical="center"/>
    </xf>
    <xf numFmtId="43" fontId="13" fillId="0" borderId="0" xfId="1" applyFont="1" applyAlignment="1">
      <alignment vertical="center"/>
    </xf>
    <xf numFmtId="0" fontId="12" fillId="0" borderId="51" xfId="0" applyFont="1" applyBorder="1" applyAlignment="1">
      <alignment horizontal="left" vertical="center"/>
    </xf>
    <xf numFmtId="0" fontId="13" fillId="0" borderId="23" xfId="0" applyFont="1" applyBorder="1" applyAlignment="1">
      <alignment vertical="center"/>
    </xf>
    <xf numFmtId="0" fontId="13" fillId="0" borderId="25" xfId="0" applyFont="1" applyBorder="1" applyAlignment="1">
      <alignment vertical="center"/>
    </xf>
    <xf numFmtId="0" fontId="13" fillId="0" borderId="21" xfId="0" applyFont="1" applyBorder="1" applyAlignment="1">
      <alignment vertical="center"/>
    </xf>
    <xf numFmtId="43" fontId="13" fillId="0" borderId="21" xfId="1" applyFont="1" applyBorder="1" applyAlignment="1">
      <alignment vertical="center"/>
    </xf>
    <xf numFmtId="43" fontId="13" fillId="0" borderId="58" xfId="1" applyFont="1" applyBorder="1" applyAlignment="1">
      <alignment vertical="center"/>
    </xf>
    <xf numFmtId="169" fontId="13" fillId="0" borderId="1" xfId="1" applyNumberFormat="1" applyFont="1" applyBorder="1" applyAlignment="1">
      <alignment vertical="center"/>
    </xf>
    <xf numFmtId="43" fontId="0" fillId="0" borderId="0" xfId="0" applyNumberFormat="1" applyAlignment="1">
      <alignment vertical="center"/>
    </xf>
    <xf numFmtId="0" fontId="0" fillId="0" borderId="0" xfId="0" applyAlignment="1">
      <alignment horizontal="center" vertical="center"/>
    </xf>
    <xf numFmtId="43" fontId="0" fillId="0" borderId="1" xfId="0" applyNumberFormat="1" applyBorder="1" applyAlignment="1">
      <alignment vertical="center"/>
    </xf>
    <xf numFmtId="168" fontId="0" fillId="0" borderId="1" xfId="2" applyNumberFormat="1" applyFont="1" applyBorder="1" applyAlignment="1">
      <alignment horizontal="center" vertical="center"/>
    </xf>
    <xf numFmtId="10" fontId="0" fillId="0" borderId="1" xfId="2" applyNumberFormat="1" applyFont="1" applyBorder="1" applyAlignment="1">
      <alignment vertical="center"/>
    </xf>
    <xf numFmtId="43" fontId="0" fillId="0" borderId="27" xfId="1" applyFont="1" applyBorder="1" applyAlignment="1">
      <alignment vertical="center"/>
    </xf>
    <xf numFmtId="10" fontId="0" fillId="0" borderId="27" xfId="2" applyNumberFormat="1" applyFont="1" applyBorder="1" applyAlignment="1">
      <alignment vertical="center"/>
    </xf>
    <xf numFmtId="43" fontId="0" fillId="0" borderId="23" xfId="0" applyNumberFormat="1" applyBorder="1" applyAlignment="1">
      <alignment vertical="center"/>
    </xf>
    <xf numFmtId="168" fontId="0" fillId="0" borderId="23" xfId="2" applyNumberFormat="1" applyFont="1" applyBorder="1" applyAlignment="1">
      <alignment horizontal="center" vertical="center"/>
    </xf>
    <xf numFmtId="43" fontId="0" fillId="0" borderId="23" xfId="1" applyFont="1" applyBorder="1" applyAlignment="1">
      <alignment vertical="center"/>
    </xf>
    <xf numFmtId="43" fontId="0" fillId="0" borderId="59" xfId="1" applyFont="1" applyBorder="1" applyAlignment="1">
      <alignment vertical="center"/>
    </xf>
    <xf numFmtId="0" fontId="3" fillId="0" borderId="36" xfId="0" applyFont="1" applyBorder="1" applyAlignment="1">
      <alignment vertical="center"/>
    </xf>
    <xf numFmtId="0" fontId="3" fillId="0" borderId="36" xfId="0" applyFont="1" applyBorder="1" applyAlignment="1">
      <alignment horizontal="center" vertical="center"/>
    </xf>
    <xf numFmtId="0" fontId="3" fillId="0" borderId="37" xfId="0" applyFont="1" applyBorder="1" applyAlignment="1">
      <alignment vertical="center"/>
    </xf>
    <xf numFmtId="0" fontId="3" fillId="0" borderId="35" xfId="0" applyFont="1" applyBorder="1" applyAlignment="1">
      <alignment vertical="center"/>
    </xf>
    <xf numFmtId="43" fontId="0" fillId="0" borderId="63" xfId="0" applyNumberFormat="1" applyBorder="1" applyAlignment="1">
      <alignment vertical="center"/>
    </xf>
    <xf numFmtId="43" fontId="0" fillId="0" borderId="4" xfId="0" applyNumberFormat="1" applyBorder="1" applyAlignment="1">
      <alignment vertical="center"/>
    </xf>
    <xf numFmtId="10" fontId="0" fillId="0" borderId="4" xfId="2" applyNumberFormat="1" applyFont="1" applyBorder="1" applyAlignment="1">
      <alignment vertical="center"/>
    </xf>
    <xf numFmtId="0" fontId="3" fillId="0" borderId="24" xfId="0" applyFont="1" applyBorder="1" applyAlignment="1">
      <alignment vertical="center"/>
    </xf>
    <xf numFmtId="0" fontId="0" fillId="0" borderId="64" xfId="0" applyBorder="1" applyAlignment="1">
      <alignment vertical="center"/>
    </xf>
    <xf numFmtId="0" fontId="0" fillId="0" borderId="39" xfId="0" applyBorder="1" applyAlignment="1">
      <alignment vertical="center"/>
    </xf>
    <xf numFmtId="0" fontId="0" fillId="0" borderId="39" xfId="0" applyBorder="1" applyAlignment="1">
      <alignment vertical="center" wrapText="1"/>
    </xf>
    <xf numFmtId="168" fontId="0" fillId="0" borderId="23" xfId="2" applyNumberFormat="1" applyFont="1" applyBorder="1" applyAlignment="1">
      <alignment vertical="center"/>
    </xf>
    <xf numFmtId="168" fontId="0" fillId="0" borderId="1" xfId="2" applyNumberFormat="1" applyFont="1" applyBorder="1" applyAlignment="1">
      <alignment vertical="center"/>
    </xf>
    <xf numFmtId="0" fontId="3" fillId="0" borderId="40" xfId="0" applyFont="1" applyBorder="1" applyAlignment="1">
      <alignment vertical="center" wrapText="1"/>
    </xf>
    <xf numFmtId="43" fontId="3" fillId="0" borderId="31" xfId="0" applyNumberFormat="1" applyFont="1" applyBorder="1" applyAlignment="1">
      <alignment vertical="center"/>
    </xf>
    <xf numFmtId="168" fontId="3" fillId="0" borderId="28" xfId="2" applyNumberFormat="1" applyFont="1" applyBorder="1" applyAlignment="1">
      <alignment horizontal="center" vertical="center"/>
    </xf>
    <xf numFmtId="43" fontId="3" fillId="0" borderId="28" xfId="1" applyFont="1" applyBorder="1" applyAlignment="1">
      <alignment vertical="center"/>
    </xf>
    <xf numFmtId="43" fontId="3" fillId="0" borderId="29" xfId="1" applyFont="1" applyBorder="1" applyAlignment="1">
      <alignment vertical="center"/>
    </xf>
    <xf numFmtId="43" fontId="3" fillId="0" borderId="0" xfId="1" applyFont="1" applyAlignment="1">
      <alignment vertical="center"/>
    </xf>
    <xf numFmtId="43" fontId="0" fillId="0" borderId="59" xfId="0" applyNumberFormat="1" applyBorder="1" applyAlignment="1">
      <alignment vertical="center"/>
    </xf>
    <xf numFmtId="43" fontId="0" fillId="0" borderId="27" xfId="0" applyNumberFormat="1" applyBorder="1" applyAlignment="1">
      <alignment vertical="center"/>
    </xf>
    <xf numFmtId="43" fontId="3" fillId="0" borderId="46" xfId="0" applyNumberFormat="1" applyFont="1" applyBorder="1" applyAlignment="1">
      <alignment vertical="center"/>
    </xf>
    <xf numFmtId="168" fontId="0" fillId="0" borderId="6" xfId="2" applyNumberFormat="1" applyFont="1" applyBorder="1" applyAlignment="1">
      <alignment vertical="center"/>
    </xf>
    <xf numFmtId="43" fontId="0" fillId="0" borderId="6" xfId="1" applyFont="1" applyBorder="1" applyAlignment="1">
      <alignment horizontal="center" vertical="center"/>
    </xf>
    <xf numFmtId="10" fontId="0" fillId="0" borderId="6" xfId="2" applyNumberFormat="1" applyFont="1" applyBorder="1" applyAlignment="1">
      <alignment horizontal="center" vertical="center"/>
    </xf>
    <xf numFmtId="168" fontId="0" fillId="0" borderId="6" xfId="2" applyNumberFormat="1" applyFont="1" applyBorder="1" applyAlignment="1">
      <alignment horizontal="center" vertical="center"/>
    </xf>
    <xf numFmtId="9" fontId="0" fillId="0" borderId="6" xfId="2" applyFont="1" applyBorder="1" applyAlignment="1">
      <alignment horizontal="center" vertical="center"/>
    </xf>
    <xf numFmtId="43" fontId="0" fillId="0" borderId="6" xfId="0" applyNumberFormat="1" applyBorder="1" applyAlignment="1">
      <alignment horizontal="center" vertical="center"/>
    </xf>
    <xf numFmtId="43" fontId="0" fillId="0" borderId="6" xfId="0" applyNumberFormat="1" applyBorder="1" applyAlignment="1">
      <alignment vertical="center"/>
    </xf>
    <xf numFmtId="0" fontId="10" fillId="2" borderId="7" xfId="0" applyFont="1" applyFill="1" applyBorder="1" applyAlignment="1">
      <alignment horizontal="center" vertical="center"/>
    </xf>
    <xf numFmtId="0" fontId="10" fillId="2" borderId="12" xfId="0" applyFont="1" applyFill="1" applyBorder="1" applyAlignment="1">
      <alignment horizontal="center" vertical="center"/>
    </xf>
    <xf numFmtId="0" fontId="2" fillId="2" borderId="11" xfId="0" applyFont="1" applyFill="1" applyBorder="1" applyAlignment="1">
      <alignment vertical="center"/>
    </xf>
    <xf numFmtId="0" fontId="10" fillId="2" borderId="69" xfId="0" applyFont="1" applyFill="1" applyBorder="1" applyAlignment="1">
      <alignment horizontal="center" vertical="center"/>
    </xf>
    <xf numFmtId="0" fontId="10" fillId="2" borderId="70" xfId="0" applyFont="1" applyFill="1" applyBorder="1" applyAlignment="1">
      <alignment horizontal="center" vertical="center"/>
    </xf>
    <xf numFmtId="0" fontId="2" fillId="2" borderId="71" xfId="0" applyFont="1" applyFill="1" applyBorder="1" applyAlignment="1">
      <alignment vertical="center"/>
    </xf>
    <xf numFmtId="0" fontId="0" fillId="0" borderId="6" xfId="0" applyBorder="1" applyAlignment="1">
      <alignment vertical="center" wrapText="1"/>
    </xf>
    <xf numFmtId="164" fontId="0" fillId="0" borderId="6" xfId="1" applyNumberFormat="1" applyFont="1" applyBorder="1" applyAlignment="1">
      <alignment vertical="center"/>
    </xf>
    <xf numFmtId="164" fontId="0" fillId="0" borderId="6" xfId="0" applyNumberFormat="1" applyBorder="1" applyAlignment="1">
      <alignment vertical="center"/>
    </xf>
    <xf numFmtId="9" fontId="0" fillId="0" borderId="1" xfId="2" applyFont="1" applyBorder="1" applyAlignment="1">
      <alignment horizontal="center" vertical="center"/>
    </xf>
    <xf numFmtId="168" fontId="0" fillId="0" borderId="1" xfId="0" applyNumberFormat="1" applyBorder="1" applyAlignment="1">
      <alignment horizontal="center" vertical="center"/>
    </xf>
    <xf numFmtId="0" fontId="0" fillId="0" borderId="1" xfId="0" applyBorder="1" applyAlignment="1">
      <alignment horizontal="center" vertical="center"/>
    </xf>
    <xf numFmtId="43" fontId="0" fillId="0" borderId="1" xfId="0" applyNumberFormat="1" applyBorder="1" applyAlignment="1">
      <alignment horizontal="center" vertical="center"/>
    </xf>
    <xf numFmtId="10" fontId="0" fillId="0" borderId="0" xfId="2" applyNumberFormat="1" applyFont="1" applyAlignment="1">
      <alignment horizontal="center" vertical="center"/>
    </xf>
    <xf numFmtId="0" fontId="0" fillId="0" borderId="1" xfId="0" applyBorder="1" applyAlignment="1">
      <alignment horizontal="right" vertical="center"/>
    </xf>
    <xf numFmtId="10" fontId="0" fillId="0" borderId="1" xfId="2" applyNumberFormat="1" applyFont="1" applyBorder="1" applyAlignment="1">
      <alignment horizontal="center" vertical="center"/>
    </xf>
    <xf numFmtId="43" fontId="0" fillId="0" borderId="1" xfId="1" applyFont="1" applyBorder="1" applyAlignment="1">
      <alignment horizontal="center" vertical="center"/>
    </xf>
    <xf numFmtId="0" fontId="0" fillId="0" borderId="21" xfId="0" applyBorder="1" applyAlignment="1">
      <alignment vertical="center"/>
    </xf>
    <xf numFmtId="168" fontId="0" fillId="0" borderId="0" xfId="2" applyNumberFormat="1" applyFont="1" applyFill="1" applyBorder="1" applyAlignment="1">
      <alignment vertical="center"/>
    </xf>
    <xf numFmtId="0" fontId="3" fillId="0" borderId="80" xfId="0" applyFont="1" applyBorder="1" applyAlignment="1">
      <alignment horizontal="center" vertical="center"/>
    </xf>
    <xf numFmtId="0" fontId="3" fillId="0" borderId="79" xfId="0" applyFont="1" applyBorder="1" applyAlignment="1">
      <alignment horizontal="center" vertical="center"/>
    </xf>
    <xf numFmtId="0" fontId="3" fillId="0" borderId="78" xfId="0" applyFont="1" applyBorder="1" applyAlignment="1">
      <alignment horizontal="center" vertical="center"/>
    </xf>
    <xf numFmtId="0" fontId="3" fillId="0" borderId="75" xfId="0" applyFont="1" applyBorder="1" applyAlignment="1">
      <alignment horizontal="center" vertical="center"/>
    </xf>
    <xf numFmtId="0" fontId="3" fillId="0" borderId="74" xfId="0" applyFont="1" applyBorder="1" applyAlignment="1">
      <alignment horizontal="center" vertical="center"/>
    </xf>
    <xf numFmtId="0" fontId="3" fillId="0" borderId="77" xfId="0" applyFont="1" applyBorder="1" applyAlignment="1">
      <alignment horizontal="center" vertical="center"/>
    </xf>
    <xf numFmtId="0" fontId="3" fillId="0" borderId="76" xfId="0" applyFont="1" applyBorder="1" applyAlignment="1">
      <alignment horizontal="center" vertical="center"/>
    </xf>
    <xf numFmtId="164" fontId="0" fillId="3" borderId="93" xfId="1" applyNumberFormat="1" applyFont="1" applyFill="1" applyBorder="1" applyAlignment="1">
      <alignment vertical="center"/>
    </xf>
    <xf numFmtId="164" fontId="0" fillId="3" borderId="91" xfId="1" applyNumberFormat="1" applyFont="1" applyFill="1" applyBorder="1" applyAlignment="1">
      <alignment vertical="center"/>
    </xf>
    <xf numFmtId="164" fontId="0" fillId="3" borderId="92" xfId="1" applyNumberFormat="1" applyFont="1" applyFill="1" applyBorder="1" applyAlignment="1">
      <alignment vertical="center"/>
    </xf>
    <xf numFmtId="164" fontId="0" fillId="3" borderId="90" xfId="1" applyNumberFormat="1" applyFont="1" applyFill="1" applyBorder="1" applyAlignment="1">
      <alignment vertical="center"/>
    </xf>
    <xf numFmtId="164" fontId="0" fillId="3" borderId="94" xfId="1" applyNumberFormat="1" applyFont="1" applyFill="1" applyBorder="1" applyAlignment="1">
      <alignment vertical="center"/>
    </xf>
    <xf numFmtId="164" fontId="0" fillId="3" borderId="86" xfId="1" applyNumberFormat="1" applyFont="1" applyFill="1" applyBorder="1" applyAlignment="1">
      <alignment vertical="center"/>
    </xf>
    <xf numFmtId="164" fontId="0" fillId="3" borderId="41" xfId="1" applyNumberFormat="1" applyFont="1" applyFill="1" applyBorder="1" applyAlignment="1">
      <alignment vertical="center"/>
    </xf>
    <xf numFmtId="164" fontId="0" fillId="3" borderId="84" xfId="1" applyNumberFormat="1" applyFont="1" applyFill="1" applyBorder="1" applyAlignment="1">
      <alignment vertical="center"/>
    </xf>
    <xf numFmtId="0" fontId="2" fillId="2" borderId="97" xfId="0" applyFont="1" applyFill="1" applyBorder="1" applyAlignment="1">
      <alignment vertical="center"/>
    </xf>
    <xf numFmtId="0" fontId="2" fillId="2" borderId="98" xfId="0" applyFont="1" applyFill="1" applyBorder="1" applyAlignment="1">
      <alignment vertical="center"/>
    </xf>
    <xf numFmtId="10" fontId="0" fillId="3" borderId="14" xfId="2" applyNumberFormat="1" applyFont="1" applyFill="1" applyBorder="1" applyAlignment="1">
      <alignment vertical="center"/>
    </xf>
    <xf numFmtId="10" fontId="0" fillId="3" borderId="15" xfId="2" applyNumberFormat="1" applyFont="1" applyFill="1" applyBorder="1" applyAlignment="1">
      <alignment vertical="center"/>
    </xf>
    <xf numFmtId="10" fontId="0" fillId="3" borderId="17" xfId="2" applyNumberFormat="1" applyFont="1" applyFill="1" applyBorder="1" applyAlignment="1">
      <alignment vertical="center"/>
    </xf>
    <xf numFmtId="10" fontId="0" fillId="3" borderId="68" xfId="2" applyNumberFormat="1" applyFont="1" applyFill="1" applyBorder="1" applyAlignment="1">
      <alignment vertical="center"/>
    </xf>
    <xf numFmtId="10" fontId="0" fillId="3" borderId="85" xfId="2" applyNumberFormat="1" applyFont="1" applyFill="1" applyBorder="1" applyAlignment="1">
      <alignment vertical="center"/>
    </xf>
    <xf numFmtId="168" fontId="3" fillId="0" borderId="6" xfId="2" applyNumberFormat="1" applyFont="1" applyBorder="1" applyAlignment="1">
      <alignment horizontal="center" vertical="center"/>
    </xf>
    <xf numFmtId="0" fontId="3" fillId="0" borderId="0" xfId="0" applyFont="1" applyAlignment="1">
      <alignment horizontal="center" vertical="center"/>
    </xf>
    <xf numFmtId="43" fontId="12" fillId="0" borderId="0" xfId="1" applyFont="1" applyAlignment="1">
      <alignment horizontal="left" vertical="center"/>
    </xf>
    <xf numFmtId="49" fontId="0" fillId="0" borderId="0" xfId="0" applyNumberFormat="1" applyAlignment="1">
      <alignment vertical="center"/>
    </xf>
    <xf numFmtId="49" fontId="0" fillId="0" borderId="1" xfId="0" applyNumberFormat="1" applyBorder="1" applyAlignment="1">
      <alignment vertical="center"/>
    </xf>
    <xf numFmtId="49" fontId="3" fillId="0" borderId="1" xfId="0" applyNumberFormat="1" applyFont="1" applyBorder="1" applyAlignment="1">
      <alignment vertical="center"/>
    </xf>
    <xf numFmtId="10" fontId="3" fillId="0" borderId="1" xfId="2" applyNumberFormat="1" applyFont="1" applyBorder="1" applyAlignment="1">
      <alignment horizontal="center" vertical="center"/>
    </xf>
    <xf numFmtId="2" fontId="3" fillId="0" borderId="1" xfId="1" applyNumberFormat="1"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10" fontId="0" fillId="0" borderId="1" xfId="0" applyNumberFormat="1" applyBorder="1" applyAlignment="1">
      <alignment vertical="center"/>
    </xf>
    <xf numFmtId="10" fontId="3" fillId="0" borderId="1" xfId="0" applyNumberFormat="1" applyFont="1" applyBorder="1" applyAlignment="1">
      <alignment horizontal="center" vertical="center"/>
    </xf>
    <xf numFmtId="10" fontId="3" fillId="0" borderId="1" xfId="0" applyNumberFormat="1" applyFont="1" applyBorder="1" applyAlignment="1">
      <alignment vertical="center"/>
    </xf>
    <xf numFmtId="0" fontId="0" fillId="0" borderId="22" xfId="0" applyBorder="1" applyAlignment="1">
      <alignment vertical="center"/>
    </xf>
    <xf numFmtId="0" fontId="3" fillId="0" borderId="22" xfId="0" applyFont="1" applyBorder="1" applyAlignment="1">
      <alignment vertical="center"/>
    </xf>
    <xf numFmtId="10" fontId="3" fillId="0" borderId="0" xfId="2" applyNumberFormat="1" applyFont="1" applyAlignment="1">
      <alignment horizontal="center" vertical="center"/>
    </xf>
    <xf numFmtId="10" fontId="3" fillId="0" borderId="6" xfId="2" applyNumberFormat="1" applyFont="1" applyBorder="1" applyAlignment="1">
      <alignment horizontal="center" vertical="center"/>
    </xf>
    <xf numFmtId="0" fontId="9" fillId="2" borderId="8" xfId="0" applyFont="1" applyFill="1" applyBorder="1" applyAlignment="1">
      <alignment horizontal="center" vertical="center"/>
    </xf>
    <xf numFmtId="0" fontId="9" fillId="2" borderId="9" xfId="0" applyFont="1" applyFill="1" applyBorder="1" applyAlignment="1">
      <alignment horizontal="center" vertical="center"/>
    </xf>
    <xf numFmtId="0" fontId="9" fillId="2" borderId="10" xfId="0" applyFont="1" applyFill="1" applyBorder="1" applyAlignment="1">
      <alignment horizontal="center" vertical="center"/>
    </xf>
    <xf numFmtId="0" fontId="7" fillId="0" borderId="19" xfId="0" applyFont="1" applyBorder="1" applyAlignment="1">
      <alignment horizontal="left" vertical="center"/>
    </xf>
    <xf numFmtId="0" fontId="3" fillId="0" borderId="1" xfId="0" applyFont="1" applyBorder="1" applyAlignment="1">
      <alignment horizontal="left" vertical="center"/>
    </xf>
    <xf numFmtId="0" fontId="5" fillId="2" borderId="1" xfId="0" applyFont="1" applyFill="1" applyBorder="1" applyAlignment="1">
      <alignment horizontal="left" vertical="center"/>
    </xf>
    <xf numFmtId="0" fontId="2" fillId="2" borderId="1" xfId="0" applyFont="1" applyFill="1" applyBorder="1" applyAlignment="1">
      <alignment horizontal="center" vertical="center"/>
    </xf>
    <xf numFmtId="0" fontId="6" fillId="2" borderId="1" xfId="0" applyFont="1" applyFill="1" applyBorder="1" applyAlignment="1">
      <alignment horizontal="center" vertical="center"/>
    </xf>
    <xf numFmtId="43" fontId="3" fillId="0" borderId="3" xfId="1" applyFont="1" applyBorder="1" applyAlignment="1">
      <alignment horizontal="left" vertical="center"/>
    </xf>
    <xf numFmtId="43" fontId="3" fillId="0" borderId="5" xfId="1" applyFont="1" applyBorder="1" applyAlignment="1">
      <alignment horizontal="left" vertical="center"/>
    </xf>
    <xf numFmtId="43" fontId="3" fillId="0" borderId="4" xfId="1" applyFont="1" applyBorder="1" applyAlignment="1">
      <alignment horizontal="left" vertical="center"/>
    </xf>
    <xf numFmtId="43" fontId="3" fillId="0" borderId="1" xfId="1" applyFont="1" applyBorder="1" applyAlignment="1">
      <alignment horizontal="left" vertical="center"/>
    </xf>
    <xf numFmtId="0" fontId="3" fillId="0" borderId="3" xfId="0" applyFont="1" applyBorder="1" applyAlignment="1">
      <alignment horizontal="left" vertical="center"/>
    </xf>
    <xf numFmtId="0" fontId="3" fillId="0" borderId="5" xfId="0" applyFont="1" applyBorder="1" applyAlignment="1">
      <alignment horizontal="left" vertical="center"/>
    </xf>
    <xf numFmtId="0" fontId="3" fillId="0" borderId="4" xfId="0" applyFont="1" applyBorder="1" applyAlignment="1">
      <alignment horizontal="left" vertical="center"/>
    </xf>
    <xf numFmtId="0" fontId="3" fillId="0" borderId="6" xfId="0" applyFont="1" applyBorder="1" applyAlignment="1">
      <alignment horizontal="left" vertical="center"/>
    </xf>
    <xf numFmtId="0" fontId="5" fillId="2" borderId="21" xfId="0" applyFont="1" applyFill="1" applyBorder="1" applyAlignment="1">
      <alignment horizontal="left" vertical="center"/>
    </xf>
    <xf numFmtId="0" fontId="2" fillId="2" borderId="21" xfId="0" applyFont="1" applyFill="1" applyBorder="1" applyAlignment="1">
      <alignment horizontal="center" vertical="center"/>
    </xf>
    <xf numFmtId="0" fontId="6" fillId="2" borderId="21" xfId="0" applyFont="1" applyFill="1" applyBorder="1" applyAlignment="1">
      <alignment horizontal="center" vertical="center"/>
    </xf>
    <xf numFmtId="0" fontId="5" fillId="2" borderId="42" xfId="0" applyFont="1" applyFill="1" applyBorder="1" applyAlignment="1">
      <alignment horizontal="center" vertical="center"/>
    </xf>
    <xf numFmtId="0" fontId="5" fillId="2" borderId="43" xfId="0" applyFont="1" applyFill="1" applyBorder="1" applyAlignment="1">
      <alignment horizontal="center" vertical="center"/>
    </xf>
    <xf numFmtId="0" fontId="10" fillId="2" borderId="43" xfId="0" applyFont="1" applyFill="1" applyBorder="1" applyAlignment="1">
      <alignment horizontal="center" vertical="center"/>
    </xf>
    <xf numFmtId="0" fontId="10" fillId="2" borderId="44" xfId="0" applyFont="1" applyFill="1" applyBorder="1" applyAlignment="1">
      <alignment horizontal="center" vertical="center"/>
    </xf>
    <xf numFmtId="0" fontId="12" fillId="0" borderId="32" xfId="0" applyFont="1" applyBorder="1" applyAlignment="1">
      <alignment horizontal="left" vertical="center"/>
    </xf>
    <xf numFmtId="0" fontId="12" fillId="0" borderId="33" xfId="0" applyFont="1" applyBorder="1" applyAlignment="1">
      <alignment horizontal="left" vertical="center"/>
    </xf>
    <xf numFmtId="0" fontId="12" fillId="0" borderId="34" xfId="0" applyFont="1" applyBorder="1" applyAlignment="1">
      <alignment horizontal="left" vertical="center"/>
    </xf>
    <xf numFmtId="0" fontId="12" fillId="0" borderId="42" xfId="0" applyFont="1" applyBorder="1" applyAlignment="1">
      <alignment horizontal="left" vertical="center"/>
    </xf>
    <xf numFmtId="0" fontId="12" fillId="0" borderId="55" xfId="0" applyFont="1" applyBorder="1" applyAlignment="1">
      <alignment horizontal="left" vertical="center"/>
    </xf>
    <xf numFmtId="0" fontId="12" fillId="0" borderId="56" xfId="0" applyFont="1" applyBorder="1" applyAlignment="1">
      <alignment horizontal="left" vertical="center"/>
    </xf>
    <xf numFmtId="0" fontId="12" fillId="0" borderId="21" xfId="0" applyFont="1" applyBorder="1" applyAlignment="1">
      <alignment horizontal="left" vertical="center"/>
    </xf>
    <xf numFmtId="0" fontId="12" fillId="0" borderId="22" xfId="0" applyFont="1" applyBorder="1" applyAlignment="1">
      <alignment horizontal="left" vertical="center"/>
    </xf>
    <xf numFmtId="0" fontId="12" fillId="0" borderId="23" xfId="0" applyFont="1" applyBorder="1" applyAlignment="1">
      <alignment horizontal="left" vertical="center"/>
    </xf>
    <xf numFmtId="0" fontId="12" fillId="0" borderId="60" xfId="0" applyFont="1" applyBorder="1" applyAlignment="1">
      <alignment horizontal="left" vertical="center"/>
    </xf>
    <xf numFmtId="0" fontId="12" fillId="0" borderId="52" xfId="0" applyFont="1" applyBorder="1" applyAlignment="1">
      <alignment horizontal="left" vertical="center"/>
    </xf>
    <xf numFmtId="0" fontId="12" fillId="0" borderId="53" xfId="0" applyFont="1" applyBorder="1" applyAlignment="1">
      <alignment horizontal="left" vertical="center"/>
    </xf>
    <xf numFmtId="0" fontId="10" fillId="2" borderId="0" xfId="0" applyFont="1" applyFill="1" applyAlignment="1">
      <alignment horizontal="center" vertical="center"/>
    </xf>
    <xf numFmtId="0" fontId="5" fillId="2" borderId="0" xfId="0" applyFont="1" applyFill="1" applyAlignment="1">
      <alignment horizontal="center" vertical="center"/>
    </xf>
    <xf numFmtId="0" fontId="15" fillId="2" borderId="8" xfId="0" applyFont="1" applyFill="1" applyBorder="1" applyAlignment="1">
      <alignment horizontal="center" vertical="center"/>
    </xf>
    <xf numFmtId="0" fontId="15" fillId="2" borderId="9" xfId="0" applyFont="1" applyFill="1" applyBorder="1" applyAlignment="1">
      <alignment horizontal="center" vertical="center"/>
    </xf>
    <xf numFmtId="0" fontId="15" fillId="2" borderId="10" xfId="0" applyFont="1" applyFill="1" applyBorder="1" applyAlignment="1">
      <alignment horizontal="center" vertical="center"/>
    </xf>
    <xf numFmtId="0" fontId="15" fillId="2" borderId="65" xfId="0" applyFont="1" applyFill="1" applyBorder="1" applyAlignment="1">
      <alignment horizontal="center" vertical="center"/>
    </xf>
    <xf numFmtId="0" fontId="15" fillId="2" borderId="66" xfId="0" applyFont="1" applyFill="1" applyBorder="1" applyAlignment="1">
      <alignment horizontal="center" vertical="center"/>
    </xf>
    <xf numFmtId="0" fontId="15" fillId="2" borderId="67" xfId="0" applyFont="1" applyFill="1" applyBorder="1" applyAlignment="1">
      <alignment horizontal="center" vertical="center"/>
    </xf>
    <xf numFmtId="0" fontId="5" fillId="2" borderId="60" xfId="0" applyFont="1" applyFill="1" applyBorder="1" applyAlignment="1">
      <alignment horizontal="center" vertical="center"/>
    </xf>
    <xf numFmtId="0" fontId="5" fillId="2" borderId="61" xfId="0" applyFont="1" applyFill="1" applyBorder="1" applyAlignment="1">
      <alignment horizontal="center" vertical="center"/>
    </xf>
    <xf numFmtId="0" fontId="0" fillId="2" borderId="61" xfId="0" applyFill="1" applyBorder="1" applyAlignment="1">
      <alignment horizontal="center" vertical="center"/>
    </xf>
    <xf numFmtId="0" fontId="0" fillId="2" borderId="62" xfId="0" applyFill="1" applyBorder="1" applyAlignment="1">
      <alignment horizontal="center" vertical="center"/>
    </xf>
    <xf numFmtId="0" fontId="15" fillId="2" borderId="0" xfId="0" applyFont="1" applyFill="1" applyAlignment="1">
      <alignment horizontal="center" vertical="center"/>
    </xf>
    <xf numFmtId="0" fontId="14" fillId="2" borderId="0" xfId="0" applyFont="1" applyFill="1" applyAlignment="1">
      <alignment horizontal="center" vertical="center"/>
    </xf>
    <xf numFmtId="0" fontId="16" fillId="2" borderId="72" xfId="0" applyFont="1" applyFill="1" applyBorder="1" applyAlignment="1">
      <alignment horizontal="center" vertical="center"/>
    </xf>
    <xf numFmtId="0" fontId="0" fillId="2" borderId="72" xfId="0" applyFill="1" applyBorder="1" applyAlignment="1">
      <alignment horizontal="center" vertical="center"/>
    </xf>
    <xf numFmtId="0" fontId="16" fillId="2" borderId="0" xfId="0" applyFont="1" applyFill="1" applyAlignment="1">
      <alignment horizontal="center" vertical="center"/>
    </xf>
    <xf numFmtId="0" fontId="0" fillId="2" borderId="0" xfId="0" applyFill="1" applyAlignment="1">
      <alignment horizontal="center" vertical="center"/>
    </xf>
    <xf numFmtId="0" fontId="16" fillId="2" borderId="1" xfId="0" applyFont="1" applyFill="1" applyBorder="1" applyAlignment="1">
      <alignment horizontal="center" vertical="center"/>
    </xf>
    <xf numFmtId="0" fontId="0" fillId="2" borderId="1" xfId="0" applyFill="1" applyBorder="1" applyAlignment="1">
      <alignment horizontal="center" vertical="center"/>
    </xf>
    <xf numFmtId="0" fontId="0" fillId="3" borderId="89" xfId="0" applyFill="1" applyBorder="1" applyAlignment="1">
      <alignment horizontal="center" vertical="center"/>
    </xf>
    <xf numFmtId="0" fontId="0" fillId="3" borderId="87" xfId="0" applyFill="1" applyBorder="1" applyAlignment="1">
      <alignment horizontal="center" vertical="center"/>
    </xf>
    <xf numFmtId="0" fontId="0" fillId="3" borderId="88" xfId="0" applyFill="1" applyBorder="1" applyAlignment="1">
      <alignment horizontal="center" vertical="center"/>
    </xf>
    <xf numFmtId="0" fontId="2" fillId="2" borderId="96" xfId="0" applyFont="1" applyFill="1" applyBorder="1" applyAlignment="1">
      <alignment horizontal="center" vertical="center"/>
    </xf>
    <xf numFmtId="0" fontId="2" fillId="2" borderId="97" xfId="0" applyFont="1" applyFill="1" applyBorder="1" applyAlignment="1">
      <alignment horizontal="center" vertical="center"/>
    </xf>
    <xf numFmtId="0" fontId="17" fillId="2" borderId="81" xfId="0" applyFont="1" applyFill="1" applyBorder="1" applyAlignment="1">
      <alignment horizontal="center" vertical="center"/>
    </xf>
    <xf numFmtId="0" fontId="17" fillId="2" borderId="82" xfId="0" applyFont="1" applyFill="1" applyBorder="1" applyAlignment="1">
      <alignment horizontal="center" vertical="center"/>
    </xf>
    <xf numFmtId="0" fontId="17" fillId="2" borderId="83" xfId="0" applyFont="1" applyFill="1" applyBorder="1" applyAlignment="1">
      <alignment horizontal="center" vertical="center"/>
    </xf>
    <xf numFmtId="0" fontId="5" fillId="2" borderId="95" xfId="0" applyFont="1" applyFill="1" applyBorder="1" applyAlignment="1">
      <alignment horizontal="center" vertical="center"/>
    </xf>
    <xf numFmtId="0" fontId="5" fillId="2" borderId="7" xfId="0" applyFont="1" applyFill="1" applyBorder="1" applyAlignment="1">
      <alignment horizontal="center" vertical="center"/>
    </xf>
    <xf numFmtId="0" fontId="0" fillId="2" borderId="7" xfId="0" applyFill="1" applyBorder="1" applyAlignment="1">
      <alignment horizontal="center" vertical="center"/>
    </xf>
    <xf numFmtId="0" fontId="0" fillId="2" borderId="73" xfId="0" applyFill="1" applyBorder="1" applyAlignment="1">
      <alignment horizontal="center" vertical="center"/>
    </xf>
    <xf numFmtId="0" fontId="0" fillId="2" borderId="12" xfId="0" applyFill="1" applyBorder="1" applyAlignment="1">
      <alignment horizontal="center" vertical="center"/>
    </xf>
  </cellXfs>
  <cellStyles count="3">
    <cellStyle name="Comma" xfId="1" builtinId="3"/>
    <cellStyle name="Normal" xfId="0" builtinId="0"/>
    <cellStyle name="Percent" xfId="2" builtinId="5"/>
  </cellStyles>
  <dxfs count="36">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 Target="richData/rdrichvalue.xml"/><Relationship Id="rId3" Type="http://schemas.openxmlformats.org/officeDocument/2006/relationships/worksheet" Target="worksheets/sheet3.xml"/><Relationship Id="rId21" Type="http://schemas.microsoft.com/office/2017/06/relationships/rdSupportingPropertyBagStructure" Target="richData/rdsupportingpropertybag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ichStyles" Target="richData/rich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sharedStrings" Target="sharedStrings.xml"/><Relationship Id="rId23" Type="http://schemas.microsoft.com/office/2017/06/relationships/rdRichValueTypes" Target="richData/rdRichValueTypes.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microsoft.com/office/2017/06/relationships/rdSupportingPropertyBag" Target="richData/rdsupportingpropertybag.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22">
  <rv s="0">
    <v>0</v>
    <v>5</v>
  </rv>
  <rv s="0">
    <v>1</v>
    <v>5</v>
  </rv>
  <rv s="0">
    <v>2</v>
    <v>5</v>
  </rv>
  <rv s="0">
    <v>3</v>
    <v>5</v>
  </rv>
  <rv s="0">
    <v>4</v>
    <v>5</v>
  </rv>
  <rv s="1">
    <v>https://www.bing.com/financeapi/forcetrigger?t=ahkau2&amp;q=XNSE%3aTCS&amp;form=skydnc</v>
    <v>Learn more on Bing</v>
  </rv>
  <rv s="2">
    <v>en-IN</v>
    <v>ahkau2</v>
    <v>268435456</v>
    <v>1</v>
    <v>Powered by Refinitiv</v>
    <v>0</v>
    <v>TATA CONSULTANCY SERVICES LIMITED (XNSE:TCS)</v>
    <v>2</v>
    <v>3</v>
    <v>Finance</v>
    <v>4</v>
    <v>4424.37</v>
    <v>2866.6</v>
    <v>0.94289999999999996</v>
    <v>33.4</v>
    <v>1.1164E-2</v>
    <v>INR</v>
    <v>Tata Consultancy Services Ltd is an India-based company engaged in providing information technology (IT) services, consulting, and business solutions. Its business segments include Banking, Financial Services and Insurance; Manufacturing; Consumer Business; Communication, Media and Technology; Life Sciences and Healthcare and others, such as Energy, Resources and Utilities, s-Governance, and Products. The Company's products include TCS ADD, TCS BaNCS, TCS BFSI Platforms, TCS CHROMA, TCS Customer Intelligence &amp; Insights, TCS ERP on Cloud, TCS Intelligent Urban Exchange, Quartz-The Smart Ledgers, Jile, TCS Optumera, TCS TwinX, TCS TAP and TCS OmniStore. Its services portfolio consists of Artificial Intelligence, Cloud, Cognitive Business Operations, Consulting, Cybersecurity, Data and Analytics, Enterprise Solutions, Internet of Things (IoT), and Digital Engineering, TCS Interactive, TCS and AWS Cloud, TCS Enterprise Cloud, TCS and Google Cloud, TCS and Microsoft Cloud and others.</v>
    <v>613069</v>
    <v>National Stock Exchange of India</v>
    <v>XNSE</v>
    <v>XNSE</v>
    <v>9th Floor Nirmal Building Nariman Point, MUMBAI, MAHARASHTRA, 400021 IN</v>
    <v>3047.9</v>
    <v>Software &amp; IT Services</v>
    <v>Stock</v>
    <v>45971.4375</v>
    <v>5</v>
    <v>2992</v>
    <v>10824590000000</v>
    <v>TATA CONSULTANCY SERVICES LIMITED</v>
    <v>TATA CONSULTANCY SERVICES LIMITED</v>
    <v>2993</v>
    <v>22.139900000000001</v>
    <v>2991.8</v>
    <v>3025.2</v>
    <v>3618087000</v>
    <v>TCS</v>
    <v>TATA CONSULTANCY SERVICES LIMITED (XNSE:TCS)</v>
    <v>1556656</v>
    <v>2434530</v>
    <v>1995</v>
  </rv>
  <rv s="3">
    <v>6</v>
  </rv>
  <rv s="1">
    <v>https://www.bing.com/financeapi/forcetrigger?t=ahicim&amp;q=XNSE%3aINFY&amp;form=skydnc</v>
    <v>Learn more on Bing</v>
  </rv>
  <rv s="2">
    <v>en-IN</v>
    <v>ahicim</v>
    <v>268435456</v>
    <v>1</v>
    <v>Powered by Refinitiv</v>
    <v>0</v>
    <v>INFOSYS LIMITED (XNSE:INFY)</v>
    <v>2</v>
    <v>3</v>
    <v>Finance</v>
    <v>4</v>
    <v>2006.45</v>
    <v>1307</v>
    <v>0.89990000000000003</v>
    <v>36.700000000000003</v>
    <v>2.4851000000000002E-2</v>
    <v>INR</v>
    <v>Infosys Limited is an India-based company, which provides digital services and consulting. The Company enables clients in approximately 59 countries to navigate their digital transformation powered by cloud and artificial intelligence (AI). Its segments include Financial Services; Retail; Communication; Energy, Utilities, Resources and Services; Manufacturing; Hi-Tech; Life Sciences, and All other segments. The Company's solutions have been primarily classified as digital and core. Its digital solutions include experience, insight, innovate, accelerate, and assure. Its experience solutions include Infosys Aster, Digital Marketing, Digital Commerce and Infosys Metaverse Foundry. Its insight solutions include Infosys Topaz, Infosys Generative AI Labs, Data Analytics and AI, Infosys Sustainability Services and Applied AI. Its core solutions include application management services, proprietary application development services, traditional enterprise application implementation and others.</v>
    <v>331991</v>
    <v>National Stock Exchange of India</v>
    <v>XNSE</v>
    <v>XNSE</v>
    <v>Electronics City Hosur Rd, BANGALORE, KARNATAKA, 560100 IN</v>
    <v>1520</v>
    <v>Software &amp; IT Services</v>
    <v>Stock</v>
    <v>45971.4375</v>
    <v>8</v>
    <v>1490</v>
    <v>6121794000000</v>
    <v>INFOSYS LIMITED</v>
    <v>INFOSYS LIMITED</v>
    <v>1490.1</v>
    <v>22.297799999999999</v>
    <v>1476.8</v>
    <v>1513.5</v>
    <v>4145310000</v>
    <v>INFY</v>
    <v>INFOSYS LIMITED (XNSE:INFY)</v>
    <v>9787975</v>
    <v>7032260</v>
    <v>1981</v>
  </rv>
  <rv s="3">
    <v>9</v>
  </rv>
  <rv s="1">
    <v>https://www.bing.com/financeapi/forcetrigger?t=ahi3dm&amp;q=XNSE%3aHCLTECH&amp;form=skydnc</v>
    <v>Learn more on Bing</v>
  </rv>
  <rv s="2">
    <v>en-IN</v>
    <v>ahi3dm</v>
    <v>268435456</v>
    <v>1</v>
    <v>Powered by Refinitiv</v>
    <v>0</v>
    <v>HCL TECHNOLOGIES LIMITED (XNSE:HCLTECH)</v>
    <v>2</v>
    <v>3</v>
    <v>Finance</v>
    <v>4</v>
    <v>2005.46</v>
    <v>1302.75</v>
    <v>1.0407999999999999</v>
    <v>28.1</v>
    <v>1.8579999999999999E-2</v>
    <v>INR</v>
    <v>HCL Technologies Limited is a technology company. It is engaged in providing a range of information technology (IT) and business services, engineering and research and development (R&amp;D) services and software products and IP-led offerings. Its segments include IT and Business services, Engineering and R&amp;D services, and HCL Software. IT and Business Services segment provide a comprehensive portfolio of IT and Business Services, such as application, infrastructure and digital process operations) and digital transformation services enabled by digital and analytics, IoTWoRKs, Cloud native and Cybersecurity solutions including products developed within these businesses. Engineering and R&amp;D Services provides engineering services and solutions across software, embedded, mechanical, VLSI and platform engineering that support the end-to-end lifecycle of products both hardware and software across diverse industries. HCL Software segment provides modernized software products and IP-led offerings.</v>
    <v>226640</v>
    <v>National Stock Exchange of India</v>
    <v>XNSE</v>
    <v>XNSE</v>
    <v>Technology Hub, SEZ, Plot No. 3A, Sector 126, NOIDA, UTTAR PRADESH, 201304 IN</v>
    <v>1544.9</v>
    <v>Software &amp; IT Services</v>
    <v>Stock</v>
    <v>45971.4375</v>
    <v>11</v>
    <v>1511.4</v>
    <v>4091814000000</v>
    <v>HCL TECHNOLOGIES LIMITED</v>
    <v>HCL TECHNOLOGIES LIMITED</v>
    <v>1518</v>
    <v>24.590699999999998</v>
    <v>1512.4</v>
    <v>1540.5</v>
    <v>2705510000</v>
    <v>HCLTECH</v>
    <v>HCL TECHNOLOGIES LIMITED (XNSE:HCLTECH)</v>
    <v>1558896</v>
    <v>1995850</v>
    <v>1991</v>
  </rv>
  <rv s="3">
    <v>12</v>
  </rv>
  <rv s="1">
    <v>https://www.bing.com/financeapi/forcetrigger?t=ahkok2&amp;q=XNSE%3aWIPRO&amp;form=skydnc</v>
    <v>Learn more on Bing</v>
  </rv>
  <rv s="2">
    <v>en-IN</v>
    <v>ahkok2</v>
    <v>268435456</v>
    <v>1</v>
    <v>Powered by Refinitiv</v>
    <v>0</v>
    <v>WIPRO LIMITED (XNSE:WIPRO)</v>
    <v>2</v>
    <v>3</v>
    <v>Finance</v>
    <v>4</v>
    <v>324.60000000000002</v>
    <v>228</v>
    <v>0.86839999999999995</v>
    <v>3.35</v>
    <v>1.4166000000000002E-2</v>
    <v>INR</v>
    <v>Wipro Limited is a technology services and consulting company. The Company operates through two segments: Information Technology (IT) Services, and IT Products. IT Services segment provides a range of IT and IT enabled services which include digital strategy advisory, customer centric design, technology consulting, IT consulting, custom application design, re-engineering and maintenance, systems integration, package implementation, cloud and infrastructure services, business process services, cloud, mobility and analytics services, research and development and hardware and software design. The IT Products segment provides a range of third-party IT products, which allows it to offer IT system integration services. These products include computing, platforms and storage, networking solutions, and software products. Its services include Applications, Artificial Intelligence, Business Process, Cloud, Consulting, Data &amp; Analytics, Digital Experiences, Engineering, and Sustainability.</v>
    <v>235492</v>
    <v>National Stock Exchange of India</v>
    <v>XNSE</v>
    <v>XNSE</v>
    <v>Survey #76P &amp; #80P Doddakanahalli Villag, Varthur Hobli Sarjapur Rd, BANGALORE, KARNATAKA, 560035 IN</v>
    <v>241.55</v>
    <v>Software &amp; IT Services</v>
    <v>Stock</v>
    <v>45971.4375</v>
    <v>14</v>
    <v>237.02</v>
    <v>2476583000000</v>
    <v>WIPRO LIMITED</v>
    <v>WIPRO LIMITED</v>
    <v>237.44</v>
    <v>18.595300000000002</v>
    <v>236.49</v>
    <v>239.84</v>
    <v>10472250000</v>
    <v>WIPRO</v>
    <v>WIPRO LIMITED (XNSE:WIPRO)</v>
    <v>8566758</v>
    <v>7232930</v>
    <v>1945</v>
  </rv>
  <rv s="3">
    <v>15</v>
  </rv>
  <rv s="1">
    <v>https://www.bing.com/financeapi/forcetrigger?t=ahis4c&amp;q=XNSE%3aLTI&amp;form=skydnc</v>
    <v>Learn more on Bing</v>
  </rv>
  <rv s="2">
    <v>en-IN</v>
    <v>ahis4c</v>
    <v>268435456</v>
    <v>1</v>
    <v>Powered by Refinitiv</v>
    <v>0</v>
    <v>LTIMINDTREE LIMITED (XNSE:LTIM)</v>
    <v>2</v>
    <v>3</v>
    <v>Finance</v>
    <v>4</v>
    <v>6767.95</v>
    <v>3802</v>
    <v>1.3531</v>
    <v>82.5</v>
    <v>1.4818E-2</v>
    <v>INR</v>
    <v>LTIMindtree Limited is an India-based global technology consulting and digital solutions company. It offers a range of information technology (IT) services, such as agile, analytics and information management, application development, maintenance and outsourcing, enterprise solutions, infrastructure management services, testing, digital solutions, and platform-based solutions. It operates in five segments: Banking, Financial Services &amp; Insurance; Technology, Media &amp; Communication; Manufacturing &amp; Resources; Consumer Business; and Healthcare, Life sciences &amp; Public Services. It offers services in cloud and infrastructure training, consulting, cybersecurity, data and insights, digital engineering, disruptive software-as-a-service (D-SaaS), platform operations, and quality engineering. Its products and platforms include Fosfor, LTIMindtree Canvas, LTIMindtree Infinity, iNXT, Canvas.ai, Voicing.AI, CloudXperienz, Unitrax, REDaxis, Advanced Smart City Operating Platform, and MELD.</v>
    <v>86447</v>
    <v>National Stock Exchange of India</v>
    <v>XNSE</v>
    <v>XNSE</v>
    <v>L&amp;T Technology Center, Gate No.5, Saki Vihar Road,, Powai, Mumbai 400 072, MUMBAI, MAHARASHTRA, 400072 IN</v>
    <v>5695</v>
    <v>Software &amp; IT Services</v>
    <v>Stock</v>
    <v>45971.4375</v>
    <v>17</v>
    <v>5575</v>
    <v>1650588000000</v>
    <v>LTIMINDTREE LIMITED</v>
    <v>LTIMINDTREE LIMITED</v>
    <v>5575</v>
    <v>34.376800000000003</v>
    <v>5567.5</v>
    <v>5650</v>
    <v>296468400</v>
    <v>LTIM</v>
    <v>LTIMINDTREE LIMITED (XNSE:LTIM)</v>
    <v>139341</v>
    <v>201000</v>
    <v>1996</v>
  </rv>
  <rv s="3">
    <v>18</v>
  </rv>
  <rv s="4">
    <v>en-IN</v>
    <v>avcpf2</v>
    <v>268435456</v>
    <v>1</v>
    <v>Powered by Refinitiv</v>
    <v>5</v>
    <v>INR/USD</v>
    <v>6</v>
    <v>7</v>
    <v>Finance</v>
    <v>8</v>
    <v>1.1939999999999999E-2</v>
    <v>1.124E-2</v>
    <v>-6.0000000000000002E-6</v>
    <v>-5.3220000000000003E-4</v>
    <v>USD</v>
    <v>INR</v>
    <v>1.128E-2</v>
    <v>Currency Pair</v>
    <v>45971.467719907407</v>
    <v>1.1270000000000001E-2</v>
    <v>Indian Rupee/US Dollar FX Cross Rate</v>
    <v>1.128E-2</v>
    <v>1.128E-2</v>
    <v>1.1270000000000001E-2</v>
    <v>INRUSD</v>
    <v>INR/USD</v>
  </rv>
  <rv s="3">
    <v>20</v>
  </rv>
</rvData>
</file>

<file path=xl/richData/rdrichvaluestructure.xml><?xml version="1.0" encoding="utf-8"?>
<rvStructures xmlns="http://schemas.microsoft.com/office/spreadsheetml/2017/richdata" count="5">
  <s t="_localImage">
    <k n="_rvRel:LocalImageIdentifier" t="i"/>
    <k n="CalcOrigin" t="i"/>
  </s>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From currency" t="s"/>
    <k n="High"/>
    <k n="Instrument type" t="s"/>
    <k n="Last trade time"/>
    <k n="Low"/>
    <k n="Name" t="s"/>
    <k n="Open"/>
    <k n="Previous close"/>
    <k n="Price"/>
    <k n="Ticker symbol" t="s"/>
    <k n="UniqueName" t="s"/>
  </s>
</rvStructures>
</file>

<file path=xl/richData/rdsupportingpropertybag.xml><?xml version="1.0" encoding="utf-8"?>
<supportingPropertyBags xmlns="http://schemas.microsoft.com/office/spreadsheetml/2017/richdata2">
  <spbArrays count="2">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27">
      <v t="s">%EntityServiceId</v>
      <v t="s">_Format</v>
      <v t="s">%IsRefreshable</v>
      <v t="s">%EntityCulture</v>
      <v t="s">%EntityId</v>
      <v t="s">_Icon</v>
      <v t="s">_Display</v>
      <v t="s">Name</v>
      <v t="s">Price</v>
      <v t="s">_SubLabel</v>
      <v t="s">Last trade time</v>
      <v t="s">Ticker symbol</v>
      <v t="s">Change</v>
      <v t="s">Change (%)</v>
      <v t="s">Currency</v>
      <v t="s">From currency</v>
      <v t="s">Previous close</v>
      <v t="s">Open</v>
      <v t="s">High</v>
      <v t="s">Low</v>
      <v t="s">52 week high</v>
      <v t="s">52 week low</v>
      <v t="s">Instrument type</v>
      <v t="s">_Flags</v>
      <v t="s">UniqueName</v>
      <v t="s">_DisplayString</v>
      <v t="s">%ProviderInfo</v>
    </a>
  </spbArrays>
  <spbData count="9">
    <spb s="0">
      <v>0</v>
      <v>Name</v>
      <v>LearnMoreOnLink</v>
    </spb>
    <spb s="1">
      <v>0</v>
      <v>0</v>
      <v>0</v>
    </spb>
    <spb s="2">
      <v>1</v>
      <v>1</v>
      <v>1</v>
      <v>1</v>
    </spb>
    <spb s="3">
      <v>1</v>
      <v>2</v>
      <v>2</v>
      <v>1</v>
      <v>3</v>
      <v>1</v>
      <v>1</v>
      <v>1</v>
      <v>4</v>
      <v>4</v>
      <v>5</v>
      <v>6</v>
      <v>1</v>
      <v>1</v>
      <v>1</v>
      <v>4</v>
      <v>7</v>
      <v>8</v>
      <v>9</v>
      <v>4</v>
    </spb>
    <spb s="4">
      <v>Delayed 5 minutes</v>
      <v>from previous close</v>
      <v>from previous close</v>
      <v>GMT</v>
    </spb>
    <spb s="5">
      <v>1</v>
      <v>Name</v>
    </spb>
    <spb s="6">
      <v>1</v>
      <v>1</v>
    </spb>
    <spb s="7">
      <v>10</v>
      <v>10</v>
      <v>3</v>
      <v>10</v>
      <v>10</v>
      <v>10</v>
      <v>5</v>
      <v>10</v>
      <v>10</v>
      <v>10</v>
      <v>7</v>
      <v>9</v>
    </spb>
    <spb s="8">
      <v>GMT</v>
    </spb>
  </spbData>
</supportingPropertyBags>
</file>

<file path=xl/richData/rdsupportingpropertybagstructure.xml><?xml version="1.0" encoding="utf-8"?>
<spbStructures xmlns="http://schemas.microsoft.com/office/spreadsheetml/2017/richdata2" count="9">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Order" t="spba"/>
    <k n="TitleProperty" t="s"/>
  </s>
  <s>
    <k n="UniqueName" t="spb"/>
    <k n="`%ProviderInfo" t="spb"/>
  </s>
  <s>
    <k n="Low" t="i"/>
    <k n="High" t="i"/>
    <k n="Name" t="i"/>
    <k n="Open" t="i"/>
    <k n="Price" t="i"/>
    <k n="Change" t="i"/>
    <k n="Change (%)" t="i"/>
    <k n="52 week low" t="i"/>
    <k n="52 week high" t="i"/>
    <k n="Previous close" t="i"/>
    <k n="Last trade time" t="i"/>
    <k n="`%EntityServiceId" t="i"/>
  </s>
  <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yyyy/mm/dd\ h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 xml:space="preserve">_ [$₹-en-IN] * #,##0.00_ ;_ [$₹-en-IN] * -#,##0.00_ ;_ [$₹-en-IN] * "-"??_ ;_ @_ </rpv>
    </rSty>
    <rSty dxfid="5">
      <rpv i="0">#,##0.00</rpv>
    </rSty>
    <rSty>
      <rpv i="1">1</rpv>
    </rSty>
    <rSty dxfid="4">
      <rpv i="0">#,##0</rpv>
    </rSty>
    <rSty dxfid="3"/>
    <rSty dxfid="1">
      <rpv i="0" xml:space="preserve">_ [$₹-en-IN] * #,##0_ ;_ [$₹-en-IN] * -#,##0_ ;_ [$₹-en-IN] * "-"_ ;_ @_ </rpv>
    </rSty>
    <rSty dxfid="2"/>
    <rSty dxfid="6">
      <rpv i="0">0</rpv>
    </rSty>
    <rSty dxfid="0">
      <rpv i="0">0.00</rpv>
    </rSty>
    <rSty dxfid="1">
      <rpv i="0">_([$$-en-US]* #,##0.00_);_([$$-en-US]* (#,##0.00);_([$$-en-US]* "-"??_);_(@_)</rpv>
    </rSty>
  </richStyles>
</richStyleSheet>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02604-8DC1-4FEB-9D5A-BFE6BD762F0B}">
  <dimension ref="A1:F18"/>
  <sheetViews>
    <sheetView topLeftCell="A2" zoomScale="96" zoomScaleNormal="70" workbookViewId="0">
      <selection activeCell="C21" sqref="C21"/>
    </sheetView>
  </sheetViews>
  <sheetFormatPr defaultRowHeight="15.6" x14ac:dyDescent="0.3"/>
  <cols>
    <col min="1" max="1" width="19.21875" style="20" bestFit="1" customWidth="1"/>
    <col min="2" max="6" width="34.44140625" style="19" customWidth="1"/>
    <col min="7" max="16384" width="8.88671875" style="19"/>
  </cols>
  <sheetData>
    <row r="1" spans="1:6" ht="62.4" customHeight="1" x14ac:dyDescent="0.3">
      <c r="A1" s="245" t="s">
        <v>117</v>
      </c>
      <c r="B1" s="246"/>
      <c r="C1" s="246"/>
      <c r="D1" s="246"/>
      <c r="E1" s="246"/>
      <c r="F1" s="247"/>
    </row>
    <row r="2" spans="1:6" ht="46.8" customHeight="1" thickBot="1" x14ac:dyDescent="0.35">
      <c r="A2" s="31" t="s">
        <v>100</v>
      </c>
      <c r="B2" s="22" t="e" vm="1">
        <v>#VALUE!</v>
      </c>
      <c r="C2" s="22" t="e" vm="2">
        <v>#VALUE!</v>
      </c>
      <c r="D2" s="22" t="e" vm="3">
        <v>#VALUE!</v>
      </c>
      <c r="E2" s="22" t="e" vm="4">
        <v>#VALUE!</v>
      </c>
      <c r="F2" s="32" t="e" vm="5">
        <v>#VALUE!</v>
      </c>
    </row>
    <row r="3" spans="1:6" x14ac:dyDescent="0.3">
      <c r="A3" s="52" t="s">
        <v>101</v>
      </c>
      <c r="B3" s="43" t="s">
        <v>110</v>
      </c>
      <c r="C3" s="23" t="s">
        <v>111</v>
      </c>
      <c r="D3" s="23" t="s">
        <v>112</v>
      </c>
      <c r="E3" s="23" t="s">
        <v>113</v>
      </c>
      <c r="F3" s="33" t="s">
        <v>114</v>
      </c>
    </row>
    <row r="4" spans="1:6" s="21" customFormat="1" ht="30" customHeight="1" x14ac:dyDescent="0.3">
      <c r="A4" s="53" t="s">
        <v>102</v>
      </c>
      <c r="B4" s="44" t="e" vm="6">
        <v>#VALUE!</v>
      </c>
      <c r="C4" s="24" t="e" vm="7">
        <v>#VALUE!</v>
      </c>
      <c r="D4" s="24" t="e" vm="8">
        <v>#VALUE!</v>
      </c>
      <c r="E4" s="24" t="e" vm="9">
        <v>#VALUE!</v>
      </c>
      <c r="F4" s="34" t="e" vm="10">
        <v>#VALUE!</v>
      </c>
    </row>
    <row r="5" spans="1:6" x14ac:dyDescent="0.3">
      <c r="A5" s="54" t="s">
        <v>103</v>
      </c>
      <c r="B5" s="43" t="str" cm="1">
        <f t="array" aca="1" ref="B5" ca="1">_FV(B4,"Ticker symbol",TRUE)</f>
        <v>TCS</v>
      </c>
      <c r="C5" s="23" t="str" cm="1">
        <f t="array" aca="1" ref="C5" ca="1">_FV(C4,"Ticker symbol",TRUE)</f>
        <v>INFY</v>
      </c>
      <c r="D5" s="23" t="str" cm="1">
        <f t="array" aca="1" ref="D5" ca="1">_FV(D4,"Ticker symbol",TRUE)</f>
        <v>HCLTECH</v>
      </c>
      <c r="E5" s="23" t="str" cm="1">
        <f t="array" aca="1" ref="E5" ca="1">_FV(E4,"Ticker symbol",TRUE)</f>
        <v>WIPRO</v>
      </c>
      <c r="F5" s="33" t="str" cm="1">
        <f t="array" aca="1" ref="F5" ca="1">_FV(F4,"Ticker symbol",TRUE)</f>
        <v>LTIM</v>
      </c>
    </row>
    <row r="6" spans="1:6" x14ac:dyDescent="0.3">
      <c r="A6" s="54" t="s">
        <v>104</v>
      </c>
      <c r="B6" s="43" t="str" cm="1">
        <f t="array" aca="1" ref="B6" ca="1">_FV(B4,"Industry")</f>
        <v>Software &amp; IT Services</v>
      </c>
      <c r="C6" s="23" t="str" cm="1">
        <f t="array" aca="1" ref="C6" ca="1">_FV(C4,"Industry")</f>
        <v>Software &amp; IT Services</v>
      </c>
      <c r="D6" s="23" t="str" cm="1">
        <f t="array" aca="1" ref="D6" ca="1">_FV(D4,"Industry")</f>
        <v>Software &amp; IT Services</v>
      </c>
      <c r="E6" s="23" t="str" cm="1">
        <f t="array" aca="1" ref="E6" ca="1">_FV(E4,"Industry")</f>
        <v>Software &amp; IT Services</v>
      </c>
      <c r="F6" s="33" t="str" cm="1">
        <f t="array" aca="1" ref="F6" ca="1">_FV(F4,"Industry")</f>
        <v>Software &amp; IT Services</v>
      </c>
    </row>
    <row r="7" spans="1:6" x14ac:dyDescent="0.3">
      <c r="A7" s="54" t="s">
        <v>367</v>
      </c>
      <c r="B7" s="46" cm="1">
        <f t="array" aca="1" ref="B7" ca="1">_FV(B4,"Employees")</f>
        <v>613069</v>
      </c>
      <c r="C7" s="46" cm="1">
        <f t="array" aca="1" ref="C7" ca="1">_FV(C4,"Employees")</f>
        <v>331991</v>
      </c>
      <c r="D7" s="46" cm="1">
        <f t="array" aca="1" ref="D7" ca="1">_FV(D4,"Employees")</f>
        <v>226640</v>
      </c>
      <c r="E7" s="46" cm="1">
        <f t="array" aca="1" ref="E7" ca="1">_FV(E4,"Employees")</f>
        <v>235492</v>
      </c>
      <c r="F7" s="46" cm="1">
        <f t="array" aca="1" ref="F7" ca="1">_FV(F4,"Employees")</f>
        <v>86447</v>
      </c>
    </row>
    <row r="8" spans="1:6" x14ac:dyDescent="0.3">
      <c r="A8" s="54" t="s">
        <v>386</v>
      </c>
      <c r="B8" s="90">
        <v>6.13E-2</v>
      </c>
      <c r="C8" s="90">
        <v>3.2357799999999999E-2</v>
      </c>
      <c r="D8" s="90">
        <v>2.1862099999999999E-2</v>
      </c>
      <c r="E8" s="90">
        <v>2.3E-2</v>
      </c>
      <c r="F8" s="91">
        <v>8.3888999999999995E-3</v>
      </c>
    </row>
    <row r="9" spans="1:6" x14ac:dyDescent="0.3">
      <c r="A9" s="54" t="s">
        <v>105</v>
      </c>
      <c r="B9" s="45" cm="1">
        <f t="array" aca="1" ref="B9" ca="1">_FV(B4,"Price")</f>
        <v>3025.2</v>
      </c>
      <c r="C9" s="25" cm="1">
        <f t="array" aca="1" ref="C9" ca="1">_FV(C4,"Price")</f>
        <v>1513.5</v>
      </c>
      <c r="D9" s="25" cm="1">
        <f t="array" aca="1" ref="D9" ca="1">_FV(D4,"Price")</f>
        <v>1540.5</v>
      </c>
      <c r="E9" s="25" cm="1">
        <f t="array" aca="1" ref="E9" ca="1">_FV(E4,"Price")</f>
        <v>239.84</v>
      </c>
      <c r="F9" s="35" cm="1">
        <f t="array" aca="1" ref="F9" ca="1">_FV(F4,"Price")</f>
        <v>5650</v>
      </c>
    </row>
    <row r="10" spans="1:6" x14ac:dyDescent="0.3">
      <c r="A10" s="54" t="s">
        <v>106</v>
      </c>
      <c r="B10" s="46" cm="1">
        <f t="array" aca="1" ref="B10" ca="1">_FV(B4,"Shares outstanding",TRUE)</f>
        <v>3618087000</v>
      </c>
      <c r="C10" s="26" cm="1">
        <f t="array" aca="1" ref="C10" ca="1">_FV(C4,"Shares outstanding",TRUE)</f>
        <v>4145310000</v>
      </c>
      <c r="D10" s="26" cm="1">
        <f t="array" aca="1" ref="D10" ca="1">_FV(D4,"Shares outstanding",TRUE)</f>
        <v>2705510000</v>
      </c>
      <c r="E10" s="26" cm="1">
        <f t="array" aca="1" ref="E10" ca="1">_FV(E4,"Shares outstanding",TRUE)</f>
        <v>10472250000</v>
      </c>
      <c r="F10" s="36" cm="1">
        <f t="array" aca="1" ref="F10" ca="1">_FV(F4,"Shares outstanding",TRUE)</f>
        <v>296468400</v>
      </c>
    </row>
    <row r="11" spans="1:6" x14ac:dyDescent="0.3">
      <c r="A11" s="54" t="s">
        <v>385</v>
      </c>
      <c r="B11" s="70">
        <v>361.81</v>
      </c>
      <c r="C11" s="71">
        <v>414.46</v>
      </c>
      <c r="D11" s="71">
        <v>270.89</v>
      </c>
      <c r="E11" s="71">
        <v>1047.087</v>
      </c>
      <c r="F11" s="72">
        <v>29.632999999999999</v>
      </c>
    </row>
    <row r="12" spans="1:6" x14ac:dyDescent="0.3">
      <c r="A12" s="54" t="s">
        <v>116</v>
      </c>
      <c r="B12" s="47" cm="1">
        <f t="array" aca="1" ref="B12" ca="1">_FV(B4,"Market cap",TRUE)</f>
        <v>10824590000000</v>
      </c>
      <c r="C12" s="27" cm="1">
        <f t="array" aca="1" ref="C12" ca="1">_FV(C4,"Market cap",TRUE)</f>
        <v>6121794000000</v>
      </c>
      <c r="D12" s="27" cm="1">
        <f t="array" aca="1" ref="D12" ca="1">_FV(D4,"Market cap",TRUE)</f>
        <v>4091814000000</v>
      </c>
      <c r="E12" s="27" cm="1">
        <f t="array" aca="1" ref="E12" ca="1">_FV(E4,"Market cap",TRUE)</f>
        <v>2476583000000</v>
      </c>
      <c r="F12" s="37" cm="1">
        <f t="array" aca="1" ref="F12" ca="1">_FV(F4,"Market cap",TRUE)</f>
        <v>1650588000000</v>
      </c>
    </row>
    <row r="13" spans="1:6" x14ac:dyDescent="0.3">
      <c r="A13" s="54" t="s">
        <v>386</v>
      </c>
      <c r="B13" s="70">
        <f ca="1">B12/10000000</f>
        <v>1082459</v>
      </c>
      <c r="C13" s="70">
        <f t="shared" ref="C13:F13" ca="1" si="0">C12/10000000</f>
        <v>612179.4</v>
      </c>
      <c r="D13" s="70">
        <f t="shared" ca="1" si="0"/>
        <v>409181.4</v>
      </c>
      <c r="E13" s="70">
        <f t="shared" ca="1" si="0"/>
        <v>247658.3</v>
      </c>
      <c r="F13" s="70">
        <f t="shared" ca="1" si="0"/>
        <v>165058.79999999999</v>
      </c>
    </row>
    <row r="14" spans="1:6" x14ac:dyDescent="0.3">
      <c r="A14" s="248" t="s">
        <v>115</v>
      </c>
      <c r="B14" s="47" t="e" vm="11">
        <v>#VALUE!</v>
      </c>
      <c r="C14" s="27" t="e" vm="11">
        <v>#VALUE!</v>
      </c>
      <c r="D14" s="27" t="e" vm="11">
        <v>#VALUE!</v>
      </c>
      <c r="E14" s="27" t="e" vm="11">
        <v>#VALUE!</v>
      </c>
      <c r="F14" s="37" t="e" vm="11">
        <v>#VALUE!</v>
      </c>
    </row>
    <row r="15" spans="1:6" x14ac:dyDescent="0.3">
      <c r="A15" s="248"/>
      <c r="B15" s="48" cm="1">
        <f t="array" aca="1" ref="B15" ca="1">_FV(B14,"Price")</f>
        <v>1.1270000000000001E-2</v>
      </c>
      <c r="C15" s="28" cm="1">
        <f t="array" aca="1" ref="C15" ca="1">_FV(C14,"Price")</f>
        <v>1.1270000000000001E-2</v>
      </c>
      <c r="D15" s="28" cm="1">
        <f t="array" aca="1" ref="D15" ca="1">_FV(D14,"Price")</f>
        <v>1.1270000000000001E-2</v>
      </c>
      <c r="E15" s="28" cm="1">
        <f t="array" aca="1" ref="E15" ca="1">_FV(E14,"Price")</f>
        <v>1.1270000000000001E-2</v>
      </c>
      <c r="F15" s="38" cm="1">
        <f t="array" aca="1" ref="F15" ca="1">_FV(F14,"Price")</f>
        <v>1.1270000000000001E-2</v>
      </c>
    </row>
    <row r="16" spans="1:6" x14ac:dyDescent="0.3">
      <c r="A16" s="54" t="s">
        <v>107</v>
      </c>
      <c r="B16" s="49">
        <f ca="1">B12*B15</f>
        <v>121993129300</v>
      </c>
      <c r="C16" s="29">
        <f t="shared" ref="C16:F16" ca="1" si="1">C12*C15</f>
        <v>68992618380</v>
      </c>
      <c r="D16" s="29">
        <f t="shared" ca="1" si="1"/>
        <v>46114743780</v>
      </c>
      <c r="E16" s="29">
        <f t="shared" ca="1" si="1"/>
        <v>27911090410</v>
      </c>
      <c r="F16" s="39">
        <f t="shared" ca="1" si="1"/>
        <v>18602126760</v>
      </c>
    </row>
    <row r="17" spans="1:6" x14ac:dyDescent="0.3">
      <c r="A17" s="54" t="s">
        <v>108</v>
      </c>
      <c r="B17" s="50" cm="1">
        <f t="array" aca="1" ref="B17" ca="1">_FV(B4,"Beta")</f>
        <v>0.94289999999999996</v>
      </c>
      <c r="C17" s="30" cm="1">
        <f t="array" aca="1" ref="C17" ca="1">_FV(C4,"Beta")</f>
        <v>0.89990000000000003</v>
      </c>
      <c r="D17" s="30" cm="1">
        <f t="array" aca="1" ref="D17" ca="1">_FV(D4,"Beta")</f>
        <v>1.0407999999999999</v>
      </c>
      <c r="E17" s="30" cm="1">
        <f t="array" aca="1" ref="E17" ca="1">_FV(E4,"Beta")</f>
        <v>0.86839999999999995</v>
      </c>
      <c r="F17" s="40" cm="1">
        <f t="array" aca="1" ref="F17" ca="1">_FV(F4,"Beta")</f>
        <v>1.3531</v>
      </c>
    </row>
    <row r="18" spans="1:6" ht="16.2" thickBot="1" x14ac:dyDescent="0.35">
      <c r="A18" s="55" t="s">
        <v>109</v>
      </c>
      <c r="B18" s="51" cm="1">
        <f t="array" aca="1" ref="B18" ca="1">_FV(B4,"Change (%)",TRUE)</f>
        <v>1.1164E-2</v>
      </c>
      <c r="C18" s="41" cm="1">
        <f t="array" aca="1" ref="C18" ca="1">_FV(C4,"Change (%)",TRUE)</f>
        <v>2.4851000000000002E-2</v>
      </c>
      <c r="D18" s="41" cm="1">
        <f t="array" aca="1" ref="D18" ca="1">_FV(D4,"Change (%)",TRUE)</f>
        <v>1.8579999999999999E-2</v>
      </c>
      <c r="E18" s="41" cm="1">
        <f t="array" aca="1" ref="E18" ca="1">_FV(E4,"Change (%)",TRUE)</f>
        <v>1.4166000000000002E-2</v>
      </c>
      <c r="F18" s="42" cm="1">
        <f t="array" aca="1" ref="F18" ca="1">_FV(F4,"Change (%)",TRUE)</f>
        <v>1.4818E-2</v>
      </c>
    </row>
  </sheetData>
  <mergeCells count="2">
    <mergeCell ref="A1:F1"/>
    <mergeCell ref="A14:A15"/>
  </mergeCells>
  <conditionalFormatting sqref="B18:F18">
    <cfRule type="cellIs" dxfId="35" priority="1" operator="lessThan">
      <formula>0</formula>
    </cfRule>
    <cfRule type="cellIs" dxfId="34" priority="2" operator="greaterThan">
      <formula>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14"/>
  <sheetViews>
    <sheetView topLeftCell="V46" workbookViewId="0">
      <selection activeCell="AD66" sqref="AD66"/>
    </sheetView>
  </sheetViews>
  <sheetFormatPr defaultRowHeight="14.4" x14ac:dyDescent="0.3"/>
  <cols>
    <col min="1" max="1" width="27.33203125" style="1" bestFit="1" customWidth="1"/>
    <col min="2" max="6" width="11" style="1" bestFit="1" customWidth="1"/>
    <col min="7" max="7" width="11" style="1" customWidth="1"/>
    <col min="8" max="8" width="26" style="1" bestFit="1" customWidth="1"/>
    <col min="9" max="9" width="10" style="1" bestFit="1" customWidth="1"/>
    <col min="10" max="13" width="11" style="1" bestFit="1" customWidth="1"/>
    <col min="14" max="14" width="8.88671875" style="1"/>
    <col min="15" max="15" width="26" style="1" customWidth="1"/>
    <col min="16" max="20" width="9.88671875" style="1" customWidth="1"/>
    <col min="21" max="21" width="8.88671875" style="1"/>
    <col min="22" max="22" width="26" style="1" customWidth="1"/>
    <col min="23" max="24" width="9.88671875" style="1" customWidth="1"/>
    <col min="25" max="27" width="11" style="1" bestFit="1" customWidth="1"/>
    <col min="28" max="28" width="8.88671875" style="1"/>
    <col min="29" max="29" width="31.21875" style="1" bestFit="1" customWidth="1"/>
    <col min="30" max="34" width="9.88671875" style="1" customWidth="1"/>
    <col min="35" max="16384" width="8.88671875" style="1"/>
  </cols>
  <sheetData>
    <row r="1" spans="1:34" ht="42.6" customHeight="1" x14ac:dyDescent="0.3">
      <c r="A1" s="250" t="s">
        <v>0</v>
      </c>
      <c r="B1" s="250"/>
      <c r="C1" s="250"/>
      <c r="D1" s="250"/>
      <c r="E1" s="251" t="e" vm="1">
        <v>#VALUE!</v>
      </c>
      <c r="F1" s="251"/>
      <c r="G1" s="16"/>
      <c r="H1" s="250" t="s">
        <v>0</v>
      </c>
      <c r="I1" s="250"/>
      <c r="J1" s="250"/>
      <c r="K1" s="250"/>
      <c r="L1" s="252" t="e" vm="2">
        <v>#VALUE!</v>
      </c>
      <c r="M1" s="252"/>
      <c r="O1" s="250" t="s">
        <v>0</v>
      </c>
      <c r="P1" s="250"/>
      <c r="Q1" s="250"/>
      <c r="R1" s="250"/>
      <c r="S1" s="252" t="e" vm="3">
        <v>#VALUE!</v>
      </c>
      <c r="T1" s="252"/>
      <c r="V1" s="250" t="s">
        <v>0</v>
      </c>
      <c r="W1" s="250"/>
      <c r="X1" s="250"/>
      <c r="Y1" s="250"/>
      <c r="Z1" s="252" t="e" vm="4">
        <v>#VALUE!</v>
      </c>
      <c r="AA1" s="252"/>
      <c r="AC1" s="250" t="s">
        <v>0</v>
      </c>
      <c r="AD1" s="250"/>
      <c r="AE1" s="250"/>
      <c r="AF1" s="250"/>
      <c r="AG1" s="252" t="e" vm="5">
        <v>#VALUE!</v>
      </c>
      <c r="AH1" s="252"/>
    </row>
    <row r="2" spans="1:34" x14ac:dyDescent="0.3">
      <c r="A2" s="3" t="s">
        <v>1</v>
      </c>
      <c r="B2" s="3">
        <v>2020</v>
      </c>
      <c r="C2" s="3">
        <v>2021</v>
      </c>
      <c r="D2" s="3">
        <v>2022</v>
      </c>
      <c r="E2" s="3">
        <v>2023</v>
      </c>
      <c r="F2" s="3">
        <v>2024</v>
      </c>
      <c r="G2" s="14"/>
      <c r="H2" s="3" t="s">
        <v>1</v>
      </c>
      <c r="I2" s="3">
        <v>2020</v>
      </c>
      <c r="J2" s="3">
        <v>2021</v>
      </c>
      <c r="K2" s="3">
        <v>2022</v>
      </c>
      <c r="L2" s="3">
        <v>2023</v>
      </c>
      <c r="M2" s="3">
        <v>2024</v>
      </c>
      <c r="O2" s="3" t="s">
        <v>1</v>
      </c>
      <c r="P2" s="3">
        <v>2020</v>
      </c>
      <c r="Q2" s="3">
        <v>2021</v>
      </c>
      <c r="R2" s="3">
        <v>2022</v>
      </c>
      <c r="S2" s="3">
        <v>2023</v>
      </c>
      <c r="T2" s="3">
        <v>2024</v>
      </c>
      <c r="V2" s="3" t="s">
        <v>1</v>
      </c>
      <c r="W2" s="3">
        <v>2020</v>
      </c>
      <c r="X2" s="3">
        <v>2021</v>
      </c>
      <c r="Y2" s="3">
        <v>2022</v>
      </c>
      <c r="Z2" s="3">
        <v>2023</v>
      </c>
      <c r="AA2" s="3">
        <v>2024</v>
      </c>
      <c r="AC2" s="3" t="s">
        <v>1</v>
      </c>
      <c r="AD2" s="3">
        <v>2020</v>
      </c>
      <c r="AE2" s="3">
        <v>2021</v>
      </c>
      <c r="AF2" s="3">
        <v>2022</v>
      </c>
      <c r="AG2" s="3">
        <v>2023</v>
      </c>
      <c r="AH2" s="3">
        <v>2024</v>
      </c>
    </row>
    <row r="3" spans="1:34" x14ac:dyDescent="0.3">
      <c r="A3" s="249" t="s">
        <v>2</v>
      </c>
      <c r="B3" s="249"/>
      <c r="C3" s="249"/>
      <c r="D3" s="249"/>
      <c r="E3" s="249"/>
      <c r="F3" s="249"/>
      <c r="G3" s="15"/>
      <c r="H3" s="249" t="s">
        <v>2</v>
      </c>
      <c r="I3" s="249"/>
      <c r="J3" s="249"/>
      <c r="K3" s="249"/>
      <c r="L3" s="249"/>
      <c r="M3" s="249"/>
      <c r="O3" s="249" t="s">
        <v>2</v>
      </c>
      <c r="P3" s="249"/>
      <c r="Q3" s="249"/>
      <c r="R3" s="249"/>
      <c r="S3" s="249"/>
      <c r="T3" s="249"/>
      <c r="V3" s="249" t="s">
        <v>2</v>
      </c>
      <c r="W3" s="249"/>
      <c r="X3" s="249"/>
      <c r="Y3" s="249"/>
      <c r="Z3" s="249"/>
      <c r="AA3" s="249"/>
      <c r="AC3" s="249" t="s">
        <v>2</v>
      </c>
      <c r="AD3" s="249"/>
      <c r="AE3" s="249"/>
      <c r="AF3" s="249"/>
      <c r="AG3" s="249"/>
      <c r="AH3" s="249"/>
    </row>
    <row r="4" spans="1:34" x14ac:dyDescent="0.3">
      <c r="A4" s="249" t="s">
        <v>3</v>
      </c>
      <c r="B4" s="249"/>
      <c r="C4" s="249"/>
      <c r="D4" s="249"/>
      <c r="E4" s="249"/>
      <c r="F4" s="249"/>
      <c r="G4" s="15"/>
      <c r="H4" s="249" t="s">
        <v>48</v>
      </c>
      <c r="I4" s="249"/>
      <c r="J4" s="249"/>
      <c r="K4" s="249"/>
      <c r="L4" s="249"/>
      <c r="M4" s="249"/>
      <c r="O4" s="249" t="s">
        <v>48</v>
      </c>
      <c r="P4" s="249"/>
      <c r="Q4" s="249"/>
      <c r="R4" s="249"/>
      <c r="S4" s="249"/>
      <c r="T4" s="249"/>
      <c r="V4" s="249" t="s">
        <v>48</v>
      </c>
      <c r="W4" s="249"/>
      <c r="X4" s="249"/>
      <c r="Y4" s="249"/>
      <c r="Z4" s="249"/>
      <c r="AA4" s="249"/>
      <c r="AC4" s="249" t="s">
        <v>48</v>
      </c>
      <c r="AD4" s="249"/>
      <c r="AE4" s="249"/>
      <c r="AF4" s="249"/>
      <c r="AG4" s="249"/>
      <c r="AH4" s="249"/>
    </row>
    <row r="5" spans="1:34" x14ac:dyDescent="0.3">
      <c r="A5" s="4" t="s">
        <v>4</v>
      </c>
      <c r="B5" s="5">
        <v>10941</v>
      </c>
      <c r="C5" s="5">
        <v>11110</v>
      </c>
      <c r="D5" s="5">
        <v>10774</v>
      </c>
      <c r="E5" s="5">
        <v>10230</v>
      </c>
      <c r="F5" s="5">
        <v>9376</v>
      </c>
      <c r="G5" s="11"/>
      <c r="H5" s="4" t="s">
        <v>4</v>
      </c>
      <c r="I5" s="5">
        <v>12435</v>
      </c>
      <c r="J5" s="5">
        <v>12560</v>
      </c>
      <c r="K5" s="5">
        <v>13075</v>
      </c>
      <c r="L5" s="5">
        <v>13346</v>
      </c>
      <c r="M5" s="5">
        <v>12370</v>
      </c>
      <c r="O5" s="4" t="s">
        <v>4</v>
      </c>
      <c r="P5" s="5">
        <v>5494</v>
      </c>
      <c r="Q5" s="5">
        <v>5642</v>
      </c>
      <c r="R5" s="5">
        <v>5612</v>
      </c>
      <c r="S5" s="5">
        <v>5371</v>
      </c>
      <c r="T5" s="5">
        <v>4891</v>
      </c>
      <c r="V5" s="4" t="s">
        <v>4</v>
      </c>
      <c r="W5" s="5">
        <v>6061.7</v>
      </c>
      <c r="X5" s="5">
        <v>6575.1</v>
      </c>
      <c r="Y5" s="5">
        <v>7461</v>
      </c>
      <c r="Z5" s="5">
        <v>8233.6</v>
      </c>
      <c r="AA5" s="5">
        <v>7412.8</v>
      </c>
      <c r="AC5" s="4" t="s">
        <v>4</v>
      </c>
      <c r="AD5" s="5">
        <v>403.1</v>
      </c>
      <c r="AE5" s="5">
        <v>385.7</v>
      </c>
      <c r="AF5" s="5">
        <v>918.3</v>
      </c>
      <c r="AG5" s="5">
        <v>969.7</v>
      </c>
      <c r="AH5" s="5">
        <v>1655.5</v>
      </c>
    </row>
    <row r="6" spans="1:34" x14ac:dyDescent="0.3">
      <c r="A6" s="4" t="s">
        <v>5</v>
      </c>
      <c r="B6" s="5">
        <v>906</v>
      </c>
      <c r="C6" s="5">
        <v>926</v>
      </c>
      <c r="D6" s="5">
        <v>1205</v>
      </c>
      <c r="E6" s="5">
        <v>1234</v>
      </c>
      <c r="F6" s="5">
        <v>1564</v>
      </c>
      <c r="G6" s="11"/>
      <c r="H6" s="4" t="s">
        <v>6</v>
      </c>
      <c r="I6" s="5">
        <v>4168</v>
      </c>
      <c r="J6" s="5">
        <v>4794</v>
      </c>
      <c r="K6" s="5">
        <v>4823</v>
      </c>
      <c r="L6" s="5">
        <v>6882</v>
      </c>
      <c r="M6" s="5">
        <v>6552</v>
      </c>
      <c r="O6" s="4" t="s">
        <v>49</v>
      </c>
      <c r="P6" s="5">
        <v>400</v>
      </c>
      <c r="Q6" s="5">
        <v>312</v>
      </c>
      <c r="R6" s="5">
        <v>129</v>
      </c>
      <c r="S6" s="5">
        <v>40</v>
      </c>
      <c r="T6" s="5">
        <v>108</v>
      </c>
      <c r="V6" s="4" t="s">
        <v>6</v>
      </c>
      <c r="W6" s="5">
        <v>1674.8</v>
      </c>
      <c r="X6" s="5">
        <v>1642</v>
      </c>
      <c r="Y6" s="5">
        <v>1887</v>
      </c>
      <c r="Z6" s="5">
        <v>1870.2</v>
      </c>
      <c r="AA6" s="5">
        <v>1795.5</v>
      </c>
      <c r="AC6" s="4" t="s">
        <v>92</v>
      </c>
      <c r="AD6" s="5">
        <v>769.2</v>
      </c>
      <c r="AE6" s="5">
        <v>622.1</v>
      </c>
      <c r="AF6" s="5">
        <v>1112.4000000000001</v>
      </c>
      <c r="AG6" s="5">
        <v>1253.9000000000001</v>
      </c>
      <c r="AH6" s="5">
        <v>1901.3</v>
      </c>
    </row>
    <row r="7" spans="1:34" x14ac:dyDescent="0.3">
      <c r="A7" s="4" t="s">
        <v>6</v>
      </c>
      <c r="B7" s="5">
        <v>7994</v>
      </c>
      <c r="C7" s="5">
        <v>7633</v>
      </c>
      <c r="D7" s="5">
        <v>7636</v>
      </c>
      <c r="E7" s="5">
        <v>7560</v>
      </c>
      <c r="F7" s="5">
        <v>7886</v>
      </c>
      <c r="G7" s="11"/>
      <c r="H7" s="4" t="s">
        <v>49</v>
      </c>
      <c r="I7" s="5">
        <v>954</v>
      </c>
      <c r="J7" s="5">
        <v>922</v>
      </c>
      <c r="K7" s="5">
        <v>416</v>
      </c>
      <c r="L7" s="5">
        <v>288</v>
      </c>
      <c r="M7" s="5">
        <v>293</v>
      </c>
      <c r="O7" s="4" t="s">
        <v>69</v>
      </c>
      <c r="P7" s="5">
        <v>2648</v>
      </c>
      <c r="Q7" s="5">
        <v>2410</v>
      </c>
      <c r="R7" s="5">
        <v>2305</v>
      </c>
      <c r="S7" s="5">
        <v>2337</v>
      </c>
      <c r="T7" s="5">
        <v>2910</v>
      </c>
      <c r="V7" s="4" t="s">
        <v>49</v>
      </c>
      <c r="W7" s="5">
        <v>1881.1</v>
      </c>
      <c r="X7" s="5">
        <v>1853.2</v>
      </c>
      <c r="Y7" s="5">
        <v>1601.5</v>
      </c>
      <c r="Z7" s="5">
        <v>617.1</v>
      </c>
      <c r="AA7" s="5">
        <v>723.4</v>
      </c>
      <c r="AC7" s="4" t="s">
        <v>49</v>
      </c>
      <c r="AD7" s="5">
        <v>38.200000000000003</v>
      </c>
      <c r="AE7" s="5">
        <v>40.299999999999997</v>
      </c>
      <c r="AF7" s="5">
        <v>458.9</v>
      </c>
      <c r="AG7" s="5">
        <v>812.6</v>
      </c>
      <c r="AH7" s="5">
        <v>466.9</v>
      </c>
    </row>
    <row r="8" spans="1:34" x14ac:dyDescent="0.3">
      <c r="A8" s="4" t="s">
        <v>7</v>
      </c>
      <c r="B8" s="5">
        <v>1710</v>
      </c>
      <c r="C8" s="5">
        <v>1798</v>
      </c>
      <c r="D8" s="5">
        <v>1787</v>
      </c>
      <c r="E8" s="5">
        <v>1858</v>
      </c>
      <c r="F8" s="5">
        <v>1832</v>
      </c>
      <c r="G8" s="11"/>
      <c r="H8" s="4" t="s">
        <v>7</v>
      </c>
      <c r="I8" s="5">
        <v>5286</v>
      </c>
      <c r="J8" s="5">
        <v>6079</v>
      </c>
      <c r="K8" s="5">
        <v>6195</v>
      </c>
      <c r="L8" s="5">
        <v>7248</v>
      </c>
      <c r="M8" s="5">
        <v>7303</v>
      </c>
      <c r="O8" s="4" t="s">
        <v>7</v>
      </c>
      <c r="P8" s="5">
        <v>16154</v>
      </c>
      <c r="Q8" s="5">
        <v>17192</v>
      </c>
      <c r="R8" s="5">
        <v>17417</v>
      </c>
      <c r="S8" s="5">
        <v>18567</v>
      </c>
      <c r="T8" s="5">
        <v>20132</v>
      </c>
      <c r="V8" s="4" t="s">
        <v>7</v>
      </c>
      <c r="W8" s="5">
        <v>12689.4</v>
      </c>
      <c r="X8" s="5">
        <v>13514.7</v>
      </c>
      <c r="Y8" s="5">
        <v>24286.1</v>
      </c>
      <c r="Z8" s="5">
        <v>30348.5</v>
      </c>
      <c r="AA8" s="5">
        <v>31144.9</v>
      </c>
      <c r="AC8" s="4" t="s">
        <v>7</v>
      </c>
      <c r="AD8" s="5">
        <v>636.79999999999995</v>
      </c>
      <c r="AE8" s="5">
        <v>657.4</v>
      </c>
      <c r="AF8" s="5">
        <v>1163.2</v>
      </c>
      <c r="AG8" s="5">
        <v>1189.2</v>
      </c>
      <c r="AH8" s="5">
        <v>1192.7</v>
      </c>
    </row>
    <row r="9" spans="1:34" x14ac:dyDescent="0.3">
      <c r="A9" s="4" t="s">
        <v>8</v>
      </c>
      <c r="B9" s="5">
        <v>283</v>
      </c>
      <c r="C9" s="5">
        <v>480</v>
      </c>
      <c r="D9" s="5">
        <v>1101</v>
      </c>
      <c r="E9" s="5">
        <v>867</v>
      </c>
      <c r="F9" s="5">
        <v>510</v>
      </c>
      <c r="G9" s="11"/>
      <c r="H9" s="4" t="s">
        <v>50</v>
      </c>
      <c r="I9" s="5">
        <v>1900</v>
      </c>
      <c r="J9" s="5">
        <v>2072</v>
      </c>
      <c r="K9" s="5">
        <v>1707</v>
      </c>
      <c r="L9" s="5">
        <v>1749</v>
      </c>
      <c r="M9" s="5">
        <v>1397</v>
      </c>
      <c r="O9" s="4" t="s">
        <v>50</v>
      </c>
      <c r="P9" s="5">
        <v>13194</v>
      </c>
      <c r="Q9" s="5">
        <v>11901</v>
      </c>
      <c r="R9" s="5">
        <v>9743</v>
      </c>
      <c r="S9" s="5">
        <v>8344</v>
      </c>
      <c r="T9" s="5">
        <v>7130</v>
      </c>
      <c r="V9" s="4" t="s">
        <v>50</v>
      </c>
      <c r="W9" s="5">
        <v>1636.2</v>
      </c>
      <c r="X9" s="5">
        <v>1308.5</v>
      </c>
      <c r="Y9" s="5">
        <v>4355.5</v>
      </c>
      <c r="Z9" s="5">
        <v>4304.5</v>
      </c>
      <c r="AA9" s="5">
        <v>3274.8</v>
      </c>
      <c r="AC9" s="4" t="s">
        <v>93</v>
      </c>
      <c r="AD9" s="5">
        <v>110.6</v>
      </c>
      <c r="AE9" s="5">
        <v>240.8</v>
      </c>
      <c r="AF9" s="5">
        <v>279</v>
      </c>
      <c r="AG9" s="5">
        <v>266.3</v>
      </c>
      <c r="AH9" s="5">
        <v>231.3</v>
      </c>
    </row>
    <row r="10" spans="1:34" ht="28.8" x14ac:dyDescent="0.3">
      <c r="A10" s="249" t="s">
        <v>9</v>
      </c>
      <c r="B10" s="249"/>
      <c r="C10" s="249"/>
      <c r="D10" s="249"/>
      <c r="E10" s="249"/>
      <c r="F10" s="249"/>
      <c r="G10" s="15"/>
      <c r="H10" s="249" t="s">
        <v>51</v>
      </c>
      <c r="I10" s="249"/>
      <c r="J10" s="249"/>
      <c r="K10" s="249"/>
      <c r="L10" s="249"/>
      <c r="M10" s="249"/>
      <c r="O10" s="249" t="s">
        <v>9</v>
      </c>
      <c r="P10" s="249"/>
      <c r="Q10" s="249"/>
      <c r="R10" s="249"/>
      <c r="S10" s="249"/>
      <c r="T10" s="249"/>
      <c r="V10" s="18" t="s">
        <v>82</v>
      </c>
      <c r="W10" s="5">
        <v>138.30000000000001</v>
      </c>
      <c r="X10" s="5">
        <v>146.4</v>
      </c>
      <c r="Y10" s="5">
        <v>77.400000000000006</v>
      </c>
      <c r="Z10" s="5">
        <v>78</v>
      </c>
      <c r="AA10" s="5">
        <v>104.4</v>
      </c>
      <c r="AC10" s="4" t="s">
        <v>94</v>
      </c>
      <c r="AD10" s="5">
        <v>21</v>
      </c>
      <c r="AE10" s="5">
        <v>25.9</v>
      </c>
      <c r="AF10" s="5">
        <v>43.9</v>
      </c>
      <c r="AG10" s="5">
        <v>89.7</v>
      </c>
      <c r="AH10" s="5">
        <v>83.8</v>
      </c>
    </row>
    <row r="11" spans="1:34" x14ac:dyDescent="0.3">
      <c r="A11" s="4" t="s">
        <v>10</v>
      </c>
      <c r="B11" s="5">
        <v>216</v>
      </c>
      <c r="C11" s="5">
        <v>213</v>
      </c>
      <c r="D11" s="5">
        <v>223</v>
      </c>
      <c r="E11" s="5">
        <v>266</v>
      </c>
      <c r="F11" s="5">
        <v>281</v>
      </c>
      <c r="G11" s="11"/>
      <c r="H11" s="4" t="s">
        <v>10</v>
      </c>
      <c r="I11" s="5">
        <v>4137</v>
      </c>
      <c r="J11" s="5">
        <v>11863</v>
      </c>
      <c r="K11" s="5">
        <v>13651</v>
      </c>
      <c r="L11" s="5">
        <v>12569</v>
      </c>
      <c r="M11" s="5">
        <v>11708</v>
      </c>
      <c r="O11" s="4" t="s">
        <v>10</v>
      </c>
      <c r="P11" s="5">
        <v>77</v>
      </c>
      <c r="Q11" s="5">
        <v>89</v>
      </c>
      <c r="R11" s="5">
        <f>9+103</f>
        <v>112</v>
      </c>
      <c r="S11" s="5">
        <v>110</v>
      </c>
      <c r="T11" s="5">
        <v>94</v>
      </c>
      <c r="V11" s="249" t="s">
        <v>51</v>
      </c>
      <c r="W11" s="249"/>
      <c r="X11" s="249"/>
      <c r="Y11" s="249"/>
      <c r="Z11" s="249"/>
      <c r="AA11" s="249"/>
      <c r="AC11" s="249" t="s">
        <v>9</v>
      </c>
      <c r="AD11" s="249"/>
      <c r="AE11" s="249"/>
      <c r="AF11" s="249"/>
      <c r="AG11" s="249"/>
      <c r="AH11" s="249"/>
    </row>
    <row r="12" spans="1:34" x14ac:dyDescent="0.3">
      <c r="A12" s="4" t="s">
        <v>11</v>
      </c>
      <c r="B12" s="5">
        <v>74</v>
      </c>
      <c r="C12" s="5">
        <v>55</v>
      </c>
      <c r="D12" s="5">
        <v>145</v>
      </c>
      <c r="E12" s="5">
        <v>149</v>
      </c>
      <c r="F12" s="5">
        <v>127</v>
      </c>
      <c r="G12" s="11"/>
      <c r="H12" s="4" t="s">
        <v>13</v>
      </c>
      <c r="I12" s="5">
        <v>21</v>
      </c>
      <c r="J12" s="5">
        <v>32</v>
      </c>
      <c r="K12" s="5">
        <v>34</v>
      </c>
      <c r="L12" s="5">
        <v>39</v>
      </c>
      <c r="M12" s="5">
        <v>34</v>
      </c>
      <c r="O12" s="4" t="s">
        <v>70</v>
      </c>
      <c r="P12" s="5">
        <v>2373</v>
      </c>
      <c r="Q12" s="5">
        <v>2569</v>
      </c>
      <c r="R12" s="5">
        <v>1220</v>
      </c>
      <c r="S12" s="5">
        <v>1279</v>
      </c>
      <c r="T12" s="5">
        <v>1346</v>
      </c>
      <c r="V12" s="4" t="s">
        <v>10</v>
      </c>
      <c r="W12" s="5">
        <v>930.2</v>
      </c>
      <c r="X12" s="5">
        <v>1057.5999999999999</v>
      </c>
      <c r="Y12" s="5">
        <v>1910.9</v>
      </c>
      <c r="Z12" s="5">
        <v>2072</v>
      </c>
      <c r="AA12" s="5">
        <v>2162.9</v>
      </c>
      <c r="AC12" s="4" t="s">
        <v>10</v>
      </c>
      <c r="AD12" s="5">
        <v>0.2</v>
      </c>
      <c r="AE12" s="5">
        <v>101.3</v>
      </c>
      <c r="AF12" s="5">
        <v>651.29999999999995</v>
      </c>
      <c r="AG12" s="5">
        <v>716.5</v>
      </c>
      <c r="AH12" s="5">
        <v>1990.2</v>
      </c>
    </row>
    <row r="13" spans="1:34" x14ac:dyDescent="0.3">
      <c r="A13" s="4" t="s">
        <v>12</v>
      </c>
      <c r="B13" s="5">
        <v>324</v>
      </c>
      <c r="C13" s="5">
        <v>273</v>
      </c>
      <c r="D13" s="5">
        <v>55</v>
      </c>
      <c r="E13" s="5">
        <v>199</v>
      </c>
      <c r="F13" s="5">
        <v>16</v>
      </c>
      <c r="G13" s="11"/>
      <c r="H13" s="4" t="s">
        <v>14</v>
      </c>
      <c r="I13" s="5">
        <v>737</v>
      </c>
      <c r="J13" s="5">
        <v>1141</v>
      </c>
      <c r="K13" s="5">
        <v>1460</v>
      </c>
      <c r="L13" s="5">
        <v>2798</v>
      </c>
      <c r="M13" s="5">
        <v>3105</v>
      </c>
      <c r="O13" s="4" t="s">
        <v>16</v>
      </c>
      <c r="P13" s="5">
        <v>2317</v>
      </c>
      <c r="Q13" s="5">
        <v>1181</v>
      </c>
      <c r="R13" s="5">
        <v>1176</v>
      </c>
      <c r="S13" s="5">
        <v>1252</v>
      </c>
      <c r="T13" s="5">
        <v>1031</v>
      </c>
      <c r="V13" s="4" t="s">
        <v>83</v>
      </c>
      <c r="W13" s="2">
        <v>0</v>
      </c>
      <c r="X13" s="5">
        <v>1.6</v>
      </c>
      <c r="Y13" s="5">
        <v>0.6</v>
      </c>
      <c r="Z13" s="5">
        <v>2.9</v>
      </c>
      <c r="AA13" s="5">
        <v>2.5</v>
      </c>
      <c r="AC13" s="4" t="s">
        <v>13</v>
      </c>
      <c r="AD13" s="5">
        <v>56</v>
      </c>
      <c r="AE13" s="5">
        <v>45.7</v>
      </c>
      <c r="AF13" s="5">
        <v>0</v>
      </c>
      <c r="AG13" s="5">
        <v>3.9</v>
      </c>
      <c r="AH13" s="5">
        <v>6.6</v>
      </c>
    </row>
    <row r="14" spans="1:34" x14ac:dyDescent="0.3">
      <c r="A14" s="4" t="s">
        <v>13</v>
      </c>
      <c r="B14" s="5">
        <v>29</v>
      </c>
      <c r="C14" s="5">
        <v>29</v>
      </c>
      <c r="D14" s="5">
        <v>311</v>
      </c>
      <c r="E14" s="5">
        <v>173</v>
      </c>
      <c r="F14" s="5">
        <v>2</v>
      </c>
      <c r="G14" s="11"/>
      <c r="H14" s="4" t="s">
        <v>16</v>
      </c>
      <c r="I14" s="5">
        <v>1744</v>
      </c>
      <c r="J14" s="5">
        <v>1098</v>
      </c>
      <c r="K14" s="5">
        <v>1212</v>
      </c>
      <c r="L14" s="5">
        <v>1245</v>
      </c>
      <c r="M14" s="5">
        <v>454</v>
      </c>
      <c r="O14" s="4" t="s">
        <v>52</v>
      </c>
      <c r="P14" s="5">
        <v>1829</v>
      </c>
      <c r="Q14" s="5">
        <v>1847</v>
      </c>
      <c r="R14" s="5">
        <f>2006+1072+200</f>
        <v>3278</v>
      </c>
      <c r="S14" s="5">
        <f>1853+681</f>
        <v>2534</v>
      </c>
      <c r="T14" s="5">
        <f>1894+624</f>
        <v>2518</v>
      </c>
      <c r="V14" s="4" t="s">
        <v>11</v>
      </c>
      <c r="W14" s="5">
        <v>604.9</v>
      </c>
      <c r="X14" s="5">
        <v>435.8</v>
      </c>
      <c r="Y14" s="5">
        <v>476.5</v>
      </c>
      <c r="Z14" s="5">
        <v>86.3</v>
      </c>
      <c r="AA14" s="5">
        <v>404.5</v>
      </c>
      <c r="AC14" s="4" t="s">
        <v>14</v>
      </c>
      <c r="AD14" s="5">
        <v>11.8</v>
      </c>
      <c r="AE14" s="5">
        <v>159.5</v>
      </c>
      <c r="AF14" s="5">
        <v>550.5</v>
      </c>
      <c r="AG14" s="5">
        <v>192.4</v>
      </c>
      <c r="AH14" s="5">
        <v>471.5</v>
      </c>
    </row>
    <row r="15" spans="1:34" x14ac:dyDescent="0.3">
      <c r="A15" s="4" t="s">
        <v>14</v>
      </c>
      <c r="B15" s="5">
        <v>1184</v>
      </c>
      <c r="C15" s="5">
        <v>1573</v>
      </c>
      <c r="D15" s="5">
        <v>2253</v>
      </c>
      <c r="E15" s="5">
        <v>2149</v>
      </c>
      <c r="F15" s="5">
        <v>3272</v>
      </c>
      <c r="G15" s="11"/>
      <c r="H15" s="4" t="s">
        <v>15</v>
      </c>
      <c r="I15" s="5">
        <v>5384</v>
      </c>
      <c r="J15" s="5">
        <v>5811</v>
      </c>
      <c r="K15" s="5">
        <v>6098</v>
      </c>
      <c r="L15" s="5">
        <v>6453</v>
      </c>
      <c r="M15" s="5">
        <v>3045</v>
      </c>
      <c r="O15" s="3" t="s">
        <v>53</v>
      </c>
      <c r="P15" s="6">
        <f>SUM(P5:P9,P11:P14)</f>
        <v>44486</v>
      </c>
      <c r="Q15" s="6">
        <f t="shared" ref="Q15" si="0">SUM(Q5:Q9,Q11:Q14)</f>
        <v>43143</v>
      </c>
      <c r="R15" s="6">
        <f>SUM(R5:R9,R11:R14)</f>
        <v>40992</v>
      </c>
      <c r="S15" s="6">
        <f>SUM(S5:S9,S11:S14)</f>
        <v>39834</v>
      </c>
      <c r="T15" s="6">
        <f>SUM(T5:T9,T11:T14)</f>
        <v>40160</v>
      </c>
      <c r="V15" s="4" t="s">
        <v>14</v>
      </c>
      <c r="W15" s="5">
        <v>588.1</v>
      </c>
      <c r="X15" s="5">
        <v>608.79999999999995</v>
      </c>
      <c r="Y15" s="5">
        <v>608.4</v>
      </c>
      <c r="Z15" s="5">
        <v>633</v>
      </c>
      <c r="AA15" s="5">
        <v>555</v>
      </c>
      <c r="AC15" s="4" t="s">
        <v>16</v>
      </c>
      <c r="AD15" s="5">
        <v>222.2</v>
      </c>
      <c r="AE15" s="5">
        <v>54.6</v>
      </c>
      <c r="AF15" s="5">
        <v>38.700000000000003</v>
      </c>
      <c r="AG15" s="5">
        <v>380.9</v>
      </c>
      <c r="AH15" s="5">
        <v>225</v>
      </c>
    </row>
    <row r="16" spans="1:34" x14ac:dyDescent="0.3">
      <c r="A16" s="4" t="s">
        <v>15</v>
      </c>
      <c r="B16" s="5">
        <v>2462</v>
      </c>
      <c r="C16" s="5">
        <v>1845</v>
      </c>
      <c r="D16" s="5">
        <v>1983</v>
      </c>
      <c r="E16" s="5">
        <v>3307</v>
      </c>
      <c r="F16" s="5">
        <v>3403</v>
      </c>
      <c r="G16" s="11"/>
      <c r="H16" s="4" t="s">
        <v>52</v>
      </c>
      <c r="I16" s="5">
        <v>1426</v>
      </c>
      <c r="J16" s="5">
        <v>1281</v>
      </c>
      <c r="K16" s="5">
        <v>2029</v>
      </c>
      <c r="L16" s="5">
        <v>2318</v>
      </c>
      <c r="M16" s="5">
        <v>2121</v>
      </c>
      <c r="O16" s="249" t="s">
        <v>54</v>
      </c>
      <c r="P16" s="249"/>
      <c r="Q16" s="249"/>
      <c r="R16" s="249"/>
      <c r="S16" s="249"/>
      <c r="T16" s="249"/>
      <c r="V16" s="4" t="s">
        <v>16</v>
      </c>
      <c r="W16" s="5">
        <v>600.5</v>
      </c>
      <c r="X16" s="5">
        <v>166.4</v>
      </c>
      <c r="Y16" s="5">
        <v>229.8</v>
      </c>
      <c r="Z16" s="5">
        <v>210</v>
      </c>
      <c r="AA16" s="5">
        <v>181.7</v>
      </c>
      <c r="AC16" s="4" t="s">
        <v>15</v>
      </c>
      <c r="AD16" s="5">
        <v>81.7</v>
      </c>
      <c r="AE16" s="5">
        <v>93</v>
      </c>
      <c r="AF16" s="5">
        <v>221.8</v>
      </c>
      <c r="AG16" s="5">
        <v>233.4</v>
      </c>
      <c r="AH16" s="5">
        <v>297</v>
      </c>
    </row>
    <row r="17" spans="1:34" x14ac:dyDescent="0.3">
      <c r="A17" s="4" t="s">
        <v>16</v>
      </c>
      <c r="B17" s="5">
        <v>2828</v>
      </c>
      <c r="C17" s="5">
        <v>3931</v>
      </c>
      <c r="D17" s="5">
        <v>3708</v>
      </c>
      <c r="E17" s="5">
        <v>2583</v>
      </c>
      <c r="F17" s="5">
        <v>1600</v>
      </c>
      <c r="G17" s="11"/>
      <c r="H17" s="3" t="s">
        <v>53</v>
      </c>
      <c r="I17" s="6">
        <f>SUM(I5:I9,I11:I16)</f>
        <v>38192</v>
      </c>
      <c r="J17" s="6">
        <f t="shared" ref="J17:M17" si="1">SUM(J5:J9,J11:J16)</f>
        <v>47653</v>
      </c>
      <c r="K17" s="6">
        <f t="shared" si="1"/>
        <v>50700</v>
      </c>
      <c r="L17" s="6">
        <f t="shared" si="1"/>
        <v>54935</v>
      </c>
      <c r="M17" s="6">
        <f t="shared" si="1"/>
        <v>48382</v>
      </c>
      <c r="O17" s="4" t="s">
        <v>20</v>
      </c>
      <c r="P17" s="17">
        <v>91</v>
      </c>
      <c r="Q17" s="17">
        <v>94</v>
      </c>
      <c r="R17" s="17">
        <v>161</v>
      </c>
      <c r="S17" s="17">
        <v>228</v>
      </c>
      <c r="T17" s="17">
        <v>185</v>
      </c>
      <c r="V17" s="4" t="s">
        <v>84</v>
      </c>
      <c r="W17" s="5">
        <v>1141.4000000000001</v>
      </c>
      <c r="X17" s="5">
        <v>1432.3</v>
      </c>
      <c r="Y17" s="5">
        <v>1025.5999999999999</v>
      </c>
      <c r="Z17" s="5">
        <v>1192.2</v>
      </c>
      <c r="AA17" s="5">
        <v>904.3</v>
      </c>
      <c r="AC17" s="4" t="s">
        <v>52</v>
      </c>
      <c r="AD17" s="5">
        <v>145.1</v>
      </c>
      <c r="AE17" s="5">
        <v>151.5</v>
      </c>
      <c r="AF17" s="5">
        <v>205.8</v>
      </c>
      <c r="AG17" s="5">
        <v>201.8</v>
      </c>
      <c r="AH17" s="5">
        <v>194.8</v>
      </c>
    </row>
    <row r="18" spans="1:34" x14ac:dyDescent="0.3">
      <c r="A18" s="4" t="s">
        <v>17</v>
      </c>
      <c r="B18" s="5">
        <v>1711</v>
      </c>
      <c r="C18" s="5">
        <v>1613</v>
      </c>
      <c r="D18" s="5">
        <v>2023</v>
      </c>
      <c r="E18" s="5">
        <v>2806</v>
      </c>
      <c r="F18" s="5">
        <v>3596</v>
      </c>
      <c r="G18" s="11"/>
      <c r="H18" s="249" t="s">
        <v>54</v>
      </c>
      <c r="I18" s="249"/>
      <c r="J18" s="249"/>
      <c r="K18" s="249"/>
      <c r="L18" s="249"/>
      <c r="M18" s="249"/>
      <c r="O18" s="249" t="s">
        <v>9</v>
      </c>
      <c r="P18" s="249"/>
      <c r="Q18" s="249"/>
      <c r="R18" s="249"/>
      <c r="S18" s="249"/>
      <c r="T18" s="249"/>
      <c r="V18" s="4" t="s">
        <v>52</v>
      </c>
      <c r="W18" s="5">
        <v>1347.2</v>
      </c>
      <c r="X18" s="5">
        <v>1671.2</v>
      </c>
      <c r="Y18" s="5">
        <v>1509.9</v>
      </c>
      <c r="Z18" s="5">
        <v>1375.8</v>
      </c>
      <c r="AA18" s="5">
        <v>1057.7</v>
      </c>
      <c r="AC18" s="3" t="s">
        <v>53</v>
      </c>
      <c r="AD18" s="6">
        <f>SUM(AD5:AD10,AD12:AD17)</f>
        <v>2495.8999999999996</v>
      </c>
      <c r="AE18" s="6">
        <f t="shared" ref="AE18:AH18" si="2">SUM(AE5:AE10,AE12:AE17)</f>
        <v>2577.7999999999997</v>
      </c>
      <c r="AF18" s="6">
        <f t="shared" si="2"/>
        <v>5643.8</v>
      </c>
      <c r="AG18" s="6">
        <f t="shared" si="2"/>
        <v>6310.2999999999993</v>
      </c>
      <c r="AH18" s="6">
        <f t="shared" si="2"/>
        <v>8716.6</v>
      </c>
    </row>
    <row r="19" spans="1:34" x14ac:dyDescent="0.3">
      <c r="A19" s="3" t="s">
        <v>18</v>
      </c>
      <c r="B19" s="6">
        <f>SUM(B3:B9,B11:B18)</f>
        <v>30662</v>
      </c>
      <c r="C19" s="6">
        <f t="shared" ref="C19:F19" si="3">SUM(C3:C9,C11:C18)</f>
        <v>31479</v>
      </c>
      <c r="D19" s="6">
        <f t="shared" si="3"/>
        <v>33204</v>
      </c>
      <c r="E19" s="6">
        <f t="shared" si="3"/>
        <v>33381</v>
      </c>
      <c r="F19" s="6">
        <f t="shared" si="3"/>
        <v>33465</v>
      </c>
      <c r="G19" s="12"/>
      <c r="H19" s="249" t="s">
        <v>51</v>
      </c>
      <c r="I19" s="249"/>
      <c r="J19" s="249"/>
      <c r="K19" s="249"/>
      <c r="L19" s="249"/>
      <c r="M19" s="249"/>
      <c r="O19" s="4" t="s">
        <v>10</v>
      </c>
      <c r="P19" s="5">
        <v>6989</v>
      </c>
      <c r="Q19" s="5">
        <v>6773</v>
      </c>
      <c r="R19" s="5">
        <v>6239</v>
      </c>
      <c r="S19" s="5">
        <v>5385</v>
      </c>
      <c r="T19" s="5">
        <v>7043</v>
      </c>
      <c r="V19" s="3" t="s">
        <v>53</v>
      </c>
      <c r="W19" s="6">
        <f>SUM(W5:W10,W12:W18)</f>
        <v>29293.800000000003</v>
      </c>
      <c r="X19" s="6">
        <f t="shared" ref="X19:AA19" si="4">SUM(X5:X10,X12:X18)</f>
        <v>30413.599999999999</v>
      </c>
      <c r="Y19" s="6">
        <f t="shared" si="4"/>
        <v>45430.200000000004</v>
      </c>
      <c r="Z19" s="6">
        <f t="shared" si="4"/>
        <v>51024.100000000006</v>
      </c>
      <c r="AA19" s="6">
        <f t="shared" si="4"/>
        <v>49724.4</v>
      </c>
      <c r="AC19" s="256" t="s">
        <v>19</v>
      </c>
      <c r="AD19" s="256"/>
      <c r="AE19" s="256"/>
      <c r="AF19" s="256"/>
      <c r="AG19" s="256"/>
      <c r="AH19" s="256"/>
    </row>
    <row r="20" spans="1:34" x14ac:dyDescent="0.3">
      <c r="A20" s="249" t="s">
        <v>19</v>
      </c>
      <c r="B20" s="249"/>
      <c r="C20" s="249"/>
      <c r="D20" s="249"/>
      <c r="E20" s="249"/>
      <c r="F20" s="249"/>
      <c r="G20" s="15"/>
      <c r="H20" s="4" t="s">
        <v>10</v>
      </c>
      <c r="I20" s="5">
        <v>4655</v>
      </c>
      <c r="J20" s="5">
        <v>2342</v>
      </c>
      <c r="K20" s="5">
        <v>6673</v>
      </c>
      <c r="L20" s="5">
        <v>6909</v>
      </c>
      <c r="M20" s="5">
        <v>12915</v>
      </c>
      <c r="O20" s="4" t="s">
        <v>11</v>
      </c>
      <c r="P20" s="5">
        <v>14131</v>
      </c>
      <c r="Q20" s="5">
        <v>13663</v>
      </c>
      <c r="R20" s="5">
        <f>15476+5195</f>
        <v>20671</v>
      </c>
      <c r="S20" s="5">
        <f>19572+5934</f>
        <v>25506</v>
      </c>
      <c r="T20" s="5">
        <f>19483+6038</f>
        <v>25521</v>
      </c>
      <c r="V20" s="249" t="s">
        <v>19</v>
      </c>
      <c r="W20" s="249"/>
      <c r="X20" s="249"/>
      <c r="Y20" s="249"/>
      <c r="Z20" s="249"/>
      <c r="AA20" s="249"/>
      <c r="AC20" s="4" t="s">
        <v>20</v>
      </c>
      <c r="AD20" s="5">
        <v>0</v>
      </c>
      <c r="AE20" s="5">
        <v>0</v>
      </c>
      <c r="AF20" s="5">
        <v>4.0999999999999996</v>
      </c>
      <c r="AG20" s="5">
        <v>3.3</v>
      </c>
      <c r="AH20" s="5">
        <v>3</v>
      </c>
    </row>
    <row r="21" spans="1:34" x14ac:dyDescent="0.3">
      <c r="A21" s="4" t="s">
        <v>20</v>
      </c>
      <c r="B21" s="5">
        <v>5</v>
      </c>
      <c r="C21" s="5">
        <v>8</v>
      </c>
      <c r="D21" s="5">
        <v>20</v>
      </c>
      <c r="E21" s="5">
        <v>28</v>
      </c>
      <c r="F21" s="5">
        <v>28</v>
      </c>
      <c r="G21" s="11"/>
      <c r="H21" s="4" t="s">
        <v>11</v>
      </c>
      <c r="I21" s="5">
        <v>18487</v>
      </c>
      <c r="J21" s="5">
        <v>19294</v>
      </c>
      <c r="K21" s="5">
        <v>22698</v>
      </c>
      <c r="L21" s="5">
        <v>25424</v>
      </c>
      <c r="M21" s="5">
        <v>30193</v>
      </c>
      <c r="O21" s="4" t="s">
        <v>55</v>
      </c>
      <c r="P21" s="5">
        <v>4848</v>
      </c>
      <c r="Q21" s="5">
        <v>6521</v>
      </c>
      <c r="R21" s="5">
        <v>10510</v>
      </c>
      <c r="S21" s="5">
        <v>9065</v>
      </c>
      <c r="T21" s="5">
        <v>9456</v>
      </c>
      <c r="V21" s="4" t="s">
        <v>20</v>
      </c>
      <c r="W21" s="5">
        <v>186.5</v>
      </c>
      <c r="X21" s="5">
        <v>106.4</v>
      </c>
      <c r="Y21" s="5">
        <v>133.4</v>
      </c>
      <c r="Z21" s="5">
        <v>118.8</v>
      </c>
      <c r="AA21" s="5">
        <v>90.7</v>
      </c>
      <c r="AC21" s="256" t="s">
        <v>9</v>
      </c>
      <c r="AD21" s="256"/>
      <c r="AE21" s="256"/>
      <c r="AF21" s="256"/>
      <c r="AG21" s="256"/>
      <c r="AH21" s="256"/>
    </row>
    <row r="22" spans="1:34" x14ac:dyDescent="0.3">
      <c r="A22" s="249" t="s">
        <v>9</v>
      </c>
      <c r="B22" s="249"/>
      <c r="C22" s="249"/>
      <c r="D22" s="249"/>
      <c r="E22" s="249"/>
      <c r="F22" s="249"/>
      <c r="G22" s="15"/>
      <c r="H22" s="4" t="s">
        <v>55</v>
      </c>
      <c r="I22" s="5">
        <v>18649</v>
      </c>
      <c r="J22" s="5">
        <v>24714</v>
      </c>
      <c r="K22" s="5">
        <v>17472</v>
      </c>
      <c r="L22" s="5">
        <v>12173</v>
      </c>
      <c r="M22" s="5">
        <v>14786</v>
      </c>
      <c r="O22" s="4" t="s">
        <v>71</v>
      </c>
      <c r="P22" s="5">
        <v>128</v>
      </c>
      <c r="Q22" s="5">
        <v>2367</v>
      </c>
      <c r="R22" s="5">
        <v>2126</v>
      </c>
      <c r="S22" s="5">
        <v>5659</v>
      </c>
      <c r="T22" s="5">
        <v>10694</v>
      </c>
      <c r="V22" s="249" t="s">
        <v>51</v>
      </c>
      <c r="W22" s="249"/>
      <c r="X22" s="249"/>
      <c r="Y22" s="249"/>
      <c r="Z22" s="249"/>
      <c r="AA22" s="249"/>
      <c r="AC22" s="5" t="s">
        <v>10</v>
      </c>
      <c r="AD22" s="5">
        <v>2218.6</v>
      </c>
      <c r="AE22" s="5">
        <v>3628.2</v>
      </c>
      <c r="AF22" s="5">
        <v>5397.1</v>
      </c>
      <c r="AG22" s="5">
        <v>4741.8</v>
      </c>
      <c r="AH22" s="5">
        <v>6753.4</v>
      </c>
    </row>
    <row r="23" spans="1:34" x14ac:dyDescent="0.3">
      <c r="A23" s="4" t="s">
        <v>10</v>
      </c>
      <c r="B23" s="5">
        <v>26140</v>
      </c>
      <c r="C23" s="5">
        <v>29160</v>
      </c>
      <c r="D23" s="5">
        <v>30262</v>
      </c>
      <c r="E23" s="5">
        <v>36897</v>
      </c>
      <c r="F23" s="5">
        <v>31481</v>
      </c>
      <c r="G23" s="11"/>
      <c r="H23" s="4" t="s">
        <v>13</v>
      </c>
      <c r="I23" s="5">
        <v>239</v>
      </c>
      <c r="J23" s="5">
        <v>159</v>
      </c>
      <c r="K23" s="5">
        <v>248</v>
      </c>
      <c r="L23" s="5">
        <v>289</v>
      </c>
      <c r="M23" s="5">
        <v>248</v>
      </c>
      <c r="O23" s="4" t="s">
        <v>13</v>
      </c>
      <c r="P23" s="5">
        <v>3422</v>
      </c>
      <c r="Q23" s="5">
        <v>4841</v>
      </c>
      <c r="R23" s="5">
        <v>3008</v>
      </c>
      <c r="S23" s="5">
        <v>2603</v>
      </c>
      <c r="T23" s="5">
        <v>795</v>
      </c>
      <c r="V23" s="4" t="s">
        <v>10</v>
      </c>
      <c r="W23" s="5">
        <v>18963.5</v>
      </c>
      <c r="X23" s="5">
        <v>17570.7</v>
      </c>
      <c r="Y23" s="5">
        <v>24165.5</v>
      </c>
      <c r="Z23" s="5">
        <v>30923.200000000001</v>
      </c>
      <c r="AA23" s="5">
        <v>31117.1</v>
      </c>
      <c r="AC23" s="5" t="s">
        <v>11</v>
      </c>
      <c r="AD23" s="5">
        <v>2312.1</v>
      </c>
      <c r="AE23" s="5">
        <v>2083.5</v>
      </c>
      <c r="AF23" s="5">
        <v>4557.3999999999996</v>
      </c>
      <c r="AG23" s="5">
        <v>5623.4</v>
      </c>
      <c r="AH23" s="5">
        <v>5706</v>
      </c>
    </row>
    <row r="24" spans="1:34" x14ac:dyDescent="0.3">
      <c r="A24" s="4" t="s">
        <v>11</v>
      </c>
      <c r="B24" s="5">
        <v>30532</v>
      </c>
      <c r="C24" s="5">
        <v>30079</v>
      </c>
      <c r="D24" s="5">
        <v>34074</v>
      </c>
      <c r="E24" s="5">
        <v>41049</v>
      </c>
      <c r="F24" s="5">
        <v>44434</v>
      </c>
      <c r="G24" s="11"/>
      <c r="H24" s="4" t="s">
        <v>14</v>
      </c>
      <c r="I24" s="5">
        <v>5457</v>
      </c>
      <c r="J24" s="5">
        <v>6410</v>
      </c>
      <c r="K24" s="5">
        <v>8727</v>
      </c>
      <c r="L24" s="5">
        <v>11604</v>
      </c>
      <c r="M24" s="5">
        <v>12085</v>
      </c>
      <c r="O24" s="4" t="s">
        <v>70</v>
      </c>
      <c r="P24" s="5">
        <v>5937</v>
      </c>
      <c r="Q24" s="5">
        <v>5889</v>
      </c>
      <c r="R24" s="5">
        <v>1520</v>
      </c>
      <c r="S24" s="5">
        <v>1120</v>
      </c>
      <c r="T24" s="5">
        <v>1235</v>
      </c>
      <c r="V24" s="4" t="s">
        <v>11</v>
      </c>
      <c r="W24" s="5">
        <v>10447.4</v>
      </c>
      <c r="X24" s="5">
        <v>9429.7999999999993</v>
      </c>
      <c r="Y24" s="5">
        <v>11521.9</v>
      </c>
      <c r="Z24" s="5">
        <v>12635</v>
      </c>
      <c r="AA24" s="5">
        <v>11547.7</v>
      </c>
      <c r="AC24" s="5" t="s">
        <v>95</v>
      </c>
      <c r="AD24" s="5">
        <v>442</v>
      </c>
      <c r="AE24" s="5">
        <v>607.1</v>
      </c>
      <c r="AF24" s="5">
        <v>1069.7</v>
      </c>
      <c r="AG24" s="5">
        <v>1601.1</v>
      </c>
      <c r="AH24" s="5">
        <v>1326.1</v>
      </c>
    </row>
    <row r="25" spans="1:34" x14ac:dyDescent="0.3">
      <c r="A25" s="4" t="s">
        <v>12</v>
      </c>
      <c r="B25" s="5">
        <v>5732</v>
      </c>
      <c r="C25" s="5">
        <v>6583</v>
      </c>
      <c r="D25" s="5">
        <v>7736</v>
      </c>
      <c r="E25" s="5">
        <v>8905</v>
      </c>
      <c r="F25" s="5">
        <v>9143</v>
      </c>
      <c r="G25" s="11"/>
      <c r="H25" s="4" t="s">
        <v>15</v>
      </c>
      <c r="I25" s="5">
        <v>7</v>
      </c>
      <c r="J25" s="5">
        <v>0</v>
      </c>
      <c r="K25" s="5">
        <v>54</v>
      </c>
      <c r="L25" s="5">
        <v>6</v>
      </c>
      <c r="M25" s="5">
        <v>6397</v>
      </c>
      <c r="O25" s="4" t="s">
        <v>72</v>
      </c>
      <c r="P25" s="5">
        <v>157</v>
      </c>
      <c r="Q25" s="5">
        <v>131</v>
      </c>
      <c r="R25" s="5">
        <v>234</v>
      </c>
      <c r="S25" s="5">
        <v>195</v>
      </c>
      <c r="T25" s="5">
        <v>161</v>
      </c>
      <c r="V25" s="4" t="s">
        <v>55</v>
      </c>
      <c r="W25" s="5">
        <v>14449.9</v>
      </c>
      <c r="X25" s="5">
        <v>16979.3</v>
      </c>
      <c r="Y25" s="5">
        <v>10383.6</v>
      </c>
      <c r="Z25" s="5">
        <v>9188</v>
      </c>
      <c r="AA25" s="5">
        <v>9695.2999999999993</v>
      </c>
      <c r="AC25" s="5" t="s">
        <v>55</v>
      </c>
      <c r="AD25" s="5">
        <v>485.3</v>
      </c>
      <c r="AE25" s="5">
        <v>675.9</v>
      </c>
      <c r="AF25" s="5">
        <v>1446.2</v>
      </c>
      <c r="AG25" s="5">
        <v>2338.9</v>
      </c>
      <c r="AH25" s="5">
        <v>1820</v>
      </c>
    </row>
    <row r="26" spans="1:34" x14ac:dyDescent="0.3">
      <c r="A26" s="4" t="s">
        <v>21</v>
      </c>
      <c r="B26" s="5">
        <v>8646</v>
      </c>
      <c r="C26" s="5">
        <v>6858</v>
      </c>
      <c r="D26" s="5">
        <v>12488</v>
      </c>
      <c r="E26" s="5">
        <v>7123</v>
      </c>
      <c r="F26" s="5">
        <v>9016</v>
      </c>
      <c r="G26" s="11"/>
      <c r="H26" s="4" t="s">
        <v>56</v>
      </c>
      <c r="I26" s="5">
        <v>7082</v>
      </c>
      <c r="J26" s="5">
        <v>7814</v>
      </c>
      <c r="K26" s="5">
        <v>11313</v>
      </c>
      <c r="L26" s="5">
        <v>14476</v>
      </c>
      <c r="M26" s="5">
        <v>12808</v>
      </c>
      <c r="O26" s="4" t="s">
        <v>56</v>
      </c>
      <c r="P26" s="5">
        <v>2717</v>
      </c>
      <c r="Q26" s="5">
        <v>2772</v>
      </c>
      <c r="R26" s="5">
        <v>3572</v>
      </c>
      <c r="S26" s="5">
        <v>3816</v>
      </c>
      <c r="T26" s="5">
        <v>4241</v>
      </c>
      <c r="V26" s="4" t="s">
        <v>83</v>
      </c>
      <c r="W26" s="5">
        <v>302.5</v>
      </c>
      <c r="X26" s="5">
        <v>406.4</v>
      </c>
      <c r="Y26" s="5">
        <v>303.2</v>
      </c>
      <c r="Z26" s="5">
        <v>184.4</v>
      </c>
      <c r="AA26" s="5">
        <v>133.30000000000001</v>
      </c>
      <c r="AC26" s="5" t="s">
        <v>71</v>
      </c>
      <c r="AD26" s="5">
        <v>39.9</v>
      </c>
      <c r="AE26" s="5">
        <v>83.5</v>
      </c>
      <c r="AF26" s="5">
        <v>391.1</v>
      </c>
      <c r="AG26" s="5">
        <v>593.1</v>
      </c>
      <c r="AH26" s="5">
        <v>996</v>
      </c>
    </row>
    <row r="27" spans="1:34" x14ac:dyDescent="0.3">
      <c r="A27" s="4" t="s">
        <v>22</v>
      </c>
      <c r="B27" s="5">
        <v>1020</v>
      </c>
      <c r="C27" s="5">
        <v>2471</v>
      </c>
      <c r="D27" s="5">
        <v>5733</v>
      </c>
      <c r="E27" s="5">
        <v>3909</v>
      </c>
      <c r="F27" s="5">
        <v>4270</v>
      </c>
      <c r="G27" s="11"/>
      <c r="H27" s="3" t="s">
        <v>23</v>
      </c>
      <c r="I27" s="6">
        <f>SUM(I20:I26)</f>
        <v>54576</v>
      </c>
      <c r="J27" s="6">
        <f t="shared" ref="J27:M27" si="5">SUM(J20:J26)</f>
        <v>60733</v>
      </c>
      <c r="K27" s="6">
        <f t="shared" si="5"/>
        <v>67185</v>
      </c>
      <c r="L27" s="6">
        <f t="shared" si="5"/>
        <v>70881</v>
      </c>
      <c r="M27" s="6">
        <f t="shared" si="5"/>
        <v>89432</v>
      </c>
      <c r="O27" s="3" t="s">
        <v>23</v>
      </c>
      <c r="P27" s="6">
        <f>SUM(P17,P19:P26)</f>
        <v>38420</v>
      </c>
      <c r="Q27" s="6">
        <f t="shared" ref="Q27:T27" si="6">SUM(Q17,Q19:Q26)</f>
        <v>43051</v>
      </c>
      <c r="R27" s="6">
        <f t="shared" si="6"/>
        <v>48041</v>
      </c>
      <c r="S27" s="6">
        <f t="shared" si="6"/>
        <v>53577</v>
      </c>
      <c r="T27" s="6">
        <f t="shared" si="6"/>
        <v>59331</v>
      </c>
      <c r="V27" s="4" t="s">
        <v>12</v>
      </c>
      <c r="W27" s="5">
        <v>2520.9</v>
      </c>
      <c r="X27" s="5">
        <v>2712.4</v>
      </c>
      <c r="Y27" s="5">
        <v>6080.9</v>
      </c>
      <c r="Z27" s="5">
        <v>6051.5</v>
      </c>
      <c r="AA27" s="5">
        <v>5834.5</v>
      </c>
      <c r="AC27" s="5" t="s">
        <v>13</v>
      </c>
      <c r="AD27" s="5">
        <v>12.9</v>
      </c>
      <c r="AE27" s="5">
        <v>30</v>
      </c>
      <c r="AF27" s="5">
        <v>0</v>
      </c>
      <c r="AG27" s="5">
        <v>0</v>
      </c>
      <c r="AH27" s="5">
        <v>0</v>
      </c>
    </row>
    <row r="28" spans="1:34" x14ac:dyDescent="0.3">
      <c r="A28" s="4" t="s">
        <v>13</v>
      </c>
      <c r="B28" s="5">
        <v>8475</v>
      </c>
      <c r="C28" s="5">
        <v>11472</v>
      </c>
      <c r="D28" s="5">
        <v>6445</v>
      </c>
      <c r="E28" s="5">
        <v>1325</v>
      </c>
      <c r="F28" s="5">
        <v>491</v>
      </c>
      <c r="G28" s="11"/>
      <c r="H28" s="3" t="s">
        <v>57</v>
      </c>
      <c r="I28" s="7">
        <f>I17+I27</f>
        <v>92768</v>
      </c>
      <c r="J28" s="7">
        <f t="shared" ref="J28:M28" si="7">J17+J27</f>
        <v>108386</v>
      </c>
      <c r="K28" s="7">
        <f t="shared" si="7"/>
        <v>117885</v>
      </c>
      <c r="L28" s="7">
        <f t="shared" si="7"/>
        <v>125816</v>
      </c>
      <c r="M28" s="7">
        <f t="shared" si="7"/>
        <v>137814</v>
      </c>
      <c r="O28" s="3" t="s">
        <v>57</v>
      </c>
      <c r="P28" s="7">
        <f>P15+P27</f>
        <v>82906</v>
      </c>
      <c r="Q28" s="7">
        <f t="shared" ref="Q28:T28" si="8">Q15+Q27</f>
        <v>86194</v>
      </c>
      <c r="R28" s="7">
        <f t="shared" si="8"/>
        <v>89033</v>
      </c>
      <c r="S28" s="7">
        <f t="shared" si="8"/>
        <v>93411</v>
      </c>
      <c r="T28" s="7">
        <f t="shared" si="8"/>
        <v>99491</v>
      </c>
      <c r="V28" s="4" t="s">
        <v>14</v>
      </c>
      <c r="W28" s="5">
        <v>861.4</v>
      </c>
      <c r="X28" s="5">
        <v>724.5</v>
      </c>
      <c r="Y28" s="5">
        <v>4291.3999999999996</v>
      </c>
      <c r="Z28" s="5">
        <v>909.6</v>
      </c>
      <c r="AA28" s="5">
        <v>1053.5999999999999</v>
      </c>
      <c r="AC28" s="5" t="s">
        <v>14</v>
      </c>
      <c r="AD28" s="5">
        <v>161.30000000000001</v>
      </c>
      <c r="AE28" s="5">
        <v>185.8</v>
      </c>
      <c r="AF28" s="5">
        <v>480.7</v>
      </c>
      <c r="AG28" s="5">
        <v>183</v>
      </c>
      <c r="AH28" s="5">
        <v>263.5</v>
      </c>
    </row>
    <row r="29" spans="1:34" x14ac:dyDescent="0.3">
      <c r="A29" s="4" t="s">
        <v>14</v>
      </c>
      <c r="B29" s="5">
        <v>1473</v>
      </c>
      <c r="C29" s="5">
        <v>1394</v>
      </c>
      <c r="D29" s="5">
        <v>1390</v>
      </c>
      <c r="E29" s="5">
        <v>1319</v>
      </c>
      <c r="F29" s="5">
        <v>1703</v>
      </c>
      <c r="G29" s="11"/>
      <c r="H29" s="249" t="s">
        <v>25</v>
      </c>
      <c r="I29" s="249"/>
      <c r="J29" s="249"/>
      <c r="K29" s="249"/>
      <c r="L29" s="249"/>
      <c r="M29" s="249"/>
      <c r="O29" s="249" t="s">
        <v>73</v>
      </c>
      <c r="P29" s="249"/>
      <c r="Q29" s="249"/>
      <c r="R29" s="249"/>
      <c r="S29" s="249"/>
      <c r="T29" s="249"/>
      <c r="V29" s="4" t="s">
        <v>72</v>
      </c>
      <c r="W29" s="5">
        <v>288.2</v>
      </c>
      <c r="X29" s="5">
        <v>246.1</v>
      </c>
      <c r="Y29" s="5">
        <v>237.3</v>
      </c>
      <c r="Z29" s="5">
        <v>509.1</v>
      </c>
      <c r="AA29" s="5">
        <v>648.4</v>
      </c>
      <c r="AC29" s="5" t="s">
        <v>15</v>
      </c>
      <c r="AD29" s="5">
        <v>0.7</v>
      </c>
      <c r="AE29" s="5">
        <v>0</v>
      </c>
      <c r="AF29" s="5">
        <v>0</v>
      </c>
      <c r="AG29" s="5">
        <v>0</v>
      </c>
      <c r="AH29" s="5">
        <v>25.1</v>
      </c>
    </row>
    <row r="30" spans="1:34" x14ac:dyDescent="0.3">
      <c r="A30" s="4" t="s">
        <v>15</v>
      </c>
      <c r="B30" s="5">
        <v>8</v>
      </c>
      <c r="C30" s="5">
        <v>19</v>
      </c>
      <c r="D30" s="5">
        <v>11</v>
      </c>
      <c r="E30" s="5">
        <v>8</v>
      </c>
      <c r="F30" s="5">
        <v>151</v>
      </c>
      <c r="G30" s="11"/>
      <c r="H30" s="249" t="s">
        <v>26</v>
      </c>
      <c r="I30" s="249"/>
      <c r="J30" s="249"/>
      <c r="K30" s="249"/>
      <c r="L30" s="249"/>
      <c r="M30" s="249"/>
      <c r="O30" s="4" t="s">
        <v>58</v>
      </c>
      <c r="P30" s="5">
        <v>543</v>
      </c>
      <c r="Q30" s="5">
        <v>543</v>
      </c>
      <c r="R30" s="5">
        <v>543</v>
      </c>
      <c r="S30" s="5">
        <v>543</v>
      </c>
      <c r="T30" s="5">
        <v>543</v>
      </c>
      <c r="V30" s="4" t="s">
        <v>91</v>
      </c>
      <c r="W30" s="5">
        <v>1714.3</v>
      </c>
      <c r="X30" s="5">
        <v>1650.7</v>
      </c>
      <c r="Y30" s="5">
        <v>2064.6999999999998</v>
      </c>
      <c r="Z30" s="5">
        <v>2300.1</v>
      </c>
      <c r="AA30" s="5">
        <v>1985.4</v>
      </c>
      <c r="AC30" s="5" t="s">
        <v>56</v>
      </c>
      <c r="AD30" s="5">
        <v>656.2</v>
      </c>
      <c r="AE30" s="5">
        <v>837.3</v>
      </c>
      <c r="AF30" s="5">
        <v>1592.3</v>
      </c>
      <c r="AG30" s="5">
        <v>2101.1999999999998</v>
      </c>
      <c r="AH30" s="5">
        <v>1953.3</v>
      </c>
    </row>
    <row r="31" spans="1:34" x14ac:dyDescent="0.3">
      <c r="A31" s="4" t="s">
        <v>17</v>
      </c>
      <c r="B31" s="5">
        <v>8206</v>
      </c>
      <c r="C31" s="5">
        <v>11236</v>
      </c>
      <c r="D31" s="5">
        <v>10151</v>
      </c>
      <c r="E31" s="5">
        <v>9707</v>
      </c>
      <c r="F31" s="5">
        <v>12267</v>
      </c>
      <c r="G31" s="11"/>
      <c r="H31" s="4" t="s">
        <v>58</v>
      </c>
      <c r="I31" s="5">
        <v>2122</v>
      </c>
      <c r="J31" s="5">
        <v>2124</v>
      </c>
      <c r="K31" s="5">
        <v>2098</v>
      </c>
      <c r="L31" s="5">
        <v>2069</v>
      </c>
      <c r="M31" s="5">
        <v>2071</v>
      </c>
      <c r="O31" s="4" t="s">
        <v>28</v>
      </c>
      <c r="P31" s="5">
        <v>50724</v>
      </c>
      <c r="Q31" s="5">
        <v>59370</v>
      </c>
      <c r="R31" s="5">
        <v>61371</v>
      </c>
      <c r="S31" s="5">
        <v>64862</v>
      </c>
      <c r="T31" s="5">
        <v>67720</v>
      </c>
      <c r="V31" s="4" t="s">
        <v>56</v>
      </c>
      <c r="W31" s="5">
        <v>2250.5</v>
      </c>
      <c r="X31" s="5">
        <v>2492.3000000000002</v>
      </c>
      <c r="Y31" s="5">
        <v>2893.3</v>
      </c>
      <c r="Z31" s="5">
        <v>3289.9</v>
      </c>
      <c r="AA31" s="5">
        <v>2960.2</v>
      </c>
      <c r="AC31" s="6" t="s">
        <v>23</v>
      </c>
      <c r="AD31" s="6">
        <f>SUM(AD22:AD30,AD20)</f>
        <v>6328.9999999999991</v>
      </c>
      <c r="AE31" s="6">
        <f t="shared" ref="AE31:AH31" si="9">SUM(AE22:AE30,AE20)</f>
        <v>8131.3</v>
      </c>
      <c r="AF31" s="6">
        <f t="shared" si="9"/>
        <v>14938.600000000002</v>
      </c>
      <c r="AG31" s="6">
        <f t="shared" si="9"/>
        <v>17185.8</v>
      </c>
      <c r="AH31" s="6">
        <f t="shared" si="9"/>
        <v>18846.399999999998</v>
      </c>
    </row>
    <row r="32" spans="1:34" ht="28.8" x14ac:dyDescent="0.3">
      <c r="A32" s="3" t="s">
        <v>23</v>
      </c>
      <c r="B32" s="6">
        <f>SUM(B21,B23:B31)</f>
        <v>90237</v>
      </c>
      <c r="C32" s="6">
        <f t="shared" ref="C32:F32" si="10">SUM(C21,C23:C31)</f>
        <v>99280</v>
      </c>
      <c r="D32" s="6">
        <f t="shared" si="10"/>
        <v>108310</v>
      </c>
      <c r="E32" s="6">
        <f t="shared" si="10"/>
        <v>110270</v>
      </c>
      <c r="F32" s="6">
        <f t="shared" si="10"/>
        <v>112984</v>
      </c>
      <c r="G32" s="12"/>
      <c r="H32" s="4" t="s">
        <v>28</v>
      </c>
      <c r="I32" s="5">
        <v>63328</v>
      </c>
      <c r="J32" s="5">
        <v>74227</v>
      </c>
      <c r="K32" s="5">
        <v>73252</v>
      </c>
      <c r="L32" s="5">
        <v>73338</v>
      </c>
      <c r="M32" s="5">
        <v>86045</v>
      </c>
      <c r="O32" s="8" t="s">
        <v>29</v>
      </c>
      <c r="P32" s="6">
        <f>P30+P31</f>
        <v>51267</v>
      </c>
      <c r="Q32" s="6">
        <f t="shared" ref="Q32:T32" si="11">Q30+Q31</f>
        <v>59913</v>
      </c>
      <c r="R32" s="6">
        <f t="shared" si="11"/>
        <v>61914</v>
      </c>
      <c r="S32" s="6">
        <f t="shared" si="11"/>
        <v>65405</v>
      </c>
      <c r="T32" s="6">
        <f t="shared" si="11"/>
        <v>68263</v>
      </c>
      <c r="V32" s="4" t="s">
        <v>85</v>
      </c>
      <c r="W32" s="5">
        <v>0</v>
      </c>
      <c r="X32" s="5">
        <v>0</v>
      </c>
      <c r="Y32" s="5">
        <v>0</v>
      </c>
      <c r="Z32" s="5">
        <v>0</v>
      </c>
      <c r="AA32" s="5">
        <v>0</v>
      </c>
      <c r="AC32" s="6" t="s">
        <v>57</v>
      </c>
      <c r="AD32" s="6">
        <f>AD18+AD31</f>
        <v>8824.8999999999978</v>
      </c>
      <c r="AE32" s="6">
        <f>AE18+AE31</f>
        <v>10709.1</v>
      </c>
      <c r="AF32" s="6">
        <f>AF18+AF31</f>
        <v>20582.400000000001</v>
      </c>
      <c r="AG32" s="6">
        <f>AG18+AG31</f>
        <v>23496.1</v>
      </c>
      <c r="AH32" s="6">
        <f>AH18+AH31</f>
        <v>27563</v>
      </c>
    </row>
    <row r="33" spans="1:34" ht="43.2" x14ac:dyDescent="0.3">
      <c r="A33" s="3" t="s">
        <v>24</v>
      </c>
      <c r="B33" s="7">
        <f>B19+B32</f>
        <v>120899</v>
      </c>
      <c r="C33" s="7">
        <f t="shared" ref="C33:F33" si="12">C19+C32</f>
        <v>130759</v>
      </c>
      <c r="D33" s="7">
        <f t="shared" si="12"/>
        <v>141514</v>
      </c>
      <c r="E33" s="7">
        <f t="shared" si="12"/>
        <v>143651</v>
      </c>
      <c r="F33" s="7">
        <f t="shared" si="12"/>
        <v>146449</v>
      </c>
      <c r="G33" s="13"/>
      <c r="H33" s="8" t="s">
        <v>59</v>
      </c>
      <c r="I33" s="6">
        <f>I31+I32</f>
        <v>65450</v>
      </c>
      <c r="J33" s="6">
        <f t="shared" ref="J33:M33" si="13">J31+J32</f>
        <v>76351</v>
      </c>
      <c r="K33" s="6">
        <f t="shared" si="13"/>
        <v>75350</v>
      </c>
      <c r="L33" s="6">
        <f t="shared" si="13"/>
        <v>75407</v>
      </c>
      <c r="M33" s="6">
        <f t="shared" si="13"/>
        <v>88116</v>
      </c>
      <c r="O33" s="4" t="s">
        <v>60</v>
      </c>
      <c r="P33" s="4">
        <v>154</v>
      </c>
      <c r="Q33" s="4">
        <v>169</v>
      </c>
      <c r="R33" s="4">
        <v>92</v>
      </c>
      <c r="S33" s="4">
        <v>-7</v>
      </c>
      <c r="T33" s="4">
        <v>8</v>
      </c>
      <c r="V33" s="3" t="s">
        <v>23</v>
      </c>
      <c r="W33" s="6">
        <f>SUM(W21,W23:W32)</f>
        <v>51985.100000000006</v>
      </c>
      <c r="X33" s="6">
        <f t="shared" ref="X33:AA33" si="14">SUM(X21,X23:X32)</f>
        <v>52318.6</v>
      </c>
      <c r="Y33" s="6">
        <f t="shared" si="14"/>
        <v>62075.200000000004</v>
      </c>
      <c r="Z33" s="6">
        <f t="shared" si="14"/>
        <v>66109.599999999991</v>
      </c>
      <c r="AA33" s="6">
        <f t="shared" si="14"/>
        <v>65066.200000000004</v>
      </c>
      <c r="AC33" s="253" t="s">
        <v>25</v>
      </c>
      <c r="AD33" s="254"/>
      <c r="AE33" s="254"/>
      <c r="AF33" s="254"/>
      <c r="AG33" s="254"/>
      <c r="AH33" s="255"/>
    </row>
    <row r="34" spans="1:34" x14ac:dyDescent="0.3">
      <c r="A34" s="249" t="s">
        <v>25</v>
      </c>
      <c r="B34" s="249"/>
      <c r="C34" s="249"/>
      <c r="D34" s="249"/>
      <c r="E34" s="249"/>
      <c r="F34" s="249"/>
      <c r="G34" s="15"/>
      <c r="H34" s="4" t="s">
        <v>60</v>
      </c>
      <c r="I34" s="4">
        <v>394</v>
      </c>
      <c r="J34" s="4">
        <v>431</v>
      </c>
      <c r="K34" s="4">
        <v>386</v>
      </c>
      <c r="L34" s="4">
        <v>388</v>
      </c>
      <c r="M34" s="4">
        <v>345</v>
      </c>
      <c r="O34" s="3" t="s">
        <v>61</v>
      </c>
      <c r="P34" s="7">
        <f>P32+P33</f>
        <v>51421</v>
      </c>
      <c r="Q34" s="7">
        <f t="shared" ref="Q34:T34" si="15">Q32+Q33</f>
        <v>60082</v>
      </c>
      <c r="R34" s="7">
        <f t="shared" si="15"/>
        <v>62006</v>
      </c>
      <c r="S34" s="7">
        <f t="shared" si="15"/>
        <v>65398</v>
      </c>
      <c r="T34" s="7">
        <f t="shared" si="15"/>
        <v>68271</v>
      </c>
      <c r="V34" s="3" t="s">
        <v>57</v>
      </c>
      <c r="W34" s="6">
        <f>W19+W33</f>
        <v>81278.900000000009</v>
      </c>
      <c r="X34" s="6">
        <f>X19+X33</f>
        <v>82732.2</v>
      </c>
      <c r="Y34" s="6">
        <f>Y19+Y33</f>
        <v>107505.40000000001</v>
      </c>
      <c r="Z34" s="6">
        <f>Z19+Z33</f>
        <v>117133.7</v>
      </c>
      <c r="AA34" s="6">
        <f>AA19+AA33</f>
        <v>114790.6</v>
      </c>
      <c r="AC34" s="253" t="s">
        <v>26</v>
      </c>
      <c r="AD34" s="254"/>
      <c r="AE34" s="254"/>
      <c r="AF34" s="254"/>
      <c r="AG34" s="254"/>
      <c r="AH34" s="255"/>
    </row>
    <row r="35" spans="1:34" x14ac:dyDescent="0.3">
      <c r="A35" s="249" t="s">
        <v>26</v>
      </c>
      <c r="B35" s="249"/>
      <c r="C35" s="249"/>
      <c r="D35" s="249"/>
      <c r="E35" s="249"/>
      <c r="F35" s="249"/>
      <c r="G35" s="15"/>
      <c r="H35" s="3" t="s">
        <v>61</v>
      </c>
      <c r="I35" s="7">
        <f>I33+I34</f>
        <v>65844</v>
      </c>
      <c r="J35" s="7">
        <f t="shared" ref="J35:M35" si="16">J33+J34</f>
        <v>76782</v>
      </c>
      <c r="K35" s="7">
        <f t="shared" si="16"/>
        <v>75736</v>
      </c>
      <c r="L35" s="7">
        <f t="shared" si="16"/>
        <v>75795</v>
      </c>
      <c r="M35" s="7">
        <f t="shared" si="16"/>
        <v>88461</v>
      </c>
      <c r="O35" s="249" t="s">
        <v>74</v>
      </c>
      <c r="P35" s="249"/>
      <c r="Q35" s="249"/>
      <c r="R35" s="249"/>
      <c r="S35" s="249"/>
      <c r="T35" s="249"/>
      <c r="V35" s="257" t="s">
        <v>25</v>
      </c>
      <c r="W35" s="258"/>
      <c r="X35" s="258"/>
      <c r="Y35" s="258"/>
      <c r="Z35" s="258"/>
      <c r="AA35" s="259"/>
      <c r="AC35" s="5" t="s">
        <v>58</v>
      </c>
      <c r="AD35" s="5">
        <v>17.399999999999999</v>
      </c>
      <c r="AE35" s="5">
        <v>17.5</v>
      </c>
      <c r="AF35" s="5">
        <v>29.6</v>
      </c>
      <c r="AG35" s="5">
        <v>29.6</v>
      </c>
      <c r="AH35" s="5">
        <v>29.6</v>
      </c>
    </row>
    <row r="36" spans="1:34" x14ac:dyDescent="0.3">
      <c r="A36" s="4" t="s">
        <v>27</v>
      </c>
      <c r="B36" s="5">
        <v>375</v>
      </c>
      <c r="C36" s="5">
        <v>370</v>
      </c>
      <c r="D36" s="5">
        <v>366</v>
      </c>
      <c r="E36" s="5">
        <v>366</v>
      </c>
      <c r="F36" s="5">
        <v>362</v>
      </c>
      <c r="G36" s="11"/>
      <c r="H36" s="249" t="s">
        <v>32</v>
      </c>
      <c r="I36" s="249"/>
      <c r="J36" s="249"/>
      <c r="K36" s="249"/>
      <c r="L36" s="249"/>
      <c r="M36" s="249"/>
      <c r="O36" s="249" t="s">
        <v>62</v>
      </c>
      <c r="P36" s="249"/>
      <c r="Q36" s="249"/>
      <c r="R36" s="249"/>
      <c r="S36" s="249"/>
      <c r="T36" s="249"/>
      <c r="V36" s="257" t="s">
        <v>73</v>
      </c>
      <c r="W36" s="258"/>
      <c r="X36" s="258"/>
      <c r="Y36" s="258"/>
      <c r="Z36" s="258"/>
      <c r="AA36" s="259"/>
      <c r="AC36" s="253" t="s">
        <v>28</v>
      </c>
      <c r="AD36" s="254"/>
      <c r="AE36" s="254"/>
      <c r="AF36" s="254"/>
      <c r="AG36" s="254"/>
      <c r="AH36" s="255"/>
    </row>
    <row r="37" spans="1:34" x14ac:dyDescent="0.3">
      <c r="A37" s="4" t="s">
        <v>28</v>
      </c>
      <c r="B37" s="5">
        <v>83751</v>
      </c>
      <c r="C37" s="5">
        <v>86063</v>
      </c>
      <c r="D37" s="5">
        <v>88773</v>
      </c>
      <c r="E37" s="5">
        <v>90058</v>
      </c>
      <c r="F37" s="5">
        <v>90127</v>
      </c>
      <c r="G37" s="11"/>
      <c r="H37" s="249" t="s">
        <v>62</v>
      </c>
      <c r="I37" s="249"/>
      <c r="J37" s="249"/>
      <c r="K37" s="249"/>
      <c r="L37" s="249"/>
      <c r="M37" s="249"/>
      <c r="O37" s="249" t="s">
        <v>34</v>
      </c>
      <c r="P37" s="249"/>
      <c r="Q37" s="249"/>
      <c r="R37" s="249"/>
      <c r="S37" s="249"/>
      <c r="T37" s="249"/>
      <c r="V37" s="4" t="s">
        <v>58</v>
      </c>
      <c r="W37" s="5">
        <v>1142.7</v>
      </c>
      <c r="X37" s="5">
        <v>1095.8</v>
      </c>
      <c r="Y37" s="5">
        <v>1096.4000000000001</v>
      </c>
      <c r="Z37" s="5">
        <v>1097.5999999999999</v>
      </c>
      <c r="AA37" s="5">
        <v>1045</v>
      </c>
      <c r="AC37" s="5" t="s">
        <v>96</v>
      </c>
      <c r="AD37" s="5">
        <v>633.6</v>
      </c>
      <c r="AE37" s="5">
        <v>1129.4000000000001</v>
      </c>
      <c r="AF37" s="5">
        <v>1880.3</v>
      </c>
      <c r="AG37" s="5">
        <v>1112.4000000000001</v>
      </c>
      <c r="AH37" s="5">
        <v>1695.6</v>
      </c>
    </row>
    <row r="38" spans="1:34" ht="28.8" x14ac:dyDescent="0.3">
      <c r="A38" s="8" t="s">
        <v>29</v>
      </c>
      <c r="B38" s="6">
        <f>SUM(B36:B37)</f>
        <v>84126</v>
      </c>
      <c r="C38" s="6">
        <f t="shared" ref="C38:F38" si="17">SUM(C36:C37)</f>
        <v>86433</v>
      </c>
      <c r="D38" s="6">
        <f t="shared" si="17"/>
        <v>89139</v>
      </c>
      <c r="E38" s="6">
        <f t="shared" si="17"/>
        <v>90424</v>
      </c>
      <c r="F38" s="6">
        <f t="shared" si="17"/>
        <v>90489</v>
      </c>
      <c r="G38" s="12"/>
      <c r="H38" s="249" t="s">
        <v>63</v>
      </c>
      <c r="I38" s="249"/>
      <c r="J38" s="249"/>
      <c r="K38" s="249"/>
      <c r="L38" s="249"/>
      <c r="M38" s="249"/>
      <c r="O38" s="4" t="s">
        <v>75</v>
      </c>
      <c r="P38" s="5">
        <v>2848</v>
      </c>
      <c r="Q38" s="5">
        <v>3828</v>
      </c>
      <c r="R38" s="5">
        <v>3923</v>
      </c>
      <c r="S38" s="5">
        <v>2111</v>
      </c>
      <c r="T38" s="5">
        <v>2223</v>
      </c>
      <c r="V38" s="4" t="s">
        <v>28</v>
      </c>
      <c r="W38" s="5">
        <v>54179</v>
      </c>
      <c r="X38" s="5">
        <v>53805.2</v>
      </c>
      <c r="Y38" s="5">
        <v>64306.6</v>
      </c>
      <c r="Z38" s="5">
        <v>76570.3</v>
      </c>
      <c r="AA38" s="5">
        <v>73488</v>
      </c>
      <c r="AC38" s="5" t="s">
        <v>97</v>
      </c>
      <c r="AD38" s="5">
        <v>4753</v>
      </c>
      <c r="AE38" s="5">
        <v>6156.5</v>
      </c>
      <c r="AF38" s="5">
        <v>12377.3</v>
      </c>
      <c r="AG38" s="5">
        <v>15450.1</v>
      </c>
      <c r="AH38" s="5">
        <v>18291.900000000001</v>
      </c>
    </row>
    <row r="39" spans="1:34" ht="43.2" x14ac:dyDescent="0.3">
      <c r="A39" s="4" t="s">
        <v>30</v>
      </c>
      <c r="B39" s="4">
        <v>623</v>
      </c>
      <c r="C39" s="4">
        <v>675</v>
      </c>
      <c r="D39" s="4">
        <v>707</v>
      </c>
      <c r="E39" s="4">
        <v>782</v>
      </c>
      <c r="F39" s="4">
        <v>830</v>
      </c>
      <c r="H39" s="4" t="s">
        <v>35</v>
      </c>
      <c r="I39" s="9">
        <v>4014</v>
      </c>
      <c r="J39" s="9">
        <v>4587</v>
      </c>
      <c r="K39" s="9">
        <v>4602</v>
      </c>
      <c r="L39" s="9">
        <v>7057</v>
      </c>
      <c r="M39" s="9">
        <v>6400</v>
      </c>
      <c r="O39" s="4" t="s">
        <v>35</v>
      </c>
      <c r="P39" s="5">
        <v>2179</v>
      </c>
      <c r="Q39" s="5">
        <v>1903</v>
      </c>
      <c r="R39" s="5">
        <v>1659</v>
      </c>
      <c r="S39" s="5">
        <v>1664</v>
      </c>
      <c r="T39" s="5">
        <v>2339</v>
      </c>
      <c r="V39" s="8" t="s">
        <v>86</v>
      </c>
      <c r="W39" s="6">
        <f>W37+W38</f>
        <v>55321.7</v>
      </c>
      <c r="X39" s="6">
        <f t="shared" ref="X39:AA39" si="18">X37+X38</f>
        <v>54901</v>
      </c>
      <c r="Y39" s="6">
        <f t="shared" si="18"/>
        <v>65403</v>
      </c>
      <c r="Z39" s="6">
        <f t="shared" si="18"/>
        <v>77667.900000000009</v>
      </c>
      <c r="AA39" s="6">
        <f t="shared" si="18"/>
        <v>74533</v>
      </c>
      <c r="AC39" s="5" t="s">
        <v>60</v>
      </c>
      <c r="AD39" s="5">
        <v>1.1000000000000001</v>
      </c>
      <c r="AE39" s="5">
        <v>3.7</v>
      </c>
      <c r="AF39" s="5">
        <v>5.7</v>
      </c>
      <c r="AG39" s="5">
        <v>7.1</v>
      </c>
      <c r="AH39" s="5">
        <f>0.1+9.2</f>
        <v>9.2999999999999989</v>
      </c>
    </row>
    <row r="40" spans="1:34" x14ac:dyDescent="0.3">
      <c r="A40" s="3" t="s">
        <v>31</v>
      </c>
      <c r="B40" s="7">
        <f>B38+B39</f>
        <v>84749</v>
      </c>
      <c r="C40" s="7">
        <f t="shared" ref="C40:F40" si="19">C38+C39</f>
        <v>87108</v>
      </c>
      <c r="D40" s="7">
        <f t="shared" si="19"/>
        <v>89846</v>
      </c>
      <c r="E40" s="7">
        <f t="shared" si="19"/>
        <v>91206</v>
      </c>
      <c r="F40" s="7">
        <f t="shared" si="19"/>
        <v>91319</v>
      </c>
      <c r="G40" s="13"/>
      <c r="H40" s="4" t="s">
        <v>37</v>
      </c>
      <c r="I40" s="9">
        <v>807</v>
      </c>
      <c r="J40" s="9">
        <v>1514</v>
      </c>
      <c r="K40" s="9">
        <v>2337</v>
      </c>
      <c r="L40" s="9">
        <v>2058</v>
      </c>
      <c r="M40" s="9">
        <v>2130</v>
      </c>
      <c r="O40" s="4" t="s">
        <v>70</v>
      </c>
      <c r="P40" s="5">
        <v>1194</v>
      </c>
      <c r="Q40" s="5">
        <v>973</v>
      </c>
      <c r="R40" s="5">
        <v>452</v>
      </c>
      <c r="S40" s="5">
        <v>506</v>
      </c>
      <c r="T40" s="5">
        <v>730</v>
      </c>
      <c r="V40" s="4" t="s">
        <v>60</v>
      </c>
      <c r="W40" s="5">
        <v>187.5</v>
      </c>
      <c r="X40" s="5">
        <v>149.80000000000001</v>
      </c>
      <c r="Y40" s="5">
        <v>51.5</v>
      </c>
      <c r="Z40" s="5">
        <v>58.9</v>
      </c>
      <c r="AA40" s="5">
        <v>134</v>
      </c>
      <c r="AC40" s="6" t="s">
        <v>61</v>
      </c>
      <c r="AD40" s="6">
        <f>SUM(AD35:AD39)</f>
        <v>5405.1</v>
      </c>
      <c r="AE40" s="6">
        <f t="shared" ref="AE40:AH40" si="20">SUM(AE35:AE39)</f>
        <v>7307.0999999999995</v>
      </c>
      <c r="AF40" s="6">
        <f t="shared" si="20"/>
        <v>14292.9</v>
      </c>
      <c r="AG40" s="6">
        <f t="shared" si="20"/>
        <v>16599.199999999997</v>
      </c>
      <c r="AH40" s="6">
        <f t="shared" si="20"/>
        <v>20026.400000000001</v>
      </c>
    </row>
    <row r="41" spans="1:34" x14ac:dyDescent="0.3">
      <c r="A41" s="249" t="s">
        <v>32</v>
      </c>
      <c r="B41" s="249"/>
      <c r="C41" s="249"/>
      <c r="D41" s="249"/>
      <c r="E41" s="249"/>
      <c r="F41" s="249"/>
      <c r="G41" s="15"/>
      <c r="H41" s="4" t="s">
        <v>64</v>
      </c>
      <c r="I41" s="9">
        <v>968</v>
      </c>
      <c r="J41" s="9">
        <v>875</v>
      </c>
      <c r="K41" s="9">
        <v>1156</v>
      </c>
      <c r="L41" s="9">
        <v>1220</v>
      </c>
      <c r="M41" s="9">
        <v>1794</v>
      </c>
      <c r="O41" s="4" t="s">
        <v>76</v>
      </c>
      <c r="P41" s="5">
        <v>1048</v>
      </c>
      <c r="Q41" s="5">
        <v>1333</v>
      </c>
      <c r="R41" s="5">
        <v>1415</v>
      </c>
      <c r="S41" s="5">
        <v>1315</v>
      </c>
      <c r="T41" s="5">
        <v>1612</v>
      </c>
      <c r="V41" s="3" t="s">
        <v>61</v>
      </c>
      <c r="W41" s="6">
        <f>W39+W40</f>
        <v>55509.2</v>
      </c>
      <c r="X41" s="6">
        <f t="shared" ref="X41:AA41" si="21">X39+X40</f>
        <v>55050.8</v>
      </c>
      <c r="Y41" s="6">
        <f t="shared" si="21"/>
        <v>65454.5</v>
      </c>
      <c r="Z41" s="6">
        <f t="shared" si="21"/>
        <v>77726.8</v>
      </c>
      <c r="AA41" s="6">
        <f t="shared" si="21"/>
        <v>74667</v>
      </c>
      <c r="AC41" s="253" t="s">
        <v>32</v>
      </c>
      <c r="AD41" s="254"/>
      <c r="AE41" s="254"/>
      <c r="AF41" s="254"/>
      <c r="AG41" s="254"/>
      <c r="AH41" s="255"/>
    </row>
    <row r="42" spans="1:34" x14ac:dyDescent="0.3">
      <c r="A42" s="249" t="s">
        <v>33</v>
      </c>
      <c r="B42" s="249"/>
      <c r="C42" s="249"/>
      <c r="D42" s="249"/>
      <c r="E42" s="249"/>
      <c r="F42" s="249"/>
      <c r="G42" s="15"/>
      <c r="H42" s="4" t="s">
        <v>65</v>
      </c>
      <c r="I42" s="9">
        <v>279</v>
      </c>
      <c r="J42" s="9">
        <v>763</v>
      </c>
      <c r="K42" s="9">
        <v>451</v>
      </c>
      <c r="L42" s="9">
        <v>500</v>
      </c>
      <c r="M42" s="9">
        <v>235</v>
      </c>
      <c r="O42" s="4" t="s">
        <v>64</v>
      </c>
      <c r="P42" s="5">
        <v>87</v>
      </c>
      <c r="Q42" s="5">
        <v>147</v>
      </c>
      <c r="R42" s="5">
        <v>112</v>
      </c>
      <c r="S42" s="5">
        <v>161</v>
      </c>
      <c r="T42" s="5">
        <v>771</v>
      </c>
      <c r="V42" s="257" t="s">
        <v>74</v>
      </c>
      <c r="W42" s="258"/>
      <c r="X42" s="258"/>
      <c r="Y42" s="258"/>
      <c r="Z42" s="258"/>
      <c r="AA42" s="259"/>
      <c r="AC42" s="253" t="s">
        <v>62</v>
      </c>
      <c r="AD42" s="254"/>
      <c r="AE42" s="254"/>
      <c r="AF42" s="254"/>
      <c r="AG42" s="254"/>
      <c r="AH42" s="255"/>
    </row>
    <row r="43" spans="1:34" x14ac:dyDescent="0.3">
      <c r="A43" s="249" t="s">
        <v>34</v>
      </c>
      <c r="B43" s="249"/>
      <c r="C43" s="249"/>
      <c r="D43" s="249"/>
      <c r="E43" s="249"/>
      <c r="F43" s="249"/>
      <c r="G43" s="15"/>
      <c r="H43" s="3" t="s">
        <v>43</v>
      </c>
      <c r="I43" s="10">
        <f>SUM(I39:I42)</f>
        <v>6068</v>
      </c>
      <c r="J43" s="10">
        <f t="shared" ref="J43:M43" si="22">SUM(J39:J42)</f>
        <v>7739</v>
      </c>
      <c r="K43" s="10">
        <f t="shared" si="22"/>
        <v>8546</v>
      </c>
      <c r="L43" s="10">
        <f t="shared" si="22"/>
        <v>10835</v>
      </c>
      <c r="M43" s="10">
        <f t="shared" si="22"/>
        <v>10559</v>
      </c>
      <c r="O43" s="4" t="s">
        <v>77</v>
      </c>
      <c r="P43" s="5">
        <v>399</v>
      </c>
      <c r="Q43" s="5">
        <v>545</v>
      </c>
      <c r="R43" s="5">
        <f>33+658</f>
        <v>691</v>
      </c>
      <c r="S43" s="5">
        <f>41+784</f>
        <v>825</v>
      </c>
      <c r="T43" s="5">
        <f>1048+57</f>
        <v>1105</v>
      </c>
      <c r="V43" s="257" t="s">
        <v>62</v>
      </c>
      <c r="W43" s="258"/>
      <c r="X43" s="258"/>
      <c r="Y43" s="258"/>
      <c r="Z43" s="258"/>
      <c r="AA43" s="259"/>
      <c r="AC43" s="253" t="s">
        <v>63</v>
      </c>
      <c r="AD43" s="254"/>
      <c r="AE43" s="254"/>
      <c r="AF43" s="254"/>
      <c r="AG43" s="254"/>
      <c r="AH43" s="255"/>
    </row>
    <row r="44" spans="1:34" x14ac:dyDescent="0.3">
      <c r="A44" s="4" t="s">
        <v>35</v>
      </c>
      <c r="B44" s="5">
        <v>6906</v>
      </c>
      <c r="C44" s="5">
        <v>6503</v>
      </c>
      <c r="D44" s="5">
        <v>6368</v>
      </c>
      <c r="E44" s="5">
        <v>6203</v>
      </c>
      <c r="F44" s="5">
        <v>6516</v>
      </c>
      <c r="G44" s="11"/>
      <c r="H44" s="249" t="s">
        <v>66</v>
      </c>
      <c r="I44" s="249"/>
      <c r="J44" s="249"/>
      <c r="K44" s="249"/>
      <c r="L44" s="249"/>
      <c r="M44" s="249"/>
      <c r="O44" s="3" t="s">
        <v>78</v>
      </c>
      <c r="P44" s="6">
        <f>SUM(P38:P43)</f>
        <v>7755</v>
      </c>
      <c r="Q44" s="6">
        <f t="shared" ref="Q44:T44" si="23">SUM(Q38:Q43)</f>
        <v>8729</v>
      </c>
      <c r="R44" s="6">
        <f t="shared" si="23"/>
        <v>8252</v>
      </c>
      <c r="S44" s="6">
        <f t="shared" si="23"/>
        <v>6582</v>
      </c>
      <c r="T44" s="6">
        <f t="shared" si="23"/>
        <v>8780</v>
      </c>
      <c r="V44" s="257" t="s">
        <v>63</v>
      </c>
      <c r="W44" s="258"/>
      <c r="X44" s="258"/>
      <c r="Y44" s="258"/>
      <c r="Z44" s="258"/>
      <c r="AA44" s="259"/>
      <c r="AC44" s="5" t="s">
        <v>35</v>
      </c>
      <c r="AD44" s="5">
        <v>757.1</v>
      </c>
      <c r="AE44" s="5">
        <v>637.5</v>
      </c>
      <c r="AF44" s="5">
        <v>1133.5999999999999</v>
      </c>
      <c r="AG44" s="5">
        <v>1187.2</v>
      </c>
      <c r="AH44" s="5">
        <v>1727.2</v>
      </c>
    </row>
    <row r="45" spans="1:34" x14ac:dyDescent="0.3">
      <c r="A45" s="4" t="s">
        <v>37</v>
      </c>
      <c r="B45" s="5">
        <v>291</v>
      </c>
      <c r="C45" s="5">
        <v>280</v>
      </c>
      <c r="D45" s="5">
        <v>572</v>
      </c>
      <c r="E45" s="5">
        <v>353</v>
      </c>
      <c r="F45" s="5">
        <v>365</v>
      </c>
      <c r="G45" s="11"/>
      <c r="H45" s="249" t="s">
        <v>63</v>
      </c>
      <c r="I45" s="249"/>
      <c r="J45" s="249"/>
      <c r="K45" s="249"/>
      <c r="L45" s="249"/>
      <c r="M45" s="249"/>
      <c r="O45" s="249" t="s">
        <v>44</v>
      </c>
      <c r="P45" s="249"/>
      <c r="Q45" s="249"/>
      <c r="R45" s="249"/>
      <c r="S45" s="249"/>
      <c r="T45" s="249"/>
      <c r="V45" s="4" t="s">
        <v>75</v>
      </c>
      <c r="W45" s="5">
        <v>484</v>
      </c>
      <c r="X45" s="5">
        <v>745.8</v>
      </c>
      <c r="Y45" s="5">
        <v>5646.3</v>
      </c>
      <c r="Z45" s="5">
        <v>6127.2</v>
      </c>
      <c r="AA45" s="5">
        <v>6230</v>
      </c>
      <c r="AC45" s="5" t="s">
        <v>37</v>
      </c>
      <c r="AD45" s="5">
        <v>288.39999999999998</v>
      </c>
      <c r="AE45" s="5">
        <v>44.5</v>
      </c>
      <c r="AF45" s="5">
        <v>24.9</v>
      </c>
      <c r="AG45" s="5">
        <v>177.4</v>
      </c>
      <c r="AH45" s="5">
        <v>31.8</v>
      </c>
    </row>
    <row r="46" spans="1:34" x14ac:dyDescent="0.3">
      <c r="A46" s="4" t="s">
        <v>38</v>
      </c>
      <c r="B46" s="5">
        <v>697</v>
      </c>
      <c r="C46" s="5">
        <v>1197</v>
      </c>
      <c r="D46" s="5">
        <v>1110</v>
      </c>
      <c r="E46" s="5">
        <v>1003</v>
      </c>
      <c r="F46" s="5">
        <v>482</v>
      </c>
      <c r="G46" s="11"/>
      <c r="H46" s="4" t="s">
        <v>36</v>
      </c>
      <c r="I46" s="5">
        <v>2852</v>
      </c>
      <c r="J46" s="5">
        <v>2645</v>
      </c>
      <c r="K46" s="5">
        <v>872</v>
      </c>
      <c r="L46" s="5">
        <v>1242</v>
      </c>
      <c r="M46" s="5">
        <v>1959</v>
      </c>
      <c r="O46" s="249" t="s">
        <v>34</v>
      </c>
      <c r="P46" s="249"/>
      <c r="Q46" s="249"/>
      <c r="R46" s="249"/>
      <c r="S46" s="249"/>
      <c r="T46" s="249"/>
      <c r="V46" s="4" t="s">
        <v>87</v>
      </c>
      <c r="W46" s="5">
        <v>13.8</v>
      </c>
      <c r="X46" s="5">
        <v>0</v>
      </c>
      <c r="Y46" s="5">
        <v>4.8</v>
      </c>
      <c r="Z46" s="5">
        <v>17.899999999999999</v>
      </c>
      <c r="AA46" s="5">
        <v>0.4</v>
      </c>
      <c r="AC46" s="5" t="s">
        <v>77</v>
      </c>
      <c r="AD46" s="5">
        <v>0</v>
      </c>
      <c r="AE46" s="5">
        <v>47.9</v>
      </c>
      <c r="AF46" s="5">
        <v>0</v>
      </c>
      <c r="AG46" s="5">
        <v>0</v>
      </c>
      <c r="AH46" s="5">
        <v>0</v>
      </c>
    </row>
    <row r="47" spans="1:34" x14ac:dyDescent="0.3">
      <c r="A47" s="4" t="s">
        <v>40</v>
      </c>
      <c r="B47" s="5">
        <v>417</v>
      </c>
      <c r="C47" s="5">
        <v>749</v>
      </c>
      <c r="D47" s="5">
        <v>677</v>
      </c>
      <c r="E47" s="5">
        <v>536</v>
      </c>
      <c r="F47" s="5">
        <v>686</v>
      </c>
      <c r="G47" s="11"/>
      <c r="H47" s="4" t="s">
        <v>35</v>
      </c>
      <c r="I47" s="5">
        <v>619</v>
      </c>
      <c r="J47" s="5">
        <v>738</v>
      </c>
      <c r="K47" s="5">
        <v>4134</v>
      </c>
      <c r="L47" s="5">
        <v>3865</v>
      </c>
      <c r="M47" s="5">
        <v>3956</v>
      </c>
      <c r="O47" s="4" t="s">
        <v>75</v>
      </c>
      <c r="P47" s="5">
        <v>1845</v>
      </c>
      <c r="Q47" s="5">
        <v>0</v>
      </c>
      <c r="R47" s="5">
        <v>62</v>
      </c>
      <c r="S47" s="5">
        <v>140</v>
      </c>
      <c r="T47" s="5">
        <v>104</v>
      </c>
      <c r="V47" s="4" t="s">
        <v>35</v>
      </c>
      <c r="W47" s="5">
        <v>1263.8</v>
      </c>
      <c r="X47" s="5">
        <v>1351.3</v>
      </c>
      <c r="Y47" s="5">
        <v>1517.7</v>
      </c>
      <c r="Z47" s="5">
        <v>1595.3</v>
      </c>
      <c r="AA47" s="5">
        <v>1396.2</v>
      </c>
      <c r="AC47" s="5" t="s">
        <v>64</v>
      </c>
      <c r="AD47" s="5">
        <v>10.1</v>
      </c>
      <c r="AE47" s="5">
        <v>3.5</v>
      </c>
      <c r="AF47" s="5">
        <v>10.5</v>
      </c>
      <c r="AG47" s="5">
        <v>14.7</v>
      </c>
      <c r="AH47" s="5">
        <v>18.7</v>
      </c>
    </row>
    <row r="48" spans="1:34" x14ac:dyDescent="0.3">
      <c r="A48" s="4" t="s">
        <v>42</v>
      </c>
      <c r="B48" s="5">
        <v>779</v>
      </c>
      <c r="C48" s="5">
        <v>767</v>
      </c>
      <c r="D48" s="5">
        <v>590</v>
      </c>
      <c r="E48" s="5">
        <v>792</v>
      </c>
      <c r="F48" s="5">
        <v>977</v>
      </c>
      <c r="G48" s="11"/>
      <c r="H48" s="4" t="s">
        <v>37</v>
      </c>
      <c r="I48" s="5">
        <v>10481</v>
      </c>
      <c r="J48" s="5">
        <v>11390</v>
      </c>
      <c r="K48" s="5">
        <v>15837</v>
      </c>
      <c r="L48" s="5">
        <v>18558</v>
      </c>
      <c r="M48" s="5">
        <v>16959</v>
      </c>
      <c r="O48" s="4" t="s">
        <v>36</v>
      </c>
      <c r="P48" s="5">
        <v>1166</v>
      </c>
      <c r="Q48" s="5">
        <v>1726</v>
      </c>
      <c r="R48" s="5">
        <f>2297+3981</f>
        <v>6278</v>
      </c>
      <c r="S48" s="5">
        <f>2526+3902</f>
        <v>6428</v>
      </c>
      <c r="T48" s="5">
        <f>2570+3283</f>
        <v>5853</v>
      </c>
      <c r="V48" s="4" t="s">
        <v>37</v>
      </c>
      <c r="W48" s="5">
        <v>15.1</v>
      </c>
      <c r="X48" s="5">
        <v>229.1</v>
      </c>
      <c r="Y48" s="5">
        <v>296.10000000000002</v>
      </c>
      <c r="Z48" s="5">
        <v>264.89999999999998</v>
      </c>
      <c r="AA48" s="5">
        <v>498.5</v>
      </c>
      <c r="AC48" s="5" t="s">
        <v>89</v>
      </c>
      <c r="AD48" s="5">
        <v>33</v>
      </c>
      <c r="AE48" s="5">
        <v>36.299999999999997</v>
      </c>
      <c r="AF48" s="5">
        <v>28.2</v>
      </c>
      <c r="AG48" s="5">
        <v>35</v>
      </c>
      <c r="AH48" s="5">
        <v>15.7</v>
      </c>
    </row>
    <row r="49" spans="1:34" x14ac:dyDescent="0.3">
      <c r="A49" s="3" t="s">
        <v>43</v>
      </c>
      <c r="B49" s="6">
        <f>SUM(B44:B48)</f>
        <v>9090</v>
      </c>
      <c r="C49" s="6">
        <f>SUM(C44:C48)</f>
        <v>9496</v>
      </c>
      <c r="D49" s="6">
        <f>SUM(D44:D48)</f>
        <v>9317</v>
      </c>
      <c r="E49" s="6">
        <f>SUM(E44:E48)</f>
        <v>8887</v>
      </c>
      <c r="F49" s="6">
        <f>SUM(F44:F48)</f>
        <v>9026</v>
      </c>
      <c r="G49" s="12"/>
      <c r="H49" s="4" t="s">
        <v>67</v>
      </c>
      <c r="I49" s="5">
        <v>4842</v>
      </c>
      <c r="J49" s="5">
        <v>6233</v>
      </c>
      <c r="K49" s="5">
        <v>9178</v>
      </c>
      <c r="L49" s="5">
        <v>10830</v>
      </c>
      <c r="M49" s="5">
        <v>10539</v>
      </c>
      <c r="O49" s="4" t="s">
        <v>35</v>
      </c>
      <c r="P49" s="5">
        <v>715</v>
      </c>
      <c r="Q49" s="5">
        <v>691</v>
      </c>
      <c r="R49" s="5">
        <v>699</v>
      </c>
      <c r="S49" s="5">
        <v>871</v>
      </c>
      <c r="T49" s="5">
        <v>1090</v>
      </c>
      <c r="V49" s="4" t="s">
        <v>64</v>
      </c>
      <c r="W49" s="5">
        <v>279.3</v>
      </c>
      <c r="X49" s="5">
        <v>460.6</v>
      </c>
      <c r="Y49" s="5">
        <v>1214.0999999999999</v>
      </c>
      <c r="Z49" s="5">
        <v>1515.3</v>
      </c>
      <c r="AA49" s="5">
        <v>1746.7</v>
      </c>
      <c r="AC49" s="6" t="s">
        <v>78</v>
      </c>
      <c r="AD49" s="6">
        <f>SUM(AD44:AD48)</f>
        <v>1088.5999999999999</v>
      </c>
      <c r="AE49" s="6">
        <f t="shared" ref="AE49:AH49" si="24">SUM(AE44:AE48)</f>
        <v>769.69999999999993</v>
      </c>
      <c r="AF49" s="6">
        <f t="shared" si="24"/>
        <v>1197.2</v>
      </c>
      <c r="AG49" s="6">
        <f t="shared" si="24"/>
        <v>1414.3000000000002</v>
      </c>
      <c r="AH49" s="6">
        <f t="shared" si="24"/>
        <v>1793.4</v>
      </c>
    </row>
    <row r="50" spans="1:34" x14ac:dyDescent="0.3">
      <c r="A50" s="249" t="s">
        <v>44</v>
      </c>
      <c r="B50" s="249"/>
      <c r="C50" s="249"/>
      <c r="D50" s="249"/>
      <c r="E50" s="249"/>
      <c r="F50" s="249"/>
      <c r="G50" s="15"/>
      <c r="H50" s="4" t="s">
        <v>45</v>
      </c>
      <c r="I50" s="5">
        <v>572</v>
      </c>
      <c r="J50" s="5">
        <v>713</v>
      </c>
      <c r="K50" s="5">
        <v>975</v>
      </c>
      <c r="L50" s="5">
        <v>1307</v>
      </c>
      <c r="M50" s="5">
        <v>1796</v>
      </c>
      <c r="O50" s="4" t="s">
        <v>70</v>
      </c>
      <c r="P50" s="5">
        <v>14340</v>
      </c>
      <c r="Q50" s="5">
        <v>8421</v>
      </c>
      <c r="R50" s="5">
        <f>4796+3380</f>
        <v>8176</v>
      </c>
      <c r="S50" s="5">
        <f>5210+3917</f>
        <v>9127</v>
      </c>
      <c r="T50" s="5">
        <f>5691+4155</f>
        <v>9846</v>
      </c>
      <c r="V50" s="4" t="s">
        <v>88</v>
      </c>
      <c r="W50" s="5">
        <v>1320.5</v>
      </c>
      <c r="X50" s="5">
        <v>1106.9000000000001</v>
      </c>
      <c r="Y50" s="5">
        <v>1781.8</v>
      </c>
      <c r="Z50" s="5">
        <v>2177.6999999999998</v>
      </c>
      <c r="AA50" s="5">
        <v>3709</v>
      </c>
      <c r="AC50" s="253" t="s">
        <v>44</v>
      </c>
      <c r="AD50" s="254"/>
      <c r="AE50" s="254"/>
      <c r="AF50" s="254"/>
      <c r="AG50" s="254"/>
      <c r="AH50" s="255"/>
    </row>
    <row r="51" spans="1:34" x14ac:dyDescent="0.3">
      <c r="A51" s="249" t="s">
        <v>34</v>
      </c>
      <c r="B51" s="249"/>
      <c r="C51" s="249"/>
      <c r="D51" s="249"/>
      <c r="E51" s="249"/>
      <c r="F51" s="249"/>
      <c r="G51" s="15"/>
      <c r="H51" s="4" t="s">
        <v>41</v>
      </c>
      <c r="I51" s="5">
        <v>1490</v>
      </c>
      <c r="J51" s="5">
        <v>2146</v>
      </c>
      <c r="K51" s="5">
        <v>2607</v>
      </c>
      <c r="L51" s="5">
        <v>3384</v>
      </c>
      <c r="M51" s="5">
        <v>3585</v>
      </c>
      <c r="O51" s="4" t="s">
        <v>79</v>
      </c>
      <c r="P51" s="5">
        <v>3889</v>
      </c>
      <c r="Q51" s="5">
        <v>4299</v>
      </c>
      <c r="R51" s="5">
        <v>1267</v>
      </c>
      <c r="S51" s="5">
        <v>1595</v>
      </c>
      <c r="T51" s="5">
        <v>2183</v>
      </c>
      <c r="V51" s="4" t="s">
        <v>77</v>
      </c>
      <c r="W51" s="5">
        <v>377.1</v>
      </c>
      <c r="X51" s="5">
        <v>478</v>
      </c>
      <c r="Y51" s="5">
        <v>485.1</v>
      </c>
      <c r="Z51" s="5">
        <v>638.6</v>
      </c>
      <c r="AA51" s="5">
        <v>875.1</v>
      </c>
      <c r="AC51" s="253" t="s">
        <v>63</v>
      </c>
      <c r="AD51" s="254"/>
      <c r="AE51" s="254"/>
      <c r="AF51" s="254"/>
      <c r="AG51" s="254"/>
      <c r="AH51" s="255"/>
    </row>
    <row r="52" spans="1:34" x14ac:dyDescent="0.3">
      <c r="A52" s="4" t="s">
        <v>35</v>
      </c>
      <c r="B52" s="5">
        <v>1268</v>
      </c>
      <c r="C52" s="5">
        <v>1292</v>
      </c>
      <c r="D52" s="5">
        <v>1450</v>
      </c>
      <c r="E52" s="5">
        <v>1485</v>
      </c>
      <c r="F52" s="5">
        <v>1505</v>
      </c>
      <c r="G52" s="11"/>
      <c r="H52" s="3" t="s">
        <v>46</v>
      </c>
      <c r="I52" s="6">
        <f>SUM(I46:I51)</f>
        <v>20856</v>
      </c>
      <c r="J52" s="6">
        <f t="shared" ref="J52:M52" si="25">SUM(J46:J51)</f>
        <v>23865</v>
      </c>
      <c r="K52" s="6">
        <f t="shared" si="25"/>
        <v>33603</v>
      </c>
      <c r="L52" s="6">
        <f t="shared" si="25"/>
        <v>39186</v>
      </c>
      <c r="M52" s="6">
        <f t="shared" si="25"/>
        <v>38794</v>
      </c>
      <c r="O52" s="4" t="s">
        <v>80</v>
      </c>
      <c r="P52" s="5">
        <v>706</v>
      </c>
      <c r="Q52" s="5">
        <v>963</v>
      </c>
      <c r="R52" s="5">
        <v>955</v>
      </c>
      <c r="S52" s="5">
        <v>1120</v>
      </c>
      <c r="T52" s="5">
        <v>1337</v>
      </c>
      <c r="V52" s="4" t="s">
        <v>89</v>
      </c>
      <c r="W52" s="5">
        <v>376.8</v>
      </c>
      <c r="X52" s="5">
        <v>305.7</v>
      </c>
      <c r="Y52" s="5">
        <v>272.10000000000002</v>
      </c>
      <c r="Z52" s="5">
        <v>294.7</v>
      </c>
      <c r="AA52" s="5">
        <v>421.9</v>
      </c>
      <c r="AC52" s="5" t="s">
        <v>75</v>
      </c>
      <c r="AD52" s="5">
        <v>32</v>
      </c>
      <c r="AE52" s="5">
        <v>41.4</v>
      </c>
      <c r="AF52" s="5">
        <v>51.9</v>
      </c>
      <c r="AG52" s="5">
        <v>125.3</v>
      </c>
      <c r="AH52" s="5">
        <v>40.700000000000003</v>
      </c>
    </row>
    <row r="53" spans="1:34" x14ac:dyDescent="0.3">
      <c r="A53" s="4" t="s">
        <v>36</v>
      </c>
      <c r="B53" s="5">
        <v>6740</v>
      </c>
      <c r="C53" s="5">
        <v>7860</v>
      </c>
      <c r="D53" s="5">
        <v>8045</v>
      </c>
      <c r="E53" s="5">
        <v>10515</v>
      </c>
      <c r="F53" s="5">
        <v>9981</v>
      </c>
      <c r="G53" s="11"/>
      <c r="H53" s="3" t="s">
        <v>68</v>
      </c>
      <c r="I53" s="7">
        <f>I35+I43+I52</f>
        <v>92768</v>
      </c>
      <c r="J53" s="7">
        <f t="shared" ref="J53:M53" si="26">J35+J43+J52</f>
        <v>108386</v>
      </c>
      <c r="K53" s="7">
        <f t="shared" si="26"/>
        <v>117885</v>
      </c>
      <c r="L53" s="7">
        <f t="shared" si="26"/>
        <v>125816</v>
      </c>
      <c r="M53" s="7">
        <f t="shared" si="26"/>
        <v>137814</v>
      </c>
      <c r="O53" s="4" t="s">
        <v>81</v>
      </c>
      <c r="P53" s="5">
        <v>1069</v>
      </c>
      <c r="Q53" s="5">
        <v>1283</v>
      </c>
      <c r="R53" s="5">
        <v>1338</v>
      </c>
      <c r="S53" s="5">
        <v>2150</v>
      </c>
      <c r="T53" s="5">
        <v>2313</v>
      </c>
      <c r="V53" s="3" t="s">
        <v>43</v>
      </c>
      <c r="W53" s="6">
        <f>SUM(W45:W52)</f>
        <v>4130.3999999999996</v>
      </c>
      <c r="X53" s="6">
        <f t="shared" ref="X53:AA53" si="27">SUM(X45:X52)</f>
        <v>4677.3999999999996</v>
      </c>
      <c r="Y53" s="6">
        <f t="shared" si="27"/>
        <v>11218</v>
      </c>
      <c r="Z53" s="6">
        <f t="shared" si="27"/>
        <v>12631.6</v>
      </c>
      <c r="AA53" s="6">
        <f t="shared" si="27"/>
        <v>14877.8</v>
      </c>
      <c r="AC53" s="253" t="s">
        <v>36</v>
      </c>
      <c r="AD53" s="254"/>
      <c r="AE53" s="254"/>
      <c r="AF53" s="254"/>
      <c r="AG53" s="254"/>
      <c r="AH53" s="255"/>
    </row>
    <row r="54" spans="1:34" x14ac:dyDescent="0.3">
      <c r="A54" s="4" t="s">
        <v>37</v>
      </c>
      <c r="B54" s="5">
        <v>6100</v>
      </c>
      <c r="C54" s="5">
        <v>6150</v>
      </c>
      <c r="D54" s="5">
        <v>7687</v>
      </c>
      <c r="E54" s="5">
        <v>9068</v>
      </c>
      <c r="F54" s="5">
        <v>8362</v>
      </c>
      <c r="G54" s="11"/>
      <c r="O54" s="3" t="s">
        <v>46</v>
      </c>
      <c r="P54" s="6">
        <f>SUM(P47:P53)</f>
        <v>23730</v>
      </c>
      <c r="Q54" s="6">
        <f t="shared" ref="Q54:T54" si="28">SUM(Q47:Q53)</f>
        <v>17383</v>
      </c>
      <c r="R54" s="6">
        <f t="shared" si="28"/>
        <v>18775</v>
      </c>
      <c r="S54" s="6">
        <f t="shared" si="28"/>
        <v>21431</v>
      </c>
      <c r="T54" s="6">
        <f t="shared" si="28"/>
        <v>22726</v>
      </c>
      <c r="V54" s="257" t="s">
        <v>44</v>
      </c>
      <c r="W54" s="258"/>
      <c r="X54" s="258"/>
      <c r="Y54" s="258"/>
      <c r="Z54" s="258"/>
      <c r="AA54" s="259"/>
      <c r="AC54" s="5" t="s">
        <v>98</v>
      </c>
      <c r="AD54" s="5">
        <v>7.9</v>
      </c>
      <c r="AE54" s="5">
        <v>8.1999999999999993</v>
      </c>
      <c r="AF54" s="5">
        <v>17</v>
      </c>
      <c r="AG54" s="5">
        <v>15.4</v>
      </c>
      <c r="AH54" s="5">
        <v>11.8</v>
      </c>
    </row>
    <row r="55" spans="1:34" x14ac:dyDescent="0.3">
      <c r="A55" s="4" t="s">
        <v>38</v>
      </c>
      <c r="B55" s="5">
        <v>2915</v>
      </c>
      <c r="C55" s="5">
        <v>3650</v>
      </c>
      <c r="D55" s="5">
        <v>3635</v>
      </c>
      <c r="E55" s="5">
        <v>3843</v>
      </c>
      <c r="F55" s="5">
        <v>3640</v>
      </c>
      <c r="G55" s="11"/>
      <c r="O55" s="3" t="s">
        <v>47</v>
      </c>
      <c r="P55" s="7">
        <f>P34+P44+P54</f>
        <v>82906</v>
      </c>
      <c r="Q55" s="7">
        <f t="shared" ref="Q55:T55" si="29">Q34+Q44+Q54</f>
        <v>86194</v>
      </c>
      <c r="R55" s="7">
        <f t="shared" si="29"/>
        <v>89033</v>
      </c>
      <c r="S55" s="7">
        <f t="shared" si="29"/>
        <v>93411</v>
      </c>
      <c r="T55" s="7">
        <f t="shared" si="29"/>
        <v>99777</v>
      </c>
      <c r="V55" s="257" t="s">
        <v>63</v>
      </c>
      <c r="W55" s="258"/>
      <c r="X55" s="258"/>
      <c r="Y55" s="258"/>
      <c r="Z55" s="258"/>
      <c r="AA55" s="259"/>
      <c r="AC55" s="5" t="s">
        <v>70</v>
      </c>
      <c r="AD55" s="5">
        <v>687.1</v>
      </c>
      <c r="AE55" s="5">
        <v>819.5</v>
      </c>
      <c r="AF55" s="5">
        <v>1308</v>
      </c>
      <c r="AG55" s="5">
        <v>1278.4000000000001</v>
      </c>
      <c r="AH55" s="5">
        <v>1482.1</v>
      </c>
    </row>
    <row r="56" spans="1:34" x14ac:dyDescent="0.3">
      <c r="A56" s="4" t="s">
        <v>39</v>
      </c>
      <c r="B56" s="5">
        <v>3283</v>
      </c>
      <c r="C56" s="5">
        <v>4068</v>
      </c>
      <c r="D56" s="5">
        <v>8392</v>
      </c>
      <c r="E56" s="5">
        <v>4892</v>
      </c>
      <c r="F56" s="5">
        <v>6524</v>
      </c>
      <c r="G56" s="11"/>
      <c r="I56" s="147">
        <f>I27-I52</f>
        <v>33720</v>
      </c>
      <c r="M56" s="147">
        <f>M27-M52</f>
        <v>50638</v>
      </c>
      <c r="V56" s="4" t="s">
        <v>75</v>
      </c>
      <c r="W56" s="5">
        <v>5402</v>
      </c>
      <c r="X56" s="5">
        <v>7587.4</v>
      </c>
      <c r="Y56" s="5">
        <v>9523.2999999999993</v>
      </c>
      <c r="Z56" s="5">
        <v>8882.1</v>
      </c>
      <c r="AA56" s="5">
        <v>7916.6</v>
      </c>
      <c r="AC56" s="5" t="s">
        <v>37</v>
      </c>
      <c r="AD56" s="5">
        <v>801.1</v>
      </c>
      <c r="AE56" s="5">
        <v>783.1</v>
      </c>
      <c r="AF56" s="5">
        <v>1598.1</v>
      </c>
      <c r="AG56" s="5">
        <v>1643.7</v>
      </c>
      <c r="AH56" s="5">
        <v>1488.7</v>
      </c>
    </row>
    <row r="57" spans="1:34" x14ac:dyDescent="0.3">
      <c r="A57" s="4" t="s">
        <v>45</v>
      </c>
      <c r="B57" s="5">
        <v>293</v>
      </c>
      <c r="C57" s="5">
        <v>1394</v>
      </c>
      <c r="D57" s="5">
        <v>1411</v>
      </c>
      <c r="E57" s="5">
        <v>345</v>
      </c>
      <c r="F57" s="5">
        <v>140</v>
      </c>
      <c r="G57" s="11"/>
      <c r="P57" s="147">
        <f>P27-P54</f>
        <v>14690</v>
      </c>
      <c r="S57" s="147">
        <f>S27-S54</f>
        <v>32146</v>
      </c>
      <c r="T57" s="147">
        <f>T27-T54</f>
        <v>36605</v>
      </c>
      <c r="V57" s="4" t="s">
        <v>36</v>
      </c>
      <c r="W57" s="5">
        <v>5840</v>
      </c>
      <c r="X57" s="5">
        <v>5181.6000000000004</v>
      </c>
      <c r="Y57" s="5">
        <v>6252.2</v>
      </c>
      <c r="Z57" s="5">
        <v>5972.3</v>
      </c>
      <c r="AA57" s="5">
        <v>5765.5</v>
      </c>
      <c r="AC57" s="5" t="s">
        <v>35</v>
      </c>
      <c r="AD57" s="5">
        <v>122.8</v>
      </c>
      <c r="AE57" s="5">
        <v>119.4</v>
      </c>
      <c r="AF57" s="5">
        <v>205.6</v>
      </c>
      <c r="AG57" s="5">
        <v>228.7</v>
      </c>
      <c r="AH57" s="5">
        <v>302.7</v>
      </c>
    </row>
    <row r="58" spans="1:34" x14ac:dyDescent="0.3">
      <c r="A58" s="4" t="s">
        <v>40</v>
      </c>
      <c r="B58" s="5">
        <v>2749</v>
      </c>
      <c r="C58" s="5">
        <v>3498</v>
      </c>
      <c r="D58" s="5">
        <v>3810</v>
      </c>
      <c r="E58" s="5">
        <v>4065</v>
      </c>
      <c r="F58" s="5">
        <v>4519</v>
      </c>
      <c r="G58" s="11"/>
      <c r="V58" s="4" t="s">
        <v>87</v>
      </c>
      <c r="W58" s="5">
        <v>723.1</v>
      </c>
      <c r="X58" s="5">
        <v>107</v>
      </c>
      <c r="Y58" s="5">
        <v>58.5</v>
      </c>
      <c r="Z58" s="5">
        <v>282.5</v>
      </c>
      <c r="AA58" s="5">
        <v>55.8</v>
      </c>
      <c r="AC58" s="5" t="s">
        <v>67</v>
      </c>
      <c r="AD58" s="5">
        <v>413.4</v>
      </c>
      <c r="AE58" s="5">
        <v>492.1</v>
      </c>
      <c r="AF58" s="5">
        <v>1046.2</v>
      </c>
      <c r="AG58" s="5">
        <v>1207</v>
      </c>
      <c r="AH58" s="5">
        <v>1412.6</v>
      </c>
    </row>
    <row r="59" spans="1:34" x14ac:dyDescent="0.3">
      <c r="A59" s="4" t="s">
        <v>41</v>
      </c>
      <c r="B59" s="5">
        <v>3712</v>
      </c>
      <c r="C59" s="5">
        <v>6243</v>
      </c>
      <c r="D59" s="5">
        <v>7921</v>
      </c>
      <c r="E59" s="5">
        <v>9345</v>
      </c>
      <c r="F59" s="5">
        <v>11433</v>
      </c>
      <c r="G59" s="11"/>
      <c r="V59" s="4" t="s">
        <v>35</v>
      </c>
      <c r="W59" s="5">
        <v>656</v>
      </c>
      <c r="X59" s="5">
        <v>766.9</v>
      </c>
      <c r="Y59" s="5">
        <v>905.6</v>
      </c>
      <c r="Z59" s="5">
        <v>862</v>
      </c>
      <c r="AA59" s="5">
        <v>922.1</v>
      </c>
      <c r="AC59" s="5" t="s">
        <v>80</v>
      </c>
      <c r="AD59" s="5">
        <v>258.8</v>
      </c>
      <c r="AE59" s="5">
        <v>354.2</v>
      </c>
      <c r="AF59" s="5">
        <v>629.20000000000005</v>
      </c>
      <c r="AG59" s="5">
        <v>813.4</v>
      </c>
      <c r="AH59" s="5">
        <v>848.6</v>
      </c>
    </row>
    <row r="60" spans="1:34" x14ac:dyDescent="0.3">
      <c r="A60" s="3" t="s">
        <v>46</v>
      </c>
      <c r="B60" s="6">
        <f>SUM(B52:B59)</f>
        <v>27060</v>
      </c>
      <c r="C60" s="6">
        <f>SUM(C52:C59)</f>
        <v>34155</v>
      </c>
      <c r="D60" s="6">
        <f t="shared" ref="D60:F60" si="30">SUM(D51:D59)</f>
        <v>42351</v>
      </c>
      <c r="E60" s="6">
        <f t="shared" si="30"/>
        <v>43558</v>
      </c>
      <c r="F60" s="6">
        <f t="shared" si="30"/>
        <v>46104</v>
      </c>
      <c r="G60" s="12"/>
      <c r="V60" s="4" t="s">
        <v>37</v>
      </c>
      <c r="W60" s="5">
        <v>3981</v>
      </c>
      <c r="X60" s="5">
        <v>2616.6</v>
      </c>
      <c r="Y60" s="5">
        <v>6962.2</v>
      </c>
      <c r="Z60" s="5">
        <v>3347.2</v>
      </c>
      <c r="AA60" s="5">
        <v>3318.3</v>
      </c>
      <c r="AC60" s="5" t="s">
        <v>41</v>
      </c>
      <c r="AD60" s="5">
        <v>8.1</v>
      </c>
      <c r="AE60" s="5">
        <v>14.4</v>
      </c>
      <c r="AF60" s="5">
        <v>236.3</v>
      </c>
      <c r="AG60" s="5">
        <v>170.7</v>
      </c>
      <c r="AH60" s="5">
        <v>156</v>
      </c>
    </row>
    <row r="61" spans="1:34" x14ac:dyDescent="0.3">
      <c r="A61" s="3" t="s">
        <v>47</v>
      </c>
      <c r="B61" s="7">
        <f>B49+B60+B40</f>
        <v>120899</v>
      </c>
      <c r="C61" s="7">
        <f>C49+C60+C40</f>
        <v>130759</v>
      </c>
      <c r="D61" s="7">
        <f>D49+D60+D40</f>
        <v>141514</v>
      </c>
      <c r="E61" s="7">
        <f>E49+E60+E40</f>
        <v>143651</v>
      </c>
      <c r="F61" s="7">
        <f>F49+F60+F40</f>
        <v>146449</v>
      </c>
      <c r="G61" s="13"/>
      <c r="V61" s="4" t="s">
        <v>90</v>
      </c>
      <c r="W61" s="5">
        <v>1877.5</v>
      </c>
      <c r="X61" s="5">
        <v>2253.5</v>
      </c>
      <c r="Y61" s="5">
        <v>2791.5</v>
      </c>
      <c r="Z61" s="5">
        <v>2268.1999999999998</v>
      </c>
      <c r="AA61" s="5">
        <v>1765.3</v>
      </c>
      <c r="AC61" s="6" t="s">
        <v>46</v>
      </c>
      <c r="AD61" s="6">
        <f>SUM(AD52,AD54:AD60)</f>
        <v>2331.1999999999998</v>
      </c>
      <c r="AE61" s="6">
        <f t="shared" ref="AE61:AH61" si="31">SUM(AE52,AE54:AE60)</f>
        <v>2632.3</v>
      </c>
      <c r="AF61" s="6">
        <f t="shared" si="31"/>
        <v>5092.3</v>
      </c>
      <c r="AG61" s="6">
        <f t="shared" si="31"/>
        <v>5482.5999999999995</v>
      </c>
      <c r="AH61" s="6">
        <f t="shared" si="31"/>
        <v>5743.2000000000007</v>
      </c>
    </row>
    <row r="62" spans="1:34" x14ac:dyDescent="0.3">
      <c r="V62" s="4" t="s">
        <v>81</v>
      </c>
      <c r="W62" s="5">
        <v>1173.0999999999999</v>
      </c>
      <c r="X62" s="5">
        <v>1732.4</v>
      </c>
      <c r="Y62" s="5">
        <v>1323.1</v>
      </c>
      <c r="Z62" s="5">
        <v>1884.6</v>
      </c>
      <c r="AA62" s="5">
        <v>2175.6</v>
      </c>
      <c r="AC62" s="6" t="s">
        <v>99</v>
      </c>
      <c r="AD62" s="6">
        <f>AD40+AD49+AD61</f>
        <v>8824.9000000000015</v>
      </c>
      <c r="AE62" s="6">
        <f t="shared" ref="AE62:AH62" si="32">AE40+AE49+AE61</f>
        <v>10709.099999999999</v>
      </c>
      <c r="AF62" s="6">
        <f t="shared" si="32"/>
        <v>20582.400000000001</v>
      </c>
      <c r="AG62" s="6">
        <f t="shared" si="32"/>
        <v>23496.099999999995</v>
      </c>
      <c r="AH62" s="6">
        <f t="shared" si="32"/>
        <v>27563.000000000004</v>
      </c>
    </row>
    <row r="63" spans="1:34" x14ac:dyDescent="0.3">
      <c r="V63" s="4" t="s">
        <v>67</v>
      </c>
      <c r="W63" s="5">
        <v>650.29999999999995</v>
      </c>
      <c r="X63" s="5">
        <v>975</v>
      </c>
      <c r="Y63" s="5">
        <v>1208.4000000000001</v>
      </c>
      <c r="Z63" s="5">
        <v>1433</v>
      </c>
      <c r="AA63" s="5">
        <v>1523.8</v>
      </c>
      <c r="AC63" s="2"/>
      <c r="AD63" s="2"/>
      <c r="AE63" s="2"/>
      <c r="AF63" s="2"/>
      <c r="AG63" s="2"/>
      <c r="AH63" s="2"/>
    </row>
    <row r="64" spans="1:34" x14ac:dyDescent="0.3">
      <c r="V64" s="4" t="s">
        <v>80</v>
      </c>
      <c r="W64" s="5">
        <v>1336.3</v>
      </c>
      <c r="X64" s="5">
        <v>1783.6</v>
      </c>
      <c r="Y64" s="5">
        <v>1808.1</v>
      </c>
      <c r="Z64" s="5">
        <v>1843.4</v>
      </c>
      <c r="AA64" s="5">
        <v>1802.8</v>
      </c>
      <c r="AC64" s="2"/>
      <c r="AD64" s="2"/>
      <c r="AE64" s="2"/>
      <c r="AF64" s="2"/>
      <c r="AG64" s="2"/>
      <c r="AH64" s="2"/>
    </row>
    <row r="65" spans="1:34" x14ac:dyDescent="0.3">
      <c r="A65" s="1" t="s">
        <v>397</v>
      </c>
      <c r="B65" s="147">
        <f>B32-B60</f>
        <v>63177</v>
      </c>
      <c r="F65" s="147">
        <f>F32-F60</f>
        <v>66880</v>
      </c>
      <c r="V65" s="3" t="s">
        <v>46</v>
      </c>
      <c r="W65" s="6">
        <f>SUM(W56:W64)</f>
        <v>21639.299999999996</v>
      </c>
      <c r="X65" s="6">
        <f t="shared" ref="X65:AA65" si="33">SUM(X56:X64)</f>
        <v>23004</v>
      </c>
      <c r="Y65" s="6">
        <f t="shared" si="33"/>
        <v>30832.899999999998</v>
      </c>
      <c r="Z65" s="6">
        <f t="shared" si="33"/>
        <v>26775.300000000003</v>
      </c>
      <c r="AA65" s="6">
        <f t="shared" si="33"/>
        <v>25245.799999999996</v>
      </c>
      <c r="AC65" s="2"/>
      <c r="AD65" s="2">
        <f>AD31-AD61</f>
        <v>3997.7999999999993</v>
      </c>
      <c r="AE65" s="2"/>
      <c r="AF65" s="2"/>
      <c r="AG65" s="2">
        <f>AG31-AG61</f>
        <v>11703.2</v>
      </c>
      <c r="AH65" s="2">
        <f>AH31-AH61</f>
        <v>13103.199999999997</v>
      </c>
    </row>
    <row r="66" spans="1:34" x14ac:dyDescent="0.3">
      <c r="V66" s="3" t="s">
        <v>47</v>
      </c>
      <c r="W66" s="6">
        <f>W41+W53+W65</f>
        <v>81278.899999999994</v>
      </c>
      <c r="X66" s="6">
        <f t="shared" ref="X66:AA66" si="34">X41+X53+X65</f>
        <v>82732.200000000012</v>
      </c>
      <c r="Y66" s="6">
        <f t="shared" si="34"/>
        <v>107505.4</v>
      </c>
      <c r="Z66" s="6">
        <f t="shared" si="34"/>
        <v>117133.70000000001</v>
      </c>
      <c r="AA66" s="6">
        <f t="shared" si="34"/>
        <v>114790.6</v>
      </c>
      <c r="AC66" s="2"/>
      <c r="AD66" s="2"/>
      <c r="AE66" s="2"/>
      <c r="AF66" s="2"/>
      <c r="AG66" s="2"/>
      <c r="AH66" s="2"/>
    </row>
    <row r="67" spans="1:34" x14ac:dyDescent="0.3">
      <c r="AC67" s="2"/>
      <c r="AD67" s="2"/>
      <c r="AE67" s="2"/>
      <c r="AF67" s="2"/>
      <c r="AG67" s="2"/>
      <c r="AH67" s="2"/>
    </row>
    <row r="68" spans="1:34" x14ac:dyDescent="0.3">
      <c r="W68" s="147">
        <f>W33-W65</f>
        <v>30345.80000000001</v>
      </c>
      <c r="Z68" s="147">
        <f>Z33-Z65</f>
        <v>39334.299999999988</v>
      </c>
      <c r="AA68" s="147">
        <f>AA33-AA65</f>
        <v>39820.400000000009</v>
      </c>
      <c r="AC68" s="2"/>
      <c r="AD68" s="2"/>
      <c r="AE68" s="2"/>
      <c r="AF68" s="2"/>
      <c r="AG68" s="2"/>
      <c r="AH68" s="2"/>
    </row>
    <row r="69" spans="1:34" x14ac:dyDescent="0.3">
      <c r="AC69" s="2"/>
      <c r="AD69" s="2"/>
      <c r="AE69" s="2"/>
      <c r="AF69" s="2"/>
      <c r="AG69" s="2"/>
      <c r="AH69" s="2"/>
    </row>
    <row r="70" spans="1:34" x14ac:dyDescent="0.3">
      <c r="AC70" s="2"/>
      <c r="AD70" s="2"/>
      <c r="AE70" s="2"/>
      <c r="AF70" s="2"/>
      <c r="AG70" s="2"/>
      <c r="AH70" s="2"/>
    </row>
    <row r="71" spans="1:34" x14ac:dyDescent="0.3">
      <c r="AC71" s="2"/>
      <c r="AD71" s="2"/>
      <c r="AE71" s="2"/>
      <c r="AF71" s="2"/>
      <c r="AG71" s="2"/>
      <c r="AH71" s="2"/>
    </row>
    <row r="72" spans="1:34" x14ac:dyDescent="0.3">
      <c r="AC72" s="2"/>
      <c r="AD72" s="2"/>
      <c r="AE72" s="2"/>
      <c r="AF72" s="2"/>
      <c r="AG72" s="2"/>
      <c r="AH72" s="2"/>
    </row>
    <row r="73" spans="1:34" x14ac:dyDescent="0.3">
      <c r="AC73" s="2"/>
      <c r="AD73" s="2"/>
      <c r="AE73" s="2"/>
      <c r="AF73" s="2"/>
      <c r="AG73" s="2"/>
      <c r="AH73" s="2"/>
    </row>
    <row r="74" spans="1:34" x14ac:dyDescent="0.3">
      <c r="AC74" s="2"/>
      <c r="AD74" s="2"/>
      <c r="AE74" s="2"/>
      <c r="AF74" s="2"/>
      <c r="AG74" s="2"/>
      <c r="AH74" s="2"/>
    </row>
    <row r="75" spans="1:34" x14ac:dyDescent="0.3">
      <c r="AC75" s="2"/>
      <c r="AD75" s="2"/>
      <c r="AE75" s="2"/>
      <c r="AF75" s="2"/>
      <c r="AG75" s="2"/>
      <c r="AH75" s="2"/>
    </row>
    <row r="76" spans="1:34" x14ac:dyDescent="0.3">
      <c r="AC76" s="2"/>
      <c r="AD76" s="2"/>
      <c r="AE76" s="2"/>
      <c r="AF76" s="2"/>
      <c r="AG76" s="2"/>
      <c r="AH76" s="2"/>
    </row>
    <row r="77" spans="1:34" x14ac:dyDescent="0.3">
      <c r="AC77" s="2"/>
      <c r="AD77" s="2"/>
      <c r="AE77" s="2"/>
      <c r="AF77" s="2"/>
      <c r="AG77" s="2"/>
      <c r="AH77" s="2"/>
    </row>
    <row r="78" spans="1:34" x14ac:dyDescent="0.3">
      <c r="AC78" s="2"/>
      <c r="AD78" s="2"/>
      <c r="AE78" s="2"/>
      <c r="AF78" s="2"/>
      <c r="AG78" s="2"/>
      <c r="AH78" s="2"/>
    </row>
    <row r="79" spans="1:34" x14ac:dyDescent="0.3">
      <c r="AC79" s="2"/>
      <c r="AD79" s="2"/>
      <c r="AE79" s="2"/>
      <c r="AF79" s="2"/>
      <c r="AG79" s="2"/>
      <c r="AH79" s="2"/>
    </row>
    <row r="80" spans="1:34" x14ac:dyDescent="0.3">
      <c r="AC80" s="2"/>
      <c r="AD80" s="2"/>
      <c r="AE80" s="2"/>
      <c r="AF80" s="2"/>
      <c r="AG80" s="2"/>
      <c r="AH80" s="2"/>
    </row>
    <row r="81" spans="29:34" x14ac:dyDescent="0.3">
      <c r="AC81" s="2"/>
      <c r="AD81" s="2"/>
      <c r="AE81" s="2"/>
      <c r="AF81" s="2"/>
      <c r="AG81" s="2"/>
      <c r="AH81" s="2"/>
    </row>
    <row r="82" spans="29:34" x14ac:dyDescent="0.3">
      <c r="AC82" s="2"/>
      <c r="AD82" s="2"/>
      <c r="AE82" s="2"/>
      <c r="AF82" s="2"/>
      <c r="AG82" s="2"/>
      <c r="AH82" s="2"/>
    </row>
    <row r="83" spans="29:34" x14ac:dyDescent="0.3">
      <c r="AC83" s="2"/>
      <c r="AD83" s="2"/>
      <c r="AE83" s="2"/>
      <c r="AF83" s="2"/>
      <c r="AG83" s="2"/>
      <c r="AH83" s="2"/>
    </row>
    <row r="84" spans="29:34" x14ac:dyDescent="0.3">
      <c r="AC84" s="2"/>
      <c r="AD84" s="2"/>
      <c r="AE84" s="2"/>
      <c r="AF84" s="2"/>
      <c r="AG84" s="2"/>
      <c r="AH84" s="2"/>
    </row>
    <row r="85" spans="29:34" x14ac:dyDescent="0.3">
      <c r="AC85" s="2"/>
      <c r="AD85" s="2"/>
      <c r="AE85" s="2"/>
      <c r="AF85" s="2"/>
      <c r="AG85" s="2"/>
      <c r="AH85" s="2"/>
    </row>
    <row r="86" spans="29:34" x14ac:dyDescent="0.3">
      <c r="AC86" s="2"/>
      <c r="AD86" s="2"/>
      <c r="AE86" s="2"/>
      <c r="AF86" s="2"/>
      <c r="AG86" s="2"/>
      <c r="AH86" s="2"/>
    </row>
    <row r="87" spans="29:34" x14ac:dyDescent="0.3">
      <c r="AC87" s="2"/>
      <c r="AD87" s="2"/>
      <c r="AE87" s="2"/>
      <c r="AF87" s="2"/>
      <c r="AG87" s="2"/>
      <c r="AH87" s="2"/>
    </row>
    <row r="88" spans="29:34" x14ac:dyDescent="0.3">
      <c r="AC88" s="2"/>
      <c r="AD88" s="2"/>
      <c r="AE88" s="2"/>
      <c r="AF88" s="2"/>
      <c r="AG88" s="2"/>
      <c r="AH88" s="2"/>
    </row>
    <row r="89" spans="29:34" x14ac:dyDescent="0.3">
      <c r="AC89" s="2"/>
      <c r="AD89" s="2"/>
      <c r="AE89" s="2"/>
      <c r="AF89" s="2"/>
      <c r="AG89" s="2"/>
      <c r="AH89" s="2"/>
    </row>
    <row r="90" spans="29:34" x14ac:dyDescent="0.3">
      <c r="AC90" s="2"/>
      <c r="AD90" s="2"/>
      <c r="AE90" s="2"/>
      <c r="AF90" s="2"/>
      <c r="AG90" s="2"/>
      <c r="AH90" s="2"/>
    </row>
    <row r="91" spans="29:34" x14ac:dyDescent="0.3">
      <c r="AC91" s="2"/>
      <c r="AD91" s="2"/>
      <c r="AE91" s="2"/>
      <c r="AF91" s="2"/>
      <c r="AG91" s="2"/>
      <c r="AH91" s="2"/>
    </row>
    <row r="92" spans="29:34" x14ac:dyDescent="0.3">
      <c r="AC92" s="2"/>
      <c r="AD92" s="2"/>
      <c r="AE92" s="2"/>
      <c r="AF92" s="2"/>
      <c r="AG92" s="2"/>
      <c r="AH92" s="2"/>
    </row>
    <row r="93" spans="29:34" x14ac:dyDescent="0.3">
      <c r="AC93" s="2"/>
      <c r="AD93" s="2"/>
      <c r="AE93" s="2"/>
      <c r="AF93" s="2"/>
      <c r="AG93" s="2"/>
      <c r="AH93" s="2"/>
    </row>
    <row r="94" spans="29:34" x14ac:dyDescent="0.3">
      <c r="AC94" s="2"/>
      <c r="AD94" s="2"/>
      <c r="AE94" s="2"/>
      <c r="AF94" s="2"/>
      <c r="AG94" s="2"/>
      <c r="AH94" s="2"/>
    </row>
    <row r="95" spans="29:34" x14ac:dyDescent="0.3">
      <c r="AC95" s="2"/>
      <c r="AD95" s="2"/>
      <c r="AE95" s="2"/>
      <c r="AF95" s="2"/>
      <c r="AG95" s="2"/>
      <c r="AH95" s="2"/>
    </row>
    <row r="96" spans="29:34" x14ac:dyDescent="0.3">
      <c r="AC96" s="2"/>
      <c r="AD96" s="2"/>
      <c r="AE96" s="2"/>
      <c r="AF96" s="2"/>
      <c r="AG96" s="2"/>
      <c r="AH96" s="2"/>
    </row>
    <row r="97" spans="29:34" x14ac:dyDescent="0.3">
      <c r="AC97" s="2"/>
      <c r="AD97" s="2"/>
      <c r="AE97" s="2"/>
      <c r="AF97" s="2"/>
      <c r="AG97" s="2"/>
      <c r="AH97" s="2"/>
    </row>
    <row r="98" spans="29:34" x14ac:dyDescent="0.3">
      <c r="AC98" s="2"/>
      <c r="AD98" s="2"/>
      <c r="AE98" s="2"/>
      <c r="AF98" s="2"/>
      <c r="AG98" s="2"/>
      <c r="AH98" s="2"/>
    </row>
    <row r="99" spans="29:34" x14ac:dyDescent="0.3">
      <c r="AC99" s="2"/>
      <c r="AD99" s="2"/>
      <c r="AE99" s="2"/>
      <c r="AF99" s="2"/>
      <c r="AG99" s="2"/>
      <c r="AH99" s="2"/>
    </row>
    <row r="100" spans="29:34" x14ac:dyDescent="0.3">
      <c r="AC100" s="2"/>
      <c r="AD100" s="2"/>
      <c r="AE100" s="2"/>
      <c r="AF100" s="2"/>
      <c r="AG100" s="2"/>
      <c r="AH100" s="2"/>
    </row>
    <row r="101" spans="29:34" x14ac:dyDescent="0.3">
      <c r="AC101" s="2"/>
      <c r="AD101" s="2"/>
      <c r="AE101" s="2"/>
      <c r="AF101" s="2"/>
      <c r="AG101" s="2"/>
      <c r="AH101" s="2"/>
    </row>
    <row r="102" spans="29:34" x14ac:dyDescent="0.3">
      <c r="AC102" s="2"/>
      <c r="AD102" s="2"/>
      <c r="AE102" s="2"/>
      <c r="AF102" s="2"/>
      <c r="AG102" s="2"/>
      <c r="AH102" s="2"/>
    </row>
    <row r="103" spans="29:34" x14ac:dyDescent="0.3">
      <c r="AC103" s="2"/>
      <c r="AD103" s="2"/>
      <c r="AE103" s="2"/>
      <c r="AF103" s="2"/>
      <c r="AG103" s="2"/>
      <c r="AH103" s="2"/>
    </row>
    <row r="104" spans="29:34" x14ac:dyDescent="0.3">
      <c r="AC104" s="2"/>
      <c r="AD104" s="2"/>
      <c r="AE104" s="2"/>
      <c r="AF104" s="2"/>
      <c r="AG104" s="2"/>
      <c r="AH104" s="2"/>
    </row>
    <row r="105" spans="29:34" x14ac:dyDescent="0.3">
      <c r="AC105" s="2"/>
      <c r="AD105" s="2"/>
      <c r="AE105" s="2"/>
      <c r="AF105" s="2"/>
      <c r="AG105" s="2"/>
      <c r="AH105" s="2"/>
    </row>
    <row r="106" spans="29:34" x14ac:dyDescent="0.3">
      <c r="AC106" s="2"/>
      <c r="AD106" s="2"/>
      <c r="AE106" s="2"/>
      <c r="AF106" s="2"/>
      <c r="AG106" s="2"/>
      <c r="AH106" s="2"/>
    </row>
    <row r="107" spans="29:34" x14ac:dyDescent="0.3">
      <c r="AC107" s="2"/>
      <c r="AD107" s="2"/>
      <c r="AE107" s="2"/>
      <c r="AF107" s="2"/>
      <c r="AG107" s="2"/>
      <c r="AH107" s="2"/>
    </row>
    <row r="108" spans="29:34" x14ac:dyDescent="0.3">
      <c r="AC108" s="2"/>
      <c r="AD108" s="2"/>
      <c r="AE108" s="2"/>
      <c r="AF108" s="2"/>
      <c r="AG108" s="2"/>
      <c r="AH108" s="2"/>
    </row>
    <row r="109" spans="29:34" x14ac:dyDescent="0.3">
      <c r="AC109" s="2"/>
      <c r="AD109" s="2"/>
      <c r="AE109" s="2"/>
      <c r="AF109" s="2"/>
      <c r="AG109" s="2"/>
      <c r="AH109" s="2"/>
    </row>
    <row r="110" spans="29:34" x14ac:dyDescent="0.3">
      <c r="AC110" s="2"/>
      <c r="AD110" s="2"/>
      <c r="AE110" s="2"/>
      <c r="AF110" s="2"/>
      <c r="AG110" s="2"/>
      <c r="AH110" s="2"/>
    </row>
    <row r="111" spans="29:34" x14ac:dyDescent="0.3">
      <c r="AC111" s="2"/>
      <c r="AD111" s="2"/>
      <c r="AE111" s="2"/>
      <c r="AF111" s="2"/>
      <c r="AG111" s="2"/>
      <c r="AH111" s="2"/>
    </row>
    <row r="112" spans="29:34" x14ac:dyDescent="0.3">
      <c r="AC112" s="2"/>
      <c r="AD112" s="2"/>
      <c r="AE112" s="2"/>
      <c r="AF112" s="2"/>
      <c r="AG112" s="2"/>
      <c r="AH112" s="2"/>
    </row>
    <row r="113" spans="29:34" x14ac:dyDescent="0.3">
      <c r="AC113" s="2"/>
      <c r="AD113" s="2"/>
      <c r="AE113" s="2"/>
      <c r="AF113" s="2"/>
      <c r="AG113" s="2"/>
      <c r="AH113" s="2"/>
    </row>
    <row r="114" spans="29:34" x14ac:dyDescent="0.3">
      <c r="AC114" s="2"/>
      <c r="AD114" s="2"/>
      <c r="AE114" s="2"/>
      <c r="AF114" s="2"/>
      <c r="AG114" s="2"/>
      <c r="AH114" s="2"/>
    </row>
    <row r="115" spans="29:34" x14ac:dyDescent="0.3">
      <c r="AC115" s="2"/>
      <c r="AD115" s="2"/>
      <c r="AE115" s="2"/>
      <c r="AF115" s="2"/>
      <c r="AG115" s="2"/>
      <c r="AH115" s="2"/>
    </row>
    <row r="116" spans="29:34" x14ac:dyDescent="0.3">
      <c r="AC116" s="2"/>
      <c r="AD116" s="2"/>
      <c r="AE116" s="2"/>
      <c r="AF116" s="2"/>
      <c r="AG116" s="2"/>
      <c r="AH116" s="2"/>
    </row>
    <row r="117" spans="29:34" x14ac:dyDescent="0.3">
      <c r="AC117" s="2"/>
      <c r="AD117" s="2"/>
      <c r="AE117" s="2"/>
      <c r="AF117" s="2"/>
      <c r="AG117" s="2"/>
      <c r="AH117" s="2"/>
    </row>
    <row r="118" spans="29:34" x14ac:dyDescent="0.3">
      <c r="AC118" s="2"/>
      <c r="AD118" s="2"/>
      <c r="AE118" s="2"/>
      <c r="AF118" s="2"/>
      <c r="AG118" s="2"/>
      <c r="AH118" s="2"/>
    </row>
    <row r="119" spans="29:34" x14ac:dyDescent="0.3">
      <c r="AC119" s="2"/>
      <c r="AD119" s="2"/>
      <c r="AE119" s="2"/>
      <c r="AF119" s="2"/>
      <c r="AG119" s="2"/>
      <c r="AH119" s="2"/>
    </row>
    <row r="120" spans="29:34" x14ac:dyDescent="0.3">
      <c r="AC120" s="2"/>
      <c r="AD120" s="2"/>
      <c r="AE120" s="2"/>
      <c r="AF120" s="2"/>
      <c r="AG120" s="2"/>
      <c r="AH120" s="2"/>
    </row>
    <row r="121" spans="29:34" x14ac:dyDescent="0.3">
      <c r="AC121" s="2"/>
      <c r="AD121" s="2"/>
      <c r="AE121" s="2"/>
      <c r="AF121" s="2"/>
      <c r="AG121" s="2"/>
      <c r="AH121" s="2"/>
    </row>
    <row r="122" spans="29:34" x14ac:dyDescent="0.3">
      <c r="AC122" s="2"/>
      <c r="AD122" s="2"/>
      <c r="AE122" s="2"/>
      <c r="AF122" s="2"/>
      <c r="AG122" s="2"/>
      <c r="AH122" s="2"/>
    </row>
    <row r="123" spans="29:34" x14ac:dyDescent="0.3">
      <c r="AC123" s="2"/>
      <c r="AD123" s="2"/>
      <c r="AE123" s="2"/>
      <c r="AF123" s="2"/>
      <c r="AG123" s="2"/>
      <c r="AH123" s="2"/>
    </row>
    <row r="124" spans="29:34" x14ac:dyDescent="0.3">
      <c r="AC124" s="2"/>
      <c r="AD124" s="2"/>
      <c r="AE124" s="2"/>
      <c r="AF124" s="2"/>
      <c r="AG124" s="2"/>
      <c r="AH124" s="2"/>
    </row>
    <row r="125" spans="29:34" x14ac:dyDescent="0.3">
      <c r="AC125" s="2"/>
      <c r="AD125" s="2"/>
      <c r="AE125" s="2"/>
      <c r="AF125" s="2"/>
      <c r="AG125" s="2"/>
      <c r="AH125" s="2"/>
    </row>
    <row r="126" spans="29:34" x14ac:dyDescent="0.3">
      <c r="AC126" s="2"/>
      <c r="AD126" s="2"/>
      <c r="AE126" s="2"/>
      <c r="AF126" s="2"/>
      <c r="AG126" s="2"/>
      <c r="AH126" s="2"/>
    </row>
    <row r="127" spans="29:34" x14ac:dyDescent="0.3">
      <c r="AC127" s="2"/>
      <c r="AD127" s="2"/>
      <c r="AE127" s="2"/>
      <c r="AF127" s="2"/>
      <c r="AG127" s="2"/>
      <c r="AH127" s="2"/>
    </row>
    <row r="128" spans="29:34" x14ac:dyDescent="0.3">
      <c r="AC128" s="2"/>
      <c r="AD128" s="2"/>
      <c r="AE128" s="2"/>
      <c r="AF128" s="2"/>
      <c r="AG128" s="2"/>
      <c r="AH128" s="2"/>
    </row>
    <row r="129" spans="29:34" x14ac:dyDescent="0.3">
      <c r="AC129" s="2"/>
      <c r="AD129" s="2"/>
      <c r="AE129" s="2"/>
      <c r="AF129" s="2"/>
      <c r="AG129" s="2"/>
      <c r="AH129" s="2"/>
    </row>
    <row r="130" spans="29:34" x14ac:dyDescent="0.3">
      <c r="AC130" s="2"/>
      <c r="AD130" s="2"/>
      <c r="AE130" s="2"/>
      <c r="AF130" s="2"/>
      <c r="AG130" s="2"/>
      <c r="AH130" s="2"/>
    </row>
    <row r="131" spans="29:34" x14ac:dyDescent="0.3">
      <c r="AC131" s="2"/>
      <c r="AD131" s="2"/>
      <c r="AE131" s="2"/>
      <c r="AF131" s="2"/>
      <c r="AG131" s="2"/>
      <c r="AH131" s="2"/>
    </row>
    <row r="132" spans="29:34" x14ac:dyDescent="0.3">
      <c r="AC132" s="2"/>
      <c r="AD132" s="2"/>
      <c r="AE132" s="2"/>
      <c r="AF132" s="2"/>
      <c r="AG132" s="2"/>
      <c r="AH132" s="2"/>
    </row>
    <row r="133" spans="29:34" x14ac:dyDescent="0.3">
      <c r="AC133" s="2"/>
      <c r="AD133" s="2"/>
      <c r="AE133" s="2"/>
      <c r="AF133" s="2"/>
      <c r="AG133" s="2"/>
      <c r="AH133" s="2"/>
    </row>
    <row r="134" spans="29:34" x14ac:dyDescent="0.3">
      <c r="AC134" s="2"/>
      <c r="AD134" s="2"/>
      <c r="AE134" s="2"/>
      <c r="AF134" s="2"/>
      <c r="AG134" s="2"/>
      <c r="AH134" s="2"/>
    </row>
    <row r="135" spans="29:34" x14ac:dyDescent="0.3">
      <c r="AC135" s="2"/>
      <c r="AD135" s="2"/>
      <c r="AE135" s="2"/>
      <c r="AF135" s="2"/>
      <c r="AG135" s="2"/>
      <c r="AH135" s="2"/>
    </row>
    <row r="136" spans="29:34" x14ac:dyDescent="0.3">
      <c r="AC136" s="2"/>
      <c r="AD136" s="2"/>
      <c r="AE136" s="2"/>
      <c r="AF136" s="2"/>
      <c r="AG136" s="2"/>
      <c r="AH136" s="2"/>
    </row>
    <row r="137" spans="29:34" x14ac:dyDescent="0.3">
      <c r="AC137" s="2"/>
      <c r="AD137" s="2"/>
      <c r="AE137" s="2"/>
      <c r="AF137" s="2"/>
      <c r="AG137" s="2"/>
      <c r="AH137" s="2"/>
    </row>
    <row r="138" spans="29:34" x14ac:dyDescent="0.3">
      <c r="AC138" s="2"/>
      <c r="AD138" s="2"/>
      <c r="AE138" s="2"/>
      <c r="AF138" s="2"/>
      <c r="AG138" s="2"/>
      <c r="AH138" s="2"/>
    </row>
    <row r="139" spans="29:34" x14ac:dyDescent="0.3">
      <c r="AC139" s="2"/>
      <c r="AD139" s="2"/>
      <c r="AE139" s="2"/>
      <c r="AF139" s="2"/>
      <c r="AG139" s="2"/>
      <c r="AH139" s="2"/>
    </row>
    <row r="140" spans="29:34" x14ac:dyDescent="0.3">
      <c r="AC140" s="2"/>
      <c r="AD140" s="2"/>
      <c r="AE140" s="2"/>
      <c r="AF140" s="2"/>
      <c r="AG140" s="2"/>
      <c r="AH140" s="2"/>
    </row>
    <row r="141" spans="29:34" x14ac:dyDescent="0.3">
      <c r="AC141" s="2"/>
      <c r="AD141" s="2"/>
      <c r="AE141" s="2"/>
      <c r="AF141" s="2"/>
      <c r="AG141" s="2"/>
      <c r="AH141" s="2"/>
    </row>
    <row r="142" spans="29:34" x14ac:dyDescent="0.3">
      <c r="AC142" s="2"/>
      <c r="AD142" s="2"/>
      <c r="AE142" s="2"/>
      <c r="AF142" s="2"/>
      <c r="AG142" s="2"/>
      <c r="AH142" s="2"/>
    </row>
    <row r="143" spans="29:34" x14ac:dyDescent="0.3">
      <c r="AC143" s="2"/>
      <c r="AD143" s="2"/>
      <c r="AE143" s="2"/>
      <c r="AF143" s="2"/>
      <c r="AG143" s="2"/>
      <c r="AH143" s="2"/>
    </row>
    <row r="144" spans="29:34" x14ac:dyDescent="0.3">
      <c r="AC144" s="2"/>
      <c r="AD144" s="2"/>
      <c r="AE144" s="2"/>
      <c r="AF144" s="2"/>
      <c r="AG144" s="2"/>
      <c r="AH144" s="2"/>
    </row>
    <row r="145" spans="29:34" x14ac:dyDescent="0.3">
      <c r="AC145" s="2"/>
      <c r="AD145" s="2"/>
      <c r="AE145" s="2"/>
      <c r="AF145" s="2"/>
      <c r="AG145" s="2"/>
      <c r="AH145" s="2"/>
    </row>
    <row r="146" spans="29:34" x14ac:dyDescent="0.3">
      <c r="AC146" s="2"/>
      <c r="AD146" s="2"/>
      <c r="AE146" s="2"/>
      <c r="AF146" s="2"/>
      <c r="AG146" s="2"/>
      <c r="AH146" s="2"/>
    </row>
    <row r="147" spans="29:34" x14ac:dyDescent="0.3">
      <c r="AC147" s="2"/>
      <c r="AD147" s="2"/>
      <c r="AE147" s="2"/>
      <c r="AF147" s="2"/>
      <c r="AG147" s="2"/>
      <c r="AH147" s="2"/>
    </row>
    <row r="148" spans="29:34" x14ac:dyDescent="0.3">
      <c r="AC148" s="2"/>
      <c r="AD148" s="2"/>
      <c r="AE148" s="2"/>
      <c r="AF148" s="2"/>
      <c r="AG148" s="2"/>
      <c r="AH148" s="2"/>
    </row>
    <row r="149" spans="29:34" x14ac:dyDescent="0.3">
      <c r="AC149" s="2"/>
      <c r="AD149" s="2"/>
      <c r="AE149" s="2"/>
      <c r="AF149" s="2"/>
      <c r="AG149" s="2"/>
      <c r="AH149" s="2"/>
    </row>
    <row r="150" spans="29:34" x14ac:dyDescent="0.3">
      <c r="AC150" s="2"/>
      <c r="AD150" s="2"/>
      <c r="AE150" s="2"/>
      <c r="AF150" s="2"/>
      <c r="AG150" s="2"/>
      <c r="AH150" s="2"/>
    </row>
    <row r="151" spans="29:34" x14ac:dyDescent="0.3">
      <c r="AC151" s="2"/>
      <c r="AD151" s="2"/>
      <c r="AE151" s="2"/>
      <c r="AF151" s="2"/>
      <c r="AG151" s="2"/>
      <c r="AH151" s="2"/>
    </row>
    <row r="152" spans="29:34" x14ac:dyDescent="0.3">
      <c r="AC152" s="2"/>
      <c r="AD152" s="2"/>
      <c r="AE152" s="2"/>
      <c r="AF152" s="2"/>
      <c r="AG152" s="2"/>
      <c r="AH152" s="2"/>
    </row>
    <row r="153" spans="29:34" x14ac:dyDescent="0.3">
      <c r="AC153" s="2"/>
      <c r="AD153" s="2"/>
      <c r="AE153" s="2"/>
      <c r="AF153" s="2"/>
      <c r="AG153" s="2"/>
      <c r="AH153" s="2"/>
    </row>
    <row r="154" spans="29:34" x14ac:dyDescent="0.3">
      <c r="AC154" s="2"/>
      <c r="AD154" s="2"/>
      <c r="AE154" s="2"/>
      <c r="AF154" s="2"/>
      <c r="AG154" s="2"/>
      <c r="AH154" s="2"/>
    </row>
    <row r="155" spans="29:34" x14ac:dyDescent="0.3">
      <c r="AC155" s="2"/>
      <c r="AD155" s="2"/>
      <c r="AE155" s="2"/>
      <c r="AF155" s="2"/>
      <c r="AG155" s="2"/>
      <c r="AH155" s="2"/>
    </row>
    <row r="156" spans="29:34" x14ac:dyDescent="0.3">
      <c r="AC156" s="2"/>
      <c r="AD156" s="2"/>
      <c r="AE156" s="2"/>
      <c r="AF156" s="2"/>
      <c r="AG156" s="2"/>
      <c r="AH156" s="2"/>
    </row>
    <row r="157" spans="29:34" x14ac:dyDescent="0.3">
      <c r="AC157" s="2"/>
      <c r="AD157" s="2"/>
      <c r="AE157" s="2"/>
      <c r="AF157" s="2"/>
      <c r="AG157" s="2"/>
      <c r="AH157" s="2"/>
    </row>
    <row r="158" spans="29:34" x14ac:dyDescent="0.3">
      <c r="AC158" s="2"/>
      <c r="AD158" s="2"/>
      <c r="AE158" s="2"/>
      <c r="AF158" s="2"/>
      <c r="AG158" s="2"/>
      <c r="AH158" s="2"/>
    </row>
    <row r="159" spans="29:34" x14ac:dyDescent="0.3">
      <c r="AC159" s="2"/>
      <c r="AD159" s="2"/>
      <c r="AE159" s="2"/>
      <c r="AF159" s="2"/>
      <c r="AG159" s="2"/>
      <c r="AH159" s="2"/>
    </row>
    <row r="160" spans="29:34" x14ac:dyDescent="0.3">
      <c r="AC160" s="2"/>
      <c r="AD160" s="2"/>
      <c r="AE160" s="2"/>
      <c r="AF160" s="2"/>
      <c r="AG160" s="2"/>
      <c r="AH160" s="2"/>
    </row>
    <row r="161" spans="29:34" x14ac:dyDescent="0.3">
      <c r="AC161" s="2"/>
      <c r="AD161" s="2"/>
      <c r="AE161" s="2"/>
      <c r="AF161" s="2"/>
      <c r="AG161" s="2"/>
      <c r="AH161" s="2"/>
    </row>
    <row r="162" spans="29:34" x14ac:dyDescent="0.3">
      <c r="AC162" s="2"/>
      <c r="AD162" s="2"/>
      <c r="AE162" s="2"/>
      <c r="AF162" s="2"/>
      <c r="AG162" s="2"/>
      <c r="AH162" s="2"/>
    </row>
    <row r="163" spans="29:34" x14ac:dyDescent="0.3">
      <c r="AC163" s="2"/>
      <c r="AD163" s="2"/>
      <c r="AE163" s="2"/>
      <c r="AF163" s="2"/>
      <c r="AG163" s="2"/>
      <c r="AH163" s="2"/>
    </row>
    <row r="164" spans="29:34" x14ac:dyDescent="0.3">
      <c r="AC164" s="2"/>
      <c r="AD164" s="2"/>
      <c r="AE164" s="2"/>
      <c r="AF164" s="2"/>
      <c r="AG164" s="2"/>
      <c r="AH164" s="2"/>
    </row>
    <row r="165" spans="29:34" x14ac:dyDescent="0.3">
      <c r="AC165" s="2"/>
      <c r="AD165" s="2"/>
      <c r="AE165" s="2"/>
      <c r="AF165" s="2"/>
      <c r="AG165" s="2"/>
      <c r="AH165" s="2"/>
    </row>
    <row r="166" spans="29:34" x14ac:dyDescent="0.3">
      <c r="AC166" s="2"/>
      <c r="AD166" s="2"/>
      <c r="AE166" s="2"/>
      <c r="AF166" s="2"/>
      <c r="AG166" s="2"/>
      <c r="AH166" s="2"/>
    </row>
    <row r="167" spans="29:34" x14ac:dyDescent="0.3">
      <c r="AC167" s="2"/>
      <c r="AD167" s="2"/>
      <c r="AE167" s="2"/>
      <c r="AF167" s="2"/>
      <c r="AG167" s="2"/>
      <c r="AH167" s="2"/>
    </row>
    <row r="168" spans="29:34" x14ac:dyDescent="0.3">
      <c r="AC168" s="2"/>
      <c r="AD168" s="2"/>
      <c r="AE168" s="2"/>
      <c r="AF168" s="2"/>
      <c r="AG168" s="2"/>
      <c r="AH168" s="2"/>
    </row>
    <row r="169" spans="29:34" x14ac:dyDescent="0.3">
      <c r="AC169" s="2"/>
      <c r="AD169" s="2"/>
      <c r="AE169" s="2"/>
      <c r="AF169" s="2"/>
      <c r="AG169" s="2"/>
      <c r="AH169" s="2"/>
    </row>
    <row r="170" spans="29:34" x14ac:dyDescent="0.3">
      <c r="AC170" s="2"/>
      <c r="AD170" s="2"/>
      <c r="AE170" s="2"/>
      <c r="AF170" s="2"/>
      <c r="AG170" s="2"/>
      <c r="AH170" s="2"/>
    </row>
    <row r="171" spans="29:34" x14ac:dyDescent="0.3">
      <c r="AC171" s="2"/>
      <c r="AD171" s="2"/>
      <c r="AE171" s="2"/>
      <c r="AF171" s="2"/>
      <c r="AG171" s="2"/>
      <c r="AH171" s="2"/>
    </row>
    <row r="172" spans="29:34" x14ac:dyDescent="0.3">
      <c r="AC172" s="2"/>
      <c r="AD172" s="2"/>
      <c r="AE172" s="2"/>
      <c r="AF172" s="2"/>
      <c r="AG172" s="2"/>
      <c r="AH172" s="2"/>
    </row>
    <row r="173" spans="29:34" x14ac:dyDescent="0.3">
      <c r="AC173" s="2"/>
      <c r="AD173" s="2"/>
      <c r="AE173" s="2"/>
      <c r="AF173" s="2"/>
      <c r="AG173" s="2"/>
      <c r="AH173" s="2"/>
    </row>
    <row r="174" spans="29:34" x14ac:dyDescent="0.3">
      <c r="AC174" s="2"/>
      <c r="AD174" s="2"/>
      <c r="AE174" s="2"/>
      <c r="AF174" s="2"/>
      <c r="AG174" s="2"/>
      <c r="AH174" s="2"/>
    </row>
    <row r="175" spans="29:34" x14ac:dyDescent="0.3">
      <c r="AC175" s="2"/>
      <c r="AD175" s="2"/>
      <c r="AE175" s="2"/>
      <c r="AF175" s="2"/>
      <c r="AG175" s="2"/>
      <c r="AH175" s="2"/>
    </row>
    <row r="176" spans="29:34" x14ac:dyDescent="0.3">
      <c r="AC176" s="2"/>
      <c r="AD176" s="2"/>
      <c r="AE176" s="2"/>
      <c r="AF176" s="2"/>
      <c r="AG176" s="2"/>
      <c r="AH176" s="2"/>
    </row>
    <row r="177" spans="29:34" x14ac:dyDescent="0.3">
      <c r="AC177" s="2"/>
      <c r="AD177" s="2"/>
      <c r="AE177" s="2"/>
      <c r="AF177" s="2"/>
      <c r="AG177" s="2"/>
      <c r="AH177" s="2"/>
    </row>
    <row r="178" spans="29:34" x14ac:dyDescent="0.3">
      <c r="AC178" s="2"/>
      <c r="AD178" s="2"/>
      <c r="AE178" s="2"/>
      <c r="AF178" s="2"/>
      <c r="AG178" s="2"/>
      <c r="AH178" s="2"/>
    </row>
    <row r="179" spans="29:34" x14ac:dyDescent="0.3">
      <c r="AC179" s="2"/>
      <c r="AD179" s="2"/>
      <c r="AE179" s="2"/>
      <c r="AF179" s="2"/>
      <c r="AG179" s="2"/>
      <c r="AH179" s="2"/>
    </row>
    <row r="180" spans="29:34" x14ac:dyDescent="0.3">
      <c r="AC180" s="2"/>
      <c r="AD180" s="2"/>
      <c r="AE180" s="2"/>
      <c r="AF180" s="2"/>
      <c r="AG180" s="2"/>
      <c r="AH180" s="2"/>
    </row>
    <row r="181" spans="29:34" x14ac:dyDescent="0.3">
      <c r="AC181" s="2"/>
      <c r="AD181" s="2"/>
      <c r="AE181" s="2"/>
      <c r="AF181" s="2"/>
      <c r="AG181" s="2"/>
      <c r="AH181" s="2"/>
    </row>
    <row r="182" spans="29:34" x14ac:dyDescent="0.3">
      <c r="AC182" s="2"/>
      <c r="AD182" s="2"/>
      <c r="AE182" s="2"/>
      <c r="AF182" s="2"/>
      <c r="AG182" s="2"/>
      <c r="AH182" s="2"/>
    </row>
    <row r="183" spans="29:34" x14ac:dyDescent="0.3">
      <c r="AC183" s="2"/>
      <c r="AD183" s="2"/>
      <c r="AE183" s="2"/>
      <c r="AF183" s="2"/>
      <c r="AG183" s="2"/>
      <c r="AH183" s="2"/>
    </row>
    <row r="184" spans="29:34" x14ac:dyDescent="0.3">
      <c r="AC184" s="2"/>
      <c r="AD184" s="2"/>
      <c r="AE184" s="2"/>
      <c r="AF184" s="2"/>
      <c r="AG184" s="2"/>
      <c r="AH184" s="2"/>
    </row>
    <row r="185" spans="29:34" x14ac:dyDescent="0.3">
      <c r="AC185" s="2"/>
      <c r="AD185" s="2"/>
      <c r="AE185" s="2"/>
      <c r="AF185" s="2"/>
      <c r="AG185" s="2"/>
      <c r="AH185" s="2"/>
    </row>
    <row r="186" spans="29:34" x14ac:dyDescent="0.3">
      <c r="AC186" s="2"/>
      <c r="AD186" s="2"/>
      <c r="AE186" s="2"/>
      <c r="AF186" s="2"/>
      <c r="AG186" s="2"/>
      <c r="AH186" s="2"/>
    </row>
    <row r="187" spans="29:34" x14ac:dyDescent="0.3">
      <c r="AC187" s="2"/>
      <c r="AD187" s="2"/>
      <c r="AE187" s="2"/>
      <c r="AF187" s="2"/>
      <c r="AG187" s="2"/>
      <c r="AH187" s="2"/>
    </row>
    <row r="188" spans="29:34" x14ac:dyDescent="0.3">
      <c r="AC188" s="2"/>
      <c r="AD188" s="2"/>
      <c r="AE188" s="2"/>
      <c r="AF188" s="2"/>
      <c r="AG188" s="2"/>
      <c r="AH188" s="2"/>
    </row>
    <row r="189" spans="29:34" x14ac:dyDescent="0.3">
      <c r="AC189" s="2"/>
      <c r="AD189" s="2"/>
      <c r="AE189" s="2"/>
      <c r="AF189" s="2"/>
      <c r="AG189" s="2"/>
      <c r="AH189" s="2"/>
    </row>
    <row r="190" spans="29:34" x14ac:dyDescent="0.3">
      <c r="AC190" s="2"/>
      <c r="AD190" s="2"/>
      <c r="AE190" s="2"/>
      <c r="AF190" s="2"/>
      <c r="AG190" s="2"/>
      <c r="AH190" s="2"/>
    </row>
    <row r="191" spans="29:34" x14ac:dyDescent="0.3">
      <c r="AC191" s="2"/>
      <c r="AD191" s="2"/>
      <c r="AE191" s="2"/>
      <c r="AF191" s="2"/>
      <c r="AG191" s="2"/>
      <c r="AH191" s="2"/>
    </row>
    <row r="192" spans="29:34" x14ac:dyDescent="0.3">
      <c r="AC192" s="2"/>
      <c r="AD192" s="2"/>
      <c r="AE192" s="2"/>
      <c r="AF192" s="2"/>
      <c r="AG192" s="2"/>
      <c r="AH192" s="2"/>
    </row>
    <row r="193" spans="29:34" x14ac:dyDescent="0.3">
      <c r="AC193" s="2"/>
      <c r="AD193" s="2"/>
      <c r="AE193" s="2"/>
      <c r="AF193" s="2"/>
      <c r="AG193" s="2"/>
      <c r="AH193" s="2"/>
    </row>
    <row r="194" spans="29:34" x14ac:dyDescent="0.3">
      <c r="AC194" s="2"/>
      <c r="AD194" s="2"/>
      <c r="AE194" s="2"/>
      <c r="AF194" s="2"/>
      <c r="AG194" s="2"/>
      <c r="AH194" s="2"/>
    </row>
    <row r="195" spans="29:34" x14ac:dyDescent="0.3">
      <c r="AC195" s="2"/>
      <c r="AD195" s="2"/>
      <c r="AE195" s="2"/>
      <c r="AF195" s="2"/>
      <c r="AG195" s="2"/>
      <c r="AH195" s="2"/>
    </row>
    <row r="196" spans="29:34" x14ac:dyDescent="0.3">
      <c r="AC196" s="2"/>
      <c r="AD196" s="2"/>
      <c r="AE196" s="2"/>
      <c r="AF196" s="2"/>
      <c r="AG196" s="2"/>
      <c r="AH196" s="2"/>
    </row>
    <row r="197" spans="29:34" x14ac:dyDescent="0.3">
      <c r="AC197" s="2"/>
      <c r="AD197" s="2"/>
      <c r="AE197" s="2"/>
      <c r="AF197" s="2"/>
      <c r="AG197" s="2"/>
      <c r="AH197" s="2"/>
    </row>
    <row r="198" spans="29:34" x14ac:dyDescent="0.3">
      <c r="AC198" s="2"/>
      <c r="AD198" s="2"/>
      <c r="AE198" s="2"/>
      <c r="AF198" s="2"/>
      <c r="AG198" s="2"/>
      <c r="AH198" s="2"/>
    </row>
    <row r="199" spans="29:34" x14ac:dyDescent="0.3">
      <c r="AC199" s="2"/>
      <c r="AD199" s="2"/>
      <c r="AE199" s="2"/>
      <c r="AF199" s="2"/>
      <c r="AG199" s="2"/>
      <c r="AH199" s="2"/>
    </row>
    <row r="200" spans="29:34" x14ac:dyDescent="0.3">
      <c r="AC200" s="2"/>
      <c r="AD200" s="2"/>
      <c r="AE200" s="2"/>
      <c r="AF200" s="2"/>
      <c r="AG200" s="2"/>
      <c r="AH200" s="2"/>
    </row>
    <row r="201" spans="29:34" x14ac:dyDescent="0.3">
      <c r="AC201" s="2"/>
      <c r="AD201" s="2"/>
      <c r="AE201" s="2"/>
      <c r="AF201" s="2"/>
      <c r="AG201" s="2"/>
      <c r="AH201" s="2"/>
    </row>
    <row r="202" spans="29:34" x14ac:dyDescent="0.3">
      <c r="AC202" s="2"/>
      <c r="AD202" s="2"/>
      <c r="AE202" s="2"/>
      <c r="AF202" s="2"/>
      <c r="AG202" s="2"/>
      <c r="AH202" s="2"/>
    </row>
    <row r="203" spans="29:34" x14ac:dyDescent="0.3">
      <c r="AC203" s="2"/>
      <c r="AD203" s="2"/>
      <c r="AE203" s="2"/>
      <c r="AF203" s="2"/>
      <c r="AG203" s="2"/>
      <c r="AH203" s="2"/>
    </row>
    <row r="204" spans="29:34" x14ac:dyDescent="0.3">
      <c r="AC204" s="2"/>
      <c r="AD204" s="2"/>
      <c r="AE204" s="2"/>
      <c r="AF204" s="2"/>
      <c r="AG204" s="2"/>
      <c r="AH204" s="2"/>
    </row>
    <row r="205" spans="29:34" x14ac:dyDescent="0.3">
      <c r="AC205" s="2"/>
      <c r="AD205" s="2"/>
      <c r="AE205" s="2"/>
      <c r="AF205" s="2"/>
      <c r="AG205" s="2"/>
      <c r="AH205" s="2"/>
    </row>
    <row r="206" spans="29:34" x14ac:dyDescent="0.3">
      <c r="AC206" s="2"/>
      <c r="AD206" s="2"/>
      <c r="AE206" s="2"/>
      <c r="AF206" s="2"/>
      <c r="AG206" s="2"/>
      <c r="AH206" s="2"/>
    </row>
    <row r="207" spans="29:34" x14ac:dyDescent="0.3">
      <c r="AC207" s="2"/>
      <c r="AD207" s="2"/>
      <c r="AE207" s="2"/>
      <c r="AF207" s="2"/>
      <c r="AG207" s="2"/>
      <c r="AH207" s="2"/>
    </row>
    <row r="208" spans="29:34" x14ac:dyDescent="0.3">
      <c r="AC208" s="2"/>
      <c r="AD208" s="2"/>
      <c r="AE208" s="2"/>
      <c r="AF208" s="2"/>
      <c r="AG208" s="2"/>
      <c r="AH208" s="2"/>
    </row>
    <row r="209" spans="29:34" x14ac:dyDescent="0.3">
      <c r="AC209" s="2"/>
      <c r="AD209" s="2"/>
      <c r="AE209" s="2"/>
      <c r="AF209" s="2"/>
      <c r="AG209" s="2"/>
      <c r="AH209" s="2"/>
    </row>
    <row r="210" spans="29:34" x14ac:dyDescent="0.3">
      <c r="AC210" s="2"/>
      <c r="AD210" s="2"/>
      <c r="AE210" s="2"/>
      <c r="AF210" s="2"/>
      <c r="AG210" s="2"/>
      <c r="AH210" s="2"/>
    </row>
    <row r="211" spans="29:34" x14ac:dyDescent="0.3">
      <c r="AC211" s="2"/>
      <c r="AD211" s="2"/>
      <c r="AE211" s="2"/>
      <c r="AF211" s="2"/>
      <c r="AG211" s="2"/>
      <c r="AH211" s="2"/>
    </row>
    <row r="212" spans="29:34" x14ac:dyDescent="0.3">
      <c r="AC212" s="2"/>
      <c r="AD212" s="2"/>
      <c r="AE212" s="2"/>
      <c r="AF212" s="2"/>
      <c r="AG212" s="2"/>
      <c r="AH212" s="2"/>
    </row>
    <row r="213" spans="29:34" x14ac:dyDescent="0.3">
      <c r="AC213" s="2"/>
      <c r="AD213" s="2"/>
      <c r="AE213" s="2"/>
      <c r="AF213" s="2"/>
      <c r="AG213" s="2"/>
      <c r="AH213" s="2"/>
    </row>
    <row r="214" spans="29:34" x14ac:dyDescent="0.3">
      <c r="AC214" s="2"/>
      <c r="AD214" s="2"/>
      <c r="AE214" s="2"/>
      <c r="AF214" s="2"/>
      <c r="AG214" s="2"/>
      <c r="AH214" s="2"/>
    </row>
  </sheetData>
  <mergeCells count="71">
    <mergeCell ref="AC41:AH41"/>
    <mergeCell ref="AC42:AH42"/>
    <mergeCell ref="V35:AA35"/>
    <mergeCell ref="V36:AA36"/>
    <mergeCell ref="V42:AA42"/>
    <mergeCell ref="O45:T45"/>
    <mergeCell ref="AC43:AH43"/>
    <mergeCell ref="AC51:AH51"/>
    <mergeCell ref="V54:AA54"/>
    <mergeCell ref="V55:AA55"/>
    <mergeCell ref="V43:AA43"/>
    <mergeCell ref="V44:AA44"/>
    <mergeCell ref="AC53:AH53"/>
    <mergeCell ref="S1:T1"/>
    <mergeCell ref="AC36:AH36"/>
    <mergeCell ref="AC50:AH50"/>
    <mergeCell ref="O46:T46"/>
    <mergeCell ref="V3:AA3"/>
    <mergeCell ref="V4:AA4"/>
    <mergeCell ref="AC3:AH3"/>
    <mergeCell ref="AC4:AH4"/>
    <mergeCell ref="V11:AA11"/>
    <mergeCell ref="V20:AA20"/>
    <mergeCell ref="V22:AA22"/>
    <mergeCell ref="O18:T18"/>
    <mergeCell ref="O29:T29"/>
    <mergeCell ref="O35:T35"/>
    <mergeCell ref="O36:T36"/>
    <mergeCell ref="O37:T37"/>
    <mergeCell ref="AC34:AH34"/>
    <mergeCell ref="V1:Y1"/>
    <mergeCell ref="Z1:AA1"/>
    <mergeCell ref="AC1:AF1"/>
    <mergeCell ref="AG1:AH1"/>
    <mergeCell ref="AC11:AH11"/>
    <mergeCell ref="AC19:AH19"/>
    <mergeCell ref="AC21:AH21"/>
    <mergeCell ref="AC33:AH33"/>
    <mergeCell ref="H44:M44"/>
    <mergeCell ref="H45:M45"/>
    <mergeCell ref="H1:K1"/>
    <mergeCell ref="L1:M1"/>
    <mergeCell ref="O1:R1"/>
    <mergeCell ref="O10:T10"/>
    <mergeCell ref="O16:T16"/>
    <mergeCell ref="H19:M19"/>
    <mergeCell ref="H29:M29"/>
    <mergeCell ref="H30:M30"/>
    <mergeCell ref="H36:M36"/>
    <mergeCell ref="H37:M37"/>
    <mergeCell ref="H38:M38"/>
    <mergeCell ref="H18:M18"/>
    <mergeCell ref="O4:T4"/>
    <mergeCell ref="O3:T3"/>
    <mergeCell ref="A1:D1"/>
    <mergeCell ref="E1:F1"/>
    <mergeCell ref="H10:M10"/>
    <mergeCell ref="H4:M4"/>
    <mergeCell ref="H3:M3"/>
    <mergeCell ref="A51:F51"/>
    <mergeCell ref="A10:F10"/>
    <mergeCell ref="A3:F3"/>
    <mergeCell ref="A4:F4"/>
    <mergeCell ref="A20:F20"/>
    <mergeCell ref="A22:F22"/>
    <mergeCell ref="A34:F34"/>
    <mergeCell ref="A35:F35"/>
    <mergeCell ref="A41:F41"/>
    <mergeCell ref="A42:F42"/>
    <mergeCell ref="A43:F43"/>
    <mergeCell ref="A50:F5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4A959-0A88-4019-BB0D-AC96C64A6FAB}">
  <dimension ref="A1:AH107"/>
  <sheetViews>
    <sheetView topLeftCell="AC1" zoomScale="80" zoomScaleNormal="80" workbookViewId="0">
      <selection activeCell="AE20" sqref="AE20"/>
    </sheetView>
  </sheetViews>
  <sheetFormatPr defaultRowHeight="14.4" x14ac:dyDescent="0.3"/>
  <cols>
    <col min="1" max="1" width="38.33203125" style="1" bestFit="1" customWidth="1"/>
    <col min="2" max="6" width="11" style="1" bestFit="1" customWidth="1"/>
    <col min="7" max="7" width="11" style="1" customWidth="1"/>
    <col min="8" max="8" width="35.88671875" style="1" bestFit="1" customWidth="1"/>
    <col min="9" max="9" width="10" style="1" bestFit="1" customWidth="1"/>
    <col min="10" max="13" width="11" style="1" bestFit="1" customWidth="1"/>
    <col min="14" max="14" width="8.88671875" style="1"/>
    <col min="15" max="15" width="46.44140625" style="1" bestFit="1" customWidth="1"/>
    <col min="16" max="17" width="9.88671875" style="1" customWidth="1"/>
    <col min="18" max="18" width="10" style="1" bestFit="1" customWidth="1"/>
    <col min="19" max="19" width="11" style="1" bestFit="1" customWidth="1"/>
    <col min="20" max="20" width="10.88671875" style="1" bestFit="1" customWidth="1"/>
    <col min="21" max="21" width="8.88671875" style="1"/>
    <col min="22" max="22" width="46.44140625" style="1" bestFit="1" customWidth="1"/>
    <col min="23" max="24" width="9.88671875" style="1" customWidth="1"/>
    <col min="25" max="27" width="11" style="1" bestFit="1" customWidth="1"/>
    <col min="28" max="28" width="8.88671875" style="1"/>
    <col min="29" max="29" width="35.88671875" style="1" bestFit="1" customWidth="1"/>
    <col min="30" max="34" width="11" style="1" bestFit="1" customWidth="1"/>
    <col min="35" max="16384" width="8.88671875" style="1"/>
  </cols>
  <sheetData>
    <row r="1" spans="1:34" ht="40.200000000000003" customHeight="1" x14ac:dyDescent="0.3">
      <c r="A1" s="261" t="s">
        <v>255</v>
      </c>
      <c r="B1" s="261"/>
      <c r="C1" s="261"/>
      <c r="D1" s="261"/>
      <c r="E1" s="262" t="e" vm="1">
        <v>#VALUE!</v>
      </c>
      <c r="F1" s="262"/>
      <c r="G1" s="16"/>
      <c r="H1" s="261" t="s">
        <v>255</v>
      </c>
      <c r="I1" s="261"/>
      <c r="J1" s="261"/>
      <c r="K1" s="261"/>
      <c r="L1" s="263" t="e" vm="2">
        <v>#VALUE!</v>
      </c>
      <c r="M1" s="263"/>
      <c r="O1" s="261" t="s">
        <v>255</v>
      </c>
      <c r="P1" s="261"/>
      <c r="Q1" s="261"/>
      <c r="R1" s="261"/>
      <c r="S1" s="252" t="e" vm="3">
        <v>#VALUE!</v>
      </c>
      <c r="T1" s="252"/>
      <c r="V1" s="261" t="s">
        <v>255</v>
      </c>
      <c r="W1" s="261"/>
      <c r="X1" s="261"/>
      <c r="Y1" s="261"/>
      <c r="Z1" s="252" t="e" vm="4">
        <v>#VALUE!</v>
      </c>
      <c r="AA1" s="252"/>
      <c r="AC1" s="261" t="s">
        <v>255</v>
      </c>
      <c r="AD1" s="261"/>
      <c r="AE1" s="261"/>
      <c r="AF1" s="261"/>
      <c r="AG1" s="252" t="e" vm="5">
        <v>#VALUE!</v>
      </c>
      <c r="AH1" s="252"/>
    </row>
    <row r="2" spans="1:34" x14ac:dyDescent="0.3">
      <c r="A2" s="56" t="s">
        <v>1</v>
      </c>
      <c r="B2" s="56">
        <v>2020</v>
      </c>
      <c r="C2" s="56">
        <v>2021</v>
      </c>
      <c r="D2" s="56">
        <v>2022</v>
      </c>
      <c r="E2" s="56">
        <v>2023</v>
      </c>
      <c r="F2" s="56">
        <v>2024</v>
      </c>
      <c r="G2" s="14"/>
      <c r="H2" s="56" t="s">
        <v>1</v>
      </c>
      <c r="I2" s="56">
        <v>2020</v>
      </c>
      <c r="J2" s="56">
        <v>2021</v>
      </c>
      <c r="K2" s="56">
        <v>2022</v>
      </c>
      <c r="L2" s="56">
        <v>2023</v>
      </c>
      <c r="M2" s="56">
        <v>2024</v>
      </c>
      <c r="O2" s="3" t="s">
        <v>1</v>
      </c>
      <c r="P2" s="3">
        <v>2020</v>
      </c>
      <c r="Q2" s="3">
        <v>2021</v>
      </c>
      <c r="R2" s="3">
        <v>2022</v>
      </c>
      <c r="S2" s="3">
        <v>2023</v>
      </c>
      <c r="T2" s="3">
        <v>2024</v>
      </c>
      <c r="V2" s="3" t="s">
        <v>1</v>
      </c>
      <c r="W2" s="3">
        <v>2020</v>
      </c>
      <c r="X2" s="3">
        <v>2021</v>
      </c>
      <c r="Y2" s="3">
        <v>2022</v>
      </c>
      <c r="Z2" s="3">
        <v>2023</v>
      </c>
      <c r="AA2" s="3">
        <v>2024</v>
      </c>
      <c r="AC2" s="3" t="s">
        <v>1</v>
      </c>
      <c r="AD2" s="3">
        <v>2020</v>
      </c>
      <c r="AE2" s="3">
        <v>2021</v>
      </c>
      <c r="AF2" s="3">
        <v>2022</v>
      </c>
      <c r="AG2" s="3">
        <v>2023</v>
      </c>
      <c r="AH2" s="3">
        <v>2024</v>
      </c>
    </row>
    <row r="3" spans="1:34" x14ac:dyDescent="0.3">
      <c r="A3" s="57" t="s">
        <v>118</v>
      </c>
      <c r="B3" s="58">
        <v>156949</v>
      </c>
      <c r="C3" s="58">
        <v>164177</v>
      </c>
      <c r="D3" s="58">
        <v>191754</v>
      </c>
      <c r="E3" s="58">
        <v>225458</v>
      </c>
      <c r="F3" s="58">
        <v>240893</v>
      </c>
      <c r="H3" s="57" t="s">
        <v>118</v>
      </c>
      <c r="I3" s="58">
        <v>90791</v>
      </c>
      <c r="J3" s="58">
        <v>100472</v>
      </c>
      <c r="K3" s="58">
        <v>121641</v>
      </c>
      <c r="L3" s="58">
        <v>146767</v>
      </c>
      <c r="M3" s="58">
        <v>162990</v>
      </c>
      <c r="O3" s="4" t="s">
        <v>149</v>
      </c>
      <c r="P3" s="5">
        <v>70676</v>
      </c>
      <c r="Q3" s="5">
        <v>75379</v>
      </c>
      <c r="R3" s="5">
        <v>85651</v>
      </c>
      <c r="S3" s="5">
        <v>101456</v>
      </c>
      <c r="T3" s="5">
        <v>109913</v>
      </c>
      <c r="V3" s="4" t="s">
        <v>149</v>
      </c>
      <c r="W3" s="5">
        <v>61023.199999999997</v>
      </c>
      <c r="X3" s="5">
        <v>61943</v>
      </c>
      <c r="Y3" s="5">
        <v>79093.399999999994</v>
      </c>
      <c r="Z3" s="5">
        <v>90487.6</v>
      </c>
      <c r="AA3" s="5">
        <v>89760.3</v>
      </c>
      <c r="AC3" s="4" t="s">
        <v>149</v>
      </c>
      <c r="AD3" s="5">
        <v>10878.6</v>
      </c>
      <c r="AE3" s="5">
        <v>12369.8</v>
      </c>
      <c r="AF3" s="5">
        <v>26108.7</v>
      </c>
      <c r="AG3" s="5">
        <v>33183</v>
      </c>
      <c r="AH3" s="5">
        <v>35517</v>
      </c>
    </row>
    <row r="4" spans="1:34" x14ac:dyDescent="0.3">
      <c r="A4" s="57" t="s">
        <v>119</v>
      </c>
      <c r="B4" s="58">
        <v>4592</v>
      </c>
      <c r="C4" s="58">
        <v>3134</v>
      </c>
      <c r="D4" s="58">
        <v>4018</v>
      </c>
      <c r="E4" s="58">
        <v>3449</v>
      </c>
      <c r="F4" s="58">
        <v>4422</v>
      </c>
      <c r="H4" s="57" t="s">
        <v>137</v>
      </c>
      <c r="I4" s="58">
        <v>2803</v>
      </c>
      <c r="J4" s="58">
        <v>2201</v>
      </c>
      <c r="K4" s="58">
        <v>2295</v>
      </c>
      <c r="L4" s="58">
        <v>2701</v>
      </c>
      <c r="M4" s="58">
        <v>3600</v>
      </c>
      <c r="O4" s="4" t="s">
        <v>137</v>
      </c>
      <c r="P4" s="5">
        <v>589</v>
      </c>
      <c r="Q4" s="5">
        <v>927</v>
      </c>
      <c r="R4" s="5">
        <v>1067</v>
      </c>
      <c r="S4" s="5">
        <v>1358</v>
      </c>
      <c r="T4" s="5">
        <v>1495</v>
      </c>
      <c r="V4" s="4" t="s">
        <v>154</v>
      </c>
      <c r="W4" s="5">
        <v>114.4</v>
      </c>
      <c r="X4" s="5">
        <v>-8.1</v>
      </c>
      <c r="Y4" s="5">
        <v>218.6</v>
      </c>
      <c r="Z4" s="5">
        <v>0</v>
      </c>
      <c r="AA4" s="5">
        <v>0</v>
      </c>
      <c r="AC4" s="4" t="s">
        <v>137</v>
      </c>
      <c r="AD4" s="5">
        <v>329.2</v>
      </c>
      <c r="AE4" s="5">
        <v>274.39999999999998</v>
      </c>
      <c r="AF4" s="5">
        <v>765.8</v>
      </c>
      <c r="AG4" s="5">
        <v>556.9</v>
      </c>
      <c r="AH4" s="5">
        <v>701.9</v>
      </c>
    </row>
    <row r="5" spans="1:34" x14ac:dyDescent="0.3">
      <c r="A5" s="56" t="s">
        <v>120</v>
      </c>
      <c r="B5" s="59">
        <f>B3+B4</f>
        <v>161541</v>
      </c>
      <c r="C5" s="59">
        <f t="shared" ref="C5:F5" si="0">C3+C4</f>
        <v>167311</v>
      </c>
      <c r="D5" s="59">
        <f t="shared" si="0"/>
        <v>195772</v>
      </c>
      <c r="E5" s="59">
        <f t="shared" si="0"/>
        <v>228907</v>
      </c>
      <c r="F5" s="59">
        <f t="shared" si="0"/>
        <v>245315</v>
      </c>
      <c r="H5" s="56" t="s">
        <v>138</v>
      </c>
      <c r="I5" s="59">
        <f>I3+I4</f>
        <v>93594</v>
      </c>
      <c r="J5" s="59">
        <f t="shared" ref="J5:M5" si="1">J3+J4</f>
        <v>102673</v>
      </c>
      <c r="K5" s="59">
        <f t="shared" si="1"/>
        <v>123936</v>
      </c>
      <c r="L5" s="59">
        <f t="shared" si="1"/>
        <v>149468</v>
      </c>
      <c r="M5" s="59">
        <f t="shared" si="1"/>
        <v>166590</v>
      </c>
      <c r="O5" s="3" t="s">
        <v>120</v>
      </c>
      <c r="P5" s="6">
        <f>P3+P4</f>
        <v>71265</v>
      </c>
      <c r="Q5" s="6">
        <f t="shared" ref="Q5:T5" si="2">Q3+Q4</f>
        <v>76306</v>
      </c>
      <c r="R5" s="6">
        <f t="shared" si="2"/>
        <v>86718</v>
      </c>
      <c r="S5" s="6">
        <f t="shared" si="2"/>
        <v>102814</v>
      </c>
      <c r="T5" s="6">
        <f t="shared" si="2"/>
        <v>111408</v>
      </c>
      <c r="V5" s="4" t="s">
        <v>137</v>
      </c>
      <c r="W5" s="5">
        <v>2725</v>
      </c>
      <c r="X5" s="5">
        <v>2390.6999999999998</v>
      </c>
      <c r="Y5" s="5">
        <v>2061.1999999999998</v>
      </c>
      <c r="Z5" s="5">
        <v>2274.6</v>
      </c>
      <c r="AA5" s="5">
        <v>2630.8</v>
      </c>
      <c r="AC5" s="3" t="s">
        <v>138</v>
      </c>
      <c r="AD5" s="6">
        <f>AD3+AD4</f>
        <v>11207.800000000001</v>
      </c>
      <c r="AE5" s="6">
        <f t="shared" ref="AE5:AH5" si="3">AE3+AE4</f>
        <v>12644.199999999999</v>
      </c>
      <c r="AF5" s="6">
        <f t="shared" si="3"/>
        <v>26874.5</v>
      </c>
      <c r="AG5" s="6">
        <f t="shared" si="3"/>
        <v>33739.9</v>
      </c>
      <c r="AH5" s="6">
        <f t="shared" si="3"/>
        <v>36218.9</v>
      </c>
    </row>
    <row r="6" spans="1:34" x14ac:dyDescent="0.3">
      <c r="A6" s="260" t="s">
        <v>121</v>
      </c>
      <c r="B6" s="260"/>
      <c r="C6" s="260"/>
      <c r="D6" s="260"/>
      <c r="E6" s="260"/>
      <c r="F6" s="260"/>
      <c r="H6" s="260" t="s">
        <v>121</v>
      </c>
      <c r="I6" s="260"/>
      <c r="J6" s="260"/>
      <c r="K6" s="260"/>
      <c r="L6" s="260"/>
      <c r="M6" s="260"/>
      <c r="O6" s="249" t="s">
        <v>121</v>
      </c>
      <c r="P6" s="249"/>
      <c r="Q6" s="249"/>
      <c r="R6" s="249"/>
      <c r="S6" s="249"/>
      <c r="T6" s="249"/>
      <c r="V6" s="3" t="s">
        <v>138</v>
      </c>
      <c r="W6" s="6">
        <f>SUM(W3:W5)</f>
        <v>63862.6</v>
      </c>
      <c r="X6" s="6">
        <f t="shared" ref="X6:AA6" si="4">SUM(X3:X5)</f>
        <v>64325.599999999999</v>
      </c>
      <c r="Y6" s="6">
        <f t="shared" si="4"/>
        <v>81373.2</v>
      </c>
      <c r="Z6" s="6">
        <f t="shared" si="4"/>
        <v>92762.200000000012</v>
      </c>
      <c r="AA6" s="6">
        <f t="shared" si="4"/>
        <v>92391.1</v>
      </c>
      <c r="AC6" s="249" t="s">
        <v>121</v>
      </c>
      <c r="AD6" s="249"/>
      <c r="AE6" s="249"/>
      <c r="AF6" s="249"/>
      <c r="AG6" s="249"/>
      <c r="AH6" s="249"/>
    </row>
    <row r="7" spans="1:34" x14ac:dyDescent="0.3">
      <c r="A7" s="57" t="s">
        <v>122</v>
      </c>
      <c r="B7" s="58">
        <v>85952</v>
      </c>
      <c r="C7" s="58">
        <v>91814</v>
      </c>
      <c r="D7" s="58">
        <v>107554</v>
      </c>
      <c r="E7" s="58">
        <v>127522</v>
      </c>
      <c r="F7" s="58">
        <v>140131</v>
      </c>
      <c r="H7" s="57" t="s">
        <v>122</v>
      </c>
      <c r="I7" s="58">
        <v>50887</v>
      </c>
      <c r="J7" s="58">
        <v>55541</v>
      </c>
      <c r="K7" s="58">
        <v>63986</v>
      </c>
      <c r="L7" s="58">
        <v>78359</v>
      </c>
      <c r="M7" s="58">
        <v>85950</v>
      </c>
      <c r="O7" s="4" t="s">
        <v>150</v>
      </c>
      <c r="P7" s="5">
        <v>1536</v>
      </c>
      <c r="Q7" s="5">
        <v>1698</v>
      </c>
      <c r="R7" s="5">
        <v>1473</v>
      </c>
      <c r="S7" s="5">
        <v>2072</v>
      </c>
      <c r="T7" s="5">
        <v>1754</v>
      </c>
      <c r="V7" s="249" t="s">
        <v>121</v>
      </c>
      <c r="W7" s="249"/>
      <c r="X7" s="249"/>
      <c r="Y7" s="249"/>
      <c r="Z7" s="249"/>
      <c r="AA7" s="249"/>
      <c r="AC7" s="4" t="s">
        <v>122</v>
      </c>
      <c r="AD7" s="5">
        <v>6516.6</v>
      </c>
      <c r="AE7" s="5">
        <v>7428.9</v>
      </c>
      <c r="AF7" s="5">
        <v>15989.2</v>
      </c>
      <c r="AG7" s="5">
        <v>20879.900000000001</v>
      </c>
      <c r="AH7" s="5">
        <v>22732.3</v>
      </c>
    </row>
    <row r="8" spans="1:34" x14ac:dyDescent="0.3">
      <c r="A8" s="57" t="s">
        <v>123</v>
      </c>
      <c r="B8" s="58">
        <v>1905</v>
      </c>
      <c r="C8" s="58">
        <v>1462</v>
      </c>
      <c r="D8" s="58">
        <v>1163</v>
      </c>
      <c r="E8" s="58">
        <v>1881</v>
      </c>
      <c r="F8" s="58">
        <v>3702</v>
      </c>
      <c r="H8" s="57" t="s">
        <v>139</v>
      </c>
      <c r="I8" s="58">
        <v>6714</v>
      </c>
      <c r="J8" s="58">
        <v>7084</v>
      </c>
      <c r="K8" s="58">
        <v>12606</v>
      </c>
      <c r="L8" s="58">
        <v>14062</v>
      </c>
      <c r="M8" s="58">
        <v>12937</v>
      </c>
      <c r="O8" s="4" t="s">
        <v>151</v>
      </c>
      <c r="P8" s="5">
        <v>0</v>
      </c>
      <c r="Q8" s="5">
        <v>-3</v>
      </c>
      <c r="R8" s="5">
        <v>-67</v>
      </c>
      <c r="S8" s="5">
        <v>-67</v>
      </c>
      <c r="T8" s="5">
        <v>43</v>
      </c>
      <c r="V8" s="4" t="s">
        <v>155</v>
      </c>
      <c r="W8" s="5">
        <v>936</v>
      </c>
      <c r="X8" s="5">
        <v>695.7</v>
      </c>
      <c r="Y8" s="5">
        <v>673.5</v>
      </c>
      <c r="Z8" s="5">
        <v>649.4</v>
      </c>
      <c r="AA8" s="5">
        <v>383.2</v>
      </c>
      <c r="AC8" s="4" t="s">
        <v>165</v>
      </c>
      <c r="AD8" s="5">
        <v>2150.6</v>
      </c>
      <c r="AE8" s="5">
        <v>2019.4</v>
      </c>
      <c r="AF8" s="5">
        <v>2359.1</v>
      </c>
      <c r="AG8" s="5">
        <v>2828.6</v>
      </c>
      <c r="AH8" s="5">
        <v>2559.9</v>
      </c>
    </row>
    <row r="9" spans="1:34" ht="28.8" x14ac:dyDescent="0.3">
      <c r="A9" s="57" t="s">
        <v>124</v>
      </c>
      <c r="B9" s="58">
        <v>924</v>
      </c>
      <c r="C9" s="58">
        <v>637</v>
      </c>
      <c r="D9" s="58">
        <v>784</v>
      </c>
      <c r="E9" s="58">
        <v>779</v>
      </c>
      <c r="F9" s="58">
        <v>778</v>
      </c>
      <c r="H9" s="57" t="s">
        <v>140</v>
      </c>
      <c r="I9" s="58">
        <v>2710</v>
      </c>
      <c r="J9" s="58">
        <v>554</v>
      </c>
      <c r="K9" s="58">
        <v>827</v>
      </c>
      <c r="L9" s="58">
        <v>1525</v>
      </c>
      <c r="M9" s="58">
        <v>1894</v>
      </c>
      <c r="O9" s="4" t="s">
        <v>122</v>
      </c>
      <c r="P9" s="5">
        <v>34928</v>
      </c>
      <c r="Q9" s="5">
        <v>38853</v>
      </c>
      <c r="R9" s="5">
        <v>46130</v>
      </c>
      <c r="S9" s="5">
        <v>55280</v>
      </c>
      <c r="T9" s="5">
        <v>62480</v>
      </c>
      <c r="V9" s="18" t="s">
        <v>156</v>
      </c>
      <c r="W9" s="5">
        <v>202.2</v>
      </c>
      <c r="X9" s="5">
        <v>31.5</v>
      </c>
      <c r="Y9" s="5">
        <v>-36.9</v>
      </c>
      <c r="Z9" s="5">
        <v>15</v>
      </c>
      <c r="AA9" s="5">
        <v>27.8</v>
      </c>
      <c r="AC9" s="4" t="s">
        <v>124</v>
      </c>
      <c r="AD9" s="5">
        <v>82.6</v>
      </c>
      <c r="AE9" s="5">
        <v>78.8</v>
      </c>
      <c r="AF9" s="5">
        <v>123.4</v>
      </c>
      <c r="AG9" s="5">
        <v>150.4</v>
      </c>
      <c r="AH9" s="5">
        <v>221.7</v>
      </c>
    </row>
    <row r="10" spans="1:34" x14ac:dyDescent="0.3">
      <c r="A10" s="57" t="s">
        <v>125</v>
      </c>
      <c r="B10" s="58">
        <v>3529</v>
      </c>
      <c r="C10" s="58">
        <v>4065</v>
      </c>
      <c r="D10" s="58">
        <v>4604</v>
      </c>
      <c r="E10" s="58">
        <v>5022</v>
      </c>
      <c r="F10" s="58">
        <v>4985</v>
      </c>
      <c r="H10" s="57" t="s">
        <v>141</v>
      </c>
      <c r="I10" s="58">
        <v>2703</v>
      </c>
      <c r="J10" s="58">
        <v>4223</v>
      </c>
      <c r="K10" s="58">
        <v>6811</v>
      </c>
      <c r="L10" s="58">
        <v>10902</v>
      </c>
      <c r="M10" s="58">
        <v>15911</v>
      </c>
      <c r="O10" s="4" t="s">
        <v>145</v>
      </c>
      <c r="P10" s="5">
        <v>505</v>
      </c>
      <c r="Q10" s="5">
        <v>511</v>
      </c>
      <c r="R10" s="5">
        <v>12515</v>
      </c>
      <c r="S10" s="5">
        <v>14950</v>
      </c>
      <c r="T10" s="5">
        <v>14578</v>
      </c>
      <c r="V10" s="4" t="s">
        <v>122</v>
      </c>
      <c r="W10" s="5">
        <v>32657.1</v>
      </c>
      <c r="X10" s="5">
        <v>33237.1</v>
      </c>
      <c r="Y10" s="5">
        <v>45007.5</v>
      </c>
      <c r="Z10" s="5">
        <v>53764.4</v>
      </c>
      <c r="AA10" s="5">
        <v>54930.1</v>
      </c>
      <c r="AC10" s="4" t="s">
        <v>144</v>
      </c>
      <c r="AD10" s="5">
        <v>273</v>
      </c>
      <c r="AE10" s="5">
        <v>332.5</v>
      </c>
      <c r="AF10" s="5">
        <v>597.1</v>
      </c>
      <c r="AG10" s="5">
        <v>722.7</v>
      </c>
      <c r="AH10" s="5">
        <v>818.9</v>
      </c>
    </row>
    <row r="11" spans="1:34" x14ac:dyDescent="0.3">
      <c r="A11" s="57" t="s">
        <v>126</v>
      </c>
      <c r="B11" s="58">
        <v>26983</v>
      </c>
      <c r="C11" s="58">
        <v>24355</v>
      </c>
      <c r="D11" s="58">
        <v>29980</v>
      </c>
      <c r="E11" s="58">
        <v>36796</v>
      </c>
      <c r="F11" s="58">
        <v>32764</v>
      </c>
      <c r="H11" s="57" t="s">
        <v>142</v>
      </c>
      <c r="I11" s="58">
        <v>528</v>
      </c>
      <c r="J11" s="58">
        <v>634</v>
      </c>
      <c r="K11" s="58">
        <v>611</v>
      </c>
      <c r="L11" s="58">
        <v>713</v>
      </c>
      <c r="M11" s="58">
        <v>620</v>
      </c>
      <c r="O11" s="4" t="s">
        <v>152</v>
      </c>
      <c r="P11" s="5">
        <v>3420</v>
      </c>
      <c r="Q11" s="5">
        <v>4611</v>
      </c>
      <c r="R11" s="5">
        <v>319</v>
      </c>
      <c r="S11" s="5">
        <v>353</v>
      </c>
      <c r="T11" s="5">
        <v>553</v>
      </c>
      <c r="V11" s="4" t="s">
        <v>145</v>
      </c>
      <c r="W11" s="5">
        <v>732.8</v>
      </c>
      <c r="X11" s="5">
        <v>508.8</v>
      </c>
      <c r="Y11" s="5">
        <v>532.5</v>
      </c>
      <c r="Z11" s="5">
        <v>1007.7</v>
      </c>
      <c r="AA11" s="5">
        <v>1255.2</v>
      </c>
      <c r="AC11" s="4" t="s">
        <v>126</v>
      </c>
      <c r="AD11" s="5">
        <v>182.1</v>
      </c>
      <c r="AE11" s="5">
        <v>196.4</v>
      </c>
      <c r="AF11" s="5">
        <v>2511.8000000000002</v>
      </c>
      <c r="AG11" s="5">
        <v>3366.8</v>
      </c>
      <c r="AH11" s="5">
        <v>3837.4</v>
      </c>
    </row>
    <row r="12" spans="1:34" x14ac:dyDescent="0.3">
      <c r="A12" s="56" t="s">
        <v>127</v>
      </c>
      <c r="B12" s="59">
        <f>SUM(B7:B11)</f>
        <v>119293</v>
      </c>
      <c r="C12" s="59">
        <f t="shared" ref="C12:F12" si="5">SUM(C7:C11)</f>
        <v>122333</v>
      </c>
      <c r="D12" s="59">
        <f t="shared" si="5"/>
        <v>144085</v>
      </c>
      <c r="E12" s="59">
        <f t="shared" si="5"/>
        <v>172000</v>
      </c>
      <c r="F12" s="59">
        <f t="shared" si="5"/>
        <v>182360</v>
      </c>
      <c r="H12" s="57" t="s">
        <v>143</v>
      </c>
      <c r="I12" s="58">
        <v>1326</v>
      </c>
      <c r="J12" s="58">
        <v>1261</v>
      </c>
      <c r="K12" s="58">
        <v>1885</v>
      </c>
      <c r="L12" s="58">
        <v>1684</v>
      </c>
      <c r="M12" s="58">
        <v>1655</v>
      </c>
      <c r="O12" s="4" t="s">
        <v>153</v>
      </c>
      <c r="P12" s="5">
        <v>10700</v>
      </c>
      <c r="Q12" s="5">
        <v>10158</v>
      </c>
      <c r="R12" s="5">
        <v>4326</v>
      </c>
      <c r="S12" s="5">
        <v>4145</v>
      </c>
      <c r="T12" s="5">
        <v>4173</v>
      </c>
      <c r="V12" s="4" t="s">
        <v>152</v>
      </c>
      <c r="W12" s="5">
        <v>2085.5</v>
      </c>
      <c r="X12" s="5">
        <v>2763.4</v>
      </c>
      <c r="Y12" s="5">
        <v>3077.8</v>
      </c>
      <c r="Z12" s="5">
        <v>3340.2</v>
      </c>
      <c r="AA12" s="5">
        <v>3407.1</v>
      </c>
      <c r="AC12" s="3" t="s">
        <v>146</v>
      </c>
      <c r="AD12" s="6">
        <f>SUM(AD7:AD11)</f>
        <v>9204.9000000000015</v>
      </c>
      <c r="AE12" s="6">
        <f t="shared" ref="AE12:AH12" si="6">SUM(AE7:AE11)</f>
        <v>10055.999999999998</v>
      </c>
      <c r="AF12" s="6">
        <f t="shared" si="6"/>
        <v>21580.6</v>
      </c>
      <c r="AG12" s="6">
        <f t="shared" si="6"/>
        <v>27948.400000000001</v>
      </c>
      <c r="AH12" s="6">
        <f t="shared" si="6"/>
        <v>30170.200000000004</v>
      </c>
    </row>
    <row r="13" spans="1:34" x14ac:dyDescent="0.3">
      <c r="A13" s="56" t="s">
        <v>128</v>
      </c>
      <c r="B13" s="59">
        <f>B5-B12</f>
        <v>42248</v>
      </c>
      <c r="C13" s="59">
        <f t="shared" ref="C13:F13" si="7">C5-C12</f>
        <v>44978</v>
      </c>
      <c r="D13" s="59">
        <f t="shared" si="7"/>
        <v>51687</v>
      </c>
      <c r="E13" s="59">
        <f t="shared" si="7"/>
        <v>56907</v>
      </c>
      <c r="F13" s="59">
        <f t="shared" si="7"/>
        <v>62955</v>
      </c>
      <c r="H13" s="57" t="s">
        <v>144</v>
      </c>
      <c r="I13" s="58">
        <v>2893</v>
      </c>
      <c r="J13" s="58">
        <v>3267</v>
      </c>
      <c r="K13" s="58">
        <v>3476</v>
      </c>
      <c r="L13" s="58">
        <v>4225</v>
      </c>
      <c r="M13" s="58">
        <v>4812</v>
      </c>
      <c r="O13" s="4" t="s">
        <v>126</v>
      </c>
      <c r="P13" s="5">
        <v>6196</v>
      </c>
      <c r="Q13" s="5">
        <v>4625</v>
      </c>
      <c r="R13" s="5">
        <f>5070-(-1)</f>
        <v>5071</v>
      </c>
      <c r="S13" s="5">
        <f>6593</f>
        <v>6593</v>
      </c>
      <c r="T13" s="5">
        <v>6860</v>
      </c>
      <c r="V13" s="4" t="s">
        <v>157</v>
      </c>
      <c r="W13" s="5">
        <v>9052.1</v>
      </c>
      <c r="X13" s="5">
        <v>8360.9</v>
      </c>
      <c r="Y13" s="5">
        <v>10858.9</v>
      </c>
      <c r="Z13" s="5">
        <v>11524.7</v>
      </c>
      <c r="AA13" s="5">
        <v>10303</v>
      </c>
      <c r="AC13" s="3" t="s">
        <v>131</v>
      </c>
      <c r="AD13" s="6">
        <f>AD5-AD12</f>
        <v>2002.8999999999996</v>
      </c>
      <c r="AE13" s="6">
        <f t="shared" ref="AE13:AH13" si="8">AE5-AE12</f>
        <v>2588.2000000000007</v>
      </c>
      <c r="AF13" s="6">
        <f t="shared" si="8"/>
        <v>5293.9000000000015</v>
      </c>
      <c r="AG13" s="6">
        <f t="shared" si="8"/>
        <v>5791.5</v>
      </c>
      <c r="AH13" s="6">
        <f t="shared" si="8"/>
        <v>6048.6999999999971</v>
      </c>
    </row>
    <row r="14" spans="1:34" x14ac:dyDescent="0.3">
      <c r="A14" s="260" t="s">
        <v>129</v>
      </c>
      <c r="B14" s="260"/>
      <c r="C14" s="260"/>
      <c r="D14" s="260"/>
      <c r="E14" s="260"/>
      <c r="F14" s="260"/>
      <c r="H14" s="57" t="s">
        <v>145</v>
      </c>
      <c r="I14" s="58">
        <v>170</v>
      </c>
      <c r="J14" s="58">
        <v>195</v>
      </c>
      <c r="K14" s="58">
        <v>200</v>
      </c>
      <c r="L14" s="58">
        <v>284</v>
      </c>
      <c r="M14" s="58">
        <v>416</v>
      </c>
      <c r="O14" s="3" t="s">
        <v>146</v>
      </c>
      <c r="P14" s="6">
        <f>SUM(P7:P13)</f>
        <v>57285</v>
      </c>
      <c r="Q14" s="6">
        <f t="shared" ref="Q14:T14" si="9">SUM(Q7:Q13)</f>
        <v>60453</v>
      </c>
      <c r="R14" s="6">
        <f t="shared" si="9"/>
        <v>69767</v>
      </c>
      <c r="S14" s="6">
        <f t="shared" si="9"/>
        <v>83326</v>
      </c>
      <c r="T14" s="6">
        <f t="shared" si="9"/>
        <v>90441</v>
      </c>
      <c r="V14" s="4" t="s">
        <v>158</v>
      </c>
      <c r="W14" s="5">
        <v>1973.3</v>
      </c>
      <c r="X14" s="5">
        <v>2025.5</v>
      </c>
      <c r="Y14" s="5">
        <v>2526.9</v>
      </c>
      <c r="Z14" s="5">
        <v>1349.2</v>
      </c>
      <c r="AA14" s="5">
        <v>1455.6</v>
      </c>
      <c r="AC14" s="249" t="s">
        <v>147</v>
      </c>
      <c r="AD14" s="249"/>
      <c r="AE14" s="249"/>
      <c r="AF14" s="249"/>
      <c r="AG14" s="249"/>
      <c r="AH14" s="249"/>
    </row>
    <row r="15" spans="1:34" x14ac:dyDescent="0.3">
      <c r="A15" s="57" t="s">
        <v>130</v>
      </c>
      <c r="B15" s="58">
        <v>0</v>
      </c>
      <c r="C15" s="58">
        <v>1218</v>
      </c>
      <c r="D15" s="58">
        <v>0</v>
      </c>
      <c r="E15" s="58">
        <v>0</v>
      </c>
      <c r="F15" s="58">
        <v>958</v>
      </c>
      <c r="H15" s="57" t="s">
        <v>126</v>
      </c>
      <c r="I15" s="58">
        <v>3656</v>
      </c>
      <c r="J15" s="58">
        <v>3286</v>
      </c>
      <c r="K15" s="58">
        <v>3424</v>
      </c>
      <c r="L15" s="58">
        <v>4392</v>
      </c>
      <c r="M15" s="58">
        <v>4787</v>
      </c>
      <c r="O15" s="3" t="s">
        <v>131</v>
      </c>
      <c r="P15" s="6">
        <f>P5-P14</f>
        <v>13980</v>
      </c>
      <c r="Q15" s="6">
        <f t="shared" ref="Q15:T15" si="10">Q5-Q14</f>
        <v>15853</v>
      </c>
      <c r="R15" s="6">
        <f t="shared" si="10"/>
        <v>16951</v>
      </c>
      <c r="S15" s="6">
        <f t="shared" si="10"/>
        <v>19488</v>
      </c>
      <c r="T15" s="6">
        <f t="shared" si="10"/>
        <v>20967</v>
      </c>
      <c r="V15" s="4" t="s">
        <v>159</v>
      </c>
      <c r="W15" s="5">
        <v>1816.9</v>
      </c>
      <c r="X15" s="5">
        <v>525.79999999999995</v>
      </c>
      <c r="Y15" s="5">
        <v>732</v>
      </c>
      <c r="Z15" s="5">
        <v>1444.5</v>
      </c>
      <c r="AA15" s="5">
        <v>1510.2</v>
      </c>
      <c r="AC15" s="4" t="s">
        <v>133</v>
      </c>
      <c r="AD15" s="5">
        <v>391.3</v>
      </c>
      <c r="AE15" s="5">
        <v>631.4</v>
      </c>
      <c r="AF15" s="5">
        <v>1359.8</v>
      </c>
      <c r="AG15" s="5">
        <v>1439.1</v>
      </c>
      <c r="AH15" s="5">
        <v>1460</v>
      </c>
    </row>
    <row r="16" spans="1:34" x14ac:dyDescent="0.3">
      <c r="A16" s="56" t="s">
        <v>131</v>
      </c>
      <c r="B16" s="59">
        <f>B13-B15</f>
        <v>42248</v>
      </c>
      <c r="C16" s="59">
        <f t="shared" ref="C16:F16" si="11">C13-C15</f>
        <v>43760</v>
      </c>
      <c r="D16" s="59">
        <f t="shared" si="11"/>
        <v>51687</v>
      </c>
      <c r="E16" s="59">
        <f t="shared" si="11"/>
        <v>56907</v>
      </c>
      <c r="F16" s="59">
        <f t="shared" si="11"/>
        <v>61997</v>
      </c>
      <c r="H16" s="56" t="s">
        <v>146</v>
      </c>
      <c r="I16" s="59">
        <f>SUM(I7:I15)</f>
        <v>71587</v>
      </c>
      <c r="J16" s="59">
        <f t="shared" ref="J16:M16" si="12">SUM(J7:J15)</f>
        <v>76045</v>
      </c>
      <c r="K16" s="59">
        <f t="shared" si="12"/>
        <v>93826</v>
      </c>
      <c r="L16" s="59">
        <f t="shared" si="12"/>
        <v>116146</v>
      </c>
      <c r="M16" s="59">
        <f t="shared" si="12"/>
        <v>128982</v>
      </c>
      <c r="O16" s="249" t="s">
        <v>132</v>
      </c>
      <c r="P16" s="249"/>
      <c r="Q16" s="249"/>
      <c r="R16" s="249"/>
      <c r="S16" s="249"/>
      <c r="T16" s="249"/>
      <c r="V16" s="4" t="s">
        <v>160</v>
      </c>
      <c r="W16" s="5">
        <v>481.2</v>
      </c>
      <c r="X16" s="5">
        <v>606.9</v>
      </c>
      <c r="Y16" s="5">
        <v>576</v>
      </c>
      <c r="Z16" s="5">
        <v>591.1</v>
      </c>
      <c r="AA16" s="5">
        <v>487.8</v>
      </c>
      <c r="AC16" s="4" t="s">
        <v>134</v>
      </c>
      <c r="AD16" s="5">
        <v>91.1</v>
      </c>
      <c r="AE16" s="5">
        <v>18.600000000000001</v>
      </c>
      <c r="AF16" s="5">
        <v>-15.9</v>
      </c>
      <c r="AG16" s="5">
        <v>-57.9</v>
      </c>
      <c r="AH16" s="5">
        <v>4.0999999999999996</v>
      </c>
    </row>
    <row r="17" spans="1:34" x14ac:dyDescent="0.3">
      <c r="A17" s="260" t="s">
        <v>132</v>
      </c>
      <c r="B17" s="260"/>
      <c r="C17" s="260"/>
      <c r="D17" s="260"/>
      <c r="E17" s="260"/>
      <c r="F17" s="260"/>
      <c r="H17" s="56" t="s">
        <v>131</v>
      </c>
      <c r="I17" s="60">
        <f>I5-I16</f>
        <v>22007</v>
      </c>
      <c r="J17" s="60">
        <f t="shared" ref="J17:M17" si="13">J5-J16</f>
        <v>26628</v>
      </c>
      <c r="K17" s="60">
        <f t="shared" si="13"/>
        <v>30110</v>
      </c>
      <c r="L17" s="60">
        <f t="shared" si="13"/>
        <v>33322</v>
      </c>
      <c r="M17" s="60">
        <f t="shared" si="13"/>
        <v>37608</v>
      </c>
      <c r="O17" s="4" t="s">
        <v>133</v>
      </c>
      <c r="P17" s="5">
        <v>2821</v>
      </c>
      <c r="Q17" s="5">
        <v>3719</v>
      </c>
      <c r="R17" s="5">
        <v>3442</v>
      </c>
      <c r="S17" s="5">
        <v>4665</v>
      </c>
      <c r="T17" s="5">
        <v>4626</v>
      </c>
      <c r="V17" s="4" t="s">
        <v>161</v>
      </c>
      <c r="W17" s="5">
        <v>253.2</v>
      </c>
      <c r="X17" s="5">
        <v>556.1</v>
      </c>
      <c r="Y17" s="5">
        <v>756.1</v>
      </c>
      <c r="Z17" s="5">
        <v>295.10000000000002</v>
      </c>
      <c r="AA17" s="5">
        <v>355.5</v>
      </c>
      <c r="AC17" s="3" t="s">
        <v>166</v>
      </c>
      <c r="AD17" s="6">
        <f>SUM(AD15:AD16)</f>
        <v>482.4</v>
      </c>
      <c r="AE17" s="6">
        <f t="shared" ref="AE17:AH17" si="14">SUM(AE15:AE16)</f>
        <v>650</v>
      </c>
      <c r="AF17" s="6">
        <f t="shared" si="14"/>
        <v>1343.8999999999999</v>
      </c>
      <c r="AG17" s="6">
        <f t="shared" si="14"/>
        <v>1381.1999999999998</v>
      </c>
      <c r="AH17" s="6">
        <f t="shared" si="14"/>
        <v>1464.1</v>
      </c>
    </row>
    <row r="18" spans="1:34" x14ac:dyDescent="0.3">
      <c r="A18" s="57" t="s">
        <v>133</v>
      </c>
      <c r="B18" s="58">
        <v>10378</v>
      </c>
      <c r="C18" s="58">
        <v>11635</v>
      </c>
      <c r="D18" s="58">
        <v>13654</v>
      </c>
      <c r="E18" s="58">
        <v>14757</v>
      </c>
      <c r="F18" s="58">
        <v>15864</v>
      </c>
      <c r="H18" s="260" t="s">
        <v>147</v>
      </c>
      <c r="I18" s="260"/>
      <c r="J18" s="260"/>
      <c r="K18" s="260"/>
      <c r="L18" s="260"/>
      <c r="M18" s="260"/>
      <c r="O18" s="4" t="s">
        <v>134</v>
      </c>
      <c r="P18" s="5">
        <v>102</v>
      </c>
      <c r="Q18" s="5">
        <v>965</v>
      </c>
      <c r="R18" s="5">
        <v>-14</v>
      </c>
      <c r="S18" s="5">
        <v>-22</v>
      </c>
      <c r="T18" s="5">
        <v>631</v>
      </c>
      <c r="V18" s="4" t="s">
        <v>162</v>
      </c>
      <c r="W18" s="5">
        <v>473.3</v>
      </c>
      <c r="X18" s="5">
        <v>101.1</v>
      </c>
      <c r="Y18" s="5">
        <v>201</v>
      </c>
      <c r="Z18" s="5">
        <v>1328.8</v>
      </c>
      <c r="AA18" s="5">
        <v>955.9</v>
      </c>
      <c r="AC18" s="3" t="s">
        <v>167</v>
      </c>
      <c r="AD18" s="6">
        <f>AD13-AD17</f>
        <v>1520.4999999999995</v>
      </c>
      <c r="AE18" s="6">
        <f t="shared" ref="AE18:AH18" si="15">AE13-AE17</f>
        <v>1938.2000000000007</v>
      </c>
      <c r="AF18" s="6">
        <f t="shared" si="15"/>
        <v>3950.0000000000018</v>
      </c>
      <c r="AG18" s="6">
        <f t="shared" si="15"/>
        <v>4410.3</v>
      </c>
      <c r="AH18" s="6">
        <f t="shared" si="15"/>
        <v>4584.5999999999967</v>
      </c>
    </row>
    <row r="19" spans="1:34" x14ac:dyDescent="0.3">
      <c r="A19" s="57" t="s">
        <v>134</v>
      </c>
      <c r="B19" s="58">
        <v>-577</v>
      </c>
      <c r="C19" s="58">
        <v>-437</v>
      </c>
      <c r="D19" s="58">
        <v>-416</v>
      </c>
      <c r="E19" s="58">
        <v>-153</v>
      </c>
      <c r="F19" s="58">
        <v>34</v>
      </c>
      <c r="H19" s="57" t="s">
        <v>133</v>
      </c>
      <c r="I19" s="58">
        <v>5775</v>
      </c>
      <c r="J19" s="58">
        <v>6672</v>
      </c>
      <c r="K19" s="58">
        <v>7811</v>
      </c>
      <c r="L19" s="58">
        <v>9287</v>
      </c>
      <c r="M19" s="58">
        <v>12130</v>
      </c>
      <c r="O19" s="3" t="s">
        <v>135</v>
      </c>
      <c r="P19" s="6">
        <f>P17+P18</f>
        <v>2923</v>
      </c>
      <c r="Q19" s="6">
        <f t="shared" ref="Q19:T19" si="16">Q17+Q18</f>
        <v>4684</v>
      </c>
      <c r="R19" s="6">
        <f t="shared" si="16"/>
        <v>3428</v>
      </c>
      <c r="S19" s="6">
        <f t="shared" si="16"/>
        <v>4643</v>
      </c>
      <c r="T19" s="6">
        <f t="shared" si="16"/>
        <v>5257</v>
      </c>
      <c r="V19" s="4" t="s">
        <v>163</v>
      </c>
      <c r="W19" s="5">
        <v>104.3</v>
      </c>
      <c r="X19" s="5">
        <v>150.6</v>
      </c>
      <c r="Y19" s="5">
        <v>-79.7</v>
      </c>
      <c r="Z19" s="5">
        <v>-60.4</v>
      </c>
      <c r="AA19" s="5">
        <v>64</v>
      </c>
      <c r="AD19" s="2"/>
      <c r="AE19" s="2"/>
      <c r="AF19" s="2"/>
      <c r="AG19" s="2"/>
      <c r="AH19" s="2"/>
    </row>
    <row r="20" spans="1:34" x14ac:dyDescent="0.3">
      <c r="A20" s="56" t="s">
        <v>135</v>
      </c>
      <c r="B20" s="59">
        <f>B18+B19</f>
        <v>9801</v>
      </c>
      <c r="C20" s="59">
        <f t="shared" ref="C20:F20" si="17">C18+C19</f>
        <v>11198</v>
      </c>
      <c r="D20" s="59">
        <f t="shared" si="17"/>
        <v>13238</v>
      </c>
      <c r="E20" s="59">
        <f t="shared" si="17"/>
        <v>14604</v>
      </c>
      <c r="F20" s="59">
        <f t="shared" si="17"/>
        <v>15898</v>
      </c>
      <c r="H20" s="57" t="s">
        <v>134</v>
      </c>
      <c r="I20" s="58">
        <v>-407</v>
      </c>
      <c r="J20" s="58">
        <v>533</v>
      </c>
      <c r="K20" s="58">
        <v>153</v>
      </c>
      <c r="L20" s="58">
        <v>-73</v>
      </c>
      <c r="M20" s="58">
        <v>-1272</v>
      </c>
      <c r="O20" s="3" t="s">
        <v>136</v>
      </c>
      <c r="P20" s="6">
        <f>P15-P19</f>
        <v>11057</v>
      </c>
      <c r="Q20" s="6">
        <f t="shared" ref="Q20:T20" si="18">Q15-Q19</f>
        <v>11169</v>
      </c>
      <c r="R20" s="6">
        <f t="shared" si="18"/>
        <v>13523</v>
      </c>
      <c r="S20" s="6">
        <f t="shared" si="18"/>
        <v>14845</v>
      </c>
      <c r="T20" s="6">
        <f t="shared" si="18"/>
        <v>15710</v>
      </c>
      <c r="V20" s="4" t="s">
        <v>126</v>
      </c>
      <c r="W20" s="5">
        <v>845.7</v>
      </c>
      <c r="X20" s="5">
        <v>872.3</v>
      </c>
      <c r="Y20" s="5">
        <v>1412.5</v>
      </c>
      <c r="Z20" s="5">
        <f>869.4+1871.7</f>
        <v>2741.1</v>
      </c>
      <c r="AA20" s="5">
        <f>673.6+1837.8</f>
        <v>2511.4</v>
      </c>
      <c r="AD20" s="2">
        <f>AD13+AD9</f>
        <v>2085.4999999999995</v>
      </c>
      <c r="AE20" s="2"/>
      <c r="AF20" s="2"/>
      <c r="AG20" s="2"/>
      <c r="AH20" s="2">
        <f>AH13+AH9</f>
        <v>6270.3999999999969</v>
      </c>
    </row>
    <row r="21" spans="1:34" x14ac:dyDescent="0.3">
      <c r="A21" s="56" t="s">
        <v>136</v>
      </c>
      <c r="B21" s="59">
        <f>B16-B20</f>
        <v>32447</v>
      </c>
      <c r="C21" s="59">
        <f t="shared" ref="C21:F21" si="19">C16-C20</f>
        <v>32562</v>
      </c>
      <c r="D21" s="59">
        <f t="shared" si="19"/>
        <v>38449</v>
      </c>
      <c r="E21" s="59">
        <f t="shared" si="19"/>
        <v>42303</v>
      </c>
      <c r="F21" s="59">
        <f t="shared" si="19"/>
        <v>46099</v>
      </c>
      <c r="H21" s="56" t="s">
        <v>135</v>
      </c>
      <c r="I21" s="59">
        <f>I19+I20</f>
        <v>5368</v>
      </c>
      <c r="J21" s="59">
        <f t="shared" ref="J21:M21" si="20">J19+J20</f>
        <v>7205</v>
      </c>
      <c r="K21" s="59">
        <f t="shared" si="20"/>
        <v>7964</v>
      </c>
      <c r="L21" s="59">
        <f t="shared" si="20"/>
        <v>9214</v>
      </c>
      <c r="M21" s="59">
        <f t="shared" si="20"/>
        <v>10858</v>
      </c>
      <c r="P21" s="2"/>
      <c r="Q21" s="2"/>
      <c r="R21" s="2"/>
      <c r="S21" s="2"/>
      <c r="T21" s="2"/>
      <c r="V21" s="3" t="s">
        <v>146</v>
      </c>
      <c r="W21" s="6">
        <f>SUM(W8:W20)</f>
        <v>51613.599999999999</v>
      </c>
      <c r="X21" s="6">
        <f t="shared" ref="X21:AA21" si="21">SUM(X8:X20)</f>
        <v>50435.700000000004</v>
      </c>
      <c r="Y21" s="6">
        <f t="shared" si="21"/>
        <v>66238.100000000006</v>
      </c>
      <c r="Z21" s="6">
        <f t="shared" si="21"/>
        <v>77990.800000000017</v>
      </c>
      <c r="AA21" s="6">
        <f t="shared" si="21"/>
        <v>77646.799999999988</v>
      </c>
      <c r="AD21" s="2"/>
      <c r="AE21" s="2"/>
      <c r="AF21" s="2"/>
      <c r="AG21" s="2"/>
      <c r="AH21" s="2"/>
    </row>
    <row r="22" spans="1:34" x14ac:dyDescent="0.3">
      <c r="H22" s="56" t="s">
        <v>148</v>
      </c>
      <c r="I22" s="60">
        <f>I17-I21</f>
        <v>16639</v>
      </c>
      <c r="J22" s="60">
        <f t="shared" ref="J22:M22" si="22">J17-J21</f>
        <v>19423</v>
      </c>
      <c r="K22" s="60">
        <f t="shared" si="22"/>
        <v>22146</v>
      </c>
      <c r="L22" s="60">
        <f t="shared" si="22"/>
        <v>24108</v>
      </c>
      <c r="M22" s="60">
        <f t="shared" si="22"/>
        <v>26750</v>
      </c>
      <c r="P22" s="2"/>
      <c r="Q22" s="2"/>
      <c r="R22" s="2"/>
      <c r="S22" s="2"/>
      <c r="T22" s="2"/>
      <c r="V22" s="4" t="s">
        <v>164</v>
      </c>
      <c r="W22" s="5">
        <v>2.9</v>
      </c>
      <c r="X22" s="5">
        <v>13</v>
      </c>
      <c r="Y22" s="5">
        <v>5.7</v>
      </c>
      <c r="Z22" s="5">
        <v>-5.7</v>
      </c>
      <c r="AA22" s="5">
        <v>-23.3</v>
      </c>
      <c r="AD22" s="2"/>
      <c r="AE22" s="2"/>
      <c r="AF22" s="2"/>
      <c r="AG22" s="2"/>
      <c r="AH22" s="2"/>
    </row>
    <row r="23" spans="1:34" x14ac:dyDescent="0.3">
      <c r="P23" s="2"/>
      <c r="Q23" s="2"/>
      <c r="R23" s="2"/>
      <c r="S23" s="2"/>
      <c r="T23" s="2"/>
      <c r="V23" s="3" t="s">
        <v>131</v>
      </c>
      <c r="W23" s="6">
        <f>W6-W21+W22</f>
        <v>12251.9</v>
      </c>
      <c r="X23" s="6">
        <f t="shared" ref="X23:AA23" si="23">(X6-X21)+X22</f>
        <v>13902.899999999994</v>
      </c>
      <c r="Y23" s="6">
        <f t="shared" si="23"/>
        <v>15140.799999999992</v>
      </c>
      <c r="Z23" s="6">
        <f t="shared" si="23"/>
        <v>14765.699999999993</v>
      </c>
      <c r="AA23" s="6">
        <f t="shared" si="23"/>
        <v>14721.000000000018</v>
      </c>
      <c r="AD23" s="2"/>
      <c r="AE23" s="2"/>
      <c r="AF23" s="2"/>
      <c r="AG23" s="2"/>
      <c r="AH23" s="2"/>
    </row>
    <row r="24" spans="1:34" x14ac:dyDescent="0.3">
      <c r="P24" s="2">
        <f>P15+P10</f>
        <v>14485</v>
      </c>
      <c r="Q24" s="2"/>
      <c r="R24" s="2"/>
      <c r="S24" s="2"/>
      <c r="T24" s="2">
        <f>T15+T10</f>
        <v>35545</v>
      </c>
      <c r="V24" s="249" t="s">
        <v>147</v>
      </c>
      <c r="W24" s="249"/>
      <c r="X24" s="249"/>
      <c r="Y24" s="249"/>
      <c r="Z24" s="249"/>
      <c r="AA24" s="249"/>
      <c r="AD24" s="2"/>
      <c r="AE24" s="2"/>
      <c r="AF24" s="2"/>
      <c r="AG24" s="2"/>
      <c r="AH24" s="2"/>
    </row>
    <row r="25" spans="1:34" x14ac:dyDescent="0.3">
      <c r="A25" s="14" t="s">
        <v>389</v>
      </c>
      <c r="B25" s="147">
        <f>B13+B9</f>
        <v>43172</v>
      </c>
      <c r="F25" s="147">
        <f>F13+F9</f>
        <v>63733</v>
      </c>
      <c r="I25" s="147">
        <f>I17+I14</f>
        <v>22177</v>
      </c>
      <c r="M25" s="147">
        <f>M17+M14</f>
        <v>38024</v>
      </c>
      <c r="P25" s="2"/>
      <c r="Q25" s="2"/>
      <c r="R25" s="2"/>
      <c r="S25" s="2"/>
      <c r="T25" s="2"/>
      <c r="V25" s="4" t="s">
        <v>133</v>
      </c>
      <c r="W25" s="5">
        <v>2432.4</v>
      </c>
      <c r="X25" s="5">
        <v>2606.5</v>
      </c>
      <c r="Y25" s="5">
        <v>3241.5</v>
      </c>
      <c r="Z25" s="5">
        <v>3219.8</v>
      </c>
      <c r="AA25" s="5">
        <v>3497.3</v>
      </c>
      <c r="AD25" s="2"/>
      <c r="AE25" s="2"/>
      <c r="AF25" s="2"/>
      <c r="AG25" s="2"/>
      <c r="AH25" s="2"/>
    </row>
    <row r="26" spans="1:34" x14ac:dyDescent="0.3">
      <c r="P26" s="2"/>
      <c r="Q26" s="2"/>
      <c r="R26" s="2"/>
      <c r="S26" s="2"/>
      <c r="T26" s="2"/>
      <c r="V26" s="4" t="s">
        <v>134</v>
      </c>
      <c r="W26" s="5">
        <v>47.7</v>
      </c>
      <c r="X26" s="5">
        <v>428.4</v>
      </c>
      <c r="Y26" s="5">
        <v>-344.1</v>
      </c>
      <c r="Z26" s="5">
        <v>179.4</v>
      </c>
      <c r="AA26" s="5">
        <v>111.6</v>
      </c>
      <c r="AD26" s="2"/>
      <c r="AE26" s="2"/>
      <c r="AF26" s="2"/>
      <c r="AG26" s="2"/>
      <c r="AH26" s="2"/>
    </row>
    <row r="27" spans="1:34" x14ac:dyDescent="0.3">
      <c r="P27" s="2"/>
      <c r="Q27" s="2"/>
      <c r="R27" s="2"/>
      <c r="S27" s="2"/>
      <c r="T27" s="2"/>
      <c r="V27" s="3" t="s">
        <v>135</v>
      </c>
      <c r="W27" s="6">
        <f>W25+W26</f>
        <v>2480.1</v>
      </c>
      <c r="X27" s="6">
        <f t="shared" ref="X27:AA27" si="24">X25+X26</f>
        <v>3034.9</v>
      </c>
      <c r="Y27" s="6">
        <f t="shared" si="24"/>
        <v>2897.4</v>
      </c>
      <c r="Z27" s="6">
        <f t="shared" si="24"/>
        <v>3399.2000000000003</v>
      </c>
      <c r="AA27" s="6">
        <f t="shared" si="24"/>
        <v>3608.9</v>
      </c>
      <c r="AD27" s="2"/>
      <c r="AE27" s="2"/>
      <c r="AF27" s="2"/>
      <c r="AG27" s="2"/>
      <c r="AH27" s="2"/>
    </row>
    <row r="28" spans="1:34" x14ac:dyDescent="0.3">
      <c r="P28" s="2"/>
      <c r="Q28" s="2"/>
      <c r="R28" s="2"/>
      <c r="S28" s="2"/>
      <c r="T28" s="2"/>
      <c r="V28" s="3" t="s">
        <v>136</v>
      </c>
      <c r="W28" s="6">
        <f>W23-W27</f>
        <v>9771.7999999999993</v>
      </c>
      <c r="X28" s="6">
        <f t="shared" ref="X28:AA28" si="25">X23-X27</f>
        <v>10867.999999999995</v>
      </c>
      <c r="Y28" s="6">
        <f t="shared" si="25"/>
        <v>12243.399999999992</v>
      </c>
      <c r="Z28" s="6">
        <f t="shared" si="25"/>
        <v>11366.499999999993</v>
      </c>
      <c r="AA28" s="6">
        <f t="shared" si="25"/>
        <v>11112.100000000019</v>
      </c>
      <c r="AD28" s="2"/>
      <c r="AE28" s="2"/>
      <c r="AF28" s="2"/>
      <c r="AG28" s="2"/>
      <c r="AH28" s="2"/>
    </row>
    <row r="29" spans="1:34" x14ac:dyDescent="0.3">
      <c r="P29" s="2"/>
      <c r="Q29" s="2"/>
      <c r="R29" s="2"/>
      <c r="S29" s="2"/>
      <c r="T29" s="2"/>
      <c r="W29" s="2"/>
      <c r="X29" s="2"/>
      <c r="Y29" s="2"/>
      <c r="Z29" s="2"/>
      <c r="AA29" s="2"/>
      <c r="AD29" s="2"/>
      <c r="AE29" s="2"/>
      <c r="AF29" s="2"/>
      <c r="AG29" s="2"/>
      <c r="AH29" s="2"/>
    </row>
    <row r="30" spans="1:34" x14ac:dyDescent="0.3">
      <c r="P30" s="2"/>
      <c r="Q30" s="2"/>
      <c r="R30" s="2"/>
      <c r="S30" s="2"/>
      <c r="T30" s="2"/>
      <c r="W30" s="2"/>
      <c r="X30" s="2"/>
      <c r="Y30" s="2"/>
      <c r="Z30" s="2"/>
      <c r="AA30" s="2"/>
      <c r="AD30" s="2"/>
      <c r="AE30" s="2"/>
      <c r="AF30" s="2"/>
      <c r="AG30" s="2"/>
      <c r="AH30" s="2"/>
    </row>
    <row r="31" spans="1:34" x14ac:dyDescent="0.3">
      <c r="P31" s="2"/>
      <c r="Q31" s="2"/>
      <c r="R31" s="2"/>
      <c r="S31" s="2"/>
      <c r="T31" s="2"/>
      <c r="W31" s="2">
        <f>W23+W11</f>
        <v>12984.699999999999</v>
      </c>
      <c r="X31" s="2"/>
      <c r="Y31" s="2"/>
      <c r="Z31" s="2"/>
      <c r="AA31" s="2">
        <f>AA23+AA11</f>
        <v>15976.200000000019</v>
      </c>
      <c r="AD31" s="2"/>
      <c r="AE31" s="2"/>
      <c r="AF31" s="2"/>
      <c r="AG31" s="2"/>
      <c r="AH31" s="2"/>
    </row>
    <row r="32" spans="1:34" x14ac:dyDescent="0.3">
      <c r="P32" s="2"/>
      <c r="Q32" s="2"/>
      <c r="R32" s="2"/>
      <c r="S32" s="2"/>
      <c r="T32" s="2"/>
      <c r="W32" s="2"/>
      <c r="X32" s="2"/>
      <c r="Y32" s="2"/>
      <c r="Z32" s="2"/>
      <c r="AA32" s="2"/>
      <c r="AD32" s="2"/>
      <c r="AE32" s="2"/>
      <c r="AF32" s="2"/>
      <c r="AG32" s="2"/>
      <c r="AH32" s="2"/>
    </row>
    <row r="33" spans="16:34" x14ac:dyDescent="0.3">
      <c r="P33" s="2"/>
      <c r="Q33" s="2"/>
      <c r="R33" s="2"/>
      <c r="S33" s="2"/>
      <c r="T33" s="2"/>
      <c r="W33" s="2"/>
      <c r="X33" s="2"/>
      <c r="Y33" s="2"/>
      <c r="Z33" s="2"/>
      <c r="AA33" s="2"/>
      <c r="AD33" s="2"/>
      <c r="AE33" s="2"/>
      <c r="AF33" s="2"/>
      <c r="AG33" s="2"/>
      <c r="AH33" s="2"/>
    </row>
    <row r="34" spans="16:34" x14ac:dyDescent="0.3">
      <c r="P34" s="2"/>
      <c r="Q34" s="2"/>
      <c r="R34" s="2"/>
      <c r="S34" s="2"/>
      <c r="T34" s="2"/>
      <c r="W34" s="2"/>
      <c r="X34" s="2"/>
      <c r="Y34" s="2"/>
      <c r="Z34" s="2"/>
      <c r="AA34" s="2"/>
      <c r="AD34" s="2"/>
      <c r="AE34" s="2"/>
      <c r="AF34" s="2"/>
      <c r="AG34" s="2"/>
      <c r="AH34" s="2"/>
    </row>
    <row r="35" spans="16:34" x14ac:dyDescent="0.3">
      <c r="P35" s="2"/>
      <c r="Q35" s="2"/>
      <c r="R35" s="2"/>
      <c r="S35" s="2"/>
      <c r="T35" s="2"/>
      <c r="W35" s="2"/>
      <c r="X35" s="2"/>
      <c r="Y35" s="2"/>
      <c r="Z35" s="2"/>
      <c r="AA35" s="2"/>
      <c r="AD35" s="2"/>
      <c r="AE35" s="2"/>
      <c r="AF35" s="2"/>
      <c r="AG35" s="2"/>
      <c r="AH35" s="2"/>
    </row>
    <row r="36" spans="16:34" x14ac:dyDescent="0.3">
      <c r="P36" s="2"/>
      <c r="Q36" s="2"/>
      <c r="R36" s="2"/>
      <c r="S36" s="2"/>
      <c r="T36" s="2"/>
      <c r="W36" s="2"/>
      <c r="X36" s="2"/>
      <c r="Y36" s="2"/>
      <c r="Z36" s="2"/>
      <c r="AA36" s="2"/>
      <c r="AD36" s="2"/>
      <c r="AE36" s="2"/>
      <c r="AF36" s="2"/>
      <c r="AG36" s="2"/>
      <c r="AH36" s="2"/>
    </row>
    <row r="37" spans="16:34" x14ac:dyDescent="0.3">
      <c r="P37" s="2"/>
      <c r="Q37" s="2"/>
      <c r="R37" s="2"/>
      <c r="S37" s="2"/>
      <c r="T37" s="2"/>
      <c r="W37" s="2"/>
      <c r="X37" s="2"/>
      <c r="Y37" s="2"/>
      <c r="Z37" s="2"/>
      <c r="AA37" s="2"/>
      <c r="AD37" s="2"/>
      <c r="AE37" s="2"/>
      <c r="AF37" s="2"/>
      <c r="AG37" s="2"/>
      <c r="AH37" s="2"/>
    </row>
    <row r="38" spans="16:34" x14ac:dyDescent="0.3">
      <c r="P38" s="2"/>
      <c r="Q38" s="2"/>
      <c r="R38" s="2"/>
      <c r="S38" s="2"/>
      <c r="T38" s="2"/>
      <c r="W38" s="2"/>
      <c r="X38" s="2"/>
      <c r="Y38" s="2"/>
      <c r="Z38" s="2"/>
      <c r="AA38" s="2"/>
      <c r="AD38" s="2"/>
      <c r="AE38" s="2"/>
      <c r="AF38" s="2"/>
      <c r="AG38" s="2"/>
      <c r="AH38" s="2"/>
    </row>
    <row r="39" spans="16:34" x14ac:dyDescent="0.3">
      <c r="P39" s="2"/>
      <c r="Q39" s="2"/>
      <c r="R39" s="2"/>
      <c r="S39" s="2"/>
      <c r="T39" s="2"/>
      <c r="W39" s="2"/>
      <c r="X39" s="2"/>
      <c r="Y39" s="2"/>
      <c r="Z39" s="2"/>
      <c r="AA39" s="2"/>
      <c r="AD39" s="2"/>
      <c r="AE39" s="2"/>
      <c r="AF39" s="2"/>
      <c r="AG39" s="2"/>
      <c r="AH39" s="2"/>
    </row>
    <row r="40" spans="16:34" x14ac:dyDescent="0.3">
      <c r="P40" s="2"/>
      <c r="Q40" s="2"/>
      <c r="R40" s="2"/>
      <c r="S40" s="2"/>
      <c r="T40" s="2"/>
      <c r="W40" s="2"/>
      <c r="X40" s="2"/>
      <c r="Y40" s="2"/>
      <c r="Z40" s="2"/>
      <c r="AA40" s="2"/>
      <c r="AD40" s="2"/>
      <c r="AE40" s="2"/>
      <c r="AF40" s="2"/>
      <c r="AG40" s="2"/>
      <c r="AH40" s="2"/>
    </row>
    <row r="41" spans="16:34" x14ac:dyDescent="0.3">
      <c r="P41" s="2"/>
      <c r="Q41" s="2"/>
      <c r="R41" s="2"/>
      <c r="S41" s="2"/>
      <c r="T41" s="2"/>
      <c r="W41" s="2"/>
      <c r="X41" s="2"/>
      <c r="Y41" s="2"/>
      <c r="Z41" s="2"/>
      <c r="AA41" s="2"/>
      <c r="AD41" s="2"/>
      <c r="AE41" s="2"/>
      <c r="AF41" s="2"/>
      <c r="AG41" s="2"/>
      <c r="AH41" s="2"/>
    </row>
    <row r="42" spans="16:34" x14ac:dyDescent="0.3">
      <c r="P42" s="2"/>
      <c r="Q42" s="2"/>
      <c r="R42" s="2"/>
      <c r="S42" s="2"/>
      <c r="T42" s="2"/>
      <c r="W42" s="2"/>
      <c r="X42" s="2"/>
      <c r="Y42" s="2"/>
      <c r="Z42" s="2"/>
      <c r="AA42" s="2"/>
      <c r="AD42" s="2"/>
      <c r="AE42" s="2"/>
      <c r="AF42" s="2"/>
      <c r="AG42" s="2"/>
      <c r="AH42" s="2"/>
    </row>
    <row r="43" spans="16:34" x14ac:dyDescent="0.3">
      <c r="P43" s="2"/>
      <c r="Q43" s="2"/>
      <c r="R43" s="2"/>
      <c r="S43" s="2"/>
      <c r="T43" s="2"/>
      <c r="W43" s="2"/>
      <c r="X43" s="2"/>
      <c r="Y43" s="2"/>
      <c r="Z43" s="2"/>
      <c r="AA43" s="2"/>
      <c r="AD43" s="2"/>
      <c r="AE43" s="2"/>
      <c r="AF43" s="2"/>
      <c r="AG43" s="2"/>
      <c r="AH43" s="2"/>
    </row>
    <row r="44" spans="16:34" x14ac:dyDescent="0.3">
      <c r="P44" s="2"/>
      <c r="Q44" s="2"/>
      <c r="R44" s="2"/>
      <c r="S44" s="2"/>
      <c r="T44" s="2"/>
      <c r="W44" s="2"/>
      <c r="X44" s="2"/>
      <c r="Y44" s="2"/>
      <c r="Z44" s="2"/>
      <c r="AA44" s="2"/>
      <c r="AD44" s="2"/>
      <c r="AE44" s="2"/>
      <c r="AF44" s="2"/>
      <c r="AG44" s="2"/>
      <c r="AH44" s="2"/>
    </row>
    <row r="45" spans="16:34" x14ac:dyDescent="0.3">
      <c r="P45" s="2"/>
      <c r="Q45" s="2"/>
      <c r="R45" s="2"/>
      <c r="S45" s="2"/>
      <c r="T45" s="2"/>
      <c r="W45" s="2"/>
      <c r="X45" s="2"/>
      <c r="Y45" s="2"/>
      <c r="Z45" s="2"/>
      <c r="AA45" s="2"/>
      <c r="AD45" s="2"/>
      <c r="AE45" s="2"/>
      <c r="AF45" s="2"/>
      <c r="AG45" s="2"/>
      <c r="AH45" s="2"/>
    </row>
    <row r="46" spans="16:34" x14ac:dyDescent="0.3">
      <c r="P46" s="2"/>
      <c r="Q46" s="2"/>
      <c r="R46" s="2"/>
      <c r="S46" s="2"/>
      <c r="T46" s="2"/>
      <c r="W46" s="2"/>
      <c r="X46" s="2"/>
      <c r="Y46" s="2"/>
      <c r="Z46" s="2"/>
      <c r="AA46" s="2"/>
      <c r="AD46" s="2"/>
      <c r="AE46" s="2"/>
      <c r="AF46" s="2"/>
      <c r="AG46" s="2"/>
      <c r="AH46" s="2"/>
    </row>
    <row r="47" spans="16:34" x14ac:dyDescent="0.3">
      <c r="P47" s="2"/>
      <c r="Q47" s="2"/>
      <c r="R47" s="2"/>
      <c r="S47" s="2"/>
      <c r="T47" s="2"/>
      <c r="W47" s="2"/>
      <c r="X47" s="2"/>
      <c r="Y47" s="2"/>
      <c r="Z47" s="2"/>
      <c r="AA47" s="2"/>
      <c r="AD47" s="2"/>
      <c r="AE47" s="2"/>
      <c r="AF47" s="2"/>
      <c r="AG47" s="2"/>
      <c r="AH47" s="2"/>
    </row>
    <row r="48" spans="16:34" x14ac:dyDescent="0.3">
      <c r="P48" s="2"/>
      <c r="Q48" s="2"/>
      <c r="R48" s="2"/>
      <c r="S48" s="2"/>
      <c r="T48" s="2"/>
      <c r="W48" s="2"/>
      <c r="X48" s="2"/>
      <c r="Y48" s="2"/>
      <c r="Z48" s="2"/>
      <c r="AA48" s="2"/>
      <c r="AD48" s="2"/>
      <c r="AE48" s="2"/>
      <c r="AF48" s="2"/>
      <c r="AG48" s="2"/>
      <c r="AH48" s="2"/>
    </row>
    <row r="49" spans="16:34" x14ac:dyDescent="0.3">
      <c r="P49" s="2"/>
      <c r="Q49" s="2"/>
      <c r="R49" s="2"/>
      <c r="S49" s="2"/>
      <c r="T49" s="2"/>
      <c r="W49" s="2"/>
      <c r="X49" s="2"/>
      <c r="Y49" s="2"/>
      <c r="Z49" s="2"/>
      <c r="AA49" s="2"/>
      <c r="AD49" s="2"/>
      <c r="AE49" s="2"/>
      <c r="AF49" s="2"/>
      <c r="AG49" s="2"/>
      <c r="AH49" s="2"/>
    </row>
    <row r="50" spans="16:34" x14ac:dyDescent="0.3">
      <c r="P50" s="2"/>
      <c r="Q50" s="2"/>
      <c r="R50" s="2"/>
      <c r="S50" s="2"/>
      <c r="T50" s="2"/>
      <c r="AD50" s="2"/>
      <c r="AE50" s="2"/>
      <c r="AF50" s="2"/>
      <c r="AG50" s="2"/>
      <c r="AH50" s="2"/>
    </row>
    <row r="51" spans="16:34" x14ac:dyDescent="0.3">
      <c r="AD51" s="2"/>
      <c r="AE51" s="2"/>
      <c r="AF51" s="2"/>
      <c r="AG51" s="2"/>
      <c r="AH51" s="2"/>
    </row>
    <row r="52" spans="16:34" x14ac:dyDescent="0.3">
      <c r="AD52" s="2"/>
      <c r="AE52" s="2"/>
      <c r="AF52" s="2"/>
      <c r="AG52" s="2"/>
      <c r="AH52" s="2"/>
    </row>
    <row r="53" spans="16:34" x14ac:dyDescent="0.3">
      <c r="AD53" s="2"/>
      <c r="AE53" s="2"/>
      <c r="AF53" s="2"/>
      <c r="AG53" s="2"/>
      <c r="AH53" s="2"/>
    </row>
    <row r="54" spans="16:34" x14ac:dyDescent="0.3">
      <c r="AD54" s="2"/>
      <c r="AE54" s="2"/>
      <c r="AF54" s="2"/>
      <c r="AG54" s="2"/>
      <c r="AH54" s="2"/>
    </row>
    <row r="55" spans="16:34" x14ac:dyDescent="0.3">
      <c r="AD55" s="2"/>
      <c r="AE55" s="2"/>
      <c r="AF55" s="2"/>
      <c r="AG55" s="2"/>
      <c r="AH55" s="2"/>
    </row>
    <row r="56" spans="16:34" x14ac:dyDescent="0.3">
      <c r="AD56" s="2"/>
      <c r="AE56" s="2"/>
      <c r="AF56" s="2"/>
      <c r="AG56" s="2"/>
      <c r="AH56" s="2"/>
    </row>
    <row r="57" spans="16:34" x14ac:dyDescent="0.3">
      <c r="AD57" s="2"/>
      <c r="AE57" s="2"/>
      <c r="AF57" s="2"/>
      <c r="AG57" s="2"/>
      <c r="AH57" s="2"/>
    </row>
    <row r="58" spans="16:34" x14ac:dyDescent="0.3">
      <c r="AD58" s="2"/>
      <c r="AE58" s="2"/>
      <c r="AF58" s="2"/>
      <c r="AG58" s="2"/>
      <c r="AH58" s="2"/>
    </row>
    <row r="59" spans="16:34" x14ac:dyDescent="0.3">
      <c r="AD59" s="2"/>
      <c r="AE59" s="2"/>
      <c r="AF59" s="2"/>
      <c r="AG59" s="2"/>
      <c r="AH59" s="2"/>
    </row>
    <row r="60" spans="16:34" x14ac:dyDescent="0.3">
      <c r="AD60" s="2"/>
      <c r="AE60" s="2"/>
      <c r="AF60" s="2"/>
      <c r="AG60" s="2"/>
      <c r="AH60" s="2"/>
    </row>
    <row r="61" spans="16:34" x14ac:dyDescent="0.3">
      <c r="AD61" s="2"/>
      <c r="AE61" s="2"/>
      <c r="AF61" s="2"/>
      <c r="AG61" s="2"/>
      <c r="AH61" s="2"/>
    </row>
    <row r="62" spans="16:34" x14ac:dyDescent="0.3">
      <c r="AD62" s="2"/>
      <c r="AE62" s="2"/>
      <c r="AF62" s="2"/>
      <c r="AG62" s="2"/>
      <c r="AH62" s="2"/>
    </row>
    <row r="63" spans="16:34" x14ac:dyDescent="0.3">
      <c r="AD63" s="2"/>
      <c r="AE63" s="2"/>
      <c r="AF63" s="2"/>
      <c r="AG63" s="2"/>
      <c r="AH63" s="2"/>
    </row>
    <row r="64" spans="16:34" x14ac:dyDescent="0.3">
      <c r="AD64" s="2"/>
      <c r="AE64" s="2"/>
      <c r="AF64" s="2"/>
      <c r="AG64" s="2"/>
      <c r="AH64" s="2"/>
    </row>
    <row r="65" spans="30:34" x14ac:dyDescent="0.3">
      <c r="AD65" s="2"/>
      <c r="AE65" s="2"/>
      <c r="AF65" s="2"/>
      <c r="AG65" s="2"/>
      <c r="AH65" s="2"/>
    </row>
    <row r="66" spans="30:34" x14ac:dyDescent="0.3">
      <c r="AD66" s="2"/>
      <c r="AE66" s="2"/>
      <c r="AF66" s="2"/>
      <c r="AG66" s="2"/>
      <c r="AH66" s="2"/>
    </row>
    <row r="67" spans="30:34" x14ac:dyDescent="0.3">
      <c r="AD67" s="2"/>
      <c r="AE67" s="2"/>
      <c r="AF67" s="2"/>
      <c r="AG67" s="2"/>
      <c r="AH67" s="2"/>
    </row>
    <row r="68" spans="30:34" x14ac:dyDescent="0.3">
      <c r="AD68" s="2"/>
      <c r="AE68" s="2"/>
      <c r="AF68" s="2"/>
      <c r="AG68" s="2"/>
      <c r="AH68" s="2"/>
    </row>
    <row r="69" spans="30:34" x14ac:dyDescent="0.3">
      <c r="AD69" s="2"/>
      <c r="AE69" s="2"/>
      <c r="AF69" s="2"/>
      <c r="AG69" s="2"/>
      <c r="AH69" s="2"/>
    </row>
    <row r="70" spans="30:34" x14ac:dyDescent="0.3">
      <c r="AD70" s="2"/>
      <c r="AE70" s="2"/>
      <c r="AF70" s="2"/>
      <c r="AG70" s="2"/>
      <c r="AH70" s="2"/>
    </row>
    <row r="71" spans="30:34" x14ac:dyDescent="0.3">
      <c r="AD71" s="2"/>
      <c r="AE71" s="2"/>
      <c r="AF71" s="2"/>
      <c r="AG71" s="2"/>
      <c r="AH71" s="2"/>
    </row>
    <row r="72" spans="30:34" x14ac:dyDescent="0.3">
      <c r="AD72" s="2"/>
      <c r="AE72" s="2"/>
      <c r="AF72" s="2"/>
      <c r="AG72" s="2"/>
      <c r="AH72" s="2"/>
    </row>
    <row r="73" spans="30:34" x14ac:dyDescent="0.3">
      <c r="AD73" s="2"/>
      <c r="AE73" s="2"/>
      <c r="AF73" s="2"/>
      <c r="AG73" s="2"/>
      <c r="AH73" s="2"/>
    </row>
    <row r="74" spans="30:34" x14ac:dyDescent="0.3">
      <c r="AD74" s="2"/>
      <c r="AE74" s="2"/>
      <c r="AF74" s="2"/>
      <c r="AG74" s="2"/>
      <c r="AH74" s="2"/>
    </row>
    <row r="75" spans="30:34" x14ac:dyDescent="0.3">
      <c r="AD75" s="2"/>
      <c r="AE75" s="2"/>
      <c r="AF75" s="2"/>
      <c r="AG75" s="2"/>
      <c r="AH75" s="2"/>
    </row>
    <row r="76" spans="30:34" x14ac:dyDescent="0.3">
      <c r="AD76" s="2"/>
      <c r="AE76" s="2"/>
      <c r="AF76" s="2"/>
      <c r="AG76" s="2"/>
      <c r="AH76" s="2"/>
    </row>
    <row r="77" spans="30:34" x14ac:dyDescent="0.3">
      <c r="AD77" s="2"/>
      <c r="AE77" s="2"/>
      <c r="AF77" s="2"/>
      <c r="AG77" s="2"/>
      <c r="AH77" s="2"/>
    </row>
    <row r="78" spans="30:34" x14ac:dyDescent="0.3">
      <c r="AD78" s="2"/>
      <c r="AE78" s="2"/>
      <c r="AF78" s="2"/>
      <c r="AG78" s="2"/>
      <c r="AH78" s="2"/>
    </row>
    <row r="79" spans="30:34" x14ac:dyDescent="0.3">
      <c r="AD79" s="2"/>
      <c r="AE79" s="2"/>
      <c r="AF79" s="2"/>
      <c r="AG79" s="2"/>
      <c r="AH79" s="2"/>
    </row>
    <row r="80" spans="30:34" x14ac:dyDescent="0.3">
      <c r="AD80" s="2"/>
      <c r="AE80" s="2"/>
      <c r="AF80" s="2"/>
      <c r="AG80" s="2"/>
      <c r="AH80" s="2"/>
    </row>
    <row r="81" spans="30:34" x14ac:dyDescent="0.3">
      <c r="AD81" s="2"/>
      <c r="AE81" s="2"/>
      <c r="AF81" s="2"/>
      <c r="AG81" s="2"/>
      <c r="AH81" s="2"/>
    </row>
    <row r="82" spans="30:34" x14ac:dyDescent="0.3">
      <c r="AD82" s="2"/>
      <c r="AE82" s="2"/>
      <c r="AF82" s="2"/>
      <c r="AG82" s="2"/>
      <c r="AH82" s="2"/>
    </row>
    <row r="83" spans="30:34" x14ac:dyDescent="0.3">
      <c r="AD83" s="2"/>
      <c r="AE83" s="2"/>
      <c r="AF83" s="2"/>
      <c r="AG83" s="2"/>
      <c r="AH83" s="2"/>
    </row>
    <row r="84" spans="30:34" x14ac:dyDescent="0.3">
      <c r="AD84" s="2"/>
      <c r="AE84" s="2"/>
      <c r="AF84" s="2"/>
      <c r="AG84" s="2"/>
      <c r="AH84" s="2"/>
    </row>
    <row r="85" spans="30:34" x14ac:dyDescent="0.3">
      <c r="AD85" s="2"/>
      <c r="AE85" s="2"/>
      <c r="AF85" s="2"/>
      <c r="AG85" s="2"/>
      <c r="AH85" s="2"/>
    </row>
    <row r="86" spans="30:34" x14ac:dyDescent="0.3">
      <c r="AD86" s="2"/>
      <c r="AE86" s="2"/>
      <c r="AF86" s="2"/>
      <c r="AG86" s="2"/>
      <c r="AH86" s="2"/>
    </row>
    <row r="87" spans="30:34" x14ac:dyDescent="0.3">
      <c r="AD87" s="2"/>
      <c r="AE87" s="2"/>
      <c r="AF87" s="2"/>
      <c r="AG87" s="2"/>
      <c r="AH87" s="2"/>
    </row>
    <row r="88" spans="30:34" x14ac:dyDescent="0.3">
      <c r="AD88" s="2"/>
      <c r="AE88" s="2"/>
      <c r="AF88" s="2"/>
      <c r="AG88" s="2"/>
      <c r="AH88" s="2"/>
    </row>
    <row r="89" spans="30:34" x14ac:dyDescent="0.3">
      <c r="AD89" s="2"/>
      <c r="AE89" s="2"/>
      <c r="AF89" s="2"/>
      <c r="AG89" s="2"/>
      <c r="AH89" s="2"/>
    </row>
    <row r="90" spans="30:34" x14ac:dyDescent="0.3">
      <c r="AD90" s="2"/>
      <c r="AE90" s="2"/>
      <c r="AF90" s="2"/>
      <c r="AG90" s="2"/>
      <c r="AH90" s="2"/>
    </row>
    <row r="91" spans="30:34" x14ac:dyDescent="0.3">
      <c r="AD91" s="2"/>
      <c r="AE91" s="2"/>
      <c r="AF91" s="2"/>
      <c r="AG91" s="2"/>
      <c r="AH91" s="2"/>
    </row>
    <row r="92" spans="30:34" x14ac:dyDescent="0.3">
      <c r="AD92" s="2"/>
      <c r="AE92" s="2"/>
      <c r="AF92" s="2"/>
      <c r="AG92" s="2"/>
      <c r="AH92" s="2"/>
    </row>
    <row r="93" spans="30:34" x14ac:dyDescent="0.3">
      <c r="AD93" s="2"/>
      <c r="AE93" s="2"/>
      <c r="AF93" s="2"/>
      <c r="AG93" s="2"/>
      <c r="AH93" s="2"/>
    </row>
    <row r="94" spans="30:34" x14ac:dyDescent="0.3">
      <c r="AD94" s="2"/>
      <c r="AE94" s="2"/>
      <c r="AF94" s="2"/>
      <c r="AG94" s="2"/>
      <c r="AH94" s="2"/>
    </row>
    <row r="95" spans="30:34" x14ac:dyDescent="0.3">
      <c r="AD95" s="2"/>
      <c r="AE95" s="2"/>
      <c r="AF95" s="2"/>
      <c r="AG95" s="2"/>
      <c r="AH95" s="2"/>
    </row>
    <row r="96" spans="30:34" x14ac:dyDescent="0.3">
      <c r="AD96" s="2"/>
      <c r="AE96" s="2"/>
      <c r="AF96" s="2"/>
      <c r="AG96" s="2"/>
      <c r="AH96" s="2"/>
    </row>
    <row r="97" spans="30:34" x14ac:dyDescent="0.3">
      <c r="AD97" s="2"/>
      <c r="AE97" s="2"/>
      <c r="AF97" s="2"/>
      <c r="AG97" s="2"/>
      <c r="AH97" s="2"/>
    </row>
    <row r="98" spans="30:34" x14ac:dyDescent="0.3">
      <c r="AD98" s="2"/>
      <c r="AE98" s="2"/>
      <c r="AF98" s="2"/>
      <c r="AG98" s="2"/>
      <c r="AH98" s="2"/>
    </row>
    <row r="99" spans="30:34" x14ac:dyDescent="0.3">
      <c r="AD99" s="2"/>
      <c r="AE99" s="2"/>
      <c r="AF99" s="2"/>
      <c r="AG99" s="2"/>
      <c r="AH99" s="2"/>
    </row>
    <row r="100" spans="30:34" x14ac:dyDescent="0.3">
      <c r="AD100" s="2"/>
      <c r="AE100" s="2"/>
      <c r="AF100" s="2"/>
      <c r="AG100" s="2"/>
      <c r="AH100" s="2"/>
    </row>
    <row r="101" spans="30:34" x14ac:dyDescent="0.3">
      <c r="AD101" s="2"/>
      <c r="AE101" s="2"/>
      <c r="AF101" s="2"/>
      <c r="AG101" s="2"/>
      <c r="AH101" s="2"/>
    </row>
    <row r="102" spans="30:34" x14ac:dyDescent="0.3">
      <c r="AD102" s="2"/>
      <c r="AE102" s="2"/>
      <c r="AF102" s="2"/>
      <c r="AG102" s="2"/>
      <c r="AH102" s="2"/>
    </row>
    <row r="103" spans="30:34" x14ac:dyDescent="0.3">
      <c r="AD103" s="2"/>
      <c r="AE103" s="2"/>
      <c r="AF103" s="2"/>
      <c r="AG103" s="2"/>
      <c r="AH103" s="2"/>
    </row>
    <row r="104" spans="30:34" x14ac:dyDescent="0.3">
      <c r="AD104" s="2"/>
      <c r="AE104" s="2"/>
      <c r="AF104" s="2"/>
      <c r="AG104" s="2"/>
      <c r="AH104" s="2"/>
    </row>
    <row r="105" spans="30:34" x14ac:dyDescent="0.3">
      <c r="AD105" s="2"/>
      <c r="AE105" s="2"/>
      <c r="AF105" s="2"/>
      <c r="AG105" s="2"/>
      <c r="AH105" s="2"/>
    </row>
    <row r="106" spans="30:34" x14ac:dyDescent="0.3">
      <c r="AD106" s="2"/>
      <c r="AE106" s="2"/>
      <c r="AF106" s="2"/>
      <c r="AG106" s="2"/>
      <c r="AH106" s="2"/>
    </row>
    <row r="107" spans="30:34" x14ac:dyDescent="0.3">
      <c r="AD107" s="2"/>
      <c r="AE107" s="2"/>
      <c r="AF107" s="2"/>
      <c r="AG107" s="2"/>
      <c r="AH107" s="2"/>
    </row>
  </sheetData>
  <mergeCells count="21">
    <mergeCell ref="O6:T6"/>
    <mergeCell ref="O16:T16"/>
    <mergeCell ref="V7:AA7"/>
    <mergeCell ref="V24:AA24"/>
    <mergeCell ref="AC6:AH6"/>
    <mergeCell ref="AC14:AH14"/>
    <mergeCell ref="V1:Y1"/>
    <mergeCell ref="Z1:AA1"/>
    <mergeCell ref="AC1:AF1"/>
    <mergeCell ref="AG1:AH1"/>
    <mergeCell ref="A1:D1"/>
    <mergeCell ref="E1:F1"/>
    <mergeCell ref="H1:K1"/>
    <mergeCell ref="L1:M1"/>
    <mergeCell ref="O1:R1"/>
    <mergeCell ref="S1:T1"/>
    <mergeCell ref="A6:F6"/>
    <mergeCell ref="A17:F17"/>
    <mergeCell ref="A14:F14"/>
    <mergeCell ref="H6:M6"/>
    <mergeCell ref="H18:M1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1F51F-BE82-4499-BB28-532DD9362871}">
  <dimension ref="A1:AH446"/>
  <sheetViews>
    <sheetView topLeftCell="AC29" workbookViewId="0">
      <selection activeCell="A63" sqref="A63"/>
    </sheetView>
  </sheetViews>
  <sheetFormatPr defaultRowHeight="14.4" x14ac:dyDescent="0.3"/>
  <cols>
    <col min="1" max="1" width="51.21875" style="1" bestFit="1" customWidth="1"/>
    <col min="2" max="2" width="11.6640625" style="1" bestFit="1" customWidth="1"/>
    <col min="3" max="3" width="10.6640625" style="1" bestFit="1" customWidth="1"/>
    <col min="4" max="4" width="11" style="1" bestFit="1" customWidth="1"/>
    <col min="5" max="6" width="11.5546875" style="1" bestFit="1" customWidth="1"/>
    <col min="7" max="7" width="11" style="1" customWidth="1"/>
    <col min="8" max="8" width="46.5546875" style="1" bestFit="1" customWidth="1"/>
    <col min="9" max="9" width="10.5546875" style="1" bestFit="1" customWidth="1"/>
    <col min="10" max="13" width="11" style="1" bestFit="1" customWidth="1"/>
    <col min="14" max="14" width="8.88671875" style="1"/>
    <col min="15" max="15" width="49" style="1" bestFit="1" customWidth="1"/>
    <col min="16" max="17" width="10.6640625" style="1" bestFit="1" customWidth="1"/>
    <col min="18" max="18" width="10.5546875" style="1" bestFit="1" customWidth="1"/>
    <col min="19" max="19" width="11" style="1" bestFit="1" customWidth="1"/>
    <col min="20" max="20" width="10.88671875" style="1" bestFit="1" customWidth="1"/>
    <col min="21" max="21" width="8.88671875" style="1"/>
    <col min="22" max="22" width="58.88671875" style="1" customWidth="1"/>
    <col min="23" max="24" width="11.6640625" style="1" bestFit="1" customWidth="1"/>
    <col min="25" max="25" width="11.5546875" style="1" bestFit="1" customWidth="1"/>
    <col min="26" max="27" width="11" style="1" bestFit="1" customWidth="1"/>
    <col min="28" max="28" width="8.88671875" style="1"/>
    <col min="29" max="29" width="51.77734375" style="1" bestFit="1" customWidth="1"/>
    <col min="30" max="31" width="9.88671875" style="1" customWidth="1"/>
    <col min="32" max="34" width="10.5546875" style="1" bestFit="1" customWidth="1"/>
    <col min="35" max="16384" width="8.88671875" style="1"/>
  </cols>
  <sheetData>
    <row r="1" spans="1:34" ht="37.799999999999997" customHeight="1" x14ac:dyDescent="0.3">
      <c r="A1" s="261" t="s">
        <v>256</v>
      </c>
      <c r="B1" s="261"/>
      <c r="C1" s="261"/>
      <c r="D1" s="261"/>
      <c r="E1" s="262" t="e" vm="1">
        <v>#VALUE!</v>
      </c>
      <c r="F1" s="262"/>
      <c r="G1" s="16"/>
      <c r="H1" s="261" t="s">
        <v>256</v>
      </c>
      <c r="I1" s="261"/>
      <c r="J1" s="261"/>
      <c r="K1" s="261"/>
      <c r="L1" s="263" t="e" vm="2">
        <v>#VALUE!</v>
      </c>
      <c r="M1" s="263"/>
      <c r="O1" s="261" t="s">
        <v>256</v>
      </c>
      <c r="P1" s="261"/>
      <c r="Q1" s="261"/>
      <c r="R1" s="261"/>
      <c r="S1" s="252" t="e" vm="3">
        <v>#VALUE!</v>
      </c>
      <c r="T1" s="252"/>
      <c r="V1" s="261" t="s">
        <v>256</v>
      </c>
      <c r="W1" s="261"/>
      <c r="X1" s="261"/>
      <c r="Y1" s="261"/>
      <c r="Z1" s="252" t="e" vm="4">
        <v>#VALUE!</v>
      </c>
      <c r="AA1" s="252"/>
      <c r="AC1" s="261" t="s">
        <v>256</v>
      </c>
      <c r="AD1" s="261"/>
      <c r="AE1" s="261"/>
      <c r="AF1" s="261"/>
      <c r="AG1" s="252" t="e" vm="5">
        <v>#VALUE!</v>
      </c>
      <c r="AH1" s="252"/>
    </row>
    <row r="2" spans="1:34" x14ac:dyDescent="0.3">
      <c r="A2" s="3" t="s">
        <v>1</v>
      </c>
      <c r="B2" s="3">
        <v>2020</v>
      </c>
      <c r="C2" s="3">
        <v>2021</v>
      </c>
      <c r="D2" s="3">
        <v>2022</v>
      </c>
      <c r="E2" s="3">
        <v>2023</v>
      </c>
      <c r="F2" s="3">
        <v>2024</v>
      </c>
      <c r="G2" s="14"/>
      <c r="H2" s="3" t="s">
        <v>1</v>
      </c>
      <c r="I2" s="3">
        <v>2020</v>
      </c>
      <c r="J2" s="3">
        <v>2021</v>
      </c>
      <c r="K2" s="3">
        <v>2022</v>
      </c>
      <c r="L2" s="3">
        <v>2023</v>
      </c>
      <c r="M2" s="3">
        <v>2024</v>
      </c>
      <c r="O2" s="3" t="s">
        <v>1</v>
      </c>
      <c r="P2" s="3">
        <v>2020</v>
      </c>
      <c r="Q2" s="3">
        <v>2021</v>
      </c>
      <c r="R2" s="3">
        <v>2022</v>
      </c>
      <c r="S2" s="3">
        <v>2023</v>
      </c>
      <c r="T2" s="3">
        <v>2024</v>
      </c>
      <c r="V2" s="3" t="s">
        <v>1</v>
      </c>
      <c r="W2" s="3">
        <v>2020</v>
      </c>
      <c r="X2" s="3">
        <v>2021</v>
      </c>
      <c r="Y2" s="3">
        <v>2022</v>
      </c>
      <c r="Z2" s="3">
        <v>2023</v>
      </c>
      <c r="AA2" s="3">
        <v>2024</v>
      </c>
      <c r="AC2" s="3" t="s">
        <v>1</v>
      </c>
      <c r="AD2" s="3">
        <v>2020</v>
      </c>
      <c r="AE2" s="3">
        <v>2021</v>
      </c>
      <c r="AF2" s="3">
        <v>2022</v>
      </c>
      <c r="AG2" s="3">
        <v>2023</v>
      </c>
      <c r="AH2" s="3">
        <v>2024</v>
      </c>
    </row>
    <row r="3" spans="1:34" x14ac:dyDescent="0.3">
      <c r="A3" s="3" t="s">
        <v>136</v>
      </c>
      <c r="B3" s="6">
        <v>32447</v>
      </c>
      <c r="C3" s="6">
        <v>32562</v>
      </c>
      <c r="D3" s="6">
        <v>38449</v>
      </c>
      <c r="E3" s="6">
        <v>42303</v>
      </c>
      <c r="F3" s="6">
        <v>46099</v>
      </c>
      <c r="H3" s="3" t="s">
        <v>148</v>
      </c>
      <c r="I3" s="6">
        <v>16639</v>
      </c>
      <c r="J3" s="6">
        <v>19423</v>
      </c>
      <c r="K3" s="6">
        <v>22146</v>
      </c>
      <c r="L3" s="6">
        <v>24108</v>
      </c>
      <c r="M3" s="6">
        <v>26248</v>
      </c>
      <c r="O3" s="3" t="s">
        <v>257</v>
      </c>
      <c r="P3" s="6">
        <v>13980</v>
      </c>
      <c r="Q3" s="6">
        <v>15853</v>
      </c>
      <c r="R3" s="6">
        <v>16951</v>
      </c>
      <c r="S3" s="6">
        <v>19488</v>
      </c>
      <c r="T3" s="6">
        <v>20967</v>
      </c>
      <c r="V3" s="4" t="s">
        <v>167</v>
      </c>
      <c r="W3" s="5">
        <v>9771.7999999999993</v>
      </c>
      <c r="X3" s="5">
        <v>10868</v>
      </c>
      <c r="Y3" s="5">
        <v>12243.4</v>
      </c>
      <c r="Z3" s="5">
        <v>11366.5</v>
      </c>
      <c r="AA3" s="5">
        <v>11112.1</v>
      </c>
      <c r="AC3" s="4" t="s">
        <v>320</v>
      </c>
      <c r="AD3" s="5">
        <v>1520.5</v>
      </c>
      <c r="AE3" s="5">
        <v>1938.2</v>
      </c>
      <c r="AF3" s="5">
        <v>3950</v>
      </c>
      <c r="AG3" s="5">
        <v>4410.3</v>
      </c>
      <c r="AH3" s="5">
        <v>4584.6000000000004</v>
      </c>
    </row>
    <row r="4" spans="1:34" x14ac:dyDescent="0.3">
      <c r="A4" s="249" t="s">
        <v>168</v>
      </c>
      <c r="B4" s="249"/>
      <c r="C4" s="249"/>
      <c r="D4" s="249"/>
      <c r="E4" s="249"/>
      <c r="F4" s="249"/>
      <c r="H4" s="249" t="s">
        <v>168</v>
      </c>
      <c r="I4" s="249"/>
      <c r="J4" s="249"/>
      <c r="K4" s="249"/>
      <c r="L4" s="249"/>
      <c r="M4" s="249"/>
      <c r="O4" s="249" t="s">
        <v>258</v>
      </c>
      <c r="P4" s="249"/>
      <c r="Q4" s="249"/>
      <c r="R4" s="249"/>
      <c r="S4" s="249"/>
      <c r="T4" s="249"/>
      <c r="V4" s="249" t="s">
        <v>168</v>
      </c>
      <c r="W4" s="249"/>
      <c r="X4" s="249"/>
      <c r="Y4" s="249"/>
      <c r="Z4" s="249"/>
      <c r="AA4" s="249"/>
      <c r="AC4" s="249" t="s">
        <v>168</v>
      </c>
      <c r="AD4" s="249"/>
      <c r="AE4" s="249"/>
      <c r="AF4" s="249"/>
      <c r="AG4" s="249"/>
      <c r="AH4" s="249"/>
    </row>
    <row r="5" spans="1:34" x14ac:dyDescent="0.3">
      <c r="A5" s="4" t="s">
        <v>169</v>
      </c>
      <c r="B5" s="5">
        <v>3529</v>
      </c>
      <c r="C5" s="5">
        <v>4065</v>
      </c>
      <c r="D5" s="5">
        <v>4604</v>
      </c>
      <c r="E5" s="5">
        <v>5022</v>
      </c>
      <c r="F5" s="5">
        <v>4985</v>
      </c>
      <c r="H5" s="4" t="s">
        <v>214</v>
      </c>
      <c r="I5" s="5">
        <v>5368</v>
      </c>
      <c r="J5" s="5">
        <v>7205</v>
      </c>
      <c r="K5" s="5">
        <v>7964</v>
      </c>
      <c r="L5" s="5">
        <v>9214</v>
      </c>
      <c r="M5" s="5">
        <v>9740</v>
      </c>
      <c r="O5" s="4" t="s">
        <v>259</v>
      </c>
      <c r="P5" s="5">
        <v>3420</v>
      </c>
      <c r="Q5" s="5">
        <v>4611</v>
      </c>
      <c r="R5" s="5">
        <v>4326</v>
      </c>
      <c r="S5" s="5">
        <v>4145</v>
      </c>
      <c r="T5" s="5">
        <v>4173</v>
      </c>
      <c r="V5" s="4" t="s">
        <v>293</v>
      </c>
      <c r="W5" s="5">
        <v>-1.1000000000000001</v>
      </c>
      <c r="X5" s="5">
        <v>-51.6</v>
      </c>
      <c r="Y5" s="5">
        <v>-31.3</v>
      </c>
      <c r="Z5" s="5">
        <v>-8.9</v>
      </c>
      <c r="AA5" s="5">
        <v>-207.2</v>
      </c>
      <c r="AC5" s="4" t="s">
        <v>321</v>
      </c>
      <c r="AD5" s="5">
        <v>273</v>
      </c>
      <c r="AE5" s="5">
        <v>332.5</v>
      </c>
      <c r="AF5" s="5">
        <v>597.1</v>
      </c>
      <c r="AG5" s="5">
        <v>722.7</v>
      </c>
      <c r="AH5" s="5">
        <v>818.9</v>
      </c>
    </row>
    <row r="6" spans="1:34" x14ac:dyDescent="0.3">
      <c r="A6" s="4" t="s">
        <v>170</v>
      </c>
      <c r="B6" s="5">
        <v>144</v>
      </c>
      <c r="C6" s="5">
        <v>201</v>
      </c>
      <c r="D6" s="5">
        <v>135</v>
      </c>
      <c r="E6" s="5">
        <v>140</v>
      </c>
      <c r="F6" s="5">
        <v>114</v>
      </c>
      <c r="H6" s="4" t="s">
        <v>169</v>
      </c>
      <c r="I6" s="5">
        <v>2893</v>
      </c>
      <c r="J6" s="5">
        <v>3267</v>
      </c>
      <c r="K6" s="5">
        <v>3476</v>
      </c>
      <c r="L6" s="5">
        <v>4225</v>
      </c>
      <c r="M6" s="5">
        <v>4678</v>
      </c>
      <c r="O6" s="4" t="s">
        <v>175</v>
      </c>
      <c r="P6" s="5">
        <v>-441</v>
      </c>
      <c r="Q6" s="5">
        <v>-645</v>
      </c>
      <c r="R6" s="5">
        <v>-583</v>
      </c>
      <c r="S6" s="5">
        <v>-769</v>
      </c>
      <c r="T6" s="5">
        <v>-1273</v>
      </c>
      <c r="V6" s="4" t="s">
        <v>294</v>
      </c>
      <c r="W6" s="5">
        <v>2085.5</v>
      </c>
      <c r="X6" s="5">
        <v>2763.4</v>
      </c>
      <c r="Y6" s="5">
        <v>3077.8</v>
      </c>
      <c r="Z6" s="5">
        <v>3340.2</v>
      </c>
      <c r="AA6" s="5">
        <v>3407.1</v>
      </c>
      <c r="AC6" s="4" t="s">
        <v>214</v>
      </c>
      <c r="AD6" s="5">
        <v>482.4</v>
      </c>
      <c r="AE6" s="5">
        <v>650</v>
      </c>
      <c r="AF6" s="5">
        <v>1343.9</v>
      </c>
      <c r="AG6" s="5">
        <v>1381.2</v>
      </c>
      <c r="AH6" s="5">
        <v>1464.1</v>
      </c>
    </row>
    <row r="7" spans="1:34" ht="28.8" x14ac:dyDescent="0.3">
      <c r="A7" s="4" t="s">
        <v>130</v>
      </c>
      <c r="B7" s="5">
        <v>0</v>
      </c>
      <c r="C7" s="5">
        <v>1218</v>
      </c>
      <c r="D7" s="5">
        <v>0</v>
      </c>
      <c r="E7" s="5">
        <v>0</v>
      </c>
      <c r="F7" s="5">
        <v>0</v>
      </c>
      <c r="H7" s="4" t="s">
        <v>215</v>
      </c>
      <c r="I7" s="5">
        <v>-1613</v>
      </c>
      <c r="J7" s="5">
        <v>-1615</v>
      </c>
      <c r="K7" s="5">
        <v>-1645</v>
      </c>
      <c r="L7" s="5">
        <v>-1817</v>
      </c>
      <c r="M7" s="5">
        <v>-2067</v>
      </c>
      <c r="O7" s="4" t="s">
        <v>260</v>
      </c>
      <c r="P7" s="5">
        <v>200</v>
      </c>
      <c r="Q7" s="5">
        <v>19</v>
      </c>
      <c r="R7" s="5">
        <v>21</v>
      </c>
      <c r="S7" s="5">
        <v>25</v>
      </c>
      <c r="T7" s="5">
        <v>117</v>
      </c>
      <c r="V7" s="18" t="s">
        <v>295</v>
      </c>
      <c r="W7" s="5">
        <v>637.6</v>
      </c>
      <c r="X7" s="5">
        <v>-225.1</v>
      </c>
      <c r="Y7" s="5">
        <v>-102.1</v>
      </c>
      <c r="Z7" s="5">
        <v>15.2</v>
      </c>
      <c r="AA7" s="5">
        <v>65.5</v>
      </c>
      <c r="AC7" s="18" t="s">
        <v>322</v>
      </c>
      <c r="AD7" s="5">
        <v>31.9</v>
      </c>
      <c r="AE7" s="5">
        <v>16.8</v>
      </c>
      <c r="AF7" s="5">
        <v>53.8</v>
      </c>
      <c r="AG7" s="5">
        <v>113.6</v>
      </c>
      <c r="AH7" s="5">
        <v>124.4</v>
      </c>
    </row>
    <row r="8" spans="1:34" x14ac:dyDescent="0.3">
      <c r="A8" s="4" t="s">
        <v>147</v>
      </c>
      <c r="B8" s="5">
        <v>9801</v>
      </c>
      <c r="C8" s="5">
        <v>11198</v>
      </c>
      <c r="D8" s="5">
        <v>13238</v>
      </c>
      <c r="E8" s="5">
        <v>14604</v>
      </c>
      <c r="F8" s="5">
        <v>15898</v>
      </c>
      <c r="H8" s="4" t="s">
        <v>145</v>
      </c>
      <c r="I8" s="5">
        <v>170</v>
      </c>
      <c r="J8" s="5">
        <v>195</v>
      </c>
      <c r="K8" s="5">
        <v>200</v>
      </c>
      <c r="L8" s="5">
        <v>284</v>
      </c>
      <c r="M8" s="5">
        <v>470</v>
      </c>
      <c r="O8" s="4" t="s">
        <v>261</v>
      </c>
      <c r="P8" s="5">
        <v>-94</v>
      </c>
      <c r="Q8" s="5">
        <v>-97</v>
      </c>
      <c r="R8" s="5">
        <v>-104</v>
      </c>
      <c r="S8" s="5">
        <v>-106</v>
      </c>
      <c r="T8" s="5">
        <v>-165</v>
      </c>
      <c r="V8" s="4" t="s">
        <v>296</v>
      </c>
      <c r="W8" s="5">
        <v>126.2</v>
      </c>
      <c r="X8" s="5">
        <v>231</v>
      </c>
      <c r="Y8" s="5">
        <v>411</v>
      </c>
      <c r="Z8" s="5">
        <v>396.9</v>
      </c>
      <c r="AA8" s="5">
        <v>558.4</v>
      </c>
      <c r="AC8" s="4" t="s">
        <v>323</v>
      </c>
      <c r="AD8" s="5">
        <v>-103.7</v>
      </c>
      <c r="AE8" s="5">
        <v>-98.2</v>
      </c>
      <c r="AF8" s="5">
        <v>-204</v>
      </c>
      <c r="AG8" s="5">
        <v>-167</v>
      </c>
      <c r="AH8" s="5">
        <v>-314</v>
      </c>
    </row>
    <row r="9" spans="1:34" ht="28.8" x14ac:dyDescent="0.3">
      <c r="A9" s="4" t="s">
        <v>171</v>
      </c>
      <c r="B9" s="5">
        <v>-14</v>
      </c>
      <c r="C9" s="5">
        <v>-100</v>
      </c>
      <c r="D9" s="5">
        <f>-7+9</f>
        <v>2</v>
      </c>
      <c r="E9" s="5">
        <v>2</v>
      </c>
      <c r="F9" s="5">
        <v>-7</v>
      </c>
      <c r="H9" s="4" t="s">
        <v>216</v>
      </c>
      <c r="I9" s="5">
        <v>161</v>
      </c>
      <c r="J9" s="5">
        <v>190</v>
      </c>
      <c r="K9" s="5">
        <v>170</v>
      </c>
      <c r="L9" s="5">
        <v>283</v>
      </c>
      <c r="M9" s="5">
        <v>121</v>
      </c>
      <c r="O9" s="4" t="s">
        <v>262</v>
      </c>
      <c r="P9" s="5">
        <v>-16</v>
      </c>
      <c r="Q9" s="5">
        <v>-3</v>
      </c>
      <c r="R9" s="5">
        <v>-10</v>
      </c>
      <c r="S9" s="5">
        <v>0</v>
      </c>
      <c r="T9" s="5">
        <v>0</v>
      </c>
      <c r="V9" s="18" t="s">
        <v>297</v>
      </c>
      <c r="W9" s="5">
        <v>-2.9</v>
      </c>
      <c r="X9" s="5">
        <v>-13</v>
      </c>
      <c r="Y9" s="5">
        <v>-5.7</v>
      </c>
      <c r="Z9" s="5">
        <v>5.7</v>
      </c>
      <c r="AA9" s="5">
        <v>23.3</v>
      </c>
      <c r="AC9" s="4" t="s">
        <v>175</v>
      </c>
      <c r="AD9" s="5">
        <v>-17.899999999999999</v>
      </c>
      <c r="AE9" s="5">
        <v>-56</v>
      </c>
      <c r="AF9" s="5">
        <v>-86.8</v>
      </c>
      <c r="AG9" s="5">
        <v>-173.6</v>
      </c>
      <c r="AH9" s="5">
        <v>-301.39999999999998</v>
      </c>
    </row>
    <row r="10" spans="1:34" x14ac:dyDescent="0.3">
      <c r="A10" s="4" t="s">
        <v>172</v>
      </c>
      <c r="B10" s="5">
        <v>-117</v>
      </c>
      <c r="C10" s="5">
        <v>-21</v>
      </c>
      <c r="D10" s="5">
        <v>-120</v>
      </c>
      <c r="E10" s="5">
        <v>-189</v>
      </c>
      <c r="F10" s="5">
        <v>-17</v>
      </c>
      <c r="H10" s="4" t="s">
        <v>217</v>
      </c>
      <c r="I10" s="5">
        <v>184</v>
      </c>
      <c r="J10" s="5">
        <v>-62</v>
      </c>
      <c r="K10" s="5">
        <v>119</v>
      </c>
      <c r="L10" s="5">
        <v>161</v>
      </c>
      <c r="M10" s="5">
        <v>76</v>
      </c>
      <c r="O10" s="4" t="s">
        <v>263</v>
      </c>
      <c r="P10" s="5">
        <v>251</v>
      </c>
      <c r="Q10" s="5">
        <v>298</v>
      </c>
      <c r="R10" s="5">
        <v>225</v>
      </c>
      <c r="S10" s="5">
        <v>238</v>
      </c>
      <c r="T10" s="5">
        <v>269</v>
      </c>
      <c r="V10" s="4" t="s">
        <v>214</v>
      </c>
      <c r="W10" s="5">
        <v>2480.1</v>
      </c>
      <c r="X10" s="5">
        <v>3034.9</v>
      </c>
      <c r="Y10" s="5">
        <v>2897.4</v>
      </c>
      <c r="Z10" s="5">
        <v>3399.2</v>
      </c>
      <c r="AA10" s="5">
        <v>3608.9</v>
      </c>
      <c r="AC10" s="4" t="s">
        <v>124</v>
      </c>
      <c r="AD10" s="5">
        <v>-6.4</v>
      </c>
      <c r="AE10" s="5">
        <v>-16.2</v>
      </c>
      <c r="AF10" s="5">
        <v>123.4</v>
      </c>
      <c r="AG10" s="5">
        <v>150.4</v>
      </c>
      <c r="AH10" s="5">
        <v>221.7</v>
      </c>
    </row>
    <row r="11" spans="1:34" x14ac:dyDescent="0.3">
      <c r="A11" s="4" t="s">
        <v>173</v>
      </c>
      <c r="B11" s="5">
        <v>-46</v>
      </c>
      <c r="C11" s="5">
        <v>-13</v>
      </c>
      <c r="D11" s="5">
        <v>-23</v>
      </c>
      <c r="E11" s="5">
        <v>-26</v>
      </c>
      <c r="F11" s="5">
        <v>-7</v>
      </c>
      <c r="H11" s="4" t="s">
        <v>218</v>
      </c>
      <c r="I11" s="5">
        <v>249</v>
      </c>
      <c r="J11" s="5">
        <v>333</v>
      </c>
      <c r="K11" s="5">
        <v>415</v>
      </c>
      <c r="L11" s="5">
        <v>519</v>
      </c>
      <c r="M11" s="5">
        <v>652</v>
      </c>
      <c r="O11" s="4" t="s">
        <v>264</v>
      </c>
      <c r="P11" s="5">
        <v>0</v>
      </c>
      <c r="Q11" s="5">
        <v>-102</v>
      </c>
      <c r="R11" s="5">
        <v>-15</v>
      </c>
      <c r="S11" s="5">
        <v>-162</v>
      </c>
      <c r="T11" s="5">
        <v>-4</v>
      </c>
      <c r="V11" s="4" t="s">
        <v>298</v>
      </c>
      <c r="W11" s="5">
        <v>-1894.5</v>
      </c>
      <c r="X11" s="5">
        <v>-1661.4</v>
      </c>
      <c r="Y11" s="5">
        <f>-944.7-30.1</f>
        <v>-974.80000000000007</v>
      </c>
      <c r="Z11" s="5">
        <v>-810.8</v>
      </c>
      <c r="AA11" s="5">
        <v>-1134.4000000000001</v>
      </c>
      <c r="AC11" s="4" t="s">
        <v>324</v>
      </c>
      <c r="AD11" s="5">
        <v>82.6</v>
      </c>
      <c r="AE11" s="5">
        <v>78.8</v>
      </c>
      <c r="AF11" s="5">
        <v>-9.4</v>
      </c>
      <c r="AG11" s="5">
        <v>-60.6</v>
      </c>
      <c r="AH11" s="5">
        <v>76.5</v>
      </c>
    </row>
    <row r="12" spans="1:34" x14ac:dyDescent="0.3">
      <c r="A12" s="4" t="s">
        <v>174</v>
      </c>
      <c r="B12" s="5">
        <v>-214</v>
      </c>
      <c r="C12" s="5">
        <v>-204</v>
      </c>
      <c r="D12" s="5">
        <v>-198</v>
      </c>
      <c r="E12" s="5">
        <v>-224</v>
      </c>
      <c r="F12" s="5">
        <v>-312</v>
      </c>
      <c r="H12" s="4" t="s">
        <v>219</v>
      </c>
      <c r="I12" s="5">
        <v>-131</v>
      </c>
      <c r="J12" s="5">
        <v>-91</v>
      </c>
      <c r="K12" s="5">
        <v>76</v>
      </c>
      <c r="L12" s="5">
        <v>628</v>
      </c>
      <c r="M12" s="5">
        <f>-1934+75+1464</f>
        <v>-395</v>
      </c>
      <c r="O12" s="4" t="s">
        <v>265</v>
      </c>
      <c r="P12" s="5">
        <v>177</v>
      </c>
      <c r="Q12" s="5">
        <v>88</v>
      </c>
      <c r="R12" s="5">
        <f>81+1-1</f>
        <v>81</v>
      </c>
      <c r="S12" s="5">
        <f>308-170+15</f>
        <v>153</v>
      </c>
      <c r="T12" s="5">
        <f>-41+312</f>
        <v>271</v>
      </c>
      <c r="V12" s="4" t="s">
        <v>299</v>
      </c>
      <c r="W12" s="5">
        <v>-114.4</v>
      </c>
      <c r="X12" s="5">
        <v>8.1</v>
      </c>
      <c r="Y12" s="5">
        <v>-218.6</v>
      </c>
      <c r="Z12" s="5">
        <f>-167.1+6</f>
        <v>-161.1</v>
      </c>
      <c r="AA12" s="5">
        <f>-130+488</f>
        <v>358</v>
      </c>
      <c r="AC12" s="4" t="s">
        <v>325</v>
      </c>
      <c r="AD12" s="5">
        <v>-0.3</v>
      </c>
      <c r="AE12" s="5">
        <v>-17.600000000000001</v>
      </c>
      <c r="AF12" s="5">
        <v>47</v>
      </c>
      <c r="AG12" s="5">
        <v>69.5</v>
      </c>
      <c r="AH12" s="5">
        <v>26.3</v>
      </c>
    </row>
    <row r="13" spans="1:34" x14ac:dyDescent="0.3">
      <c r="A13" s="4" t="s">
        <v>175</v>
      </c>
      <c r="B13" s="5">
        <v>-3562</v>
      </c>
      <c r="C13" s="5">
        <v>-2504</v>
      </c>
      <c r="D13" s="5">
        <v>-2663</v>
      </c>
      <c r="E13" s="5">
        <v>-3248</v>
      </c>
      <c r="F13" s="5">
        <v>-3781</v>
      </c>
      <c r="H13" s="249" t="s">
        <v>220</v>
      </c>
      <c r="I13" s="249"/>
      <c r="J13" s="249"/>
      <c r="K13" s="249"/>
      <c r="L13" s="249"/>
      <c r="M13" s="249"/>
      <c r="O13" s="249" t="s">
        <v>178</v>
      </c>
      <c r="P13" s="249"/>
      <c r="Q13" s="249"/>
      <c r="R13" s="249"/>
      <c r="S13" s="249"/>
      <c r="T13" s="249"/>
      <c r="V13" s="249" t="s">
        <v>300</v>
      </c>
      <c r="W13" s="249"/>
      <c r="X13" s="249"/>
      <c r="Y13" s="249"/>
      <c r="Z13" s="249"/>
      <c r="AA13" s="249"/>
      <c r="AC13" s="4" t="s">
        <v>326</v>
      </c>
      <c r="AD13" s="5">
        <v>23.6</v>
      </c>
      <c r="AE13" s="5">
        <v>23.2</v>
      </c>
      <c r="AF13" s="5">
        <v>7.1</v>
      </c>
      <c r="AG13" s="5">
        <v>-55.6</v>
      </c>
      <c r="AH13" s="5">
        <v>0</v>
      </c>
    </row>
    <row r="14" spans="1:34" x14ac:dyDescent="0.3">
      <c r="A14" s="4" t="s">
        <v>176</v>
      </c>
      <c r="B14" s="5">
        <v>-10</v>
      </c>
      <c r="C14" s="5">
        <v>-8</v>
      </c>
      <c r="D14" s="5">
        <v>-4</v>
      </c>
      <c r="E14" s="5">
        <v>-15</v>
      </c>
      <c r="F14" s="5">
        <v>-41</v>
      </c>
      <c r="H14" s="4" t="s">
        <v>221</v>
      </c>
      <c r="I14" s="5">
        <v>-3861</v>
      </c>
      <c r="J14" s="5">
        <v>-1835</v>
      </c>
      <c r="K14" s="5">
        <v>-7937</v>
      </c>
      <c r="L14" s="5">
        <v>-7076</v>
      </c>
      <c r="M14" s="5">
        <v>-2667</v>
      </c>
      <c r="O14" s="4" t="s">
        <v>11</v>
      </c>
      <c r="P14" s="5">
        <v>-1957</v>
      </c>
      <c r="Q14" s="5">
        <v>633</v>
      </c>
      <c r="R14" s="5">
        <v>-2809</v>
      </c>
      <c r="S14" s="5">
        <v>-3240</v>
      </c>
      <c r="T14" s="5">
        <v>248</v>
      </c>
      <c r="V14" s="4" t="s">
        <v>11</v>
      </c>
      <c r="W14" s="5">
        <v>-332.7</v>
      </c>
      <c r="X14" s="5">
        <v>1284.8</v>
      </c>
      <c r="Y14" s="5">
        <v>-1183.3</v>
      </c>
      <c r="Z14" s="5">
        <v>-98.5</v>
      </c>
      <c r="AA14" s="5">
        <v>846.4</v>
      </c>
      <c r="AC14" s="4" t="s">
        <v>327</v>
      </c>
      <c r="AD14" s="5">
        <v>0</v>
      </c>
      <c r="AE14" s="5">
        <f>-59.2-8.3-14.5</f>
        <v>-82</v>
      </c>
      <c r="AF14" s="5">
        <v>-2.1</v>
      </c>
      <c r="AG14" s="5">
        <v>-8.3000000000000007</v>
      </c>
      <c r="AH14" s="5">
        <v>-51.3</v>
      </c>
    </row>
    <row r="15" spans="1:34" x14ac:dyDescent="0.3">
      <c r="A15" s="4" t="s">
        <v>124</v>
      </c>
      <c r="B15" s="5">
        <v>924</v>
      </c>
      <c r="C15" s="5">
        <v>637</v>
      </c>
      <c r="D15" s="5">
        <v>784</v>
      </c>
      <c r="E15" s="5">
        <v>779</v>
      </c>
      <c r="F15" s="5">
        <v>778</v>
      </c>
      <c r="H15" s="4" t="s">
        <v>222</v>
      </c>
      <c r="I15" s="5">
        <v>76</v>
      </c>
      <c r="J15" s="5">
        <v>-534</v>
      </c>
      <c r="K15" s="5">
        <v>-1914</v>
      </c>
      <c r="L15" s="5">
        <v>-3108</v>
      </c>
      <c r="M15" s="5">
        <v>-1172</v>
      </c>
      <c r="O15" s="4" t="s">
        <v>20</v>
      </c>
      <c r="P15" s="5">
        <v>24</v>
      </c>
      <c r="Q15" s="5">
        <v>72</v>
      </c>
      <c r="R15" s="5">
        <v>207</v>
      </c>
      <c r="S15" s="5">
        <v>-37</v>
      </c>
      <c r="T15" s="5">
        <v>60</v>
      </c>
      <c r="V15" s="4" t="s">
        <v>301</v>
      </c>
      <c r="W15" s="5">
        <v>-356.1</v>
      </c>
      <c r="X15" s="5">
        <v>-106.2</v>
      </c>
      <c r="Y15" s="5">
        <v>-3139.6</v>
      </c>
      <c r="Z15" s="5">
        <v>155.80000000000001</v>
      </c>
      <c r="AA15" s="5">
        <v>591.9</v>
      </c>
      <c r="AC15" s="4" t="s">
        <v>328</v>
      </c>
      <c r="AD15" s="5">
        <v>0.9</v>
      </c>
      <c r="AE15" s="5">
        <v>-0.3</v>
      </c>
      <c r="AF15" s="5">
        <v>-2.7</v>
      </c>
      <c r="AG15" s="5">
        <v>-1.8</v>
      </c>
      <c r="AH15" s="5">
        <v>-7.1</v>
      </c>
    </row>
    <row r="16" spans="1:34" x14ac:dyDescent="0.3">
      <c r="A16" s="3" t="s">
        <v>177</v>
      </c>
      <c r="B16" s="6">
        <f>SUM(B3,B5:B15)</f>
        <v>42882</v>
      </c>
      <c r="C16" s="6">
        <f t="shared" ref="C16:F16" si="0">SUM(C3,C5:C15)</f>
        <v>47031</v>
      </c>
      <c r="D16" s="6">
        <f t="shared" si="0"/>
        <v>54204</v>
      </c>
      <c r="E16" s="6">
        <f t="shared" si="0"/>
        <v>59148</v>
      </c>
      <c r="F16" s="6">
        <f t="shared" si="0"/>
        <v>63709</v>
      </c>
      <c r="H16" s="4" t="s">
        <v>36</v>
      </c>
      <c r="I16" s="5">
        <v>-373</v>
      </c>
      <c r="J16" s="5">
        <v>-245</v>
      </c>
      <c r="K16" s="5">
        <v>1489</v>
      </c>
      <c r="L16" s="5">
        <v>-279</v>
      </c>
      <c r="M16" s="5">
        <v>91</v>
      </c>
      <c r="O16" s="4" t="s">
        <v>266</v>
      </c>
      <c r="P16" s="5">
        <v>-1229</v>
      </c>
      <c r="Q16" s="5">
        <v>344</v>
      </c>
      <c r="R16" s="5">
        <v>219</v>
      </c>
      <c r="S16" s="5">
        <v>917</v>
      </c>
      <c r="T16" s="5">
        <v>164</v>
      </c>
      <c r="V16" s="4" t="s">
        <v>20</v>
      </c>
      <c r="W16" s="5">
        <v>208.5</v>
      </c>
      <c r="X16" s="5">
        <v>80.3</v>
      </c>
      <c r="Y16" s="5">
        <v>-25.6</v>
      </c>
      <c r="Z16" s="5">
        <v>16.2</v>
      </c>
      <c r="AA16" s="5">
        <v>28.7</v>
      </c>
      <c r="AC16" s="3" t="s">
        <v>177</v>
      </c>
      <c r="AD16" s="6">
        <f>SUM(AD3,AD5:AD15)</f>
        <v>2286.6</v>
      </c>
      <c r="AE16" s="6">
        <f t="shared" ref="AE16:AH16" si="1">SUM(AE3,AE5:AE15)</f>
        <v>2769.2000000000003</v>
      </c>
      <c r="AF16" s="6">
        <f t="shared" si="1"/>
        <v>5817.3</v>
      </c>
      <c r="AG16" s="6">
        <f t="shared" si="1"/>
        <v>6380.7999999999984</v>
      </c>
      <c r="AH16" s="6">
        <f t="shared" si="1"/>
        <v>6642.7</v>
      </c>
    </row>
    <row r="17" spans="1:34" x14ac:dyDescent="0.3">
      <c r="A17" s="249" t="s">
        <v>178</v>
      </c>
      <c r="B17" s="249"/>
      <c r="C17" s="249"/>
      <c r="D17" s="249"/>
      <c r="E17" s="249"/>
      <c r="F17" s="249"/>
      <c r="H17" s="4" t="s">
        <v>223</v>
      </c>
      <c r="I17" s="5">
        <v>1791</v>
      </c>
      <c r="J17" s="5">
        <v>3382</v>
      </c>
      <c r="K17" s="5">
        <v>6938</v>
      </c>
      <c r="L17" s="5">
        <v>4119</v>
      </c>
      <c r="M17" s="5">
        <v>-1334</v>
      </c>
      <c r="O17" s="4" t="s">
        <v>36</v>
      </c>
      <c r="P17" s="5">
        <v>-208</v>
      </c>
      <c r="Q17" s="5">
        <v>538</v>
      </c>
      <c r="R17" s="5">
        <v>718</v>
      </c>
      <c r="S17" s="5">
        <v>-175</v>
      </c>
      <c r="T17" s="5">
        <v>-681</v>
      </c>
      <c r="V17" s="4" t="s">
        <v>17</v>
      </c>
      <c r="W17" s="5">
        <v>-8</v>
      </c>
      <c r="X17" s="5">
        <v>93.1</v>
      </c>
      <c r="Y17" s="5">
        <v>-653</v>
      </c>
      <c r="Z17" s="5">
        <v>105.5</v>
      </c>
      <c r="AA17" s="5">
        <v>886.9</v>
      </c>
      <c r="AC17" s="249" t="s">
        <v>329</v>
      </c>
      <c r="AD17" s="249"/>
      <c r="AE17" s="249"/>
      <c r="AF17" s="249"/>
      <c r="AG17" s="249"/>
      <c r="AH17" s="249"/>
    </row>
    <row r="18" spans="1:34" x14ac:dyDescent="0.3">
      <c r="A18" s="4" t="s">
        <v>20</v>
      </c>
      <c r="B18" s="5">
        <v>5</v>
      </c>
      <c r="C18" s="5">
        <v>-3</v>
      </c>
      <c r="D18" s="5">
        <v>-12</v>
      </c>
      <c r="E18" s="5">
        <v>-8</v>
      </c>
      <c r="F18" s="5">
        <v>0</v>
      </c>
      <c r="H18" s="3" t="s">
        <v>181</v>
      </c>
      <c r="I18" s="6">
        <f>SUM(I3,I5:I12,I14:I17)</f>
        <v>21553</v>
      </c>
      <c r="J18" s="6">
        <f t="shared" ref="J18:M18" si="2">SUM(J3,J5:J12,J14:J17)</f>
        <v>29613</v>
      </c>
      <c r="K18" s="6">
        <f t="shared" si="2"/>
        <v>31497</v>
      </c>
      <c r="L18" s="6">
        <f t="shared" si="2"/>
        <v>31261</v>
      </c>
      <c r="M18" s="6">
        <f t="shared" si="2"/>
        <v>34441</v>
      </c>
      <c r="O18" s="4" t="s">
        <v>267</v>
      </c>
      <c r="P18" s="5">
        <v>1810</v>
      </c>
      <c r="Q18" s="5">
        <v>1454</v>
      </c>
      <c r="R18" s="5">
        <v>1116</v>
      </c>
      <c r="S18" s="5">
        <v>1230</v>
      </c>
      <c r="T18" s="5">
        <v>2514</v>
      </c>
      <c r="V18" s="4" t="s">
        <v>302</v>
      </c>
      <c r="W18" s="5">
        <v>-1240.0999999999999</v>
      </c>
      <c r="X18" s="5">
        <v>569.79999999999995</v>
      </c>
      <c r="Y18" s="5">
        <v>969.5</v>
      </c>
      <c r="Z18" s="5">
        <v>-982.4</v>
      </c>
      <c r="AA18" s="5">
        <v>-43.5</v>
      </c>
      <c r="AC18" s="4" t="s">
        <v>330</v>
      </c>
      <c r="AD18" s="5">
        <v>-313.10000000000002</v>
      </c>
      <c r="AE18" s="5">
        <v>-20.3</v>
      </c>
      <c r="AF18" s="5">
        <v>0.5</v>
      </c>
      <c r="AG18" s="5">
        <v>0.8</v>
      </c>
      <c r="AH18" s="5">
        <v>0.3</v>
      </c>
    </row>
    <row r="19" spans="1:34" ht="28.8" x14ac:dyDescent="0.3">
      <c r="A19" s="4" t="s">
        <v>11</v>
      </c>
      <c r="B19" s="5">
        <v>-3295</v>
      </c>
      <c r="C19" s="5">
        <v>1260</v>
      </c>
      <c r="D19" s="5">
        <v>-4210</v>
      </c>
      <c r="E19" s="5">
        <v>-6501</v>
      </c>
      <c r="F19" s="5">
        <v>-3327</v>
      </c>
      <c r="H19" s="4" t="s">
        <v>224</v>
      </c>
      <c r="I19" s="5">
        <v>-4550</v>
      </c>
      <c r="J19" s="5">
        <v>-6389</v>
      </c>
      <c r="K19" s="5">
        <v>-7612</v>
      </c>
      <c r="L19" s="5">
        <v>-8794</v>
      </c>
      <c r="M19" s="5">
        <v>-9231</v>
      </c>
      <c r="O19" s="3" t="s">
        <v>181</v>
      </c>
      <c r="P19" s="6">
        <f>SUM(P3,P5:P12,P14:P18)</f>
        <v>15917</v>
      </c>
      <c r="Q19" s="6">
        <f t="shared" ref="Q19:T19" si="3">SUM(Q3,Q5:Q12,Q14:Q18)</f>
        <v>23063</v>
      </c>
      <c r="R19" s="6">
        <f t="shared" si="3"/>
        <v>20343</v>
      </c>
      <c r="S19" s="6">
        <f t="shared" si="3"/>
        <v>21707</v>
      </c>
      <c r="T19" s="6">
        <f t="shared" si="3"/>
        <v>26660</v>
      </c>
      <c r="V19" s="4" t="s">
        <v>90</v>
      </c>
      <c r="W19" s="5">
        <v>-657.2</v>
      </c>
      <c r="X19" s="5">
        <v>370.4</v>
      </c>
      <c r="Y19" s="5">
        <v>383.2</v>
      </c>
      <c r="Z19" s="5">
        <v>-652.20000000000005</v>
      </c>
      <c r="AA19" s="5">
        <v>-505.3</v>
      </c>
      <c r="AC19" s="18" t="s">
        <v>331</v>
      </c>
      <c r="AD19" s="5">
        <v>-278.60000000000002</v>
      </c>
      <c r="AE19" s="5">
        <v>-196.8</v>
      </c>
      <c r="AF19" s="5">
        <v>-1823.8</v>
      </c>
      <c r="AG19" s="5">
        <v>-1969</v>
      </c>
      <c r="AH19" s="5">
        <v>504.6</v>
      </c>
    </row>
    <row r="20" spans="1:34" x14ac:dyDescent="0.3">
      <c r="A20" s="4" t="s">
        <v>12</v>
      </c>
      <c r="B20" s="5">
        <v>-508</v>
      </c>
      <c r="C20" s="5">
        <v>-201</v>
      </c>
      <c r="D20" s="5">
        <v>-934</v>
      </c>
      <c r="E20" s="5">
        <v>-1182</v>
      </c>
      <c r="F20" s="5">
        <v>-5</v>
      </c>
      <c r="H20" s="3" t="s">
        <v>225</v>
      </c>
      <c r="I20" s="7">
        <f>I18+I19</f>
        <v>17003</v>
      </c>
      <c r="J20" s="7">
        <f t="shared" ref="J20:M20" si="4">J18+J19</f>
        <v>23224</v>
      </c>
      <c r="K20" s="7">
        <f t="shared" si="4"/>
        <v>23885</v>
      </c>
      <c r="L20" s="7">
        <f t="shared" si="4"/>
        <v>22467</v>
      </c>
      <c r="M20" s="7">
        <f t="shared" si="4"/>
        <v>25210</v>
      </c>
      <c r="O20" s="4" t="s">
        <v>224</v>
      </c>
      <c r="P20" s="5">
        <v>-2558</v>
      </c>
      <c r="Q20" s="5">
        <v>-3445</v>
      </c>
      <c r="R20" s="5">
        <v>-3443</v>
      </c>
      <c r="S20" s="5">
        <v>-3698</v>
      </c>
      <c r="T20" s="5">
        <v>-4212</v>
      </c>
      <c r="V20" s="3" t="s">
        <v>181</v>
      </c>
      <c r="W20" s="6">
        <f>SUM(W3,W5:W19)</f>
        <v>10702.699999999999</v>
      </c>
      <c r="X20" s="6">
        <f t="shared" ref="X20:AA20" si="5">SUM(X3,X5:X19)</f>
        <v>17246.5</v>
      </c>
      <c r="Y20" s="6">
        <f t="shared" si="5"/>
        <v>13648.300000000003</v>
      </c>
      <c r="Z20" s="6">
        <f t="shared" si="5"/>
        <v>16087.3</v>
      </c>
      <c r="AA20" s="6">
        <f t="shared" si="5"/>
        <v>19596.800000000003</v>
      </c>
      <c r="AC20" s="4" t="s">
        <v>332</v>
      </c>
      <c r="AD20" s="5">
        <v>0</v>
      </c>
      <c r="AE20" s="5">
        <v>0</v>
      </c>
      <c r="AF20" s="5">
        <v>-186.4</v>
      </c>
      <c r="AG20" s="5">
        <v>-208.5</v>
      </c>
      <c r="AH20" s="5">
        <v>-329.7</v>
      </c>
    </row>
    <row r="21" spans="1:34" x14ac:dyDescent="0.3">
      <c r="A21" s="4" t="s">
        <v>179</v>
      </c>
      <c r="B21" s="5">
        <v>-2</v>
      </c>
      <c r="C21" s="5">
        <v>-17</v>
      </c>
      <c r="D21" s="5">
        <v>-116</v>
      </c>
      <c r="E21" s="5">
        <v>261</v>
      </c>
      <c r="F21" s="5">
        <v>-301</v>
      </c>
      <c r="H21" s="249" t="s">
        <v>184</v>
      </c>
      <c r="I21" s="249"/>
      <c r="J21" s="249"/>
      <c r="K21" s="249"/>
      <c r="L21" s="249"/>
      <c r="M21" s="249"/>
      <c r="O21" s="3" t="s">
        <v>268</v>
      </c>
      <c r="P21" s="6">
        <f>P19+P20</f>
        <v>13359</v>
      </c>
      <c r="Q21" s="6">
        <f t="shared" ref="Q21:T21" si="6">Q19+Q20</f>
        <v>19618</v>
      </c>
      <c r="R21" s="6">
        <f t="shared" si="6"/>
        <v>16900</v>
      </c>
      <c r="S21" s="6">
        <f t="shared" si="6"/>
        <v>18009</v>
      </c>
      <c r="T21" s="6">
        <f t="shared" si="6"/>
        <v>22448</v>
      </c>
      <c r="V21" s="4" t="s">
        <v>224</v>
      </c>
      <c r="W21" s="5">
        <v>-638.4</v>
      </c>
      <c r="X21" s="5">
        <v>-2491.5</v>
      </c>
      <c r="Y21" s="5">
        <v>-2568.6</v>
      </c>
      <c r="Z21" s="5">
        <v>-3021.8</v>
      </c>
      <c r="AA21" s="5">
        <v>-1536</v>
      </c>
      <c r="AC21" s="4" t="s">
        <v>333</v>
      </c>
      <c r="AD21" s="5">
        <v>360.4</v>
      </c>
      <c r="AE21" s="5">
        <v>487.5</v>
      </c>
      <c r="AF21" s="5">
        <v>790.9</v>
      </c>
      <c r="AG21" s="5">
        <v>412.2</v>
      </c>
      <c r="AH21" s="5">
        <v>422.3</v>
      </c>
    </row>
    <row r="22" spans="1:34" x14ac:dyDescent="0.3">
      <c r="A22" s="4" t="s">
        <v>17</v>
      </c>
      <c r="B22" s="5">
        <v>-3492</v>
      </c>
      <c r="C22" s="5">
        <v>-2805</v>
      </c>
      <c r="D22" s="5">
        <v>807</v>
      </c>
      <c r="E22" s="5">
        <v>-25</v>
      </c>
      <c r="F22" s="5">
        <v>-3160</v>
      </c>
      <c r="H22" s="4" t="s">
        <v>226</v>
      </c>
      <c r="I22" s="5">
        <v>-3307</v>
      </c>
      <c r="J22" s="5">
        <v>-2107</v>
      </c>
      <c r="K22" s="5">
        <v>-2161</v>
      </c>
      <c r="L22" s="5">
        <v>-2579</v>
      </c>
      <c r="M22" s="5">
        <v>-2201</v>
      </c>
      <c r="O22" s="249" t="s">
        <v>184</v>
      </c>
      <c r="P22" s="249"/>
      <c r="Q22" s="249"/>
      <c r="R22" s="249"/>
      <c r="S22" s="249"/>
      <c r="T22" s="249"/>
      <c r="V22" s="3" t="s">
        <v>303</v>
      </c>
      <c r="W22" s="6">
        <f>W20+W21</f>
        <v>10064.299999999999</v>
      </c>
      <c r="X22" s="6">
        <f t="shared" ref="X22:AA22" si="7">X20+X21</f>
        <v>14755</v>
      </c>
      <c r="Y22" s="6">
        <f t="shared" si="7"/>
        <v>11079.700000000003</v>
      </c>
      <c r="Z22" s="6">
        <f t="shared" si="7"/>
        <v>13065.5</v>
      </c>
      <c r="AA22" s="6">
        <f t="shared" si="7"/>
        <v>18060.800000000003</v>
      </c>
      <c r="AC22" s="3" t="s">
        <v>334</v>
      </c>
      <c r="AD22" s="6">
        <f>SUM(AD18:AD21)</f>
        <v>-231.30000000000007</v>
      </c>
      <c r="AE22" s="6">
        <f t="shared" ref="AE22:AH22" si="8">SUM(AE18:AE21)</f>
        <v>270.39999999999998</v>
      </c>
      <c r="AF22" s="6">
        <f t="shared" si="8"/>
        <v>-1218.8000000000002</v>
      </c>
      <c r="AG22" s="6">
        <f t="shared" si="8"/>
        <v>-1764.4999999999998</v>
      </c>
      <c r="AH22" s="6">
        <f t="shared" si="8"/>
        <v>597.5</v>
      </c>
    </row>
    <row r="23" spans="1:34" x14ac:dyDescent="0.3">
      <c r="A23" s="4" t="s">
        <v>36</v>
      </c>
      <c r="B23" s="5">
        <v>446</v>
      </c>
      <c r="C23" s="5">
        <v>-93</v>
      </c>
      <c r="D23" s="5">
        <v>186</v>
      </c>
      <c r="E23" s="5">
        <v>2036</v>
      </c>
      <c r="F23" s="5">
        <v>-632</v>
      </c>
      <c r="H23" s="4" t="s">
        <v>227</v>
      </c>
      <c r="I23" s="5">
        <v>-108</v>
      </c>
      <c r="J23" s="5">
        <v>-207</v>
      </c>
      <c r="K23" s="5">
        <f>-906+753</f>
        <v>-153</v>
      </c>
      <c r="L23" s="5">
        <f>-996+762</f>
        <v>-234</v>
      </c>
      <c r="M23" s="5">
        <v>-847</v>
      </c>
      <c r="O23" s="4" t="s">
        <v>269</v>
      </c>
      <c r="P23" s="5">
        <v>-265</v>
      </c>
      <c r="Q23" s="5">
        <v>-2427</v>
      </c>
      <c r="R23" s="5">
        <v>-2625</v>
      </c>
      <c r="S23" s="5">
        <v>-8346</v>
      </c>
      <c r="T23" s="5">
        <v>-13924</v>
      </c>
      <c r="V23" s="249" t="s">
        <v>184</v>
      </c>
      <c r="W23" s="249"/>
      <c r="X23" s="249"/>
      <c r="Y23" s="249"/>
      <c r="Z23" s="249"/>
      <c r="AA23" s="249"/>
      <c r="AC23" s="3" t="s">
        <v>181</v>
      </c>
      <c r="AD23" s="6">
        <f>SUM(AD16,AD22)</f>
        <v>2055.2999999999997</v>
      </c>
      <c r="AE23" s="6">
        <f t="shared" ref="AE23:AH23" si="9">SUM(AE16,AE22)</f>
        <v>3039.6000000000004</v>
      </c>
      <c r="AF23" s="6">
        <f t="shared" si="9"/>
        <v>4598.5</v>
      </c>
      <c r="AG23" s="6">
        <f t="shared" si="9"/>
        <v>4616.2999999999984</v>
      </c>
      <c r="AH23" s="6">
        <f t="shared" si="9"/>
        <v>7240.2</v>
      </c>
    </row>
    <row r="24" spans="1:34" x14ac:dyDescent="0.3">
      <c r="A24" s="4" t="s">
        <v>38</v>
      </c>
      <c r="B24" s="5">
        <v>375</v>
      </c>
      <c r="C24" s="5">
        <v>1091</v>
      </c>
      <c r="D24" s="5">
        <v>-103</v>
      </c>
      <c r="E24" s="5">
        <v>39</v>
      </c>
      <c r="F24" s="5">
        <v>-740</v>
      </c>
      <c r="H24" s="4" t="s">
        <v>228</v>
      </c>
      <c r="I24" s="5">
        <v>1929</v>
      </c>
      <c r="J24" s="5">
        <v>1418</v>
      </c>
      <c r="K24" s="5">
        <v>1898</v>
      </c>
      <c r="L24" s="5">
        <v>1525</v>
      </c>
      <c r="M24" s="5">
        <v>710</v>
      </c>
      <c r="O24" s="4" t="s">
        <v>270</v>
      </c>
      <c r="P24" s="5">
        <v>2074</v>
      </c>
      <c r="Q24" s="5">
        <v>188</v>
      </c>
      <c r="R24" s="5">
        <v>2866</v>
      </c>
      <c r="S24" s="5">
        <v>4484</v>
      </c>
      <c r="T24" s="5">
        <v>10315</v>
      </c>
      <c r="V24" s="4" t="s">
        <v>304</v>
      </c>
      <c r="W24" s="5">
        <v>-2349.6999999999998</v>
      </c>
      <c r="X24" s="5">
        <v>-1957.7</v>
      </c>
      <c r="Y24" s="5">
        <v>-2015.3</v>
      </c>
      <c r="Z24" s="5">
        <v>-1483.4</v>
      </c>
      <c r="AA24" s="5">
        <v>-1051</v>
      </c>
      <c r="AC24" s="4" t="s">
        <v>224</v>
      </c>
      <c r="AD24" s="5">
        <v>-411.8</v>
      </c>
      <c r="AE24" s="5">
        <v>-640</v>
      </c>
      <c r="AF24" s="5">
        <v>-1347.8</v>
      </c>
      <c r="AG24" s="5">
        <v>-1521.7</v>
      </c>
      <c r="AH24" s="5">
        <v>-1570.7</v>
      </c>
    </row>
    <row r="25" spans="1:34" x14ac:dyDescent="0.3">
      <c r="A25" s="4" t="s">
        <v>37</v>
      </c>
      <c r="B25" s="5">
        <v>1208</v>
      </c>
      <c r="C25" s="5">
        <v>122</v>
      </c>
      <c r="D25" s="5">
        <v>1153</v>
      </c>
      <c r="E25" s="5">
        <v>1417</v>
      </c>
      <c r="F25" s="5">
        <v>-695</v>
      </c>
      <c r="H25" s="4" t="s">
        <v>229</v>
      </c>
      <c r="I25" s="5">
        <v>-1860</v>
      </c>
      <c r="J25" s="5">
        <v>-1221</v>
      </c>
      <c r="K25" s="5">
        <v>0</v>
      </c>
      <c r="L25" s="5">
        <v>-910</v>
      </c>
      <c r="M25" s="5">
        <v>1768</v>
      </c>
      <c r="O25" s="4" t="s">
        <v>271</v>
      </c>
      <c r="P25" s="5">
        <v>-35420</v>
      </c>
      <c r="Q25" s="5">
        <v>-20792</v>
      </c>
      <c r="R25" s="5">
        <v>-32574</v>
      </c>
      <c r="S25" s="5">
        <v>-34620</v>
      </c>
      <c r="T25" s="5">
        <v>-41674</v>
      </c>
      <c r="V25" s="4" t="s">
        <v>281</v>
      </c>
      <c r="W25" s="5">
        <v>127</v>
      </c>
      <c r="X25" s="5">
        <v>75.3</v>
      </c>
      <c r="Y25" s="5">
        <v>73.599999999999994</v>
      </c>
      <c r="Z25" s="5">
        <v>54.6</v>
      </c>
      <c r="AA25" s="5">
        <v>402.2</v>
      </c>
      <c r="AC25" s="3" t="s">
        <v>335</v>
      </c>
      <c r="AD25" s="6">
        <f>AD23+AD24</f>
        <v>1643.4999999999998</v>
      </c>
      <c r="AE25" s="6">
        <f t="shared" ref="AE25:AH25" si="10">AE23+AE24</f>
        <v>2399.6000000000004</v>
      </c>
      <c r="AF25" s="6">
        <f t="shared" si="10"/>
        <v>3250.7</v>
      </c>
      <c r="AG25" s="6">
        <f t="shared" si="10"/>
        <v>3094.5999999999985</v>
      </c>
      <c r="AH25" s="6">
        <f t="shared" si="10"/>
        <v>5669.5</v>
      </c>
    </row>
    <row r="26" spans="1:34" x14ac:dyDescent="0.3">
      <c r="A26" s="4" t="s">
        <v>180</v>
      </c>
      <c r="B26" s="5">
        <v>596</v>
      </c>
      <c r="C26" s="5">
        <v>1509</v>
      </c>
      <c r="D26" s="5">
        <v>460</v>
      </c>
      <c r="E26" s="5">
        <v>-254</v>
      </c>
      <c r="F26" s="5">
        <v>1978</v>
      </c>
      <c r="H26" s="4" t="s">
        <v>230</v>
      </c>
      <c r="I26" s="5">
        <v>-6</v>
      </c>
      <c r="J26" s="5">
        <v>-158</v>
      </c>
      <c r="K26" s="5">
        <v>-53</v>
      </c>
      <c r="L26" s="5">
        <v>-60</v>
      </c>
      <c r="M26" s="5">
        <v>0</v>
      </c>
      <c r="O26" s="4" t="s">
        <v>272</v>
      </c>
      <c r="P26" s="5">
        <v>30785</v>
      </c>
      <c r="Q26" s="5">
        <v>21109</v>
      </c>
      <c r="R26" s="5">
        <v>33215</v>
      </c>
      <c r="S26" s="5">
        <v>35626</v>
      </c>
      <c r="T26" s="5">
        <v>40329</v>
      </c>
      <c r="V26" s="4" t="s">
        <v>187</v>
      </c>
      <c r="W26" s="5">
        <v>-117824.7</v>
      </c>
      <c r="X26" s="5">
        <v>-117225.1</v>
      </c>
      <c r="Y26" s="5">
        <v>-101548.6</v>
      </c>
      <c r="Z26" s="5">
        <v>-80663.199999999997</v>
      </c>
      <c r="AA26" s="5">
        <v>-97506.9</v>
      </c>
      <c r="AC26" s="249" t="s">
        <v>184</v>
      </c>
      <c r="AD26" s="249"/>
      <c r="AE26" s="249"/>
      <c r="AF26" s="249"/>
      <c r="AG26" s="249"/>
      <c r="AH26" s="249"/>
    </row>
    <row r="27" spans="1:34" x14ac:dyDescent="0.3">
      <c r="A27" s="3" t="s">
        <v>181</v>
      </c>
      <c r="B27" s="6">
        <f>SUM(B18:B26,B16)</f>
        <v>38215</v>
      </c>
      <c r="C27" s="6">
        <f t="shared" ref="C27:F27" si="11">SUM(C18:C26,C16)</f>
        <v>47894</v>
      </c>
      <c r="D27" s="6">
        <f t="shared" si="11"/>
        <v>51435</v>
      </c>
      <c r="E27" s="6">
        <f t="shared" si="11"/>
        <v>54931</v>
      </c>
      <c r="F27" s="6">
        <f t="shared" si="11"/>
        <v>56827</v>
      </c>
      <c r="H27" s="4" t="s">
        <v>231</v>
      </c>
      <c r="I27" s="5">
        <v>257</v>
      </c>
      <c r="J27" s="5">
        <v>0</v>
      </c>
      <c r="K27" s="5">
        <f>-420+420</f>
        <v>0</v>
      </c>
      <c r="L27" s="5">
        <f>-483+483</f>
        <v>0</v>
      </c>
      <c r="M27" s="5">
        <v>-101</v>
      </c>
      <c r="O27" s="4" t="s">
        <v>273</v>
      </c>
      <c r="P27" s="5">
        <v>-15</v>
      </c>
      <c r="Q27" s="5">
        <v>-3</v>
      </c>
      <c r="R27" s="5">
        <v>-1</v>
      </c>
      <c r="S27" s="5">
        <v>0</v>
      </c>
      <c r="T27" s="5">
        <v>-8</v>
      </c>
      <c r="V27" s="4" t="s">
        <v>305</v>
      </c>
      <c r="W27" s="5">
        <v>121282.6</v>
      </c>
      <c r="X27" s="5">
        <v>118905.9</v>
      </c>
      <c r="Y27" s="5">
        <v>95373.5</v>
      </c>
      <c r="Z27" s="5">
        <v>74088.5</v>
      </c>
      <c r="AA27" s="5">
        <v>97859.8</v>
      </c>
      <c r="AC27" s="4" t="s">
        <v>304</v>
      </c>
      <c r="AD27" s="5">
        <v>-246.5</v>
      </c>
      <c r="AE27" s="5">
        <v>-271.89999999999998</v>
      </c>
      <c r="AF27" s="5">
        <v>-1057.3</v>
      </c>
      <c r="AG27" s="5">
        <v>-939.3</v>
      </c>
      <c r="AH27" s="5">
        <v>-843.2</v>
      </c>
    </row>
    <row r="28" spans="1:34" ht="43.2" x14ac:dyDescent="0.3">
      <c r="A28" s="4" t="s">
        <v>182</v>
      </c>
      <c r="B28" s="5">
        <v>-5846</v>
      </c>
      <c r="C28" s="5">
        <v>-9092</v>
      </c>
      <c r="D28" s="5">
        <v>-11486</v>
      </c>
      <c r="E28" s="5">
        <v>-12966</v>
      </c>
      <c r="F28" s="5">
        <v>-12489</v>
      </c>
      <c r="H28" s="4" t="s">
        <v>232</v>
      </c>
      <c r="I28" s="5">
        <v>46</v>
      </c>
      <c r="J28" s="5">
        <v>49</v>
      </c>
      <c r="K28" s="5">
        <v>67</v>
      </c>
      <c r="L28" s="5">
        <v>71</v>
      </c>
      <c r="M28" s="5">
        <v>128</v>
      </c>
      <c r="O28" s="4" t="s">
        <v>274</v>
      </c>
      <c r="P28" s="5">
        <v>-5015</v>
      </c>
      <c r="Q28" s="5">
        <v>-6641</v>
      </c>
      <c r="R28" s="5">
        <f>-5478+40-9</f>
        <v>-5447</v>
      </c>
      <c r="S28" s="5">
        <f>-2602+9</f>
        <v>-2593</v>
      </c>
      <c r="T28" s="5">
        <v>-1079</v>
      </c>
      <c r="V28" s="18" t="s">
        <v>306</v>
      </c>
      <c r="W28" s="5">
        <v>0</v>
      </c>
      <c r="X28" s="5">
        <v>0</v>
      </c>
      <c r="Y28" s="5">
        <v>165.2</v>
      </c>
      <c r="Z28" s="5">
        <v>2741</v>
      </c>
      <c r="AA28" s="5">
        <v>0</v>
      </c>
      <c r="AC28" s="4" t="s">
        <v>336</v>
      </c>
      <c r="AD28" s="5">
        <v>3.9</v>
      </c>
      <c r="AE28" s="5">
        <v>5.4</v>
      </c>
      <c r="AF28" s="5">
        <v>4.4000000000000004</v>
      </c>
      <c r="AG28" s="5">
        <v>4.7</v>
      </c>
      <c r="AH28" s="5">
        <v>10.199999999999999</v>
      </c>
    </row>
    <row r="29" spans="1:34" x14ac:dyDescent="0.3">
      <c r="A29" s="3" t="s">
        <v>183</v>
      </c>
      <c r="B29" s="6">
        <f>B27+B28</f>
        <v>32369</v>
      </c>
      <c r="C29" s="6">
        <f t="shared" ref="C29:F29" si="12">C27+C28</f>
        <v>38802</v>
      </c>
      <c r="D29" s="6">
        <f t="shared" si="12"/>
        <v>39949</v>
      </c>
      <c r="E29" s="6">
        <f t="shared" si="12"/>
        <v>41965</v>
      </c>
      <c r="F29" s="6">
        <f t="shared" si="12"/>
        <v>44338</v>
      </c>
      <c r="H29" s="4" t="s">
        <v>234</v>
      </c>
      <c r="I29" s="5">
        <v>0</v>
      </c>
      <c r="J29" s="5">
        <v>-45</v>
      </c>
      <c r="K29" s="5">
        <v>-22</v>
      </c>
      <c r="L29" s="5">
        <v>0</v>
      </c>
      <c r="M29" s="5">
        <v>0</v>
      </c>
      <c r="O29" s="4" t="s">
        <v>275</v>
      </c>
      <c r="P29" s="5">
        <v>3261</v>
      </c>
      <c r="Q29" s="5">
        <v>5219</v>
      </c>
      <c r="R29" s="5">
        <v>7111</v>
      </c>
      <c r="S29" s="5">
        <v>3208</v>
      </c>
      <c r="T29" s="5">
        <v>1605</v>
      </c>
      <c r="V29" s="4" t="s">
        <v>307</v>
      </c>
      <c r="W29" s="5">
        <v>-1000.3</v>
      </c>
      <c r="X29" s="5">
        <v>-987.3</v>
      </c>
      <c r="Y29" s="5">
        <v>-12984.6</v>
      </c>
      <c r="Z29" s="5">
        <v>-4556.6000000000004</v>
      </c>
      <c r="AA29" s="5">
        <v>-529.1</v>
      </c>
      <c r="AC29" s="4" t="s">
        <v>337</v>
      </c>
      <c r="AD29" s="5">
        <v>-460.4</v>
      </c>
      <c r="AE29" s="5">
        <v>-1461.1</v>
      </c>
      <c r="AF29" s="5">
        <v>14390.4</v>
      </c>
      <c r="AG29" s="5">
        <v>20638.5</v>
      </c>
      <c r="AH29" s="5">
        <v>28666.5</v>
      </c>
    </row>
    <row r="30" spans="1:34" x14ac:dyDescent="0.3">
      <c r="A30" s="249" t="s">
        <v>184</v>
      </c>
      <c r="B30" s="249"/>
      <c r="C30" s="249"/>
      <c r="D30" s="249"/>
      <c r="E30" s="249"/>
      <c r="F30" s="249"/>
      <c r="H30" s="249" t="s">
        <v>233</v>
      </c>
      <c r="I30" s="249"/>
      <c r="J30" s="249"/>
      <c r="K30" s="249"/>
      <c r="L30" s="249"/>
      <c r="M30" s="249"/>
      <c r="O30" s="4" t="s">
        <v>276</v>
      </c>
      <c r="P30" s="5">
        <v>-6091</v>
      </c>
      <c r="Q30" s="5">
        <v>-1211</v>
      </c>
      <c r="R30" s="5">
        <v>0</v>
      </c>
      <c r="S30" s="5">
        <v>-706</v>
      </c>
      <c r="T30" s="5">
        <v>-2043</v>
      </c>
      <c r="V30" s="4" t="s">
        <v>308</v>
      </c>
      <c r="W30" s="5">
        <v>745.9</v>
      </c>
      <c r="X30" s="5">
        <v>0</v>
      </c>
      <c r="Y30" s="5">
        <v>-2741</v>
      </c>
      <c r="Z30" s="5">
        <v>1.1000000000000001</v>
      </c>
      <c r="AA30" s="5">
        <f>-48.4+30</f>
        <v>-18.399999999999999</v>
      </c>
      <c r="AC30" s="4" t="s">
        <v>338</v>
      </c>
      <c r="AD30" s="5">
        <v>-10.3</v>
      </c>
      <c r="AE30" s="5">
        <v>-40.799999999999997</v>
      </c>
      <c r="AF30" s="5">
        <v>-14854.7</v>
      </c>
      <c r="AG30" s="5">
        <v>-20012.8</v>
      </c>
      <c r="AH30" s="5">
        <v>-31997</v>
      </c>
    </row>
    <row r="31" spans="1:34" x14ac:dyDescent="0.3">
      <c r="A31" s="4" t="s">
        <v>185</v>
      </c>
      <c r="B31" s="5">
        <v>-7663</v>
      </c>
      <c r="C31" s="5">
        <v>-6605</v>
      </c>
      <c r="D31" s="5">
        <v>-15947</v>
      </c>
      <c r="E31" s="5">
        <v>-4548</v>
      </c>
      <c r="F31" s="5">
        <v>-9471</v>
      </c>
      <c r="H31" s="4" t="s">
        <v>235</v>
      </c>
      <c r="I31" s="5">
        <v>-41</v>
      </c>
      <c r="J31" s="5">
        <v>0</v>
      </c>
      <c r="K31" s="5">
        <v>0</v>
      </c>
      <c r="L31" s="5">
        <v>0</v>
      </c>
      <c r="M31" s="5">
        <v>0</v>
      </c>
      <c r="O31" s="4" t="s">
        <v>277</v>
      </c>
      <c r="P31" s="5">
        <v>0</v>
      </c>
      <c r="Q31" s="5">
        <v>-12</v>
      </c>
      <c r="R31" s="5">
        <v>0</v>
      </c>
      <c r="S31" s="5">
        <v>0</v>
      </c>
      <c r="T31" s="5">
        <v>0</v>
      </c>
      <c r="V31" s="4" t="s">
        <v>195</v>
      </c>
      <c r="W31" s="5">
        <v>2383.6999999999998</v>
      </c>
      <c r="X31" s="5">
        <v>1962.4</v>
      </c>
      <c r="Y31" s="5">
        <v>1227.5</v>
      </c>
      <c r="Z31" s="5">
        <v>1411.2</v>
      </c>
      <c r="AA31" s="5">
        <v>2011.1</v>
      </c>
      <c r="AC31" s="4" t="s">
        <v>339</v>
      </c>
      <c r="AD31" s="5">
        <v>-48.8</v>
      </c>
      <c r="AE31" s="5">
        <v>-1.8</v>
      </c>
      <c r="AF31" s="5">
        <v>-42.7</v>
      </c>
      <c r="AG31" s="5">
        <v>-49.6</v>
      </c>
      <c r="AH31" s="5">
        <v>-5.9</v>
      </c>
    </row>
    <row r="32" spans="1:34" x14ac:dyDescent="0.3">
      <c r="A32" s="4" t="s">
        <v>186</v>
      </c>
      <c r="B32" s="5">
        <v>-14905</v>
      </c>
      <c r="C32" s="5">
        <v>-21076</v>
      </c>
      <c r="D32" s="5">
        <v>-14619</v>
      </c>
      <c r="E32" s="5">
        <v>-8293</v>
      </c>
      <c r="F32" s="5">
        <v>0</v>
      </c>
      <c r="H32" s="4" t="s">
        <v>236</v>
      </c>
      <c r="I32" s="5">
        <v>-19</v>
      </c>
      <c r="J32" s="5">
        <v>-318</v>
      </c>
      <c r="K32" s="5">
        <v>0</v>
      </c>
      <c r="L32" s="5">
        <v>-27</v>
      </c>
      <c r="M32" s="5">
        <v>0</v>
      </c>
      <c r="O32" s="4" t="s">
        <v>278</v>
      </c>
      <c r="P32" s="5">
        <v>-3</v>
      </c>
      <c r="Q32" s="5">
        <v>-4</v>
      </c>
      <c r="R32" s="5">
        <v>-2</v>
      </c>
      <c r="S32" s="5">
        <v>-3</v>
      </c>
      <c r="T32" s="5">
        <v>0</v>
      </c>
      <c r="V32" s="4" t="s">
        <v>196</v>
      </c>
      <c r="W32" s="5">
        <v>36.700000000000003</v>
      </c>
      <c r="X32" s="5">
        <v>0.4</v>
      </c>
      <c r="Y32" s="5">
        <v>0.2</v>
      </c>
      <c r="Z32" s="5">
        <v>0.3</v>
      </c>
      <c r="AA32" s="5">
        <v>0.3</v>
      </c>
      <c r="AC32" s="4" t="s">
        <v>340</v>
      </c>
      <c r="AD32" s="5">
        <v>6.4</v>
      </c>
      <c r="AE32" s="5">
        <v>16</v>
      </c>
      <c r="AF32" s="5">
        <v>-142.80000000000001</v>
      </c>
      <c r="AG32" s="5">
        <v>-99</v>
      </c>
      <c r="AH32" s="5">
        <v>0</v>
      </c>
    </row>
    <row r="33" spans="1:34" x14ac:dyDescent="0.3">
      <c r="A33" s="4" t="s">
        <v>187</v>
      </c>
      <c r="B33" s="5">
        <v>-80002</v>
      </c>
      <c r="C33" s="5">
        <v>-54462</v>
      </c>
      <c r="D33" s="5">
        <v>-75374</v>
      </c>
      <c r="E33" s="5">
        <v>-129745</v>
      </c>
      <c r="F33" s="5">
        <v>-141011</v>
      </c>
      <c r="H33" s="4" t="s">
        <v>237</v>
      </c>
      <c r="I33" s="5">
        <v>-34839</v>
      </c>
      <c r="J33" s="5">
        <v>-35196</v>
      </c>
      <c r="K33" s="5">
        <v>-54064</v>
      </c>
      <c r="L33" s="5">
        <v>-70631</v>
      </c>
      <c r="M33" s="5">
        <v>-66191</v>
      </c>
      <c r="O33" s="4" t="s">
        <v>279</v>
      </c>
      <c r="P33" s="5">
        <v>1</v>
      </c>
      <c r="Q33" s="5">
        <v>0</v>
      </c>
      <c r="R33" s="5">
        <v>0</v>
      </c>
      <c r="S33" s="5">
        <v>1</v>
      </c>
      <c r="T33" s="5">
        <v>13</v>
      </c>
      <c r="V33" s="3" t="s">
        <v>309</v>
      </c>
      <c r="W33" s="6">
        <f>SUM(W24:W32)</f>
        <v>3401.2000000000112</v>
      </c>
      <c r="X33" s="6">
        <f t="shared" ref="X33:AA33" si="13">SUM(X24:X32)</f>
        <v>773.89999999999429</v>
      </c>
      <c r="Y33" s="6">
        <f t="shared" si="13"/>
        <v>-22449.500000000004</v>
      </c>
      <c r="Z33" s="6">
        <f t="shared" si="13"/>
        <v>-8406.5</v>
      </c>
      <c r="AA33" s="6">
        <f t="shared" si="13"/>
        <v>1168.0000000000057</v>
      </c>
      <c r="AC33" s="4" t="s">
        <v>195</v>
      </c>
      <c r="AD33" s="5">
        <v>103.7</v>
      </c>
      <c r="AE33" s="5">
        <v>98.2</v>
      </c>
      <c r="AF33" s="5">
        <v>57.4</v>
      </c>
      <c r="AG33" s="5">
        <v>126.6</v>
      </c>
      <c r="AH33" s="5">
        <v>257.3</v>
      </c>
    </row>
    <row r="34" spans="1:34" x14ac:dyDescent="0.3">
      <c r="A34" s="4" t="s">
        <v>188</v>
      </c>
      <c r="B34" s="5">
        <v>-2538</v>
      </c>
      <c r="C34" s="5">
        <v>-2719</v>
      </c>
      <c r="D34" s="5">
        <v>-2483</v>
      </c>
      <c r="E34" s="5">
        <v>-2532</v>
      </c>
      <c r="F34" s="5">
        <v>-2202</v>
      </c>
      <c r="H34" s="4" t="s">
        <v>238</v>
      </c>
      <c r="I34" s="5">
        <v>-993</v>
      </c>
      <c r="J34" s="5">
        <v>-3689</v>
      </c>
      <c r="K34" s="5">
        <v>-1609</v>
      </c>
      <c r="L34" s="5">
        <v>-249</v>
      </c>
      <c r="M34" s="5">
        <v>-1526</v>
      </c>
      <c r="O34" s="4" t="s">
        <v>280</v>
      </c>
      <c r="P34" s="5">
        <v>-1866</v>
      </c>
      <c r="Q34" s="5">
        <v>-1904</v>
      </c>
      <c r="R34" s="5">
        <v>-1645</v>
      </c>
      <c r="S34" s="5">
        <v>-1661</v>
      </c>
      <c r="T34" s="5">
        <v>-1048</v>
      </c>
      <c r="V34" s="249" t="s">
        <v>245</v>
      </c>
      <c r="W34" s="249"/>
      <c r="X34" s="249"/>
      <c r="Y34" s="249"/>
      <c r="Z34" s="249"/>
      <c r="AA34" s="249"/>
      <c r="AC34" s="3" t="s">
        <v>341</v>
      </c>
      <c r="AD34" s="6">
        <f>SUM(AD27:AD33)</f>
        <v>-651.99999999999989</v>
      </c>
      <c r="AE34" s="6">
        <f t="shared" ref="AE34:AH34" si="14">SUM(AE27:AE33)</f>
        <v>-1655.9999999999998</v>
      </c>
      <c r="AF34" s="6">
        <f t="shared" si="14"/>
        <v>-1645.3000000000006</v>
      </c>
      <c r="AG34" s="6">
        <f t="shared" si="14"/>
        <v>-330.89999999999782</v>
      </c>
      <c r="AH34" s="6">
        <f t="shared" si="14"/>
        <v>-3912.0999999999995</v>
      </c>
    </row>
    <row r="35" spans="1:34" x14ac:dyDescent="0.3">
      <c r="A35" s="4" t="s">
        <v>189</v>
      </c>
      <c r="B35" s="5">
        <v>-519</v>
      </c>
      <c r="C35" s="5">
        <v>-101</v>
      </c>
      <c r="D35" s="5">
        <v>-15</v>
      </c>
      <c r="E35" s="5">
        <v>-213</v>
      </c>
      <c r="F35" s="5">
        <v>-30</v>
      </c>
      <c r="H35" s="4" t="s">
        <v>239</v>
      </c>
      <c r="I35" s="5">
        <v>-1114</v>
      </c>
      <c r="J35" s="5">
        <v>0</v>
      </c>
      <c r="K35" s="5">
        <v>-4184</v>
      </c>
      <c r="L35" s="5">
        <v>-10348</v>
      </c>
      <c r="M35" s="5">
        <v>-8509</v>
      </c>
      <c r="O35" s="4" t="s">
        <v>281</v>
      </c>
      <c r="P35" s="5">
        <v>37</v>
      </c>
      <c r="Q35" s="5">
        <v>151</v>
      </c>
      <c r="R35" s="5">
        <v>90</v>
      </c>
      <c r="S35" s="5">
        <v>217</v>
      </c>
      <c r="T35" s="5">
        <v>32</v>
      </c>
      <c r="V35" s="4" t="s">
        <v>310</v>
      </c>
      <c r="W35" s="5">
        <v>1.4</v>
      </c>
      <c r="X35" s="5">
        <v>0.6</v>
      </c>
      <c r="Y35" s="5">
        <v>0.6</v>
      </c>
      <c r="Z35" s="5">
        <v>1.2</v>
      </c>
      <c r="AA35" s="5">
        <v>1.3</v>
      </c>
      <c r="AC35" s="249" t="s">
        <v>342</v>
      </c>
      <c r="AD35" s="249"/>
      <c r="AE35" s="249"/>
      <c r="AF35" s="249"/>
      <c r="AG35" s="249"/>
      <c r="AH35" s="249"/>
    </row>
    <row r="36" spans="1:34" x14ac:dyDescent="0.3">
      <c r="A36" s="4" t="s">
        <v>190</v>
      </c>
      <c r="B36" s="5">
        <v>-192</v>
      </c>
      <c r="C36" s="5">
        <v>-356</v>
      </c>
      <c r="D36" s="5">
        <v>-497</v>
      </c>
      <c r="E36" s="5">
        <v>-355</v>
      </c>
      <c r="F36" s="5">
        <v>-442</v>
      </c>
      <c r="H36" s="4" t="s">
        <v>240</v>
      </c>
      <c r="I36" s="5">
        <v>-1561</v>
      </c>
      <c r="J36" s="5">
        <v>-7510</v>
      </c>
      <c r="K36" s="5">
        <v>-4254</v>
      </c>
      <c r="L36" s="5">
        <v>-1569</v>
      </c>
      <c r="M36" s="5">
        <v>-10387</v>
      </c>
      <c r="O36" s="4" t="s">
        <v>195</v>
      </c>
      <c r="P36" s="5">
        <v>282</v>
      </c>
      <c r="Q36" s="5">
        <v>676</v>
      </c>
      <c r="R36" s="5">
        <v>590</v>
      </c>
      <c r="S36" s="5">
        <v>636</v>
      </c>
      <c r="T36" s="5">
        <v>1041</v>
      </c>
      <c r="V36" s="4" t="s">
        <v>311</v>
      </c>
      <c r="W36" s="5">
        <v>-13238</v>
      </c>
      <c r="X36" s="5">
        <v>-9720.6</v>
      </c>
      <c r="Y36" s="5">
        <v>-19181</v>
      </c>
      <c r="Z36" s="5">
        <v>-16891</v>
      </c>
      <c r="AA36" s="5">
        <v>-13055.7</v>
      </c>
      <c r="AC36" s="4" t="s">
        <v>343</v>
      </c>
      <c r="AD36" s="5">
        <v>0</v>
      </c>
      <c r="AE36" s="5">
        <v>0.1</v>
      </c>
      <c r="AF36" s="5">
        <v>0.2</v>
      </c>
      <c r="AG36" s="5">
        <v>1.2</v>
      </c>
      <c r="AH36" s="5">
        <v>1.2</v>
      </c>
    </row>
    <row r="37" spans="1:34" x14ac:dyDescent="0.3">
      <c r="A37" s="4" t="s">
        <v>191</v>
      </c>
      <c r="B37" s="5">
        <v>11965</v>
      </c>
      <c r="C37" s="5">
        <v>4767</v>
      </c>
      <c r="D37" s="5">
        <v>11950</v>
      </c>
      <c r="E37" s="5">
        <v>6252</v>
      </c>
      <c r="F37" s="5">
        <v>8089</v>
      </c>
      <c r="H37" s="4" t="s">
        <v>70</v>
      </c>
      <c r="I37" s="5">
        <v>-29</v>
      </c>
      <c r="J37" s="5">
        <v>-25</v>
      </c>
      <c r="K37" s="5">
        <f>-24</f>
        <v>-24</v>
      </c>
      <c r="L37" s="5">
        <f>-20-400-3003</f>
        <v>-3423</v>
      </c>
      <c r="M37" s="5">
        <v>-14</v>
      </c>
      <c r="O37" s="4" t="s">
        <v>282</v>
      </c>
      <c r="P37" s="5">
        <v>-139</v>
      </c>
      <c r="Q37" s="5">
        <v>-91</v>
      </c>
      <c r="R37" s="5">
        <v>-101</v>
      </c>
      <c r="S37" s="5">
        <v>-174</v>
      </c>
      <c r="T37" s="5">
        <v>-282</v>
      </c>
      <c r="V37" s="4" t="s">
        <v>312</v>
      </c>
      <c r="W37" s="5">
        <v>10634.2</v>
      </c>
      <c r="X37" s="5">
        <v>10341.799999999999</v>
      </c>
      <c r="Y37" s="5">
        <v>26012</v>
      </c>
      <c r="Z37" s="5">
        <v>16103.4</v>
      </c>
      <c r="AA37" s="5">
        <v>12050</v>
      </c>
      <c r="AC37" s="4" t="s">
        <v>344</v>
      </c>
      <c r="AD37" s="5">
        <v>32</v>
      </c>
      <c r="AE37" s="5">
        <v>9.4</v>
      </c>
      <c r="AF37" s="5">
        <v>0</v>
      </c>
      <c r="AG37" s="5">
        <v>-1</v>
      </c>
      <c r="AH37" s="5">
        <v>0</v>
      </c>
    </row>
    <row r="38" spans="1:34" x14ac:dyDescent="0.3">
      <c r="A38" s="4" t="s">
        <v>192</v>
      </c>
      <c r="B38" s="5">
        <v>14432</v>
      </c>
      <c r="C38" s="5">
        <v>18018</v>
      </c>
      <c r="D38" s="5">
        <v>19498</v>
      </c>
      <c r="E38" s="5">
        <v>13654</v>
      </c>
      <c r="F38" s="5">
        <v>846</v>
      </c>
      <c r="H38" s="249" t="s">
        <v>241</v>
      </c>
      <c r="I38" s="249"/>
      <c r="J38" s="249"/>
      <c r="K38" s="249"/>
      <c r="L38" s="249"/>
      <c r="M38" s="249"/>
      <c r="O38" s="3" t="s">
        <v>283</v>
      </c>
      <c r="P38" s="6">
        <f>SUM(P23:P37)</f>
        <v>-12374</v>
      </c>
      <c r="Q38" s="6">
        <f t="shared" ref="Q38:T38" si="15">SUM(Q23:Q37)</f>
        <v>-5742</v>
      </c>
      <c r="R38" s="6">
        <f t="shared" si="15"/>
        <v>1477</v>
      </c>
      <c r="S38" s="6">
        <f t="shared" si="15"/>
        <v>-3931</v>
      </c>
      <c r="T38" s="6">
        <f t="shared" si="15"/>
        <v>-6723</v>
      </c>
      <c r="V38" s="4" t="s">
        <v>199</v>
      </c>
      <c r="W38" s="5">
        <v>-678.4</v>
      </c>
      <c r="X38" s="5">
        <v>-866</v>
      </c>
      <c r="Y38" s="5">
        <v>-973</v>
      </c>
      <c r="Z38" s="5">
        <v>-971.1</v>
      </c>
      <c r="AA38" s="5">
        <v>-1006</v>
      </c>
      <c r="AC38" s="4" t="s">
        <v>345</v>
      </c>
      <c r="AD38" s="5">
        <v>-210.4</v>
      </c>
      <c r="AE38" s="5">
        <v>175.9</v>
      </c>
      <c r="AF38" s="5">
        <v>10.5</v>
      </c>
      <c r="AG38" s="5">
        <v>66.5</v>
      </c>
      <c r="AH38" s="5">
        <v>-86.6</v>
      </c>
    </row>
    <row r="39" spans="1:34" ht="28.8" x14ac:dyDescent="0.3">
      <c r="A39" s="4" t="s">
        <v>193</v>
      </c>
      <c r="B39" s="5">
        <v>84089</v>
      </c>
      <c r="C39" s="5">
        <v>51630</v>
      </c>
      <c r="D39" s="5">
        <f>73852+3</f>
        <v>73855</v>
      </c>
      <c r="E39" s="5">
        <f>122687+2</f>
        <v>122689</v>
      </c>
      <c r="F39" s="5">
        <f>147204+3</f>
        <v>147207</v>
      </c>
      <c r="H39" s="4" t="s">
        <v>236</v>
      </c>
      <c r="I39" s="5">
        <v>87</v>
      </c>
      <c r="J39" s="5">
        <v>0</v>
      </c>
      <c r="K39" s="5">
        <v>20</v>
      </c>
      <c r="L39" s="5">
        <v>221</v>
      </c>
      <c r="M39" s="5">
        <v>150</v>
      </c>
      <c r="O39" s="249" t="s">
        <v>245</v>
      </c>
      <c r="P39" s="249"/>
      <c r="Q39" s="249"/>
      <c r="R39" s="249"/>
      <c r="S39" s="249"/>
      <c r="T39" s="249"/>
      <c r="V39" s="18" t="s">
        <v>313</v>
      </c>
      <c r="W39" s="5">
        <v>0</v>
      </c>
      <c r="X39" s="5">
        <v>-9519.9</v>
      </c>
      <c r="Y39" s="5">
        <v>-30.9</v>
      </c>
      <c r="Z39" s="5">
        <v>-178.4</v>
      </c>
      <c r="AA39" s="5">
        <v>-129.4</v>
      </c>
      <c r="AC39" s="4" t="s">
        <v>346</v>
      </c>
      <c r="AD39" s="5">
        <v>-139.69999999999999</v>
      </c>
      <c r="AE39" s="5">
        <v>-160.19999999999999</v>
      </c>
      <c r="AF39" s="5">
        <v>-47.5</v>
      </c>
      <c r="AG39" s="5">
        <v>-59.4</v>
      </c>
      <c r="AH39" s="5">
        <v>58.6</v>
      </c>
    </row>
    <row r="40" spans="1:34" x14ac:dyDescent="0.3">
      <c r="A40" s="4" t="s">
        <v>194</v>
      </c>
      <c r="B40" s="5">
        <v>161</v>
      </c>
      <c r="C40" s="5">
        <v>37</v>
      </c>
      <c r="D40" s="5">
        <v>31</v>
      </c>
      <c r="E40" s="5">
        <f>37+0</f>
        <v>37</v>
      </c>
      <c r="F40" s="5">
        <f>17+7</f>
        <v>24</v>
      </c>
      <c r="H40" s="4" t="s">
        <v>238</v>
      </c>
      <c r="I40" s="5">
        <v>1888</v>
      </c>
      <c r="J40" s="5">
        <v>1251</v>
      </c>
      <c r="K40" s="5">
        <v>2201</v>
      </c>
      <c r="L40" s="5">
        <v>470</v>
      </c>
      <c r="M40" s="5">
        <v>1230</v>
      </c>
      <c r="O40" s="4" t="s">
        <v>284</v>
      </c>
      <c r="P40" s="5">
        <v>152</v>
      </c>
      <c r="Q40" s="5">
        <v>3752</v>
      </c>
      <c r="R40" s="5">
        <v>25</v>
      </c>
      <c r="S40" s="5">
        <v>36</v>
      </c>
      <c r="T40" s="5">
        <v>6</v>
      </c>
      <c r="V40" s="4" t="s">
        <v>314</v>
      </c>
      <c r="W40" s="5">
        <v>-10531.1</v>
      </c>
      <c r="X40" s="5">
        <v>-2144.5</v>
      </c>
      <c r="Y40" s="5">
        <v>0</v>
      </c>
      <c r="Z40" s="5">
        <v>-870.8</v>
      </c>
      <c r="AA40" s="5">
        <v>-1045.5999999999999</v>
      </c>
      <c r="AC40" s="4" t="s">
        <v>347</v>
      </c>
      <c r="AD40" s="5">
        <v>-4</v>
      </c>
      <c r="AE40" s="5">
        <v>-2.1</v>
      </c>
      <c r="AF40" s="5">
        <v>-200.4</v>
      </c>
      <c r="AG40" s="5">
        <v>-227.1</v>
      </c>
      <c r="AH40" s="5">
        <v>-247.8</v>
      </c>
    </row>
    <row r="41" spans="1:34" x14ac:dyDescent="0.3">
      <c r="A41" s="4" t="s">
        <v>195</v>
      </c>
      <c r="B41" s="5">
        <v>3729</v>
      </c>
      <c r="C41" s="5">
        <v>2730</v>
      </c>
      <c r="D41" s="5">
        <v>2700</v>
      </c>
      <c r="E41" s="5">
        <v>3080</v>
      </c>
      <c r="F41" s="5">
        <v>2990</v>
      </c>
      <c r="H41" s="4" t="s">
        <v>240</v>
      </c>
      <c r="I41" s="5">
        <v>1674</v>
      </c>
      <c r="J41" s="5">
        <v>2704</v>
      </c>
      <c r="K41" s="5">
        <v>1457</v>
      </c>
      <c r="L41" s="5">
        <v>1882</v>
      </c>
      <c r="M41" s="5">
        <v>304</v>
      </c>
      <c r="O41" s="4" t="s">
        <v>285</v>
      </c>
      <c r="P41" s="5">
        <v>-394</v>
      </c>
      <c r="Q41" s="5">
        <v>-3262</v>
      </c>
      <c r="R41" s="5">
        <v>-85</v>
      </c>
      <c r="S41" s="5">
        <v>-1884</v>
      </c>
      <c r="T41" s="5">
        <v>-187</v>
      </c>
      <c r="V41" s="4" t="s">
        <v>200</v>
      </c>
      <c r="W41" s="5">
        <v>-460.1</v>
      </c>
      <c r="X41" s="5">
        <v>-333.5</v>
      </c>
      <c r="Y41" s="5">
        <v>-508.9</v>
      </c>
      <c r="Z41" s="5">
        <v>-3281.4</v>
      </c>
      <c r="AA41" s="5">
        <v>-521.79999999999995</v>
      </c>
      <c r="AC41" s="4" t="s">
        <v>348</v>
      </c>
      <c r="AD41" s="5">
        <v>0</v>
      </c>
      <c r="AE41" s="5">
        <v>0</v>
      </c>
      <c r="AF41" s="5">
        <v>-109.5</v>
      </c>
      <c r="AG41" s="5">
        <v>-111.7</v>
      </c>
      <c r="AH41" s="5">
        <v>-128.30000000000001</v>
      </c>
    </row>
    <row r="42" spans="1:34" x14ac:dyDescent="0.3">
      <c r="A42" s="4" t="s">
        <v>196</v>
      </c>
      <c r="B42" s="5">
        <v>8</v>
      </c>
      <c r="C42" s="5">
        <v>8</v>
      </c>
      <c r="D42" s="5">
        <v>4</v>
      </c>
      <c r="E42" s="5">
        <v>13</v>
      </c>
      <c r="F42" s="5">
        <v>26</v>
      </c>
      <c r="H42" s="4" t="s">
        <v>242</v>
      </c>
      <c r="I42" s="5">
        <v>500</v>
      </c>
      <c r="J42" s="5">
        <v>0</v>
      </c>
      <c r="K42" s="5">
        <v>0</v>
      </c>
      <c r="L42" s="5">
        <v>2298</v>
      </c>
      <c r="M42" s="5">
        <v>6479</v>
      </c>
      <c r="O42" s="4" t="s">
        <v>286</v>
      </c>
      <c r="P42" s="5">
        <v>933</v>
      </c>
      <c r="Q42" s="5">
        <v>815</v>
      </c>
      <c r="R42" s="5">
        <v>52</v>
      </c>
      <c r="S42" s="5">
        <v>88</v>
      </c>
      <c r="T42" s="5">
        <v>352</v>
      </c>
      <c r="V42" s="4" t="s">
        <v>315</v>
      </c>
      <c r="W42" s="5">
        <v>-686.3</v>
      </c>
      <c r="X42" s="5">
        <v>-545.9</v>
      </c>
      <c r="Y42" s="5">
        <v>-546.70000000000005</v>
      </c>
      <c r="Z42" s="5">
        <v>0</v>
      </c>
      <c r="AA42" s="5">
        <v>-32.200000000000003</v>
      </c>
      <c r="AC42" s="4" t="s">
        <v>200</v>
      </c>
      <c r="AD42" s="5">
        <v>-486.4</v>
      </c>
      <c r="AE42" s="5">
        <v>-531.9</v>
      </c>
      <c r="AF42" s="5">
        <v>-6</v>
      </c>
      <c r="AG42" s="5">
        <v>-37.5</v>
      </c>
      <c r="AH42" s="5">
        <v>-90.6</v>
      </c>
    </row>
    <row r="43" spans="1:34" x14ac:dyDescent="0.3">
      <c r="A43" s="3" t="s">
        <v>197</v>
      </c>
      <c r="B43" s="6">
        <f>SUM(B31:B42)</f>
        <v>8565</v>
      </c>
      <c r="C43" s="6">
        <f t="shared" ref="C43:F43" si="16">SUM(C31:C42)</f>
        <v>-8129</v>
      </c>
      <c r="D43" s="6">
        <f t="shared" si="16"/>
        <v>-897</v>
      </c>
      <c r="E43" s="6">
        <f t="shared" si="16"/>
        <v>39</v>
      </c>
      <c r="F43" s="6">
        <f t="shared" si="16"/>
        <v>6026</v>
      </c>
      <c r="H43" s="4" t="s">
        <v>239</v>
      </c>
      <c r="I43" s="5">
        <v>2545</v>
      </c>
      <c r="J43" s="5">
        <v>1149</v>
      </c>
      <c r="K43" s="5">
        <v>787</v>
      </c>
      <c r="L43" s="5">
        <v>10404</v>
      </c>
      <c r="M43" s="5">
        <v>9205</v>
      </c>
      <c r="O43" s="4" t="s">
        <v>287</v>
      </c>
      <c r="P43" s="5">
        <v>-937</v>
      </c>
      <c r="Q43" s="5">
        <v>-1556</v>
      </c>
      <c r="R43" s="5">
        <v>-52</v>
      </c>
      <c r="S43" s="5">
        <v>-88</v>
      </c>
      <c r="T43" s="5">
        <v>-352</v>
      </c>
      <c r="V43" s="4" t="s">
        <v>316</v>
      </c>
      <c r="W43" s="5">
        <v>-141.5</v>
      </c>
      <c r="X43" s="5">
        <v>-96</v>
      </c>
      <c r="Y43" s="5">
        <v>-113.5</v>
      </c>
      <c r="Z43" s="5">
        <v>0</v>
      </c>
      <c r="AA43" s="5">
        <v>-14517.3</v>
      </c>
      <c r="AC43" s="4" t="s">
        <v>201</v>
      </c>
      <c r="AD43" s="5">
        <v>-81.5</v>
      </c>
      <c r="AE43" s="5">
        <v>0</v>
      </c>
      <c r="AF43" s="5">
        <v>-1327.7</v>
      </c>
      <c r="AG43" s="5">
        <v>-1562.7</v>
      </c>
      <c r="AH43" s="5">
        <v>-1775.3</v>
      </c>
    </row>
    <row r="44" spans="1:34" ht="28.8" x14ac:dyDescent="0.3">
      <c r="A44" s="249" t="s">
        <v>198</v>
      </c>
      <c r="B44" s="249"/>
      <c r="C44" s="249"/>
      <c r="D44" s="249"/>
      <c r="E44" s="249"/>
      <c r="F44" s="249"/>
      <c r="H44" s="4" t="s">
        <v>237</v>
      </c>
      <c r="I44" s="5">
        <v>34685</v>
      </c>
      <c r="J44" s="5">
        <v>36353</v>
      </c>
      <c r="K44" s="5">
        <v>53669</v>
      </c>
      <c r="L44" s="5">
        <v>71851</v>
      </c>
      <c r="M44" s="5">
        <v>64767</v>
      </c>
      <c r="O44" s="18" t="s">
        <v>288</v>
      </c>
      <c r="P44" s="5">
        <v>-295</v>
      </c>
      <c r="Q44" s="5">
        <v>-6518</v>
      </c>
      <c r="R44" s="5">
        <f>-371-746-804</f>
        <v>-1921</v>
      </c>
      <c r="S44" s="5">
        <f>-31</f>
        <v>-31</v>
      </c>
      <c r="T44" s="5">
        <v>-5</v>
      </c>
      <c r="V44" s="3" t="s">
        <v>317</v>
      </c>
      <c r="W44" s="6">
        <f>SUM(W35:W43)</f>
        <v>-15099.8</v>
      </c>
      <c r="X44" s="6">
        <f t="shared" ref="X44:AA44" si="17">SUM(X35:X43)</f>
        <v>-12884</v>
      </c>
      <c r="Y44" s="6">
        <f t="shared" si="17"/>
        <v>4658.5999999999995</v>
      </c>
      <c r="Z44" s="6">
        <f t="shared" si="17"/>
        <v>-6088.1</v>
      </c>
      <c r="AA44" s="6">
        <f t="shared" si="17"/>
        <v>-18256.7</v>
      </c>
      <c r="AC44" s="3" t="s">
        <v>349</v>
      </c>
      <c r="AD44" s="6">
        <f>SUM(AD36:AD43)</f>
        <v>-890</v>
      </c>
      <c r="AE44" s="6">
        <f t="shared" ref="AE44:AH44" si="18">SUM(AE36:AE43)</f>
        <v>-508.79999999999995</v>
      </c>
      <c r="AF44" s="6">
        <f t="shared" si="18"/>
        <v>-1680.4</v>
      </c>
      <c r="AG44" s="6">
        <f t="shared" si="18"/>
        <v>-1931.7</v>
      </c>
      <c r="AH44" s="6">
        <f t="shared" si="18"/>
        <v>-2268.8000000000002</v>
      </c>
    </row>
    <row r="45" spans="1:34" x14ac:dyDescent="0.3">
      <c r="A45" s="4" t="s">
        <v>199</v>
      </c>
      <c r="B45" s="5">
        <v>-1062</v>
      </c>
      <c r="C45" s="5">
        <v>-1336</v>
      </c>
      <c r="D45" s="5">
        <v>-1417</v>
      </c>
      <c r="E45" s="5">
        <v>-1515</v>
      </c>
      <c r="F45" s="5">
        <v>-1614</v>
      </c>
      <c r="H45" s="4" t="s">
        <v>243</v>
      </c>
      <c r="I45" s="5">
        <v>27</v>
      </c>
      <c r="J45" s="5">
        <v>73</v>
      </c>
      <c r="K45" s="5">
        <v>0</v>
      </c>
      <c r="L45" s="5">
        <v>99</v>
      </c>
      <c r="M45" s="5">
        <v>26</v>
      </c>
      <c r="O45" s="4" t="s">
        <v>201</v>
      </c>
      <c r="P45" s="5">
        <v>-1357</v>
      </c>
      <c r="Q45" s="5">
        <v>-3256</v>
      </c>
      <c r="R45" s="5">
        <f>-11389-2</f>
        <v>-11391</v>
      </c>
      <c r="S45" s="5">
        <v>-12995</v>
      </c>
      <c r="T45" s="5">
        <f>-14073+7</f>
        <v>-14066</v>
      </c>
      <c r="V45" s="3" t="s">
        <v>318</v>
      </c>
      <c r="W45" s="6">
        <f>W22+W33+W44</f>
        <v>-1634.2999999999884</v>
      </c>
      <c r="X45" s="6">
        <f t="shared" ref="X45:AA45" si="19">X22+X33+X44</f>
        <v>2644.8999999999942</v>
      </c>
      <c r="Y45" s="6">
        <f t="shared" si="19"/>
        <v>-6711.2000000000016</v>
      </c>
      <c r="Z45" s="6">
        <f t="shared" si="19"/>
        <v>-1429.1000000000004</v>
      </c>
      <c r="AA45" s="6">
        <f t="shared" si="19"/>
        <v>972.10000000000946</v>
      </c>
      <c r="AC45" s="3" t="s">
        <v>350</v>
      </c>
      <c r="AD45" s="6">
        <f>AD25+AD34+AD44</f>
        <v>101.49999999999989</v>
      </c>
      <c r="AE45" s="6">
        <f t="shared" ref="AE45:AH45" si="20">AE25+AE34+AE44</f>
        <v>234.80000000000064</v>
      </c>
      <c r="AF45" s="6">
        <f t="shared" si="20"/>
        <v>-75.000000000000909</v>
      </c>
      <c r="AG45" s="6">
        <f t="shared" si="20"/>
        <v>832.00000000000068</v>
      </c>
      <c r="AH45" s="6">
        <f t="shared" si="20"/>
        <v>-511.39999999999964</v>
      </c>
    </row>
    <row r="46" spans="1:34" x14ac:dyDescent="0.3">
      <c r="A46" s="4" t="s">
        <v>200</v>
      </c>
      <c r="B46" s="5">
        <v>-924</v>
      </c>
      <c r="C46" s="5">
        <v>-634</v>
      </c>
      <c r="D46" s="5">
        <v>-698</v>
      </c>
      <c r="E46" s="5">
        <v>-779</v>
      </c>
      <c r="F46" s="5">
        <v>-699</v>
      </c>
      <c r="H46" s="4" t="s">
        <v>70</v>
      </c>
      <c r="I46" s="5">
        <v>0</v>
      </c>
      <c r="J46" s="5">
        <v>23</v>
      </c>
      <c r="K46" s="5">
        <v>9</v>
      </c>
      <c r="L46" s="5">
        <v>0</v>
      </c>
      <c r="M46" s="5">
        <v>0</v>
      </c>
      <c r="O46" s="4" t="s">
        <v>289</v>
      </c>
      <c r="P46" s="5">
        <v>-268</v>
      </c>
      <c r="Q46" s="5">
        <v>0</v>
      </c>
      <c r="R46" s="5">
        <v>0</v>
      </c>
      <c r="S46" s="5">
        <v>0</v>
      </c>
      <c r="T46" s="5"/>
      <c r="V46" s="4" t="s">
        <v>319</v>
      </c>
      <c r="W46" s="5">
        <v>192.2</v>
      </c>
      <c r="X46" s="5">
        <v>-89</v>
      </c>
      <c r="Y46" s="5">
        <v>128.19999999999999</v>
      </c>
      <c r="Z46" s="5">
        <v>237.3</v>
      </c>
      <c r="AA46" s="5">
        <v>-23.9</v>
      </c>
      <c r="AC46" s="4" t="s">
        <v>211</v>
      </c>
      <c r="AD46" s="5">
        <v>415</v>
      </c>
      <c r="AE46" s="5">
        <v>525.20000000000005</v>
      </c>
      <c r="AF46" s="5">
        <v>1519.1</v>
      </c>
      <c r="AG46" s="5">
        <v>1446.2</v>
      </c>
      <c r="AH46" s="5">
        <v>2337.6999999999998</v>
      </c>
    </row>
    <row r="47" spans="1:34" x14ac:dyDescent="0.3">
      <c r="A47" s="4" t="s">
        <v>201</v>
      </c>
      <c r="B47" s="5">
        <v>-37634</v>
      </c>
      <c r="C47" s="5">
        <v>-10850</v>
      </c>
      <c r="D47" s="5">
        <v>-13317</v>
      </c>
      <c r="E47" s="5">
        <v>-41347</v>
      </c>
      <c r="F47" s="5">
        <v>-25137</v>
      </c>
      <c r="H47" s="3" t="s">
        <v>244</v>
      </c>
      <c r="I47" s="6">
        <f>SUM(I22:I29,I31:I37,I39:I46)</f>
        <v>-239</v>
      </c>
      <c r="J47" s="6">
        <f t="shared" ref="J47:M47" si="21">SUM(J22:J29,J31:J37,J39:J46)</f>
        <v>-7456</v>
      </c>
      <c r="K47" s="6">
        <f t="shared" si="21"/>
        <v>-6416</v>
      </c>
      <c r="L47" s="6">
        <f t="shared" si="21"/>
        <v>-1209</v>
      </c>
      <c r="M47" s="6">
        <f t="shared" si="21"/>
        <v>-5009</v>
      </c>
      <c r="O47" s="4" t="s">
        <v>200</v>
      </c>
      <c r="P47" s="5">
        <v>-136</v>
      </c>
      <c r="Q47" s="5">
        <v>-139</v>
      </c>
      <c r="R47" s="5">
        <v>-69</v>
      </c>
      <c r="S47" s="5">
        <v>-80</v>
      </c>
      <c r="T47" s="5">
        <v>-64</v>
      </c>
      <c r="V47" s="4" t="s">
        <v>211</v>
      </c>
      <c r="W47" s="5">
        <v>15852.5</v>
      </c>
      <c r="X47" s="5">
        <v>14410.4</v>
      </c>
      <c r="Y47" s="5">
        <v>16966.3</v>
      </c>
      <c r="Z47" s="5">
        <v>10383.299999999999</v>
      </c>
      <c r="AA47" s="5">
        <v>9186.1</v>
      </c>
      <c r="AC47" s="4" t="s">
        <v>351</v>
      </c>
      <c r="AD47" s="5">
        <v>8.6999999999999993</v>
      </c>
      <c r="AE47" s="5">
        <v>-0.6</v>
      </c>
      <c r="AF47" s="5">
        <v>2.1</v>
      </c>
      <c r="AG47" s="5">
        <v>59.5</v>
      </c>
      <c r="AH47" s="5">
        <v>-6.3</v>
      </c>
    </row>
    <row r="48" spans="1:34" x14ac:dyDescent="0.3">
      <c r="A48" s="4" t="s">
        <v>202</v>
      </c>
      <c r="B48" s="5">
        <v>-68</v>
      </c>
      <c r="C48" s="5">
        <v>-57</v>
      </c>
      <c r="D48" s="5">
        <v>-58</v>
      </c>
      <c r="E48" s="5">
        <v>-63</v>
      </c>
      <c r="F48" s="5">
        <v>-81</v>
      </c>
      <c r="H48" s="249" t="s">
        <v>245</v>
      </c>
      <c r="I48" s="249"/>
      <c r="J48" s="249"/>
      <c r="K48" s="249"/>
      <c r="L48" s="249"/>
      <c r="M48" s="249"/>
      <c r="O48" s="4" t="s">
        <v>290</v>
      </c>
      <c r="P48" s="5">
        <v>-866</v>
      </c>
      <c r="Q48" s="5">
        <v>-1016</v>
      </c>
      <c r="R48" s="5">
        <v>-1067</v>
      </c>
      <c r="S48" s="5">
        <v>-927</v>
      </c>
      <c r="T48" s="5">
        <v>-1148</v>
      </c>
      <c r="V48" s="3" t="s">
        <v>213</v>
      </c>
      <c r="W48" s="6">
        <f>W45+W46+W47</f>
        <v>14410.400000000012</v>
      </c>
      <c r="X48" s="6">
        <f t="shared" ref="X48:AA48" si="22">X45+X46+X47</f>
        <v>16966.299999999996</v>
      </c>
      <c r="Y48" s="6">
        <f t="shared" si="22"/>
        <v>10383.299999999997</v>
      </c>
      <c r="Z48" s="6">
        <f t="shared" si="22"/>
        <v>9191.4999999999982</v>
      </c>
      <c r="AA48" s="6">
        <f t="shared" si="22"/>
        <v>10134.30000000001</v>
      </c>
      <c r="AC48" s="3" t="s">
        <v>352</v>
      </c>
      <c r="AD48" s="6">
        <f>AD45+AD46+AD47</f>
        <v>525.19999999999993</v>
      </c>
      <c r="AE48" s="6">
        <f t="shared" ref="AE48:AH48" si="23">AE45+AE46+AE47</f>
        <v>759.40000000000066</v>
      </c>
      <c r="AF48" s="6">
        <f t="shared" si="23"/>
        <v>1446.1999999999989</v>
      </c>
      <c r="AG48" s="6">
        <f t="shared" si="23"/>
        <v>2337.7000000000007</v>
      </c>
      <c r="AH48" s="6">
        <f t="shared" si="23"/>
        <v>1820.0000000000002</v>
      </c>
    </row>
    <row r="49" spans="1:34" x14ac:dyDescent="0.3">
      <c r="A49" s="4" t="s">
        <v>203</v>
      </c>
      <c r="B49" s="5">
        <v>-227</v>
      </c>
      <c r="C49" s="5">
        <v>0</v>
      </c>
      <c r="D49" s="5">
        <v>-24</v>
      </c>
      <c r="E49" s="5">
        <v>0</v>
      </c>
      <c r="F49" s="5">
        <v>-425</v>
      </c>
      <c r="H49" s="4" t="s">
        <v>246</v>
      </c>
      <c r="I49" s="5">
        <v>-571</v>
      </c>
      <c r="J49" s="5">
        <v>-698</v>
      </c>
      <c r="K49" s="5">
        <v>-915</v>
      </c>
      <c r="L49" s="5">
        <v>-1231</v>
      </c>
      <c r="M49" s="5">
        <v>-2024</v>
      </c>
      <c r="O49" s="3" t="s">
        <v>291</v>
      </c>
      <c r="P49" s="6">
        <f>SUM(P40:P48)</f>
        <v>-3168</v>
      </c>
      <c r="Q49" s="6">
        <f t="shared" ref="Q49:T49" si="24">SUM(Q40:Q48)</f>
        <v>-11180</v>
      </c>
      <c r="R49" s="6">
        <f t="shared" si="24"/>
        <v>-14508</v>
      </c>
      <c r="S49" s="6">
        <f t="shared" si="24"/>
        <v>-15881</v>
      </c>
      <c r="T49" s="6">
        <f t="shared" si="24"/>
        <v>-15464</v>
      </c>
      <c r="W49" s="2"/>
      <c r="X49" s="2"/>
      <c r="Y49" s="2"/>
      <c r="Z49" s="2"/>
      <c r="AA49" s="2"/>
      <c r="AD49" s="2"/>
      <c r="AE49" s="2"/>
      <c r="AF49" s="2"/>
      <c r="AG49" s="2"/>
      <c r="AH49" s="2"/>
    </row>
    <row r="50" spans="1:34" x14ac:dyDescent="0.3">
      <c r="A50" s="4" t="s">
        <v>204</v>
      </c>
      <c r="B50" s="5">
        <v>0</v>
      </c>
      <c r="C50" s="5">
        <v>-160</v>
      </c>
      <c r="D50" s="5">
        <v>-180</v>
      </c>
      <c r="E50" s="5">
        <v>18</v>
      </c>
      <c r="F50" s="5">
        <v>425</v>
      </c>
      <c r="H50" s="4" t="s">
        <v>247</v>
      </c>
      <c r="I50" s="5">
        <v>-9515</v>
      </c>
      <c r="J50" s="5">
        <v>-9117</v>
      </c>
      <c r="K50" s="5">
        <v>-12652</v>
      </c>
      <c r="L50" s="5">
        <v>-13631</v>
      </c>
      <c r="M50" s="5">
        <v>-14692</v>
      </c>
      <c r="O50" s="3" t="s">
        <v>253</v>
      </c>
      <c r="P50" s="6">
        <f>P21+P38+P49</f>
        <v>-2183</v>
      </c>
      <c r="Q50" s="6">
        <f t="shared" ref="Q50:T50" si="25">Q21+Q38+Q49</f>
        <v>2696</v>
      </c>
      <c r="R50" s="6">
        <f t="shared" si="25"/>
        <v>3869</v>
      </c>
      <c r="S50" s="6">
        <f t="shared" si="25"/>
        <v>-1803</v>
      </c>
      <c r="T50" s="6">
        <f t="shared" si="25"/>
        <v>261</v>
      </c>
      <c r="W50" s="2"/>
      <c r="X50" s="2"/>
      <c r="Y50" s="2"/>
      <c r="Z50" s="2"/>
      <c r="AA50" s="2"/>
      <c r="AD50" s="2"/>
      <c r="AE50" s="2"/>
      <c r="AF50" s="2"/>
      <c r="AG50" s="2"/>
      <c r="AH50" s="2"/>
    </row>
    <row r="51" spans="1:34" x14ac:dyDescent="0.3">
      <c r="A51" s="4" t="s">
        <v>205</v>
      </c>
      <c r="B51" s="5">
        <v>0</v>
      </c>
      <c r="C51" s="5">
        <v>160</v>
      </c>
      <c r="D51" s="5">
        <v>162</v>
      </c>
      <c r="E51" s="5">
        <v>0</v>
      </c>
      <c r="F51" s="5">
        <v>-46</v>
      </c>
      <c r="H51" s="4" t="s">
        <v>248</v>
      </c>
      <c r="I51" s="5">
        <v>-33</v>
      </c>
      <c r="J51" s="5">
        <v>-20</v>
      </c>
      <c r="K51" s="5">
        <v>-79</v>
      </c>
      <c r="L51" s="5">
        <v>-22</v>
      </c>
      <c r="M51" s="5">
        <v>-39</v>
      </c>
      <c r="O51" s="4" t="s">
        <v>292</v>
      </c>
      <c r="P51" s="5">
        <v>42</v>
      </c>
      <c r="Q51" s="5">
        <v>65</v>
      </c>
      <c r="R51" s="5">
        <v>120</v>
      </c>
      <c r="S51" s="5">
        <v>358</v>
      </c>
      <c r="T51" s="5">
        <v>115</v>
      </c>
      <c r="W51" s="2">
        <f>(-W42-W43)/'Company Profile'!$E$11</f>
        <v>0.79057423117658798</v>
      </c>
      <c r="X51" s="2">
        <f>(-X42-X43)/'Company Profile'!$E$11</f>
        <v>0.61303406498218393</v>
      </c>
      <c r="Y51" s="2">
        <f>(-Y42-Y43)/'Company Profile'!$E$11</f>
        <v>0.630511122762483</v>
      </c>
      <c r="Z51" s="2">
        <f>(-Z42-Z43)/'Company Profile'!$E$11</f>
        <v>0</v>
      </c>
      <c r="AA51" s="2">
        <f>(-AA42-AA43)/'Company Profile'!$E$11</f>
        <v>13.895215965817549</v>
      </c>
      <c r="AD51" s="2">
        <f>-AD43/'Company Profile'!$F$11</f>
        <v>2.750312151992711</v>
      </c>
      <c r="AE51" s="2">
        <f>-AE43/'Company Profile'!$F$11</f>
        <v>0</v>
      </c>
      <c r="AF51" s="2">
        <f>-AF43/'Company Profile'!$F$11</f>
        <v>44.804778456450585</v>
      </c>
      <c r="AG51" s="2">
        <f>-AG43/'Company Profile'!$F$11</f>
        <v>52.73512637937435</v>
      </c>
      <c r="AH51" s="2">
        <f>-AH43/'Company Profile'!$F$11</f>
        <v>59.909560287517294</v>
      </c>
    </row>
    <row r="52" spans="1:34" x14ac:dyDescent="0.3">
      <c r="A52" s="4" t="s">
        <v>206</v>
      </c>
      <c r="B52" s="5">
        <v>0</v>
      </c>
      <c r="C52" s="5">
        <v>-31</v>
      </c>
      <c r="D52" s="5">
        <v>-49</v>
      </c>
      <c r="E52" s="5">
        <v>-4192</v>
      </c>
      <c r="F52" s="5">
        <v>-3959</v>
      </c>
      <c r="H52" s="4" t="s">
        <v>249</v>
      </c>
      <c r="I52" s="5">
        <v>6</v>
      </c>
      <c r="J52" s="5">
        <v>15</v>
      </c>
      <c r="K52" s="5">
        <v>21</v>
      </c>
      <c r="L52" s="5">
        <v>35</v>
      </c>
      <c r="M52" s="5">
        <v>5</v>
      </c>
      <c r="O52" s="4" t="s">
        <v>211</v>
      </c>
      <c r="P52" s="5">
        <v>5901</v>
      </c>
      <c r="Q52" s="5">
        <v>3760</v>
      </c>
      <c r="R52" s="5">
        <v>6521</v>
      </c>
      <c r="S52" s="5">
        <v>10510</v>
      </c>
      <c r="T52" s="5">
        <v>9065</v>
      </c>
      <c r="W52" s="2"/>
      <c r="X52" s="2"/>
      <c r="Y52" s="2"/>
      <c r="Z52" s="2"/>
      <c r="AA52" s="2"/>
      <c r="AD52" s="2"/>
      <c r="AE52" s="2"/>
      <c r="AF52" s="2"/>
      <c r="AG52" s="2"/>
      <c r="AH52" s="2"/>
    </row>
    <row r="53" spans="1:34" x14ac:dyDescent="0.3">
      <c r="A53" s="4" t="s">
        <v>207</v>
      </c>
      <c r="B53" s="5">
        <v>0</v>
      </c>
      <c r="C53" s="5">
        <v>-3726</v>
      </c>
      <c r="D53" s="5">
        <v>0</v>
      </c>
      <c r="E53" s="5">
        <v>0</v>
      </c>
      <c r="F53" s="5">
        <v>0</v>
      </c>
      <c r="H53" s="4" t="s">
        <v>250</v>
      </c>
      <c r="I53" s="5">
        <v>0</v>
      </c>
      <c r="J53" s="5">
        <v>-49</v>
      </c>
      <c r="K53" s="5">
        <v>-2</v>
      </c>
      <c r="L53" s="5">
        <v>0</v>
      </c>
      <c r="M53" s="5">
        <v>-18</v>
      </c>
      <c r="O53" s="3" t="s">
        <v>213</v>
      </c>
      <c r="P53" s="6">
        <f>P50+P51+P52</f>
        <v>3760</v>
      </c>
      <c r="Q53" s="6">
        <f t="shared" ref="Q53:T53" si="26">Q50+Q51+Q52</f>
        <v>6521</v>
      </c>
      <c r="R53" s="6">
        <f t="shared" si="26"/>
        <v>10510</v>
      </c>
      <c r="S53" s="6">
        <f t="shared" si="26"/>
        <v>9065</v>
      </c>
      <c r="T53" s="6">
        <f t="shared" si="26"/>
        <v>9441</v>
      </c>
      <c r="W53" s="2"/>
      <c r="X53" s="2"/>
      <c r="Y53" s="2"/>
      <c r="Z53" s="2"/>
      <c r="AA53" s="2"/>
      <c r="AD53" s="2"/>
      <c r="AE53" s="2"/>
      <c r="AF53" s="2"/>
      <c r="AG53" s="2"/>
      <c r="AH53" s="2"/>
    </row>
    <row r="54" spans="1:34" x14ac:dyDescent="0.3">
      <c r="A54" s="4" t="s">
        <v>208</v>
      </c>
      <c r="B54" s="5">
        <v>0</v>
      </c>
      <c r="C54" s="5">
        <v>-16000</v>
      </c>
      <c r="D54" s="5">
        <v>-18000</v>
      </c>
      <c r="E54" s="5">
        <v>0</v>
      </c>
      <c r="F54" s="5">
        <v>-17000</v>
      </c>
      <c r="H54" s="4" t="s">
        <v>232</v>
      </c>
      <c r="I54" s="5">
        <v>0</v>
      </c>
      <c r="J54" s="5">
        <v>83</v>
      </c>
      <c r="K54" s="5">
        <f>236-126</f>
        <v>110</v>
      </c>
      <c r="L54" s="5">
        <f>132-479</f>
        <v>-347</v>
      </c>
      <c r="M54" s="5">
        <v>-736</v>
      </c>
      <c r="P54" s="2"/>
      <c r="Q54" s="2"/>
      <c r="R54" s="2"/>
      <c r="S54" s="2"/>
      <c r="T54" s="2"/>
      <c r="W54" s="2"/>
      <c r="X54" s="2"/>
      <c r="Y54" s="2"/>
      <c r="Z54" s="2"/>
      <c r="AA54" s="2"/>
      <c r="AD54" s="2"/>
      <c r="AE54" s="2"/>
      <c r="AF54" s="2"/>
      <c r="AG54" s="2"/>
      <c r="AH54" s="2"/>
    </row>
    <row r="55" spans="1:34" x14ac:dyDescent="0.3">
      <c r="A55" s="3" t="s">
        <v>209</v>
      </c>
      <c r="B55" s="6">
        <f>SUM(B45:B54)</f>
        <v>-39915</v>
      </c>
      <c r="C55" s="6">
        <f t="shared" ref="C55:F55" si="27">SUM(C45:C54)</f>
        <v>-32634</v>
      </c>
      <c r="D55" s="6">
        <f t="shared" si="27"/>
        <v>-33581</v>
      </c>
      <c r="E55" s="6">
        <f t="shared" si="27"/>
        <v>-47878</v>
      </c>
      <c r="F55" s="6">
        <f t="shared" si="27"/>
        <v>-48536</v>
      </c>
      <c r="H55" s="4" t="s">
        <v>251</v>
      </c>
      <c r="I55" s="5">
        <v>-7478</v>
      </c>
      <c r="J55" s="5">
        <v>0</v>
      </c>
      <c r="K55" s="5">
        <v>-11125</v>
      </c>
      <c r="L55" s="5">
        <v>-11499</v>
      </c>
      <c r="M55" s="5">
        <v>0</v>
      </c>
      <c r="P55" s="2">
        <f>-P45/'Company Profile'!$D$11</f>
        <v>5.0094134150393153</v>
      </c>
      <c r="Q55" s="2">
        <f>-Q45/'Company Profile'!$D$11</f>
        <v>12.019638967846728</v>
      </c>
      <c r="R55" s="2">
        <f>-R45/'Company Profile'!$D$11</f>
        <v>42.050278710915869</v>
      </c>
      <c r="S55" s="2">
        <f>-S45/'Company Profile'!$D$11</f>
        <v>47.971501347410388</v>
      </c>
      <c r="T55" s="2">
        <f>-T45/'Company Profile'!$D$11</f>
        <v>51.925135663922632</v>
      </c>
      <c r="W55" s="2"/>
      <c r="X55" s="2"/>
      <c r="Y55" s="2"/>
      <c r="Z55" s="2"/>
      <c r="AA55" s="2"/>
      <c r="AD55" s="2"/>
      <c r="AE55" s="2"/>
      <c r="AF55" s="2"/>
      <c r="AG55" s="2"/>
      <c r="AH55" s="2"/>
    </row>
    <row r="56" spans="1:34" x14ac:dyDescent="0.3">
      <c r="A56" s="3" t="s">
        <v>210</v>
      </c>
      <c r="B56" s="6">
        <f>B29+B43+B55</f>
        <v>1019</v>
      </c>
      <c r="C56" s="6">
        <f t="shared" ref="C56:F56" si="28">C29+C43+C55</f>
        <v>-1961</v>
      </c>
      <c r="D56" s="6">
        <f t="shared" si="28"/>
        <v>5471</v>
      </c>
      <c r="E56" s="6">
        <f t="shared" si="28"/>
        <v>-5874</v>
      </c>
      <c r="F56" s="6">
        <f t="shared" si="28"/>
        <v>1828</v>
      </c>
      <c r="H56" s="3" t="s">
        <v>252</v>
      </c>
      <c r="I56" s="6">
        <f>SUM(I49:I55)</f>
        <v>-17591</v>
      </c>
      <c r="J56" s="6">
        <f t="shared" ref="J56:M56" si="29">SUM(J49:J55)</f>
        <v>-9786</v>
      </c>
      <c r="K56" s="6">
        <f t="shared" si="29"/>
        <v>-24642</v>
      </c>
      <c r="L56" s="6">
        <f t="shared" si="29"/>
        <v>-26695</v>
      </c>
      <c r="M56" s="6">
        <f t="shared" si="29"/>
        <v>-17504</v>
      </c>
      <c r="P56" s="2"/>
      <c r="Q56" s="2"/>
      <c r="R56" s="2"/>
      <c r="S56" s="2"/>
      <c r="T56" s="2"/>
      <c r="W56" s="2"/>
      <c r="X56" s="2"/>
      <c r="Y56" s="2"/>
      <c r="Z56" s="2"/>
      <c r="AA56" s="2"/>
      <c r="AD56" s="2"/>
      <c r="AE56" s="2"/>
      <c r="AF56" s="2"/>
      <c r="AG56" s="2"/>
      <c r="AH56" s="2"/>
    </row>
    <row r="57" spans="1:34" x14ac:dyDescent="0.3">
      <c r="A57" s="4" t="s">
        <v>211</v>
      </c>
      <c r="B57" s="5">
        <v>7224</v>
      </c>
      <c r="C57" s="5">
        <v>8646</v>
      </c>
      <c r="D57" s="5">
        <v>6858</v>
      </c>
      <c r="E57" s="5">
        <v>12488</v>
      </c>
      <c r="F57" s="5">
        <v>7123</v>
      </c>
      <c r="H57" s="3" t="s">
        <v>253</v>
      </c>
      <c r="I57" s="6">
        <f>I20+I47+I56</f>
        <v>-827</v>
      </c>
      <c r="J57" s="6">
        <f t="shared" ref="J57:M57" si="30">J20+J47+J56</f>
        <v>5982</v>
      </c>
      <c r="K57" s="6">
        <f t="shared" si="30"/>
        <v>-7173</v>
      </c>
      <c r="L57" s="6">
        <f t="shared" si="30"/>
        <v>-5437</v>
      </c>
      <c r="M57" s="6">
        <f t="shared" si="30"/>
        <v>2697</v>
      </c>
      <c r="P57" s="2"/>
      <c r="Q57" s="2"/>
      <c r="R57" s="2"/>
      <c r="S57" s="2"/>
      <c r="T57" s="2"/>
      <c r="W57" s="2"/>
      <c r="X57" s="2"/>
      <c r="Y57" s="2"/>
      <c r="Z57" s="2"/>
      <c r="AA57" s="2"/>
      <c r="AD57" s="2"/>
      <c r="AE57" s="2"/>
      <c r="AF57" s="2"/>
      <c r="AG57" s="2"/>
      <c r="AH57" s="2"/>
    </row>
    <row r="58" spans="1:34" ht="28.8" x14ac:dyDescent="0.3">
      <c r="A58" s="18" t="s">
        <v>212</v>
      </c>
      <c r="B58" s="5">
        <v>403</v>
      </c>
      <c r="C58" s="5">
        <v>173</v>
      </c>
      <c r="D58" s="5">
        <v>159</v>
      </c>
      <c r="E58" s="5">
        <v>509</v>
      </c>
      <c r="F58" s="5">
        <v>65</v>
      </c>
      <c r="H58" s="4" t="s">
        <v>211</v>
      </c>
      <c r="I58" s="5">
        <v>19568</v>
      </c>
      <c r="J58" s="5">
        <v>18649</v>
      </c>
      <c r="K58" s="5">
        <v>24714</v>
      </c>
      <c r="L58" s="5">
        <v>17472</v>
      </c>
      <c r="M58" s="5">
        <v>12173</v>
      </c>
      <c r="P58" s="2"/>
      <c r="Q58" s="2"/>
      <c r="R58" s="2"/>
      <c r="S58" s="2"/>
      <c r="T58" s="2"/>
      <c r="W58" s="2"/>
      <c r="X58" s="2"/>
      <c r="Y58" s="2"/>
      <c r="Z58" s="2"/>
      <c r="AA58" s="2"/>
      <c r="AD58" s="2"/>
      <c r="AE58" s="2"/>
      <c r="AF58" s="2"/>
      <c r="AG58" s="2"/>
      <c r="AH58" s="2"/>
    </row>
    <row r="59" spans="1:34" x14ac:dyDescent="0.3">
      <c r="A59" s="3" t="s">
        <v>213</v>
      </c>
      <c r="B59" s="6">
        <f>B56+B58+B57</f>
        <v>8646</v>
      </c>
      <c r="C59" s="6">
        <f t="shared" ref="C59:F59" si="31">C56+C58+C57</f>
        <v>6858</v>
      </c>
      <c r="D59" s="6">
        <f t="shared" si="31"/>
        <v>12488</v>
      </c>
      <c r="E59" s="6">
        <f t="shared" si="31"/>
        <v>7123</v>
      </c>
      <c r="F59" s="6">
        <f t="shared" si="31"/>
        <v>9016</v>
      </c>
      <c r="H59" s="4" t="s">
        <v>254</v>
      </c>
      <c r="I59" s="5">
        <v>-92</v>
      </c>
      <c r="J59" s="5">
        <v>83</v>
      </c>
      <c r="K59" s="5">
        <v>-69</v>
      </c>
      <c r="L59" s="5">
        <v>138</v>
      </c>
      <c r="M59" s="5">
        <v>-84</v>
      </c>
      <c r="P59" s="2"/>
      <c r="Q59" s="2"/>
      <c r="R59" s="2"/>
      <c r="S59" s="2"/>
      <c r="T59" s="2"/>
      <c r="W59" s="2"/>
      <c r="X59" s="2"/>
      <c r="Y59" s="2"/>
      <c r="Z59" s="2"/>
      <c r="AA59" s="2"/>
      <c r="AD59" s="2"/>
      <c r="AE59" s="2"/>
      <c r="AF59" s="2"/>
      <c r="AG59" s="2"/>
      <c r="AH59" s="2"/>
    </row>
    <row r="60" spans="1:34" x14ac:dyDescent="0.3">
      <c r="B60" s="2"/>
      <c r="C60" s="2"/>
      <c r="D60" s="2"/>
      <c r="E60" s="2"/>
      <c r="F60" s="2"/>
      <c r="H60" s="3" t="s">
        <v>213</v>
      </c>
      <c r="I60" s="6">
        <f>I57+I58+I59</f>
        <v>18649</v>
      </c>
      <c r="J60" s="6">
        <f t="shared" ref="J60:M60" si="32">J57+J58+J59</f>
        <v>24714</v>
      </c>
      <c r="K60" s="6">
        <f t="shared" si="32"/>
        <v>17472</v>
      </c>
      <c r="L60" s="6">
        <f t="shared" si="32"/>
        <v>12173</v>
      </c>
      <c r="M60" s="6">
        <f t="shared" si="32"/>
        <v>14786</v>
      </c>
      <c r="P60" s="2"/>
      <c r="Q60" s="2"/>
      <c r="R60" s="2"/>
      <c r="S60" s="2"/>
      <c r="T60" s="2"/>
      <c r="W60" s="2"/>
      <c r="X60" s="2"/>
      <c r="Y60" s="2"/>
      <c r="Z60" s="2"/>
      <c r="AA60" s="2"/>
      <c r="AD60" s="2"/>
      <c r="AE60" s="2"/>
      <c r="AF60" s="2"/>
      <c r="AG60" s="2"/>
      <c r="AH60" s="2"/>
    </row>
    <row r="61" spans="1:34" x14ac:dyDescent="0.3">
      <c r="B61" s="2">
        <f>(-B34-B36)</f>
        <v>2730</v>
      </c>
      <c r="C61" s="2"/>
      <c r="D61" s="2"/>
      <c r="E61" s="2"/>
      <c r="F61" s="2">
        <f>(-F34-F36)</f>
        <v>2644</v>
      </c>
      <c r="I61" s="2"/>
      <c r="J61" s="2"/>
      <c r="K61" s="2"/>
      <c r="L61" s="2"/>
      <c r="M61" s="2"/>
      <c r="P61" s="2"/>
      <c r="Q61" s="2"/>
      <c r="R61" s="2"/>
      <c r="S61" s="2"/>
      <c r="T61" s="2"/>
      <c r="W61" s="2"/>
      <c r="X61" s="2"/>
      <c r="Y61" s="2"/>
      <c r="Z61" s="2"/>
      <c r="AA61" s="2"/>
      <c r="AD61" s="2"/>
      <c r="AE61" s="2"/>
      <c r="AF61" s="2"/>
      <c r="AG61" s="2"/>
      <c r="AH61" s="2"/>
    </row>
    <row r="62" spans="1:34" x14ac:dyDescent="0.3">
      <c r="A62" s="1" t="s">
        <v>428</v>
      </c>
      <c r="B62" s="2">
        <f>-B47/'Company Profile'!$B$11</f>
        <v>104.015919957989</v>
      </c>
      <c r="C62" s="2">
        <f>-C47/'Company Profile'!$B$11</f>
        <v>29.988115309140156</v>
      </c>
      <c r="D62" s="2">
        <f>-D47/'Company Profile'!$B$11</f>
        <v>36.80661120477599</v>
      </c>
      <c r="E62" s="2">
        <f>-E47/'Company Profile'!$B$11</f>
        <v>114.27821232138415</v>
      </c>
      <c r="F62" s="2">
        <f>-F47/'Company Profile'!$B$11</f>
        <v>69.475691661369225</v>
      </c>
      <c r="I62" s="2">
        <f>-I50/'Company Profile'!$C$11</f>
        <v>22.957583361482413</v>
      </c>
      <c r="J62" s="2">
        <f>-J50/'Company Profile'!$C$11</f>
        <v>21.997297688558607</v>
      </c>
      <c r="K62" s="2">
        <f>-K50/'Company Profile'!$C$11</f>
        <v>30.526468175457222</v>
      </c>
      <c r="L62" s="2">
        <f>-L50/'Company Profile'!$C$11</f>
        <v>32.88857790860397</v>
      </c>
      <c r="M62" s="2">
        <f>-M50/'Company Profile'!$C$11</f>
        <v>35.448535443709886</v>
      </c>
      <c r="P62" s="2"/>
      <c r="Q62" s="2"/>
      <c r="R62" s="2"/>
      <c r="S62" s="2"/>
      <c r="T62" s="2"/>
      <c r="W62" s="2"/>
      <c r="X62" s="2"/>
      <c r="Y62" s="2"/>
      <c r="Z62" s="2"/>
      <c r="AA62" s="2"/>
      <c r="AD62" s="2"/>
      <c r="AE62" s="2"/>
      <c r="AF62" s="2"/>
      <c r="AG62" s="2"/>
      <c r="AH62" s="2"/>
    </row>
    <row r="63" spans="1:34" x14ac:dyDescent="0.3">
      <c r="B63" s="2"/>
      <c r="C63" s="2"/>
      <c r="D63" s="2"/>
      <c r="E63" s="2"/>
      <c r="F63" s="2"/>
      <c r="I63" s="2"/>
      <c r="J63" s="2"/>
      <c r="K63" s="2"/>
      <c r="L63" s="2"/>
      <c r="M63" s="2"/>
      <c r="P63" s="2"/>
      <c r="Q63" s="2"/>
      <c r="R63" s="2"/>
      <c r="S63" s="2"/>
      <c r="T63" s="2"/>
      <c r="W63" s="2"/>
      <c r="X63" s="2"/>
      <c r="Y63" s="2"/>
      <c r="Z63" s="2"/>
      <c r="AA63" s="2"/>
      <c r="AD63" s="2"/>
      <c r="AE63" s="2"/>
      <c r="AF63" s="2"/>
      <c r="AG63" s="2"/>
      <c r="AH63" s="2"/>
    </row>
    <row r="64" spans="1:34" x14ac:dyDescent="0.3">
      <c r="B64" s="2"/>
      <c r="C64" s="2"/>
      <c r="D64" s="2"/>
      <c r="E64" s="2"/>
      <c r="F64" s="2"/>
      <c r="I64" s="2"/>
      <c r="J64" s="2"/>
      <c r="K64" s="2"/>
      <c r="L64" s="2"/>
      <c r="M64" s="2"/>
      <c r="P64" s="2"/>
      <c r="Q64" s="2"/>
      <c r="R64" s="2"/>
      <c r="S64" s="2"/>
      <c r="T64" s="2"/>
      <c r="W64" s="2"/>
      <c r="X64" s="2"/>
      <c r="Y64" s="2"/>
      <c r="Z64" s="2"/>
      <c r="AA64" s="2"/>
      <c r="AD64" s="2"/>
      <c r="AE64" s="2"/>
      <c r="AF64" s="2"/>
      <c r="AG64" s="2"/>
      <c r="AH64" s="2"/>
    </row>
    <row r="65" spans="2:34" x14ac:dyDescent="0.3">
      <c r="B65" s="2"/>
      <c r="C65" s="2"/>
      <c r="D65" s="2"/>
      <c r="E65" s="2"/>
      <c r="F65" s="2"/>
      <c r="I65" s="2"/>
      <c r="J65" s="2"/>
      <c r="K65" s="2"/>
      <c r="L65" s="2"/>
      <c r="M65" s="2"/>
      <c r="P65" s="2"/>
      <c r="Q65" s="2"/>
      <c r="R65" s="2"/>
      <c r="S65" s="2"/>
      <c r="T65" s="2"/>
      <c r="W65" s="2"/>
      <c r="X65" s="2"/>
      <c r="Y65" s="2"/>
      <c r="Z65" s="2"/>
      <c r="AA65" s="2"/>
      <c r="AD65" s="2"/>
      <c r="AE65" s="2"/>
      <c r="AF65" s="2"/>
      <c r="AG65" s="2"/>
      <c r="AH65" s="2"/>
    </row>
    <row r="66" spans="2:34" x14ac:dyDescent="0.3">
      <c r="B66" s="2"/>
      <c r="C66" s="2"/>
      <c r="D66" s="2"/>
      <c r="E66" s="2"/>
      <c r="F66" s="2"/>
      <c r="I66" s="2"/>
      <c r="J66" s="2"/>
      <c r="K66" s="2"/>
      <c r="L66" s="2"/>
      <c r="M66" s="2"/>
      <c r="P66" s="2"/>
      <c r="Q66" s="2"/>
      <c r="R66" s="2"/>
      <c r="S66" s="2"/>
      <c r="T66" s="2"/>
      <c r="W66" s="2"/>
      <c r="X66" s="2"/>
      <c r="Y66" s="2"/>
      <c r="Z66" s="2"/>
      <c r="AA66" s="2"/>
      <c r="AD66" s="2"/>
      <c r="AE66" s="2"/>
      <c r="AF66" s="2"/>
      <c r="AG66" s="2"/>
      <c r="AH66" s="2"/>
    </row>
    <row r="67" spans="2:34" x14ac:dyDescent="0.3">
      <c r="B67" s="2"/>
      <c r="C67" s="2"/>
      <c r="D67" s="2"/>
      <c r="E67" s="2"/>
      <c r="F67" s="2"/>
      <c r="I67" s="2"/>
      <c r="J67" s="2"/>
      <c r="K67" s="2"/>
      <c r="L67" s="2"/>
      <c r="M67" s="2"/>
      <c r="P67" s="2"/>
      <c r="Q67" s="2"/>
      <c r="R67" s="2"/>
      <c r="S67" s="2"/>
      <c r="T67" s="2"/>
      <c r="W67" s="2"/>
      <c r="X67" s="2"/>
      <c r="Y67" s="2"/>
      <c r="Z67" s="2"/>
      <c r="AA67" s="2"/>
      <c r="AD67" s="2"/>
      <c r="AE67" s="2"/>
      <c r="AF67" s="2"/>
      <c r="AG67" s="2"/>
      <c r="AH67" s="2"/>
    </row>
    <row r="68" spans="2:34" x14ac:dyDescent="0.3">
      <c r="B68" s="2"/>
      <c r="C68" s="2"/>
      <c r="D68" s="2"/>
      <c r="E68" s="2"/>
      <c r="F68" s="2"/>
      <c r="I68" s="2"/>
      <c r="J68" s="2"/>
      <c r="K68" s="2"/>
      <c r="L68" s="2"/>
      <c r="M68" s="2"/>
      <c r="P68" s="2"/>
      <c r="Q68" s="2"/>
      <c r="R68" s="2"/>
      <c r="S68" s="2"/>
      <c r="T68" s="2"/>
      <c r="W68" s="2"/>
      <c r="X68" s="2"/>
      <c r="Y68" s="2"/>
      <c r="Z68" s="2"/>
      <c r="AA68" s="2"/>
      <c r="AD68" s="2"/>
      <c r="AE68" s="2"/>
      <c r="AF68" s="2"/>
      <c r="AG68" s="2"/>
      <c r="AH68" s="2"/>
    </row>
    <row r="69" spans="2:34" x14ac:dyDescent="0.3">
      <c r="B69" s="2"/>
      <c r="C69" s="2"/>
      <c r="D69" s="2"/>
      <c r="E69" s="2"/>
      <c r="F69" s="2"/>
      <c r="I69" s="2"/>
      <c r="J69" s="2"/>
      <c r="K69" s="2"/>
      <c r="L69" s="2"/>
      <c r="M69" s="2"/>
      <c r="P69" s="2"/>
      <c r="Q69" s="2"/>
      <c r="R69" s="2"/>
      <c r="S69" s="2"/>
      <c r="T69" s="2"/>
      <c r="W69" s="2"/>
      <c r="X69" s="2"/>
      <c r="Y69" s="2"/>
      <c r="Z69" s="2"/>
      <c r="AA69" s="2"/>
      <c r="AD69" s="2"/>
      <c r="AE69" s="2"/>
      <c r="AF69" s="2"/>
      <c r="AG69" s="2"/>
      <c r="AH69" s="2"/>
    </row>
    <row r="70" spans="2:34" x14ac:dyDescent="0.3">
      <c r="B70" s="2"/>
      <c r="C70" s="2"/>
      <c r="D70" s="2"/>
      <c r="E70" s="2"/>
      <c r="F70" s="2"/>
      <c r="I70" s="2"/>
      <c r="J70" s="2"/>
      <c r="K70" s="2"/>
      <c r="L70" s="2"/>
      <c r="M70" s="2"/>
      <c r="P70" s="2"/>
      <c r="Q70" s="2"/>
      <c r="R70" s="2"/>
      <c r="S70" s="2"/>
      <c r="T70" s="2"/>
      <c r="W70" s="2"/>
      <c r="X70" s="2"/>
      <c r="Y70" s="2"/>
      <c r="Z70" s="2"/>
      <c r="AA70" s="2"/>
      <c r="AD70" s="2"/>
      <c r="AE70" s="2"/>
      <c r="AF70" s="2"/>
      <c r="AG70" s="2"/>
      <c r="AH70" s="2"/>
    </row>
    <row r="71" spans="2:34" x14ac:dyDescent="0.3">
      <c r="B71" s="2"/>
      <c r="C71" s="2"/>
      <c r="D71" s="2"/>
      <c r="E71" s="2"/>
      <c r="F71" s="2"/>
      <c r="I71" s="2"/>
      <c r="J71" s="2"/>
      <c r="K71" s="2"/>
      <c r="L71" s="2"/>
      <c r="M71" s="2"/>
      <c r="P71" s="2"/>
      <c r="Q71" s="2"/>
      <c r="R71" s="2"/>
      <c r="S71" s="2"/>
      <c r="T71" s="2"/>
      <c r="W71" s="2"/>
      <c r="X71" s="2"/>
      <c r="Y71" s="2"/>
      <c r="Z71" s="2"/>
      <c r="AA71" s="2"/>
      <c r="AD71" s="2"/>
      <c r="AE71" s="2"/>
      <c r="AF71" s="2"/>
      <c r="AG71" s="2"/>
      <c r="AH71" s="2"/>
    </row>
    <row r="72" spans="2:34" x14ac:dyDescent="0.3">
      <c r="B72" s="2"/>
      <c r="C72" s="2"/>
      <c r="D72" s="2"/>
      <c r="E72" s="2"/>
      <c r="F72" s="2"/>
      <c r="I72" s="2"/>
      <c r="J72" s="2"/>
      <c r="K72" s="2"/>
      <c r="L72" s="2"/>
      <c r="M72" s="2"/>
      <c r="P72" s="2"/>
      <c r="Q72" s="2"/>
      <c r="R72" s="2"/>
      <c r="S72" s="2"/>
      <c r="T72" s="2"/>
      <c r="W72" s="2"/>
      <c r="X72" s="2"/>
      <c r="Y72" s="2"/>
      <c r="Z72" s="2"/>
      <c r="AA72" s="2"/>
      <c r="AD72" s="2"/>
      <c r="AE72" s="2"/>
      <c r="AF72" s="2"/>
      <c r="AG72" s="2"/>
      <c r="AH72" s="2"/>
    </row>
    <row r="73" spans="2:34" x14ac:dyDescent="0.3">
      <c r="B73" s="2"/>
      <c r="C73" s="2"/>
      <c r="D73" s="2"/>
      <c r="E73" s="2"/>
      <c r="F73" s="2"/>
      <c r="I73" s="2"/>
      <c r="J73" s="2"/>
      <c r="K73" s="2"/>
      <c r="L73" s="2"/>
      <c r="M73" s="2"/>
      <c r="P73" s="2"/>
      <c r="Q73" s="2"/>
      <c r="R73" s="2"/>
      <c r="S73" s="2"/>
      <c r="T73" s="2"/>
      <c r="W73" s="2"/>
      <c r="X73" s="2"/>
      <c r="Y73" s="2"/>
      <c r="Z73" s="2"/>
      <c r="AA73" s="2"/>
      <c r="AD73" s="2"/>
      <c r="AE73" s="2"/>
      <c r="AF73" s="2"/>
      <c r="AG73" s="2"/>
      <c r="AH73" s="2"/>
    </row>
    <row r="74" spans="2:34" x14ac:dyDescent="0.3">
      <c r="B74" s="2"/>
      <c r="C74" s="2"/>
      <c r="D74" s="2"/>
      <c r="E74" s="2"/>
      <c r="F74" s="2"/>
      <c r="I74" s="2"/>
      <c r="J74" s="2"/>
      <c r="K74" s="2"/>
      <c r="L74" s="2"/>
      <c r="M74" s="2"/>
      <c r="P74" s="2"/>
      <c r="Q74" s="2"/>
      <c r="R74" s="2"/>
      <c r="S74" s="2"/>
      <c r="T74" s="2"/>
      <c r="W74" s="2"/>
      <c r="X74" s="2"/>
      <c r="Y74" s="2"/>
      <c r="Z74" s="2"/>
      <c r="AA74" s="2"/>
      <c r="AD74" s="2"/>
      <c r="AE74" s="2"/>
      <c r="AF74" s="2"/>
      <c r="AG74" s="2"/>
      <c r="AH74" s="2"/>
    </row>
    <row r="75" spans="2:34" x14ac:dyDescent="0.3">
      <c r="B75" s="2"/>
      <c r="C75" s="2"/>
      <c r="D75" s="2"/>
      <c r="E75" s="2"/>
      <c r="F75" s="2"/>
      <c r="I75" s="2"/>
      <c r="J75" s="2"/>
      <c r="K75" s="2"/>
      <c r="L75" s="2"/>
      <c r="M75" s="2"/>
      <c r="P75" s="2"/>
      <c r="Q75" s="2"/>
      <c r="R75" s="2"/>
      <c r="S75" s="2"/>
      <c r="T75" s="2"/>
      <c r="W75" s="2"/>
      <c r="X75" s="2"/>
      <c r="Y75" s="2"/>
      <c r="Z75" s="2"/>
      <c r="AA75" s="2"/>
      <c r="AD75" s="2"/>
      <c r="AE75" s="2"/>
      <c r="AF75" s="2"/>
      <c r="AG75" s="2"/>
      <c r="AH75" s="2"/>
    </row>
    <row r="76" spans="2:34" x14ac:dyDescent="0.3">
      <c r="B76" s="2"/>
      <c r="C76" s="2"/>
      <c r="D76" s="2"/>
      <c r="E76" s="2"/>
      <c r="F76" s="2"/>
      <c r="I76" s="2"/>
      <c r="J76" s="2"/>
      <c r="K76" s="2"/>
      <c r="L76" s="2"/>
      <c r="M76" s="2"/>
      <c r="P76" s="2"/>
      <c r="Q76" s="2"/>
      <c r="R76" s="2"/>
      <c r="S76" s="2"/>
      <c r="T76" s="2"/>
      <c r="W76" s="2"/>
      <c r="X76" s="2"/>
      <c r="Y76" s="2"/>
      <c r="Z76" s="2"/>
      <c r="AA76" s="2"/>
      <c r="AD76" s="2"/>
      <c r="AE76" s="2"/>
      <c r="AF76" s="2"/>
      <c r="AG76" s="2"/>
      <c r="AH76" s="2"/>
    </row>
    <row r="77" spans="2:34" x14ac:dyDescent="0.3">
      <c r="B77" s="2"/>
      <c r="C77" s="2"/>
      <c r="D77" s="2"/>
      <c r="E77" s="2"/>
      <c r="F77" s="2"/>
      <c r="I77" s="2"/>
      <c r="J77" s="2"/>
      <c r="K77" s="2"/>
      <c r="L77" s="2"/>
      <c r="M77" s="2"/>
      <c r="P77" s="2"/>
      <c r="Q77" s="2"/>
      <c r="R77" s="2"/>
      <c r="S77" s="2"/>
      <c r="T77" s="2"/>
      <c r="W77" s="2"/>
      <c r="X77" s="2"/>
      <c r="Y77" s="2"/>
      <c r="Z77" s="2"/>
      <c r="AA77" s="2"/>
      <c r="AD77" s="2"/>
      <c r="AE77" s="2"/>
      <c r="AF77" s="2"/>
      <c r="AG77" s="2"/>
      <c r="AH77" s="2"/>
    </row>
    <row r="78" spans="2:34" x14ac:dyDescent="0.3">
      <c r="B78" s="2"/>
      <c r="C78" s="2"/>
      <c r="D78" s="2"/>
      <c r="E78" s="2"/>
      <c r="F78" s="2"/>
      <c r="I78" s="2"/>
      <c r="J78" s="2"/>
      <c r="K78" s="2"/>
      <c r="L78" s="2"/>
      <c r="M78" s="2"/>
      <c r="P78" s="2"/>
      <c r="Q78" s="2"/>
      <c r="R78" s="2"/>
      <c r="S78" s="2"/>
      <c r="T78" s="2"/>
      <c r="W78" s="2"/>
      <c r="X78" s="2"/>
      <c r="Y78" s="2"/>
      <c r="Z78" s="2"/>
      <c r="AA78" s="2"/>
      <c r="AD78" s="2"/>
      <c r="AE78" s="2"/>
      <c r="AF78" s="2"/>
      <c r="AG78" s="2"/>
      <c r="AH78" s="2"/>
    </row>
    <row r="79" spans="2:34" x14ac:dyDescent="0.3">
      <c r="B79" s="2"/>
      <c r="C79" s="2"/>
      <c r="D79" s="2"/>
      <c r="E79" s="2"/>
      <c r="F79" s="2"/>
      <c r="I79" s="2"/>
      <c r="J79" s="2"/>
      <c r="K79" s="2"/>
      <c r="L79" s="2"/>
      <c r="M79" s="2"/>
      <c r="P79" s="2"/>
      <c r="Q79" s="2"/>
      <c r="R79" s="2"/>
      <c r="S79" s="2"/>
      <c r="T79" s="2"/>
      <c r="W79" s="2"/>
      <c r="X79" s="2"/>
      <c r="Y79" s="2"/>
      <c r="Z79" s="2"/>
      <c r="AA79" s="2"/>
      <c r="AD79" s="2"/>
      <c r="AE79" s="2"/>
      <c r="AF79" s="2"/>
      <c r="AG79" s="2"/>
      <c r="AH79" s="2"/>
    </row>
    <row r="80" spans="2:34" x14ac:dyDescent="0.3">
      <c r="B80" s="2"/>
      <c r="C80" s="2"/>
      <c r="D80" s="2"/>
      <c r="E80" s="2"/>
      <c r="F80" s="2"/>
      <c r="I80" s="2"/>
      <c r="J80" s="2"/>
      <c r="K80" s="2"/>
      <c r="L80" s="2"/>
      <c r="M80" s="2"/>
      <c r="P80" s="2"/>
      <c r="Q80" s="2"/>
      <c r="R80" s="2"/>
      <c r="S80" s="2"/>
      <c r="T80" s="2"/>
      <c r="W80" s="2"/>
      <c r="X80" s="2"/>
      <c r="Y80" s="2"/>
      <c r="Z80" s="2"/>
      <c r="AA80" s="2"/>
      <c r="AD80" s="2"/>
      <c r="AE80" s="2"/>
      <c r="AF80" s="2"/>
      <c r="AG80" s="2"/>
      <c r="AH80" s="2"/>
    </row>
    <row r="81" spans="2:34" x14ac:dyDescent="0.3">
      <c r="B81" s="2"/>
      <c r="C81" s="2"/>
      <c r="D81" s="2"/>
      <c r="E81" s="2"/>
      <c r="F81" s="2"/>
      <c r="I81" s="2"/>
      <c r="J81" s="2"/>
      <c r="K81" s="2"/>
      <c r="L81" s="2"/>
      <c r="M81" s="2"/>
      <c r="P81" s="2"/>
      <c r="Q81" s="2"/>
      <c r="R81" s="2"/>
      <c r="S81" s="2"/>
      <c r="T81" s="2"/>
      <c r="W81" s="2"/>
      <c r="X81" s="2"/>
      <c r="Y81" s="2"/>
      <c r="Z81" s="2"/>
      <c r="AA81" s="2"/>
      <c r="AD81" s="2"/>
      <c r="AE81" s="2"/>
      <c r="AF81" s="2"/>
      <c r="AG81" s="2"/>
      <c r="AH81" s="2"/>
    </row>
    <row r="82" spans="2:34" x14ac:dyDescent="0.3">
      <c r="B82" s="2"/>
      <c r="C82" s="2"/>
      <c r="D82" s="2"/>
      <c r="E82" s="2"/>
      <c r="F82" s="2"/>
      <c r="I82" s="2"/>
      <c r="J82" s="2"/>
      <c r="K82" s="2"/>
      <c r="L82" s="2"/>
      <c r="M82" s="2"/>
      <c r="P82" s="2"/>
      <c r="Q82" s="2"/>
      <c r="R82" s="2"/>
      <c r="S82" s="2"/>
      <c r="T82" s="2"/>
      <c r="W82" s="2"/>
      <c r="X82" s="2"/>
      <c r="Y82" s="2"/>
      <c r="Z82" s="2"/>
      <c r="AA82" s="2"/>
      <c r="AD82" s="2"/>
      <c r="AE82" s="2"/>
      <c r="AF82" s="2"/>
      <c r="AG82" s="2"/>
      <c r="AH82" s="2"/>
    </row>
    <row r="83" spans="2:34" x14ac:dyDescent="0.3">
      <c r="B83" s="2"/>
      <c r="C83" s="2"/>
      <c r="D83" s="2"/>
      <c r="E83" s="2"/>
      <c r="F83" s="2"/>
      <c r="I83" s="2"/>
      <c r="J83" s="2"/>
      <c r="K83" s="2"/>
      <c r="L83" s="2"/>
      <c r="M83" s="2"/>
      <c r="P83" s="2"/>
      <c r="Q83" s="2"/>
      <c r="R83" s="2"/>
      <c r="S83" s="2"/>
      <c r="T83" s="2"/>
      <c r="W83" s="2"/>
      <c r="X83" s="2"/>
      <c r="Y83" s="2"/>
      <c r="Z83" s="2"/>
      <c r="AA83" s="2"/>
      <c r="AD83" s="2"/>
      <c r="AE83" s="2"/>
      <c r="AF83" s="2"/>
      <c r="AG83" s="2"/>
      <c r="AH83" s="2"/>
    </row>
    <row r="84" spans="2:34" x14ac:dyDescent="0.3">
      <c r="B84" s="2"/>
      <c r="C84" s="2"/>
      <c r="D84" s="2"/>
      <c r="E84" s="2"/>
      <c r="F84" s="2"/>
      <c r="I84" s="2"/>
      <c r="J84" s="2"/>
      <c r="K84" s="2"/>
      <c r="L84" s="2"/>
      <c r="M84" s="2"/>
      <c r="P84" s="2"/>
      <c r="Q84" s="2"/>
      <c r="R84" s="2"/>
      <c r="S84" s="2"/>
      <c r="T84" s="2"/>
      <c r="W84" s="2"/>
      <c r="X84" s="2"/>
      <c r="Y84" s="2"/>
      <c r="Z84" s="2"/>
      <c r="AA84" s="2"/>
      <c r="AD84" s="2"/>
      <c r="AE84" s="2"/>
      <c r="AF84" s="2"/>
      <c r="AG84" s="2"/>
      <c r="AH84" s="2"/>
    </row>
    <row r="85" spans="2:34" x14ac:dyDescent="0.3">
      <c r="B85" s="2"/>
      <c r="C85" s="2"/>
      <c r="D85" s="2"/>
      <c r="E85" s="2"/>
      <c r="F85" s="2"/>
      <c r="I85" s="2"/>
      <c r="J85" s="2"/>
      <c r="K85" s="2"/>
      <c r="L85" s="2"/>
      <c r="M85" s="2"/>
      <c r="P85" s="2"/>
      <c r="Q85" s="2"/>
      <c r="R85" s="2"/>
      <c r="S85" s="2"/>
      <c r="T85" s="2"/>
      <c r="W85" s="2"/>
      <c r="X85" s="2"/>
      <c r="Y85" s="2"/>
      <c r="Z85" s="2"/>
      <c r="AA85" s="2"/>
      <c r="AD85" s="2"/>
      <c r="AE85" s="2"/>
      <c r="AF85" s="2"/>
      <c r="AG85" s="2"/>
      <c r="AH85" s="2"/>
    </row>
    <row r="86" spans="2:34" x14ac:dyDescent="0.3">
      <c r="B86" s="2"/>
      <c r="C86" s="2"/>
      <c r="D86" s="2"/>
      <c r="E86" s="2"/>
      <c r="F86" s="2"/>
      <c r="I86" s="2"/>
      <c r="J86" s="2"/>
      <c r="K86" s="2"/>
      <c r="L86" s="2"/>
      <c r="M86" s="2"/>
      <c r="P86" s="2"/>
      <c r="Q86" s="2"/>
      <c r="R86" s="2"/>
      <c r="S86" s="2"/>
      <c r="T86" s="2"/>
      <c r="W86" s="2"/>
      <c r="X86" s="2"/>
      <c r="Y86" s="2"/>
      <c r="Z86" s="2"/>
      <c r="AA86" s="2"/>
      <c r="AD86" s="2"/>
      <c r="AE86" s="2"/>
      <c r="AF86" s="2"/>
      <c r="AG86" s="2"/>
      <c r="AH86" s="2"/>
    </row>
    <row r="87" spans="2:34" x14ac:dyDescent="0.3">
      <c r="B87" s="2"/>
      <c r="C87" s="2"/>
      <c r="D87" s="2"/>
      <c r="E87" s="2"/>
      <c r="F87" s="2"/>
      <c r="I87" s="2"/>
      <c r="J87" s="2"/>
      <c r="K87" s="2"/>
      <c r="L87" s="2"/>
      <c r="M87" s="2"/>
      <c r="P87" s="2"/>
      <c r="Q87" s="2"/>
      <c r="R87" s="2"/>
      <c r="S87" s="2"/>
      <c r="T87" s="2"/>
      <c r="W87" s="2"/>
      <c r="X87" s="2"/>
      <c r="Y87" s="2"/>
      <c r="Z87" s="2"/>
      <c r="AA87" s="2"/>
      <c r="AD87" s="2"/>
      <c r="AE87" s="2"/>
      <c r="AF87" s="2"/>
      <c r="AG87" s="2"/>
      <c r="AH87" s="2"/>
    </row>
    <row r="88" spans="2:34" x14ac:dyDescent="0.3">
      <c r="B88" s="2"/>
      <c r="C88" s="2"/>
      <c r="D88" s="2"/>
      <c r="E88" s="2"/>
      <c r="F88" s="2"/>
      <c r="I88" s="2"/>
      <c r="J88" s="2"/>
      <c r="K88" s="2"/>
      <c r="L88" s="2"/>
      <c r="M88" s="2"/>
      <c r="P88" s="2"/>
      <c r="Q88" s="2"/>
      <c r="R88" s="2"/>
      <c r="S88" s="2"/>
      <c r="T88" s="2"/>
      <c r="W88" s="2"/>
      <c r="X88" s="2"/>
      <c r="Y88" s="2"/>
      <c r="Z88" s="2"/>
      <c r="AA88" s="2"/>
      <c r="AD88" s="2"/>
      <c r="AE88" s="2"/>
      <c r="AF88" s="2"/>
      <c r="AG88" s="2"/>
      <c r="AH88" s="2"/>
    </row>
    <row r="89" spans="2:34" x14ac:dyDescent="0.3">
      <c r="B89" s="2"/>
      <c r="C89" s="2"/>
      <c r="D89" s="2"/>
      <c r="E89" s="2"/>
      <c r="F89" s="2"/>
      <c r="I89" s="2"/>
      <c r="J89" s="2"/>
      <c r="K89" s="2"/>
      <c r="L89" s="2"/>
      <c r="M89" s="2"/>
      <c r="P89" s="2"/>
      <c r="Q89" s="2"/>
      <c r="R89" s="2"/>
      <c r="S89" s="2"/>
      <c r="T89" s="2"/>
      <c r="W89" s="2"/>
      <c r="X89" s="2"/>
      <c r="Y89" s="2"/>
      <c r="Z89" s="2"/>
      <c r="AA89" s="2"/>
      <c r="AD89" s="2"/>
      <c r="AE89" s="2"/>
      <c r="AF89" s="2"/>
      <c r="AG89" s="2"/>
      <c r="AH89" s="2"/>
    </row>
    <row r="90" spans="2:34" x14ac:dyDescent="0.3">
      <c r="B90" s="2"/>
      <c r="C90" s="2"/>
      <c r="D90" s="2"/>
      <c r="E90" s="2"/>
      <c r="F90" s="2"/>
      <c r="I90" s="2"/>
      <c r="J90" s="2"/>
      <c r="K90" s="2"/>
      <c r="L90" s="2"/>
      <c r="M90" s="2"/>
      <c r="P90" s="2"/>
      <c r="Q90" s="2"/>
      <c r="R90" s="2"/>
      <c r="S90" s="2"/>
      <c r="T90" s="2"/>
      <c r="W90" s="2"/>
      <c r="X90" s="2"/>
      <c r="Y90" s="2"/>
      <c r="Z90" s="2"/>
      <c r="AA90" s="2"/>
      <c r="AD90" s="2"/>
      <c r="AE90" s="2"/>
      <c r="AF90" s="2"/>
      <c r="AG90" s="2"/>
      <c r="AH90" s="2"/>
    </row>
    <row r="91" spans="2:34" x14ac:dyDescent="0.3">
      <c r="B91" s="2"/>
      <c r="C91" s="2"/>
      <c r="D91" s="2"/>
      <c r="E91" s="2"/>
      <c r="F91" s="2"/>
      <c r="I91" s="2"/>
      <c r="J91" s="2"/>
      <c r="K91" s="2"/>
      <c r="L91" s="2"/>
      <c r="M91" s="2"/>
      <c r="P91" s="2"/>
      <c r="Q91" s="2"/>
      <c r="R91" s="2"/>
      <c r="S91" s="2"/>
      <c r="T91" s="2"/>
      <c r="W91" s="2"/>
      <c r="X91" s="2"/>
      <c r="Y91" s="2"/>
      <c r="Z91" s="2"/>
      <c r="AA91" s="2"/>
      <c r="AD91" s="2"/>
      <c r="AE91" s="2"/>
      <c r="AF91" s="2"/>
      <c r="AG91" s="2"/>
      <c r="AH91" s="2"/>
    </row>
    <row r="92" spans="2:34" x14ac:dyDescent="0.3">
      <c r="B92" s="2"/>
      <c r="C92" s="2"/>
      <c r="D92" s="2"/>
      <c r="E92" s="2"/>
      <c r="F92" s="2"/>
      <c r="I92" s="2"/>
      <c r="J92" s="2"/>
      <c r="K92" s="2"/>
      <c r="L92" s="2"/>
      <c r="M92" s="2"/>
      <c r="P92" s="2"/>
      <c r="Q92" s="2"/>
      <c r="R92" s="2"/>
      <c r="S92" s="2"/>
      <c r="T92" s="2"/>
      <c r="W92" s="2"/>
      <c r="X92" s="2"/>
      <c r="Y92" s="2"/>
      <c r="Z92" s="2"/>
      <c r="AA92" s="2"/>
      <c r="AD92" s="2"/>
      <c r="AE92" s="2"/>
      <c r="AF92" s="2"/>
      <c r="AG92" s="2"/>
      <c r="AH92" s="2"/>
    </row>
    <row r="93" spans="2:34" x14ac:dyDescent="0.3">
      <c r="B93" s="2"/>
      <c r="C93" s="2"/>
      <c r="D93" s="2"/>
      <c r="E93" s="2"/>
      <c r="F93" s="2"/>
      <c r="I93" s="2"/>
      <c r="J93" s="2"/>
      <c r="K93" s="2"/>
      <c r="L93" s="2"/>
      <c r="M93" s="2"/>
      <c r="P93" s="2"/>
      <c r="Q93" s="2"/>
      <c r="R93" s="2"/>
      <c r="S93" s="2"/>
      <c r="T93" s="2"/>
      <c r="W93" s="2"/>
      <c r="X93" s="2"/>
      <c r="Y93" s="2"/>
      <c r="Z93" s="2"/>
      <c r="AA93" s="2"/>
      <c r="AD93" s="2"/>
      <c r="AE93" s="2"/>
      <c r="AF93" s="2"/>
      <c r="AG93" s="2"/>
      <c r="AH93" s="2"/>
    </row>
    <row r="94" spans="2:34" x14ac:dyDescent="0.3">
      <c r="B94" s="2"/>
      <c r="C94" s="2"/>
      <c r="D94" s="2"/>
      <c r="E94" s="2"/>
      <c r="F94" s="2"/>
      <c r="I94" s="2"/>
      <c r="J94" s="2"/>
      <c r="K94" s="2"/>
      <c r="L94" s="2"/>
      <c r="M94" s="2"/>
      <c r="P94" s="2"/>
      <c r="Q94" s="2"/>
      <c r="R94" s="2"/>
      <c r="S94" s="2"/>
      <c r="T94" s="2"/>
      <c r="W94" s="2"/>
      <c r="X94" s="2"/>
      <c r="Y94" s="2"/>
      <c r="Z94" s="2"/>
      <c r="AA94" s="2"/>
      <c r="AD94" s="2"/>
      <c r="AE94" s="2"/>
      <c r="AF94" s="2"/>
      <c r="AG94" s="2"/>
      <c r="AH94" s="2"/>
    </row>
    <row r="95" spans="2:34" x14ac:dyDescent="0.3">
      <c r="B95" s="2"/>
      <c r="C95" s="2"/>
      <c r="D95" s="2"/>
      <c r="E95" s="2"/>
      <c r="F95" s="2"/>
      <c r="I95" s="2"/>
      <c r="J95" s="2"/>
      <c r="K95" s="2"/>
      <c r="L95" s="2"/>
      <c r="M95" s="2"/>
      <c r="P95" s="2"/>
      <c r="Q95" s="2"/>
      <c r="R95" s="2"/>
      <c r="S95" s="2"/>
      <c r="T95" s="2"/>
      <c r="W95" s="2"/>
      <c r="X95" s="2"/>
      <c r="Y95" s="2"/>
      <c r="Z95" s="2"/>
      <c r="AA95" s="2"/>
      <c r="AD95" s="2"/>
      <c r="AE95" s="2"/>
      <c r="AF95" s="2"/>
      <c r="AG95" s="2"/>
      <c r="AH95" s="2"/>
    </row>
    <row r="96" spans="2:34" x14ac:dyDescent="0.3">
      <c r="B96" s="2"/>
      <c r="C96" s="2"/>
      <c r="D96" s="2"/>
      <c r="E96" s="2"/>
      <c r="F96" s="2"/>
      <c r="I96" s="2"/>
      <c r="J96" s="2"/>
      <c r="K96" s="2"/>
      <c r="L96" s="2"/>
      <c r="M96" s="2"/>
      <c r="P96" s="2"/>
      <c r="Q96" s="2"/>
      <c r="R96" s="2"/>
      <c r="S96" s="2"/>
      <c r="T96" s="2"/>
      <c r="W96" s="2"/>
      <c r="X96" s="2"/>
      <c r="Y96" s="2"/>
      <c r="Z96" s="2"/>
      <c r="AA96" s="2"/>
      <c r="AD96" s="2"/>
      <c r="AE96" s="2"/>
      <c r="AF96" s="2"/>
      <c r="AG96" s="2"/>
      <c r="AH96" s="2"/>
    </row>
    <row r="97" spans="2:34" x14ac:dyDescent="0.3">
      <c r="B97" s="2"/>
      <c r="C97" s="2"/>
      <c r="D97" s="2"/>
      <c r="E97" s="2"/>
      <c r="F97" s="2"/>
      <c r="I97" s="2"/>
      <c r="J97" s="2"/>
      <c r="K97" s="2"/>
      <c r="L97" s="2"/>
      <c r="M97" s="2"/>
      <c r="P97" s="2"/>
      <c r="Q97" s="2"/>
      <c r="R97" s="2"/>
      <c r="S97" s="2"/>
      <c r="T97" s="2"/>
      <c r="W97" s="2"/>
      <c r="X97" s="2"/>
      <c r="Y97" s="2"/>
      <c r="Z97" s="2"/>
      <c r="AA97" s="2"/>
      <c r="AD97" s="2"/>
      <c r="AE97" s="2"/>
      <c r="AF97" s="2"/>
      <c r="AG97" s="2"/>
      <c r="AH97" s="2"/>
    </row>
    <row r="98" spans="2:34" x14ac:dyDescent="0.3">
      <c r="B98" s="2"/>
      <c r="C98" s="2"/>
      <c r="D98" s="2"/>
      <c r="E98" s="2"/>
      <c r="F98" s="2"/>
      <c r="I98" s="2"/>
      <c r="J98" s="2"/>
      <c r="K98" s="2"/>
      <c r="L98" s="2"/>
      <c r="M98" s="2"/>
      <c r="P98" s="2"/>
      <c r="Q98" s="2"/>
      <c r="R98" s="2"/>
      <c r="S98" s="2"/>
      <c r="T98" s="2"/>
      <c r="W98" s="2"/>
      <c r="X98" s="2"/>
      <c r="Y98" s="2"/>
      <c r="Z98" s="2"/>
      <c r="AA98" s="2"/>
      <c r="AD98" s="2"/>
      <c r="AE98" s="2"/>
      <c r="AF98" s="2"/>
      <c r="AG98" s="2"/>
      <c r="AH98" s="2"/>
    </row>
    <row r="99" spans="2:34" x14ac:dyDescent="0.3">
      <c r="B99" s="2"/>
      <c r="C99" s="2"/>
      <c r="D99" s="2"/>
      <c r="E99" s="2"/>
      <c r="F99" s="2"/>
      <c r="I99" s="2"/>
      <c r="J99" s="2"/>
      <c r="K99" s="2"/>
      <c r="L99" s="2"/>
      <c r="M99" s="2"/>
      <c r="P99" s="2"/>
      <c r="Q99" s="2"/>
      <c r="R99" s="2"/>
      <c r="S99" s="2"/>
      <c r="T99" s="2"/>
      <c r="W99" s="2"/>
      <c r="X99" s="2"/>
      <c r="Y99" s="2"/>
      <c r="Z99" s="2"/>
      <c r="AA99" s="2"/>
      <c r="AD99" s="2"/>
      <c r="AE99" s="2"/>
      <c r="AF99" s="2"/>
      <c r="AG99" s="2"/>
      <c r="AH99" s="2"/>
    </row>
    <row r="100" spans="2:34" x14ac:dyDescent="0.3">
      <c r="B100" s="2"/>
      <c r="C100" s="2"/>
      <c r="D100" s="2"/>
      <c r="E100" s="2"/>
      <c r="F100" s="2"/>
      <c r="I100" s="2"/>
      <c r="J100" s="2"/>
      <c r="K100" s="2"/>
      <c r="L100" s="2"/>
      <c r="M100" s="2"/>
      <c r="P100" s="2"/>
      <c r="Q100" s="2"/>
      <c r="R100" s="2"/>
      <c r="S100" s="2"/>
      <c r="T100" s="2"/>
      <c r="W100" s="2"/>
      <c r="X100" s="2"/>
      <c r="Y100" s="2"/>
      <c r="Z100" s="2"/>
      <c r="AA100" s="2"/>
      <c r="AD100" s="2"/>
      <c r="AE100" s="2"/>
      <c r="AF100" s="2"/>
      <c r="AG100" s="2"/>
      <c r="AH100" s="2"/>
    </row>
    <row r="101" spans="2:34" x14ac:dyDescent="0.3">
      <c r="B101" s="2"/>
      <c r="C101" s="2"/>
      <c r="D101" s="2"/>
      <c r="E101" s="2"/>
      <c r="F101" s="2"/>
      <c r="I101" s="2"/>
      <c r="J101" s="2"/>
      <c r="K101" s="2"/>
      <c r="L101" s="2"/>
      <c r="M101" s="2"/>
      <c r="P101" s="2"/>
      <c r="Q101" s="2"/>
      <c r="R101" s="2"/>
      <c r="S101" s="2"/>
      <c r="T101" s="2"/>
      <c r="W101" s="2"/>
      <c r="X101" s="2"/>
      <c r="Y101" s="2"/>
      <c r="Z101" s="2"/>
      <c r="AA101" s="2"/>
      <c r="AD101" s="2"/>
      <c r="AE101" s="2"/>
      <c r="AF101" s="2"/>
      <c r="AG101" s="2"/>
      <c r="AH101" s="2"/>
    </row>
    <row r="102" spans="2:34" x14ac:dyDescent="0.3">
      <c r="B102" s="2"/>
      <c r="C102" s="2"/>
      <c r="D102" s="2"/>
      <c r="E102" s="2"/>
      <c r="F102" s="2"/>
      <c r="I102" s="2"/>
      <c r="J102" s="2"/>
      <c r="K102" s="2"/>
      <c r="L102" s="2"/>
      <c r="M102" s="2"/>
      <c r="P102" s="2"/>
      <c r="Q102" s="2"/>
      <c r="R102" s="2"/>
      <c r="S102" s="2"/>
      <c r="T102" s="2"/>
      <c r="W102" s="2"/>
      <c r="X102" s="2"/>
      <c r="Y102" s="2"/>
      <c r="Z102" s="2"/>
      <c r="AA102" s="2"/>
      <c r="AD102" s="2"/>
      <c r="AE102" s="2"/>
      <c r="AF102" s="2"/>
      <c r="AG102" s="2"/>
      <c r="AH102" s="2"/>
    </row>
    <row r="103" spans="2:34" x14ac:dyDescent="0.3">
      <c r="B103" s="2"/>
      <c r="C103" s="2"/>
      <c r="D103" s="2"/>
      <c r="E103" s="2"/>
      <c r="F103" s="2"/>
      <c r="I103" s="2"/>
      <c r="J103" s="2"/>
      <c r="K103" s="2"/>
      <c r="L103" s="2"/>
      <c r="M103" s="2"/>
      <c r="P103" s="2"/>
      <c r="Q103" s="2"/>
      <c r="R103" s="2"/>
      <c r="S103" s="2"/>
      <c r="T103" s="2"/>
      <c r="W103" s="2"/>
      <c r="X103" s="2"/>
      <c r="Y103" s="2"/>
      <c r="Z103" s="2"/>
      <c r="AA103" s="2"/>
      <c r="AD103" s="2"/>
      <c r="AE103" s="2"/>
      <c r="AF103" s="2"/>
      <c r="AG103" s="2"/>
      <c r="AH103" s="2"/>
    </row>
    <row r="104" spans="2:34" x14ac:dyDescent="0.3">
      <c r="B104" s="2"/>
      <c r="C104" s="2"/>
      <c r="D104" s="2"/>
      <c r="E104" s="2"/>
      <c r="F104" s="2"/>
      <c r="I104" s="2"/>
      <c r="J104" s="2"/>
      <c r="K104" s="2"/>
      <c r="L104" s="2"/>
      <c r="M104" s="2"/>
      <c r="P104" s="2"/>
      <c r="Q104" s="2"/>
      <c r="R104" s="2"/>
      <c r="S104" s="2"/>
      <c r="T104" s="2"/>
      <c r="W104" s="2"/>
      <c r="X104" s="2"/>
      <c r="Y104" s="2"/>
      <c r="Z104" s="2"/>
      <c r="AA104" s="2"/>
      <c r="AD104" s="2"/>
      <c r="AE104" s="2"/>
      <c r="AF104" s="2"/>
      <c r="AG104" s="2"/>
      <c r="AH104" s="2"/>
    </row>
    <row r="105" spans="2:34" x14ac:dyDescent="0.3">
      <c r="B105" s="2"/>
      <c r="C105" s="2"/>
      <c r="D105" s="2"/>
      <c r="E105" s="2"/>
      <c r="F105" s="2"/>
      <c r="I105" s="2"/>
      <c r="J105" s="2"/>
      <c r="K105" s="2"/>
      <c r="L105" s="2"/>
      <c r="M105" s="2"/>
      <c r="P105" s="2"/>
      <c r="Q105" s="2"/>
      <c r="R105" s="2"/>
      <c r="S105" s="2"/>
      <c r="T105" s="2"/>
      <c r="W105" s="2"/>
      <c r="X105" s="2"/>
      <c r="Y105" s="2"/>
      <c r="Z105" s="2"/>
      <c r="AA105" s="2"/>
      <c r="AD105" s="2"/>
      <c r="AE105" s="2"/>
      <c r="AF105" s="2"/>
      <c r="AG105" s="2"/>
      <c r="AH105" s="2"/>
    </row>
    <row r="106" spans="2:34" x14ac:dyDescent="0.3">
      <c r="B106" s="2"/>
      <c r="C106" s="2"/>
      <c r="D106" s="2"/>
      <c r="E106" s="2"/>
      <c r="F106" s="2"/>
      <c r="I106" s="2"/>
      <c r="J106" s="2"/>
      <c r="K106" s="2"/>
      <c r="L106" s="2"/>
      <c r="M106" s="2"/>
      <c r="P106" s="2"/>
      <c r="Q106" s="2"/>
      <c r="R106" s="2"/>
      <c r="S106" s="2"/>
      <c r="T106" s="2"/>
      <c r="W106" s="2"/>
      <c r="X106" s="2"/>
      <c r="Y106" s="2"/>
      <c r="Z106" s="2"/>
      <c r="AA106" s="2"/>
      <c r="AD106" s="2"/>
      <c r="AE106" s="2"/>
      <c r="AF106" s="2"/>
      <c r="AG106" s="2"/>
      <c r="AH106" s="2"/>
    </row>
    <row r="107" spans="2:34" x14ac:dyDescent="0.3">
      <c r="B107" s="2"/>
      <c r="C107" s="2"/>
      <c r="D107" s="2"/>
      <c r="E107" s="2"/>
      <c r="F107" s="2"/>
      <c r="I107" s="2"/>
      <c r="J107" s="2"/>
      <c r="K107" s="2"/>
      <c r="L107" s="2"/>
      <c r="M107" s="2"/>
      <c r="P107" s="2"/>
      <c r="Q107" s="2"/>
      <c r="R107" s="2"/>
      <c r="S107" s="2"/>
      <c r="T107" s="2"/>
      <c r="W107" s="2"/>
      <c r="X107" s="2"/>
      <c r="Y107" s="2"/>
      <c r="Z107" s="2"/>
      <c r="AA107" s="2"/>
      <c r="AD107" s="2"/>
      <c r="AE107" s="2"/>
      <c r="AF107" s="2"/>
      <c r="AG107" s="2"/>
      <c r="AH107" s="2"/>
    </row>
    <row r="108" spans="2:34" x14ac:dyDescent="0.3">
      <c r="B108" s="2"/>
      <c r="C108" s="2"/>
      <c r="D108" s="2"/>
      <c r="E108" s="2"/>
      <c r="F108" s="2"/>
      <c r="I108" s="2"/>
      <c r="J108" s="2"/>
      <c r="K108" s="2"/>
      <c r="L108" s="2"/>
      <c r="M108" s="2"/>
      <c r="P108" s="2"/>
      <c r="Q108" s="2"/>
      <c r="R108" s="2"/>
      <c r="S108" s="2"/>
      <c r="T108" s="2"/>
      <c r="W108" s="2"/>
      <c r="X108" s="2"/>
      <c r="Y108" s="2"/>
      <c r="Z108" s="2"/>
      <c r="AA108" s="2"/>
      <c r="AD108" s="2"/>
      <c r="AE108" s="2"/>
      <c r="AF108" s="2"/>
      <c r="AG108" s="2"/>
      <c r="AH108" s="2"/>
    </row>
    <row r="109" spans="2:34" x14ac:dyDescent="0.3">
      <c r="B109" s="2"/>
      <c r="C109" s="2"/>
      <c r="D109" s="2"/>
      <c r="E109" s="2"/>
      <c r="F109" s="2"/>
      <c r="I109" s="2"/>
      <c r="J109" s="2"/>
      <c r="K109" s="2"/>
      <c r="L109" s="2"/>
      <c r="M109" s="2"/>
      <c r="P109" s="2"/>
      <c r="Q109" s="2"/>
      <c r="R109" s="2"/>
      <c r="S109" s="2"/>
      <c r="T109" s="2"/>
      <c r="W109" s="2"/>
      <c r="X109" s="2"/>
      <c r="Y109" s="2"/>
      <c r="Z109" s="2"/>
      <c r="AA109" s="2"/>
      <c r="AD109" s="2"/>
      <c r="AE109" s="2"/>
      <c r="AF109" s="2"/>
      <c r="AG109" s="2"/>
      <c r="AH109" s="2"/>
    </row>
    <row r="110" spans="2:34" x14ac:dyDescent="0.3">
      <c r="B110" s="2"/>
      <c r="C110" s="2"/>
      <c r="D110" s="2"/>
      <c r="E110" s="2"/>
      <c r="F110" s="2"/>
      <c r="I110" s="2"/>
      <c r="J110" s="2"/>
      <c r="K110" s="2"/>
      <c r="L110" s="2"/>
      <c r="M110" s="2"/>
      <c r="P110" s="2"/>
      <c r="Q110" s="2"/>
      <c r="R110" s="2"/>
      <c r="S110" s="2"/>
      <c r="T110" s="2"/>
      <c r="W110" s="2"/>
      <c r="X110" s="2"/>
      <c r="Y110" s="2"/>
      <c r="Z110" s="2"/>
      <c r="AA110" s="2"/>
      <c r="AD110" s="2"/>
      <c r="AE110" s="2"/>
      <c r="AF110" s="2"/>
      <c r="AG110" s="2"/>
      <c r="AH110" s="2"/>
    </row>
    <row r="111" spans="2:34" x14ac:dyDescent="0.3">
      <c r="B111" s="2"/>
      <c r="C111" s="2"/>
      <c r="D111" s="2"/>
      <c r="E111" s="2"/>
      <c r="F111" s="2"/>
      <c r="I111" s="2"/>
      <c r="J111" s="2"/>
      <c r="K111" s="2"/>
      <c r="L111" s="2"/>
      <c r="M111" s="2"/>
      <c r="P111" s="2"/>
      <c r="Q111" s="2"/>
      <c r="R111" s="2"/>
      <c r="S111" s="2"/>
      <c r="T111" s="2"/>
      <c r="W111" s="2"/>
      <c r="X111" s="2"/>
      <c r="Y111" s="2"/>
      <c r="Z111" s="2"/>
      <c r="AA111" s="2"/>
      <c r="AD111" s="2"/>
      <c r="AE111" s="2"/>
      <c r="AF111" s="2"/>
      <c r="AG111" s="2"/>
      <c r="AH111" s="2"/>
    </row>
    <row r="112" spans="2:34" x14ac:dyDescent="0.3">
      <c r="B112" s="2"/>
      <c r="C112" s="2"/>
      <c r="D112" s="2"/>
      <c r="E112" s="2"/>
      <c r="F112" s="2"/>
      <c r="I112" s="2"/>
      <c r="J112" s="2"/>
      <c r="K112" s="2"/>
      <c r="L112" s="2"/>
      <c r="M112" s="2"/>
      <c r="P112" s="2"/>
      <c r="Q112" s="2"/>
      <c r="R112" s="2"/>
      <c r="S112" s="2"/>
      <c r="T112" s="2"/>
      <c r="W112" s="2"/>
      <c r="X112" s="2"/>
      <c r="Y112" s="2"/>
      <c r="Z112" s="2"/>
      <c r="AA112" s="2"/>
      <c r="AD112" s="2"/>
      <c r="AE112" s="2"/>
      <c r="AF112" s="2"/>
      <c r="AG112" s="2"/>
      <c r="AH112" s="2"/>
    </row>
    <row r="113" spans="2:34" x14ac:dyDescent="0.3">
      <c r="B113" s="2"/>
      <c r="C113" s="2"/>
      <c r="D113" s="2"/>
      <c r="E113" s="2"/>
      <c r="F113" s="2"/>
      <c r="I113" s="2"/>
      <c r="J113" s="2"/>
      <c r="K113" s="2"/>
      <c r="L113" s="2"/>
      <c r="M113" s="2"/>
      <c r="P113" s="2"/>
      <c r="Q113" s="2"/>
      <c r="R113" s="2"/>
      <c r="S113" s="2"/>
      <c r="T113" s="2"/>
      <c r="W113" s="2"/>
      <c r="X113" s="2"/>
      <c r="Y113" s="2"/>
      <c r="Z113" s="2"/>
      <c r="AA113" s="2"/>
      <c r="AD113" s="2"/>
      <c r="AE113" s="2"/>
      <c r="AF113" s="2"/>
      <c r="AG113" s="2"/>
      <c r="AH113" s="2"/>
    </row>
    <row r="114" spans="2:34" x14ac:dyDescent="0.3">
      <c r="B114" s="2"/>
      <c r="C114" s="2"/>
      <c r="D114" s="2"/>
      <c r="E114" s="2"/>
      <c r="F114" s="2"/>
      <c r="I114" s="2"/>
      <c r="J114" s="2"/>
      <c r="K114" s="2"/>
      <c r="L114" s="2"/>
      <c r="M114" s="2"/>
      <c r="P114" s="2"/>
      <c r="Q114" s="2"/>
      <c r="R114" s="2"/>
      <c r="S114" s="2"/>
      <c r="T114" s="2"/>
      <c r="W114" s="2"/>
      <c r="X114" s="2"/>
      <c r="Y114" s="2"/>
      <c r="Z114" s="2"/>
      <c r="AA114" s="2"/>
      <c r="AD114" s="2"/>
      <c r="AE114" s="2"/>
      <c r="AF114" s="2"/>
      <c r="AG114" s="2"/>
      <c r="AH114" s="2"/>
    </row>
    <row r="115" spans="2:34" x14ac:dyDescent="0.3">
      <c r="B115" s="2"/>
      <c r="C115" s="2"/>
      <c r="D115" s="2"/>
      <c r="E115" s="2"/>
      <c r="F115" s="2"/>
      <c r="I115" s="2"/>
      <c r="J115" s="2"/>
      <c r="K115" s="2"/>
      <c r="L115" s="2"/>
      <c r="M115" s="2"/>
      <c r="P115" s="2"/>
      <c r="Q115" s="2"/>
      <c r="R115" s="2"/>
      <c r="S115" s="2"/>
      <c r="T115" s="2"/>
      <c r="W115" s="2"/>
      <c r="X115" s="2"/>
      <c r="Y115" s="2"/>
      <c r="Z115" s="2"/>
      <c r="AA115" s="2"/>
      <c r="AD115" s="2"/>
      <c r="AE115" s="2"/>
      <c r="AF115" s="2"/>
      <c r="AG115" s="2"/>
      <c r="AH115" s="2"/>
    </row>
    <row r="116" spans="2:34" x14ac:dyDescent="0.3">
      <c r="B116" s="2"/>
      <c r="C116" s="2"/>
      <c r="D116" s="2"/>
      <c r="E116" s="2"/>
      <c r="F116" s="2"/>
      <c r="I116" s="2"/>
      <c r="J116" s="2"/>
      <c r="K116" s="2"/>
      <c r="L116" s="2"/>
      <c r="M116" s="2"/>
      <c r="P116" s="2"/>
      <c r="Q116" s="2"/>
      <c r="R116" s="2"/>
      <c r="S116" s="2"/>
      <c r="T116" s="2"/>
      <c r="W116" s="2"/>
      <c r="X116" s="2"/>
      <c r="Y116" s="2"/>
      <c r="Z116" s="2"/>
      <c r="AA116" s="2"/>
      <c r="AD116" s="2"/>
      <c r="AE116" s="2"/>
      <c r="AF116" s="2"/>
      <c r="AG116" s="2"/>
      <c r="AH116" s="2"/>
    </row>
    <row r="117" spans="2:34" x14ac:dyDescent="0.3">
      <c r="B117" s="2"/>
      <c r="C117" s="2"/>
      <c r="D117" s="2"/>
      <c r="E117" s="2"/>
      <c r="F117" s="2"/>
      <c r="I117" s="2"/>
      <c r="J117" s="2"/>
      <c r="K117" s="2"/>
      <c r="L117" s="2"/>
      <c r="M117" s="2"/>
      <c r="P117" s="2"/>
      <c r="Q117" s="2"/>
      <c r="R117" s="2"/>
      <c r="S117" s="2"/>
      <c r="T117" s="2"/>
      <c r="W117" s="2"/>
      <c r="X117" s="2"/>
      <c r="Y117" s="2"/>
      <c r="Z117" s="2"/>
      <c r="AA117" s="2"/>
      <c r="AD117" s="2"/>
      <c r="AE117" s="2"/>
      <c r="AF117" s="2"/>
      <c r="AG117" s="2"/>
      <c r="AH117" s="2"/>
    </row>
    <row r="118" spans="2:34" x14ac:dyDescent="0.3">
      <c r="B118" s="2"/>
      <c r="C118" s="2"/>
      <c r="D118" s="2"/>
      <c r="E118" s="2"/>
      <c r="F118" s="2"/>
      <c r="I118" s="2"/>
      <c r="J118" s="2"/>
      <c r="K118" s="2"/>
      <c r="L118" s="2"/>
      <c r="M118" s="2"/>
      <c r="P118" s="2"/>
      <c r="Q118" s="2"/>
      <c r="R118" s="2"/>
      <c r="S118" s="2"/>
      <c r="T118" s="2"/>
      <c r="W118" s="2"/>
      <c r="X118" s="2"/>
      <c r="Y118" s="2"/>
      <c r="Z118" s="2"/>
      <c r="AA118" s="2"/>
      <c r="AD118" s="2"/>
      <c r="AE118" s="2"/>
      <c r="AF118" s="2"/>
      <c r="AG118" s="2"/>
      <c r="AH118" s="2"/>
    </row>
    <row r="119" spans="2:34" x14ac:dyDescent="0.3">
      <c r="B119" s="2"/>
      <c r="C119" s="2"/>
      <c r="D119" s="2"/>
      <c r="E119" s="2"/>
      <c r="F119" s="2"/>
      <c r="I119" s="2"/>
      <c r="J119" s="2"/>
      <c r="K119" s="2"/>
      <c r="L119" s="2"/>
      <c r="M119" s="2"/>
      <c r="P119" s="2"/>
      <c r="Q119" s="2"/>
      <c r="R119" s="2"/>
      <c r="S119" s="2"/>
      <c r="T119" s="2"/>
      <c r="W119" s="2"/>
      <c r="X119" s="2"/>
      <c r="Y119" s="2"/>
      <c r="Z119" s="2"/>
      <c r="AA119" s="2"/>
      <c r="AD119" s="2"/>
      <c r="AE119" s="2"/>
      <c r="AF119" s="2"/>
      <c r="AG119" s="2"/>
      <c r="AH119" s="2"/>
    </row>
    <row r="120" spans="2:34" x14ac:dyDescent="0.3">
      <c r="B120" s="2"/>
      <c r="C120" s="2"/>
      <c r="D120" s="2"/>
      <c r="E120" s="2"/>
      <c r="F120" s="2"/>
      <c r="I120" s="2"/>
      <c r="J120" s="2"/>
      <c r="K120" s="2"/>
      <c r="L120" s="2"/>
      <c r="M120" s="2"/>
      <c r="P120" s="2"/>
      <c r="Q120" s="2"/>
      <c r="R120" s="2"/>
      <c r="S120" s="2"/>
      <c r="T120" s="2"/>
      <c r="W120" s="2"/>
      <c r="X120" s="2"/>
      <c r="Y120" s="2"/>
      <c r="Z120" s="2"/>
      <c r="AA120" s="2"/>
      <c r="AD120" s="2"/>
      <c r="AE120" s="2"/>
      <c r="AF120" s="2"/>
      <c r="AG120" s="2"/>
      <c r="AH120" s="2"/>
    </row>
    <row r="121" spans="2:34" x14ac:dyDescent="0.3">
      <c r="B121" s="2"/>
      <c r="C121" s="2"/>
      <c r="D121" s="2"/>
      <c r="E121" s="2"/>
      <c r="F121" s="2"/>
      <c r="I121" s="2"/>
      <c r="J121" s="2"/>
      <c r="K121" s="2"/>
      <c r="L121" s="2"/>
      <c r="M121" s="2"/>
      <c r="P121" s="2"/>
      <c r="Q121" s="2"/>
      <c r="R121" s="2"/>
      <c r="S121" s="2"/>
      <c r="T121" s="2"/>
      <c r="W121" s="2"/>
      <c r="X121" s="2"/>
      <c r="Y121" s="2"/>
      <c r="Z121" s="2"/>
      <c r="AA121" s="2"/>
      <c r="AD121" s="2"/>
      <c r="AE121" s="2"/>
      <c r="AF121" s="2"/>
      <c r="AG121" s="2"/>
      <c r="AH121" s="2"/>
    </row>
    <row r="122" spans="2:34" x14ac:dyDescent="0.3">
      <c r="B122" s="2"/>
      <c r="C122" s="2"/>
      <c r="D122" s="2"/>
      <c r="E122" s="2"/>
      <c r="F122" s="2"/>
      <c r="I122" s="2"/>
      <c r="J122" s="2"/>
      <c r="K122" s="2"/>
      <c r="L122" s="2"/>
      <c r="M122" s="2"/>
      <c r="P122" s="2"/>
      <c r="Q122" s="2"/>
      <c r="R122" s="2"/>
      <c r="S122" s="2"/>
      <c r="T122" s="2"/>
      <c r="W122" s="2"/>
      <c r="X122" s="2"/>
      <c r="Y122" s="2"/>
      <c r="Z122" s="2"/>
      <c r="AA122" s="2"/>
      <c r="AD122" s="2"/>
      <c r="AE122" s="2"/>
      <c r="AF122" s="2"/>
      <c r="AG122" s="2"/>
      <c r="AH122" s="2"/>
    </row>
    <row r="123" spans="2:34" x14ac:dyDescent="0.3">
      <c r="B123" s="2"/>
      <c r="C123" s="2"/>
      <c r="D123" s="2"/>
      <c r="E123" s="2"/>
      <c r="F123" s="2"/>
      <c r="I123" s="2"/>
      <c r="J123" s="2"/>
      <c r="K123" s="2"/>
      <c r="L123" s="2"/>
      <c r="M123" s="2"/>
      <c r="P123" s="2"/>
      <c r="Q123" s="2"/>
      <c r="R123" s="2"/>
      <c r="S123" s="2"/>
      <c r="T123" s="2"/>
      <c r="W123" s="2"/>
      <c r="X123" s="2"/>
      <c r="Y123" s="2"/>
      <c r="Z123" s="2"/>
      <c r="AA123" s="2"/>
      <c r="AD123" s="2"/>
      <c r="AE123" s="2"/>
      <c r="AF123" s="2"/>
      <c r="AG123" s="2"/>
      <c r="AH123" s="2"/>
    </row>
    <row r="124" spans="2:34" x14ac:dyDescent="0.3">
      <c r="B124" s="2"/>
      <c r="C124" s="2"/>
      <c r="D124" s="2"/>
      <c r="E124" s="2"/>
      <c r="F124" s="2"/>
      <c r="I124" s="2"/>
      <c r="J124" s="2"/>
      <c r="K124" s="2"/>
      <c r="L124" s="2"/>
      <c r="M124" s="2"/>
      <c r="P124" s="2"/>
      <c r="Q124" s="2"/>
      <c r="R124" s="2"/>
      <c r="S124" s="2"/>
      <c r="T124" s="2"/>
      <c r="W124" s="2"/>
      <c r="X124" s="2"/>
      <c r="Y124" s="2"/>
      <c r="Z124" s="2"/>
      <c r="AA124" s="2"/>
      <c r="AD124" s="2"/>
      <c r="AE124" s="2"/>
      <c r="AF124" s="2"/>
      <c r="AG124" s="2"/>
      <c r="AH124" s="2"/>
    </row>
    <row r="125" spans="2:34" x14ac:dyDescent="0.3">
      <c r="B125" s="2"/>
      <c r="C125" s="2"/>
      <c r="D125" s="2"/>
      <c r="E125" s="2"/>
      <c r="F125" s="2"/>
      <c r="I125" s="2"/>
      <c r="J125" s="2"/>
      <c r="K125" s="2"/>
      <c r="L125" s="2"/>
      <c r="M125" s="2"/>
      <c r="P125" s="2"/>
      <c r="Q125" s="2"/>
      <c r="R125" s="2"/>
      <c r="S125" s="2"/>
      <c r="T125" s="2"/>
      <c r="W125" s="2"/>
      <c r="X125" s="2"/>
      <c r="Y125" s="2"/>
      <c r="Z125" s="2"/>
      <c r="AA125" s="2"/>
      <c r="AD125" s="2"/>
      <c r="AE125" s="2"/>
      <c r="AF125" s="2"/>
      <c r="AG125" s="2"/>
      <c r="AH125" s="2"/>
    </row>
    <row r="126" spans="2:34" x14ac:dyDescent="0.3">
      <c r="B126" s="2"/>
      <c r="C126" s="2"/>
      <c r="D126" s="2"/>
      <c r="E126" s="2"/>
      <c r="F126" s="2"/>
      <c r="I126" s="2"/>
      <c r="J126" s="2"/>
      <c r="K126" s="2"/>
      <c r="L126" s="2"/>
      <c r="M126" s="2"/>
      <c r="P126" s="2"/>
      <c r="Q126" s="2"/>
      <c r="R126" s="2"/>
      <c r="S126" s="2"/>
      <c r="T126" s="2"/>
      <c r="W126" s="2"/>
      <c r="X126" s="2"/>
      <c r="Y126" s="2"/>
      <c r="Z126" s="2"/>
      <c r="AA126" s="2"/>
      <c r="AD126" s="2"/>
      <c r="AE126" s="2"/>
      <c r="AF126" s="2"/>
      <c r="AG126" s="2"/>
      <c r="AH126" s="2"/>
    </row>
    <row r="127" spans="2:34" x14ac:dyDescent="0.3">
      <c r="B127" s="2"/>
      <c r="C127" s="2"/>
      <c r="D127" s="2"/>
      <c r="E127" s="2"/>
      <c r="F127" s="2"/>
      <c r="I127" s="2"/>
      <c r="J127" s="2"/>
      <c r="K127" s="2"/>
      <c r="L127" s="2"/>
      <c r="M127" s="2"/>
      <c r="P127" s="2"/>
      <c r="Q127" s="2"/>
      <c r="R127" s="2"/>
      <c r="S127" s="2"/>
      <c r="T127" s="2"/>
      <c r="W127" s="2"/>
      <c r="X127" s="2"/>
      <c r="Y127" s="2"/>
      <c r="Z127" s="2"/>
      <c r="AA127" s="2"/>
      <c r="AD127" s="2"/>
      <c r="AE127" s="2"/>
      <c r="AF127" s="2"/>
      <c r="AG127" s="2"/>
      <c r="AH127" s="2"/>
    </row>
    <row r="128" spans="2:34" x14ac:dyDescent="0.3">
      <c r="B128" s="2"/>
      <c r="C128" s="2"/>
      <c r="D128" s="2"/>
      <c r="E128" s="2"/>
      <c r="F128" s="2"/>
      <c r="I128" s="2"/>
      <c r="J128" s="2"/>
      <c r="K128" s="2"/>
      <c r="L128" s="2"/>
      <c r="M128" s="2"/>
      <c r="P128" s="2"/>
      <c r="Q128" s="2"/>
      <c r="R128" s="2"/>
      <c r="S128" s="2"/>
      <c r="T128" s="2"/>
      <c r="W128" s="2"/>
      <c r="X128" s="2"/>
      <c r="Y128" s="2"/>
      <c r="Z128" s="2"/>
      <c r="AA128" s="2"/>
      <c r="AD128" s="2"/>
      <c r="AE128" s="2"/>
      <c r="AF128" s="2"/>
      <c r="AG128" s="2"/>
      <c r="AH128" s="2"/>
    </row>
    <row r="129" spans="2:34" x14ac:dyDescent="0.3">
      <c r="B129" s="2"/>
      <c r="C129" s="2"/>
      <c r="D129" s="2"/>
      <c r="E129" s="2"/>
      <c r="F129" s="2"/>
      <c r="I129" s="2"/>
      <c r="J129" s="2"/>
      <c r="K129" s="2"/>
      <c r="L129" s="2"/>
      <c r="M129" s="2"/>
      <c r="P129" s="2"/>
      <c r="Q129" s="2"/>
      <c r="R129" s="2"/>
      <c r="S129" s="2"/>
      <c r="T129" s="2"/>
      <c r="W129" s="2"/>
      <c r="X129" s="2"/>
      <c r="Y129" s="2"/>
      <c r="Z129" s="2"/>
      <c r="AA129" s="2"/>
      <c r="AD129" s="2"/>
      <c r="AE129" s="2"/>
      <c r="AF129" s="2"/>
      <c r="AG129" s="2"/>
      <c r="AH129" s="2"/>
    </row>
    <row r="130" spans="2:34" x14ac:dyDescent="0.3">
      <c r="B130" s="2"/>
      <c r="C130" s="2"/>
      <c r="D130" s="2"/>
      <c r="E130" s="2"/>
      <c r="F130" s="2"/>
      <c r="I130" s="2"/>
      <c r="J130" s="2"/>
      <c r="K130" s="2"/>
      <c r="L130" s="2"/>
      <c r="M130" s="2"/>
      <c r="P130" s="2"/>
      <c r="Q130" s="2"/>
      <c r="R130" s="2"/>
      <c r="S130" s="2"/>
      <c r="T130" s="2"/>
      <c r="W130" s="2"/>
      <c r="X130" s="2"/>
      <c r="Y130" s="2"/>
      <c r="Z130" s="2"/>
      <c r="AA130" s="2"/>
      <c r="AD130" s="2"/>
      <c r="AE130" s="2"/>
      <c r="AF130" s="2"/>
      <c r="AG130" s="2"/>
      <c r="AH130" s="2"/>
    </row>
    <row r="131" spans="2:34" x14ac:dyDescent="0.3">
      <c r="B131" s="2"/>
      <c r="C131" s="2"/>
      <c r="D131" s="2"/>
      <c r="E131" s="2"/>
      <c r="F131" s="2"/>
      <c r="I131" s="2"/>
      <c r="J131" s="2"/>
      <c r="K131" s="2"/>
      <c r="L131" s="2"/>
      <c r="M131" s="2"/>
      <c r="P131" s="2"/>
      <c r="Q131" s="2"/>
      <c r="R131" s="2"/>
      <c r="S131" s="2"/>
      <c r="T131" s="2"/>
      <c r="W131" s="2"/>
      <c r="X131" s="2"/>
      <c r="Y131" s="2"/>
      <c r="Z131" s="2"/>
      <c r="AA131" s="2"/>
      <c r="AD131" s="2"/>
      <c r="AE131" s="2"/>
      <c r="AF131" s="2"/>
      <c r="AG131" s="2"/>
      <c r="AH131" s="2"/>
    </row>
    <row r="132" spans="2:34" x14ac:dyDescent="0.3">
      <c r="B132" s="2"/>
      <c r="C132" s="2"/>
      <c r="D132" s="2"/>
      <c r="E132" s="2"/>
      <c r="F132" s="2"/>
      <c r="I132" s="2"/>
      <c r="J132" s="2"/>
      <c r="K132" s="2"/>
      <c r="L132" s="2"/>
      <c r="M132" s="2"/>
      <c r="P132" s="2"/>
      <c r="Q132" s="2"/>
      <c r="R132" s="2"/>
      <c r="S132" s="2"/>
      <c r="T132" s="2"/>
      <c r="W132" s="2"/>
      <c r="X132" s="2"/>
      <c r="Y132" s="2"/>
      <c r="Z132" s="2"/>
      <c r="AA132" s="2"/>
      <c r="AD132" s="2"/>
      <c r="AE132" s="2"/>
      <c r="AF132" s="2"/>
      <c r="AG132" s="2"/>
      <c r="AH132" s="2"/>
    </row>
    <row r="133" spans="2:34" x14ac:dyDescent="0.3">
      <c r="B133" s="2"/>
      <c r="C133" s="2"/>
      <c r="D133" s="2"/>
      <c r="E133" s="2"/>
      <c r="F133" s="2"/>
      <c r="I133" s="2"/>
      <c r="J133" s="2"/>
      <c r="K133" s="2"/>
      <c r="L133" s="2"/>
      <c r="M133" s="2"/>
      <c r="P133" s="2"/>
      <c r="Q133" s="2"/>
      <c r="R133" s="2"/>
      <c r="S133" s="2"/>
      <c r="T133" s="2"/>
      <c r="W133" s="2"/>
      <c r="X133" s="2"/>
      <c r="Y133" s="2"/>
      <c r="Z133" s="2"/>
      <c r="AA133" s="2"/>
      <c r="AD133" s="2"/>
      <c r="AE133" s="2"/>
      <c r="AF133" s="2"/>
      <c r="AG133" s="2"/>
      <c r="AH133" s="2"/>
    </row>
    <row r="134" spans="2:34" x14ac:dyDescent="0.3">
      <c r="B134" s="2"/>
      <c r="C134" s="2"/>
      <c r="D134" s="2"/>
      <c r="E134" s="2"/>
      <c r="F134" s="2"/>
      <c r="I134" s="2"/>
      <c r="J134" s="2"/>
      <c r="K134" s="2"/>
      <c r="L134" s="2"/>
      <c r="M134" s="2"/>
      <c r="P134" s="2"/>
      <c r="Q134" s="2"/>
      <c r="R134" s="2"/>
      <c r="S134" s="2"/>
      <c r="T134" s="2"/>
      <c r="W134" s="2"/>
      <c r="X134" s="2"/>
      <c r="Y134" s="2"/>
      <c r="Z134" s="2"/>
      <c r="AA134" s="2"/>
      <c r="AD134" s="2"/>
      <c r="AE134" s="2"/>
      <c r="AF134" s="2"/>
      <c r="AG134" s="2"/>
      <c r="AH134" s="2"/>
    </row>
    <row r="135" spans="2:34" x14ac:dyDescent="0.3">
      <c r="B135" s="2"/>
      <c r="C135" s="2"/>
      <c r="D135" s="2"/>
      <c r="E135" s="2"/>
      <c r="F135" s="2"/>
      <c r="I135" s="2"/>
      <c r="J135" s="2"/>
      <c r="K135" s="2"/>
      <c r="L135" s="2"/>
      <c r="M135" s="2"/>
      <c r="P135" s="2"/>
      <c r="Q135" s="2"/>
      <c r="R135" s="2"/>
      <c r="S135" s="2"/>
      <c r="T135" s="2"/>
      <c r="W135" s="2"/>
      <c r="X135" s="2"/>
      <c r="Y135" s="2"/>
      <c r="Z135" s="2"/>
      <c r="AA135" s="2"/>
      <c r="AD135" s="2"/>
      <c r="AE135" s="2"/>
      <c r="AF135" s="2"/>
      <c r="AG135" s="2"/>
      <c r="AH135" s="2"/>
    </row>
    <row r="136" spans="2:34" x14ac:dyDescent="0.3">
      <c r="B136" s="2"/>
      <c r="C136" s="2"/>
      <c r="D136" s="2"/>
      <c r="E136" s="2"/>
      <c r="F136" s="2"/>
      <c r="I136" s="2"/>
      <c r="J136" s="2"/>
      <c r="K136" s="2"/>
      <c r="L136" s="2"/>
      <c r="M136" s="2"/>
      <c r="P136" s="2"/>
      <c r="Q136" s="2"/>
      <c r="R136" s="2"/>
      <c r="S136" s="2"/>
      <c r="T136" s="2"/>
      <c r="W136" s="2"/>
      <c r="X136" s="2"/>
      <c r="Y136" s="2"/>
      <c r="Z136" s="2"/>
      <c r="AA136" s="2"/>
      <c r="AD136" s="2"/>
      <c r="AE136" s="2"/>
      <c r="AF136" s="2"/>
      <c r="AG136" s="2"/>
      <c r="AH136" s="2"/>
    </row>
    <row r="137" spans="2:34" x14ac:dyDescent="0.3">
      <c r="B137" s="2"/>
      <c r="C137" s="2"/>
      <c r="D137" s="2"/>
      <c r="E137" s="2"/>
      <c r="F137" s="2"/>
      <c r="I137" s="2"/>
      <c r="J137" s="2"/>
      <c r="K137" s="2"/>
      <c r="L137" s="2"/>
      <c r="M137" s="2"/>
      <c r="P137" s="2"/>
      <c r="Q137" s="2"/>
      <c r="R137" s="2"/>
      <c r="S137" s="2"/>
      <c r="T137" s="2"/>
      <c r="W137" s="2"/>
      <c r="X137" s="2"/>
      <c r="Y137" s="2"/>
      <c r="Z137" s="2"/>
      <c r="AA137" s="2"/>
      <c r="AD137" s="2"/>
      <c r="AE137" s="2"/>
      <c r="AF137" s="2"/>
      <c r="AG137" s="2"/>
      <c r="AH137" s="2"/>
    </row>
    <row r="138" spans="2:34" x14ac:dyDescent="0.3">
      <c r="B138" s="2"/>
      <c r="C138" s="2"/>
      <c r="D138" s="2"/>
      <c r="E138" s="2"/>
      <c r="F138" s="2"/>
      <c r="I138" s="2"/>
      <c r="J138" s="2"/>
      <c r="K138" s="2"/>
      <c r="L138" s="2"/>
      <c r="M138" s="2"/>
      <c r="P138" s="2"/>
      <c r="Q138" s="2"/>
      <c r="R138" s="2"/>
      <c r="S138" s="2"/>
      <c r="T138" s="2"/>
      <c r="W138" s="2"/>
      <c r="X138" s="2"/>
      <c r="Y138" s="2"/>
      <c r="Z138" s="2"/>
      <c r="AA138" s="2"/>
      <c r="AD138" s="2"/>
      <c r="AE138" s="2"/>
      <c r="AF138" s="2"/>
      <c r="AG138" s="2"/>
      <c r="AH138" s="2"/>
    </row>
    <row r="139" spans="2:34" x14ac:dyDescent="0.3">
      <c r="B139" s="2"/>
      <c r="C139" s="2"/>
      <c r="D139" s="2"/>
      <c r="E139" s="2"/>
      <c r="F139" s="2"/>
      <c r="I139" s="2"/>
      <c r="J139" s="2"/>
      <c r="K139" s="2"/>
      <c r="L139" s="2"/>
      <c r="M139" s="2"/>
      <c r="P139" s="2"/>
      <c r="Q139" s="2"/>
      <c r="R139" s="2"/>
      <c r="S139" s="2"/>
      <c r="T139" s="2"/>
      <c r="W139" s="2"/>
      <c r="X139" s="2"/>
      <c r="Y139" s="2"/>
      <c r="Z139" s="2"/>
      <c r="AA139" s="2"/>
      <c r="AD139" s="2"/>
      <c r="AE139" s="2"/>
      <c r="AF139" s="2"/>
      <c r="AG139" s="2"/>
      <c r="AH139" s="2"/>
    </row>
    <row r="140" spans="2:34" x14ac:dyDescent="0.3">
      <c r="B140" s="2"/>
      <c r="C140" s="2"/>
      <c r="D140" s="2"/>
      <c r="E140" s="2"/>
      <c r="F140" s="2"/>
      <c r="I140" s="2"/>
      <c r="J140" s="2"/>
      <c r="K140" s="2"/>
      <c r="L140" s="2"/>
      <c r="M140" s="2"/>
      <c r="P140" s="2"/>
      <c r="Q140" s="2"/>
      <c r="R140" s="2"/>
      <c r="S140" s="2"/>
      <c r="T140" s="2"/>
      <c r="W140" s="2"/>
      <c r="X140" s="2"/>
      <c r="Y140" s="2"/>
      <c r="Z140" s="2"/>
      <c r="AA140" s="2"/>
      <c r="AD140" s="2"/>
      <c r="AE140" s="2"/>
      <c r="AF140" s="2"/>
      <c r="AG140" s="2"/>
      <c r="AH140" s="2"/>
    </row>
    <row r="141" spans="2:34" x14ac:dyDescent="0.3">
      <c r="B141" s="2"/>
      <c r="C141" s="2"/>
      <c r="D141" s="2"/>
      <c r="E141" s="2"/>
      <c r="F141" s="2"/>
      <c r="I141" s="2"/>
      <c r="J141" s="2"/>
      <c r="K141" s="2"/>
      <c r="L141" s="2"/>
      <c r="M141" s="2"/>
      <c r="P141" s="2"/>
      <c r="Q141" s="2"/>
      <c r="R141" s="2"/>
      <c r="S141" s="2"/>
      <c r="T141" s="2"/>
      <c r="W141" s="2"/>
      <c r="X141" s="2"/>
      <c r="Y141" s="2"/>
      <c r="Z141" s="2"/>
      <c r="AA141" s="2"/>
      <c r="AD141" s="2"/>
      <c r="AE141" s="2"/>
      <c r="AF141" s="2"/>
      <c r="AG141" s="2"/>
      <c r="AH141" s="2"/>
    </row>
    <row r="142" spans="2:34" x14ac:dyDescent="0.3">
      <c r="B142" s="2"/>
      <c r="C142" s="2"/>
      <c r="D142" s="2"/>
      <c r="E142" s="2"/>
      <c r="F142" s="2"/>
      <c r="I142" s="2"/>
      <c r="J142" s="2"/>
      <c r="K142" s="2"/>
      <c r="L142" s="2"/>
      <c r="M142" s="2"/>
      <c r="P142" s="2"/>
      <c r="Q142" s="2"/>
      <c r="R142" s="2"/>
      <c r="S142" s="2"/>
      <c r="T142" s="2"/>
      <c r="W142" s="2"/>
      <c r="X142" s="2"/>
      <c r="Y142" s="2"/>
      <c r="Z142" s="2"/>
      <c r="AA142" s="2"/>
      <c r="AD142" s="2"/>
      <c r="AE142" s="2"/>
      <c r="AF142" s="2"/>
      <c r="AG142" s="2"/>
      <c r="AH142" s="2"/>
    </row>
    <row r="143" spans="2:34" x14ac:dyDescent="0.3">
      <c r="B143" s="2"/>
      <c r="C143" s="2"/>
      <c r="D143" s="2"/>
      <c r="E143" s="2"/>
      <c r="F143" s="2"/>
      <c r="I143" s="2"/>
      <c r="J143" s="2"/>
      <c r="K143" s="2"/>
      <c r="L143" s="2"/>
      <c r="M143" s="2"/>
      <c r="P143" s="2"/>
      <c r="Q143" s="2"/>
      <c r="R143" s="2"/>
      <c r="S143" s="2"/>
      <c r="T143" s="2"/>
      <c r="W143" s="2"/>
      <c r="X143" s="2"/>
      <c r="Y143" s="2"/>
      <c r="Z143" s="2"/>
      <c r="AA143" s="2"/>
      <c r="AD143" s="2"/>
      <c r="AE143" s="2"/>
      <c r="AF143" s="2"/>
      <c r="AG143" s="2"/>
      <c r="AH143" s="2"/>
    </row>
    <row r="144" spans="2:34" x14ac:dyDescent="0.3">
      <c r="B144" s="2"/>
      <c r="C144" s="2"/>
      <c r="D144" s="2"/>
      <c r="E144" s="2"/>
      <c r="F144" s="2"/>
      <c r="I144" s="2"/>
      <c r="J144" s="2"/>
      <c r="K144" s="2"/>
      <c r="L144" s="2"/>
      <c r="M144" s="2"/>
      <c r="P144" s="2"/>
      <c r="Q144" s="2"/>
      <c r="R144" s="2"/>
      <c r="S144" s="2"/>
      <c r="T144" s="2"/>
      <c r="W144" s="2"/>
      <c r="X144" s="2"/>
      <c r="Y144" s="2"/>
      <c r="Z144" s="2"/>
      <c r="AA144" s="2"/>
      <c r="AD144" s="2"/>
      <c r="AE144" s="2"/>
      <c r="AF144" s="2"/>
      <c r="AG144" s="2"/>
      <c r="AH144" s="2"/>
    </row>
    <row r="145" spans="2:34" x14ac:dyDescent="0.3">
      <c r="B145" s="2"/>
      <c r="C145" s="2"/>
      <c r="D145" s="2"/>
      <c r="E145" s="2"/>
      <c r="F145" s="2"/>
      <c r="I145" s="2"/>
      <c r="J145" s="2"/>
      <c r="K145" s="2"/>
      <c r="L145" s="2"/>
      <c r="M145" s="2"/>
      <c r="P145" s="2"/>
      <c r="Q145" s="2"/>
      <c r="R145" s="2"/>
      <c r="S145" s="2"/>
      <c r="T145" s="2"/>
      <c r="W145" s="2"/>
      <c r="X145" s="2"/>
      <c r="Y145" s="2"/>
      <c r="Z145" s="2"/>
      <c r="AA145" s="2"/>
      <c r="AD145" s="2"/>
      <c r="AE145" s="2"/>
      <c r="AF145" s="2"/>
      <c r="AG145" s="2"/>
      <c r="AH145" s="2"/>
    </row>
    <row r="146" spans="2:34" x14ac:dyDescent="0.3">
      <c r="B146" s="2"/>
      <c r="C146" s="2"/>
      <c r="D146" s="2"/>
      <c r="E146" s="2"/>
      <c r="F146" s="2"/>
      <c r="I146" s="2"/>
      <c r="J146" s="2"/>
      <c r="K146" s="2"/>
      <c r="L146" s="2"/>
      <c r="M146" s="2"/>
      <c r="P146" s="2"/>
      <c r="Q146" s="2"/>
      <c r="R146" s="2"/>
      <c r="S146" s="2"/>
      <c r="T146" s="2"/>
      <c r="W146" s="2"/>
      <c r="X146" s="2"/>
      <c r="Y146" s="2"/>
      <c r="Z146" s="2"/>
      <c r="AA146" s="2"/>
      <c r="AD146" s="2"/>
      <c r="AE146" s="2"/>
      <c r="AF146" s="2"/>
      <c r="AG146" s="2"/>
      <c r="AH146" s="2"/>
    </row>
    <row r="147" spans="2:34" x14ac:dyDescent="0.3">
      <c r="B147" s="2"/>
      <c r="C147" s="2"/>
      <c r="D147" s="2"/>
      <c r="E147" s="2"/>
      <c r="F147" s="2"/>
      <c r="I147" s="2"/>
      <c r="J147" s="2"/>
      <c r="K147" s="2"/>
      <c r="L147" s="2"/>
      <c r="M147" s="2"/>
      <c r="P147" s="2"/>
      <c r="Q147" s="2"/>
      <c r="R147" s="2"/>
      <c r="S147" s="2"/>
      <c r="T147" s="2"/>
      <c r="W147" s="2"/>
      <c r="X147" s="2"/>
      <c r="Y147" s="2"/>
      <c r="Z147" s="2"/>
      <c r="AA147" s="2"/>
      <c r="AD147" s="2"/>
      <c r="AE147" s="2"/>
      <c r="AF147" s="2"/>
      <c r="AG147" s="2"/>
      <c r="AH147" s="2"/>
    </row>
    <row r="148" spans="2:34" x14ac:dyDescent="0.3">
      <c r="B148" s="2"/>
      <c r="C148" s="2"/>
      <c r="D148" s="2"/>
      <c r="E148" s="2"/>
      <c r="F148" s="2"/>
      <c r="I148" s="2"/>
      <c r="J148" s="2"/>
      <c r="K148" s="2"/>
      <c r="L148" s="2"/>
      <c r="M148" s="2"/>
      <c r="P148" s="2"/>
      <c r="Q148" s="2"/>
      <c r="R148" s="2"/>
      <c r="S148" s="2"/>
      <c r="T148" s="2"/>
      <c r="W148" s="2"/>
      <c r="X148" s="2"/>
      <c r="Y148" s="2"/>
      <c r="Z148" s="2"/>
      <c r="AA148" s="2"/>
      <c r="AD148" s="2"/>
      <c r="AE148" s="2"/>
      <c r="AF148" s="2"/>
      <c r="AG148" s="2"/>
      <c r="AH148" s="2"/>
    </row>
    <row r="149" spans="2:34" x14ac:dyDescent="0.3">
      <c r="B149" s="2"/>
      <c r="C149" s="2"/>
      <c r="D149" s="2"/>
      <c r="E149" s="2"/>
      <c r="F149" s="2"/>
      <c r="I149" s="2"/>
      <c r="J149" s="2"/>
      <c r="K149" s="2"/>
      <c r="L149" s="2"/>
      <c r="M149" s="2"/>
      <c r="P149" s="2"/>
      <c r="Q149" s="2"/>
      <c r="R149" s="2"/>
      <c r="S149" s="2"/>
      <c r="T149" s="2"/>
      <c r="W149" s="2"/>
      <c r="X149" s="2"/>
      <c r="Y149" s="2"/>
      <c r="Z149" s="2"/>
      <c r="AA149" s="2"/>
      <c r="AD149" s="2"/>
      <c r="AE149" s="2"/>
      <c r="AF149" s="2"/>
      <c r="AG149" s="2"/>
      <c r="AH149" s="2"/>
    </row>
    <row r="150" spans="2:34" x14ac:dyDescent="0.3">
      <c r="B150" s="2"/>
      <c r="C150" s="2"/>
      <c r="D150" s="2"/>
      <c r="E150" s="2"/>
      <c r="F150" s="2"/>
      <c r="I150" s="2"/>
      <c r="J150" s="2"/>
      <c r="K150" s="2"/>
      <c r="L150" s="2"/>
      <c r="M150" s="2"/>
      <c r="P150" s="2"/>
      <c r="Q150" s="2"/>
      <c r="R150" s="2"/>
      <c r="S150" s="2"/>
      <c r="T150" s="2"/>
      <c r="W150" s="2"/>
      <c r="X150" s="2"/>
      <c r="Y150" s="2"/>
      <c r="Z150" s="2"/>
      <c r="AA150" s="2"/>
      <c r="AD150" s="2"/>
      <c r="AE150" s="2"/>
      <c r="AF150" s="2"/>
      <c r="AG150" s="2"/>
      <c r="AH150" s="2"/>
    </row>
    <row r="151" spans="2:34" x14ac:dyDescent="0.3">
      <c r="B151" s="2"/>
      <c r="C151" s="2"/>
      <c r="D151" s="2"/>
      <c r="E151" s="2"/>
      <c r="F151" s="2"/>
      <c r="I151" s="2"/>
      <c r="J151" s="2"/>
      <c r="K151" s="2"/>
      <c r="L151" s="2"/>
      <c r="M151" s="2"/>
      <c r="P151" s="2"/>
      <c r="Q151" s="2"/>
      <c r="R151" s="2"/>
      <c r="S151" s="2"/>
      <c r="T151" s="2"/>
      <c r="W151" s="2"/>
      <c r="X151" s="2"/>
      <c r="Y151" s="2"/>
      <c r="Z151" s="2"/>
      <c r="AA151" s="2"/>
      <c r="AD151" s="2"/>
      <c r="AE151" s="2"/>
      <c r="AF151" s="2"/>
      <c r="AG151" s="2"/>
      <c r="AH151" s="2"/>
    </row>
    <row r="152" spans="2:34" x14ac:dyDescent="0.3">
      <c r="B152" s="2"/>
      <c r="C152" s="2"/>
      <c r="D152" s="2"/>
      <c r="E152" s="2"/>
      <c r="F152" s="2"/>
      <c r="I152" s="2"/>
      <c r="J152" s="2"/>
      <c r="K152" s="2"/>
      <c r="L152" s="2"/>
      <c r="M152" s="2"/>
      <c r="P152" s="2"/>
      <c r="Q152" s="2"/>
      <c r="R152" s="2"/>
      <c r="S152" s="2"/>
      <c r="T152" s="2"/>
      <c r="W152" s="2"/>
      <c r="X152" s="2"/>
      <c r="Y152" s="2"/>
      <c r="Z152" s="2"/>
      <c r="AA152" s="2"/>
      <c r="AD152" s="2"/>
      <c r="AE152" s="2"/>
      <c r="AF152" s="2"/>
      <c r="AG152" s="2"/>
      <c r="AH152" s="2"/>
    </row>
    <row r="153" spans="2:34" x14ac:dyDescent="0.3">
      <c r="B153" s="2"/>
      <c r="C153" s="2"/>
      <c r="D153" s="2"/>
      <c r="E153" s="2"/>
      <c r="F153" s="2"/>
      <c r="I153" s="2"/>
      <c r="J153" s="2"/>
      <c r="K153" s="2"/>
      <c r="L153" s="2"/>
      <c r="M153" s="2"/>
      <c r="P153" s="2"/>
      <c r="Q153" s="2"/>
      <c r="R153" s="2"/>
      <c r="S153" s="2"/>
      <c r="T153" s="2"/>
      <c r="W153" s="2"/>
      <c r="X153" s="2"/>
      <c r="Y153" s="2"/>
      <c r="Z153" s="2"/>
      <c r="AA153" s="2"/>
      <c r="AD153" s="2"/>
      <c r="AE153" s="2"/>
      <c r="AF153" s="2"/>
      <c r="AG153" s="2"/>
      <c r="AH153" s="2"/>
    </row>
    <row r="154" spans="2:34" x14ac:dyDescent="0.3">
      <c r="B154" s="2"/>
      <c r="C154" s="2"/>
      <c r="D154" s="2"/>
      <c r="E154" s="2"/>
      <c r="F154" s="2"/>
      <c r="I154" s="2"/>
      <c r="J154" s="2"/>
      <c r="K154" s="2"/>
      <c r="L154" s="2"/>
      <c r="M154" s="2"/>
      <c r="P154" s="2"/>
      <c r="Q154" s="2"/>
      <c r="R154" s="2"/>
      <c r="S154" s="2"/>
      <c r="T154" s="2"/>
      <c r="W154" s="2"/>
      <c r="X154" s="2"/>
      <c r="Y154" s="2"/>
      <c r="Z154" s="2"/>
      <c r="AA154" s="2"/>
      <c r="AD154" s="2"/>
      <c r="AE154" s="2"/>
      <c r="AF154" s="2"/>
      <c r="AG154" s="2"/>
      <c r="AH154" s="2"/>
    </row>
    <row r="155" spans="2:34" x14ac:dyDescent="0.3">
      <c r="B155" s="2"/>
      <c r="C155" s="2"/>
      <c r="D155" s="2"/>
      <c r="E155" s="2"/>
      <c r="F155" s="2"/>
      <c r="I155" s="2"/>
      <c r="J155" s="2"/>
      <c r="K155" s="2"/>
      <c r="L155" s="2"/>
      <c r="M155" s="2"/>
      <c r="P155" s="2"/>
      <c r="Q155" s="2"/>
      <c r="R155" s="2"/>
      <c r="S155" s="2"/>
      <c r="T155" s="2"/>
      <c r="W155" s="2"/>
      <c r="X155" s="2"/>
      <c r="Y155" s="2"/>
      <c r="Z155" s="2"/>
      <c r="AA155" s="2"/>
      <c r="AD155" s="2"/>
      <c r="AE155" s="2"/>
      <c r="AF155" s="2"/>
      <c r="AG155" s="2"/>
      <c r="AH155" s="2"/>
    </row>
    <row r="156" spans="2:34" x14ac:dyDescent="0.3">
      <c r="B156" s="2"/>
      <c r="C156" s="2"/>
      <c r="D156" s="2"/>
      <c r="E156" s="2"/>
      <c r="F156" s="2"/>
      <c r="I156" s="2"/>
      <c r="J156" s="2"/>
      <c r="K156" s="2"/>
      <c r="L156" s="2"/>
      <c r="M156" s="2"/>
      <c r="P156" s="2"/>
      <c r="Q156" s="2"/>
      <c r="R156" s="2"/>
      <c r="S156" s="2"/>
      <c r="T156" s="2"/>
      <c r="W156" s="2"/>
      <c r="X156" s="2"/>
      <c r="Y156" s="2"/>
      <c r="Z156" s="2"/>
      <c r="AA156" s="2"/>
      <c r="AD156" s="2"/>
      <c r="AE156" s="2"/>
      <c r="AF156" s="2"/>
      <c r="AG156" s="2"/>
      <c r="AH156" s="2"/>
    </row>
    <row r="157" spans="2:34" x14ac:dyDescent="0.3">
      <c r="B157" s="2"/>
      <c r="C157" s="2"/>
      <c r="D157" s="2"/>
      <c r="E157" s="2"/>
      <c r="F157" s="2"/>
      <c r="I157" s="2"/>
      <c r="J157" s="2"/>
      <c r="K157" s="2"/>
      <c r="L157" s="2"/>
      <c r="M157" s="2"/>
      <c r="P157" s="2"/>
      <c r="Q157" s="2"/>
      <c r="R157" s="2"/>
      <c r="S157" s="2"/>
      <c r="T157" s="2"/>
      <c r="W157" s="2"/>
      <c r="X157" s="2"/>
      <c r="Y157" s="2"/>
      <c r="Z157" s="2"/>
      <c r="AA157" s="2"/>
      <c r="AD157" s="2"/>
      <c r="AE157" s="2"/>
      <c r="AF157" s="2"/>
      <c r="AG157" s="2"/>
      <c r="AH157" s="2"/>
    </row>
    <row r="158" spans="2:34" x14ac:dyDescent="0.3">
      <c r="B158" s="2"/>
      <c r="C158" s="2"/>
      <c r="D158" s="2"/>
      <c r="E158" s="2"/>
      <c r="F158" s="2"/>
      <c r="I158" s="2"/>
      <c r="J158" s="2"/>
      <c r="K158" s="2"/>
      <c r="L158" s="2"/>
      <c r="M158" s="2"/>
      <c r="P158" s="2"/>
      <c r="Q158" s="2"/>
      <c r="R158" s="2"/>
      <c r="S158" s="2"/>
      <c r="T158" s="2"/>
      <c r="W158" s="2"/>
      <c r="X158" s="2"/>
      <c r="Y158" s="2"/>
      <c r="Z158" s="2"/>
      <c r="AA158" s="2"/>
      <c r="AD158" s="2"/>
      <c r="AE158" s="2"/>
      <c r="AF158" s="2"/>
      <c r="AG158" s="2"/>
      <c r="AH158" s="2"/>
    </row>
    <row r="159" spans="2:34" x14ac:dyDescent="0.3">
      <c r="B159" s="2"/>
      <c r="C159" s="2"/>
      <c r="D159" s="2"/>
      <c r="E159" s="2"/>
      <c r="F159" s="2"/>
      <c r="I159" s="2"/>
      <c r="J159" s="2"/>
      <c r="K159" s="2"/>
      <c r="L159" s="2"/>
      <c r="M159" s="2"/>
      <c r="P159" s="2"/>
      <c r="Q159" s="2"/>
      <c r="R159" s="2"/>
      <c r="S159" s="2"/>
      <c r="T159" s="2"/>
      <c r="W159" s="2"/>
      <c r="X159" s="2"/>
      <c r="Y159" s="2"/>
      <c r="Z159" s="2"/>
      <c r="AA159" s="2"/>
      <c r="AD159" s="2"/>
      <c r="AE159" s="2"/>
      <c r="AF159" s="2"/>
      <c r="AG159" s="2"/>
      <c r="AH159" s="2"/>
    </row>
    <row r="160" spans="2:34" x14ac:dyDescent="0.3">
      <c r="B160" s="2"/>
      <c r="C160" s="2"/>
      <c r="D160" s="2"/>
      <c r="E160" s="2"/>
      <c r="F160" s="2"/>
      <c r="I160" s="2"/>
      <c r="J160" s="2"/>
      <c r="K160" s="2"/>
      <c r="L160" s="2"/>
      <c r="M160" s="2"/>
      <c r="P160" s="2"/>
      <c r="Q160" s="2"/>
      <c r="R160" s="2"/>
      <c r="S160" s="2"/>
      <c r="T160" s="2"/>
      <c r="W160" s="2"/>
      <c r="X160" s="2"/>
      <c r="Y160" s="2"/>
      <c r="Z160" s="2"/>
      <c r="AA160" s="2"/>
      <c r="AD160" s="2"/>
      <c r="AE160" s="2"/>
      <c r="AF160" s="2"/>
      <c r="AG160" s="2"/>
      <c r="AH160" s="2"/>
    </row>
    <row r="161" spans="2:34" x14ac:dyDescent="0.3">
      <c r="B161" s="2"/>
      <c r="C161" s="2"/>
      <c r="D161" s="2"/>
      <c r="E161" s="2"/>
      <c r="F161" s="2"/>
      <c r="I161" s="2"/>
      <c r="J161" s="2"/>
      <c r="K161" s="2"/>
      <c r="L161" s="2"/>
      <c r="M161" s="2"/>
      <c r="P161" s="2"/>
      <c r="Q161" s="2"/>
      <c r="R161" s="2"/>
      <c r="S161" s="2"/>
      <c r="T161" s="2"/>
      <c r="W161" s="2"/>
      <c r="X161" s="2"/>
      <c r="Y161" s="2"/>
      <c r="Z161" s="2"/>
      <c r="AA161" s="2"/>
      <c r="AD161" s="2"/>
      <c r="AE161" s="2"/>
      <c r="AF161" s="2"/>
      <c r="AG161" s="2"/>
      <c r="AH161" s="2"/>
    </row>
    <row r="162" spans="2:34" x14ac:dyDescent="0.3">
      <c r="B162" s="2"/>
      <c r="C162" s="2"/>
      <c r="D162" s="2"/>
      <c r="E162" s="2"/>
      <c r="F162" s="2"/>
      <c r="I162" s="2"/>
      <c r="J162" s="2"/>
      <c r="K162" s="2"/>
      <c r="L162" s="2"/>
      <c r="M162" s="2"/>
      <c r="P162" s="2"/>
      <c r="Q162" s="2"/>
      <c r="R162" s="2"/>
      <c r="S162" s="2"/>
      <c r="T162" s="2"/>
      <c r="W162" s="2"/>
      <c r="X162" s="2"/>
      <c r="Y162" s="2"/>
      <c r="Z162" s="2"/>
      <c r="AA162" s="2"/>
      <c r="AD162" s="2"/>
      <c r="AE162" s="2"/>
      <c r="AF162" s="2"/>
      <c r="AG162" s="2"/>
      <c r="AH162" s="2"/>
    </row>
    <row r="163" spans="2:34" x14ac:dyDescent="0.3">
      <c r="B163" s="2"/>
      <c r="C163" s="2"/>
      <c r="D163" s="2"/>
      <c r="E163" s="2"/>
      <c r="F163" s="2"/>
      <c r="I163" s="2"/>
      <c r="J163" s="2"/>
      <c r="K163" s="2"/>
      <c r="L163" s="2"/>
      <c r="M163" s="2"/>
      <c r="P163" s="2"/>
      <c r="Q163" s="2"/>
      <c r="R163" s="2"/>
      <c r="S163" s="2"/>
      <c r="T163" s="2"/>
      <c r="W163" s="2"/>
      <c r="X163" s="2"/>
      <c r="Y163" s="2"/>
      <c r="Z163" s="2"/>
      <c r="AA163" s="2"/>
      <c r="AD163" s="2"/>
      <c r="AE163" s="2"/>
      <c r="AF163" s="2"/>
      <c r="AG163" s="2"/>
      <c r="AH163" s="2"/>
    </row>
    <row r="164" spans="2:34" x14ac:dyDescent="0.3">
      <c r="B164" s="2"/>
      <c r="C164" s="2"/>
      <c r="D164" s="2"/>
      <c r="E164" s="2"/>
      <c r="F164" s="2"/>
      <c r="I164" s="2"/>
      <c r="J164" s="2"/>
      <c r="K164" s="2"/>
      <c r="L164" s="2"/>
      <c r="M164" s="2"/>
      <c r="P164" s="2"/>
      <c r="Q164" s="2"/>
      <c r="R164" s="2"/>
      <c r="S164" s="2"/>
      <c r="T164" s="2"/>
      <c r="W164" s="2"/>
      <c r="X164" s="2"/>
      <c r="Y164" s="2"/>
      <c r="Z164" s="2"/>
      <c r="AA164" s="2"/>
      <c r="AD164" s="2"/>
      <c r="AE164" s="2"/>
      <c r="AF164" s="2"/>
      <c r="AG164" s="2"/>
      <c r="AH164" s="2"/>
    </row>
    <row r="165" spans="2:34" x14ac:dyDescent="0.3">
      <c r="B165" s="2"/>
      <c r="C165" s="2"/>
      <c r="D165" s="2"/>
      <c r="E165" s="2"/>
      <c r="F165" s="2"/>
      <c r="I165" s="2"/>
      <c r="J165" s="2"/>
      <c r="K165" s="2"/>
      <c r="L165" s="2"/>
      <c r="M165" s="2"/>
      <c r="P165" s="2"/>
      <c r="Q165" s="2"/>
      <c r="R165" s="2"/>
      <c r="S165" s="2"/>
      <c r="T165" s="2"/>
      <c r="W165" s="2"/>
      <c r="X165" s="2"/>
      <c r="Y165" s="2"/>
      <c r="Z165" s="2"/>
      <c r="AA165" s="2"/>
      <c r="AD165" s="2"/>
      <c r="AE165" s="2"/>
      <c r="AF165" s="2"/>
      <c r="AG165" s="2"/>
      <c r="AH165" s="2"/>
    </row>
    <row r="166" spans="2:34" x14ac:dyDescent="0.3">
      <c r="B166" s="2"/>
      <c r="C166" s="2"/>
      <c r="D166" s="2"/>
      <c r="E166" s="2"/>
      <c r="F166" s="2"/>
      <c r="I166" s="2"/>
      <c r="J166" s="2"/>
      <c r="K166" s="2"/>
      <c r="L166" s="2"/>
      <c r="M166" s="2"/>
      <c r="P166" s="2"/>
      <c r="Q166" s="2"/>
      <c r="R166" s="2"/>
      <c r="S166" s="2"/>
      <c r="T166" s="2"/>
      <c r="W166" s="2"/>
      <c r="X166" s="2"/>
      <c r="Y166" s="2"/>
      <c r="Z166" s="2"/>
      <c r="AA166" s="2"/>
      <c r="AD166" s="2"/>
      <c r="AE166" s="2"/>
      <c r="AF166" s="2"/>
      <c r="AG166" s="2"/>
      <c r="AH166" s="2"/>
    </row>
    <row r="167" spans="2:34" x14ac:dyDescent="0.3">
      <c r="B167" s="2"/>
      <c r="C167" s="2"/>
      <c r="D167" s="2"/>
      <c r="E167" s="2"/>
      <c r="F167" s="2"/>
      <c r="I167" s="2"/>
      <c r="J167" s="2"/>
      <c r="K167" s="2"/>
      <c r="L167" s="2"/>
      <c r="M167" s="2"/>
      <c r="P167" s="2"/>
      <c r="Q167" s="2"/>
      <c r="R167" s="2"/>
      <c r="S167" s="2"/>
      <c r="T167" s="2"/>
      <c r="W167" s="2"/>
      <c r="X167" s="2"/>
      <c r="Y167" s="2"/>
      <c r="Z167" s="2"/>
      <c r="AA167" s="2"/>
      <c r="AD167" s="2"/>
      <c r="AE167" s="2"/>
      <c r="AF167" s="2"/>
      <c r="AG167" s="2"/>
      <c r="AH167" s="2"/>
    </row>
    <row r="168" spans="2:34" x14ac:dyDescent="0.3">
      <c r="B168" s="2"/>
      <c r="C168" s="2"/>
      <c r="D168" s="2"/>
      <c r="E168" s="2"/>
      <c r="F168" s="2"/>
      <c r="I168" s="2"/>
      <c r="J168" s="2"/>
      <c r="K168" s="2"/>
      <c r="L168" s="2"/>
      <c r="M168" s="2"/>
      <c r="P168" s="2"/>
      <c r="Q168" s="2"/>
      <c r="R168" s="2"/>
      <c r="S168" s="2"/>
      <c r="T168" s="2"/>
      <c r="W168" s="2"/>
      <c r="X168" s="2"/>
      <c r="Y168" s="2"/>
      <c r="Z168" s="2"/>
      <c r="AA168" s="2"/>
      <c r="AD168" s="2"/>
      <c r="AE168" s="2"/>
      <c r="AF168" s="2"/>
      <c r="AG168" s="2"/>
      <c r="AH168" s="2"/>
    </row>
    <row r="169" spans="2:34" x14ac:dyDescent="0.3">
      <c r="B169" s="2"/>
      <c r="C169" s="2"/>
      <c r="D169" s="2"/>
      <c r="E169" s="2"/>
      <c r="F169" s="2"/>
      <c r="I169" s="2"/>
      <c r="J169" s="2"/>
      <c r="K169" s="2"/>
      <c r="L169" s="2"/>
      <c r="M169" s="2"/>
      <c r="P169" s="2"/>
      <c r="Q169" s="2"/>
      <c r="R169" s="2"/>
      <c r="S169" s="2"/>
      <c r="T169" s="2"/>
      <c r="W169" s="2"/>
      <c r="X169" s="2"/>
      <c r="Y169" s="2"/>
      <c r="Z169" s="2"/>
      <c r="AA169" s="2"/>
      <c r="AD169" s="2"/>
      <c r="AE169" s="2"/>
      <c r="AF169" s="2"/>
      <c r="AG169" s="2"/>
      <c r="AH169" s="2"/>
    </row>
    <row r="170" spans="2:34" x14ac:dyDescent="0.3">
      <c r="B170" s="2"/>
      <c r="C170" s="2"/>
      <c r="D170" s="2"/>
      <c r="E170" s="2"/>
      <c r="F170" s="2"/>
      <c r="I170" s="2"/>
      <c r="J170" s="2"/>
      <c r="K170" s="2"/>
      <c r="L170" s="2"/>
      <c r="M170" s="2"/>
      <c r="P170" s="2"/>
      <c r="Q170" s="2"/>
      <c r="R170" s="2"/>
      <c r="S170" s="2"/>
      <c r="T170" s="2"/>
      <c r="W170" s="2"/>
      <c r="X170" s="2"/>
      <c r="Y170" s="2"/>
      <c r="Z170" s="2"/>
      <c r="AA170" s="2"/>
      <c r="AD170" s="2"/>
      <c r="AE170" s="2"/>
      <c r="AF170" s="2"/>
      <c r="AG170" s="2"/>
      <c r="AH170" s="2"/>
    </row>
    <row r="171" spans="2:34" x14ac:dyDescent="0.3">
      <c r="B171" s="2"/>
      <c r="C171" s="2"/>
      <c r="D171" s="2"/>
      <c r="E171" s="2"/>
      <c r="F171" s="2"/>
      <c r="I171" s="2"/>
      <c r="J171" s="2"/>
      <c r="K171" s="2"/>
      <c r="L171" s="2"/>
      <c r="M171" s="2"/>
      <c r="P171" s="2"/>
      <c r="Q171" s="2"/>
      <c r="R171" s="2"/>
      <c r="S171" s="2"/>
      <c r="T171" s="2"/>
      <c r="W171" s="2"/>
      <c r="X171" s="2"/>
      <c r="Y171" s="2"/>
      <c r="Z171" s="2"/>
      <c r="AA171" s="2"/>
      <c r="AD171" s="2"/>
      <c r="AE171" s="2"/>
      <c r="AF171" s="2"/>
      <c r="AG171" s="2"/>
      <c r="AH171" s="2"/>
    </row>
    <row r="172" spans="2:34" x14ac:dyDescent="0.3">
      <c r="B172" s="2"/>
      <c r="C172" s="2"/>
      <c r="D172" s="2"/>
      <c r="E172" s="2"/>
      <c r="F172" s="2"/>
      <c r="I172" s="2"/>
      <c r="J172" s="2"/>
      <c r="K172" s="2"/>
      <c r="L172" s="2"/>
      <c r="M172" s="2"/>
      <c r="P172" s="2"/>
      <c r="Q172" s="2"/>
      <c r="R172" s="2"/>
      <c r="S172" s="2"/>
      <c r="T172" s="2"/>
      <c r="W172" s="2"/>
      <c r="X172" s="2"/>
      <c r="Y172" s="2"/>
      <c r="Z172" s="2"/>
      <c r="AA172" s="2"/>
      <c r="AD172" s="2"/>
      <c r="AE172" s="2"/>
      <c r="AF172" s="2"/>
      <c r="AG172" s="2"/>
      <c r="AH172" s="2"/>
    </row>
    <row r="173" spans="2:34" x14ac:dyDescent="0.3">
      <c r="B173" s="2"/>
      <c r="C173" s="2"/>
      <c r="D173" s="2"/>
      <c r="E173" s="2"/>
      <c r="F173" s="2"/>
      <c r="I173" s="2"/>
      <c r="J173" s="2"/>
      <c r="K173" s="2"/>
      <c r="L173" s="2"/>
      <c r="M173" s="2"/>
      <c r="P173" s="2"/>
      <c r="Q173" s="2"/>
      <c r="R173" s="2"/>
      <c r="S173" s="2"/>
      <c r="T173" s="2"/>
      <c r="W173" s="2"/>
      <c r="X173" s="2"/>
      <c r="Y173" s="2"/>
      <c r="Z173" s="2"/>
      <c r="AA173" s="2"/>
      <c r="AD173" s="2"/>
      <c r="AE173" s="2"/>
      <c r="AF173" s="2"/>
      <c r="AG173" s="2"/>
      <c r="AH173" s="2"/>
    </row>
    <row r="174" spans="2:34" x14ac:dyDescent="0.3">
      <c r="B174" s="2"/>
      <c r="C174" s="2"/>
      <c r="D174" s="2"/>
      <c r="E174" s="2"/>
      <c r="F174" s="2"/>
      <c r="I174" s="2"/>
      <c r="J174" s="2"/>
      <c r="K174" s="2"/>
      <c r="L174" s="2"/>
      <c r="M174" s="2"/>
      <c r="P174" s="2"/>
      <c r="Q174" s="2"/>
      <c r="R174" s="2"/>
      <c r="S174" s="2"/>
      <c r="T174" s="2"/>
      <c r="W174" s="2"/>
      <c r="X174" s="2"/>
      <c r="Y174" s="2"/>
      <c r="Z174" s="2"/>
      <c r="AA174" s="2"/>
      <c r="AD174" s="2"/>
      <c r="AE174" s="2"/>
      <c r="AF174" s="2"/>
      <c r="AG174" s="2"/>
      <c r="AH174" s="2"/>
    </row>
    <row r="175" spans="2:34" x14ac:dyDescent="0.3">
      <c r="B175" s="2"/>
      <c r="C175" s="2"/>
      <c r="D175" s="2"/>
      <c r="E175" s="2"/>
      <c r="F175" s="2"/>
      <c r="I175" s="2"/>
      <c r="J175" s="2"/>
      <c r="K175" s="2"/>
      <c r="L175" s="2"/>
      <c r="M175" s="2"/>
      <c r="P175" s="2"/>
      <c r="Q175" s="2"/>
      <c r="R175" s="2"/>
      <c r="S175" s="2"/>
      <c r="T175" s="2"/>
      <c r="W175" s="2"/>
      <c r="X175" s="2"/>
      <c r="Y175" s="2"/>
      <c r="Z175" s="2"/>
      <c r="AA175" s="2"/>
      <c r="AD175" s="2"/>
      <c r="AE175" s="2"/>
      <c r="AF175" s="2"/>
      <c r="AG175" s="2"/>
      <c r="AH175" s="2"/>
    </row>
    <row r="176" spans="2:34" x14ac:dyDescent="0.3">
      <c r="B176" s="2"/>
      <c r="C176" s="2"/>
      <c r="D176" s="2"/>
      <c r="E176" s="2"/>
      <c r="F176" s="2"/>
      <c r="I176" s="2"/>
      <c r="J176" s="2"/>
      <c r="K176" s="2"/>
      <c r="L176" s="2"/>
      <c r="M176" s="2"/>
      <c r="P176" s="2"/>
      <c r="Q176" s="2"/>
      <c r="R176" s="2"/>
      <c r="S176" s="2"/>
      <c r="T176" s="2"/>
      <c r="W176" s="2"/>
      <c r="X176" s="2"/>
      <c r="Y176" s="2"/>
      <c r="Z176" s="2"/>
      <c r="AA176" s="2"/>
      <c r="AD176" s="2"/>
      <c r="AE176" s="2"/>
      <c r="AF176" s="2"/>
      <c r="AG176" s="2"/>
      <c r="AH176" s="2"/>
    </row>
    <row r="177" spans="2:34" x14ac:dyDescent="0.3">
      <c r="B177" s="2"/>
      <c r="C177" s="2"/>
      <c r="D177" s="2"/>
      <c r="E177" s="2"/>
      <c r="F177" s="2"/>
      <c r="I177" s="2"/>
      <c r="J177" s="2"/>
      <c r="K177" s="2"/>
      <c r="L177" s="2"/>
      <c r="M177" s="2"/>
      <c r="P177" s="2"/>
      <c r="Q177" s="2"/>
      <c r="R177" s="2"/>
      <c r="S177" s="2"/>
      <c r="T177" s="2"/>
      <c r="W177" s="2"/>
      <c r="X177" s="2"/>
      <c r="Y177" s="2"/>
      <c r="Z177" s="2"/>
      <c r="AA177" s="2"/>
      <c r="AD177" s="2"/>
      <c r="AE177" s="2"/>
      <c r="AF177" s="2"/>
      <c r="AG177" s="2"/>
      <c r="AH177" s="2"/>
    </row>
    <row r="178" spans="2:34" x14ac:dyDescent="0.3">
      <c r="B178" s="2"/>
      <c r="C178" s="2"/>
      <c r="D178" s="2"/>
      <c r="E178" s="2"/>
      <c r="F178" s="2"/>
      <c r="I178" s="2"/>
      <c r="J178" s="2"/>
      <c r="K178" s="2"/>
      <c r="L178" s="2"/>
      <c r="M178" s="2"/>
      <c r="P178" s="2"/>
      <c r="Q178" s="2"/>
      <c r="R178" s="2"/>
      <c r="S178" s="2"/>
      <c r="T178" s="2"/>
      <c r="W178" s="2"/>
      <c r="X178" s="2"/>
      <c r="Y178" s="2"/>
      <c r="Z178" s="2"/>
      <c r="AA178" s="2"/>
      <c r="AD178" s="2"/>
      <c r="AE178" s="2"/>
      <c r="AF178" s="2"/>
      <c r="AG178" s="2"/>
      <c r="AH178" s="2"/>
    </row>
    <row r="179" spans="2:34" x14ac:dyDescent="0.3">
      <c r="B179" s="2"/>
      <c r="C179" s="2"/>
      <c r="D179" s="2"/>
      <c r="E179" s="2"/>
      <c r="F179" s="2"/>
      <c r="I179" s="2"/>
      <c r="J179" s="2"/>
      <c r="K179" s="2"/>
      <c r="L179" s="2"/>
      <c r="M179" s="2"/>
      <c r="P179" s="2"/>
      <c r="Q179" s="2"/>
      <c r="R179" s="2"/>
      <c r="S179" s="2"/>
      <c r="T179" s="2"/>
      <c r="W179" s="2"/>
      <c r="X179" s="2"/>
      <c r="Y179" s="2"/>
      <c r="Z179" s="2"/>
      <c r="AA179" s="2"/>
      <c r="AD179" s="2"/>
      <c r="AE179" s="2"/>
      <c r="AF179" s="2"/>
      <c r="AG179" s="2"/>
      <c r="AH179" s="2"/>
    </row>
    <row r="180" spans="2:34" x14ac:dyDescent="0.3">
      <c r="B180" s="2"/>
      <c r="C180" s="2"/>
      <c r="D180" s="2"/>
      <c r="E180" s="2"/>
      <c r="F180" s="2"/>
      <c r="I180" s="2"/>
      <c r="J180" s="2"/>
      <c r="K180" s="2"/>
      <c r="L180" s="2"/>
      <c r="M180" s="2"/>
      <c r="P180" s="2"/>
      <c r="Q180" s="2"/>
      <c r="R180" s="2"/>
      <c r="S180" s="2"/>
      <c r="T180" s="2"/>
      <c r="W180" s="2"/>
      <c r="X180" s="2"/>
      <c r="Y180" s="2"/>
      <c r="Z180" s="2"/>
      <c r="AA180" s="2"/>
      <c r="AD180" s="2"/>
      <c r="AE180" s="2"/>
      <c r="AF180" s="2"/>
      <c r="AG180" s="2"/>
      <c r="AH180" s="2"/>
    </row>
    <row r="181" spans="2:34" x14ac:dyDescent="0.3">
      <c r="B181" s="2"/>
      <c r="C181" s="2"/>
      <c r="D181" s="2"/>
      <c r="E181" s="2"/>
      <c r="F181" s="2"/>
      <c r="I181" s="2"/>
      <c r="J181" s="2"/>
      <c r="K181" s="2"/>
      <c r="L181" s="2"/>
      <c r="M181" s="2"/>
      <c r="P181" s="2"/>
      <c r="Q181" s="2"/>
      <c r="R181" s="2"/>
      <c r="S181" s="2"/>
      <c r="T181" s="2"/>
      <c r="W181" s="2"/>
      <c r="X181" s="2"/>
      <c r="Y181" s="2"/>
      <c r="Z181" s="2"/>
      <c r="AA181" s="2"/>
      <c r="AD181" s="2"/>
      <c r="AE181" s="2"/>
      <c r="AF181" s="2"/>
      <c r="AG181" s="2"/>
      <c r="AH181" s="2"/>
    </row>
    <row r="182" spans="2:34" x14ac:dyDescent="0.3">
      <c r="B182" s="2"/>
      <c r="C182" s="2"/>
      <c r="D182" s="2"/>
      <c r="E182" s="2"/>
      <c r="F182" s="2"/>
      <c r="I182" s="2"/>
      <c r="J182" s="2"/>
      <c r="K182" s="2"/>
      <c r="L182" s="2"/>
      <c r="M182" s="2"/>
      <c r="P182" s="2"/>
      <c r="Q182" s="2"/>
      <c r="R182" s="2"/>
      <c r="S182" s="2"/>
      <c r="T182" s="2"/>
      <c r="W182" s="2"/>
      <c r="X182" s="2"/>
      <c r="Y182" s="2"/>
      <c r="Z182" s="2"/>
      <c r="AA182" s="2"/>
      <c r="AD182" s="2"/>
      <c r="AE182" s="2"/>
      <c r="AF182" s="2"/>
      <c r="AG182" s="2"/>
      <c r="AH182" s="2"/>
    </row>
    <row r="183" spans="2:34" x14ac:dyDescent="0.3">
      <c r="B183" s="2"/>
      <c r="C183" s="2"/>
      <c r="D183" s="2"/>
      <c r="E183" s="2"/>
      <c r="F183" s="2"/>
      <c r="I183" s="2"/>
      <c r="J183" s="2"/>
      <c r="K183" s="2"/>
      <c r="L183" s="2"/>
      <c r="M183" s="2"/>
      <c r="P183" s="2"/>
      <c r="Q183" s="2"/>
      <c r="R183" s="2"/>
      <c r="S183" s="2"/>
      <c r="T183" s="2"/>
      <c r="W183" s="2"/>
      <c r="X183" s="2"/>
      <c r="Y183" s="2"/>
      <c r="Z183" s="2"/>
      <c r="AA183" s="2"/>
      <c r="AD183" s="2"/>
      <c r="AE183" s="2"/>
      <c r="AF183" s="2"/>
      <c r="AG183" s="2"/>
      <c r="AH183" s="2"/>
    </row>
    <row r="184" spans="2:34" x14ac:dyDescent="0.3">
      <c r="B184" s="2"/>
      <c r="C184" s="2"/>
      <c r="D184" s="2"/>
      <c r="E184" s="2"/>
      <c r="F184" s="2"/>
      <c r="I184" s="2"/>
      <c r="J184" s="2"/>
      <c r="K184" s="2"/>
      <c r="L184" s="2"/>
      <c r="M184" s="2"/>
      <c r="P184" s="2"/>
      <c r="Q184" s="2"/>
      <c r="R184" s="2"/>
      <c r="S184" s="2"/>
      <c r="T184" s="2"/>
      <c r="W184" s="2"/>
      <c r="X184" s="2"/>
      <c r="Y184" s="2"/>
      <c r="Z184" s="2"/>
      <c r="AA184" s="2"/>
      <c r="AD184" s="2"/>
      <c r="AE184" s="2"/>
      <c r="AF184" s="2"/>
      <c r="AG184" s="2"/>
      <c r="AH184" s="2"/>
    </row>
    <row r="185" spans="2:34" x14ac:dyDescent="0.3">
      <c r="B185" s="2"/>
      <c r="C185" s="2"/>
      <c r="D185" s="2"/>
      <c r="E185" s="2"/>
      <c r="F185" s="2"/>
      <c r="I185" s="2"/>
      <c r="J185" s="2"/>
      <c r="K185" s="2"/>
      <c r="L185" s="2"/>
      <c r="M185" s="2"/>
      <c r="P185" s="2"/>
      <c r="Q185" s="2"/>
      <c r="R185" s="2"/>
      <c r="S185" s="2"/>
      <c r="T185" s="2"/>
      <c r="W185" s="2"/>
      <c r="X185" s="2"/>
      <c r="Y185" s="2"/>
      <c r="Z185" s="2"/>
      <c r="AA185" s="2"/>
      <c r="AD185" s="2"/>
      <c r="AE185" s="2"/>
      <c r="AF185" s="2"/>
      <c r="AG185" s="2"/>
      <c r="AH185" s="2"/>
    </row>
    <row r="186" spans="2:34" x14ac:dyDescent="0.3">
      <c r="B186" s="2"/>
      <c r="C186" s="2"/>
      <c r="D186" s="2"/>
      <c r="E186" s="2"/>
      <c r="F186" s="2"/>
      <c r="I186" s="2"/>
      <c r="J186" s="2"/>
      <c r="K186" s="2"/>
      <c r="L186" s="2"/>
      <c r="M186" s="2"/>
      <c r="P186" s="2"/>
      <c r="Q186" s="2"/>
      <c r="R186" s="2"/>
      <c r="S186" s="2"/>
      <c r="T186" s="2"/>
      <c r="W186" s="2"/>
      <c r="X186" s="2"/>
      <c r="Y186" s="2"/>
      <c r="Z186" s="2"/>
      <c r="AA186" s="2"/>
      <c r="AD186" s="2"/>
      <c r="AE186" s="2"/>
      <c r="AF186" s="2"/>
      <c r="AG186" s="2"/>
      <c r="AH186" s="2"/>
    </row>
    <row r="187" spans="2:34" x14ac:dyDescent="0.3">
      <c r="B187" s="2"/>
      <c r="C187" s="2"/>
      <c r="D187" s="2"/>
      <c r="E187" s="2"/>
      <c r="F187" s="2"/>
      <c r="I187" s="2"/>
      <c r="J187" s="2"/>
      <c r="K187" s="2"/>
      <c r="L187" s="2"/>
      <c r="M187" s="2"/>
      <c r="P187" s="2"/>
      <c r="Q187" s="2"/>
      <c r="R187" s="2"/>
      <c r="S187" s="2"/>
      <c r="T187" s="2"/>
      <c r="W187" s="2"/>
      <c r="X187" s="2"/>
      <c r="Y187" s="2"/>
      <c r="Z187" s="2"/>
      <c r="AA187" s="2"/>
      <c r="AD187" s="2"/>
      <c r="AE187" s="2"/>
      <c r="AF187" s="2"/>
      <c r="AG187" s="2"/>
      <c r="AH187" s="2"/>
    </row>
    <row r="188" spans="2:34" x14ac:dyDescent="0.3">
      <c r="B188" s="2"/>
      <c r="C188" s="2"/>
      <c r="D188" s="2"/>
      <c r="E188" s="2"/>
      <c r="F188" s="2"/>
      <c r="I188" s="2"/>
      <c r="J188" s="2"/>
      <c r="K188" s="2"/>
      <c r="L188" s="2"/>
      <c r="M188" s="2"/>
      <c r="P188" s="2"/>
      <c r="Q188" s="2"/>
      <c r="R188" s="2"/>
      <c r="S188" s="2"/>
      <c r="T188" s="2"/>
      <c r="W188" s="2"/>
      <c r="X188" s="2"/>
      <c r="Y188" s="2"/>
      <c r="Z188" s="2"/>
      <c r="AA188" s="2"/>
      <c r="AD188" s="2"/>
      <c r="AE188" s="2"/>
      <c r="AF188" s="2"/>
      <c r="AG188" s="2"/>
      <c r="AH188" s="2"/>
    </row>
    <row r="189" spans="2:34" x14ac:dyDescent="0.3">
      <c r="B189" s="2"/>
      <c r="C189" s="2"/>
      <c r="D189" s="2"/>
      <c r="E189" s="2"/>
      <c r="F189" s="2"/>
      <c r="I189" s="2"/>
      <c r="J189" s="2"/>
      <c r="K189" s="2"/>
      <c r="L189" s="2"/>
      <c r="M189" s="2"/>
      <c r="P189" s="2"/>
      <c r="Q189" s="2"/>
      <c r="R189" s="2"/>
      <c r="S189" s="2"/>
      <c r="T189" s="2"/>
      <c r="W189" s="2"/>
      <c r="X189" s="2"/>
      <c r="Y189" s="2"/>
      <c r="Z189" s="2"/>
      <c r="AA189" s="2"/>
      <c r="AD189" s="2"/>
      <c r="AE189" s="2"/>
      <c r="AF189" s="2"/>
      <c r="AG189" s="2"/>
      <c r="AH189" s="2"/>
    </row>
    <row r="190" spans="2:34" x14ac:dyDescent="0.3">
      <c r="B190" s="2"/>
      <c r="C190" s="2"/>
      <c r="D190" s="2"/>
      <c r="E190" s="2"/>
      <c r="F190" s="2"/>
      <c r="I190" s="2"/>
      <c r="J190" s="2"/>
      <c r="K190" s="2"/>
      <c r="L190" s="2"/>
      <c r="M190" s="2"/>
      <c r="P190" s="2"/>
      <c r="Q190" s="2"/>
      <c r="R190" s="2"/>
      <c r="S190" s="2"/>
      <c r="T190" s="2"/>
      <c r="W190" s="2"/>
      <c r="X190" s="2"/>
      <c r="Y190" s="2"/>
      <c r="Z190" s="2"/>
      <c r="AA190" s="2"/>
      <c r="AD190" s="2"/>
      <c r="AE190" s="2"/>
      <c r="AF190" s="2"/>
      <c r="AG190" s="2"/>
      <c r="AH190" s="2"/>
    </row>
    <row r="191" spans="2:34" x14ac:dyDescent="0.3">
      <c r="B191" s="2"/>
      <c r="C191" s="2"/>
      <c r="D191" s="2"/>
      <c r="E191" s="2"/>
      <c r="F191" s="2"/>
      <c r="I191" s="2"/>
      <c r="J191" s="2"/>
      <c r="K191" s="2"/>
      <c r="L191" s="2"/>
      <c r="M191" s="2"/>
      <c r="P191" s="2"/>
      <c r="Q191" s="2"/>
      <c r="R191" s="2"/>
      <c r="S191" s="2"/>
      <c r="T191" s="2"/>
      <c r="W191" s="2"/>
      <c r="X191" s="2"/>
      <c r="Y191" s="2"/>
      <c r="Z191" s="2"/>
      <c r="AA191" s="2"/>
      <c r="AD191" s="2"/>
      <c r="AE191" s="2"/>
      <c r="AF191" s="2"/>
      <c r="AG191" s="2"/>
      <c r="AH191" s="2"/>
    </row>
    <row r="192" spans="2:34" x14ac:dyDescent="0.3">
      <c r="B192" s="2"/>
      <c r="C192" s="2"/>
      <c r="D192" s="2"/>
      <c r="E192" s="2"/>
      <c r="F192" s="2"/>
      <c r="I192" s="2"/>
      <c r="J192" s="2"/>
      <c r="K192" s="2"/>
      <c r="L192" s="2"/>
      <c r="M192" s="2"/>
      <c r="P192" s="2"/>
      <c r="Q192" s="2"/>
      <c r="R192" s="2"/>
      <c r="S192" s="2"/>
      <c r="T192" s="2"/>
      <c r="W192" s="2"/>
      <c r="X192" s="2"/>
      <c r="Y192" s="2"/>
      <c r="Z192" s="2"/>
      <c r="AA192" s="2"/>
      <c r="AD192" s="2"/>
      <c r="AE192" s="2"/>
      <c r="AF192" s="2"/>
      <c r="AG192" s="2"/>
      <c r="AH192" s="2"/>
    </row>
    <row r="193" spans="2:34" x14ac:dyDescent="0.3">
      <c r="B193" s="2"/>
      <c r="C193" s="2"/>
      <c r="D193" s="2"/>
      <c r="E193" s="2"/>
      <c r="F193" s="2"/>
      <c r="I193" s="2"/>
      <c r="J193" s="2"/>
      <c r="K193" s="2"/>
      <c r="L193" s="2"/>
      <c r="M193" s="2"/>
      <c r="P193" s="2"/>
      <c r="Q193" s="2"/>
      <c r="R193" s="2"/>
      <c r="S193" s="2"/>
      <c r="T193" s="2"/>
      <c r="W193" s="2"/>
      <c r="X193" s="2"/>
      <c r="Y193" s="2"/>
      <c r="Z193" s="2"/>
      <c r="AA193" s="2"/>
      <c r="AD193" s="2"/>
      <c r="AE193" s="2"/>
      <c r="AF193" s="2"/>
      <c r="AG193" s="2"/>
      <c r="AH193" s="2"/>
    </row>
    <row r="194" spans="2:34" x14ac:dyDescent="0.3">
      <c r="B194" s="2"/>
      <c r="C194" s="2"/>
      <c r="D194" s="2"/>
      <c r="E194" s="2"/>
      <c r="F194" s="2"/>
      <c r="I194" s="2"/>
      <c r="J194" s="2"/>
      <c r="K194" s="2"/>
      <c r="L194" s="2"/>
      <c r="M194" s="2"/>
      <c r="P194" s="2"/>
      <c r="Q194" s="2"/>
      <c r="R194" s="2"/>
      <c r="S194" s="2"/>
      <c r="T194" s="2"/>
      <c r="W194" s="2"/>
      <c r="X194" s="2"/>
      <c r="Y194" s="2"/>
      <c r="Z194" s="2"/>
      <c r="AA194" s="2"/>
      <c r="AD194" s="2"/>
      <c r="AE194" s="2"/>
      <c r="AF194" s="2"/>
      <c r="AG194" s="2"/>
      <c r="AH194" s="2"/>
    </row>
    <row r="195" spans="2:34" x14ac:dyDescent="0.3">
      <c r="B195" s="2"/>
      <c r="C195" s="2"/>
      <c r="D195" s="2"/>
      <c r="E195" s="2"/>
      <c r="F195" s="2"/>
      <c r="I195" s="2"/>
      <c r="J195" s="2"/>
      <c r="K195" s="2"/>
      <c r="L195" s="2"/>
      <c r="M195" s="2"/>
      <c r="P195" s="2"/>
      <c r="Q195" s="2"/>
      <c r="R195" s="2"/>
      <c r="S195" s="2"/>
      <c r="T195" s="2"/>
      <c r="W195" s="2"/>
      <c r="X195" s="2"/>
      <c r="Y195" s="2"/>
      <c r="Z195" s="2"/>
      <c r="AA195" s="2"/>
      <c r="AD195" s="2"/>
      <c r="AE195" s="2"/>
      <c r="AF195" s="2"/>
      <c r="AG195" s="2"/>
      <c r="AH195" s="2"/>
    </row>
    <row r="196" spans="2:34" x14ac:dyDescent="0.3">
      <c r="B196" s="2"/>
      <c r="C196" s="2"/>
      <c r="D196" s="2"/>
      <c r="E196" s="2"/>
      <c r="F196" s="2"/>
      <c r="I196" s="2"/>
      <c r="J196" s="2"/>
      <c r="K196" s="2"/>
      <c r="L196" s="2"/>
      <c r="M196" s="2"/>
      <c r="P196" s="2"/>
      <c r="Q196" s="2"/>
      <c r="R196" s="2"/>
      <c r="S196" s="2"/>
      <c r="T196" s="2"/>
      <c r="W196" s="2"/>
      <c r="X196" s="2"/>
      <c r="Y196" s="2"/>
      <c r="Z196" s="2"/>
      <c r="AA196" s="2"/>
      <c r="AD196" s="2"/>
      <c r="AE196" s="2"/>
      <c r="AF196" s="2"/>
      <c r="AG196" s="2"/>
      <c r="AH196" s="2"/>
    </row>
    <row r="197" spans="2:34" x14ac:dyDescent="0.3">
      <c r="B197" s="2"/>
      <c r="C197" s="2"/>
      <c r="D197" s="2"/>
      <c r="E197" s="2"/>
      <c r="F197" s="2"/>
      <c r="I197" s="2"/>
      <c r="J197" s="2"/>
      <c r="K197" s="2"/>
      <c r="L197" s="2"/>
      <c r="M197" s="2"/>
      <c r="P197" s="2"/>
      <c r="Q197" s="2"/>
      <c r="R197" s="2"/>
      <c r="S197" s="2"/>
      <c r="T197" s="2"/>
      <c r="W197" s="2"/>
      <c r="X197" s="2"/>
      <c r="Y197" s="2"/>
      <c r="Z197" s="2"/>
      <c r="AA197" s="2"/>
      <c r="AD197" s="2"/>
      <c r="AE197" s="2"/>
      <c r="AF197" s="2"/>
      <c r="AG197" s="2"/>
      <c r="AH197" s="2"/>
    </row>
    <row r="198" spans="2:34" x14ac:dyDescent="0.3">
      <c r="B198" s="2"/>
      <c r="C198" s="2"/>
      <c r="D198" s="2"/>
      <c r="E198" s="2"/>
      <c r="F198" s="2"/>
      <c r="I198" s="2"/>
      <c r="J198" s="2"/>
      <c r="K198" s="2"/>
      <c r="L198" s="2"/>
      <c r="M198" s="2"/>
      <c r="P198" s="2"/>
      <c r="Q198" s="2"/>
      <c r="R198" s="2"/>
      <c r="S198" s="2"/>
      <c r="T198" s="2"/>
      <c r="W198" s="2"/>
      <c r="X198" s="2"/>
      <c r="Y198" s="2"/>
      <c r="Z198" s="2"/>
      <c r="AA198" s="2"/>
      <c r="AD198" s="2"/>
      <c r="AE198" s="2"/>
      <c r="AF198" s="2"/>
      <c r="AG198" s="2"/>
      <c r="AH198" s="2"/>
    </row>
    <row r="199" spans="2:34" x14ac:dyDescent="0.3">
      <c r="B199" s="2"/>
      <c r="C199" s="2"/>
      <c r="D199" s="2"/>
      <c r="E199" s="2"/>
      <c r="F199" s="2"/>
      <c r="I199" s="2"/>
      <c r="J199" s="2"/>
      <c r="K199" s="2"/>
      <c r="L199" s="2"/>
      <c r="M199" s="2"/>
      <c r="P199" s="2"/>
      <c r="Q199" s="2"/>
      <c r="R199" s="2"/>
      <c r="S199" s="2"/>
      <c r="T199" s="2"/>
      <c r="W199" s="2"/>
      <c r="X199" s="2"/>
      <c r="Y199" s="2"/>
      <c r="Z199" s="2"/>
      <c r="AA199" s="2"/>
      <c r="AD199" s="2"/>
      <c r="AE199" s="2"/>
      <c r="AF199" s="2"/>
      <c r="AG199" s="2"/>
      <c r="AH199" s="2"/>
    </row>
    <row r="200" spans="2:34" x14ac:dyDescent="0.3">
      <c r="B200" s="2"/>
      <c r="C200" s="2"/>
      <c r="D200" s="2"/>
      <c r="E200" s="2"/>
      <c r="F200" s="2"/>
      <c r="I200" s="2"/>
      <c r="J200" s="2"/>
      <c r="K200" s="2"/>
      <c r="L200" s="2"/>
      <c r="M200" s="2"/>
      <c r="P200" s="2"/>
      <c r="Q200" s="2"/>
      <c r="R200" s="2"/>
      <c r="S200" s="2"/>
      <c r="T200" s="2"/>
      <c r="W200" s="2"/>
      <c r="X200" s="2"/>
      <c r="Y200" s="2"/>
      <c r="Z200" s="2"/>
      <c r="AA200" s="2"/>
      <c r="AD200" s="2"/>
      <c r="AE200" s="2"/>
      <c r="AF200" s="2"/>
      <c r="AG200" s="2"/>
      <c r="AH200" s="2"/>
    </row>
    <row r="201" spans="2:34" x14ac:dyDescent="0.3">
      <c r="B201" s="2"/>
      <c r="C201" s="2"/>
      <c r="D201" s="2"/>
      <c r="E201" s="2"/>
      <c r="F201" s="2"/>
      <c r="I201" s="2"/>
      <c r="J201" s="2"/>
      <c r="K201" s="2"/>
      <c r="L201" s="2"/>
      <c r="M201" s="2"/>
      <c r="P201" s="2"/>
      <c r="Q201" s="2"/>
      <c r="R201" s="2"/>
      <c r="S201" s="2"/>
      <c r="T201" s="2"/>
      <c r="W201" s="2"/>
      <c r="X201" s="2"/>
      <c r="Y201" s="2"/>
      <c r="Z201" s="2"/>
      <c r="AA201" s="2"/>
      <c r="AD201" s="2"/>
      <c r="AE201" s="2"/>
      <c r="AF201" s="2"/>
      <c r="AG201" s="2"/>
      <c r="AH201" s="2"/>
    </row>
    <row r="202" spans="2:34" x14ac:dyDescent="0.3">
      <c r="B202" s="2"/>
      <c r="C202" s="2"/>
      <c r="D202" s="2"/>
      <c r="E202" s="2"/>
      <c r="F202" s="2"/>
      <c r="I202" s="2"/>
      <c r="J202" s="2"/>
      <c r="K202" s="2"/>
      <c r="L202" s="2"/>
      <c r="M202" s="2"/>
      <c r="P202" s="2"/>
      <c r="Q202" s="2"/>
      <c r="R202" s="2"/>
      <c r="S202" s="2"/>
      <c r="T202" s="2"/>
      <c r="W202" s="2"/>
      <c r="X202" s="2"/>
      <c r="Y202" s="2"/>
      <c r="Z202" s="2"/>
      <c r="AA202" s="2"/>
      <c r="AD202" s="2"/>
      <c r="AE202" s="2"/>
      <c r="AF202" s="2"/>
      <c r="AG202" s="2"/>
      <c r="AH202" s="2"/>
    </row>
    <row r="203" spans="2:34" x14ac:dyDescent="0.3">
      <c r="B203" s="2"/>
      <c r="C203" s="2"/>
      <c r="D203" s="2"/>
      <c r="E203" s="2"/>
      <c r="F203" s="2"/>
      <c r="I203" s="2"/>
      <c r="J203" s="2"/>
      <c r="K203" s="2"/>
      <c r="L203" s="2"/>
      <c r="M203" s="2"/>
      <c r="P203" s="2"/>
      <c r="Q203" s="2"/>
      <c r="R203" s="2"/>
      <c r="S203" s="2"/>
      <c r="T203" s="2"/>
      <c r="W203" s="2"/>
      <c r="X203" s="2"/>
      <c r="Y203" s="2"/>
      <c r="Z203" s="2"/>
      <c r="AA203" s="2"/>
      <c r="AD203" s="2"/>
      <c r="AE203" s="2"/>
      <c r="AF203" s="2"/>
      <c r="AG203" s="2"/>
      <c r="AH203" s="2"/>
    </row>
    <row r="204" spans="2:34" x14ac:dyDescent="0.3">
      <c r="B204" s="2"/>
      <c r="C204" s="2"/>
      <c r="D204" s="2"/>
      <c r="E204" s="2"/>
      <c r="F204" s="2"/>
      <c r="I204" s="2"/>
      <c r="J204" s="2"/>
      <c r="K204" s="2"/>
      <c r="L204" s="2"/>
      <c r="M204" s="2"/>
      <c r="P204" s="2"/>
      <c r="Q204" s="2"/>
      <c r="R204" s="2"/>
      <c r="S204" s="2"/>
      <c r="T204" s="2"/>
      <c r="W204" s="2"/>
      <c r="X204" s="2"/>
      <c r="Y204" s="2"/>
      <c r="Z204" s="2"/>
      <c r="AA204" s="2"/>
      <c r="AD204" s="2"/>
      <c r="AE204" s="2"/>
      <c r="AF204" s="2"/>
      <c r="AG204" s="2"/>
      <c r="AH204" s="2"/>
    </row>
    <row r="205" spans="2:34" x14ac:dyDescent="0.3">
      <c r="B205" s="2"/>
      <c r="C205" s="2"/>
      <c r="D205" s="2"/>
      <c r="E205" s="2"/>
      <c r="F205" s="2"/>
      <c r="I205" s="2"/>
      <c r="J205" s="2"/>
      <c r="K205" s="2"/>
      <c r="L205" s="2"/>
      <c r="M205" s="2"/>
      <c r="P205" s="2"/>
      <c r="Q205" s="2"/>
      <c r="R205" s="2"/>
      <c r="S205" s="2"/>
      <c r="T205" s="2"/>
      <c r="W205" s="2"/>
      <c r="X205" s="2"/>
      <c r="Y205" s="2"/>
      <c r="Z205" s="2"/>
      <c r="AA205" s="2"/>
      <c r="AD205" s="2"/>
      <c r="AE205" s="2"/>
      <c r="AF205" s="2"/>
      <c r="AG205" s="2"/>
      <c r="AH205" s="2"/>
    </row>
    <row r="206" spans="2:34" x14ac:dyDescent="0.3">
      <c r="B206" s="2"/>
      <c r="C206" s="2"/>
      <c r="D206" s="2"/>
      <c r="E206" s="2"/>
      <c r="F206" s="2"/>
      <c r="I206" s="2"/>
      <c r="J206" s="2"/>
      <c r="K206" s="2"/>
      <c r="L206" s="2"/>
      <c r="M206" s="2"/>
      <c r="P206" s="2"/>
      <c r="Q206" s="2"/>
      <c r="R206" s="2"/>
      <c r="S206" s="2"/>
      <c r="T206" s="2"/>
      <c r="W206" s="2"/>
      <c r="X206" s="2"/>
      <c r="Y206" s="2"/>
      <c r="Z206" s="2"/>
      <c r="AA206" s="2"/>
      <c r="AD206" s="2"/>
      <c r="AE206" s="2"/>
      <c r="AF206" s="2"/>
      <c r="AG206" s="2"/>
      <c r="AH206" s="2"/>
    </row>
    <row r="207" spans="2:34" x14ac:dyDescent="0.3">
      <c r="B207" s="2"/>
      <c r="C207" s="2"/>
      <c r="D207" s="2"/>
      <c r="E207" s="2"/>
      <c r="F207" s="2"/>
      <c r="I207" s="2"/>
      <c r="J207" s="2"/>
      <c r="K207" s="2"/>
      <c r="L207" s="2"/>
      <c r="M207" s="2"/>
      <c r="P207" s="2"/>
      <c r="Q207" s="2"/>
      <c r="R207" s="2"/>
      <c r="S207" s="2"/>
      <c r="T207" s="2"/>
      <c r="W207" s="2"/>
      <c r="X207" s="2"/>
      <c r="Y207" s="2"/>
      <c r="Z207" s="2"/>
      <c r="AA207" s="2"/>
      <c r="AD207" s="2"/>
      <c r="AE207" s="2"/>
      <c r="AF207" s="2"/>
      <c r="AG207" s="2"/>
      <c r="AH207" s="2"/>
    </row>
    <row r="208" spans="2:34" x14ac:dyDescent="0.3">
      <c r="B208" s="2"/>
      <c r="C208" s="2"/>
      <c r="D208" s="2"/>
      <c r="E208" s="2"/>
      <c r="F208" s="2"/>
      <c r="I208" s="2"/>
      <c r="J208" s="2"/>
      <c r="K208" s="2"/>
      <c r="L208" s="2"/>
      <c r="M208" s="2"/>
      <c r="P208" s="2"/>
      <c r="Q208" s="2"/>
      <c r="R208" s="2"/>
      <c r="S208" s="2"/>
      <c r="T208" s="2"/>
      <c r="W208" s="2"/>
      <c r="X208" s="2"/>
      <c r="Y208" s="2"/>
      <c r="Z208" s="2"/>
      <c r="AA208" s="2"/>
      <c r="AD208" s="2"/>
      <c r="AE208" s="2"/>
      <c r="AF208" s="2"/>
      <c r="AG208" s="2"/>
      <c r="AH208" s="2"/>
    </row>
    <row r="209" spans="2:34" x14ac:dyDescent="0.3">
      <c r="B209" s="2"/>
      <c r="C209" s="2"/>
      <c r="D209" s="2"/>
      <c r="E209" s="2"/>
      <c r="F209" s="2"/>
      <c r="I209" s="2"/>
      <c r="J209" s="2"/>
      <c r="K209" s="2"/>
      <c r="L209" s="2"/>
      <c r="M209" s="2"/>
      <c r="P209" s="2"/>
      <c r="Q209" s="2"/>
      <c r="R209" s="2"/>
      <c r="S209" s="2"/>
      <c r="T209" s="2"/>
      <c r="W209" s="2"/>
      <c r="X209" s="2"/>
      <c r="Y209" s="2"/>
      <c r="Z209" s="2"/>
      <c r="AA209" s="2"/>
      <c r="AD209" s="2"/>
      <c r="AE209" s="2"/>
      <c r="AF209" s="2"/>
      <c r="AG209" s="2"/>
      <c r="AH209" s="2"/>
    </row>
    <row r="210" spans="2:34" x14ac:dyDescent="0.3">
      <c r="B210" s="2"/>
      <c r="C210" s="2"/>
      <c r="D210" s="2"/>
      <c r="E210" s="2"/>
      <c r="F210" s="2"/>
      <c r="I210" s="2"/>
      <c r="J210" s="2"/>
      <c r="K210" s="2"/>
      <c r="L210" s="2"/>
      <c r="M210" s="2"/>
      <c r="P210" s="2"/>
      <c r="Q210" s="2"/>
      <c r="R210" s="2"/>
      <c r="S210" s="2"/>
      <c r="T210" s="2"/>
      <c r="W210" s="2"/>
      <c r="X210" s="2"/>
      <c r="Y210" s="2"/>
      <c r="Z210" s="2"/>
      <c r="AA210" s="2"/>
      <c r="AD210" s="2"/>
      <c r="AE210" s="2"/>
      <c r="AF210" s="2"/>
      <c r="AG210" s="2"/>
      <c r="AH210" s="2"/>
    </row>
    <row r="211" spans="2:34" x14ac:dyDescent="0.3">
      <c r="B211" s="2"/>
      <c r="C211" s="2"/>
      <c r="D211" s="2"/>
      <c r="E211" s="2"/>
      <c r="F211" s="2"/>
      <c r="I211" s="2"/>
      <c r="J211" s="2"/>
      <c r="K211" s="2"/>
      <c r="L211" s="2"/>
      <c r="M211" s="2"/>
      <c r="P211" s="2"/>
      <c r="Q211" s="2"/>
      <c r="R211" s="2"/>
      <c r="S211" s="2"/>
      <c r="T211" s="2"/>
      <c r="W211" s="2"/>
      <c r="X211" s="2"/>
      <c r="Y211" s="2"/>
      <c r="Z211" s="2"/>
      <c r="AA211" s="2"/>
      <c r="AD211" s="2"/>
      <c r="AE211" s="2"/>
      <c r="AF211" s="2"/>
      <c r="AG211" s="2"/>
      <c r="AH211" s="2"/>
    </row>
    <row r="212" spans="2:34" x14ac:dyDescent="0.3">
      <c r="B212" s="2"/>
      <c r="C212" s="2"/>
      <c r="D212" s="2"/>
      <c r="E212" s="2"/>
      <c r="F212" s="2"/>
      <c r="I212" s="2"/>
      <c r="J212" s="2"/>
      <c r="K212" s="2"/>
      <c r="L212" s="2"/>
      <c r="M212" s="2"/>
      <c r="P212" s="2"/>
      <c r="Q212" s="2"/>
      <c r="R212" s="2"/>
      <c r="S212" s="2"/>
      <c r="T212" s="2"/>
      <c r="W212" s="2"/>
      <c r="X212" s="2"/>
      <c r="Y212" s="2"/>
      <c r="Z212" s="2"/>
      <c r="AA212" s="2"/>
      <c r="AD212" s="2"/>
      <c r="AE212" s="2"/>
      <c r="AF212" s="2"/>
      <c r="AG212" s="2"/>
      <c r="AH212" s="2"/>
    </row>
    <row r="213" spans="2:34" x14ac:dyDescent="0.3">
      <c r="B213" s="2"/>
      <c r="C213" s="2"/>
      <c r="D213" s="2"/>
      <c r="E213" s="2"/>
      <c r="F213" s="2"/>
      <c r="I213" s="2"/>
      <c r="J213" s="2"/>
      <c r="K213" s="2"/>
      <c r="L213" s="2"/>
      <c r="M213" s="2"/>
      <c r="P213" s="2"/>
      <c r="Q213" s="2"/>
      <c r="R213" s="2"/>
      <c r="S213" s="2"/>
      <c r="T213" s="2"/>
      <c r="W213" s="2"/>
      <c r="X213" s="2"/>
      <c r="Y213" s="2"/>
      <c r="Z213" s="2"/>
      <c r="AA213" s="2"/>
      <c r="AD213" s="2"/>
      <c r="AE213" s="2"/>
      <c r="AF213" s="2"/>
      <c r="AG213" s="2"/>
      <c r="AH213" s="2"/>
    </row>
    <row r="214" spans="2:34" x14ac:dyDescent="0.3">
      <c r="B214" s="2"/>
      <c r="C214" s="2"/>
      <c r="D214" s="2"/>
      <c r="E214" s="2"/>
      <c r="F214" s="2"/>
      <c r="I214" s="2"/>
      <c r="J214" s="2"/>
      <c r="K214" s="2"/>
      <c r="L214" s="2"/>
      <c r="M214" s="2"/>
      <c r="P214" s="2"/>
      <c r="Q214" s="2"/>
      <c r="R214" s="2"/>
      <c r="S214" s="2"/>
      <c r="T214" s="2"/>
      <c r="W214" s="2"/>
      <c r="X214" s="2"/>
      <c r="Y214" s="2"/>
      <c r="Z214" s="2"/>
      <c r="AA214" s="2"/>
      <c r="AD214" s="2"/>
      <c r="AE214" s="2"/>
      <c r="AF214" s="2"/>
      <c r="AG214" s="2"/>
      <c r="AH214" s="2"/>
    </row>
    <row r="215" spans="2:34" x14ac:dyDescent="0.3">
      <c r="B215" s="2"/>
      <c r="C215" s="2"/>
      <c r="D215" s="2"/>
      <c r="E215" s="2"/>
      <c r="F215" s="2"/>
      <c r="I215" s="2"/>
      <c r="J215" s="2"/>
      <c r="K215" s="2"/>
      <c r="L215" s="2"/>
      <c r="M215" s="2"/>
      <c r="P215" s="2"/>
      <c r="Q215" s="2"/>
      <c r="R215" s="2"/>
      <c r="S215" s="2"/>
      <c r="T215" s="2"/>
      <c r="W215" s="2"/>
      <c r="X215" s="2"/>
      <c r="Y215" s="2"/>
      <c r="Z215" s="2"/>
      <c r="AA215" s="2"/>
      <c r="AD215" s="2"/>
      <c r="AE215" s="2"/>
      <c r="AF215" s="2"/>
      <c r="AG215" s="2"/>
      <c r="AH215" s="2"/>
    </row>
    <row r="216" spans="2:34" x14ac:dyDescent="0.3">
      <c r="B216" s="2"/>
      <c r="C216" s="2"/>
      <c r="D216" s="2"/>
      <c r="E216" s="2"/>
      <c r="F216" s="2"/>
      <c r="I216" s="2"/>
      <c r="J216" s="2"/>
      <c r="K216" s="2"/>
      <c r="L216" s="2"/>
      <c r="M216" s="2"/>
      <c r="P216" s="2"/>
      <c r="Q216" s="2"/>
      <c r="R216" s="2"/>
      <c r="S216" s="2"/>
      <c r="T216" s="2"/>
      <c r="W216" s="2"/>
      <c r="X216" s="2"/>
      <c r="Y216" s="2"/>
      <c r="Z216" s="2"/>
      <c r="AA216" s="2"/>
      <c r="AD216" s="2"/>
      <c r="AE216" s="2"/>
      <c r="AF216" s="2"/>
      <c r="AG216" s="2"/>
      <c r="AH216" s="2"/>
    </row>
    <row r="217" spans="2:34" x14ac:dyDescent="0.3">
      <c r="B217" s="2"/>
      <c r="C217" s="2"/>
      <c r="D217" s="2"/>
      <c r="E217" s="2"/>
      <c r="F217" s="2"/>
      <c r="I217" s="2"/>
      <c r="J217" s="2"/>
      <c r="K217" s="2"/>
      <c r="L217" s="2"/>
      <c r="M217" s="2"/>
      <c r="P217" s="2"/>
      <c r="Q217" s="2"/>
      <c r="R217" s="2"/>
      <c r="S217" s="2"/>
      <c r="T217" s="2"/>
      <c r="W217" s="2"/>
      <c r="X217" s="2"/>
      <c r="Y217" s="2"/>
      <c r="Z217" s="2"/>
      <c r="AA217" s="2"/>
      <c r="AD217" s="2"/>
      <c r="AE217" s="2"/>
      <c r="AF217" s="2"/>
      <c r="AG217" s="2"/>
      <c r="AH217" s="2"/>
    </row>
    <row r="218" spans="2:34" x14ac:dyDescent="0.3">
      <c r="B218" s="2"/>
      <c r="C218" s="2"/>
      <c r="D218" s="2"/>
      <c r="E218" s="2"/>
      <c r="F218" s="2"/>
      <c r="I218" s="2"/>
      <c r="J218" s="2"/>
      <c r="K218" s="2"/>
      <c r="L218" s="2"/>
      <c r="M218" s="2"/>
      <c r="P218" s="2"/>
      <c r="Q218" s="2"/>
      <c r="R218" s="2"/>
      <c r="S218" s="2"/>
      <c r="T218" s="2"/>
      <c r="W218" s="2"/>
      <c r="X218" s="2"/>
      <c r="Y218" s="2"/>
      <c r="Z218" s="2"/>
      <c r="AA218" s="2"/>
      <c r="AD218" s="2"/>
      <c r="AE218" s="2"/>
      <c r="AF218" s="2"/>
      <c r="AG218" s="2"/>
      <c r="AH218" s="2"/>
    </row>
    <row r="219" spans="2:34" x14ac:dyDescent="0.3">
      <c r="B219" s="2"/>
      <c r="C219" s="2"/>
      <c r="D219" s="2"/>
      <c r="E219" s="2"/>
      <c r="F219" s="2"/>
      <c r="I219" s="2"/>
      <c r="J219" s="2"/>
      <c r="K219" s="2"/>
      <c r="L219" s="2"/>
      <c r="M219" s="2"/>
      <c r="P219" s="2"/>
      <c r="Q219" s="2"/>
      <c r="R219" s="2"/>
      <c r="S219" s="2"/>
      <c r="T219" s="2"/>
      <c r="W219" s="2"/>
      <c r="X219" s="2"/>
      <c r="Y219" s="2"/>
      <c r="Z219" s="2"/>
      <c r="AA219" s="2"/>
      <c r="AD219" s="2"/>
      <c r="AE219" s="2"/>
      <c r="AF219" s="2"/>
      <c r="AG219" s="2"/>
      <c r="AH219" s="2"/>
    </row>
    <row r="220" spans="2:34" x14ac:dyDescent="0.3">
      <c r="B220" s="2"/>
      <c r="C220" s="2"/>
      <c r="D220" s="2"/>
      <c r="E220" s="2"/>
      <c r="F220" s="2"/>
      <c r="I220" s="2"/>
      <c r="J220" s="2"/>
      <c r="K220" s="2"/>
      <c r="L220" s="2"/>
      <c r="M220" s="2"/>
      <c r="P220" s="2"/>
      <c r="Q220" s="2"/>
      <c r="R220" s="2"/>
      <c r="S220" s="2"/>
      <c r="T220" s="2"/>
      <c r="W220" s="2"/>
      <c r="X220" s="2"/>
      <c r="Y220" s="2"/>
      <c r="Z220" s="2"/>
      <c r="AA220" s="2"/>
      <c r="AD220" s="2"/>
      <c r="AE220" s="2"/>
      <c r="AF220" s="2"/>
      <c r="AG220" s="2"/>
      <c r="AH220" s="2"/>
    </row>
    <row r="221" spans="2:34" x14ac:dyDescent="0.3">
      <c r="B221" s="2"/>
      <c r="C221" s="2"/>
      <c r="D221" s="2"/>
      <c r="E221" s="2"/>
      <c r="F221" s="2"/>
      <c r="I221" s="2"/>
      <c r="J221" s="2"/>
      <c r="K221" s="2"/>
      <c r="L221" s="2"/>
      <c r="M221" s="2"/>
      <c r="P221" s="2"/>
      <c r="Q221" s="2"/>
      <c r="R221" s="2"/>
      <c r="S221" s="2"/>
      <c r="T221" s="2"/>
      <c r="W221" s="2"/>
      <c r="X221" s="2"/>
      <c r="Y221" s="2"/>
      <c r="Z221" s="2"/>
      <c r="AA221" s="2"/>
      <c r="AD221" s="2"/>
      <c r="AE221" s="2"/>
      <c r="AF221" s="2"/>
      <c r="AG221" s="2"/>
      <c r="AH221" s="2"/>
    </row>
    <row r="222" spans="2:34" x14ac:dyDescent="0.3">
      <c r="B222" s="2"/>
      <c r="C222" s="2"/>
      <c r="D222" s="2"/>
      <c r="E222" s="2"/>
      <c r="F222" s="2"/>
      <c r="I222" s="2"/>
      <c r="J222" s="2"/>
      <c r="K222" s="2"/>
      <c r="L222" s="2"/>
      <c r="M222" s="2"/>
      <c r="P222" s="2"/>
      <c r="Q222" s="2"/>
      <c r="R222" s="2"/>
      <c r="S222" s="2"/>
      <c r="T222" s="2"/>
      <c r="W222" s="2"/>
      <c r="X222" s="2"/>
      <c r="Y222" s="2"/>
      <c r="Z222" s="2"/>
      <c r="AA222" s="2"/>
      <c r="AD222" s="2"/>
      <c r="AE222" s="2"/>
      <c r="AF222" s="2"/>
      <c r="AG222" s="2"/>
      <c r="AH222" s="2"/>
    </row>
    <row r="223" spans="2:34" x14ac:dyDescent="0.3">
      <c r="B223" s="2"/>
      <c r="C223" s="2"/>
      <c r="D223" s="2"/>
      <c r="E223" s="2"/>
      <c r="F223" s="2"/>
      <c r="I223" s="2"/>
      <c r="J223" s="2"/>
      <c r="K223" s="2"/>
      <c r="L223" s="2"/>
      <c r="M223" s="2"/>
      <c r="P223" s="2"/>
      <c r="Q223" s="2"/>
      <c r="R223" s="2"/>
      <c r="S223" s="2"/>
      <c r="T223" s="2"/>
      <c r="W223" s="2"/>
      <c r="X223" s="2"/>
      <c r="Y223" s="2"/>
      <c r="Z223" s="2"/>
      <c r="AA223" s="2"/>
      <c r="AD223" s="2"/>
      <c r="AE223" s="2"/>
      <c r="AF223" s="2"/>
      <c r="AG223" s="2"/>
      <c r="AH223" s="2"/>
    </row>
    <row r="224" spans="2:34" x14ac:dyDescent="0.3">
      <c r="B224" s="2"/>
      <c r="C224" s="2"/>
      <c r="D224" s="2"/>
      <c r="E224" s="2"/>
      <c r="F224" s="2"/>
      <c r="I224" s="2"/>
      <c r="J224" s="2"/>
      <c r="K224" s="2"/>
      <c r="L224" s="2"/>
      <c r="M224" s="2"/>
      <c r="P224" s="2"/>
      <c r="Q224" s="2"/>
      <c r="R224" s="2"/>
      <c r="S224" s="2"/>
      <c r="T224" s="2"/>
      <c r="W224" s="2"/>
      <c r="X224" s="2"/>
      <c r="Y224" s="2"/>
      <c r="Z224" s="2"/>
      <c r="AA224" s="2"/>
      <c r="AD224" s="2"/>
      <c r="AE224" s="2"/>
      <c r="AF224" s="2"/>
      <c r="AG224" s="2"/>
      <c r="AH224" s="2"/>
    </row>
    <row r="225" spans="2:34" x14ac:dyDescent="0.3">
      <c r="B225" s="2"/>
      <c r="C225" s="2"/>
      <c r="D225" s="2"/>
      <c r="E225" s="2"/>
      <c r="F225" s="2"/>
      <c r="I225" s="2"/>
      <c r="J225" s="2"/>
      <c r="K225" s="2"/>
      <c r="L225" s="2"/>
      <c r="M225" s="2"/>
      <c r="P225" s="2"/>
      <c r="Q225" s="2"/>
      <c r="R225" s="2"/>
      <c r="S225" s="2"/>
      <c r="T225" s="2"/>
      <c r="W225" s="2"/>
      <c r="X225" s="2"/>
      <c r="Y225" s="2"/>
      <c r="Z225" s="2"/>
      <c r="AA225" s="2"/>
      <c r="AD225" s="2"/>
      <c r="AE225" s="2"/>
      <c r="AF225" s="2"/>
      <c r="AG225" s="2"/>
      <c r="AH225" s="2"/>
    </row>
    <row r="226" spans="2:34" x14ac:dyDescent="0.3">
      <c r="B226" s="2"/>
      <c r="C226" s="2"/>
      <c r="D226" s="2"/>
      <c r="E226" s="2"/>
      <c r="F226" s="2"/>
      <c r="I226" s="2"/>
      <c r="J226" s="2"/>
      <c r="K226" s="2"/>
      <c r="L226" s="2"/>
      <c r="M226" s="2"/>
      <c r="P226" s="2"/>
      <c r="Q226" s="2"/>
      <c r="R226" s="2"/>
      <c r="S226" s="2"/>
      <c r="T226" s="2"/>
      <c r="W226" s="2"/>
      <c r="X226" s="2"/>
      <c r="Y226" s="2"/>
      <c r="Z226" s="2"/>
      <c r="AA226" s="2"/>
      <c r="AD226" s="2"/>
      <c r="AE226" s="2"/>
      <c r="AF226" s="2"/>
      <c r="AG226" s="2"/>
      <c r="AH226" s="2"/>
    </row>
    <row r="227" spans="2:34" x14ac:dyDescent="0.3">
      <c r="B227" s="2"/>
      <c r="C227" s="2"/>
      <c r="D227" s="2"/>
      <c r="E227" s="2"/>
      <c r="F227" s="2"/>
      <c r="I227" s="2"/>
      <c r="J227" s="2"/>
      <c r="K227" s="2"/>
      <c r="L227" s="2"/>
      <c r="M227" s="2"/>
      <c r="P227" s="2"/>
      <c r="Q227" s="2"/>
      <c r="R227" s="2"/>
      <c r="S227" s="2"/>
      <c r="T227" s="2"/>
      <c r="W227" s="2"/>
      <c r="X227" s="2"/>
      <c r="Y227" s="2"/>
      <c r="Z227" s="2"/>
      <c r="AA227" s="2"/>
      <c r="AD227" s="2"/>
      <c r="AE227" s="2"/>
      <c r="AF227" s="2"/>
      <c r="AG227" s="2"/>
      <c r="AH227" s="2"/>
    </row>
    <row r="228" spans="2:34" x14ac:dyDescent="0.3">
      <c r="B228" s="2"/>
      <c r="C228" s="2"/>
      <c r="D228" s="2"/>
      <c r="E228" s="2"/>
      <c r="F228" s="2"/>
      <c r="I228" s="2"/>
      <c r="J228" s="2"/>
      <c r="K228" s="2"/>
      <c r="L228" s="2"/>
      <c r="M228" s="2"/>
      <c r="P228" s="2"/>
      <c r="Q228" s="2"/>
      <c r="R228" s="2"/>
      <c r="S228" s="2"/>
      <c r="T228" s="2"/>
      <c r="W228" s="2"/>
      <c r="X228" s="2"/>
      <c r="Y228" s="2"/>
      <c r="Z228" s="2"/>
      <c r="AA228" s="2"/>
      <c r="AD228" s="2"/>
      <c r="AE228" s="2"/>
      <c r="AF228" s="2"/>
      <c r="AG228" s="2"/>
      <c r="AH228" s="2"/>
    </row>
    <row r="229" spans="2:34" x14ac:dyDescent="0.3">
      <c r="B229" s="2"/>
      <c r="C229" s="2"/>
      <c r="D229" s="2"/>
      <c r="E229" s="2"/>
      <c r="F229" s="2"/>
      <c r="I229" s="2"/>
      <c r="J229" s="2"/>
      <c r="K229" s="2"/>
      <c r="L229" s="2"/>
      <c r="M229" s="2"/>
      <c r="P229" s="2"/>
      <c r="Q229" s="2"/>
      <c r="R229" s="2"/>
      <c r="S229" s="2"/>
      <c r="T229" s="2"/>
      <c r="W229" s="2"/>
      <c r="X229" s="2"/>
      <c r="Y229" s="2"/>
      <c r="Z229" s="2"/>
      <c r="AA229" s="2"/>
      <c r="AD229" s="2"/>
      <c r="AE229" s="2"/>
      <c r="AF229" s="2"/>
      <c r="AG229" s="2"/>
      <c r="AH229" s="2"/>
    </row>
    <row r="230" spans="2:34" x14ac:dyDescent="0.3">
      <c r="B230" s="2"/>
      <c r="C230" s="2"/>
      <c r="D230" s="2"/>
      <c r="E230" s="2"/>
      <c r="F230" s="2"/>
      <c r="I230" s="2"/>
      <c r="J230" s="2"/>
      <c r="K230" s="2"/>
      <c r="L230" s="2"/>
      <c r="M230" s="2"/>
      <c r="P230" s="2"/>
      <c r="Q230" s="2"/>
      <c r="R230" s="2"/>
      <c r="S230" s="2"/>
      <c r="T230" s="2"/>
      <c r="W230" s="2"/>
      <c r="X230" s="2"/>
      <c r="Y230" s="2"/>
      <c r="Z230" s="2"/>
      <c r="AA230" s="2"/>
      <c r="AD230" s="2"/>
      <c r="AE230" s="2"/>
      <c r="AF230" s="2"/>
      <c r="AG230" s="2"/>
      <c r="AH230" s="2"/>
    </row>
    <row r="231" spans="2:34" x14ac:dyDescent="0.3">
      <c r="B231" s="2"/>
      <c r="C231" s="2"/>
      <c r="D231" s="2"/>
      <c r="E231" s="2"/>
      <c r="F231" s="2"/>
      <c r="I231" s="2"/>
      <c r="J231" s="2"/>
      <c r="K231" s="2"/>
      <c r="L231" s="2"/>
      <c r="M231" s="2"/>
      <c r="P231" s="2"/>
      <c r="Q231" s="2"/>
      <c r="R231" s="2"/>
      <c r="S231" s="2"/>
      <c r="T231" s="2"/>
      <c r="W231" s="2"/>
      <c r="X231" s="2"/>
      <c r="Y231" s="2"/>
      <c r="Z231" s="2"/>
      <c r="AA231" s="2"/>
      <c r="AD231" s="2"/>
      <c r="AE231" s="2"/>
      <c r="AF231" s="2"/>
      <c r="AG231" s="2"/>
      <c r="AH231" s="2"/>
    </row>
    <row r="232" spans="2:34" x14ac:dyDescent="0.3">
      <c r="B232" s="2"/>
      <c r="C232" s="2"/>
      <c r="D232" s="2"/>
      <c r="E232" s="2"/>
      <c r="F232" s="2"/>
      <c r="I232" s="2"/>
      <c r="J232" s="2"/>
      <c r="K232" s="2"/>
      <c r="L232" s="2"/>
      <c r="M232" s="2"/>
      <c r="P232" s="2"/>
      <c r="Q232" s="2"/>
      <c r="R232" s="2"/>
      <c r="S232" s="2"/>
      <c r="T232" s="2"/>
      <c r="W232" s="2"/>
      <c r="X232" s="2"/>
      <c r="Y232" s="2"/>
      <c r="Z232" s="2"/>
      <c r="AA232" s="2"/>
      <c r="AD232" s="2"/>
      <c r="AE232" s="2"/>
      <c r="AF232" s="2"/>
      <c r="AG232" s="2"/>
      <c r="AH232" s="2"/>
    </row>
    <row r="233" spans="2:34" x14ac:dyDescent="0.3">
      <c r="B233" s="2"/>
      <c r="C233" s="2"/>
      <c r="D233" s="2"/>
      <c r="E233" s="2"/>
      <c r="F233" s="2"/>
      <c r="I233" s="2"/>
      <c r="J233" s="2"/>
      <c r="K233" s="2"/>
      <c r="L233" s="2"/>
      <c r="M233" s="2"/>
      <c r="P233" s="2"/>
      <c r="Q233" s="2"/>
      <c r="R233" s="2"/>
      <c r="S233" s="2"/>
      <c r="T233" s="2"/>
      <c r="W233" s="2"/>
      <c r="X233" s="2"/>
      <c r="Y233" s="2"/>
      <c r="Z233" s="2"/>
      <c r="AA233" s="2"/>
      <c r="AD233" s="2"/>
      <c r="AE233" s="2"/>
      <c r="AF233" s="2"/>
      <c r="AG233" s="2"/>
      <c r="AH233" s="2"/>
    </row>
    <row r="234" spans="2:34" x14ac:dyDescent="0.3">
      <c r="B234" s="2"/>
      <c r="C234" s="2"/>
      <c r="D234" s="2"/>
      <c r="E234" s="2"/>
      <c r="F234" s="2"/>
      <c r="I234" s="2"/>
      <c r="J234" s="2"/>
      <c r="K234" s="2"/>
      <c r="L234" s="2"/>
      <c r="M234" s="2"/>
      <c r="P234" s="2"/>
      <c r="Q234" s="2"/>
      <c r="R234" s="2"/>
      <c r="S234" s="2"/>
      <c r="T234" s="2"/>
      <c r="W234" s="2"/>
      <c r="X234" s="2"/>
      <c r="Y234" s="2"/>
      <c r="Z234" s="2"/>
      <c r="AA234" s="2"/>
      <c r="AD234" s="2"/>
      <c r="AE234" s="2"/>
      <c r="AF234" s="2"/>
      <c r="AG234" s="2"/>
      <c r="AH234" s="2"/>
    </row>
    <row r="235" spans="2:34" x14ac:dyDescent="0.3">
      <c r="B235" s="2"/>
      <c r="C235" s="2"/>
      <c r="D235" s="2"/>
      <c r="E235" s="2"/>
      <c r="F235" s="2"/>
      <c r="I235" s="2"/>
      <c r="J235" s="2"/>
      <c r="K235" s="2"/>
      <c r="L235" s="2"/>
      <c r="M235" s="2"/>
      <c r="P235" s="2"/>
      <c r="Q235" s="2"/>
      <c r="R235" s="2"/>
      <c r="S235" s="2"/>
      <c r="T235" s="2"/>
      <c r="W235" s="2"/>
      <c r="X235" s="2"/>
      <c r="Y235" s="2"/>
      <c r="Z235" s="2"/>
      <c r="AA235" s="2"/>
      <c r="AD235" s="2"/>
      <c r="AE235" s="2"/>
      <c r="AF235" s="2"/>
      <c r="AG235" s="2"/>
      <c r="AH235" s="2"/>
    </row>
    <row r="236" spans="2:34" x14ac:dyDescent="0.3">
      <c r="B236" s="2"/>
      <c r="C236" s="2"/>
      <c r="D236" s="2"/>
      <c r="E236" s="2"/>
      <c r="F236" s="2"/>
      <c r="I236" s="2"/>
      <c r="J236" s="2"/>
      <c r="K236" s="2"/>
      <c r="L236" s="2"/>
      <c r="M236" s="2"/>
      <c r="P236" s="2"/>
      <c r="Q236" s="2"/>
      <c r="R236" s="2"/>
      <c r="S236" s="2"/>
      <c r="T236" s="2"/>
      <c r="W236" s="2"/>
      <c r="X236" s="2"/>
      <c r="Y236" s="2"/>
      <c r="Z236" s="2"/>
      <c r="AA236" s="2"/>
      <c r="AD236" s="2"/>
      <c r="AE236" s="2"/>
      <c r="AF236" s="2"/>
      <c r="AG236" s="2"/>
      <c r="AH236" s="2"/>
    </row>
    <row r="237" spans="2:34" x14ac:dyDescent="0.3">
      <c r="B237" s="2"/>
      <c r="C237" s="2"/>
      <c r="D237" s="2"/>
      <c r="E237" s="2"/>
      <c r="F237" s="2"/>
      <c r="I237" s="2"/>
      <c r="J237" s="2"/>
      <c r="K237" s="2"/>
      <c r="L237" s="2"/>
      <c r="M237" s="2"/>
      <c r="P237" s="2"/>
      <c r="Q237" s="2"/>
      <c r="R237" s="2"/>
      <c r="S237" s="2"/>
      <c r="T237" s="2"/>
      <c r="W237" s="2"/>
      <c r="X237" s="2"/>
      <c r="Y237" s="2"/>
      <c r="Z237" s="2"/>
      <c r="AA237" s="2"/>
      <c r="AD237" s="2"/>
      <c r="AE237" s="2"/>
      <c r="AF237" s="2"/>
      <c r="AG237" s="2"/>
      <c r="AH237" s="2"/>
    </row>
    <row r="238" spans="2:34" x14ac:dyDescent="0.3">
      <c r="B238" s="2"/>
      <c r="C238" s="2"/>
      <c r="D238" s="2"/>
      <c r="E238" s="2"/>
      <c r="F238" s="2"/>
      <c r="I238" s="2"/>
      <c r="J238" s="2"/>
      <c r="K238" s="2"/>
      <c r="L238" s="2"/>
      <c r="M238" s="2"/>
      <c r="P238" s="2"/>
      <c r="Q238" s="2"/>
      <c r="R238" s="2"/>
      <c r="S238" s="2"/>
      <c r="T238" s="2"/>
      <c r="W238" s="2"/>
      <c r="X238" s="2"/>
      <c r="Y238" s="2"/>
      <c r="Z238" s="2"/>
      <c r="AA238" s="2"/>
      <c r="AD238" s="2"/>
      <c r="AE238" s="2"/>
      <c r="AF238" s="2"/>
      <c r="AG238" s="2"/>
      <c r="AH238" s="2"/>
    </row>
    <row r="239" spans="2:34" x14ac:dyDescent="0.3">
      <c r="B239" s="2"/>
      <c r="C239" s="2"/>
      <c r="D239" s="2"/>
      <c r="E239" s="2"/>
      <c r="F239" s="2"/>
      <c r="I239" s="2"/>
      <c r="J239" s="2"/>
      <c r="K239" s="2"/>
      <c r="L239" s="2"/>
      <c r="M239" s="2"/>
      <c r="P239" s="2"/>
      <c r="Q239" s="2"/>
      <c r="R239" s="2"/>
      <c r="S239" s="2"/>
      <c r="T239" s="2"/>
      <c r="W239" s="2"/>
      <c r="X239" s="2"/>
      <c r="Y239" s="2"/>
      <c r="Z239" s="2"/>
      <c r="AA239" s="2"/>
      <c r="AD239" s="2"/>
      <c r="AE239" s="2"/>
      <c r="AF239" s="2"/>
      <c r="AG239" s="2"/>
      <c r="AH239" s="2"/>
    </row>
    <row r="240" spans="2:34" x14ac:dyDescent="0.3">
      <c r="B240" s="2"/>
      <c r="C240" s="2"/>
      <c r="D240" s="2"/>
      <c r="E240" s="2"/>
      <c r="F240" s="2"/>
      <c r="I240" s="2"/>
      <c r="J240" s="2"/>
      <c r="K240" s="2"/>
      <c r="L240" s="2"/>
      <c r="M240" s="2"/>
      <c r="P240" s="2"/>
      <c r="Q240" s="2"/>
      <c r="R240" s="2"/>
      <c r="S240" s="2"/>
      <c r="T240" s="2"/>
      <c r="W240" s="2"/>
      <c r="X240" s="2"/>
      <c r="Y240" s="2"/>
      <c r="Z240" s="2"/>
      <c r="AA240" s="2"/>
      <c r="AD240" s="2"/>
      <c r="AE240" s="2"/>
      <c r="AF240" s="2"/>
      <c r="AG240" s="2"/>
      <c r="AH240" s="2"/>
    </row>
    <row r="241" spans="2:34" x14ac:dyDescent="0.3">
      <c r="B241" s="2"/>
      <c r="C241" s="2"/>
      <c r="D241" s="2"/>
      <c r="E241" s="2"/>
      <c r="F241" s="2"/>
      <c r="I241" s="2"/>
      <c r="J241" s="2"/>
      <c r="K241" s="2"/>
      <c r="L241" s="2"/>
      <c r="M241" s="2"/>
      <c r="P241" s="2"/>
      <c r="Q241" s="2"/>
      <c r="R241" s="2"/>
      <c r="S241" s="2"/>
      <c r="T241" s="2"/>
      <c r="W241" s="2"/>
      <c r="X241" s="2"/>
      <c r="Y241" s="2"/>
      <c r="Z241" s="2"/>
      <c r="AA241" s="2"/>
      <c r="AD241" s="2"/>
      <c r="AE241" s="2"/>
      <c r="AF241" s="2"/>
      <c r="AG241" s="2"/>
      <c r="AH241" s="2"/>
    </row>
    <row r="242" spans="2:34" x14ac:dyDescent="0.3">
      <c r="B242" s="2"/>
      <c r="C242" s="2"/>
      <c r="D242" s="2"/>
      <c r="E242" s="2"/>
      <c r="F242" s="2"/>
      <c r="I242" s="2"/>
      <c r="J242" s="2"/>
      <c r="K242" s="2"/>
      <c r="L242" s="2"/>
      <c r="M242" s="2"/>
      <c r="P242" s="2"/>
      <c r="Q242" s="2"/>
      <c r="R242" s="2"/>
      <c r="S242" s="2"/>
      <c r="T242" s="2"/>
      <c r="W242" s="2"/>
      <c r="X242" s="2"/>
      <c r="Y242" s="2"/>
      <c r="Z242" s="2"/>
      <c r="AA242" s="2"/>
      <c r="AD242" s="2"/>
      <c r="AE242" s="2"/>
      <c r="AF242" s="2"/>
      <c r="AG242" s="2"/>
      <c r="AH242" s="2"/>
    </row>
    <row r="243" spans="2:34" x14ac:dyDescent="0.3">
      <c r="B243" s="2"/>
      <c r="C243" s="2"/>
      <c r="D243" s="2"/>
      <c r="E243" s="2"/>
      <c r="F243" s="2"/>
      <c r="I243" s="2"/>
      <c r="J243" s="2"/>
      <c r="K243" s="2"/>
      <c r="L243" s="2"/>
      <c r="M243" s="2"/>
      <c r="P243" s="2"/>
      <c r="Q243" s="2"/>
      <c r="R243" s="2"/>
      <c r="S243" s="2"/>
      <c r="T243" s="2"/>
      <c r="W243" s="2"/>
      <c r="X243" s="2"/>
      <c r="Y243" s="2"/>
      <c r="Z243" s="2"/>
      <c r="AA243" s="2"/>
      <c r="AD243" s="2"/>
      <c r="AE243" s="2"/>
      <c r="AF243" s="2"/>
      <c r="AG243" s="2"/>
      <c r="AH243" s="2"/>
    </row>
    <row r="244" spans="2:34" x14ac:dyDescent="0.3">
      <c r="B244" s="2"/>
      <c r="C244" s="2"/>
      <c r="D244" s="2"/>
      <c r="E244" s="2"/>
      <c r="F244" s="2"/>
      <c r="I244" s="2"/>
      <c r="J244" s="2"/>
      <c r="K244" s="2"/>
      <c r="L244" s="2"/>
      <c r="M244" s="2"/>
      <c r="P244" s="2"/>
      <c r="Q244" s="2"/>
      <c r="R244" s="2"/>
      <c r="S244" s="2"/>
      <c r="T244" s="2"/>
      <c r="W244" s="2"/>
      <c r="X244" s="2"/>
      <c r="Y244" s="2"/>
      <c r="Z244" s="2"/>
      <c r="AA244" s="2"/>
      <c r="AD244" s="2"/>
      <c r="AE244" s="2"/>
      <c r="AF244" s="2"/>
      <c r="AG244" s="2"/>
      <c r="AH244" s="2"/>
    </row>
    <row r="245" spans="2:34" x14ac:dyDescent="0.3">
      <c r="B245" s="2"/>
      <c r="C245" s="2"/>
      <c r="D245" s="2"/>
      <c r="E245" s="2"/>
      <c r="F245" s="2"/>
      <c r="I245" s="2"/>
      <c r="J245" s="2"/>
      <c r="K245" s="2"/>
      <c r="L245" s="2"/>
      <c r="M245" s="2"/>
      <c r="P245" s="2"/>
      <c r="Q245" s="2"/>
      <c r="R245" s="2"/>
      <c r="S245" s="2"/>
      <c r="T245" s="2"/>
      <c r="W245" s="2"/>
      <c r="X245" s="2"/>
      <c r="Y245" s="2"/>
      <c r="Z245" s="2"/>
      <c r="AA245" s="2"/>
      <c r="AD245" s="2"/>
      <c r="AE245" s="2"/>
      <c r="AF245" s="2"/>
      <c r="AG245" s="2"/>
      <c r="AH245" s="2"/>
    </row>
    <row r="246" spans="2:34" x14ac:dyDescent="0.3">
      <c r="B246" s="2"/>
      <c r="C246" s="2"/>
      <c r="D246" s="2"/>
      <c r="E246" s="2"/>
      <c r="F246" s="2"/>
      <c r="I246" s="2"/>
      <c r="J246" s="2"/>
      <c r="K246" s="2"/>
      <c r="L246" s="2"/>
      <c r="M246" s="2"/>
      <c r="P246" s="2"/>
      <c r="Q246" s="2"/>
      <c r="R246" s="2"/>
      <c r="S246" s="2"/>
      <c r="T246" s="2"/>
      <c r="W246" s="2"/>
      <c r="X246" s="2"/>
      <c r="Y246" s="2"/>
      <c r="Z246" s="2"/>
      <c r="AA246" s="2"/>
      <c r="AD246" s="2"/>
      <c r="AE246" s="2"/>
      <c r="AF246" s="2"/>
      <c r="AG246" s="2"/>
      <c r="AH246" s="2"/>
    </row>
    <row r="247" spans="2:34" x14ac:dyDescent="0.3">
      <c r="B247" s="2"/>
      <c r="C247" s="2"/>
      <c r="D247" s="2"/>
      <c r="E247" s="2"/>
      <c r="F247" s="2"/>
      <c r="I247" s="2"/>
      <c r="J247" s="2"/>
      <c r="K247" s="2"/>
      <c r="L247" s="2"/>
      <c r="M247" s="2"/>
      <c r="P247" s="2"/>
      <c r="Q247" s="2"/>
      <c r="R247" s="2"/>
      <c r="S247" s="2"/>
      <c r="T247" s="2"/>
      <c r="W247" s="2"/>
      <c r="X247" s="2"/>
      <c r="Y247" s="2"/>
      <c r="Z247" s="2"/>
      <c r="AA247" s="2"/>
      <c r="AD247" s="2"/>
      <c r="AE247" s="2"/>
      <c r="AF247" s="2"/>
      <c r="AG247" s="2"/>
      <c r="AH247" s="2"/>
    </row>
    <row r="248" spans="2:34" x14ac:dyDescent="0.3">
      <c r="B248" s="2"/>
      <c r="C248" s="2"/>
      <c r="D248" s="2"/>
      <c r="E248" s="2"/>
      <c r="F248" s="2"/>
      <c r="I248" s="2"/>
      <c r="J248" s="2"/>
      <c r="K248" s="2"/>
      <c r="L248" s="2"/>
      <c r="M248" s="2"/>
      <c r="P248" s="2"/>
      <c r="Q248" s="2"/>
      <c r="R248" s="2"/>
      <c r="S248" s="2"/>
      <c r="T248" s="2"/>
      <c r="W248" s="2"/>
      <c r="X248" s="2"/>
      <c r="Y248" s="2"/>
      <c r="Z248" s="2"/>
      <c r="AA248" s="2"/>
      <c r="AD248" s="2"/>
      <c r="AE248" s="2"/>
      <c r="AF248" s="2"/>
      <c r="AG248" s="2"/>
      <c r="AH248" s="2"/>
    </row>
    <row r="249" spans="2:34" x14ac:dyDescent="0.3">
      <c r="B249" s="2"/>
      <c r="C249" s="2"/>
      <c r="D249" s="2"/>
      <c r="E249" s="2"/>
      <c r="F249" s="2"/>
      <c r="I249" s="2"/>
      <c r="J249" s="2"/>
      <c r="K249" s="2"/>
      <c r="L249" s="2"/>
      <c r="M249" s="2"/>
      <c r="P249" s="2"/>
      <c r="Q249" s="2"/>
      <c r="R249" s="2"/>
      <c r="S249" s="2"/>
      <c r="T249" s="2"/>
      <c r="W249" s="2"/>
      <c r="X249" s="2"/>
      <c r="Y249" s="2"/>
      <c r="Z249" s="2"/>
      <c r="AA249" s="2"/>
      <c r="AD249" s="2"/>
      <c r="AE249" s="2"/>
      <c r="AF249" s="2"/>
      <c r="AG249" s="2"/>
      <c r="AH249" s="2"/>
    </row>
    <row r="250" spans="2:34" x14ac:dyDescent="0.3">
      <c r="B250" s="2"/>
      <c r="C250" s="2"/>
      <c r="D250" s="2"/>
      <c r="E250" s="2"/>
      <c r="F250" s="2"/>
      <c r="I250" s="2"/>
      <c r="J250" s="2"/>
      <c r="K250" s="2"/>
      <c r="L250" s="2"/>
      <c r="M250" s="2"/>
      <c r="P250" s="2"/>
      <c r="Q250" s="2"/>
      <c r="R250" s="2"/>
      <c r="S250" s="2"/>
      <c r="T250" s="2"/>
      <c r="W250" s="2"/>
      <c r="X250" s="2"/>
      <c r="Y250" s="2"/>
      <c r="Z250" s="2"/>
      <c r="AA250" s="2"/>
      <c r="AD250" s="2"/>
      <c r="AE250" s="2"/>
      <c r="AF250" s="2"/>
      <c r="AG250" s="2"/>
      <c r="AH250" s="2"/>
    </row>
    <row r="251" spans="2:34" x14ac:dyDescent="0.3">
      <c r="B251" s="2"/>
      <c r="C251" s="2"/>
      <c r="D251" s="2"/>
      <c r="E251" s="2"/>
      <c r="F251" s="2"/>
      <c r="I251" s="2"/>
      <c r="J251" s="2"/>
      <c r="K251" s="2"/>
      <c r="L251" s="2"/>
      <c r="M251" s="2"/>
      <c r="P251" s="2"/>
      <c r="Q251" s="2"/>
      <c r="R251" s="2"/>
      <c r="S251" s="2"/>
      <c r="T251" s="2"/>
      <c r="W251" s="2"/>
      <c r="X251" s="2"/>
      <c r="Y251" s="2"/>
      <c r="Z251" s="2"/>
      <c r="AA251" s="2"/>
      <c r="AD251" s="2"/>
      <c r="AE251" s="2"/>
      <c r="AF251" s="2"/>
      <c r="AG251" s="2"/>
      <c r="AH251" s="2"/>
    </row>
    <row r="252" spans="2:34" x14ac:dyDescent="0.3">
      <c r="B252" s="2"/>
      <c r="C252" s="2"/>
      <c r="D252" s="2"/>
      <c r="E252" s="2"/>
      <c r="F252" s="2"/>
      <c r="I252" s="2"/>
      <c r="J252" s="2"/>
      <c r="K252" s="2"/>
      <c r="L252" s="2"/>
      <c r="M252" s="2"/>
      <c r="P252" s="2"/>
      <c r="Q252" s="2"/>
      <c r="R252" s="2"/>
      <c r="S252" s="2"/>
      <c r="T252" s="2"/>
      <c r="W252" s="2"/>
      <c r="X252" s="2"/>
      <c r="Y252" s="2"/>
      <c r="Z252" s="2"/>
      <c r="AA252" s="2"/>
      <c r="AD252" s="2"/>
      <c r="AE252" s="2"/>
      <c r="AF252" s="2"/>
      <c r="AG252" s="2"/>
      <c r="AH252" s="2"/>
    </row>
    <row r="253" spans="2:34" x14ac:dyDescent="0.3">
      <c r="B253" s="2"/>
      <c r="C253" s="2"/>
      <c r="D253" s="2"/>
      <c r="E253" s="2"/>
      <c r="F253" s="2"/>
      <c r="I253" s="2"/>
      <c r="J253" s="2"/>
      <c r="K253" s="2"/>
      <c r="L253" s="2"/>
      <c r="M253" s="2"/>
      <c r="P253" s="2"/>
      <c r="Q253" s="2"/>
      <c r="R253" s="2"/>
      <c r="S253" s="2"/>
      <c r="T253" s="2"/>
      <c r="W253" s="2"/>
      <c r="X253" s="2"/>
      <c r="Y253" s="2"/>
      <c r="Z253" s="2"/>
      <c r="AA253" s="2"/>
      <c r="AD253" s="2"/>
      <c r="AE253" s="2"/>
      <c r="AF253" s="2"/>
      <c r="AG253" s="2"/>
      <c r="AH253" s="2"/>
    </row>
    <row r="254" spans="2:34" x14ac:dyDescent="0.3">
      <c r="B254" s="2"/>
      <c r="C254" s="2"/>
      <c r="D254" s="2"/>
      <c r="E254" s="2"/>
      <c r="F254" s="2"/>
      <c r="I254" s="2"/>
      <c r="J254" s="2"/>
      <c r="K254" s="2"/>
      <c r="L254" s="2"/>
      <c r="M254" s="2"/>
      <c r="P254" s="2"/>
      <c r="Q254" s="2"/>
      <c r="R254" s="2"/>
      <c r="S254" s="2"/>
      <c r="T254" s="2"/>
      <c r="W254" s="2"/>
      <c r="X254" s="2"/>
      <c r="Y254" s="2"/>
      <c r="Z254" s="2"/>
      <c r="AA254" s="2"/>
      <c r="AD254" s="2"/>
      <c r="AE254" s="2"/>
      <c r="AF254" s="2"/>
      <c r="AG254" s="2"/>
      <c r="AH254" s="2"/>
    </row>
    <row r="255" spans="2:34" x14ac:dyDescent="0.3">
      <c r="B255" s="2"/>
      <c r="C255" s="2"/>
      <c r="D255" s="2"/>
      <c r="E255" s="2"/>
      <c r="F255" s="2"/>
      <c r="I255" s="2"/>
      <c r="J255" s="2"/>
      <c r="K255" s="2"/>
      <c r="L255" s="2"/>
      <c r="M255" s="2"/>
      <c r="P255" s="2"/>
      <c r="Q255" s="2"/>
      <c r="R255" s="2"/>
      <c r="S255" s="2"/>
      <c r="T255" s="2"/>
      <c r="W255" s="2"/>
      <c r="X255" s="2"/>
      <c r="Y255" s="2"/>
      <c r="Z255" s="2"/>
      <c r="AA255" s="2"/>
      <c r="AD255" s="2"/>
      <c r="AE255" s="2"/>
      <c r="AF255" s="2"/>
      <c r="AG255" s="2"/>
      <c r="AH255" s="2"/>
    </row>
    <row r="256" spans="2:34" x14ac:dyDescent="0.3">
      <c r="B256" s="2"/>
      <c r="C256" s="2"/>
      <c r="D256" s="2"/>
      <c r="E256" s="2"/>
      <c r="F256" s="2"/>
      <c r="I256" s="2"/>
      <c r="J256" s="2"/>
      <c r="K256" s="2"/>
      <c r="L256" s="2"/>
      <c r="M256" s="2"/>
      <c r="P256" s="2"/>
      <c r="Q256" s="2"/>
      <c r="R256" s="2"/>
      <c r="S256" s="2"/>
      <c r="T256" s="2"/>
      <c r="W256" s="2"/>
      <c r="X256" s="2"/>
      <c r="Y256" s="2"/>
      <c r="Z256" s="2"/>
      <c r="AA256" s="2"/>
    </row>
    <row r="257" spans="2:27" x14ac:dyDescent="0.3">
      <c r="B257" s="2"/>
      <c r="C257" s="2"/>
      <c r="D257" s="2"/>
      <c r="E257" s="2"/>
      <c r="F257" s="2"/>
      <c r="I257" s="2"/>
      <c r="J257" s="2"/>
      <c r="K257" s="2"/>
      <c r="L257" s="2"/>
      <c r="M257" s="2"/>
      <c r="P257" s="2"/>
      <c r="Q257" s="2"/>
      <c r="R257" s="2"/>
      <c r="S257" s="2"/>
      <c r="T257" s="2"/>
      <c r="W257" s="2"/>
      <c r="X257" s="2"/>
      <c r="Y257" s="2"/>
      <c r="Z257" s="2"/>
      <c r="AA257" s="2"/>
    </row>
    <row r="258" spans="2:27" x14ac:dyDescent="0.3">
      <c r="B258" s="2"/>
      <c r="C258" s="2"/>
      <c r="D258" s="2"/>
      <c r="E258" s="2"/>
      <c r="F258" s="2"/>
      <c r="I258" s="2"/>
      <c r="J258" s="2"/>
      <c r="K258" s="2"/>
      <c r="L258" s="2"/>
      <c r="M258" s="2"/>
      <c r="P258" s="2"/>
      <c r="Q258" s="2"/>
      <c r="R258" s="2"/>
      <c r="S258" s="2"/>
      <c r="T258" s="2"/>
      <c r="W258" s="2"/>
      <c r="X258" s="2"/>
      <c r="Y258" s="2"/>
      <c r="Z258" s="2"/>
      <c r="AA258" s="2"/>
    </row>
    <row r="259" spans="2:27" x14ac:dyDescent="0.3">
      <c r="B259" s="2"/>
      <c r="C259" s="2"/>
      <c r="D259" s="2"/>
      <c r="E259" s="2"/>
      <c r="F259" s="2"/>
      <c r="I259" s="2"/>
      <c r="J259" s="2"/>
      <c r="K259" s="2"/>
      <c r="L259" s="2"/>
      <c r="M259" s="2"/>
      <c r="P259" s="2"/>
      <c r="Q259" s="2"/>
      <c r="R259" s="2"/>
      <c r="S259" s="2"/>
      <c r="T259" s="2"/>
      <c r="W259" s="2"/>
      <c r="X259" s="2"/>
      <c r="Y259" s="2"/>
      <c r="Z259" s="2"/>
      <c r="AA259" s="2"/>
    </row>
    <row r="260" spans="2:27" x14ac:dyDescent="0.3">
      <c r="B260" s="2"/>
      <c r="C260" s="2"/>
      <c r="D260" s="2"/>
      <c r="E260" s="2"/>
      <c r="F260" s="2"/>
      <c r="I260" s="2"/>
      <c r="J260" s="2"/>
      <c r="K260" s="2"/>
      <c r="L260" s="2"/>
      <c r="M260" s="2"/>
      <c r="P260" s="2"/>
      <c r="Q260" s="2"/>
      <c r="R260" s="2"/>
      <c r="S260" s="2"/>
      <c r="T260" s="2"/>
      <c r="W260" s="2"/>
      <c r="X260" s="2"/>
      <c r="Y260" s="2"/>
      <c r="Z260" s="2"/>
      <c r="AA260" s="2"/>
    </row>
    <row r="261" spans="2:27" x14ac:dyDescent="0.3">
      <c r="B261" s="2"/>
      <c r="C261" s="2"/>
      <c r="D261" s="2"/>
      <c r="E261" s="2"/>
      <c r="F261" s="2"/>
      <c r="I261" s="2"/>
      <c r="J261" s="2"/>
      <c r="K261" s="2"/>
      <c r="L261" s="2"/>
      <c r="M261" s="2"/>
      <c r="P261" s="2"/>
      <c r="Q261" s="2"/>
      <c r="R261" s="2"/>
      <c r="S261" s="2"/>
      <c r="T261" s="2"/>
      <c r="W261" s="2"/>
      <c r="X261" s="2"/>
      <c r="Y261" s="2"/>
      <c r="Z261" s="2"/>
      <c r="AA261" s="2"/>
    </row>
    <row r="262" spans="2:27" x14ac:dyDescent="0.3">
      <c r="B262" s="2"/>
      <c r="C262" s="2"/>
      <c r="D262" s="2"/>
      <c r="E262" s="2"/>
      <c r="F262" s="2"/>
      <c r="I262" s="2"/>
      <c r="J262" s="2"/>
      <c r="K262" s="2"/>
      <c r="L262" s="2"/>
      <c r="M262" s="2"/>
      <c r="P262" s="2"/>
      <c r="Q262" s="2"/>
      <c r="R262" s="2"/>
      <c r="S262" s="2"/>
      <c r="T262" s="2"/>
      <c r="W262" s="2"/>
      <c r="X262" s="2"/>
      <c r="Y262" s="2"/>
      <c r="Z262" s="2"/>
      <c r="AA262" s="2"/>
    </row>
    <row r="263" spans="2:27" x14ac:dyDescent="0.3">
      <c r="B263" s="2"/>
      <c r="C263" s="2"/>
      <c r="D263" s="2"/>
      <c r="E263" s="2"/>
      <c r="F263" s="2"/>
      <c r="I263" s="2"/>
      <c r="J263" s="2"/>
      <c r="K263" s="2"/>
      <c r="L263" s="2"/>
      <c r="M263" s="2"/>
      <c r="P263" s="2"/>
      <c r="Q263" s="2"/>
      <c r="R263" s="2"/>
      <c r="S263" s="2"/>
      <c r="T263" s="2"/>
      <c r="W263" s="2"/>
      <c r="X263" s="2"/>
      <c r="Y263" s="2"/>
      <c r="Z263" s="2"/>
      <c r="AA263" s="2"/>
    </row>
    <row r="264" spans="2:27" x14ac:dyDescent="0.3">
      <c r="B264" s="2"/>
      <c r="C264" s="2"/>
      <c r="D264" s="2"/>
      <c r="E264" s="2"/>
      <c r="F264" s="2"/>
      <c r="I264" s="2"/>
      <c r="J264" s="2"/>
      <c r="K264" s="2"/>
      <c r="L264" s="2"/>
      <c r="M264" s="2"/>
      <c r="P264" s="2"/>
      <c r="Q264" s="2"/>
      <c r="R264" s="2"/>
      <c r="S264" s="2"/>
      <c r="T264" s="2"/>
      <c r="W264" s="2"/>
      <c r="X264" s="2"/>
      <c r="Y264" s="2"/>
      <c r="Z264" s="2"/>
      <c r="AA264" s="2"/>
    </row>
    <row r="265" spans="2:27" x14ac:dyDescent="0.3">
      <c r="B265" s="2"/>
      <c r="C265" s="2"/>
      <c r="D265" s="2"/>
      <c r="E265" s="2"/>
      <c r="F265" s="2"/>
      <c r="I265" s="2"/>
      <c r="J265" s="2"/>
      <c r="K265" s="2"/>
      <c r="L265" s="2"/>
      <c r="M265" s="2"/>
      <c r="P265" s="2"/>
      <c r="Q265" s="2"/>
      <c r="R265" s="2"/>
      <c r="S265" s="2"/>
      <c r="T265" s="2"/>
      <c r="W265" s="2"/>
      <c r="X265" s="2"/>
      <c r="Y265" s="2"/>
      <c r="Z265" s="2"/>
      <c r="AA265" s="2"/>
    </row>
    <row r="266" spans="2:27" x14ac:dyDescent="0.3">
      <c r="B266" s="2"/>
      <c r="C266" s="2"/>
      <c r="D266" s="2"/>
      <c r="E266" s="2"/>
      <c r="F266" s="2"/>
      <c r="I266" s="2"/>
      <c r="J266" s="2"/>
      <c r="K266" s="2"/>
      <c r="L266" s="2"/>
      <c r="M266" s="2"/>
      <c r="P266" s="2"/>
      <c r="Q266" s="2"/>
      <c r="R266" s="2"/>
      <c r="S266" s="2"/>
      <c r="T266" s="2"/>
      <c r="W266" s="2"/>
      <c r="X266" s="2"/>
      <c r="Y266" s="2"/>
      <c r="Z266" s="2"/>
      <c r="AA266" s="2"/>
    </row>
    <row r="267" spans="2:27" x14ac:dyDescent="0.3">
      <c r="B267" s="2"/>
      <c r="C267" s="2"/>
      <c r="D267" s="2"/>
      <c r="E267" s="2"/>
      <c r="F267" s="2"/>
      <c r="I267" s="2"/>
      <c r="J267" s="2"/>
      <c r="K267" s="2"/>
      <c r="L267" s="2"/>
      <c r="M267" s="2"/>
      <c r="P267" s="2"/>
      <c r="Q267" s="2"/>
      <c r="R267" s="2"/>
      <c r="S267" s="2"/>
      <c r="T267" s="2"/>
      <c r="W267" s="2"/>
      <c r="X267" s="2"/>
      <c r="Y267" s="2"/>
      <c r="Z267" s="2"/>
      <c r="AA267" s="2"/>
    </row>
    <row r="268" spans="2:27" x14ac:dyDescent="0.3">
      <c r="B268" s="2"/>
      <c r="C268" s="2"/>
      <c r="D268" s="2"/>
      <c r="E268" s="2"/>
      <c r="F268" s="2"/>
      <c r="I268" s="2"/>
      <c r="J268" s="2"/>
      <c r="K268" s="2"/>
      <c r="L268" s="2"/>
      <c r="M268" s="2"/>
      <c r="P268" s="2"/>
      <c r="Q268" s="2"/>
      <c r="R268" s="2"/>
      <c r="S268" s="2"/>
      <c r="T268" s="2"/>
      <c r="W268" s="2"/>
      <c r="X268" s="2"/>
      <c r="Y268" s="2"/>
      <c r="Z268" s="2"/>
      <c r="AA268" s="2"/>
    </row>
    <row r="269" spans="2:27" x14ac:dyDescent="0.3">
      <c r="B269" s="2"/>
      <c r="C269" s="2"/>
      <c r="D269" s="2"/>
      <c r="E269" s="2"/>
      <c r="F269" s="2"/>
      <c r="I269" s="2"/>
      <c r="J269" s="2"/>
      <c r="K269" s="2"/>
      <c r="L269" s="2"/>
      <c r="M269" s="2"/>
      <c r="P269" s="2"/>
      <c r="Q269" s="2"/>
      <c r="R269" s="2"/>
      <c r="S269" s="2"/>
      <c r="T269" s="2"/>
      <c r="W269" s="2"/>
      <c r="X269" s="2"/>
      <c r="Y269" s="2"/>
      <c r="Z269" s="2"/>
      <c r="AA269" s="2"/>
    </row>
    <row r="270" spans="2:27" x14ac:dyDescent="0.3">
      <c r="B270" s="2"/>
      <c r="C270" s="2"/>
      <c r="D270" s="2"/>
      <c r="E270" s="2"/>
      <c r="F270" s="2"/>
      <c r="I270" s="2"/>
      <c r="J270" s="2"/>
      <c r="K270" s="2"/>
      <c r="L270" s="2"/>
      <c r="M270" s="2"/>
      <c r="P270" s="2"/>
      <c r="Q270" s="2"/>
      <c r="R270" s="2"/>
      <c r="S270" s="2"/>
      <c r="T270" s="2"/>
      <c r="W270" s="2"/>
      <c r="X270" s="2"/>
      <c r="Y270" s="2"/>
      <c r="Z270" s="2"/>
      <c r="AA270" s="2"/>
    </row>
    <row r="271" spans="2:27" x14ac:dyDescent="0.3">
      <c r="B271" s="2"/>
      <c r="C271" s="2"/>
      <c r="D271" s="2"/>
      <c r="E271" s="2"/>
      <c r="F271" s="2"/>
      <c r="I271" s="2"/>
      <c r="J271" s="2"/>
      <c r="K271" s="2"/>
      <c r="L271" s="2"/>
      <c r="M271" s="2"/>
      <c r="P271" s="2"/>
      <c r="Q271" s="2"/>
      <c r="R271" s="2"/>
      <c r="S271" s="2"/>
      <c r="T271" s="2"/>
      <c r="W271" s="2"/>
      <c r="X271" s="2"/>
      <c r="Y271" s="2"/>
      <c r="Z271" s="2"/>
      <c r="AA271" s="2"/>
    </row>
    <row r="272" spans="2:27" x14ac:dyDescent="0.3">
      <c r="B272" s="2"/>
      <c r="C272" s="2"/>
      <c r="D272" s="2"/>
      <c r="E272" s="2"/>
      <c r="F272" s="2"/>
      <c r="I272" s="2"/>
      <c r="J272" s="2"/>
      <c r="K272" s="2"/>
      <c r="L272" s="2"/>
      <c r="M272" s="2"/>
      <c r="P272" s="2"/>
      <c r="Q272" s="2"/>
      <c r="R272" s="2"/>
      <c r="S272" s="2"/>
      <c r="T272" s="2"/>
      <c r="W272" s="2"/>
      <c r="X272" s="2"/>
      <c r="Y272" s="2"/>
      <c r="Z272" s="2"/>
      <c r="AA272" s="2"/>
    </row>
    <row r="273" spans="2:27" x14ac:dyDescent="0.3">
      <c r="B273" s="2"/>
      <c r="C273" s="2"/>
      <c r="D273" s="2"/>
      <c r="E273" s="2"/>
      <c r="F273" s="2"/>
      <c r="I273" s="2"/>
      <c r="J273" s="2"/>
      <c r="K273" s="2"/>
      <c r="L273" s="2"/>
      <c r="M273" s="2"/>
      <c r="P273" s="2"/>
      <c r="Q273" s="2"/>
      <c r="R273" s="2"/>
      <c r="S273" s="2"/>
      <c r="T273" s="2"/>
      <c r="W273" s="2"/>
      <c r="X273" s="2"/>
      <c r="Y273" s="2"/>
      <c r="Z273" s="2"/>
      <c r="AA273" s="2"/>
    </row>
    <row r="274" spans="2:27" x14ac:dyDescent="0.3">
      <c r="B274" s="2"/>
      <c r="C274" s="2"/>
      <c r="D274" s="2"/>
      <c r="E274" s="2"/>
      <c r="F274" s="2"/>
      <c r="I274" s="2"/>
      <c r="J274" s="2"/>
      <c r="K274" s="2"/>
      <c r="L274" s="2"/>
      <c r="M274" s="2"/>
      <c r="P274" s="2"/>
      <c r="Q274" s="2"/>
      <c r="R274" s="2"/>
      <c r="S274" s="2"/>
      <c r="T274" s="2"/>
      <c r="W274" s="2"/>
      <c r="X274" s="2"/>
      <c r="Y274" s="2"/>
      <c r="Z274" s="2"/>
      <c r="AA274" s="2"/>
    </row>
    <row r="275" spans="2:27" x14ac:dyDescent="0.3">
      <c r="B275" s="2"/>
      <c r="C275" s="2"/>
      <c r="D275" s="2"/>
      <c r="E275" s="2"/>
      <c r="F275" s="2"/>
      <c r="I275" s="2"/>
      <c r="J275" s="2"/>
      <c r="K275" s="2"/>
      <c r="L275" s="2"/>
      <c r="M275" s="2"/>
      <c r="P275" s="2"/>
      <c r="Q275" s="2"/>
      <c r="R275" s="2"/>
      <c r="S275" s="2"/>
      <c r="T275" s="2"/>
      <c r="W275" s="2"/>
      <c r="X275" s="2"/>
      <c r="Y275" s="2"/>
      <c r="Z275" s="2"/>
      <c r="AA275" s="2"/>
    </row>
    <row r="276" spans="2:27" x14ac:dyDescent="0.3">
      <c r="B276" s="2"/>
      <c r="C276" s="2"/>
      <c r="D276" s="2"/>
      <c r="E276" s="2"/>
      <c r="F276" s="2"/>
      <c r="I276" s="2"/>
      <c r="J276" s="2"/>
      <c r="K276" s="2"/>
      <c r="L276" s="2"/>
      <c r="M276" s="2"/>
      <c r="P276" s="2"/>
      <c r="Q276" s="2"/>
      <c r="R276" s="2"/>
      <c r="S276" s="2"/>
      <c r="T276" s="2"/>
      <c r="W276" s="2"/>
      <c r="X276" s="2"/>
      <c r="Y276" s="2"/>
      <c r="Z276" s="2"/>
      <c r="AA276" s="2"/>
    </row>
    <row r="277" spans="2:27" x14ac:dyDescent="0.3">
      <c r="B277" s="2"/>
      <c r="C277" s="2"/>
      <c r="D277" s="2"/>
      <c r="E277" s="2"/>
      <c r="F277" s="2"/>
      <c r="I277" s="2"/>
      <c r="J277" s="2"/>
      <c r="K277" s="2"/>
      <c r="L277" s="2"/>
      <c r="M277" s="2"/>
      <c r="P277" s="2"/>
      <c r="Q277" s="2"/>
      <c r="R277" s="2"/>
      <c r="S277" s="2"/>
      <c r="T277" s="2"/>
      <c r="W277" s="2"/>
      <c r="X277" s="2"/>
      <c r="Y277" s="2"/>
      <c r="Z277" s="2"/>
      <c r="AA277" s="2"/>
    </row>
    <row r="278" spans="2:27" x14ac:dyDescent="0.3">
      <c r="B278" s="2"/>
      <c r="C278" s="2"/>
      <c r="D278" s="2"/>
      <c r="E278" s="2"/>
      <c r="F278" s="2"/>
      <c r="I278" s="2"/>
      <c r="J278" s="2"/>
      <c r="K278" s="2"/>
      <c r="L278" s="2"/>
      <c r="M278" s="2"/>
      <c r="P278" s="2"/>
      <c r="Q278" s="2"/>
      <c r="R278" s="2"/>
      <c r="S278" s="2"/>
      <c r="T278" s="2"/>
      <c r="W278" s="2"/>
      <c r="X278" s="2"/>
      <c r="Y278" s="2"/>
      <c r="Z278" s="2"/>
      <c r="AA278" s="2"/>
    </row>
    <row r="279" spans="2:27" x14ac:dyDescent="0.3">
      <c r="B279" s="2"/>
      <c r="C279" s="2"/>
      <c r="D279" s="2"/>
      <c r="E279" s="2"/>
      <c r="F279" s="2"/>
      <c r="I279" s="2"/>
      <c r="J279" s="2"/>
      <c r="K279" s="2"/>
      <c r="L279" s="2"/>
      <c r="M279" s="2"/>
      <c r="P279" s="2"/>
      <c r="Q279" s="2"/>
      <c r="R279" s="2"/>
      <c r="S279" s="2"/>
      <c r="T279" s="2"/>
      <c r="W279" s="2"/>
      <c r="X279" s="2"/>
      <c r="Y279" s="2"/>
      <c r="Z279" s="2"/>
      <c r="AA279" s="2"/>
    </row>
    <row r="280" spans="2:27" x14ac:dyDescent="0.3">
      <c r="B280" s="2"/>
      <c r="C280" s="2"/>
      <c r="D280" s="2"/>
      <c r="E280" s="2"/>
      <c r="F280" s="2"/>
      <c r="I280" s="2"/>
      <c r="J280" s="2"/>
      <c r="K280" s="2"/>
      <c r="L280" s="2"/>
      <c r="M280" s="2"/>
      <c r="P280" s="2"/>
      <c r="Q280" s="2"/>
      <c r="R280" s="2"/>
      <c r="S280" s="2"/>
      <c r="T280" s="2"/>
      <c r="W280" s="2"/>
      <c r="X280" s="2"/>
      <c r="Y280" s="2"/>
      <c r="Z280" s="2"/>
      <c r="AA280" s="2"/>
    </row>
    <row r="281" spans="2:27" x14ac:dyDescent="0.3">
      <c r="B281" s="2"/>
      <c r="C281" s="2"/>
      <c r="D281" s="2"/>
      <c r="E281" s="2"/>
      <c r="F281" s="2"/>
      <c r="I281" s="2"/>
      <c r="J281" s="2"/>
      <c r="K281" s="2"/>
      <c r="L281" s="2"/>
      <c r="M281" s="2"/>
      <c r="P281" s="2"/>
      <c r="Q281" s="2"/>
      <c r="R281" s="2"/>
      <c r="S281" s="2"/>
      <c r="T281" s="2"/>
      <c r="W281" s="2"/>
      <c r="X281" s="2"/>
      <c r="Y281" s="2"/>
      <c r="Z281" s="2"/>
      <c r="AA281" s="2"/>
    </row>
    <row r="282" spans="2:27" x14ac:dyDescent="0.3">
      <c r="B282" s="2"/>
      <c r="C282" s="2"/>
      <c r="D282" s="2"/>
      <c r="E282" s="2"/>
      <c r="F282" s="2"/>
      <c r="I282" s="2"/>
      <c r="J282" s="2"/>
      <c r="K282" s="2"/>
      <c r="L282" s="2"/>
      <c r="M282" s="2"/>
      <c r="P282" s="2"/>
      <c r="Q282" s="2"/>
      <c r="R282" s="2"/>
      <c r="S282" s="2"/>
      <c r="T282" s="2"/>
      <c r="W282" s="2"/>
      <c r="X282" s="2"/>
      <c r="Y282" s="2"/>
      <c r="Z282" s="2"/>
      <c r="AA282" s="2"/>
    </row>
    <row r="283" spans="2:27" x14ac:dyDescent="0.3">
      <c r="B283" s="2"/>
      <c r="C283" s="2"/>
      <c r="D283" s="2"/>
      <c r="E283" s="2"/>
      <c r="F283" s="2"/>
      <c r="I283" s="2"/>
      <c r="J283" s="2"/>
      <c r="K283" s="2"/>
      <c r="L283" s="2"/>
      <c r="M283" s="2"/>
      <c r="P283" s="2"/>
      <c r="Q283" s="2"/>
      <c r="R283" s="2"/>
      <c r="S283" s="2"/>
      <c r="T283" s="2"/>
      <c r="W283" s="2"/>
      <c r="X283" s="2"/>
      <c r="Y283" s="2"/>
      <c r="Z283" s="2"/>
      <c r="AA283" s="2"/>
    </row>
    <row r="284" spans="2:27" x14ac:dyDescent="0.3">
      <c r="B284" s="2"/>
      <c r="C284" s="2"/>
      <c r="D284" s="2"/>
      <c r="E284" s="2"/>
      <c r="F284" s="2"/>
      <c r="I284" s="2"/>
      <c r="J284" s="2"/>
      <c r="K284" s="2"/>
      <c r="L284" s="2"/>
      <c r="M284" s="2"/>
      <c r="P284" s="2"/>
      <c r="Q284" s="2"/>
      <c r="R284" s="2"/>
      <c r="S284" s="2"/>
      <c r="T284" s="2"/>
      <c r="W284" s="2"/>
      <c r="X284" s="2"/>
      <c r="Y284" s="2"/>
      <c r="Z284" s="2"/>
      <c r="AA284" s="2"/>
    </row>
    <row r="285" spans="2:27" x14ac:dyDescent="0.3">
      <c r="B285" s="2"/>
      <c r="C285" s="2"/>
      <c r="D285" s="2"/>
      <c r="E285" s="2"/>
      <c r="F285" s="2"/>
      <c r="I285" s="2"/>
      <c r="J285" s="2"/>
      <c r="K285" s="2"/>
      <c r="L285" s="2"/>
      <c r="M285" s="2"/>
      <c r="P285" s="2"/>
      <c r="Q285" s="2"/>
      <c r="R285" s="2"/>
      <c r="S285" s="2"/>
      <c r="T285" s="2"/>
      <c r="W285" s="2"/>
      <c r="X285" s="2"/>
      <c r="Y285" s="2"/>
      <c r="Z285" s="2"/>
      <c r="AA285" s="2"/>
    </row>
    <row r="286" spans="2:27" x14ac:dyDescent="0.3">
      <c r="B286" s="2"/>
      <c r="C286" s="2"/>
      <c r="D286" s="2"/>
      <c r="E286" s="2"/>
      <c r="F286" s="2"/>
      <c r="I286" s="2"/>
      <c r="J286" s="2"/>
      <c r="K286" s="2"/>
      <c r="L286" s="2"/>
      <c r="M286" s="2"/>
      <c r="P286" s="2"/>
      <c r="Q286" s="2"/>
      <c r="R286" s="2"/>
      <c r="S286" s="2"/>
      <c r="T286" s="2"/>
      <c r="W286" s="2"/>
      <c r="X286" s="2"/>
      <c r="Y286" s="2"/>
      <c r="Z286" s="2"/>
      <c r="AA286" s="2"/>
    </row>
    <row r="287" spans="2:27" x14ac:dyDescent="0.3">
      <c r="B287" s="2"/>
      <c r="C287" s="2"/>
      <c r="D287" s="2"/>
      <c r="E287" s="2"/>
      <c r="F287" s="2"/>
      <c r="I287" s="2"/>
      <c r="J287" s="2"/>
      <c r="K287" s="2"/>
      <c r="L287" s="2"/>
      <c r="M287" s="2"/>
      <c r="P287" s="2"/>
      <c r="Q287" s="2"/>
      <c r="R287" s="2"/>
      <c r="S287" s="2"/>
      <c r="T287" s="2"/>
      <c r="W287" s="2"/>
      <c r="X287" s="2"/>
      <c r="Y287" s="2"/>
      <c r="Z287" s="2"/>
      <c r="AA287" s="2"/>
    </row>
    <row r="288" spans="2:27" x14ac:dyDescent="0.3">
      <c r="B288" s="2"/>
      <c r="C288" s="2"/>
      <c r="D288" s="2"/>
      <c r="E288" s="2"/>
      <c r="F288" s="2"/>
      <c r="I288" s="2"/>
      <c r="J288" s="2"/>
      <c r="K288" s="2"/>
      <c r="L288" s="2"/>
      <c r="M288" s="2"/>
      <c r="P288" s="2"/>
      <c r="Q288" s="2"/>
      <c r="R288" s="2"/>
      <c r="S288" s="2"/>
      <c r="T288" s="2"/>
      <c r="W288" s="2"/>
      <c r="X288" s="2"/>
      <c r="Y288" s="2"/>
      <c r="Z288" s="2"/>
      <c r="AA288" s="2"/>
    </row>
    <row r="289" spans="2:27" x14ac:dyDescent="0.3">
      <c r="B289" s="2"/>
      <c r="C289" s="2"/>
      <c r="D289" s="2"/>
      <c r="E289" s="2"/>
      <c r="F289" s="2"/>
      <c r="I289" s="2"/>
      <c r="J289" s="2"/>
      <c r="K289" s="2"/>
      <c r="L289" s="2"/>
      <c r="M289" s="2"/>
      <c r="P289" s="2"/>
      <c r="Q289" s="2"/>
      <c r="R289" s="2"/>
      <c r="S289" s="2"/>
      <c r="T289" s="2"/>
      <c r="W289" s="2"/>
      <c r="X289" s="2"/>
      <c r="Y289" s="2"/>
      <c r="Z289" s="2"/>
      <c r="AA289" s="2"/>
    </row>
    <row r="290" spans="2:27" x14ac:dyDescent="0.3">
      <c r="B290" s="2"/>
      <c r="C290" s="2"/>
      <c r="D290" s="2"/>
      <c r="E290" s="2"/>
      <c r="F290" s="2"/>
      <c r="I290" s="2"/>
      <c r="J290" s="2"/>
      <c r="K290" s="2"/>
      <c r="L290" s="2"/>
      <c r="M290" s="2"/>
      <c r="P290" s="2"/>
      <c r="Q290" s="2"/>
      <c r="R290" s="2"/>
      <c r="S290" s="2"/>
      <c r="T290" s="2"/>
      <c r="W290" s="2"/>
      <c r="X290" s="2"/>
      <c r="Y290" s="2"/>
      <c r="Z290" s="2"/>
      <c r="AA290" s="2"/>
    </row>
    <row r="291" spans="2:27" x14ac:dyDescent="0.3">
      <c r="B291" s="2"/>
      <c r="C291" s="2"/>
      <c r="D291" s="2"/>
      <c r="E291" s="2"/>
      <c r="F291" s="2"/>
      <c r="I291" s="2"/>
      <c r="J291" s="2"/>
      <c r="K291" s="2"/>
      <c r="L291" s="2"/>
      <c r="M291" s="2"/>
      <c r="P291" s="2"/>
      <c r="Q291" s="2"/>
      <c r="R291" s="2"/>
      <c r="S291" s="2"/>
      <c r="T291" s="2"/>
      <c r="W291" s="2"/>
      <c r="X291" s="2"/>
      <c r="Y291" s="2"/>
      <c r="Z291" s="2"/>
      <c r="AA291" s="2"/>
    </row>
    <row r="292" spans="2:27" x14ac:dyDescent="0.3">
      <c r="B292" s="2"/>
      <c r="C292" s="2"/>
      <c r="D292" s="2"/>
      <c r="E292" s="2"/>
      <c r="F292" s="2"/>
      <c r="I292" s="2"/>
      <c r="J292" s="2"/>
      <c r="K292" s="2"/>
      <c r="L292" s="2"/>
      <c r="M292" s="2"/>
      <c r="P292" s="2"/>
      <c r="Q292" s="2"/>
      <c r="R292" s="2"/>
      <c r="S292" s="2"/>
      <c r="T292" s="2"/>
      <c r="W292" s="2"/>
      <c r="X292" s="2"/>
      <c r="Y292" s="2"/>
      <c r="Z292" s="2"/>
      <c r="AA292" s="2"/>
    </row>
    <row r="293" spans="2:27" x14ac:dyDescent="0.3">
      <c r="B293" s="2"/>
      <c r="C293" s="2"/>
      <c r="D293" s="2"/>
      <c r="E293" s="2"/>
      <c r="F293" s="2"/>
      <c r="I293" s="2"/>
      <c r="J293" s="2"/>
      <c r="K293" s="2"/>
      <c r="L293" s="2"/>
      <c r="M293" s="2"/>
      <c r="P293" s="2"/>
      <c r="Q293" s="2"/>
      <c r="R293" s="2"/>
      <c r="S293" s="2"/>
      <c r="T293" s="2"/>
      <c r="W293" s="2"/>
      <c r="X293" s="2"/>
      <c r="Y293" s="2"/>
      <c r="Z293" s="2"/>
      <c r="AA293" s="2"/>
    </row>
    <row r="294" spans="2:27" x14ac:dyDescent="0.3">
      <c r="B294" s="2"/>
      <c r="C294" s="2"/>
      <c r="D294" s="2"/>
      <c r="E294" s="2"/>
      <c r="F294" s="2"/>
      <c r="I294" s="2"/>
      <c r="J294" s="2"/>
      <c r="K294" s="2"/>
      <c r="L294" s="2"/>
      <c r="M294" s="2"/>
      <c r="P294" s="2"/>
      <c r="Q294" s="2"/>
      <c r="R294" s="2"/>
      <c r="S294" s="2"/>
      <c r="T294" s="2"/>
      <c r="W294" s="2"/>
      <c r="X294" s="2"/>
      <c r="Y294" s="2"/>
      <c r="Z294" s="2"/>
      <c r="AA294" s="2"/>
    </row>
    <row r="295" spans="2:27" x14ac:dyDescent="0.3">
      <c r="B295" s="2"/>
      <c r="C295" s="2"/>
      <c r="D295" s="2"/>
      <c r="E295" s="2"/>
      <c r="F295" s="2"/>
      <c r="I295" s="2"/>
      <c r="J295" s="2"/>
      <c r="K295" s="2"/>
      <c r="L295" s="2"/>
      <c r="M295" s="2"/>
      <c r="P295" s="2"/>
      <c r="Q295" s="2"/>
      <c r="R295" s="2"/>
      <c r="S295" s="2"/>
      <c r="T295" s="2"/>
      <c r="W295" s="2"/>
      <c r="X295" s="2"/>
      <c r="Y295" s="2"/>
      <c r="Z295" s="2"/>
      <c r="AA295" s="2"/>
    </row>
    <row r="296" spans="2:27" x14ac:dyDescent="0.3">
      <c r="B296" s="2"/>
      <c r="C296" s="2"/>
      <c r="D296" s="2"/>
      <c r="E296" s="2"/>
      <c r="F296" s="2"/>
      <c r="I296" s="2"/>
      <c r="J296" s="2"/>
      <c r="K296" s="2"/>
      <c r="L296" s="2"/>
      <c r="M296" s="2"/>
      <c r="P296" s="2"/>
      <c r="Q296" s="2"/>
      <c r="R296" s="2"/>
      <c r="S296" s="2"/>
      <c r="T296" s="2"/>
      <c r="W296" s="2"/>
      <c r="X296" s="2"/>
      <c r="Y296" s="2"/>
      <c r="Z296" s="2"/>
      <c r="AA296" s="2"/>
    </row>
    <row r="297" spans="2:27" x14ac:dyDescent="0.3">
      <c r="B297" s="2"/>
      <c r="C297" s="2"/>
      <c r="D297" s="2"/>
      <c r="E297" s="2"/>
      <c r="F297" s="2"/>
      <c r="I297" s="2"/>
      <c r="J297" s="2"/>
      <c r="K297" s="2"/>
      <c r="L297" s="2"/>
      <c r="M297" s="2"/>
      <c r="P297" s="2"/>
      <c r="Q297" s="2"/>
      <c r="R297" s="2"/>
      <c r="S297" s="2"/>
      <c r="T297" s="2"/>
      <c r="W297" s="2"/>
      <c r="X297" s="2"/>
      <c r="Y297" s="2"/>
      <c r="Z297" s="2"/>
      <c r="AA297" s="2"/>
    </row>
    <row r="298" spans="2:27" x14ac:dyDescent="0.3">
      <c r="B298" s="2"/>
      <c r="C298" s="2"/>
      <c r="D298" s="2"/>
      <c r="E298" s="2"/>
      <c r="F298" s="2"/>
      <c r="I298" s="2"/>
      <c r="J298" s="2"/>
      <c r="K298" s="2"/>
      <c r="L298" s="2"/>
      <c r="M298" s="2"/>
      <c r="P298" s="2"/>
      <c r="Q298" s="2"/>
      <c r="R298" s="2"/>
      <c r="S298" s="2"/>
      <c r="T298" s="2"/>
      <c r="W298" s="2"/>
      <c r="X298" s="2"/>
      <c r="Y298" s="2"/>
      <c r="Z298" s="2"/>
      <c r="AA298" s="2"/>
    </row>
    <row r="299" spans="2:27" x14ac:dyDescent="0.3">
      <c r="B299" s="2"/>
      <c r="C299" s="2"/>
      <c r="D299" s="2"/>
      <c r="E299" s="2"/>
      <c r="F299" s="2"/>
      <c r="I299" s="2"/>
      <c r="J299" s="2"/>
      <c r="K299" s="2"/>
      <c r="L299" s="2"/>
      <c r="M299" s="2"/>
      <c r="P299" s="2"/>
      <c r="Q299" s="2"/>
      <c r="R299" s="2"/>
      <c r="S299" s="2"/>
      <c r="T299" s="2"/>
      <c r="W299" s="2"/>
      <c r="X299" s="2"/>
      <c r="Y299" s="2"/>
      <c r="Z299" s="2"/>
      <c r="AA299" s="2"/>
    </row>
    <row r="300" spans="2:27" x14ac:dyDescent="0.3">
      <c r="B300" s="2"/>
      <c r="C300" s="2"/>
      <c r="D300" s="2"/>
      <c r="E300" s="2"/>
      <c r="F300" s="2"/>
      <c r="I300" s="2"/>
      <c r="J300" s="2"/>
      <c r="K300" s="2"/>
      <c r="L300" s="2"/>
      <c r="M300" s="2"/>
      <c r="P300" s="2"/>
      <c r="Q300" s="2"/>
      <c r="R300" s="2"/>
      <c r="S300" s="2"/>
      <c r="T300" s="2"/>
      <c r="W300" s="2"/>
      <c r="X300" s="2"/>
      <c r="Y300" s="2"/>
      <c r="Z300" s="2"/>
      <c r="AA300" s="2"/>
    </row>
    <row r="301" spans="2:27" x14ac:dyDescent="0.3">
      <c r="B301" s="2"/>
      <c r="C301" s="2"/>
      <c r="D301" s="2"/>
      <c r="E301" s="2"/>
      <c r="F301" s="2"/>
      <c r="I301" s="2"/>
      <c r="J301" s="2"/>
      <c r="K301" s="2"/>
      <c r="L301" s="2"/>
      <c r="M301" s="2"/>
      <c r="P301" s="2"/>
      <c r="Q301" s="2"/>
      <c r="R301" s="2"/>
      <c r="S301" s="2"/>
      <c r="T301" s="2"/>
      <c r="W301" s="2"/>
      <c r="X301" s="2"/>
      <c r="Y301" s="2"/>
      <c r="Z301" s="2"/>
      <c r="AA301" s="2"/>
    </row>
    <row r="302" spans="2:27" x14ac:dyDescent="0.3">
      <c r="B302" s="2"/>
      <c r="C302" s="2"/>
      <c r="D302" s="2"/>
      <c r="E302" s="2"/>
      <c r="F302" s="2"/>
      <c r="I302" s="2"/>
      <c r="J302" s="2"/>
      <c r="K302" s="2"/>
      <c r="L302" s="2"/>
      <c r="M302" s="2"/>
      <c r="P302" s="2"/>
      <c r="Q302" s="2"/>
      <c r="R302" s="2"/>
      <c r="S302" s="2"/>
      <c r="T302" s="2"/>
      <c r="W302" s="2"/>
      <c r="X302" s="2"/>
      <c r="Y302" s="2"/>
      <c r="Z302" s="2"/>
      <c r="AA302" s="2"/>
    </row>
    <row r="303" spans="2:27" x14ac:dyDescent="0.3">
      <c r="B303" s="2"/>
      <c r="C303" s="2"/>
      <c r="D303" s="2"/>
      <c r="E303" s="2"/>
      <c r="F303" s="2"/>
      <c r="I303" s="2"/>
      <c r="J303" s="2"/>
      <c r="K303" s="2"/>
      <c r="L303" s="2"/>
      <c r="M303" s="2"/>
      <c r="P303" s="2"/>
      <c r="Q303" s="2"/>
      <c r="R303" s="2"/>
      <c r="S303" s="2"/>
      <c r="T303" s="2"/>
      <c r="W303" s="2"/>
      <c r="X303" s="2"/>
      <c r="Y303" s="2"/>
      <c r="Z303" s="2"/>
      <c r="AA303" s="2"/>
    </row>
    <row r="304" spans="2:27" x14ac:dyDescent="0.3">
      <c r="B304" s="2"/>
      <c r="C304" s="2"/>
      <c r="D304" s="2"/>
      <c r="E304" s="2"/>
      <c r="F304" s="2"/>
      <c r="I304" s="2"/>
      <c r="J304" s="2"/>
      <c r="K304" s="2"/>
      <c r="L304" s="2"/>
      <c r="M304" s="2"/>
      <c r="P304" s="2"/>
      <c r="Q304" s="2"/>
      <c r="R304" s="2"/>
      <c r="S304" s="2"/>
      <c r="T304" s="2"/>
      <c r="W304" s="2"/>
      <c r="X304" s="2"/>
      <c r="Y304" s="2"/>
      <c r="Z304" s="2"/>
      <c r="AA304" s="2"/>
    </row>
    <row r="305" spans="2:27" x14ac:dyDescent="0.3">
      <c r="B305" s="2"/>
      <c r="C305" s="2"/>
      <c r="D305" s="2"/>
      <c r="E305" s="2"/>
      <c r="F305" s="2"/>
      <c r="I305" s="2"/>
      <c r="J305" s="2"/>
      <c r="K305" s="2"/>
      <c r="L305" s="2"/>
      <c r="M305" s="2"/>
      <c r="P305" s="2"/>
      <c r="Q305" s="2"/>
      <c r="R305" s="2"/>
      <c r="S305" s="2"/>
      <c r="T305" s="2"/>
      <c r="W305" s="2"/>
      <c r="X305" s="2"/>
      <c r="Y305" s="2"/>
      <c r="Z305" s="2"/>
      <c r="AA305" s="2"/>
    </row>
    <row r="306" spans="2:27" x14ac:dyDescent="0.3">
      <c r="B306" s="2"/>
      <c r="C306" s="2"/>
      <c r="D306" s="2"/>
      <c r="E306" s="2"/>
      <c r="F306" s="2"/>
      <c r="I306" s="2"/>
      <c r="J306" s="2"/>
      <c r="K306" s="2"/>
      <c r="L306" s="2"/>
      <c r="M306" s="2"/>
      <c r="P306" s="2"/>
      <c r="Q306" s="2"/>
      <c r="R306" s="2"/>
      <c r="S306" s="2"/>
      <c r="T306" s="2"/>
      <c r="W306" s="2"/>
      <c r="X306" s="2"/>
      <c r="Y306" s="2"/>
      <c r="Z306" s="2"/>
      <c r="AA306" s="2"/>
    </row>
    <row r="307" spans="2:27" x14ac:dyDescent="0.3">
      <c r="B307" s="2"/>
      <c r="C307" s="2"/>
      <c r="D307" s="2"/>
      <c r="E307" s="2"/>
      <c r="F307" s="2"/>
      <c r="I307" s="2"/>
      <c r="J307" s="2"/>
      <c r="K307" s="2"/>
      <c r="L307" s="2"/>
      <c r="M307" s="2"/>
      <c r="P307" s="2"/>
      <c r="Q307" s="2"/>
      <c r="R307" s="2"/>
      <c r="S307" s="2"/>
      <c r="T307" s="2"/>
      <c r="W307" s="2"/>
      <c r="X307" s="2"/>
      <c r="Y307" s="2"/>
      <c r="Z307" s="2"/>
      <c r="AA307" s="2"/>
    </row>
    <row r="308" spans="2:27" x14ac:dyDescent="0.3">
      <c r="B308" s="2"/>
      <c r="C308" s="2"/>
      <c r="D308" s="2"/>
      <c r="E308" s="2"/>
      <c r="F308" s="2"/>
      <c r="I308" s="2"/>
      <c r="J308" s="2"/>
      <c r="K308" s="2"/>
      <c r="L308" s="2"/>
      <c r="M308" s="2"/>
      <c r="P308" s="2"/>
      <c r="Q308" s="2"/>
      <c r="R308" s="2"/>
      <c r="S308" s="2"/>
      <c r="T308" s="2"/>
      <c r="W308" s="2"/>
      <c r="X308" s="2"/>
      <c r="Y308" s="2"/>
      <c r="Z308" s="2"/>
      <c r="AA308" s="2"/>
    </row>
    <row r="309" spans="2:27" x14ac:dyDescent="0.3">
      <c r="B309" s="2"/>
      <c r="C309" s="2"/>
      <c r="D309" s="2"/>
      <c r="E309" s="2"/>
      <c r="F309" s="2"/>
      <c r="I309" s="2"/>
      <c r="J309" s="2"/>
      <c r="K309" s="2"/>
      <c r="L309" s="2"/>
      <c r="M309" s="2"/>
      <c r="P309" s="2"/>
      <c r="Q309" s="2"/>
      <c r="R309" s="2"/>
      <c r="S309" s="2"/>
      <c r="T309" s="2"/>
      <c r="W309" s="2"/>
      <c r="X309" s="2"/>
      <c r="Y309" s="2"/>
      <c r="Z309" s="2"/>
      <c r="AA309" s="2"/>
    </row>
    <row r="310" spans="2:27" x14ac:dyDescent="0.3">
      <c r="B310" s="2"/>
      <c r="C310" s="2"/>
      <c r="D310" s="2"/>
      <c r="E310" s="2"/>
      <c r="F310" s="2"/>
      <c r="I310" s="2"/>
      <c r="J310" s="2"/>
      <c r="K310" s="2"/>
      <c r="L310" s="2"/>
      <c r="M310" s="2"/>
      <c r="P310" s="2"/>
      <c r="Q310" s="2"/>
      <c r="R310" s="2"/>
      <c r="S310" s="2"/>
      <c r="T310" s="2"/>
      <c r="W310" s="2"/>
      <c r="X310" s="2"/>
      <c r="Y310" s="2"/>
      <c r="Z310" s="2"/>
      <c r="AA310" s="2"/>
    </row>
    <row r="311" spans="2:27" x14ac:dyDescent="0.3">
      <c r="B311" s="2"/>
      <c r="C311" s="2"/>
      <c r="D311" s="2"/>
      <c r="E311" s="2"/>
      <c r="F311" s="2"/>
      <c r="I311" s="2"/>
      <c r="J311" s="2"/>
      <c r="K311" s="2"/>
      <c r="L311" s="2"/>
      <c r="M311" s="2"/>
      <c r="P311" s="2"/>
      <c r="Q311" s="2"/>
      <c r="R311" s="2"/>
      <c r="S311" s="2"/>
      <c r="T311" s="2"/>
      <c r="W311" s="2"/>
      <c r="X311" s="2"/>
      <c r="Y311" s="2"/>
      <c r="Z311" s="2"/>
      <c r="AA311" s="2"/>
    </row>
    <row r="312" spans="2:27" x14ac:dyDescent="0.3">
      <c r="B312" s="2"/>
      <c r="C312" s="2"/>
      <c r="D312" s="2"/>
      <c r="E312" s="2"/>
      <c r="F312" s="2"/>
      <c r="I312" s="2"/>
      <c r="J312" s="2"/>
      <c r="K312" s="2"/>
      <c r="L312" s="2"/>
      <c r="M312" s="2"/>
      <c r="P312" s="2"/>
      <c r="Q312" s="2"/>
      <c r="R312" s="2"/>
      <c r="S312" s="2"/>
      <c r="T312" s="2"/>
      <c r="W312" s="2"/>
      <c r="X312" s="2"/>
      <c r="Y312" s="2"/>
      <c r="Z312" s="2"/>
      <c r="AA312" s="2"/>
    </row>
    <row r="313" spans="2:27" x14ac:dyDescent="0.3">
      <c r="B313" s="2"/>
      <c r="C313" s="2"/>
      <c r="D313" s="2"/>
      <c r="E313" s="2"/>
      <c r="F313" s="2"/>
      <c r="I313" s="2"/>
      <c r="J313" s="2"/>
      <c r="K313" s="2"/>
      <c r="L313" s="2"/>
      <c r="M313" s="2"/>
      <c r="P313" s="2"/>
      <c r="Q313" s="2"/>
      <c r="R313" s="2"/>
      <c r="S313" s="2"/>
      <c r="T313" s="2"/>
      <c r="W313" s="2"/>
      <c r="X313" s="2"/>
      <c r="Y313" s="2"/>
      <c r="Z313" s="2"/>
      <c r="AA313" s="2"/>
    </row>
    <row r="314" spans="2:27" x14ac:dyDescent="0.3">
      <c r="B314" s="2"/>
      <c r="C314" s="2"/>
      <c r="D314" s="2"/>
      <c r="E314" s="2"/>
      <c r="F314" s="2"/>
      <c r="I314" s="2"/>
      <c r="J314" s="2"/>
      <c r="K314" s="2"/>
      <c r="L314" s="2"/>
      <c r="M314" s="2"/>
      <c r="P314" s="2"/>
      <c r="Q314" s="2"/>
      <c r="R314" s="2"/>
      <c r="S314" s="2"/>
      <c r="T314" s="2"/>
      <c r="W314" s="2"/>
      <c r="X314" s="2"/>
      <c r="Y314" s="2"/>
      <c r="Z314" s="2"/>
      <c r="AA314" s="2"/>
    </row>
    <row r="315" spans="2:27" x14ac:dyDescent="0.3">
      <c r="B315" s="2"/>
      <c r="C315" s="2"/>
      <c r="D315" s="2"/>
      <c r="E315" s="2"/>
      <c r="F315" s="2"/>
      <c r="I315" s="2"/>
      <c r="J315" s="2"/>
      <c r="K315" s="2"/>
      <c r="L315" s="2"/>
      <c r="M315" s="2"/>
      <c r="P315" s="2"/>
      <c r="Q315" s="2"/>
      <c r="R315" s="2"/>
      <c r="S315" s="2"/>
      <c r="T315" s="2"/>
      <c r="W315" s="2"/>
      <c r="X315" s="2"/>
      <c r="Y315" s="2"/>
      <c r="Z315" s="2"/>
      <c r="AA315" s="2"/>
    </row>
    <row r="316" spans="2:27" x14ac:dyDescent="0.3">
      <c r="B316" s="2"/>
      <c r="C316" s="2"/>
      <c r="D316" s="2"/>
      <c r="E316" s="2"/>
      <c r="F316" s="2"/>
      <c r="I316" s="2"/>
      <c r="J316" s="2"/>
      <c r="K316" s="2"/>
      <c r="L316" s="2"/>
      <c r="M316" s="2"/>
      <c r="P316" s="2"/>
      <c r="Q316" s="2"/>
      <c r="R316" s="2"/>
      <c r="S316" s="2"/>
      <c r="T316" s="2"/>
      <c r="W316" s="2"/>
      <c r="X316" s="2"/>
      <c r="Y316" s="2"/>
      <c r="Z316" s="2"/>
      <c r="AA316" s="2"/>
    </row>
    <row r="317" spans="2:27" x14ac:dyDescent="0.3">
      <c r="B317" s="2"/>
      <c r="C317" s="2"/>
      <c r="D317" s="2"/>
      <c r="E317" s="2"/>
      <c r="F317" s="2"/>
      <c r="I317" s="2"/>
      <c r="J317" s="2"/>
      <c r="K317" s="2"/>
      <c r="L317" s="2"/>
      <c r="M317" s="2"/>
      <c r="P317" s="2"/>
      <c r="Q317" s="2"/>
      <c r="R317" s="2"/>
      <c r="S317" s="2"/>
      <c r="T317" s="2"/>
      <c r="W317" s="2"/>
      <c r="X317" s="2"/>
      <c r="Y317" s="2"/>
      <c r="Z317" s="2"/>
      <c r="AA317" s="2"/>
    </row>
    <row r="318" spans="2:27" x14ac:dyDescent="0.3">
      <c r="B318" s="2"/>
      <c r="C318" s="2"/>
      <c r="D318" s="2"/>
      <c r="E318" s="2"/>
      <c r="F318" s="2"/>
      <c r="P318" s="2"/>
      <c r="Q318" s="2"/>
      <c r="R318" s="2"/>
      <c r="S318" s="2"/>
      <c r="T318" s="2"/>
      <c r="W318" s="2"/>
      <c r="X318" s="2"/>
      <c r="Y318" s="2"/>
      <c r="Z318" s="2"/>
      <c r="AA318" s="2"/>
    </row>
    <row r="319" spans="2:27" x14ac:dyDescent="0.3">
      <c r="B319" s="2"/>
      <c r="C319" s="2"/>
      <c r="D319" s="2"/>
      <c r="E319" s="2"/>
      <c r="F319" s="2"/>
      <c r="P319" s="2"/>
      <c r="Q319" s="2"/>
      <c r="R319" s="2"/>
      <c r="S319" s="2"/>
      <c r="T319" s="2"/>
      <c r="W319" s="2"/>
      <c r="X319" s="2"/>
      <c r="Y319" s="2"/>
      <c r="Z319" s="2"/>
      <c r="AA319" s="2"/>
    </row>
    <row r="320" spans="2:27" x14ac:dyDescent="0.3">
      <c r="B320" s="2"/>
      <c r="C320" s="2"/>
      <c r="D320" s="2"/>
      <c r="E320" s="2"/>
      <c r="F320" s="2"/>
      <c r="P320" s="2"/>
      <c r="Q320" s="2"/>
      <c r="R320" s="2"/>
      <c r="S320" s="2"/>
      <c r="T320" s="2"/>
      <c r="W320" s="2"/>
      <c r="X320" s="2"/>
      <c r="Y320" s="2"/>
      <c r="Z320" s="2"/>
      <c r="AA320" s="2"/>
    </row>
    <row r="321" spans="2:27" x14ac:dyDescent="0.3">
      <c r="B321" s="2"/>
      <c r="C321" s="2"/>
      <c r="D321" s="2"/>
      <c r="E321" s="2"/>
      <c r="F321" s="2"/>
      <c r="P321" s="2"/>
      <c r="Q321" s="2"/>
      <c r="R321" s="2"/>
      <c r="S321" s="2"/>
      <c r="T321" s="2"/>
      <c r="W321" s="2"/>
      <c r="X321" s="2"/>
      <c r="Y321" s="2"/>
      <c r="Z321" s="2"/>
      <c r="AA321" s="2"/>
    </row>
    <row r="322" spans="2:27" x14ac:dyDescent="0.3">
      <c r="B322" s="2"/>
      <c r="C322" s="2"/>
      <c r="D322" s="2"/>
      <c r="E322" s="2"/>
      <c r="F322" s="2"/>
      <c r="P322" s="2"/>
      <c r="Q322" s="2"/>
      <c r="R322" s="2"/>
      <c r="S322" s="2"/>
      <c r="T322" s="2"/>
      <c r="W322" s="2"/>
      <c r="X322" s="2"/>
      <c r="Y322" s="2"/>
      <c r="Z322" s="2"/>
      <c r="AA322" s="2"/>
    </row>
    <row r="323" spans="2:27" x14ac:dyDescent="0.3">
      <c r="B323" s="2"/>
      <c r="C323" s="2"/>
      <c r="D323" s="2"/>
      <c r="E323" s="2"/>
      <c r="F323" s="2"/>
      <c r="P323" s="2"/>
      <c r="Q323" s="2"/>
      <c r="R323" s="2"/>
      <c r="S323" s="2"/>
      <c r="T323" s="2"/>
      <c r="W323" s="2"/>
      <c r="X323" s="2"/>
      <c r="Y323" s="2"/>
      <c r="Z323" s="2"/>
      <c r="AA323" s="2"/>
    </row>
    <row r="324" spans="2:27" x14ac:dyDescent="0.3">
      <c r="B324" s="2"/>
      <c r="C324" s="2"/>
      <c r="D324" s="2"/>
      <c r="E324" s="2"/>
      <c r="F324" s="2"/>
      <c r="P324" s="2"/>
      <c r="Q324" s="2"/>
      <c r="R324" s="2"/>
      <c r="S324" s="2"/>
      <c r="T324" s="2"/>
      <c r="W324" s="2"/>
      <c r="X324" s="2"/>
      <c r="Y324" s="2"/>
      <c r="Z324" s="2"/>
      <c r="AA324" s="2"/>
    </row>
    <row r="325" spans="2:27" x14ac:dyDescent="0.3">
      <c r="B325" s="2"/>
      <c r="C325" s="2"/>
      <c r="D325" s="2"/>
      <c r="E325" s="2"/>
      <c r="F325" s="2"/>
      <c r="P325" s="2"/>
      <c r="Q325" s="2"/>
      <c r="R325" s="2"/>
      <c r="S325" s="2"/>
      <c r="T325" s="2"/>
      <c r="W325" s="2"/>
      <c r="X325" s="2"/>
      <c r="Y325" s="2"/>
      <c r="Z325" s="2"/>
      <c r="AA325" s="2"/>
    </row>
    <row r="326" spans="2:27" x14ac:dyDescent="0.3">
      <c r="B326" s="2"/>
      <c r="C326" s="2"/>
      <c r="D326" s="2"/>
      <c r="E326" s="2"/>
      <c r="F326" s="2"/>
      <c r="P326" s="2"/>
      <c r="Q326" s="2"/>
      <c r="R326" s="2"/>
      <c r="S326" s="2"/>
      <c r="T326" s="2"/>
      <c r="W326" s="2"/>
      <c r="X326" s="2"/>
      <c r="Y326" s="2"/>
      <c r="Z326" s="2"/>
      <c r="AA326" s="2"/>
    </row>
    <row r="327" spans="2:27" x14ac:dyDescent="0.3">
      <c r="B327" s="2"/>
      <c r="C327" s="2"/>
      <c r="D327" s="2"/>
      <c r="E327" s="2"/>
      <c r="F327" s="2"/>
      <c r="P327" s="2"/>
      <c r="Q327" s="2"/>
      <c r="R327" s="2"/>
      <c r="S327" s="2"/>
      <c r="T327" s="2"/>
      <c r="W327" s="2"/>
      <c r="X327" s="2"/>
      <c r="Y327" s="2"/>
      <c r="Z327" s="2"/>
      <c r="AA327" s="2"/>
    </row>
    <row r="328" spans="2:27" x14ac:dyDescent="0.3">
      <c r="B328" s="2"/>
      <c r="C328" s="2"/>
      <c r="D328" s="2"/>
      <c r="E328" s="2"/>
      <c r="F328" s="2"/>
      <c r="P328" s="2"/>
      <c r="Q328" s="2"/>
      <c r="R328" s="2"/>
      <c r="S328" s="2"/>
      <c r="T328" s="2"/>
      <c r="W328" s="2"/>
      <c r="X328" s="2"/>
      <c r="Y328" s="2"/>
      <c r="Z328" s="2"/>
      <c r="AA328" s="2"/>
    </row>
    <row r="329" spans="2:27" x14ac:dyDescent="0.3">
      <c r="B329" s="2"/>
      <c r="C329" s="2"/>
      <c r="D329" s="2"/>
      <c r="E329" s="2"/>
      <c r="F329" s="2"/>
      <c r="P329" s="2"/>
      <c r="Q329" s="2"/>
      <c r="R329" s="2"/>
      <c r="S329" s="2"/>
      <c r="T329" s="2"/>
      <c r="W329" s="2"/>
      <c r="X329" s="2"/>
      <c r="Y329" s="2"/>
      <c r="Z329" s="2"/>
      <c r="AA329" s="2"/>
    </row>
    <row r="330" spans="2:27" x14ac:dyDescent="0.3">
      <c r="B330" s="2"/>
      <c r="C330" s="2"/>
      <c r="D330" s="2"/>
      <c r="E330" s="2"/>
      <c r="F330" s="2"/>
      <c r="P330" s="2"/>
      <c r="Q330" s="2"/>
      <c r="R330" s="2"/>
      <c r="S330" s="2"/>
      <c r="T330" s="2"/>
      <c r="W330" s="2"/>
      <c r="X330" s="2"/>
      <c r="Y330" s="2"/>
      <c r="Z330" s="2"/>
      <c r="AA330" s="2"/>
    </row>
    <row r="331" spans="2:27" x14ac:dyDescent="0.3">
      <c r="B331" s="2"/>
      <c r="C331" s="2"/>
      <c r="D331" s="2"/>
      <c r="E331" s="2"/>
      <c r="F331" s="2"/>
      <c r="P331" s="2"/>
      <c r="Q331" s="2"/>
      <c r="R331" s="2"/>
      <c r="S331" s="2"/>
      <c r="T331" s="2"/>
      <c r="W331" s="2"/>
      <c r="X331" s="2"/>
      <c r="Y331" s="2"/>
      <c r="Z331" s="2"/>
      <c r="AA331" s="2"/>
    </row>
    <row r="332" spans="2:27" x14ac:dyDescent="0.3">
      <c r="B332" s="2"/>
      <c r="C332" s="2"/>
      <c r="D332" s="2"/>
      <c r="E332" s="2"/>
      <c r="F332" s="2"/>
      <c r="P332" s="2"/>
      <c r="Q332" s="2"/>
      <c r="R332" s="2"/>
      <c r="S332" s="2"/>
      <c r="T332" s="2"/>
      <c r="W332" s="2"/>
      <c r="X332" s="2"/>
      <c r="Y332" s="2"/>
      <c r="Z332" s="2"/>
      <c r="AA332" s="2"/>
    </row>
    <row r="333" spans="2:27" x14ac:dyDescent="0.3">
      <c r="B333" s="2"/>
      <c r="C333" s="2"/>
      <c r="D333" s="2"/>
      <c r="E333" s="2"/>
      <c r="F333" s="2"/>
      <c r="P333" s="2"/>
      <c r="Q333" s="2"/>
      <c r="R333" s="2"/>
      <c r="S333" s="2"/>
      <c r="T333" s="2"/>
      <c r="W333" s="2"/>
      <c r="X333" s="2"/>
      <c r="Y333" s="2"/>
      <c r="Z333" s="2"/>
      <c r="AA333" s="2"/>
    </row>
    <row r="334" spans="2:27" x14ac:dyDescent="0.3">
      <c r="B334" s="2"/>
      <c r="C334" s="2"/>
      <c r="D334" s="2"/>
      <c r="E334" s="2"/>
      <c r="F334" s="2"/>
      <c r="P334" s="2"/>
      <c r="Q334" s="2"/>
      <c r="R334" s="2"/>
      <c r="S334" s="2"/>
      <c r="T334" s="2"/>
      <c r="W334" s="2"/>
      <c r="X334" s="2"/>
      <c r="Y334" s="2"/>
      <c r="Z334" s="2"/>
      <c r="AA334" s="2"/>
    </row>
    <row r="335" spans="2:27" x14ac:dyDescent="0.3">
      <c r="B335" s="2"/>
      <c r="C335" s="2"/>
      <c r="D335" s="2"/>
      <c r="E335" s="2"/>
      <c r="F335" s="2"/>
      <c r="P335" s="2"/>
      <c r="Q335" s="2"/>
      <c r="R335" s="2"/>
      <c r="S335" s="2"/>
      <c r="T335" s="2"/>
      <c r="W335" s="2"/>
      <c r="X335" s="2"/>
      <c r="Y335" s="2"/>
      <c r="Z335" s="2"/>
      <c r="AA335" s="2"/>
    </row>
    <row r="336" spans="2:27" x14ac:dyDescent="0.3">
      <c r="B336" s="2"/>
      <c r="C336" s="2"/>
      <c r="D336" s="2"/>
      <c r="E336" s="2"/>
      <c r="F336" s="2"/>
      <c r="P336" s="2"/>
      <c r="Q336" s="2"/>
      <c r="R336" s="2"/>
      <c r="S336" s="2"/>
      <c r="T336" s="2"/>
      <c r="W336" s="2"/>
      <c r="X336" s="2"/>
      <c r="Y336" s="2"/>
      <c r="Z336" s="2"/>
      <c r="AA336" s="2"/>
    </row>
    <row r="337" spans="2:27" x14ac:dyDescent="0.3">
      <c r="B337" s="2"/>
      <c r="C337" s="2"/>
      <c r="D337" s="2"/>
      <c r="E337" s="2"/>
      <c r="F337" s="2"/>
      <c r="P337" s="2"/>
      <c r="Q337" s="2"/>
      <c r="R337" s="2"/>
      <c r="S337" s="2"/>
      <c r="T337" s="2"/>
      <c r="W337" s="2"/>
      <c r="X337" s="2"/>
      <c r="Y337" s="2"/>
      <c r="Z337" s="2"/>
      <c r="AA337" s="2"/>
    </row>
    <row r="338" spans="2:27" x14ac:dyDescent="0.3">
      <c r="B338" s="2"/>
      <c r="C338" s="2"/>
      <c r="D338" s="2"/>
      <c r="E338" s="2"/>
      <c r="F338" s="2"/>
      <c r="P338" s="2"/>
      <c r="Q338" s="2"/>
      <c r="R338" s="2"/>
      <c r="S338" s="2"/>
      <c r="T338" s="2"/>
      <c r="W338" s="2"/>
      <c r="X338" s="2"/>
      <c r="Y338" s="2"/>
      <c r="Z338" s="2"/>
      <c r="AA338" s="2"/>
    </row>
    <row r="339" spans="2:27" x14ac:dyDescent="0.3">
      <c r="B339" s="2"/>
      <c r="C339" s="2"/>
      <c r="D339" s="2"/>
      <c r="E339" s="2"/>
      <c r="F339" s="2"/>
      <c r="P339" s="2"/>
      <c r="Q339" s="2"/>
      <c r="R339" s="2"/>
      <c r="S339" s="2"/>
      <c r="T339" s="2"/>
      <c r="W339" s="2"/>
      <c r="X339" s="2"/>
      <c r="Y339" s="2"/>
      <c r="Z339" s="2"/>
      <c r="AA339" s="2"/>
    </row>
    <row r="340" spans="2:27" x14ac:dyDescent="0.3">
      <c r="B340" s="2"/>
      <c r="C340" s="2"/>
      <c r="D340" s="2"/>
      <c r="E340" s="2"/>
      <c r="F340" s="2"/>
      <c r="P340" s="2"/>
      <c r="Q340" s="2"/>
      <c r="R340" s="2"/>
      <c r="S340" s="2"/>
      <c r="T340" s="2"/>
      <c r="W340" s="2"/>
      <c r="X340" s="2"/>
      <c r="Y340" s="2"/>
      <c r="Z340" s="2"/>
      <c r="AA340" s="2"/>
    </row>
    <row r="341" spans="2:27" x14ac:dyDescent="0.3">
      <c r="B341" s="2"/>
      <c r="C341" s="2"/>
      <c r="D341" s="2"/>
      <c r="E341" s="2"/>
      <c r="F341" s="2"/>
      <c r="P341" s="2"/>
      <c r="Q341" s="2"/>
      <c r="R341" s="2"/>
      <c r="S341" s="2"/>
      <c r="T341" s="2"/>
      <c r="W341" s="2"/>
      <c r="X341" s="2"/>
      <c r="Y341" s="2"/>
      <c r="Z341" s="2"/>
      <c r="AA341" s="2"/>
    </row>
    <row r="342" spans="2:27" x14ac:dyDescent="0.3">
      <c r="B342" s="2"/>
      <c r="C342" s="2"/>
      <c r="D342" s="2"/>
      <c r="E342" s="2"/>
      <c r="F342" s="2"/>
      <c r="P342" s="2"/>
      <c r="Q342" s="2"/>
      <c r="R342" s="2"/>
      <c r="S342" s="2"/>
      <c r="T342" s="2"/>
      <c r="W342" s="2"/>
      <c r="X342" s="2"/>
      <c r="Y342" s="2"/>
      <c r="Z342" s="2"/>
      <c r="AA342" s="2"/>
    </row>
    <row r="343" spans="2:27" x14ac:dyDescent="0.3">
      <c r="B343" s="2"/>
      <c r="C343" s="2"/>
      <c r="D343" s="2"/>
      <c r="E343" s="2"/>
      <c r="F343" s="2"/>
      <c r="P343" s="2"/>
      <c r="Q343" s="2"/>
      <c r="R343" s="2"/>
      <c r="S343" s="2"/>
      <c r="T343" s="2"/>
      <c r="W343" s="2"/>
      <c r="X343" s="2"/>
      <c r="Y343" s="2"/>
      <c r="Z343" s="2"/>
      <c r="AA343" s="2"/>
    </row>
    <row r="344" spans="2:27" x14ac:dyDescent="0.3">
      <c r="B344" s="2"/>
      <c r="C344" s="2"/>
      <c r="D344" s="2"/>
      <c r="E344" s="2"/>
      <c r="F344" s="2"/>
      <c r="P344" s="2"/>
      <c r="Q344" s="2"/>
      <c r="R344" s="2"/>
      <c r="S344" s="2"/>
      <c r="T344" s="2"/>
      <c r="W344" s="2"/>
      <c r="X344" s="2"/>
      <c r="Y344" s="2"/>
      <c r="Z344" s="2"/>
      <c r="AA344" s="2"/>
    </row>
    <row r="345" spans="2:27" x14ac:dyDescent="0.3">
      <c r="B345" s="2"/>
      <c r="C345" s="2"/>
      <c r="D345" s="2"/>
      <c r="E345" s="2"/>
      <c r="F345" s="2"/>
      <c r="P345" s="2"/>
      <c r="Q345" s="2"/>
      <c r="R345" s="2"/>
      <c r="S345" s="2"/>
      <c r="T345" s="2"/>
      <c r="W345" s="2"/>
      <c r="X345" s="2"/>
      <c r="Y345" s="2"/>
      <c r="Z345" s="2"/>
      <c r="AA345" s="2"/>
    </row>
    <row r="346" spans="2:27" x14ac:dyDescent="0.3">
      <c r="B346" s="2"/>
      <c r="C346" s="2"/>
      <c r="D346" s="2"/>
      <c r="E346" s="2"/>
      <c r="F346" s="2"/>
      <c r="P346" s="2"/>
      <c r="Q346" s="2"/>
      <c r="R346" s="2"/>
      <c r="S346" s="2"/>
      <c r="T346" s="2"/>
      <c r="W346" s="2"/>
      <c r="X346" s="2"/>
      <c r="Y346" s="2"/>
      <c r="Z346" s="2"/>
      <c r="AA346" s="2"/>
    </row>
    <row r="347" spans="2:27" x14ac:dyDescent="0.3">
      <c r="B347" s="2"/>
      <c r="C347" s="2"/>
      <c r="D347" s="2"/>
      <c r="E347" s="2"/>
      <c r="F347" s="2"/>
      <c r="P347" s="2"/>
      <c r="Q347" s="2"/>
      <c r="R347" s="2"/>
      <c r="S347" s="2"/>
      <c r="T347" s="2"/>
      <c r="W347" s="2"/>
      <c r="X347" s="2"/>
      <c r="Y347" s="2"/>
      <c r="Z347" s="2"/>
      <c r="AA347" s="2"/>
    </row>
    <row r="348" spans="2:27" x14ac:dyDescent="0.3">
      <c r="B348" s="2"/>
      <c r="C348" s="2"/>
      <c r="D348" s="2"/>
      <c r="E348" s="2"/>
      <c r="F348" s="2"/>
      <c r="P348" s="2"/>
      <c r="Q348" s="2"/>
      <c r="R348" s="2"/>
      <c r="S348" s="2"/>
      <c r="T348" s="2"/>
      <c r="W348" s="2"/>
      <c r="X348" s="2"/>
      <c r="Y348" s="2"/>
      <c r="Z348" s="2"/>
      <c r="AA348" s="2"/>
    </row>
    <row r="349" spans="2:27" x14ac:dyDescent="0.3">
      <c r="B349" s="2"/>
      <c r="C349" s="2"/>
      <c r="D349" s="2"/>
      <c r="E349" s="2"/>
      <c r="F349" s="2"/>
      <c r="P349" s="2"/>
      <c r="Q349" s="2"/>
      <c r="R349" s="2"/>
      <c r="S349" s="2"/>
      <c r="T349" s="2"/>
      <c r="W349" s="2"/>
      <c r="X349" s="2"/>
      <c r="Y349" s="2"/>
      <c r="Z349" s="2"/>
      <c r="AA349" s="2"/>
    </row>
    <row r="350" spans="2:27" x14ac:dyDescent="0.3">
      <c r="B350" s="2"/>
      <c r="C350" s="2"/>
      <c r="D350" s="2"/>
      <c r="E350" s="2"/>
      <c r="F350" s="2"/>
      <c r="P350" s="2"/>
      <c r="Q350" s="2"/>
      <c r="R350" s="2"/>
      <c r="S350" s="2"/>
      <c r="T350" s="2"/>
      <c r="W350" s="2"/>
      <c r="X350" s="2"/>
      <c r="Y350" s="2"/>
      <c r="Z350" s="2"/>
      <c r="AA350" s="2"/>
    </row>
    <row r="351" spans="2:27" x14ac:dyDescent="0.3">
      <c r="B351" s="2"/>
      <c r="C351" s="2"/>
      <c r="D351" s="2"/>
      <c r="E351" s="2"/>
      <c r="F351" s="2"/>
      <c r="P351" s="2"/>
      <c r="Q351" s="2"/>
      <c r="R351" s="2"/>
      <c r="S351" s="2"/>
      <c r="T351" s="2"/>
      <c r="W351" s="2"/>
      <c r="X351" s="2"/>
      <c r="Y351" s="2"/>
      <c r="Z351" s="2"/>
      <c r="AA351" s="2"/>
    </row>
    <row r="352" spans="2:27" x14ac:dyDescent="0.3">
      <c r="B352" s="2"/>
      <c r="C352" s="2"/>
      <c r="D352" s="2"/>
      <c r="E352" s="2"/>
      <c r="F352" s="2"/>
      <c r="P352" s="2"/>
      <c r="Q352" s="2"/>
      <c r="R352" s="2"/>
      <c r="S352" s="2"/>
      <c r="T352" s="2"/>
      <c r="W352" s="2"/>
      <c r="X352" s="2"/>
      <c r="Y352" s="2"/>
      <c r="Z352" s="2"/>
      <c r="AA352" s="2"/>
    </row>
    <row r="353" spans="2:27" x14ac:dyDescent="0.3">
      <c r="B353" s="2"/>
      <c r="C353" s="2"/>
      <c r="D353" s="2"/>
      <c r="E353" s="2"/>
      <c r="F353" s="2"/>
      <c r="P353" s="2"/>
      <c r="Q353" s="2"/>
      <c r="R353" s="2"/>
      <c r="S353" s="2"/>
      <c r="T353" s="2"/>
      <c r="W353" s="2"/>
      <c r="X353" s="2"/>
      <c r="Y353" s="2"/>
      <c r="Z353" s="2"/>
      <c r="AA353" s="2"/>
    </row>
    <row r="354" spans="2:27" x14ac:dyDescent="0.3">
      <c r="B354" s="2"/>
      <c r="C354" s="2"/>
      <c r="D354" s="2"/>
      <c r="E354" s="2"/>
      <c r="F354" s="2"/>
      <c r="P354" s="2"/>
      <c r="Q354" s="2"/>
      <c r="R354" s="2"/>
      <c r="S354" s="2"/>
      <c r="T354" s="2"/>
      <c r="W354" s="2"/>
      <c r="X354" s="2"/>
      <c r="Y354" s="2"/>
      <c r="Z354" s="2"/>
      <c r="AA354" s="2"/>
    </row>
    <row r="355" spans="2:27" x14ac:dyDescent="0.3">
      <c r="B355" s="2"/>
      <c r="C355" s="2"/>
      <c r="D355" s="2"/>
      <c r="E355" s="2"/>
      <c r="F355" s="2"/>
      <c r="P355" s="2"/>
      <c r="Q355" s="2"/>
      <c r="R355" s="2"/>
      <c r="S355" s="2"/>
      <c r="T355" s="2"/>
      <c r="W355" s="2"/>
      <c r="X355" s="2"/>
      <c r="Y355" s="2"/>
      <c r="Z355" s="2"/>
      <c r="AA355" s="2"/>
    </row>
    <row r="356" spans="2:27" x14ac:dyDescent="0.3">
      <c r="B356" s="2"/>
      <c r="C356" s="2"/>
      <c r="D356" s="2"/>
      <c r="E356" s="2"/>
      <c r="F356" s="2"/>
      <c r="P356" s="2"/>
      <c r="Q356" s="2"/>
      <c r="R356" s="2"/>
      <c r="S356" s="2"/>
      <c r="T356" s="2"/>
      <c r="W356" s="2"/>
      <c r="X356" s="2"/>
      <c r="Y356" s="2"/>
      <c r="Z356" s="2"/>
      <c r="AA356" s="2"/>
    </row>
    <row r="357" spans="2:27" x14ac:dyDescent="0.3">
      <c r="B357" s="2"/>
      <c r="C357" s="2"/>
      <c r="D357" s="2"/>
      <c r="E357" s="2"/>
      <c r="F357" s="2"/>
      <c r="P357" s="2"/>
      <c r="Q357" s="2"/>
      <c r="R357" s="2"/>
      <c r="S357" s="2"/>
      <c r="T357" s="2"/>
      <c r="W357" s="2"/>
      <c r="X357" s="2"/>
      <c r="Y357" s="2"/>
      <c r="Z357" s="2"/>
      <c r="AA357" s="2"/>
    </row>
    <row r="358" spans="2:27" x14ac:dyDescent="0.3">
      <c r="B358" s="2"/>
      <c r="C358" s="2"/>
      <c r="D358" s="2"/>
      <c r="E358" s="2"/>
      <c r="F358" s="2"/>
      <c r="P358" s="2"/>
      <c r="Q358" s="2"/>
      <c r="R358" s="2"/>
      <c r="S358" s="2"/>
      <c r="T358" s="2"/>
      <c r="W358" s="2"/>
      <c r="X358" s="2"/>
      <c r="Y358" s="2"/>
      <c r="Z358" s="2"/>
      <c r="AA358" s="2"/>
    </row>
    <row r="359" spans="2:27" x14ac:dyDescent="0.3">
      <c r="B359" s="2"/>
      <c r="C359" s="2"/>
      <c r="D359" s="2"/>
      <c r="E359" s="2"/>
      <c r="F359" s="2"/>
      <c r="P359" s="2"/>
      <c r="Q359" s="2"/>
      <c r="R359" s="2"/>
      <c r="S359" s="2"/>
      <c r="T359" s="2"/>
      <c r="W359" s="2"/>
      <c r="X359" s="2"/>
      <c r="Y359" s="2"/>
      <c r="Z359" s="2"/>
      <c r="AA359" s="2"/>
    </row>
    <row r="360" spans="2:27" x14ac:dyDescent="0.3">
      <c r="B360" s="2"/>
      <c r="C360" s="2"/>
      <c r="D360" s="2"/>
      <c r="E360" s="2"/>
      <c r="F360" s="2"/>
      <c r="P360" s="2"/>
      <c r="Q360" s="2"/>
      <c r="R360" s="2"/>
      <c r="S360" s="2"/>
      <c r="T360" s="2"/>
      <c r="W360" s="2"/>
      <c r="X360" s="2"/>
      <c r="Y360" s="2"/>
      <c r="Z360" s="2"/>
      <c r="AA360" s="2"/>
    </row>
    <row r="361" spans="2:27" x14ac:dyDescent="0.3">
      <c r="B361" s="2"/>
      <c r="C361" s="2"/>
      <c r="D361" s="2"/>
      <c r="E361" s="2"/>
      <c r="F361" s="2"/>
      <c r="P361" s="2"/>
      <c r="Q361" s="2"/>
      <c r="R361" s="2"/>
      <c r="S361" s="2"/>
      <c r="T361" s="2"/>
      <c r="W361" s="2"/>
      <c r="X361" s="2"/>
      <c r="Y361" s="2"/>
      <c r="Z361" s="2"/>
      <c r="AA361" s="2"/>
    </row>
    <row r="362" spans="2:27" x14ac:dyDescent="0.3">
      <c r="B362" s="2"/>
      <c r="C362" s="2"/>
      <c r="D362" s="2"/>
      <c r="E362" s="2"/>
      <c r="F362" s="2"/>
      <c r="P362" s="2"/>
      <c r="Q362" s="2"/>
      <c r="R362" s="2"/>
      <c r="S362" s="2"/>
      <c r="T362" s="2"/>
      <c r="W362" s="2"/>
      <c r="X362" s="2"/>
      <c r="Y362" s="2"/>
      <c r="Z362" s="2"/>
      <c r="AA362" s="2"/>
    </row>
    <row r="363" spans="2:27" x14ac:dyDescent="0.3">
      <c r="B363" s="2"/>
      <c r="C363" s="2"/>
      <c r="D363" s="2"/>
      <c r="E363" s="2"/>
      <c r="F363" s="2"/>
      <c r="P363" s="2"/>
      <c r="Q363" s="2"/>
      <c r="R363" s="2"/>
      <c r="S363" s="2"/>
      <c r="T363" s="2"/>
      <c r="W363" s="2"/>
      <c r="X363" s="2"/>
      <c r="Y363" s="2"/>
      <c r="Z363" s="2"/>
      <c r="AA363" s="2"/>
    </row>
    <row r="364" spans="2:27" x14ac:dyDescent="0.3">
      <c r="B364" s="2"/>
      <c r="C364" s="2"/>
      <c r="D364" s="2"/>
      <c r="E364" s="2"/>
      <c r="F364" s="2"/>
      <c r="P364" s="2"/>
      <c r="Q364" s="2"/>
      <c r="R364" s="2"/>
      <c r="S364" s="2"/>
      <c r="T364" s="2"/>
      <c r="W364" s="2"/>
      <c r="X364" s="2"/>
      <c r="Y364" s="2"/>
      <c r="Z364" s="2"/>
      <c r="AA364" s="2"/>
    </row>
    <row r="365" spans="2:27" x14ac:dyDescent="0.3">
      <c r="B365" s="2"/>
      <c r="C365" s="2"/>
      <c r="D365" s="2"/>
      <c r="E365" s="2"/>
      <c r="F365" s="2"/>
      <c r="P365" s="2"/>
      <c r="Q365" s="2"/>
      <c r="R365" s="2"/>
      <c r="S365" s="2"/>
      <c r="T365" s="2"/>
      <c r="W365" s="2"/>
      <c r="X365" s="2"/>
      <c r="Y365" s="2"/>
      <c r="Z365" s="2"/>
      <c r="AA365" s="2"/>
    </row>
    <row r="366" spans="2:27" x14ac:dyDescent="0.3">
      <c r="B366" s="2"/>
      <c r="C366" s="2"/>
      <c r="D366" s="2"/>
      <c r="E366" s="2"/>
      <c r="F366" s="2"/>
      <c r="P366" s="2"/>
      <c r="Q366" s="2"/>
      <c r="R366" s="2"/>
      <c r="S366" s="2"/>
      <c r="T366" s="2"/>
      <c r="W366" s="2"/>
      <c r="X366" s="2"/>
      <c r="Y366" s="2"/>
      <c r="Z366" s="2"/>
      <c r="AA366" s="2"/>
    </row>
    <row r="367" spans="2:27" x14ac:dyDescent="0.3">
      <c r="B367" s="2"/>
      <c r="C367" s="2"/>
      <c r="D367" s="2"/>
      <c r="E367" s="2"/>
      <c r="F367" s="2"/>
      <c r="P367" s="2"/>
      <c r="Q367" s="2"/>
      <c r="R367" s="2"/>
      <c r="S367" s="2"/>
      <c r="T367" s="2"/>
      <c r="W367" s="2"/>
      <c r="X367" s="2"/>
      <c r="Y367" s="2"/>
      <c r="Z367" s="2"/>
      <c r="AA367" s="2"/>
    </row>
    <row r="368" spans="2:27" x14ac:dyDescent="0.3">
      <c r="B368" s="2"/>
      <c r="C368" s="2"/>
      <c r="D368" s="2"/>
      <c r="E368" s="2"/>
      <c r="F368" s="2"/>
      <c r="P368" s="2"/>
      <c r="Q368" s="2"/>
      <c r="R368" s="2"/>
      <c r="S368" s="2"/>
      <c r="T368" s="2"/>
      <c r="W368" s="2"/>
      <c r="X368" s="2"/>
      <c r="Y368" s="2"/>
      <c r="Z368" s="2"/>
      <c r="AA368" s="2"/>
    </row>
    <row r="369" spans="2:27" x14ac:dyDescent="0.3">
      <c r="B369" s="2"/>
      <c r="C369" s="2"/>
      <c r="D369" s="2"/>
      <c r="E369" s="2"/>
      <c r="F369" s="2"/>
      <c r="P369" s="2"/>
      <c r="Q369" s="2"/>
      <c r="R369" s="2"/>
      <c r="S369" s="2"/>
      <c r="T369" s="2"/>
      <c r="W369" s="2"/>
      <c r="X369" s="2"/>
      <c r="Y369" s="2"/>
      <c r="Z369" s="2"/>
      <c r="AA369" s="2"/>
    </row>
    <row r="370" spans="2:27" x14ac:dyDescent="0.3">
      <c r="B370" s="2"/>
      <c r="C370" s="2"/>
      <c r="D370" s="2"/>
      <c r="E370" s="2"/>
      <c r="F370" s="2"/>
      <c r="P370" s="2"/>
      <c r="Q370" s="2"/>
      <c r="R370" s="2"/>
      <c r="S370" s="2"/>
      <c r="T370" s="2"/>
      <c r="W370" s="2"/>
      <c r="X370" s="2"/>
      <c r="Y370" s="2"/>
      <c r="Z370" s="2"/>
      <c r="AA370" s="2"/>
    </row>
    <row r="371" spans="2:27" x14ac:dyDescent="0.3">
      <c r="B371" s="2"/>
      <c r="C371" s="2"/>
      <c r="D371" s="2"/>
      <c r="E371" s="2"/>
      <c r="F371" s="2"/>
      <c r="P371" s="2"/>
      <c r="Q371" s="2"/>
      <c r="R371" s="2"/>
      <c r="S371" s="2"/>
      <c r="T371" s="2"/>
      <c r="W371" s="2"/>
      <c r="X371" s="2"/>
      <c r="Y371" s="2"/>
      <c r="Z371" s="2"/>
      <c r="AA371" s="2"/>
    </row>
    <row r="372" spans="2:27" x14ac:dyDescent="0.3">
      <c r="B372" s="2"/>
      <c r="C372" s="2"/>
      <c r="D372" s="2"/>
      <c r="E372" s="2"/>
      <c r="F372" s="2"/>
      <c r="P372" s="2"/>
      <c r="Q372" s="2"/>
      <c r="R372" s="2"/>
      <c r="S372" s="2"/>
      <c r="T372" s="2"/>
      <c r="W372" s="2"/>
      <c r="X372" s="2"/>
      <c r="Y372" s="2"/>
      <c r="Z372" s="2"/>
      <c r="AA372" s="2"/>
    </row>
    <row r="373" spans="2:27" x14ac:dyDescent="0.3">
      <c r="B373" s="2"/>
      <c r="C373" s="2"/>
      <c r="D373" s="2"/>
      <c r="E373" s="2"/>
      <c r="F373" s="2"/>
      <c r="P373" s="2"/>
      <c r="Q373" s="2"/>
      <c r="R373" s="2"/>
      <c r="S373" s="2"/>
      <c r="T373" s="2"/>
      <c r="W373" s="2"/>
      <c r="X373" s="2"/>
      <c r="Y373" s="2"/>
      <c r="Z373" s="2"/>
      <c r="AA373" s="2"/>
    </row>
    <row r="374" spans="2:27" x14ac:dyDescent="0.3">
      <c r="B374" s="2"/>
      <c r="C374" s="2"/>
      <c r="D374" s="2"/>
      <c r="E374" s="2"/>
      <c r="F374" s="2"/>
      <c r="P374" s="2"/>
      <c r="Q374" s="2"/>
      <c r="R374" s="2"/>
      <c r="S374" s="2"/>
      <c r="T374" s="2"/>
      <c r="W374" s="2"/>
      <c r="X374" s="2"/>
      <c r="Y374" s="2"/>
      <c r="Z374" s="2"/>
      <c r="AA374" s="2"/>
    </row>
    <row r="375" spans="2:27" x14ac:dyDescent="0.3">
      <c r="B375" s="2"/>
      <c r="C375" s="2"/>
      <c r="D375" s="2"/>
      <c r="E375" s="2"/>
      <c r="F375" s="2"/>
      <c r="P375" s="2"/>
      <c r="Q375" s="2"/>
      <c r="R375" s="2"/>
      <c r="S375" s="2"/>
      <c r="T375" s="2"/>
      <c r="W375" s="2"/>
      <c r="X375" s="2"/>
      <c r="Y375" s="2"/>
      <c r="Z375" s="2"/>
      <c r="AA375" s="2"/>
    </row>
    <row r="376" spans="2:27" x14ac:dyDescent="0.3">
      <c r="B376" s="2"/>
      <c r="C376" s="2"/>
      <c r="D376" s="2"/>
      <c r="E376" s="2"/>
      <c r="F376" s="2"/>
      <c r="P376" s="2"/>
      <c r="Q376" s="2"/>
      <c r="R376" s="2"/>
      <c r="S376" s="2"/>
      <c r="T376" s="2"/>
      <c r="W376" s="2"/>
      <c r="X376" s="2"/>
      <c r="Y376" s="2"/>
      <c r="Z376" s="2"/>
      <c r="AA376" s="2"/>
    </row>
    <row r="377" spans="2:27" x14ac:dyDescent="0.3">
      <c r="B377" s="2"/>
      <c r="C377" s="2"/>
      <c r="D377" s="2"/>
      <c r="E377" s="2"/>
      <c r="F377" s="2"/>
      <c r="P377" s="2"/>
      <c r="Q377" s="2"/>
      <c r="R377" s="2"/>
      <c r="S377" s="2"/>
      <c r="T377" s="2"/>
      <c r="W377" s="2"/>
      <c r="X377" s="2"/>
      <c r="Y377" s="2"/>
      <c r="Z377" s="2"/>
      <c r="AA377" s="2"/>
    </row>
    <row r="378" spans="2:27" x14ac:dyDescent="0.3">
      <c r="B378" s="2"/>
      <c r="C378" s="2"/>
      <c r="D378" s="2"/>
      <c r="E378" s="2"/>
      <c r="F378" s="2"/>
      <c r="P378" s="2"/>
      <c r="Q378" s="2"/>
      <c r="R378" s="2"/>
      <c r="S378" s="2"/>
      <c r="T378" s="2"/>
      <c r="W378" s="2"/>
      <c r="X378" s="2"/>
      <c r="Y378" s="2"/>
      <c r="Z378" s="2"/>
      <c r="AA378" s="2"/>
    </row>
    <row r="379" spans="2:27" x14ac:dyDescent="0.3">
      <c r="B379" s="2"/>
      <c r="C379" s="2"/>
      <c r="D379" s="2"/>
      <c r="E379" s="2"/>
      <c r="F379" s="2"/>
      <c r="P379" s="2"/>
      <c r="Q379" s="2"/>
      <c r="R379" s="2"/>
      <c r="S379" s="2"/>
      <c r="T379" s="2"/>
      <c r="W379" s="2"/>
      <c r="X379" s="2"/>
      <c r="Y379" s="2"/>
      <c r="Z379" s="2"/>
      <c r="AA379" s="2"/>
    </row>
    <row r="380" spans="2:27" x14ac:dyDescent="0.3">
      <c r="B380" s="2"/>
      <c r="C380" s="2"/>
      <c r="D380" s="2"/>
      <c r="E380" s="2"/>
      <c r="F380" s="2"/>
      <c r="P380" s="2"/>
      <c r="Q380" s="2"/>
      <c r="R380" s="2"/>
      <c r="S380" s="2"/>
      <c r="T380" s="2"/>
      <c r="W380" s="2"/>
      <c r="X380" s="2"/>
      <c r="Y380" s="2"/>
      <c r="Z380" s="2"/>
      <c r="AA380" s="2"/>
    </row>
    <row r="381" spans="2:27" x14ac:dyDescent="0.3">
      <c r="B381" s="2"/>
      <c r="C381" s="2"/>
      <c r="D381" s="2"/>
      <c r="E381" s="2"/>
      <c r="F381" s="2"/>
      <c r="P381" s="2"/>
      <c r="Q381" s="2"/>
      <c r="R381" s="2"/>
      <c r="S381" s="2"/>
      <c r="T381" s="2"/>
      <c r="W381" s="2"/>
      <c r="X381" s="2"/>
      <c r="Y381" s="2"/>
      <c r="Z381" s="2"/>
      <c r="AA381" s="2"/>
    </row>
    <row r="382" spans="2:27" x14ac:dyDescent="0.3">
      <c r="B382" s="2"/>
      <c r="C382" s="2"/>
      <c r="D382" s="2"/>
      <c r="E382" s="2"/>
      <c r="F382" s="2"/>
      <c r="P382" s="2"/>
      <c r="Q382" s="2"/>
      <c r="R382" s="2"/>
      <c r="S382" s="2"/>
      <c r="T382" s="2"/>
      <c r="W382" s="2"/>
      <c r="X382" s="2"/>
      <c r="Y382" s="2"/>
      <c r="Z382" s="2"/>
      <c r="AA382" s="2"/>
    </row>
    <row r="383" spans="2:27" x14ac:dyDescent="0.3">
      <c r="B383" s="2"/>
      <c r="C383" s="2"/>
      <c r="D383" s="2"/>
      <c r="E383" s="2"/>
      <c r="F383" s="2"/>
      <c r="P383" s="2"/>
      <c r="Q383" s="2"/>
      <c r="R383" s="2"/>
      <c r="S383" s="2"/>
      <c r="T383" s="2"/>
      <c r="W383" s="2"/>
      <c r="X383" s="2"/>
      <c r="Y383" s="2"/>
      <c r="Z383" s="2"/>
      <c r="AA383" s="2"/>
    </row>
    <row r="384" spans="2:27" x14ac:dyDescent="0.3">
      <c r="B384" s="2"/>
      <c r="C384" s="2"/>
      <c r="D384" s="2"/>
      <c r="E384" s="2"/>
      <c r="F384" s="2"/>
      <c r="P384" s="2"/>
      <c r="Q384" s="2"/>
      <c r="R384" s="2"/>
      <c r="S384" s="2"/>
      <c r="T384" s="2"/>
      <c r="W384" s="2"/>
      <c r="X384" s="2"/>
      <c r="Y384" s="2"/>
      <c r="Z384" s="2"/>
      <c r="AA384" s="2"/>
    </row>
    <row r="385" spans="2:27" x14ac:dyDescent="0.3">
      <c r="B385" s="2"/>
      <c r="C385" s="2"/>
      <c r="D385" s="2"/>
      <c r="E385" s="2"/>
      <c r="F385" s="2"/>
      <c r="P385" s="2"/>
      <c r="Q385" s="2"/>
      <c r="R385" s="2"/>
      <c r="S385" s="2"/>
      <c r="T385" s="2"/>
      <c r="W385" s="2"/>
      <c r="X385" s="2"/>
      <c r="Y385" s="2"/>
      <c r="Z385" s="2"/>
      <c r="AA385" s="2"/>
    </row>
    <row r="386" spans="2:27" x14ac:dyDescent="0.3">
      <c r="B386" s="2"/>
      <c r="C386" s="2"/>
      <c r="D386" s="2"/>
      <c r="E386" s="2"/>
      <c r="F386" s="2"/>
      <c r="P386" s="2"/>
      <c r="Q386" s="2"/>
      <c r="R386" s="2"/>
      <c r="S386" s="2"/>
      <c r="T386" s="2"/>
      <c r="W386" s="2"/>
      <c r="X386" s="2"/>
      <c r="Y386" s="2"/>
      <c r="Z386" s="2"/>
      <c r="AA386" s="2"/>
    </row>
    <row r="387" spans="2:27" x14ac:dyDescent="0.3">
      <c r="B387" s="2"/>
      <c r="C387" s="2"/>
      <c r="D387" s="2"/>
      <c r="E387" s="2"/>
      <c r="F387" s="2"/>
      <c r="P387" s="2"/>
      <c r="Q387" s="2"/>
      <c r="R387" s="2"/>
      <c r="S387" s="2"/>
      <c r="T387" s="2"/>
      <c r="W387" s="2"/>
      <c r="X387" s="2"/>
      <c r="Y387" s="2"/>
      <c r="Z387" s="2"/>
      <c r="AA387" s="2"/>
    </row>
    <row r="388" spans="2:27" x14ac:dyDescent="0.3">
      <c r="B388" s="2"/>
      <c r="C388" s="2"/>
      <c r="D388" s="2"/>
      <c r="E388" s="2"/>
      <c r="F388" s="2"/>
      <c r="P388" s="2"/>
      <c r="Q388" s="2"/>
      <c r="R388" s="2"/>
      <c r="S388" s="2"/>
      <c r="T388" s="2"/>
      <c r="W388" s="2"/>
      <c r="X388" s="2"/>
      <c r="Y388" s="2"/>
      <c r="Z388" s="2"/>
      <c r="AA388" s="2"/>
    </row>
    <row r="389" spans="2:27" x14ac:dyDescent="0.3">
      <c r="B389" s="2"/>
      <c r="C389" s="2"/>
      <c r="D389" s="2"/>
      <c r="E389" s="2"/>
      <c r="F389" s="2"/>
      <c r="P389" s="2"/>
      <c r="Q389" s="2"/>
      <c r="R389" s="2"/>
      <c r="S389" s="2"/>
      <c r="T389" s="2"/>
      <c r="W389" s="2"/>
      <c r="X389" s="2"/>
      <c r="Y389" s="2"/>
      <c r="Z389" s="2"/>
      <c r="AA389" s="2"/>
    </row>
    <row r="390" spans="2:27" x14ac:dyDescent="0.3">
      <c r="B390" s="2"/>
      <c r="C390" s="2"/>
      <c r="D390" s="2"/>
      <c r="E390" s="2"/>
      <c r="F390" s="2"/>
      <c r="P390" s="2"/>
      <c r="Q390" s="2"/>
      <c r="R390" s="2"/>
      <c r="S390" s="2"/>
      <c r="T390" s="2"/>
      <c r="W390" s="2"/>
      <c r="X390" s="2"/>
      <c r="Y390" s="2"/>
      <c r="Z390" s="2"/>
      <c r="AA390" s="2"/>
    </row>
    <row r="391" spans="2:27" x14ac:dyDescent="0.3">
      <c r="B391" s="2"/>
      <c r="C391" s="2"/>
      <c r="D391" s="2"/>
      <c r="E391" s="2"/>
      <c r="F391" s="2"/>
      <c r="P391" s="2"/>
      <c r="Q391" s="2"/>
      <c r="R391" s="2"/>
      <c r="S391" s="2"/>
      <c r="T391" s="2"/>
      <c r="W391" s="2"/>
      <c r="X391" s="2"/>
      <c r="Y391" s="2"/>
      <c r="Z391" s="2"/>
      <c r="AA391" s="2"/>
    </row>
    <row r="392" spans="2:27" x14ac:dyDescent="0.3">
      <c r="B392" s="2"/>
      <c r="C392" s="2"/>
      <c r="D392" s="2"/>
      <c r="E392" s="2"/>
      <c r="F392" s="2"/>
      <c r="P392" s="2"/>
      <c r="Q392" s="2"/>
      <c r="R392" s="2"/>
      <c r="S392" s="2"/>
      <c r="T392" s="2"/>
      <c r="W392" s="2"/>
      <c r="X392" s="2"/>
      <c r="Y392" s="2"/>
      <c r="Z392" s="2"/>
      <c r="AA392" s="2"/>
    </row>
    <row r="393" spans="2:27" x14ac:dyDescent="0.3">
      <c r="B393" s="2"/>
      <c r="C393" s="2"/>
      <c r="D393" s="2"/>
      <c r="E393" s="2"/>
      <c r="F393" s="2"/>
      <c r="P393" s="2"/>
      <c r="Q393" s="2"/>
      <c r="R393" s="2"/>
      <c r="S393" s="2"/>
      <c r="T393" s="2"/>
      <c r="W393" s="2"/>
      <c r="X393" s="2"/>
      <c r="Y393" s="2"/>
      <c r="Z393" s="2"/>
      <c r="AA393" s="2"/>
    </row>
    <row r="394" spans="2:27" x14ac:dyDescent="0.3">
      <c r="B394" s="2"/>
      <c r="C394" s="2"/>
      <c r="D394" s="2"/>
      <c r="E394" s="2"/>
      <c r="F394" s="2"/>
      <c r="P394" s="2"/>
      <c r="Q394" s="2"/>
      <c r="R394" s="2"/>
      <c r="S394" s="2"/>
      <c r="T394" s="2"/>
      <c r="W394" s="2"/>
      <c r="X394" s="2"/>
      <c r="Y394" s="2"/>
      <c r="Z394" s="2"/>
      <c r="AA394" s="2"/>
    </row>
    <row r="395" spans="2:27" x14ac:dyDescent="0.3">
      <c r="B395" s="2"/>
      <c r="C395" s="2"/>
      <c r="D395" s="2"/>
      <c r="E395" s="2"/>
      <c r="F395" s="2"/>
      <c r="P395" s="2"/>
      <c r="Q395" s="2"/>
      <c r="R395" s="2"/>
      <c r="S395" s="2"/>
      <c r="T395" s="2"/>
      <c r="W395" s="2"/>
      <c r="X395" s="2"/>
      <c r="Y395" s="2"/>
      <c r="Z395" s="2"/>
      <c r="AA395" s="2"/>
    </row>
    <row r="396" spans="2:27" x14ac:dyDescent="0.3">
      <c r="B396" s="2"/>
      <c r="C396" s="2"/>
      <c r="D396" s="2"/>
      <c r="E396" s="2"/>
      <c r="F396" s="2"/>
      <c r="P396" s="2"/>
      <c r="Q396" s="2"/>
      <c r="R396" s="2"/>
      <c r="S396" s="2"/>
      <c r="T396" s="2"/>
      <c r="W396" s="2"/>
      <c r="X396" s="2"/>
      <c r="Y396" s="2"/>
      <c r="Z396" s="2"/>
      <c r="AA396" s="2"/>
    </row>
    <row r="397" spans="2:27" x14ac:dyDescent="0.3">
      <c r="B397" s="2"/>
      <c r="C397" s="2"/>
      <c r="D397" s="2"/>
      <c r="E397" s="2"/>
      <c r="F397" s="2"/>
      <c r="P397" s="2"/>
      <c r="Q397" s="2"/>
      <c r="R397" s="2"/>
      <c r="S397" s="2"/>
      <c r="T397" s="2"/>
      <c r="W397" s="2"/>
      <c r="X397" s="2"/>
      <c r="Y397" s="2"/>
      <c r="Z397" s="2"/>
      <c r="AA397" s="2"/>
    </row>
    <row r="398" spans="2:27" x14ac:dyDescent="0.3">
      <c r="B398" s="2"/>
      <c r="C398" s="2"/>
      <c r="D398" s="2"/>
      <c r="E398" s="2"/>
      <c r="F398" s="2"/>
      <c r="P398" s="2"/>
      <c r="Q398" s="2"/>
      <c r="R398" s="2"/>
      <c r="S398" s="2"/>
      <c r="T398" s="2"/>
      <c r="W398" s="2"/>
      <c r="X398" s="2"/>
      <c r="Y398" s="2"/>
      <c r="Z398" s="2"/>
      <c r="AA398" s="2"/>
    </row>
    <row r="399" spans="2:27" x14ac:dyDescent="0.3">
      <c r="B399" s="2"/>
      <c r="C399" s="2"/>
      <c r="D399" s="2"/>
      <c r="E399" s="2"/>
      <c r="F399" s="2"/>
      <c r="P399" s="2"/>
      <c r="Q399" s="2"/>
      <c r="R399" s="2"/>
      <c r="S399" s="2"/>
      <c r="T399" s="2"/>
      <c r="W399" s="2"/>
      <c r="X399" s="2"/>
      <c r="Y399" s="2"/>
      <c r="Z399" s="2"/>
      <c r="AA399" s="2"/>
    </row>
    <row r="400" spans="2:27" x14ac:dyDescent="0.3">
      <c r="B400" s="2"/>
      <c r="C400" s="2"/>
      <c r="D400" s="2"/>
      <c r="E400" s="2"/>
      <c r="F400" s="2"/>
      <c r="P400" s="2"/>
      <c r="Q400" s="2"/>
      <c r="R400" s="2"/>
      <c r="S400" s="2"/>
      <c r="T400" s="2"/>
      <c r="W400" s="2"/>
      <c r="X400" s="2"/>
      <c r="Y400" s="2"/>
      <c r="Z400" s="2"/>
      <c r="AA400" s="2"/>
    </row>
    <row r="401" spans="2:27" x14ac:dyDescent="0.3">
      <c r="B401" s="2"/>
      <c r="C401" s="2"/>
      <c r="D401" s="2"/>
      <c r="E401" s="2"/>
      <c r="F401" s="2"/>
      <c r="P401" s="2"/>
      <c r="Q401" s="2"/>
      <c r="R401" s="2"/>
      <c r="S401" s="2"/>
      <c r="T401" s="2"/>
      <c r="W401" s="2"/>
      <c r="X401" s="2"/>
      <c r="Y401" s="2"/>
      <c r="Z401" s="2"/>
      <c r="AA401" s="2"/>
    </row>
    <row r="402" spans="2:27" x14ac:dyDescent="0.3">
      <c r="B402" s="2"/>
      <c r="C402" s="2"/>
      <c r="D402" s="2"/>
      <c r="E402" s="2"/>
      <c r="F402" s="2"/>
      <c r="P402" s="2"/>
      <c r="Q402" s="2"/>
      <c r="R402" s="2"/>
      <c r="S402" s="2"/>
      <c r="T402" s="2"/>
      <c r="W402" s="2"/>
      <c r="X402" s="2"/>
      <c r="Y402" s="2"/>
      <c r="Z402" s="2"/>
      <c r="AA402" s="2"/>
    </row>
    <row r="403" spans="2:27" x14ac:dyDescent="0.3">
      <c r="B403" s="2"/>
      <c r="C403" s="2"/>
      <c r="D403" s="2"/>
      <c r="E403" s="2"/>
      <c r="F403" s="2"/>
      <c r="P403" s="2"/>
      <c r="Q403" s="2"/>
      <c r="R403" s="2"/>
      <c r="S403" s="2"/>
      <c r="T403" s="2"/>
      <c r="W403" s="2"/>
      <c r="X403" s="2"/>
      <c r="Y403" s="2"/>
      <c r="Z403" s="2"/>
      <c r="AA403" s="2"/>
    </row>
    <row r="404" spans="2:27" x14ac:dyDescent="0.3">
      <c r="B404" s="2"/>
      <c r="C404" s="2"/>
      <c r="D404" s="2"/>
      <c r="E404" s="2"/>
      <c r="F404" s="2"/>
      <c r="P404" s="2"/>
      <c r="Q404" s="2"/>
      <c r="R404" s="2"/>
      <c r="S404" s="2"/>
      <c r="T404" s="2"/>
      <c r="W404" s="2"/>
      <c r="X404" s="2"/>
      <c r="Y404" s="2"/>
      <c r="Z404" s="2"/>
      <c r="AA404" s="2"/>
    </row>
    <row r="405" spans="2:27" x14ac:dyDescent="0.3">
      <c r="B405" s="2"/>
      <c r="C405" s="2"/>
      <c r="D405" s="2"/>
      <c r="E405" s="2"/>
      <c r="F405" s="2"/>
      <c r="P405" s="2"/>
      <c r="Q405" s="2"/>
      <c r="R405" s="2"/>
      <c r="S405" s="2"/>
      <c r="T405" s="2"/>
      <c r="W405" s="2"/>
      <c r="X405" s="2"/>
      <c r="Y405" s="2"/>
      <c r="Z405" s="2"/>
      <c r="AA405" s="2"/>
    </row>
    <row r="406" spans="2:27" x14ac:dyDescent="0.3">
      <c r="B406" s="2"/>
      <c r="C406" s="2"/>
      <c r="D406" s="2"/>
      <c r="E406" s="2"/>
      <c r="F406" s="2"/>
      <c r="P406" s="2"/>
      <c r="Q406" s="2"/>
      <c r="R406" s="2"/>
      <c r="S406" s="2"/>
      <c r="T406" s="2"/>
      <c r="W406" s="2"/>
      <c r="X406" s="2"/>
      <c r="Y406" s="2"/>
      <c r="Z406" s="2"/>
      <c r="AA406" s="2"/>
    </row>
    <row r="407" spans="2:27" x14ac:dyDescent="0.3">
      <c r="B407" s="2"/>
      <c r="C407" s="2"/>
      <c r="D407" s="2"/>
      <c r="E407" s="2"/>
      <c r="F407" s="2"/>
      <c r="P407" s="2"/>
      <c r="Q407" s="2"/>
      <c r="R407" s="2"/>
      <c r="S407" s="2"/>
      <c r="T407" s="2"/>
      <c r="W407" s="2"/>
      <c r="X407" s="2"/>
      <c r="Y407" s="2"/>
      <c r="Z407" s="2"/>
      <c r="AA407" s="2"/>
    </row>
    <row r="408" spans="2:27" x14ac:dyDescent="0.3">
      <c r="B408" s="2"/>
      <c r="C408" s="2"/>
      <c r="D408" s="2"/>
      <c r="E408" s="2"/>
      <c r="F408" s="2"/>
      <c r="P408" s="2"/>
      <c r="Q408" s="2"/>
      <c r="R408" s="2"/>
      <c r="S408" s="2"/>
      <c r="T408" s="2"/>
      <c r="W408" s="2"/>
      <c r="X408" s="2"/>
      <c r="Y408" s="2"/>
      <c r="Z408" s="2"/>
      <c r="AA408" s="2"/>
    </row>
    <row r="409" spans="2:27" x14ac:dyDescent="0.3">
      <c r="B409" s="2"/>
      <c r="C409" s="2"/>
      <c r="D409" s="2"/>
      <c r="E409" s="2"/>
      <c r="F409" s="2"/>
      <c r="P409" s="2"/>
      <c r="Q409" s="2"/>
      <c r="R409" s="2"/>
      <c r="S409" s="2"/>
      <c r="T409" s="2"/>
      <c r="W409" s="2"/>
      <c r="X409" s="2"/>
      <c r="Y409" s="2"/>
      <c r="Z409" s="2"/>
      <c r="AA409" s="2"/>
    </row>
    <row r="410" spans="2:27" x14ac:dyDescent="0.3">
      <c r="B410" s="2"/>
      <c r="C410" s="2"/>
      <c r="D410" s="2"/>
      <c r="E410" s="2"/>
      <c r="F410" s="2"/>
      <c r="P410" s="2"/>
      <c r="Q410" s="2"/>
      <c r="R410" s="2"/>
      <c r="S410" s="2"/>
      <c r="T410" s="2"/>
      <c r="W410" s="2"/>
      <c r="X410" s="2"/>
      <c r="Y410" s="2"/>
      <c r="Z410" s="2"/>
      <c r="AA410" s="2"/>
    </row>
    <row r="411" spans="2:27" x14ac:dyDescent="0.3">
      <c r="B411" s="2"/>
      <c r="C411" s="2"/>
      <c r="D411" s="2"/>
      <c r="E411" s="2"/>
      <c r="F411" s="2"/>
      <c r="P411" s="2"/>
      <c r="Q411" s="2"/>
      <c r="R411" s="2"/>
      <c r="S411" s="2"/>
      <c r="T411" s="2"/>
      <c r="W411" s="2"/>
      <c r="X411" s="2"/>
      <c r="Y411" s="2"/>
      <c r="Z411" s="2"/>
      <c r="AA411" s="2"/>
    </row>
    <row r="412" spans="2:27" x14ac:dyDescent="0.3">
      <c r="B412" s="2"/>
      <c r="C412" s="2"/>
      <c r="D412" s="2"/>
      <c r="E412" s="2"/>
      <c r="F412" s="2"/>
      <c r="P412" s="2"/>
      <c r="Q412" s="2"/>
      <c r="R412" s="2"/>
      <c r="S412" s="2"/>
      <c r="T412" s="2"/>
      <c r="W412" s="2"/>
      <c r="X412" s="2"/>
      <c r="Y412" s="2"/>
      <c r="Z412" s="2"/>
      <c r="AA412" s="2"/>
    </row>
    <row r="413" spans="2:27" x14ac:dyDescent="0.3">
      <c r="B413" s="2"/>
      <c r="C413" s="2"/>
      <c r="D413" s="2"/>
      <c r="E413" s="2"/>
      <c r="F413" s="2"/>
      <c r="P413" s="2"/>
      <c r="Q413" s="2"/>
      <c r="R413" s="2"/>
      <c r="S413" s="2"/>
      <c r="T413" s="2"/>
      <c r="W413" s="2"/>
      <c r="X413" s="2"/>
      <c r="Y413" s="2"/>
      <c r="Z413" s="2"/>
      <c r="AA413" s="2"/>
    </row>
    <row r="414" spans="2:27" x14ac:dyDescent="0.3">
      <c r="B414" s="2"/>
      <c r="C414" s="2"/>
      <c r="D414" s="2"/>
      <c r="E414" s="2"/>
      <c r="F414" s="2"/>
      <c r="P414" s="2"/>
      <c r="Q414" s="2"/>
      <c r="R414" s="2"/>
      <c r="S414" s="2"/>
      <c r="T414" s="2"/>
      <c r="W414" s="2"/>
      <c r="X414" s="2"/>
      <c r="Y414" s="2"/>
      <c r="Z414" s="2"/>
      <c r="AA414" s="2"/>
    </row>
    <row r="415" spans="2:27" x14ac:dyDescent="0.3">
      <c r="B415" s="2"/>
      <c r="C415" s="2"/>
      <c r="D415" s="2"/>
      <c r="E415" s="2"/>
      <c r="F415" s="2"/>
      <c r="P415" s="2"/>
      <c r="Q415" s="2"/>
      <c r="R415" s="2"/>
      <c r="S415" s="2"/>
      <c r="T415" s="2"/>
      <c r="W415" s="2"/>
      <c r="X415" s="2"/>
      <c r="Y415" s="2"/>
      <c r="Z415" s="2"/>
      <c r="AA415" s="2"/>
    </row>
    <row r="416" spans="2:27" x14ac:dyDescent="0.3">
      <c r="B416" s="2"/>
      <c r="C416" s="2"/>
      <c r="D416" s="2"/>
      <c r="E416" s="2"/>
      <c r="F416" s="2"/>
      <c r="P416" s="2"/>
      <c r="Q416" s="2"/>
      <c r="R416" s="2"/>
      <c r="S416" s="2"/>
      <c r="T416" s="2"/>
      <c r="W416" s="2"/>
      <c r="X416" s="2"/>
      <c r="Y416" s="2"/>
      <c r="Z416" s="2"/>
      <c r="AA416" s="2"/>
    </row>
    <row r="417" spans="2:27" x14ac:dyDescent="0.3">
      <c r="B417" s="2"/>
      <c r="C417" s="2"/>
      <c r="D417" s="2"/>
      <c r="E417" s="2"/>
      <c r="F417" s="2"/>
      <c r="P417" s="2"/>
      <c r="Q417" s="2"/>
      <c r="R417" s="2"/>
      <c r="S417" s="2"/>
      <c r="T417" s="2"/>
      <c r="W417" s="2"/>
      <c r="X417" s="2"/>
      <c r="Y417" s="2"/>
      <c r="Z417" s="2"/>
      <c r="AA417" s="2"/>
    </row>
    <row r="418" spans="2:27" x14ac:dyDescent="0.3">
      <c r="B418" s="2"/>
      <c r="C418" s="2"/>
      <c r="D418" s="2"/>
      <c r="E418" s="2"/>
      <c r="F418" s="2"/>
      <c r="P418" s="2"/>
      <c r="Q418" s="2"/>
      <c r="R418" s="2"/>
      <c r="S418" s="2"/>
      <c r="T418" s="2"/>
      <c r="W418" s="2"/>
      <c r="X418" s="2"/>
      <c r="Y418" s="2"/>
      <c r="Z418" s="2"/>
      <c r="AA418" s="2"/>
    </row>
    <row r="419" spans="2:27" x14ac:dyDescent="0.3">
      <c r="B419" s="2"/>
      <c r="C419" s="2"/>
      <c r="D419" s="2"/>
      <c r="E419" s="2"/>
      <c r="F419" s="2"/>
      <c r="P419" s="2"/>
      <c r="Q419" s="2"/>
      <c r="R419" s="2"/>
      <c r="S419" s="2"/>
      <c r="T419" s="2"/>
    </row>
    <row r="420" spans="2:27" x14ac:dyDescent="0.3">
      <c r="B420" s="2"/>
      <c r="C420" s="2"/>
      <c r="D420" s="2"/>
      <c r="E420" s="2"/>
      <c r="F420" s="2"/>
      <c r="P420" s="2"/>
      <c r="Q420" s="2"/>
      <c r="R420" s="2"/>
      <c r="S420" s="2"/>
      <c r="T420" s="2"/>
    </row>
    <row r="421" spans="2:27" x14ac:dyDescent="0.3">
      <c r="B421" s="2"/>
      <c r="C421" s="2"/>
      <c r="D421" s="2"/>
      <c r="E421" s="2"/>
      <c r="F421" s="2"/>
      <c r="P421" s="2"/>
      <c r="Q421" s="2"/>
      <c r="R421" s="2"/>
      <c r="S421" s="2"/>
      <c r="T421" s="2"/>
    </row>
    <row r="422" spans="2:27" x14ac:dyDescent="0.3">
      <c r="B422" s="2"/>
      <c r="C422" s="2"/>
      <c r="D422" s="2"/>
      <c r="E422" s="2"/>
      <c r="F422" s="2"/>
      <c r="P422" s="2"/>
      <c r="Q422" s="2"/>
      <c r="R422" s="2"/>
      <c r="S422" s="2"/>
      <c r="T422" s="2"/>
    </row>
    <row r="423" spans="2:27" x14ac:dyDescent="0.3">
      <c r="B423" s="2"/>
      <c r="C423" s="2"/>
      <c r="D423" s="2"/>
      <c r="E423" s="2"/>
      <c r="F423" s="2"/>
      <c r="P423" s="2"/>
      <c r="Q423" s="2"/>
      <c r="R423" s="2"/>
      <c r="S423" s="2"/>
      <c r="T423" s="2"/>
    </row>
    <row r="424" spans="2:27" x14ac:dyDescent="0.3">
      <c r="B424" s="2"/>
      <c r="C424" s="2"/>
      <c r="D424" s="2"/>
      <c r="E424" s="2"/>
      <c r="F424" s="2"/>
      <c r="P424" s="2"/>
      <c r="Q424" s="2"/>
      <c r="R424" s="2"/>
      <c r="S424" s="2"/>
      <c r="T424" s="2"/>
    </row>
    <row r="425" spans="2:27" x14ac:dyDescent="0.3">
      <c r="B425" s="2"/>
      <c r="C425" s="2"/>
      <c r="D425" s="2"/>
      <c r="E425" s="2"/>
      <c r="F425" s="2"/>
      <c r="P425" s="2"/>
      <c r="Q425" s="2"/>
      <c r="R425" s="2"/>
      <c r="S425" s="2"/>
      <c r="T425" s="2"/>
    </row>
    <row r="426" spans="2:27" x14ac:dyDescent="0.3">
      <c r="B426" s="2"/>
      <c r="C426" s="2"/>
      <c r="D426" s="2"/>
      <c r="E426" s="2"/>
      <c r="F426" s="2"/>
      <c r="P426" s="2"/>
      <c r="Q426" s="2"/>
      <c r="R426" s="2"/>
      <c r="S426" s="2"/>
      <c r="T426" s="2"/>
    </row>
    <row r="427" spans="2:27" x14ac:dyDescent="0.3">
      <c r="B427" s="2"/>
      <c r="C427" s="2"/>
      <c r="D427" s="2"/>
      <c r="E427" s="2"/>
      <c r="F427" s="2"/>
      <c r="P427" s="2"/>
      <c r="Q427" s="2"/>
      <c r="R427" s="2"/>
      <c r="S427" s="2"/>
      <c r="T427" s="2"/>
    </row>
    <row r="428" spans="2:27" x14ac:dyDescent="0.3">
      <c r="B428" s="2"/>
      <c r="C428" s="2"/>
      <c r="D428" s="2"/>
      <c r="E428" s="2"/>
      <c r="F428" s="2"/>
      <c r="P428" s="2"/>
      <c r="Q428" s="2"/>
      <c r="R428" s="2"/>
      <c r="S428" s="2"/>
      <c r="T428" s="2"/>
    </row>
    <row r="429" spans="2:27" x14ac:dyDescent="0.3">
      <c r="B429" s="2"/>
      <c r="C429" s="2"/>
      <c r="D429" s="2"/>
      <c r="E429" s="2"/>
      <c r="F429" s="2"/>
      <c r="P429" s="2"/>
      <c r="Q429" s="2"/>
      <c r="R429" s="2"/>
      <c r="S429" s="2"/>
      <c r="T429" s="2"/>
    </row>
    <row r="430" spans="2:27" x14ac:dyDescent="0.3">
      <c r="B430" s="2"/>
      <c r="C430" s="2"/>
      <c r="D430" s="2"/>
      <c r="E430" s="2"/>
      <c r="F430" s="2"/>
      <c r="P430" s="2"/>
      <c r="Q430" s="2"/>
      <c r="R430" s="2"/>
      <c r="S430" s="2"/>
      <c r="T430" s="2"/>
    </row>
    <row r="431" spans="2:27" x14ac:dyDescent="0.3">
      <c r="B431" s="2"/>
      <c r="C431" s="2"/>
      <c r="D431" s="2"/>
      <c r="E431" s="2"/>
      <c r="F431" s="2"/>
      <c r="P431" s="2"/>
      <c r="Q431" s="2"/>
      <c r="R431" s="2"/>
      <c r="S431" s="2"/>
      <c r="T431" s="2"/>
    </row>
    <row r="432" spans="2:27" x14ac:dyDescent="0.3">
      <c r="B432" s="2"/>
      <c r="C432" s="2"/>
      <c r="D432" s="2"/>
      <c r="E432" s="2"/>
      <c r="F432" s="2"/>
    </row>
    <row r="433" spans="2:6" x14ac:dyDescent="0.3">
      <c r="B433" s="2"/>
      <c r="C433" s="2"/>
      <c r="D433" s="2"/>
      <c r="E433" s="2"/>
      <c r="F433" s="2"/>
    </row>
    <row r="434" spans="2:6" x14ac:dyDescent="0.3">
      <c r="B434" s="2"/>
      <c r="C434" s="2"/>
      <c r="D434" s="2"/>
      <c r="E434" s="2"/>
      <c r="F434" s="2"/>
    </row>
    <row r="435" spans="2:6" x14ac:dyDescent="0.3">
      <c r="B435" s="2"/>
      <c r="C435" s="2"/>
      <c r="D435" s="2"/>
      <c r="E435" s="2"/>
      <c r="F435" s="2"/>
    </row>
    <row r="436" spans="2:6" x14ac:dyDescent="0.3">
      <c r="B436" s="2"/>
      <c r="C436" s="2"/>
      <c r="D436" s="2"/>
      <c r="E436" s="2"/>
      <c r="F436" s="2"/>
    </row>
    <row r="437" spans="2:6" x14ac:dyDescent="0.3">
      <c r="B437" s="2"/>
      <c r="C437" s="2"/>
      <c r="D437" s="2"/>
      <c r="E437" s="2"/>
      <c r="F437" s="2"/>
    </row>
    <row r="438" spans="2:6" x14ac:dyDescent="0.3">
      <c r="B438" s="2"/>
      <c r="C438" s="2"/>
      <c r="D438" s="2"/>
      <c r="E438" s="2"/>
      <c r="F438" s="2"/>
    </row>
    <row r="439" spans="2:6" x14ac:dyDescent="0.3">
      <c r="B439" s="2"/>
      <c r="C439" s="2"/>
      <c r="D439" s="2"/>
      <c r="E439" s="2"/>
      <c r="F439" s="2"/>
    </row>
    <row r="440" spans="2:6" x14ac:dyDescent="0.3">
      <c r="B440" s="2"/>
      <c r="C440" s="2"/>
      <c r="D440" s="2"/>
      <c r="E440" s="2"/>
      <c r="F440" s="2"/>
    </row>
    <row r="441" spans="2:6" x14ac:dyDescent="0.3">
      <c r="B441" s="2"/>
      <c r="C441" s="2"/>
      <c r="D441" s="2"/>
      <c r="E441" s="2"/>
      <c r="F441" s="2"/>
    </row>
    <row r="442" spans="2:6" x14ac:dyDescent="0.3">
      <c r="B442" s="2"/>
      <c r="C442" s="2"/>
      <c r="D442" s="2"/>
      <c r="E442" s="2"/>
      <c r="F442" s="2"/>
    </row>
    <row r="443" spans="2:6" x14ac:dyDescent="0.3">
      <c r="B443" s="2"/>
      <c r="C443" s="2"/>
      <c r="D443" s="2"/>
      <c r="E443" s="2"/>
      <c r="F443" s="2"/>
    </row>
    <row r="444" spans="2:6" x14ac:dyDescent="0.3">
      <c r="B444" s="2"/>
      <c r="C444" s="2"/>
      <c r="D444" s="2"/>
      <c r="E444" s="2"/>
      <c r="F444" s="2"/>
    </row>
    <row r="445" spans="2:6" x14ac:dyDescent="0.3">
      <c r="B445" s="2"/>
      <c r="C445" s="2"/>
      <c r="D445" s="2"/>
      <c r="E445" s="2"/>
      <c r="F445" s="2"/>
    </row>
    <row r="446" spans="2:6" x14ac:dyDescent="0.3">
      <c r="B446" s="2"/>
      <c r="C446" s="2"/>
      <c r="D446" s="2"/>
      <c r="E446" s="2"/>
      <c r="F446" s="2"/>
    </row>
  </sheetData>
  <mergeCells count="32">
    <mergeCell ref="AC26:AH26"/>
    <mergeCell ref="AC35:AH35"/>
    <mergeCell ref="H48:M48"/>
    <mergeCell ref="O4:T4"/>
    <mergeCell ref="O13:T13"/>
    <mergeCell ref="O22:T22"/>
    <mergeCell ref="O39:T39"/>
    <mergeCell ref="V4:AA4"/>
    <mergeCell ref="V13:AA13"/>
    <mergeCell ref="V23:AA23"/>
    <mergeCell ref="V34:AA34"/>
    <mergeCell ref="AC17:AH17"/>
    <mergeCell ref="A30:F30"/>
    <mergeCell ref="A44:F44"/>
    <mergeCell ref="H4:M4"/>
    <mergeCell ref="H13:M13"/>
    <mergeCell ref="H21:M21"/>
    <mergeCell ref="H38:M38"/>
    <mergeCell ref="H30:M30"/>
    <mergeCell ref="A17:F17"/>
    <mergeCell ref="V1:Y1"/>
    <mergeCell ref="Z1:AA1"/>
    <mergeCell ref="AC1:AF1"/>
    <mergeCell ref="AG1:AH1"/>
    <mergeCell ref="A4:F4"/>
    <mergeCell ref="AC4:AH4"/>
    <mergeCell ref="A1:D1"/>
    <mergeCell ref="E1:F1"/>
    <mergeCell ref="H1:K1"/>
    <mergeCell ref="L1:M1"/>
    <mergeCell ref="O1:R1"/>
    <mergeCell ref="S1:T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1876C-820B-47B6-AD8C-CA557CDDBA7F}">
  <dimension ref="A1:AM31"/>
  <sheetViews>
    <sheetView tabSelected="1" workbookViewId="0">
      <selection activeCell="AP22" sqref="AP22"/>
    </sheetView>
  </sheetViews>
  <sheetFormatPr defaultRowHeight="14.4" x14ac:dyDescent="0.3"/>
  <cols>
    <col min="1" max="1" width="19.109375" style="67" customWidth="1"/>
    <col min="2" max="2" width="24.5546875" style="64" bestFit="1" customWidth="1"/>
    <col min="3" max="7" width="13.5546875" style="62" bestFit="1" customWidth="1"/>
    <col min="8" max="8" width="11" style="62" customWidth="1"/>
    <col min="9" max="9" width="19.109375" style="62" customWidth="1"/>
    <col min="10" max="10" width="24.5546875" style="62" bestFit="1" customWidth="1"/>
    <col min="11" max="15" width="13.5546875" style="62" bestFit="1" customWidth="1"/>
    <col min="16" max="16" width="9.6640625" style="62" customWidth="1"/>
    <col min="17" max="17" width="19.109375" style="62" customWidth="1"/>
    <col min="18" max="18" width="24.5546875" style="62" bestFit="1" customWidth="1"/>
    <col min="19" max="23" width="13.5546875" style="62" bestFit="1" customWidth="1"/>
    <col min="24" max="24" width="11.6640625" style="62" bestFit="1" customWidth="1"/>
    <col min="25" max="25" width="19.109375" style="62" customWidth="1"/>
    <col min="26" max="26" width="25.33203125" style="62" bestFit="1" customWidth="1"/>
    <col min="27" max="31" width="13.5546875" style="62" bestFit="1" customWidth="1"/>
    <col min="32" max="32" width="9.88671875" style="62" customWidth="1"/>
    <col min="33" max="33" width="19.109375" style="62" customWidth="1"/>
    <col min="34" max="34" width="25.33203125" style="62" bestFit="1" customWidth="1"/>
    <col min="35" max="39" width="13.5546875" style="62" bestFit="1" customWidth="1"/>
    <col min="40" max="16384" width="8.88671875" style="62"/>
  </cols>
  <sheetData>
    <row r="1" spans="1:39" ht="37.799999999999997" customHeight="1" thickBot="1" x14ac:dyDescent="0.35">
      <c r="A1" s="264" t="s">
        <v>357</v>
      </c>
      <c r="B1" s="265"/>
      <c r="C1" s="265"/>
      <c r="D1" s="265"/>
      <c r="E1" s="265"/>
      <c r="F1" s="266" t="e" vm="1">
        <v>#VALUE!</v>
      </c>
      <c r="G1" s="267"/>
      <c r="I1" s="264" t="s">
        <v>357</v>
      </c>
      <c r="J1" s="265"/>
      <c r="K1" s="265"/>
      <c r="L1" s="265"/>
      <c r="M1" s="265"/>
      <c r="N1" s="266" t="e" vm="2">
        <v>#VALUE!</v>
      </c>
      <c r="O1" s="267"/>
      <c r="Q1" s="264" t="s">
        <v>357</v>
      </c>
      <c r="R1" s="265"/>
      <c r="S1" s="265"/>
      <c r="T1" s="265"/>
      <c r="U1" s="265"/>
      <c r="V1" s="266" t="e" vm="3">
        <v>#VALUE!</v>
      </c>
      <c r="W1" s="267"/>
      <c r="Y1" s="264" t="s">
        <v>357</v>
      </c>
      <c r="Z1" s="265"/>
      <c r="AA1" s="265"/>
      <c r="AB1" s="265"/>
      <c r="AC1" s="265"/>
      <c r="AD1" s="266" t="e" vm="4">
        <v>#VALUE!</v>
      </c>
      <c r="AE1" s="267"/>
      <c r="AG1" s="281" t="s">
        <v>357</v>
      </c>
      <c r="AH1" s="281"/>
      <c r="AI1" s="281"/>
      <c r="AJ1" s="281"/>
      <c r="AK1" s="281"/>
      <c r="AL1" s="280" t="e" vm="5">
        <v>#VALUE!</v>
      </c>
      <c r="AM1" s="280"/>
    </row>
    <row r="2" spans="1:39" s="64" customFormat="1" ht="26.4" thickBot="1" x14ac:dyDescent="0.35">
      <c r="A2" s="78" t="s">
        <v>353</v>
      </c>
      <c r="B2" s="85" t="s">
        <v>354</v>
      </c>
      <c r="C2" s="79">
        <v>2020</v>
      </c>
      <c r="D2" s="80">
        <v>2021</v>
      </c>
      <c r="E2" s="80">
        <v>2022</v>
      </c>
      <c r="F2" s="80">
        <v>2023</v>
      </c>
      <c r="G2" s="81">
        <v>2024</v>
      </c>
      <c r="H2" s="63"/>
      <c r="I2" s="121" t="s">
        <v>353</v>
      </c>
      <c r="J2" s="122" t="s">
        <v>354</v>
      </c>
      <c r="K2" s="123">
        <v>2020</v>
      </c>
      <c r="L2" s="124">
        <v>2021</v>
      </c>
      <c r="M2" s="124">
        <v>2022</v>
      </c>
      <c r="N2" s="124">
        <v>2023</v>
      </c>
      <c r="O2" s="125">
        <v>2024</v>
      </c>
      <c r="P2" s="61"/>
      <c r="Q2" s="121" t="s">
        <v>353</v>
      </c>
      <c r="R2" s="122" t="s">
        <v>354</v>
      </c>
      <c r="S2" s="123">
        <v>2020</v>
      </c>
      <c r="T2" s="124">
        <v>2021</v>
      </c>
      <c r="U2" s="124">
        <v>2022</v>
      </c>
      <c r="V2" s="124">
        <v>2023</v>
      </c>
      <c r="W2" s="125">
        <v>2024</v>
      </c>
      <c r="X2" s="61"/>
      <c r="Y2" s="140" t="s">
        <v>353</v>
      </c>
      <c r="Z2" s="124" t="s">
        <v>354</v>
      </c>
      <c r="AA2" s="124">
        <v>2020</v>
      </c>
      <c r="AB2" s="124">
        <v>2021</v>
      </c>
      <c r="AC2" s="124">
        <v>2022</v>
      </c>
      <c r="AD2" s="124">
        <v>2023</v>
      </c>
      <c r="AE2" s="125">
        <v>2024</v>
      </c>
      <c r="AF2" s="61"/>
      <c r="AG2" s="66" t="s">
        <v>353</v>
      </c>
      <c r="AH2" s="68" t="s">
        <v>354</v>
      </c>
      <c r="AI2" s="68">
        <v>2020</v>
      </c>
      <c r="AJ2" s="68">
        <v>2021</v>
      </c>
      <c r="AK2" s="68">
        <v>2022</v>
      </c>
      <c r="AL2" s="68">
        <v>2023</v>
      </c>
      <c r="AM2" s="68">
        <v>2024</v>
      </c>
    </row>
    <row r="3" spans="1:39" x14ac:dyDescent="0.3">
      <c r="A3" s="268" t="s">
        <v>355</v>
      </c>
      <c r="B3" s="108" t="s">
        <v>356</v>
      </c>
      <c r="C3" s="82">
        <f>('Income Statement'!B3-'Income Statement'!B8)/'Income Statement'!B3</f>
        <v>0.98786229921821733</v>
      </c>
      <c r="D3" s="73">
        <f>('Income Statement'!C3-'Income Statement'!C8)/'Income Statement'!C3</f>
        <v>0.99109497676288394</v>
      </c>
      <c r="E3" s="73">
        <f>('Income Statement'!D3-'Income Statement'!D8)/'Income Statement'!D3</f>
        <v>0.99393493747196926</v>
      </c>
      <c r="F3" s="73">
        <f>('Income Statement'!E3-'Income Statement'!E8)/'Income Statement'!E3</f>
        <v>0.99165698267526547</v>
      </c>
      <c r="G3" s="74">
        <f>('Income Statement'!F3-'Income Statement'!F8)/'Income Statement'!F3</f>
        <v>0.98463218109285033</v>
      </c>
      <c r="I3" s="271" t="s">
        <v>355</v>
      </c>
      <c r="J3" s="128" t="s">
        <v>356</v>
      </c>
      <c r="K3" s="129">
        <f>('Income Statement'!I3-'Income Statement'!I8-'Income Statement'!I10)/'Income Statement'!I3</f>
        <v>0.89627826546684142</v>
      </c>
      <c r="L3" s="130">
        <f>('Income Statement'!J3-'Income Statement'!J8-'Income Statement'!J10)/'Income Statement'!J3</f>
        <v>0.88746118321522416</v>
      </c>
      <c r="M3" s="130">
        <f>('Income Statement'!K3-'Income Statement'!K8-'Income Statement'!K10)/'Income Statement'!K3</f>
        <v>0.84037454476697826</v>
      </c>
      <c r="N3" s="130">
        <f>('Income Statement'!L3-'Income Statement'!L8-'Income Statement'!L10)/'Income Statement'!L3</f>
        <v>0.82990726798258463</v>
      </c>
      <c r="O3" s="131">
        <f>('Income Statement'!M3-'Income Statement'!M8-'Income Statement'!M10)/'Income Statement'!M3</f>
        <v>0.82300754647524388</v>
      </c>
      <c r="Q3" s="271" t="s">
        <v>355</v>
      </c>
      <c r="R3" s="128" t="s">
        <v>356</v>
      </c>
      <c r="S3" s="129">
        <f>('Income Statement'!P3-('Income Statement'!P7+'Income Statement'!P8))/'Income Statement'!P3</f>
        <v>0.97826702133680454</v>
      </c>
      <c r="T3" s="130">
        <f>('Income Statement'!Q3-('Income Statement'!Q7+'Income Statement'!Q8))/'Income Statement'!Q3</f>
        <v>0.97751363111741996</v>
      </c>
      <c r="U3" s="130">
        <f>('Income Statement'!R3-('Income Statement'!R7+'Income Statement'!R8))/'Income Statement'!R3</f>
        <v>0.98358454659023242</v>
      </c>
      <c r="V3" s="130">
        <f>('Income Statement'!S3-('Income Statement'!S7+'Income Statement'!S8))/'Income Statement'!S3</f>
        <v>0.98023773852704621</v>
      </c>
      <c r="W3" s="131">
        <f>('Income Statement'!T3-('Income Statement'!T7+'Income Statement'!T8))/'Income Statement'!T3</f>
        <v>0.98365070555803225</v>
      </c>
      <c r="Y3" s="277" t="s">
        <v>355</v>
      </c>
      <c r="Z3" s="142" t="s">
        <v>356</v>
      </c>
      <c r="AA3" s="130">
        <f>('Income Statement'!W3-('Income Statement'!W8+'Income Statement'!W9))/'Income Statement'!W3</f>
        <v>0.98134807745250996</v>
      </c>
      <c r="AB3" s="130">
        <f>('Income Statement'!X3-('Income Statement'!X8+'Income Statement'!X9))/'Income Statement'!X3</f>
        <v>0.98826017467671901</v>
      </c>
      <c r="AC3" s="130">
        <f>('Income Statement'!Y3-('Income Statement'!Y8+'Income Statement'!Y9))/'Income Statement'!Y3</f>
        <v>0.99195128797093046</v>
      </c>
      <c r="AD3" s="130">
        <f>('Income Statement'!Z3-('Income Statement'!Z8+'Income Statement'!Z9))/'Income Statement'!Z3</f>
        <v>0.99265755749959117</v>
      </c>
      <c r="AE3" s="131">
        <f>('Income Statement'!AA3-('Income Statement'!AA8+'Income Statement'!AA9))/'Income Statement'!AA3</f>
        <v>0.99542113829833456</v>
      </c>
      <c r="AG3" s="274" t="s">
        <v>355</v>
      </c>
      <c r="AH3" s="65" t="s">
        <v>356</v>
      </c>
      <c r="AI3" s="69"/>
      <c r="AJ3" s="69"/>
      <c r="AK3" s="69"/>
      <c r="AL3" s="69"/>
      <c r="AM3" s="69"/>
    </row>
    <row r="4" spans="1:39" x14ac:dyDescent="0.3">
      <c r="A4" s="269"/>
      <c r="B4" s="109" t="s">
        <v>358</v>
      </c>
      <c r="C4" s="83">
        <f>('Income Statement'!B16+'Income Statement'!B9+'Income Statement'!B10+'Income Statement'!B15)/'Income Statement'!B3</f>
        <v>0.29755525680316536</v>
      </c>
      <c r="D4" s="69">
        <f>('Income Statement'!C16+'Income Statement'!C9+'Income Statement'!C10+'Income Statement'!C15)/'Income Statement'!C3</f>
        <v>0.30260024242128924</v>
      </c>
      <c r="E4" s="69">
        <f>('Income Statement'!D16+'Income Statement'!D9+'Income Statement'!D10+'Income Statement'!D15)/'Income Statement'!D3</f>
        <v>0.29764698519978722</v>
      </c>
      <c r="F4" s="69">
        <f>('Income Statement'!E16+'Income Statement'!E9+'Income Statement'!E10+'Income Statement'!E15)/'Income Statement'!E3</f>
        <v>0.27813606081842296</v>
      </c>
      <c r="G4" s="75">
        <f>('Income Statement'!F16+'Income Statement'!F9+'Income Statement'!F10+'Income Statement'!F15)/'Income Statement'!F3</f>
        <v>0.28526358175621541</v>
      </c>
      <c r="I4" s="272"/>
      <c r="J4" s="119" t="s">
        <v>358</v>
      </c>
      <c r="K4" s="83">
        <f>('Income Statement'!I17+'Income Statement'!I14+'Income Statement'!I13)/'Income Statement'!I3</f>
        <v>0.27612869116982963</v>
      </c>
      <c r="L4" s="69">
        <f>('Income Statement'!J17+'Income Statement'!J14+'Income Statement'!J13)/'Income Statement'!J3</f>
        <v>0.29948642407835019</v>
      </c>
      <c r="M4" s="69">
        <f>('Income Statement'!K17+'Income Statement'!K14+'Income Statement'!K13)/'Income Statement'!K3</f>
        <v>0.27775174488864773</v>
      </c>
      <c r="N4" s="69">
        <f>('Income Statement'!L17+'Income Statement'!L14+'Income Statement'!L13)/'Income Statement'!L3</f>
        <v>0.25776230351509538</v>
      </c>
      <c r="O4" s="75">
        <f>('Income Statement'!M17+'Income Statement'!M14+'Income Statement'!M13)/'Income Statement'!M3</f>
        <v>0.26281366955027918</v>
      </c>
      <c r="Q4" s="272"/>
      <c r="R4" s="119" t="s">
        <v>358</v>
      </c>
      <c r="S4" s="83">
        <f>('Income Statement'!P15+'Income Statement'!P10+'Income Statement'!P11)/'Income Statement'!P3</f>
        <v>0.25333918161752222</v>
      </c>
      <c r="T4" s="69">
        <f>('Income Statement'!Q15+'Income Statement'!Q10+'Income Statement'!Q11)/'Income Statement'!Q3</f>
        <v>0.27826052348797409</v>
      </c>
      <c r="U4" s="69">
        <f>('Income Statement'!R15+'Income Statement'!R10+'Income Statement'!R11)/'Income Statement'!R3</f>
        <v>0.34774842091744407</v>
      </c>
      <c r="V4" s="69">
        <f>('Income Statement'!S15+'Income Statement'!S10+'Income Statement'!S11)/'Income Statement'!S3</f>
        <v>0.34291712663617724</v>
      </c>
      <c r="W4" s="75">
        <f>('Income Statement'!T15+'Income Statement'!T10+'Income Statement'!T11)/'Income Statement'!T3</f>
        <v>0.32842338940798632</v>
      </c>
      <c r="Y4" s="278"/>
      <c r="Z4" s="65" t="s">
        <v>358</v>
      </c>
      <c r="AA4" s="69">
        <f>('Income Statement'!W23+'Income Statement'!W11+'Income Statement'!W12)/'Income Statement'!W3</f>
        <v>0.24695853380353702</v>
      </c>
      <c r="AB4" s="69">
        <f>('Income Statement'!X23+'Income Statement'!X11+'Income Statement'!X12)/'Income Statement'!X3</f>
        <v>0.27727265389148081</v>
      </c>
      <c r="AC4" s="69">
        <f>('Income Statement'!Y23+'Income Statement'!Y11+'Income Statement'!Y12)/'Income Statement'!Y3</f>
        <v>0.23707540705039856</v>
      </c>
      <c r="AD4" s="69">
        <f>('Income Statement'!Z23+'Income Statement'!Z11+'Income Statement'!Z12)/'Income Statement'!Z3</f>
        <v>0.21122894186606778</v>
      </c>
      <c r="AE4" s="75">
        <f>('Income Statement'!AA23+'Income Statement'!AA11+'Income Statement'!AA12)/'Income Statement'!AA3</f>
        <v>0.21594513387321584</v>
      </c>
      <c r="AG4" s="275"/>
      <c r="AH4" s="65" t="s">
        <v>358</v>
      </c>
      <c r="AI4" s="69">
        <f>('Income Statement'!AD13+'Income Statement'!AD9+'Income Statement'!AD10)/'Income Statement'!AD3</f>
        <v>0.21680179434853744</v>
      </c>
      <c r="AJ4" s="69">
        <f>('Income Statement'!AE13+'Income Statement'!AE9+'Income Statement'!AE10)/'Income Statement'!AE3</f>
        <v>0.2424857313780337</v>
      </c>
      <c r="AK4" s="69">
        <f>('Income Statement'!AF13+'Income Statement'!AF9+'Income Statement'!AF10)/'Income Statement'!AF3</f>
        <v>0.23035999494421405</v>
      </c>
      <c r="AL4" s="69">
        <f>('Income Statement'!AG13+'Income Statement'!AG9+'Income Statement'!AG10)/'Income Statement'!AG3</f>
        <v>0.20084380556308951</v>
      </c>
      <c r="AM4" s="69">
        <f>('Income Statement'!AH13+'Income Statement'!AH9+'Income Statement'!AH10)/'Income Statement'!AH3</f>
        <v>0.19960300701072717</v>
      </c>
    </row>
    <row r="5" spans="1:39" x14ac:dyDescent="0.3">
      <c r="A5" s="269"/>
      <c r="B5" s="109" t="s">
        <v>359</v>
      </c>
      <c r="C5" s="83">
        <f>('Income Statement'!B13+'Income Statement'!B9)/'Income Statement'!B3</f>
        <v>0.27507024574861899</v>
      </c>
      <c r="D5" s="69">
        <f>('Income Statement'!C13+'Income Statement'!C9)/'Income Statement'!C3</f>
        <v>0.27784037959032021</v>
      </c>
      <c r="E5" s="69">
        <f>('Income Statement'!D13+'Income Statement'!D9)/'Income Statement'!D3</f>
        <v>0.27363705581109127</v>
      </c>
      <c r="F5" s="69">
        <f>('Income Statement'!E13+'Income Statement'!E9)/'Income Statement'!E3</f>
        <v>0.25586140212367714</v>
      </c>
      <c r="G5" s="75">
        <f>('Income Statement'!F13+'Income Statement'!F9)/'Income Statement'!F3</f>
        <v>0.26456974673402717</v>
      </c>
      <c r="I5" s="272"/>
      <c r="J5" s="119" t="s">
        <v>359</v>
      </c>
      <c r="K5" s="83">
        <f>('Income Statement'!I17+'Income Statement'!I14)/'Income Statement'!I3</f>
        <v>0.24426429932482294</v>
      </c>
      <c r="L5" s="69">
        <f>('Income Statement'!J17+'Income Statement'!J14)/'Income Statement'!J3</f>
        <v>0.26696990206226612</v>
      </c>
      <c r="M5" s="69">
        <f>('Income Statement'!K17+'Income Statement'!K14)/'Income Statement'!K3</f>
        <v>0.24917585353622546</v>
      </c>
      <c r="N5" s="69">
        <f>('Income Statement'!L17+'Income Statement'!L14)/'Income Statement'!L3</f>
        <v>0.22897517834390566</v>
      </c>
      <c r="O5" s="75">
        <f>('Income Statement'!M17+'Income Statement'!M14)/'Income Statement'!M3</f>
        <v>0.23329038591324622</v>
      </c>
      <c r="Q5" s="272"/>
      <c r="R5" s="119" t="s">
        <v>359</v>
      </c>
      <c r="S5" s="83">
        <f>('Income Statement'!P15+'Income Statement'!P10)/'Income Statement'!P3</f>
        <v>0.20494934631275114</v>
      </c>
      <c r="T5" s="69">
        <f>('Income Statement'!Q15+'Income Statement'!Q10)/'Income Statement'!Q3</f>
        <v>0.21708964035076081</v>
      </c>
      <c r="U5" s="69">
        <f>('Income Statement'!R15+'Income Statement'!R10)/'Income Statement'!R3</f>
        <v>0.34402400438990788</v>
      </c>
      <c r="V5" s="69">
        <f>('Income Statement'!S15+'Income Statement'!S10)/'Income Statement'!S3</f>
        <v>0.33943778583819589</v>
      </c>
      <c r="W5" s="75">
        <f>('Income Statement'!T15+'Income Statement'!T10)/'Income Statement'!T3</f>
        <v>0.32339213741777589</v>
      </c>
      <c r="Y5" s="278"/>
      <c r="Z5" s="65" t="s">
        <v>359</v>
      </c>
      <c r="AA5" s="69">
        <f>('Income Statement'!W23+'Income Statement'!W11)/'Income Statement'!W3</f>
        <v>0.21278300711860407</v>
      </c>
      <c r="AB5" s="69">
        <f>('Income Statement'!X23+'Income Statement'!X11)/'Income Statement'!X3</f>
        <v>0.23266067190804438</v>
      </c>
      <c r="AC5" s="69">
        <f>('Income Statement'!Y23+'Income Statement'!Y11)/'Income Statement'!Y3</f>
        <v>0.19816191995792307</v>
      </c>
      <c r="AD5" s="69">
        <f>('Income Statement'!Z23+'Income Statement'!Z11)/'Income Statement'!Z3</f>
        <v>0.17431559683315717</v>
      </c>
      <c r="AE5" s="75">
        <f>('Income Statement'!AA23+'Income Statement'!AA11)/'Income Statement'!AA3</f>
        <v>0.17798737303685502</v>
      </c>
      <c r="AG5" s="275"/>
      <c r="AH5" s="65" t="s">
        <v>359</v>
      </c>
      <c r="AI5" s="69">
        <f>('Income Statement'!AD13+'Income Statement'!AD9)/'Income Statement'!AD3</f>
        <v>0.19170665342966922</v>
      </c>
      <c r="AJ5" s="69">
        <f>('Income Statement'!AE13+'Income Statement'!AE9)/'Income Statement'!AE3</f>
        <v>0.21560574948665306</v>
      </c>
      <c r="AK5" s="69">
        <f>('Income Statement'!AF13+'Income Statement'!AF9)/'Income Statement'!AF3</f>
        <v>0.20749022356532501</v>
      </c>
      <c r="AL5" s="69">
        <f>('Income Statement'!AG13+'Income Statement'!AG9)/'Income Statement'!AG3</f>
        <v>0.1790645812614893</v>
      </c>
      <c r="AM5" s="69">
        <f>('Income Statement'!AH13+'Income Statement'!AH9)/'Income Statement'!AH3</f>
        <v>0.1765464425486386</v>
      </c>
    </row>
    <row r="6" spans="1:39" x14ac:dyDescent="0.3">
      <c r="A6" s="269"/>
      <c r="B6" s="109" t="s">
        <v>360</v>
      </c>
      <c r="C6" s="83">
        <f>'Income Statement'!B21/'Income Statement'!B3</f>
        <v>0.20673594607165385</v>
      </c>
      <c r="D6" s="69">
        <f>'Income Statement'!C21/'Income Statement'!C3</f>
        <v>0.19833472410873632</v>
      </c>
      <c r="E6" s="69">
        <f>'Income Statement'!D21/'Income Statement'!D3</f>
        <v>0.20051211448001086</v>
      </c>
      <c r="F6" s="69">
        <f>'Income Statement'!E21/'Income Statement'!E3</f>
        <v>0.18763139919630265</v>
      </c>
      <c r="G6" s="75">
        <f>'Income Statement'!F21/'Income Statement'!F3</f>
        <v>0.19136712150207769</v>
      </c>
      <c r="I6" s="272"/>
      <c r="J6" s="119" t="s">
        <v>360</v>
      </c>
      <c r="K6" s="83">
        <f>'Income Statement'!I22/'Income Statement'!I3</f>
        <v>0.18326706391602693</v>
      </c>
      <c r="L6" s="69">
        <f>'Income Statement'!J22/'Income Statement'!J3</f>
        <v>0.19331754120550998</v>
      </c>
      <c r="M6" s="69">
        <f>'Income Statement'!K22/'Income Statement'!K3</f>
        <v>0.1820603250548746</v>
      </c>
      <c r="N6" s="69">
        <f>'Income Statement'!L22/'Income Statement'!L3</f>
        <v>0.16426035825492105</v>
      </c>
      <c r="O6" s="75">
        <f>'Income Statement'!M22/'Income Statement'!M3</f>
        <v>0.16412049819007302</v>
      </c>
      <c r="Q6" s="272"/>
      <c r="R6" s="119" t="s">
        <v>360</v>
      </c>
      <c r="S6" s="83">
        <f>'Income Statement'!P20/'Income Statement'!P3</f>
        <v>0.15644631841077594</v>
      </c>
      <c r="T6" s="69">
        <f>'Income Statement'!Q20/'Income Statement'!Q3</f>
        <v>0.14817124132716009</v>
      </c>
      <c r="U6" s="69">
        <f>'Income Statement'!R20/'Income Statement'!R3</f>
        <v>0.1578849050215409</v>
      </c>
      <c r="V6" s="69">
        <f>'Income Statement'!S20/'Income Statement'!S3</f>
        <v>0.14631958681595963</v>
      </c>
      <c r="W6" s="75">
        <f>'Income Statement'!T20/'Income Statement'!T3</f>
        <v>0.1429312274253273</v>
      </c>
      <c r="Y6" s="278"/>
      <c r="Z6" s="65" t="s">
        <v>360</v>
      </c>
      <c r="AA6" s="69">
        <f>'Income Statement'!W28/'Income Statement'!W3</f>
        <v>0.16013253975537173</v>
      </c>
      <c r="AB6" s="69">
        <f>'Income Statement'!X28/'Income Statement'!X3</f>
        <v>0.17545162488093885</v>
      </c>
      <c r="AC6" s="69">
        <f>'Income Statement'!Y28/'Income Statement'!Y3</f>
        <v>0.15479673398791799</v>
      </c>
      <c r="AD6" s="69">
        <f>'Income Statement'!Z28/'Income Statement'!Z3</f>
        <v>0.12561389626865993</v>
      </c>
      <c r="AE6" s="75">
        <f>'Income Statement'!AA28/'Income Statement'!AA3</f>
        <v>0.12379749176417656</v>
      </c>
      <c r="AG6" s="275"/>
      <c r="AH6" s="65" t="s">
        <v>360</v>
      </c>
      <c r="AI6" s="69">
        <f>'Income Statement'!AD18/'Income Statement'!AD3</f>
        <v>0.13976982332285401</v>
      </c>
      <c r="AJ6" s="69">
        <f>'Income Statement'!AE18/'Income Statement'!AE3</f>
        <v>0.15668806286277878</v>
      </c>
      <c r="AK6" s="69">
        <f>'Income Statement'!AF18/'Income Statement'!AF3</f>
        <v>0.15129056597992246</v>
      </c>
      <c r="AL6" s="69">
        <f>'Income Statement'!AG18/'Income Statement'!AG3</f>
        <v>0.13290841696049183</v>
      </c>
      <c r="AM6" s="69">
        <f>'Income Statement'!AH18/'Income Statement'!AH3</f>
        <v>0.12908184812906487</v>
      </c>
    </row>
    <row r="7" spans="1:39" x14ac:dyDescent="0.3">
      <c r="A7" s="269"/>
      <c r="B7" s="109" t="s">
        <v>361</v>
      </c>
      <c r="C7" s="83">
        <f>'Income Statement'!B21/'Balance Sheet'!B33</f>
        <v>0.26838104533536256</v>
      </c>
      <c r="D7" s="69">
        <f>'Income Statement'!C21/(AVERAGE('Balance Sheet'!B33:C33))</f>
        <v>0.25877977254845863</v>
      </c>
      <c r="E7" s="69">
        <f>'Income Statement'!D21/(AVERAGE('Balance Sheet'!C33:D33))</f>
        <v>0.28242976718220314</v>
      </c>
      <c r="F7" s="69">
        <f>'Income Statement'!E21/(AVERAGE('Balance Sheet'!D33:E33))</f>
        <v>0.29669138919572879</v>
      </c>
      <c r="G7" s="75">
        <f>'Income Statement'!F21/(AVERAGE('Balance Sheet'!E33:F33))</f>
        <v>0.31781454670803172</v>
      </c>
      <c r="I7" s="272"/>
      <c r="J7" s="119" t="s">
        <v>361</v>
      </c>
      <c r="K7" s="83">
        <f>'Income Statement'!I22/'Balance Sheet'!I28</f>
        <v>0.1793614177302518</v>
      </c>
      <c r="L7" s="69">
        <f>'Income Statement'!J22/(AVERAGE('Balance Sheet'!I28:J28))</f>
        <v>0.19311572228243037</v>
      </c>
      <c r="M7" s="69">
        <f>'Income Statement'!K22/(AVERAGE('Balance Sheet'!J28:K28))</f>
        <v>0.19574757702047546</v>
      </c>
      <c r="N7" s="69">
        <f>'Income Statement'!L22/(AVERAGE('Balance Sheet'!K28:L28))</f>
        <v>0.19784900349198403</v>
      </c>
      <c r="O7" s="75">
        <f>'Income Statement'!M22/(AVERAGE('Balance Sheet'!L28:M28))</f>
        <v>0.20293593293631226</v>
      </c>
      <c r="Q7" s="272"/>
      <c r="R7" s="119" t="s">
        <v>361</v>
      </c>
      <c r="S7" s="83">
        <f>'Income Statement'!P20/'Balance Sheet'!P28</f>
        <v>0.13336791064579162</v>
      </c>
      <c r="T7" s="69">
        <f>'Income Statement'!Q20/(AVERAGE('Balance Sheet'!P28:Q28))</f>
        <v>0.13209934949733884</v>
      </c>
      <c r="U7" s="69">
        <f>'Income Statement'!R20/(AVERAGE('Balance Sheet'!Q28:R28))</f>
        <v>0.15434835955646103</v>
      </c>
      <c r="V7" s="69">
        <f>'Income Statement'!S20/(AVERAGE('Balance Sheet'!R28:S28))</f>
        <v>0.16273486658919997</v>
      </c>
      <c r="W7" s="75">
        <f>'Income Statement'!T20/(AVERAGE('Balance Sheet'!S28:T28))</f>
        <v>0.16288063368964553</v>
      </c>
      <c r="Y7" s="278"/>
      <c r="Z7" s="65" t="s">
        <v>361</v>
      </c>
      <c r="AA7" s="69">
        <f>'Income Statement'!W28/(AVERAGE('Balance Sheet'!W34))</f>
        <v>0.12022554439097968</v>
      </c>
      <c r="AB7" s="69">
        <f>'Income Statement'!X28/(AVERAGE('Balance Sheet'!W34:X34))</f>
        <v>0.13252761550895023</v>
      </c>
      <c r="AC7" s="69">
        <f>'Income Statement'!Y28/(AVERAGE('Balance Sheet'!X34:Y34))</f>
        <v>0.1287169308275545</v>
      </c>
      <c r="AD7" s="69">
        <f>'Income Statement'!Z28/(AVERAGE('Balance Sheet'!Y34:Z34))</f>
        <v>0.10119787695018358</v>
      </c>
      <c r="AE7" s="75">
        <f>'Income Statement'!AA28/(AVERAGE('Balance Sheet'!Z34:AA34))</f>
        <v>9.582523262978497E-2</v>
      </c>
      <c r="AG7" s="275"/>
      <c r="AH7" s="65" t="s">
        <v>361</v>
      </c>
      <c r="AI7" s="69">
        <f>'Income Statement'!AD18/'Balance Sheet'!AD32</f>
        <v>0.17229656993280376</v>
      </c>
      <c r="AJ7" s="69">
        <f>'Income Statement'!AE18/(AVERAGE('Balance Sheet'!AD32:AE32))</f>
        <v>0.19844373912153176</v>
      </c>
      <c r="AK7" s="69">
        <f>'Income Statement'!AF18/(AVERAGE('Balance Sheet'!AE32:AF32))</f>
        <v>0.25246472684275295</v>
      </c>
      <c r="AL7" s="69">
        <f>'Income Statement'!AG18/(AVERAGE('Balance Sheet'!AF32:AG32))</f>
        <v>0.2001111653073494</v>
      </c>
      <c r="AM7" s="69">
        <f>'Income Statement'!AH18/(AVERAGE('Balance Sheet'!AG32:AH32))</f>
        <v>0.17958013360987549</v>
      </c>
    </row>
    <row r="8" spans="1:39" x14ac:dyDescent="0.3">
      <c r="A8" s="269"/>
      <c r="B8" s="109" t="s">
        <v>362</v>
      </c>
      <c r="C8" s="83">
        <f>'Income Statement'!B21/'Balance Sheet'!B40</f>
        <v>0.3828599747489646</v>
      </c>
      <c r="D8" s="69">
        <f>'Income Statement'!C21/(AVERAGE('Balance Sheet'!B40:C40))</f>
        <v>0.37894295838982411</v>
      </c>
      <c r="E8" s="69">
        <f>'Income Statement'!D21/(AVERAGE('Balance Sheet'!C40:D40))</f>
        <v>0.4345649151756954</v>
      </c>
      <c r="F8" s="69">
        <f>'Income Statement'!E21/(AVERAGE('Balance Sheet'!D40:E40))</f>
        <v>0.46730221151934254</v>
      </c>
      <c r="G8" s="75">
        <f>'Income Statement'!F21/(AVERAGE('Balance Sheet'!E40:F40))</f>
        <v>0.50512532529790444</v>
      </c>
      <c r="I8" s="272"/>
      <c r="J8" s="119" t="s">
        <v>362</v>
      </c>
      <c r="K8" s="83">
        <f>'Income Statement'!I22/'Balance Sheet'!I35</f>
        <v>0.25270335945568312</v>
      </c>
      <c r="L8" s="69">
        <f>'Income Statement'!J22/(AVERAGE('Balance Sheet'!I35:J35))</f>
        <v>0.27236268282080406</v>
      </c>
      <c r="M8" s="69">
        <f>'Income Statement'!K22/(AVERAGE('Balance Sheet'!J35:K35))</f>
        <v>0.29040506694291823</v>
      </c>
      <c r="N8" s="69">
        <f>'Income Statement'!L22/(AVERAGE('Balance Sheet'!K35:L35))</f>
        <v>0.31819231708363305</v>
      </c>
      <c r="O8" s="75">
        <f>'Income Statement'!M22/(AVERAGE('Balance Sheet'!L35:M35))</f>
        <v>0.32571108513539843</v>
      </c>
      <c r="Q8" s="272"/>
      <c r="R8" s="119" t="s">
        <v>362</v>
      </c>
      <c r="S8" s="83">
        <f>'Income Statement'!P20/'Balance Sheet'!P34</f>
        <v>0.21502887925166761</v>
      </c>
      <c r="T8" s="69">
        <f>'Income Statement'!Q20/(AVERAGE('Balance Sheet'!P34:Q34))</f>
        <v>0.20033541698429638</v>
      </c>
      <c r="U8" s="69">
        <f>'Income Statement'!R20/(AVERAGE('Balance Sheet'!Q34:R34))</f>
        <v>0.22152873337264925</v>
      </c>
      <c r="V8" s="69">
        <f>'Income Statement'!S20/(AVERAGE('Balance Sheet'!R34:S34))</f>
        <v>0.2330382091614078</v>
      </c>
      <c r="W8" s="75">
        <f>'Income Statement'!T20/(AVERAGE('Balance Sheet'!S34:T34))</f>
        <v>0.23505824087858815</v>
      </c>
      <c r="Y8" s="278"/>
      <c r="Z8" s="65" t="s">
        <v>362</v>
      </c>
      <c r="AA8" s="69">
        <f>'Income Statement'!W28/'Balance Sheet'!W41</f>
        <v>0.176039287181224</v>
      </c>
      <c r="AB8" s="69">
        <f>'Income Statement'!X28/(AVERAGE('Balance Sheet'!W41:X41))</f>
        <v>0.19659913169319818</v>
      </c>
      <c r="AC8" s="69">
        <f>'Income Statement'!Y28/(AVERAGE('Balance Sheet'!X41:Y41))</f>
        <v>0.20320102103392951</v>
      </c>
      <c r="AD8" s="69">
        <f>'Income Statement'!Z28/(AVERAGE('Balance Sheet'!Y41:Z41))</f>
        <v>0.15877073332900307</v>
      </c>
      <c r="AE8" s="75">
        <f>'Income Statement'!AA28/(AVERAGE('Balance Sheet'!Z41:AA41))</f>
        <v>0.14583401686945294</v>
      </c>
      <c r="AG8" s="275"/>
      <c r="AH8" s="65" t="s">
        <v>362</v>
      </c>
      <c r="AI8" s="69">
        <f>'Income Statement'!AD18/'Balance Sheet'!AD40</f>
        <v>0.28130839392425661</v>
      </c>
      <c r="AJ8" s="69">
        <f>'Income Statement'!AE18/(AVERAGE('Balance Sheet'!AD40:AE40))</f>
        <v>0.30493541637167454</v>
      </c>
      <c r="AK8" s="69">
        <f>'Income Statement'!AF18/(AVERAGE('Balance Sheet'!AE40:AF40))</f>
        <v>0.36574074074074092</v>
      </c>
      <c r="AL8" s="69">
        <f>'Income Statement'!AG18/(AVERAGE('Balance Sheet'!AF40:AG40))</f>
        <v>0.28552931008251303</v>
      </c>
      <c r="AM8" s="69">
        <f>'Income Statement'!AH18/(AVERAGE('Balance Sheet'!AG40:AH40))</f>
        <v>0.25034948232929954</v>
      </c>
    </row>
    <row r="9" spans="1:39" x14ac:dyDescent="0.3">
      <c r="A9" s="269"/>
      <c r="B9" s="109" t="s">
        <v>363</v>
      </c>
      <c r="C9" s="83">
        <f>('Income Statement'!B13+'Income Statement'!B9)/('Balance Sheet'!B33-'Balance Sheet'!B60)</f>
        <v>0.46006457869329381</v>
      </c>
      <c r="D9" s="69">
        <f>('Income Statement'!C13+'Income Statement'!C9)/('Balance Sheet'!C33-'Balance Sheet'!C60)</f>
        <v>0.47218541675292947</v>
      </c>
      <c r="E9" s="69">
        <f>('Income Statement'!D13+'Income Statement'!D9)/('Balance Sheet'!D33-'Balance Sheet'!D60)</f>
        <v>0.52913889253048008</v>
      </c>
      <c r="F9" s="69">
        <f>('Income Statement'!E13+'Income Statement'!E9)/('Balance Sheet'!E33-'Balance Sheet'!E60)</f>
        <v>0.57632401866264371</v>
      </c>
      <c r="G9" s="75">
        <f>('Income Statement'!F13+'Income Statement'!F9)/('Balance Sheet'!F33-'Balance Sheet'!F60)</f>
        <v>0.63513877123922469</v>
      </c>
      <c r="I9" s="272"/>
      <c r="J9" s="119" t="s">
        <v>363</v>
      </c>
      <c r="K9" s="83">
        <f>('Income Statement'!I17+'Income Statement'!I14)/('Balance Sheet'!I28-'Balance Sheet'!I52)</f>
        <v>0.30839081099121146</v>
      </c>
      <c r="L9" s="69">
        <f>('Income Statement'!J17+'Income Statement'!J14)/('Balance Sheet'!J28-'Balance Sheet'!J52)</f>
        <v>0.31735308384898425</v>
      </c>
      <c r="M9" s="69">
        <f>('Income Statement'!K17+'Income Statement'!K14)/('Balance Sheet'!K28-'Balance Sheet'!K52)</f>
        <v>0.35962601741771671</v>
      </c>
      <c r="N9" s="69">
        <f>('Income Statement'!L17+'Income Statement'!L14)/('Balance Sheet'!L28-'Balance Sheet'!L52)</f>
        <v>0.3879256608565162</v>
      </c>
      <c r="O9" s="75">
        <f>('Income Statement'!M17+'Income Statement'!M14)/('Balance Sheet'!M28-'Balance Sheet'!M52)</f>
        <v>0.38400323167036965</v>
      </c>
      <c r="Q9" s="272"/>
      <c r="R9" s="119" t="s">
        <v>363</v>
      </c>
      <c r="S9" s="83">
        <f>('Income Statement'!P15+'Income Statement'!P10)/('Balance Sheet'!P28-'Balance Sheet'!P54)</f>
        <v>0.24477828849533595</v>
      </c>
      <c r="T9" s="69">
        <f>('Income Statement'!Q15+'Income Statement'!Q10)/('Balance Sheet'!Q28-'Balance Sheet'!Q54)</f>
        <v>0.23781081513130167</v>
      </c>
      <c r="U9" s="69">
        <f>('Income Statement'!R15+'Income Statement'!R10)/('Balance Sheet'!R28-'Balance Sheet'!R54)</f>
        <v>0.41939707933616099</v>
      </c>
      <c r="V9" s="69">
        <f>('Income Statement'!S15+'Income Statement'!S10)/('Balance Sheet'!S28-'Balance Sheet'!S54)</f>
        <v>0.47843845512642402</v>
      </c>
      <c r="W9" s="75">
        <f>('Income Statement'!T15+'Income Statement'!T10)/('Balance Sheet'!T28-'Balance Sheet'!T54)</f>
        <v>0.46303654008988471</v>
      </c>
      <c r="Y9" s="278"/>
      <c r="Z9" s="65" t="s">
        <v>363</v>
      </c>
      <c r="AA9" s="69">
        <f>('Income Statement'!W23+'Income Statement'!W11)/('Balance Sheet'!W34-'Balance Sheet'!W65)</f>
        <v>0.21771943473799282</v>
      </c>
      <c r="AB9" s="69">
        <f>('Income Statement'!X23+'Income Statement'!X11)/('Balance Sheet'!X34-'Balance Sheet'!X65)</f>
        <v>0.24128803479763319</v>
      </c>
      <c r="AC9" s="69">
        <f>('Income Statement'!Y23+'Income Statement'!Y11)/('Balance Sheet'!Y34-'Balance Sheet'!Y65)</f>
        <v>0.2044187942221786</v>
      </c>
      <c r="AD9" s="69">
        <f>('Income Statement'!Z23+'Income Statement'!Z11)/('Balance Sheet'!Z34-'Balance Sheet'!Z65)</f>
        <v>0.17456484399900835</v>
      </c>
      <c r="AE9" s="75">
        <f>('Income Statement'!AA23+'Income Statement'!AA11)/('Balance Sheet'!AA34-'Balance Sheet'!AA65)</f>
        <v>0.17841572039917467</v>
      </c>
      <c r="AG9" s="275"/>
      <c r="AH9" s="65" t="s">
        <v>363</v>
      </c>
      <c r="AI9" s="69">
        <f>('Income Statement'!AD13+'Income Statement'!AD9)/('Balance Sheet'!AD32-'Balance Sheet'!AD61)</f>
        <v>0.32115742950860066</v>
      </c>
      <c r="AJ9" s="69">
        <f>('Income Statement'!AE13+'Income Statement'!AE9)/('Balance Sheet'!AE32-'Balance Sheet'!AE61)</f>
        <v>0.33020503169572119</v>
      </c>
      <c r="AK9" s="69">
        <f>('Income Statement'!AF13+'Income Statement'!AF9)/('Balance Sheet'!AF32-'Balance Sheet'!AF61)</f>
        <v>0.34972659957004798</v>
      </c>
      <c r="AL9" s="69">
        <f>('Income Statement'!AG13+'Income Statement'!AG9)/('Balance Sheet'!AG32-'Balance Sheet'!AG61)</f>
        <v>0.32985816193410494</v>
      </c>
      <c r="AM9" s="69">
        <f>('Income Statement'!AH13+'Income Statement'!AH9)/('Balance Sheet'!AH32-'Balance Sheet'!AH61)</f>
        <v>0.28737201990852335</v>
      </c>
    </row>
    <row r="10" spans="1:39" ht="15" thickBot="1" x14ac:dyDescent="0.35">
      <c r="A10" s="270"/>
      <c r="B10" s="110" t="s">
        <v>364</v>
      </c>
      <c r="C10" s="84">
        <f>'Income Statement'!B21/'Company Profile'!$B$11</f>
        <v>89.679666123103289</v>
      </c>
      <c r="D10" s="76">
        <f>'Income Statement'!C21/'Company Profile'!$B$11</f>
        <v>89.99751250656422</v>
      </c>
      <c r="E10" s="76">
        <f>'Income Statement'!D21/'Company Profile'!$B$11</f>
        <v>106.26848345816865</v>
      </c>
      <c r="F10" s="76">
        <f>'Income Statement'!E21/'Company Profile'!$B$11</f>
        <v>116.92048312650286</v>
      </c>
      <c r="G10" s="77">
        <f>'Income Statement'!F21/'Company Profile'!$B$11</f>
        <v>127.41217766230895</v>
      </c>
      <c r="I10" s="273"/>
      <c r="J10" s="120" t="s">
        <v>364</v>
      </c>
      <c r="K10" s="84">
        <f>'Income Statement'!I22/'Company Profile'!$B$11</f>
        <v>45.988225864403965</v>
      </c>
      <c r="L10" s="76">
        <f>'Income Statement'!J22/'Company Profile'!$B$11</f>
        <v>53.682872225753847</v>
      </c>
      <c r="M10" s="76">
        <f>'Income Statement'!K22/'Company Profile'!$B$11</f>
        <v>61.208921809789665</v>
      </c>
      <c r="N10" s="76">
        <f>'Income Statement'!L22/'Company Profile'!$B$11</f>
        <v>66.631657499792709</v>
      </c>
      <c r="O10" s="77">
        <f>'Income Statement'!M22/'Company Profile'!$B$11</f>
        <v>73.933832674608226</v>
      </c>
      <c r="Q10" s="273"/>
      <c r="R10" s="120" t="s">
        <v>364</v>
      </c>
      <c r="S10" s="84">
        <f>'Income Statement'!P20/'Company Profile'!$D$11</f>
        <v>40.817305917531101</v>
      </c>
      <c r="T10" s="76">
        <f>'Income Statement'!Q20/'Company Profile'!$D$11</f>
        <v>41.23075787219905</v>
      </c>
      <c r="U10" s="76">
        <f>'Income Statement'!R20/'Company Profile'!$D$11</f>
        <v>49.920631990844996</v>
      </c>
      <c r="V10" s="76">
        <f>'Income Statement'!S20/'Company Profile'!$D$11</f>
        <v>54.800841670050573</v>
      </c>
      <c r="W10" s="77">
        <f>'Income Statement'!T20/'Company Profile'!$D$11</f>
        <v>57.994019712798554</v>
      </c>
      <c r="Y10" s="279"/>
      <c r="Z10" s="117" t="s">
        <v>364</v>
      </c>
      <c r="AA10" s="76">
        <f>'Income Statement'!W28/'Company Profile'!$E$11</f>
        <v>9.3323668424877777</v>
      </c>
      <c r="AB10" s="76">
        <f>'Income Statement'!X28/'Company Profile'!$E$11</f>
        <v>10.379271254442081</v>
      </c>
      <c r="AC10" s="76">
        <f>'Income Statement'!Y28/'Company Profile'!$E$11</f>
        <v>11.692820176355921</v>
      </c>
      <c r="AD10" s="76">
        <f>'Income Statement'!Z28/'Company Profile'!$E$11</f>
        <v>10.855353948621264</v>
      </c>
      <c r="AE10" s="77">
        <f>'Income Statement'!AA28/'Company Profile'!$E$11</f>
        <v>10.612394194560737</v>
      </c>
      <c r="AG10" s="276"/>
      <c r="AH10" s="65" t="s">
        <v>364</v>
      </c>
      <c r="AI10" s="112">
        <f>'Income Statement'!AD18/'Company Profile'!$F$11</f>
        <v>51.311038369385471</v>
      </c>
      <c r="AJ10" s="112">
        <f>'Income Statement'!AE18/'Company Profile'!$F$11</f>
        <v>65.406809975365334</v>
      </c>
      <c r="AK10" s="112">
        <f>'Income Statement'!AF18/'Company Profile'!$F$11</f>
        <v>133.29733742786763</v>
      </c>
      <c r="AL10" s="112">
        <f>'Income Statement'!AG18/'Company Profile'!$F$11</f>
        <v>148.83069550838593</v>
      </c>
      <c r="AM10" s="112">
        <f>'Income Statement'!AH18/'Company Profile'!$F$11</f>
        <v>154.71265143589906</v>
      </c>
    </row>
    <row r="11" spans="1:39" x14ac:dyDescent="0.3">
      <c r="A11" s="268" t="s">
        <v>370</v>
      </c>
      <c r="B11" s="108" t="s">
        <v>365</v>
      </c>
      <c r="C11" s="86">
        <f>'Income Statement'!B3/'Balance Sheet'!B33</f>
        <v>1.298182780668161</v>
      </c>
      <c r="D11" s="87">
        <f>'Income Statement'!C3/(AVERAGE('Balance Sheet'!B33:C33))</f>
        <v>1.3047628130240247</v>
      </c>
      <c r="E11" s="87">
        <f>'Income Statement'!D3/(AVERAGE('Balance Sheet'!C33:D33))</f>
        <v>1.4085421617273839</v>
      </c>
      <c r="F11" s="87">
        <f>'Income Statement'!E3/(AVERAGE('Balance Sheet'!D33:E33))</f>
        <v>1.5812459453298968</v>
      </c>
      <c r="G11" s="88">
        <f>'Income Statement'!F3/(AVERAGE('Balance Sheet'!E33:F33))</f>
        <v>1.6607583591864874</v>
      </c>
      <c r="I11" s="271" t="s">
        <v>370</v>
      </c>
      <c r="J11" s="128" t="s">
        <v>365</v>
      </c>
      <c r="K11" s="86">
        <f>'Income Statement'!I3/'Balance Sheet'!I28</f>
        <v>0.97868877199034154</v>
      </c>
      <c r="L11" s="87">
        <f>'Income Statement'!J3/(AVERAGE('Balance Sheet'!I28:J28))</f>
        <v>0.99895602374300285</v>
      </c>
      <c r="M11" s="87">
        <f>'Income Statement'!K3/(AVERAGE('Balance Sheet'!J28:K28))</f>
        <v>1.0751797623204034</v>
      </c>
      <c r="N11" s="87">
        <f>'Income Statement'!L3/(AVERAGE('Balance Sheet'!K28:L28))</f>
        <v>1.204484183487142</v>
      </c>
      <c r="O11" s="88">
        <f>'Income Statement'!M3/(AVERAGE('Balance Sheet'!L28:M28))</f>
        <v>1.2365057087584872</v>
      </c>
      <c r="Q11" s="271" t="s">
        <v>370</v>
      </c>
      <c r="R11" s="128" t="s">
        <v>365</v>
      </c>
      <c r="S11" s="86">
        <f>'Income Statement'!P3/'Balance Sheet'!P28</f>
        <v>0.85248353557040502</v>
      </c>
      <c r="T11" s="87">
        <f>'Income Statement'!Q3/(AVERAGE('Balance Sheet'!P28:Q28))</f>
        <v>0.89153163808397395</v>
      </c>
      <c r="U11" s="87">
        <f>'Income Statement'!R3/(AVERAGE('Balance Sheet'!Q28:R28))</f>
        <v>0.97760048394368448</v>
      </c>
      <c r="V11" s="87">
        <f>'Income Statement'!S3/(AVERAGE('Balance Sheet'!R28:S28))</f>
        <v>1.1121878494222885</v>
      </c>
      <c r="W11" s="88">
        <f>'Income Statement'!T3/(AVERAGE('Balance Sheet'!S28:T28))</f>
        <v>1.139573462172502</v>
      </c>
      <c r="Y11" s="277" t="s">
        <v>370</v>
      </c>
      <c r="Z11" s="142" t="s">
        <v>365</v>
      </c>
      <c r="AA11" s="87">
        <f>'Income Statement'!W3/'Balance Sheet'!W34</f>
        <v>0.7507877198141214</v>
      </c>
      <c r="AB11" s="87">
        <f>'Income Statement'!X3/(AVERAGE('Balance Sheet'!W34:X34))</f>
        <v>0.7553513146366313</v>
      </c>
      <c r="AC11" s="87">
        <f>'Income Statement'!Y3/(AVERAGE('Balance Sheet'!X34:Y34))</f>
        <v>0.83152226478887448</v>
      </c>
      <c r="AD11" s="87">
        <f>'Income Statement'!Z3/(AVERAGE('Balance Sheet'!Y34:Z34))</f>
        <v>0.80562644704327968</v>
      </c>
      <c r="AE11" s="88">
        <f>'Income Statement'!AA3/(AVERAGE('Balance Sheet'!Z34:AA34))</f>
        <v>0.77404825626292728</v>
      </c>
      <c r="AG11" s="274" t="s">
        <v>370</v>
      </c>
      <c r="AH11" s="65" t="s">
        <v>365</v>
      </c>
      <c r="AI11" s="112">
        <f>'Income Statement'!AD3/'Balance Sheet'!AD32</f>
        <v>1.232716518034199</v>
      </c>
      <c r="AJ11" s="112">
        <f>'Income Statement'!AE3/(AVERAGE('Balance Sheet'!AD32:AE32))</f>
        <v>1.2664891983208764</v>
      </c>
      <c r="AK11" s="112">
        <f>'Income Statement'!AF3/(AVERAGE('Balance Sheet'!AE32:AF32))</f>
        <v>1.6687407123340205</v>
      </c>
      <c r="AL11" s="112">
        <f>'Income Statement'!AG3/(AVERAGE('Balance Sheet'!AF32:AG32))</f>
        <v>1.5056319974590786</v>
      </c>
      <c r="AM11" s="112">
        <f>'Income Statement'!AH3/(AVERAGE('Balance Sheet'!AG32:AH32))</f>
        <v>1.3912113609523082</v>
      </c>
    </row>
    <row r="12" spans="1:39" x14ac:dyDescent="0.3">
      <c r="A12" s="269"/>
      <c r="B12" s="109" t="s">
        <v>366</v>
      </c>
      <c r="C12" s="89">
        <f>'Income Statement'!B3/'Company Profile'!$B$8</f>
        <v>2560342.5774877649</v>
      </c>
      <c r="D12" s="89">
        <f>'Income Statement'!C3/'Company Profile'!$B$8</f>
        <v>2678254.4861337682</v>
      </c>
      <c r="E12" s="89">
        <f>'Income Statement'!D3/'Company Profile'!$B$8</f>
        <v>3128123.9804241434</v>
      </c>
      <c r="F12" s="89">
        <f>'Income Statement'!E3/'Company Profile'!$B$8</f>
        <v>3677944.5350734093</v>
      </c>
      <c r="G12" s="93">
        <f>'Income Statement'!F3/'Company Profile'!$B$8</f>
        <v>3929738.9885807503</v>
      </c>
      <c r="I12" s="272"/>
      <c r="J12" s="119" t="s">
        <v>366</v>
      </c>
      <c r="K12" s="89">
        <f>'Income Statement'!I3/'Company Profile'!$C$8</f>
        <v>2805845.885690622</v>
      </c>
      <c r="L12" s="112">
        <f>'Income Statement'!J3/'Company Profile'!$C$8</f>
        <v>3105031.8624875611</v>
      </c>
      <c r="M12" s="112">
        <f>'Income Statement'!K3/'Company Profile'!$C$8</f>
        <v>3759248.1565495799</v>
      </c>
      <c r="N12" s="112">
        <f>'Income Statement'!L3/'Company Profile'!$C$8</f>
        <v>4535753.3577684518</v>
      </c>
      <c r="O12" s="114">
        <f>'Income Statement'!M3/'Company Profile'!$C$8</f>
        <v>5037116.2439968111</v>
      </c>
      <c r="Q12" s="272"/>
      <c r="R12" s="119" t="s">
        <v>366</v>
      </c>
      <c r="S12" s="89">
        <f>'Income Statement'!P3/'Company Profile'!$D$8</f>
        <v>3232809.2909647292</v>
      </c>
      <c r="T12" s="112">
        <f>'Income Statement'!Q3/'Company Profile'!$D$8</f>
        <v>3447930.4366918094</v>
      </c>
      <c r="U12" s="112">
        <f>'Income Statement'!R3/'Company Profile'!$D$8</f>
        <v>3917784.6592962253</v>
      </c>
      <c r="V12" s="112">
        <f>'Income Statement'!S3/'Company Profile'!$D$8</f>
        <v>4640725.2734183818</v>
      </c>
      <c r="W12" s="114">
        <f>'Income Statement'!T3/'Company Profile'!$D$8</f>
        <v>5027559.1091432208</v>
      </c>
      <c r="Y12" s="278"/>
      <c r="Z12" s="65" t="s">
        <v>366</v>
      </c>
      <c r="AA12" s="112">
        <f>'Income Statement'!W3/'Company Profile'!$E$8</f>
        <v>2653182.6086956519</v>
      </c>
      <c r="AB12" s="112">
        <f>'Income Statement'!X3/'Company Profile'!$E$8</f>
        <v>2693173.9130434785</v>
      </c>
      <c r="AC12" s="112">
        <f>'Income Statement'!Y3/'Company Profile'!$E$8</f>
        <v>3438843.4782608692</v>
      </c>
      <c r="AD12" s="112">
        <f>'Income Statement'!Z3/'Company Profile'!$E$8</f>
        <v>3934243.4782608701</v>
      </c>
      <c r="AE12" s="114">
        <f>'Income Statement'!AA3/'Company Profile'!$E$8</f>
        <v>3902621.739130435</v>
      </c>
      <c r="AG12" s="275"/>
      <c r="AH12" s="65" t="s">
        <v>366</v>
      </c>
      <c r="AI12" s="112">
        <f>'Income Statement'!AD3/'Company Profile'!$F$8</f>
        <v>1296785.0373708114</v>
      </c>
      <c r="AJ12" s="112">
        <f>'Income Statement'!AE3/'Company Profile'!$F$8</f>
        <v>1474543.742326169</v>
      </c>
      <c r="AK12" s="112">
        <f>'Income Statement'!AF3/'Company Profile'!$F$8</f>
        <v>3112291.2419983554</v>
      </c>
      <c r="AL12" s="112">
        <f>'Income Statement'!AG3/'Company Profile'!$F$8</f>
        <v>3955584.1647891859</v>
      </c>
      <c r="AM12" s="112">
        <f>'Income Statement'!AH3/'Company Profile'!$F$8</f>
        <v>4233808.9618424345</v>
      </c>
    </row>
    <row r="13" spans="1:39" x14ac:dyDescent="0.3">
      <c r="A13" s="269"/>
      <c r="B13" s="109" t="s">
        <v>368</v>
      </c>
      <c r="C13" s="89">
        <f>'Income Statement'!B21/'Company Profile'!$B$8</f>
        <v>529314.84502446977</v>
      </c>
      <c r="D13" s="89">
        <f>'Income Statement'!C21/'Company Profile'!$B$8</f>
        <v>531190.86460032628</v>
      </c>
      <c r="E13" s="89">
        <f>'Income Statement'!D21/'Company Profile'!$B$8</f>
        <v>627226.75367047312</v>
      </c>
      <c r="F13" s="89">
        <f>'Income Statement'!E21/'Company Profile'!$B$8</f>
        <v>690097.87928221864</v>
      </c>
      <c r="G13" s="93">
        <f>'Income Statement'!F21/'Company Profile'!$B$8</f>
        <v>752022.83849918435</v>
      </c>
      <c r="I13" s="272"/>
      <c r="J13" s="119" t="s">
        <v>368</v>
      </c>
      <c r="K13" s="89">
        <f>'Income Statement'!I22/'Company Profile'!$C$8</f>
        <v>514219.13727138436</v>
      </c>
      <c r="L13" s="112">
        <f>'Income Statement'!J22/'Company Profile'!$C$8</f>
        <v>600257.12502086058</v>
      </c>
      <c r="M13" s="112">
        <f>'Income Statement'!K22/'Company Profile'!$C$8</f>
        <v>684409.94134335464</v>
      </c>
      <c r="N13" s="112">
        <f>'Income Statement'!L22/'Company Profile'!$C$8</f>
        <v>745044.47150300699</v>
      </c>
      <c r="O13" s="114">
        <f>'Income Statement'!M22/'Company Profile'!$C$8</f>
        <v>826694.02740606596</v>
      </c>
      <c r="Q13" s="272"/>
      <c r="R13" s="119" t="s">
        <v>368</v>
      </c>
      <c r="S13" s="89">
        <f>'Income Statement'!P20/'Company Profile'!$D$8</f>
        <v>505761.1116955828</v>
      </c>
      <c r="T13" s="112">
        <f>'Income Statement'!Q20/'Company Profile'!$D$8</f>
        <v>510884.13281432254</v>
      </c>
      <c r="U13" s="112">
        <f>'Income Statement'!R20/'Company Profile'!$D$8</f>
        <v>618559.05882783455</v>
      </c>
      <c r="V13" s="112">
        <f>'Income Statement'!S20/'Company Profile'!$D$8</f>
        <v>679029.00453295885</v>
      </c>
      <c r="W13" s="114">
        <f>'Income Statement'!T20/'Company Profile'!$D$8</f>
        <v>718595.19442322559</v>
      </c>
      <c r="Y13" s="278"/>
      <c r="Z13" s="65" t="s">
        <v>368</v>
      </c>
      <c r="AA13" s="112">
        <f>'Income Statement'!W28/'Company Profile'!$E$8</f>
        <v>424860.86956521735</v>
      </c>
      <c r="AB13" s="112">
        <f>'Income Statement'!X28/'Company Profile'!$E$8</f>
        <v>472521.73913043458</v>
      </c>
      <c r="AC13" s="112">
        <f>'Income Statement'!Y28/'Company Profile'!$E$8</f>
        <v>532321.73913043446</v>
      </c>
      <c r="AD13" s="112">
        <f>'Income Statement'!Z28/'Company Profile'!$E$8</f>
        <v>494195.65217391273</v>
      </c>
      <c r="AE13" s="114">
        <f>'Income Statement'!AA28/'Company Profile'!$E$8</f>
        <v>483134.78260869649</v>
      </c>
      <c r="AG13" s="275"/>
      <c r="AH13" s="65" t="s">
        <v>368</v>
      </c>
      <c r="AI13" s="112">
        <f>'Income Statement'!AD18/'Company Profile'!$F$8</f>
        <v>181251.41556103894</v>
      </c>
      <c r="AJ13" s="112">
        <f>'Income Statement'!AE18/'Company Profile'!$F$8</f>
        <v>231043.40259151984</v>
      </c>
      <c r="AK13" s="112">
        <f>'Income Statement'!AF18/'Company Profile'!$F$8</f>
        <v>470860.30349628703</v>
      </c>
      <c r="AL13" s="112">
        <f>'Income Statement'!AG18/'Company Profile'!$F$8</f>
        <v>525730.42949611996</v>
      </c>
      <c r="AM13" s="112">
        <f>'Income Statement'!AH18/'Company Profile'!$F$8</f>
        <v>546507.88542001892</v>
      </c>
    </row>
    <row r="14" spans="1:39" ht="15" thickBot="1" x14ac:dyDescent="0.35">
      <c r="A14" s="270"/>
      <c r="B14" s="110" t="s">
        <v>369</v>
      </c>
      <c r="C14" s="92">
        <f>'Cash flow statement'!B29/'Income Statement'!B3</f>
        <v>0.20623896934673047</v>
      </c>
      <c r="D14" s="92">
        <f>'Cash flow statement'!C29/'Income Statement'!C3</f>
        <v>0.23634248402638616</v>
      </c>
      <c r="E14" s="92">
        <f>'Cash flow statement'!D29/'Income Statement'!D3</f>
        <v>0.20833463708710118</v>
      </c>
      <c r="F14" s="92">
        <f>'Cash flow statement'!E29/'Income Statement'!E3</f>
        <v>0.18613222861907761</v>
      </c>
      <c r="G14" s="94">
        <f>'Cash flow statement'!F29/'Income Statement'!F3</f>
        <v>0.18405682190848219</v>
      </c>
      <c r="I14" s="273"/>
      <c r="J14" s="120" t="s">
        <v>369</v>
      </c>
      <c r="K14" s="92">
        <f>'Cash flow statement'!I20/'Income Statement'!I3</f>
        <v>0.18727627187716844</v>
      </c>
      <c r="L14" s="132">
        <f>'Cash flow statement'!J20/'Income Statement'!J3</f>
        <v>0.23114897682936539</v>
      </c>
      <c r="M14" s="132">
        <f>'Cash flow statement'!K20/'Income Statement'!K3</f>
        <v>0.1963564916434426</v>
      </c>
      <c r="N14" s="132">
        <f>'Cash flow statement'!L20/'Income Statement'!L3</f>
        <v>0.15307937070322347</v>
      </c>
      <c r="O14" s="133">
        <f>'Cash flow statement'!M20/'Income Statement'!M3</f>
        <v>0.1546720657709062</v>
      </c>
      <c r="Q14" s="273"/>
      <c r="R14" s="120" t="s">
        <v>369</v>
      </c>
      <c r="S14" s="136">
        <f>'Cash flow statement'!P21/'Income Statement'!P3</f>
        <v>0.18901748825626805</v>
      </c>
      <c r="T14" s="137">
        <f>'Cash flow statement'!Q21/'Income Statement'!Q3</f>
        <v>0.26025816208758407</v>
      </c>
      <c r="U14" s="137">
        <f>'Cash flow statement'!R21/'Income Statement'!R3</f>
        <v>0.19731234895097546</v>
      </c>
      <c r="V14" s="137">
        <f>'Cash flow statement'!S21/'Income Statement'!S3</f>
        <v>0.17750551963412711</v>
      </c>
      <c r="W14" s="138">
        <f>'Cash flow statement'!T21/'Income Statement'!T3</f>
        <v>0.20423425800405776</v>
      </c>
      <c r="Y14" s="279"/>
      <c r="Z14" s="117" t="s">
        <v>369</v>
      </c>
      <c r="AA14" s="132">
        <f>'Cash flow statement'!W22/'Income Statement'!W3</f>
        <v>0.16492579871262078</v>
      </c>
      <c r="AB14" s="132">
        <f>'Cash flow statement'!X22/'Income Statement'!X3</f>
        <v>0.2382028639232843</v>
      </c>
      <c r="AC14" s="132">
        <f>'Cash flow statement'!Y22/'Income Statement'!Y3</f>
        <v>0.14008374908652307</v>
      </c>
      <c r="AD14" s="132">
        <f>'Cash flow statement'!Z22/'Income Statement'!Z3</f>
        <v>0.14438994956214996</v>
      </c>
      <c r="AE14" s="133">
        <f>'Cash flow statement'!AA22/'Income Statement'!AA3</f>
        <v>0.20121144871396376</v>
      </c>
      <c r="AG14" s="276"/>
      <c r="AH14" s="65" t="s">
        <v>369</v>
      </c>
      <c r="AI14" s="69">
        <f>'Cash flow statement'!AD25/'Income Statement'!AD3</f>
        <v>0.15107642527531115</v>
      </c>
      <c r="AJ14" s="69">
        <f>'Cash flow statement'!AE25/'Income Statement'!AE3</f>
        <v>0.19398858510242692</v>
      </c>
      <c r="AK14" s="69">
        <f>'Cash flow statement'!AF25/'Income Statement'!AF3</f>
        <v>0.1245063905901098</v>
      </c>
      <c r="AL14" s="69">
        <f>'Cash flow statement'!AG25/'Income Statement'!AG3</f>
        <v>9.3258596269173932E-2</v>
      </c>
      <c r="AM14" s="69">
        <f>'Cash flow statement'!AH25/'Income Statement'!AH3</f>
        <v>0.15962778387814286</v>
      </c>
    </row>
    <row r="15" spans="1:39" x14ac:dyDescent="0.3">
      <c r="A15" s="268" t="s">
        <v>371</v>
      </c>
      <c r="B15" s="108" t="s">
        <v>372</v>
      </c>
      <c r="C15" s="95">
        <f>'Balance Sheet'!B32/'Balance Sheet'!B60</f>
        <v>3.3347006651884699</v>
      </c>
      <c r="D15" s="86">
        <f>'Balance Sheet'!C32/'Balance Sheet'!C60</f>
        <v>2.9067486458790808</v>
      </c>
      <c r="E15" s="86">
        <f>'Balance Sheet'!D32/'Balance Sheet'!D60</f>
        <v>2.5574366602913745</v>
      </c>
      <c r="F15" s="86">
        <f>'Balance Sheet'!E32/'Balance Sheet'!E60</f>
        <v>2.5315671059277287</v>
      </c>
      <c r="G15" s="96">
        <f>'Balance Sheet'!F32/'Balance Sheet'!F60</f>
        <v>2.4506333506854068</v>
      </c>
      <c r="I15" s="271" t="s">
        <v>371</v>
      </c>
      <c r="J15" s="128" t="s">
        <v>372</v>
      </c>
      <c r="K15" s="86">
        <f>'Balance Sheet'!I27/'Balance Sheet'!I52</f>
        <v>2.6168009205983891</v>
      </c>
      <c r="L15" s="87">
        <f>'Balance Sheet'!J27/'Balance Sheet'!J52</f>
        <v>2.5448564843913681</v>
      </c>
      <c r="M15" s="87">
        <f>'Balance Sheet'!K27/'Balance Sheet'!K52</f>
        <v>1.9993750557985894</v>
      </c>
      <c r="N15" s="87">
        <f>'Balance Sheet'!L27/'Balance Sheet'!L52</f>
        <v>1.8088347879344664</v>
      </c>
      <c r="O15" s="88">
        <f>'Balance Sheet'!M27/'Balance Sheet'!M52</f>
        <v>2.3053049440635149</v>
      </c>
      <c r="Q15" s="271" t="s">
        <v>371</v>
      </c>
      <c r="R15" s="128" t="s">
        <v>372</v>
      </c>
      <c r="S15" s="86">
        <f>'Balance Sheet'!P27/'Balance Sheet'!P54</f>
        <v>1.6190476190476191</v>
      </c>
      <c r="T15" s="87">
        <f>'Balance Sheet'!Q27/'Balance Sheet'!Q54</f>
        <v>2.4766150837024679</v>
      </c>
      <c r="U15" s="87">
        <f>'Balance Sheet'!R27/'Balance Sheet'!R54</f>
        <v>2.5587749667110518</v>
      </c>
      <c r="V15" s="87">
        <f>'Balance Sheet'!S27/'Balance Sheet'!S54</f>
        <v>2.4999766693108114</v>
      </c>
      <c r="W15" s="88">
        <f>'Balance Sheet'!T27/'Balance Sheet'!T54</f>
        <v>2.6107101997711872</v>
      </c>
      <c r="Y15" s="277" t="s">
        <v>371</v>
      </c>
      <c r="Z15" s="142" t="s">
        <v>372</v>
      </c>
      <c r="AA15" s="87">
        <f>'Balance Sheet'!W33/'Balance Sheet'!W65</f>
        <v>2.4023466563151312</v>
      </c>
      <c r="AB15" s="87">
        <f>'Balance Sheet'!X33/'Balance Sheet'!X65</f>
        <v>2.2743262041384105</v>
      </c>
      <c r="AC15" s="87">
        <f>'Balance Sheet'!Y33/'Balance Sheet'!Y65</f>
        <v>2.0132780244479114</v>
      </c>
      <c r="AD15" s="87">
        <f>'Balance Sheet'!Z33/'Balance Sheet'!Z65</f>
        <v>2.4690517006345396</v>
      </c>
      <c r="AE15" s="88">
        <f>'Balance Sheet'!AA33/'Balance Sheet'!AA65</f>
        <v>2.5773079086422301</v>
      </c>
      <c r="AG15" s="274" t="s">
        <v>371</v>
      </c>
      <c r="AH15" s="65" t="s">
        <v>372</v>
      </c>
      <c r="AI15" s="112">
        <f>'Balance Sheet'!AD31/'Balance Sheet'!AD61</f>
        <v>2.7149107755662318</v>
      </c>
      <c r="AJ15" s="112">
        <f>'Balance Sheet'!AE31/'Balance Sheet'!AE61</f>
        <v>3.0890476009573375</v>
      </c>
      <c r="AK15" s="112">
        <f>'Balance Sheet'!AF31/'Balance Sheet'!AF61</f>
        <v>2.933566364903875</v>
      </c>
      <c r="AL15" s="112">
        <f>'Balance Sheet'!AG31/'Balance Sheet'!AG61</f>
        <v>3.1346076678947945</v>
      </c>
      <c r="AM15" s="112">
        <f>'Balance Sheet'!AH31/'Balance Sheet'!AH61</f>
        <v>3.2815155314110593</v>
      </c>
    </row>
    <row r="16" spans="1:39" x14ac:dyDescent="0.3">
      <c r="A16" s="269"/>
      <c r="B16" s="109" t="s">
        <v>373</v>
      </c>
      <c r="C16" s="97">
        <f>('Balance Sheet'!B32-'Balance Sheet'!B21)/'Balance Sheet'!B60</f>
        <v>3.3345158906134515</v>
      </c>
      <c r="D16" s="89">
        <f>('Balance Sheet'!C32-'Balance Sheet'!C21)/'Balance Sheet'!C60</f>
        <v>2.9065144195578978</v>
      </c>
      <c r="E16" s="89">
        <f>('Balance Sheet'!D32-'Balance Sheet'!D21)/'Balance Sheet'!D60</f>
        <v>2.5569644164246417</v>
      </c>
      <c r="F16" s="89">
        <f>('Balance Sheet'!E32-'Balance Sheet'!E21)/'Balance Sheet'!E60</f>
        <v>2.5309242848615638</v>
      </c>
      <c r="G16" s="93">
        <f>('Balance Sheet'!F32-'Balance Sheet'!F21)/'Balance Sheet'!F60</f>
        <v>2.4500260281103592</v>
      </c>
      <c r="I16" s="272"/>
      <c r="J16" s="119" t="s">
        <v>373</v>
      </c>
      <c r="K16" s="118"/>
      <c r="L16" s="113"/>
      <c r="M16" s="113"/>
      <c r="N16" s="113"/>
      <c r="O16" s="115"/>
      <c r="Q16" s="272"/>
      <c r="R16" s="119" t="s">
        <v>373</v>
      </c>
      <c r="S16" s="89">
        <f>('Balance Sheet'!P27-'Balance Sheet'!P17)/'Balance Sheet'!P54</f>
        <v>1.6152128107880319</v>
      </c>
      <c r="T16" s="112">
        <f>('Balance Sheet'!Q27-'Balance Sheet'!Q17)/'Balance Sheet'!Q54</f>
        <v>2.4712075015820054</v>
      </c>
      <c r="U16" s="112">
        <f>('Balance Sheet'!R27-'Balance Sheet'!R17)/'Balance Sheet'!R54</f>
        <v>2.5501997336884155</v>
      </c>
      <c r="V16" s="112">
        <f>('Balance Sheet'!S27-'Balance Sheet'!S17)/'Balance Sheet'!S54</f>
        <v>2.4893378750408286</v>
      </c>
      <c r="W16" s="114">
        <f>('Balance Sheet'!T27-'Balance Sheet'!T17)/'Balance Sheet'!T54</f>
        <v>2.6025697439056588</v>
      </c>
      <c r="Y16" s="278"/>
      <c r="Z16" s="65" t="s">
        <v>373</v>
      </c>
      <c r="AA16" s="112">
        <f>('Balance Sheet'!W33-'Balance Sheet'!W21)/'Balance Sheet'!W65</f>
        <v>2.3937280780801604</v>
      </c>
      <c r="AB16" s="112">
        <f>('Balance Sheet'!X33-'Balance Sheet'!X21)/'Balance Sheet'!X65</f>
        <v>2.2697009215788557</v>
      </c>
      <c r="AC16" s="112">
        <f>('Balance Sheet'!Y33-'Balance Sheet'!Y21)/'Balance Sheet'!Y65</f>
        <v>2.0089514771558954</v>
      </c>
      <c r="AD16" s="112">
        <f>('Balance Sheet'!Z33-'Balance Sheet'!Z21)/'Balance Sheet'!Z65</f>
        <v>2.4646147755580694</v>
      </c>
      <c r="AE16" s="114">
        <f>('Balance Sheet'!AA33-'Balance Sheet'!AA21)/'Balance Sheet'!AA65</f>
        <v>2.5737152318405445</v>
      </c>
      <c r="AG16" s="275"/>
      <c r="AH16" s="65" t="s">
        <v>373</v>
      </c>
      <c r="AI16" s="112">
        <f>('Balance Sheet'!AD31-'Balance Sheet'!AD20)/'Balance Sheet'!AD61</f>
        <v>2.7149107755662318</v>
      </c>
      <c r="AJ16" s="112">
        <f>('Balance Sheet'!AE31-'Balance Sheet'!AE20)/'Balance Sheet'!AE61</f>
        <v>3.0890476009573375</v>
      </c>
      <c r="AK16" s="112">
        <f>('Balance Sheet'!AF31-'Balance Sheet'!AF20)/'Balance Sheet'!AF61</f>
        <v>2.9327612277359938</v>
      </c>
      <c r="AL16" s="112">
        <f>('Balance Sheet'!AG31-'Balance Sheet'!AG20)/'Balance Sheet'!AG61</f>
        <v>3.1340057636887613</v>
      </c>
      <c r="AM16" s="112">
        <f>('Balance Sheet'!AH31-'Balance Sheet'!AH20)/'Balance Sheet'!AH61</f>
        <v>3.2809931745368428</v>
      </c>
    </row>
    <row r="17" spans="1:39" ht="15" thickBot="1" x14ac:dyDescent="0.35">
      <c r="A17" s="270"/>
      <c r="B17" s="110" t="s">
        <v>374</v>
      </c>
      <c r="C17" s="98">
        <f>'Balance Sheet'!B26/'Balance Sheet'!B60</f>
        <v>0.31951219512195123</v>
      </c>
      <c r="D17" s="84">
        <f>'Balance Sheet'!C26/'Balance Sheet'!C60</f>
        <v>0.2007905138339921</v>
      </c>
      <c r="E17" s="84">
        <f>'Balance Sheet'!D26/'Balance Sheet'!D60</f>
        <v>0.29486907038794835</v>
      </c>
      <c r="F17" s="84">
        <f>'Balance Sheet'!E26/'Balance Sheet'!E60</f>
        <v>0.16352908765324395</v>
      </c>
      <c r="G17" s="99">
        <f>'Balance Sheet'!F26/'Balance Sheet'!F60</f>
        <v>0.19555786916536527</v>
      </c>
      <c r="I17" s="273"/>
      <c r="J17" s="120" t="s">
        <v>374</v>
      </c>
      <c r="K17" s="84">
        <f>'Balance Sheet'!I22/'Balance Sheet'!I52</f>
        <v>0.89417913310318375</v>
      </c>
      <c r="L17" s="76">
        <f>'Balance Sheet'!J22/'Balance Sheet'!J52</f>
        <v>1.0355751099937147</v>
      </c>
      <c r="M17" s="76">
        <f>'Balance Sheet'!K22/'Balance Sheet'!K52</f>
        <v>0.51995357557360955</v>
      </c>
      <c r="N17" s="76">
        <f>'Balance Sheet'!L22/'Balance Sheet'!L52</f>
        <v>0.31064665952125758</v>
      </c>
      <c r="O17" s="77">
        <f>'Balance Sheet'!M22/'Balance Sheet'!M52</f>
        <v>0.38114141362066301</v>
      </c>
      <c r="Q17" s="273"/>
      <c r="R17" s="120" t="s">
        <v>374</v>
      </c>
      <c r="S17" s="84">
        <f>'Balance Sheet'!P21/'Balance Sheet'!P54</f>
        <v>0.2042983565107459</v>
      </c>
      <c r="T17" s="76">
        <f>'Balance Sheet'!Q21/'Balance Sheet'!Q54</f>
        <v>0.37513662773974571</v>
      </c>
      <c r="U17" s="76">
        <f>'Balance Sheet'!R21/'Balance Sheet'!R54</f>
        <v>0.55978695073235685</v>
      </c>
      <c r="V17" s="76">
        <f>'Balance Sheet'!S21/'Balance Sheet'!S54</f>
        <v>0.42298539498856796</v>
      </c>
      <c r="W17" s="77">
        <f>'Balance Sheet'!T21/'Balance Sheet'!T54</f>
        <v>0.41608730088884976</v>
      </c>
      <c r="Y17" s="279"/>
      <c r="Z17" s="117" t="s">
        <v>374</v>
      </c>
      <c r="AA17" s="76">
        <f>'Balance Sheet'!W25/'Balance Sheet'!W65</f>
        <v>0.66776189617963622</v>
      </c>
      <c r="AB17" s="76">
        <f>'Balance Sheet'!X25/'Balance Sheet'!X65</f>
        <v>0.73810206920535559</v>
      </c>
      <c r="AC17" s="76">
        <f>'Balance Sheet'!Y25/'Balance Sheet'!Y65</f>
        <v>0.33677013839113418</v>
      </c>
      <c r="AD17" s="76">
        <f>'Balance Sheet'!Z25/'Balance Sheet'!Z65</f>
        <v>0.34315208419700244</v>
      </c>
      <c r="AE17" s="77">
        <f>'Balance Sheet'!AA25/'Balance Sheet'!AA65</f>
        <v>0.38403615650920159</v>
      </c>
      <c r="AG17" s="276"/>
      <c r="AH17" s="65" t="s">
        <v>374</v>
      </c>
      <c r="AI17" s="112">
        <f>'Balance Sheet'!AD25/'Balance Sheet'!AD61</f>
        <v>0.20817604667124229</v>
      </c>
      <c r="AJ17" s="112">
        <f>'Balance Sheet'!AE25/'Balance Sheet'!AE61</f>
        <v>0.25677164456938795</v>
      </c>
      <c r="AK17" s="112">
        <f>'Balance Sheet'!AF25/'Balance Sheet'!AF61</f>
        <v>0.28399740785106925</v>
      </c>
      <c r="AL17" s="112">
        <f>'Balance Sheet'!AG25/'Balance Sheet'!AG61</f>
        <v>0.42660416590668665</v>
      </c>
      <c r="AM17" s="112">
        <f>'Balance Sheet'!AH25/'Balance Sheet'!AH61</f>
        <v>0.31689650369132188</v>
      </c>
    </row>
    <row r="18" spans="1:39" x14ac:dyDescent="0.3">
      <c r="A18" s="268" t="s">
        <v>375</v>
      </c>
      <c r="B18" s="108" t="s">
        <v>376</v>
      </c>
      <c r="C18" s="100">
        <f>('Balance Sheet'!B52+'Balance Sheet'!B44)/'Balance Sheet'!B40</f>
        <v>9.6449515628502985E-2</v>
      </c>
      <c r="D18" s="100">
        <f>('Balance Sheet'!C52+'Balance Sheet'!C44)/'Balance Sheet'!C40</f>
        <v>8.9486614317858287E-2</v>
      </c>
      <c r="E18" s="100">
        <f>('Balance Sheet'!D52+'Balance Sheet'!D44)/'Balance Sheet'!D40</f>
        <v>8.7015559958150607E-2</v>
      </c>
      <c r="F18" s="100">
        <f>('Balance Sheet'!E52+'Balance Sheet'!E44)/'Balance Sheet'!E40</f>
        <v>8.429270004166392E-2</v>
      </c>
      <c r="G18" s="106">
        <f>('Balance Sheet'!F52+'Balance Sheet'!F44)/'Balance Sheet'!F40</f>
        <v>8.7834952200527824E-2</v>
      </c>
      <c r="I18" s="271" t="s">
        <v>375</v>
      </c>
      <c r="J18" s="128" t="s">
        <v>376</v>
      </c>
      <c r="K18" s="86">
        <f>('Balance Sheet'!I39+'Balance Sheet'!I47)/'Balance Sheet'!I35</f>
        <v>7.0363282911123259E-2</v>
      </c>
      <c r="L18" s="87">
        <f>('Balance Sheet'!J39+'Balance Sheet'!J47)/'Balance Sheet'!J35</f>
        <v>6.9352191919981251E-2</v>
      </c>
      <c r="M18" s="87">
        <f>('Balance Sheet'!K39+'Balance Sheet'!K47)/'Balance Sheet'!K35</f>
        <v>0.11534805112496038</v>
      </c>
      <c r="N18" s="87">
        <f>('Balance Sheet'!L39+'Balance Sheet'!L47)/'Balance Sheet'!L35</f>
        <v>0.14409921498779601</v>
      </c>
      <c r="O18" s="88">
        <f>('Balance Sheet'!M39+'Balance Sheet'!M47)/'Balance Sheet'!M35</f>
        <v>0.11706853867806152</v>
      </c>
      <c r="Q18" s="271" t="s">
        <v>375</v>
      </c>
      <c r="R18" s="128" t="s">
        <v>376</v>
      </c>
      <c r="S18" s="86">
        <f>('Balance Sheet'!P38+'Balance Sheet'!P47)/'Balance Sheet'!P34</f>
        <v>9.1266214192645023E-2</v>
      </c>
      <c r="T18" s="87">
        <f>('Balance Sheet'!Q38+'Balance Sheet'!Q47)/'Balance Sheet'!Q34</f>
        <v>6.3712925668253387E-2</v>
      </c>
      <c r="U18" s="87">
        <f>('Balance Sheet'!R38+'Balance Sheet'!R47)/'Balance Sheet'!R34</f>
        <v>6.4267974067025765E-2</v>
      </c>
      <c r="V18" s="87">
        <f>('Balance Sheet'!S38+'Balance Sheet'!S47)/'Balance Sheet'!S34</f>
        <v>3.4420012844429491E-2</v>
      </c>
      <c r="W18" s="88">
        <f>('Balance Sheet'!T38+'Balance Sheet'!T47)/'Balance Sheet'!T34</f>
        <v>3.4084750479705876E-2</v>
      </c>
      <c r="Y18" s="278" t="s">
        <v>375</v>
      </c>
      <c r="Z18" s="141" t="s">
        <v>376</v>
      </c>
      <c r="AA18" s="126">
        <f>('Balance Sheet'!W45+'Balance Sheet'!W56)/'Balance Sheet'!W41</f>
        <v>0.10603647683627219</v>
      </c>
      <c r="AB18" s="126">
        <f>('Balance Sheet'!X45+'Balance Sheet'!X56)/'Balance Sheet'!X41</f>
        <v>0.15137291374512266</v>
      </c>
      <c r="AC18" s="126">
        <f>('Balance Sheet'!Y45+'Balance Sheet'!Y56)/'Balance Sheet'!Y41</f>
        <v>0.23175793872079076</v>
      </c>
      <c r="AD18" s="126">
        <f>('Balance Sheet'!Z45+'Balance Sheet'!Z56)/'Balance Sheet'!Z41</f>
        <v>0.19310327969246127</v>
      </c>
      <c r="AE18" s="127">
        <f>('Balance Sheet'!AA45+'Balance Sheet'!AA56)/'Balance Sheet'!AA41</f>
        <v>0.1894625470422007</v>
      </c>
      <c r="AG18" s="274" t="s">
        <v>375</v>
      </c>
      <c r="AH18" s="65" t="s">
        <v>376</v>
      </c>
      <c r="AI18" s="146">
        <f>('Balance Sheet'!AD52)/'Balance Sheet'!AD40</f>
        <v>5.9203344988991878E-3</v>
      </c>
      <c r="AJ18" s="146">
        <f>('Balance Sheet'!AE52)/'Balance Sheet'!AE40</f>
        <v>5.6657223796033997E-3</v>
      </c>
      <c r="AK18" s="146">
        <f>('Balance Sheet'!AF52)/'Balance Sheet'!AF40</f>
        <v>3.6311735197195809E-3</v>
      </c>
      <c r="AL18" s="146">
        <f>('Balance Sheet'!AG52)/'Balance Sheet'!AG40</f>
        <v>7.5485565569425048E-3</v>
      </c>
      <c r="AM18" s="146">
        <f>('Balance Sheet'!AH52)/'Balance Sheet'!AH40</f>
        <v>2.0323173411097351E-3</v>
      </c>
    </row>
    <row r="19" spans="1:39" x14ac:dyDescent="0.3">
      <c r="A19" s="269"/>
      <c r="B19" s="109" t="s">
        <v>377</v>
      </c>
      <c r="C19" s="89">
        <f>('Income Statement'!B13+'Income Statement'!B9)/'Income Statement'!B9</f>
        <v>46.722943722943725</v>
      </c>
      <c r="D19" s="89">
        <f>('Income Statement'!C13+'Income Statement'!C9)/'Income Statement'!C9</f>
        <v>71.609105180533746</v>
      </c>
      <c r="E19" s="89">
        <f>('Income Statement'!D13+'Income Statement'!D9)/'Income Statement'!D9</f>
        <v>66.927295918367349</v>
      </c>
      <c r="F19" s="89">
        <f>('Income Statement'!E13+'Income Statement'!E9)/'Income Statement'!E9</f>
        <v>74.051347881899872</v>
      </c>
      <c r="G19" s="93">
        <f>('Income Statement'!F13+'Income Statement'!F9)/'Income Statement'!F9</f>
        <v>81.919023136246793</v>
      </c>
      <c r="I19" s="272"/>
      <c r="J19" s="119" t="s">
        <v>377</v>
      </c>
      <c r="K19" s="89">
        <f>('Income Statement'!I17+'Income Statement'!I14)/'Income Statement'!I14</f>
        <v>130.45294117647057</v>
      </c>
      <c r="L19" s="112">
        <f>('Income Statement'!J17+'Income Statement'!J14)/'Income Statement'!J14</f>
        <v>137.55384615384617</v>
      </c>
      <c r="M19" s="112">
        <f>('Income Statement'!K17+'Income Statement'!K14)/'Income Statement'!K14</f>
        <v>151.55000000000001</v>
      </c>
      <c r="N19" s="112">
        <f>('Income Statement'!L17+'Income Statement'!L14)/'Income Statement'!L14</f>
        <v>118.33098591549296</v>
      </c>
      <c r="O19" s="114">
        <f>('Income Statement'!M17+'Income Statement'!M14)/'Income Statement'!M14</f>
        <v>91.40384615384616</v>
      </c>
      <c r="Q19" s="272"/>
      <c r="R19" s="119" t="s">
        <v>377</v>
      </c>
      <c r="S19" s="89">
        <f>('Income Statement'!P15+'Income Statement'!P10)/'Income Statement'!P10</f>
        <v>28.683168316831683</v>
      </c>
      <c r="T19" s="112">
        <f>('Income Statement'!Q15+'Income Statement'!Q10)/'Income Statement'!Q10</f>
        <v>32.023483365949119</v>
      </c>
      <c r="U19" s="112">
        <f>('Income Statement'!R15+'Income Statement'!R10)/'Income Statement'!R10</f>
        <v>2.3544546544147025</v>
      </c>
      <c r="V19" s="112">
        <f>('Income Statement'!S15+'Income Statement'!S10)/'Income Statement'!S10</f>
        <v>2.3035451505016722</v>
      </c>
      <c r="W19" s="114">
        <f>('Income Statement'!T15+'Income Statement'!T10)/'Income Statement'!T10</f>
        <v>2.4382631362326794</v>
      </c>
      <c r="Y19" s="278"/>
      <c r="Z19" s="65" t="s">
        <v>377</v>
      </c>
      <c r="AA19" s="112">
        <f>('Income Statement'!W23+'Income Statement'!W11)/'Income Statement'!W11</f>
        <v>17.719295851528383</v>
      </c>
      <c r="AB19" s="112">
        <f>('Income Statement'!X23+'Income Statement'!X11)/'Income Statement'!X11</f>
        <v>28.324882075471685</v>
      </c>
      <c r="AC19" s="112">
        <f>('Income Statement'!Y23+'Income Statement'!Y11)/'Income Statement'!Y11</f>
        <v>29.433427230046934</v>
      </c>
      <c r="AD19" s="112">
        <f>('Income Statement'!Z23+'Income Statement'!Z11)/'Income Statement'!Z11</f>
        <v>15.65287287883298</v>
      </c>
      <c r="AE19" s="114">
        <f>('Income Statement'!AA23+'Income Statement'!AA11)/'Income Statement'!AA11</f>
        <v>12.72801147227535</v>
      </c>
      <c r="AG19" s="275"/>
      <c r="AH19" s="65" t="s">
        <v>377</v>
      </c>
      <c r="AI19" s="112">
        <f>('Income Statement'!AD13+'Income Statement'!AD9)/'Income Statement'!AD9</f>
        <v>25.248184019370456</v>
      </c>
      <c r="AJ19" s="112">
        <f>('Income Statement'!AE13+'Income Statement'!AE9)/'Income Statement'!AE9</f>
        <v>33.845177664974635</v>
      </c>
      <c r="AK19" s="112">
        <f>('Income Statement'!AF13+'Income Statement'!AF9)/'Income Statement'!AF9</f>
        <v>43.900324149108599</v>
      </c>
      <c r="AL19" s="112">
        <f>('Income Statement'!AG13+'Income Statement'!AG9)/'Income Statement'!AG9</f>
        <v>39.507313829787229</v>
      </c>
      <c r="AM19" s="112">
        <f>('Income Statement'!AH13+'Income Statement'!AH9)/'Income Statement'!AH9</f>
        <v>28.283265674334675</v>
      </c>
    </row>
    <row r="20" spans="1:39" ht="15" thickBot="1" x14ac:dyDescent="0.35">
      <c r="A20" s="270"/>
      <c r="B20" s="110" t="s">
        <v>378</v>
      </c>
      <c r="C20" s="84">
        <f>'Balance Sheet'!B33/'Balance Sheet'!B40</f>
        <v>1.4265537056484443</v>
      </c>
      <c r="D20" s="84">
        <f>'Balance Sheet'!C33/'Balance Sheet'!C40</f>
        <v>1.5011135601781695</v>
      </c>
      <c r="E20" s="84">
        <f>'Balance Sheet'!D33/'Balance Sheet'!D40</f>
        <v>1.5750729025220933</v>
      </c>
      <c r="F20" s="84">
        <f>'Balance Sheet'!E33/'Balance Sheet'!E40</f>
        <v>1.5750169944959762</v>
      </c>
      <c r="G20" s="99">
        <f>'Balance Sheet'!F33/'Balance Sheet'!F40</f>
        <v>1.6037078811638323</v>
      </c>
      <c r="I20" s="273"/>
      <c r="J20" s="120" t="s">
        <v>378</v>
      </c>
      <c r="K20" s="84">
        <f>'Balance Sheet'!I28/'Balance Sheet'!I35</f>
        <v>1.4089058987910819</v>
      </c>
      <c r="L20" s="76">
        <f>'Balance Sheet'!J28/'Balance Sheet'!J35</f>
        <v>1.4116068870308145</v>
      </c>
      <c r="M20" s="76">
        <f>'Balance Sheet'!K28/'Balance Sheet'!K35</f>
        <v>1.5565252984049858</v>
      </c>
      <c r="N20" s="76">
        <f>'Balance Sheet'!L28/'Balance Sheet'!L35</f>
        <v>1.6599511841150472</v>
      </c>
      <c r="O20" s="77">
        <f>'Balance Sheet'!M28/'Balance Sheet'!M35</f>
        <v>1.557906874215756</v>
      </c>
      <c r="Q20" s="273"/>
      <c r="R20" s="120" t="s">
        <v>378</v>
      </c>
      <c r="S20" s="84">
        <f>'Balance Sheet'!P28/'Balance Sheet'!P34</f>
        <v>1.6122984772758211</v>
      </c>
      <c r="T20" s="76">
        <f>'Balance Sheet'!Q28/'Balance Sheet'!Q34</f>
        <v>1.4346060384141672</v>
      </c>
      <c r="U20" s="76">
        <f>'Balance Sheet'!R28/'Balance Sheet'!R34</f>
        <v>1.4358771731767894</v>
      </c>
      <c r="V20" s="76">
        <f>'Balance Sheet'!S28/'Balance Sheet'!S34</f>
        <v>1.4283464326126181</v>
      </c>
      <c r="W20" s="77">
        <f>'Balance Sheet'!T28/'Balance Sheet'!T34</f>
        <v>1.4572951912232133</v>
      </c>
      <c r="Y20" s="278"/>
      <c r="Z20" s="143" t="s">
        <v>378</v>
      </c>
      <c r="AA20" s="144">
        <f>'Balance Sheet'!W34/'Balance Sheet'!W41</f>
        <v>1.46424196349434</v>
      </c>
      <c r="AB20" s="144">
        <f>'Balance Sheet'!X34/'Balance Sheet'!X41</f>
        <v>1.5028337462852492</v>
      </c>
      <c r="AC20" s="144">
        <f>'Balance Sheet'!Y34/'Balance Sheet'!Y41</f>
        <v>1.6424447516977443</v>
      </c>
      <c r="AD20" s="144">
        <f>'Balance Sheet'!Z34/'Balance Sheet'!Z41</f>
        <v>1.5069924401879402</v>
      </c>
      <c r="AE20" s="145">
        <f>'Balance Sheet'!AA34/'Balance Sheet'!AA41</f>
        <v>1.5373672438962327</v>
      </c>
      <c r="AG20" s="276"/>
      <c r="AH20" s="65" t="s">
        <v>378</v>
      </c>
      <c r="AI20" s="112">
        <f>'Balance Sheet'!AD32/'Balance Sheet'!AD40</f>
        <v>1.632698747479232</v>
      </c>
      <c r="AJ20" s="112">
        <f>'Balance Sheet'!AE32/'Balance Sheet'!AE40</f>
        <v>1.4655745781500187</v>
      </c>
      <c r="AK20" s="112">
        <f>'Balance Sheet'!AF32/'Balance Sheet'!AF40</f>
        <v>1.440043658040006</v>
      </c>
      <c r="AL20" s="112">
        <f>'Balance Sheet'!AG32/'Balance Sheet'!AG40</f>
        <v>1.4154959275145791</v>
      </c>
      <c r="AM20" s="112">
        <f>'Balance Sheet'!AH32/'Balance Sheet'!AH40</f>
        <v>1.3763332401230375</v>
      </c>
    </row>
    <row r="21" spans="1:39" x14ac:dyDescent="0.3">
      <c r="A21" s="268" t="s">
        <v>379</v>
      </c>
      <c r="B21" s="108" t="s">
        <v>380</v>
      </c>
      <c r="C21" s="100">
        <f ca="1">'Company Profile'!$B$9/'Financial Ratios'!C10</f>
        <v>33.733399451413071</v>
      </c>
      <c r="D21" s="100">
        <f ca="1">'Company Profile'!$B$9/'Financial Ratios'!D10</f>
        <v>33.61426239174498</v>
      </c>
      <c r="E21" s="100">
        <f ca="1">'Company Profile'!$B$9/'Financial Ratios'!E10</f>
        <v>28.467518322973291</v>
      </c>
      <c r="F21" s="100">
        <f ca="1">'Company Profile'!$B$9/'Financial Ratios'!F10</f>
        <v>25.873995035813063</v>
      </c>
      <c r="G21" s="100">
        <f ca="1">'Company Profile'!$B$9/'Financial Ratios'!G10</f>
        <v>23.743413349530357</v>
      </c>
      <c r="I21" s="271" t="s">
        <v>379</v>
      </c>
      <c r="J21" s="128" t="s">
        <v>380</v>
      </c>
      <c r="K21" s="100">
        <f ca="1">'Company Profile'!$C$9/'Financial Ratios'!K10</f>
        <v>32.910597692169006</v>
      </c>
      <c r="L21" s="134">
        <f ca="1">'Company Profile'!$C$9/'Financial Ratios'!L10</f>
        <v>28.193349894455029</v>
      </c>
      <c r="M21" s="134">
        <f ca="1">'Company Profile'!$C$9/'Financial Ratios'!M10</f>
        <v>24.726787455973991</v>
      </c>
      <c r="N21" s="134">
        <f ca="1">'Company Profile'!$C$9/'Financial Ratios'!N10</f>
        <v>22.714428198108511</v>
      </c>
      <c r="O21" s="135">
        <f ca="1">'Company Profile'!$C$9/'Financial Ratios'!O10</f>
        <v>20.471006915887848</v>
      </c>
      <c r="Q21" s="271" t="s">
        <v>379</v>
      </c>
      <c r="R21" s="128" t="s">
        <v>380</v>
      </c>
      <c r="S21" s="86">
        <f ca="1">'Company Profile'!$D$9/'Financial Ratios'!S10</f>
        <v>37.741344397214434</v>
      </c>
      <c r="T21" s="87">
        <f ca="1">'Company Profile'!$D$9/'Financial Ratios'!T10</f>
        <v>37.36288342734354</v>
      </c>
      <c r="U21" s="87">
        <f ca="1">'Company Profile'!$D$9/'Financial Ratios'!U10</f>
        <v>30.858984323005249</v>
      </c>
      <c r="V21" s="87">
        <f ca="1">'Company Profile'!$D$9/'Financial Ratios'!V10</f>
        <v>28.1108821151903</v>
      </c>
      <c r="W21" s="88">
        <f ca="1">'Company Profile'!$D$9/'Financial Ratios'!W10</f>
        <v>26.563083704646722</v>
      </c>
      <c r="Y21" s="277" t="s">
        <v>379</v>
      </c>
      <c r="Z21" s="142" t="s">
        <v>380</v>
      </c>
      <c r="AA21" s="87">
        <f ca="1">'Company Profile'!$E$9/'Financial Ratios'!AA10</f>
        <v>25.699804138439184</v>
      </c>
      <c r="AB21" s="87">
        <f ca="1">'Company Profile'!$E$9/'Financial Ratios'!AB10</f>
        <v>23.107595333087975</v>
      </c>
      <c r="AC21" s="87">
        <f ca="1">'Company Profile'!$E$9/'Financial Ratios'!AC10</f>
        <v>20.51173253181307</v>
      </c>
      <c r="AD21" s="87">
        <f ca="1">'Company Profile'!$E$9/'Financial Ratios'!AD10</f>
        <v>22.094166725025307</v>
      </c>
      <c r="AE21" s="88">
        <f ca="1">'Company Profile'!$E$9/'Financial Ratios'!AE10</f>
        <v>22.599989748112382</v>
      </c>
      <c r="AG21" s="274" t="s">
        <v>379</v>
      </c>
      <c r="AH21" s="65" t="s">
        <v>380</v>
      </c>
      <c r="AI21" s="112">
        <f ca="1">'Company Profile'!$F$9/'Financial Ratios'!AI10</f>
        <v>110.11275896086816</v>
      </c>
      <c r="AJ21" s="112">
        <f ca="1">'Company Profile'!$F$9/'Financial Ratios'!AJ10</f>
        <v>86.382442472397031</v>
      </c>
      <c r="AK21" s="112">
        <f ca="1">'Company Profile'!$F$9/'Financial Ratios'!AK10</f>
        <v>42.386443037974665</v>
      </c>
      <c r="AL21" s="112">
        <f ca="1">'Company Profile'!$F$9/'Financial Ratios'!AL10</f>
        <v>37.962598916173498</v>
      </c>
      <c r="AM21" s="112">
        <f ca="1">'Company Profile'!$F$9/'Financial Ratios'!AM10</f>
        <v>36.519314662129766</v>
      </c>
    </row>
    <row r="22" spans="1:39" x14ac:dyDescent="0.3">
      <c r="A22" s="269"/>
      <c r="B22" s="109" t="s">
        <v>381</v>
      </c>
      <c r="C22" s="89">
        <f ca="1">'Company Profile'!$B$9/('Balance Sheet'!B40/'Company Profile'!$B$11)</f>
        <v>12.915168462164743</v>
      </c>
      <c r="D22" s="89">
        <f ca="1">'Company Profile'!$B$9/('Balance Sheet'!C40/'Company Profile'!$B$11)</f>
        <v>12.565408596225375</v>
      </c>
      <c r="E22" s="89">
        <f ca="1">'Company Profile'!$B$9/('Balance Sheet'!D40/'Company Profile'!$B$11)</f>
        <v>12.182485720009794</v>
      </c>
      <c r="F22" s="89">
        <f ca="1">'Company Profile'!$B$9/('Balance Sheet'!E40/'Company Profile'!$B$11)</f>
        <v>12.000829024406288</v>
      </c>
      <c r="G22" s="93">
        <f ca="1">'Company Profile'!$B$9/('Balance Sheet'!F40/'Company Profile'!$B$11)</f>
        <v>11.985978952901368</v>
      </c>
      <c r="I22" s="272"/>
      <c r="J22" s="119" t="s">
        <v>381</v>
      </c>
      <c r="K22" s="89">
        <f ca="1">'Company Profile'!$C$9/(('Balance Sheet'!I35)/'Company Profile'!$C$11)</f>
        <v>9.5268393475487514</v>
      </c>
      <c r="L22" s="112">
        <f ca="1">'Company Profile'!$C$9/(('Balance Sheet'!J35)/'Company Profile'!$C$11)</f>
        <v>8.1696909431898099</v>
      </c>
      <c r="M22" s="112">
        <f ca="1">'Company Profile'!$C$9/(('Balance Sheet'!K35)/'Company Profile'!$C$11)</f>
        <v>8.2825236347311701</v>
      </c>
      <c r="N22" s="112">
        <f ca="1">'Company Profile'!$C$9/(('Balance Sheet'!L35)/'Company Profile'!$C$11)</f>
        <v>8.27607639026321</v>
      </c>
      <c r="O22" s="114">
        <f ca="1">'Company Profile'!$C$9/(('Balance Sheet'!M35)/'Company Profile'!$C$11)</f>
        <v>7.0910933631769932</v>
      </c>
      <c r="Q22" s="272"/>
      <c r="R22" s="119" t="s">
        <v>381</v>
      </c>
      <c r="S22" s="89">
        <f ca="1">'Company Profile'!$D$9/(('Balance Sheet'!P34)/'Company Profile'!$D$11)</f>
        <v>8.1154789871842237</v>
      </c>
      <c r="T22" s="112">
        <f ca="1">'Company Profile'!$D$9/(('Balance Sheet'!Q34)/'Company Profile'!$D$11)</f>
        <v>6.9456084184947233</v>
      </c>
      <c r="U22" s="112">
        <f ca="1">'Company Profile'!$D$9/(('Balance Sheet'!R34)/'Company Profile'!$D$11)</f>
        <v>6.7300913621262461</v>
      </c>
      <c r="V22" s="112">
        <f ca="1">'Company Profile'!$D$9/(('Balance Sheet'!S34)/'Company Profile'!$D$11)</f>
        <v>6.3810215144194009</v>
      </c>
      <c r="W22" s="114">
        <f ca="1">'Company Profile'!$D$9/(('Balance Sheet'!T34)/'Company Profile'!$D$11)</f>
        <v>6.1124935184778311</v>
      </c>
      <c r="Y22" s="278"/>
      <c r="Z22" s="65" t="s">
        <v>381</v>
      </c>
      <c r="AA22" s="112">
        <f ca="1">'Company Profile'!$E$9/(('Balance Sheet'!W41)/'Company Profile'!$E$11)</f>
        <v>4.5241752012279051</v>
      </c>
      <c r="AB22" s="112">
        <f ca="1">'Company Profile'!$E$9/(('Balance Sheet'!X41)/'Company Profile'!$E$11)</f>
        <v>4.5618473497206216</v>
      </c>
      <c r="AC22" s="112">
        <f ca="1">'Company Profile'!$E$9/(('Balance Sheet'!Y41)/'Company Profile'!$E$11)</f>
        <v>3.8367621184181377</v>
      </c>
      <c r="AD22" s="112">
        <f ca="1">'Company Profile'!$E$9/(('Balance Sheet'!Z41)/'Company Profile'!$E$11)</f>
        <v>3.2309749800583578</v>
      </c>
      <c r="AE22" s="114">
        <f ca="1">'Company Profile'!$E$9/(('Balance Sheet'!AA41)/'Company Profile'!$E$11)</f>
        <v>3.363378012776729</v>
      </c>
      <c r="AG22" s="275"/>
      <c r="AH22" s="65" t="s">
        <v>381</v>
      </c>
      <c r="AI22" s="112">
        <f ca="1">('Company Profile'!$F$9/(('Balance Sheet'!AD40)/'Company Profile'!$F$11))</f>
        <v>30.975643373850623</v>
      </c>
      <c r="AJ22" s="112">
        <f ca="1">('Company Profile'!$F$9/(('Balance Sheet'!AE40)/'Company Profile'!$F$11))</f>
        <v>22.912845041124388</v>
      </c>
      <c r="AK22" s="112">
        <f ca="1">('Company Profile'!$F$9/(('Balance Sheet'!AF40)/'Company Profile'!$F$11))</f>
        <v>11.71395937843265</v>
      </c>
      <c r="AL22" s="112">
        <f ca="1">('Company Profile'!$F$9/(('Balance Sheet'!AG40)/'Company Profile'!$F$11))</f>
        <v>10.086416815268208</v>
      </c>
      <c r="AM22" s="112">
        <f ca="1">('Company Profile'!$F$9/(('Balance Sheet'!AH40)/'Company Profile'!$F$11))</f>
        <v>8.3602869212639312</v>
      </c>
    </row>
    <row r="23" spans="1:39" x14ac:dyDescent="0.3">
      <c r="A23" s="269"/>
      <c r="B23" s="109" t="s">
        <v>382</v>
      </c>
      <c r="C23" s="89">
        <f ca="1">(('Company Profile'!$B$13+'Balance Sheet'!B44+'Balance Sheet'!B52)-'Balance Sheet'!B26)/('Income Statement'!B13+'Income Statement'!B9+'Income Statement'!B10)</f>
        <v>23.168390398492537</v>
      </c>
      <c r="D23" s="89">
        <f ca="1">(('Company Profile'!$B$13+'Balance Sheet'!C44+'Balance Sheet'!C52)-'Balance Sheet'!C26)/('Income Statement'!C13+'Income Statement'!C9+'Income Statement'!C10)</f>
        <v>21.807487922705313</v>
      </c>
      <c r="E23" s="89">
        <f ca="1">(('Company Profile'!$B$13+'Balance Sheet'!D44+'Balance Sheet'!D52)-'Balance Sheet'!D26)/('Income Statement'!D13+'Income Statement'!D9+'Income Statement'!D10)</f>
        <v>18.883731931668855</v>
      </c>
      <c r="F23" s="89">
        <f ca="1">(('Company Profile'!$B$13+'Balance Sheet'!E44+'Balance Sheet'!E52)-'Balance Sheet'!E26)/('Income Statement'!E13+'Income Statement'!E9+'Income Statement'!E10)</f>
        <v>17.270906423422847</v>
      </c>
      <c r="G23" s="93">
        <f ca="1">(('Company Profile'!$B$13+'Balance Sheet'!F44+'Balance Sheet'!F52)-'Balance Sheet'!F26)/('Income Statement'!F13+'Income Statement'!F9+'Income Statement'!F10)</f>
        <v>15.73771064349952</v>
      </c>
      <c r="I23" s="272"/>
      <c r="J23" s="119" t="s">
        <v>382</v>
      </c>
      <c r="K23" s="89">
        <f ca="1">(('Company Profile'!$C$13+'Balance Sheet'!I39+'Balance Sheet'!I47)-'Balance Sheet'!I22)/('Income Statement'!I17+'Income Statement'!I14+'Income Statement'!I13)</f>
        <v>23.859728759473477</v>
      </c>
      <c r="L23" s="112">
        <f ca="1">(('Company Profile'!$C$13+'Balance Sheet'!J39+'Balance Sheet'!J47)-'Balance Sheet'!J22)/('Income Statement'!J17+'Income Statement'!J14+'Income Statement'!J13)</f>
        <v>19.700578265204388</v>
      </c>
      <c r="M23" s="112">
        <f ca="1">(('Company Profile'!$C$13+'Balance Sheet'!K39+'Balance Sheet'!K47)-'Balance Sheet'!K22)/('Income Statement'!K17+'Income Statement'!K14+'Income Statement'!K13)</f>
        <v>17.860752974604868</v>
      </c>
      <c r="N23" s="112">
        <f ca="1">(('Company Profile'!$C$13+'Balance Sheet'!L39+'Balance Sheet'!L47)-'Balance Sheet'!L22)/('Income Statement'!L17+'Income Statement'!L14+'Income Statement'!L13)</f>
        <v>16.148883191033807</v>
      </c>
      <c r="O23" s="114">
        <f ca="1">(('Company Profile'!$C$13+'Balance Sheet'!M39+'Balance Sheet'!M47)-'Balance Sheet'!M22)/('Income Statement'!M17+'Income Statement'!M14+'Income Statement'!M13)</f>
        <v>14.187818657204222</v>
      </c>
      <c r="Q23" s="272"/>
      <c r="R23" s="119" t="s">
        <v>382</v>
      </c>
      <c r="S23" s="89">
        <f ca="1">(('Company Profile'!$D$13+'Balance Sheet'!P38+'Balance Sheet'!P47+'Balance Sheet'!P39+'Balance Sheet'!P48)-'Balance Sheet'!P21)/('Income Statement'!P15+'Income Statement'!P10+'Income Statement'!P11)</f>
        <v>23.031075118681933</v>
      </c>
      <c r="T23" s="112">
        <f ca="1">(('Company Profile'!$D$13+'Balance Sheet'!Q38+'Balance Sheet'!Q47+'Balance Sheet'!Q39+'Balance Sheet'!Q48)-'Balance Sheet'!Q21)/('Income Statement'!Q15+'Income Statement'!Q10+'Income Statement'!Q11)</f>
        <v>19.552676996424317</v>
      </c>
      <c r="U23" s="112">
        <f ca="1">(('Company Profile'!$D$13+'Balance Sheet'!R38+'Balance Sheet'!R47+'Balance Sheet'!R39+'Balance Sheet'!R48)-'Balance Sheet'!R21)/('Income Statement'!R15+'Income Statement'!R10+'Income Statement'!R11)</f>
        <v>13.78524089306698</v>
      </c>
      <c r="V23" s="112">
        <f ca="1">(('Company Profile'!$D$13+'Balance Sheet'!S38+'Balance Sheet'!S47+'Balance Sheet'!S39+'Balance Sheet'!S48)-'Balance Sheet'!S21)/('Income Statement'!S15+'Income Statement'!S10+'Income Statement'!S11)</f>
        <v>11.797861515909288</v>
      </c>
      <c r="W23" s="114">
        <f ca="1">(('Company Profile'!$D$13+'Balance Sheet'!T38+'Balance Sheet'!T47+'Balance Sheet'!T39+'Balance Sheet'!T48)-'Balance Sheet'!T21)/('Income Statement'!T15+'Income Statement'!T10+'Income Statement'!T11)</f>
        <v>11.364740428832622</v>
      </c>
      <c r="Y23" s="278"/>
      <c r="Z23" s="65" t="s">
        <v>382</v>
      </c>
      <c r="AA23" s="112">
        <f ca="1">(('Company Profile'!$E$13+'Balance Sheet'!W45+'Balance Sheet'!W56+'Balance Sheet'!W47+'Balance Sheet'!W59)-'Balance Sheet'!W25)/('Income Statement'!W23+'Income Statement'!W11+'Income Statement'!W12)</f>
        <v>15.99276718291728</v>
      </c>
      <c r="AB23" s="112">
        <f ca="1">(('Company Profile'!$E$13+'Balance Sheet'!X45+'Balance Sheet'!X56+'Balance Sheet'!X47+'Balance Sheet'!X59)-'Balance Sheet'!X25)/('Income Statement'!X23+'Income Statement'!X11+'Income Statement'!X12)</f>
        <v>14.039533976512512</v>
      </c>
      <c r="AC23" s="112">
        <f ca="1">(('Company Profile'!$E$13+'Balance Sheet'!Y45+'Balance Sheet'!Y56+'Balance Sheet'!Y47+'Balance Sheet'!Y59)-'Balance Sheet'!Y25)/('Income Statement'!Y23+'Income Statement'!Y11+'Income Statement'!Y12)</f>
        <v>13.592141261046022</v>
      </c>
      <c r="AD23" s="112">
        <f ca="1">(('Company Profile'!$E$13+'Balance Sheet'!Z45+'Balance Sheet'!Z56+'Balance Sheet'!Z47+'Balance Sheet'!Z59)-'Balance Sheet'!Z25)/('Income Statement'!Z23+'Income Statement'!Z11+'Income Statement'!Z12)</f>
        <v>13.390303239578103</v>
      </c>
      <c r="AE23" s="114">
        <f ca="1">(('Company Profile'!$E$13+'Balance Sheet'!AA45+'Balance Sheet'!AA56+'Balance Sheet'!AA47+'Balance Sheet'!AA59)-'Balance Sheet'!AA25)/('Income Statement'!AA23+'Income Statement'!AA11+'Income Statement'!AA12)</f>
        <v>13.126139511847814</v>
      </c>
      <c r="AG23" s="275"/>
      <c r="AH23" s="65" t="s">
        <v>382</v>
      </c>
      <c r="AI23" s="112">
        <f ca="1">(('Company Profile'!$F$13+'Balance Sheet'!AD52+'Balance Sheet'!AD44+'Balance Sheet'!AD57)-'Balance Sheet'!AD25)/('Income Statement'!AD13+'Income Statement'!AD10+'Income Statement'!AD9)</f>
        <v>70.165528937884261</v>
      </c>
      <c r="AJ23" s="112">
        <f ca="1">(('Company Profile'!$F$13+'Balance Sheet'!AE52+'Balance Sheet'!AE44+'Balance Sheet'!AE57)-'Balance Sheet'!AE25)/('Income Statement'!AE13+'Income Statement'!AE10+'Income Statement'!AE9)</f>
        <v>55.069578263043816</v>
      </c>
      <c r="AK23" s="112">
        <f ca="1">(('Company Profile'!$F$13+'Balance Sheet'!AF52+'Balance Sheet'!AF44+'Balance Sheet'!AF57)-'Balance Sheet'!AF25)/('Income Statement'!AF13+'Income Statement'!AF10+'Income Statement'!AF9)</f>
        <v>27.434773210960351</v>
      </c>
      <c r="AL23" s="112">
        <f ca="1">(('Company Profile'!$F$13+'Balance Sheet'!AG52+'Balance Sheet'!AG44+'Balance Sheet'!AG57)-'Balance Sheet'!AG25)/('Income Statement'!AG13+'Income Statement'!AG10+'Income Statement'!AG9)</f>
        <v>24.646805509708013</v>
      </c>
      <c r="AM23" s="112">
        <f ca="1">(('Company Profile'!$F$13+'Balance Sheet'!AH52+'Balance Sheet'!AH44+'Balance Sheet'!AH57)-'Balance Sheet'!AH25)/('Income Statement'!AH13+'Income Statement'!AH10+'Income Statement'!AH9)</f>
        <v>23.318155530165193</v>
      </c>
    </row>
    <row r="24" spans="1:39" x14ac:dyDescent="0.3">
      <c r="A24" s="269"/>
      <c r="B24" s="109" t="s">
        <v>383</v>
      </c>
      <c r="C24" s="101">
        <f ca="1">(-'Cash flow statement'!B47/'Company Profile'!$B$11)/'Company Profile'!$B$9</f>
        <v>3.4383154818851319E-2</v>
      </c>
      <c r="D24" s="101">
        <f ca="1">(-'Cash flow statement'!C47/'Company Profile'!$B$11)/'Company Profile'!$B$9</f>
        <v>9.9127711586474137E-3</v>
      </c>
      <c r="E24" s="101">
        <f ca="1">(-'Cash flow statement'!D47/'Company Profile'!$B$11)/'Company Profile'!$B$9</f>
        <v>1.2166670370479965E-2</v>
      </c>
      <c r="F24" s="101">
        <f ca="1">(-'Cash flow statement'!E47/'Company Profile'!$B$11)/'Company Profile'!$B$9</f>
        <v>3.7775423879870471E-2</v>
      </c>
      <c r="G24" s="107">
        <f ca="1">(-'Cash flow statement'!F47/'Company Profile'!$B$11)/'Company Profile'!$B$9</f>
        <v>2.2965652406905075E-2</v>
      </c>
      <c r="I24" s="272"/>
      <c r="J24" s="119" t="s">
        <v>383</v>
      </c>
      <c r="K24" s="101">
        <f ca="1">(-'Cash flow statement'!I50/'Company Profile'!$C$11)/'Company Profile'!$C$9</f>
        <v>1.5168538725789504E-2</v>
      </c>
      <c r="L24" s="111">
        <f ca="1">(-'Cash flow statement'!J50/'Company Profile'!$C$11)/'Company Profile'!$C$9</f>
        <v>1.453405859832085E-2</v>
      </c>
      <c r="M24" s="111">
        <f ca="1">(-'Cash flow statement'!K50/'Company Profile'!$C$11)/'Company Profile'!$C$9</f>
        <v>2.0169453700335131E-2</v>
      </c>
      <c r="N24" s="111">
        <f ca="1">(-'Cash flow statement'!L50/'Company Profile'!$C$11)/'Company Profile'!$C$9</f>
        <v>2.1730147280214055E-2</v>
      </c>
      <c r="O24" s="116">
        <f ca="1">(-'Cash flow statement'!M50/'Company Profile'!$C$11)/'Company Profile'!$C$9</f>
        <v>2.3421562896405606E-2</v>
      </c>
      <c r="Q24" s="272"/>
      <c r="R24" s="119" t="s">
        <v>383</v>
      </c>
      <c r="S24" s="83">
        <f ca="1">((-'Cash flow statement'!P45)/'Company Profile'!$D$11)/'Company Profile'!$D$9</f>
        <v>3.2518100714309089E-3</v>
      </c>
      <c r="T24" s="69">
        <f ca="1">((-'Cash flow statement'!Q45)/'Company Profile'!$D$11)/'Company Profile'!$D$9</f>
        <v>7.8024271131754159E-3</v>
      </c>
      <c r="U24" s="69">
        <f ca="1">((-'Cash flow statement'!R45)/'Company Profile'!$D$11)/'Company Profile'!$D$9</f>
        <v>2.729651328199667E-2</v>
      </c>
      <c r="V24" s="69">
        <f ca="1">((-'Cash flow statement'!S45)/'Company Profile'!$D$11)/'Company Profile'!$D$9</f>
        <v>3.1140215090821415E-2</v>
      </c>
      <c r="W24" s="75">
        <f ca="1">((-'Cash flow statement'!T45)/'Company Profile'!$D$11)/'Company Profile'!$D$9</f>
        <v>3.3706676834743675E-2</v>
      </c>
      <c r="Y24" s="278"/>
      <c r="Z24" s="65" t="s">
        <v>383</v>
      </c>
      <c r="AA24" s="69">
        <f ca="1">(((-('Cash flow statement'!W42+'Cash flow statement'!W43))/'Company Profile'!$E$11)/'Company Profile'!$E$9)</f>
        <v>3.2962568011031855E-3</v>
      </c>
      <c r="AB24" s="69">
        <f ca="1">(((-('Cash flow statement'!X42+'Cash flow statement'!X43))/'Company Profile'!$E$11)/'Company Profile'!$E$9)</f>
        <v>2.556012612500767E-3</v>
      </c>
      <c r="AC24" s="69">
        <f ca="1">(((-('Cash flow statement'!Y42+'Cash flow statement'!Y43))/'Company Profile'!$E$11)/'Company Profile'!$E$9)</f>
        <v>2.628882266354582E-3</v>
      </c>
      <c r="AD24" s="69">
        <f ca="1">(((-('Cash flow statement'!Z42+'Cash flow statement'!Z43))/'Company Profile'!$E$11)/'Company Profile'!$E$9)</f>
        <v>0</v>
      </c>
      <c r="AE24" s="75">
        <f ca="1">(((-('Cash flow statement'!AA42+'Cash flow statement'!AA43))/'Company Profile'!$E$11)/'Company Profile'!$E$9)</f>
        <v>5.7935356762081176E-2</v>
      </c>
      <c r="AG24" s="275"/>
      <c r="AH24" s="65" t="s">
        <v>383</v>
      </c>
      <c r="AI24" s="69">
        <f ca="1">(((-'Cash flow statement'!AD43)/'Company Profile'!$F$11)/'Company Profile'!$F$9)</f>
        <v>4.8678091185711697E-4</v>
      </c>
      <c r="AJ24" s="69">
        <f ca="1">(((-'Cash flow statement'!AE43)/'Company Profile'!$F$11)/'Company Profile'!$F$9)</f>
        <v>0</v>
      </c>
      <c r="AK24" s="69">
        <f ca="1">(((-'Cash flow statement'!AF43)/'Company Profile'!$F$11)/'Company Profile'!$F$9)</f>
        <v>7.930049284327537E-3</v>
      </c>
      <c r="AL24" s="69">
        <f ca="1">(((-'Cash flow statement'!AG43)/'Company Profile'!$F$11)/'Company Profile'!$F$9)</f>
        <v>9.3336506866149287E-3</v>
      </c>
      <c r="AM24" s="69">
        <f ca="1">(((-'Cash flow statement'!AH43)/'Company Profile'!$F$11)/'Company Profile'!$F$9)</f>
        <v>1.0603461997790671E-2</v>
      </c>
    </row>
    <row r="25" spans="1:39" ht="15" thickBot="1" x14ac:dyDescent="0.35">
      <c r="A25" s="270"/>
      <c r="B25" s="110" t="s">
        <v>384</v>
      </c>
      <c r="C25" s="102">
        <f ca="1">C21/3.81</f>
        <v>8.8539106171687845</v>
      </c>
      <c r="D25" s="103">
        <f ca="1">D21/0.35</f>
        <v>96.040749690699954</v>
      </c>
      <c r="E25" s="103">
        <f ca="1">E21/18.08</f>
        <v>1.5745308806954255</v>
      </c>
      <c r="F25" s="103">
        <f ca="1">F21/10.02</f>
        <v>2.5822350335142779</v>
      </c>
      <c r="G25" s="105">
        <f ca="1">G21/8.97</f>
        <v>2.6469803065251232</v>
      </c>
      <c r="I25" s="273"/>
      <c r="J25" s="120" t="s">
        <v>384</v>
      </c>
      <c r="K25" s="102">
        <f ca="1">K21/10.42</f>
        <v>3.158406688307966</v>
      </c>
      <c r="L25" s="103">
        <f ca="1">L21/16.73</f>
        <v>1.6851972441395713</v>
      </c>
      <c r="M25" s="103">
        <f ca="1">M21/14.02</f>
        <v>1.7636795617670464</v>
      </c>
      <c r="N25" s="103">
        <f ca="1">N21/8.86</f>
        <v>2.5637052142334662</v>
      </c>
      <c r="O25" s="105">
        <f ca="1">O21/10.96</f>
        <v>1.8677926018145845</v>
      </c>
      <c r="Q25" s="273"/>
      <c r="R25" s="120" t="s">
        <v>384</v>
      </c>
      <c r="S25" s="84">
        <f ca="1">S21/9.12</f>
        <v>4.1383053067121089</v>
      </c>
      <c r="T25" s="76">
        <f ca="1">T21/1.01</f>
        <v>36.992953888458949</v>
      </c>
      <c r="U25" s="76">
        <f ca="1">U21/21.08</f>
        <v>1.4638986870495849</v>
      </c>
      <c r="V25" s="76">
        <f ca="1">V21/9.78</f>
        <v>2.8743233246615851</v>
      </c>
      <c r="W25" s="77">
        <f ca="1">W21/5.83</f>
        <v>4.556275077984</v>
      </c>
      <c r="Y25" s="279"/>
      <c r="Z25" s="117" t="s">
        <v>384</v>
      </c>
      <c r="AA25" s="76">
        <f ca="1">AA21/AA26</f>
        <v>-0.68365137343356908</v>
      </c>
      <c r="AB25" s="76">
        <f t="shared" ref="AB25:AE25" ca="1" si="0">AB21/AB26</f>
        <v>2.0598686378021349</v>
      </c>
      <c r="AC25" s="76">
        <f t="shared" ca="1" si="0"/>
        <v>1.6207758408880673</v>
      </c>
      <c r="AD25" s="76">
        <f t="shared" ca="1" si="0"/>
        <v>-3.0848183473734183</v>
      </c>
      <c r="AE25" s="77">
        <f t="shared" ca="1" si="0"/>
        <v>-10.097593689934932</v>
      </c>
      <c r="AG25" s="276"/>
      <c r="AH25" s="65" t="s">
        <v>384</v>
      </c>
      <c r="AI25" s="112">
        <f ca="1">AI21/AI26</f>
        <v>-189.84958441528994</v>
      </c>
      <c r="AJ25" s="112">
        <f ca="1">AJ21/AJ26</f>
        <v>3.1444698055848517</v>
      </c>
      <c r="AK25" s="112">
        <f ca="1">AK21/AK26</f>
        <v>0.40835770899792473</v>
      </c>
      <c r="AL25" s="112">
        <f t="shared" ref="AL25:AM25" ca="1" si="1">AL21/AL26</f>
        <v>3.2577072717550686</v>
      </c>
      <c r="AM25" s="112">
        <f t="shared" ca="1" si="1"/>
        <v>9.2404551608946655</v>
      </c>
    </row>
    <row r="26" spans="1:39" x14ac:dyDescent="0.3">
      <c r="A26" s="67" t="s">
        <v>375</v>
      </c>
      <c r="B26" s="62" t="s">
        <v>480</v>
      </c>
      <c r="C26" s="139">
        <f>('Balance Sheet'!B44+'Balance Sheet'!B52)/('Balance Sheet'!B33-'Balance Sheet'!B60)</f>
        <v>8.7106640096335217E-2</v>
      </c>
      <c r="D26" s="139">
        <f>('Balance Sheet'!C44+'Balance Sheet'!C52)/('Balance Sheet'!C33-'Balance Sheet'!C60)</f>
        <v>8.0690240569748661E-2</v>
      </c>
      <c r="E26" s="139">
        <f>('Balance Sheet'!D44+'Balance Sheet'!D52)/('Balance Sheet'!D33-'Balance Sheet'!D60)</f>
        <v>7.8839889878281208E-2</v>
      </c>
      <c r="F26" s="139">
        <f>('Balance Sheet'!E44+'Balance Sheet'!E52)/('Balance Sheet'!E33-'Balance Sheet'!E60)</f>
        <v>7.6808568031730487E-2</v>
      </c>
      <c r="G26" s="139">
        <f>('Balance Sheet'!F44+'Balance Sheet'!F52)/('Balance Sheet'!F33-'Balance Sheet'!F60)</f>
        <v>7.9934226917135878E-2</v>
      </c>
      <c r="I26" s="62" t="s">
        <v>375</v>
      </c>
      <c r="J26" s="62" t="s">
        <v>481</v>
      </c>
      <c r="K26" s="139">
        <f>('Balance Sheet'!I39+'Balance Sheet'!I47)/('Balance Sheet'!I28-'Balance Sheet'!I52)</f>
        <v>6.4425965068416954E-2</v>
      </c>
      <c r="L26" s="139">
        <f>('Balance Sheet'!J39+'Balance Sheet'!J47)/('Balance Sheet'!J28-'Balance Sheet'!J52)</f>
        <v>6.3002094154115548E-2</v>
      </c>
      <c r="M26" s="139">
        <f>('Balance Sheet'!K39+'Balance Sheet'!K47)/('Balance Sheet'!K28-'Balance Sheet'!K52)</f>
        <v>0.10365202534348972</v>
      </c>
      <c r="N26" s="139">
        <f>('Balance Sheet'!L39+'Balance Sheet'!L47)/('Balance Sheet'!L28-'Balance Sheet'!L52)</f>
        <v>0.12607641694563085</v>
      </c>
      <c r="O26" s="139">
        <f>('Balance Sheet'!M39+'Balance Sheet'!M47)/('Balance Sheet'!M28-'Balance Sheet'!M52)</f>
        <v>0.10458493233690164</v>
      </c>
      <c r="Q26" s="62" t="s">
        <v>375</v>
      </c>
      <c r="R26" s="62" t="s">
        <v>480</v>
      </c>
      <c r="S26" s="139">
        <f>('Balance Sheet'!P38+'Balance Sheet'!P39+'Balance Sheet'!P47+'Balance Sheet'!P49)/('Balance Sheet'!P28-'Balance Sheet'!P54)</f>
        <v>0.12821076111937271</v>
      </c>
      <c r="T26" s="139">
        <f>('Balance Sheet'!Q38+'Balance Sheet'!Q39+'Balance Sheet'!Q47+'Balance Sheet'!Q49)/('Balance Sheet'!Q28-'Balance Sheet'!Q54)</f>
        <v>9.3328101611660927E-2</v>
      </c>
      <c r="U26" s="139">
        <f>('Balance Sheet'!R38+'Balance Sheet'!R39+'Balance Sheet'!R47+'Balance Sheet'!R49)/('Balance Sheet'!R28-'Balance Sheet'!R54)</f>
        <v>9.0281533775513109E-2</v>
      </c>
      <c r="V26" s="139">
        <f>('Balance Sheet'!S38+'Balance Sheet'!S39+'Balance Sheet'!S47+'Balance Sheet'!S49)/('Balance Sheet'!S28-'Balance Sheet'!S54)</f>
        <v>6.6490691858849676E-2</v>
      </c>
      <c r="W26" s="139">
        <f>('Balance Sheet'!T38+'Balance Sheet'!T39+'Balance Sheet'!T47+'Balance Sheet'!T49)/('Balance Sheet'!T28-'Balance Sheet'!T54)</f>
        <v>7.498208819123299E-2</v>
      </c>
      <c r="AA26" s="139">
        <f>((9.33-14.95)/14.95)*100</f>
        <v>-37.591973244147155</v>
      </c>
      <c r="AB26" s="139">
        <f>((AB10-AA10)/AA10)*100</f>
        <v>11.217994637630687</v>
      </c>
      <c r="AC26" s="139">
        <f t="shared" ref="AC26:AE26" si="2">((AC10-AB10)/AB10)*100</f>
        <v>12.655502392344479</v>
      </c>
      <c r="AD26" s="139">
        <f t="shared" si="2"/>
        <v>-7.162226179002559</v>
      </c>
      <c r="AE26" s="139">
        <f t="shared" si="2"/>
        <v>-2.2381559846916375</v>
      </c>
      <c r="AI26" s="62">
        <v>-0.57999999999999996</v>
      </c>
      <c r="AJ26" s="139">
        <f>((AJ10-AI10)/AI10)*100</f>
        <v>27.471226570207257</v>
      </c>
      <c r="AK26" s="139">
        <f t="shared" ref="AK26:AM26" si="3">((AK10-AJ10)/AJ10)*100</f>
        <v>103.79733773604374</v>
      </c>
      <c r="AL26" s="139">
        <f t="shared" si="3"/>
        <v>11.653164556961988</v>
      </c>
      <c r="AM26" s="139">
        <f t="shared" si="3"/>
        <v>3.9521121012175282</v>
      </c>
    </row>
    <row r="27" spans="1:39" x14ac:dyDescent="0.3">
      <c r="Y27" s="62" t="s">
        <v>375</v>
      </c>
      <c r="Z27" s="62" t="s">
        <v>480</v>
      </c>
      <c r="AA27" s="139">
        <f>('Balance Sheet'!W45+'Balance Sheet'!W47+'Balance Sheet'!W56+'Balance Sheet'!W59)/('Balance Sheet'!W34-'Balance Sheet'!W65)</f>
        <v>0.13088283623632618</v>
      </c>
      <c r="AB27" s="139">
        <f>('Balance Sheet'!X45+'Balance Sheet'!X47+'Balance Sheet'!X56+'Balance Sheet'!X59)/('Balance Sheet'!X34-'Balance Sheet'!X65)</f>
        <v>0.17498267150190364</v>
      </c>
      <c r="AC27" s="139">
        <f>('Balance Sheet'!Y45+'Balance Sheet'!Y47+'Balance Sheet'!Y56+'Balance Sheet'!Y59)/('Balance Sheet'!Y34-'Balance Sheet'!Y65)</f>
        <v>0.22945515015161883</v>
      </c>
      <c r="AD27" s="139">
        <f>('Balance Sheet'!Z45+'Balance Sheet'!Z47+'Balance Sheet'!Z56+'Balance Sheet'!Z59)/('Balance Sheet'!Z34-'Balance Sheet'!Z65)</f>
        <v>0.1933035556185147</v>
      </c>
      <c r="AE27" s="139">
        <f>('Balance Sheet'!AA45+'Balance Sheet'!AA47+'Balance Sheet'!AA56+'Balance Sheet'!AA59)/('Balance Sheet'!AA34-'Balance Sheet'!AA65)</f>
        <v>0.18387332374409229</v>
      </c>
      <c r="AG27" s="62" t="s">
        <v>375</v>
      </c>
      <c r="AH27" s="62" t="s">
        <v>481</v>
      </c>
      <c r="AI27" s="139">
        <f>('Balance Sheet'!AD44+'Balance Sheet'!AD52+'Balance Sheet'!AD57)/('Balance Sheet'!AD32-'Balance Sheet'!AD61)</f>
        <v>0.14042841523322608</v>
      </c>
      <c r="AJ27" s="139">
        <f>('Balance Sheet'!AE44+'Balance Sheet'!AE52+'Balance Sheet'!AE57)/('Balance Sheet'!AE32-'Balance Sheet'!AE61)</f>
        <v>9.8838648969889059E-2</v>
      </c>
      <c r="AK27" s="139">
        <f>('Balance Sheet'!AF44+'Balance Sheet'!AF52+'Balance Sheet'!AF57)/('Balance Sheet'!AF32-'Balance Sheet'!AF61)</f>
        <v>8.9805746896404776E-2</v>
      </c>
      <c r="AL27" s="139">
        <f>('Balance Sheet'!AG44+'Balance Sheet'!AG52+'Balance Sheet'!AG57)/('Balance Sheet'!AG32-'Balance Sheet'!AG61)</f>
        <v>8.5558053681960761E-2</v>
      </c>
      <c r="AM27" s="139">
        <f>('Balance Sheet'!AH44+'Balance Sheet'!AH52+'Balance Sheet'!AH57)/('Balance Sheet'!AH32-'Balance Sheet'!AH61)</f>
        <v>9.4895461919907609E-2</v>
      </c>
    </row>
    <row r="28" spans="1:39" x14ac:dyDescent="0.3">
      <c r="K28" s="104"/>
      <c r="L28" s="104"/>
      <c r="M28" s="104"/>
      <c r="N28" s="104"/>
      <c r="O28" s="104"/>
      <c r="S28" s="104"/>
      <c r="T28" s="104"/>
      <c r="U28" s="104"/>
      <c r="V28" s="104"/>
      <c r="W28" s="104"/>
      <c r="AA28" s="139"/>
      <c r="AB28" s="139"/>
      <c r="AC28" s="139"/>
      <c r="AD28" s="139"/>
      <c r="AE28" s="139"/>
      <c r="AJ28" s="139"/>
      <c r="AK28" s="139"/>
      <c r="AL28" s="139"/>
      <c r="AM28" s="139"/>
    </row>
    <row r="29" spans="1:39" s="139" customFormat="1" x14ac:dyDescent="0.3">
      <c r="A29" s="230"/>
      <c r="B29" s="112" t="s">
        <v>449</v>
      </c>
      <c r="C29" s="112">
        <v>2269</v>
      </c>
      <c r="D29" s="112">
        <v>3191.1</v>
      </c>
      <c r="E29" s="112">
        <v>3748</v>
      </c>
      <c r="F29" s="112">
        <v>3224.95</v>
      </c>
      <c r="G29" s="112">
        <v>3897.7</v>
      </c>
      <c r="J29" s="112" t="s">
        <v>449</v>
      </c>
      <c r="K29" s="112">
        <v>926.25</v>
      </c>
      <c r="L29" s="112">
        <v>1380</v>
      </c>
      <c r="M29" s="112">
        <v>1886.85</v>
      </c>
      <c r="N29" s="112">
        <v>1435</v>
      </c>
      <c r="O29" s="112">
        <v>1525</v>
      </c>
      <c r="R29" s="112" t="s">
        <v>449</v>
      </c>
      <c r="S29" s="112">
        <v>695</v>
      </c>
      <c r="T29" s="112">
        <f>992</f>
        <v>992</v>
      </c>
      <c r="U29" s="112">
        <v>1161</v>
      </c>
      <c r="V29" s="112">
        <v>1089.95</v>
      </c>
      <c r="W29" s="112">
        <v>1549</v>
      </c>
      <c r="Z29" s="112" t="s">
        <v>449</v>
      </c>
      <c r="AA29" s="112">
        <f>135.5</f>
        <v>135.5</v>
      </c>
      <c r="AB29" s="112">
        <f>209.43</f>
        <v>209.43</v>
      </c>
      <c r="AC29" s="112">
        <f>295.85</f>
        <v>295.85000000000002</v>
      </c>
      <c r="AD29" s="112">
        <v>183.98</v>
      </c>
      <c r="AE29" s="112">
        <v>241.85</v>
      </c>
      <c r="AH29" s="112" t="s">
        <v>449</v>
      </c>
      <c r="AI29" s="112">
        <v>2480.0500000000002</v>
      </c>
      <c r="AJ29" s="112">
        <v>4082</v>
      </c>
      <c r="AK29" s="112">
        <f>6148.95</f>
        <v>6148.95</v>
      </c>
      <c r="AL29" s="112">
        <f>4760</f>
        <v>4760</v>
      </c>
      <c r="AM29" s="112">
        <f>4955</f>
        <v>4955</v>
      </c>
    </row>
    <row r="30" spans="1:39" s="139" customFormat="1" x14ac:dyDescent="0.3">
      <c r="A30" s="230"/>
      <c r="B30" s="112" t="s">
        <v>450</v>
      </c>
      <c r="C30" s="112">
        <f>'Company Profile'!$B$11</f>
        <v>361.81</v>
      </c>
      <c r="D30" s="112">
        <f>'Company Profile'!$B$11</f>
        <v>361.81</v>
      </c>
      <c r="E30" s="112">
        <f>'Company Profile'!$B$11</f>
        <v>361.81</v>
      </c>
      <c r="F30" s="112">
        <f>'Company Profile'!$B$11</f>
        <v>361.81</v>
      </c>
      <c r="G30" s="112">
        <f>'Company Profile'!$B$11</f>
        <v>361.81</v>
      </c>
      <c r="J30" s="112" t="s">
        <v>450</v>
      </c>
      <c r="K30" s="112">
        <f>'Company Profile'!$C$11</f>
        <v>414.46</v>
      </c>
      <c r="L30" s="112">
        <f>'Company Profile'!$C$11</f>
        <v>414.46</v>
      </c>
      <c r="M30" s="112">
        <f>'Company Profile'!$C$11</f>
        <v>414.46</v>
      </c>
      <c r="N30" s="112">
        <f>'Company Profile'!$C$11</f>
        <v>414.46</v>
      </c>
      <c r="O30" s="112">
        <f>'Company Profile'!$C$11</f>
        <v>414.46</v>
      </c>
      <c r="R30" s="112" t="s">
        <v>450</v>
      </c>
      <c r="S30" s="112">
        <f>'Company Profile'!$D$11</f>
        <v>270.89</v>
      </c>
      <c r="T30" s="112">
        <f>'Company Profile'!$D$11</f>
        <v>270.89</v>
      </c>
      <c r="U30" s="112">
        <f>'Company Profile'!$D$11</f>
        <v>270.89</v>
      </c>
      <c r="V30" s="112">
        <f>'Company Profile'!$D$11</f>
        <v>270.89</v>
      </c>
      <c r="W30" s="112">
        <f>'Company Profile'!$D$11</f>
        <v>270.89</v>
      </c>
      <c r="Z30" s="112" t="s">
        <v>450</v>
      </c>
      <c r="AA30" s="112">
        <f>'Company Profile'!$E$11</f>
        <v>1047.087</v>
      </c>
      <c r="AB30" s="112">
        <f>'Company Profile'!$E$11</f>
        <v>1047.087</v>
      </c>
      <c r="AC30" s="112">
        <f>'Company Profile'!$E$11</f>
        <v>1047.087</v>
      </c>
      <c r="AD30" s="112">
        <f>'Company Profile'!$E$11</f>
        <v>1047.087</v>
      </c>
      <c r="AE30" s="112">
        <f>'Company Profile'!$E$11</f>
        <v>1047.087</v>
      </c>
      <c r="AH30" s="112" t="s">
        <v>450</v>
      </c>
      <c r="AI30" s="112">
        <f>'Company Profile'!$F$11</f>
        <v>29.632999999999999</v>
      </c>
      <c r="AJ30" s="112">
        <f>'Company Profile'!$F$11</f>
        <v>29.632999999999999</v>
      </c>
      <c r="AK30" s="112">
        <f>'Company Profile'!$F$11</f>
        <v>29.632999999999999</v>
      </c>
      <c r="AL30" s="112">
        <f>'Company Profile'!$F$11</f>
        <v>29.632999999999999</v>
      </c>
      <c r="AM30" s="112">
        <f>'Company Profile'!$F$11</f>
        <v>29.632999999999999</v>
      </c>
    </row>
    <row r="31" spans="1:39" s="139" customFormat="1" x14ac:dyDescent="0.3">
      <c r="A31" s="230"/>
      <c r="B31" s="112" t="s">
        <v>451</v>
      </c>
      <c r="C31" s="112">
        <f>C29*C30</f>
        <v>820946.89</v>
      </c>
      <c r="D31" s="112">
        <f t="shared" ref="D31:G31" si="4">D29*D30</f>
        <v>1154571.8910000001</v>
      </c>
      <c r="E31" s="112">
        <f t="shared" si="4"/>
        <v>1356063.8800000001</v>
      </c>
      <c r="F31" s="112">
        <f t="shared" si="4"/>
        <v>1166819.1594999998</v>
      </c>
      <c r="G31" s="112">
        <f t="shared" si="4"/>
        <v>1410226.8370000001</v>
      </c>
      <c r="J31" s="112" t="s">
        <v>451</v>
      </c>
      <c r="K31" s="112">
        <f>K29*K30</f>
        <v>383893.57499999995</v>
      </c>
      <c r="L31" s="112">
        <f t="shared" ref="L31:O31" si="5">L29*L30</f>
        <v>571954.79999999993</v>
      </c>
      <c r="M31" s="112">
        <f t="shared" si="5"/>
        <v>782023.85099999991</v>
      </c>
      <c r="N31" s="112">
        <f t="shared" si="5"/>
        <v>594750.1</v>
      </c>
      <c r="O31" s="112">
        <f t="shared" si="5"/>
        <v>632051.5</v>
      </c>
      <c r="R31" s="112" t="s">
        <v>451</v>
      </c>
      <c r="S31" s="112">
        <f>S29*S30</f>
        <v>188268.55</v>
      </c>
      <c r="T31" s="112">
        <f t="shared" ref="T31:W31" si="6">T29*T30</f>
        <v>268722.88</v>
      </c>
      <c r="U31" s="112">
        <f t="shared" si="6"/>
        <v>314503.28999999998</v>
      </c>
      <c r="V31" s="112">
        <f t="shared" si="6"/>
        <v>295256.55550000002</v>
      </c>
      <c r="W31" s="112">
        <f t="shared" si="6"/>
        <v>419608.61</v>
      </c>
      <c r="Z31" s="112" t="s">
        <v>451</v>
      </c>
      <c r="AA31" s="112">
        <f>AA29*AA30</f>
        <v>141880.2885</v>
      </c>
      <c r="AB31" s="112">
        <f t="shared" ref="AB31:AE31" si="7">AB29*AB30</f>
        <v>219291.43041</v>
      </c>
      <c r="AC31" s="112">
        <f t="shared" si="7"/>
        <v>309780.68895000004</v>
      </c>
      <c r="AD31" s="112">
        <f t="shared" si="7"/>
        <v>192643.06625999999</v>
      </c>
      <c r="AE31" s="112">
        <f t="shared" si="7"/>
        <v>253237.99094999998</v>
      </c>
      <c r="AH31" s="112" t="s">
        <v>451</v>
      </c>
      <c r="AI31" s="112">
        <f>AI29*AI30</f>
        <v>73491.321649999998</v>
      </c>
      <c r="AJ31" s="112">
        <f t="shared" ref="AJ31:AM31" si="8">AJ29*AJ30</f>
        <v>120961.906</v>
      </c>
      <c r="AK31" s="112">
        <f t="shared" si="8"/>
        <v>182211.83534999998</v>
      </c>
      <c r="AL31" s="112">
        <f t="shared" si="8"/>
        <v>141053.07999999999</v>
      </c>
      <c r="AM31" s="112">
        <f t="shared" si="8"/>
        <v>146831.51499999998</v>
      </c>
    </row>
  </sheetData>
  <mergeCells count="35">
    <mergeCell ref="AL1:AM1"/>
    <mergeCell ref="AG3:AG10"/>
    <mergeCell ref="AG11:AG14"/>
    <mergeCell ref="AG15:AG17"/>
    <mergeCell ref="AG18:AG20"/>
    <mergeCell ref="AG1:AK1"/>
    <mergeCell ref="AG21:AG25"/>
    <mergeCell ref="Y3:Y10"/>
    <mergeCell ref="Y11:Y14"/>
    <mergeCell ref="Y15:Y17"/>
    <mergeCell ref="Y18:Y20"/>
    <mergeCell ref="Y21:Y25"/>
    <mergeCell ref="I21:I25"/>
    <mergeCell ref="Q1:U1"/>
    <mergeCell ref="V1:W1"/>
    <mergeCell ref="Q3:Q10"/>
    <mergeCell ref="Q11:Q14"/>
    <mergeCell ref="Q15:Q17"/>
    <mergeCell ref="Q18:Q20"/>
    <mergeCell ref="Q21:Q25"/>
    <mergeCell ref="I1:M1"/>
    <mergeCell ref="I3:I10"/>
    <mergeCell ref="I11:I14"/>
    <mergeCell ref="I15:I17"/>
    <mergeCell ref="I18:I20"/>
    <mergeCell ref="A3:A10"/>
    <mergeCell ref="A11:A14"/>
    <mergeCell ref="A15:A17"/>
    <mergeCell ref="A18:A20"/>
    <mergeCell ref="A21:A25"/>
    <mergeCell ref="A1:E1"/>
    <mergeCell ref="N1:O1"/>
    <mergeCell ref="Y1:AC1"/>
    <mergeCell ref="AD1:AE1"/>
    <mergeCell ref="F1:G1"/>
  </mergeCells>
  <conditionalFormatting sqref="C3:G3">
    <cfRule type="colorScale" priority="119">
      <colorScale>
        <cfvo type="num" val="0"/>
        <cfvo type="num" val="0.35"/>
        <color rgb="FFFFEF9C"/>
        <color rgb="FF63BE7B"/>
      </colorScale>
    </cfRule>
  </conditionalFormatting>
  <conditionalFormatting sqref="C4:G4">
    <cfRule type="colorScale" priority="118">
      <colorScale>
        <cfvo type="num" val="0.2"/>
        <cfvo type="num" val="0.3"/>
        <color rgb="FFFFEF9C"/>
        <color rgb="FF63BE7B"/>
      </colorScale>
    </cfRule>
  </conditionalFormatting>
  <conditionalFormatting sqref="C5:G5">
    <cfRule type="colorScale" priority="117">
      <colorScale>
        <cfvo type="num" val="0.18"/>
        <cfvo type="num" val="0.25"/>
        <color rgb="FFFFEF9C"/>
        <color rgb="FF63BE7B"/>
      </colorScale>
    </cfRule>
  </conditionalFormatting>
  <conditionalFormatting sqref="C6:G6">
    <cfRule type="colorScale" priority="116">
      <colorScale>
        <cfvo type="num" val="0.15"/>
        <cfvo type="num" val="0.22"/>
        <color rgb="FFFFEF9C"/>
        <color rgb="FF63BE7B"/>
      </colorScale>
    </cfRule>
  </conditionalFormatting>
  <conditionalFormatting sqref="C7:G7">
    <cfRule type="colorScale" priority="115">
      <colorScale>
        <cfvo type="num" val="0.09"/>
        <cfvo type="num" val="0.1"/>
        <color rgb="FFFFEF9C"/>
        <color rgb="FF63BE7B"/>
      </colorScale>
    </cfRule>
  </conditionalFormatting>
  <conditionalFormatting sqref="C8:G8">
    <cfRule type="colorScale" priority="114">
      <colorScale>
        <cfvo type="num" val="0.15"/>
        <cfvo type="num" val="0.25"/>
        <color rgb="FFFFEF9C"/>
        <color rgb="FF63BE7B"/>
      </colorScale>
    </cfRule>
  </conditionalFormatting>
  <conditionalFormatting sqref="C9:G9">
    <cfRule type="colorScale" priority="113">
      <colorScale>
        <cfvo type="num" val="0"/>
        <cfvo type="num" val="0.15"/>
        <color rgb="FFFFEF9C"/>
        <color rgb="FF63BE7B"/>
      </colorScale>
    </cfRule>
  </conditionalFormatting>
  <conditionalFormatting sqref="C10:G10">
    <cfRule type="colorScale" priority="112">
      <colorScale>
        <cfvo type="num" val="89"/>
        <cfvo type="max"/>
        <color rgb="FFFFEF9C"/>
        <color rgb="FF63BE7B"/>
      </colorScale>
    </cfRule>
  </conditionalFormatting>
  <conditionalFormatting sqref="C11:G11">
    <cfRule type="colorScale" priority="111">
      <colorScale>
        <cfvo type="num" val="0.8"/>
        <cfvo type="num" val="1.3"/>
        <color rgb="FFFFEF9C"/>
        <color rgb="FF63BE7B"/>
      </colorScale>
    </cfRule>
  </conditionalFormatting>
  <conditionalFormatting sqref="C12:G12">
    <cfRule type="colorScale" priority="110">
      <colorScale>
        <cfvo type="num" val="2500000"/>
        <cfvo type="num" val="5000000"/>
        <color rgb="FFFFEF9C"/>
        <color rgb="FF63BE7B"/>
      </colorScale>
    </cfRule>
  </conditionalFormatting>
  <conditionalFormatting sqref="C13:G13">
    <cfRule type="colorScale" priority="109">
      <colorScale>
        <cfvo type="num" val="400000"/>
        <cfvo type="num" val="1000000"/>
        <color rgb="FFFFEF9C"/>
        <color rgb="FF63BE7B"/>
      </colorScale>
    </cfRule>
  </conditionalFormatting>
  <conditionalFormatting sqref="C14:G14">
    <cfRule type="colorScale" priority="108">
      <colorScale>
        <cfvo type="num" val="0.15"/>
        <cfvo type="num" val="0.2"/>
        <cfvo type="num" val="0.3"/>
        <color rgb="FFFFEF9C"/>
        <color theme="9" tint="0.39997558519241921"/>
        <color rgb="FF00B050"/>
      </colorScale>
    </cfRule>
  </conditionalFormatting>
  <conditionalFormatting sqref="C15:G15">
    <cfRule type="colorScale" priority="107">
      <colorScale>
        <cfvo type="num" val="1.5"/>
        <cfvo type="num" val="2.5"/>
        <color theme="9" tint="0.39997558519241921"/>
        <color rgb="FF63BE7B"/>
      </colorScale>
    </cfRule>
  </conditionalFormatting>
  <conditionalFormatting sqref="C16:G16">
    <cfRule type="colorScale" priority="106">
      <colorScale>
        <cfvo type="min"/>
        <cfvo type="num" val="1"/>
        <color rgb="FFFFEF9C"/>
        <color rgb="FF63BE7B"/>
      </colorScale>
    </cfRule>
  </conditionalFormatting>
  <conditionalFormatting sqref="C17:G17">
    <cfRule type="colorScale" priority="105">
      <colorScale>
        <cfvo type="min"/>
        <cfvo type="num" val="0.5"/>
        <color rgb="FFFFEF9C"/>
        <color rgb="FF63BE7B"/>
      </colorScale>
    </cfRule>
  </conditionalFormatting>
  <conditionalFormatting sqref="C18:G18">
    <cfRule type="colorScale" priority="103">
      <colorScale>
        <cfvo type="min"/>
        <cfvo type="num" val="0.5"/>
        <color rgb="FF63BE7B"/>
        <color rgb="FFFFEF9C"/>
      </colorScale>
    </cfRule>
  </conditionalFormatting>
  <conditionalFormatting sqref="C19:G19">
    <cfRule type="colorScale" priority="102">
      <colorScale>
        <cfvo type="min"/>
        <cfvo type="num" val="5"/>
        <color rgb="FFFFEF9C"/>
        <color rgb="FF63BE7B"/>
      </colorScale>
    </cfRule>
  </conditionalFormatting>
  <conditionalFormatting sqref="C20:G20">
    <cfRule type="colorScale" priority="101">
      <colorScale>
        <cfvo type="num" val="1.5"/>
        <cfvo type="num" val="2"/>
        <color rgb="FFFFEF9C"/>
        <color rgb="FF63BE7B"/>
      </colorScale>
    </cfRule>
  </conditionalFormatting>
  <conditionalFormatting sqref="C21:G21">
    <cfRule type="colorScale" priority="100">
      <colorScale>
        <cfvo type="num" val="20"/>
        <cfvo type="num" val="35"/>
        <color rgb="FFFFEF9C"/>
        <color rgb="FF63BE7B"/>
      </colorScale>
    </cfRule>
  </conditionalFormatting>
  <conditionalFormatting sqref="C22:G22">
    <cfRule type="colorScale" priority="99">
      <colorScale>
        <cfvo type="num" val="4"/>
        <cfvo type="num" val="10"/>
        <color rgb="FFFFEF9C"/>
        <color rgb="FF63BE7B"/>
      </colorScale>
    </cfRule>
  </conditionalFormatting>
  <conditionalFormatting sqref="C23:G23">
    <cfRule type="colorScale" priority="98">
      <colorScale>
        <cfvo type="num" val="12"/>
        <cfvo type="num" val="20"/>
        <color rgb="FFFFEF9C"/>
        <color rgb="FF63BE7B"/>
      </colorScale>
    </cfRule>
  </conditionalFormatting>
  <conditionalFormatting sqref="C24:G24">
    <cfRule type="colorScale" priority="97">
      <colorScale>
        <cfvo type="num" val="0.01"/>
        <cfvo type="num" val="0.02"/>
        <color rgb="FFFFEF9C"/>
        <color rgb="FF63BE7B"/>
      </colorScale>
    </cfRule>
  </conditionalFormatting>
  <conditionalFormatting sqref="C25:G25">
    <cfRule type="colorScale" priority="95">
      <colorScale>
        <cfvo type="num" val="0.1"/>
        <cfvo type="num" val="1.5"/>
        <color rgb="FF63BE7B"/>
        <color rgb="FFFFEF9C"/>
      </colorScale>
    </cfRule>
  </conditionalFormatting>
  <conditionalFormatting sqref="K3:O3">
    <cfRule type="colorScale" priority="94">
      <colorScale>
        <cfvo type="min"/>
        <cfvo type="num" val="0.35"/>
        <color rgb="FFFFEF9C"/>
        <color rgb="FF63BE7B"/>
      </colorScale>
    </cfRule>
  </conditionalFormatting>
  <conditionalFormatting sqref="K4:O4">
    <cfRule type="colorScale" priority="93">
      <colorScale>
        <cfvo type="num" val="0.2"/>
        <cfvo type="num" val="0.3"/>
        <color rgb="FFFFEF9C"/>
        <color rgb="FF63BE7B"/>
      </colorScale>
    </cfRule>
  </conditionalFormatting>
  <conditionalFormatting sqref="K5:O5">
    <cfRule type="colorScale" priority="92">
      <colorScale>
        <cfvo type="num" val="0.18"/>
        <cfvo type="num" val="0.25"/>
        <color rgb="FFFFEF9C"/>
        <color rgb="FF63BE7B"/>
      </colorScale>
    </cfRule>
  </conditionalFormatting>
  <conditionalFormatting sqref="K6:O6">
    <cfRule type="colorScale" priority="91">
      <colorScale>
        <cfvo type="num" val="0.15"/>
        <cfvo type="num" val="0.22"/>
        <color rgb="FFFFEF9C"/>
        <color rgb="FF63BE7B"/>
      </colorScale>
    </cfRule>
  </conditionalFormatting>
  <conditionalFormatting sqref="K7:O7">
    <cfRule type="colorScale" priority="90">
      <colorScale>
        <cfvo type="min"/>
        <cfvo type="num" val="0.1"/>
        <color rgb="FFFFEF9C"/>
        <color rgb="FF63BE7B"/>
      </colorScale>
    </cfRule>
  </conditionalFormatting>
  <conditionalFormatting sqref="K8:O8">
    <cfRule type="colorScale" priority="89">
      <colorScale>
        <cfvo type="num" val="0.15"/>
        <cfvo type="num" val="0.25"/>
        <color rgb="FFFFEF9C"/>
        <color rgb="FF63BE7B"/>
      </colorScale>
    </cfRule>
  </conditionalFormatting>
  <conditionalFormatting sqref="K9:O9">
    <cfRule type="colorScale" priority="88">
      <colorScale>
        <cfvo type="min"/>
        <cfvo type="num" val="0.15"/>
        <color rgb="FFFFEF9C"/>
        <color rgb="FF63BE7B"/>
      </colorScale>
    </cfRule>
  </conditionalFormatting>
  <conditionalFormatting sqref="K10:O10">
    <cfRule type="colorScale" priority="87">
      <colorScale>
        <cfvo type="min"/>
        <cfvo type="max"/>
        <color rgb="FFFFEF9C"/>
        <color rgb="FF63BE7B"/>
      </colorScale>
    </cfRule>
  </conditionalFormatting>
  <conditionalFormatting sqref="K11:O11">
    <cfRule type="colorScale" priority="86">
      <colorScale>
        <cfvo type="min"/>
        <cfvo type="num" val="0.8"/>
        <color rgb="FFFFEF9C"/>
        <color rgb="FF63BE7B"/>
      </colorScale>
    </cfRule>
  </conditionalFormatting>
  <conditionalFormatting sqref="K12:O12">
    <cfRule type="colorScale" priority="85">
      <colorScale>
        <cfvo type="num" val="2500000"/>
        <cfvo type="num" val="5000000"/>
        <color rgb="FFFFEF9C"/>
        <color rgb="FF63BE7B"/>
      </colorScale>
    </cfRule>
  </conditionalFormatting>
  <conditionalFormatting sqref="K13:O13">
    <cfRule type="colorScale" priority="84">
      <colorScale>
        <cfvo type="num" val="400000"/>
        <cfvo type="num" val="1000000"/>
        <color rgb="FFFFEF9C"/>
        <color rgb="FF63BE7B"/>
      </colorScale>
    </cfRule>
  </conditionalFormatting>
  <conditionalFormatting sqref="K14:O14">
    <cfRule type="colorScale" priority="83">
      <colorScale>
        <cfvo type="min"/>
        <cfvo type="num" val="0.15"/>
        <color rgb="FFFFEF9C"/>
        <color rgb="FF63BE7B"/>
      </colorScale>
    </cfRule>
  </conditionalFormatting>
  <conditionalFormatting sqref="K15:O15">
    <cfRule type="colorScale" priority="82">
      <colorScale>
        <cfvo type="num" val="1.5"/>
        <cfvo type="num" val="2.5"/>
        <color rgb="FFFFEF9C"/>
        <color rgb="FF63BE7B"/>
      </colorScale>
    </cfRule>
  </conditionalFormatting>
  <conditionalFormatting sqref="K17:O17">
    <cfRule type="colorScale" priority="81">
      <colorScale>
        <cfvo type="min"/>
        <cfvo type="num" val="0.5"/>
        <color rgb="FFFFEF9C"/>
        <color rgb="FF63BE7B"/>
      </colorScale>
    </cfRule>
  </conditionalFormatting>
  <conditionalFormatting sqref="K18:O18">
    <cfRule type="colorScale" priority="80">
      <colorScale>
        <cfvo type="min"/>
        <cfvo type="num" val="0.5"/>
        <color rgb="FF63BE7B"/>
        <color rgb="FFFFEF9C"/>
      </colorScale>
    </cfRule>
  </conditionalFormatting>
  <conditionalFormatting sqref="K19:O19">
    <cfRule type="colorScale" priority="79">
      <colorScale>
        <cfvo type="min"/>
        <cfvo type="num" val="5"/>
        <color rgb="FFFFEF9C"/>
        <color rgb="FF63BE7B"/>
      </colorScale>
    </cfRule>
  </conditionalFormatting>
  <conditionalFormatting sqref="K20:O20">
    <cfRule type="colorScale" priority="78">
      <colorScale>
        <cfvo type="num" val="1.5"/>
        <cfvo type="num" val="2"/>
        <color rgb="FFFFEF9C"/>
        <color rgb="FF63BE7B"/>
      </colorScale>
    </cfRule>
  </conditionalFormatting>
  <conditionalFormatting sqref="K21:O21">
    <cfRule type="colorScale" priority="77">
      <colorScale>
        <cfvo type="num" val="20"/>
        <cfvo type="num" val="35"/>
        <color rgb="FFFFEF9C"/>
        <color rgb="FF63BE7B"/>
      </colorScale>
    </cfRule>
  </conditionalFormatting>
  <conditionalFormatting sqref="K22:O22">
    <cfRule type="colorScale" priority="76">
      <colorScale>
        <cfvo type="num" val="4"/>
        <cfvo type="num" val="10"/>
        <color rgb="FFFFEF9C"/>
        <color rgb="FF63BE7B"/>
      </colorScale>
    </cfRule>
  </conditionalFormatting>
  <conditionalFormatting sqref="K23:O23">
    <cfRule type="colorScale" priority="75">
      <colorScale>
        <cfvo type="num" val="12"/>
        <cfvo type="num" val="20"/>
        <color rgb="FFFFEF9C"/>
        <color rgb="FF63BE7B"/>
      </colorScale>
    </cfRule>
  </conditionalFormatting>
  <conditionalFormatting sqref="K24:O24">
    <cfRule type="colorScale" priority="74">
      <colorScale>
        <cfvo type="num" val="0.01"/>
        <cfvo type="num" val="0.02"/>
        <color rgb="FFFFEF9C"/>
        <color rgb="FF63BE7B"/>
      </colorScale>
    </cfRule>
  </conditionalFormatting>
  <conditionalFormatting sqref="K25:O25">
    <cfRule type="colorScale" priority="72">
      <colorScale>
        <cfvo type="min"/>
        <cfvo type="num" val="1.5"/>
        <color rgb="FF63BE7B"/>
        <color rgb="FFFFEF9C"/>
      </colorScale>
    </cfRule>
  </conditionalFormatting>
  <conditionalFormatting sqref="S3:W3">
    <cfRule type="colorScale" priority="54">
      <colorScale>
        <cfvo type="min"/>
        <cfvo type="num" val="0.35"/>
        <color rgb="FFFFEF9C"/>
        <color rgb="FF63BE7B"/>
      </colorScale>
    </cfRule>
  </conditionalFormatting>
  <conditionalFormatting sqref="S4:W4">
    <cfRule type="colorScale" priority="53">
      <colorScale>
        <cfvo type="num" val="0.2"/>
        <cfvo type="num" val="0.3"/>
        <color rgb="FFFFEF9C"/>
        <color rgb="FF63BE7B"/>
      </colorScale>
    </cfRule>
  </conditionalFormatting>
  <conditionalFormatting sqref="S5:W5">
    <cfRule type="colorScale" priority="52">
      <colorScale>
        <cfvo type="num" val="0.18"/>
        <cfvo type="num" val="0.25"/>
        <color rgb="FFFFEF9C"/>
        <color rgb="FF63BE7B"/>
      </colorScale>
    </cfRule>
  </conditionalFormatting>
  <conditionalFormatting sqref="S6:W6">
    <cfRule type="colorScale" priority="51">
      <colorScale>
        <cfvo type="num" val="0.15"/>
        <cfvo type="num" val="0.22"/>
        <color rgb="FFFFEF9C"/>
        <color rgb="FF63BE7B"/>
      </colorScale>
    </cfRule>
  </conditionalFormatting>
  <conditionalFormatting sqref="S7:W7">
    <cfRule type="colorScale" priority="50">
      <colorScale>
        <cfvo type="min"/>
        <cfvo type="num" val="0.1"/>
        <color rgb="FFFFEF9C"/>
        <color rgb="FF63BE7B"/>
      </colorScale>
    </cfRule>
  </conditionalFormatting>
  <conditionalFormatting sqref="S8:W8">
    <cfRule type="colorScale" priority="49">
      <colorScale>
        <cfvo type="num" val="0.15"/>
        <cfvo type="num" val="0.25"/>
        <color rgb="FFFFEF9C"/>
        <color rgb="FF63BE7B"/>
      </colorScale>
    </cfRule>
  </conditionalFormatting>
  <conditionalFormatting sqref="S9:W9">
    <cfRule type="colorScale" priority="48">
      <colorScale>
        <cfvo type="min"/>
        <cfvo type="num" val="0.15"/>
        <color rgb="FFFFEF9C"/>
        <color rgb="FF63BE7B"/>
      </colorScale>
    </cfRule>
  </conditionalFormatting>
  <conditionalFormatting sqref="S10:W10">
    <cfRule type="colorScale" priority="71">
      <colorScale>
        <cfvo type="min"/>
        <cfvo type="max"/>
        <color rgb="FFFFEF9C"/>
        <color rgb="FF63BE7B"/>
      </colorScale>
    </cfRule>
  </conditionalFormatting>
  <conditionalFormatting sqref="S11:W11">
    <cfRule type="colorScale" priority="55">
      <colorScale>
        <cfvo type="min"/>
        <cfvo type="num" val="0.8"/>
        <color rgb="FFFFEF9C"/>
        <color rgb="FF63BE7B"/>
      </colorScale>
    </cfRule>
  </conditionalFormatting>
  <conditionalFormatting sqref="S12:W12">
    <cfRule type="colorScale" priority="58">
      <colorScale>
        <cfvo type="num" val="2500000"/>
        <cfvo type="num" val="5000000"/>
        <color rgb="FFFFEF9C"/>
        <color rgb="FF63BE7B"/>
      </colorScale>
    </cfRule>
  </conditionalFormatting>
  <conditionalFormatting sqref="S13:W13">
    <cfRule type="colorScale" priority="57">
      <colorScale>
        <cfvo type="num" val="400000"/>
        <cfvo type="num" val="1000000"/>
        <color rgb="FFFFEF9C"/>
        <color rgb="FF63BE7B"/>
      </colorScale>
    </cfRule>
  </conditionalFormatting>
  <conditionalFormatting sqref="S14:W14">
    <cfRule type="colorScale" priority="56">
      <colorScale>
        <cfvo type="min"/>
        <cfvo type="num" val="0.15"/>
        <color rgb="FFFFEF9C"/>
        <color rgb="FF63BE7B"/>
      </colorScale>
    </cfRule>
  </conditionalFormatting>
  <conditionalFormatting sqref="S15:W15">
    <cfRule type="colorScale" priority="70">
      <colorScale>
        <cfvo type="num" val="1.5"/>
        <cfvo type="num" val="2.5"/>
        <color rgb="FFFFEF9C"/>
        <color rgb="FF63BE7B"/>
      </colorScale>
    </cfRule>
  </conditionalFormatting>
  <conditionalFormatting sqref="S16:W16">
    <cfRule type="colorScale" priority="69">
      <colorScale>
        <cfvo type="min"/>
        <cfvo type="num" val="1"/>
        <color rgb="FFFFEF9C"/>
        <color rgb="FF63BE7B"/>
      </colorScale>
    </cfRule>
  </conditionalFormatting>
  <conditionalFormatting sqref="S17:W17">
    <cfRule type="colorScale" priority="68">
      <colorScale>
        <cfvo type="min"/>
        <cfvo type="num" val="0.5"/>
        <color rgb="FFFFEF9C"/>
        <color rgb="FF63BE7B"/>
      </colorScale>
    </cfRule>
  </conditionalFormatting>
  <conditionalFormatting sqref="S18:W18">
    <cfRule type="colorScale" priority="67">
      <colorScale>
        <cfvo type="min"/>
        <cfvo type="num" val="0.5"/>
        <color rgb="FF63BE7B"/>
        <color rgb="FFFFEF9C"/>
      </colorScale>
    </cfRule>
  </conditionalFormatting>
  <conditionalFormatting sqref="S19:W19">
    <cfRule type="colorScale" priority="66">
      <colorScale>
        <cfvo type="num" val="3"/>
        <cfvo type="num" val="10"/>
        <color rgb="FFFFEF9C"/>
        <color rgb="FF63BE7B"/>
      </colorScale>
    </cfRule>
  </conditionalFormatting>
  <conditionalFormatting sqref="S20:W20">
    <cfRule type="colorScale" priority="65">
      <colorScale>
        <cfvo type="num" val="1.5"/>
        <cfvo type="num" val="2"/>
        <color rgb="FFFFEF9C"/>
        <color rgb="FF63BE7B"/>
      </colorScale>
    </cfRule>
  </conditionalFormatting>
  <conditionalFormatting sqref="S21:W21">
    <cfRule type="colorScale" priority="64">
      <colorScale>
        <cfvo type="num" val="20"/>
        <cfvo type="num" val="35"/>
        <color rgb="FFFFEF9C"/>
        <color rgb="FF63BE7B"/>
      </colorScale>
    </cfRule>
  </conditionalFormatting>
  <conditionalFormatting sqref="S22:W22">
    <cfRule type="colorScale" priority="63">
      <colorScale>
        <cfvo type="num" val="4"/>
        <cfvo type="num" val="10"/>
        <color rgb="FFFFEF9C"/>
        <color rgb="FF63BE7B"/>
      </colorScale>
    </cfRule>
  </conditionalFormatting>
  <conditionalFormatting sqref="S23:W23">
    <cfRule type="colorScale" priority="62">
      <colorScale>
        <cfvo type="num" val="12"/>
        <cfvo type="num" val="20"/>
        <color rgb="FFFFEF9C"/>
        <color rgb="FF63BE7B"/>
      </colorScale>
    </cfRule>
  </conditionalFormatting>
  <conditionalFormatting sqref="S24:W24">
    <cfRule type="colorScale" priority="61">
      <colorScale>
        <cfvo type="num" val="0.01"/>
        <cfvo type="num" val="0.02"/>
        <color rgb="FFFFEF9C"/>
        <color rgb="FF63BE7B"/>
      </colorScale>
    </cfRule>
  </conditionalFormatting>
  <conditionalFormatting sqref="S25:W25">
    <cfRule type="colorScale" priority="59">
      <colorScale>
        <cfvo type="min"/>
        <cfvo type="num" val="1.5"/>
        <color rgb="FF63BE7B"/>
        <color rgb="FFFFEF9C"/>
      </colorScale>
    </cfRule>
  </conditionalFormatting>
  <conditionalFormatting sqref="AA3:AE3">
    <cfRule type="colorScale" priority="47">
      <colorScale>
        <cfvo type="min"/>
        <cfvo type="num" val="0.35"/>
        <color rgb="FFFFEF9C"/>
        <color rgb="FF63BE7B"/>
      </colorScale>
    </cfRule>
  </conditionalFormatting>
  <conditionalFormatting sqref="AA4:AE4">
    <cfRule type="colorScale" priority="46">
      <colorScale>
        <cfvo type="num" val="0.2"/>
        <cfvo type="num" val="0.3"/>
        <color rgb="FFFFEF9C"/>
        <color rgb="FF63BE7B"/>
      </colorScale>
    </cfRule>
  </conditionalFormatting>
  <conditionalFormatting sqref="AA5:AE5">
    <cfRule type="colorScale" priority="45">
      <colorScale>
        <cfvo type="num" val="0.18"/>
        <cfvo type="num" val="0.25"/>
        <color rgb="FFFFEF9C"/>
        <color rgb="FF63BE7B"/>
      </colorScale>
    </cfRule>
  </conditionalFormatting>
  <conditionalFormatting sqref="AA6:AE6">
    <cfRule type="colorScale" priority="44">
      <colorScale>
        <cfvo type="num" val="0.15"/>
        <cfvo type="num" val="0.22"/>
        <color rgb="FFFFEF9C"/>
        <color rgb="FF63BE7B"/>
      </colorScale>
    </cfRule>
  </conditionalFormatting>
  <conditionalFormatting sqref="AA7:AE7">
    <cfRule type="colorScale" priority="43">
      <colorScale>
        <cfvo type="min"/>
        <cfvo type="num" val="0.1"/>
        <color rgb="FFFFEF9C"/>
        <color rgb="FF63BE7B"/>
      </colorScale>
    </cfRule>
  </conditionalFormatting>
  <conditionalFormatting sqref="AA8:AE8">
    <cfRule type="colorScale" priority="42">
      <colorScale>
        <cfvo type="num" val="0.15"/>
        <cfvo type="num" val="0.25"/>
        <color rgb="FFFFEF9C"/>
        <color rgb="FF63BE7B"/>
      </colorScale>
    </cfRule>
  </conditionalFormatting>
  <conditionalFormatting sqref="AA9:AE9">
    <cfRule type="colorScale" priority="41">
      <colorScale>
        <cfvo type="min"/>
        <cfvo type="num" val="0.15"/>
        <color rgb="FFFFEF9C"/>
        <color rgb="FF63BE7B"/>
      </colorScale>
    </cfRule>
  </conditionalFormatting>
  <conditionalFormatting sqref="AA10:AE10">
    <cfRule type="colorScale" priority="40">
      <colorScale>
        <cfvo type="min"/>
        <cfvo type="max"/>
        <color rgb="FFFFEF9C"/>
        <color rgb="FF63BE7B"/>
      </colorScale>
    </cfRule>
  </conditionalFormatting>
  <conditionalFormatting sqref="AA11:AE11">
    <cfRule type="colorScale" priority="39">
      <colorScale>
        <cfvo type="min"/>
        <cfvo type="num" val="0.8"/>
        <color rgb="FFFFEF9C"/>
        <color rgb="FF63BE7B"/>
      </colorScale>
    </cfRule>
  </conditionalFormatting>
  <conditionalFormatting sqref="AA12:AE12">
    <cfRule type="colorScale" priority="38">
      <colorScale>
        <cfvo type="num" val="2500000"/>
        <cfvo type="num" val="5000000"/>
        <color rgb="FFFFEF9C"/>
        <color rgb="FF63BE7B"/>
      </colorScale>
    </cfRule>
  </conditionalFormatting>
  <conditionalFormatting sqref="AA13:AE13">
    <cfRule type="colorScale" priority="37">
      <colorScale>
        <cfvo type="num" val="400000"/>
        <cfvo type="num" val="1000000"/>
        <color rgb="FFFFEF9C"/>
        <color rgb="FF63BE7B"/>
      </colorScale>
    </cfRule>
  </conditionalFormatting>
  <conditionalFormatting sqref="AA14:AE14">
    <cfRule type="colorScale" priority="36">
      <colorScale>
        <cfvo type="min"/>
        <cfvo type="num" val="0.15"/>
        <color rgb="FFFFEF9C"/>
        <color rgb="FF63BE7B"/>
      </colorScale>
    </cfRule>
  </conditionalFormatting>
  <conditionalFormatting sqref="AA15:AE15">
    <cfRule type="colorScale" priority="35">
      <colorScale>
        <cfvo type="num" val="1.5"/>
        <cfvo type="num" val="2.5"/>
        <color rgb="FFFFEF9C"/>
        <color rgb="FF63BE7B"/>
      </colorScale>
    </cfRule>
  </conditionalFormatting>
  <conditionalFormatting sqref="AA16:AE16">
    <cfRule type="colorScale" priority="34">
      <colorScale>
        <cfvo type="min"/>
        <cfvo type="num" val="1"/>
        <color rgb="FFFFEF9C"/>
        <color rgb="FF63BE7B"/>
      </colorScale>
    </cfRule>
  </conditionalFormatting>
  <conditionalFormatting sqref="AA17:AE17">
    <cfRule type="colorScale" priority="33">
      <colorScale>
        <cfvo type="min"/>
        <cfvo type="num" val="0.5"/>
        <color rgb="FFFFEF9C"/>
        <color rgb="FF63BE7B"/>
      </colorScale>
    </cfRule>
  </conditionalFormatting>
  <conditionalFormatting sqref="AA18:AE18">
    <cfRule type="colorScale" priority="32">
      <colorScale>
        <cfvo type="min"/>
        <cfvo type="num" val="0.5"/>
        <color rgb="FF63BE7B"/>
        <color rgb="FFFFEF9C"/>
      </colorScale>
    </cfRule>
  </conditionalFormatting>
  <conditionalFormatting sqref="AA19:AE19">
    <cfRule type="colorScale" priority="31">
      <colorScale>
        <cfvo type="min"/>
        <cfvo type="num" val="5"/>
        <color rgb="FFFFEF9C"/>
        <color rgb="FF63BE7B"/>
      </colorScale>
    </cfRule>
  </conditionalFormatting>
  <conditionalFormatting sqref="AA20:AE20">
    <cfRule type="colorScale" priority="30">
      <colorScale>
        <cfvo type="num" val="1.5"/>
        <cfvo type="num" val="2"/>
        <color rgb="FFFFEF9C"/>
        <color rgb="FF63BE7B"/>
      </colorScale>
    </cfRule>
  </conditionalFormatting>
  <conditionalFormatting sqref="AA21:AE21">
    <cfRule type="colorScale" priority="29">
      <colorScale>
        <cfvo type="num" val="20"/>
        <cfvo type="num" val="35"/>
        <color rgb="FFFFEF9C"/>
        <color rgb="FF63BE7B"/>
      </colorScale>
    </cfRule>
  </conditionalFormatting>
  <conditionalFormatting sqref="AA22:AE22">
    <cfRule type="colorScale" priority="28">
      <colorScale>
        <cfvo type="num" val="4"/>
        <cfvo type="num" val="10"/>
        <color rgb="FFFFEF9C"/>
        <color rgb="FF63BE7B"/>
      </colorScale>
    </cfRule>
  </conditionalFormatting>
  <conditionalFormatting sqref="AA23:AE23">
    <cfRule type="colorScale" priority="27">
      <colorScale>
        <cfvo type="num" val="12"/>
        <cfvo type="num" val="20"/>
        <color rgb="FFFFEF9C"/>
        <color rgb="FF63BE7B"/>
      </colorScale>
    </cfRule>
  </conditionalFormatting>
  <conditionalFormatting sqref="AA24:AE24">
    <cfRule type="colorScale" priority="26">
      <colorScale>
        <cfvo type="num" val="0.01"/>
        <cfvo type="num" val="0.02"/>
        <color rgb="FFFFEF9C"/>
        <color rgb="FF63BE7B"/>
      </colorScale>
    </cfRule>
  </conditionalFormatting>
  <conditionalFormatting sqref="AA25:AE25">
    <cfRule type="colorScale" priority="25">
      <colorScale>
        <cfvo type="min"/>
        <cfvo type="num" val="1.5"/>
        <color rgb="FF63BE7B"/>
        <color rgb="FFFFEF9C"/>
      </colorScale>
    </cfRule>
  </conditionalFormatting>
  <conditionalFormatting sqref="AI3:AM3">
    <cfRule type="colorScale" priority="24">
      <colorScale>
        <cfvo type="min"/>
        <cfvo type="num" val="0.35"/>
        <color rgb="FFFFEF9C"/>
        <color rgb="FF63BE7B"/>
      </colorScale>
    </cfRule>
  </conditionalFormatting>
  <conditionalFormatting sqref="AI4:AM4">
    <cfRule type="colorScale" priority="23">
      <colorScale>
        <cfvo type="num" val="0.2"/>
        <cfvo type="num" val="0.3"/>
        <color rgb="FFFFEF9C"/>
        <color rgb="FF63BE7B"/>
      </colorScale>
    </cfRule>
  </conditionalFormatting>
  <conditionalFormatting sqref="AI5:AM5">
    <cfRule type="colorScale" priority="22">
      <colorScale>
        <cfvo type="num" val="0.18"/>
        <cfvo type="num" val="0.25"/>
        <color rgb="FFFFEF9C"/>
        <color rgb="FF63BE7B"/>
      </colorScale>
    </cfRule>
  </conditionalFormatting>
  <conditionalFormatting sqref="AI6:AM6">
    <cfRule type="colorScale" priority="21">
      <colorScale>
        <cfvo type="num" val="0.15"/>
        <cfvo type="num" val="0.22"/>
        <color rgb="FFFFEF9C"/>
        <color rgb="FF63BE7B"/>
      </colorScale>
    </cfRule>
  </conditionalFormatting>
  <conditionalFormatting sqref="AI7:AM7">
    <cfRule type="colorScale" priority="20">
      <colorScale>
        <cfvo type="min"/>
        <cfvo type="num" val="0.1"/>
        <color rgb="FFFFEF9C"/>
        <color rgb="FF63BE7B"/>
      </colorScale>
    </cfRule>
  </conditionalFormatting>
  <conditionalFormatting sqref="AI8:AM8">
    <cfRule type="colorScale" priority="19">
      <colorScale>
        <cfvo type="num" val="0.15"/>
        <cfvo type="num" val="0.25"/>
        <color rgb="FFFFEF9C"/>
        <color rgb="FF63BE7B"/>
      </colorScale>
    </cfRule>
  </conditionalFormatting>
  <conditionalFormatting sqref="AI9:AM9">
    <cfRule type="colorScale" priority="18">
      <colorScale>
        <cfvo type="min"/>
        <cfvo type="num" val="0.15"/>
        <color rgb="FFFFEF9C"/>
        <color rgb="FF63BE7B"/>
      </colorScale>
    </cfRule>
  </conditionalFormatting>
  <conditionalFormatting sqref="AI10:AM10">
    <cfRule type="colorScale" priority="17">
      <colorScale>
        <cfvo type="min"/>
        <cfvo type="max"/>
        <color rgb="FFFFEF9C"/>
        <color rgb="FF63BE7B"/>
      </colorScale>
    </cfRule>
  </conditionalFormatting>
  <conditionalFormatting sqref="AI11:AM11">
    <cfRule type="colorScale" priority="16">
      <colorScale>
        <cfvo type="min"/>
        <cfvo type="num" val="0.8"/>
        <color rgb="FFFFEF9C"/>
        <color rgb="FF63BE7B"/>
      </colorScale>
    </cfRule>
  </conditionalFormatting>
  <conditionalFormatting sqref="AI12:AM12">
    <cfRule type="colorScale" priority="15">
      <colorScale>
        <cfvo type="num" val="2500000"/>
        <cfvo type="num" val="5000000"/>
        <color rgb="FFFFEF9C"/>
        <color rgb="FF63BE7B"/>
      </colorScale>
    </cfRule>
  </conditionalFormatting>
  <conditionalFormatting sqref="AI13:AM13">
    <cfRule type="colorScale" priority="14">
      <colorScale>
        <cfvo type="num" val="400000"/>
        <cfvo type="num" val="1000000"/>
        <color rgb="FFFFEF9C"/>
        <color rgb="FF63BE7B"/>
      </colorScale>
    </cfRule>
  </conditionalFormatting>
  <conditionalFormatting sqref="AI14:AM14">
    <cfRule type="colorScale" priority="13">
      <colorScale>
        <cfvo type="min"/>
        <cfvo type="num" val="0.15"/>
        <color rgb="FFFFEF9C"/>
        <color rgb="FF63BE7B"/>
      </colorScale>
    </cfRule>
  </conditionalFormatting>
  <conditionalFormatting sqref="AI15:AM15">
    <cfRule type="colorScale" priority="12">
      <colorScale>
        <cfvo type="num" val="1.5"/>
        <cfvo type="num" val="2.5"/>
        <color rgb="FFFFEF9C"/>
        <color rgb="FF63BE7B"/>
      </colorScale>
    </cfRule>
  </conditionalFormatting>
  <conditionalFormatting sqref="AI16:AM16">
    <cfRule type="colorScale" priority="11">
      <colorScale>
        <cfvo type="min"/>
        <cfvo type="num" val="1"/>
        <color rgb="FFFFEF9C"/>
        <color rgb="FF63BE7B"/>
      </colorScale>
    </cfRule>
  </conditionalFormatting>
  <conditionalFormatting sqref="AI17:AM17">
    <cfRule type="colorScale" priority="10">
      <colorScale>
        <cfvo type="min"/>
        <cfvo type="num" val="0.5"/>
        <color rgb="FFFFEF9C"/>
        <color rgb="FF63BE7B"/>
      </colorScale>
    </cfRule>
  </conditionalFormatting>
  <conditionalFormatting sqref="AI18:AM18">
    <cfRule type="colorScale" priority="8">
      <colorScale>
        <cfvo type="min"/>
        <cfvo type="num" val="0.5"/>
        <color rgb="FF63BE7B"/>
        <color rgb="FFFFEF9C"/>
      </colorScale>
    </cfRule>
  </conditionalFormatting>
  <conditionalFormatting sqref="AI19:AM19">
    <cfRule type="colorScale" priority="7">
      <colorScale>
        <cfvo type="min"/>
        <cfvo type="num" val="5"/>
        <color rgb="FFFFEF9C"/>
        <color rgb="FF63BE7B"/>
      </colorScale>
    </cfRule>
  </conditionalFormatting>
  <conditionalFormatting sqref="AI20:AM20">
    <cfRule type="colorScale" priority="6">
      <colorScale>
        <cfvo type="num" val="1.5"/>
        <cfvo type="num" val="2"/>
        <color rgb="FFFFEF9C"/>
        <color rgb="FF63BE7B"/>
      </colorScale>
    </cfRule>
  </conditionalFormatting>
  <conditionalFormatting sqref="AI21:AM21">
    <cfRule type="colorScale" priority="5">
      <colorScale>
        <cfvo type="num" val="20"/>
        <cfvo type="num" val="35"/>
        <color rgb="FFFFEF9C"/>
        <color rgb="FF63BE7B"/>
      </colorScale>
    </cfRule>
  </conditionalFormatting>
  <conditionalFormatting sqref="AI22:AM22">
    <cfRule type="colorScale" priority="4">
      <colorScale>
        <cfvo type="num" val="4"/>
        <cfvo type="num" val="10"/>
        <color rgb="FFFFEF9C"/>
        <color rgb="FF63BE7B"/>
      </colorScale>
    </cfRule>
  </conditionalFormatting>
  <conditionalFormatting sqref="AI23:AM23">
    <cfRule type="colorScale" priority="3">
      <colorScale>
        <cfvo type="num" val="12"/>
        <cfvo type="num" val="20"/>
        <color rgb="FFFFEF9C"/>
        <color rgb="FF63BE7B"/>
      </colorScale>
    </cfRule>
  </conditionalFormatting>
  <conditionalFormatting sqref="AI24:AM24">
    <cfRule type="colorScale" priority="2">
      <colorScale>
        <cfvo type="num" val="0.01"/>
        <cfvo type="num" val="0.02"/>
        <color rgb="FFFFEF9C"/>
        <color rgb="FF63BE7B"/>
      </colorScale>
    </cfRule>
  </conditionalFormatting>
  <conditionalFormatting sqref="AI25:AM25">
    <cfRule type="colorScale" priority="1">
      <colorScale>
        <cfvo type="min"/>
        <cfvo type="num" val="1.5"/>
        <color rgb="FF63BE7B"/>
        <color rgb="FFFFEF9C"/>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A7F9B-7E4A-4F11-A023-68F685EB65FF}">
  <dimension ref="A1:M15"/>
  <sheetViews>
    <sheetView workbookViewId="0">
      <selection activeCell="E7" sqref="E7"/>
    </sheetView>
  </sheetViews>
  <sheetFormatPr defaultRowHeight="14.4" x14ac:dyDescent="0.3"/>
  <cols>
    <col min="1" max="1" width="22.77734375" style="1" bestFit="1" customWidth="1"/>
    <col min="2" max="2" width="12.33203125" style="148" bestFit="1" customWidth="1"/>
    <col min="3" max="6" width="10.88671875" style="148" bestFit="1" customWidth="1"/>
    <col min="7" max="7" width="8.88671875" style="1"/>
    <col min="8" max="8" width="27.33203125" style="1" customWidth="1"/>
    <col min="9" max="13" width="8.88671875" style="148"/>
    <col min="14" max="16384" width="8.88671875" style="1"/>
  </cols>
  <sheetData>
    <row r="1" spans="1:13" ht="33.6" customHeight="1" x14ac:dyDescent="0.3">
      <c r="A1" s="282" t="s">
        <v>399</v>
      </c>
      <c r="B1" s="283"/>
      <c r="C1" s="283"/>
      <c r="D1" s="283"/>
      <c r="E1" s="283"/>
      <c r="F1" s="284"/>
      <c r="H1" s="285" t="s">
        <v>411</v>
      </c>
      <c r="I1" s="286"/>
      <c r="J1" s="286"/>
      <c r="K1" s="286"/>
      <c r="L1" s="286"/>
      <c r="M1" s="287"/>
    </row>
    <row r="2" spans="1:13" ht="43.2" customHeight="1" x14ac:dyDescent="0.3">
      <c r="A2" s="189" t="s">
        <v>398</v>
      </c>
      <c r="B2" s="187" t="e" vm="1">
        <v>#VALUE!</v>
      </c>
      <c r="C2" s="187" t="e" vm="2">
        <v>#VALUE!</v>
      </c>
      <c r="D2" s="187" t="e" vm="3">
        <v>#VALUE!</v>
      </c>
      <c r="E2" s="187" t="e" vm="4">
        <v>#VALUE!</v>
      </c>
      <c r="F2" s="188" t="e" vm="5">
        <v>#VALUE!</v>
      </c>
      <c r="H2" s="192" t="s">
        <v>412</v>
      </c>
      <c r="I2" s="190" t="e" vm="1">
        <v>#VALUE!</v>
      </c>
      <c r="J2" s="190" t="e" vm="2">
        <v>#VALUE!</v>
      </c>
      <c r="K2" s="190" t="e" vm="3">
        <v>#VALUE!</v>
      </c>
      <c r="L2" s="190" t="e" vm="4">
        <v>#VALUE!</v>
      </c>
      <c r="M2" s="191" t="e" vm="5">
        <v>#VALUE!</v>
      </c>
    </row>
    <row r="3" spans="1:13" x14ac:dyDescent="0.3">
      <c r="A3" s="57" t="s">
        <v>401</v>
      </c>
      <c r="B3" s="183">
        <v>6.7900000000000002E-2</v>
      </c>
      <c r="C3" s="183">
        <v>6.7900000000000002E-2</v>
      </c>
      <c r="D3" s="183">
        <v>6.7900000000000002E-2</v>
      </c>
      <c r="E3" s="183">
        <v>6.7900000000000002E-2</v>
      </c>
      <c r="F3" s="183">
        <v>6.7900000000000002E-2</v>
      </c>
      <c r="H3" s="4" t="s">
        <v>413</v>
      </c>
      <c r="I3" s="196">
        <v>0.04</v>
      </c>
      <c r="J3" s="196">
        <v>0.04</v>
      </c>
      <c r="K3" s="196">
        <v>0.04</v>
      </c>
      <c r="L3" s="196">
        <v>0.04</v>
      </c>
      <c r="M3" s="196">
        <v>0.04</v>
      </c>
    </row>
    <row r="4" spans="1:13" x14ac:dyDescent="0.3">
      <c r="A4" s="57" t="s">
        <v>108</v>
      </c>
      <c r="B4" s="181">
        <f ca="1">'Company Profile'!B17</f>
        <v>0.94289999999999996</v>
      </c>
      <c r="C4" s="181">
        <f ca="1">'Company Profile'!C17</f>
        <v>0.89990000000000003</v>
      </c>
      <c r="D4" s="181">
        <f ca="1">'Company Profile'!D17</f>
        <v>1.0407999999999999</v>
      </c>
      <c r="E4" s="181">
        <f ca="1">'Company Profile'!E17</f>
        <v>0.86839999999999995</v>
      </c>
      <c r="F4" s="181">
        <f ca="1">'Company Profile'!F17</f>
        <v>1.3531</v>
      </c>
      <c r="H4" s="4" t="s">
        <v>414</v>
      </c>
      <c r="I4" s="197">
        <f>B3</f>
        <v>6.7900000000000002E-2</v>
      </c>
      <c r="J4" s="197">
        <f t="shared" ref="J4:M4" si="0">C3</f>
        <v>6.7900000000000002E-2</v>
      </c>
      <c r="K4" s="197">
        <f t="shared" si="0"/>
        <v>6.7900000000000002E-2</v>
      </c>
      <c r="L4" s="197">
        <f t="shared" si="0"/>
        <v>6.7900000000000002E-2</v>
      </c>
      <c r="M4" s="197">
        <f t="shared" si="0"/>
        <v>6.7900000000000002E-2</v>
      </c>
    </row>
    <row r="5" spans="1:13" x14ac:dyDescent="0.3">
      <c r="A5" s="57" t="s">
        <v>404</v>
      </c>
      <c r="B5" s="182">
        <v>7.2599999999999998E-2</v>
      </c>
      <c r="C5" s="182">
        <v>7.2599999999999998E-2</v>
      </c>
      <c r="D5" s="182">
        <v>7.2599999999999998E-2</v>
      </c>
      <c r="E5" s="182">
        <v>7.2599999999999998E-2</v>
      </c>
      <c r="F5" s="182">
        <v>7.2599999999999998E-2</v>
      </c>
      <c r="H5" s="4" t="s">
        <v>415</v>
      </c>
      <c r="I5" s="197">
        <f ca="1">B6</f>
        <v>0.13635454</v>
      </c>
      <c r="J5" s="197">
        <f t="shared" ref="J5:M5" ca="1" si="1">C6</f>
        <v>0.13323274000000002</v>
      </c>
      <c r="K5" s="197">
        <f t="shared" ca="1" si="1"/>
        <v>0.14346207999999999</v>
      </c>
      <c r="L5" s="197">
        <f t="shared" ca="1" si="1"/>
        <v>0.13094583999999998</v>
      </c>
      <c r="M5" s="197">
        <f t="shared" ca="1" si="1"/>
        <v>0.16613506</v>
      </c>
    </row>
    <row r="6" spans="1:13" x14ac:dyDescent="0.3">
      <c r="A6" s="57" t="s">
        <v>400</v>
      </c>
      <c r="B6" s="183">
        <f ca="1">B3+B4*B5</f>
        <v>0.13635454</v>
      </c>
      <c r="C6" s="183">
        <f t="shared" ref="C6:F6" ca="1" si="2">C3+C4*C5</f>
        <v>0.13323274000000002</v>
      </c>
      <c r="D6" s="183">
        <f t="shared" ca="1" si="2"/>
        <v>0.14346207999999999</v>
      </c>
      <c r="E6" s="183">
        <f t="shared" ca="1" si="2"/>
        <v>0.13094583999999998</v>
      </c>
      <c r="F6" s="183">
        <f t="shared" ca="1" si="2"/>
        <v>0.16613506</v>
      </c>
      <c r="H6" s="4" t="s">
        <v>427</v>
      </c>
      <c r="I6" s="150">
        <f>(AVERAGE('Cash flow statement'!B62:F62)/AVERAGE('Financial Ratios'!C10:G10))</f>
        <v>0.66863859063900777</v>
      </c>
      <c r="J6" s="150">
        <f>(AVERAGE('Cash flow statement'!I62:M62))/(AVERAGE('Financial Ratios'!K10:O10))</f>
        <v>0.47709605143012668</v>
      </c>
      <c r="K6" s="150">
        <f>(AVERAGE('Cash flow statement'!P55:T55))/(AVERAGE('Financial Ratios'!S10:W10))</f>
        <v>0.64950832528957536</v>
      </c>
      <c r="L6" s="150">
        <f>(AVERAGE('Cash flow statement'!W51:AA51))/(AVERAGE('Financial Ratios'!AA10:AE10))</f>
        <v>0.30127994393245888</v>
      </c>
      <c r="M6" s="150">
        <f>(AVERAGE('Cash flow statement'!AD51:AH51))/(AVERAGE('Financial Ratios'!AI10:AM10))</f>
        <v>0.28939988782950088</v>
      </c>
    </row>
    <row r="7" spans="1:13" x14ac:dyDescent="0.3">
      <c r="A7" s="57" t="s">
        <v>402</v>
      </c>
      <c r="B7" s="182">
        <f>(AVERAGE('Income Statement'!B9:F9))/((AVERAGE('Balance Sheet'!B44:F44)+AVERAGE('Balance Sheet'!B52:F52)))</f>
        <v>9.8794814664776173E-2</v>
      </c>
      <c r="C7" s="182">
        <f>((AVERAGE('Income Statement'!I14:M14))/((AVERAGE('Balance Sheet'!I39:M39)+AVERAGE('Balance Sheet'!I47:M47))))</f>
        <v>3.1647153007104974E-2</v>
      </c>
      <c r="D7" s="182">
        <v>6.8000000000000005E-2</v>
      </c>
      <c r="E7" s="182">
        <f>(AVERAGE('Income Statement'!W11:AA11))/(AVERAGE('Balance Sheet'!W45:AA45)+AVERAGE('Balance Sheet'!W56:AA56))</f>
        <v>6.8955857660898429E-2</v>
      </c>
      <c r="F7" s="182">
        <f>(AVERAGE('Income Statement'!AD9:AH9))/(AVERAGE('Balance Sheet'!AD44:AH44)+AVERAGE('Balance Sheet'!AD57:AH57))</f>
        <v>0.10229219222024975</v>
      </c>
    </row>
    <row r="8" spans="1:13" x14ac:dyDescent="0.3">
      <c r="A8" s="57" t="s">
        <v>403</v>
      </c>
      <c r="B8" s="184">
        <v>0.25</v>
      </c>
      <c r="C8" s="184">
        <v>0.25</v>
      </c>
      <c r="D8" s="184">
        <v>0.25</v>
      </c>
      <c r="E8" s="184">
        <v>0.25</v>
      </c>
      <c r="F8" s="184">
        <v>0.25</v>
      </c>
    </row>
    <row r="9" spans="1:13" x14ac:dyDescent="0.3">
      <c r="A9" s="56" t="s">
        <v>409</v>
      </c>
      <c r="B9" s="244">
        <f>B7*(1-B8)</f>
        <v>7.4096110998582126E-2</v>
      </c>
      <c r="C9" s="244">
        <f t="shared" ref="C9:F9" si="3">C7*(1-C8)</f>
        <v>2.3735364755328732E-2</v>
      </c>
      <c r="D9" s="244">
        <f t="shared" si="3"/>
        <v>5.1000000000000004E-2</v>
      </c>
      <c r="E9" s="244">
        <f t="shared" si="3"/>
        <v>5.1716893245673821E-2</v>
      </c>
      <c r="F9" s="244">
        <f t="shared" si="3"/>
        <v>7.6719144165187311E-2</v>
      </c>
    </row>
    <row r="10" spans="1:13" x14ac:dyDescent="0.3">
      <c r="A10" s="57" t="s">
        <v>448</v>
      </c>
      <c r="B10" s="185">
        <f ca="1">'Company Profile'!B13</f>
        <v>1082459</v>
      </c>
      <c r="C10" s="185">
        <f ca="1">'Company Profile'!C13</f>
        <v>612179.4</v>
      </c>
      <c r="D10" s="185">
        <f ca="1">'Company Profile'!D13</f>
        <v>409181.4</v>
      </c>
      <c r="E10" s="185">
        <f ca="1">'Company Profile'!E13</f>
        <v>247658.3</v>
      </c>
      <c r="F10" s="185">
        <f ca="1">'Company Profile'!F13</f>
        <v>165058.79999999999</v>
      </c>
    </row>
    <row r="11" spans="1:13" x14ac:dyDescent="0.3">
      <c r="A11" s="57" t="s">
        <v>405</v>
      </c>
      <c r="B11" s="185">
        <f>AVERAGE('Balance Sheet'!B44:F44)+AVERAGE('Balance Sheet'!B52:F52)</f>
        <v>7899.2</v>
      </c>
      <c r="C11" s="185">
        <f>AVERAGE('Balance Sheet'!I39:M39)+AVERAGE('Balance Sheet'!I47:M47)</f>
        <v>7994.4</v>
      </c>
      <c r="D11" s="185">
        <f>AVERAGE('Balance Sheet'!P38:T38)+AVERAGE('Balance Sheet'!P39:T39)+AVERAGE('Balance Sheet'!P47:T47)+AVERAGE('Balance Sheet'!P49:T49)</f>
        <v>6178.7999999999993</v>
      </c>
      <c r="E11" s="185">
        <f>AVERAGE('Balance Sheet'!W45:AA45)+AVERAGE('Balance Sheet'!W47:AA47)+AVERAGE('Balance Sheet'!W56:AA56)+AVERAGE('Balance Sheet'!W59:AA59)</f>
        <v>13956.32</v>
      </c>
      <c r="F11" s="185">
        <f>AVERAGE('Balance Sheet'!AD44:AH44)+AVERAGE('Balance Sheet'!AD52:AH52)+AVERAGE('Balance Sheet'!AD57:AH57)</f>
        <v>1342.62</v>
      </c>
    </row>
    <row r="12" spans="1:13" x14ac:dyDescent="0.3">
      <c r="A12" s="57" t="s">
        <v>406</v>
      </c>
      <c r="B12" s="185">
        <f ca="1">B10+B11</f>
        <v>1090358.2</v>
      </c>
      <c r="C12" s="185">
        <f t="shared" ref="C12:F12" ca="1" si="4">C10+C11</f>
        <v>620173.80000000005</v>
      </c>
      <c r="D12" s="185">
        <f t="shared" ca="1" si="4"/>
        <v>415360.2</v>
      </c>
      <c r="E12" s="185">
        <f t="shared" ca="1" si="4"/>
        <v>261614.62</v>
      </c>
      <c r="F12" s="185">
        <f t="shared" ca="1" si="4"/>
        <v>166401.41999999998</v>
      </c>
    </row>
    <row r="13" spans="1:13" x14ac:dyDescent="0.3">
      <c r="A13" s="57" t="s">
        <v>407</v>
      </c>
      <c r="B13" s="183">
        <f ca="1">B10/B12</f>
        <v>0.99275540826858555</v>
      </c>
      <c r="C13" s="183">
        <f t="shared" ref="C13:F13" ca="1" si="5">C10/C12</f>
        <v>0.98710941997227231</v>
      </c>
      <c r="D13" s="183">
        <f t="shared" ca="1" si="5"/>
        <v>0.98512423674680438</v>
      </c>
      <c r="E13" s="183">
        <f t="shared" ca="1" si="5"/>
        <v>0.94665313429348863</v>
      </c>
      <c r="F13" s="183">
        <f t="shared" ca="1" si="5"/>
        <v>0.99193143904661396</v>
      </c>
    </row>
    <row r="14" spans="1:13" x14ac:dyDescent="0.3">
      <c r="A14" s="57" t="s">
        <v>408</v>
      </c>
      <c r="B14" s="183">
        <f ca="1">B11/B12</f>
        <v>7.2445917314145026E-3</v>
      </c>
      <c r="C14" s="183">
        <f t="shared" ref="C14:F14" ca="1" si="6">C11/C12</f>
        <v>1.2890580027727709E-2</v>
      </c>
      <c r="D14" s="183">
        <f t="shared" ca="1" si="6"/>
        <v>1.4875763253195657E-2</v>
      </c>
      <c r="E14" s="183">
        <f t="shared" ca="1" si="6"/>
        <v>5.3346865706511357E-2</v>
      </c>
      <c r="F14" s="183">
        <f t="shared" ca="1" si="6"/>
        <v>8.0685609533860947E-3</v>
      </c>
    </row>
    <row r="15" spans="1:13" s="14" customFormat="1" x14ac:dyDescent="0.3">
      <c r="A15" s="56" t="s">
        <v>410</v>
      </c>
      <c r="B15" s="228">
        <f ca="1">(B13*B6)+(B9*B14)</f>
        <v>0.13590350310004548</v>
      </c>
      <c r="C15" s="228">
        <f t="shared" ref="C15:F15" ca="1" si="7">(C13*C6)+(C9*C14)</f>
        <v>0.13182125532158245</v>
      </c>
      <c r="D15" s="228">
        <f t="shared" ca="1" si="7"/>
        <v>0.14208663598802196</v>
      </c>
      <c r="E15" s="228">
        <f t="shared" ca="1" si="7"/>
        <v>0.12671922401742861</v>
      </c>
      <c r="F15" s="228">
        <f t="shared" ca="1" si="7"/>
        <v>0.16541360223288398</v>
      </c>
      <c r="I15" s="229"/>
      <c r="J15" s="229"/>
      <c r="K15" s="229"/>
      <c r="L15" s="229"/>
      <c r="M15" s="229"/>
    </row>
  </sheetData>
  <mergeCells count="2">
    <mergeCell ref="A1:F1"/>
    <mergeCell ref="H1:M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4D69B-C13B-410D-9446-D476070F027E}">
  <dimension ref="A1:AW43"/>
  <sheetViews>
    <sheetView topLeftCell="AQ1" workbookViewId="0">
      <selection activeCell="E16" sqref="E16"/>
    </sheetView>
  </sheetViews>
  <sheetFormatPr defaultRowHeight="14.4" x14ac:dyDescent="0.3"/>
  <cols>
    <col min="1" max="1" width="20" style="1" customWidth="1"/>
    <col min="2" max="2" width="10.88671875" style="1" bestFit="1" customWidth="1"/>
    <col min="3" max="3" width="10.44140625" style="148" customWidth="1"/>
    <col min="4" max="5" width="10.88671875" style="1" bestFit="1" customWidth="1"/>
    <col min="6" max="6" width="10.88671875" style="231" bestFit="1" customWidth="1"/>
    <col min="7" max="9" width="10.88671875" style="1" bestFit="1" customWidth="1"/>
    <col min="10" max="10" width="8.88671875" style="1"/>
    <col min="11" max="11" width="20" style="1" customWidth="1"/>
    <col min="12" max="12" width="10.88671875" style="1" bestFit="1" customWidth="1"/>
    <col min="13" max="13" width="6" style="1" bestFit="1" customWidth="1"/>
    <col min="14" max="19" width="10.88671875" style="1" bestFit="1" customWidth="1"/>
    <col min="20" max="20" width="8.88671875" style="1"/>
    <col min="21" max="21" width="20" style="1" customWidth="1"/>
    <col min="22" max="22" width="10.88671875" style="1" bestFit="1" customWidth="1"/>
    <col min="23" max="23" width="6.6640625" style="1" bestFit="1" customWidth="1"/>
    <col min="24" max="29" width="10.88671875" style="1" bestFit="1" customWidth="1"/>
    <col min="30" max="30" width="8.88671875" style="1"/>
    <col min="31" max="31" width="20" style="1" customWidth="1"/>
    <col min="32" max="32" width="10.88671875" style="1" bestFit="1" customWidth="1"/>
    <col min="33" max="33" width="6.6640625" style="1" bestFit="1" customWidth="1"/>
    <col min="34" max="39" width="10.88671875" style="1" bestFit="1" customWidth="1"/>
    <col min="40" max="40" width="8.88671875" style="1"/>
    <col min="41" max="41" width="20" style="1" customWidth="1"/>
    <col min="42" max="42" width="10.88671875" style="1" bestFit="1" customWidth="1"/>
    <col min="43" max="43" width="6" style="1" bestFit="1" customWidth="1"/>
    <col min="44" max="49" width="10.88671875" style="1" bestFit="1" customWidth="1"/>
    <col min="50" max="16384" width="8.88671875" style="1"/>
  </cols>
  <sheetData>
    <row r="1" spans="1:49" ht="38.4" customHeight="1" thickBot="1" x14ac:dyDescent="0.35">
      <c r="A1" s="288" t="s">
        <v>379</v>
      </c>
      <c r="B1" s="289"/>
      <c r="C1" s="289"/>
      <c r="D1" s="289"/>
      <c r="E1" s="289"/>
      <c r="F1" s="289"/>
      <c r="G1" s="289"/>
      <c r="H1" s="290" t="e" vm="1">
        <v>#VALUE!</v>
      </c>
      <c r="I1" s="291"/>
      <c r="K1" s="288" t="s">
        <v>379</v>
      </c>
      <c r="L1" s="289"/>
      <c r="M1" s="289"/>
      <c r="N1" s="289"/>
      <c r="O1" s="289"/>
      <c r="P1" s="289"/>
      <c r="Q1" s="289"/>
      <c r="R1" s="290" t="e" vm="2">
        <v>#VALUE!</v>
      </c>
      <c r="S1" s="291"/>
      <c r="U1" s="288" t="s">
        <v>379</v>
      </c>
      <c r="V1" s="289"/>
      <c r="W1" s="289"/>
      <c r="X1" s="289"/>
      <c r="Y1" s="289"/>
      <c r="Z1" s="289"/>
      <c r="AA1" s="289"/>
      <c r="AB1" s="290" t="e" vm="3">
        <v>#VALUE!</v>
      </c>
      <c r="AC1" s="291"/>
      <c r="AE1" s="288" t="s">
        <v>379</v>
      </c>
      <c r="AF1" s="289"/>
      <c r="AG1" s="289"/>
      <c r="AH1" s="289"/>
      <c r="AI1" s="289"/>
      <c r="AJ1" s="289"/>
      <c r="AK1" s="289"/>
      <c r="AL1" s="290" t="e" vm="4">
        <v>#VALUE!</v>
      </c>
      <c r="AM1" s="291"/>
      <c r="AO1" s="288" t="s">
        <v>379</v>
      </c>
      <c r="AP1" s="289"/>
      <c r="AQ1" s="289"/>
      <c r="AR1" s="289"/>
      <c r="AS1" s="289"/>
      <c r="AT1" s="289"/>
      <c r="AU1" s="289"/>
      <c r="AV1" s="290" t="e" vm="5">
        <v>#VALUE!</v>
      </c>
      <c r="AW1" s="291"/>
    </row>
    <row r="2" spans="1:49" ht="15" thickBot="1" x14ac:dyDescent="0.35">
      <c r="A2" s="165" t="s">
        <v>387</v>
      </c>
      <c r="B2" s="161">
        <v>2024</v>
      </c>
      <c r="C2" s="159" t="s">
        <v>390</v>
      </c>
      <c r="D2" s="158">
        <v>2025</v>
      </c>
      <c r="E2" s="158">
        <v>2026</v>
      </c>
      <c r="F2" s="158">
        <v>2027</v>
      </c>
      <c r="G2" s="158">
        <v>2028</v>
      </c>
      <c r="H2" s="158">
        <v>2029</v>
      </c>
      <c r="I2" s="160">
        <v>2030</v>
      </c>
      <c r="K2" s="165" t="s">
        <v>387</v>
      </c>
      <c r="L2" s="161">
        <v>2024</v>
      </c>
      <c r="M2" s="159" t="s">
        <v>390</v>
      </c>
      <c r="N2" s="158">
        <v>2025</v>
      </c>
      <c r="O2" s="158">
        <v>2026</v>
      </c>
      <c r="P2" s="158">
        <v>2027</v>
      </c>
      <c r="Q2" s="158">
        <v>2028</v>
      </c>
      <c r="R2" s="158">
        <v>2029</v>
      </c>
      <c r="S2" s="160">
        <v>2030</v>
      </c>
      <c r="U2" s="165" t="s">
        <v>387</v>
      </c>
      <c r="V2" s="161">
        <v>2024</v>
      </c>
      <c r="W2" s="159" t="s">
        <v>390</v>
      </c>
      <c r="X2" s="158">
        <v>2025</v>
      </c>
      <c r="Y2" s="158">
        <v>2026</v>
      </c>
      <c r="Z2" s="158">
        <v>2027</v>
      </c>
      <c r="AA2" s="158">
        <v>2028</v>
      </c>
      <c r="AB2" s="158">
        <v>2029</v>
      </c>
      <c r="AC2" s="160">
        <v>2030</v>
      </c>
      <c r="AE2" s="165" t="s">
        <v>387</v>
      </c>
      <c r="AF2" s="161">
        <v>2024</v>
      </c>
      <c r="AG2" s="159" t="s">
        <v>390</v>
      </c>
      <c r="AH2" s="158">
        <v>2025</v>
      </c>
      <c r="AI2" s="158">
        <v>2026</v>
      </c>
      <c r="AJ2" s="158">
        <v>2027</v>
      </c>
      <c r="AK2" s="158">
        <v>2028</v>
      </c>
      <c r="AL2" s="158">
        <v>2029</v>
      </c>
      <c r="AM2" s="160">
        <v>2030</v>
      </c>
      <c r="AO2" s="165" t="s">
        <v>387</v>
      </c>
      <c r="AP2" s="161">
        <v>2024</v>
      </c>
      <c r="AQ2" s="159" t="s">
        <v>390</v>
      </c>
      <c r="AR2" s="158">
        <v>2025</v>
      </c>
      <c r="AS2" s="158">
        <v>2026</v>
      </c>
      <c r="AT2" s="158">
        <v>2027</v>
      </c>
      <c r="AU2" s="158">
        <v>2028</v>
      </c>
      <c r="AV2" s="158">
        <v>2029</v>
      </c>
      <c r="AW2" s="160">
        <v>2030</v>
      </c>
    </row>
    <row r="3" spans="1:49" x14ac:dyDescent="0.3">
      <c r="A3" s="166" t="s">
        <v>388</v>
      </c>
      <c r="B3" s="162">
        <f>'Income Statement'!F5</f>
        <v>245315</v>
      </c>
      <c r="C3" s="155">
        <f>('Income Statement'!F5/'Income Statement'!B5)^(1/5)-1</f>
        <v>8.7146989272859354E-2</v>
      </c>
      <c r="D3" s="156">
        <f>B3*(1+$C$3)</f>
        <v>266693.46367347147</v>
      </c>
      <c r="E3" s="156">
        <f>D3*(1+$C$3)</f>
        <v>289934.99609136517</v>
      </c>
      <c r="F3" s="156">
        <f>E3*(1+$C$3)</f>
        <v>315201.95808556589</v>
      </c>
      <c r="G3" s="156">
        <f>F3*(1+$C$3)</f>
        <v>342670.85974563297</v>
      </c>
      <c r="H3" s="156">
        <f>G3*(1+$C$3)</f>
        <v>372533.59348400717</v>
      </c>
      <c r="I3" s="157">
        <f>H3*(1+$C$3)</f>
        <v>404998.7745591377</v>
      </c>
      <c r="J3" s="2"/>
      <c r="K3" s="166" t="s">
        <v>388</v>
      </c>
      <c r="L3" s="162">
        <f>'Income Statement'!M5</f>
        <v>166590</v>
      </c>
      <c r="M3" s="169">
        <f>('Income Statement'!M5/'Income Statement'!I5)^(1/5)-1</f>
        <v>0.12222563210004389</v>
      </c>
      <c r="N3" s="154">
        <f>L3*(1+M3)</f>
        <v>186951.56805154632</v>
      </c>
      <c r="O3" s="154">
        <f>N3*(1+$M$3)</f>
        <v>209801.84162874095</v>
      </c>
      <c r="P3" s="154">
        <f t="shared" ref="P3:S3" si="0">O3*(1+$M$3)</f>
        <v>235445.00433756711</v>
      </c>
      <c r="Q3" s="154">
        <f t="shared" si="0"/>
        <v>264222.41881752381</v>
      </c>
      <c r="R3" s="154">
        <f t="shared" si="0"/>
        <v>296517.17097249819</v>
      </c>
      <c r="S3" s="154">
        <f t="shared" si="0"/>
        <v>332759.16962312855</v>
      </c>
      <c r="U3" s="166" t="s">
        <v>388</v>
      </c>
      <c r="V3" s="162">
        <f>'Income Statement'!T5</f>
        <v>111408</v>
      </c>
      <c r="W3" s="169">
        <f>('Income Statement'!T5/'Income Statement'!P5)^(1/5)-1</f>
        <v>9.3472883552583985E-2</v>
      </c>
      <c r="X3" s="154">
        <f>V3*(1+W3)</f>
        <v>121821.62701082628</v>
      </c>
      <c r="Y3" s="154">
        <f>X3*(1+$W$3)</f>
        <v>133208.64576659558</v>
      </c>
      <c r="Z3" s="154">
        <f t="shared" ref="Z3:AC3" si="1">Y3*(1+$W$3)</f>
        <v>145660.04200053398</v>
      </c>
      <c r="AA3" s="154">
        <f t="shared" si="1"/>
        <v>159275.30614471438</v>
      </c>
      <c r="AB3" s="154">
        <f t="shared" si="1"/>
        <v>174163.22828878145</v>
      </c>
      <c r="AC3" s="177">
        <f t="shared" si="1"/>
        <v>190442.76744576081</v>
      </c>
      <c r="AE3" s="166" t="s">
        <v>388</v>
      </c>
      <c r="AF3" s="162">
        <f>'Income Statement'!AA6</f>
        <v>92391.1</v>
      </c>
      <c r="AG3" s="169">
        <f>('Income Statement'!AA6/'Income Statement'!W6)^(1/5)-1</f>
        <v>7.6655363946099619E-2</v>
      </c>
      <c r="AH3" s="154">
        <f>AF3*(1+AG3)</f>
        <v>99473.373395880495</v>
      </c>
      <c r="AI3" s="154">
        <f>AH3*(1+$AG$3)</f>
        <v>107098.54103648798</v>
      </c>
      <c r="AJ3" s="154">
        <f t="shared" ref="AJ3:AM3" si="2">AI3*(1+$AG$3)</f>
        <v>115308.21867773625</v>
      </c>
      <c r="AK3" s="154">
        <f t="shared" si="2"/>
        <v>124147.21214645456</v>
      </c>
      <c r="AL3" s="154">
        <f t="shared" si="2"/>
        <v>133663.76187643467</v>
      </c>
      <c r="AM3" s="154">
        <f t="shared" si="2"/>
        <v>143909.80618947756</v>
      </c>
      <c r="AO3" s="166" t="s">
        <v>388</v>
      </c>
      <c r="AP3" s="162">
        <f>'Income Statement'!AH5</f>
        <v>36218.9</v>
      </c>
      <c r="AQ3" s="169">
        <f>('Income Statement'!AH5/'Income Statement'!AD5)^(1/5)-1</f>
        <v>0.26439560261599881</v>
      </c>
      <c r="AR3" s="154">
        <f>AP3*(1+AQ3)</f>
        <v>45795.017891588599</v>
      </c>
      <c r="AS3" s="154">
        <f>AR3*(1+$AQ$3)</f>
        <v>57903.019243845614</v>
      </c>
      <c r="AT3" s="154">
        <f t="shared" ref="AT3:AW3" si="3">AS3*(1+$AQ$3)</f>
        <v>73212.322910107949</v>
      </c>
      <c r="AU3" s="154">
        <f t="shared" si="3"/>
        <v>92569.339144843034</v>
      </c>
      <c r="AV3" s="154">
        <f t="shared" si="3"/>
        <v>117044.26535180857</v>
      </c>
      <c r="AW3" s="154">
        <f t="shared" si="3"/>
        <v>147990.25442224686</v>
      </c>
    </row>
    <row r="4" spans="1:49" x14ac:dyDescent="0.3">
      <c r="A4" s="167" t="s">
        <v>389</v>
      </c>
      <c r="B4" s="163">
        <f>('Income Statement'!F16+'Income Statement'!F9)</f>
        <v>62775</v>
      </c>
      <c r="C4" s="150">
        <f>('Income Statement'!F25/'Income Statement'!B25)^(1/5)-1</f>
        <v>8.1016788397967998E-2</v>
      </c>
      <c r="D4" s="5">
        <f>B4*(1+$C$4)</f>
        <v>67860.828891682439</v>
      </c>
      <c r="E4" s="5">
        <f>D4*(1+$C$4)</f>
        <v>73358.695306510592</v>
      </c>
      <c r="F4" s="5">
        <f t="shared" ref="F4:I4" si="4">E4*(1+$C$4)</f>
        <v>79301.981201309172</v>
      </c>
      <c r="G4" s="5">
        <f t="shared" si="4"/>
        <v>85726.77303183527</v>
      </c>
      <c r="H4" s="5">
        <f t="shared" si="4"/>
        <v>92672.080862596093</v>
      </c>
      <c r="I4" s="152">
        <f t="shared" si="4"/>
        <v>100180.07522824041</v>
      </c>
      <c r="J4" s="2"/>
      <c r="K4" s="167" t="s">
        <v>389</v>
      </c>
      <c r="L4" s="163">
        <f>'Income Statement'!M17+'Income Statement'!M14</f>
        <v>38024</v>
      </c>
      <c r="M4" s="170">
        <f>('Income Statement'!M25/'Income Statement'!I25)^(1/5)-1</f>
        <v>0.11386100731659066</v>
      </c>
      <c r="N4" s="149">
        <f>L4*(1+M4)</f>
        <v>42353.450942206044</v>
      </c>
      <c r="O4" s="149">
        <f>N4*(1+$M$4)</f>
        <v>47175.857529819426</v>
      </c>
      <c r="P4" s="149">
        <f t="shared" ref="P4:S4" si="5">O4*(1+$M$4)</f>
        <v>52547.348189188633</v>
      </c>
      <c r="Q4" s="149">
        <f t="shared" si="5"/>
        <v>58530.442185825275</v>
      </c>
      <c r="R4" s="149">
        <f t="shared" si="5"/>
        <v>65194.777291788814</v>
      </c>
      <c r="S4" s="149">
        <f t="shared" si="5"/>
        <v>72617.920306012675</v>
      </c>
      <c r="U4" s="167" t="s">
        <v>389</v>
      </c>
      <c r="V4" s="163">
        <f>'Income Statement'!T15+'Income Statement'!T10</f>
        <v>35545</v>
      </c>
      <c r="W4" s="170">
        <f>('Income Statement'!T24/'Income Statement'!P24)^(1/5)-1</f>
        <v>0.19666338756509805</v>
      </c>
      <c r="X4" s="149">
        <f>V4*(1+W4)</f>
        <v>42535.400111001407</v>
      </c>
      <c r="Y4" s="149">
        <f>X4*(1+$W$4)</f>
        <v>50900.555988267792</v>
      </c>
      <c r="Z4" s="149">
        <f t="shared" ref="Z4:AC4" si="6">Y4*(1+$W$4)</f>
        <v>60910.831757867476</v>
      </c>
      <c r="AA4" s="149">
        <f t="shared" si="6"/>
        <v>72889.762270777443</v>
      </c>
      <c r="AB4" s="149">
        <f t="shared" si="6"/>
        <v>87224.509837763209</v>
      </c>
      <c r="AC4" s="178">
        <f t="shared" si="6"/>
        <v>104378.37742116295</v>
      </c>
      <c r="AE4" s="167" t="s">
        <v>389</v>
      </c>
      <c r="AF4" s="163">
        <f>'Income Statement'!AA23+'Income Statement'!AA11</f>
        <v>15976.200000000019</v>
      </c>
      <c r="AG4" s="170">
        <f>('Income Statement'!AA31/'Income Statement'!W31)^(1/5)-1</f>
        <v>4.2337382703755644E-2</v>
      </c>
      <c r="AH4" s="149">
        <f>AF4*(1+AG4)</f>
        <v>16652.590493551761</v>
      </c>
      <c r="AI4" s="149">
        <f>AH4*(1+$AG$4)</f>
        <v>17357.617590286183</v>
      </c>
      <c r="AJ4" s="149">
        <f t="shared" ref="AJ4:AM4" si="7">AI4*(1+$AG$4)</f>
        <v>18092.493689031569</v>
      </c>
      <c r="AK4" s="149">
        <f t="shared" si="7"/>
        <v>18858.482518409382</v>
      </c>
      <c r="AL4" s="149">
        <f t="shared" si="7"/>
        <v>19656.901310003366</v>
      </c>
      <c r="AM4" s="149">
        <f t="shared" si="7"/>
        <v>20489.123063534935</v>
      </c>
      <c r="AO4" s="167" t="s">
        <v>389</v>
      </c>
      <c r="AP4" s="163">
        <f>'Income Statement'!AH13+'Income Statement'!AH9</f>
        <v>6270.3999999999969</v>
      </c>
      <c r="AQ4" s="170">
        <f>('Income Statement'!AH20/'Income Statement'!AD20)^(1/5)-1</f>
        <v>0.24628397382101785</v>
      </c>
      <c r="AR4" s="149">
        <f>AP4*(1+AQ4)</f>
        <v>7814.6990294473062</v>
      </c>
      <c r="AS4" s="149">
        <f>AR4*(1+$AQ$4)</f>
        <v>9739.3341606348404</v>
      </c>
      <c r="AT4" s="149">
        <f t="shared" ref="AT4:AW4" si="8">AS4*(1+$AQ$4)</f>
        <v>12137.976080086777</v>
      </c>
      <c r="AU4" s="149">
        <f t="shared" si="8"/>
        <v>15127.365063235009</v>
      </c>
      <c r="AV4" s="149">
        <f t="shared" si="8"/>
        <v>18852.992644449761</v>
      </c>
      <c r="AW4" s="149">
        <f t="shared" si="8"/>
        <v>23496.182591343269</v>
      </c>
    </row>
    <row r="5" spans="1:49" x14ac:dyDescent="0.3">
      <c r="A5" s="167" t="s">
        <v>359</v>
      </c>
      <c r="B5" s="164">
        <f>B4/B3</f>
        <v>0.25589548131993561</v>
      </c>
      <c r="C5" s="150"/>
      <c r="D5" s="151">
        <f>D4/D3</f>
        <v>0.25445253871976575</v>
      </c>
      <c r="E5" s="151">
        <f t="shared" ref="E5:I5" si="9">E4/E3</f>
        <v>0.25301773257959376</v>
      </c>
      <c r="F5" s="151">
        <f t="shared" si="9"/>
        <v>0.25159101701957565</v>
      </c>
      <c r="G5" s="151">
        <f t="shared" si="9"/>
        <v>0.25017234641857455</v>
      </c>
      <c r="H5" s="151">
        <f t="shared" si="9"/>
        <v>0.24876167541270205</v>
      </c>
      <c r="I5" s="153">
        <f t="shared" si="9"/>
        <v>0.24735895889386741</v>
      </c>
      <c r="J5" s="2"/>
      <c r="K5" s="167" t="s">
        <v>359</v>
      </c>
      <c r="L5" s="164">
        <f>L4/L3</f>
        <v>0.22824899453748723</v>
      </c>
      <c r="M5" s="170"/>
      <c r="N5" s="151">
        <f>N4/N3</f>
        <v>0.22654771705647497</v>
      </c>
      <c r="O5" s="151">
        <f t="shared" ref="O5:S5" si="10">O4/O3</f>
        <v>0.22485912022307417</v>
      </c>
      <c r="P5" s="151">
        <f t="shared" si="10"/>
        <v>0.2231831095207667</v>
      </c>
      <c r="Q5" s="151">
        <f t="shared" si="10"/>
        <v>0.22151959113752315</v>
      </c>
      <c r="R5" s="151">
        <f t="shared" si="10"/>
        <v>0.21986847196055165</v>
      </c>
      <c r="S5" s="151">
        <f t="shared" si="10"/>
        <v>0.2182296595710862</v>
      </c>
      <c r="U5" s="167" t="s">
        <v>359</v>
      </c>
      <c r="V5" s="164">
        <f>V4/V3</f>
        <v>0.31905249174206518</v>
      </c>
      <c r="W5" s="170"/>
      <c r="X5" s="151">
        <f>X4/X3</f>
        <v>0.34916132015886875</v>
      </c>
      <c r="Y5" s="151">
        <f t="shared" ref="Y5:AC5" si="11">Y4/Y3</f>
        <v>0.38211150406449074</v>
      </c>
      <c r="Z5" s="151">
        <f t="shared" si="11"/>
        <v>0.41817118079400373</v>
      </c>
      <c r="AA5" s="151">
        <f t="shared" si="11"/>
        <v>0.45763379167233398</v>
      </c>
      <c r="AB5" s="151">
        <f t="shared" si="11"/>
        <v>0.50082046993947282</v>
      </c>
      <c r="AC5" s="153">
        <f t="shared" si="11"/>
        <v>0.54808265402302825</v>
      </c>
      <c r="AE5" s="167" t="s">
        <v>359</v>
      </c>
      <c r="AF5" s="164">
        <f>AF4/AF3</f>
        <v>0.17291925304493633</v>
      </c>
      <c r="AG5" s="164"/>
      <c r="AH5" s="164">
        <f t="shared" ref="AH5:AM5" si="12">AH4/AH3</f>
        <v>0.16740751745975668</v>
      </c>
      <c r="AI5" s="164">
        <f t="shared" si="12"/>
        <v>0.16207146635520014</v>
      </c>
      <c r="AJ5" s="164">
        <f t="shared" si="12"/>
        <v>0.1569054998551016</v>
      </c>
      <c r="AK5" s="164">
        <f t="shared" si="12"/>
        <v>0.15190419657722415</v>
      </c>
      <c r="AL5" s="164">
        <f t="shared" si="12"/>
        <v>0.14706230794383274</v>
      </c>
      <c r="AM5" s="164">
        <f t="shared" si="12"/>
        <v>0.14237475267361638</v>
      </c>
      <c r="AO5" s="167" t="s">
        <v>359</v>
      </c>
      <c r="AP5" s="164">
        <f>AP4/AP3</f>
        <v>0.17312508110406435</v>
      </c>
      <c r="AQ5" s="164"/>
      <c r="AR5" s="164">
        <f t="shared" ref="AR5:AW5" si="13">AR4/AR3</f>
        <v>0.17064517908797827</v>
      </c>
      <c r="AS5" s="164">
        <f t="shared" si="13"/>
        <v>0.16820080002425802</v>
      </c>
      <c r="AT5" s="164">
        <f t="shared" si="13"/>
        <v>0.16579143507016036</v>
      </c>
      <c r="AU5" s="164">
        <f t="shared" si="13"/>
        <v>0.16341658267177706</v>
      </c>
      <c r="AV5" s="164">
        <f t="shared" si="13"/>
        <v>0.16107574845962708</v>
      </c>
      <c r="AW5" s="164">
        <f t="shared" si="13"/>
        <v>0.15876844514574448</v>
      </c>
    </row>
    <row r="6" spans="1:49" x14ac:dyDescent="0.3">
      <c r="A6" s="167" t="s">
        <v>391</v>
      </c>
      <c r="B6" s="163">
        <f>B4*0.25</f>
        <v>15693.75</v>
      </c>
      <c r="C6" s="150">
        <v>0.25</v>
      </c>
      <c r="D6" s="5">
        <f>D4*$C$6</f>
        <v>16965.20722292061</v>
      </c>
      <c r="E6" s="5">
        <f t="shared" ref="E6:I6" si="14">E4*$C$6</f>
        <v>18339.673826627648</v>
      </c>
      <c r="F6" s="5">
        <f t="shared" si="14"/>
        <v>19825.495300327293</v>
      </c>
      <c r="G6" s="5">
        <f t="shared" si="14"/>
        <v>21431.693257958817</v>
      </c>
      <c r="H6" s="5">
        <f t="shared" si="14"/>
        <v>23168.020215649023</v>
      </c>
      <c r="I6" s="152">
        <f t="shared" si="14"/>
        <v>25045.018807060103</v>
      </c>
      <c r="J6" s="2"/>
      <c r="K6" s="167" t="s">
        <v>391</v>
      </c>
      <c r="L6" s="163">
        <f>L4*M6</f>
        <v>9506</v>
      </c>
      <c r="M6" s="170">
        <v>0.25</v>
      </c>
      <c r="N6" s="149">
        <f>N4*$M$6</f>
        <v>10588.362735551511</v>
      </c>
      <c r="O6" s="149">
        <f t="shared" ref="O6:S6" si="15">O4*$M$6</f>
        <v>11793.964382454857</v>
      </c>
      <c r="P6" s="149">
        <f t="shared" si="15"/>
        <v>13136.837047297158</v>
      </c>
      <c r="Q6" s="149">
        <f t="shared" si="15"/>
        <v>14632.610546456319</v>
      </c>
      <c r="R6" s="149">
        <f t="shared" si="15"/>
        <v>16298.694322947204</v>
      </c>
      <c r="S6" s="149">
        <f t="shared" si="15"/>
        <v>18154.480076503169</v>
      </c>
      <c r="U6" s="167" t="s">
        <v>391</v>
      </c>
      <c r="V6" s="163">
        <f>V4*W6</f>
        <v>8886.25</v>
      </c>
      <c r="W6" s="170">
        <v>0.25</v>
      </c>
      <c r="X6" s="149">
        <f>X4*$W$6</f>
        <v>10633.850027750352</v>
      </c>
      <c r="Y6" s="149">
        <f t="shared" ref="Y6:AC6" si="16">Y4*$W$6</f>
        <v>12725.138997066948</v>
      </c>
      <c r="Z6" s="149">
        <f t="shared" si="16"/>
        <v>15227.707939466869</v>
      </c>
      <c r="AA6" s="149">
        <f t="shared" si="16"/>
        <v>18222.440567694361</v>
      </c>
      <c r="AB6" s="149">
        <f t="shared" si="16"/>
        <v>21806.127459440802</v>
      </c>
      <c r="AC6" s="178">
        <f t="shared" si="16"/>
        <v>26094.594355290737</v>
      </c>
      <c r="AE6" s="167" t="s">
        <v>391</v>
      </c>
      <c r="AF6" s="163">
        <f>AF4*AG6</f>
        <v>3994.0500000000047</v>
      </c>
      <c r="AG6" s="170">
        <v>0.25</v>
      </c>
      <c r="AH6" s="149">
        <f>AH4*$AG$6</f>
        <v>4163.1476233879403</v>
      </c>
      <c r="AI6" s="149">
        <f t="shared" ref="AI6:AM6" si="17">AI4*$AG$6</f>
        <v>4339.4043975715458</v>
      </c>
      <c r="AJ6" s="149">
        <f t="shared" si="17"/>
        <v>4523.1234222578923</v>
      </c>
      <c r="AK6" s="149">
        <f t="shared" si="17"/>
        <v>4714.6206296023456</v>
      </c>
      <c r="AL6" s="149">
        <f t="shared" si="17"/>
        <v>4914.2253275008416</v>
      </c>
      <c r="AM6" s="149">
        <f t="shared" si="17"/>
        <v>5122.2807658837337</v>
      </c>
      <c r="AO6" s="167" t="s">
        <v>391</v>
      </c>
      <c r="AP6" s="163">
        <f>AP4*AQ6</f>
        <v>1567.5999999999992</v>
      </c>
      <c r="AQ6" s="170">
        <v>0.25</v>
      </c>
      <c r="AR6" s="149">
        <f>AR4*$AQ$6</f>
        <v>1953.6747573618266</v>
      </c>
      <c r="AS6" s="149">
        <f t="shared" ref="AS6:AW6" si="18">AS4*$AQ$6</f>
        <v>2434.8335401587101</v>
      </c>
      <c r="AT6" s="149">
        <f t="shared" si="18"/>
        <v>3034.4940200216943</v>
      </c>
      <c r="AU6" s="149">
        <f t="shared" si="18"/>
        <v>3781.8412658087523</v>
      </c>
      <c r="AV6" s="149">
        <f t="shared" si="18"/>
        <v>4713.2481611124404</v>
      </c>
      <c r="AW6" s="149">
        <f t="shared" si="18"/>
        <v>5874.0456478358174</v>
      </c>
    </row>
    <row r="7" spans="1:49" x14ac:dyDescent="0.3">
      <c r="A7" s="167" t="s">
        <v>392</v>
      </c>
      <c r="B7" s="163">
        <f>B4-B6</f>
        <v>47081.25</v>
      </c>
      <c r="C7" s="150"/>
      <c r="D7" s="5">
        <f>D4-D6</f>
        <v>50895.621668761829</v>
      </c>
      <c r="E7" s="5">
        <f t="shared" ref="E7:I7" si="19">E4-E6</f>
        <v>55019.02147988294</v>
      </c>
      <c r="F7" s="5">
        <f t="shared" si="19"/>
        <v>59476.485900981876</v>
      </c>
      <c r="G7" s="5">
        <f t="shared" si="19"/>
        <v>64295.079773876452</v>
      </c>
      <c r="H7" s="5">
        <f t="shared" si="19"/>
        <v>69504.060646947066</v>
      </c>
      <c r="I7" s="152">
        <f t="shared" si="19"/>
        <v>75135.056421180314</v>
      </c>
      <c r="J7" s="2"/>
      <c r="K7" s="167" t="s">
        <v>392</v>
      </c>
      <c r="L7" s="163">
        <f>L4-L6</f>
        <v>28518</v>
      </c>
      <c r="M7" s="170"/>
      <c r="N7" s="149">
        <f>N4-N6</f>
        <v>31765.088206654531</v>
      </c>
      <c r="O7" s="149">
        <f t="shared" ref="O7:S7" si="20">O4-O6</f>
        <v>35381.893147364572</v>
      </c>
      <c r="P7" s="149">
        <f t="shared" si="20"/>
        <v>39410.511141891475</v>
      </c>
      <c r="Q7" s="149">
        <f t="shared" si="20"/>
        <v>43897.83163936896</v>
      </c>
      <c r="R7" s="149">
        <f t="shared" si="20"/>
        <v>48896.082968841612</v>
      </c>
      <c r="S7" s="149">
        <f t="shared" si="20"/>
        <v>54463.440229509506</v>
      </c>
      <c r="U7" s="167" t="s">
        <v>392</v>
      </c>
      <c r="V7" s="163">
        <f>V4-V6</f>
        <v>26658.75</v>
      </c>
      <c r="W7" s="170"/>
      <c r="X7" s="149">
        <f>X4-X6</f>
        <v>31901.550083251055</v>
      </c>
      <c r="Y7" s="149">
        <f t="shared" ref="Y7:AC7" si="21">Y4-Y6</f>
        <v>38175.416991200844</v>
      </c>
      <c r="Z7" s="149">
        <f t="shared" si="21"/>
        <v>45683.123818400607</v>
      </c>
      <c r="AA7" s="149">
        <f t="shared" si="21"/>
        <v>54667.321703083086</v>
      </c>
      <c r="AB7" s="149">
        <f t="shared" si="21"/>
        <v>65418.382378322407</v>
      </c>
      <c r="AC7" s="178">
        <f t="shared" si="21"/>
        <v>78283.783065872209</v>
      </c>
      <c r="AE7" s="167" t="s">
        <v>392</v>
      </c>
      <c r="AF7" s="163">
        <f>AF4-AF6</f>
        <v>11982.150000000014</v>
      </c>
      <c r="AG7" s="163"/>
      <c r="AH7" s="163">
        <f t="shared" ref="AH7:AM7" si="22">AH4-AH6</f>
        <v>12489.442870163821</v>
      </c>
      <c r="AI7" s="163">
        <f t="shared" si="22"/>
        <v>13018.213192714637</v>
      </c>
      <c r="AJ7" s="163">
        <f t="shared" si="22"/>
        <v>13569.370266773676</v>
      </c>
      <c r="AK7" s="163">
        <f t="shared" si="22"/>
        <v>14143.861888807038</v>
      </c>
      <c r="AL7" s="163">
        <f t="shared" si="22"/>
        <v>14742.675982502526</v>
      </c>
      <c r="AM7" s="163">
        <f t="shared" si="22"/>
        <v>15366.842297651201</v>
      </c>
      <c r="AO7" s="167" t="s">
        <v>392</v>
      </c>
      <c r="AP7" s="163">
        <f>AP4-AP6</f>
        <v>4702.7999999999975</v>
      </c>
      <c r="AQ7" s="170"/>
      <c r="AR7" s="149">
        <f>AR4-AR6</f>
        <v>5861.0242720854794</v>
      </c>
      <c r="AS7" s="149">
        <f t="shared" ref="AS7:AW7" si="23">AS4-AS6</f>
        <v>7304.5006204761303</v>
      </c>
      <c r="AT7" s="149">
        <f t="shared" si="23"/>
        <v>9103.4820600650819</v>
      </c>
      <c r="AU7" s="149">
        <f t="shared" si="23"/>
        <v>11345.523797426256</v>
      </c>
      <c r="AV7" s="149">
        <f t="shared" si="23"/>
        <v>14139.744483337321</v>
      </c>
      <c r="AW7" s="149">
        <f t="shared" si="23"/>
        <v>17622.136943507452</v>
      </c>
    </row>
    <row r="8" spans="1:49" ht="28.8" x14ac:dyDescent="0.3">
      <c r="A8" s="168" t="s">
        <v>393</v>
      </c>
      <c r="B8" s="163">
        <f>'Income Statement'!F10</f>
        <v>4985</v>
      </c>
      <c r="C8" s="150">
        <f>('Income Statement'!F10/'Income Statement'!B10)^(1/5)-1</f>
        <v>7.1525968987931288E-2</v>
      </c>
      <c r="D8" s="5">
        <f>B8*(1+C8)</f>
        <v>5341.556955404837</v>
      </c>
      <c r="E8" s="5">
        <f>D8*(1+$C$8)</f>
        <v>5723.6169925443919</v>
      </c>
      <c r="F8" s="5">
        <f t="shared" ref="F8:I8" si="24">E8*(1+$C$8)</f>
        <v>6133.0042440519182</v>
      </c>
      <c r="G8" s="5">
        <f t="shared" si="24"/>
        <v>6571.6733154148269</v>
      </c>
      <c r="H8" s="5">
        <f t="shared" si="24"/>
        <v>7041.7186171720032</v>
      </c>
      <c r="I8" s="152">
        <f t="shared" si="24"/>
        <v>7545.3843646055866</v>
      </c>
      <c r="J8" s="2"/>
      <c r="K8" s="168" t="s">
        <v>393</v>
      </c>
      <c r="L8" s="163">
        <f>'Income Statement'!M13</f>
        <v>4812</v>
      </c>
      <c r="M8" s="170">
        <f>('Income Statement'!M13/'Income Statement'!I13)^(1/5)-1</f>
        <v>0.1071218881816498</v>
      </c>
      <c r="N8" s="149">
        <f>L8*(1+M8)</f>
        <v>5327.470525930099</v>
      </c>
      <c r="O8" s="149">
        <f>N8*(1+$M$8)</f>
        <v>5898.1592278998178</v>
      </c>
      <c r="P8" s="149">
        <f t="shared" ref="P8:S8" si="25">O8*(1+$M$8)</f>
        <v>6529.9811811884683</v>
      </c>
      <c r="Q8" s="149">
        <f t="shared" si="25"/>
        <v>7229.485095108017</v>
      </c>
      <c r="R8" s="149">
        <f t="shared" si="25"/>
        <v>8003.9211890770821</v>
      </c>
      <c r="S8" s="149">
        <f t="shared" si="25"/>
        <v>8861.3163397081353</v>
      </c>
      <c r="U8" s="168" t="s">
        <v>393</v>
      </c>
      <c r="V8" s="163">
        <f>'Cash flow statement'!T5</f>
        <v>4173</v>
      </c>
      <c r="W8" s="170">
        <f>('Cash flow statement'!T5/'Cash flow statement'!P5)^(1/5)-1</f>
        <v>4.0601519519479989E-2</v>
      </c>
      <c r="X8" s="149">
        <f>V8*(1+W8)</f>
        <v>4342.4301409547897</v>
      </c>
      <c r="Y8" s="149">
        <f>X8*(1+$W$8)</f>
        <v>4518.7394030847436</v>
      </c>
      <c r="Z8" s="149">
        <f t="shared" ref="Z8:AC8" si="26">Y8*(1+$W$8)</f>
        <v>4702.2070891625317</v>
      </c>
      <c r="AA8" s="149">
        <f t="shared" si="26"/>
        <v>4893.1238420778018</v>
      </c>
      <c r="AB8" s="149">
        <f t="shared" si="26"/>
        <v>5091.7921052631564</v>
      </c>
      <c r="AC8" s="178">
        <f t="shared" si="26"/>
        <v>5298.5266018141328</v>
      </c>
      <c r="AE8" s="168" t="s">
        <v>393</v>
      </c>
      <c r="AF8" s="163">
        <f>'Income Statement'!AA12</f>
        <v>3407.1</v>
      </c>
      <c r="AG8" s="170">
        <f>('Income Statement'!AA12/'Income Statement'!W12)^(1/5)-1</f>
        <v>0.10315093460396674</v>
      </c>
      <c r="AH8" s="149">
        <f>AF8*(1+AG8)</f>
        <v>3758.5455492891751</v>
      </c>
      <c r="AI8" s="149">
        <f>AH8*(1+$AG$8)</f>
        <v>4146.2430354499329</v>
      </c>
      <c r="AJ8" s="149">
        <f t="shared" ref="AJ8:AM8" si="27">AI8*(1+$AG$8)</f>
        <v>4573.9318796517819</v>
      </c>
      <c r="AK8" s="149">
        <f t="shared" si="27"/>
        <v>5045.7372278527419</v>
      </c>
      <c r="AL8" s="149">
        <f t="shared" si="27"/>
        <v>5566.2097386717805</v>
      </c>
      <c r="AM8" s="149">
        <f t="shared" si="27"/>
        <v>6140.3694754174758</v>
      </c>
      <c r="AO8" s="168" t="s">
        <v>393</v>
      </c>
      <c r="AP8" s="163">
        <f>'Income Statement'!AH10</f>
        <v>818.9</v>
      </c>
      <c r="AQ8" s="170">
        <f>('Income Statement'!AH10/'Income Statement'!AD10)^(1/5)-1</f>
        <v>0.24570051734969001</v>
      </c>
      <c r="AR8" s="149">
        <f>AP8*(1+AQ8)</f>
        <v>1020.1041536576611</v>
      </c>
      <c r="AS8" s="149">
        <f>AR8*(1+$AQ$8)</f>
        <v>1270.744271961916</v>
      </c>
      <c r="AT8" s="149">
        <f t="shared" ref="AT8:AW8" si="28">AS8*(1+$AQ$8)</f>
        <v>1582.9667970021139</v>
      </c>
      <c r="AU8" s="149">
        <f t="shared" si="28"/>
        <v>1971.902557972915</v>
      </c>
      <c r="AV8" s="149">
        <f t="shared" si="28"/>
        <v>2456.4000366300374</v>
      </c>
      <c r="AW8" s="149">
        <f t="shared" si="28"/>
        <v>3059.9387964478351</v>
      </c>
    </row>
    <row r="9" spans="1:49" x14ac:dyDescent="0.3">
      <c r="A9" s="167" t="s">
        <v>394</v>
      </c>
      <c r="B9" s="163">
        <f>(-'Cash flow statement'!F34)</f>
        <v>2202</v>
      </c>
      <c r="C9" s="150">
        <f>ABS(AVERAGE('Cash flow statement'!B34:F34))/AVERAGE('Income Statement'!B5:F5)</f>
        <v>1.2488411627017578E-2</v>
      </c>
      <c r="D9" s="5">
        <f>D3*$C$9</f>
        <v>3330.5777525893714</v>
      </c>
      <c r="E9" s="5">
        <f t="shared" ref="E9:I9" si="29">E3*$C$9</f>
        <v>3620.8275762667008</v>
      </c>
      <c r="F9" s="5">
        <f t="shared" si="29"/>
        <v>3936.3717982144885</v>
      </c>
      <c r="G9" s="5">
        <f t="shared" si="29"/>
        <v>4279.414749087473</v>
      </c>
      <c r="H9" s="5">
        <f t="shared" si="29"/>
        <v>4652.3528603203149</v>
      </c>
      <c r="I9" s="5">
        <f t="shared" si="29"/>
        <v>5057.7914051322059</v>
      </c>
      <c r="J9" s="2"/>
      <c r="K9" s="167" t="s">
        <v>394</v>
      </c>
      <c r="L9" s="163">
        <f>-'Cash flow statement'!M22</f>
        <v>2201</v>
      </c>
      <c r="M9" s="170">
        <f>ABS(AVERAGE('Cash flow statement'!I22:M22))/AVERAGE('Income Statement'!I5:M5)</f>
        <v>1.9418131867268307E-2</v>
      </c>
      <c r="N9" s="149">
        <f>N3*$M$9</f>
        <v>3630.2502012175109</v>
      </c>
      <c r="O9" s="149">
        <f t="shared" ref="O9:S9" si="30">O3*$M$9</f>
        <v>4073.9598267426331</v>
      </c>
      <c r="P9" s="149">
        <f t="shared" si="30"/>
        <v>4571.9021417164367</v>
      </c>
      <c r="Q9" s="149">
        <f t="shared" si="30"/>
        <v>5130.7057708872726</v>
      </c>
      <c r="R9" s="149">
        <f t="shared" si="30"/>
        <v>5757.8095268533125</v>
      </c>
      <c r="S9" s="149">
        <f t="shared" si="30"/>
        <v>6461.5614357846125</v>
      </c>
      <c r="U9" s="167" t="s">
        <v>394</v>
      </c>
      <c r="V9" s="163">
        <f>-'Cash flow statement'!T34</f>
        <v>1048</v>
      </c>
      <c r="W9" s="170">
        <f>ABS(AVERAGE('Cash flow statement'!P34:T34))/AVERAGE('Income Statement'!P5:T5)</f>
        <v>1.8113268124973523E-2</v>
      </c>
      <c r="X9" s="149">
        <f>X3*$W$9</f>
        <v>2206.5877934676132</v>
      </c>
      <c r="Y9" s="149">
        <f t="shared" ref="Y9:AC9" si="31">Y3*$W$9</f>
        <v>2412.8439173349648</v>
      </c>
      <c r="Z9" s="149">
        <f t="shared" si="31"/>
        <v>2638.3793958505767</v>
      </c>
      <c r="AA9" s="149">
        <f t="shared" si="31"/>
        <v>2884.9963258864545</v>
      </c>
      <c r="AB9" s="149">
        <f t="shared" si="31"/>
        <v>3154.6652515056721</v>
      </c>
      <c r="AC9" s="149">
        <f t="shared" si="31"/>
        <v>3449.5409092070445</v>
      </c>
      <c r="AE9" s="167" t="s">
        <v>394</v>
      </c>
      <c r="AF9" s="163">
        <f>-'Cash flow statement'!AA24</f>
        <v>1051</v>
      </c>
      <c r="AG9" s="170">
        <f>ABS(AVERAGE('Cash flow statement'!W24:AA24))/AVERAGE('Income Statement'!W6:AA6)</f>
        <v>2.2439245358736325E-2</v>
      </c>
      <c r="AH9" s="149">
        <f>AH3*$AG$9</f>
        <v>2232.1074322913569</v>
      </c>
      <c r="AI9" s="149">
        <f t="shared" ref="AI9:AM9" si="32">AI3*$AG$9</f>
        <v>2403.2104398804449</v>
      </c>
      <c r="AJ9" s="149">
        <f t="shared" si="32"/>
        <v>2587.4294107885466</v>
      </c>
      <c r="AK9" s="149">
        <f t="shared" si="32"/>
        <v>2785.7697539573846</v>
      </c>
      <c r="AL9" s="149">
        <f t="shared" si="32"/>
        <v>2999.3139483170239</v>
      </c>
      <c r="AM9" s="149">
        <f t="shared" si="32"/>
        <v>3229.2274506138783</v>
      </c>
      <c r="AO9" s="167" t="s">
        <v>394</v>
      </c>
      <c r="AP9" s="163">
        <f>-'Cash flow statement'!AH27</f>
        <v>843.2</v>
      </c>
      <c r="AQ9" s="170">
        <f>ABS(AVERAGE('Cash flow statement'!AD27:AH27))/AVERAGE('Income Statement'!AD5:AH5)</f>
        <v>2.7826089838613323E-2</v>
      </c>
      <c r="AR9" s="149">
        <f>AR3*$AQ$9</f>
        <v>1274.2962820122489</v>
      </c>
      <c r="AS9" s="149">
        <f t="shared" ref="AS9:AW9" si="33">AS3*$AQ$9</f>
        <v>1611.2146154062041</v>
      </c>
      <c r="AT9" s="149">
        <f t="shared" si="33"/>
        <v>2037.2126745902322</v>
      </c>
      <c r="AU9" s="149">
        <f t="shared" si="33"/>
        <v>2575.8427473454672</v>
      </c>
      <c r="AV9" s="149">
        <f t="shared" si="33"/>
        <v>3256.8842427739219</v>
      </c>
      <c r="AW9" s="149">
        <f t="shared" si="33"/>
        <v>4117.9901147926839</v>
      </c>
    </row>
    <row r="10" spans="1:49" ht="28.8" x14ac:dyDescent="0.3">
      <c r="A10" s="168" t="s">
        <v>395</v>
      </c>
      <c r="B10" s="163">
        <f>('Balance Sheet'!F32-'Balance Sheet'!F60)-('Balance Sheet'!E32-'Balance Sheet'!E60)</f>
        <v>168</v>
      </c>
      <c r="C10" s="150">
        <f>('Balance Sheet'!F65/'Balance Sheet'!B65)^(1/5)-1</f>
        <v>1.1457066738155497E-2</v>
      </c>
      <c r="D10" s="5">
        <f>B10*(1+C10)</f>
        <v>169.92478721201013</v>
      </c>
      <c r="E10" s="5">
        <f>D10*(1+$C$10)</f>
        <v>171.87162683956501</v>
      </c>
      <c r="F10" s="5">
        <f t="shared" ref="F10:I10" si="34">E10*(1+$C$10)</f>
        <v>173.84077153866127</v>
      </c>
      <c r="G10" s="5">
        <f t="shared" si="34"/>
        <v>175.83247685999217</v>
      </c>
      <c r="H10" s="5">
        <f t="shared" si="34"/>
        <v>177.84700128211227</v>
      </c>
      <c r="I10" s="152">
        <f t="shared" si="34"/>
        <v>179.88460624498225</v>
      </c>
      <c r="J10" s="2"/>
      <c r="K10" s="168" t="s">
        <v>395</v>
      </c>
      <c r="L10" s="163">
        <f>'Balance Sheet'!M56-('Balance Sheet'!L27-'Balance Sheet'!L52)</f>
        <v>18943</v>
      </c>
      <c r="M10" s="170">
        <f>('Balance Sheet'!M56/'Balance Sheet'!I56)^(1/5)-1</f>
        <v>8.472036958412188E-2</v>
      </c>
      <c r="N10" s="149">
        <f>L10*(1+M10)</f>
        <v>20547.857961032019</v>
      </c>
      <c r="O10" s="149">
        <f>N10*(1+$M$10)</f>
        <v>22288.680081652692</v>
      </c>
      <c r="P10" s="149">
        <f t="shared" ref="P10:S10" si="35">O10*(1+$M$10)</f>
        <v>24176.985295712562</v>
      </c>
      <c r="Q10" s="149">
        <f t="shared" si="35"/>
        <v>26225.26842539521</v>
      </c>
      <c r="R10" s="149">
        <f t="shared" si="35"/>
        <v>28447.082858837493</v>
      </c>
      <c r="S10" s="149">
        <f t="shared" si="35"/>
        <v>30857.130232228345</v>
      </c>
      <c r="U10" s="168" t="s">
        <v>395</v>
      </c>
      <c r="V10" s="163">
        <f>'Balance Sheet'!T57-'Balance Sheet'!S57</f>
        <v>4459</v>
      </c>
      <c r="W10" s="170">
        <f>('Balance Sheet'!T57/'Balance Sheet'!P57)^(1/5)-1</f>
        <v>0.20033846426988355</v>
      </c>
      <c r="X10" s="149">
        <f>V10*(1+W10)</f>
        <v>5352.3092121794107</v>
      </c>
      <c r="Y10" s="149">
        <f>X10*(1+$W$10)</f>
        <v>6424.5826200449837</v>
      </c>
      <c r="Z10" s="149">
        <f t="shared" ref="Z10:AC10" si="36">Y10*(1+$W$10)</f>
        <v>7711.6736357197806</v>
      </c>
      <c r="AA10" s="149">
        <f t="shared" si="36"/>
        <v>9256.6184888504304</v>
      </c>
      <c r="AB10" s="149">
        <f t="shared" si="36"/>
        <v>11111.075221238936</v>
      </c>
      <c r="AC10" s="178">
        <f t="shared" si="36"/>
        <v>13337.0509674491</v>
      </c>
      <c r="AE10" s="168" t="s">
        <v>395</v>
      </c>
      <c r="AF10" s="163">
        <f>'Balance Sheet'!AA68-'Balance Sheet'!Z68</f>
        <v>486.10000000002037</v>
      </c>
      <c r="AG10" s="170">
        <f>('Balance Sheet'!AA68/'Balance Sheet'!W68)^(1/5)-1</f>
        <v>5.5848009230820006E-2</v>
      </c>
      <c r="AH10" s="149">
        <f>AF10*(1+AG10)</f>
        <v>513.24771728712312</v>
      </c>
      <c r="AI10" s="149">
        <f>AH10*(1+$AG$10)</f>
        <v>541.91158053987169</v>
      </c>
      <c r="AJ10" s="149">
        <f t="shared" ref="AJ10:AM10" si="37">AI10*(1+$AG$10)</f>
        <v>572.17626349215072</v>
      </c>
      <c r="AK10" s="149">
        <f t="shared" si="37"/>
        <v>604.13116873731644</v>
      </c>
      <c r="AL10" s="149">
        <f t="shared" si="37"/>
        <v>637.87069182558412</v>
      </c>
      <c r="AM10" s="149">
        <f t="shared" si="37"/>
        <v>673.49450011072884</v>
      </c>
      <c r="AO10" s="168" t="s">
        <v>395</v>
      </c>
      <c r="AP10" s="163">
        <f>'Balance Sheet'!AH65-'Balance Sheet'!AG65</f>
        <v>1399.9999999999964</v>
      </c>
      <c r="AQ10" s="170">
        <f>('Balance Sheet'!AH65/'Balance Sheet'!AD65)^(1/5)-1</f>
        <v>0.26797666528589459</v>
      </c>
      <c r="AR10" s="149">
        <f>AP10*(1+AQ10)</f>
        <v>1775.1673314002478</v>
      </c>
      <c r="AS10" s="149">
        <f>AR10*(1+$AQ$10)</f>
        <v>2250.8707531933469</v>
      </c>
      <c r="AT10" s="149">
        <f t="shared" ref="AT10:AW10" si="38">AS10*(1+$AQ$10)</f>
        <v>2854.05159162365</v>
      </c>
      <c r="AU10" s="149">
        <f t="shared" si="38"/>
        <v>3618.8708197008555</v>
      </c>
      <c r="AV10" s="149">
        <f t="shared" si="38"/>
        <v>4588.643754064723</v>
      </c>
      <c r="AW10" s="149">
        <f t="shared" si="38"/>
        <v>5818.2932054639359</v>
      </c>
    </row>
    <row r="11" spans="1:49" s="14" customFormat="1" ht="29.4" thickBot="1" x14ac:dyDescent="0.35">
      <c r="A11" s="171" t="s">
        <v>396</v>
      </c>
      <c r="B11" s="172">
        <f>B7+B8-B9-B10</f>
        <v>49696.25</v>
      </c>
      <c r="C11" s="173"/>
      <c r="D11" s="174">
        <f t="shared" ref="D11:I11" si="39">D7+D8-D9-D10</f>
        <v>52736.676084365281</v>
      </c>
      <c r="E11" s="174">
        <f t="shared" si="39"/>
        <v>56949.939269321061</v>
      </c>
      <c r="F11" s="174">
        <f t="shared" si="39"/>
        <v>61499.277575280641</v>
      </c>
      <c r="G11" s="174">
        <f t="shared" si="39"/>
        <v>66411.505863343817</v>
      </c>
      <c r="H11" s="174">
        <f t="shared" si="39"/>
        <v>71715.579402516654</v>
      </c>
      <c r="I11" s="175">
        <f t="shared" si="39"/>
        <v>77442.764774408715</v>
      </c>
      <c r="J11" s="176"/>
      <c r="K11" s="171" t="s">
        <v>396</v>
      </c>
      <c r="L11" s="172">
        <f>L7+L8-L9-L10</f>
        <v>12186</v>
      </c>
      <c r="M11" s="172"/>
      <c r="N11" s="172">
        <f t="shared" ref="N11:S11" si="40">N7+N8-N9-N10</f>
        <v>12914.450570335099</v>
      </c>
      <c r="O11" s="172">
        <f t="shared" si="40"/>
        <v>14917.412466869067</v>
      </c>
      <c r="P11" s="172">
        <f t="shared" si="40"/>
        <v>17191.604885650951</v>
      </c>
      <c r="Q11" s="172">
        <f t="shared" si="40"/>
        <v>19771.342538194491</v>
      </c>
      <c r="R11" s="172">
        <f t="shared" si="40"/>
        <v>22695.111772227887</v>
      </c>
      <c r="S11" s="172">
        <f t="shared" si="40"/>
        <v>26006.064901204685</v>
      </c>
      <c r="U11" s="171" t="s">
        <v>396</v>
      </c>
      <c r="V11" s="172">
        <f>V7+V8-V9-V10</f>
        <v>25324.75</v>
      </c>
      <c r="W11" s="172"/>
      <c r="X11" s="172">
        <f t="shared" ref="X11:AC11" si="41">X7+X8-X9-X10</f>
        <v>28685.083218558822</v>
      </c>
      <c r="Y11" s="172">
        <f t="shared" si="41"/>
        <v>33856.729856905644</v>
      </c>
      <c r="Z11" s="172">
        <f t="shared" si="41"/>
        <v>40035.277875992782</v>
      </c>
      <c r="AA11" s="172">
        <f t="shared" si="41"/>
        <v>47418.830730424008</v>
      </c>
      <c r="AB11" s="172">
        <f t="shared" si="41"/>
        <v>56244.434010840952</v>
      </c>
      <c r="AC11" s="179">
        <f t="shared" si="41"/>
        <v>66795.717791030183</v>
      </c>
      <c r="AE11" s="171" t="s">
        <v>396</v>
      </c>
      <c r="AF11" s="172">
        <f>AF7+AF8-AF9-AF10</f>
        <v>13852.149999999994</v>
      </c>
      <c r="AG11" s="172"/>
      <c r="AH11" s="172">
        <f t="shared" ref="AH11:AM11" si="42">AH7+AH8-AH9-AH10</f>
        <v>13502.633269874514</v>
      </c>
      <c r="AI11" s="172">
        <f t="shared" si="42"/>
        <v>14219.334207744254</v>
      </c>
      <c r="AJ11" s="172">
        <f t="shared" si="42"/>
        <v>14983.696472144758</v>
      </c>
      <c r="AK11" s="172">
        <f t="shared" si="42"/>
        <v>15799.69819396508</v>
      </c>
      <c r="AL11" s="172">
        <f t="shared" si="42"/>
        <v>16671.701081031697</v>
      </c>
      <c r="AM11" s="172">
        <f t="shared" si="42"/>
        <v>17604.489822344069</v>
      </c>
      <c r="AO11" s="171" t="s">
        <v>396</v>
      </c>
      <c r="AP11" s="172">
        <f>AP7+AP8-AP9-AP10</f>
        <v>3278.5000000000009</v>
      </c>
      <c r="AQ11" s="172"/>
      <c r="AR11" s="172">
        <f t="shared" ref="AR11:AW11" si="43">AR7+AR8-AR9-AR10</f>
        <v>3831.6648123306436</v>
      </c>
      <c r="AS11" s="172">
        <f t="shared" si="43"/>
        <v>4713.1595238384953</v>
      </c>
      <c r="AT11" s="172">
        <f t="shared" si="43"/>
        <v>5795.1845908533151</v>
      </c>
      <c r="AU11" s="172">
        <f t="shared" si="43"/>
        <v>7122.7127883528492</v>
      </c>
      <c r="AV11" s="172">
        <f t="shared" si="43"/>
        <v>8750.6165231287123</v>
      </c>
      <c r="AW11" s="172">
        <f t="shared" si="43"/>
        <v>10745.792419698668</v>
      </c>
    </row>
    <row r="12" spans="1:49" x14ac:dyDescent="0.3">
      <c r="F12" s="1"/>
    </row>
    <row r="13" spans="1:49" x14ac:dyDescent="0.3">
      <c r="F13" s="1"/>
    </row>
    <row r="14" spans="1:49" x14ac:dyDescent="0.3">
      <c r="A14" s="4" t="s">
        <v>452</v>
      </c>
      <c r="B14" s="4" t="s">
        <v>453</v>
      </c>
      <c r="C14" s="202">
        <f>(I3/D3)^(1/6)-1</f>
        <v>7.2112162563730875E-2</v>
      </c>
      <c r="F14" s="1"/>
    </row>
    <row r="15" spans="1:49" x14ac:dyDescent="0.3">
      <c r="A15" s="4" t="s">
        <v>452</v>
      </c>
      <c r="B15" s="4" t="s">
        <v>111</v>
      </c>
      <c r="C15" s="202">
        <f>(S3/N3)^(1/6)-1</f>
        <v>0.10086353558339223</v>
      </c>
      <c r="F15" s="1"/>
    </row>
    <row r="16" spans="1:49" x14ac:dyDescent="0.3">
      <c r="A16" s="4" t="s">
        <v>452</v>
      </c>
      <c r="B16" s="4" t="s">
        <v>454</v>
      </c>
      <c r="C16" s="202">
        <f>(AC3/X3)^(1/6)-1</f>
        <v>7.7308322064245205E-2</v>
      </c>
      <c r="F16" s="1"/>
    </row>
    <row r="17" spans="1:7" x14ac:dyDescent="0.3">
      <c r="A17" s="4" t="s">
        <v>452</v>
      </c>
      <c r="B17" s="4" t="s">
        <v>113</v>
      </c>
      <c r="C17" s="202">
        <f>(AM3/AH3)^(1/6)-1</f>
        <v>6.3483093886413267E-2</v>
      </c>
      <c r="F17" s="1"/>
    </row>
    <row r="18" spans="1:7" x14ac:dyDescent="0.3">
      <c r="A18" s="4" t="s">
        <v>452</v>
      </c>
      <c r="B18" s="4" t="s">
        <v>455</v>
      </c>
      <c r="C18" s="202">
        <f>(AW3/AR3)^(1/6)-1</f>
        <v>0.21591294081813017</v>
      </c>
      <c r="F18" s="1"/>
    </row>
    <row r="19" spans="1:7" x14ac:dyDescent="0.3">
      <c r="A19" s="3" t="s">
        <v>452</v>
      </c>
      <c r="B19" s="3" t="s">
        <v>456</v>
      </c>
      <c r="C19" s="234">
        <f>AVERAGE(C14:C18)</f>
        <v>0.10593601098318235</v>
      </c>
      <c r="E19" s="4" t="s">
        <v>459</v>
      </c>
      <c r="F19" s="232">
        <v>2020</v>
      </c>
      <c r="G19" s="202">
        <f>AVERAGE(-5.8%,9.7%)</f>
        <v>1.9499999999999997E-2</v>
      </c>
    </row>
    <row r="20" spans="1:7" x14ac:dyDescent="0.3">
      <c r="A20" s="4" t="s">
        <v>457</v>
      </c>
      <c r="B20" s="4" t="s">
        <v>453</v>
      </c>
      <c r="C20" s="202">
        <f>AVERAGE(D9:I9)/AVERAGE(D3:I3)</f>
        <v>1.2488411627017578E-2</v>
      </c>
      <c r="E20" s="4" t="s">
        <v>459</v>
      </c>
      <c r="F20" s="232">
        <v>2025</v>
      </c>
      <c r="G20" s="202">
        <v>7.8E-2</v>
      </c>
    </row>
    <row r="21" spans="1:7" x14ac:dyDescent="0.3">
      <c r="A21" s="4" t="s">
        <v>457</v>
      </c>
      <c r="B21" s="4" t="s">
        <v>111</v>
      </c>
      <c r="C21" s="202">
        <f>AVERAGE(N9:S9)/AVERAGE(N3:S3)</f>
        <v>1.9418131867268307E-2</v>
      </c>
      <c r="E21" s="3" t="s">
        <v>459</v>
      </c>
      <c r="F21" s="233" t="s">
        <v>460</v>
      </c>
      <c r="G21" s="234">
        <f>G20-G19</f>
        <v>5.8500000000000003E-2</v>
      </c>
    </row>
    <row r="22" spans="1:7" x14ac:dyDescent="0.3">
      <c r="A22" s="4" t="s">
        <v>457</v>
      </c>
      <c r="B22" s="4" t="s">
        <v>454</v>
      </c>
      <c r="C22" s="202">
        <f>AVERAGE(X9:AC9)/AVERAGE(X3:AC3)</f>
        <v>1.8113268124973523E-2</v>
      </c>
      <c r="E22" s="3" t="s">
        <v>459</v>
      </c>
      <c r="F22" s="233" t="s">
        <v>461</v>
      </c>
      <c r="G22" s="235">
        <f>C31/G21</f>
        <v>12.313121925749821</v>
      </c>
    </row>
    <row r="23" spans="1:7" x14ac:dyDescent="0.3">
      <c r="A23" s="4" t="s">
        <v>457</v>
      </c>
      <c r="B23" s="4" t="s">
        <v>113</v>
      </c>
      <c r="C23" s="202">
        <f>AVERAGE(AH9:AM9)/AVERAGE(AH3:AM3)</f>
        <v>2.2439245358736325E-2</v>
      </c>
    </row>
    <row r="24" spans="1:7" x14ac:dyDescent="0.3">
      <c r="A24" s="4" t="s">
        <v>457</v>
      </c>
      <c r="B24" s="4" t="s">
        <v>455</v>
      </c>
      <c r="C24" s="202">
        <f>AVERAGE(AR9:AW9)/AVERAGE(AR3:AW3)</f>
        <v>2.7826089838613326E-2</v>
      </c>
    </row>
    <row r="25" spans="1:7" x14ac:dyDescent="0.3">
      <c r="A25" s="3" t="s">
        <v>457</v>
      </c>
      <c r="B25" s="3" t="s">
        <v>456</v>
      </c>
      <c r="C25" s="234">
        <f>AVERAGE(C20:C24)</f>
        <v>2.0057029363321814E-2</v>
      </c>
    </row>
    <row r="26" spans="1:7" x14ac:dyDescent="0.3">
      <c r="A26" s="4" t="s">
        <v>458</v>
      </c>
      <c r="B26" s="4" t="s">
        <v>453</v>
      </c>
      <c r="C26" s="202">
        <f>('Income Statement'!F21-'Income Statement'!B21)/'Income Statement'!B21</f>
        <v>0.42074768083335901</v>
      </c>
    </row>
    <row r="27" spans="1:7" x14ac:dyDescent="0.3">
      <c r="A27" s="4" t="s">
        <v>458</v>
      </c>
      <c r="B27" s="4" t="s">
        <v>111</v>
      </c>
      <c r="C27" s="202">
        <f>('Income Statement'!M22-'Income Statement'!I22)/'Income Statement'!I22</f>
        <v>0.60766873009195266</v>
      </c>
    </row>
    <row r="28" spans="1:7" x14ac:dyDescent="0.3">
      <c r="A28" s="4" t="s">
        <v>458</v>
      </c>
      <c r="B28" s="4" t="s">
        <v>454</v>
      </c>
      <c r="C28" s="202">
        <f>('Income Statement'!T20-'Income Statement'!P20)/'Income Statement'!P20</f>
        <v>0.42081939043140093</v>
      </c>
    </row>
    <row r="29" spans="1:7" x14ac:dyDescent="0.3">
      <c r="A29" s="4" t="s">
        <v>458</v>
      </c>
      <c r="B29" s="4" t="s">
        <v>113</v>
      </c>
      <c r="C29" s="202">
        <f>('Income Statement'!AA28-'Income Statement'!W28)/'Income Statement'!W28</f>
        <v>0.13715999099449636</v>
      </c>
    </row>
    <row r="30" spans="1:7" x14ac:dyDescent="0.3">
      <c r="A30" s="4" t="s">
        <v>458</v>
      </c>
      <c r="B30" s="4" t="s">
        <v>455</v>
      </c>
      <c r="C30" s="202">
        <f>('Income Statement'!AH18-'Income Statement'!AD18)/'Income Statement'!AD18</f>
        <v>2.0151923709306137</v>
      </c>
    </row>
    <row r="31" spans="1:7" x14ac:dyDescent="0.3">
      <c r="A31" s="3" t="s">
        <v>458</v>
      </c>
      <c r="B31" s="3" t="s">
        <v>456</v>
      </c>
      <c r="C31" s="234">
        <f>AVERAGE(C26:C30)</f>
        <v>0.7203176326563645</v>
      </c>
    </row>
    <row r="32" spans="1:7" x14ac:dyDescent="0.3">
      <c r="A32" s="1" t="s">
        <v>358</v>
      </c>
      <c r="B32" s="1" t="str">
        <f>B26</f>
        <v>TCS</v>
      </c>
      <c r="C32" s="200">
        <f>(AVERAGE(D4:I4)+AVERAGE(D8:I8))/AVERAGE(D3:I3)</f>
        <v>0.26980336912879527</v>
      </c>
    </row>
    <row r="33" spans="1:3" x14ac:dyDescent="0.3">
      <c r="A33" s="1" t="s">
        <v>358</v>
      </c>
      <c r="B33" s="1" t="str">
        <f t="shared" ref="B33:B37" si="44">B27</f>
        <v>Infosys</v>
      </c>
      <c r="C33" s="200">
        <f>(AVERAGE(N4:S4)+AVERAGE(N8:S8))/AVERAGE(N3:S3)</f>
        <v>0.24924351740692863</v>
      </c>
    </row>
    <row r="34" spans="1:3" x14ac:dyDescent="0.3">
      <c r="A34" s="1" t="s">
        <v>358</v>
      </c>
      <c r="B34" s="1" t="str">
        <f t="shared" si="44"/>
        <v>HCL</v>
      </c>
      <c r="C34" s="200">
        <f>(AVERAGE(X4:AC4)+AVERAGE(X8:AC8))/AVERAGE(X3:AC3)</f>
        <v>0.48420938789772355</v>
      </c>
    </row>
    <row r="35" spans="1:3" x14ac:dyDescent="0.3">
      <c r="A35" s="1" t="s">
        <v>358</v>
      </c>
      <c r="B35" s="1" t="str">
        <f t="shared" si="44"/>
        <v>Wipro</v>
      </c>
      <c r="C35" s="200">
        <f>(AVERAGE(AH4:AM4)+AVERAGE(AH8:AM8))/AVERAGE(AH3:AM3)</f>
        <v>0.19394426262782863</v>
      </c>
    </row>
    <row r="36" spans="1:3" x14ac:dyDescent="0.3">
      <c r="A36" s="1" t="s">
        <v>358</v>
      </c>
      <c r="B36" s="1" t="str">
        <f t="shared" si="44"/>
        <v>LTM</v>
      </c>
      <c r="C36" s="200">
        <f>(AVERAGE(AR4:AW4)+AVERAGE(AR8:AW8))/AVERAGE(AR3:AW3)</f>
        <v>0.18433673546376575</v>
      </c>
    </row>
    <row r="37" spans="1:3" x14ac:dyDescent="0.3">
      <c r="A37" s="14" t="s">
        <v>358</v>
      </c>
      <c r="B37" s="14" t="str">
        <f t="shared" si="44"/>
        <v>Average</v>
      </c>
      <c r="C37" s="243">
        <f>AVERAGE(C32:C36)</f>
        <v>0.27630745450500838</v>
      </c>
    </row>
    <row r="38" spans="1:3" x14ac:dyDescent="0.3">
      <c r="A38" s="1" t="s">
        <v>479</v>
      </c>
      <c r="B38" s="1" t="str">
        <f>B32</f>
        <v>TCS</v>
      </c>
      <c r="C38" s="200">
        <f>AVERAGE(D7:I7)/AVERAGE(D3:I3)</f>
        <v>0.18791114633584483</v>
      </c>
    </row>
    <row r="39" spans="1:3" x14ac:dyDescent="0.3">
      <c r="A39" s="1" t="s">
        <v>479</v>
      </c>
      <c r="B39" s="1" t="str">
        <f t="shared" ref="B39:B43" si="45">B33</f>
        <v>Infosys</v>
      </c>
      <c r="C39" s="200">
        <f>AVERAGE(N7:S7)/AVERAGE(N3:S3)</f>
        <v>0.16635991188398744</v>
      </c>
    </row>
    <row r="40" spans="1:3" x14ac:dyDescent="0.3">
      <c r="A40" s="1" t="s">
        <v>479</v>
      </c>
      <c r="B40" s="1" t="str">
        <f t="shared" si="45"/>
        <v>HCL</v>
      </c>
      <c r="C40" s="200">
        <f>AVERAGE(X7:AC7)/AVERAGE(X3:AC3)</f>
        <v>0.33975689106254997</v>
      </c>
    </row>
    <row r="41" spans="1:3" x14ac:dyDescent="0.3">
      <c r="A41" s="1" t="s">
        <v>479</v>
      </c>
      <c r="B41" s="1" t="str">
        <f t="shared" si="45"/>
        <v>Wipro</v>
      </c>
      <c r="C41" s="200">
        <f>AVERAGE(AH7:AM7)/AVERAGE(AH3:AM3)</f>
        <v>0.11516072598083751</v>
      </c>
    </row>
    <row r="42" spans="1:3" x14ac:dyDescent="0.3">
      <c r="A42" s="1" t="s">
        <v>479</v>
      </c>
      <c r="B42" s="1" t="str">
        <f t="shared" si="45"/>
        <v>LTM</v>
      </c>
      <c r="C42" s="200">
        <f>AVERAGE(AR7:AW7)/AVERAGE(AR3:AW3)</f>
        <v>0.12230995894469739</v>
      </c>
    </row>
    <row r="43" spans="1:3" x14ac:dyDescent="0.3">
      <c r="A43" s="14" t="s">
        <v>479</v>
      </c>
      <c r="B43" s="14" t="str">
        <f t="shared" si="45"/>
        <v>Average</v>
      </c>
      <c r="C43" s="243">
        <f>AVERAGE(C38:C42)</f>
        <v>0.18629972684158341</v>
      </c>
    </row>
  </sheetData>
  <mergeCells count="10">
    <mergeCell ref="AE1:AK1"/>
    <mergeCell ref="AL1:AM1"/>
    <mergeCell ref="AO1:AU1"/>
    <mergeCell ref="AV1:AW1"/>
    <mergeCell ref="A1:G1"/>
    <mergeCell ref="H1:I1"/>
    <mergeCell ref="K1:Q1"/>
    <mergeCell ref="R1:S1"/>
    <mergeCell ref="U1:AA1"/>
    <mergeCell ref="AB1:AC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7752B-1B27-4544-AA44-C144130E98F8}">
  <dimension ref="A1:O25"/>
  <sheetViews>
    <sheetView workbookViewId="0">
      <selection activeCell="O2" sqref="O2"/>
    </sheetView>
  </sheetViews>
  <sheetFormatPr defaultRowHeight="14.4" x14ac:dyDescent="0.3"/>
  <cols>
    <col min="1" max="1" width="7.6640625" style="1" bestFit="1" customWidth="1"/>
    <col min="2" max="2" width="12.77734375" style="1" bestFit="1" customWidth="1"/>
    <col min="3" max="3" width="13.6640625" style="1" bestFit="1" customWidth="1"/>
    <col min="4" max="4" width="10" style="200" bestFit="1" customWidth="1"/>
    <col min="5" max="5" width="8.88671875" style="1"/>
    <col min="6" max="6" width="13.6640625" style="1" bestFit="1" customWidth="1"/>
    <col min="7" max="15" width="11.44140625" style="1" customWidth="1"/>
    <col min="16" max="16384" width="8.88671875" style="1"/>
  </cols>
  <sheetData>
    <row r="1" spans="1:15" ht="43.2" x14ac:dyDescent="0.3">
      <c r="A1" s="3" t="s">
        <v>387</v>
      </c>
      <c r="B1" s="3" t="s">
        <v>462</v>
      </c>
      <c r="C1" s="3" t="s">
        <v>463</v>
      </c>
      <c r="D1" s="3" t="s">
        <v>464</v>
      </c>
      <c r="F1" s="236" t="s">
        <v>463</v>
      </c>
      <c r="G1" s="236" t="s">
        <v>469</v>
      </c>
      <c r="H1" s="236" t="s">
        <v>470</v>
      </c>
      <c r="I1" s="236" t="s">
        <v>471</v>
      </c>
      <c r="J1" s="236" t="s">
        <v>472</v>
      </c>
      <c r="K1" s="237" t="s">
        <v>473</v>
      </c>
      <c r="L1" s="237" t="s">
        <v>474</v>
      </c>
      <c r="M1" s="236" t="s">
        <v>475</v>
      </c>
      <c r="N1" s="236" t="s">
        <v>476</v>
      </c>
      <c r="O1" s="236" t="s">
        <v>477</v>
      </c>
    </row>
    <row r="2" spans="1:15" x14ac:dyDescent="0.3">
      <c r="A2" s="4" t="s">
        <v>465</v>
      </c>
      <c r="B2" s="4" t="s">
        <v>466</v>
      </c>
      <c r="C2" s="4" t="str">
        <f>Valuation!B14</f>
        <v>TCS</v>
      </c>
      <c r="D2" s="5">
        <f>ABS(AVERAGE('Cash flow statement'!B34:F34))</f>
        <v>2494.8000000000002</v>
      </c>
      <c r="F2" s="4" t="str">
        <f>C2</f>
        <v>TCS</v>
      </c>
      <c r="G2" s="149">
        <f>(('Income Statement'!F13+'Income Statement'!F9)-('Income Statement'!B13+'Income Statement'!B9))</f>
        <v>20561</v>
      </c>
      <c r="H2" s="149">
        <f>(('Balance Sheet'!F33-'Balance Sheet'!F60)-('Balance Sheet'!B33-'Balance Sheet'!B60))</f>
        <v>6506</v>
      </c>
      <c r="I2" s="202">
        <f>G2/H2</f>
        <v>3.1603135567168765</v>
      </c>
      <c r="J2" s="149">
        <f>Valuation!I4-Valuation!D4</f>
        <v>32319.246336557975</v>
      </c>
      <c r="K2" s="149">
        <f>D8</f>
        <v>4146.222690268426</v>
      </c>
      <c r="L2" s="149">
        <f>AVERAGE(Valuation!D8:I8)</f>
        <v>6392.8257481989276</v>
      </c>
      <c r="M2" s="5">
        <f>IF(K2-L2&lt;=0,K2,MAX(K2-L2,0.1*K2))</f>
        <v>4146.222690268426</v>
      </c>
      <c r="N2" s="151">
        <f>J2/M2</f>
        <v>7.7948650496786582</v>
      </c>
      <c r="O2" s="238">
        <f>MIN(MAX(N2,0.2),0.25)</f>
        <v>0.25</v>
      </c>
    </row>
    <row r="3" spans="1:15" x14ac:dyDescent="0.3">
      <c r="A3" s="4" t="s">
        <v>465</v>
      </c>
      <c r="B3" s="4" t="s">
        <v>466</v>
      </c>
      <c r="C3" s="4" t="str">
        <f>Valuation!B15</f>
        <v>Infosys</v>
      </c>
      <c r="D3" s="5">
        <f>ABS(AVERAGE('Cash flow statement'!I22:M22))</f>
        <v>2471</v>
      </c>
      <c r="F3" s="4" t="str">
        <f t="shared" ref="F3:F6" si="0">C3</f>
        <v>Infosys</v>
      </c>
      <c r="G3" s="149">
        <f>(('Income Statement'!M17+'Income Statement'!M14)-('Income Statement'!I17+'Income Statement'!I14))</f>
        <v>15847</v>
      </c>
      <c r="H3" s="149">
        <f>(('Balance Sheet'!M28-'Balance Sheet'!M52)-('Balance Sheet'!I28-'Balance Sheet'!I52))</f>
        <v>27108</v>
      </c>
      <c r="I3" s="202">
        <f t="shared" ref="I3:I6" si="1">G3/H3</f>
        <v>0.58458757562343222</v>
      </c>
      <c r="J3" s="149">
        <f>Valuation!S4-Valuation!N4</f>
        <v>30264.469363806631</v>
      </c>
      <c r="K3" s="149">
        <f t="shared" ref="K3:K6" si="2">D9</f>
        <v>4937.6981505336298</v>
      </c>
      <c r="L3" s="149">
        <f>AVERAGE(Valuation!N8:S8)</f>
        <v>6975.0555931519366</v>
      </c>
      <c r="M3" s="5">
        <f t="shared" ref="M3:M6" si="3">IF(K3-L3&lt;=0,K3,MAX(K3-L3,0.1*K3))</f>
        <v>4937.6981505336298</v>
      </c>
      <c r="N3" s="151">
        <f t="shared" ref="N3:N6" si="4">J3/M3</f>
        <v>6.1292668043176901</v>
      </c>
      <c r="O3" s="238">
        <f t="shared" ref="O3:O6" si="5">MIN(MAX(N3,0.2),0.25)</f>
        <v>0.25</v>
      </c>
    </row>
    <row r="4" spans="1:15" x14ac:dyDescent="0.3">
      <c r="A4" s="4" t="s">
        <v>465</v>
      </c>
      <c r="B4" s="4" t="s">
        <v>466</v>
      </c>
      <c r="C4" s="4" t="str">
        <f>Valuation!B16</f>
        <v>HCL</v>
      </c>
      <c r="D4" s="5">
        <f>ABS(AVERAGE('Cash flow statement'!P34:T34))</f>
        <v>1624.8</v>
      </c>
      <c r="F4" s="4" t="str">
        <f t="shared" si="0"/>
        <v>HCL</v>
      </c>
      <c r="G4" s="149">
        <f>(('Income Statement'!T15+'Income Statement'!T10)-('Income Statement'!P15+'Income Statement'!P10))</f>
        <v>21060</v>
      </c>
      <c r="H4" s="149">
        <f>(('Balance Sheet'!T28-'Balance Sheet'!T54)-('Balance Sheet'!P28-'Balance Sheet'!P54))</f>
        <v>17589</v>
      </c>
      <c r="I4" s="202">
        <f t="shared" si="1"/>
        <v>1.1973392461197339</v>
      </c>
      <c r="J4" s="149">
        <f>Valuation!AC4-Valuation!X4</f>
        <v>61842.977310161543</v>
      </c>
      <c r="K4" s="149">
        <f t="shared" si="2"/>
        <v>2791.1689322087209</v>
      </c>
      <c r="L4" s="149">
        <f>AVERAGE(Valuation!X8:AC8)</f>
        <v>4807.8031970595266</v>
      </c>
      <c r="M4" s="5">
        <f t="shared" si="3"/>
        <v>2791.1689322087209</v>
      </c>
      <c r="N4" s="151">
        <f t="shared" si="4"/>
        <v>22.1566586660248</v>
      </c>
      <c r="O4" s="238">
        <f t="shared" si="5"/>
        <v>0.25</v>
      </c>
    </row>
    <row r="5" spans="1:15" x14ac:dyDescent="0.3">
      <c r="A5" s="4" t="s">
        <v>465</v>
      </c>
      <c r="B5" s="4" t="s">
        <v>466</v>
      </c>
      <c r="C5" s="4" t="str">
        <f>Valuation!B17</f>
        <v>Wipro</v>
      </c>
      <c r="D5" s="5">
        <f>ABS(AVERAGE('Cash flow statement'!W24:AA24))</f>
        <v>1771.42</v>
      </c>
      <c r="F5" s="4" t="str">
        <f t="shared" si="0"/>
        <v>Wipro</v>
      </c>
      <c r="G5" s="149">
        <f>(('Income Statement'!AA23+'Income Statement'!AA11)-('Income Statement'!W23+'Income Statement'!W11))</f>
        <v>2991.50000000002</v>
      </c>
      <c r="H5" s="149">
        <f>(('Balance Sheet'!AA34-'Balance Sheet'!AA65)-('Balance Sheet'!W34-'Balance Sheet'!W65))</f>
        <v>29905.200000000004</v>
      </c>
      <c r="I5" s="202">
        <f t="shared" si="1"/>
        <v>0.1000327702205643</v>
      </c>
      <c r="J5" s="149">
        <f>Valuation!AM4-Valuation!AH4</f>
        <v>3836.5325699831737</v>
      </c>
      <c r="K5" s="149">
        <f t="shared" si="2"/>
        <v>2706.1764059747725</v>
      </c>
      <c r="L5" s="149">
        <f>AVERAGE(Valuation!AH8:AM8)</f>
        <v>4871.8394843888145</v>
      </c>
      <c r="M5" s="5">
        <f t="shared" si="3"/>
        <v>2706.1764059747725</v>
      </c>
      <c r="N5" s="151">
        <f t="shared" si="4"/>
        <v>1.4176949298326484</v>
      </c>
      <c r="O5" s="238">
        <f t="shared" si="5"/>
        <v>0.25</v>
      </c>
    </row>
    <row r="6" spans="1:15" x14ac:dyDescent="0.3">
      <c r="A6" s="4" t="s">
        <v>465</v>
      </c>
      <c r="B6" s="4" t="s">
        <v>466</v>
      </c>
      <c r="C6" s="4" t="str">
        <f>Valuation!B18</f>
        <v>LTM</v>
      </c>
      <c r="D6" s="5">
        <f>ABS(AVERAGE('Cash flow statement'!AD27:AH27))</f>
        <v>671.64</v>
      </c>
      <c r="F6" s="4" t="str">
        <f t="shared" si="0"/>
        <v>LTM</v>
      </c>
      <c r="G6" s="149">
        <f>(('Income Statement'!AH13+'Income Statement'!AH9)-('Income Statement'!AD13+'Income Statement'!AD9))</f>
        <v>4184.8999999999978</v>
      </c>
      <c r="H6" s="149">
        <f>(('Balance Sheet'!AH32-'Balance Sheet'!AH61)-('Balance Sheet'!AD32-'Balance Sheet'!AD61))</f>
        <v>15326.100000000002</v>
      </c>
      <c r="I6" s="202">
        <f t="shared" si="1"/>
        <v>0.2730570725755409</v>
      </c>
      <c r="J6" s="149">
        <f>Valuation!AW4-Valuation!AR4</f>
        <v>15681.483561895962</v>
      </c>
      <c r="K6" s="149">
        <f t="shared" si="2"/>
        <v>2478.9067794867933</v>
      </c>
      <c r="L6" s="149">
        <f>AVERAGE(Valuation!AR8:AW8)</f>
        <v>1893.6761022787466</v>
      </c>
      <c r="M6" s="5">
        <f t="shared" si="3"/>
        <v>585.2306772080467</v>
      </c>
      <c r="N6" s="151">
        <f t="shared" si="4"/>
        <v>26.795388848560428</v>
      </c>
      <c r="O6" s="238">
        <f t="shared" si="5"/>
        <v>0.25</v>
      </c>
    </row>
    <row r="7" spans="1:15" x14ac:dyDescent="0.3">
      <c r="A7" s="3" t="s">
        <v>465</v>
      </c>
      <c r="B7" s="3" t="s">
        <v>466</v>
      </c>
      <c r="C7" s="3" t="s">
        <v>456</v>
      </c>
      <c r="D7" s="6">
        <f>AVERAGE(D2:D6)</f>
        <v>1806.732</v>
      </c>
      <c r="F7" s="3" t="str">
        <f t="shared" ref="F7" si="6">B7</f>
        <v>Avg Capex</v>
      </c>
      <c r="G7" s="3"/>
      <c r="H7" s="3"/>
      <c r="I7" s="239">
        <f>AVERAGE(I2:I6)</f>
        <v>1.0630660442512296</v>
      </c>
      <c r="J7" s="3"/>
      <c r="K7" s="3"/>
      <c r="L7" s="3"/>
      <c r="M7" s="3"/>
      <c r="N7" s="240">
        <f>AVERAGE(N2:N6)</f>
        <v>12.858774859682844</v>
      </c>
      <c r="O7" s="240">
        <f>AVERAGE(O2:O6)</f>
        <v>0.25</v>
      </c>
    </row>
    <row r="8" spans="1:15" x14ac:dyDescent="0.3">
      <c r="A8" s="4" t="s">
        <v>467</v>
      </c>
      <c r="B8" s="4" t="s">
        <v>466</v>
      </c>
      <c r="C8" s="4" t="str">
        <f>C2</f>
        <v>TCS</v>
      </c>
      <c r="D8" s="5">
        <f>AVERAGE(Valuation!D9:I9)</f>
        <v>4146.222690268426</v>
      </c>
    </row>
    <row r="9" spans="1:15" x14ac:dyDescent="0.3">
      <c r="A9" s="4" t="s">
        <v>467</v>
      </c>
      <c r="B9" s="4" t="s">
        <v>466</v>
      </c>
      <c r="C9" s="4" t="str">
        <f t="shared" ref="C9:C13" si="7">C3</f>
        <v>Infosys</v>
      </c>
      <c r="D9" s="5">
        <f>AVERAGE(Valuation!N9:S9)</f>
        <v>4937.6981505336298</v>
      </c>
    </row>
    <row r="10" spans="1:15" x14ac:dyDescent="0.3">
      <c r="A10" s="4" t="s">
        <v>467</v>
      </c>
      <c r="B10" s="4" t="s">
        <v>466</v>
      </c>
      <c r="C10" s="4" t="str">
        <f t="shared" si="7"/>
        <v>HCL</v>
      </c>
      <c r="D10" s="5">
        <f>AVERAGE(Valuation!X9:AC9)</f>
        <v>2791.1689322087209</v>
      </c>
    </row>
    <row r="11" spans="1:15" x14ac:dyDescent="0.3">
      <c r="A11" s="4" t="s">
        <v>467</v>
      </c>
      <c r="B11" s="4" t="s">
        <v>466</v>
      </c>
      <c r="C11" s="4" t="str">
        <f t="shared" si="7"/>
        <v>Wipro</v>
      </c>
      <c r="D11" s="5">
        <f>AVERAGE(Valuation!AH9:AM9)</f>
        <v>2706.1764059747725</v>
      </c>
    </row>
    <row r="12" spans="1:15" x14ac:dyDescent="0.3">
      <c r="A12" s="4" t="s">
        <v>467</v>
      </c>
      <c r="B12" s="4" t="s">
        <v>466</v>
      </c>
      <c r="C12" s="4" t="str">
        <f t="shared" si="7"/>
        <v>LTM</v>
      </c>
      <c r="D12" s="5">
        <f>AVERAGE(Valuation!AR9:AW9)</f>
        <v>2478.9067794867933</v>
      </c>
    </row>
    <row r="13" spans="1:15" x14ac:dyDescent="0.3">
      <c r="A13" s="3" t="s">
        <v>467</v>
      </c>
      <c r="B13" s="3" t="s">
        <v>466</v>
      </c>
      <c r="C13" s="3" t="str">
        <f t="shared" si="7"/>
        <v>Average</v>
      </c>
      <c r="D13" s="6">
        <f>AVERAGE(D8:D12)</f>
        <v>3412.0345916944689</v>
      </c>
    </row>
    <row r="14" spans="1:15" x14ac:dyDescent="0.3">
      <c r="A14" s="4" t="str">
        <f>A8</f>
        <v>2025-30</v>
      </c>
      <c r="B14" s="4" t="s">
        <v>468</v>
      </c>
      <c r="C14" s="4" t="str">
        <f>C8</f>
        <v>TCS</v>
      </c>
      <c r="D14" s="202">
        <f>(Valuation!I9/Valuation!D9)^(1/6)-1</f>
        <v>7.2112162563730875E-2</v>
      </c>
    </row>
    <row r="15" spans="1:15" x14ac:dyDescent="0.3">
      <c r="A15" s="4" t="str">
        <f t="shared" ref="A15:A19" si="8">A9</f>
        <v>2025-30</v>
      </c>
      <c r="B15" s="4" t="s">
        <v>468</v>
      </c>
      <c r="C15" s="4" t="str">
        <f t="shared" ref="C15:C19" si="9">C9</f>
        <v>Infosys</v>
      </c>
      <c r="D15" s="202">
        <f>(Valuation!S9/Valuation!N9)^(1/6)-1</f>
        <v>0.10086353558339223</v>
      </c>
    </row>
    <row r="16" spans="1:15" x14ac:dyDescent="0.3">
      <c r="A16" s="4" t="str">
        <f t="shared" si="8"/>
        <v>2025-30</v>
      </c>
      <c r="B16" s="4" t="s">
        <v>468</v>
      </c>
      <c r="C16" s="4" t="str">
        <f t="shared" si="9"/>
        <v>HCL</v>
      </c>
      <c r="D16" s="202">
        <f>(Valuation!AC9/Valuation!X9)^(1/6)-1</f>
        <v>7.7308322064245205E-2</v>
      </c>
    </row>
    <row r="17" spans="1:4" x14ac:dyDescent="0.3">
      <c r="A17" s="4" t="str">
        <f t="shared" si="8"/>
        <v>2025-30</v>
      </c>
      <c r="B17" s="4" t="s">
        <v>468</v>
      </c>
      <c r="C17" s="4" t="str">
        <f t="shared" si="9"/>
        <v>Wipro</v>
      </c>
      <c r="D17" s="202">
        <f>(Valuation!AM9/Valuation!AH9)^(1/6)-1</f>
        <v>6.3483093886413267E-2</v>
      </c>
    </row>
    <row r="18" spans="1:4" x14ac:dyDescent="0.3">
      <c r="A18" s="4" t="str">
        <f t="shared" si="8"/>
        <v>2025-30</v>
      </c>
      <c r="B18" s="4" t="s">
        <v>468</v>
      </c>
      <c r="C18" s="4" t="str">
        <f t="shared" si="9"/>
        <v>LTM</v>
      </c>
      <c r="D18" s="202">
        <f>(Valuation!AW9/Valuation!AR9)^(1/6)-1</f>
        <v>0.21591294081813017</v>
      </c>
    </row>
    <row r="19" spans="1:4" x14ac:dyDescent="0.3">
      <c r="A19" s="3" t="str">
        <f t="shared" si="8"/>
        <v>2025-30</v>
      </c>
      <c r="B19" s="3" t="s">
        <v>468</v>
      </c>
      <c r="C19" s="3" t="str">
        <f t="shared" si="9"/>
        <v>Average</v>
      </c>
      <c r="D19" s="234">
        <f>AVERAGE(D14:D18)</f>
        <v>0.10593601098318235</v>
      </c>
    </row>
    <row r="20" spans="1:4" x14ac:dyDescent="0.3">
      <c r="A20" s="241" t="str">
        <f>A14</f>
        <v>2025-30</v>
      </c>
      <c r="B20" s="241" t="s">
        <v>478</v>
      </c>
      <c r="C20" s="241" t="str">
        <f>C14</f>
        <v>TCS</v>
      </c>
      <c r="D20" s="200">
        <f>(Valuation!I7/Valuation!D7)^(1/6)-1</f>
        <v>6.7071937951854954E-2</v>
      </c>
    </row>
    <row r="21" spans="1:4" x14ac:dyDescent="0.3">
      <c r="A21" s="241" t="str">
        <f t="shared" ref="A21:A25" si="10">A15</f>
        <v>2025-30</v>
      </c>
      <c r="B21" s="241" t="s">
        <v>478</v>
      </c>
      <c r="C21" s="241" t="str">
        <f t="shared" ref="C21:C25" si="11">C15</f>
        <v>Infosys</v>
      </c>
      <c r="D21" s="200">
        <f>(Valuation!S7/Valuation!N7)^(1/6)-1</f>
        <v>9.4021442523906096E-2</v>
      </c>
    </row>
    <row r="22" spans="1:4" x14ac:dyDescent="0.3">
      <c r="A22" s="241" t="str">
        <f t="shared" si="10"/>
        <v>2025-30</v>
      </c>
      <c r="B22" s="241" t="s">
        <v>478</v>
      </c>
      <c r="C22" s="241" t="str">
        <f t="shared" si="11"/>
        <v>HCL</v>
      </c>
      <c r="D22" s="200">
        <f>(Valuation!AC7/Valuation!X7)^(1/6)-1</f>
        <v>0.16138622286296567</v>
      </c>
    </row>
    <row r="23" spans="1:4" x14ac:dyDescent="0.3">
      <c r="A23" s="241" t="str">
        <f t="shared" si="10"/>
        <v>2025-30</v>
      </c>
      <c r="B23" s="241" t="s">
        <v>478</v>
      </c>
      <c r="C23" s="241" t="str">
        <f t="shared" si="11"/>
        <v>Wipro</v>
      </c>
      <c r="D23" s="200">
        <f>(Valuation!AM7/Valuation!AH7)^(1/6)-1</f>
        <v>3.5158679947024707E-2</v>
      </c>
    </row>
    <row r="24" spans="1:4" x14ac:dyDescent="0.3">
      <c r="A24" s="241" t="str">
        <f t="shared" si="10"/>
        <v>2025-30</v>
      </c>
      <c r="B24" s="241" t="s">
        <v>478</v>
      </c>
      <c r="C24" s="241" t="str">
        <f t="shared" si="11"/>
        <v>LTM</v>
      </c>
      <c r="D24" s="200">
        <f>(Valuation!AW7/Valuation!AR7)^(1/6)-1</f>
        <v>0.20138122891335697</v>
      </c>
    </row>
    <row r="25" spans="1:4" x14ac:dyDescent="0.3">
      <c r="A25" s="242" t="str">
        <f t="shared" si="10"/>
        <v>2025-30</v>
      </c>
      <c r="B25" s="242" t="s">
        <v>478</v>
      </c>
      <c r="C25" s="242" t="str">
        <f t="shared" si="11"/>
        <v>Average</v>
      </c>
      <c r="D25" s="243">
        <f>AVERAGE(D20:D24)</f>
        <v>0.11180390243982168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C726B-FB5F-476E-9D42-7E3DBDD2E883}">
  <dimension ref="A1:AM16"/>
  <sheetViews>
    <sheetView workbookViewId="0">
      <selection activeCell="E11" sqref="E11"/>
    </sheetView>
  </sheetViews>
  <sheetFormatPr defaultRowHeight="14.4" x14ac:dyDescent="0.3"/>
  <cols>
    <col min="1" max="1" width="15.44140625" style="1" bestFit="1" customWidth="1"/>
    <col min="2" max="2" width="12.33203125" style="1" bestFit="1" customWidth="1"/>
    <col min="3" max="7" width="9.88671875" style="1" bestFit="1" customWidth="1"/>
    <col min="8" max="8" width="8.88671875" style="1"/>
    <col min="9" max="9" width="15.44140625" style="1" bestFit="1" customWidth="1"/>
    <col min="10" max="10" width="10.88671875" style="1" bestFit="1" customWidth="1"/>
    <col min="11" max="15" width="9.88671875" style="1" bestFit="1" customWidth="1"/>
    <col min="16" max="16" width="8.88671875" style="1"/>
    <col min="17" max="17" width="15.44140625" style="1" bestFit="1" customWidth="1"/>
    <col min="18" max="18" width="10.88671875" style="1" bestFit="1" customWidth="1"/>
    <col min="19" max="23" width="9.88671875" style="1" bestFit="1" customWidth="1"/>
    <col min="24" max="24" width="8.88671875" style="1"/>
    <col min="25" max="25" width="15.44140625" style="1" bestFit="1" customWidth="1"/>
    <col min="26" max="26" width="10.88671875" style="1" bestFit="1" customWidth="1"/>
    <col min="27" max="31" width="9.88671875" style="1" bestFit="1" customWidth="1"/>
    <col min="32" max="32" width="8.88671875" style="1"/>
    <col min="33" max="33" width="15.44140625" style="1" bestFit="1" customWidth="1"/>
    <col min="34" max="34" width="10.88671875" style="1" bestFit="1" customWidth="1"/>
    <col min="35" max="38" width="8.88671875" style="1"/>
    <col min="39" max="39" width="9.88671875" style="1" bestFit="1" customWidth="1"/>
    <col min="40" max="16384" width="8.88671875" style="1"/>
  </cols>
  <sheetData>
    <row r="1" spans="1:39" ht="32.4" customHeight="1" x14ac:dyDescent="0.3">
      <c r="A1" s="292" t="s">
        <v>416</v>
      </c>
      <c r="B1" s="292"/>
      <c r="C1" s="292"/>
      <c r="D1" s="292"/>
      <c r="E1" s="292"/>
      <c r="F1" s="293" t="e" vm="1">
        <v>#VALUE!</v>
      </c>
      <c r="G1" s="293"/>
      <c r="I1" s="292" t="s">
        <v>416</v>
      </c>
      <c r="J1" s="292"/>
      <c r="K1" s="292"/>
      <c r="L1" s="292"/>
      <c r="M1" s="292"/>
      <c r="N1" s="293" t="e" vm="2">
        <v>#VALUE!</v>
      </c>
      <c r="O1" s="293"/>
      <c r="Q1" s="292" t="s">
        <v>416</v>
      </c>
      <c r="R1" s="292"/>
      <c r="S1" s="292"/>
      <c r="T1" s="292"/>
      <c r="U1" s="292"/>
      <c r="V1" s="293" t="e" vm="3">
        <v>#VALUE!</v>
      </c>
      <c r="W1" s="293"/>
      <c r="Y1" s="292" t="s">
        <v>416</v>
      </c>
      <c r="Z1" s="292"/>
      <c r="AA1" s="292"/>
      <c r="AB1" s="292"/>
      <c r="AC1" s="292"/>
      <c r="AD1" s="293" t="e" vm="4">
        <v>#VALUE!</v>
      </c>
      <c r="AE1" s="293"/>
      <c r="AG1" s="292" t="s">
        <v>416</v>
      </c>
      <c r="AH1" s="292"/>
      <c r="AI1" s="292"/>
      <c r="AJ1" s="292"/>
      <c r="AK1" s="292"/>
      <c r="AL1" s="293" t="e" vm="5">
        <v>#VALUE!</v>
      </c>
      <c r="AM1" s="293"/>
    </row>
    <row r="2" spans="1:39" x14ac:dyDescent="0.3">
      <c r="A2" s="56" t="s">
        <v>387</v>
      </c>
      <c r="B2" s="56">
        <v>2025</v>
      </c>
      <c r="C2" s="56">
        <v>2026</v>
      </c>
      <c r="D2" s="56">
        <v>2027</v>
      </c>
      <c r="E2" s="56">
        <v>2028</v>
      </c>
      <c r="F2" s="56">
        <v>2029</v>
      </c>
      <c r="G2" s="56">
        <v>2030</v>
      </c>
      <c r="I2" s="56" t="s">
        <v>387</v>
      </c>
      <c r="J2" s="56">
        <v>2025</v>
      </c>
      <c r="K2" s="56">
        <v>2026</v>
      </c>
      <c r="L2" s="56">
        <v>2027</v>
      </c>
      <c r="M2" s="56">
        <v>2028</v>
      </c>
      <c r="N2" s="56">
        <v>2029</v>
      </c>
      <c r="O2" s="56">
        <v>2030</v>
      </c>
      <c r="Q2" s="56" t="s">
        <v>387</v>
      </c>
      <c r="R2" s="56">
        <v>2025</v>
      </c>
      <c r="S2" s="56">
        <v>2026</v>
      </c>
      <c r="T2" s="56">
        <v>2027</v>
      </c>
      <c r="U2" s="56">
        <v>2028</v>
      </c>
      <c r="V2" s="56">
        <v>2029</v>
      </c>
      <c r="W2" s="56">
        <v>2030</v>
      </c>
      <c r="Y2" s="56" t="s">
        <v>387</v>
      </c>
      <c r="Z2" s="56">
        <v>2025</v>
      </c>
      <c r="AA2" s="56">
        <v>2026</v>
      </c>
      <c r="AB2" s="56">
        <v>2027</v>
      </c>
      <c r="AC2" s="56">
        <v>2028</v>
      </c>
      <c r="AD2" s="56">
        <v>2029</v>
      </c>
      <c r="AE2" s="56">
        <v>2030</v>
      </c>
      <c r="AG2" s="56" t="s">
        <v>387</v>
      </c>
      <c r="AH2" s="56">
        <v>2025</v>
      </c>
      <c r="AI2" s="56">
        <v>2026</v>
      </c>
      <c r="AJ2" s="56">
        <v>2027</v>
      </c>
      <c r="AK2" s="56">
        <v>2028</v>
      </c>
      <c r="AL2" s="56">
        <v>2029</v>
      </c>
      <c r="AM2" s="56">
        <v>2030</v>
      </c>
    </row>
    <row r="3" spans="1:39" x14ac:dyDescent="0.3">
      <c r="A3" s="56" t="s">
        <v>416</v>
      </c>
      <c r="B3" s="186">
        <f>Valuation!D11</f>
        <v>52736.676084365281</v>
      </c>
      <c r="C3" s="186">
        <f>Valuation!E11</f>
        <v>56949.939269321061</v>
      </c>
      <c r="D3" s="186">
        <f>Valuation!F11</f>
        <v>61499.277575280641</v>
      </c>
      <c r="E3" s="186">
        <f>Valuation!G11</f>
        <v>66411.505863343817</v>
      </c>
      <c r="F3" s="186">
        <f>Valuation!H11</f>
        <v>71715.579402516654</v>
      </c>
      <c r="G3" s="186">
        <f>Valuation!I11</f>
        <v>77442.764774408715</v>
      </c>
      <c r="I3" s="56" t="s">
        <v>416</v>
      </c>
      <c r="J3" s="186">
        <f>Valuation!N11</f>
        <v>12914.450570335099</v>
      </c>
      <c r="K3" s="186">
        <f>Valuation!O11</f>
        <v>14917.412466869067</v>
      </c>
      <c r="L3" s="186">
        <f>Valuation!P11</f>
        <v>17191.604885650951</v>
      </c>
      <c r="M3" s="186">
        <f>Valuation!Q11</f>
        <v>19771.342538194491</v>
      </c>
      <c r="N3" s="186">
        <f>Valuation!R11</f>
        <v>22695.111772227887</v>
      </c>
      <c r="O3" s="186">
        <f>Valuation!S11</f>
        <v>26006.064901204685</v>
      </c>
      <c r="Q3" s="56" t="s">
        <v>416</v>
      </c>
      <c r="R3" s="186">
        <f>Valuation!X11</f>
        <v>28685.083218558822</v>
      </c>
      <c r="S3" s="186">
        <f>Valuation!Y11</f>
        <v>33856.729856905644</v>
      </c>
      <c r="T3" s="186">
        <f>Valuation!Z11</f>
        <v>40035.277875992782</v>
      </c>
      <c r="U3" s="186">
        <f>Valuation!AA11</f>
        <v>47418.830730424008</v>
      </c>
      <c r="V3" s="186">
        <f>Valuation!AB11</f>
        <v>56244.434010840952</v>
      </c>
      <c r="W3" s="186">
        <f>Valuation!AC11</f>
        <v>66795.717791030183</v>
      </c>
      <c r="Y3" s="56" t="s">
        <v>416</v>
      </c>
      <c r="Z3" s="186">
        <f>Valuation!AH11</f>
        <v>13502.633269874514</v>
      </c>
      <c r="AA3" s="186">
        <f>Valuation!AI11</f>
        <v>14219.334207744254</v>
      </c>
      <c r="AB3" s="186">
        <f>Valuation!AJ11</f>
        <v>14983.696472144758</v>
      </c>
      <c r="AC3" s="186">
        <f>Valuation!AK11</f>
        <v>15799.69819396508</v>
      </c>
      <c r="AD3" s="186">
        <f>Valuation!AL11</f>
        <v>16671.701081031697</v>
      </c>
      <c r="AE3" s="186">
        <f>Valuation!AM11</f>
        <v>17604.489822344069</v>
      </c>
      <c r="AG3" s="56" t="s">
        <v>416</v>
      </c>
      <c r="AH3" s="186">
        <f>Valuation!AR11</f>
        <v>3831.6648123306436</v>
      </c>
      <c r="AI3" s="186">
        <f>Valuation!AS11</f>
        <v>4713.1595238384953</v>
      </c>
      <c r="AJ3" s="186">
        <f>Valuation!AT11</f>
        <v>5795.1845908533151</v>
      </c>
      <c r="AK3" s="186">
        <f>Valuation!AU11</f>
        <v>7122.7127883528492</v>
      </c>
      <c r="AL3" s="186">
        <f>Valuation!AV11</f>
        <v>8750.6165231287123</v>
      </c>
      <c r="AM3" s="186">
        <f>Valuation!AW11</f>
        <v>10745.792419698668</v>
      </c>
    </row>
    <row r="4" spans="1:39" x14ac:dyDescent="0.3">
      <c r="A4" s="56" t="s">
        <v>417</v>
      </c>
      <c r="B4" s="180">
        <f ca="1">1/(1+WACC!$B$15)^1</f>
        <v>0.88035647154080854</v>
      </c>
      <c r="C4" s="180">
        <f ca="1">1/(1+WACC!$B$15)^2</f>
        <v>0.77502751698378247</v>
      </c>
      <c r="D4" s="180">
        <f ca="1">1/(1+WACC!$B$15)^3</f>
        <v>0.68230049019887684</v>
      </c>
      <c r="E4" s="180">
        <f ca="1">1/(1+WACC!$B$15)^4</f>
        <v>0.6006676520820472</v>
      </c>
      <c r="F4" s="180">
        <f ca="1">1/(1+WACC!$B$15)^5</f>
        <v>0.52880165475565311</v>
      </c>
      <c r="G4" s="180">
        <f ca="1">1/(1+WACC!$B$15)^6</f>
        <v>0.46553395892562766</v>
      </c>
      <c r="I4" s="56" t="s">
        <v>417</v>
      </c>
      <c r="J4" s="180">
        <f ca="1">1/(1+WACC!$C$15)^1</f>
        <v>0.88353173727584011</v>
      </c>
      <c r="K4" s="180">
        <f ca="1">1/(1+WACC!$C$15)^2</f>
        <v>0.78062833077366423</v>
      </c>
      <c r="L4" s="180">
        <f ca="1">1/(1+WACC!$C$15)^3</f>
        <v>0.68970990525519471</v>
      </c>
      <c r="M4" s="180">
        <f ca="1">1/(1+WACC!$C$15)^4</f>
        <v>0.60938059080647722</v>
      </c>
      <c r="N4" s="180">
        <f ca="1">1/(1+WACC!$C$15)^5</f>
        <v>0.53840709205742476</v>
      </c>
      <c r="O4" s="180">
        <f ca="1">1/(1+WACC!$C$15)^6</f>
        <v>0.47569975340712961</v>
      </c>
      <c r="Q4" s="56" t="s">
        <v>417</v>
      </c>
      <c r="R4" s="180">
        <f ca="1">1/(1+WACC!$D$15)^1</f>
        <v>0.87559031730977011</v>
      </c>
      <c r="S4" s="180">
        <f ca="1">1/(1+WACC!$D$15)^2</f>
        <v>0.76665840376662386</v>
      </c>
      <c r="T4" s="180">
        <f ca="1">1/(1+WACC!$D$15)^3</f>
        <v>0.67127867502222005</v>
      </c>
      <c r="U4" s="180">
        <f ca="1">1/(1+WACC!$D$15)^4</f>
        <v>0.5877651080659877</v>
      </c>
      <c r="V4" s="180">
        <f ca="1">1/(1+WACC!$D$15)^5</f>
        <v>0.51464143747510949</v>
      </c>
      <c r="W4" s="180">
        <f ca="1">1/(1+WACC!$D$15)^6</f>
        <v>0.45061505953958725</v>
      </c>
      <c r="Y4" s="56" t="s">
        <v>417</v>
      </c>
      <c r="Z4" s="180">
        <f ca="1">1/(1+WACC!$E$15)^1</f>
        <v>0.88753256240219391</v>
      </c>
      <c r="AA4" s="180">
        <f ca="1">1/(1+WACC!$E$15)^2</f>
        <v>0.7877140493242043</v>
      </c>
      <c r="AB4" s="180">
        <f ca="1">1/(1+WACC!$E$15)^3</f>
        <v>0.69912186863691916</v>
      </c>
      <c r="AC4" s="180">
        <f ca="1">1/(1+WACC!$E$15)^4</f>
        <v>0.62049342350273484</v>
      </c>
      <c r="AD4" s="180">
        <f ca="1">1/(1+WACC!$E$15)^5</f>
        <v>0.55070811811509202</v>
      </c>
      <c r="AE4" s="180">
        <f ca="1">1/(1+WACC!$E$15)^6</f>
        <v>0.48877138720637764</v>
      </c>
      <c r="AG4" s="56" t="s">
        <v>417</v>
      </c>
      <c r="AH4" s="180">
        <f ca="1">1/(1+WACC!$F$15)^1</f>
        <v>0.85806446576909823</v>
      </c>
      <c r="AI4" s="180">
        <f ca="1">1/(1+WACC!$F$15)^2</f>
        <v>0.73627462741560801</v>
      </c>
      <c r="AJ4" s="180">
        <f ca="1">1/(1+WACC!$F$15)^3</f>
        <v>0.63177109483271554</v>
      </c>
      <c r="AK4" s="180">
        <f ca="1">1/(1+WACC!$F$15)^4</f>
        <v>0.54210032697599231</v>
      </c>
      <c r="AL4" s="180">
        <f ca="1">1/(1+WACC!$F$15)^5</f>
        <v>0.46515702745990828</v>
      </c>
      <c r="AM4" s="180">
        <f ca="1">1/(1+WACC!$F$15)^6</f>
        <v>0.39913471626612795</v>
      </c>
    </row>
    <row r="5" spans="1:39" x14ac:dyDescent="0.3">
      <c r="A5" s="56" t="s">
        <v>418</v>
      </c>
      <c r="B5" s="186">
        <f t="shared" ref="B5:G5" ca="1" si="0">B3*B4</f>
        <v>46427.07407842236</v>
      </c>
      <c r="C5" s="186">
        <f t="shared" ca="1" si="0"/>
        <v>44137.770024279111</v>
      </c>
      <c r="D5" s="186">
        <f t="shared" ca="1" si="0"/>
        <v>41960.987236490779</v>
      </c>
      <c r="E5" s="186">
        <f t="shared" ca="1" si="0"/>
        <v>39891.243298167843</v>
      </c>
      <c r="F5" s="186">
        <f t="shared" ca="1" si="0"/>
        <v>37923.317059811241</v>
      </c>
      <c r="G5" s="186">
        <f t="shared" ca="1" si="0"/>
        <v>36052.236875576629</v>
      </c>
      <c r="I5" s="56" t="s">
        <v>418</v>
      </c>
      <c r="J5" s="186">
        <f ca="1">J3*J4</f>
        <v>11410.326948371134</v>
      </c>
      <c r="K5" s="186">
        <f t="shared" ref="K5:O5" ca="1" si="1">K3*K4</f>
        <v>11644.95479347425</v>
      </c>
      <c r="L5" s="186">
        <f t="shared" ca="1" si="1"/>
        <v>11857.22017686706</v>
      </c>
      <c r="M5" s="186">
        <f t="shared" ca="1" si="1"/>
        <v>12048.272396962193</v>
      </c>
      <c r="N5" s="186">
        <f t="shared" ca="1" si="1"/>
        <v>12219.209133203445</v>
      </c>
      <c r="O5" s="186">
        <f t="shared" ca="1" si="1"/>
        <v>12371.078660592877</v>
      </c>
      <c r="Q5" s="56" t="s">
        <v>418</v>
      </c>
      <c r="R5" s="186">
        <f ca="1">R3*R4</f>
        <v>25116.381117395082</v>
      </c>
      <c r="S5" s="186">
        <f t="shared" ref="S5:W5" ca="1" si="2">S3*S4</f>
        <v>25956.546468853077</v>
      </c>
      <c r="T5" s="186">
        <f t="shared" ca="1" si="2"/>
        <v>26874.828286742835</v>
      </c>
      <c r="U5" s="186">
        <f t="shared" ca="1" si="2"/>
        <v>27871.134168630444</v>
      </c>
      <c r="V5" s="186">
        <f t="shared" ca="1" si="2"/>
        <v>28945.716369313126</v>
      </c>
      <c r="W5" s="186">
        <f t="shared" ca="1" si="2"/>
        <v>30099.156349394532</v>
      </c>
      <c r="Y5" s="56" t="s">
        <v>418</v>
      </c>
      <c r="Z5" s="186">
        <f ca="1">Z3*Z4</f>
        <v>11984.026705188842</v>
      </c>
      <c r="AA5" s="186">
        <f t="shared" ref="AA5:AE5" ca="1" si="3">AA3*AA4</f>
        <v>11200.769327476402</v>
      </c>
      <c r="AB5" s="186">
        <f t="shared" ca="1" si="3"/>
        <v>10475.429876694257</v>
      </c>
      <c r="AC5" s="186">
        <f t="shared" ca="1" si="3"/>
        <v>9803.608822683369</v>
      </c>
      <c r="AD5" s="186">
        <f t="shared" ca="1" si="3"/>
        <v>9181.2411281123113</v>
      </c>
      <c r="AE5" s="186">
        <f t="shared" ca="1" si="3"/>
        <v>8604.5709115276677</v>
      </c>
      <c r="AG5" s="56" t="s">
        <v>418</v>
      </c>
      <c r="AH5" s="186">
        <f ca="1">AH3*AH4</f>
        <v>3287.8154201987459</v>
      </c>
      <c r="AI5" s="186">
        <f t="shared" ref="AI5:AM5" ca="1" si="4">AI3*AI4</f>
        <v>3470.1797723645127</v>
      </c>
      <c r="AJ5" s="186">
        <f t="shared" ca="1" si="4"/>
        <v>3661.2301137210816</v>
      </c>
      <c r="AK5" s="186">
        <f t="shared" ca="1" si="4"/>
        <v>3861.2249315221616</v>
      </c>
      <c r="AL5" s="186">
        <f t="shared" ca="1" si="4"/>
        <v>4070.4107703401096</v>
      </c>
      <c r="AM5" s="186">
        <f t="shared" ca="1" si="4"/>
        <v>4289.018808491136</v>
      </c>
    </row>
    <row r="7" spans="1:39" ht="28.8" x14ac:dyDescent="0.3">
      <c r="A7" s="193" t="s">
        <v>419</v>
      </c>
      <c r="B7" s="186">
        <f ca="1">G3/(WACC!B15-WACC!I3)</f>
        <v>807507.15324362321</v>
      </c>
      <c r="I7" s="193" t="s">
        <v>419</v>
      </c>
      <c r="J7" s="186">
        <f ca="1">O3/(WACC!C15-WACC!J3)</f>
        <v>283224.88959799701</v>
      </c>
      <c r="Q7" s="193" t="s">
        <v>419</v>
      </c>
      <c r="R7" s="186">
        <f ca="1">W3/(WACC!D15-WACC!K3)</f>
        <v>654304.23036828707</v>
      </c>
      <c r="Y7" s="193" t="s">
        <v>419</v>
      </c>
      <c r="Z7" s="186">
        <f ca="1">AE3/(WACC!E15-WACC!L3)</f>
        <v>203005.61982434214</v>
      </c>
      <c r="AG7" s="193" t="s">
        <v>419</v>
      </c>
      <c r="AH7" s="186">
        <f ca="1">AM3/(WACC!F15-WACC!M3)</f>
        <v>85682.830477546682</v>
      </c>
    </row>
    <row r="8" spans="1:39" x14ac:dyDescent="0.3">
      <c r="A8" s="57" t="s">
        <v>420</v>
      </c>
      <c r="B8" s="186">
        <f ca="1">B7/(1+WACC!I5)^6</f>
        <v>375027.63384041801</v>
      </c>
      <c r="I8" s="57" t="s">
        <v>420</v>
      </c>
      <c r="J8" s="186">
        <f ca="1">J7/(1+WACC!C15)^6</f>
        <v>134730.01014052867</v>
      </c>
      <c r="Q8" s="57" t="s">
        <v>420</v>
      </c>
      <c r="R8" s="186">
        <f ca="1">R7/(1+WACC!D15)^6</f>
        <v>294839.33972440951</v>
      </c>
      <c r="Y8" s="57" t="s">
        <v>420</v>
      </c>
      <c r="Z8" s="186">
        <f ca="1">Z7/(1+WACC!E15)^6</f>
        <v>99223.338412234225</v>
      </c>
      <c r="AG8" s="57" t="s">
        <v>420</v>
      </c>
      <c r="AH8" s="186">
        <f ca="1">AH7*AL4</f>
        <v>39855.970729286848</v>
      </c>
    </row>
    <row r="9" spans="1:39" x14ac:dyDescent="0.3">
      <c r="A9" s="57" t="s">
        <v>418</v>
      </c>
      <c r="B9" s="186">
        <f ca="1">SUM(B5:G5)</f>
        <v>246392.62857274793</v>
      </c>
      <c r="I9" s="57" t="s">
        <v>418</v>
      </c>
      <c r="J9" s="186">
        <f ca="1">SUM(J5:O5)</f>
        <v>71551.062109470964</v>
      </c>
      <c r="Q9" s="57" t="s">
        <v>418</v>
      </c>
      <c r="R9" s="186">
        <f ca="1">SUM(R5:W5)</f>
        <v>164863.76276032909</v>
      </c>
      <c r="Y9" s="57" t="s">
        <v>418</v>
      </c>
      <c r="Z9" s="186">
        <f ca="1">SUM(Z5:AE5)</f>
        <v>61249.646771682856</v>
      </c>
      <c r="AG9" s="57" t="s">
        <v>418</v>
      </c>
      <c r="AH9" s="186">
        <f ca="1">SUM(AH5:AM5)</f>
        <v>22639.879816637746</v>
      </c>
    </row>
    <row r="10" spans="1:39" x14ac:dyDescent="0.3">
      <c r="A10" s="193" t="s">
        <v>434</v>
      </c>
      <c r="B10" s="186">
        <f ca="1">B8+B9</f>
        <v>621420.262413166</v>
      </c>
      <c r="I10" s="193" t="s">
        <v>434</v>
      </c>
      <c r="J10" s="186">
        <f ca="1">J8+J9</f>
        <v>206281.07224999962</v>
      </c>
      <c r="Q10" s="193" t="s">
        <v>434</v>
      </c>
      <c r="R10" s="186">
        <f ca="1">R8+R9</f>
        <v>459703.10248473857</v>
      </c>
      <c r="Y10" s="193" t="s">
        <v>434</v>
      </c>
      <c r="Z10" s="186">
        <f ca="1">Z8+Z9</f>
        <v>160472.98518391707</v>
      </c>
      <c r="AG10" s="193" t="s">
        <v>434</v>
      </c>
      <c r="AH10" s="186">
        <f ca="1">AH8+AH9</f>
        <v>62495.850545924593</v>
      </c>
    </row>
    <row r="11" spans="1:39" x14ac:dyDescent="0.3">
      <c r="A11" s="57" t="s">
        <v>422</v>
      </c>
      <c r="B11" s="186">
        <f>WACC!B11-AVERAGE('Balance Sheet'!B26:F26)</f>
        <v>-927.00000000000091</v>
      </c>
      <c r="I11" s="57" t="s">
        <v>422</v>
      </c>
      <c r="J11" s="186">
        <f>WACC!C11-AVERAGE('Balance Sheet'!I22:M22)</f>
        <v>-9564.4</v>
      </c>
      <c r="Q11" s="57" t="s">
        <v>422</v>
      </c>
      <c r="R11" s="186">
        <f>WACC!D11-AVERAGE('Balance Sheet'!P21:T21)</f>
        <v>-1901.2000000000007</v>
      </c>
      <c r="Y11" s="57" t="s">
        <v>422</v>
      </c>
      <c r="Z11" s="186">
        <f>WACC!E11-AVERAGE('Balance Sheet'!W25:AA25)</f>
        <v>1817.1000000000022</v>
      </c>
      <c r="AG11" s="57" t="s">
        <v>422</v>
      </c>
      <c r="AH11" s="186">
        <f>WACC!F11-AVERAGE('Balance Sheet'!AD25:AH25)</f>
        <v>-10.6400000000001</v>
      </c>
    </row>
    <row r="12" spans="1:39" x14ac:dyDescent="0.3">
      <c r="A12" s="193" t="s">
        <v>421</v>
      </c>
      <c r="B12" s="186">
        <f ca="1">B10-B11</f>
        <v>622347.262413166</v>
      </c>
      <c r="I12" s="193" t="s">
        <v>421</v>
      </c>
      <c r="J12" s="186">
        <f ca="1">J10-J11</f>
        <v>215845.47224999961</v>
      </c>
      <c r="Q12" s="193" t="s">
        <v>421</v>
      </c>
      <c r="R12" s="186">
        <f ca="1">R10-R11</f>
        <v>461604.30248473858</v>
      </c>
      <c r="Y12" s="193" t="s">
        <v>421</v>
      </c>
      <c r="Z12" s="186">
        <f ca="1">Z10-Z11</f>
        <v>158655.88518391707</v>
      </c>
      <c r="AG12" s="193" t="s">
        <v>421</v>
      </c>
      <c r="AH12" s="186">
        <f ca="1">AH10-AH11</f>
        <v>62506.490545924593</v>
      </c>
    </row>
    <row r="13" spans="1:39" ht="28.8" x14ac:dyDescent="0.3">
      <c r="A13" s="193" t="s">
        <v>423</v>
      </c>
      <c r="B13" s="186">
        <f>'Company Profile'!B11</f>
        <v>361.81</v>
      </c>
      <c r="I13" s="193" t="s">
        <v>423</v>
      </c>
      <c r="J13" s="186">
        <f>'Company Profile'!C11</f>
        <v>414.46</v>
      </c>
      <c r="Q13" s="193" t="s">
        <v>423</v>
      </c>
      <c r="R13" s="186">
        <f>'Company Profile'!D11</f>
        <v>270.89</v>
      </c>
      <c r="Y13" s="193" t="s">
        <v>423</v>
      </c>
      <c r="Z13" s="186">
        <f>'Company Profile'!E11</f>
        <v>1047.087</v>
      </c>
      <c r="AG13" s="193" t="s">
        <v>423</v>
      </c>
      <c r="AH13" s="186">
        <f>'Company Profile'!F11</f>
        <v>29.632999999999999</v>
      </c>
    </row>
    <row r="14" spans="1:39" ht="28.8" x14ac:dyDescent="0.3">
      <c r="A14" s="193" t="s">
        <v>424</v>
      </c>
      <c r="B14" s="194">
        <f ca="1">B12/B13</f>
        <v>1720.0941444768414</v>
      </c>
      <c r="I14" s="193" t="s">
        <v>424</v>
      </c>
      <c r="J14" s="194">
        <f ca="1">J12/J13</f>
        <v>520.78722253052069</v>
      </c>
      <c r="Q14" s="193" t="s">
        <v>424</v>
      </c>
      <c r="R14" s="194">
        <f ca="1">R12/R13</f>
        <v>1704.0285816557962</v>
      </c>
      <c r="Y14" s="193" t="s">
        <v>424</v>
      </c>
      <c r="Z14" s="194">
        <f ca="1">Z12/Z13</f>
        <v>151.52120614993507</v>
      </c>
      <c r="AG14" s="193" t="s">
        <v>424</v>
      </c>
      <c r="AH14" s="194">
        <f ca="1">AH12/AH13</f>
        <v>2109.3541168941583</v>
      </c>
    </row>
    <row r="15" spans="1:39" ht="28.8" x14ac:dyDescent="0.3">
      <c r="A15" s="193" t="s">
        <v>425</v>
      </c>
      <c r="B15" s="195">
        <f ca="1">'Company Profile'!B9</f>
        <v>3025.2</v>
      </c>
      <c r="I15" s="193" t="s">
        <v>425</v>
      </c>
      <c r="J15" s="195">
        <f ca="1">'Company Profile'!C9</f>
        <v>1513.5</v>
      </c>
      <c r="Q15" s="193" t="s">
        <v>425</v>
      </c>
      <c r="R15" s="195">
        <f ca="1">'Company Profile'!D9</f>
        <v>1540.5</v>
      </c>
      <c r="Y15" s="193" t="s">
        <v>425</v>
      </c>
      <c r="Z15" s="195">
        <f ca="1">'Company Profile'!E9</f>
        <v>239.84</v>
      </c>
      <c r="AG15" s="193" t="s">
        <v>425</v>
      </c>
      <c r="AH15" s="195">
        <f ca="1">'Company Profile'!F9</f>
        <v>5650</v>
      </c>
    </row>
    <row r="16" spans="1:39" x14ac:dyDescent="0.3">
      <c r="A16" s="57" t="s">
        <v>426</v>
      </c>
      <c r="B16" s="180">
        <f ca="1">(B14-B15)/B15</f>
        <v>-0.43141142916936354</v>
      </c>
      <c r="I16" s="57" t="s">
        <v>426</v>
      </c>
      <c r="J16" s="180">
        <f ca="1">(J14-J15)/J15</f>
        <v>-0.65590536998313798</v>
      </c>
      <c r="Q16" s="57" t="s">
        <v>426</v>
      </c>
      <c r="R16" s="180">
        <f ca="1">(R14-R15)/R15</f>
        <v>0.10615292545004622</v>
      </c>
      <c r="Y16" s="57" t="s">
        <v>426</v>
      </c>
      <c r="Z16" s="180">
        <f ca="1">(Z14-Z15)/Z15</f>
        <v>-0.36824046802061766</v>
      </c>
      <c r="AG16" s="57" t="s">
        <v>426</v>
      </c>
      <c r="AH16" s="180">
        <f ca="1">(AH14-AH15)/AH15</f>
        <v>-0.62666298816032595</v>
      </c>
    </row>
  </sheetData>
  <mergeCells count="10">
    <mergeCell ref="Y1:AC1"/>
    <mergeCell ref="AD1:AE1"/>
    <mergeCell ref="AG1:AK1"/>
    <mergeCell ref="AL1:AM1"/>
    <mergeCell ref="A1:E1"/>
    <mergeCell ref="F1:G1"/>
    <mergeCell ref="I1:M1"/>
    <mergeCell ref="N1:O1"/>
    <mergeCell ref="Q1:U1"/>
    <mergeCell ref="V1:W1"/>
  </mergeCells>
  <conditionalFormatting sqref="B16">
    <cfRule type="cellIs" dxfId="33" priority="9" operator="lessThan">
      <formula>0</formula>
    </cfRule>
    <cfRule type="cellIs" dxfId="32" priority="10" operator="greaterThan">
      <formula>0</formula>
    </cfRule>
  </conditionalFormatting>
  <conditionalFormatting sqref="J16">
    <cfRule type="cellIs" dxfId="31" priority="7" operator="lessThan">
      <formula>0</formula>
    </cfRule>
    <cfRule type="cellIs" dxfId="30" priority="8" operator="greaterThan">
      <formula>0</formula>
    </cfRule>
  </conditionalFormatting>
  <conditionalFormatting sqref="R16">
    <cfRule type="cellIs" dxfId="29" priority="5" operator="lessThan">
      <formula>0</formula>
    </cfRule>
    <cfRule type="cellIs" dxfId="28" priority="6" operator="greaterThan">
      <formula>0</formula>
    </cfRule>
  </conditionalFormatting>
  <conditionalFormatting sqref="Z16">
    <cfRule type="cellIs" dxfId="27" priority="3" operator="lessThan">
      <formula>0</formula>
    </cfRule>
    <cfRule type="cellIs" dxfId="26" priority="4" operator="greaterThan">
      <formula>0</formula>
    </cfRule>
  </conditionalFormatting>
  <conditionalFormatting sqref="AH16">
    <cfRule type="cellIs" dxfId="25" priority="1" operator="lessThan">
      <formula>0</formula>
    </cfRule>
    <cfRule type="cellIs" dxfId="24" priority="2" operator="greaterThan">
      <formula>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F918-1333-4154-A68E-F59B9583738F}">
  <dimension ref="A1:AW19"/>
  <sheetViews>
    <sheetView topLeftCell="Q5" workbookViewId="0">
      <selection activeCell="A15" sqref="A15"/>
    </sheetView>
  </sheetViews>
  <sheetFormatPr defaultRowHeight="14.4" x14ac:dyDescent="0.3"/>
  <cols>
    <col min="1" max="1" width="15.88671875" style="1" bestFit="1" customWidth="1"/>
    <col min="2" max="2" width="10.88671875" style="148" bestFit="1" customWidth="1"/>
    <col min="3" max="3" width="9" style="148" bestFit="1" customWidth="1"/>
    <col min="4" max="9" width="9.88671875" style="148" bestFit="1" customWidth="1"/>
    <col min="10" max="10" width="8.88671875" style="1"/>
    <col min="11" max="11" width="15.44140625" style="1" bestFit="1" customWidth="1"/>
    <col min="12" max="12" width="10.88671875" style="1" bestFit="1" customWidth="1"/>
    <col min="13" max="13" width="8.88671875" style="1"/>
    <col min="14" max="19" width="9.88671875" style="1" bestFit="1" customWidth="1"/>
    <col min="20" max="20" width="8.88671875" style="1"/>
    <col min="21" max="21" width="15.44140625" style="1" bestFit="1" customWidth="1"/>
    <col min="22" max="22" width="10.88671875" style="1" bestFit="1" customWidth="1"/>
    <col min="23" max="23" width="8.88671875" style="1"/>
    <col min="24" max="29" width="9.88671875" style="1" bestFit="1" customWidth="1"/>
    <col min="30" max="30" width="8.88671875" style="1"/>
    <col min="31" max="31" width="15.44140625" style="1" bestFit="1" customWidth="1"/>
    <col min="32" max="32" width="10.33203125" style="1" bestFit="1" customWidth="1"/>
    <col min="33" max="40" width="8.88671875" style="1"/>
    <col min="41" max="41" width="15.44140625" style="1" bestFit="1" customWidth="1"/>
    <col min="42" max="42" width="10.33203125" style="1" bestFit="1" customWidth="1"/>
    <col min="43" max="16384" width="8.88671875" style="1"/>
  </cols>
  <sheetData>
    <row r="1" spans="1:49" ht="42" customHeight="1" x14ac:dyDescent="0.3">
      <c r="A1" s="294" t="s">
        <v>432</v>
      </c>
      <c r="B1" s="294"/>
      <c r="C1" s="294"/>
      <c r="D1" s="294"/>
      <c r="E1" s="294"/>
      <c r="F1" s="294"/>
      <c r="G1" s="294"/>
      <c r="H1" s="295" t="e" vm="1">
        <v>#VALUE!</v>
      </c>
      <c r="I1" s="295"/>
      <c r="K1" s="294"/>
      <c r="L1" s="294"/>
      <c r="M1" s="294"/>
      <c r="N1" s="294"/>
      <c r="O1" s="294"/>
      <c r="P1" s="294"/>
      <c r="Q1" s="294"/>
      <c r="R1" s="295" t="e" vm="2">
        <v>#VALUE!</v>
      </c>
      <c r="S1" s="295"/>
      <c r="U1" s="294"/>
      <c r="V1" s="294"/>
      <c r="W1" s="294"/>
      <c r="X1" s="294"/>
      <c r="Y1" s="294"/>
      <c r="Z1" s="294"/>
      <c r="AA1" s="294"/>
      <c r="AB1" s="295" t="e" vm="3">
        <v>#VALUE!</v>
      </c>
      <c r="AC1" s="295"/>
      <c r="AE1" s="294"/>
      <c r="AF1" s="294"/>
      <c r="AG1" s="294"/>
      <c r="AH1" s="294"/>
      <c r="AI1" s="294"/>
      <c r="AJ1" s="294"/>
      <c r="AK1" s="294"/>
      <c r="AL1" s="295" t="e" vm="4">
        <v>#VALUE!</v>
      </c>
      <c r="AM1" s="295"/>
      <c r="AO1" s="294"/>
      <c r="AP1" s="294"/>
      <c r="AQ1" s="294"/>
      <c r="AR1" s="294"/>
      <c r="AS1" s="294"/>
      <c r="AT1" s="294"/>
      <c r="AU1" s="294"/>
      <c r="AV1" s="295" t="e" vm="5">
        <v>#VALUE!</v>
      </c>
      <c r="AW1" s="295"/>
    </row>
    <row r="2" spans="1:49" x14ac:dyDescent="0.3">
      <c r="A2" s="4" t="s">
        <v>387</v>
      </c>
      <c r="B2" s="201">
        <v>2024</v>
      </c>
      <c r="C2" s="198" t="s">
        <v>390</v>
      </c>
      <c r="D2" s="201">
        <v>2025</v>
      </c>
      <c r="E2" s="201">
        <v>2026</v>
      </c>
      <c r="F2" s="201">
        <v>2027</v>
      </c>
      <c r="G2" s="201">
        <v>2028</v>
      </c>
      <c r="H2" s="201">
        <v>2029</v>
      </c>
      <c r="I2" s="201">
        <v>2030</v>
      </c>
      <c r="K2" s="4" t="s">
        <v>387</v>
      </c>
      <c r="L2" s="201">
        <v>2024</v>
      </c>
      <c r="M2" s="198" t="s">
        <v>390</v>
      </c>
      <c r="N2" s="201">
        <v>2025</v>
      </c>
      <c r="O2" s="201">
        <v>2026</v>
      </c>
      <c r="P2" s="201">
        <v>2027</v>
      </c>
      <c r="Q2" s="201">
        <v>2028</v>
      </c>
      <c r="R2" s="201">
        <v>2029</v>
      </c>
      <c r="S2" s="201">
        <v>2030</v>
      </c>
      <c r="U2" s="4" t="s">
        <v>387</v>
      </c>
      <c r="V2" s="201">
        <v>2024</v>
      </c>
      <c r="W2" s="198" t="s">
        <v>390</v>
      </c>
      <c r="X2" s="201">
        <v>2025</v>
      </c>
      <c r="Y2" s="201">
        <v>2026</v>
      </c>
      <c r="Z2" s="201">
        <v>2027</v>
      </c>
      <c r="AA2" s="201">
        <v>2028</v>
      </c>
      <c r="AB2" s="201">
        <v>2029</v>
      </c>
      <c r="AC2" s="201">
        <v>2030</v>
      </c>
      <c r="AE2" s="4" t="s">
        <v>387</v>
      </c>
      <c r="AF2" s="201">
        <v>2024</v>
      </c>
      <c r="AG2" s="198" t="s">
        <v>390</v>
      </c>
      <c r="AH2" s="201">
        <v>2025</v>
      </c>
      <c r="AI2" s="201">
        <v>2026</v>
      </c>
      <c r="AJ2" s="201">
        <v>2027</v>
      </c>
      <c r="AK2" s="201">
        <v>2028</v>
      </c>
      <c r="AL2" s="201">
        <v>2029</v>
      </c>
      <c r="AM2" s="201">
        <v>2030</v>
      </c>
      <c r="AO2" s="4" t="s">
        <v>387</v>
      </c>
      <c r="AP2" s="201">
        <v>2024</v>
      </c>
      <c r="AQ2" s="198" t="s">
        <v>390</v>
      </c>
      <c r="AR2" s="201">
        <v>2025</v>
      </c>
      <c r="AS2" s="201">
        <v>2026</v>
      </c>
      <c r="AT2" s="201">
        <v>2027</v>
      </c>
      <c r="AU2" s="201">
        <v>2028</v>
      </c>
      <c r="AV2" s="201">
        <v>2029</v>
      </c>
      <c r="AW2" s="201">
        <v>2030</v>
      </c>
    </row>
    <row r="3" spans="1:49" x14ac:dyDescent="0.3">
      <c r="A3" s="4" t="s">
        <v>429</v>
      </c>
      <c r="B3" s="199">
        <f>'Financial Ratios'!G10</f>
        <v>127.41217766230895</v>
      </c>
      <c r="C3" s="202">
        <f>('Financial Ratios'!G10/'Financial Ratios'!C10)^(1/5)-1</f>
        <v>7.2762024391798796E-2</v>
      </c>
      <c r="D3" s="203">
        <f>B3*(1+C3)</f>
        <v>136.68294564118608</v>
      </c>
      <c r="E3" s="203">
        <f>D3*(1+$C$3)</f>
        <v>146.62827346587298</v>
      </c>
      <c r="F3" s="203">
        <f t="shared" ref="F3:I3" si="0">E3*(1+$C$3)</f>
        <v>157.29724347632418</v>
      </c>
      <c r="G3" s="203">
        <f t="shared" si="0"/>
        <v>168.74250934291121</v>
      </c>
      <c r="H3" s="203">
        <f t="shared" si="0"/>
        <v>181.02055592365343</v>
      </c>
      <c r="I3" s="203">
        <f t="shared" si="0"/>
        <v>194.19197802918728</v>
      </c>
      <c r="K3" s="4" t="s">
        <v>429</v>
      </c>
      <c r="L3" s="199">
        <f>'Financial Ratios'!O10</f>
        <v>73.933832674608226</v>
      </c>
      <c r="M3" s="202">
        <f>('Financial Ratios'!O10/'Financial Ratios'!K10)^(1/5)-1</f>
        <v>9.9611600701296821E-2</v>
      </c>
      <c r="N3" s="203">
        <f>L3*(1+M3)</f>
        <v>81.298500093307794</v>
      </c>
      <c r="O3" s="203">
        <f>N3*(1+$M$3)</f>
        <v>89.396773822216716</v>
      </c>
      <c r="P3" s="203">
        <f t="shared" ref="P3:S3" si="1">O3*(1+$M$3)</f>
        <v>98.30172956017951</v>
      </c>
      <c r="Q3" s="203">
        <f t="shared" si="1"/>
        <v>108.09372219337497</v>
      </c>
      <c r="R3" s="203">
        <f t="shared" si="1"/>
        <v>118.86111088681835</v>
      </c>
      <c r="S3" s="203">
        <f t="shared" si="1"/>
        <v>130.70105640338866</v>
      </c>
      <c r="U3" s="4" t="s">
        <v>429</v>
      </c>
      <c r="V3" s="199">
        <f>'Financial Ratios'!W10</f>
        <v>57.994019712798554</v>
      </c>
      <c r="W3" s="202">
        <f>('Financial Ratios'!W10/'Financial Ratios'!S10)^(1/5)-1</f>
        <v>7.2772853306959817E-2</v>
      </c>
      <c r="X3" s="203">
        <f>V3*(1+W3)</f>
        <v>62.214410002038981</v>
      </c>
      <c r="Y3" s="203">
        <f>X3*(1+$W$3)</f>
        <v>66.741930134696418</v>
      </c>
      <c r="Z3" s="203">
        <f t="shared" ref="Z3:AC3" si="2">Y3*(1+$W$3)</f>
        <v>71.598930825812047</v>
      </c>
      <c r="AA3" s="203">
        <f t="shared" si="2"/>
        <v>76.809389315734037</v>
      </c>
      <c r="AB3" s="203">
        <f t="shared" si="2"/>
        <v>82.399027737005113</v>
      </c>
      <c r="AC3" s="203">
        <f t="shared" si="2"/>
        <v>88.395440095146299</v>
      </c>
      <c r="AE3" s="4" t="s">
        <v>429</v>
      </c>
      <c r="AF3" s="199">
        <f>'Financial Ratios'!AE10</f>
        <v>10.612394194560737</v>
      </c>
      <c r="AG3" s="202">
        <f>('Financial Ratios'!AE10/'Financial Ratios'!AA10)^(1/5)-1</f>
        <v>2.6040052621059795E-2</v>
      </c>
      <c r="AH3" s="203">
        <f>AF3*(1+AG3)</f>
        <v>10.888741497822528</v>
      </c>
      <c r="AI3" s="203">
        <f>AH3*(1+$AG$3)</f>
        <v>11.172284899402944</v>
      </c>
      <c r="AJ3" s="203">
        <f t="shared" ref="AJ3:AM3" si="3">AI3*(1+$AG$3)</f>
        <v>11.463211786080869</v>
      </c>
      <c r="AK3" s="203">
        <f t="shared" si="3"/>
        <v>11.761714424196768</v>
      </c>
      <c r="AL3" s="203">
        <f t="shared" si="3"/>
        <v>12.06799008671673</v>
      </c>
      <c r="AM3" s="203">
        <f t="shared" si="3"/>
        <v>12.382241183605261</v>
      </c>
      <c r="AO3" s="4" t="s">
        <v>429</v>
      </c>
      <c r="AP3" s="199">
        <f>'Financial Ratios'!AM10</f>
        <v>154.71265143589906</v>
      </c>
      <c r="AQ3" s="202">
        <f>('Financial Ratios'!AM10/'Financial Ratios'!AI10)^(1/5)-1</f>
        <v>0.24699009867840904</v>
      </c>
      <c r="AR3" s="203">
        <f>AP3*(1+AQ3)</f>
        <v>192.92514448085007</v>
      </c>
      <c r="AS3" s="203">
        <f>AR3*(1+$AQ$3)</f>
        <v>240.57574495372154</v>
      </c>
      <c r="AT3" s="203">
        <f t="shared" ref="AT3:AW3" si="4">AS3*(1+$AQ$3)</f>
        <v>299.995571939473</v>
      </c>
      <c r="AU3" s="203">
        <f t="shared" si="4"/>
        <v>374.09150785588918</v>
      </c>
      <c r="AV3" s="203">
        <f t="shared" si="4"/>
        <v>466.48840629597009</v>
      </c>
      <c r="AW3" s="203">
        <f t="shared" si="4"/>
        <v>581.70642379934554</v>
      </c>
    </row>
    <row r="4" spans="1:49" x14ac:dyDescent="0.3">
      <c r="A4" s="4" t="s">
        <v>428</v>
      </c>
      <c r="B4" s="199">
        <f>'Cash flow statement'!F62</f>
        <v>69.475691661369225</v>
      </c>
      <c r="C4" s="202">
        <f>WACC!I6</f>
        <v>0.66863859063900777</v>
      </c>
      <c r="D4" s="203">
        <f>D3*$C$4</f>
        <v>91.391492137910774</v>
      </c>
      <c r="E4" s="203">
        <f t="shared" ref="E4:I4" si="5">E3*$C$4</f>
        <v>98.041322118052321</v>
      </c>
      <c r="F4" s="203">
        <f t="shared" si="5"/>
        <v>105.17500718941027</v>
      </c>
      <c r="G4" s="203">
        <f t="shared" si="5"/>
        <v>112.82775362793375</v>
      </c>
      <c r="H4" s="203">
        <f t="shared" si="5"/>
        <v>121.03732938948131</v>
      </c>
      <c r="I4" s="203">
        <f t="shared" si="5"/>
        <v>129.84425050283696</v>
      </c>
      <c r="K4" s="4" t="s">
        <v>428</v>
      </c>
      <c r="L4" s="199">
        <f>'Cash flow statement'!M62</f>
        <v>35.448535443709886</v>
      </c>
      <c r="M4" s="202">
        <f>WACC!J6</f>
        <v>0.47709605143012668</v>
      </c>
      <c r="N4" s="203">
        <f>N3*$M$4</f>
        <v>38.787193381708931</v>
      </c>
      <c r="O4" s="203">
        <f t="shared" ref="O4:S4" si="6">O3*$M$4</f>
        <v>42.650847801171707</v>
      </c>
      <c r="P4" s="203">
        <f t="shared" si="6"/>
        <v>46.899367021913804</v>
      </c>
      <c r="Q4" s="203">
        <f t="shared" si="6"/>
        <v>51.571088042844252</v>
      </c>
      <c r="R4" s="203">
        <f t="shared" si="6"/>
        <v>56.708166672699477</v>
      </c>
      <c r="S4" s="203">
        <f t="shared" si="6"/>
        <v>62.356957927803002</v>
      </c>
      <c r="U4" s="4" t="s">
        <v>428</v>
      </c>
      <c r="V4" s="199">
        <f>'Cash flow statement'!T55</f>
        <v>51.925135663922632</v>
      </c>
      <c r="W4" s="202">
        <f>WACC!K6</f>
        <v>0.64950832528957536</v>
      </c>
      <c r="X4" s="203">
        <f>X3*$W$4</f>
        <v>40.408777249303348</v>
      </c>
      <c r="Y4" s="203">
        <f t="shared" ref="Y4:AC4" si="7">Y3*$W$4</f>
        <v>43.349439268380515</v>
      </c>
      <c r="Z4" s="203">
        <f t="shared" si="7"/>
        <v>46.504101653197338</v>
      </c>
      <c r="AA4" s="203">
        <f t="shared" si="7"/>
        <v>49.888337820977419</v>
      </c>
      <c r="AB4" s="203">
        <f t="shared" si="7"/>
        <v>53.518854510951456</v>
      </c>
      <c r="AC4" s="203">
        <f t="shared" si="7"/>
        <v>57.413574259433453</v>
      </c>
      <c r="AE4" s="4" t="s">
        <v>428</v>
      </c>
      <c r="AF4" s="199">
        <f>'Cash flow statement'!AA51</f>
        <v>13.895215965817549</v>
      </c>
      <c r="AG4" s="202">
        <f>WACC!L6</f>
        <v>0.30127994393245888</v>
      </c>
      <c r="AH4" s="203">
        <f>AH3*$AG$4</f>
        <v>3.2805594279590093</v>
      </c>
      <c r="AI4" s="203">
        <f t="shared" ref="AI4:AM4" si="8">AI3*$AG$4</f>
        <v>3.3659853680895759</v>
      </c>
      <c r="AJ4" s="203">
        <f t="shared" si="8"/>
        <v>3.4536358041963462</v>
      </c>
      <c r="AK4" s="203">
        <f t="shared" si="8"/>
        <v>3.5435686622715949</v>
      </c>
      <c r="AL4" s="203">
        <f t="shared" si="8"/>
        <v>3.6358433767034861</v>
      </c>
      <c r="AM4" s="203">
        <f t="shared" si="8"/>
        <v>3.7305209295547765</v>
      </c>
      <c r="AO4" s="4" t="s">
        <v>428</v>
      </c>
      <c r="AP4" s="199">
        <f>'Cash flow statement'!AH51</f>
        <v>59.909560287517294</v>
      </c>
      <c r="AQ4" s="202">
        <f>WACC!M6</f>
        <v>0.28939988782950088</v>
      </c>
      <c r="AR4" s="203">
        <f>AR3*$AQ$4</f>
        <v>55.832515172248257</v>
      </c>
      <c r="AS4" s="203">
        <f t="shared" ref="AS4:AW4" si="9">AS3*$AQ$4</f>
        <v>69.622593604105631</v>
      </c>
      <c r="AT4" s="203">
        <f t="shared" si="9"/>
        <v>86.818684868630442</v>
      </c>
      <c r="AU4" s="203">
        <f t="shared" si="9"/>
        <v>108.26204041146318</v>
      </c>
      <c r="AV4" s="203">
        <f t="shared" si="9"/>
        <v>135.00169245581637</v>
      </c>
      <c r="AW4" s="203">
        <f t="shared" si="9"/>
        <v>168.34577379723069</v>
      </c>
    </row>
    <row r="5" spans="1:49" ht="28.8" x14ac:dyDescent="0.3">
      <c r="A5" s="18" t="s">
        <v>423</v>
      </c>
      <c r="B5" s="199"/>
      <c r="C5" s="199"/>
      <c r="D5" s="199">
        <f>'Company Profile'!B11</f>
        <v>361.81</v>
      </c>
      <c r="E5" s="199">
        <f>'Company Profile'!B11</f>
        <v>361.81</v>
      </c>
      <c r="F5" s="199">
        <f>'Company Profile'!B11</f>
        <v>361.81</v>
      </c>
      <c r="G5" s="199">
        <f>'Company Profile'!B11</f>
        <v>361.81</v>
      </c>
      <c r="H5" s="199">
        <f>'Company Profile'!B11</f>
        <v>361.81</v>
      </c>
      <c r="I5" s="199">
        <f>'Company Profile'!B11</f>
        <v>361.81</v>
      </c>
      <c r="K5" s="18" t="s">
        <v>423</v>
      </c>
      <c r="L5" s="199"/>
      <c r="M5" s="199"/>
      <c r="N5" s="199">
        <f>'Company Profile'!C11</f>
        <v>414.46</v>
      </c>
      <c r="O5" s="199">
        <v>414.46</v>
      </c>
      <c r="P5" s="199">
        <v>414.46</v>
      </c>
      <c r="Q5" s="199">
        <v>414.46</v>
      </c>
      <c r="R5" s="199">
        <v>414.46</v>
      </c>
      <c r="S5" s="199">
        <v>414.46</v>
      </c>
      <c r="U5" s="18" t="s">
        <v>423</v>
      </c>
      <c r="V5" s="199"/>
      <c r="W5" s="199"/>
      <c r="X5" s="199">
        <f>'Company Profile'!D11</f>
        <v>270.89</v>
      </c>
      <c r="Y5" s="199">
        <v>270.89</v>
      </c>
      <c r="Z5" s="199">
        <v>270.89</v>
      </c>
      <c r="AA5" s="199">
        <v>270.89</v>
      </c>
      <c r="AB5" s="199">
        <v>270.89</v>
      </c>
      <c r="AC5" s="199">
        <v>270.89</v>
      </c>
      <c r="AE5" s="18" t="s">
        <v>423</v>
      </c>
      <c r="AF5" s="199"/>
      <c r="AG5" s="199"/>
      <c r="AH5" s="199">
        <f>'Company Profile'!E11</f>
        <v>1047.087</v>
      </c>
      <c r="AI5" s="199">
        <v>1047.087</v>
      </c>
      <c r="AJ5" s="199">
        <v>1047.087</v>
      </c>
      <c r="AK5" s="199">
        <v>1047.087</v>
      </c>
      <c r="AL5" s="199">
        <v>1047.087</v>
      </c>
      <c r="AM5" s="199">
        <v>1047.087</v>
      </c>
      <c r="AO5" s="18" t="s">
        <v>423</v>
      </c>
      <c r="AP5" s="199"/>
      <c r="AQ5" s="199"/>
      <c r="AR5" s="199">
        <f>'Company Profile'!F11</f>
        <v>29.632999999999999</v>
      </c>
      <c r="AS5" s="199">
        <v>29.632999999999999</v>
      </c>
      <c r="AT5" s="199">
        <v>29.632999999999999</v>
      </c>
      <c r="AU5" s="199">
        <v>29.632999999999999</v>
      </c>
      <c r="AV5" s="199">
        <v>29.632999999999999</v>
      </c>
      <c r="AW5" s="199">
        <v>29.632999999999999</v>
      </c>
    </row>
    <row r="6" spans="1:49" x14ac:dyDescent="0.3">
      <c r="A6" s="4" t="s">
        <v>430</v>
      </c>
      <c r="B6" s="203"/>
      <c r="C6" s="203"/>
      <c r="D6" s="203">
        <f t="shared" ref="D6:I6" si="10">D4*D5</f>
        <v>33066.355770417496</v>
      </c>
      <c r="E6" s="203">
        <f t="shared" si="10"/>
        <v>35472.330755532508</v>
      </c>
      <c r="F6" s="203">
        <f t="shared" si="10"/>
        <v>38053.369351200527</v>
      </c>
      <c r="G6" s="203">
        <f t="shared" si="10"/>
        <v>40822.209540122705</v>
      </c>
      <c r="H6" s="203">
        <f t="shared" si="10"/>
        <v>43792.516146408234</v>
      </c>
      <c r="I6" s="203">
        <f t="shared" si="10"/>
        <v>46978.948274431437</v>
      </c>
      <c r="K6" s="4" t="s">
        <v>430</v>
      </c>
      <c r="L6" s="203"/>
      <c r="M6" s="203"/>
      <c r="N6" s="203">
        <f>N4*N5</f>
        <v>16075.740168983082</v>
      </c>
      <c r="O6" s="203">
        <f t="shared" ref="O6:S6" si="11">O4*O5</f>
        <v>17677.070379673623</v>
      </c>
      <c r="P6" s="203">
        <f t="shared" si="11"/>
        <v>19437.911655902393</v>
      </c>
      <c r="Q6" s="203">
        <f t="shared" si="11"/>
        <v>21374.153150237227</v>
      </c>
      <c r="R6" s="203">
        <f t="shared" si="11"/>
        <v>23503.266759167025</v>
      </c>
      <c r="S6" s="203">
        <f t="shared" si="11"/>
        <v>25844.46478275723</v>
      </c>
      <c r="U6" s="4" t="s">
        <v>430</v>
      </c>
      <c r="V6" s="203"/>
      <c r="W6" s="203"/>
      <c r="X6" s="203">
        <f>X4*X5</f>
        <v>10946.333669063784</v>
      </c>
      <c r="Y6" s="203">
        <f t="shared" ref="Y6:AC6" si="12">Y4*Y5</f>
        <v>11742.929603411598</v>
      </c>
      <c r="Z6" s="203">
        <f t="shared" si="12"/>
        <v>12597.496096834626</v>
      </c>
      <c r="AA6" s="203">
        <f t="shared" si="12"/>
        <v>13514.251832324573</v>
      </c>
      <c r="AB6" s="203">
        <f t="shared" si="12"/>
        <v>14497.722498471639</v>
      </c>
      <c r="AC6" s="203">
        <f t="shared" si="12"/>
        <v>15552.763131137928</v>
      </c>
      <c r="AE6" s="4" t="s">
        <v>430</v>
      </c>
      <c r="AF6" s="203"/>
      <c r="AG6" s="203"/>
      <c r="AH6" s="203">
        <f>AH4*AH5</f>
        <v>3435.031129743315</v>
      </c>
      <c r="AI6" s="203">
        <f t="shared" ref="AI6:AM6" si="13">AI4*AI5</f>
        <v>3524.4795211168098</v>
      </c>
      <c r="AJ6" s="203">
        <f t="shared" si="13"/>
        <v>3616.2571533085397</v>
      </c>
      <c r="AK6" s="203">
        <f t="shared" si="13"/>
        <v>3710.4246798719773</v>
      </c>
      <c r="AL6" s="203">
        <f t="shared" si="13"/>
        <v>3807.0443337823231</v>
      </c>
      <c r="AM6" s="203">
        <f t="shared" si="13"/>
        <v>3906.1799685647225</v>
      </c>
      <c r="AO6" s="4" t="s">
        <v>430</v>
      </c>
      <c r="AP6" s="203"/>
      <c r="AQ6" s="203"/>
      <c r="AR6" s="203">
        <f>AR4*AR5</f>
        <v>1654.4849220992326</v>
      </c>
      <c r="AS6" s="203">
        <f t="shared" ref="AS6:AW6" si="14">AS4*AS5</f>
        <v>2063.1263162704622</v>
      </c>
      <c r="AT6" s="203">
        <f t="shared" si="14"/>
        <v>2572.6980887121258</v>
      </c>
      <c r="AU6" s="203">
        <f t="shared" si="14"/>
        <v>3208.1290435128881</v>
      </c>
      <c r="AV6" s="203">
        <f t="shared" si="14"/>
        <v>4000.5051525432063</v>
      </c>
      <c r="AW6" s="203">
        <f t="shared" si="14"/>
        <v>4988.5903149333371</v>
      </c>
    </row>
    <row r="7" spans="1:49" x14ac:dyDescent="0.3">
      <c r="A7" s="4" t="s">
        <v>417</v>
      </c>
      <c r="B7" s="198"/>
      <c r="C7" s="198"/>
      <c r="D7" s="150">
        <f ca="1">1/(1+WACC!$I$5)^1</f>
        <v>0.88000704428038812</v>
      </c>
      <c r="E7" s="150">
        <f ca="1">1/(1+WACC!$I$5)^2</f>
        <v>0.77441239798310502</v>
      </c>
      <c r="F7" s="150">
        <f ca="1">1/(1+WACC!$I$5)^3</f>
        <v>0.68148836540319979</v>
      </c>
      <c r="G7" s="150">
        <f ca="1">1/(1+WACC!$I$5)^4</f>
        <v>0.59971456214994301</v>
      </c>
      <c r="H7" s="150">
        <f ca="1">1/(1+WACC!$I$5)^5</f>
        <v>0.52775303924947858</v>
      </c>
      <c r="I7" s="150">
        <f ca="1">1/(1+WACC!$I$5)^6</f>
        <v>0.46442639217992532</v>
      </c>
      <c r="K7" s="4" t="s">
        <v>417</v>
      </c>
      <c r="L7" s="198"/>
      <c r="M7" s="198"/>
      <c r="N7" s="150">
        <f ca="1">1/(1+WACC!$J$5)^1</f>
        <v>0.88243126473737432</v>
      </c>
      <c r="O7" s="150">
        <f ca="1">1/(1+WACC!$J$5)^2</f>
        <v>0.77868493698600194</v>
      </c>
      <c r="P7" s="150">
        <f ca="1">1/(1+WACC!$J$5)^3</f>
        <v>0.68713593377650029</v>
      </c>
      <c r="Q7" s="150">
        <f ca="1">1/(1+WACC!$J$5)^4</f>
        <v>0.60635023108889385</v>
      </c>
      <c r="R7" s="150">
        <f ca="1">1/(1+WACC!$J$5)^5</f>
        <v>0.53506240129357174</v>
      </c>
      <c r="S7" s="150">
        <f ca="1">1/(1+WACC!$J$5)^6</f>
        <v>0.47215579148690301</v>
      </c>
      <c r="U7" s="4" t="s">
        <v>417</v>
      </c>
      <c r="V7" s="198"/>
      <c r="W7" s="198"/>
      <c r="X7" s="150">
        <f ca="1">1/(1+WACC!$K$5)^1</f>
        <v>0.87453709002750668</v>
      </c>
      <c r="Y7" s="150">
        <f ca="1">1/(1+WACC!$K$5)^2</f>
        <v>0.76481512183377931</v>
      </c>
      <c r="Z7" s="150">
        <f ca="1">1/(1+WACC!$K$5)^3</f>
        <v>0.66885919105754643</v>
      </c>
      <c r="AA7" s="150">
        <f ca="1">1/(1+WACC!$K$5)^4</f>
        <v>0.5849421705856187</v>
      </c>
      <c r="AB7" s="150">
        <f ca="1">1/(1+WACC!$K$5)^5</f>
        <v>0.51155362369832047</v>
      </c>
      <c r="AC7" s="150">
        <f ca="1">1/(1+WACC!$K$5)^6</f>
        <v>0.44737261746215534</v>
      </c>
      <c r="AE7" s="4" t="s">
        <v>417</v>
      </c>
      <c r="AF7" s="198"/>
      <c r="AG7" s="198"/>
      <c r="AH7" s="150">
        <f ca="1">1/(1+WACC!$L$5)^1</f>
        <v>0.88421564024675148</v>
      </c>
      <c r="AI7" s="150">
        <f ca="1">1/(1+WACC!$L$5)^2</f>
        <v>0.78183729845697247</v>
      </c>
      <c r="AJ7" s="150">
        <f ca="1">1/(1+WACC!$L$5)^3</f>
        <v>0.69131276742392245</v>
      </c>
      <c r="AK7" s="150">
        <f ca="1">1/(1+WACC!$L$5)^4</f>
        <v>0.61126956125849707</v>
      </c>
      <c r="AL7" s="150">
        <f ca="1">1/(1+WACC!$L$5)^5</f>
        <v>0.54049410647153284</v>
      </c>
      <c r="AM7" s="150">
        <f ca="1">1/(1+WACC!$L$5)^6</f>
        <v>0.47791334240332223</v>
      </c>
      <c r="AO7" s="4" t="s">
        <v>417</v>
      </c>
      <c r="AP7" s="198"/>
      <c r="AQ7" s="198"/>
      <c r="AR7" s="150">
        <f ca="1">1/(1+WACC!$M$5)^1</f>
        <v>0.85753360335465778</v>
      </c>
      <c r="AS7" s="150">
        <f ca="1">1/(1+WACC!$M$5)^2</f>
        <v>0.73536388088242355</v>
      </c>
      <c r="AT7" s="150">
        <f ca="1">1/(1+WACC!$M$5)^3</f>
        <v>0.63059923854996991</v>
      </c>
      <c r="AU7" s="150">
        <f ca="1">1/(1+WACC!$M$5)^4</f>
        <v>0.54076003730645916</v>
      </c>
      <c r="AV7" s="150">
        <f ca="1">1/(1+WACC!$M$5)^5</f>
        <v>0.46371990334160701</v>
      </c>
      <c r="AW7" s="150">
        <f ca="1">1/(1+WACC!$M$5)^6</f>
        <v>0.39765539965980196</v>
      </c>
    </row>
    <row r="8" spans="1:49" x14ac:dyDescent="0.3">
      <c r="A8" s="4" t="s">
        <v>431</v>
      </c>
      <c r="B8" s="198"/>
      <c r="C8" s="202"/>
      <c r="D8" s="199">
        <f ca="1">D6*D7</f>
        <v>29098.626006648858</v>
      </c>
      <c r="E8" s="199">
        <f t="shared" ref="E8:I8" ca="1" si="15">E6*E7</f>
        <v>27470.212722441778</v>
      </c>
      <c r="F8" s="199">
        <f t="shared" ca="1" si="15"/>
        <v>25932.928477233869</v>
      </c>
      <c r="G8" s="199">
        <f t="shared" ca="1" si="15"/>
        <v>24481.673520347915</v>
      </c>
      <c r="H8" s="199">
        <f t="shared" ca="1" si="15"/>
        <v>23111.633492648809</v>
      </c>
      <c r="I8" s="199">
        <f t="shared" ca="1" si="15"/>
        <v>21818.263455501521</v>
      </c>
      <c r="K8" s="4" t="s">
        <v>431</v>
      </c>
      <c r="L8" s="198"/>
      <c r="M8" s="202"/>
      <c r="N8" s="199">
        <f ca="1">N6*N7</f>
        <v>14185.735728905152</v>
      </c>
      <c r="O8" s="199">
        <f t="shared" ref="O8:S8" ca="1" si="16">O6*O7</f>
        <v>13764.868434693277</v>
      </c>
      <c r="P8" s="199">
        <f t="shared" ca="1" si="16"/>
        <v>13356.48757634361</v>
      </c>
      <c r="Q8" s="199">
        <f t="shared" ca="1" si="16"/>
        <v>12960.222701975752</v>
      </c>
      <c r="R8" s="199">
        <f t="shared" ca="1" si="16"/>
        <v>12575.714350403292</v>
      </c>
      <c r="S8" s="199">
        <f t="shared" ca="1" si="16"/>
        <v>12202.613725058131</v>
      </c>
      <c r="U8" s="4" t="s">
        <v>431</v>
      </c>
      <c r="V8" s="198"/>
      <c r="W8" s="202"/>
      <c r="X8" s="199">
        <f ca="1">X6*X7</f>
        <v>9572.9747934131628</v>
      </c>
      <c r="Y8" s="199">
        <f t="shared" ref="Y8:AC8" ca="1" si="17">Y6*Y7</f>
        <v>8981.1701353187345</v>
      </c>
      <c r="Z8" s="199">
        <f t="shared" ca="1" si="17"/>
        <v>8425.9510486794061</v>
      </c>
      <c r="AA8" s="199">
        <f t="shared" ca="1" si="17"/>
        <v>7905.0558006406109</v>
      </c>
      <c r="AB8" s="199">
        <f t="shared" ca="1" si="17"/>
        <v>7416.3624794658353</v>
      </c>
      <c r="AC8" s="199">
        <f t="shared" ca="1" si="17"/>
        <v>6957.8803507460816</v>
      </c>
      <c r="AE8" s="4" t="s">
        <v>431</v>
      </c>
      <c r="AF8" s="198"/>
      <c r="AG8" s="202"/>
      <c r="AH8" s="199">
        <f ca="1">AH6*AH7</f>
        <v>3037.3082496535071</v>
      </c>
      <c r="AI8" s="199">
        <f t="shared" ref="AI8:AM8" ca="1" si="18">AI6*AI7</f>
        <v>2755.5695472568905</v>
      </c>
      <c r="AJ8" s="199">
        <f t="shared" ca="1" si="18"/>
        <v>2499.9647403702825</v>
      </c>
      <c r="AK8" s="199">
        <f t="shared" ca="1" si="18"/>
        <v>2268.0696661480429</v>
      </c>
      <c r="AL8" s="199">
        <f t="shared" ca="1" si="18"/>
        <v>2057.6850254851888</v>
      </c>
      <c r="AM8" s="199">
        <f t="shared" ca="1" si="18"/>
        <v>1866.8155248056707</v>
      </c>
      <c r="AO8" s="4" t="s">
        <v>431</v>
      </c>
      <c r="AP8" s="198"/>
      <c r="AQ8" s="202"/>
      <c r="AR8" s="199">
        <f ca="1">AR6*AR7</f>
        <v>1418.7764169437053</v>
      </c>
      <c r="AS8" s="199">
        <f t="shared" ref="AS8:AW8" ca="1" si="19">AS6*AS7</f>
        <v>1517.1485746833055</v>
      </c>
      <c r="AT8" s="199">
        <f t="shared" ca="1" si="19"/>
        <v>1622.3414557608294</v>
      </c>
      <c r="AU8" s="199">
        <f t="shared" ca="1" si="19"/>
        <v>1734.8279812539645</v>
      </c>
      <c r="AV8" s="199">
        <f t="shared" ca="1" si="19"/>
        <v>1855.1138626549364</v>
      </c>
      <c r="AW8" s="199">
        <f t="shared" ca="1" si="19"/>
        <v>1983.7398754238334</v>
      </c>
    </row>
    <row r="9" spans="1:49" x14ac:dyDescent="0.3">
      <c r="C9" s="200"/>
      <c r="L9" s="148"/>
      <c r="M9" s="200"/>
      <c r="N9" s="148"/>
      <c r="O9" s="148"/>
      <c r="P9" s="148"/>
      <c r="Q9" s="148"/>
      <c r="R9" s="148"/>
      <c r="S9" s="148"/>
      <c r="V9" s="148"/>
      <c r="W9" s="200"/>
      <c r="X9" s="148"/>
      <c r="Y9" s="148"/>
      <c r="Z9" s="148"/>
      <c r="AA9" s="148"/>
      <c r="AB9" s="148"/>
      <c r="AC9" s="148"/>
      <c r="AF9" s="148"/>
      <c r="AG9" s="200"/>
      <c r="AH9" s="148"/>
      <c r="AI9" s="148"/>
      <c r="AJ9" s="148"/>
      <c r="AK9" s="148"/>
      <c r="AL9" s="148"/>
      <c r="AM9" s="148"/>
      <c r="AP9" s="148"/>
      <c r="AQ9" s="200"/>
      <c r="AR9" s="148"/>
      <c r="AS9" s="148"/>
      <c r="AT9" s="148"/>
      <c r="AU9" s="148"/>
      <c r="AV9" s="148"/>
      <c r="AW9" s="148"/>
    </row>
    <row r="10" spans="1:49" ht="28.8" x14ac:dyDescent="0.3">
      <c r="A10" s="193" t="s">
        <v>419</v>
      </c>
      <c r="B10" s="186">
        <f ca="1">I6/(WACC!I5-WACC!I3)</f>
        <v>487563.41189975524</v>
      </c>
      <c r="C10" s="200"/>
      <c r="K10" s="193" t="s">
        <v>419</v>
      </c>
      <c r="L10" s="186">
        <f ca="1">S6/(WACC!J5-WACC!J3)</f>
        <v>277203.74605269812</v>
      </c>
      <c r="M10" s="200"/>
      <c r="N10" s="148"/>
      <c r="O10" s="148"/>
      <c r="P10" s="148"/>
      <c r="Q10" s="148"/>
      <c r="R10" s="148"/>
      <c r="S10" s="148"/>
      <c r="U10" s="193" t="s">
        <v>419</v>
      </c>
      <c r="V10" s="186">
        <f ca="1">AC6/(WACC!K5-WACC!K3)</f>
        <v>150323.31779080731</v>
      </c>
      <c r="W10" s="200"/>
      <c r="X10" s="148"/>
      <c r="Y10" s="148"/>
      <c r="Z10" s="148"/>
      <c r="AA10" s="148"/>
      <c r="AB10" s="148"/>
      <c r="AC10" s="148"/>
      <c r="AE10" s="193" t="s">
        <v>419</v>
      </c>
      <c r="AF10" s="186">
        <f ca="1">AM6/(WACC!M5-WACC!M3)</f>
        <v>30968.233325173213</v>
      </c>
      <c r="AG10" s="200"/>
      <c r="AH10" s="148"/>
      <c r="AI10" s="148"/>
      <c r="AJ10" s="148"/>
      <c r="AK10" s="148"/>
      <c r="AL10" s="148"/>
      <c r="AM10" s="148"/>
      <c r="AO10" s="193" t="s">
        <v>419</v>
      </c>
      <c r="AP10" s="186">
        <f ca="1">AW6/(WACC!M5-WACC!M3)</f>
        <v>39549.593229141348</v>
      </c>
      <c r="AQ10" s="200"/>
      <c r="AR10" s="148"/>
      <c r="AS10" s="148"/>
      <c r="AT10" s="148"/>
      <c r="AU10" s="148"/>
      <c r="AV10" s="148"/>
      <c r="AW10" s="148"/>
    </row>
    <row r="11" spans="1:49" x14ac:dyDescent="0.3">
      <c r="A11" s="57" t="s">
        <v>420</v>
      </c>
      <c r="B11" s="186">
        <f ca="1">B10/(1+WACC!I5)^5</f>
        <v>257313.07245694118</v>
      </c>
      <c r="K11" s="57" t="s">
        <v>420</v>
      </c>
      <c r="L11" s="186">
        <f ca="1">L10/(1+WACC!J5)^5</f>
        <v>148321.30201053011</v>
      </c>
      <c r="M11" s="148"/>
      <c r="N11" s="148"/>
      <c r="O11" s="148"/>
      <c r="P11" s="148"/>
      <c r="Q11" s="148"/>
      <c r="R11" s="148"/>
      <c r="S11" s="148"/>
      <c r="U11" s="57" t="s">
        <v>420</v>
      </c>
      <c r="V11" s="186">
        <f ca="1">V10/(1+WACC!K5)^5</f>
        <v>76898.437942241682</v>
      </c>
      <c r="W11" s="148"/>
      <c r="X11" s="148"/>
      <c r="Y11" s="148"/>
      <c r="Z11" s="148"/>
      <c r="AA11" s="148"/>
      <c r="AB11" s="148"/>
      <c r="AC11" s="148"/>
      <c r="AE11" s="57" t="s">
        <v>420</v>
      </c>
      <c r="AF11" s="186">
        <f ca="1">AF10/(1+WACC!M5)^5</f>
        <v>14360.586164209655</v>
      </c>
      <c r="AG11" s="148"/>
      <c r="AH11" s="148"/>
      <c r="AI11" s="148"/>
      <c r="AJ11" s="148"/>
      <c r="AK11" s="148"/>
      <c r="AL11" s="148"/>
      <c r="AM11" s="148"/>
      <c r="AO11" s="57" t="s">
        <v>420</v>
      </c>
      <c r="AP11" s="186">
        <f ca="1">AP10/(1+WACC!M5)^5</f>
        <v>18339.933549417303</v>
      </c>
      <c r="AQ11" s="148"/>
      <c r="AR11" s="148"/>
      <c r="AS11" s="148"/>
      <c r="AT11" s="148"/>
      <c r="AU11" s="148"/>
      <c r="AV11" s="148"/>
      <c r="AW11" s="148"/>
    </row>
    <row r="12" spans="1:49" x14ac:dyDescent="0.3">
      <c r="A12" s="57" t="s">
        <v>431</v>
      </c>
      <c r="B12" s="186">
        <f ca="1">SUM(D8:I8)</f>
        <v>151913.33767482275</v>
      </c>
      <c r="K12" s="57" t="s">
        <v>431</v>
      </c>
      <c r="L12" s="186">
        <f ca="1">SUM(N8:S8)</f>
        <v>79045.642517379223</v>
      </c>
      <c r="M12" s="148"/>
      <c r="N12" s="148"/>
      <c r="O12" s="148"/>
      <c r="P12" s="148"/>
      <c r="Q12" s="148"/>
      <c r="R12" s="148"/>
      <c r="S12" s="148"/>
      <c r="U12" s="57" t="s">
        <v>431</v>
      </c>
      <c r="V12" s="186">
        <f ca="1">SUM(X8:AC8)</f>
        <v>49259.394608263829</v>
      </c>
      <c r="W12" s="148"/>
      <c r="X12" s="148"/>
      <c r="Y12" s="148"/>
      <c r="Z12" s="148"/>
      <c r="AA12" s="148"/>
      <c r="AB12" s="148"/>
      <c r="AC12" s="148"/>
      <c r="AE12" s="57" t="s">
        <v>431</v>
      </c>
      <c r="AF12" s="186">
        <f ca="1">SUM(AH8:AM8)</f>
        <v>14485.412753719582</v>
      </c>
      <c r="AG12" s="148"/>
      <c r="AH12" s="148"/>
      <c r="AI12" s="148"/>
      <c r="AJ12" s="148"/>
      <c r="AK12" s="148"/>
      <c r="AL12" s="148"/>
      <c r="AM12" s="148"/>
      <c r="AO12" s="57" t="s">
        <v>431</v>
      </c>
      <c r="AP12" s="186">
        <f ca="1">SUM(AR8:AW8)</f>
        <v>10131.948166720575</v>
      </c>
      <c r="AQ12" s="148"/>
      <c r="AR12" s="148"/>
      <c r="AS12" s="148"/>
      <c r="AT12" s="148"/>
      <c r="AU12" s="148"/>
      <c r="AV12" s="148"/>
      <c r="AW12" s="148"/>
    </row>
    <row r="13" spans="1:49" ht="28.8" x14ac:dyDescent="0.3">
      <c r="A13" s="193" t="s">
        <v>434</v>
      </c>
      <c r="B13" s="186">
        <f ca="1">B11+B12</f>
        <v>409226.4101317639</v>
      </c>
      <c r="K13" s="193" t="s">
        <v>434</v>
      </c>
      <c r="L13" s="186">
        <f ca="1">L11+L12</f>
        <v>227366.94452790933</v>
      </c>
      <c r="M13" s="148"/>
      <c r="N13" s="148"/>
      <c r="O13" s="148"/>
      <c r="P13" s="148"/>
      <c r="Q13" s="148"/>
      <c r="R13" s="148"/>
      <c r="S13" s="148"/>
      <c r="U13" s="193" t="s">
        <v>434</v>
      </c>
      <c r="V13" s="186">
        <f ca="1">V11+V12</f>
        <v>126157.83255050551</v>
      </c>
      <c r="W13" s="148"/>
      <c r="X13" s="148"/>
      <c r="Y13" s="148"/>
      <c r="Z13" s="148"/>
      <c r="AA13" s="148"/>
      <c r="AB13" s="148"/>
      <c r="AC13" s="148"/>
      <c r="AE13" s="193" t="s">
        <v>434</v>
      </c>
      <c r="AF13" s="186">
        <f ca="1">AF11+AF12</f>
        <v>28845.998917929239</v>
      </c>
      <c r="AG13" s="148"/>
      <c r="AH13" s="148"/>
      <c r="AI13" s="148"/>
      <c r="AJ13" s="148"/>
      <c r="AK13" s="148"/>
      <c r="AL13" s="148"/>
      <c r="AM13" s="148"/>
      <c r="AO13" s="193" t="s">
        <v>434</v>
      </c>
      <c r="AP13" s="186">
        <f ca="1">AP11+AP12</f>
        <v>28471.881716137876</v>
      </c>
      <c r="AQ13" s="148"/>
      <c r="AR13" s="148"/>
      <c r="AS13" s="148"/>
      <c r="AT13" s="148"/>
      <c r="AU13" s="148"/>
      <c r="AV13" s="148"/>
      <c r="AW13" s="148"/>
    </row>
    <row r="14" spans="1:49" x14ac:dyDescent="0.3">
      <c r="A14" s="57" t="s">
        <v>433</v>
      </c>
      <c r="B14" s="186">
        <f>FCFF!B11</f>
        <v>-927.00000000000091</v>
      </c>
      <c r="K14" s="57" t="s">
        <v>433</v>
      </c>
      <c r="L14" s="186">
        <f>FCFF!J11</f>
        <v>-9564.4</v>
      </c>
      <c r="M14" s="148"/>
      <c r="N14" s="148"/>
      <c r="O14" s="148"/>
      <c r="P14" s="148"/>
      <c r="Q14" s="148"/>
      <c r="R14" s="148"/>
      <c r="S14" s="148"/>
      <c r="U14" s="57" t="s">
        <v>433</v>
      </c>
      <c r="V14" s="186">
        <f>FCFF!R11</f>
        <v>-1901.2000000000007</v>
      </c>
      <c r="W14" s="148"/>
      <c r="X14" s="148"/>
      <c r="Y14" s="148"/>
      <c r="Z14" s="148"/>
      <c r="AA14" s="148"/>
      <c r="AB14" s="148"/>
      <c r="AC14" s="148"/>
      <c r="AE14" s="57" t="s">
        <v>433</v>
      </c>
      <c r="AF14" s="186">
        <f>FCFF!Z11</f>
        <v>1817.1000000000022</v>
      </c>
      <c r="AG14" s="148"/>
      <c r="AH14" s="148"/>
      <c r="AI14" s="148"/>
      <c r="AJ14" s="148"/>
      <c r="AK14" s="148"/>
      <c r="AL14" s="148"/>
      <c r="AM14" s="148"/>
      <c r="AO14" s="57" t="s">
        <v>433</v>
      </c>
      <c r="AP14" s="186">
        <f>FCFF!AH11</f>
        <v>-10.6400000000001</v>
      </c>
      <c r="AQ14" s="148"/>
      <c r="AR14" s="148"/>
      <c r="AS14" s="148"/>
      <c r="AT14" s="148"/>
      <c r="AU14" s="148"/>
      <c r="AV14" s="148"/>
      <c r="AW14" s="148"/>
    </row>
    <row r="15" spans="1:49" x14ac:dyDescent="0.3">
      <c r="A15" s="193" t="s">
        <v>421</v>
      </c>
      <c r="B15" s="186">
        <f ca="1">B13+B14</f>
        <v>408299.4101317639</v>
      </c>
      <c r="K15" s="193" t="s">
        <v>421</v>
      </c>
      <c r="L15" s="186">
        <f ca="1">L13+L14</f>
        <v>217802.54452790934</v>
      </c>
      <c r="M15" s="148"/>
      <c r="N15" s="148"/>
      <c r="O15" s="148"/>
      <c r="P15" s="148"/>
      <c r="Q15" s="148"/>
      <c r="R15" s="148"/>
      <c r="S15" s="148"/>
      <c r="U15" s="193" t="s">
        <v>421</v>
      </c>
      <c r="V15" s="186">
        <f ca="1">V13+V14</f>
        <v>124256.63255050551</v>
      </c>
      <c r="W15" s="148"/>
      <c r="X15" s="148"/>
      <c r="Y15" s="148"/>
      <c r="Z15" s="148"/>
      <c r="AA15" s="148"/>
      <c r="AB15" s="148"/>
      <c r="AC15" s="148"/>
      <c r="AE15" s="193" t="s">
        <v>421</v>
      </c>
      <c r="AF15" s="186">
        <f ca="1">AF13+AF14</f>
        <v>30663.098917929241</v>
      </c>
      <c r="AG15" s="148"/>
      <c r="AH15" s="148"/>
      <c r="AI15" s="148"/>
      <c r="AJ15" s="148"/>
      <c r="AK15" s="148"/>
      <c r="AL15" s="148"/>
      <c r="AM15" s="148"/>
      <c r="AO15" s="193" t="s">
        <v>421</v>
      </c>
      <c r="AP15" s="186">
        <f ca="1">AP13+AP14</f>
        <v>28461.241716137876</v>
      </c>
      <c r="AQ15" s="148"/>
      <c r="AR15" s="148"/>
      <c r="AS15" s="148"/>
      <c r="AT15" s="148"/>
      <c r="AU15" s="148"/>
      <c r="AV15" s="148"/>
      <c r="AW15" s="148"/>
    </row>
    <row r="16" spans="1:49" ht="28.8" x14ac:dyDescent="0.3">
      <c r="A16" s="193" t="s">
        <v>423</v>
      </c>
      <c r="B16" s="186">
        <f>D5</f>
        <v>361.81</v>
      </c>
      <c r="K16" s="193" t="s">
        <v>423</v>
      </c>
      <c r="L16" s="186">
        <f>N5</f>
        <v>414.46</v>
      </c>
      <c r="M16" s="148"/>
      <c r="N16" s="148"/>
      <c r="O16" s="148"/>
      <c r="P16" s="148"/>
      <c r="Q16" s="148"/>
      <c r="R16" s="148"/>
      <c r="S16" s="148"/>
      <c r="U16" s="193" t="s">
        <v>423</v>
      </c>
      <c r="V16" s="186">
        <f>X5</f>
        <v>270.89</v>
      </c>
      <c r="W16" s="148"/>
      <c r="X16" s="148"/>
      <c r="Y16" s="148"/>
      <c r="Z16" s="148"/>
      <c r="AA16" s="148"/>
      <c r="AB16" s="148"/>
      <c r="AC16" s="148"/>
      <c r="AE16" s="193" t="s">
        <v>423</v>
      </c>
      <c r="AF16" s="186">
        <f>AH5</f>
        <v>1047.087</v>
      </c>
      <c r="AG16" s="148"/>
      <c r="AH16" s="148"/>
      <c r="AI16" s="148"/>
      <c r="AJ16" s="148"/>
      <c r="AK16" s="148"/>
      <c r="AL16" s="148"/>
      <c r="AM16" s="148"/>
      <c r="AO16" s="193" t="s">
        <v>423</v>
      </c>
      <c r="AP16" s="186">
        <f>AR5</f>
        <v>29.632999999999999</v>
      </c>
      <c r="AQ16" s="148"/>
      <c r="AR16" s="148"/>
      <c r="AS16" s="148"/>
      <c r="AT16" s="148"/>
      <c r="AU16" s="148"/>
      <c r="AV16" s="148"/>
      <c r="AW16" s="148"/>
    </row>
    <row r="17" spans="1:49" ht="28.8" x14ac:dyDescent="0.3">
      <c r="A17" s="193" t="s">
        <v>435</v>
      </c>
      <c r="B17" s="194">
        <f ca="1">B15/B16</f>
        <v>1128.4912250401146</v>
      </c>
      <c r="K17" s="193" t="s">
        <v>435</v>
      </c>
      <c r="L17" s="194">
        <f ca="1">L15/L16</f>
        <v>525.50920360929729</v>
      </c>
      <c r="M17" s="148"/>
      <c r="N17" s="148"/>
      <c r="O17" s="148"/>
      <c r="P17" s="148"/>
      <c r="Q17" s="148"/>
      <c r="R17" s="148"/>
      <c r="S17" s="148"/>
      <c r="U17" s="193" t="s">
        <v>435</v>
      </c>
      <c r="V17" s="194">
        <f ca="1">V15/V16</f>
        <v>458.69774650413643</v>
      </c>
      <c r="W17" s="148"/>
      <c r="X17" s="148"/>
      <c r="Y17" s="148"/>
      <c r="Z17" s="148"/>
      <c r="AA17" s="148"/>
      <c r="AB17" s="148"/>
      <c r="AC17" s="148"/>
      <c r="AE17" s="193" t="s">
        <v>435</v>
      </c>
      <c r="AF17" s="194">
        <f ca="1">AF15/AF16</f>
        <v>29.284194071676222</v>
      </c>
      <c r="AG17" s="148"/>
      <c r="AH17" s="148"/>
      <c r="AI17" s="148"/>
      <c r="AJ17" s="148"/>
      <c r="AK17" s="148"/>
      <c r="AL17" s="148"/>
      <c r="AM17" s="148"/>
      <c r="AO17" s="193" t="s">
        <v>435</v>
      </c>
      <c r="AP17" s="194">
        <f ca="1">AP15/AP16</f>
        <v>960.45765586129914</v>
      </c>
      <c r="AQ17" s="148"/>
      <c r="AR17" s="148"/>
      <c r="AS17" s="148"/>
      <c r="AT17" s="148"/>
      <c r="AU17" s="148"/>
      <c r="AV17" s="148"/>
      <c r="AW17" s="148"/>
    </row>
    <row r="18" spans="1:49" ht="28.8" x14ac:dyDescent="0.3">
      <c r="A18" s="193" t="s">
        <v>436</v>
      </c>
      <c r="B18" s="195">
        <f ca="1">'Company Profile'!B9</f>
        <v>3025.2</v>
      </c>
      <c r="K18" s="193" t="s">
        <v>436</v>
      </c>
      <c r="L18" s="195">
        <f ca="1">'Company Profile'!C9</f>
        <v>1513.5</v>
      </c>
      <c r="M18" s="148"/>
      <c r="N18" s="148"/>
      <c r="O18" s="148"/>
      <c r="P18" s="148"/>
      <c r="Q18" s="148"/>
      <c r="R18" s="148"/>
      <c r="S18" s="148"/>
      <c r="U18" s="193" t="s">
        <v>436</v>
      </c>
      <c r="V18" s="195">
        <f ca="1">'Company Profile'!D9</f>
        <v>1540.5</v>
      </c>
      <c r="W18" s="148"/>
      <c r="X18" s="148"/>
      <c r="Y18" s="148"/>
      <c r="Z18" s="148"/>
      <c r="AA18" s="148"/>
      <c r="AB18" s="148"/>
      <c r="AC18" s="148"/>
      <c r="AE18" s="193" t="s">
        <v>436</v>
      </c>
      <c r="AF18" s="195">
        <f ca="1">FCFF!Z15</f>
        <v>239.84</v>
      </c>
      <c r="AG18" s="148"/>
      <c r="AH18" s="148"/>
      <c r="AI18" s="148"/>
      <c r="AJ18" s="148"/>
      <c r="AK18" s="148"/>
      <c r="AL18" s="148"/>
      <c r="AM18" s="148"/>
      <c r="AO18" s="193" t="s">
        <v>436</v>
      </c>
      <c r="AP18" s="195">
        <f ca="1">'Company Profile'!F9</f>
        <v>5650</v>
      </c>
      <c r="AQ18" s="148"/>
      <c r="AR18" s="148"/>
      <c r="AS18" s="148"/>
      <c r="AT18" s="148"/>
      <c r="AU18" s="148"/>
      <c r="AV18" s="148"/>
      <c r="AW18" s="148"/>
    </row>
    <row r="19" spans="1:49" x14ac:dyDescent="0.3">
      <c r="A19" s="57" t="s">
        <v>426</v>
      </c>
      <c r="B19" s="180">
        <f ca="1">(B17-B18)/B18</f>
        <v>-0.6269697127330045</v>
      </c>
      <c r="K19" s="57" t="s">
        <v>426</v>
      </c>
      <c r="L19" s="180">
        <f ca="1">(L17-L18)/L18</f>
        <v>-0.65278546177119434</v>
      </c>
      <c r="M19" s="148"/>
      <c r="N19" s="148"/>
      <c r="O19" s="148"/>
      <c r="P19" s="148"/>
      <c r="Q19" s="148"/>
      <c r="R19" s="148"/>
      <c r="S19" s="148"/>
      <c r="U19" s="57" t="s">
        <v>426</v>
      </c>
      <c r="V19" s="180">
        <f ca="1">(V17-V18)/V18</f>
        <v>-0.70224099545333574</v>
      </c>
      <c r="W19" s="148"/>
      <c r="X19" s="148"/>
      <c r="Y19" s="148"/>
      <c r="Z19" s="148"/>
      <c r="AA19" s="148"/>
      <c r="AB19" s="148"/>
      <c r="AC19" s="148"/>
      <c r="AE19" s="57" t="s">
        <v>426</v>
      </c>
      <c r="AF19" s="180">
        <f ca="1">(AF17-AF18)/AF18</f>
        <v>-0.87790112545165022</v>
      </c>
      <c r="AG19" s="148"/>
      <c r="AH19" s="148"/>
      <c r="AI19" s="148"/>
      <c r="AJ19" s="148"/>
      <c r="AK19" s="148"/>
      <c r="AL19" s="148"/>
      <c r="AM19" s="148"/>
      <c r="AO19" s="57" t="s">
        <v>426</v>
      </c>
      <c r="AP19" s="180">
        <f ca="1">(AP17-AP18)/AP18</f>
        <v>-0.83000749453782319</v>
      </c>
      <c r="AQ19" s="148"/>
      <c r="AR19" s="148"/>
      <c r="AS19" s="148"/>
      <c r="AT19" s="148"/>
      <c r="AU19" s="148"/>
      <c r="AV19" s="148"/>
      <c r="AW19" s="148"/>
    </row>
  </sheetData>
  <mergeCells count="10">
    <mergeCell ref="A1:G1"/>
    <mergeCell ref="K1:Q1"/>
    <mergeCell ref="R1:S1"/>
    <mergeCell ref="U1:AA1"/>
    <mergeCell ref="AB1:AC1"/>
    <mergeCell ref="AE1:AK1"/>
    <mergeCell ref="AL1:AM1"/>
    <mergeCell ref="AO1:AU1"/>
    <mergeCell ref="AV1:AW1"/>
    <mergeCell ref="H1:I1"/>
  </mergeCells>
  <conditionalFormatting sqref="B19">
    <cfRule type="cellIs" dxfId="23" priority="9" operator="lessThan">
      <formula>0</formula>
    </cfRule>
    <cfRule type="cellIs" dxfId="22" priority="10" operator="greaterThan">
      <formula>0</formula>
    </cfRule>
  </conditionalFormatting>
  <conditionalFormatting sqref="L19">
    <cfRule type="cellIs" dxfId="21" priority="7" operator="lessThan">
      <formula>0</formula>
    </cfRule>
    <cfRule type="cellIs" dxfId="20" priority="8" operator="greaterThan">
      <formula>0</formula>
    </cfRule>
  </conditionalFormatting>
  <conditionalFormatting sqref="V19">
    <cfRule type="cellIs" dxfId="19" priority="5" operator="lessThan">
      <formula>0</formula>
    </cfRule>
    <cfRule type="cellIs" dxfId="18" priority="6" operator="greaterThan">
      <formula>0</formula>
    </cfRule>
  </conditionalFormatting>
  <conditionalFormatting sqref="AF19">
    <cfRule type="cellIs" dxfId="17" priority="3" operator="lessThan">
      <formula>0</formula>
    </cfRule>
    <cfRule type="cellIs" dxfId="16" priority="4" operator="greaterThan">
      <formula>0</formula>
    </cfRule>
  </conditionalFormatting>
  <conditionalFormatting sqref="AP19">
    <cfRule type="cellIs" dxfId="15" priority="1" operator="lessThan">
      <formula>0</formula>
    </cfRule>
    <cfRule type="cellIs" dxfId="14" priority="2" operator="greaterThan">
      <formula>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1884A-5A29-4F94-B9DA-CB693DCECE3C}">
  <dimension ref="A1:AW22"/>
  <sheetViews>
    <sheetView topLeftCell="A4" workbookViewId="0">
      <selection activeCell="D17" sqref="D17"/>
    </sheetView>
  </sheetViews>
  <sheetFormatPr defaultRowHeight="14.4" x14ac:dyDescent="0.3"/>
  <cols>
    <col min="1" max="1" width="16" style="1" bestFit="1" customWidth="1"/>
    <col min="2" max="2" width="10.88671875" style="1" bestFit="1" customWidth="1"/>
    <col min="3" max="3" width="8.88671875" style="148"/>
    <col min="4" max="9" width="9.88671875" style="1" bestFit="1" customWidth="1"/>
    <col min="10" max="10" width="8.88671875" style="1"/>
    <col min="11" max="11" width="16" style="1" bestFit="1" customWidth="1"/>
    <col min="12" max="12" width="10.88671875" style="1" bestFit="1" customWidth="1"/>
    <col min="13" max="13" width="8.88671875" style="1"/>
    <col min="14" max="15" width="9.88671875" style="1" bestFit="1" customWidth="1"/>
    <col min="16" max="19" width="10.88671875" style="1" bestFit="1" customWidth="1"/>
    <col min="20" max="20" width="8.88671875" style="1"/>
    <col min="21" max="21" width="16" style="1" bestFit="1" customWidth="1"/>
    <col min="22" max="22" width="10.88671875" style="1" bestFit="1" customWidth="1"/>
    <col min="23" max="23" width="8.88671875" style="1"/>
    <col min="24" max="29" width="9.88671875" style="1" bestFit="1" customWidth="1"/>
    <col min="30" max="30" width="8.88671875" style="1"/>
    <col min="31" max="31" width="16" style="1" bestFit="1" customWidth="1"/>
    <col min="32" max="32" width="9.88671875" style="1" bestFit="1" customWidth="1"/>
    <col min="33" max="33" width="8.88671875" style="1"/>
    <col min="34" max="37" width="9.88671875" style="1" bestFit="1" customWidth="1"/>
    <col min="38" max="39" width="10.88671875" style="1" bestFit="1" customWidth="1"/>
    <col min="40" max="40" width="8.88671875" style="1"/>
    <col min="41" max="41" width="16" style="1" bestFit="1" customWidth="1"/>
    <col min="42" max="42" width="10.33203125" style="1" bestFit="1" customWidth="1"/>
    <col min="43" max="43" width="8.88671875" style="1"/>
    <col min="44" max="49" width="9.88671875" style="1" bestFit="1" customWidth="1"/>
    <col min="50" max="16384" width="8.88671875" style="1"/>
  </cols>
  <sheetData>
    <row r="1" spans="1:49" ht="30.6" customHeight="1" x14ac:dyDescent="0.3">
      <c r="A1" s="298" t="s">
        <v>444</v>
      </c>
      <c r="B1" s="298"/>
      <c r="C1" s="298"/>
      <c r="D1" s="298"/>
      <c r="E1" s="298"/>
      <c r="F1" s="298"/>
      <c r="G1" s="298"/>
      <c r="H1" s="299" t="e" vm="1">
        <v>#VALUE!</v>
      </c>
      <c r="I1" s="299"/>
      <c r="K1" s="296" t="s">
        <v>444</v>
      </c>
      <c r="L1" s="296"/>
      <c r="M1" s="296"/>
      <c r="N1" s="296"/>
      <c r="O1" s="296"/>
      <c r="P1" s="296"/>
      <c r="Q1" s="296"/>
      <c r="R1" s="297" t="e" vm="2">
        <v>#VALUE!</v>
      </c>
      <c r="S1" s="297"/>
      <c r="U1" s="296" t="s">
        <v>444</v>
      </c>
      <c r="V1" s="296"/>
      <c r="W1" s="296"/>
      <c r="X1" s="296"/>
      <c r="Y1" s="296"/>
      <c r="Z1" s="296"/>
      <c r="AA1" s="296"/>
      <c r="AB1" s="297" t="e" vm="3">
        <v>#VALUE!</v>
      </c>
      <c r="AC1" s="297"/>
      <c r="AE1" s="296" t="s">
        <v>444</v>
      </c>
      <c r="AF1" s="296"/>
      <c r="AG1" s="296"/>
      <c r="AH1" s="296"/>
      <c r="AI1" s="296"/>
      <c r="AJ1" s="296"/>
      <c r="AK1" s="296"/>
      <c r="AL1" s="297" t="e" vm="4">
        <v>#VALUE!</v>
      </c>
      <c r="AM1" s="297"/>
      <c r="AO1" s="296" t="s">
        <v>444</v>
      </c>
      <c r="AP1" s="296"/>
      <c r="AQ1" s="296"/>
      <c r="AR1" s="296"/>
      <c r="AS1" s="296"/>
      <c r="AT1" s="296"/>
      <c r="AU1" s="296"/>
      <c r="AV1" s="297" t="e" vm="5">
        <v>#VALUE!</v>
      </c>
      <c r="AW1" s="297"/>
    </row>
    <row r="2" spans="1:49" x14ac:dyDescent="0.3">
      <c r="A2" s="4" t="s">
        <v>387</v>
      </c>
      <c r="B2" s="4">
        <v>2024</v>
      </c>
      <c r="C2" s="148" t="s">
        <v>390</v>
      </c>
      <c r="D2" s="4">
        <v>2025</v>
      </c>
      <c r="E2" s="4">
        <v>2026</v>
      </c>
      <c r="F2" s="4">
        <v>2027</v>
      </c>
      <c r="G2" s="4">
        <v>2028</v>
      </c>
      <c r="H2" s="4">
        <v>2029</v>
      </c>
      <c r="I2" s="4">
        <v>2030</v>
      </c>
      <c r="K2" s="4" t="s">
        <v>387</v>
      </c>
      <c r="L2" s="4">
        <v>2024</v>
      </c>
      <c r="M2" s="198" t="s">
        <v>390</v>
      </c>
      <c r="N2" s="4">
        <v>2025</v>
      </c>
      <c r="O2" s="4">
        <v>2026</v>
      </c>
      <c r="P2" s="4">
        <v>2027</v>
      </c>
      <c r="Q2" s="4">
        <v>2028</v>
      </c>
      <c r="R2" s="4">
        <v>2029</v>
      </c>
      <c r="S2" s="4">
        <v>2030</v>
      </c>
      <c r="U2" s="204" t="s">
        <v>387</v>
      </c>
      <c r="V2" s="204">
        <v>2024</v>
      </c>
      <c r="W2" s="148" t="s">
        <v>390</v>
      </c>
      <c r="X2" s="204">
        <v>2025</v>
      </c>
      <c r="Y2" s="204">
        <v>2026</v>
      </c>
      <c r="Z2" s="204">
        <v>2027</v>
      </c>
      <c r="AA2" s="204">
        <v>2028</v>
      </c>
      <c r="AB2" s="204">
        <v>2029</v>
      </c>
      <c r="AC2" s="204">
        <v>2030</v>
      </c>
      <c r="AE2" s="204" t="s">
        <v>387</v>
      </c>
      <c r="AF2" s="204">
        <v>2024</v>
      </c>
      <c r="AG2" s="148" t="s">
        <v>390</v>
      </c>
      <c r="AH2" s="204">
        <v>2025</v>
      </c>
      <c r="AI2" s="204">
        <v>2026</v>
      </c>
      <c r="AJ2" s="204">
        <v>2027</v>
      </c>
      <c r="AK2" s="204">
        <v>2028</v>
      </c>
      <c r="AL2" s="204">
        <v>2029</v>
      </c>
      <c r="AM2" s="204">
        <v>2030</v>
      </c>
      <c r="AO2" s="204" t="s">
        <v>387</v>
      </c>
      <c r="AP2" s="204">
        <v>2024</v>
      </c>
      <c r="AQ2" s="148" t="s">
        <v>390</v>
      </c>
      <c r="AR2" s="204">
        <v>2025</v>
      </c>
      <c r="AS2" s="204">
        <v>2026</v>
      </c>
      <c r="AT2" s="204">
        <v>2027</v>
      </c>
      <c r="AU2" s="204">
        <v>2028</v>
      </c>
      <c r="AV2" s="204">
        <v>2029</v>
      </c>
      <c r="AW2" s="204">
        <v>2030</v>
      </c>
    </row>
    <row r="3" spans="1:49" x14ac:dyDescent="0.3">
      <c r="A3" s="4" t="s">
        <v>429</v>
      </c>
      <c r="B3" s="149">
        <f>DDM!B3</f>
        <v>127.41217766230895</v>
      </c>
      <c r="C3" s="149"/>
      <c r="D3" s="149">
        <f>DDM!D3</f>
        <v>136.68294564118608</v>
      </c>
      <c r="E3" s="149">
        <f>DDM!E3</f>
        <v>146.62827346587298</v>
      </c>
      <c r="F3" s="149">
        <f>DDM!F3</f>
        <v>157.29724347632418</v>
      </c>
      <c r="G3" s="149">
        <f>DDM!G3</f>
        <v>168.74250934291121</v>
      </c>
      <c r="H3" s="149">
        <f>DDM!H3</f>
        <v>181.02055592365343</v>
      </c>
      <c r="I3" s="149">
        <f>DDM!I3</f>
        <v>194.19197802918728</v>
      </c>
      <c r="K3" s="4" t="s">
        <v>429</v>
      </c>
      <c r="L3" s="149">
        <f>DDM!L3</f>
        <v>73.933832674608226</v>
      </c>
      <c r="M3" s="150"/>
      <c r="N3" s="5">
        <f>DDM!N3</f>
        <v>81.298500093307794</v>
      </c>
      <c r="O3" s="5">
        <f>DDM!O3</f>
        <v>89.396773822216716</v>
      </c>
      <c r="P3" s="5">
        <f>DDM!P3</f>
        <v>98.30172956017951</v>
      </c>
      <c r="Q3" s="5">
        <f>DDM!Q3</f>
        <v>108.09372219337497</v>
      </c>
      <c r="R3" s="5">
        <f>DDM!R3</f>
        <v>118.86111088681835</v>
      </c>
      <c r="S3" s="5">
        <f>DDM!S3</f>
        <v>130.70105640338866</v>
      </c>
      <c r="U3" s="4" t="s">
        <v>429</v>
      </c>
      <c r="V3" s="149">
        <f>DDM!V3</f>
        <v>57.994019712798554</v>
      </c>
      <c r="W3" s="202"/>
      <c r="X3" s="5">
        <f>DDM!X3</f>
        <v>62.214410002038981</v>
      </c>
      <c r="Y3" s="5">
        <f>DDM!Y3</f>
        <v>66.741930134696418</v>
      </c>
      <c r="Z3" s="5">
        <f>DDM!Z3</f>
        <v>71.598930825812047</v>
      </c>
      <c r="AA3" s="5">
        <f>DDM!AA3</f>
        <v>76.809389315734037</v>
      </c>
      <c r="AB3" s="5">
        <f>DDM!AB3</f>
        <v>82.399027737005113</v>
      </c>
      <c r="AC3" s="5">
        <f>DDM!AC3</f>
        <v>88.395440095146299</v>
      </c>
      <c r="AE3" s="4" t="s">
        <v>429</v>
      </c>
      <c r="AF3" s="149">
        <f>DDM!AF3</f>
        <v>10.612394194560737</v>
      </c>
      <c r="AG3" s="151"/>
      <c r="AH3" s="5">
        <f>DDM!AH3</f>
        <v>10.888741497822528</v>
      </c>
      <c r="AI3" s="5">
        <f>DDM!AI3</f>
        <v>11.172284899402944</v>
      </c>
      <c r="AJ3" s="5">
        <f>DDM!AJ3</f>
        <v>11.463211786080869</v>
      </c>
      <c r="AK3" s="5">
        <f>DDM!AK3</f>
        <v>11.761714424196768</v>
      </c>
      <c r="AL3" s="5">
        <f>DDM!AL3</f>
        <v>12.06799008671673</v>
      </c>
      <c r="AM3" s="5">
        <f>DDM!AM3</f>
        <v>12.382241183605261</v>
      </c>
      <c r="AO3" s="4" t="s">
        <v>429</v>
      </c>
      <c r="AP3" s="149">
        <f>DDM!AP3</f>
        <v>154.71265143589906</v>
      </c>
      <c r="AQ3" s="151"/>
      <c r="AR3" s="5">
        <f>DDM!AR3</f>
        <v>192.92514448085007</v>
      </c>
      <c r="AS3" s="5">
        <f>DDM!AS3</f>
        <v>240.57574495372154</v>
      </c>
      <c r="AT3" s="5">
        <f>DDM!AT3</f>
        <v>299.995571939473</v>
      </c>
      <c r="AU3" s="5">
        <f>DDM!AU3</f>
        <v>374.09150785588918</v>
      </c>
      <c r="AV3" s="5">
        <f>DDM!AV3</f>
        <v>466.48840629597009</v>
      </c>
      <c r="AW3" s="5">
        <f>DDM!AW3</f>
        <v>581.70642379934554</v>
      </c>
    </row>
    <row r="4" spans="1:49" x14ac:dyDescent="0.3">
      <c r="A4" s="18" t="s">
        <v>437</v>
      </c>
      <c r="B4" s="4"/>
      <c r="C4" s="198"/>
      <c r="D4" s="149">
        <f>DDM!D5</f>
        <v>361.81</v>
      </c>
      <c r="E4" s="149">
        <f>DDM!E5</f>
        <v>361.81</v>
      </c>
      <c r="F4" s="149">
        <f>DDM!F5</f>
        <v>361.81</v>
      </c>
      <c r="G4" s="149">
        <f>DDM!G5</f>
        <v>361.81</v>
      </c>
      <c r="H4" s="149">
        <f>DDM!H5</f>
        <v>361.81</v>
      </c>
      <c r="I4" s="149">
        <f>DDM!I5</f>
        <v>361.81</v>
      </c>
      <c r="K4" s="18" t="s">
        <v>437</v>
      </c>
      <c r="L4" s="4"/>
      <c r="M4" s="150"/>
      <c r="N4" s="5">
        <f>DDM!N5</f>
        <v>414.46</v>
      </c>
      <c r="O4" s="5">
        <f>DDM!O5</f>
        <v>414.46</v>
      </c>
      <c r="P4" s="5">
        <f>DDM!P5</f>
        <v>414.46</v>
      </c>
      <c r="Q4" s="5">
        <f>DDM!Q5</f>
        <v>414.46</v>
      </c>
      <c r="R4" s="5">
        <f>DDM!R5</f>
        <v>414.46</v>
      </c>
      <c r="S4" s="5">
        <f>DDM!S5</f>
        <v>414.46</v>
      </c>
      <c r="U4" s="18" t="s">
        <v>437</v>
      </c>
      <c r="V4" s="4"/>
      <c r="W4" s="202"/>
      <c r="X4" s="5">
        <f>DDM!X5</f>
        <v>270.89</v>
      </c>
      <c r="Y4" s="5">
        <f>DDM!Y5</f>
        <v>270.89</v>
      </c>
      <c r="Z4" s="5">
        <f>DDM!Z5</f>
        <v>270.89</v>
      </c>
      <c r="AA4" s="5">
        <f>DDM!AA5</f>
        <v>270.89</v>
      </c>
      <c r="AB4" s="5">
        <f>DDM!AB5</f>
        <v>270.89</v>
      </c>
      <c r="AC4" s="5">
        <f>DDM!AC5</f>
        <v>270.89</v>
      </c>
      <c r="AE4" s="18" t="s">
        <v>437</v>
      </c>
      <c r="AF4" s="4"/>
      <c r="AG4" s="151"/>
      <c r="AH4" s="5">
        <f>DDM!AH5</f>
        <v>1047.087</v>
      </c>
      <c r="AI4" s="5">
        <f>DDM!AI5</f>
        <v>1047.087</v>
      </c>
      <c r="AJ4" s="5">
        <f>DDM!AJ5</f>
        <v>1047.087</v>
      </c>
      <c r="AK4" s="5">
        <f>DDM!AK5</f>
        <v>1047.087</v>
      </c>
      <c r="AL4" s="5">
        <f>DDM!AL5</f>
        <v>1047.087</v>
      </c>
      <c r="AM4" s="5">
        <f>DDM!AM5</f>
        <v>1047.087</v>
      </c>
      <c r="AO4" s="18" t="s">
        <v>437</v>
      </c>
      <c r="AP4" s="4"/>
      <c r="AQ4" s="151"/>
      <c r="AR4" s="5">
        <f>DDM!AR5</f>
        <v>29.632999999999999</v>
      </c>
      <c r="AS4" s="5">
        <f>DDM!AS5</f>
        <v>29.632999999999999</v>
      </c>
      <c r="AT4" s="5">
        <f>DDM!AT5</f>
        <v>29.632999999999999</v>
      </c>
      <c r="AU4" s="5">
        <f>DDM!AU5</f>
        <v>29.632999999999999</v>
      </c>
      <c r="AV4" s="5">
        <f>DDM!AV5</f>
        <v>29.632999999999999</v>
      </c>
      <c r="AW4" s="5">
        <f>DDM!AW5</f>
        <v>29.632999999999999</v>
      </c>
    </row>
    <row r="5" spans="1:49" x14ac:dyDescent="0.3">
      <c r="A5" s="4" t="s">
        <v>438</v>
      </c>
      <c r="B5" s="149">
        <f>'Income Statement'!F21</f>
        <v>46099</v>
      </c>
      <c r="C5" s="198"/>
      <c r="D5" s="5">
        <f>D3*D4</f>
        <v>49453.256562437535</v>
      </c>
      <c r="E5" s="5">
        <f t="shared" ref="E5:I5" si="0">E3*E4</f>
        <v>53051.575622687502</v>
      </c>
      <c r="F5" s="5">
        <f t="shared" si="0"/>
        <v>56911.715662168855</v>
      </c>
      <c r="G5" s="5">
        <f t="shared" si="0"/>
        <v>61052.727305358705</v>
      </c>
      <c r="H5" s="5">
        <f t="shared" si="0"/>
        <v>65495.047338737051</v>
      </c>
      <c r="I5" s="5">
        <f t="shared" si="0"/>
        <v>70260.599570740247</v>
      </c>
      <c r="K5" s="4" t="s">
        <v>438</v>
      </c>
      <c r="L5" s="149">
        <f>'Income Statement'!M22</f>
        <v>26750</v>
      </c>
      <c r="M5" s="150"/>
      <c r="N5" s="5">
        <f>N4*N3</f>
        <v>33694.976348672346</v>
      </c>
      <c r="O5" s="5">
        <f t="shared" ref="O5:S5" si="1">O4*O3</f>
        <v>37051.386878355937</v>
      </c>
      <c r="P5" s="5">
        <f t="shared" si="1"/>
        <v>40742.134833511998</v>
      </c>
      <c r="Q5" s="5">
        <f t="shared" si="1"/>
        <v>44800.524100266186</v>
      </c>
      <c r="R5" s="5">
        <f t="shared" si="1"/>
        <v>49263.176018150734</v>
      </c>
      <c r="S5" s="5">
        <f t="shared" si="1"/>
        <v>54170.359836948461</v>
      </c>
      <c r="U5" s="4" t="s">
        <v>438</v>
      </c>
      <c r="V5" s="149">
        <f>'Income Statement'!T20</f>
        <v>15710</v>
      </c>
      <c r="W5" s="202"/>
      <c r="X5" s="5">
        <f>X3*X4</f>
        <v>16853.261525452337</v>
      </c>
      <c r="Y5" s="5">
        <f t="shared" ref="Y5:AC5" si="2">Y3*Y4</f>
        <v>18079.721454187911</v>
      </c>
      <c r="Z5" s="5">
        <f t="shared" si="2"/>
        <v>19395.434371404226</v>
      </c>
      <c r="AA5" s="5">
        <f t="shared" si="2"/>
        <v>20806.895471739193</v>
      </c>
      <c r="AB5" s="5">
        <f t="shared" si="2"/>
        <v>22321.072623677315</v>
      </c>
      <c r="AC5" s="5">
        <f t="shared" si="2"/>
        <v>23945.440767374181</v>
      </c>
      <c r="AE5" s="4" t="s">
        <v>438</v>
      </c>
      <c r="AF5" s="149">
        <f>'Income Statement'!AA28</f>
        <v>11112.100000000019</v>
      </c>
      <c r="AG5" s="151"/>
      <c r="AH5" s="5">
        <f>AH3*AH4</f>
        <v>11401.459668730497</v>
      </c>
      <c r="AI5" s="5">
        <f t="shared" ref="AI5:AM5" si="3">AI3*AI4</f>
        <v>11698.354278461131</v>
      </c>
      <c r="AJ5" s="5">
        <f t="shared" si="3"/>
        <v>12002.980039452059</v>
      </c>
      <c r="AK5" s="5">
        <f t="shared" si="3"/>
        <v>12315.53827128892</v>
      </c>
      <c r="AL5" s="5">
        <f t="shared" si="3"/>
        <v>12636.23553592996</v>
      </c>
      <c r="AM5" s="5">
        <f t="shared" si="3"/>
        <v>12965.283774217682</v>
      </c>
      <c r="AO5" s="4" t="s">
        <v>438</v>
      </c>
      <c r="AP5" s="149">
        <f>'Income Statement'!AH18</f>
        <v>4584.5999999999967</v>
      </c>
      <c r="AQ5" s="151"/>
      <c r="AR5" s="5">
        <f>AR3*AR4</f>
        <v>5716.9508064010297</v>
      </c>
      <c r="AS5" s="5">
        <f t="shared" ref="AS5:AW5" si="4">AS3*AS4</f>
        <v>7128.9810502136297</v>
      </c>
      <c r="AT5" s="5">
        <f t="shared" si="4"/>
        <v>8889.7687832824031</v>
      </c>
      <c r="AU5" s="5">
        <f t="shared" si="4"/>
        <v>11085.453652293563</v>
      </c>
      <c r="AV5" s="5">
        <f t="shared" si="4"/>
        <v>13823.450943768481</v>
      </c>
      <c r="AW5" s="5">
        <f t="shared" si="4"/>
        <v>17237.706456446005</v>
      </c>
    </row>
    <row r="6" spans="1:49" x14ac:dyDescent="0.3">
      <c r="A6" s="4" t="s">
        <v>439</v>
      </c>
      <c r="B6" s="149">
        <f>'Balance Sheet'!F40</f>
        <v>91319</v>
      </c>
      <c r="C6" s="150">
        <f>('Balance Sheet'!F40/'Balance Sheet'!B40)^(1/5)-1</f>
        <v>1.5045038954428769E-2</v>
      </c>
      <c r="D6" s="149">
        <f>B6*(1+C6)</f>
        <v>92692.897912279484</v>
      </c>
      <c r="E6" s="149">
        <f>D6*(1+$C$6)</f>
        <v>94087.466172168613</v>
      </c>
      <c r="F6" s="149">
        <f t="shared" ref="F6:I6" si="5">E6*(1+$C$6)</f>
        <v>95503.015765852382</v>
      </c>
      <c r="G6" s="149">
        <f t="shared" si="5"/>
        <v>96939.862358315062</v>
      </c>
      <c r="H6" s="149">
        <f t="shared" si="5"/>
        <v>98398.326363732878</v>
      </c>
      <c r="I6" s="149">
        <f t="shared" si="5"/>
        <v>99878.733016925835</v>
      </c>
      <c r="K6" s="4" t="s">
        <v>439</v>
      </c>
      <c r="L6" s="149">
        <f>'Balance Sheet'!M35</f>
        <v>88461</v>
      </c>
      <c r="M6" s="150">
        <f>('Balance Sheet'!M35/'Balance Sheet'!I35)^(1/5)-1</f>
        <v>6.0833260167512115E-2</v>
      </c>
      <c r="N6" s="5">
        <f>L6*(1+M6)</f>
        <v>93842.371027678295</v>
      </c>
      <c r="O6" s="5">
        <f>N6*(1+$M$6)</f>
        <v>99551.108399141245</v>
      </c>
      <c r="P6" s="5">
        <f t="shared" ref="P6:S6" si="6">O6*(1+$M$6)</f>
        <v>105607.1268763504</v>
      </c>
      <c r="Q6" s="5">
        <f t="shared" si="6"/>
        <v>112031.55270116289</v>
      </c>
      <c r="R6" s="5">
        <f t="shared" si="6"/>
        <v>118846.79729360307</v>
      </c>
      <c r="S6" s="5">
        <f t="shared" si="6"/>
        <v>126076.6354334404</v>
      </c>
      <c r="U6" s="4" t="s">
        <v>439</v>
      </c>
      <c r="V6" s="149">
        <f>'Balance Sheet'!T34</f>
        <v>68271</v>
      </c>
      <c r="W6" s="202">
        <f>('Balance Sheet'!T34/'Balance Sheet'!P34)^(1/5)-1</f>
        <v>5.8325228928811867E-2</v>
      </c>
      <c r="X6" s="5">
        <f>V6*(1+W6)</f>
        <v>72252.921704198918</v>
      </c>
      <c r="Y6" s="5">
        <f>X6*(1+$W$6)</f>
        <v>76467.089903371845</v>
      </c>
      <c r="Z6" s="5">
        <f t="shared" ref="Z6:AC6" si="7">Y6*(1+$W$6)</f>
        <v>80927.050427506052</v>
      </c>
      <c r="AA6" s="5">
        <f t="shared" si="7"/>
        <v>85647.139170223847</v>
      </c>
      <c r="AB6" s="5">
        <f t="shared" si="7"/>
        <v>90642.528169424957</v>
      </c>
      <c r="AC6" s="5">
        <f t="shared" si="7"/>
        <v>95929.27437559294</v>
      </c>
      <c r="AE6" s="4" t="s">
        <v>439</v>
      </c>
      <c r="AF6" s="149">
        <f>'Balance Sheet'!AA41</f>
        <v>74667</v>
      </c>
      <c r="AG6" s="151">
        <f>('Balance Sheet'!AA34/'Balance Sheet'!W34)^(1/5)-1</f>
        <v>7.1484028140395894E-2</v>
      </c>
      <c r="AH6" s="5">
        <f>AF6*(1+AG6)</f>
        <v>80004.497929158941</v>
      </c>
      <c r="AI6" s="5">
        <f>AH6*(1+$AG$6)</f>
        <v>85723.54171048518</v>
      </c>
      <c r="AJ6" s="5">
        <f t="shared" ref="AJ6:AM6" si="8">AI6*(1+$AG$6)</f>
        <v>91851.405778411907</v>
      </c>
      <c r="AK6" s="5">
        <f t="shared" si="8"/>
        <v>98417.314253810822</v>
      </c>
      <c r="AL6" s="5">
        <f t="shared" si="8"/>
        <v>105452.58031543242</v>
      </c>
      <c r="AM6" s="5">
        <f t="shared" si="8"/>
        <v>112990.75553417816</v>
      </c>
      <c r="AO6" s="4" t="s">
        <v>439</v>
      </c>
      <c r="AP6" s="149">
        <f>'Balance Sheet'!AH40</f>
        <v>20026.400000000001</v>
      </c>
      <c r="AQ6" s="151">
        <f>('Balance Sheet'!AH40/'Balance Sheet'!AD40)^(1/5)-1</f>
        <v>0.29945076945698013</v>
      </c>
      <c r="AR6" s="5">
        <f>AP6*(1+AQ6)</f>
        <v>26023.320889453269</v>
      </c>
      <c r="AS6" s="5">
        <f>AR6*(1+$AQ$6)</f>
        <v>33816.024353625951</v>
      </c>
      <c r="AT6" s="5">
        <f t="shared" ref="AT6:AW6" si="9">AS6*(1+$AQ$6)</f>
        <v>43942.258866295218</v>
      </c>
      <c r="AU6" s="5">
        <f t="shared" si="9"/>
        <v>57100.802095485131</v>
      </c>
      <c r="AV6" s="5">
        <f t="shared" si="9"/>
        <v>74199.681219588892</v>
      </c>
      <c r="AW6" s="5">
        <f t="shared" si="9"/>
        <v>96418.832854257431</v>
      </c>
    </row>
    <row r="7" spans="1:49" x14ac:dyDescent="0.3">
      <c r="A7" s="4" t="s">
        <v>415</v>
      </c>
      <c r="B7" s="4"/>
      <c r="C7" s="198"/>
      <c r="D7" s="170">
        <f ca="1">WACC!I5</f>
        <v>0.13635454</v>
      </c>
      <c r="E7" s="170">
        <v>0.12378022</v>
      </c>
      <c r="F7" s="170">
        <v>0.12378022</v>
      </c>
      <c r="G7" s="170">
        <v>0.12378022</v>
      </c>
      <c r="H7" s="170">
        <v>0.12378022</v>
      </c>
      <c r="I7" s="170">
        <v>0.12378022</v>
      </c>
      <c r="K7" s="4" t="s">
        <v>415</v>
      </c>
      <c r="L7" s="4"/>
      <c r="M7" s="150"/>
      <c r="N7" s="170">
        <f ca="1">WACC!J5</f>
        <v>0.13323274000000002</v>
      </c>
      <c r="O7" s="170">
        <v>0.12431020000000001</v>
      </c>
      <c r="P7" s="170">
        <v>0.12431020000000001</v>
      </c>
      <c r="Q7" s="170">
        <v>0.12431020000000001</v>
      </c>
      <c r="R7" s="170">
        <v>0.12431020000000001</v>
      </c>
      <c r="S7" s="170">
        <v>0.12431020000000001</v>
      </c>
      <c r="U7" s="4" t="s">
        <v>415</v>
      </c>
      <c r="V7" s="4"/>
      <c r="W7" s="202"/>
      <c r="X7" s="170">
        <f ca="1">WACC!K5</f>
        <v>0.14346207999999999</v>
      </c>
      <c r="Y7" s="170">
        <v>0.12219753999999999</v>
      </c>
      <c r="Z7" s="170">
        <v>0.12219753999999999</v>
      </c>
      <c r="AA7" s="170">
        <v>0.12219753999999999</v>
      </c>
      <c r="AB7" s="170">
        <v>0.12219753999999999</v>
      </c>
      <c r="AC7" s="170">
        <v>0.12219753999999999</v>
      </c>
      <c r="AE7" s="4" t="s">
        <v>415</v>
      </c>
      <c r="AF7" s="4"/>
      <c r="AG7" s="151"/>
      <c r="AH7" s="170">
        <f ca="1">WACC!L5</f>
        <v>0.13094583999999998</v>
      </c>
      <c r="AI7" s="170">
        <v>0.1215514</v>
      </c>
      <c r="AJ7" s="170">
        <v>0.1215514</v>
      </c>
      <c r="AK7" s="170">
        <v>0.1215514</v>
      </c>
      <c r="AL7" s="170">
        <v>0.1215514</v>
      </c>
      <c r="AM7" s="170">
        <v>0.1215514</v>
      </c>
      <c r="AO7" s="4" t="s">
        <v>415</v>
      </c>
      <c r="AP7" s="4"/>
      <c r="AQ7" s="151"/>
      <c r="AR7" s="170">
        <f ca="1">WACC!M5</f>
        <v>0.16613506</v>
      </c>
      <c r="AS7" s="170">
        <v>0.16111839999999999</v>
      </c>
      <c r="AT7" s="170">
        <v>0.16111839999999999</v>
      </c>
      <c r="AU7" s="170">
        <v>0.16111839999999999</v>
      </c>
      <c r="AV7" s="170">
        <v>0.16111839999999999</v>
      </c>
      <c r="AW7" s="170">
        <v>0.16111839999999999</v>
      </c>
    </row>
    <row r="8" spans="1:49" x14ac:dyDescent="0.3">
      <c r="A8" s="4" t="s">
        <v>440</v>
      </c>
      <c r="B8" s="4"/>
      <c r="C8" s="198"/>
      <c r="D8" s="149">
        <f ca="1">D6*D7</f>
        <v>12639.097456095829</v>
      </c>
      <c r="E8" s="149">
        <f t="shared" ref="E8:I8" si="10">E6*E7</f>
        <v>11646.167262033588</v>
      </c>
      <c r="F8" s="149">
        <f t="shared" si="10"/>
        <v>11821.384302160675</v>
      </c>
      <c r="G8" s="149">
        <f t="shared" si="10"/>
        <v>11999.237489481957</v>
      </c>
      <c r="H8" s="149">
        <f t="shared" si="10"/>
        <v>12179.766484934655</v>
      </c>
      <c r="I8" s="149">
        <f t="shared" si="10"/>
        <v>12363.011546156344</v>
      </c>
      <c r="K8" s="4" t="s">
        <v>440</v>
      </c>
      <c r="L8" s="4"/>
      <c r="M8" s="150"/>
      <c r="N8" s="5">
        <f ca="1">N6*N7</f>
        <v>12502.876220114196</v>
      </c>
      <c r="O8" s="5">
        <f t="shared" ref="O8:S8" si="11">O6*O7</f>
        <v>12375.218195318928</v>
      </c>
      <c r="P8" s="5">
        <f t="shared" si="11"/>
        <v>13128.043063424495</v>
      </c>
      <c r="Q8" s="5">
        <f t="shared" si="11"/>
        <v>13926.664722592101</v>
      </c>
      <c r="R8" s="5">
        <f t="shared" si="11"/>
        <v>14773.869140927258</v>
      </c>
      <c r="S8" s="5">
        <f t="shared" si="11"/>
        <v>15672.611766058064</v>
      </c>
      <c r="U8" s="4" t="s">
        <v>440</v>
      </c>
      <c r="V8" s="4"/>
      <c r="W8" s="202"/>
      <c r="X8" s="5">
        <f ca="1">X6*X7</f>
        <v>10365.554433761521</v>
      </c>
      <c r="Y8" s="5">
        <f t="shared" ref="Y8:AC8" si="12">Y6*Y7</f>
        <v>9344.0902771508772</v>
      </c>
      <c r="Z8" s="5">
        <f t="shared" si="12"/>
        <v>9889.086481697188</v>
      </c>
      <c r="AA8" s="5">
        <f t="shared" si="12"/>
        <v>10465.869714638995</v>
      </c>
      <c r="AB8" s="5">
        <f t="shared" si="12"/>
        <v>11076.293961684432</v>
      </c>
      <c r="AC8" s="5">
        <f t="shared" si="12"/>
        <v>11722.321342682493</v>
      </c>
      <c r="AE8" s="4" t="s">
        <v>440</v>
      </c>
      <c r="AF8" s="4"/>
      <c r="AG8" s="151"/>
      <c r="AH8" s="5">
        <f ca="1">AH6*AH7</f>
        <v>10476.256185111977</v>
      </c>
      <c r="AI8" s="5">
        <f t="shared" ref="AI8:AM8" si="13">AI6*AI7</f>
        <v>10419.816507867868</v>
      </c>
      <c r="AJ8" s="5">
        <f t="shared" si="13"/>
        <v>11164.666964334057</v>
      </c>
      <c r="AK8" s="5">
        <f t="shared" si="13"/>
        <v>11962.762331790662</v>
      </c>
      <c r="AL8" s="5">
        <f t="shared" si="13"/>
        <v>12817.908770953252</v>
      </c>
      <c r="AM8" s="5">
        <f t="shared" si="13"/>
        <v>13734.184522237103</v>
      </c>
      <c r="AO8" s="4" t="s">
        <v>440</v>
      </c>
      <c r="AP8" s="4"/>
      <c r="AQ8" s="151"/>
      <c r="AR8" s="5">
        <f ca="1">AR6*AR7</f>
        <v>4323.3859773685726</v>
      </c>
      <c r="AS8" s="5">
        <f t="shared" ref="AS8:AW8" si="14">AS6*AS7</f>
        <v>5448.3837382172469</v>
      </c>
      <c r="AT8" s="5">
        <f t="shared" si="14"/>
        <v>7079.9064409232997</v>
      </c>
      <c r="AU8" s="5">
        <f t="shared" si="14"/>
        <v>9199.9898723412116</v>
      </c>
      <c r="AV8" s="5">
        <f t="shared" si="14"/>
        <v>11954.93391861021</v>
      </c>
      <c r="AW8" s="5">
        <f t="shared" si="14"/>
        <v>15534.848079345389</v>
      </c>
    </row>
    <row r="9" spans="1:49" x14ac:dyDescent="0.3">
      <c r="A9" s="4" t="s">
        <v>441</v>
      </c>
      <c r="B9" s="4"/>
      <c r="C9" s="198"/>
      <c r="D9" s="149">
        <f ca="1">D5-D8</f>
        <v>36814.159106341707</v>
      </c>
      <c r="E9" s="149">
        <f t="shared" ref="E9:I9" si="15">E5-E8</f>
        <v>41405.408360653913</v>
      </c>
      <c r="F9" s="149">
        <f t="shared" si="15"/>
        <v>45090.331360008182</v>
      </c>
      <c r="G9" s="149">
        <f t="shared" si="15"/>
        <v>49053.489815876746</v>
      </c>
      <c r="H9" s="149">
        <f t="shared" si="15"/>
        <v>53315.280853802396</v>
      </c>
      <c r="I9" s="149">
        <f t="shared" si="15"/>
        <v>57897.588024583907</v>
      </c>
      <c r="K9" s="4" t="s">
        <v>441</v>
      </c>
      <c r="L9" s="4"/>
      <c r="M9" s="150"/>
      <c r="N9" s="5">
        <f ca="1">N5-N8</f>
        <v>21192.100128558151</v>
      </c>
      <c r="O9" s="5">
        <f t="shared" ref="O9:S9" si="16">O5-O8</f>
        <v>24676.168683037009</v>
      </c>
      <c r="P9" s="5">
        <f t="shared" si="16"/>
        <v>27614.091770087503</v>
      </c>
      <c r="Q9" s="5">
        <f t="shared" si="16"/>
        <v>30873.859377674085</v>
      </c>
      <c r="R9" s="5">
        <f t="shared" si="16"/>
        <v>34489.306877223476</v>
      </c>
      <c r="S9" s="5">
        <f t="shared" si="16"/>
        <v>38497.748070890397</v>
      </c>
      <c r="U9" s="4" t="s">
        <v>441</v>
      </c>
      <c r="V9" s="4"/>
      <c r="W9" s="202"/>
      <c r="X9" s="5">
        <f ca="1">X5-X8</f>
        <v>6487.707091690816</v>
      </c>
      <c r="Y9" s="5">
        <f t="shared" ref="Y9:AC9" si="17">Y5-Y8</f>
        <v>8735.6311770370339</v>
      </c>
      <c r="Z9" s="5">
        <f t="shared" si="17"/>
        <v>9506.3478897070381</v>
      </c>
      <c r="AA9" s="5">
        <f t="shared" si="17"/>
        <v>10341.025757100198</v>
      </c>
      <c r="AB9" s="5">
        <f t="shared" si="17"/>
        <v>11244.778661992883</v>
      </c>
      <c r="AC9" s="5">
        <f t="shared" si="17"/>
        <v>12223.119424691688</v>
      </c>
      <c r="AE9" s="4" t="s">
        <v>441</v>
      </c>
      <c r="AF9" s="4"/>
      <c r="AG9" s="151"/>
      <c r="AH9" s="5">
        <f ca="1">AH5-AH8</f>
        <v>925.20348361851939</v>
      </c>
      <c r="AI9" s="5">
        <f t="shared" ref="AI9:AM9" si="18">AI5-AI8</f>
        <v>1278.5377705932624</v>
      </c>
      <c r="AJ9" s="5">
        <f t="shared" si="18"/>
        <v>838.31307511800151</v>
      </c>
      <c r="AK9" s="5">
        <f t="shared" si="18"/>
        <v>352.77593949825859</v>
      </c>
      <c r="AL9" s="5">
        <f t="shared" si="18"/>
        <v>-181.67323502329236</v>
      </c>
      <c r="AM9" s="5">
        <f t="shared" si="18"/>
        <v>-768.90074801942137</v>
      </c>
      <c r="AO9" s="4" t="s">
        <v>441</v>
      </c>
      <c r="AP9" s="4"/>
      <c r="AQ9" s="151"/>
      <c r="AR9" s="5">
        <f ca="1">AR5-AR8</f>
        <v>1393.5648290324571</v>
      </c>
      <c r="AS9" s="5">
        <f t="shared" ref="AS9:AW9" si="19">AS5-AS8</f>
        <v>1680.5973119963828</v>
      </c>
      <c r="AT9" s="5">
        <f t="shared" si="19"/>
        <v>1809.8623423591034</v>
      </c>
      <c r="AU9" s="5">
        <f t="shared" si="19"/>
        <v>1885.4637799523516</v>
      </c>
      <c r="AV9" s="5">
        <f t="shared" si="19"/>
        <v>1868.5170251582713</v>
      </c>
      <c r="AW9" s="5">
        <f t="shared" si="19"/>
        <v>1702.8583771006161</v>
      </c>
    </row>
    <row r="10" spans="1:49" x14ac:dyDescent="0.3">
      <c r="A10" s="4" t="s">
        <v>442</v>
      </c>
      <c r="B10" s="4"/>
      <c r="C10" s="198"/>
      <c r="D10" s="170">
        <f ca="1">DDM!D7</f>
        <v>0.88000704428038812</v>
      </c>
      <c r="E10" s="170">
        <f ca="1">DDM!E7</f>
        <v>0.77441239798310502</v>
      </c>
      <c r="F10" s="170">
        <f ca="1">DDM!F7</f>
        <v>0.68148836540319979</v>
      </c>
      <c r="G10" s="170">
        <f ca="1">DDM!G7</f>
        <v>0.59971456214994301</v>
      </c>
      <c r="H10" s="170">
        <f ca="1">DDM!H7</f>
        <v>0.52775303924947858</v>
      </c>
      <c r="I10" s="170">
        <f ca="1">DDM!I7</f>
        <v>0.46442639217992532</v>
      </c>
      <c r="K10" s="4" t="s">
        <v>442</v>
      </c>
      <c r="L10" s="4"/>
      <c r="M10" s="150"/>
      <c r="N10" s="170">
        <f ca="1">DDM!N7</f>
        <v>0.88243126473737432</v>
      </c>
      <c r="O10" s="170">
        <f ca="1">DDM!O7</f>
        <v>0.77868493698600194</v>
      </c>
      <c r="P10" s="170">
        <f ca="1">DDM!P7</f>
        <v>0.68713593377650029</v>
      </c>
      <c r="Q10" s="170">
        <f ca="1">DDM!Q7</f>
        <v>0.60635023108889385</v>
      </c>
      <c r="R10" s="170">
        <f ca="1">DDM!R7</f>
        <v>0.53506240129357174</v>
      </c>
      <c r="S10" s="170">
        <f ca="1">DDM!S7</f>
        <v>0.47215579148690301</v>
      </c>
      <c r="U10" s="4" t="s">
        <v>442</v>
      </c>
      <c r="V10" s="4"/>
      <c r="W10" s="202"/>
      <c r="X10" s="170">
        <f ca="1">DDM!X7</f>
        <v>0.87453709002750668</v>
      </c>
      <c r="Y10" s="170">
        <f ca="1">DDM!Y7</f>
        <v>0.76481512183377931</v>
      </c>
      <c r="Z10" s="170">
        <f ca="1">DDM!Z7</f>
        <v>0.66885919105754643</v>
      </c>
      <c r="AA10" s="170">
        <f ca="1">DDM!AA7</f>
        <v>0.5849421705856187</v>
      </c>
      <c r="AB10" s="170">
        <f ca="1">DDM!AB7</f>
        <v>0.51155362369832047</v>
      </c>
      <c r="AC10" s="170">
        <f ca="1">DDM!AC7</f>
        <v>0.44737261746215534</v>
      </c>
      <c r="AE10" s="4" t="s">
        <v>442</v>
      </c>
      <c r="AF10" s="4"/>
      <c r="AG10" s="151"/>
      <c r="AH10" s="170">
        <f ca="1">DDM!AH7</f>
        <v>0.88421564024675148</v>
      </c>
      <c r="AI10" s="170">
        <f ca="1">DDM!AI7</f>
        <v>0.78183729845697247</v>
      </c>
      <c r="AJ10" s="170">
        <f ca="1">DDM!AJ7</f>
        <v>0.69131276742392245</v>
      </c>
      <c r="AK10" s="170">
        <f ca="1">DDM!AK7</f>
        <v>0.61126956125849707</v>
      </c>
      <c r="AL10" s="170">
        <f ca="1">DDM!AL7</f>
        <v>0.54049410647153284</v>
      </c>
      <c r="AM10" s="170">
        <f ca="1">DDM!AM7</f>
        <v>0.47791334240332223</v>
      </c>
      <c r="AO10" s="4" t="s">
        <v>442</v>
      </c>
      <c r="AP10" s="4"/>
      <c r="AQ10" s="151"/>
      <c r="AR10" s="170">
        <f ca="1">DDM!AR7</f>
        <v>0.85753360335465778</v>
      </c>
      <c r="AS10" s="170">
        <f ca="1">DDM!AS7</f>
        <v>0.73536388088242355</v>
      </c>
      <c r="AT10" s="170">
        <f ca="1">DDM!AT7</f>
        <v>0.63059923854996991</v>
      </c>
      <c r="AU10" s="170">
        <f ca="1">DDM!AU7</f>
        <v>0.54076003730645916</v>
      </c>
      <c r="AV10" s="170">
        <f ca="1">DDM!AV7</f>
        <v>0.46371990334160701</v>
      </c>
      <c r="AW10" s="170">
        <f ca="1">DDM!AW7</f>
        <v>0.39765539965980196</v>
      </c>
    </row>
    <row r="11" spans="1:49" x14ac:dyDescent="0.3">
      <c r="A11" s="4" t="s">
        <v>443</v>
      </c>
      <c r="B11" s="4"/>
      <c r="C11" s="198"/>
      <c r="D11" s="149">
        <f ca="1">D9*D10</f>
        <v>32396.7193428397</v>
      </c>
      <c r="E11" s="149">
        <f t="shared" ref="E11:I11" ca="1" si="20">E9*E10</f>
        <v>32064.861578043703</v>
      </c>
      <c r="F11" s="149">
        <f t="shared" ca="1" si="20"/>
        <v>30728.536214020616</v>
      </c>
      <c r="G11" s="149">
        <f t="shared" ca="1" si="20"/>
        <v>29418.092166855211</v>
      </c>
      <c r="H11" s="149">
        <f t="shared" ca="1" si="20"/>
        <v>28137.30150903375</v>
      </c>
      <c r="I11" s="149">
        <f t="shared" ca="1" si="20"/>
        <v>26889.167922177152</v>
      </c>
      <c r="K11" s="4" t="s">
        <v>443</v>
      </c>
      <c r="L11" s="4"/>
      <c r="M11" s="150"/>
      <c r="N11" s="5">
        <f ca="1">N9*N10</f>
        <v>18700.571718884643</v>
      </c>
      <c r="O11" s="5">
        <f t="shared" ref="O11:S11" ca="1" si="21">O9*O10</f>
        <v>19214.960856006626</v>
      </c>
      <c r="P11" s="5">
        <f t="shared" ca="1" si="21"/>
        <v>18974.634733829047</v>
      </c>
      <c r="Q11" s="5">
        <f t="shared" ca="1" si="21"/>
        <v>18720.371768258694</v>
      </c>
      <c r="R11" s="5">
        <f t="shared" ca="1" si="21"/>
        <v>18453.931356678091</v>
      </c>
      <c r="S11" s="5">
        <f t="shared" ca="1" si="21"/>
        <v>18176.934710874648</v>
      </c>
      <c r="U11" s="4" t="s">
        <v>443</v>
      </c>
      <c r="V11" s="4"/>
      <c r="W11" s="202"/>
      <c r="X11" s="5">
        <f ca="1">X9*X10</f>
        <v>5673.7404809181044</v>
      </c>
      <c r="Y11" s="5">
        <f t="shared" ref="Y11:AC11" ca="1" si="22">Y9*Y10</f>
        <v>6681.1428229605399</v>
      </c>
      <c r="Z11" s="5">
        <f t="shared" ca="1" si="22"/>
        <v>6358.4081594210629</v>
      </c>
      <c r="AA11" s="5">
        <f t="shared" ca="1" si="22"/>
        <v>6048.9020524399812</v>
      </c>
      <c r="AB11" s="5">
        <f t="shared" ca="1" si="22"/>
        <v>5752.3072722280103</v>
      </c>
      <c r="AC11" s="5">
        <f t="shared" ca="1" si="22"/>
        <v>5468.2889305768349</v>
      </c>
      <c r="AE11" s="4" t="s">
        <v>443</v>
      </c>
      <c r="AF11" s="4"/>
      <c r="AG11" s="151"/>
      <c r="AH11" s="149">
        <f ca="1">AH9*AH10</f>
        <v>818.07939062627395</v>
      </c>
      <c r="AI11" s="149">
        <f t="shared" ref="AI11:AM11" ca="1" si="23">AI9*AI10</f>
        <v>999.60851653583666</v>
      </c>
      <c r="AJ11" s="149">
        <f t="shared" ca="1" si="23"/>
        <v>579.53653192748425</v>
      </c>
      <c r="AK11" s="149">
        <f t="shared" ca="1" si="23"/>
        <v>215.64119375965464</v>
      </c>
      <c r="AL11" s="149">
        <f t="shared" ca="1" si="23"/>
        <v>-98.193312833707196</v>
      </c>
      <c r="AM11" s="149">
        <f t="shared" ca="1" si="23"/>
        <v>-367.46792646237628</v>
      </c>
      <c r="AO11" s="4" t="s">
        <v>443</v>
      </c>
      <c r="AP11" s="4"/>
      <c r="AQ11" s="151"/>
      <c r="AR11" s="5">
        <f ca="1">AR9*AR10</f>
        <v>1195.0286693485205</v>
      </c>
      <c r="AS11" s="5">
        <f t="shared" ref="AS11:AW11" ca="1" si="24">AS9*AS10</f>
        <v>1235.8505615502293</v>
      </c>
      <c r="AT11" s="5">
        <f t="shared" ca="1" si="24"/>
        <v>1141.2978149719156</v>
      </c>
      <c r="AU11" s="5">
        <f t="shared" ca="1" si="24"/>
        <v>1019.5834639870112</v>
      </c>
      <c r="AV11" s="5">
        <f t="shared" ca="1" si="24"/>
        <v>866.46853429854059</v>
      </c>
      <c r="AW11" s="5">
        <f t="shared" ca="1" si="24"/>
        <v>677.15082850998726</v>
      </c>
    </row>
    <row r="12" spans="1:49" x14ac:dyDescent="0.3">
      <c r="AR12" s="2"/>
      <c r="AS12" s="2"/>
      <c r="AT12" s="2"/>
      <c r="AU12" s="2"/>
      <c r="AV12" s="2"/>
      <c r="AW12" s="2"/>
    </row>
    <row r="13" spans="1:49" x14ac:dyDescent="0.3">
      <c r="A13" s="193" t="s">
        <v>419</v>
      </c>
      <c r="B13" s="186">
        <f ca="1">I9/(WACC!I5-WACC!I3)</f>
        <v>600880.74754530424</v>
      </c>
      <c r="K13" s="193" t="s">
        <v>419</v>
      </c>
      <c r="L13" s="186">
        <f ca="1">S9/(WACC!J5-WACC!J3)</f>
        <v>412920.91244867834</v>
      </c>
      <c r="U13" s="193" t="s">
        <v>419</v>
      </c>
      <c r="V13" s="186">
        <f ca="1">AC9/(WACC!K5-WACC!K3)</f>
        <v>118141.05636279195</v>
      </c>
      <c r="AE13" s="193" t="s">
        <v>419</v>
      </c>
      <c r="AF13" s="186">
        <f ca="1">AK9/(WACC!L5-WACC!L3)</f>
        <v>3878.9673007391948</v>
      </c>
      <c r="AO13" s="193" t="s">
        <v>419</v>
      </c>
      <c r="AP13" s="186">
        <f ca="1">AW9/(WACC!M5-WACC!M3)</f>
        <v>13500.278012319621</v>
      </c>
      <c r="AR13" s="2"/>
      <c r="AS13" s="2"/>
      <c r="AT13" s="2"/>
      <c r="AU13" s="2"/>
      <c r="AV13" s="2"/>
      <c r="AW13" s="2"/>
    </row>
    <row r="14" spans="1:49" x14ac:dyDescent="0.3">
      <c r="A14" s="57" t="s">
        <v>420</v>
      </c>
      <c r="B14" s="186">
        <f ca="1">B13/(1+WACC!I5)^5</f>
        <v>317116.64074353297</v>
      </c>
      <c r="K14" s="57" t="s">
        <v>420</v>
      </c>
      <c r="L14" s="186">
        <f ca="1">L13/(1+WACC!J5)^5</f>
        <v>220938.45495912252</v>
      </c>
      <c r="U14" s="57" t="s">
        <v>420</v>
      </c>
      <c r="V14" s="186">
        <f ca="1">V13/(1+WACC!K5)^5</f>
        <v>60435.485489933737</v>
      </c>
      <c r="AE14" s="57" t="s">
        <v>420</v>
      </c>
      <c r="AF14" s="186">
        <f ca="1">AF13*AL10</f>
        <v>2096.5589652453245</v>
      </c>
      <c r="AO14" s="57" t="s">
        <v>420</v>
      </c>
      <c r="AP14" s="186">
        <f ca="1">AP13*AV10</f>
        <v>6260.3476149576773</v>
      </c>
      <c r="AR14" s="2"/>
      <c r="AS14" s="2"/>
      <c r="AT14" s="2"/>
      <c r="AU14" s="2"/>
      <c r="AV14" s="2"/>
      <c r="AW14" s="2"/>
    </row>
    <row r="15" spans="1:49" x14ac:dyDescent="0.3">
      <c r="A15" s="57" t="s">
        <v>431</v>
      </c>
      <c r="B15" s="186">
        <f ca="1">SUM(D11:I11)</f>
        <v>179634.67873297012</v>
      </c>
      <c r="K15" s="57" t="s">
        <v>431</v>
      </c>
      <c r="L15" s="186">
        <f ca="1">SUM(N11:S11)</f>
        <v>112241.40514453175</v>
      </c>
      <c r="U15" s="57" t="s">
        <v>431</v>
      </c>
      <c r="V15" s="186">
        <f ca="1">SUM(X11:AC11)</f>
        <v>35982.789718544533</v>
      </c>
      <c r="AE15" s="57" t="s">
        <v>431</v>
      </c>
      <c r="AF15" s="186">
        <f ca="1">SUM(AH11:AM11)</f>
        <v>2147.2043935531656</v>
      </c>
      <c r="AO15" s="57" t="s">
        <v>431</v>
      </c>
      <c r="AP15" s="186">
        <f ca="1">SUM(AR11:AW11)</f>
        <v>6135.3798726662035</v>
      </c>
    </row>
    <row r="16" spans="1:49" x14ac:dyDescent="0.3">
      <c r="A16" s="193" t="s">
        <v>434</v>
      </c>
      <c r="B16" s="186">
        <f ca="1">B14+B15</f>
        <v>496751.31947650306</v>
      </c>
      <c r="K16" s="193" t="s">
        <v>434</v>
      </c>
      <c r="L16" s="186">
        <f ca="1">L14+L15</f>
        <v>333179.86010365427</v>
      </c>
      <c r="U16" s="193" t="s">
        <v>434</v>
      </c>
      <c r="V16" s="186">
        <f ca="1">V14+V15</f>
        <v>96418.27520847827</v>
      </c>
      <c r="AE16" s="193" t="s">
        <v>434</v>
      </c>
      <c r="AF16" s="186">
        <f ca="1">AF14+AF15</f>
        <v>4243.7633587984901</v>
      </c>
      <c r="AO16" s="193" t="s">
        <v>434</v>
      </c>
      <c r="AP16" s="186">
        <f ca="1">AP14+AP15</f>
        <v>12395.727487623881</v>
      </c>
    </row>
    <row r="17" spans="1:42" x14ac:dyDescent="0.3">
      <c r="A17" s="57" t="s">
        <v>433</v>
      </c>
      <c r="B17" s="186">
        <f>DDM!B14</f>
        <v>-927.00000000000091</v>
      </c>
      <c r="K17" s="57" t="s">
        <v>433</v>
      </c>
      <c r="L17" s="186">
        <f>DDM!L14</f>
        <v>-9564.4</v>
      </c>
      <c r="U17" s="57" t="s">
        <v>433</v>
      </c>
      <c r="V17" s="186">
        <f>DDM!V14</f>
        <v>-1901.2000000000007</v>
      </c>
      <c r="AE17" s="57" t="s">
        <v>433</v>
      </c>
      <c r="AF17" s="186">
        <f>DDM!AF14</f>
        <v>1817.1000000000022</v>
      </c>
      <c r="AO17" s="57" t="s">
        <v>433</v>
      </c>
      <c r="AP17" s="186">
        <f>DDM!AP14</f>
        <v>-10.6400000000001</v>
      </c>
    </row>
    <row r="18" spans="1:42" x14ac:dyDescent="0.3">
      <c r="A18" s="193" t="s">
        <v>421</v>
      </c>
      <c r="B18" s="186">
        <f ca="1">B16+B17</f>
        <v>495824.31947650306</v>
      </c>
      <c r="K18" s="193" t="s">
        <v>421</v>
      </c>
      <c r="L18" s="186">
        <f ca="1">L16+L17</f>
        <v>323615.46010365424</v>
      </c>
      <c r="U18" s="193" t="s">
        <v>421</v>
      </c>
      <c r="V18" s="186">
        <f ca="1">V16+V17</f>
        <v>94517.075208478273</v>
      </c>
      <c r="AE18" s="193" t="s">
        <v>421</v>
      </c>
      <c r="AF18" s="186">
        <f ca="1">AF16+AF17</f>
        <v>6060.8633587984923</v>
      </c>
      <c r="AO18" s="193" t="s">
        <v>421</v>
      </c>
      <c r="AP18" s="186">
        <f ca="1">AP16+AP17</f>
        <v>12385.087487623881</v>
      </c>
    </row>
    <row r="19" spans="1:42" ht="28.8" x14ac:dyDescent="0.3">
      <c r="A19" s="193" t="s">
        <v>423</v>
      </c>
      <c r="B19" s="186">
        <f>D4</f>
        <v>361.81</v>
      </c>
      <c r="K19" s="193" t="s">
        <v>423</v>
      </c>
      <c r="L19" s="186">
        <f>N4</f>
        <v>414.46</v>
      </c>
      <c r="U19" s="193" t="s">
        <v>423</v>
      </c>
      <c r="V19" s="186">
        <f>X4</f>
        <v>270.89</v>
      </c>
      <c r="AE19" s="193" t="s">
        <v>423</v>
      </c>
      <c r="AF19" s="186">
        <f>AH4</f>
        <v>1047.087</v>
      </c>
      <c r="AO19" s="193" t="s">
        <v>423</v>
      </c>
      <c r="AP19" s="186">
        <f>AR4</f>
        <v>29.632999999999999</v>
      </c>
    </row>
    <row r="20" spans="1:42" ht="28.8" x14ac:dyDescent="0.3">
      <c r="A20" s="193" t="s">
        <v>435</v>
      </c>
      <c r="B20" s="194">
        <f ca="1">B18/B19</f>
        <v>1370.3997111094304</v>
      </c>
      <c r="K20" s="193" t="s">
        <v>435</v>
      </c>
      <c r="L20" s="194">
        <f ca="1">L18/L19</f>
        <v>780.81228611604081</v>
      </c>
      <c r="U20" s="193" t="s">
        <v>435</v>
      </c>
      <c r="V20" s="194">
        <f ca="1">V18/V19</f>
        <v>348.91312048609501</v>
      </c>
      <c r="AE20" s="193" t="s">
        <v>435</v>
      </c>
      <c r="AF20" s="194">
        <f ca="1">AF18/AF19</f>
        <v>5.7883092415420041</v>
      </c>
      <c r="AO20" s="193" t="s">
        <v>435</v>
      </c>
      <c r="AP20" s="194">
        <f ca="1">AP18/AP19</f>
        <v>417.94916099024334</v>
      </c>
    </row>
    <row r="21" spans="1:42" ht="28.8" x14ac:dyDescent="0.3">
      <c r="A21" s="193" t="s">
        <v>436</v>
      </c>
      <c r="B21" s="195">
        <f ca="1">DDM!B18</f>
        <v>3025.2</v>
      </c>
      <c r="K21" s="193" t="s">
        <v>436</v>
      </c>
      <c r="L21" s="195">
        <f ca="1">DDM!L18</f>
        <v>1513.5</v>
      </c>
      <c r="U21" s="193" t="s">
        <v>436</v>
      </c>
      <c r="V21" s="195">
        <f ca="1">DDM!V18</f>
        <v>1540.5</v>
      </c>
      <c r="AE21" s="193" t="s">
        <v>436</v>
      </c>
      <c r="AF21" s="195">
        <f ca="1">DDM!AF18</f>
        <v>239.84</v>
      </c>
      <c r="AO21" s="193" t="s">
        <v>436</v>
      </c>
      <c r="AP21" s="195">
        <f ca="1">DDM!AP18</f>
        <v>5650</v>
      </c>
    </row>
    <row r="22" spans="1:42" x14ac:dyDescent="0.3">
      <c r="A22" s="57" t="s">
        <v>426</v>
      </c>
      <c r="B22" s="180">
        <f ca="1">(B20-B21)/B21</f>
        <v>-0.54700525217855667</v>
      </c>
      <c r="K22" s="57" t="s">
        <v>426</v>
      </c>
      <c r="L22" s="180">
        <f ca="1">(L20-L21)/L21</f>
        <v>-0.48410156186584685</v>
      </c>
      <c r="U22" s="57" t="s">
        <v>426</v>
      </c>
      <c r="V22" s="180">
        <f ca="1">(V20-V21)/V21</f>
        <v>-0.77350657547153845</v>
      </c>
      <c r="AE22" s="57" t="s">
        <v>426</v>
      </c>
      <c r="AF22" s="180">
        <f ca="1">(AF20-AF21)/AF21</f>
        <v>-0.97586595546388422</v>
      </c>
      <c r="AO22" s="57" t="s">
        <v>426</v>
      </c>
      <c r="AP22" s="180">
        <f ca="1">(AP20-AP21)/AP21</f>
        <v>-0.92602669716986841</v>
      </c>
    </row>
  </sheetData>
  <mergeCells count="10">
    <mergeCell ref="AE1:AK1"/>
    <mergeCell ref="AL1:AM1"/>
    <mergeCell ref="AO1:AU1"/>
    <mergeCell ref="AV1:AW1"/>
    <mergeCell ref="A1:G1"/>
    <mergeCell ref="H1:I1"/>
    <mergeCell ref="K1:Q1"/>
    <mergeCell ref="R1:S1"/>
    <mergeCell ref="U1:AA1"/>
    <mergeCell ref="AB1:AC1"/>
  </mergeCells>
  <conditionalFormatting sqref="B22">
    <cfRule type="cellIs" dxfId="13" priority="9" operator="lessThan">
      <formula>0</formula>
    </cfRule>
    <cfRule type="cellIs" dxfId="12" priority="10" operator="greaterThan">
      <formula>0</formula>
    </cfRule>
  </conditionalFormatting>
  <conditionalFormatting sqref="L22">
    <cfRule type="cellIs" dxfId="11" priority="7" operator="lessThan">
      <formula>0</formula>
    </cfRule>
    <cfRule type="cellIs" dxfId="10" priority="8" operator="greaterThan">
      <formula>0</formula>
    </cfRule>
  </conditionalFormatting>
  <conditionalFormatting sqref="V22">
    <cfRule type="cellIs" dxfId="9" priority="5" operator="lessThan">
      <formula>0</formula>
    </cfRule>
    <cfRule type="cellIs" dxfId="8" priority="6" operator="greaterThan">
      <formula>0</formula>
    </cfRule>
  </conditionalFormatting>
  <conditionalFormatting sqref="AF22">
    <cfRule type="cellIs" dxfId="7" priority="3" operator="lessThan">
      <formula>0</formula>
    </cfRule>
    <cfRule type="cellIs" dxfId="6" priority="4" operator="greaterThan">
      <formula>0</formula>
    </cfRule>
  </conditionalFormatting>
  <conditionalFormatting sqref="AP22">
    <cfRule type="cellIs" dxfId="5" priority="1" operator="lessThan">
      <formula>0</formula>
    </cfRule>
    <cfRule type="cellIs" dxfId="4" priority="2" operator="greaterThan">
      <formula>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D6CCE-D59F-4294-8BB3-1DE1AED5A734}">
  <dimension ref="A1:P8"/>
  <sheetViews>
    <sheetView workbookViewId="0">
      <selection activeCell="R3" sqref="R3"/>
    </sheetView>
  </sheetViews>
  <sheetFormatPr defaultRowHeight="14.4" x14ac:dyDescent="0.3"/>
  <cols>
    <col min="1" max="1" width="21.5546875" style="1" bestFit="1" customWidth="1"/>
    <col min="2" max="4" width="12.33203125" style="1" customWidth="1"/>
    <col min="5" max="5" width="8.88671875" style="1"/>
    <col min="6" max="6" width="10.33203125" style="1" bestFit="1" customWidth="1"/>
    <col min="7" max="7" width="8.88671875" style="1"/>
    <col min="8" max="9" width="10.33203125" style="1" bestFit="1" customWidth="1"/>
    <col min="10" max="13" width="8.88671875" style="1"/>
    <col min="14" max="15" width="10.33203125" style="1" bestFit="1" customWidth="1"/>
    <col min="16" max="16384" width="8.88671875" style="1"/>
  </cols>
  <sheetData>
    <row r="1" spans="1:16" ht="49.2" customHeight="1" x14ac:dyDescent="0.3">
      <c r="A1" s="305" t="s">
        <v>447</v>
      </c>
      <c r="B1" s="306"/>
      <c r="C1" s="306"/>
      <c r="D1" s="306"/>
      <c r="E1" s="306"/>
      <c r="F1" s="306"/>
      <c r="G1" s="306"/>
      <c r="H1" s="306"/>
      <c r="I1" s="306"/>
      <c r="J1" s="306"/>
      <c r="K1" s="306"/>
      <c r="L1" s="306"/>
      <c r="M1" s="306"/>
      <c r="N1" s="306"/>
      <c r="O1" s="306"/>
      <c r="P1" s="307"/>
    </row>
    <row r="2" spans="1:16" ht="40.200000000000003" customHeight="1" thickBot="1" x14ac:dyDescent="0.35">
      <c r="A2" s="303" t="s">
        <v>445</v>
      </c>
      <c r="B2" s="308" t="e" vm="1">
        <v>#VALUE!</v>
      </c>
      <c r="C2" s="309"/>
      <c r="D2" s="309"/>
      <c r="E2" s="309" t="e" vm="2">
        <v>#VALUE!</v>
      </c>
      <c r="F2" s="309"/>
      <c r="G2" s="309"/>
      <c r="H2" s="310" t="e" vm="3">
        <v>#VALUE!</v>
      </c>
      <c r="I2" s="310"/>
      <c r="J2" s="310"/>
      <c r="K2" s="311" t="e" vm="4">
        <v>#VALUE!</v>
      </c>
      <c r="L2" s="311"/>
      <c r="M2" s="311"/>
      <c r="N2" s="310" t="e" vm="5">
        <v>#VALUE!</v>
      </c>
      <c r="O2" s="310"/>
      <c r="P2" s="312"/>
    </row>
    <row r="3" spans="1:16" ht="27" customHeight="1" thickBot="1" x14ac:dyDescent="0.35">
      <c r="A3" s="304"/>
      <c r="B3" s="209" t="s">
        <v>446</v>
      </c>
      <c r="C3" s="210" t="s">
        <v>432</v>
      </c>
      <c r="D3" s="211" t="s">
        <v>444</v>
      </c>
      <c r="E3" s="211" t="s">
        <v>446</v>
      </c>
      <c r="F3" s="212" t="s">
        <v>432</v>
      </c>
      <c r="G3" s="209" t="s">
        <v>444</v>
      </c>
      <c r="H3" s="209" t="s">
        <v>446</v>
      </c>
      <c r="I3" s="210" t="s">
        <v>432</v>
      </c>
      <c r="J3" s="211" t="s">
        <v>444</v>
      </c>
      <c r="K3" s="206" t="s">
        <v>446</v>
      </c>
      <c r="L3" s="207" t="s">
        <v>432</v>
      </c>
      <c r="M3" s="208" t="s">
        <v>444</v>
      </c>
      <c r="N3" s="209" t="s">
        <v>446</v>
      </c>
      <c r="O3" s="210" t="s">
        <v>432</v>
      </c>
      <c r="P3" s="211" t="s">
        <v>444</v>
      </c>
    </row>
    <row r="4" spans="1:16" x14ac:dyDescent="0.3">
      <c r="A4" s="221" t="s">
        <v>101</v>
      </c>
      <c r="B4" s="300" t="str" cm="1">
        <f t="array" aca="1" ref="B4" ca="1">_FV('Company Profile'!B4,"Official name",TRUE)</f>
        <v>TATA CONSULTANCY SERVICES LIMITED</v>
      </c>
      <c r="C4" s="301"/>
      <c r="D4" s="302"/>
      <c r="E4" s="301" t="str" cm="1">
        <f t="array" aca="1" ref="E4" ca="1">_FV('Company Profile'!C4,"Official name",TRUE)</f>
        <v>INFOSYS LIMITED</v>
      </c>
      <c r="F4" s="301"/>
      <c r="G4" s="301"/>
      <c r="H4" s="300" t="str" cm="1">
        <f t="array" aca="1" ref="H4" ca="1">_FV('Company Profile'!D4,"Official name",TRUE)</f>
        <v>HCL TECHNOLOGIES LIMITED</v>
      </c>
      <c r="I4" s="301"/>
      <c r="J4" s="302"/>
      <c r="K4" s="301" t="str" cm="1">
        <f t="array" aca="1" ref="K4" ca="1">_FV('Company Profile'!E4,"Official name",TRUE)</f>
        <v>WIPRO LIMITED</v>
      </c>
      <c r="L4" s="301"/>
      <c r="M4" s="301"/>
      <c r="N4" s="300" t="str" cm="1">
        <f t="array" aca="1" ref="N4" ca="1">_FV('Company Profile'!F4,"Official name",TRUE)</f>
        <v>LTIMINDTREE LIMITED</v>
      </c>
      <c r="O4" s="301"/>
      <c r="P4" s="302"/>
    </row>
    <row r="5" spans="1:16" x14ac:dyDescent="0.3">
      <c r="A5" s="221" t="s">
        <v>435</v>
      </c>
      <c r="B5" s="213">
        <f ca="1">FCFF!B14</f>
        <v>1720.0941444768414</v>
      </c>
      <c r="C5" s="214">
        <f ca="1">DDM!B17</f>
        <v>1128.4912250401146</v>
      </c>
      <c r="D5" s="215">
        <f ca="1">RIM!B20</f>
        <v>1370.3997111094304</v>
      </c>
      <c r="E5" s="216">
        <f ca="1">FCFF!J14</f>
        <v>520.78722253052069</v>
      </c>
      <c r="F5" s="214">
        <f ca="1">DDM!L17</f>
        <v>525.50920360929729</v>
      </c>
      <c r="G5" s="217">
        <f ca="1">RIM!V20</f>
        <v>348.91312048609501</v>
      </c>
      <c r="H5" s="213">
        <f ca="1">FCFF!R14</f>
        <v>1704.0285816557962</v>
      </c>
      <c r="I5" s="214">
        <f ca="1">DDM!V17</f>
        <v>458.69774650413643</v>
      </c>
      <c r="J5" s="215">
        <f ca="1">RIM!V20</f>
        <v>348.91312048609501</v>
      </c>
      <c r="K5" s="216">
        <f ca="1">FCFF!Z14</f>
        <v>151.52120614993507</v>
      </c>
      <c r="L5" s="214">
        <f ca="1">DDM!AF17</f>
        <v>29.284194071676222</v>
      </c>
      <c r="M5" s="217">
        <f ca="1">RIM!AF20</f>
        <v>5.7883092415420041</v>
      </c>
      <c r="N5" s="213">
        <f ca="1">FCFF!AH14</f>
        <v>2109.3541168941583</v>
      </c>
      <c r="O5" s="214">
        <f ca="1">DDM!AP17</f>
        <v>960.45765586129914</v>
      </c>
      <c r="P5" s="215">
        <f ca="1">RIM!AP20</f>
        <v>417.94916099024334</v>
      </c>
    </row>
    <row r="6" spans="1:16" x14ac:dyDescent="0.3">
      <c r="A6" s="221" t="s">
        <v>425</v>
      </c>
      <c r="B6" s="218"/>
      <c r="C6" s="219">
        <f ca="1">FCFF!B15</f>
        <v>3025.2</v>
      </c>
      <c r="D6" s="220"/>
      <c r="E6" s="219"/>
      <c r="F6" s="219">
        <f ca="1">RIM!L21</f>
        <v>1513.5</v>
      </c>
      <c r="G6" s="219"/>
      <c r="H6" s="218"/>
      <c r="I6" s="219">
        <f ca="1">DDM!V18</f>
        <v>1540.5</v>
      </c>
      <c r="J6" s="220"/>
      <c r="K6" s="219"/>
      <c r="L6" s="219">
        <f ca="1">DDM!AF18</f>
        <v>239.84</v>
      </c>
      <c r="M6" s="219"/>
      <c r="N6" s="218"/>
      <c r="O6" s="219">
        <f ca="1">RIM!AP21</f>
        <v>5650</v>
      </c>
      <c r="P6" s="220"/>
    </row>
    <row r="7" spans="1:16" ht="15" thickBot="1" x14ac:dyDescent="0.35">
      <c r="A7" s="222" t="s">
        <v>426</v>
      </c>
      <c r="B7" s="226">
        <f ca="1">(B5-$C$6)/$C$6</f>
        <v>-0.43141142916936354</v>
      </c>
      <c r="C7" s="223">
        <f t="shared" ref="C7:D7" ca="1" si="0">(C5-$C$6)/$C$6</f>
        <v>-0.6269697127330045</v>
      </c>
      <c r="D7" s="224">
        <f t="shared" ca="1" si="0"/>
        <v>-0.54700525217855667</v>
      </c>
      <c r="E7" s="225">
        <f ca="1">(E5-$F$6)/$F$6</f>
        <v>-0.65590536998313798</v>
      </c>
      <c r="F7" s="223">
        <f t="shared" ref="F7:G7" ca="1" si="1">(F5-$F$6)/$F$6</f>
        <v>-0.65278546177119434</v>
      </c>
      <c r="G7" s="227">
        <f t="shared" ca="1" si="1"/>
        <v>-0.7694660584829236</v>
      </c>
      <c r="H7" s="226">
        <f ca="1">(H5-$I$6)/$I$6</f>
        <v>0.10615292545004622</v>
      </c>
      <c r="I7" s="223">
        <f t="shared" ref="I7:J7" ca="1" si="2">(I5-$I$6)/$I$6</f>
        <v>-0.70224099545333574</v>
      </c>
      <c r="J7" s="224">
        <f t="shared" ca="1" si="2"/>
        <v>-0.77350657547153845</v>
      </c>
      <c r="K7" s="225">
        <f ca="1">(K5-$L$6)/$L$6</f>
        <v>-0.36824046802061766</v>
      </c>
      <c r="L7" s="223">
        <f t="shared" ref="L7:M7" ca="1" si="3">(L5-$L$6)/$L$6</f>
        <v>-0.87790112545165022</v>
      </c>
      <c r="M7" s="227">
        <f t="shared" ca="1" si="3"/>
        <v>-0.97586595546388422</v>
      </c>
      <c r="N7" s="226">
        <f ca="1">(N5-$O$6)/$O$6</f>
        <v>-0.62666298816032595</v>
      </c>
      <c r="O7" s="223">
        <f t="shared" ref="O7:P7" ca="1" si="4">(O5-$O$6)/$O$6</f>
        <v>-0.83000749453782319</v>
      </c>
      <c r="P7" s="224">
        <f t="shared" ca="1" si="4"/>
        <v>-0.92602669716986841</v>
      </c>
    </row>
    <row r="8" spans="1:16" x14ac:dyDescent="0.3">
      <c r="B8" s="205"/>
      <c r="C8" s="205"/>
      <c r="D8" s="205"/>
      <c r="E8" s="205"/>
      <c r="F8" s="205"/>
    </row>
  </sheetData>
  <mergeCells count="12">
    <mergeCell ref="A2:A3"/>
    <mergeCell ref="A1:P1"/>
    <mergeCell ref="B2:D2"/>
    <mergeCell ref="E2:G2"/>
    <mergeCell ref="H2:J2"/>
    <mergeCell ref="K2:M2"/>
    <mergeCell ref="N2:P2"/>
    <mergeCell ref="B4:D4"/>
    <mergeCell ref="E4:G4"/>
    <mergeCell ref="H4:J4"/>
    <mergeCell ref="K4:M4"/>
    <mergeCell ref="N4:P4"/>
  </mergeCells>
  <conditionalFormatting sqref="B8:F8">
    <cfRule type="cellIs" dxfId="3" priority="3" operator="lessThan">
      <formula>0</formula>
    </cfRule>
    <cfRule type="cellIs" dxfId="2" priority="4" operator="greaterThan">
      <formula>0</formula>
    </cfRule>
  </conditionalFormatting>
  <conditionalFormatting sqref="B7:P7">
    <cfRule type="cellIs" dxfId="1" priority="1" operator="lessThan">
      <formula>0</formula>
    </cfRule>
    <cfRule type="cellIs" dxfId="0" priority="2" operator="greaterThan">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Company Profile</vt:lpstr>
      <vt:lpstr>Balance Sheet</vt:lpstr>
      <vt:lpstr>Income Statement</vt:lpstr>
      <vt:lpstr>Cash flow statement</vt:lpstr>
      <vt:lpstr>Financial Ratios</vt:lpstr>
      <vt:lpstr>WACC</vt:lpstr>
      <vt:lpstr>Valuation</vt:lpstr>
      <vt:lpstr>Calc</vt:lpstr>
      <vt:lpstr>FCFF</vt:lpstr>
      <vt:lpstr>DDM</vt:lpstr>
      <vt:lpstr>RIM</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Akshat Gupta</dc:creator>
  <cp:lastModifiedBy>Akshat Gupta</cp:lastModifiedBy>
  <dcterms:created xsi:type="dcterms:W3CDTF">2015-06-05T18:17:20Z</dcterms:created>
  <dcterms:modified xsi:type="dcterms:W3CDTF">2025-11-10T12:05:11Z</dcterms:modified>
</cp:coreProperties>
</file>
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tables/table170.xml" ContentType="application/vnd.openxmlformats-officedocument.spreadsheetml.table+xml"/>
  <Override PartName="/xl/tables/table171.xml" ContentType="application/vnd.openxmlformats-officedocument.spreadsheetml.table+xml"/>
  <Override PartName="/xl/tables/table172.xml" ContentType="application/vnd.openxmlformats-officedocument.spreadsheetml.table+xml"/>
  <Override PartName="/xl/tables/table173.xml" ContentType="application/vnd.openxmlformats-officedocument.spreadsheetml.table+xml"/>
  <Override PartName="/xl/tables/table174.xml" ContentType="application/vnd.openxmlformats-officedocument.spreadsheetml.table+xml"/>
  <Override PartName="/xl/tables/table175.xml" ContentType="application/vnd.openxmlformats-officedocument.spreadsheetml.table+xml"/>
  <Override PartName="/xl/tables/table176.xml" ContentType="application/vnd.openxmlformats-officedocument.spreadsheetml.table+xml"/>
  <Override PartName="/xl/tables/table177.xml" ContentType="application/vnd.openxmlformats-officedocument.spreadsheetml.table+xml"/>
  <Override PartName="/xl/tables/table17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Music\Job &amp; Future\Fundamental Analysis Project-Flagship\Fundamental Analysis-India\"/>
    </mc:Choice>
  </mc:AlternateContent>
  <xr:revisionPtr revIDLastSave="0" documentId="13_ncr:1_{7CE11079-F012-4AF2-A44F-F4B2BC251E1A}" xr6:coauthVersionLast="47" xr6:coauthVersionMax="47" xr10:uidLastSave="{00000000-0000-0000-0000-000000000000}"/>
  <bookViews>
    <workbookView xWindow="13728" yWindow="0" windowWidth="9408" windowHeight="12336" firstSheet="6" activeTab="6" xr2:uid="{00000000-000D-0000-FFFF-FFFF00000000}"/>
  </bookViews>
  <sheets>
    <sheet name="Company Profile" sheetId="1" r:id="rId1"/>
    <sheet name="Balance Sheet" sheetId="2" r:id="rId2"/>
    <sheet name="Balance Sheet Forecast" sheetId="6" r:id="rId3"/>
    <sheet name="Income Statement" sheetId="3" r:id="rId4"/>
    <sheet name="Cash Flow Statement" sheetId="4" r:id="rId5"/>
    <sheet name="Cash Flow Statement Forecast" sheetId="8" r:id="rId6"/>
    <sheet name="Ratio Analysis" sheetId="5" r:id="rId7"/>
    <sheet name="WACC" sheetId="9" r:id="rId8"/>
    <sheet name="Income Statement Forecast" sheetId="7" r:id="rId9"/>
    <sheet name="Calc" sheetId="13" r:id="rId10"/>
    <sheet name="DCF" sheetId="10" r:id="rId11"/>
    <sheet name="Relative Valuation" sheetId="11" r:id="rId12"/>
    <sheet name="Senstivity Analysis" sheetId="12"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9" l="1"/>
  <c r="AP37" i="3"/>
  <c r="F17" i="13"/>
  <c r="E17" i="13"/>
  <c r="F16" i="13"/>
  <c r="F15" i="13"/>
  <c r="F14" i="13"/>
  <c r="F13" i="13"/>
  <c r="F12" i="13"/>
  <c r="F11" i="13"/>
  <c r="E12" i="13"/>
  <c r="E13" i="13"/>
  <c r="E14" i="13"/>
  <c r="E15" i="13"/>
  <c r="E16" i="13"/>
  <c r="E11" i="13"/>
  <c r="C24" i="13"/>
  <c r="C23" i="13"/>
  <c r="C22" i="13"/>
  <c r="C21" i="13"/>
  <c r="C20" i="13"/>
  <c r="C19" i="13"/>
  <c r="B25" i="13"/>
  <c r="B20" i="13"/>
  <c r="B21" i="13"/>
  <c r="B22" i="13"/>
  <c r="B23" i="13"/>
  <c r="B24" i="13"/>
  <c r="B19" i="13"/>
  <c r="C25" i="13" l="1"/>
  <c r="C15" i="13" l="1"/>
  <c r="C14" i="13"/>
  <c r="C13" i="13"/>
  <c r="C12" i="13"/>
  <c r="C11" i="13"/>
  <c r="B17" i="13"/>
  <c r="B12" i="13"/>
  <c r="B13" i="13"/>
  <c r="B14" i="13"/>
  <c r="B15" i="13"/>
  <c r="B16" i="13"/>
  <c r="B11" i="13"/>
  <c r="G3" i="13" l="1"/>
  <c r="G4" i="13"/>
  <c r="G5" i="13"/>
  <c r="G6" i="13"/>
  <c r="G2" i="13"/>
  <c r="F6" i="13"/>
  <c r="F5" i="13"/>
  <c r="F4" i="13"/>
  <c r="F3" i="13"/>
  <c r="F2" i="13"/>
  <c r="E6" i="13"/>
  <c r="E5" i="13"/>
  <c r="E4" i="13"/>
  <c r="E3" i="13"/>
  <c r="E2" i="13"/>
  <c r="D8" i="13"/>
  <c r="D3" i="13"/>
  <c r="D4" i="13"/>
  <c r="D5" i="13"/>
  <c r="D6" i="13"/>
  <c r="D7" i="13"/>
  <c r="D2" i="13"/>
  <c r="C7" i="13"/>
  <c r="C6" i="13"/>
  <c r="C5" i="13"/>
  <c r="C4" i="13"/>
  <c r="C3" i="13"/>
  <c r="C2" i="13"/>
  <c r="B7" i="13"/>
  <c r="B6" i="13"/>
  <c r="B5" i="13"/>
  <c r="B4" i="13"/>
  <c r="B3" i="13"/>
  <c r="B2" i="13"/>
  <c r="A3" i="13"/>
  <c r="A4" i="13"/>
  <c r="A5" i="13"/>
  <c r="A6" i="13"/>
  <c r="A7" i="13"/>
  <c r="A2" i="13"/>
  <c r="C53" i="7"/>
  <c r="C52" i="7"/>
  <c r="C51" i="7"/>
  <c r="C50" i="7"/>
  <c r="C49" i="7"/>
  <c r="C48" i="7"/>
  <c r="C47" i="7"/>
  <c r="B48" i="7"/>
  <c r="B49" i="7"/>
  <c r="B50" i="7"/>
  <c r="B51" i="7"/>
  <c r="B52" i="7"/>
  <c r="B47" i="7"/>
  <c r="C43" i="7" l="1"/>
  <c r="C45" i="7" s="1"/>
  <c r="C46" i="7" s="1"/>
  <c r="C41" i="7"/>
  <c r="C40" i="7"/>
  <c r="C39" i="7"/>
  <c r="C38" i="7"/>
  <c r="C37" i="7"/>
  <c r="C36" i="7"/>
  <c r="B37" i="7"/>
  <c r="B38" i="7"/>
  <c r="B39" i="7"/>
  <c r="B40" i="7"/>
  <c r="B41" i="7"/>
  <c r="B36" i="7"/>
  <c r="C34" i="7"/>
  <c r="C33" i="7"/>
  <c r="C32" i="7"/>
  <c r="C31" i="7"/>
  <c r="C30" i="7"/>
  <c r="C29" i="7"/>
  <c r="B34" i="7"/>
  <c r="B30" i="7"/>
  <c r="B31" i="7"/>
  <c r="B32" i="7"/>
  <c r="B33" i="7"/>
  <c r="B29" i="7"/>
  <c r="AQ88" i="3"/>
  <c r="AR88" i="3"/>
  <c r="AS88" i="3"/>
  <c r="AT88" i="3"/>
  <c r="AP88" i="3"/>
  <c r="AI88" i="3"/>
  <c r="AJ88" i="3"/>
  <c r="AK88" i="3"/>
  <c r="AL88" i="3"/>
  <c r="AH88" i="3"/>
  <c r="AA87" i="3"/>
  <c r="AB87" i="3"/>
  <c r="AC87" i="3"/>
  <c r="AD87" i="3"/>
  <c r="Z87" i="3"/>
  <c r="S83" i="3"/>
  <c r="T83" i="3"/>
  <c r="U83" i="3"/>
  <c r="V83" i="3"/>
  <c r="R83" i="3"/>
  <c r="K80" i="3"/>
  <c r="L80" i="3"/>
  <c r="M80" i="3"/>
  <c r="N80" i="3"/>
  <c r="J80" i="3"/>
  <c r="B65" i="3"/>
  <c r="C65" i="3"/>
  <c r="D65" i="3"/>
  <c r="E65" i="3"/>
  <c r="F65" i="3"/>
  <c r="C13" i="1" a="1"/>
  <c r="C13" i="1" s="1"/>
  <c r="D13" i="1" a="1"/>
  <c r="D13" i="1" s="1"/>
  <c r="E13" i="1" a="1"/>
  <c r="E13" i="1" s="1"/>
  <c r="F13" i="1" a="1"/>
  <c r="F13" i="1" s="1"/>
  <c r="G13" i="1" a="1"/>
  <c r="G13" i="1" s="1"/>
  <c r="B13" i="1" a="1"/>
  <c r="B13" i="1" s="1"/>
  <c r="G20" i="9"/>
  <c r="F20" i="9"/>
  <c r="E20" i="9"/>
  <c r="D20" i="9"/>
  <c r="C20" i="9"/>
  <c r="B20" i="9"/>
  <c r="AU27" i="5"/>
  <c r="AS27" i="5"/>
  <c r="AR27" i="5"/>
  <c r="AQ27" i="5"/>
  <c r="C42" i="7" l="1"/>
  <c r="C35" i="7"/>
  <c r="AU104" i="12"/>
  <c r="AT104" i="12"/>
  <c r="AP98" i="12"/>
  <c r="AQ98" i="12"/>
  <c r="AR98" i="12"/>
  <c r="AS98" i="12"/>
  <c r="AT98" i="12"/>
  <c r="AP99" i="12"/>
  <c r="AQ99" i="12"/>
  <c r="AR99" i="12"/>
  <c r="AS99" i="12"/>
  <c r="AT99" i="12"/>
  <c r="AP100" i="12"/>
  <c r="AQ100" i="12"/>
  <c r="AR100" i="12"/>
  <c r="AS100" i="12"/>
  <c r="AT100" i="12"/>
  <c r="AP101" i="12"/>
  <c r="AQ101" i="12"/>
  <c r="AR101" i="12"/>
  <c r="AS101" i="12"/>
  <c r="AT101" i="12"/>
  <c r="AQ97" i="12"/>
  <c r="AR97" i="12"/>
  <c r="AS97" i="12"/>
  <c r="AT97" i="12"/>
  <c r="AP97" i="12"/>
  <c r="AQ89" i="12"/>
  <c r="AR89" i="12"/>
  <c r="AS89" i="12"/>
  <c r="AT89" i="12"/>
  <c r="AQ90" i="12"/>
  <c r="AR90" i="12"/>
  <c r="AS90" i="12"/>
  <c r="AT90" i="12"/>
  <c r="AQ91" i="12"/>
  <c r="AR91" i="12"/>
  <c r="AS91" i="12"/>
  <c r="AT91" i="12"/>
  <c r="AQ92" i="12"/>
  <c r="AR92" i="12"/>
  <c r="AS92" i="12"/>
  <c r="AT92" i="12"/>
  <c r="AQ93" i="12"/>
  <c r="AR93" i="12"/>
  <c r="AS93" i="12"/>
  <c r="AT93" i="12"/>
  <c r="AP93" i="12"/>
  <c r="AP92" i="12"/>
  <c r="AP91" i="12"/>
  <c r="AP90" i="12"/>
  <c r="AP89" i="12"/>
  <c r="AU90" i="12"/>
  <c r="AU91" i="12"/>
  <c r="AU92" i="12"/>
  <c r="AU93" i="12"/>
  <c r="AU89" i="12"/>
  <c r="AP63" i="12"/>
  <c r="AQ63" i="12"/>
  <c r="AR63" i="12"/>
  <c r="AS63" i="12"/>
  <c r="AT63" i="12"/>
  <c r="AP64" i="12"/>
  <c r="AQ64" i="12"/>
  <c r="AR64" i="12"/>
  <c r="AS64" i="12"/>
  <c r="AT64" i="12"/>
  <c r="AP65" i="12"/>
  <c r="AQ65" i="12"/>
  <c r="AR65" i="12"/>
  <c r="AS65" i="12"/>
  <c r="AT65" i="12"/>
  <c r="AP66" i="12"/>
  <c r="AQ66" i="12"/>
  <c r="AR66" i="12"/>
  <c r="AS66" i="12"/>
  <c r="AT66" i="12"/>
  <c r="AQ62" i="12"/>
  <c r="AR62" i="12"/>
  <c r="AS62" i="12"/>
  <c r="AT62" i="12"/>
  <c r="AP62" i="12"/>
  <c r="AQ54" i="12"/>
  <c r="AR54" i="12"/>
  <c r="AS54" i="12"/>
  <c r="AT54" i="12"/>
  <c r="AQ55" i="12"/>
  <c r="AR55" i="12"/>
  <c r="AS55" i="12"/>
  <c r="AT55" i="12"/>
  <c r="AQ56" i="12"/>
  <c r="AR56" i="12"/>
  <c r="AS56" i="12"/>
  <c r="AT56" i="12"/>
  <c r="AQ57" i="12"/>
  <c r="AR57" i="12"/>
  <c r="AS57" i="12"/>
  <c r="AT57" i="12"/>
  <c r="AQ58" i="12"/>
  <c r="AR58" i="12"/>
  <c r="AS58" i="12"/>
  <c r="AT58" i="12"/>
  <c r="AP58" i="12"/>
  <c r="AP57" i="12"/>
  <c r="AP56" i="12"/>
  <c r="AP55" i="12"/>
  <c r="AP54" i="12"/>
  <c r="AU55" i="12"/>
  <c r="AU56" i="12"/>
  <c r="AU57" i="12"/>
  <c r="AU58" i="12"/>
  <c r="AU54" i="12"/>
  <c r="AO55" i="12"/>
  <c r="AO56" i="12"/>
  <c r="AO57" i="12"/>
  <c r="AO58" i="12"/>
  <c r="AO74" i="12"/>
  <c r="AO75" i="12"/>
  <c r="AO83" i="12" s="1"/>
  <c r="AO91" i="12" s="1"/>
  <c r="AO110" i="12" s="1"/>
  <c r="AO118" i="12" s="1"/>
  <c r="AO76" i="12"/>
  <c r="AO84" i="12" s="1"/>
  <c r="AO92" i="12" s="1"/>
  <c r="AO111" i="12" s="1"/>
  <c r="AO119" i="12" s="1"/>
  <c r="AO77" i="12"/>
  <c r="AO85" i="12" s="1"/>
  <c r="AO93" i="12" s="1"/>
  <c r="AO112" i="12" s="1"/>
  <c r="AO120" i="12" s="1"/>
  <c r="AO82" i="12"/>
  <c r="AO90" i="12" s="1"/>
  <c r="AO109" i="12" s="1"/>
  <c r="AO117" i="12" s="1"/>
  <c r="AO116" i="12"/>
  <c r="AO108" i="12"/>
  <c r="AO89" i="12"/>
  <c r="AO81" i="12"/>
  <c r="AO73" i="12"/>
  <c r="AO54" i="12"/>
  <c r="AU20" i="12"/>
  <c r="AU21" i="12"/>
  <c r="AU22" i="12"/>
  <c r="AU23" i="12"/>
  <c r="AU19" i="12"/>
  <c r="AG109" i="12"/>
  <c r="AG110" i="12"/>
  <c r="AG111" i="12"/>
  <c r="AG112" i="12"/>
  <c r="AG117" i="12"/>
  <c r="AG118" i="12"/>
  <c r="AG119" i="12"/>
  <c r="AG120" i="12"/>
  <c r="AG116" i="12"/>
  <c r="AG108" i="12"/>
  <c r="AM104" i="12"/>
  <c r="AL104" i="12"/>
  <c r="AH98" i="12"/>
  <c r="AI98" i="12"/>
  <c r="AJ98" i="12"/>
  <c r="AK98" i="12"/>
  <c r="AL98" i="12"/>
  <c r="AH99" i="12"/>
  <c r="AI99" i="12"/>
  <c r="AJ99" i="12"/>
  <c r="AK99" i="12"/>
  <c r="AL99" i="12"/>
  <c r="AH100" i="12"/>
  <c r="AI100" i="12"/>
  <c r="AJ100" i="12"/>
  <c r="AK100" i="12"/>
  <c r="AL100" i="12"/>
  <c r="AH101" i="12"/>
  <c r="AI101" i="12"/>
  <c r="AJ101" i="12"/>
  <c r="AK101" i="12"/>
  <c r="AL101" i="12"/>
  <c r="AI97" i="12"/>
  <c r="AJ97" i="12"/>
  <c r="AK97" i="12"/>
  <c r="AL97" i="12"/>
  <c r="AH97" i="12"/>
  <c r="AI89" i="12"/>
  <c r="AJ89" i="12"/>
  <c r="AK89" i="12"/>
  <c r="AL89" i="12"/>
  <c r="AI90" i="12"/>
  <c r="AJ90" i="12"/>
  <c r="AK90" i="12"/>
  <c r="AL90" i="12"/>
  <c r="AI91" i="12"/>
  <c r="AJ91" i="12"/>
  <c r="AK91" i="12"/>
  <c r="AL91" i="12"/>
  <c r="AI92" i="12"/>
  <c r="AJ92" i="12"/>
  <c r="AK92" i="12"/>
  <c r="AL92" i="12"/>
  <c r="AI93" i="12"/>
  <c r="AJ93" i="12"/>
  <c r="AK93" i="12"/>
  <c r="AL93" i="12"/>
  <c r="AH93" i="12"/>
  <c r="AH92" i="12"/>
  <c r="AH91" i="12"/>
  <c r="AH90" i="12"/>
  <c r="AH89" i="12"/>
  <c r="AH63" i="12"/>
  <c r="AI63" i="12"/>
  <c r="AJ63" i="12"/>
  <c r="AK63" i="12"/>
  <c r="AL63" i="12"/>
  <c r="AH64" i="12"/>
  <c r="AI64" i="12"/>
  <c r="AJ64" i="12"/>
  <c r="AK64" i="12"/>
  <c r="AL64" i="12"/>
  <c r="AH65" i="12"/>
  <c r="AI65" i="12"/>
  <c r="AJ65" i="12"/>
  <c r="AK65" i="12"/>
  <c r="AL65" i="12"/>
  <c r="AH66" i="12"/>
  <c r="AI66" i="12"/>
  <c r="AJ66" i="12"/>
  <c r="AK66" i="12"/>
  <c r="AL66" i="12"/>
  <c r="AI62" i="12"/>
  <c r="AJ62" i="12"/>
  <c r="AK62" i="12"/>
  <c r="AL62" i="12"/>
  <c r="AH62" i="12"/>
  <c r="AI54" i="12"/>
  <c r="AJ54" i="12"/>
  <c r="AK54" i="12"/>
  <c r="AL54" i="12"/>
  <c r="AI55" i="12"/>
  <c r="AJ55" i="12"/>
  <c r="AK55" i="12"/>
  <c r="AL55" i="12"/>
  <c r="AI56" i="12"/>
  <c r="AJ56" i="12"/>
  <c r="AK56" i="12"/>
  <c r="AL56" i="12"/>
  <c r="AI57" i="12"/>
  <c r="AJ57" i="12"/>
  <c r="AK57" i="12"/>
  <c r="AL57" i="12"/>
  <c r="AI58" i="12"/>
  <c r="AJ58" i="12"/>
  <c r="AK58" i="12"/>
  <c r="AL58" i="12"/>
  <c r="AH58" i="12"/>
  <c r="AH57" i="12"/>
  <c r="AH56" i="12"/>
  <c r="AH55" i="12"/>
  <c r="AH54" i="12"/>
  <c r="AG74" i="12"/>
  <c r="AG90" i="12" s="1"/>
  <c r="AM90" i="12" s="1"/>
  <c r="AG75" i="12"/>
  <c r="AG76" i="12"/>
  <c r="AG77" i="12"/>
  <c r="AG85" i="12" s="1"/>
  <c r="AG73" i="12"/>
  <c r="AG89" i="12" s="1"/>
  <c r="AM89" i="12" s="1"/>
  <c r="AG82" i="12"/>
  <c r="AG83" i="12"/>
  <c r="AG84" i="12"/>
  <c r="AG91" i="12"/>
  <c r="AG92" i="12"/>
  <c r="AM92" i="12" s="1"/>
  <c r="AG81" i="12"/>
  <c r="AM91" i="12"/>
  <c r="AG55" i="12"/>
  <c r="AG56" i="12"/>
  <c r="AG57" i="12"/>
  <c r="AG58" i="12"/>
  <c r="AM55" i="12"/>
  <c r="AM56" i="12"/>
  <c r="AM57" i="12"/>
  <c r="AM58" i="12"/>
  <c r="AG54" i="12"/>
  <c r="AM54" i="12" s="1"/>
  <c r="AM20" i="12"/>
  <c r="AM21" i="12"/>
  <c r="AM22" i="12"/>
  <c r="AM23" i="12"/>
  <c r="AM19" i="12"/>
  <c r="AE55" i="12"/>
  <c r="AE56" i="12"/>
  <c r="AE57" i="12"/>
  <c r="AE58" i="12"/>
  <c r="AE54" i="12"/>
  <c r="AE104" i="12"/>
  <c r="AD104" i="12"/>
  <c r="AD89" i="12"/>
  <c r="AD97" i="12" s="1"/>
  <c r="AD91" i="12"/>
  <c r="AD99" i="12" s="1"/>
  <c r="AE90" i="12"/>
  <c r="AA90" i="12" s="1"/>
  <c r="AA98" i="12" s="1"/>
  <c r="AE91" i="12"/>
  <c r="Z91" i="12" s="1"/>
  <c r="Z99" i="12" s="1"/>
  <c r="AE92" i="12"/>
  <c r="AA92" i="12" s="1"/>
  <c r="AA100" i="12" s="1"/>
  <c r="AE93" i="12"/>
  <c r="Z93" i="12" s="1"/>
  <c r="Z101" i="12" s="1"/>
  <c r="AE89" i="12"/>
  <c r="AA89" i="12" s="1"/>
  <c r="AA97" i="12" s="1"/>
  <c r="AB64" i="12"/>
  <c r="Z66" i="12"/>
  <c r="AA54" i="12"/>
  <c r="AA62" i="12" s="1"/>
  <c r="AB54" i="12"/>
  <c r="AB62" i="12" s="1"/>
  <c r="AC54" i="12"/>
  <c r="AC62" i="12" s="1"/>
  <c r="AD54" i="12"/>
  <c r="AD62" i="12" s="1"/>
  <c r="AA55" i="12"/>
  <c r="AA63" i="12" s="1"/>
  <c r="AB55" i="12"/>
  <c r="AB63" i="12" s="1"/>
  <c r="AC55" i="12"/>
  <c r="AC63" i="12" s="1"/>
  <c r="AD55" i="12"/>
  <c r="AD63" i="12" s="1"/>
  <c r="AA56" i="12"/>
  <c r="AA64" i="12" s="1"/>
  <c r="AB56" i="12"/>
  <c r="AC56" i="12"/>
  <c r="AC64" i="12" s="1"/>
  <c r="AD56" i="12"/>
  <c r="AD64" i="12" s="1"/>
  <c r="AA57" i="12"/>
  <c r="AA65" i="12" s="1"/>
  <c r="AB57" i="12"/>
  <c r="AB65" i="12" s="1"/>
  <c r="AC57" i="12"/>
  <c r="AC65" i="12" s="1"/>
  <c r="AD57" i="12"/>
  <c r="AD65" i="12" s="1"/>
  <c r="AA58" i="12"/>
  <c r="AA66" i="12" s="1"/>
  <c r="AB58" i="12"/>
  <c r="AB66" i="12" s="1"/>
  <c r="AC58" i="12"/>
  <c r="AC66" i="12" s="1"/>
  <c r="AD58" i="12"/>
  <c r="AD66" i="12" s="1"/>
  <c r="Z58" i="12"/>
  <c r="Z57" i="12"/>
  <c r="Z65" i="12" s="1"/>
  <c r="Z56" i="12"/>
  <c r="Z64" i="12" s="1"/>
  <c r="Z55" i="12"/>
  <c r="Z63" i="12" s="1"/>
  <c r="Z54" i="12"/>
  <c r="Z62" i="12" s="1"/>
  <c r="Y74" i="12"/>
  <c r="Y75" i="12"/>
  <c r="Y76" i="12"/>
  <c r="Y77" i="12"/>
  <c r="Y82" i="12"/>
  <c r="Y90" i="12" s="1"/>
  <c r="Y109" i="12" s="1"/>
  <c r="Y117" i="12" s="1"/>
  <c r="Y83" i="12"/>
  <c r="Y91" i="12" s="1"/>
  <c r="Y110" i="12" s="1"/>
  <c r="Y118" i="12" s="1"/>
  <c r="Y84" i="12"/>
  <c r="Y92" i="12" s="1"/>
  <c r="Y111" i="12" s="1"/>
  <c r="Y119" i="12" s="1"/>
  <c r="Y85" i="12"/>
  <c r="Y93" i="12" s="1"/>
  <c r="Y112" i="12" s="1"/>
  <c r="Y120" i="12" s="1"/>
  <c r="Y116" i="12"/>
  <c r="Y108" i="12"/>
  <c r="Y89" i="12"/>
  <c r="Y81" i="12"/>
  <c r="Y73" i="12"/>
  <c r="Y55" i="12"/>
  <c r="Y56" i="12"/>
  <c r="Y57" i="12"/>
  <c r="Y58" i="12"/>
  <c r="Y54" i="12"/>
  <c r="AE20" i="12"/>
  <c r="AE21" i="12"/>
  <c r="AE22" i="12"/>
  <c r="AE23" i="12"/>
  <c r="AE19" i="12"/>
  <c r="V104" i="12"/>
  <c r="W104" i="12"/>
  <c r="R98" i="12"/>
  <c r="S98" i="12"/>
  <c r="T98" i="12"/>
  <c r="U98" i="12"/>
  <c r="V98" i="12"/>
  <c r="R99" i="12"/>
  <c r="S99" i="12"/>
  <c r="T99" i="12"/>
  <c r="U99" i="12"/>
  <c r="V99" i="12"/>
  <c r="R100" i="12"/>
  <c r="S100" i="12"/>
  <c r="T100" i="12"/>
  <c r="U100" i="12"/>
  <c r="V100" i="12"/>
  <c r="R101" i="12"/>
  <c r="S101" i="12"/>
  <c r="T101" i="12"/>
  <c r="U101" i="12"/>
  <c r="V101" i="12"/>
  <c r="S97" i="12"/>
  <c r="T97" i="12"/>
  <c r="U97" i="12"/>
  <c r="V97" i="12"/>
  <c r="R97" i="12"/>
  <c r="S90" i="12"/>
  <c r="T90" i="12"/>
  <c r="U90" i="12"/>
  <c r="V90" i="12"/>
  <c r="S91" i="12"/>
  <c r="T91" i="12"/>
  <c r="U91" i="12"/>
  <c r="V91" i="12"/>
  <c r="S92" i="12"/>
  <c r="T92" i="12"/>
  <c r="U92" i="12"/>
  <c r="V92" i="12"/>
  <c r="S93" i="12"/>
  <c r="T93" i="12"/>
  <c r="U93" i="12"/>
  <c r="V93" i="12"/>
  <c r="R93" i="12"/>
  <c r="R92" i="12"/>
  <c r="R91" i="12"/>
  <c r="R90" i="12"/>
  <c r="S89" i="12"/>
  <c r="T89" i="12"/>
  <c r="U89" i="12"/>
  <c r="V89" i="12"/>
  <c r="R89" i="12"/>
  <c r="R63" i="12"/>
  <c r="S63" i="12"/>
  <c r="T63" i="12"/>
  <c r="U63" i="12"/>
  <c r="V63" i="12"/>
  <c r="R64" i="12"/>
  <c r="S64" i="12"/>
  <c r="T64" i="12"/>
  <c r="U64" i="12"/>
  <c r="V64" i="12"/>
  <c r="R65" i="12"/>
  <c r="S65" i="12"/>
  <c r="T65" i="12"/>
  <c r="U65" i="12"/>
  <c r="V65" i="12"/>
  <c r="R66" i="12"/>
  <c r="S66" i="12"/>
  <c r="T66" i="12"/>
  <c r="U66" i="12"/>
  <c r="V66" i="12"/>
  <c r="S62" i="12"/>
  <c r="T62" i="12"/>
  <c r="U62" i="12"/>
  <c r="V62" i="12"/>
  <c r="R62" i="12"/>
  <c r="S54" i="12"/>
  <c r="T54" i="12"/>
  <c r="U54" i="12"/>
  <c r="V54" i="12"/>
  <c r="S55" i="12"/>
  <c r="T55" i="12"/>
  <c r="U55" i="12"/>
  <c r="V55" i="12"/>
  <c r="S56" i="12"/>
  <c r="T56" i="12"/>
  <c r="U56" i="12"/>
  <c r="V56" i="12"/>
  <c r="S57" i="12"/>
  <c r="T57" i="12"/>
  <c r="U57" i="12"/>
  <c r="V57" i="12"/>
  <c r="S58" i="12"/>
  <c r="T58" i="12"/>
  <c r="U58" i="12"/>
  <c r="V58" i="12"/>
  <c r="R58" i="12"/>
  <c r="R57" i="12"/>
  <c r="R56" i="12"/>
  <c r="R55" i="12"/>
  <c r="R54" i="12"/>
  <c r="W20" i="12"/>
  <c r="W55" i="12" s="1"/>
  <c r="W90" i="12" s="1"/>
  <c r="W21" i="12"/>
  <c r="W22" i="12"/>
  <c r="W57" i="12" s="1"/>
  <c r="W92" i="12" s="1"/>
  <c r="W23" i="12"/>
  <c r="W19" i="12"/>
  <c r="W93" i="12"/>
  <c r="W56" i="12"/>
  <c r="W91" i="12" s="1"/>
  <c r="W58" i="12"/>
  <c r="W54" i="12"/>
  <c r="W89" i="12" s="1"/>
  <c r="Q55" i="12"/>
  <c r="Q56" i="12"/>
  <c r="Q57" i="12"/>
  <c r="Q58" i="12"/>
  <c r="Q74" i="12"/>
  <c r="Q82" i="12" s="1"/>
  <c r="Q90" i="12" s="1"/>
  <c r="Q109" i="12" s="1"/>
  <c r="Q117" i="12" s="1"/>
  <c r="Q75" i="12"/>
  <c r="Q83" i="12" s="1"/>
  <c r="Q91" i="12" s="1"/>
  <c r="Q110" i="12" s="1"/>
  <c r="Q118" i="12" s="1"/>
  <c r="Q76" i="12"/>
  <c r="Q84" i="12" s="1"/>
  <c r="Q92" i="12" s="1"/>
  <c r="Q111" i="12" s="1"/>
  <c r="Q119" i="12" s="1"/>
  <c r="Q77" i="12"/>
  <c r="Q85" i="12" s="1"/>
  <c r="Q93" i="12" s="1"/>
  <c r="Q112" i="12" s="1"/>
  <c r="Q120" i="12" s="1"/>
  <c r="Q116" i="12"/>
  <c r="Q108" i="12"/>
  <c r="Q89" i="12"/>
  <c r="Q81" i="12"/>
  <c r="Q73" i="12"/>
  <c r="Q54" i="12"/>
  <c r="O104" i="12"/>
  <c r="N104" i="12"/>
  <c r="J98" i="12"/>
  <c r="K98" i="12"/>
  <c r="L98" i="12"/>
  <c r="M98" i="12"/>
  <c r="N98" i="12"/>
  <c r="J99" i="12"/>
  <c r="K99" i="12"/>
  <c r="L99" i="12"/>
  <c r="M99" i="12"/>
  <c r="N99" i="12"/>
  <c r="J100" i="12"/>
  <c r="K100" i="12"/>
  <c r="L100" i="12"/>
  <c r="M100" i="12"/>
  <c r="N100" i="12"/>
  <c r="J101" i="12"/>
  <c r="K101" i="12"/>
  <c r="L101" i="12"/>
  <c r="M101" i="12"/>
  <c r="N101" i="12"/>
  <c r="K97" i="12"/>
  <c r="L97" i="12"/>
  <c r="M97" i="12"/>
  <c r="N97" i="12"/>
  <c r="J97" i="12"/>
  <c r="K90" i="12"/>
  <c r="L90" i="12"/>
  <c r="M90" i="12"/>
  <c r="N90" i="12"/>
  <c r="K91" i="12"/>
  <c r="L91" i="12"/>
  <c r="M91" i="12"/>
  <c r="N91" i="12"/>
  <c r="K92" i="12"/>
  <c r="L92" i="12"/>
  <c r="M92" i="12"/>
  <c r="N92" i="12"/>
  <c r="K93" i="12"/>
  <c r="L93" i="12"/>
  <c r="M93" i="12"/>
  <c r="N93" i="12"/>
  <c r="J93" i="12"/>
  <c r="J92" i="12"/>
  <c r="J91" i="12"/>
  <c r="J90" i="12"/>
  <c r="K89" i="12"/>
  <c r="L89" i="12"/>
  <c r="M89" i="12"/>
  <c r="N89" i="12"/>
  <c r="J89" i="12"/>
  <c r="O90" i="12"/>
  <c r="O91" i="12"/>
  <c r="O92" i="12"/>
  <c r="O93" i="12"/>
  <c r="O89" i="12"/>
  <c r="J63" i="12"/>
  <c r="K63" i="12"/>
  <c r="L63" i="12"/>
  <c r="M63" i="12"/>
  <c r="N63" i="12"/>
  <c r="J64" i="12"/>
  <c r="K64" i="12"/>
  <c r="L64" i="12"/>
  <c r="M64" i="12"/>
  <c r="N64" i="12"/>
  <c r="J65" i="12"/>
  <c r="K65" i="12"/>
  <c r="L65" i="12"/>
  <c r="M65" i="12"/>
  <c r="N65" i="12"/>
  <c r="J66" i="12"/>
  <c r="K66" i="12"/>
  <c r="L66" i="12"/>
  <c r="M66" i="12"/>
  <c r="N66" i="12"/>
  <c r="K62" i="12"/>
  <c r="L62" i="12"/>
  <c r="M62" i="12"/>
  <c r="N62" i="12"/>
  <c r="J62" i="12"/>
  <c r="K54" i="12"/>
  <c r="L54" i="12"/>
  <c r="M54" i="12"/>
  <c r="N54" i="12"/>
  <c r="K55" i="12"/>
  <c r="L55" i="12"/>
  <c r="M55" i="12"/>
  <c r="N55" i="12"/>
  <c r="K56" i="12"/>
  <c r="L56" i="12"/>
  <c r="M56" i="12"/>
  <c r="N56" i="12"/>
  <c r="K57" i="12"/>
  <c r="L57" i="12"/>
  <c r="M57" i="12"/>
  <c r="N57" i="12"/>
  <c r="K58" i="12"/>
  <c r="L58" i="12"/>
  <c r="M58" i="12"/>
  <c r="N58" i="12"/>
  <c r="J58" i="12"/>
  <c r="J57" i="12"/>
  <c r="J56" i="12"/>
  <c r="J55" i="12"/>
  <c r="J54" i="12"/>
  <c r="O55" i="12"/>
  <c r="O56" i="12"/>
  <c r="O57" i="12"/>
  <c r="O58" i="12"/>
  <c r="O54" i="12"/>
  <c r="O20" i="12"/>
  <c r="O21" i="12"/>
  <c r="O22" i="12"/>
  <c r="O23" i="12"/>
  <c r="O19" i="12"/>
  <c r="G104" i="12"/>
  <c r="AH34" i="12"/>
  <c r="Z34" i="12"/>
  <c r="S34" i="12"/>
  <c r="K34" i="12"/>
  <c r="J34" i="12"/>
  <c r="AO23" i="12"/>
  <c r="AO42" i="12" s="1"/>
  <c r="AO50" i="12" s="1"/>
  <c r="AO22" i="12"/>
  <c r="AO41" i="12" s="1"/>
  <c r="AO49" i="12" s="1"/>
  <c r="AO21" i="12"/>
  <c r="AO40" i="12" s="1"/>
  <c r="AO48" i="12" s="1"/>
  <c r="AO20" i="12"/>
  <c r="AO39" i="12" s="1"/>
  <c r="AO47" i="12" s="1"/>
  <c r="AO19" i="12"/>
  <c r="AO38" i="12" s="1"/>
  <c r="AO46" i="12" s="1"/>
  <c r="AG23" i="12"/>
  <c r="AG42" i="12" s="1"/>
  <c r="AG50" i="12" s="1"/>
  <c r="AG22" i="12"/>
  <c r="AG41" i="12" s="1"/>
  <c r="AG49" i="12" s="1"/>
  <c r="AG21" i="12"/>
  <c r="AG40" i="12" s="1"/>
  <c r="AG48" i="12" s="1"/>
  <c r="AG20" i="12"/>
  <c r="AG39" i="12" s="1"/>
  <c r="AG47" i="12" s="1"/>
  <c r="AG19" i="12"/>
  <c r="Y20" i="12"/>
  <c r="Y39" i="12" s="1"/>
  <c r="Y47" i="12" s="1"/>
  <c r="Y21" i="12"/>
  <c r="Y40" i="12" s="1"/>
  <c r="Y48" i="12" s="1"/>
  <c r="Y22" i="12"/>
  <c r="Y41" i="12" s="1"/>
  <c r="Y49" i="12" s="1"/>
  <c r="Y23" i="12"/>
  <c r="Y42" i="12" s="1"/>
  <c r="Y50" i="12" s="1"/>
  <c r="Y19" i="12"/>
  <c r="Y38" i="12" s="1"/>
  <c r="Y46" i="12" s="1"/>
  <c r="Q20" i="12"/>
  <c r="Q39" i="12" s="1"/>
  <c r="Q47" i="12" s="1"/>
  <c r="Q21" i="12"/>
  <c r="Q40" i="12" s="1"/>
  <c r="Q48" i="12" s="1"/>
  <c r="Q22" i="12"/>
  <c r="Q41" i="12" s="1"/>
  <c r="Q49" i="12" s="1"/>
  <c r="Q23" i="12"/>
  <c r="Q42" i="12" s="1"/>
  <c r="Q50" i="12" s="1"/>
  <c r="Q19" i="12"/>
  <c r="Q38" i="12" s="1"/>
  <c r="Q46" i="12" s="1"/>
  <c r="I19" i="12"/>
  <c r="I38" i="12" s="1"/>
  <c r="I46" i="12" s="1"/>
  <c r="I54" i="12" s="1"/>
  <c r="I73" i="12" s="1"/>
  <c r="I81" i="12" s="1"/>
  <c r="I89" i="12" s="1"/>
  <c r="I108" i="12" s="1"/>
  <c r="I116" i="12" s="1"/>
  <c r="I20" i="12"/>
  <c r="I21" i="12"/>
  <c r="I22" i="12"/>
  <c r="I41" i="12" s="1"/>
  <c r="I49" i="12" s="1"/>
  <c r="I57" i="12" s="1"/>
  <c r="I76" i="12" s="1"/>
  <c r="I84" i="12" s="1"/>
  <c r="I92" i="12" s="1"/>
  <c r="I111" i="12" s="1"/>
  <c r="I119" i="12" s="1"/>
  <c r="I23" i="12"/>
  <c r="I42" i="12" s="1"/>
  <c r="I50" i="12" s="1"/>
  <c r="I58" i="12" s="1"/>
  <c r="I77" i="12" s="1"/>
  <c r="I85" i="12" s="1"/>
  <c r="I93" i="12" s="1"/>
  <c r="I112" i="12" s="1"/>
  <c r="I120" i="12" s="1"/>
  <c r="A20" i="12"/>
  <c r="A39" i="12" s="1"/>
  <c r="A47" i="12" s="1"/>
  <c r="A55" i="12" s="1"/>
  <c r="A74" i="12" s="1"/>
  <c r="A82" i="12" s="1"/>
  <c r="A90" i="12" s="1"/>
  <c r="A109" i="12" s="1"/>
  <c r="A117" i="12" s="1"/>
  <c r="A21" i="12"/>
  <c r="A40" i="12" s="1"/>
  <c r="A48" i="12" s="1"/>
  <c r="A56" i="12" s="1"/>
  <c r="A75" i="12" s="1"/>
  <c r="A83" i="12" s="1"/>
  <c r="A91" i="12" s="1"/>
  <c r="A110" i="12" s="1"/>
  <c r="A118" i="12" s="1"/>
  <c r="A22" i="12"/>
  <c r="A41" i="12" s="1"/>
  <c r="A49" i="12" s="1"/>
  <c r="A57" i="12" s="1"/>
  <c r="A76" i="12" s="1"/>
  <c r="A84" i="12" s="1"/>
  <c r="A92" i="12" s="1"/>
  <c r="A111" i="12" s="1"/>
  <c r="A119" i="12" s="1"/>
  <c r="A23" i="12"/>
  <c r="A42" i="12" s="1"/>
  <c r="A50" i="12" s="1"/>
  <c r="A58" i="12" s="1"/>
  <c r="A77" i="12" s="1"/>
  <c r="A85" i="12" s="1"/>
  <c r="A93" i="12" s="1"/>
  <c r="A112" i="12" s="1"/>
  <c r="A120" i="12" s="1"/>
  <c r="A19" i="12"/>
  <c r="B7" i="12"/>
  <c r="B6" i="12"/>
  <c r="B5" i="12"/>
  <c r="B4" i="12"/>
  <c r="B3" i="12"/>
  <c r="B2" i="12"/>
  <c r="AG93" i="12" l="1"/>
  <c r="AM93" i="12" s="1"/>
  <c r="AC93" i="12"/>
  <c r="AC101" i="12" s="1"/>
  <c r="AC91" i="12"/>
  <c r="AC99" i="12" s="1"/>
  <c r="AB93" i="12"/>
  <c r="AB101" i="12" s="1"/>
  <c r="AB91" i="12"/>
  <c r="AB99" i="12" s="1"/>
  <c r="AA93" i="12"/>
  <c r="AA101" i="12" s="1"/>
  <c r="AA91" i="12"/>
  <c r="AA99" i="12" s="1"/>
  <c r="Z90" i="12"/>
  <c r="Z98" i="12" s="1"/>
  <c r="AD92" i="12"/>
  <c r="AD100" i="12" s="1"/>
  <c r="AD90" i="12"/>
  <c r="AD98" i="12" s="1"/>
  <c r="AC92" i="12"/>
  <c r="AC100" i="12" s="1"/>
  <c r="AC90" i="12"/>
  <c r="AC98" i="12" s="1"/>
  <c r="Z92" i="12"/>
  <c r="Z100" i="12" s="1"/>
  <c r="AB92" i="12"/>
  <c r="AB100" i="12" s="1"/>
  <c r="AB90" i="12"/>
  <c r="AB98" i="12" s="1"/>
  <c r="AD93" i="12"/>
  <c r="AD101" i="12" s="1"/>
  <c r="AC89" i="12"/>
  <c r="AC97" i="12" s="1"/>
  <c r="AB89" i="12"/>
  <c r="AB97" i="12" s="1"/>
  <c r="Z89" i="12"/>
  <c r="Z97" i="12" s="1"/>
  <c r="D21" i="12"/>
  <c r="D29" i="12" s="1"/>
  <c r="AI19" i="12"/>
  <c r="AI27" i="12" s="1"/>
  <c r="G19" i="12"/>
  <c r="G23" i="12"/>
  <c r="G58" i="12" s="1"/>
  <c r="G22" i="12"/>
  <c r="G57" i="12" s="1"/>
  <c r="G21" i="12"/>
  <c r="G56" i="12" s="1"/>
  <c r="G20" i="12"/>
  <c r="G55" i="12" s="1"/>
  <c r="D19" i="12"/>
  <c r="D27" i="12" s="1"/>
  <c r="T20" i="12"/>
  <c r="T28" i="12" s="1"/>
  <c r="N22" i="12"/>
  <c r="N30" i="12" s="1"/>
  <c r="AR23" i="12"/>
  <c r="AR31" i="12" s="1"/>
  <c r="AD19" i="12"/>
  <c r="AD27" i="12" s="1"/>
  <c r="D22" i="12"/>
  <c r="D30" i="12" s="1"/>
  <c r="T23" i="12"/>
  <c r="T31" i="12" s="1"/>
  <c r="T21" i="12"/>
  <c r="T29" i="12" s="1"/>
  <c r="AR21" i="12"/>
  <c r="AR29" i="12" s="1"/>
  <c r="S21" i="12"/>
  <c r="S29" i="12" s="1"/>
  <c r="Z20" i="12"/>
  <c r="Z28" i="12" s="1"/>
  <c r="N21" i="12"/>
  <c r="N29" i="12" s="1"/>
  <c r="T19" i="12"/>
  <c r="T27" i="12" s="1"/>
  <c r="Z21" i="12"/>
  <c r="Z29" i="12" s="1"/>
  <c r="N20" i="12"/>
  <c r="N28" i="12" s="1"/>
  <c r="S19" i="12"/>
  <c r="S27" i="12" s="1"/>
  <c r="AD22" i="12"/>
  <c r="AD30" i="12" s="1"/>
  <c r="AC22" i="12"/>
  <c r="AC30" i="12" s="1"/>
  <c r="AH23" i="12"/>
  <c r="AH31" i="12" s="1"/>
  <c r="B22" i="12"/>
  <c r="B30" i="12" s="1"/>
  <c r="J20" i="12"/>
  <c r="J28" i="12" s="1"/>
  <c r="R19" i="12"/>
  <c r="R27" i="12" s="1"/>
  <c r="AD20" i="12"/>
  <c r="AD28" i="12" s="1"/>
  <c r="AL23" i="12"/>
  <c r="AL31" i="12" s="1"/>
  <c r="AS23" i="12"/>
  <c r="AS31" i="12" s="1"/>
  <c r="AC20" i="12"/>
  <c r="AC28" i="12" s="1"/>
  <c r="AI22" i="12"/>
  <c r="AI30" i="12" s="1"/>
  <c r="N23" i="12"/>
  <c r="N31" i="12" s="1"/>
  <c r="AS20" i="12"/>
  <c r="AS28" i="12" s="1"/>
  <c r="C22" i="12"/>
  <c r="C30" i="12" s="1"/>
  <c r="M23" i="12"/>
  <c r="M31" i="12" s="1"/>
  <c r="S23" i="12"/>
  <c r="S31" i="12" s="1"/>
  <c r="AH19" i="12"/>
  <c r="AH27" i="12" s="1"/>
  <c r="AL21" i="12"/>
  <c r="AL29" i="12" s="1"/>
  <c r="AS21" i="12"/>
  <c r="AS29" i="12" s="1"/>
  <c r="B19" i="12"/>
  <c r="B27" i="12" s="1"/>
  <c r="D20" i="12"/>
  <c r="D28" i="12" s="1"/>
  <c r="C23" i="12"/>
  <c r="C31" i="12" s="1"/>
  <c r="C21" i="12"/>
  <c r="C29" i="12" s="1"/>
  <c r="M19" i="12"/>
  <c r="M27" i="12" s="1"/>
  <c r="J21" i="12"/>
  <c r="J29" i="12" s="1"/>
  <c r="M22" i="12"/>
  <c r="M30" i="12" s="1"/>
  <c r="R23" i="12"/>
  <c r="R31" i="12" s="1"/>
  <c r="S22" i="12"/>
  <c r="S30" i="12" s="1"/>
  <c r="S20" i="12"/>
  <c r="S28" i="12" s="1"/>
  <c r="AC23" i="12"/>
  <c r="AC31" i="12" s="1"/>
  <c r="AC21" i="12"/>
  <c r="AC29" i="12" s="1"/>
  <c r="AC19" i="12"/>
  <c r="AC27" i="12" s="1"/>
  <c r="AH20" i="12"/>
  <c r="AH28" i="12" s="1"/>
  <c r="AL22" i="12"/>
  <c r="AL30" i="12" s="1"/>
  <c r="AL20" i="12"/>
  <c r="AL28" i="12" s="1"/>
  <c r="AP22" i="12"/>
  <c r="AP30" i="12" s="1"/>
  <c r="AR22" i="12"/>
  <c r="AR30" i="12" s="1"/>
  <c r="AR20" i="12"/>
  <c r="AR28" i="12" s="1"/>
  <c r="F19" i="12"/>
  <c r="F27" i="12" s="1"/>
  <c r="C20" i="12"/>
  <c r="C28" i="12" s="1"/>
  <c r="F22" i="12"/>
  <c r="F30" i="12" s="1"/>
  <c r="L19" i="12"/>
  <c r="L27" i="12" s="1"/>
  <c r="J22" i="12"/>
  <c r="J30" i="12" s="1"/>
  <c r="L22" i="12"/>
  <c r="L30" i="12" s="1"/>
  <c r="V23" i="12"/>
  <c r="V31" i="12" s="1"/>
  <c r="V21" i="12"/>
  <c r="V29" i="12" s="1"/>
  <c r="V19" i="12"/>
  <c r="V27" i="12" s="1"/>
  <c r="AB23" i="12"/>
  <c r="AB31" i="12" s="1"/>
  <c r="AB21" i="12"/>
  <c r="AB29" i="12" s="1"/>
  <c r="AB19" i="12"/>
  <c r="AB27" i="12" s="1"/>
  <c r="AH21" i="12"/>
  <c r="AH29" i="12" s="1"/>
  <c r="AK22" i="12"/>
  <c r="AK30" i="12" s="1"/>
  <c r="AK20" i="12"/>
  <c r="AK28" i="12" s="1"/>
  <c r="AP23" i="12"/>
  <c r="AP31" i="12" s="1"/>
  <c r="AQ22" i="12"/>
  <c r="AQ30" i="12" s="1"/>
  <c r="AQ20" i="12"/>
  <c r="AQ28" i="12" s="1"/>
  <c r="AL19" i="12"/>
  <c r="AL27" i="12" s="1"/>
  <c r="E19" i="12"/>
  <c r="E27" i="12" s="1"/>
  <c r="B21" i="12"/>
  <c r="B29" i="12" s="1"/>
  <c r="E22" i="12"/>
  <c r="E30" i="12" s="1"/>
  <c r="K19" i="12"/>
  <c r="K27" i="12" s="1"/>
  <c r="J23" i="12"/>
  <c r="J31" i="12" s="1"/>
  <c r="K22" i="12"/>
  <c r="K30" i="12" s="1"/>
  <c r="U23" i="12"/>
  <c r="U31" i="12" s="1"/>
  <c r="U21" i="12"/>
  <c r="U29" i="12" s="1"/>
  <c r="U19" i="12"/>
  <c r="U27" i="12" s="1"/>
  <c r="Z19" i="12"/>
  <c r="Z27" i="12" s="1"/>
  <c r="AA23" i="12"/>
  <c r="AA31" i="12" s="1"/>
  <c r="AA21" i="12"/>
  <c r="AA29" i="12" s="1"/>
  <c r="AA19" i="12"/>
  <c r="AA27" i="12" s="1"/>
  <c r="AH22" i="12"/>
  <c r="AH30" i="12" s="1"/>
  <c r="AJ22" i="12"/>
  <c r="AJ30" i="12" s="1"/>
  <c r="AJ20" i="12"/>
  <c r="AJ28" i="12" s="1"/>
  <c r="AT23" i="12"/>
  <c r="AT31" i="12" s="1"/>
  <c r="AT21" i="12"/>
  <c r="AT29" i="12" s="1"/>
  <c r="AT19" i="12"/>
  <c r="AT27" i="12" s="1"/>
  <c r="I40" i="12"/>
  <c r="I48" i="12" s="1"/>
  <c r="I56" i="12" s="1"/>
  <c r="I75" i="12" s="1"/>
  <c r="I83" i="12" s="1"/>
  <c r="I91" i="12" s="1"/>
  <c r="I110" i="12" s="1"/>
  <c r="I118" i="12" s="1"/>
  <c r="AI20" i="12"/>
  <c r="AI28" i="12" s="1"/>
  <c r="AS19" i="12"/>
  <c r="AS27" i="12" s="1"/>
  <c r="I39" i="12"/>
  <c r="I47" i="12" s="1"/>
  <c r="I55" i="12" s="1"/>
  <c r="I74" i="12" s="1"/>
  <c r="I82" i="12" s="1"/>
  <c r="I90" i="12" s="1"/>
  <c r="I109" i="12" s="1"/>
  <c r="I117" i="12" s="1"/>
  <c r="C19" i="12"/>
  <c r="C27" i="12" s="1"/>
  <c r="B20" i="12"/>
  <c r="B28" i="12" s="1"/>
  <c r="F23" i="12"/>
  <c r="F31" i="12" s="1"/>
  <c r="F21" i="12"/>
  <c r="F29" i="12" s="1"/>
  <c r="M20" i="12"/>
  <c r="M28" i="12" s="1"/>
  <c r="L23" i="12"/>
  <c r="L31" i="12" s="1"/>
  <c r="L21" i="12"/>
  <c r="L29" i="12" s="1"/>
  <c r="R20" i="12"/>
  <c r="R28" i="12" s="1"/>
  <c r="V22" i="12"/>
  <c r="V30" i="12" s="1"/>
  <c r="V20" i="12"/>
  <c r="V28" i="12" s="1"/>
  <c r="Z22" i="12"/>
  <c r="Z30" i="12" s="1"/>
  <c r="AB22" i="12"/>
  <c r="AB30" i="12" s="1"/>
  <c r="AB20" i="12"/>
  <c r="AB28" i="12" s="1"/>
  <c r="AK23" i="12"/>
  <c r="AK31" i="12" s="1"/>
  <c r="AK21" i="12"/>
  <c r="AK29" i="12" s="1"/>
  <c r="AK19" i="12"/>
  <c r="AK27" i="12" s="1"/>
  <c r="AP19" i="12"/>
  <c r="AP27" i="12" s="1"/>
  <c r="AQ23" i="12"/>
  <c r="AQ31" i="12" s="1"/>
  <c r="AQ21" i="12"/>
  <c r="AQ29" i="12" s="1"/>
  <c r="AQ19" i="12"/>
  <c r="AQ27" i="12" s="1"/>
  <c r="B23" i="12"/>
  <c r="B31" i="12" s="1"/>
  <c r="M21" i="12"/>
  <c r="M29" i="12" s="1"/>
  <c r="AR19" i="12"/>
  <c r="AR27" i="12" s="1"/>
  <c r="F20" i="12"/>
  <c r="F28" i="12" s="1"/>
  <c r="E23" i="12"/>
  <c r="E31" i="12" s="1"/>
  <c r="E21" i="12"/>
  <c r="E29" i="12" s="1"/>
  <c r="J19" i="12"/>
  <c r="J27" i="12" s="1"/>
  <c r="L20" i="12"/>
  <c r="L28" i="12" s="1"/>
  <c r="K23" i="12"/>
  <c r="K31" i="12" s="1"/>
  <c r="K21" i="12"/>
  <c r="K29" i="12" s="1"/>
  <c r="R21" i="12"/>
  <c r="R29" i="12" s="1"/>
  <c r="U22" i="12"/>
  <c r="U30" i="12" s="1"/>
  <c r="U20" i="12"/>
  <c r="U28" i="12" s="1"/>
  <c r="Z23" i="12"/>
  <c r="Z31" i="12" s="1"/>
  <c r="AA22" i="12"/>
  <c r="AA30" i="12" s="1"/>
  <c r="AA20" i="12"/>
  <c r="AA28" i="12" s="1"/>
  <c r="AJ23" i="12"/>
  <c r="AJ31" i="12" s="1"/>
  <c r="AJ21" i="12"/>
  <c r="AJ29" i="12" s="1"/>
  <c r="AJ19" i="12"/>
  <c r="AJ27" i="12" s="1"/>
  <c r="AP20" i="12"/>
  <c r="AP28" i="12" s="1"/>
  <c r="AT22" i="12"/>
  <c r="AT30" i="12" s="1"/>
  <c r="AT20" i="12"/>
  <c r="AT28" i="12" s="1"/>
  <c r="A38" i="12"/>
  <c r="A46" i="12" s="1"/>
  <c r="A54" i="12" s="1"/>
  <c r="A73" i="12" s="1"/>
  <c r="A81" i="12" s="1"/>
  <c r="A89" i="12" s="1"/>
  <c r="A108" i="12" s="1"/>
  <c r="A116" i="12" s="1"/>
  <c r="AG38" i="12"/>
  <c r="AG46" i="12" s="1"/>
  <c r="E20" i="12"/>
  <c r="E28" i="12" s="1"/>
  <c r="D23" i="12"/>
  <c r="D31" i="12" s="1"/>
  <c r="N19" i="12"/>
  <c r="N27" i="12" s="1"/>
  <c r="K20" i="12"/>
  <c r="K28" i="12" s="1"/>
  <c r="R22" i="12"/>
  <c r="R30" i="12" s="1"/>
  <c r="T22" i="12"/>
  <c r="T30" i="12" s="1"/>
  <c r="AD23" i="12"/>
  <c r="AD31" i="12" s="1"/>
  <c r="AD21" i="12"/>
  <c r="AD29" i="12" s="1"/>
  <c r="AI23" i="12"/>
  <c r="AI31" i="12" s="1"/>
  <c r="AI21" i="12"/>
  <c r="AI29" i="12" s="1"/>
  <c r="AP21" i="12"/>
  <c r="AP29" i="12" s="1"/>
  <c r="AS22" i="12"/>
  <c r="AS30" i="12" s="1"/>
  <c r="G90" i="12" l="1"/>
  <c r="C55" i="12"/>
  <c r="C63" i="12" s="1"/>
  <c r="D55" i="12"/>
  <c r="D63" i="12" s="1"/>
  <c r="E55" i="12"/>
  <c r="E63" i="12" s="1"/>
  <c r="F55" i="12"/>
  <c r="F63" i="12" s="1"/>
  <c r="B55" i="12"/>
  <c r="B63" i="12" s="1"/>
  <c r="G91" i="12"/>
  <c r="F56" i="12"/>
  <c r="F64" i="12" s="1"/>
  <c r="B56" i="12"/>
  <c r="B64" i="12" s="1"/>
  <c r="C56" i="12"/>
  <c r="C64" i="12" s="1"/>
  <c r="D56" i="12"/>
  <c r="D64" i="12" s="1"/>
  <c r="E56" i="12"/>
  <c r="E64" i="12" s="1"/>
  <c r="G92" i="12"/>
  <c r="C57" i="12"/>
  <c r="C65" i="12" s="1"/>
  <c r="D57" i="12"/>
  <c r="D65" i="12" s="1"/>
  <c r="B57" i="12"/>
  <c r="B65" i="12" s="1"/>
  <c r="E57" i="12"/>
  <c r="E65" i="12" s="1"/>
  <c r="F57" i="12"/>
  <c r="F65" i="12" s="1"/>
  <c r="G93" i="12"/>
  <c r="F58" i="12"/>
  <c r="F66" i="12" s="1"/>
  <c r="B58" i="12"/>
  <c r="B66" i="12" s="1"/>
  <c r="E58" i="12"/>
  <c r="E66" i="12" s="1"/>
  <c r="C58" i="12"/>
  <c r="C66" i="12" s="1"/>
  <c r="D58" i="12"/>
  <c r="D66" i="12" s="1"/>
  <c r="G54" i="12"/>
  <c r="E91" i="12" l="1"/>
  <c r="E99" i="12" s="1"/>
  <c r="F91" i="12"/>
  <c r="F99" i="12" s="1"/>
  <c r="C91" i="12"/>
  <c r="C99" i="12" s="1"/>
  <c r="D91" i="12"/>
  <c r="D99" i="12" s="1"/>
  <c r="B91" i="12"/>
  <c r="B99" i="12" s="1"/>
  <c r="E93" i="12"/>
  <c r="E101" i="12" s="1"/>
  <c r="F93" i="12"/>
  <c r="F101" i="12" s="1"/>
  <c r="B93" i="12"/>
  <c r="B101" i="12" s="1"/>
  <c r="D93" i="12"/>
  <c r="D101" i="12" s="1"/>
  <c r="C93" i="12"/>
  <c r="C101" i="12" s="1"/>
  <c r="C92" i="12"/>
  <c r="C100" i="12" s="1"/>
  <c r="D92" i="12"/>
  <c r="D100" i="12" s="1"/>
  <c r="B92" i="12"/>
  <c r="B100" i="12" s="1"/>
  <c r="F92" i="12"/>
  <c r="F100" i="12" s="1"/>
  <c r="E92" i="12"/>
  <c r="E100" i="12" s="1"/>
  <c r="B90" i="12"/>
  <c r="B98" i="12" s="1"/>
  <c r="C90" i="12"/>
  <c r="C98" i="12" s="1"/>
  <c r="D90" i="12"/>
  <c r="D98" i="12" s="1"/>
  <c r="F90" i="12"/>
  <c r="F98" i="12" s="1"/>
  <c r="E90" i="12"/>
  <c r="E98" i="12" s="1"/>
  <c r="G89" i="12"/>
  <c r="F54" i="12"/>
  <c r="F62" i="12" s="1"/>
  <c r="E54" i="12"/>
  <c r="E62" i="12" s="1"/>
  <c r="C54" i="12"/>
  <c r="C62" i="12" s="1"/>
  <c r="B54" i="12"/>
  <c r="B62" i="12" s="1"/>
  <c r="D54" i="12"/>
  <c r="D62" i="12" s="1"/>
  <c r="E89" i="12" l="1"/>
  <c r="E97" i="12" s="1"/>
  <c r="F89" i="12"/>
  <c r="F97" i="12" s="1"/>
  <c r="C89" i="12"/>
  <c r="C97" i="12" s="1"/>
  <c r="B89" i="12"/>
  <c r="B97" i="12" s="1"/>
  <c r="D89" i="12"/>
  <c r="D97" i="12" s="1"/>
  <c r="AK18" i="10" l="1"/>
  <c r="AD18" i="10"/>
  <c r="AD7" i="10"/>
  <c r="AE6" i="10"/>
  <c r="AG69" i="12" s="1"/>
  <c r="AD6" i="10"/>
  <c r="AG34" i="12" s="1"/>
  <c r="AL39" i="8"/>
  <c r="AM39" i="8"/>
  <c r="AN39" i="8"/>
  <c r="AO39" i="8"/>
  <c r="AK39" i="8"/>
  <c r="AP79" i="3"/>
  <c r="AP72" i="3"/>
  <c r="AP78" i="3"/>
  <c r="AK5" i="7" s="1"/>
  <c r="AP74" i="3"/>
  <c r="AM24" i="6"/>
  <c r="AN24" i="6"/>
  <c r="AO24" i="6"/>
  <c r="AL24" i="6"/>
  <c r="AF24" i="6"/>
  <c r="AG24" i="6"/>
  <c r="AH24" i="6"/>
  <c r="AE24" i="6"/>
  <c r="AD24" i="6"/>
  <c r="AK24" i="6"/>
  <c r="AL19" i="6"/>
  <c r="AM19" i="6"/>
  <c r="AN19" i="6"/>
  <c r="AO19" i="6"/>
  <c r="AK19" i="6"/>
  <c r="AM20" i="8"/>
  <c r="AN20" i="8"/>
  <c r="AO20" i="8"/>
  <c r="AL20" i="8"/>
  <c r="AK20" i="8"/>
  <c r="AK26" i="8"/>
  <c r="AK6" i="7"/>
  <c r="AQ74" i="3"/>
  <c r="AL6" i="7" s="1"/>
  <c r="AP68" i="3"/>
  <c r="AQ67" i="3"/>
  <c r="AR67" i="3"/>
  <c r="AS67" i="3"/>
  <c r="AT67" i="3"/>
  <c r="AU67" i="3"/>
  <c r="AP67" i="3"/>
  <c r="AP66" i="3"/>
  <c r="AP65" i="3"/>
  <c r="AQ64" i="3"/>
  <c r="AR64" i="3"/>
  <c r="AS64" i="3"/>
  <c r="AT64" i="3"/>
  <c r="AU64" i="3"/>
  <c r="AP64" i="3"/>
  <c r="AQ63" i="3"/>
  <c r="AR63" i="3"/>
  <c r="AS63" i="3"/>
  <c r="AT63" i="3"/>
  <c r="AU63" i="3"/>
  <c r="AP63" i="3"/>
  <c r="AP62" i="3"/>
  <c r="AP60" i="3"/>
  <c r="AP61" i="3"/>
  <c r="AQ60" i="3"/>
  <c r="AR60" i="3"/>
  <c r="AS60" i="3"/>
  <c r="AT60" i="3"/>
  <c r="AU60" i="3"/>
  <c r="AQ59" i="3"/>
  <c r="AR59" i="3"/>
  <c r="AS59" i="3"/>
  <c r="AT59" i="3"/>
  <c r="AU59" i="3"/>
  <c r="AP59" i="3"/>
  <c r="AQ58" i="3"/>
  <c r="AR58" i="3"/>
  <c r="AS58" i="3"/>
  <c r="AT58" i="3"/>
  <c r="AU58" i="3"/>
  <c r="AP58" i="3"/>
  <c r="AP57" i="3"/>
  <c r="AQ56" i="3"/>
  <c r="AR56" i="3"/>
  <c r="AS56" i="3"/>
  <c r="AT56" i="3"/>
  <c r="AU56" i="3"/>
  <c r="AP56" i="3"/>
  <c r="AP55" i="3"/>
  <c r="AQ54" i="3"/>
  <c r="AR54" i="3"/>
  <c r="AS54" i="3"/>
  <c r="AT54" i="3"/>
  <c r="AU54" i="3"/>
  <c r="AP54" i="3"/>
  <c r="AP53" i="3"/>
  <c r="AP52" i="3"/>
  <c r="AQ51" i="3"/>
  <c r="AR51" i="3"/>
  <c r="AS51" i="3"/>
  <c r="AT51" i="3"/>
  <c r="AU51" i="3"/>
  <c r="AP51" i="3"/>
  <c r="AP50" i="3"/>
  <c r="AP49" i="3"/>
  <c r="AP48" i="3"/>
  <c r="AQ47" i="3"/>
  <c r="AR47" i="3"/>
  <c r="AS47" i="3"/>
  <c r="AT47" i="3"/>
  <c r="AU47" i="3"/>
  <c r="AP47" i="3"/>
  <c r="AQ45" i="3"/>
  <c r="AR45" i="3"/>
  <c r="AS45" i="3"/>
  <c r="AT45" i="3"/>
  <c r="AU45" i="3"/>
  <c r="AP46" i="3"/>
  <c r="AP45" i="3"/>
  <c r="AP44" i="3"/>
  <c r="AQ43" i="3"/>
  <c r="AR43" i="3"/>
  <c r="AS43" i="3"/>
  <c r="AT43" i="3"/>
  <c r="AU43" i="3"/>
  <c r="AP43" i="3"/>
  <c r="AP41" i="3"/>
  <c r="AQ39" i="3"/>
  <c r="AR39" i="3"/>
  <c r="AS39" i="3"/>
  <c r="AT39" i="3"/>
  <c r="AU39" i="3"/>
  <c r="AP39" i="3"/>
  <c r="AP40" i="3" s="1"/>
  <c r="AP38" i="3"/>
  <c r="AP36" i="3"/>
  <c r="AQ35" i="3"/>
  <c r="AR35" i="3"/>
  <c r="AS35" i="3"/>
  <c r="AT35" i="3"/>
  <c r="AU35" i="3"/>
  <c r="AP35" i="3"/>
  <c r="AQ34" i="3"/>
  <c r="AR34" i="3"/>
  <c r="AS34" i="3"/>
  <c r="AT34" i="3"/>
  <c r="AU34" i="3"/>
  <c r="AP34" i="3"/>
  <c r="AP33" i="3"/>
  <c r="AQ32" i="3"/>
  <c r="AR32" i="3"/>
  <c r="AS32" i="3"/>
  <c r="AT32" i="3"/>
  <c r="AU32" i="3"/>
  <c r="AP32" i="3"/>
  <c r="AH33" i="3"/>
  <c r="AI33" i="3"/>
  <c r="AJ33" i="3"/>
  <c r="AK33" i="3"/>
  <c r="AL33" i="3"/>
  <c r="AM33" i="3"/>
  <c r="AH34" i="3"/>
  <c r="AI34" i="3"/>
  <c r="AJ34" i="3"/>
  <c r="AK34" i="3"/>
  <c r="AL34" i="3"/>
  <c r="AM34" i="3"/>
  <c r="AH40" i="3"/>
  <c r="AH74" i="3" s="1"/>
  <c r="AH57" i="3"/>
  <c r="AI57" i="3"/>
  <c r="AJ57" i="3"/>
  <c r="AK57" i="3"/>
  <c r="AL57" i="3"/>
  <c r="AM57" i="3"/>
  <c r="AH58" i="3"/>
  <c r="AI58" i="3"/>
  <c r="AJ58" i="3"/>
  <c r="AK58" i="3"/>
  <c r="AL58" i="3"/>
  <c r="AM58" i="3"/>
  <c r="AH59" i="3"/>
  <c r="AH61" i="3" s="1"/>
  <c r="AI59" i="3"/>
  <c r="AJ59" i="3"/>
  <c r="AK59" i="3"/>
  <c r="AL59" i="3"/>
  <c r="AM59" i="3"/>
  <c r="AE20" i="8"/>
  <c r="AF20" i="8"/>
  <c r="AG20" i="8"/>
  <c r="AH20" i="8"/>
  <c r="AD20" i="8"/>
  <c r="AD26" i="8"/>
  <c r="AE19" i="6"/>
  <c r="AF19" i="6"/>
  <c r="AG19" i="6"/>
  <c r="AH19" i="6"/>
  <c r="AD19" i="6"/>
  <c r="G10" i="11"/>
  <c r="F10" i="11"/>
  <c r="E10" i="11"/>
  <c r="D10" i="11"/>
  <c r="C10" i="11"/>
  <c r="B10" i="11"/>
  <c r="AQ78" i="3" l="1"/>
  <c r="AL5" i="7" s="1"/>
  <c r="AL7" i="7" s="1"/>
  <c r="AK15" i="7"/>
  <c r="AK7" i="7"/>
  <c r="AR74" i="3"/>
  <c r="AH36" i="3"/>
  <c r="AH79" i="3" s="1"/>
  <c r="AH60" i="3"/>
  <c r="AD39" i="8" s="1"/>
  <c r="AF39" i="8" s="1"/>
  <c r="AH35" i="3"/>
  <c r="AH72" i="3" s="1"/>
  <c r="AD6" i="7"/>
  <c r="AI74" i="3"/>
  <c r="AJ74" i="3" s="1"/>
  <c r="AK74" i="3" s="1"/>
  <c r="AL74" i="3" s="1"/>
  <c r="AH6" i="7" s="1"/>
  <c r="AR78" i="3" l="1"/>
  <c r="AK6" i="8"/>
  <c r="AK6" i="10"/>
  <c r="AO34" i="12" s="1"/>
  <c r="AD15" i="7"/>
  <c r="AD6" i="8" s="1"/>
  <c r="AP71" i="3"/>
  <c r="AP83" i="3"/>
  <c r="AK30" i="6" s="1"/>
  <c r="AP85" i="3"/>
  <c r="AP80" i="3"/>
  <c r="AK7" i="6" s="1"/>
  <c r="AP76" i="3"/>
  <c r="AK12" i="7" s="1"/>
  <c r="AP86" i="3"/>
  <c r="AK28" i="6" s="1"/>
  <c r="AK18" i="8" s="1"/>
  <c r="AK30" i="8" s="1"/>
  <c r="AP73" i="3"/>
  <c r="AP84" i="3"/>
  <c r="AK25" i="6" s="1"/>
  <c r="AK26" i="6" s="1"/>
  <c r="AP87" i="3"/>
  <c r="AP75" i="3"/>
  <c r="AK8" i="6" s="1"/>
  <c r="AP82" i="3"/>
  <c r="AK14" i="6" s="1"/>
  <c r="AL12" i="6"/>
  <c r="AQ87" i="3"/>
  <c r="AQ75" i="3"/>
  <c r="AL8" i="6" s="1"/>
  <c r="AQ82" i="3"/>
  <c r="AL14" i="6" s="1"/>
  <c r="AQ85" i="3"/>
  <c r="AQ80" i="3"/>
  <c r="AQ76" i="3"/>
  <c r="AL12" i="7" s="1"/>
  <c r="AQ83" i="3"/>
  <c r="AL30" i="6" s="1"/>
  <c r="AQ84" i="3"/>
  <c r="AL25" i="6" s="1"/>
  <c r="AQ86" i="3"/>
  <c r="AL28" i="6" s="1"/>
  <c r="AQ73" i="3"/>
  <c r="AQ71" i="3"/>
  <c r="AL7" i="10" s="1"/>
  <c r="AP69" i="12" s="1"/>
  <c r="AK12" i="6"/>
  <c r="AS78" i="3"/>
  <c r="AM5" i="7"/>
  <c r="AS74" i="3"/>
  <c r="AM6" i="7"/>
  <c r="AE6" i="7"/>
  <c r="AG39" i="8"/>
  <c r="AG6" i="7"/>
  <c r="AH39" i="8"/>
  <c r="AE39" i="8"/>
  <c r="AF6" i="7"/>
  <c r="C19" i="9"/>
  <c r="D19" i="9"/>
  <c r="E19" i="9"/>
  <c r="F19" i="9"/>
  <c r="F5" i="11" s="1"/>
  <c r="G19" i="9"/>
  <c r="G5" i="11" s="1"/>
  <c r="B19" i="9"/>
  <c r="G18" i="9"/>
  <c r="F18" i="9"/>
  <c r="E18" i="9"/>
  <c r="D18" i="9"/>
  <c r="C18" i="9"/>
  <c r="B18" i="9"/>
  <c r="G8" i="9"/>
  <c r="F8" i="9"/>
  <c r="F9" i="9" s="1"/>
  <c r="F11" i="9" s="1"/>
  <c r="E8" i="9"/>
  <c r="E9" i="9" s="1"/>
  <c r="E11" i="9" s="1"/>
  <c r="D8" i="9"/>
  <c r="C8" i="9"/>
  <c r="B8" i="9"/>
  <c r="G7" i="9"/>
  <c r="G9" i="9" s="1"/>
  <c r="G11" i="9" s="1"/>
  <c r="F7" i="9"/>
  <c r="E7" i="9"/>
  <c r="D7" i="9"/>
  <c r="D9" i="9" s="1"/>
  <c r="D11" i="9" s="1"/>
  <c r="C7" i="9"/>
  <c r="C9" i="9" s="1"/>
  <c r="C11" i="9" s="1"/>
  <c r="B7" i="9"/>
  <c r="B11" i="9" s="1"/>
  <c r="X20" i="8"/>
  <c r="Y20" i="8"/>
  <c r="Z20" i="8"/>
  <c r="AA20" i="8"/>
  <c r="W20" i="8"/>
  <c r="AA62" i="3"/>
  <c r="AB62" i="3"/>
  <c r="AC62" i="3"/>
  <c r="Z64" i="3" s="1"/>
  <c r="AD62" i="3"/>
  <c r="AE62" i="3"/>
  <c r="Z62" i="3"/>
  <c r="AA61" i="3"/>
  <c r="AB61" i="3"/>
  <c r="AC61" i="3"/>
  <c r="AD61" i="3"/>
  <c r="AE61" i="3"/>
  <c r="Z61" i="3"/>
  <c r="AA58" i="3"/>
  <c r="AB58" i="3"/>
  <c r="AC58" i="3"/>
  <c r="AD58" i="3"/>
  <c r="AE58" i="3"/>
  <c r="Z58" i="3"/>
  <c r="W26" i="8"/>
  <c r="X24" i="6"/>
  <c r="Y24" i="6"/>
  <c r="Z24" i="6"/>
  <c r="AA24" i="6"/>
  <c r="W24" i="6"/>
  <c r="X23" i="6"/>
  <c r="Y23" i="6"/>
  <c r="Z23" i="6"/>
  <c r="AA23" i="6"/>
  <c r="W23" i="6"/>
  <c r="X19" i="6"/>
  <c r="Y19" i="6"/>
  <c r="Z19" i="6"/>
  <c r="AA19" i="6"/>
  <c r="W19" i="6"/>
  <c r="Z41" i="3"/>
  <c r="Z38" i="3"/>
  <c r="Z78" i="3" s="1"/>
  <c r="AA78" i="3" s="1"/>
  <c r="AA35" i="3"/>
  <c r="AB35" i="3"/>
  <c r="AC35" i="3"/>
  <c r="AD35" i="3"/>
  <c r="AE35" i="3"/>
  <c r="Z35" i="3"/>
  <c r="Z37" i="3" s="1"/>
  <c r="Z79" i="3" s="1"/>
  <c r="AA34" i="3"/>
  <c r="AB34" i="3"/>
  <c r="AC34" i="3"/>
  <c r="AD34" i="3"/>
  <c r="AE34" i="3"/>
  <c r="Z34" i="3"/>
  <c r="P15" i="8"/>
  <c r="T15" i="8" s="1"/>
  <c r="Q20" i="8"/>
  <c r="R20" i="8"/>
  <c r="S20" i="8"/>
  <c r="T20" i="8"/>
  <c r="P20" i="8"/>
  <c r="P30" i="8"/>
  <c r="P26" i="8"/>
  <c r="S62" i="3"/>
  <c r="T62" i="3"/>
  <c r="T63" i="3"/>
  <c r="S61" i="3"/>
  <c r="S63" i="3" s="1"/>
  <c r="T61" i="3"/>
  <c r="U61" i="3"/>
  <c r="U63" i="3" s="1"/>
  <c r="V61" i="3"/>
  <c r="V63" i="3" s="1"/>
  <c r="W61" i="3"/>
  <c r="W63" i="3" s="1"/>
  <c r="S39" i="8" s="1"/>
  <c r="R61" i="3"/>
  <c r="R63" i="3" s="1"/>
  <c r="S60" i="3"/>
  <c r="T60" i="3"/>
  <c r="U60" i="3"/>
  <c r="U62" i="3" s="1"/>
  <c r="V60" i="3"/>
  <c r="V62" i="3" s="1"/>
  <c r="W60" i="3"/>
  <c r="W62" i="3" s="1"/>
  <c r="R60" i="3"/>
  <c r="R62" i="3" s="1"/>
  <c r="Q24" i="6"/>
  <c r="R24" i="6"/>
  <c r="S24" i="6"/>
  <c r="T24" i="6"/>
  <c r="P24" i="6"/>
  <c r="Q28" i="6"/>
  <c r="R28" i="6"/>
  <c r="S28" i="6"/>
  <c r="T28" i="6"/>
  <c r="P28" i="6"/>
  <c r="Q23" i="6"/>
  <c r="R23" i="6"/>
  <c r="S23" i="6"/>
  <c r="T23" i="6"/>
  <c r="P23" i="6"/>
  <c r="Q19" i="6"/>
  <c r="R19" i="6"/>
  <c r="S19" i="6"/>
  <c r="T19" i="6"/>
  <c r="P19" i="6"/>
  <c r="R76" i="3"/>
  <c r="S57" i="3"/>
  <c r="T57" i="3"/>
  <c r="U57" i="3"/>
  <c r="V57" i="3"/>
  <c r="W57" i="3"/>
  <c r="R57" i="3"/>
  <c r="R37" i="3"/>
  <c r="R40" i="3"/>
  <c r="S34" i="3"/>
  <c r="T34" i="3"/>
  <c r="R36" i="3" s="1"/>
  <c r="R77" i="3" s="1"/>
  <c r="U34" i="3"/>
  <c r="V34" i="3"/>
  <c r="W34" i="3"/>
  <c r="R34" i="3"/>
  <c r="S33" i="3"/>
  <c r="T33" i="3"/>
  <c r="U33" i="3"/>
  <c r="V33" i="3"/>
  <c r="W33" i="3"/>
  <c r="R33" i="3"/>
  <c r="J21" i="8"/>
  <c r="K21" i="8"/>
  <c r="L21" i="8"/>
  <c r="M21" i="8"/>
  <c r="I21" i="8"/>
  <c r="I19" i="8"/>
  <c r="J19" i="8" s="1"/>
  <c r="I26" i="8"/>
  <c r="I24" i="6"/>
  <c r="K24" i="6" s="1"/>
  <c r="K23" i="6"/>
  <c r="K18" i="8" s="1"/>
  <c r="L23" i="6"/>
  <c r="L18" i="8" s="1"/>
  <c r="M23" i="6"/>
  <c r="M18" i="8" s="1"/>
  <c r="J66" i="3"/>
  <c r="I23" i="6" s="1"/>
  <c r="I18" i="8" s="1"/>
  <c r="J65" i="3"/>
  <c r="J19" i="6"/>
  <c r="K19" i="6"/>
  <c r="L19" i="6"/>
  <c r="M19" i="6"/>
  <c r="I19" i="6"/>
  <c r="K62" i="3"/>
  <c r="L62" i="3"/>
  <c r="M62" i="3"/>
  <c r="N62" i="3"/>
  <c r="O62" i="3"/>
  <c r="J62" i="3"/>
  <c r="J45" i="3"/>
  <c r="K39" i="3"/>
  <c r="J41" i="3" s="1"/>
  <c r="J77" i="3" s="1"/>
  <c r="L39" i="3"/>
  <c r="M39" i="3"/>
  <c r="N39" i="3"/>
  <c r="O39" i="3"/>
  <c r="J39" i="3"/>
  <c r="K38" i="3"/>
  <c r="L38" i="3"/>
  <c r="M38" i="3"/>
  <c r="N38" i="3"/>
  <c r="O38" i="3"/>
  <c r="J38" i="3"/>
  <c r="C19" i="6"/>
  <c r="D19" i="6"/>
  <c r="E19" i="6"/>
  <c r="F19" i="6"/>
  <c r="B19" i="6"/>
  <c r="B26" i="8"/>
  <c r="B35" i="3"/>
  <c r="C17" i="7" s="1"/>
  <c r="C23" i="8" s="1"/>
  <c r="B34" i="3"/>
  <c r="B61" i="3" s="1"/>
  <c r="B6" i="7" s="1"/>
  <c r="C29" i="3"/>
  <c r="D29" i="3"/>
  <c r="E29" i="3"/>
  <c r="F29" i="3"/>
  <c r="G29" i="3"/>
  <c r="B29" i="3"/>
  <c r="AQ31" i="3"/>
  <c r="AR31" i="3"/>
  <c r="AS31" i="3"/>
  <c r="AT31" i="3"/>
  <c r="AU31" i="3"/>
  <c r="AP31" i="3"/>
  <c r="AI30" i="3"/>
  <c r="AJ30" i="3"/>
  <c r="AK30" i="3"/>
  <c r="AL30" i="3"/>
  <c r="AM30" i="3"/>
  <c r="AH30" i="3"/>
  <c r="AA31" i="3"/>
  <c r="AB31" i="3"/>
  <c r="AC31" i="3"/>
  <c r="AD31" i="3"/>
  <c r="AE31" i="3"/>
  <c r="Z31" i="3"/>
  <c r="S30" i="3"/>
  <c r="T30" i="3"/>
  <c r="U30" i="3"/>
  <c r="V30" i="3"/>
  <c r="W30" i="3"/>
  <c r="R30" i="3"/>
  <c r="K35" i="3"/>
  <c r="L35" i="3"/>
  <c r="M35" i="3"/>
  <c r="N35" i="3"/>
  <c r="O35" i="3"/>
  <c r="J35" i="3"/>
  <c r="C26" i="3"/>
  <c r="D26" i="3"/>
  <c r="E26" i="3"/>
  <c r="F26" i="3"/>
  <c r="G26" i="3"/>
  <c r="B26" i="3"/>
  <c r="AR21" i="5"/>
  <c r="AS21" i="5"/>
  <c r="AT21" i="5"/>
  <c r="AU21" i="5"/>
  <c r="AR23" i="5"/>
  <c r="AS23" i="5"/>
  <c r="AT23" i="5"/>
  <c r="AU23" i="5"/>
  <c r="AQ23" i="5"/>
  <c r="AQ21" i="5"/>
  <c r="AP23" i="5"/>
  <c r="AP21" i="5"/>
  <c r="AQ12" i="5"/>
  <c r="AR12" i="5"/>
  <c r="AS12" i="5"/>
  <c r="AT12" i="5"/>
  <c r="AU12" i="5"/>
  <c r="AQ13" i="5"/>
  <c r="AR13" i="5"/>
  <c r="AS13" i="5"/>
  <c r="AT13" i="5"/>
  <c r="AU13" i="5"/>
  <c r="AQ14" i="5"/>
  <c r="AR14" i="5"/>
  <c r="AS14" i="5"/>
  <c r="AT14" i="5"/>
  <c r="AU14" i="5"/>
  <c r="AQ16" i="5"/>
  <c r="AR16" i="5"/>
  <c r="AS16" i="5"/>
  <c r="AT16" i="5"/>
  <c r="AU16" i="5"/>
  <c r="AQ17" i="5"/>
  <c r="AR17" i="5"/>
  <c r="AS17" i="5"/>
  <c r="AT17" i="5"/>
  <c r="AU17" i="5"/>
  <c r="AP17" i="5"/>
  <c r="AP16" i="5"/>
  <c r="AP14" i="5"/>
  <c r="AP13" i="5"/>
  <c r="AP12" i="5"/>
  <c r="AJ23" i="5"/>
  <c r="AK23" i="5"/>
  <c r="AL23" i="5"/>
  <c r="AM23" i="5"/>
  <c r="AI23" i="5"/>
  <c r="AH23" i="5"/>
  <c r="AH52" i="3" s="1"/>
  <c r="AJ21" i="5"/>
  <c r="AK21" i="5"/>
  <c r="AL21" i="5"/>
  <c r="AM21" i="5"/>
  <c r="AI21" i="5"/>
  <c r="AH21" i="5"/>
  <c r="AI17" i="5"/>
  <c r="AJ17" i="5"/>
  <c r="AK17" i="5"/>
  <c r="AL17" i="5"/>
  <c r="AM17" i="5"/>
  <c r="AH17" i="5"/>
  <c r="AI16" i="5"/>
  <c r="AJ16" i="5"/>
  <c r="AK16" i="5"/>
  <c r="AL16" i="5"/>
  <c r="AM16" i="5"/>
  <c r="AH16" i="5"/>
  <c r="AI14" i="5"/>
  <c r="AJ14" i="5"/>
  <c r="AK14" i="5"/>
  <c r="AL14" i="5"/>
  <c r="AM14" i="5"/>
  <c r="AH14" i="5"/>
  <c r="AI13" i="5"/>
  <c r="AJ13" i="5"/>
  <c r="AK13" i="5"/>
  <c r="AL13" i="5"/>
  <c r="AM13" i="5"/>
  <c r="AH13" i="5"/>
  <c r="AI12" i="5"/>
  <c r="AJ12" i="5"/>
  <c r="AK12" i="5"/>
  <c r="AL12" i="5"/>
  <c r="AM12" i="5"/>
  <c r="AH12" i="5"/>
  <c r="AB21" i="5"/>
  <c r="AC21" i="5"/>
  <c r="AD21" i="5"/>
  <c r="AE21" i="5"/>
  <c r="AB23" i="5"/>
  <c r="AC23" i="5"/>
  <c r="AD23" i="5"/>
  <c r="AE23" i="5"/>
  <c r="AA23" i="5"/>
  <c r="AA21" i="5"/>
  <c r="Z23" i="5"/>
  <c r="Z21" i="5"/>
  <c r="AA16" i="5"/>
  <c r="AB16" i="5"/>
  <c r="AC16" i="5"/>
  <c r="AD16" i="5"/>
  <c r="AE16" i="5"/>
  <c r="AA17" i="5"/>
  <c r="AB17" i="5"/>
  <c r="AC17" i="5"/>
  <c r="AD17" i="5"/>
  <c r="AE17" i="5"/>
  <c r="Z17" i="5"/>
  <c r="Z16" i="5"/>
  <c r="AA12" i="5"/>
  <c r="AB12" i="5"/>
  <c r="AC12" i="5"/>
  <c r="AD12" i="5"/>
  <c r="AE12" i="5"/>
  <c r="AA13" i="5"/>
  <c r="AB13" i="5"/>
  <c r="AC13" i="5"/>
  <c r="AD13" i="5"/>
  <c r="AE13" i="5"/>
  <c r="AA14" i="5"/>
  <c r="AB14" i="5"/>
  <c r="AC14" i="5"/>
  <c r="AD14" i="5"/>
  <c r="AE14" i="5"/>
  <c r="Z14" i="5"/>
  <c r="Z13" i="5"/>
  <c r="Z12" i="5"/>
  <c r="T23" i="5"/>
  <c r="U23" i="5"/>
  <c r="V23" i="5"/>
  <c r="W23" i="5"/>
  <c r="S23" i="5"/>
  <c r="R23" i="5"/>
  <c r="T21" i="5"/>
  <c r="U21" i="5"/>
  <c r="V21" i="5"/>
  <c r="W21" i="5"/>
  <c r="S21" i="5"/>
  <c r="R21" i="5"/>
  <c r="S17" i="5"/>
  <c r="T17" i="5"/>
  <c r="U17" i="5"/>
  <c r="V17" i="5"/>
  <c r="W17" i="5"/>
  <c r="R17" i="5"/>
  <c r="S16" i="5"/>
  <c r="T16" i="5"/>
  <c r="U16" i="5"/>
  <c r="V16" i="5"/>
  <c r="W16" i="5"/>
  <c r="R16" i="5"/>
  <c r="S14" i="5"/>
  <c r="T14" i="5"/>
  <c r="U14" i="5"/>
  <c r="V14" i="5"/>
  <c r="W14" i="5"/>
  <c r="R14" i="5"/>
  <c r="S13" i="5"/>
  <c r="T13" i="5"/>
  <c r="U13" i="5"/>
  <c r="V13" i="5"/>
  <c r="W13" i="5"/>
  <c r="R13" i="5"/>
  <c r="S12" i="5"/>
  <c r="T12" i="5"/>
  <c r="U12" i="5"/>
  <c r="V12" i="5"/>
  <c r="W12" i="5"/>
  <c r="R12" i="5"/>
  <c r="L23" i="5"/>
  <c r="M23" i="5"/>
  <c r="N23" i="5"/>
  <c r="O23" i="5"/>
  <c r="K23" i="5"/>
  <c r="J23" i="5"/>
  <c r="L21" i="5"/>
  <c r="M21" i="5"/>
  <c r="N21" i="5"/>
  <c r="O21" i="5"/>
  <c r="K21" i="5"/>
  <c r="J21" i="5"/>
  <c r="K17" i="5"/>
  <c r="L17" i="5"/>
  <c r="M17" i="5"/>
  <c r="N17" i="5"/>
  <c r="O17" i="5"/>
  <c r="J17" i="5"/>
  <c r="K16" i="5"/>
  <c r="L16" i="5"/>
  <c r="M16" i="5"/>
  <c r="N16" i="5"/>
  <c r="O16" i="5"/>
  <c r="J16" i="5"/>
  <c r="K14" i="5"/>
  <c r="L14" i="5"/>
  <c r="M14" i="5"/>
  <c r="N14" i="5"/>
  <c r="O14" i="5"/>
  <c r="J14" i="5"/>
  <c r="K13" i="5"/>
  <c r="L13" i="5"/>
  <c r="M13" i="5"/>
  <c r="N13" i="5"/>
  <c r="O13" i="5"/>
  <c r="J13" i="5"/>
  <c r="K12" i="5"/>
  <c r="L12" i="5"/>
  <c r="M12" i="5"/>
  <c r="N12" i="5"/>
  <c r="O12" i="5"/>
  <c r="J12" i="5"/>
  <c r="D23" i="5"/>
  <c r="E23" i="5"/>
  <c r="F23" i="5"/>
  <c r="G23" i="5"/>
  <c r="C23" i="5"/>
  <c r="B23" i="5"/>
  <c r="D21" i="5"/>
  <c r="E21" i="5"/>
  <c r="F21" i="5"/>
  <c r="G21" i="5"/>
  <c r="C21" i="5"/>
  <c r="B21" i="5"/>
  <c r="C17" i="5"/>
  <c r="D17" i="5"/>
  <c r="E17" i="5"/>
  <c r="F17" i="5"/>
  <c r="G17" i="5"/>
  <c r="B17" i="5"/>
  <c r="C16" i="5"/>
  <c r="D16" i="5"/>
  <c r="E16" i="5"/>
  <c r="F16" i="5"/>
  <c r="G16" i="5"/>
  <c r="B16" i="5"/>
  <c r="C14" i="5"/>
  <c r="D14" i="5"/>
  <c r="E14" i="5"/>
  <c r="F14" i="5"/>
  <c r="G14" i="5"/>
  <c r="B14" i="5"/>
  <c r="C13" i="5"/>
  <c r="D13" i="5"/>
  <c r="E13" i="5"/>
  <c r="F13" i="5"/>
  <c r="G13" i="5"/>
  <c r="B13" i="5"/>
  <c r="C12" i="5"/>
  <c r="D12" i="5"/>
  <c r="E12" i="5"/>
  <c r="F12" i="5"/>
  <c r="G12" i="5"/>
  <c r="B12" i="5"/>
  <c r="AU39" i="4"/>
  <c r="AT39" i="4"/>
  <c r="AR39" i="4"/>
  <c r="AM26" i="4"/>
  <c r="AL26" i="4"/>
  <c r="AM17" i="4"/>
  <c r="AL17" i="4"/>
  <c r="AM15" i="4"/>
  <c r="AL15" i="4"/>
  <c r="AM11" i="4"/>
  <c r="AL11" i="4"/>
  <c r="AK38" i="4"/>
  <c r="AK17" i="4"/>
  <c r="AJ17" i="4"/>
  <c r="AK15" i="4"/>
  <c r="AJ15" i="4"/>
  <c r="AJ8" i="4"/>
  <c r="AE38" i="4"/>
  <c r="AE32" i="4"/>
  <c r="AD34" i="4"/>
  <c r="AD33" i="4"/>
  <c r="AC33" i="4"/>
  <c r="AB34" i="4"/>
  <c r="AA34" i="4"/>
  <c r="AA32" i="4"/>
  <c r="Z34" i="4"/>
  <c r="Z24" i="4"/>
  <c r="Z17" i="4"/>
  <c r="W65" i="4"/>
  <c r="W61" i="4"/>
  <c r="V61" i="4"/>
  <c r="W51" i="4"/>
  <c r="V51" i="4"/>
  <c r="W26" i="4"/>
  <c r="V26" i="4"/>
  <c r="W5" i="4"/>
  <c r="V5" i="4"/>
  <c r="U52" i="4"/>
  <c r="T52" i="4"/>
  <c r="U27" i="4"/>
  <c r="T27" i="4"/>
  <c r="O56" i="4"/>
  <c r="N56" i="4"/>
  <c r="N34" i="4"/>
  <c r="O34" i="4"/>
  <c r="O17" i="4"/>
  <c r="N17" i="4"/>
  <c r="M56" i="4"/>
  <c r="L56" i="4"/>
  <c r="M32" i="4"/>
  <c r="L32" i="4"/>
  <c r="L40" i="4"/>
  <c r="L18" i="4"/>
  <c r="L26" i="4" s="1"/>
  <c r="K18" i="4"/>
  <c r="M18" i="4"/>
  <c r="N18" i="4"/>
  <c r="N26" i="4" s="1"/>
  <c r="O18" i="4"/>
  <c r="O26" i="4" s="1"/>
  <c r="J18" i="4"/>
  <c r="J26" i="4" s="1"/>
  <c r="K26" i="4"/>
  <c r="M26" i="4"/>
  <c r="AK6" i="6" l="1"/>
  <c r="AQ72" i="3" s="1"/>
  <c r="AL6" i="6" s="1"/>
  <c r="AR72" i="3" s="1"/>
  <c r="AK7" i="10"/>
  <c r="AK9" i="7"/>
  <c r="AK29" i="6"/>
  <c r="AK31" i="6" s="1"/>
  <c r="AL9" i="7"/>
  <c r="AL13" i="6" s="1"/>
  <c r="AL15" i="6" s="1"/>
  <c r="AQ81" i="3" s="1"/>
  <c r="AL29" i="6"/>
  <c r="AL31" i="6"/>
  <c r="AQ79" i="3"/>
  <c r="AL15" i="7" s="1"/>
  <c r="AK9" i="6"/>
  <c r="AL13" i="8"/>
  <c r="AL31" i="8"/>
  <c r="M19" i="8"/>
  <c r="AK11" i="7"/>
  <c r="AK13" i="7" s="1"/>
  <c r="AK14" i="8"/>
  <c r="AM7" i="7"/>
  <c r="K19" i="8"/>
  <c r="AL14" i="8"/>
  <c r="AL11" i="7"/>
  <c r="AL13" i="7" s="1"/>
  <c r="AK13" i="8"/>
  <c r="AK31" i="8"/>
  <c r="AT78" i="3"/>
  <c r="AO5" i="7" s="1"/>
  <c r="AN5" i="7"/>
  <c r="AM12" i="6"/>
  <c r="AR71" i="3"/>
  <c r="AM7" i="10" s="1"/>
  <c r="AP104" i="12" s="1"/>
  <c r="AT74" i="3"/>
  <c r="AO6" i="7" s="1"/>
  <c r="AN6" i="7"/>
  <c r="L19" i="8"/>
  <c r="J40" i="3"/>
  <c r="J70" i="3" s="1"/>
  <c r="I15" i="7" s="1"/>
  <c r="R35" i="3"/>
  <c r="R70" i="3" s="1"/>
  <c r="Z36" i="3"/>
  <c r="Z72" i="3" s="1"/>
  <c r="W15" i="7" s="1"/>
  <c r="B30" i="3"/>
  <c r="B59" i="3" s="1"/>
  <c r="B15" i="7" s="1"/>
  <c r="B6" i="8" s="1"/>
  <c r="B17" i="7"/>
  <c r="B23" i="8" s="1"/>
  <c r="F17" i="7"/>
  <c r="F23" i="8" s="1"/>
  <c r="E17" i="7"/>
  <c r="E23" i="8" s="1"/>
  <c r="P5" i="7"/>
  <c r="P7" i="7" s="1"/>
  <c r="R39" i="8"/>
  <c r="Z63" i="3"/>
  <c r="W39" i="8" s="1"/>
  <c r="Y39" i="8" s="1"/>
  <c r="S76" i="3"/>
  <c r="Q5" i="7" s="1"/>
  <c r="R72" i="3"/>
  <c r="P6" i="7" s="1"/>
  <c r="T39" i="8"/>
  <c r="P39" i="8"/>
  <c r="P40" i="8" s="1"/>
  <c r="P23" i="8" s="1"/>
  <c r="Q39" i="8"/>
  <c r="J72" i="3"/>
  <c r="I6" i="7" s="1"/>
  <c r="W5" i="7"/>
  <c r="D17" i="7"/>
  <c r="D23" i="8" s="1"/>
  <c r="J23" i="6"/>
  <c r="J17" i="7" s="1"/>
  <c r="AH49" i="3"/>
  <c r="R17" i="7"/>
  <c r="Q17" i="7"/>
  <c r="Z74" i="3"/>
  <c r="W6" i="7" s="1"/>
  <c r="W7" i="7" s="1"/>
  <c r="S15" i="8"/>
  <c r="T17" i="7"/>
  <c r="S17" i="7"/>
  <c r="R15" i="8"/>
  <c r="Q15" i="8"/>
  <c r="Z53" i="3"/>
  <c r="I6" i="8"/>
  <c r="I6" i="10"/>
  <c r="I34" i="12" s="1"/>
  <c r="P17" i="7"/>
  <c r="W6" i="8"/>
  <c r="W6" i="10"/>
  <c r="Y34" i="12" s="1"/>
  <c r="R49" i="3"/>
  <c r="Z50" i="3"/>
  <c r="B5" i="11"/>
  <c r="B18" i="10"/>
  <c r="E5" i="11"/>
  <c r="W18" i="10"/>
  <c r="D5" i="11"/>
  <c r="P18" i="10"/>
  <c r="C5" i="11"/>
  <c r="I18" i="10"/>
  <c r="I17" i="7"/>
  <c r="M23" i="8" s="1"/>
  <c r="J57" i="3"/>
  <c r="R52" i="3"/>
  <c r="AB78" i="3"/>
  <c r="X5" i="7"/>
  <c r="P18" i="8"/>
  <c r="M17" i="7"/>
  <c r="J54" i="3"/>
  <c r="P15" i="7"/>
  <c r="L17" i="7"/>
  <c r="K17" i="7"/>
  <c r="J24" i="6"/>
  <c r="M24" i="6"/>
  <c r="L24" i="6"/>
  <c r="B48" i="3"/>
  <c r="B45" i="3"/>
  <c r="C61" i="3"/>
  <c r="D61" i="3" s="1"/>
  <c r="E61" i="3" s="1"/>
  <c r="E25" i="4"/>
  <c r="D25" i="4"/>
  <c r="E24" i="4"/>
  <c r="D24" i="4"/>
  <c r="C47" i="4"/>
  <c r="D47" i="4"/>
  <c r="E47" i="4"/>
  <c r="F47" i="4"/>
  <c r="G47" i="4"/>
  <c r="B47" i="4"/>
  <c r="C41" i="4"/>
  <c r="D41" i="4"/>
  <c r="E41" i="4"/>
  <c r="F41" i="4"/>
  <c r="G41" i="4"/>
  <c r="B41" i="4"/>
  <c r="C28" i="4"/>
  <c r="B28" i="4"/>
  <c r="C27" i="4"/>
  <c r="B27" i="4"/>
  <c r="C25" i="4"/>
  <c r="B25" i="4"/>
  <c r="C17" i="4"/>
  <c r="D17" i="4"/>
  <c r="D29" i="4" s="1"/>
  <c r="D31" i="4" s="1"/>
  <c r="E17" i="4"/>
  <c r="E29" i="4" s="1"/>
  <c r="E31" i="4" s="1"/>
  <c r="F17" i="4"/>
  <c r="F29" i="4" s="1"/>
  <c r="F31" i="4" s="1"/>
  <c r="G17" i="4"/>
  <c r="G29" i="4" s="1"/>
  <c r="G31" i="4" s="1"/>
  <c r="B17" i="4"/>
  <c r="C8" i="4"/>
  <c r="B8" i="4"/>
  <c r="AQ54" i="4"/>
  <c r="AR54" i="4"/>
  <c r="AS54" i="4"/>
  <c r="AT54" i="4"/>
  <c r="AU54" i="4"/>
  <c r="AP54" i="4"/>
  <c r="AQ41" i="4"/>
  <c r="AR41" i="4"/>
  <c r="AS41" i="4"/>
  <c r="AT41" i="4"/>
  <c r="AU41" i="4"/>
  <c r="AP41" i="4"/>
  <c r="AQ20" i="4"/>
  <c r="AQ25" i="4" s="1"/>
  <c r="AQ27" i="4" s="1"/>
  <c r="AR20" i="4"/>
  <c r="AR25" i="4" s="1"/>
  <c r="AR27" i="4" s="1"/>
  <c r="AS20" i="4"/>
  <c r="AS25" i="4" s="1"/>
  <c r="AS27" i="4" s="1"/>
  <c r="AT20" i="4"/>
  <c r="AT25" i="4" s="1"/>
  <c r="AT27" i="4" s="1"/>
  <c r="AU20" i="4"/>
  <c r="AU25" i="4" s="1"/>
  <c r="AU27" i="4" s="1"/>
  <c r="AP20" i="4"/>
  <c r="AP25" i="4" s="1"/>
  <c r="AP27" i="4" s="1"/>
  <c r="AI36" i="4"/>
  <c r="AJ36" i="4"/>
  <c r="AK36" i="4"/>
  <c r="AL36" i="4"/>
  <c r="AM36" i="4"/>
  <c r="AH36" i="4"/>
  <c r="AI28" i="4"/>
  <c r="AJ28" i="4"/>
  <c r="AK28" i="4"/>
  <c r="AL28" i="4"/>
  <c r="AM28" i="4"/>
  <c r="AH28" i="4"/>
  <c r="AI18" i="4"/>
  <c r="AI20" i="4" s="1"/>
  <c r="AJ18" i="4"/>
  <c r="AJ20" i="4" s="1"/>
  <c r="AK18" i="4"/>
  <c r="AK20" i="4" s="1"/>
  <c r="AL18" i="4"/>
  <c r="AL20" i="4" s="1"/>
  <c r="AM18" i="4"/>
  <c r="AM20" i="4" s="1"/>
  <c r="AH18" i="4"/>
  <c r="AH20" i="4" s="1"/>
  <c r="AA45" i="4"/>
  <c r="AB45" i="4"/>
  <c r="AC45" i="4"/>
  <c r="AD45" i="4"/>
  <c r="AE45" i="4"/>
  <c r="Z45" i="4"/>
  <c r="AA35" i="4"/>
  <c r="AB35" i="4"/>
  <c r="AC35" i="4"/>
  <c r="AD35" i="4"/>
  <c r="AE35" i="4"/>
  <c r="Z35" i="4"/>
  <c r="AA18" i="4"/>
  <c r="AA24" i="4" s="1"/>
  <c r="AA26" i="4" s="1"/>
  <c r="AB18" i="4"/>
  <c r="AB24" i="4" s="1"/>
  <c r="AB26" i="4" s="1"/>
  <c r="AC18" i="4"/>
  <c r="AC24" i="4" s="1"/>
  <c r="AC26" i="4" s="1"/>
  <c r="AD18" i="4"/>
  <c r="AD24" i="4" s="1"/>
  <c r="AD26" i="4" s="1"/>
  <c r="AE18" i="4"/>
  <c r="AE24" i="4" s="1"/>
  <c r="AE26" i="4" s="1"/>
  <c r="Z18" i="4"/>
  <c r="Z26" i="4" s="1"/>
  <c r="S62" i="4"/>
  <c r="T62" i="4"/>
  <c r="U62" i="4"/>
  <c r="V62" i="4"/>
  <c r="W62" i="4"/>
  <c r="R62" i="4"/>
  <c r="S53" i="4"/>
  <c r="T53" i="4"/>
  <c r="U53" i="4"/>
  <c r="V53" i="4"/>
  <c r="W53" i="4"/>
  <c r="R53" i="4"/>
  <c r="S28" i="4"/>
  <c r="S39" i="4" s="1"/>
  <c r="S41" i="4" s="1"/>
  <c r="T28" i="4"/>
  <c r="T39" i="4" s="1"/>
  <c r="T41" i="4" s="1"/>
  <c r="U28" i="4"/>
  <c r="U39" i="4" s="1"/>
  <c r="U41" i="4" s="1"/>
  <c r="V28" i="4"/>
  <c r="V39" i="4" s="1"/>
  <c r="V41" i="4" s="1"/>
  <c r="W28" i="4"/>
  <c r="W39" i="4" s="1"/>
  <c r="W41" i="4" s="1"/>
  <c r="R28" i="4"/>
  <c r="R39" i="4" s="1"/>
  <c r="R41" i="4" s="1"/>
  <c r="K53" i="4"/>
  <c r="L53" i="4"/>
  <c r="M53" i="4"/>
  <c r="N53" i="4"/>
  <c r="O53" i="4"/>
  <c r="J53" i="4"/>
  <c r="K42" i="4"/>
  <c r="L42" i="4"/>
  <c r="M42" i="4"/>
  <c r="N42" i="4"/>
  <c r="O42" i="4"/>
  <c r="J42" i="4"/>
  <c r="N28" i="4"/>
  <c r="O28" i="4"/>
  <c r="K28" i="4"/>
  <c r="L28" i="4"/>
  <c r="M28" i="4"/>
  <c r="J28" i="4"/>
  <c r="C29" i="4"/>
  <c r="C31" i="4" s="1"/>
  <c r="AN7" i="7" l="1"/>
  <c r="T76" i="3"/>
  <c r="R5" i="7" s="1"/>
  <c r="AL10" i="7"/>
  <c r="AL14" i="7" s="1"/>
  <c r="AL16" i="7" s="1"/>
  <c r="AP34" i="12"/>
  <c r="M39" i="12"/>
  <c r="L40" i="12"/>
  <c r="J42" i="12"/>
  <c r="N41" i="12"/>
  <c r="N42" i="12"/>
  <c r="L38" i="12"/>
  <c r="J38" i="12"/>
  <c r="M42" i="12"/>
  <c r="L42" i="12"/>
  <c r="J41" i="12"/>
  <c r="M41" i="12"/>
  <c r="N38" i="12"/>
  <c r="N39" i="12"/>
  <c r="N40" i="12"/>
  <c r="K41" i="12"/>
  <c r="L41" i="12"/>
  <c r="L39" i="12"/>
  <c r="J39" i="12"/>
  <c r="K39" i="12"/>
  <c r="K40" i="12"/>
  <c r="J40" i="12"/>
  <c r="K38" i="12"/>
  <c r="M38" i="12"/>
  <c r="K42" i="12"/>
  <c r="M40" i="12"/>
  <c r="AL6" i="8"/>
  <c r="AL6" i="10"/>
  <c r="AO69" i="12" s="1"/>
  <c r="AL7" i="6"/>
  <c r="AK13" i="6"/>
  <c r="AK10" i="7"/>
  <c r="AK14" i="7" s="1"/>
  <c r="AK16" i="7" s="1"/>
  <c r="B6" i="10"/>
  <c r="A34" i="12" s="1"/>
  <c r="AO7" i="7"/>
  <c r="AR84" i="3"/>
  <c r="AM25" i="6" s="1"/>
  <c r="AR80" i="3"/>
  <c r="AR76" i="3"/>
  <c r="AM12" i="7" s="1"/>
  <c r="AR87" i="3"/>
  <c r="AR75" i="3"/>
  <c r="AM8" i="6" s="1"/>
  <c r="AR82" i="3"/>
  <c r="AM14" i="6" s="1"/>
  <c r="AR85" i="3"/>
  <c r="AR73" i="3"/>
  <c r="AR83" i="3"/>
  <c r="AM30" i="6" s="1"/>
  <c r="AR86" i="3"/>
  <c r="AM28" i="6" s="1"/>
  <c r="AS84" i="3"/>
  <c r="AN25" i="6" s="1"/>
  <c r="AS87" i="3"/>
  <c r="AS75" i="3"/>
  <c r="AN8" i="6" s="1"/>
  <c r="AS82" i="3"/>
  <c r="AN14" i="6" s="1"/>
  <c r="AS83" i="3"/>
  <c r="AN30" i="6" s="1"/>
  <c r="AS86" i="3"/>
  <c r="AN28" i="6" s="1"/>
  <c r="AS73" i="3"/>
  <c r="AS85" i="3"/>
  <c r="AS80" i="3"/>
  <c r="AS76" i="3"/>
  <c r="AN12" i="7" s="1"/>
  <c r="AM13" i="8"/>
  <c r="AM31" i="8"/>
  <c r="J23" i="8"/>
  <c r="AK16" i="8"/>
  <c r="AL16" i="8"/>
  <c r="AN12" i="6"/>
  <c r="AS71" i="3"/>
  <c r="AN7" i="10" s="1"/>
  <c r="AM6" i="6"/>
  <c r="AS72" i="3" s="1"/>
  <c r="X39" i="8"/>
  <c r="AA39" i="8"/>
  <c r="Z39" i="8"/>
  <c r="J18" i="8"/>
  <c r="K72" i="3"/>
  <c r="S72" i="3"/>
  <c r="AA74" i="3"/>
  <c r="L23" i="8"/>
  <c r="I23" i="8"/>
  <c r="K23" i="8"/>
  <c r="P6" i="8"/>
  <c r="P6" i="10"/>
  <c r="Q34" i="12" s="1"/>
  <c r="AC78" i="3"/>
  <c r="Y5" i="7"/>
  <c r="U76" i="3"/>
  <c r="C6" i="7"/>
  <c r="D6" i="7"/>
  <c r="F61" i="3"/>
  <c r="F6" i="7" s="1"/>
  <c r="E6" i="7"/>
  <c r="AU55" i="4"/>
  <c r="AT55" i="4"/>
  <c r="AS55" i="4"/>
  <c r="AR55" i="4"/>
  <c r="AQ55" i="4"/>
  <c r="AP55" i="4"/>
  <c r="AP58" i="4" s="1"/>
  <c r="AQ56" i="4" s="1"/>
  <c r="AM37" i="4"/>
  <c r="AL37" i="4"/>
  <c r="AK37" i="4"/>
  <c r="AJ37" i="4"/>
  <c r="AI37" i="4"/>
  <c r="AH37" i="4"/>
  <c r="AH40" i="4" s="1"/>
  <c r="AI39" i="4" s="1"/>
  <c r="AE46" i="4"/>
  <c r="AD46" i="4"/>
  <c r="AC46" i="4"/>
  <c r="AB46" i="4"/>
  <c r="AA46" i="4"/>
  <c r="Z46" i="4"/>
  <c r="Z49" i="4" s="1"/>
  <c r="AA48" i="4" s="1"/>
  <c r="W63" i="4"/>
  <c r="V63" i="4"/>
  <c r="U63" i="4"/>
  <c r="T63" i="4"/>
  <c r="S63" i="4"/>
  <c r="R63" i="4"/>
  <c r="R67" i="4" s="1"/>
  <c r="S66" i="4" s="1"/>
  <c r="O54" i="4"/>
  <c r="N54" i="4"/>
  <c r="M54" i="4"/>
  <c r="L54" i="4"/>
  <c r="K54" i="4"/>
  <c r="J54" i="4"/>
  <c r="J57" i="4" s="1"/>
  <c r="K55" i="4" s="1"/>
  <c r="F48" i="4"/>
  <c r="G48" i="4"/>
  <c r="E48" i="4"/>
  <c r="D48" i="4"/>
  <c r="C48" i="4"/>
  <c r="B29" i="4"/>
  <c r="B31" i="4" s="1"/>
  <c r="B48" i="4" s="1"/>
  <c r="B50" i="4" s="1"/>
  <c r="C49" i="4" s="1"/>
  <c r="AQ23" i="3"/>
  <c r="AR23" i="3"/>
  <c r="AS23" i="3"/>
  <c r="AT23" i="3"/>
  <c r="AU23" i="3"/>
  <c r="AP23" i="3"/>
  <c r="AQ8" i="3"/>
  <c r="AR8" i="3"/>
  <c r="AS8" i="3"/>
  <c r="AT8" i="3"/>
  <c r="AU8" i="3"/>
  <c r="AP8" i="3"/>
  <c r="AU17" i="3"/>
  <c r="AT17" i="3"/>
  <c r="AS17" i="3"/>
  <c r="AR17" i="3"/>
  <c r="AQ17" i="3"/>
  <c r="AP17" i="3"/>
  <c r="AI24" i="3"/>
  <c r="AJ24" i="3"/>
  <c r="AK24" i="3"/>
  <c r="AL24" i="3"/>
  <c r="AM24" i="3"/>
  <c r="AH24" i="3"/>
  <c r="AM16" i="3"/>
  <c r="AL16" i="3"/>
  <c r="AK16" i="3"/>
  <c r="AJ16" i="3"/>
  <c r="AI16" i="3"/>
  <c r="AH16" i="3"/>
  <c r="AM7" i="3"/>
  <c r="AL7" i="3"/>
  <c r="AK7" i="3"/>
  <c r="AJ7" i="3"/>
  <c r="AI7" i="3"/>
  <c r="AH7" i="3"/>
  <c r="AA25" i="3"/>
  <c r="AB25" i="3"/>
  <c r="AC25" i="3"/>
  <c r="AD25" i="3"/>
  <c r="AE25" i="3"/>
  <c r="Z25" i="3"/>
  <c r="AA19" i="3"/>
  <c r="AB19" i="3"/>
  <c r="AC19" i="3"/>
  <c r="AD19" i="3"/>
  <c r="AE19" i="3"/>
  <c r="Z19" i="3"/>
  <c r="AA9" i="3"/>
  <c r="AB9" i="3"/>
  <c r="AC9" i="3"/>
  <c r="AD9" i="3"/>
  <c r="AE9" i="3"/>
  <c r="Z9" i="3"/>
  <c r="S24" i="3"/>
  <c r="T24" i="3"/>
  <c r="U24" i="3"/>
  <c r="V24" i="3"/>
  <c r="W24" i="3"/>
  <c r="R24" i="3"/>
  <c r="S18" i="3"/>
  <c r="T18" i="3"/>
  <c r="U18" i="3"/>
  <c r="V18" i="3"/>
  <c r="W18" i="3"/>
  <c r="R18" i="3"/>
  <c r="S7" i="3"/>
  <c r="T7" i="3"/>
  <c r="U7" i="3"/>
  <c r="V7" i="3"/>
  <c r="W7" i="3"/>
  <c r="R7" i="3"/>
  <c r="K24" i="3"/>
  <c r="L24" i="3"/>
  <c r="M24" i="3"/>
  <c r="N24" i="3"/>
  <c r="O24" i="3"/>
  <c r="J24" i="3"/>
  <c r="K17" i="3"/>
  <c r="L17" i="3"/>
  <c r="M17" i="3"/>
  <c r="N17" i="3"/>
  <c r="O17" i="3"/>
  <c r="J17" i="3"/>
  <c r="K7" i="3"/>
  <c r="L7" i="3"/>
  <c r="M7" i="3"/>
  <c r="N7" i="3"/>
  <c r="O7" i="3"/>
  <c r="J7" i="3"/>
  <c r="C20" i="3"/>
  <c r="D20" i="3"/>
  <c r="E20" i="3"/>
  <c r="F20" i="3"/>
  <c r="G20" i="3"/>
  <c r="B20" i="3"/>
  <c r="C16" i="3"/>
  <c r="D16" i="3"/>
  <c r="E16" i="3"/>
  <c r="F16" i="3"/>
  <c r="G16" i="3"/>
  <c r="B16" i="3"/>
  <c r="C7" i="3"/>
  <c r="D7" i="3"/>
  <c r="E7" i="3"/>
  <c r="F7" i="3"/>
  <c r="G7" i="3"/>
  <c r="B7" i="3"/>
  <c r="AI44" i="2"/>
  <c r="AJ44" i="2"/>
  <c r="AK44" i="2"/>
  <c r="AL44" i="2"/>
  <c r="AM44" i="2"/>
  <c r="AH44" i="2"/>
  <c r="N53" i="2"/>
  <c r="O44" i="2"/>
  <c r="M48" i="2"/>
  <c r="L48" i="2"/>
  <c r="M28" i="2"/>
  <c r="L28" i="2"/>
  <c r="C52" i="2"/>
  <c r="B52" i="2"/>
  <c r="B53" i="2" s="1"/>
  <c r="C47" i="2"/>
  <c r="D47" i="2"/>
  <c r="D52" i="2" s="1"/>
  <c r="E47" i="2"/>
  <c r="E52" i="2" s="1"/>
  <c r="F47" i="2"/>
  <c r="F52" i="2" s="1"/>
  <c r="G47" i="2"/>
  <c r="G52" i="2" s="1"/>
  <c r="B47" i="2"/>
  <c r="AR59" i="2"/>
  <c r="AS59" i="2"/>
  <c r="AT59" i="2"/>
  <c r="AP59" i="2"/>
  <c r="AQ53" i="2"/>
  <c r="AQ59" i="2" s="1"/>
  <c r="AR53" i="2"/>
  <c r="AS53" i="2"/>
  <c r="AT53" i="2"/>
  <c r="AU53" i="2"/>
  <c r="AU59" i="2" s="1"/>
  <c r="AP53" i="2"/>
  <c r="AQ48" i="2"/>
  <c r="AR48" i="2"/>
  <c r="AS48" i="2"/>
  <c r="AT48" i="2"/>
  <c r="AU48" i="2"/>
  <c r="AP48" i="2"/>
  <c r="AQ38" i="2"/>
  <c r="AR38" i="2"/>
  <c r="AS38" i="2"/>
  <c r="AT38" i="2"/>
  <c r="AU38" i="2"/>
  <c r="AP38" i="2"/>
  <c r="AQ30" i="2"/>
  <c r="AR30" i="2"/>
  <c r="AS30" i="2"/>
  <c r="AT30" i="2"/>
  <c r="AU30" i="2"/>
  <c r="AP30" i="2"/>
  <c r="AQ20" i="2"/>
  <c r="AR20" i="2"/>
  <c r="AS20" i="2"/>
  <c r="AT20" i="2"/>
  <c r="AU20" i="2"/>
  <c r="AP20" i="2"/>
  <c r="AI55" i="2"/>
  <c r="AI36" i="2"/>
  <c r="AJ36" i="2"/>
  <c r="AK36" i="2"/>
  <c r="AL36" i="2"/>
  <c r="AM36" i="2"/>
  <c r="AH36" i="2"/>
  <c r="AI28" i="2"/>
  <c r="AJ28" i="2"/>
  <c r="AK28" i="2"/>
  <c r="AL28" i="2"/>
  <c r="AM28" i="2"/>
  <c r="AH28" i="2"/>
  <c r="AI18" i="2"/>
  <c r="AJ18" i="2"/>
  <c r="AK18" i="2"/>
  <c r="AL18" i="2"/>
  <c r="AM18" i="2"/>
  <c r="AH18" i="2"/>
  <c r="AI49" i="2"/>
  <c r="AJ49" i="2"/>
  <c r="AJ55" i="2" s="1"/>
  <c r="AK49" i="2"/>
  <c r="AK55" i="2" s="1"/>
  <c r="AL49" i="2"/>
  <c r="AL55" i="2" s="1"/>
  <c r="AM49" i="2"/>
  <c r="AM55" i="2" s="1"/>
  <c r="AH49" i="2"/>
  <c r="AH55" i="2" s="1"/>
  <c r="AA50" i="2"/>
  <c r="AA56" i="2" s="1"/>
  <c r="AB50" i="2"/>
  <c r="AB56" i="2" s="1"/>
  <c r="AC50" i="2"/>
  <c r="AC56" i="2" s="1"/>
  <c r="AD50" i="2"/>
  <c r="AD56" i="2" s="1"/>
  <c r="AE50" i="2"/>
  <c r="AE56" i="2" s="1"/>
  <c r="Z50" i="2"/>
  <c r="Z56" i="2" s="1"/>
  <c r="AA44" i="2"/>
  <c r="AB44" i="2"/>
  <c r="AC44" i="2"/>
  <c r="AD44" i="2"/>
  <c r="AE44" i="2"/>
  <c r="Z44" i="2"/>
  <c r="AA35" i="2"/>
  <c r="AB35" i="2"/>
  <c r="AC35" i="2"/>
  <c r="AD35" i="2"/>
  <c r="AE35" i="2"/>
  <c r="Z35" i="2"/>
  <c r="AA28" i="2"/>
  <c r="AB28" i="2"/>
  <c r="AC28" i="2"/>
  <c r="AD28" i="2"/>
  <c r="AE28" i="2"/>
  <c r="Z28" i="2"/>
  <c r="AA18" i="2"/>
  <c r="AB18" i="2"/>
  <c r="AC18" i="2"/>
  <c r="AD18" i="2"/>
  <c r="AE18" i="2"/>
  <c r="Z18" i="2"/>
  <c r="S52" i="2"/>
  <c r="S57" i="2" s="1"/>
  <c r="T52" i="2"/>
  <c r="T57" i="2" s="1"/>
  <c r="U52" i="2"/>
  <c r="U57" i="2" s="1"/>
  <c r="V52" i="2"/>
  <c r="V57" i="2" s="1"/>
  <c r="W52" i="2"/>
  <c r="W57" i="2" s="1"/>
  <c r="R52" i="2"/>
  <c r="R57" i="2" s="1"/>
  <c r="S46" i="2"/>
  <c r="T46" i="2"/>
  <c r="U46" i="2"/>
  <c r="V46" i="2"/>
  <c r="W46" i="2"/>
  <c r="R46" i="2"/>
  <c r="S38" i="2"/>
  <c r="T38" i="2"/>
  <c r="U38" i="2"/>
  <c r="V38" i="2"/>
  <c r="W38" i="2"/>
  <c r="R38" i="2"/>
  <c r="S31" i="2"/>
  <c r="T31" i="2"/>
  <c r="U31" i="2"/>
  <c r="V31" i="2"/>
  <c r="W31" i="2"/>
  <c r="R31" i="2"/>
  <c r="S20" i="2"/>
  <c r="T20" i="2"/>
  <c r="U20" i="2"/>
  <c r="V20" i="2"/>
  <c r="W20" i="2"/>
  <c r="R20" i="2"/>
  <c r="K54" i="2"/>
  <c r="L54" i="2"/>
  <c r="M54" i="2"/>
  <c r="N54" i="2"/>
  <c r="O54" i="2"/>
  <c r="J54" i="2"/>
  <c r="K45" i="2"/>
  <c r="L45" i="2"/>
  <c r="M45" i="2"/>
  <c r="N45" i="2"/>
  <c r="O45" i="2"/>
  <c r="J45" i="2"/>
  <c r="K36" i="2"/>
  <c r="L36" i="2"/>
  <c r="M36" i="2"/>
  <c r="N36" i="2"/>
  <c r="O36" i="2"/>
  <c r="J36" i="2"/>
  <c r="K30" i="2"/>
  <c r="K29" i="2"/>
  <c r="L29" i="2"/>
  <c r="L30" i="2" s="1"/>
  <c r="M29" i="2"/>
  <c r="N29" i="2"/>
  <c r="O29" i="2"/>
  <c r="J29" i="2"/>
  <c r="K19" i="2"/>
  <c r="L19" i="2"/>
  <c r="M19" i="2"/>
  <c r="N19" i="2"/>
  <c r="O19" i="2"/>
  <c r="J19" i="2"/>
  <c r="C41" i="2"/>
  <c r="D41" i="2"/>
  <c r="E41" i="2"/>
  <c r="F41" i="2"/>
  <c r="G41" i="2"/>
  <c r="B41" i="2"/>
  <c r="C33" i="2"/>
  <c r="D33" i="2"/>
  <c r="E33" i="2"/>
  <c r="F33" i="2"/>
  <c r="G33" i="2"/>
  <c r="B33" i="2"/>
  <c r="C16" i="2"/>
  <c r="D16" i="2"/>
  <c r="E16" i="2"/>
  <c r="F16" i="2"/>
  <c r="G16" i="2"/>
  <c r="C27" i="2"/>
  <c r="D27" i="2"/>
  <c r="E27" i="2"/>
  <c r="F27" i="2"/>
  <c r="G27" i="2"/>
  <c r="B27" i="2"/>
  <c r="B16" i="2"/>
  <c r="C11" i="1" a="1"/>
  <c r="C11" i="1" s="1"/>
  <c r="D11" i="1" a="1"/>
  <c r="D11" i="1" s="1"/>
  <c r="E11" i="1" a="1"/>
  <c r="E11" i="1" s="1"/>
  <c r="F11" i="1" a="1"/>
  <c r="F11" i="1" s="1"/>
  <c r="G11" i="1" a="1"/>
  <c r="G11" i="1" s="1"/>
  <c r="C12" i="1" a="1"/>
  <c r="C12" i="1" s="1"/>
  <c r="D12" i="1" a="1"/>
  <c r="D12" i="1" s="1"/>
  <c r="E12" i="1" a="1"/>
  <c r="E12" i="1" s="1"/>
  <c r="F12" i="1" a="1"/>
  <c r="F12" i="1" s="1"/>
  <c r="G12" i="1" a="1"/>
  <c r="G12" i="1" s="1"/>
  <c r="B12" i="1" a="1"/>
  <c r="B12" i="1" s="1"/>
  <c r="B11" i="1" a="1"/>
  <c r="B11" i="1" s="1"/>
  <c r="C10" i="1" a="1"/>
  <c r="C10" i="1" s="1"/>
  <c r="D10" i="1" a="1"/>
  <c r="D10" i="1" s="1"/>
  <c r="E10" i="1" a="1"/>
  <c r="E10" i="1" s="1"/>
  <c r="F10" i="1" a="1"/>
  <c r="F10" i="1" s="1"/>
  <c r="G10" i="1" a="1"/>
  <c r="G10" i="1" s="1"/>
  <c r="B10" i="1" a="1"/>
  <c r="B10" i="1" s="1"/>
  <c r="C9" i="1" a="1"/>
  <c r="C9" i="1" s="1"/>
  <c r="G12" i="9" s="1"/>
  <c r="G4" i="11" s="1"/>
  <c r="G6" i="11" s="1"/>
  <c r="D9" i="1" a="1"/>
  <c r="D9" i="1" s="1"/>
  <c r="E12" i="9" s="1"/>
  <c r="E4" i="11" s="1"/>
  <c r="E6" i="11" s="1"/>
  <c r="E9" i="1" a="1"/>
  <c r="E9" i="1" s="1"/>
  <c r="B12" i="9" s="1"/>
  <c r="B4" i="11" s="1"/>
  <c r="B6" i="11" s="1"/>
  <c r="F9" i="1" a="1"/>
  <c r="F9" i="1" s="1"/>
  <c r="D12" i="9" s="1"/>
  <c r="D4" i="11" s="1"/>
  <c r="D6" i="11" s="1"/>
  <c r="G9" i="1" a="1"/>
  <c r="G9" i="1" s="1"/>
  <c r="C12" i="9" s="1"/>
  <c r="C4" i="11" s="1"/>
  <c r="C6" i="11" s="1"/>
  <c r="B9" i="1" a="1"/>
  <c r="B9" i="1" s="1"/>
  <c r="F12" i="9" s="1"/>
  <c r="F4" i="11" s="1"/>
  <c r="F6" i="11" s="1"/>
  <c r="C6" i="1" a="1"/>
  <c r="C6" i="1" s="1"/>
  <c r="G3" i="11" s="1"/>
  <c r="D6" i="1" a="1"/>
  <c r="D6" i="1" s="1"/>
  <c r="E6" i="1" a="1"/>
  <c r="E6" i="1" s="1"/>
  <c r="F6" i="1" a="1"/>
  <c r="F6" i="1" s="1"/>
  <c r="G6" i="1" a="1"/>
  <c r="G6" i="1" s="1"/>
  <c r="C7" i="1" a="1"/>
  <c r="C7" i="1" s="1"/>
  <c r="D7" i="1" a="1"/>
  <c r="D7" i="1" s="1"/>
  <c r="D8" i="1" s="1"/>
  <c r="E7" i="1" a="1"/>
  <c r="E7" i="1" s="1"/>
  <c r="E8" i="1" s="1"/>
  <c r="F7" i="1" a="1"/>
  <c r="F7" i="1" s="1"/>
  <c r="F8" i="1" s="1"/>
  <c r="G7" i="1" a="1"/>
  <c r="G7" i="1" s="1"/>
  <c r="G8" i="1" s="1"/>
  <c r="B7" i="1" a="1"/>
  <c r="B7" i="1" s="1"/>
  <c r="B6" i="1" a="1"/>
  <c r="B6" i="1" s="1"/>
  <c r="F3" i="11" s="1"/>
  <c r="C5" i="1" a="1"/>
  <c r="C5" i="1" s="1"/>
  <c r="G4" i="9" s="1"/>
  <c r="G6" i="9" s="1"/>
  <c r="D5" i="1" a="1"/>
  <c r="D5" i="1" s="1"/>
  <c r="E4" i="9" s="1"/>
  <c r="E6" i="9" s="1"/>
  <c r="E5" i="1" a="1"/>
  <c r="E5" i="1" s="1"/>
  <c r="B4" i="9" s="1"/>
  <c r="F5" i="1" a="1"/>
  <c r="F5" i="1" s="1"/>
  <c r="D4" i="9" s="1"/>
  <c r="D6" i="9" s="1"/>
  <c r="G5" i="1" a="1"/>
  <c r="G5" i="1" s="1"/>
  <c r="C4" i="9" s="1"/>
  <c r="C6" i="9" s="1"/>
  <c r="B5" i="1" a="1"/>
  <c r="B5" i="1" s="1"/>
  <c r="F4" i="9" s="1"/>
  <c r="F6" i="9" s="1"/>
  <c r="C4" i="1" a="1"/>
  <c r="C4" i="1" s="1"/>
  <c r="D4" i="1" a="1"/>
  <c r="D4" i="1" s="1"/>
  <c r="E4" i="1" a="1"/>
  <c r="E4" i="1" s="1"/>
  <c r="F4" i="1" a="1"/>
  <c r="F4" i="1" s="1"/>
  <c r="G4" i="1" a="1"/>
  <c r="G4" i="1" s="1"/>
  <c r="B4" i="1" a="1"/>
  <c r="B4" i="1" s="1"/>
  <c r="B6" i="9" l="1"/>
  <c r="AT71" i="3"/>
  <c r="AO7" i="10" s="1"/>
  <c r="C27" i="7"/>
  <c r="AK3" i="10"/>
  <c r="AK18" i="7"/>
  <c r="AL18" i="7"/>
  <c r="AL5" i="8" s="1"/>
  <c r="AL3" i="10"/>
  <c r="AA28" i="5"/>
  <c r="AB28" i="5"/>
  <c r="AC28" i="5"/>
  <c r="AD28" i="5"/>
  <c r="AE28" i="5"/>
  <c r="Z28" i="5"/>
  <c r="S28" i="5"/>
  <c r="S29" i="5" s="1"/>
  <c r="T28" i="5"/>
  <c r="T29" i="5" s="1"/>
  <c r="U28" i="5"/>
  <c r="U29" i="5" s="1"/>
  <c r="V28" i="5"/>
  <c r="V29" i="5" s="1"/>
  <c r="W28" i="5"/>
  <c r="W29" i="5" s="1"/>
  <c r="R28" i="5"/>
  <c r="R29" i="5" s="1"/>
  <c r="K28" i="5"/>
  <c r="K29" i="5" s="1"/>
  <c r="L28" i="5"/>
  <c r="L29" i="5" s="1"/>
  <c r="M28" i="5"/>
  <c r="M29" i="5" s="1"/>
  <c r="N28" i="5"/>
  <c r="N29" i="5" s="1"/>
  <c r="J28" i="5"/>
  <c r="J29" i="5" s="1"/>
  <c r="O28" i="5"/>
  <c r="O29" i="5" s="1"/>
  <c r="F28" i="5"/>
  <c r="F29" i="5" s="1"/>
  <c r="G28" i="5"/>
  <c r="G29" i="5" s="1"/>
  <c r="B28" i="5"/>
  <c r="B29" i="5" s="1"/>
  <c r="C28" i="5"/>
  <c r="C29" i="5" s="1"/>
  <c r="D28" i="5"/>
  <c r="D29" i="5" s="1"/>
  <c r="E28" i="5"/>
  <c r="E29" i="5" s="1"/>
  <c r="G11" i="11"/>
  <c r="AK20" i="10" s="1"/>
  <c r="C8" i="1"/>
  <c r="F11" i="11"/>
  <c r="AD20" i="10" s="1"/>
  <c r="B8" i="1"/>
  <c r="AK22" i="10"/>
  <c r="AR1" i="12"/>
  <c r="AD22" i="10"/>
  <c r="AK1" i="12"/>
  <c r="AN9" i="7"/>
  <c r="AN29" i="6"/>
  <c r="AN31" i="6" s="1"/>
  <c r="AM9" i="7"/>
  <c r="AM10" i="7" s="1"/>
  <c r="AM29" i="6"/>
  <c r="AM31" i="6" s="1"/>
  <c r="AR79" i="3"/>
  <c r="AM15" i="7" s="1"/>
  <c r="AL9" i="6"/>
  <c r="AL16" i="6" s="1"/>
  <c r="AN14" i="8"/>
  <c r="AN11" i="7"/>
  <c r="AN13" i="7"/>
  <c r="AO13" i="8"/>
  <c r="AO31" i="8"/>
  <c r="AT86" i="3"/>
  <c r="AO28" i="6" s="1"/>
  <c r="AT73" i="3"/>
  <c r="AT87" i="3"/>
  <c r="AT83" i="3"/>
  <c r="AO30" i="6" s="1"/>
  <c r="AT84" i="3"/>
  <c r="AO25" i="6" s="1"/>
  <c r="AT75" i="3"/>
  <c r="AO8" i="6" s="1"/>
  <c r="AT82" i="3"/>
  <c r="AO14" i="6" s="1"/>
  <c r="AT85" i="3"/>
  <c r="AT80" i="3"/>
  <c r="AT76" i="3"/>
  <c r="AO12" i="7" s="1"/>
  <c r="AM11" i="7"/>
  <c r="AM13" i="7" s="1"/>
  <c r="AM14" i="8"/>
  <c r="AM16" i="8" s="1"/>
  <c r="AM13" i="6"/>
  <c r="AM15" i="6" s="1"/>
  <c r="AO12" i="6"/>
  <c r="AN13" i="8"/>
  <c r="AN31" i="8"/>
  <c r="AN6" i="6"/>
  <c r="AT72" i="3" s="1"/>
  <c r="U20" i="3"/>
  <c r="AI17" i="3"/>
  <c r="J18" i="3"/>
  <c r="U7" i="5"/>
  <c r="U18" i="5"/>
  <c r="U6" i="5"/>
  <c r="AI18" i="5"/>
  <c r="AI7" i="5"/>
  <c r="AI6" i="5"/>
  <c r="AP18" i="3"/>
  <c r="AP22" i="5"/>
  <c r="AP25" i="5"/>
  <c r="AP30" i="3"/>
  <c r="AP26" i="5" s="1"/>
  <c r="AP5" i="5"/>
  <c r="AP20" i="5"/>
  <c r="X6" i="7"/>
  <c r="X7" i="7" s="1"/>
  <c r="AB74" i="3"/>
  <c r="F50" i="3"/>
  <c r="F40" i="3"/>
  <c r="F46" i="3"/>
  <c r="F25" i="5"/>
  <c r="F5" i="5"/>
  <c r="F49" i="3"/>
  <c r="F32" i="3"/>
  <c r="F20" i="5"/>
  <c r="F22" i="5"/>
  <c r="F38" i="3"/>
  <c r="F27" i="3"/>
  <c r="F25" i="3"/>
  <c r="F26" i="5" s="1"/>
  <c r="J58" i="3"/>
  <c r="J60" i="3"/>
  <c r="J36" i="3"/>
  <c r="J26" i="5"/>
  <c r="J25" i="5"/>
  <c r="J47" i="3"/>
  <c r="J20" i="5"/>
  <c r="J55" i="3"/>
  <c r="J49" i="3"/>
  <c r="J5" i="5"/>
  <c r="J22" i="5"/>
  <c r="J63" i="3"/>
  <c r="J43" i="3"/>
  <c r="AB10" i="5"/>
  <c r="AB59" i="3"/>
  <c r="AB65" i="3"/>
  <c r="AB25" i="5"/>
  <c r="AB5" i="5"/>
  <c r="AB32" i="3"/>
  <c r="AB54" i="3"/>
  <c r="AB43" i="3"/>
  <c r="AB9" i="5"/>
  <c r="AB56" i="3"/>
  <c r="AB20" i="5"/>
  <c r="AB22" i="5"/>
  <c r="AB45" i="3"/>
  <c r="AB30" i="3"/>
  <c r="AB26" i="5" s="1"/>
  <c r="AB51" i="3"/>
  <c r="AB39" i="3"/>
  <c r="AJ53" i="3"/>
  <c r="AJ50" i="3"/>
  <c r="AJ55" i="3"/>
  <c r="AJ62" i="3"/>
  <c r="AJ31" i="3"/>
  <c r="AJ42" i="3"/>
  <c r="AJ44" i="3"/>
  <c r="AJ66" i="3"/>
  <c r="AJ63" i="3"/>
  <c r="AJ22" i="5"/>
  <c r="AJ5" i="5"/>
  <c r="AJ20" i="5"/>
  <c r="AJ25" i="5"/>
  <c r="AJ29" i="3"/>
  <c r="AJ26" i="5" s="1"/>
  <c r="AJ38" i="3"/>
  <c r="AT20" i="5"/>
  <c r="AT22" i="5"/>
  <c r="AT5" i="5"/>
  <c r="AT30" i="3"/>
  <c r="AT26" i="5" s="1"/>
  <c r="AT25" i="5"/>
  <c r="AI19" i="3"/>
  <c r="AI25" i="3" s="1"/>
  <c r="AI46" i="3" s="1"/>
  <c r="K49" i="3"/>
  <c r="K25" i="5"/>
  <c r="K55" i="3"/>
  <c r="K58" i="3"/>
  <c r="K60" i="3"/>
  <c r="K47" i="3"/>
  <c r="K5" i="5"/>
  <c r="K20" i="5"/>
  <c r="K43" i="3"/>
  <c r="K36" i="3"/>
  <c r="K63" i="3"/>
  <c r="K34" i="3"/>
  <c r="K26" i="5" s="1"/>
  <c r="K22" i="5"/>
  <c r="J20" i="3"/>
  <c r="J6" i="5"/>
  <c r="J7" i="5"/>
  <c r="J18" i="5"/>
  <c r="AH31" i="3"/>
  <c r="AH53" i="3"/>
  <c r="AH44" i="3"/>
  <c r="AH62" i="3"/>
  <c r="AH50" i="3"/>
  <c r="AH66" i="3"/>
  <c r="AH42" i="3"/>
  <c r="AH63" i="3"/>
  <c r="AH55" i="3"/>
  <c r="AH26" i="5"/>
  <c r="AH25" i="5"/>
  <c r="AH20" i="5"/>
  <c r="AH5" i="5"/>
  <c r="AH22" i="5"/>
  <c r="AH38" i="3"/>
  <c r="B7" i="11"/>
  <c r="B16" i="11" s="1"/>
  <c r="G50" i="3"/>
  <c r="G40" i="3"/>
  <c r="G25" i="3"/>
  <c r="G26" i="5" s="1"/>
  <c r="G25" i="5"/>
  <c r="G5" i="5"/>
  <c r="G49" i="3"/>
  <c r="G32" i="3"/>
  <c r="G20" i="5"/>
  <c r="G46" i="3"/>
  <c r="B31" i="3"/>
  <c r="B5" i="7" s="1"/>
  <c r="G38" i="3"/>
  <c r="G22" i="5"/>
  <c r="G27" i="3"/>
  <c r="AC51" i="3"/>
  <c r="AC10" i="5"/>
  <c r="AC59" i="3"/>
  <c r="AC65" i="3"/>
  <c r="AC25" i="5"/>
  <c r="AC5" i="5"/>
  <c r="AC32" i="3"/>
  <c r="AC54" i="3"/>
  <c r="AC43" i="3"/>
  <c r="AC9" i="5"/>
  <c r="AC56" i="3"/>
  <c r="AC22" i="5"/>
  <c r="AC45" i="3"/>
  <c r="AC20" i="5"/>
  <c r="AC30" i="3"/>
  <c r="AC26" i="5" s="1"/>
  <c r="AC39" i="3"/>
  <c r="G7" i="11"/>
  <c r="AU25" i="5"/>
  <c r="AU5" i="5"/>
  <c r="AU22" i="5"/>
  <c r="AU20" i="5"/>
  <c r="AU30" i="3"/>
  <c r="AU26" i="5" s="1"/>
  <c r="E46" i="3"/>
  <c r="E38" i="3"/>
  <c r="E27" i="3"/>
  <c r="E49" i="3"/>
  <c r="E40" i="3"/>
  <c r="E20" i="5"/>
  <c r="E25" i="3"/>
  <c r="E26" i="5" s="1"/>
  <c r="E50" i="3"/>
  <c r="E25" i="5"/>
  <c r="E22" i="5"/>
  <c r="E5" i="5"/>
  <c r="E32" i="3"/>
  <c r="C7" i="11"/>
  <c r="C16" i="11" s="1"/>
  <c r="O60" i="3"/>
  <c r="O36" i="3"/>
  <c r="O47" i="3"/>
  <c r="O49" i="3"/>
  <c r="O25" i="5"/>
  <c r="O55" i="3"/>
  <c r="O34" i="3"/>
  <c r="O26" i="5" s="1"/>
  <c r="O20" i="5"/>
  <c r="O22" i="5"/>
  <c r="O5" i="5"/>
  <c r="O58" i="3"/>
  <c r="J42" i="3"/>
  <c r="O63" i="3"/>
  <c r="J64" i="3" s="1"/>
  <c r="O43" i="3"/>
  <c r="AA59" i="3"/>
  <c r="AA65" i="3"/>
  <c r="AA25" i="5"/>
  <c r="AA5" i="5"/>
  <c r="AA32" i="3"/>
  <c r="AA54" i="3"/>
  <c r="AA43" i="3"/>
  <c r="AA9" i="5"/>
  <c r="AA56" i="3"/>
  <c r="AA45" i="3"/>
  <c r="AA30" i="3"/>
  <c r="AA26" i="5" s="1"/>
  <c r="AA10" i="5"/>
  <c r="AA22" i="5"/>
  <c r="AA20" i="5"/>
  <c r="AA51" i="3"/>
  <c r="AA39" i="3"/>
  <c r="AK62" i="3"/>
  <c r="AK66" i="3"/>
  <c r="AK55" i="3"/>
  <c r="AK53" i="3"/>
  <c r="AK42" i="3"/>
  <c r="AK50" i="3"/>
  <c r="AK63" i="3"/>
  <c r="AK31" i="3"/>
  <c r="AK44" i="3"/>
  <c r="AK25" i="5"/>
  <c r="AK22" i="5"/>
  <c r="AK5" i="5"/>
  <c r="AK29" i="3"/>
  <c r="AK26" i="5" s="1"/>
  <c r="AK20" i="5"/>
  <c r="AK38" i="3"/>
  <c r="AS20" i="5"/>
  <c r="AS30" i="3"/>
  <c r="AS26" i="5" s="1"/>
  <c r="AS5" i="5"/>
  <c r="AS22" i="5"/>
  <c r="AS25" i="5"/>
  <c r="B49" i="3"/>
  <c r="B50" i="3"/>
  <c r="B40" i="3"/>
  <c r="B20" i="5"/>
  <c r="B5" i="5"/>
  <c r="B27" i="3"/>
  <c r="B38" i="3"/>
  <c r="B25" i="5"/>
  <c r="B32" i="3"/>
  <c r="B26" i="5"/>
  <c r="B22" i="5"/>
  <c r="B46" i="3"/>
  <c r="Q6" i="7"/>
  <c r="Q7" i="7" s="1"/>
  <c r="T72" i="3"/>
  <c r="D46" i="3"/>
  <c r="D38" i="3"/>
  <c r="D27" i="3"/>
  <c r="D49" i="3"/>
  <c r="D22" i="5"/>
  <c r="D25" i="3"/>
  <c r="D26" i="5" s="1"/>
  <c r="D50" i="3"/>
  <c r="D25" i="5"/>
  <c r="D40" i="3"/>
  <c r="D20" i="5"/>
  <c r="D5" i="5"/>
  <c r="D32" i="3"/>
  <c r="N36" i="3"/>
  <c r="N47" i="3"/>
  <c r="N49" i="3"/>
  <c r="J50" i="3" s="1"/>
  <c r="N25" i="5"/>
  <c r="N22" i="5"/>
  <c r="N34" i="3"/>
  <c r="N26" i="5" s="1"/>
  <c r="N5" i="5"/>
  <c r="N55" i="3"/>
  <c r="N58" i="3"/>
  <c r="N60" i="3"/>
  <c r="N20" i="5"/>
  <c r="N63" i="3"/>
  <c r="N43" i="3"/>
  <c r="R50" i="3"/>
  <c r="R53" i="3"/>
  <c r="R25" i="5"/>
  <c r="R20" i="5"/>
  <c r="R55" i="3"/>
  <c r="R31" i="3"/>
  <c r="R42" i="3"/>
  <c r="R58" i="3"/>
  <c r="R44" i="3"/>
  <c r="R29" i="3"/>
  <c r="R26" i="5" s="1"/>
  <c r="R5" i="5"/>
  <c r="R22" i="5"/>
  <c r="R38" i="3"/>
  <c r="AL55" i="3"/>
  <c r="AL42" i="3"/>
  <c r="AL63" i="3"/>
  <c r="AL62" i="3"/>
  <c r="AL66" i="3"/>
  <c r="AL53" i="3"/>
  <c r="AL50" i="3"/>
  <c r="AL31" i="3"/>
  <c r="AL44" i="3"/>
  <c r="AL22" i="5"/>
  <c r="AL20" i="5"/>
  <c r="AL29" i="3"/>
  <c r="AL26" i="5" s="1"/>
  <c r="AL5" i="5"/>
  <c r="AL28" i="3"/>
  <c r="AL25" i="5" s="1"/>
  <c r="AL38" i="3"/>
  <c r="AR20" i="5"/>
  <c r="AR22" i="5"/>
  <c r="AR29" i="3"/>
  <c r="AR25" i="5" s="1"/>
  <c r="AR30" i="3"/>
  <c r="AR26" i="5" s="1"/>
  <c r="AR5" i="5"/>
  <c r="R20" i="3"/>
  <c r="E7" i="11"/>
  <c r="AE45" i="3"/>
  <c r="AE51" i="3"/>
  <c r="AE10" i="5"/>
  <c r="AE59" i="3"/>
  <c r="Z60" i="3" s="1"/>
  <c r="AE65" i="3"/>
  <c r="AE25" i="5"/>
  <c r="AE5" i="5"/>
  <c r="AE32" i="3"/>
  <c r="AE54" i="3"/>
  <c r="AE20" i="5"/>
  <c r="AE22" i="5"/>
  <c r="AE30" i="3"/>
  <c r="AE26" i="5" s="1"/>
  <c r="AE39" i="3"/>
  <c r="AE43" i="3"/>
  <c r="AE56" i="3"/>
  <c r="AE9" i="5"/>
  <c r="AD51" i="3"/>
  <c r="AD10" i="5"/>
  <c r="AD59" i="3"/>
  <c r="AD65" i="3"/>
  <c r="AD25" i="5"/>
  <c r="AD5" i="5"/>
  <c r="AD32" i="3"/>
  <c r="AD54" i="3"/>
  <c r="AD43" i="3"/>
  <c r="AD45" i="3"/>
  <c r="AD20" i="5"/>
  <c r="AD30" i="3"/>
  <c r="AD26" i="5" s="1"/>
  <c r="AD9" i="5"/>
  <c r="AD56" i="3"/>
  <c r="AD22" i="5"/>
  <c r="AD39" i="3"/>
  <c r="S20" i="5"/>
  <c r="S44" i="3"/>
  <c r="S5" i="5"/>
  <c r="S50" i="3"/>
  <c r="S53" i="3"/>
  <c r="S22" i="5"/>
  <c r="S55" i="3"/>
  <c r="S42" i="3"/>
  <c r="S25" i="5"/>
  <c r="S31" i="3"/>
  <c r="S29" i="3"/>
  <c r="S26" i="5" s="1"/>
  <c r="S58" i="3"/>
  <c r="S38" i="3"/>
  <c r="C46" i="3"/>
  <c r="C38" i="3"/>
  <c r="C27" i="3"/>
  <c r="C49" i="3"/>
  <c r="C25" i="5"/>
  <c r="C25" i="3"/>
  <c r="C26" i="5" s="1"/>
  <c r="C50" i="3"/>
  <c r="C40" i="3"/>
  <c r="C20" i="5"/>
  <c r="C22" i="5"/>
  <c r="C5" i="5"/>
  <c r="C32" i="3"/>
  <c r="M47" i="3"/>
  <c r="M49" i="3"/>
  <c r="M25" i="5"/>
  <c r="M55" i="3"/>
  <c r="M63" i="3"/>
  <c r="M22" i="5"/>
  <c r="M60" i="3"/>
  <c r="M34" i="3"/>
  <c r="M26" i="5" s="1"/>
  <c r="M5" i="5"/>
  <c r="M20" i="5"/>
  <c r="M58" i="3"/>
  <c r="M36" i="3"/>
  <c r="M43" i="3"/>
  <c r="D7" i="11"/>
  <c r="D16" i="11" s="1"/>
  <c r="W53" i="3"/>
  <c r="W55" i="3"/>
  <c r="W31" i="3"/>
  <c r="W25" i="5"/>
  <c r="W42" i="3"/>
  <c r="W22" i="5"/>
  <c r="W29" i="3"/>
  <c r="W26" i="5" s="1"/>
  <c r="W20" i="5"/>
  <c r="W50" i="3"/>
  <c r="W5" i="5"/>
  <c r="W44" i="3"/>
  <c r="W38" i="3"/>
  <c r="W58" i="3"/>
  <c r="R59" i="3" s="1"/>
  <c r="U79" i="3" s="1"/>
  <c r="AM42" i="3"/>
  <c r="AM63" i="3"/>
  <c r="AM55" i="3"/>
  <c r="AM66" i="3"/>
  <c r="AH37" i="3"/>
  <c r="AH78" i="3" s="1"/>
  <c r="AM62" i="3"/>
  <c r="AM31" i="3"/>
  <c r="AH32" i="3" s="1"/>
  <c r="AM53" i="3"/>
  <c r="F7" i="11"/>
  <c r="AM50" i="3"/>
  <c r="AM44" i="3"/>
  <c r="AM25" i="5"/>
  <c r="AM22" i="5"/>
  <c r="AM29" i="3"/>
  <c r="AM26" i="5" s="1"/>
  <c r="AM20" i="5"/>
  <c r="AM5" i="5"/>
  <c r="AM38" i="3"/>
  <c r="AQ5" i="5"/>
  <c r="AQ29" i="3"/>
  <c r="AQ25" i="5" s="1"/>
  <c r="AQ20" i="5"/>
  <c r="AQ22" i="5"/>
  <c r="AQ30" i="3"/>
  <c r="AQ26" i="5" s="1"/>
  <c r="U25" i="5"/>
  <c r="U42" i="3"/>
  <c r="U22" i="5"/>
  <c r="U44" i="3"/>
  <c r="U5" i="5"/>
  <c r="U50" i="3"/>
  <c r="U20" i="5"/>
  <c r="U55" i="3"/>
  <c r="U31" i="3"/>
  <c r="U29" i="3"/>
  <c r="U26" i="5" s="1"/>
  <c r="U53" i="3"/>
  <c r="U38" i="3"/>
  <c r="U58" i="3"/>
  <c r="S20" i="3"/>
  <c r="S25" i="3" s="1"/>
  <c r="T42" i="3"/>
  <c r="T22" i="5"/>
  <c r="T44" i="3"/>
  <c r="T5" i="5"/>
  <c r="T50" i="3"/>
  <c r="T20" i="5"/>
  <c r="T53" i="3"/>
  <c r="T31" i="3"/>
  <c r="T55" i="3"/>
  <c r="T29" i="3"/>
  <c r="T26" i="5" s="1"/>
  <c r="T25" i="5"/>
  <c r="T38" i="3"/>
  <c r="T58" i="3"/>
  <c r="AI50" i="3"/>
  <c r="AI62" i="3"/>
  <c r="AI31" i="3"/>
  <c r="AI44" i="3"/>
  <c r="AI53" i="3"/>
  <c r="AI66" i="3"/>
  <c r="AI63" i="3"/>
  <c r="AI42" i="3"/>
  <c r="AI55" i="3"/>
  <c r="AI20" i="5"/>
  <c r="AI5" i="5"/>
  <c r="AI26" i="5"/>
  <c r="AI22" i="5"/>
  <c r="AI25" i="5"/>
  <c r="AI38" i="3"/>
  <c r="L47" i="3"/>
  <c r="L49" i="3"/>
  <c r="L25" i="5"/>
  <c r="L22" i="5"/>
  <c r="L55" i="3"/>
  <c r="L58" i="3"/>
  <c r="L34" i="3"/>
  <c r="L26" i="5" s="1"/>
  <c r="L60" i="3"/>
  <c r="J61" i="3" s="1"/>
  <c r="L5" i="5"/>
  <c r="L36" i="3"/>
  <c r="L20" i="5"/>
  <c r="L63" i="3"/>
  <c r="L43" i="3"/>
  <c r="V55" i="3"/>
  <c r="V31" i="3"/>
  <c r="V25" i="5"/>
  <c r="V42" i="3"/>
  <c r="V22" i="5"/>
  <c r="V44" i="3"/>
  <c r="V53" i="3"/>
  <c r="V5" i="5"/>
  <c r="V50" i="3"/>
  <c r="V29" i="3"/>
  <c r="V26" i="5" s="1"/>
  <c r="V20" i="5"/>
  <c r="V38" i="3"/>
  <c r="V58" i="3"/>
  <c r="Z56" i="3"/>
  <c r="Z22" i="5"/>
  <c r="Z45" i="3"/>
  <c r="Z51" i="3"/>
  <c r="Z25" i="5"/>
  <c r="Z20" i="5"/>
  <c r="Z10" i="5"/>
  <c r="Z59" i="3"/>
  <c r="Z65" i="3"/>
  <c r="Z32" i="3"/>
  <c r="Z5" i="5"/>
  <c r="Z30" i="3"/>
  <c r="Z26" i="5" s="1"/>
  <c r="Z9" i="5"/>
  <c r="Z54" i="3"/>
  <c r="Z43" i="3"/>
  <c r="Z44" i="3" s="1"/>
  <c r="Z39" i="3"/>
  <c r="T20" i="3"/>
  <c r="J6" i="7"/>
  <c r="L72" i="3"/>
  <c r="F16" i="11"/>
  <c r="E16" i="11"/>
  <c r="G16" i="11"/>
  <c r="W20" i="10"/>
  <c r="E11" i="11"/>
  <c r="Y163" i="12" s="1"/>
  <c r="I22" i="10"/>
  <c r="C3" i="11"/>
  <c r="P1" i="12" s="1"/>
  <c r="B20" i="10"/>
  <c r="A163" i="12" s="1"/>
  <c r="B11" i="11"/>
  <c r="P22" i="10"/>
  <c r="D3" i="11"/>
  <c r="W1" i="12" s="1"/>
  <c r="B22" i="10"/>
  <c r="I1" i="12" s="1"/>
  <c r="B3" i="11"/>
  <c r="I20" i="10"/>
  <c r="C11" i="11"/>
  <c r="I163" i="12" s="1"/>
  <c r="W22" i="10"/>
  <c r="E3" i="11"/>
  <c r="AD1" i="12" s="1"/>
  <c r="P20" i="10"/>
  <c r="D11" i="11"/>
  <c r="Q163" i="12" s="1"/>
  <c r="F13" i="9"/>
  <c r="F15" i="9" s="1"/>
  <c r="C13" i="9"/>
  <c r="C15" i="9" s="1"/>
  <c r="D13" i="9"/>
  <c r="D15" i="9" s="1"/>
  <c r="B13" i="9"/>
  <c r="B15" i="9" s="1"/>
  <c r="E13" i="9"/>
  <c r="E15" i="9" s="1"/>
  <c r="G13" i="9"/>
  <c r="G15" i="9" s="1"/>
  <c r="Z5" i="7"/>
  <c r="AD78" i="3"/>
  <c r="V76" i="3"/>
  <c r="S5" i="7"/>
  <c r="AI8" i="5"/>
  <c r="AI10" i="5"/>
  <c r="AI9" i="5"/>
  <c r="AQ58" i="4"/>
  <c r="AR56" i="4" s="1"/>
  <c r="AR58" i="4" s="1"/>
  <c r="AS56" i="4" s="1"/>
  <c r="AS58" i="4" s="1"/>
  <c r="AT56" i="4" s="1"/>
  <c r="AT58" i="4" s="1"/>
  <c r="AU56" i="4" s="1"/>
  <c r="AU58" i="4" s="1"/>
  <c r="AI40" i="4"/>
  <c r="AJ39" i="4" s="1"/>
  <c r="AJ40" i="4" s="1"/>
  <c r="AK39" i="4" s="1"/>
  <c r="AK40" i="4" s="1"/>
  <c r="AL39" i="4" s="1"/>
  <c r="AL40" i="4" s="1"/>
  <c r="AM39" i="4" s="1"/>
  <c r="AM40" i="4" s="1"/>
  <c r="AA49" i="4"/>
  <c r="AB48" i="4" s="1"/>
  <c r="AB49" i="4" s="1"/>
  <c r="AC48" i="4" s="1"/>
  <c r="AC49" i="4" s="1"/>
  <c r="AD48" i="4" s="1"/>
  <c r="AD49" i="4" s="1"/>
  <c r="AE48" i="4" s="1"/>
  <c r="AE49" i="4" s="1"/>
  <c r="S67" i="4"/>
  <c r="T67" i="4" s="1"/>
  <c r="U66" i="4" s="1"/>
  <c r="U67" i="4" s="1"/>
  <c r="V67" i="4" s="1"/>
  <c r="W66" i="4" s="1"/>
  <c r="W67" i="4" s="1"/>
  <c r="K57" i="4"/>
  <c r="L55" i="4" s="1"/>
  <c r="L57" i="4" s="1"/>
  <c r="M55" i="4" s="1"/>
  <c r="M57" i="4" s="1"/>
  <c r="N55" i="4" s="1"/>
  <c r="N57" i="4" s="1"/>
  <c r="O55" i="4" s="1"/>
  <c r="O57" i="4" s="1"/>
  <c r="C50" i="4"/>
  <c r="D49" i="4" s="1"/>
  <c r="D50" i="4" s="1"/>
  <c r="E49" i="4" s="1"/>
  <c r="E50" i="4" s="1"/>
  <c r="F49" i="4" s="1"/>
  <c r="F50" i="4" s="1"/>
  <c r="G49" i="4" s="1"/>
  <c r="G50" i="4" s="1"/>
  <c r="AU18" i="3"/>
  <c r="AT18" i="3"/>
  <c r="AP24" i="3"/>
  <c r="AP26" i="3" s="1"/>
  <c r="AR18" i="3"/>
  <c r="AS18" i="3"/>
  <c r="AQ18" i="3"/>
  <c r="AM17" i="3"/>
  <c r="AL17" i="3"/>
  <c r="AK17" i="3"/>
  <c r="AJ17" i="3"/>
  <c r="AH17" i="3"/>
  <c r="AE20" i="3"/>
  <c r="AD20" i="3"/>
  <c r="AC20" i="3"/>
  <c r="AB20" i="3"/>
  <c r="AA20" i="3"/>
  <c r="Z20" i="3"/>
  <c r="W20" i="3"/>
  <c r="V20" i="3"/>
  <c r="U25" i="3"/>
  <c r="U46" i="3" s="1"/>
  <c r="R25" i="3"/>
  <c r="R46" i="3" s="1"/>
  <c r="O18" i="3"/>
  <c r="N18" i="3"/>
  <c r="M18" i="3"/>
  <c r="L18" i="3"/>
  <c r="J25" i="3"/>
  <c r="J28" i="3" s="1"/>
  <c r="J30" i="3" s="1"/>
  <c r="J51" i="3" s="1"/>
  <c r="K18" i="3"/>
  <c r="G17" i="3"/>
  <c r="F17" i="3"/>
  <c r="E17" i="3"/>
  <c r="D17" i="3"/>
  <c r="C17" i="3"/>
  <c r="B17" i="3"/>
  <c r="AT61" i="2"/>
  <c r="AU61" i="2"/>
  <c r="AU32" i="2"/>
  <c r="AT32" i="2"/>
  <c r="AS61" i="2"/>
  <c r="AR61" i="2"/>
  <c r="AS32" i="2"/>
  <c r="AR32" i="2"/>
  <c r="AQ61" i="2"/>
  <c r="AP61" i="2"/>
  <c r="AQ32" i="2"/>
  <c r="AP32" i="2"/>
  <c r="AM56" i="2"/>
  <c r="AL56" i="2"/>
  <c r="AM30" i="2"/>
  <c r="AL30" i="2"/>
  <c r="AK56" i="2"/>
  <c r="AJ56" i="2"/>
  <c r="AK30" i="2"/>
  <c r="AJ30" i="2"/>
  <c r="AH56" i="2"/>
  <c r="AI56" i="2"/>
  <c r="AI30" i="2"/>
  <c r="AH30" i="2"/>
  <c r="AE57" i="2"/>
  <c r="AD57" i="2"/>
  <c r="AE29" i="2"/>
  <c r="AD29" i="2"/>
  <c r="AB57" i="2"/>
  <c r="AC57" i="2"/>
  <c r="AC29" i="2"/>
  <c r="AB29" i="2"/>
  <c r="AA57" i="2"/>
  <c r="Z57" i="2"/>
  <c r="AA29" i="2"/>
  <c r="Z29" i="2"/>
  <c r="W58" i="2"/>
  <c r="W32" i="2"/>
  <c r="V32" i="2"/>
  <c r="T58" i="2"/>
  <c r="U58" i="2"/>
  <c r="V58" i="2"/>
  <c r="T32" i="2"/>
  <c r="U32" i="2"/>
  <c r="S58" i="2"/>
  <c r="R58" i="2"/>
  <c r="S32" i="2"/>
  <c r="R32" i="2"/>
  <c r="O30" i="2"/>
  <c r="N30" i="2"/>
  <c r="O55" i="2"/>
  <c r="N55" i="2"/>
  <c r="K55" i="2"/>
  <c r="M55" i="2"/>
  <c r="L55" i="2"/>
  <c r="M30" i="2"/>
  <c r="J55" i="2"/>
  <c r="J30" i="2"/>
  <c r="G53" i="2"/>
  <c r="F53" i="2"/>
  <c r="F28" i="2"/>
  <c r="G28" i="2"/>
  <c r="E53" i="2"/>
  <c r="D53" i="2"/>
  <c r="E28" i="2"/>
  <c r="D28" i="2"/>
  <c r="C53" i="2"/>
  <c r="C28" i="2"/>
  <c r="B28" i="2"/>
  <c r="AN16" i="8" l="1"/>
  <c r="AM14" i="7"/>
  <c r="AM16" i="7" s="1"/>
  <c r="F14" i="11"/>
  <c r="F17" i="11"/>
  <c r="AM3" i="10"/>
  <c r="AM18" i="7"/>
  <c r="AM19" i="7" s="1"/>
  <c r="AL19" i="7"/>
  <c r="AL10" i="8" s="1"/>
  <c r="AK4" i="10"/>
  <c r="AK5" i="10" s="1"/>
  <c r="AR81" i="3"/>
  <c r="AM7" i="8" s="1"/>
  <c r="AM6" i="8"/>
  <c r="AM6" i="10"/>
  <c r="AO104" i="12" s="1"/>
  <c r="AM7" i="6"/>
  <c r="AM9" i="6" s="1"/>
  <c r="AL4" i="10"/>
  <c r="AL5" i="10" s="1"/>
  <c r="G14" i="11"/>
  <c r="G17" i="11"/>
  <c r="AH28" i="5"/>
  <c r="AJ28" i="5"/>
  <c r="AK28" i="5"/>
  <c r="AL28" i="5"/>
  <c r="AM28" i="5"/>
  <c r="AI28" i="5"/>
  <c r="AQ28" i="5"/>
  <c r="AP28" i="5"/>
  <c r="AR28" i="5"/>
  <c r="AS28" i="5"/>
  <c r="AT28" i="5"/>
  <c r="AU28" i="5"/>
  <c r="AG163" i="12"/>
  <c r="AO163" i="12"/>
  <c r="AM16" i="6"/>
  <c r="AN13" i="6"/>
  <c r="AN15" i="6" s="1"/>
  <c r="AS81" i="3" s="1"/>
  <c r="AN7" i="8" s="1"/>
  <c r="AN10" i="7"/>
  <c r="AN14" i="7" s="1"/>
  <c r="AO9" i="7"/>
  <c r="AO29" i="6"/>
  <c r="AO31" i="6"/>
  <c r="AS79" i="3"/>
  <c r="AN15" i="7" s="1"/>
  <c r="AO13" i="6"/>
  <c r="AO15" i="6" s="1"/>
  <c r="AT81" i="3" s="1"/>
  <c r="AO7" i="8" s="1"/>
  <c r="AO10" i="7"/>
  <c r="AO11" i="7"/>
  <c r="AO13" i="7" s="1"/>
  <c r="AO14" i="8"/>
  <c r="AO16" i="8" s="1"/>
  <c r="AO6" i="6"/>
  <c r="AP42" i="3"/>
  <c r="B52" i="3"/>
  <c r="AH45" i="3"/>
  <c r="AH65" i="3"/>
  <c r="AH86" i="3" s="1"/>
  <c r="AD28" i="6" s="1"/>
  <c r="R51" i="3"/>
  <c r="U80" i="3" s="1"/>
  <c r="S14" i="6" s="1"/>
  <c r="B47" i="3"/>
  <c r="B37" i="3"/>
  <c r="Z42" i="3"/>
  <c r="Z80" i="3" s="1"/>
  <c r="R41" i="3"/>
  <c r="R78" i="3" s="1"/>
  <c r="AI78" i="3"/>
  <c r="AD5" i="7"/>
  <c r="AD7" i="7" s="1"/>
  <c r="AH75" i="3"/>
  <c r="AD8" i="6" s="1"/>
  <c r="S46" i="3"/>
  <c r="S9" i="5"/>
  <c r="S10" i="5"/>
  <c r="S8" i="5"/>
  <c r="AH41" i="3"/>
  <c r="AH80" i="3" s="1"/>
  <c r="J48" i="3"/>
  <c r="C21" i="3"/>
  <c r="C7" i="5"/>
  <c r="C18" i="5"/>
  <c r="C6" i="5"/>
  <c r="M20" i="3"/>
  <c r="M25" i="3" s="1"/>
  <c r="M28" i="3" s="1"/>
  <c r="M30" i="3" s="1"/>
  <c r="M51" i="3" s="1"/>
  <c r="M7" i="5"/>
  <c r="M18" i="5"/>
  <c r="M6" i="5"/>
  <c r="AA22" i="3"/>
  <c r="AA26" i="3" s="1"/>
  <c r="AA6" i="5"/>
  <c r="AA7" i="5"/>
  <c r="AA18" i="5"/>
  <c r="AL19" i="3"/>
  <c r="AL25" i="3" s="1"/>
  <c r="AL46" i="3" s="1"/>
  <c r="AL6" i="5"/>
  <c r="AL18" i="5"/>
  <c r="AL7" i="5"/>
  <c r="Z55" i="3"/>
  <c r="R6" i="5"/>
  <c r="R7" i="5"/>
  <c r="R18" i="5"/>
  <c r="R54" i="3"/>
  <c r="V82" i="3" s="1"/>
  <c r="T25" i="6" s="1"/>
  <c r="T26" i="6" s="1"/>
  <c r="B33" i="3"/>
  <c r="B51" i="3"/>
  <c r="C5" i="7"/>
  <c r="B7" i="7"/>
  <c r="AH54" i="3"/>
  <c r="AH84" i="3" s="1"/>
  <c r="AD25" i="6" s="1"/>
  <c r="J44" i="3"/>
  <c r="J46" i="3"/>
  <c r="AP7" i="5"/>
  <c r="AP6" i="5"/>
  <c r="AP18" i="5"/>
  <c r="AP20" i="3"/>
  <c r="B21" i="3"/>
  <c r="B18" i="5"/>
  <c r="B7" i="5"/>
  <c r="B6" i="5"/>
  <c r="Z22" i="3"/>
  <c r="Z26" i="3" s="1"/>
  <c r="Z18" i="5"/>
  <c r="Z6" i="5"/>
  <c r="Z7" i="5"/>
  <c r="AU24" i="3"/>
  <c r="AU26" i="3" s="1"/>
  <c r="G9" i="11" s="1"/>
  <c r="G13" i="11" s="1"/>
  <c r="G8" i="11"/>
  <c r="G15" i="11" s="1"/>
  <c r="AU7" i="5"/>
  <c r="AU18" i="5"/>
  <c r="AU6" i="5"/>
  <c r="N20" i="3"/>
  <c r="N25" i="3" s="1"/>
  <c r="N28" i="3" s="1"/>
  <c r="N30" i="3" s="1"/>
  <c r="N51" i="3" s="1"/>
  <c r="N7" i="5"/>
  <c r="N18" i="5"/>
  <c r="N6" i="5"/>
  <c r="AQ24" i="3"/>
  <c r="AQ26" i="3" s="1"/>
  <c r="AQ10" i="5" s="1"/>
  <c r="AQ18" i="5"/>
  <c r="AQ6" i="5"/>
  <c r="AQ7" i="5"/>
  <c r="AQ20" i="3"/>
  <c r="AD86" i="3"/>
  <c r="AA28" i="6" s="1"/>
  <c r="AA17" i="7" s="1"/>
  <c r="AA23" i="8" s="1"/>
  <c r="Z52" i="3"/>
  <c r="AH67" i="3"/>
  <c r="AH87" i="3" s="1"/>
  <c r="AD15" i="8" s="1"/>
  <c r="R79" i="3"/>
  <c r="T79" i="3"/>
  <c r="S79" i="3"/>
  <c r="R43" i="3"/>
  <c r="Z66" i="3"/>
  <c r="AD85" i="3" s="1"/>
  <c r="AC86" i="3"/>
  <c r="Z28" i="6" s="1"/>
  <c r="Z17" i="7" s="1"/>
  <c r="Z23" i="8" s="1"/>
  <c r="AA86" i="3"/>
  <c r="X28" i="6" s="1"/>
  <c r="Z86" i="3"/>
  <c r="W28" i="6" s="1"/>
  <c r="AB86" i="3"/>
  <c r="Y28" i="6" s="1"/>
  <c r="Y17" i="7" s="1"/>
  <c r="Y23" i="8" s="1"/>
  <c r="B39" i="3"/>
  <c r="J53" i="3"/>
  <c r="J37" i="3"/>
  <c r="AK6" i="5"/>
  <c r="AK18" i="5"/>
  <c r="AK7" i="5"/>
  <c r="AK19" i="3"/>
  <c r="AK25" i="3" s="1"/>
  <c r="F21" i="3"/>
  <c r="F7" i="5"/>
  <c r="F6" i="5"/>
  <c r="F18" i="5"/>
  <c r="AD22" i="3"/>
  <c r="AD26" i="3" s="1"/>
  <c r="AD7" i="5"/>
  <c r="AD18" i="5"/>
  <c r="AD6" i="5"/>
  <c r="AS24" i="3"/>
  <c r="AS26" i="3" s="1"/>
  <c r="AS7" i="5"/>
  <c r="AS18" i="5"/>
  <c r="AS6" i="5"/>
  <c r="AS20" i="3"/>
  <c r="V80" i="3"/>
  <c r="T14" i="6" s="1"/>
  <c r="Z46" i="3"/>
  <c r="AD75" i="3" s="1"/>
  <c r="AA8" i="6" s="1"/>
  <c r="AH71" i="3"/>
  <c r="R6" i="7"/>
  <c r="R7" i="7" s="1"/>
  <c r="U72" i="3"/>
  <c r="B28" i="3"/>
  <c r="AH39" i="3"/>
  <c r="AH73" i="3" s="1"/>
  <c r="AH43" i="3"/>
  <c r="AH76" i="3" s="1"/>
  <c r="AD12" i="7" s="1"/>
  <c r="Z76" i="3"/>
  <c r="W12" i="7" s="1"/>
  <c r="AA76" i="3"/>
  <c r="X12" i="7" s="1"/>
  <c r="AB76" i="3"/>
  <c r="Y12" i="7" s="1"/>
  <c r="AB22" i="3"/>
  <c r="AB26" i="3" s="1"/>
  <c r="AB6" i="5"/>
  <c r="AB7" i="5"/>
  <c r="AB18" i="5"/>
  <c r="AC74" i="3"/>
  <c r="Y6" i="7"/>
  <c r="Y7" i="7" s="1"/>
  <c r="AC22" i="3"/>
  <c r="AC26" i="3" s="1"/>
  <c r="AC18" i="5"/>
  <c r="AC6" i="5"/>
  <c r="AC7" i="5"/>
  <c r="G21" i="3"/>
  <c r="B8" i="11"/>
  <c r="B15" i="11" s="1"/>
  <c r="G6" i="5"/>
  <c r="G7" i="5"/>
  <c r="G18" i="5"/>
  <c r="AE22" i="3"/>
  <c r="AE26" i="3" s="1"/>
  <c r="E8" i="11"/>
  <c r="E15" i="11" s="1"/>
  <c r="AE7" i="5"/>
  <c r="AE18" i="5"/>
  <c r="AE6" i="5"/>
  <c r="AR24" i="3"/>
  <c r="AR26" i="3" s="1"/>
  <c r="AR18" i="5"/>
  <c r="AR6" i="5"/>
  <c r="AR7" i="5"/>
  <c r="AR20" i="3"/>
  <c r="Z49" i="3"/>
  <c r="AH64" i="3"/>
  <c r="AH85" i="3" s="1"/>
  <c r="AH56" i="3"/>
  <c r="AH83" i="3" s="1"/>
  <c r="AD30" i="6" s="1"/>
  <c r="R32" i="3"/>
  <c r="AH48" i="3"/>
  <c r="J59" i="3"/>
  <c r="L20" i="3"/>
  <c r="L25" i="3" s="1"/>
  <c r="L28" i="3" s="1"/>
  <c r="L30" i="3" s="1"/>
  <c r="L51" i="3" s="1"/>
  <c r="L18" i="5"/>
  <c r="L6" i="5"/>
  <c r="L7" i="5"/>
  <c r="D21" i="3"/>
  <c r="D6" i="5"/>
  <c r="D7" i="5"/>
  <c r="D18" i="5"/>
  <c r="M72" i="3"/>
  <c r="K6" i="7"/>
  <c r="R45" i="3"/>
  <c r="V73" i="3" s="1"/>
  <c r="T8" i="6" s="1"/>
  <c r="E21" i="3"/>
  <c r="E18" i="5"/>
  <c r="E6" i="5"/>
  <c r="E7" i="5"/>
  <c r="K20" i="3"/>
  <c r="K25" i="3" s="1"/>
  <c r="K28" i="3" s="1"/>
  <c r="K30" i="3" s="1"/>
  <c r="K51" i="3" s="1"/>
  <c r="K18" i="5"/>
  <c r="K6" i="5"/>
  <c r="K7" i="5"/>
  <c r="V25" i="3"/>
  <c r="V46" i="3" s="1"/>
  <c r="V7" i="5"/>
  <c r="V18" i="5"/>
  <c r="V6" i="5"/>
  <c r="T18" i="5"/>
  <c r="T7" i="5"/>
  <c r="T6" i="5"/>
  <c r="Z57" i="3"/>
  <c r="AD83" i="3" s="1"/>
  <c r="AA30" i="6" s="1"/>
  <c r="S18" i="5"/>
  <c r="S6" i="5"/>
  <c r="S7" i="5"/>
  <c r="R39" i="3"/>
  <c r="R56" i="3"/>
  <c r="AH51" i="3"/>
  <c r="AH82" i="3" s="1"/>
  <c r="AD14" i="6" s="1"/>
  <c r="AM19" i="3"/>
  <c r="AM25" i="3" s="1"/>
  <c r="F8" i="11"/>
  <c r="F15" i="11" s="1"/>
  <c r="AM6" i="5"/>
  <c r="AM18" i="5"/>
  <c r="AM7" i="5"/>
  <c r="AC76" i="3"/>
  <c r="Z12" i="7" s="1"/>
  <c r="J56" i="3"/>
  <c r="R80" i="3"/>
  <c r="P14" i="6" s="1"/>
  <c r="T80" i="3"/>
  <c r="R14" i="6" s="1"/>
  <c r="S80" i="3"/>
  <c r="Q14" i="6" s="1"/>
  <c r="O20" i="3"/>
  <c r="O25" i="3" s="1"/>
  <c r="O28" i="3" s="1"/>
  <c r="O30" i="3" s="1"/>
  <c r="O51" i="3" s="1"/>
  <c r="C8" i="11"/>
  <c r="C15" i="11" s="1"/>
  <c r="O7" i="5"/>
  <c r="O18" i="5"/>
  <c r="O6" i="5"/>
  <c r="AH7" i="5"/>
  <c r="AH6" i="5"/>
  <c r="AH18" i="5"/>
  <c r="AH19" i="3"/>
  <c r="AH25" i="3" s="1"/>
  <c r="W25" i="3"/>
  <c r="W46" i="3" s="1"/>
  <c r="D8" i="11"/>
  <c r="D15" i="11" s="1"/>
  <c r="W6" i="5"/>
  <c r="W7" i="5"/>
  <c r="W18" i="5"/>
  <c r="AJ18" i="5"/>
  <c r="AJ7" i="5"/>
  <c r="AJ6" i="5"/>
  <c r="AJ19" i="3"/>
  <c r="AJ25" i="3" s="1"/>
  <c r="AT24" i="3"/>
  <c r="AT26" i="3" s="1"/>
  <c r="AT7" i="5"/>
  <c r="AT18" i="5"/>
  <c r="AT6" i="5"/>
  <c r="Z40" i="3"/>
  <c r="AD73" i="3" s="1"/>
  <c r="T25" i="3"/>
  <c r="R48" i="3"/>
  <c r="B44" i="3"/>
  <c r="B41" i="3"/>
  <c r="Z33" i="3"/>
  <c r="AD71" i="3" s="1"/>
  <c r="AA7" i="10" s="1"/>
  <c r="J76" i="3"/>
  <c r="K76" i="3" s="1"/>
  <c r="C17" i="11"/>
  <c r="B14" i="11"/>
  <c r="B17" i="11"/>
  <c r="A23" i="11"/>
  <c r="D17" i="11"/>
  <c r="E17" i="11"/>
  <c r="D14" i="11"/>
  <c r="E14" i="11"/>
  <c r="C14" i="11"/>
  <c r="E9" i="11"/>
  <c r="E13" i="11" s="1"/>
  <c r="D9" i="11"/>
  <c r="D13" i="11" s="1"/>
  <c r="B9" i="11"/>
  <c r="B13" i="11" s="1"/>
  <c r="D14" i="9"/>
  <c r="D16" i="9" s="1"/>
  <c r="B14" i="9"/>
  <c r="B16" i="9" s="1"/>
  <c r="C14" i="9"/>
  <c r="C16" i="9" s="1"/>
  <c r="L104" i="12" s="1"/>
  <c r="E14" i="9"/>
  <c r="E16" i="9" s="1"/>
  <c r="AB34" i="12" s="1"/>
  <c r="AB69" i="12" s="1"/>
  <c r="AB104" i="12" s="1"/>
  <c r="G14" i="9"/>
  <c r="G16" i="9" s="1"/>
  <c r="F14" i="9"/>
  <c r="F16" i="9" s="1"/>
  <c r="AD76" i="3"/>
  <c r="AA12" i="7" s="1"/>
  <c r="AD84" i="3"/>
  <c r="AA25" i="6" s="1"/>
  <c r="AA26" i="6" s="1"/>
  <c r="AA5" i="7"/>
  <c r="AA12" i="6"/>
  <c r="AD82" i="3"/>
  <c r="AA14" i="6" s="1"/>
  <c r="T5" i="7"/>
  <c r="V79" i="3"/>
  <c r="V71" i="3"/>
  <c r="R10" i="5"/>
  <c r="R8" i="5"/>
  <c r="R9" i="5"/>
  <c r="AS8" i="5"/>
  <c r="AS10" i="5"/>
  <c r="AS9" i="5"/>
  <c r="V9" i="5"/>
  <c r="V10" i="5"/>
  <c r="V8" i="5"/>
  <c r="AP8" i="5"/>
  <c r="AP10" i="5"/>
  <c r="AP9" i="5"/>
  <c r="U9" i="5"/>
  <c r="U10" i="5"/>
  <c r="U8" i="5"/>
  <c r="AR10" i="5"/>
  <c r="AR9" i="5"/>
  <c r="AR8" i="5"/>
  <c r="J10" i="5"/>
  <c r="J8" i="5"/>
  <c r="J9" i="5"/>
  <c r="AT8" i="5"/>
  <c r="AT10" i="5"/>
  <c r="AT9" i="5"/>
  <c r="O10" i="5"/>
  <c r="O8" i="5"/>
  <c r="O9" i="5"/>
  <c r="L8" i="5"/>
  <c r="AU8" i="5"/>
  <c r="AU10" i="5"/>
  <c r="AU9" i="5"/>
  <c r="N10" i="5"/>
  <c r="AM9" i="5"/>
  <c r="AM8" i="5"/>
  <c r="AM10" i="5"/>
  <c r="AT20" i="3"/>
  <c r="AU20" i="3"/>
  <c r="AN16" i="7" l="1"/>
  <c r="AL20" i="7"/>
  <c r="AQ77" i="3" s="1"/>
  <c r="AL22" i="8" s="1"/>
  <c r="AL33" i="8" s="1"/>
  <c r="AM5" i="8"/>
  <c r="AM9" i="8" s="1"/>
  <c r="AM11" i="8" s="1"/>
  <c r="AM34" i="8" s="1"/>
  <c r="AM35" i="8" s="1"/>
  <c r="AM20" i="7"/>
  <c r="AR77" i="3" s="1"/>
  <c r="AM22" i="8" s="1"/>
  <c r="AM33" i="8" s="1"/>
  <c r="AM10" i="8"/>
  <c r="AN32" i="8"/>
  <c r="AN8" i="10"/>
  <c r="AM32" i="8"/>
  <c r="AM8" i="10"/>
  <c r="AQ104" i="12" s="1"/>
  <c r="AS111" i="12" s="1"/>
  <c r="AO32" i="8"/>
  <c r="AO8" i="10"/>
  <c r="AN6" i="8"/>
  <c r="AN6" i="10"/>
  <c r="AN3" i="10"/>
  <c r="AN18" i="7"/>
  <c r="AN19" i="7" s="1"/>
  <c r="AM4" i="10"/>
  <c r="AM5" i="10" s="1"/>
  <c r="AR34" i="12"/>
  <c r="AR69" i="12" s="1"/>
  <c r="AR104" i="12" s="1"/>
  <c r="T34" i="12"/>
  <c r="T69" i="12" s="1"/>
  <c r="T104" i="12"/>
  <c r="L34" i="12"/>
  <c r="L69" i="12"/>
  <c r="D34" i="12"/>
  <c r="D69" i="12"/>
  <c r="D104" i="12" s="1"/>
  <c r="AJ34" i="12"/>
  <c r="AJ69" i="12" s="1"/>
  <c r="AJ104" i="12" s="1"/>
  <c r="AO10" i="10"/>
  <c r="AN10" i="10"/>
  <c r="AM10" i="10"/>
  <c r="AL10" i="10"/>
  <c r="AK10" i="10"/>
  <c r="AG10" i="10"/>
  <c r="AD10" i="10"/>
  <c r="AH10" i="10"/>
  <c r="AF10" i="10"/>
  <c r="AE10" i="10"/>
  <c r="AN7" i="6"/>
  <c r="AO14" i="7"/>
  <c r="AC80" i="3"/>
  <c r="AB80" i="3"/>
  <c r="N8" i="5"/>
  <c r="AA80" i="3"/>
  <c r="X14" i="8" s="1"/>
  <c r="N9" i="5"/>
  <c r="AD80" i="3"/>
  <c r="AA14" i="8" s="1"/>
  <c r="L10" i="5"/>
  <c r="L9" i="5"/>
  <c r="V78" i="3"/>
  <c r="J78" i="3"/>
  <c r="K8" i="5"/>
  <c r="AL10" i="5"/>
  <c r="AL8" i="5"/>
  <c r="K10" i="5"/>
  <c r="AQ8" i="5"/>
  <c r="U78" i="3"/>
  <c r="S78" i="3"/>
  <c r="AQ9" i="5"/>
  <c r="M10" i="5"/>
  <c r="T78" i="3"/>
  <c r="AL9" i="5"/>
  <c r="K9" i="5"/>
  <c r="W9" i="5"/>
  <c r="M9" i="5"/>
  <c r="C9" i="11"/>
  <c r="C13" i="11" s="1"/>
  <c r="M8" i="5"/>
  <c r="A22" i="11"/>
  <c r="L5" i="11" s="1"/>
  <c r="AD23" i="6"/>
  <c r="AD17" i="7"/>
  <c r="K69" i="3"/>
  <c r="K79" i="3"/>
  <c r="K73" i="3"/>
  <c r="J8" i="6" s="1"/>
  <c r="J25" i="6"/>
  <c r="J26" i="6" s="1"/>
  <c r="J14" i="6"/>
  <c r="J5" i="7"/>
  <c r="J7" i="7" s="1"/>
  <c r="K74" i="3"/>
  <c r="J12" i="7" s="1"/>
  <c r="J30" i="6"/>
  <c r="K78" i="3"/>
  <c r="J11" i="7" s="1"/>
  <c r="J12" i="6"/>
  <c r="L76" i="3"/>
  <c r="L71" i="3" s="1"/>
  <c r="D10" i="5"/>
  <c r="D42" i="3"/>
  <c r="D9" i="5"/>
  <c r="D8" i="5"/>
  <c r="I11" i="7"/>
  <c r="I7" i="6"/>
  <c r="AD9" i="7"/>
  <c r="AD29" i="6"/>
  <c r="AD31" i="6" s="1"/>
  <c r="AD13" i="6"/>
  <c r="R12" i="6"/>
  <c r="P12" i="6"/>
  <c r="Q12" i="6"/>
  <c r="S12" i="6"/>
  <c r="R47" i="3"/>
  <c r="E10" i="5"/>
  <c r="E42" i="3"/>
  <c r="E8" i="5"/>
  <c r="E9" i="5"/>
  <c r="S69" i="3"/>
  <c r="R69" i="3"/>
  <c r="T69" i="3"/>
  <c r="AD74" i="3"/>
  <c r="AA6" i="7" s="1"/>
  <c r="AA7" i="7" s="1"/>
  <c r="C25" i="7" s="1"/>
  <c r="Z6" i="7"/>
  <c r="Z7" i="7" s="1"/>
  <c r="AD13" i="8"/>
  <c r="AD31" i="8"/>
  <c r="AD6" i="6"/>
  <c r="Z85" i="3"/>
  <c r="AA85" i="3"/>
  <c r="AB85" i="3"/>
  <c r="AC85" i="3"/>
  <c r="X11" i="7"/>
  <c r="X13" i="7" s="1"/>
  <c r="K71" i="3"/>
  <c r="J71" i="3"/>
  <c r="J52" i="3"/>
  <c r="W7" i="6"/>
  <c r="AA79" i="3" s="1"/>
  <c r="W14" i="8"/>
  <c r="W11" i="7"/>
  <c r="W13" i="7" s="1"/>
  <c r="AI71" i="3"/>
  <c r="AE7" i="10" s="1"/>
  <c r="AH69" i="12" s="1"/>
  <c r="AI83" i="3"/>
  <c r="AE30" i="6" s="1"/>
  <c r="AI73" i="3"/>
  <c r="AI75" i="3"/>
  <c r="AE8" i="6" s="1"/>
  <c r="AI85" i="3"/>
  <c r="AI82" i="3"/>
  <c r="AE14" i="6" s="1"/>
  <c r="AI76" i="3"/>
  <c r="AE12" i="7" s="1"/>
  <c r="AI84" i="3"/>
  <c r="AE25" i="6" s="1"/>
  <c r="AI87" i="3"/>
  <c r="AE15" i="8" s="1"/>
  <c r="AE5" i="7"/>
  <c r="AE7" i="7" s="1"/>
  <c r="AJ78" i="3"/>
  <c r="AI86" i="3"/>
  <c r="AE28" i="6" s="1"/>
  <c r="AI80" i="3"/>
  <c r="T7" i="8"/>
  <c r="T8" i="10" s="1"/>
  <c r="T32" i="8"/>
  <c r="Z73" i="3"/>
  <c r="AA73" i="3"/>
  <c r="AB73" i="3"/>
  <c r="AC73" i="3"/>
  <c r="AH46" i="3"/>
  <c r="AH10" i="5"/>
  <c r="AH9" i="5"/>
  <c r="AH8" i="5"/>
  <c r="G42" i="3"/>
  <c r="G9" i="5"/>
  <c r="G10" i="5"/>
  <c r="G8" i="5"/>
  <c r="T12" i="6"/>
  <c r="I12" i="6"/>
  <c r="Q7" i="8"/>
  <c r="Q8" i="10" s="1"/>
  <c r="S69" i="12" s="1"/>
  <c r="Q32" i="8"/>
  <c r="B42" i="3"/>
  <c r="B8" i="5"/>
  <c r="B9" i="5"/>
  <c r="B10" i="5"/>
  <c r="B63" i="3"/>
  <c r="B12" i="7" s="1"/>
  <c r="B60" i="3"/>
  <c r="B9" i="7" s="1"/>
  <c r="B30" i="6"/>
  <c r="B11" i="7"/>
  <c r="B25" i="6"/>
  <c r="B26" i="6" s="1"/>
  <c r="B12" i="6"/>
  <c r="B62" i="3"/>
  <c r="B8" i="6" s="1"/>
  <c r="B58" i="3"/>
  <c r="B14" i="6"/>
  <c r="B10" i="7"/>
  <c r="Z84" i="3"/>
  <c r="W25" i="6" s="1"/>
  <c r="W26" i="6" s="1"/>
  <c r="AA84" i="3"/>
  <c r="X25" i="6" s="1"/>
  <c r="X26" i="6" s="1"/>
  <c r="AB84" i="3"/>
  <c r="Y25" i="6" s="1"/>
  <c r="Y26" i="6" s="1"/>
  <c r="AC84" i="3"/>
  <c r="Z25" i="6" s="1"/>
  <c r="Z26" i="6" s="1"/>
  <c r="R73" i="3"/>
  <c r="P8" i="6" s="1"/>
  <c r="T73" i="3"/>
  <c r="R8" i="6" s="1"/>
  <c r="S73" i="3"/>
  <c r="Q8" i="6" s="1"/>
  <c r="U73" i="3"/>
  <c r="S8" i="6" s="1"/>
  <c r="R74" i="3"/>
  <c r="P12" i="7" s="1"/>
  <c r="T74" i="3"/>
  <c r="R12" i="7" s="1"/>
  <c r="S74" i="3"/>
  <c r="Q12" i="7" s="1"/>
  <c r="U74" i="3"/>
  <c r="S12" i="7" s="1"/>
  <c r="N72" i="3"/>
  <c r="M6" i="7" s="1"/>
  <c r="L6" i="7"/>
  <c r="W12" i="6"/>
  <c r="X12" i="6"/>
  <c r="Y12" i="6"/>
  <c r="Z12" i="6"/>
  <c r="S6" i="7"/>
  <c r="S7" i="7" s="1"/>
  <c r="U69" i="3" s="1"/>
  <c r="S7" i="10" s="1"/>
  <c r="V72" i="3"/>
  <c r="T6" i="7" s="1"/>
  <c r="T7" i="7" s="1"/>
  <c r="F42" i="3"/>
  <c r="F9" i="5"/>
  <c r="F8" i="5"/>
  <c r="F10" i="5"/>
  <c r="R7" i="8"/>
  <c r="R8" i="10" s="1"/>
  <c r="S104" i="12" s="1"/>
  <c r="R32" i="8"/>
  <c r="D5" i="7"/>
  <c r="C7" i="7"/>
  <c r="S32" i="8"/>
  <c r="AD14" i="8"/>
  <c r="AD7" i="6"/>
  <c r="AD11" i="7"/>
  <c r="AD13" i="7" s="1"/>
  <c r="Z83" i="3"/>
  <c r="W30" i="6" s="1"/>
  <c r="AA83" i="3"/>
  <c r="X30" i="6" s="1"/>
  <c r="AB83" i="3"/>
  <c r="Y30" i="6" s="1"/>
  <c r="AC83" i="3"/>
  <c r="Z30" i="6" s="1"/>
  <c r="Z75" i="3"/>
  <c r="W8" i="6" s="1"/>
  <c r="AA75" i="3"/>
  <c r="X8" i="6" s="1"/>
  <c r="AB75" i="3"/>
  <c r="Y8" i="6" s="1"/>
  <c r="AC75" i="3"/>
  <c r="Z8" i="6" s="1"/>
  <c r="I14" i="6"/>
  <c r="J69" i="3"/>
  <c r="I25" i="6"/>
  <c r="I26" i="6" s="1"/>
  <c r="I30" i="6"/>
  <c r="I5" i="7"/>
  <c r="I7" i="7" s="1"/>
  <c r="J74" i="3"/>
  <c r="I12" i="7" s="1"/>
  <c r="J73" i="3"/>
  <c r="I8" i="6" s="1"/>
  <c r="AM46" i="3"/>
  <c r="F9" i="11"/>
  <c r="F13" i="11" s="1"/>
  <c r="R81" i="3"/>
  <c r="P30" i="6" s="1"/>
  <c r="T81" i="3"/>
  <c r="R30" i="6" s="1"/>
  <c r="S81" i="3"/>
  <c r="Q30" i="6" s="1"/>
  <c r="U81" i="3"/>
  <c r="S30" i="6" s="1"/>
  <c r="AB8" i="5"/>
  <c r="AB47" i="3"/>
  <c r="AK46" i="3"/>
  <c r="AH47" i="3" s="1"/>
  <c r="AK9" i="5"/>
  <c r="AK8" i="5"/>
  <c r="AK10" i="5"/>
  <c r="P7" i="8"/>
  <c r="P8" i="10" s="1"/>
  <c r="P32" i="8"/>
  <c r="S7" i="8"/>
  <c r="S8" i="10" s="1"/>
  <c r="AA8" i="5"/>
  <c r="AA47" i="3"/>
  <c r="C8" i="5"/>
  <c r="C9" i="5"/>
  <c r="C42" i="3"/>
  <c r="C10" i="5"/>
  <c r="P7" i="6"/>
  <c r="S77" i="3" s="1"/>
  <c r="Q7" i="6" s="1"/>
  <c r="T77" i="3" s="1"/>
  <c r="R7" i="6" s="1"/>
  <c r="U77" i="3" s="1"/>
  <c r="P14" i="8"/>
  <c r="P11" i="7"/>
  <c r="Y11" i="7"/>
  <c r="Y13" i="7" s="1"/>
  <c r="Y14" i="8"/>
  <c r="T9" i="7"/>
  <c r="T13" i="6"/>
  <c r="T29" i="6"/>
  <c r="AJ46" i="3"/>
  <c r="AJ8" i="5"/>
  <c r="AJ9" i="5"/>
  <c r="AJ10" i="5"/>
  <c r="Z71" i="3"/>
  <c r="AA71" i="3"/>
  <c r="AB71" i="3"/>
  <c r="AC71" i="3"/>
  <c r="Q11" i="7"/>
  <c r="Q14" i="8"/>
  <c r="S71" i="3"/>
  <c r="R71" i="3"/>
  <c r="T71" i="3"/>
  <c r="U71" i="3"/>
  <c r="AE8" i="5"/>
  <c r="AE47" i="3"/>
  <c r="V81" i="3"/>
  <c r="T30" i="6" s="1"/>
  <c r="W18" i="8"/>
  <c r="W17" i="7"/>
  <c r="W23" i="8" s="1"/>
  <c r="AD8" i="5"/>
  <c r="AD47" i="3"/>
  <c r="T46" i="3"/>
  <c r="T10" i="5"/>
  <c r="T8" i="5"/>
  <c r="T9" i="5"/>
  <c r="W8" i="5"/>
  <c r="W10" i="5"/>
  <c r="R11" i="7"/>
  <c r="R14" i="8"/>
  <c r="J79" i="3"/>
  <c r="I7" i="8" s="1"/>
  <c r="I8" i="10" s="1"/>
  <c r="AC8" i="5"/>
  <c r="AC47" i="3"/>
  <c r="V74" i="3"/>
  <c r="T12" i="7" s="1"/>
  <c r="X17" i="7"/>
  <c r="X23" i="8" s="1"/>
  <c r="Z82" i="3"/>
  <c r="W14" i="6" s="1"/>
  <c r="AA82" i="3"/>
  <c r="X14" i="6" s="1"/>
  <c r="AB82" i="3"/>
  <c r="Y14" i="6" s="1"/>
  <c r="AC82" i="3"/>
  <c r="Z14" i="6" s="1"/>
  <c r="Z8" i="5"/>
  <c r="Z47" i="3"/>
  <c r="R82" i="3"/>
  <c r="P25" i="6" s="1"/>
  <c r="P26" i="6" s="1"/>
  <c r="T82" i="3"/>
  <c r="R25" i="6" s="1"/>
  <c r="R26" i="6" s="1"/>
  <c r="S82" i="3"/>
  <c r="Q25" i="6" s="1"/>
  <c r="Q26" i="6" s="1"/>
  <c r="U82" i="3"/>
  <c r="S25" i="6" s="1"/>
  <c r="S26" i="6" s="1"/>
  <c r="AD10" i="7"/>
  <c r="AD12" i="6"/>
  <c r="A21" i="11"/>
  <c r="L4" i="11" s="1"/>
  <c r="L6" i="11"/>
  <c r="M6" i="11"/>
  <c r="N6" i="11"/>
  <c r="O6" i="11"/>
  <c r="J6" i="11"/>
  <c r="K6" i="11"/>
  <c r="A24" i="11"/>
  <c r="X10" i="10"/>
  <c r="AC69" i="12" s="1"/>
  <c r="AA10" i="10"/>
  <c r="Z10" i="10"/>
  <c r="Y10" i="10"/>
  <c r="AC104" i="12" s="1"/>
  <c r="W10" i="10"/>
  <c r="AC34" i="12" s="1"/>
  <c r="Q10" i="10"/>
  <c r="U69" i="12" s="1"/>
  <c r="T10" i="10"/>
  <c r="S10" i="10"/>
  <c r="R10" i="10"/>
  <c r="U104" i="12" s="1"/>
  <c r="P10" i="10"/>
  <c r="U34" i="12" s="1"/>
  <c r="K10" i="10"/>
  <c r="M104" i="12" s="1"/>
  <c r="J10" i="10"/>
  <c r="M69" i="12" s="1"/>
  <c r="I10" i="10"/>
  <c r="M34" i="12" s="1"/>
  <c r="M10" i="10"/>
  <c r="L10" i="10"/>
  <c r="F10" i="10"/>
  <c r="E10" i="10"/>
  <c r="D10" i="10"/>
  <c r="E104" i="12" s="1"/>
  <c r="C10" i="10"/>
  <c r="E69" i="12" s="1"/>
  <c r="B10" i="10"/>
  <c r="E34" i="12" s="1"/>
  <c r="AA13" i="8"/>
  <c r="AA31" i="8"/>
  <c r="AA13" i="6"/>
  <c r="AA29" i="6"/>
  <c r="AA31" i="6" s="1"/>
  <c r="AA9" i="7"/>
  <c r="AA11" i="7"/>
  <c r="AA13" i="7" s="1"/>
  <c r="T11" i="7"/>
  <c r="T14" i="8"/>
  <c r="AN5" i="8" l="1"/>
  <c r="AN9" i="8" s="1"/>
  <c r="AN20" i="7"/>
  <c r="AS77" i="3" s="1"/>
  <c r="AN22" i="8" s="1"/>
  <c r="AN33" i="8" s="1"/>
  <c r="AN10" i="8"/>
  <c r="AT111" i="12"/>
  <c r="AR108" i="12"/>
  <c r="AR132" i="12" s="1"/>
  <c r="V69" i="3"/>
  <c r="T7" i="10" s="1"/>
  <c r="C24" i="7"/>
  <c r="R13" i="7"/>
  <c r="AR112" i="12"/>
  <c r="AR136" i="12" s="1"/>
  <c r="AS112" i="12"/>
  <c r="AS136" i="12" s="1"/>
  <c r="AT109" i="12"/>
  <c r="AQ109" i="12"/>
  <c r="AQ133" i="12" s="1"/>
  <c r="AT112" i="12"/>
  <c r="AT136" i="12" s="1"/>
  <c r="AQ108" i="12"/>
  <c r="AQ132" i="12" s="1"/>
  <c r="AS109" i="12"/>
  <c r="AS133" i="12" s="1"/>
  <c r="AP108" i="12"/>
  <c r="AP132" i="12" s="1"/>
  <c r="AP109" i="12"/>
  <c r="AP133" i="12" s="1"/>
  <c r="AP112" i="12"/>
  <c r="AP136" i="12" s="1"/>
  <c r="AR110" i="12"/>
  <c r="AQ110" i="12"/>
  <c r="AQ134" i="12" s="1"/>
  <c r="AR111" i="12"/>
  <c r="AR135" i="12" s="1"/>
  <c r="AN4" i="10"/>
  <c r="AN5" i="10" s="1"/>
  <c r="AN9" i="10" s="1"/>
  <c r="AN11" i="10" s="1"/>
  <c r="AT108" i="12"/>
  <c r="AT132" i="12" s="1"/>
  <c r="AS110" i="12"/>
  <c r="AS134" i="12" s="1"/>
  <c r="AT110" i="12"/>
  <c r="AT134" i="12" s="1"/>
  <c r="AP110" i="12"/>
  <c r="AP134" i="12" s="1"/>
  <c r="AR109" i="12"/>
  <c r="AR133" i="12" s="1"/>
  <c r="AQ112" i="12"/>
  <c r="AQ111" i="12"/>
  <c r="AQ135" i="12" s="1"/>
  <c r="AM9" i="10"/>
  <c r="AM11" i="10" s="1"/>
  <c r="AP111" i="12"/>
  <c r="AS108" i="12"/>
  <c r="AS132" i="12" s="1"/>
  <c r="AQ136" i="12"/>
  <c r="AR134" i="12"/>
  <c r="AS135" i="12"/>
  <c r="AP135" i="12"/>
  <c r="AT135" i="12"/>
  <c r="AT133" i="12"/>
  <c r="AS104" i="12"/>
  <c r="AS69" i="12"/>
  <c r="AK104" i="12"/>
  <c r="AK69" i="12"/>
  <c r="N47" i="12"/>
  <c r="L49" i="12"/>
  <c r="K46" i="12"/>
  <c r="N50" i="12"/>
  <c r="J48" i="12"/>
  <c r="M49" i="12"/>
  <c r="L46" i="12"/>
  <c r="K48" i="12"/>
  <c r="N49" i="12"/>
  <c r="M46" i="12"/>
  <c r="L48" i="12"/>
  <c r="J50" i="12"/>
  <c r="N46" i="12"/>
  <c r="K49" i="12"/>
  <c r="J47" i="12"/>
  <c r="M48" i="12"/>
  <c r="K50" i="12"/>
  <c r="J46" i="12"/>
  <c r="K47" i="12"/>
  <c r="N48" i="12"/>
  <c r="L50" i="12"/>
  <c r="M47" i="12"/>
  <c r="L47" i="12"/>
  <c r="J49" i="12"/>
  <c r="M50" i="12"/>
  <c r="AS34" i="12"/>
  <c r="AK34" i="12"/>
  <c r="AT79" i="3"/>
  <c r="AN9" i="6"/>
  <c r="AN16" i="6" s="1"/>
  <c r="AN11" i="8"/>
  <c r="AN34" i="8" s="1"/>
  <c r="AN35" i="8" s="1"/>
  <c r="AM37" i="8"/>
  <c r="AM19" i="8" s="1"/>
  <c r="AM36" i="8"/>
  <c r="J5" i="11"/>
  <c r="M5" i="11"/>
  <c r="K5" i="11"/>
  <c r="A20" i="11"/>
  <c r="K3" i="11" s="1"/>
  <c r="N5" i="11"/>
  <c r="O5" i="11"/>
  <c r="P13" i="7"/>
  <c r="Z11" i="7"/>
  <c r="Z13" i="7" s="1"/>
  <c r="Z14" i="8"/>
  <c r="S11" i="7"/>
  <c r="S13" i="7" s="1"/>
  <c r="S14" i="8"/>
  <c r="Z48" i="3"/>
  <c r="S7" i="6"/>
  <c r="V77" i="3" s="1"/>
  <c r="T7" i="6" s="1"/>
  <c r="T10" i="7"/>
  <c r="AD14" i="7"/>
  <c r="AD16" i="7" s="1"/>
  <c r="S31" i="8"/>
  <c r="S13" i="8"/>
  <c r="AI72" i="3"/>
  <c r="AE6" i="6"/>
  <c r="AD9" i="6"/>
  <c r="T13" i="7"/>
  <c r="T14" i="7" s="1"/>
  <c r="AI79" i="3"/>
  <c r="AE7" i="6"/>
  <c r="X7" i="6"/>
  <c r="AB79" i="3" s="1"/>
  <c r="Y7" i="6" s="1"/>
  <c r="AC79" i="3" s="1"/>
  <c r="Z7" i="6" s="1"/>
  <c r="AD79" i="3" s="1"/>
  <c r="AA7" i="6" s="1"/>
  <c r="B43" i="3"/>
  <c r="Q9" i="7"/>
  <c r="Q10" i="7" s="1"/>
  <c r="Q13" i="6"/>
  <c r="Q29" i="6"/>
  <c r="Q31" i="6" s="1"/>
  <c r="Q13" i="7"/>
  <c r="AD16" i="8"/>
  <c r="B29" i="6"/>
  <c r="B31" i="6" s="1"/>
  <c r="B13" i="6"/>
  <c r="AE14" i="8"/>
  <c r="AE11" i="7"/>
  <c r="AE13" i="7" s="1"/>
  <c r="AE23" i="6"/>
  <c r="AE17" i="7"/>
  <c r="L79" i="3"/>
  <c r="K7" i="8" s="1"/>
  <c r="K8" i="10" s="1"/>
  <c r="K104" i="12" s="1"/>
  <c r="K30" i="6"/>
  <c r="L69" i="3"/>
  <c r="K5" i="7"/>
  <c r="K7" i="7" s="1"/>
  <c r="L78" i="3"/>
  <c r="K11" i="7" s="1"/>
  <c r="L73" i="3"/>
  <c r="K8" i="6" s="1"/>
  <c r="L74" i="3"/>
  <c r="K12" i="7" s="1"/>
  <c r="K12" i="6"/>
  <c r="K14" i="6"/>
  <c r="K25" i="6"/>
  <c r="K26" i="6" s="1"/>
  <c r="M76" i="3"/>
  <c r="B14" i="8"/>
  <c r="B13" i="7"/>
  <c r="B14" i="7" s="1"/>
  <c r="B16" i="7" s="1"/>
  <c r="B7" i="6"/>
  <c r="Z7" i="10"/>
  <c r="Z31" i="8"/>
  <c r="Z13" i="8"/>
  <c r="T31" i="6"/>
  <c r="J7" i="8"/>
  <c r="J8" i="10" s="1"/>
  <c r="K69" i="12" s="1"/>
  <c r="Y7" i="10"/>
  <c r="Z104" i="12" s="1"/>
  <c r="Y13" i="8"/>
  <c r="Y16" i="8" s="1"/>
  <c r="Y31" i="8"/>
  <c r="C60" i="3"/>
  <c r="C9" i="7" s="1"/>
  <c r="C10" i="7" s="1"/>
  <c r="C11" i="7"/>
  <c r="C63" i="3"/>
  <c r="C12" i="7" s="1"/>
  <c r="C58" i="3"/>
  <c r="C25" i="6"/>
  <c r="C26" i="6" s="1"/>
  <c r="C12" i="6"/>
  <c r="C62" i="3"/>
  <c r="C8" i="6" s="1"/>
  <c r="C14" i="6"/>
  <c r="C30" i="6"/>
  <c r="B7" i="10"/>
  <c r="B34" i="12" s="1"/>
  <c r="B13" i="8"/>
  <c r="B6" i="6"/>
  <c r="Z9" i="7"/>
  <c r="Z10" i="7" s="1"/>
  <c r="Z29" i="6"/>
  <c r="Z31" i="6" s="1"/>
  <c r="Z13" i="6"/>
  <c r="AF5" i="7"/>
  <c r="AF7" i="7" s="1"/>
  <c r="AF12" i="6" s="1"/>
  <c r="AJ82" i="3"/>
  <c r="AF14" i="6" s="1"/>
  <c r="AJ76" i="3"/>
  <c r="AF12" i="7" s="1"/>
  <c r="AJ86" i="3"/>
  <c r="AF28" i="6" s="1"/>
  <c r="AJ85" i="3"/>
  <c r="AK78" i="3"/>
  <c r="AJ83" i="3"/>
  <c r="AF30" i="6" s="1"/>
  <c r="AJ84" i="3"/>
  <c r="AF25" i="6" s="1"/>
  <c r="AJ87" i="3"/>
  <c r="AF15" i="8" s="1"/>
  <c r="AJ80" i="3"/>
  <c r="AJ73" i="3"/>
  <c r="AJ75" i="3"/>
  <c r="AF8" i="6" s="1"/>
  <c r="AJ71" i="3"/>
  <c r="AF7" i="10" s="1"/>
  <c r="AH104" i="12" s="1"/>
  <c r="AE9" i="7"/>
  <c r="AE10" i="7" s="1"/>
  <c r="AE13" i="6"/>
  <c r="AE29" i="6"/>
  <c r="AE31" i="6" s="1"/>
  <c r="R7" i="10"/>
  <c r="R104" i="12" s="1"/>
  <c r="R13" i="8"/>
  <c r="R16" i="8" s="1"/>
  <c r="R31" i="8"/>
  <c r="K77" i="3"/>
  <c r="J7" i="6" s="1"/>
  <c r="J13" i="7"/>
  <c r="J14" i="8"/>
  <c r="J7" i="10"/>
  <c r="J69" i="12" s="1"/>
  <c r="J13" i="8"/>
  <c r="P9" i="7"/>
  <c r="P10" i="7" s="1"/>
  <c r="P14" i="7" s="1"/>
  <c r="P16" i="7" s="1"/>
  <c r="P13" i="6"/>
  <c r="P29" i="6"/>
  <c r="P31" i="6" s="1"/>
  <c r="AA10" i="7"/>
  <c r="AA14" i="7" s="1"/>
  <c r="S9" i="7"/>
  <c r="S10" i="7" s="1"/>
  <c r="S13" i="6"/>
  <c r="S29" i="6"/>
  <c r="S31" i="6" s="1"/>
  <c r="X7" i="10"/>
  <c r="Z69" i="12" s="1"/>
  <c r="X13" i="8"/>
  <c r="X16" i="8" s="1"/>
  <c r="X31" i="8"/>
  <c r="E5" i="7"/>
  <c r="D7" i="7"/>
  <c r="Y29" i="6"/>
  <c r="Y31" i="6" s="1"/>
  <c r="Y9" i="7"/>
  <c r="Y10" i="7" s="1"/>
  <c r="Y14" i="7" s="1"/>
  <c r="Y13" i="6"/>
  <c r="AE12" i="6"/>
  <c r="K29" i="6"/>
  <c r="K9" i="7"/>
  <c r="K13" i="6"/>
  <c r="P7" i="10"/>
  <c r="R34" i="12" s="1"/>
  <c r="P13" i="8"/>
  <c r="P16" i="8" s="1"/>
  <c r="P6" i="6"/>
  <c r="P31" i="8"/>
  <c r="I14" i="8"/>
  <c r="I13" i="7"/>
  <c r="W9" i="7"/>
  <c r="W10" i="7" s="1"/>
  <c r="W14" i="7" s="1"/>
  <c r="W16" i="7" s="1"/>
  <c r="W13" i="6"/>
  <c r="W29" i="6"/>
  <c r="W31" i="6" s="1"/>
  <c r="J9" i="7"/>
  <c r="J10" i="7" s="1"/>
  <c r="J29" i="6"/>
  <c r="J31" i="6" s="1"/>
  <c r="J13" i="6"/>
  <c r="R9" i="7"/>
  <c r="R10" i="7" s="1"/>
  <c r="R14" i="7" s="1"/>
  <c r="R13" i="6"/>
  <c r="R29" i="6"/>
  <c r="R31" i="6" s="1"/>
  <c r="W13" i="8"/>
  <c r="W16" i="8" s="1"/>
  <c r="W7" i="10"/>
  <c r="W31" i="8"/>
  <c r="W6" i="6"/>
  <c r="I7" i="10"/>
  <c r="I13" i="8"/>
  <c r="I6" i="6"/>
  <c r="X9" i="7"/>
  <c r="X10" i="7" s="1"/>
  <c r="X14" i="7" s="1"/>
  <c r="X29" i="6"/>
  <c r="X31" i="6" s="1"/>
  <c r="X13" i="6"/>
  <c r="AE13" i="8"/>
  <c r="AE31" i="8"/>
  <c r="I9" i="7"/>
  <c r="I10" i="7" s="1"/>
  <c r="I29" i="6"/>
  <c r="I31" i="6" s="1"/>
  <c r="I13" i="6"/>
  <c r="Q7" i="10"/>
  <c r="R69" i="12" s="1"/>
  <c r="Q31" i="8"/>
  <c r="Q13" i="8"/>
  <c r="Q16" i="8" s="1"/>
  <c r="AD18" i="8"/>
  <c r="AD30" i="8" s="1"/>
  <c r="AD26" i="6"/>
  <c r="AA16" i="8"/>
  <c r="K4" i="11"/>
  <c r="J4" i="11"/>
  <c r="O4" i="11"/>
  <c r="N4" i="11"/>
  <c r="M4" i="11"/>
  <c r="L7" i="11"/>
  <c r="K7" i="11"/>
  <c r="J7" i="11"/>
  <c r="O7" i="11"/>
  <c r="N7" i="11"/>
  <c r="M7" i="11"/>
  <c r="T13" i="8"/>
  <c r="T16" i="8" s="1"/>
  <c r="T31" i="8"/>
  <c r="C24" i="8"/>
  <c r="Z14" i="7" l="1"/>
  <c r="Z16" i="8"/>
  <c r="R39" i="12"/>
  <c r="R47" i="12" s="1"/>
  <c r="V41" i="12"/>
  <c r="V49" i="12" s="1"/>
  <c r="U39" i="12"/>
  <c r="U47" i="12" s="1"/>
  <c r="V42" i="12"/>
  <c r="V50" i="12" s="1"/>
  <c r="S42" i="12"/>
  <c r="S50" i="12" s="1"/>
  <c r="U42" i="12"/>
  <c r="U50" i="12" s="1"/>
  <c r="R40" i="12"/>
  <c r="R48" i="12" s="1"/>
  <c r="V39" i="12"/>
  <c r="V47" i="12" s="1"/>
  <c r="S38" i="12"/>
  <c r="S46" i="12" s="1"/>
  <c r="T41" i="12"/>
  <c r="T49" i="12" s="1"/>
  <c r="U41" i="12"/>
  <c r="U49" i="12" s="1"/>
  <c r="S39" i="12"/>
  <c r="S47" i="12" s="1"/>
  <c r="U40" i="12"/>
  <c r="U48" i="12" s="1"/>
  <c r="T40" i="12"/>
  <c r="T48" i="12" s="1"/>
  <c r="R42" i="12"/>
  <c r="R50" i="12" s="1"/>
  <c r="T39" i="12"/>
  <c r="T47" i="12" s="1"/>
  <c r="U38" i="12"/>
  <c r="U46" i="12" s="1"/>
  <c r="T42" i="12"/>
  <c r="T50" i="12" s="1"/>
  <c r="V40" i="12"/>
  <c r="V48" i="12" s="1"/>
  <c r="V38" i="12"/>
  <c r="V46" i="12" s="1"/>
  <c r="R38" i="12"/>
  <c r="R46" i="12" s="1"/>
  <c r="T38" i="12"/>
  <c r="T46" i="12" s="1"/>
  <c r="S40" i="12"/>
  <c r="S48" i="12" s="1"/>
  <c r="R41" i="12"/>
  <c r="R49" i="12" s="1"/>
  <c r="S41" i="12"/>
  <c r="S49" i="12" s="1"/>
  <c r="AT140" i="12"/>
  <c r="AQ140" i="12"/>
  <c r="AR141" i="12"/>
  <c r="AS142" i="12"/>
  <c r="AP143" i="12"/>
  <c r="AP141" i="12"/>
  <c r="AQ144" i="12"/>
  <c r="AQ141" i="12"/>
  <c r="AR142" i="12"/>
  <c r="AS141" i="12"/>
  <c r="AS144" i="12"/>
  <c r="AR140" i="12"/>
  <c r="AS140" i="12"/>
  <c r="AQ143" i="12"/>
  <c r="AQ142" i="12"/>
  <c r="AT141" i="12"/>
  <c r="AR144" i="12"/>
  <c r="AR143" i="12"/>
  <c r="AP144" i="12"/>
  <c r="AT143" i="12"/>
  <c r="AT144" i="12"/>
  <c r="AT142" i="12"/>
  <c r="AS143" i="12"/>
  <c r="AP140" i="12"/>
  <c r="AP142" i="12"/>
  <c r="AQ117" i="12"/>
  <c r="AS116" i="12"/>
  <c r="AP118" i="12"/>
  <c r="AQ119" i="12"/>
  <c r="AR116" i="12"/>
  <c r="AQ118" i="12"/>
  <c r="AP120" i="12"/>
  <c r="AP117" i="12"/>
  <c r="AQ116" i="12"/>
  <c r="AS119" i="12"/>
  <c r="AP119" i="12"/>
  <c r="AT119" i="12"/>
  <c r="AR120" i="12"/>
  <c r="AT118" i="12"/>
  <c r="AQ120" i="12"/>
  <c r="AS120" i="12"/>
  <c r="AR118" i="12"/>
  <c r="AS117" i="12"/>
  <c r="AS118" i="12"/>
  <c r="AP116" i="12"/>
  <c r="AT120" i="12"/>
  <c r="AR117" i="12"/>
  <c r="AT117" i="12"/>
  <c r="AR119" i="12"/>
  <c r="AT116" i="12"/>
  <c r="AO7" i="6"/>
  <c r="AO9" i="6" s="1"/>
  <c r="AO16" i="6" s="1"/>
  <c r="AO6" i="10"/>
  <c r="AD18" i="7"/>
  <c r="AD3" i="10"/>
  <c r="AN36" i="8"/>
  <c r="AN37" i="8"/>
  <c r="AN19" i="8" s="1"/>
  <c r="L3" i="11"/>
  <c r="L8" i="11" s="1"/>
  <c r="L9" i="11" s="1"/>
  <c r="J3" i="11"/>
  <c r="J8" i="11" s="1"/>
  <c r="J9" i="11" s="1"/>
  <c r="N3" i="11"/>
  <c r="N8" i="11" s="1"/>
  <c r="N9" i="11" s="1"/>
  <c r="O3" i="11"/>
  <c r="O8" i="11" s="1"/>
  <c r="O9" i="11" s="1"/>
  <c r="M3" i="11"/>
  <c r="M8" i="11" s="1"/>
  <c r="M9" i="11" s="1"/>
  <c r="S14" i="7"/>
  <c r="J16" i="8"/>
  <c r="K8" i="11"/>
  <c r="K9" i="11" s="1"/>
  <c r="B16" i="8"/>
  <c r="C7" i="6"/>
  <c r="S16" i="8"/>
  <c r="AE15" i="7"/>
  <c r="AE6" i="8" s="1"/>
  <c r="P3" i="10"/>
  <c r="P4" i="10" s="1"/>
  <c r="P5" i="10" s="1"/>
  <c r="P9" i="10" s="1"/>
  <c r="P11" i="10" s="1"/>
  <c r="P18" i="7"/>
  <c r="L77" i="3"/>
  <c r="K7" i="6" s="1"/>
  <c r="M77" i="3" s="1"/>
  <c r="W3" i="10"/>
  <c r="W4" i="10" s="1"/>
  <c r="W5" i="10" s="1"/>
  <c r="W18" i="7"/>
  <c r="AA72" i="3"/>
  <c r="X15" i="7" s="1"/>
  <c r="X16" i="7" s="1"/>
  <c r="W9" i="6"/>
  <c r="I16" i="8"/>
  <c r="J14" i="7"/>
  <c r="AK87" i="3"/>
  <c r="AG15" i="8" s="1"/>
  <c r="AK85" i="3"/>
  <c r="AK75" i="3"/>
  <c r="AG8" i="6" s="1"/>
  <c r="AK80" i="3"/>
  <c r="AK84" i="3"/>
  <c r="AG25" i="6" s="1"/>
  <c r="AG5" i="7"/>
  <c r="AG7" i="7" s="1"/>
  <c r="AG12" i="6" s="1"/>
  <c r="AK76" i="3"/>
  <c r="AG12" i="7" s="1"/>
  <c r="AK82" i="3"/>
  <c r="AG14" i="6" s="1"/>
  <c r="AK86" i="3"/>
  <c r="AG28" i="6" s="1"/>
  <c r="AL78" i="3"/>
  <c r="AK73" i="3"/>
  <c r="AK83" i="3"/>
  <c r="AG30" i="6" s="1"/>
  <c r="AK71" i="3"/>
  <c r="AG7" i="10" s="1"/>
  <c r="AJ79" i="3"/>
  <c r="AF7" i="6" s="1"/>
  <c r="AK79" i="3" s="1"/>
  <c r="K31" i="6"/>
  <c r="AF13" i="8"/>
  <c r="AF31" i="8"/>
  <c r="AF23" i="6"/>
  <c r="AF17" i="7"/>
  <c r="C59" i="3"/>
  <c r="C15" i="7" s="1"/>
  <c r="B9" i="6"/>
  <c r="AE18" i="8"/>
  <c r="AE30" i="8" s="1"/>
  <c r="AE26" i="6"/>
  <c r="E7" i="7"/>
  <c r="F5" i="7"/>
  <c r="F7" i="7" s="1"/>
  <c r="C22" i="7" s="1"/>
  <c r="B3" i="10"/>
  <c r="B4" i="10" s="1"/>
  <c r="B5" i="10" s="1"/>
  <c r="B18" i="7"/>
  <c r="I14" i="7"/>
  <c r="I16" i="7" s="1"/>
  <c r="P9" i="6"/>
  <c r="S70" i="3"/>
  <c r="C7" i="10"/>
  <c r="B69" i="12" s="1"/>
  <c r="C13" i="8"/>
  <c r="AE14" i="7"/>
  <c r="AF9" i="7"/>
  <c r="AF10" i="7" s="1"/>
  <c r="AF29" i="6"/>
  <c r="AF31" i="6" s="1"/>
  <c r="AF13" i="6"/>
  <c r="K13" i="7"/>
  <c r="K14" i="8"/>
  <c r="AE16" i="8"/>
  <c r="Q14" i="7"/>
  <c r="AF11" i="7"/>
  <c r="AF13" i="7" s="1"/>
  <c r="AF14" i="8"/>
  <c r="C13" i="7"/>
  <c r="C14" i="7" s="1"/>
  <c r="C14" i="8"/>
  <c r="K10" i="7"/>
  <c r="AJ72" i="3"/>
  <c r="AE9" i="6"/>
  <c r="K70" i="3"/>
  <c r="J6" i="6" s="1"/>
  <c r="I9" i="6"/>
  <c r="D30" i="6"/>
  <c r="D12" i="6"/>
  <c r="D11" i="7"/>
  <c r="D62" i="3"/>
  <c r="D8" i="6" s="1"/>
  <c r="D63" i="3"/>
  <c r="D12" i="7" s="1"/>
  <c r="D60" i="3"/>
  <c r="D9" i="7" s="1"/>
  <c r="D10" i="7" s="1"/>
  <c r="D25" i="6"/>
  <c r="D26" i="6" s="1"/>
  <c r="D14" i="6"/>
  <c r="D58" i="3"/>
  <c r="C13" i="6"/>
  <c r="C29" i="6"/>
  <c r="C31" i="6" s="1"/>
  <c r="M79" i="3"/>
  <c r="L7" i="8" s="1"/>
  <c r="L8" i="10" s="1"/>
  <c r="L5" i="7"/>
  <c r="L7" i="7" s="1"/>
  <c r="L25" i="6"/>
  <c r="L26" i="6" s="1"/>
  <c r="M78" i="3"/>
  <c r="L11" i="7" s="1"/>
  <c r="N76" i="3"/>
  <c r="M73" i="3"/>
  <c r="L8" i="6" s="1"/>
  <c r="M69" i="3"/>
  <c r="L14" i="6"/>
  <c r="L30" i="6"/>
  <c r="L12" i="6"/>
  <c r="M74" i="3"/>
  <c r="L12" i="7" s="1"/>
  <c r="M71" i="3"/>
  <c r="K7" i="10"/>
  <c r="J104" i="12" s="1"/>
  <c r="K13" i="8"/>
  <c r="D24" i="8"/>
  <c r="B24" i="8"/>
  <c r="AD5" i="10" l="1"/>
  <c r="AD4" i="10"/>
  <c r="D7" i="6"/>
  <c r="AO6" i="8"/>
  <c r="AO16" i="7"/>
  <c r="AD5" i="8"/>
  <c r="AD19" i="7"/>
  <c r="AD10" i="8" s="1"/>
  <c r="AD20" i="7"/>
  <c r="AE16" i="7"/>
  <c r="J15" i="7"/>
  <c r="C16" i="8"/>
  <c r="C16" i="7"/>
  <c r="C18" i="7" s="1"/>
  <c r="C6" i="6"/>
  <c r="X18" i="7"/>
  <c r="X3" i="10"/>
  <c r="X4" i="10" s="1"/>
  <c r="X5" i="10" s="1"/>
  <c r="L70" i="3"/>
  <c r="K15" i="7" s="1"/>
  <c r="J9" i="6"/>
  <c r="K16" i="8"/>
  <c r="E30" i="6"/>
  <c r="E12" i="6"/>
  <c r="E60" i="3"/>
  <c r="E9" i="7" s="1"/>
  <c r="E63" i="3"/>
  <c r="E12" i="7" s="1"/>
  <c r="E11" i="7"/>
  <c r="E7" i="6" s="1"/>
  <c r="E25" i="6"/>
  <c r="E58" i="3"/>
  <c r="E62" i="3"/>
  <c r="E8" i="6" s="1"/>
  <c r="E14" i="6"/>
  <c r="AG11" i="7"/>
  <c r="AG13" i="7" s="1"/>
  <c r="AG14" i="8"/>
  <c r="J6" i="8"/>
  <c r="J6" i="10"/>
  <c r="I69" i="12" s="1"/>
  <c r="L14" i="8"/>
  <c r="L13" i="7"/>
  <c r="AF16" i="8"/>
  <c r="AL87" i="3"/>
  <c r="AH15" i="8" s="1"/>
  <c r="AL85" i="3"/>
  <c r="AL76" i="3"/>
  <c r="AH12" i="7" s="1"/>
  <c r="AH5" i="7"/>
  <c r="AH7" i="7" s="1"/>
  <c r="AL75" i="3"/>
  <c r="AH8" i="6" s="1"/>
  <c r="AL73" i="3"/>
  <c r="AL80" i="3"/>
  <c r="AL86" i="3"/>
  <c r="AH28" i="6" s="1"/>
  <c r="AL84" i="3"/>
  <c r="AH25" i="6" s="1"/>
  <c r="AL83" i="3"/>
  <c r="AH30" i="6" s="1"/>
  <c r="AL82" i="3"/>
  <c r="AH14" i="6" s="1"/>
  <c r="AL71" i="3"/>
  <c r="AH7" i="10" s="1"/>
  <c r="AG23" i="6"/>
  <c r="AG17" i="7"/>
  <c r="W19" i="7"/>
  <c r="W10" i="8" s="1"/>
  <c r="W5" i="8"/>
  <c r="AF14" i="7"/>
  <c r="N79" i="3"/>
  <c r="M7" i="8" s="1"/>
  <c r="M8" i="10" s="1"/>
  <c r="N73" i="3"/>
  <c r="M8" i="6" s="1"/>
  <c r="N69" i="3"/>
  <c r="M30" i="6"/>
  <c r="N74" i="3"/>
  <c r="M12" i="7" s="1"/>
  <c r="M14" i="6"/>
  <c r="M5" i="7"/>
  <c r="M7" i="7" s="1"/>
  <c r="C23" i="7" s="1"/>
  <c r="M25" i="6"/>
  <c r="M26" i="6" s="1"/>
  <c r="N71" i="3"/>
  <c r="N78" i="3"/>
  <c r="M11" i="7" s="1"/>
  <c r="M12" i="6"/>
  <c r="AG29" i="6"/>
  <c r="AG31" i="6" s="1"/>
  <c r="AG13" i="6"/>
  <c r="AG9" i="7"/>
  <c r="AG10" i="7" s="1"/>
  <c r="Q6" i="6"/>
  <c r="Q15" i="7"/>
  <c r="Q16" i="7" s="1"/>
  <c r="AG7" i="6"/>
  <c r="AL79" i="3" s="1"/>
  <c r="J16" i="7"/>
  <c r="B5" i="8"/>
  <c r="B19" i="7"/>
  <c r="B10" i="8" s="1"/>
  <c r="C6" i="8"/>
  <c r="C6" i="10"/>
  <c r="A69" i="12" s="1"/>
  <c r="D7" i="10"/>
  <c r="B104" i="12" s="1"/>
  <c r="D13" i="8"/>
  <c r="L7" i="6"/>
  <c r="N77" i="3" s="1"/>
  <c r="AF6" i="6"/>
  <c r="AF15" i="7"/>
  <c r="P19" i="7"/>
  <c r="P10" i="8" s="1"/>
  <c r="P5" i="8"/>
  <c r="P9" i="8" s="1"/>
  <c r="X6" i="10"/>
  <c r="Y69" i="12" s="1"/>
  <c r="X6" i="8"/>
  <c r="L29" i="6"/>
  <c r="L31" i="6" s="1"/>
  <c r="L9" i="7"/>
  <c r="L10" i="7" s="1"/>
  <c r="L13" i="6"/>
  <c r="D29" i="6"/>
  <c r="D31" i="6" s="1"/>
  <c r="D13" i="6"/>
  <c r="I18" i="7"/>
  <c r="I3" i="10"/>
  <c r="I4" i="10" s="1"/>
  <c r="I5" i="10" s="1"/>
  <c r="I9" i="10" s="1"/>
  <c r="I11" i="10" s="1"/>
  <c r="D59" i="3"/>
  <c r="D15" i="7" s="1"/>
  <c r="C9" i="6"/>
  <c r="L7" i="10"/>
  <c r="L13" i="8"/>
  <c r="D13" i="7"/>
  <c r="D14" i="7" s="1"/>
  <c r="D14" i="8"/>
  <c r="K14" i="7"/>
  <c r="F60" i="3"/>
  <c r="F9" i="7" s="1"/>
  <c r="F11" i="7"/>
  <c r="F63" i="3"/>
  <c r="F12" i="7" s="1"/>
  <c r="F12" i="6"/>
  <c r="F30" i="6"/>
  <c r="F62" i="3"/>
  <c r="F8" i="6" s="1"/>
  <c r="F25" i="6"/>
  <c r="F58" i="3"/>
  <c r="F14" i="6"/>
  <c r="AF18" i="8"/>
  <c r="AF30" i="8" s="1"/>
  <c r="AF26" i="6"/>
  <c r="AG13" i="8"/>
  <c r="AG31" i="8"/>
  <c r="X6" i="6"/>
  <c r="E7" i="13" l="1"/>
  <c r="AF6" i="8"/>
  <c r="AF6" i="10"/>
  <c r="AG104" i="12" s="1"/>
  <c r="AH12" i="6"/>
  <c r="C26" i="7"/>
  <c r="C28" i="7" s="1"/>
  <c r="AE18" i="7"/>
  <c r="AE3" i="10"/>
  <c r="M74" i="12"/>
  <c r="M82" i="12" s="1"/>
  <c r="K76" i="12"/>
  <c r="K84" i="12" s="1"/>
  <c r="N77" i="12"/>
  <c r="N85" i="12" s="1"/>
  <c r="N74" i="12"/>
  <c r="N82" i="12" s="1"/>
  <c r="L76" i="12"/>
  <c r="L84" i="12" s="1"/>
  <c r="K73" i="12"/>
  <c r="K81" i="12" s="1"/>
  <c r="M75" i="12"/>
  <c r="M83" i="12" s="1"/>
  <c r="J75" i="12"/>
  <c r="J83" i="12" s="1"/>
  <c r="M76" i="12"/>
  <c r="M84" i="12" s="1"/>
  <c r="L73" i="12"/>
  <c r="L81" i="12" s="1"/>
  <c r="J73" i="12"/>
  <c r="J81" i="12" s="1"/>
  <c r="J76" i="12"/>
  <c r="J84" i="12" s="1"/>
  <c r="K75" i="12"/>
  <c r="K83" i="12" s="1"/>
  <c r="N76" i="12"/>
  <c r="N84" i="12" s="1"/>
  <c r="M73" i="12"/>
  <c r="M81" i="12" s="1"/>
  <c r="K77" i="12"/>
  <c r="K85" i="12" s="1"/>
  <c r="L74" i="12"/>
  <c r="L82" i="12" s="1"/>
  <c r="L75" i="12"/>
  <c r="L83" i="12" s="1"/>
  <c r="J77" i="12"/>
  <c r="J85" i="12" s="1"/>
  <c r="N73" i="12"/>
  <c r="N81" i="12" s="1"/>
  <c r="J74" i="12"/>
  <c r="J82" i="12" s="1"/>
  <c r="M77" i="12"/>
  <c r="M85" i="12" s="1"/>
  <c r="K74" i="12"/>
  <c r="K82" i="12" s="1"/>
  <c r="N75" i="12"/>
  <c r="N83" i="12" s="1"/>
  <c r="L77" i="12"/>
  <c r="L85" i="12" s="1"/>
  <c r="AO18" i="7"/>
  <c r="AO19" i="7" s="1"/>
  <c r="AO10" i="8" s="1"/>
  <c r="AO3" i="10"/>
  <c r="C3" i="10"/>
  <c r="C4" i="10" s="1"/>
  <c r="C5" i="10" s="1"/>
  <c r="AH77" i="3"/>
  <c r="AD33" i="8" s="1"/>
  <c r="AD22" i="8" s="1"/>
  <c r="AD20" i="6"/>
  <c r="AD21" i="6" s="1"/>
  <c r="AD32" i="6" s="1"/>
  <c r="AD11" i="6" s="1"/>
  <c r="AD15" i="6" s="1"/>
  <c r="K16" i="7"/>
  <c r="M7" i="6"/>
  <c r="D16" i="7"/>
  <c r="D3" i="10" s="1"/>
  <c r="D4" i="10" s="1"/>
  <c r="D5" i="10" s="1"/>
  <c r="F7" i="6"/>
  <c r="P11" i="8"/>
  <c r="P34" i="8" s="1"/>
  <c r="D6" i="6"/>
  <c r="E59" i="3" s="1"/>
  <c r="E15" i="7" s="1"/>
  <c r="E6" i="10" s="1"/>
  <c r="L14" i="7"/>
  <c r="AG16" i="8"/>
  <c r="P20" i="7"/>
  <c r="R75" i="3" s="1"/>
  <c r="P33" i="8" s="1"/>
  <c r="AG14" i="7"/>
  <c r="D16" i="8"/>
  <c r="B20" i="7"/>
  <c r="B64" i="3" s="1"/>
  <c r="B20" i="6" s="1"/>
  <c r="B21" i="6" s="1"/>
  <c r="B32" i="6" s="1"/>
  <c r="B11" i="6" s="1"/>
  <c r="K6" i="6"/>
  <c r="M70" i="3" s="1"/>
  <c r="L15" i="7" s="1"/>
  <c r="AH11" i="7"/>
  <c r="AH13" i="7" s="1"/>
  <c r="AH14" i="8"/>
  <c r="AK72" i="3"/>
  <c r="AF9" i="6"/>
  <c r="L16" i="8"/>
  <c r="J18" i="7"/>
  <c r="J3" i="10"/>
  <c r="J4" i="10" s="1"/>
  <c r="J5" i="10" s="1"/>
  <c r="J9" i="10" s="1"/>
  <c r="J11" i="10" s="1"/>
  <c r="M7" i="10"/>
  <c r="M13" i="8"/>
  <c r="AG18" i="8"/>
  <c r="AG30" i="8" s="1"/>
  <c r="AG26" i="6"/>
  <c r="F10" i="7"/>
  <c r="F29" i="6"/>
  <c r="F31" i="6" s="1"/>
  <c r="F13" i="6"/>
  <c r="D6" i="8"/>
  <c r="D6" i="10"/>
  <c r="A104" i="12" s="1"/>
  <c r="AH7" i="6"/>
  <c r="M14" i="8"/>
  <c r="M13" i="7"/>
  <c r="AH13" i="8"/>
  <c r="AH31" i="8"/>
  <c r="E13" i="7"/>
  <c r="E14" i="8"/>
  <c r="AH29" i="6"/>
  <c r="AH31" i="6" s="1"/>
  <c r="AH13" i="6"/>
  <c r="AH9" i="7"/>
  <c r="AH10" i="7" s="1"/>
  <c r="F13" i="7"/>
  <c r="F14" i="8"/>
  <c r="F7" i="10"/>
  <c r="F13" i="8"/>
  <c r="K3" i="10"/>
  <c r="K18" i="7"/>
  <c r="C5" i="8"/>
  <c r="C19" i="7"/>
  <c r="C10" i="8" s="1"/>
  <c r="M13" i="6"/>
  <c r="M29" i="6"/>
  <c r="M31" i="6" s="1"/>
  <c r="M9" i="7"/>
  <c r="M10" i="7" s="1"/>
  <c r="K6" i="8"/>
  <c r="K6" i="10"/>
  <c r="I104" i="12" s="1"/>
  <c r="Q3" i="10"/>
  <c r="Q4" i="10" s="1"/>
  <c r="Q5" i="10" s="1"/>
  <c r="Q18" i="7"/>
  <c r="E13" i="8"/>
  <c r="E7" i="10"/>
  <c r="D9" i="6"/>
  <c r="I19" i="7"/>
  <c r="I10" i="8" s="1"/>
  <c r="I5" i="8"/>
  <c r="I9" i="8" s="1"/>
  <c r="Q6" i="10"/>
  <c r="Q69" i="12" s="1"/>
  <c r="Q6" i="8"/>
  <c r="AF16" i="7"/>
  <c r="AH17" i="7"/>
  <c r="AH23" i="6"/>
  <c r="E29" i="6"/>
  <c r="E31" i="6" s="1"/>
  <c r="E13" i="6"/>
  <c r="AB72" i="3"/>
  <c r="Y15" i="7" s="1"/>
  <c r="X9" i="6"/>
  <c r="T70" i="3"/>
  <c r="R15" i="7" s="1"/>
  <c r="Q9" i="6"/>
  <c r="W20" i="7"/>
  <c r="E10" i="7"/>
  <c r="X19" i="7"/>
  <c r="X10" i="8" s="1"/>
  <c r="X5" i="8"/>
  <c r="AO5" i="8" l="1"/>
  <c r="AO9" i="8" s="1"/>
  <c r="AE4" i="10"/>
  <c r="AE5" i="10" s="1"/>
  <c r="AE19" i="7"/>
  <c r="AE10" i="8" s="1"/>
  <c r="AE5" i="8"/>
  <c r="AF18" i="7"/>
  <c r="AF3" i="10"/>
  <c r="AF4" i="10" s="1"/>
  <c r="AF5" i="10" s="1"/>
  <c r="AE20" i="7"/>
  <c r="AI77" i="3" s="1"/>
  <c r="AE33" i="8" s="1"/>
  <c r="AE22" i="8" s="1"/>
  <c r="R75" i="12"/>
  <c r="R83" i="12" s="1"/>
  <c r="U76" i="12"/>
  <c r="U84" i="12" s="1"/>
  <c r="T73" i="12"/>
  <c r="T81" i="12" s="1"/>
  <c r="S75" i="12"/>
  <c r="S83" i="12" s="1"/>
  <c r="V76" i="12"/>
  <c r="V84" i="12" s="1"/>
  <c r="U73" i="12"/>
  <c r="U81" i="12" s="1"/>
  <c r="U77" i="12"/>
  <c r="U85" i="12" s="1"/>
  <c r="T75" i="12"/>
  <c r="T83" i="12" s="1"/>
  <c r="R77" i="12"/>
  <c r="R85" i="12" s="1"/>
  <c r="V73" i="12"/>
  <c r="V81" i="12" s="1"/>
  <c r="R74" i="12"/>
  <c r="R82" i="12" s="1"/>
  <c r="U75" i="12"/>
  <c r="U83" i="12" s="1"/>
  <c r="S77" i="12"/>
  <c r="S85" i="12" s="1"/>
  <c r="R73" i="12"/>
  <c r="R81" i="12" s="1"/>
  <c r="R76" i="12"/>
  <c r="R84" i="12" s="1"/>
  <c r="T76" i="12"/>
  <c r="T84" i="12" s="1"/>
  <c r="S74" i="12"/>
  <c r="S82" i="12" s="1"/>
  <c r="V75" i="12"/>
  <c r="V83" i="12" s="1"/>
  <c r="T77" i="12"/>
  <c r="T85" i="12" s="1"/>
  <c r="T74" i="12"/>
  <c r="T82" i="12" s="1"/>
  <c r="V74" i="12"/>
  <c r="V82" i="12" s="1"/>
  <c r="U74" i="12"/>
  <c r="U82" i="12" s="1"/>
  <c r="S76" i="12"/>
  <c r="S84" i="12" s="1"/>
  <c r="V77" i="12"/>
  <c r="V85" i="12" s="1"/>
  <c r="S73" i="12"/>
  <c r="S81" i="12" s="1"/>
  <c r="J109" i="12"/>
  <c r="M110" i="12"/>
  <c r="K112" i="12"/>
  <c r="J108" i="12"/>
  <c r="K109" i="12"/>
  <c r="N110" i="12"/>
  <c r="L112" i="12"/>
  <c r="L108" i="12"/>
  <c r="L109" i="12"/>
  <c r="J111" i="12"/>
  <c r="M112" i="12"/>
  <c r="L110" i="12"/>
  <c r="M109" i="12"/>
  <c r="K111" i="12"/>
  <c r="N112" i="12"/>
  <c r="J110" i="12"/>
  <c r="N109" i="12"/>
  <c r="L111" i="12"/>
  <c r="K108" i="12"/>
  <c r="M111" i="12"/>
  <c r="N108" i="12"/>
  <c r="K110" i="12"/>
  <c r="N111" i="12"/>
  <c r="M108" i="12"/>
  <c r="J112" i="12"/>
  <c r="AO4" i="10"/>
  <c r="AO5" i="10" s="1"/>
  <c r="AO9" i="10" s="1"/>
  <c r="AO20" i="7"/>
  <c r="AD16" i="6"/>
  <c r="AH81" i="3"/>
  <c r="AO11" i="8"/>
  <c r="AO34" i="8" s="1"/>
  <c r="AH14" i="7"/>
  <c r="D18" i="7"/>
  <c r="D5" i="8" s="1"/>
  <c r="AH16" i="8"/>
  <c r="C20" i="7"/>
  <c r="C64" i="3" s="1"/>
  <c r="F14" i="7"/>
  <c r="E14" i="7"/>
  <c r="E16" i="7" s="1"/>
  <c r="E18" i="7" s="1"/>
  <c r="E5" i="8" s="1"/>
  <c r="M14" i="7"/>
  <c r="M16" i="8"/>
  <c r="X20" i="7"/>
  <c r="AA77" i="3" s="1"/>
  <c r="X22" i="8" s="1"/>
  <c r="E6" i="8"/>
  <c r="K9" i="6"/>
  <c r="L6" i="6"/>
  <c r="N70" i="3" s="1"/>
  <c r="M15" i="7" s="1"/>
  <c r="Y6" i="6"/>
  <c r="Y9" i="6" s="1"/>
  <c r="K5" i="8"/>
  <c r="K9" i="8" s="1"/>
  <c r="K19" i="7"/>
  <c r="K10" i="8" s="1"/>
  <c r="Y6" i="8"/>
  <c r="Y6" i="10"/>
  <c r="Y104" i="12" s="1"/>
  <c r="Y16" i="7"/>
  <c r="I20" i="7"/>
  <c r="K4" i="10"/>
  <c r="K5" i="10" s="1"/>
  <c r="K9" i="10" s="1"/>
  <c r="K11" i="10" s="1"/>
  <c r="L6" i="8"/>
  <c r="L6" i="10"/>
  <c r="AG6" i="6"/>
  <c r="AG15" i="7"/>
  <c r="AG6" i="10" s="1"/>
  <c r="Z77" i="3"/>
  <c r="W20" i="6" s="1"/>
  <c r="I11" i="8"/>
  <c r="E16" i="8"/>
  <c r="R6" i="6"/>
  <c r="AH18" i="8"/>
  <c r="AH30" i="8" s="1"/>
  <c r="AH26" i="6"/>
  <c r="Q5" i="8"/>
  <c r="Q9" i="8" s="1"/>
  <c r="Q19" i="7"/>
  <c r="Q10" i="8" s="1"/>
  <c r="F16" i="8"/>
  <c r="D19" i="7"/>
  <c r="D10" i="8" s="1"/>
  <c r="Q9" i="10"/>
  <c r="Q11" i="10" s="1"/>
  <c r="R6" i="8"/>
  <c r="R6" i="10"/>
  <c r="Q104" i="12" s="1"/>
  <c r="R16" i="7"/>
  <c r="AF19" i="7"/>
  <c r="AF10" i="8" s="1"/>
  <c r="AF5" i="8"/>
  <c r="P20" i="6"/>
  <c r="L16" i="7"/>
  <c r="P35" i="8"/>
  <c r="P22" i="8"/>
  <c r="J5" i="8"/>
  <c r="J9" i="8" s="1"/>
  <c r="J19" i="7"/>
  <c r="J10" i="8" s="1"/>
  <c r="E6" i="6"/>
  <c r="AT77" i="3" l="1"/>
  <c r="AO22" i="8" s="1"/>
  <c r="AO33" i="8" s="1"/>
  <c r="AE20" i="6"/>
  <c r="AE21" i="6" s="1"/>
  <c r="AE32" i="6" s="1"/>
  <c r="AE11" i="6" s="1"/>
  <c r="L9" i="6"/>
  <c r="J132" i="12"/>
  <c r="J140" i="12" s="1"/>
  <c r="J116" i="12"/>
  <c r="J124" i="12" s="1"/>
  <c r="D20" i="7"/>
  <c r="D64" i="3" s="1"/>
  <c r="K132" i="12"/>
  <c r="K140" i="12" s="1"/>
  <c r="K116" i="12"/>
  <c r="K124" i="12" s="1"/>
  <c r="M136" i="12"/>
  <c r="M144" i="12" s="1"/>
  <c r="M120" i="12"/>
  <c r="M128" i="12" s="1"/>
  <c r="K136" i="12"/>
  <c r="K144" i="12" s="1"/>
  <c r="K120" i="12"/>
  <c r="K128" i="12" s="1"/>
  <c r="L135" i="12"/>
  <c r="L143" i="12" s="1"/>
  <c r="L119" i="12"/>
  <c r="L127" i="12" s="1"/>
  <c r="J135" i="12"/>
  <c r="J143" i="12" s="1"/>
  <c r="J119" i="12"/>
  <c r="J127" i="12" s="1"/>
  <c r="M134" i="12"/>
  <c r="M142" i="12" s="1"/>
  <c r="M118" i="12"/>
  <c r="M126" i="12" s="1"/>
  <c r="J136" i="12"/>
  <c r="J144" i="12" s="1"/>
  <c r="J120" i="12"/>
  <c r="J128" i="12" s="1"/>
  <c r="N133" i="12"/>
  <c r="N141" i="12" s="1"/>
  <c r="N117" i="12"/>
  <c r="N125" i="12" s="1"/>
  <c r="L133" i="12"/>
  <c r="L141" i="12" s="1"/>
  <c r="L117" i="12"/>
  <c r="L125" i="12" s="1"/>
  <c r="J133" i="12"/>
  <c r="J141" i="12" s="1"/>
  <c r="J117" i="12"/>
  <c r="J125" i="12" s="1"/>
  <c r="L134" i="12"/>
  <c r="L142" i="12" s="1"/>
  <c r="L118" i="12"/>
  <c r="L126" i="12" s="1"/>
  <c r="M132" i="12"/>
  <c r="M140" i="12" s="1"/>
  <c r="M116" i="12"/>
  <c r="M124" i="12" s="1"/>
  <c r="J134" i="12"/>
  <c r="J142" i="12" s="1"/>
  <c r="J118" i="12"/>
  <c r="J126" i="12" s="1"/>
  <c r="L132" i="12"/>
  <c r="L140" i="12" s="1"/>
  <c r="L116" i="12"/>
  <c r="L124" i="12" s="1"/>
  <c r="AK14" i="10"/>
  <c r="AK15" i="10" s="1"/>
  <c r="AO11" i="10"/>
  <c r="N135" i="12"/>
  <c r="N143" i="12" s="1"/>
  <c r="N119" i="12"/>
  <c r="N127" i="12" s="1"/>
  <c r="N136" i="12"/>
  <c r="N144" i="12" s="1"/>
  <c r="N120" i="12"/>
  <c r="N128" i="12" s="1"/>
  <c r="L136" i="12"/>
  <c r="L144" i="12" s="1"/>
  <c r="L120" i="12"/>
  <c r="L128" i="12" s="1"/>
  <c r="M135" i="12"/>
  <c r="M143" i="12" s="1"/>
  <c r="M119" i="12"/>
  <c r="M127" i="12" s="1"/>
  <c r="E3" i="10"/>
  <c r="R110" i="12"/>
  <c r="U111" i="12"/>
  <c r="T108" i="12"/>
  <c r="U112" i="12"/>
  <c r="S108" i="12"/>
  <c r="S110" i="12"/>
  <c r="V111" i="12"/>
  <c r="U108" i="12"/>
  <c r="T110" i="12"/>
  <c r="R112" i="12"/>
  <c r="V108" i="12"/>
  <c r="R109" i="12"/>
  <c r="U110" i="12"/>
  <c r="S112" i="12"/>
  <c r="R108" i="12"/>
  <c r="T109" i="12"/>
  <c r="S109" i="12"/>
  <c r="V110" i="12"/>
  <c r="T112" i="12"/>
  <c r="R111" i="12"/>
  <c r="U109" i="12"/>
  <c r="S111" i="12"/>
  <c r="V112" i="12"/>
  <c r="T111" i="12"/>
  <c r="V109" i="12"/>
  <c r="AO35" i="8"/>
  <c r="AO36" i="8" s="1"/>
  <c r="K134" i="12"/>
  <c r="K142" i="12" s="1"/>
  <c r="K118" i="12"/>
  <c r="K126" i="12" s="1"/>
  <c r="K135" i="12"/>
  <c r="K143" i="12" s="1"/>
  <c r="K119" i="12"/>
  <c r="K127" i="12" s="1"/>
  <c r="N134" i="12"/>
  <c r="N142" i="12" s="1"/>
  <c r="N118" i="12"/>
  <c r="N126" i="12" s="1"/>
  <c r="N132" i="12"/>
  <c r="N140" i="12" s="1"/>
  <c r="N116" i="12"/>
  <c r="N124" i="12" s="1"/>
  <c r="M133" i="12"/>
  <c r="M141" i="12" s="1"/>
  <c r="M117" i="12"/>
  <c r="M125" i="12" s="1"/>
  <c r="K133" i="12"/>
  <c r="K141" i="12" s="1"/>
  <c r="K117" i="12"/>
  <c r="K125" i="12" s="1"/>
  <c r="AF20" i="7"/>
  <c r="AJ77" i="3" s="1"/>
  <c r="AF33" i="8" s="1"/>
  <c r="AF22" i="8" s="1"/>
  <c r="AD32" i="8"/>
  <c r="AD7" i="8"/>
  <c r="C20" i="6"/>
  <c r="K11" i="8"/>
  <c r="AC72" i="3"/>
  <c r="Z15" i="7" s="1"/>
  <c r="Z6" i="8" s="1"/>
  <c r="X33" i="8"/>
  <c r="J20" i="7"/>
  <c r="K75" i="3" s="1"/>
  <c r="J22" i="8" s="1"/>
  <c r="J24" i="8" s="1"/>
  <c r="Q11" i="8"/>
  <c r="Q34" i="8" s="1"/>
  <c r="M6" i="6"/>
  <c r="M9" i="6" s="1"/>
  <c r="K20" i="7"/>
  <c r="L75" i="3" s="1"/>
  <c r="K22" i="8" s="1"/>
  <c r="K24" i="8" s="1"/>
  <c r="R3" i="10"/>
  <c r="R4" i="10" s="1"/>
  <c r="R5" i="10" s="1"/>
  <c r="R9" i="10" s="1"/>
  <c r="R11" i="10" s="1"/>
  <c r="R18" i="7"/>
  <c r="J11" i="8"/>
  <c r="Q20" i="7"/>
  <c r="S75" i="3" s="1"/>
  <c r="Q33" i="8" s="1"/>
  <c r="L3" i="10"/>
  <c r="L4" i="10" s="1"/>
  <c r="L5" i="10" s="1"/>
  <c r="L9" i="10" s="1"/>
  <c r="L11" i="10" s="1"/>
  <c r="L18" i="7"/>
  <c r="M6" i="10"/>
  <c r="M6" i="8"/>
  <c r="P37" i="8"/>
  <c r="P19" i="8" s="1"/>
  <c r="P24" i="8" s="1"/>
  <c r="P25" i="8" s="1"/>
  <c r="P27" i="8" s="1"/>
  <c r="Q26" i="8" s="1"/>
  <c r="P36" i="8"/>
  <c r="P21" i="6"/>
  <c r="P32" i="6" s="1"/>
  <c r="P11" i="6" s="1"/>
  <c r="W21" i="6"/>
  <c r="W32" i="6" s="1"/>
  <c r="W11" i="6" s="1"/>
  <c r="W15" i="6" s="1"/>
  <c r="X20" i="6"/>
  <c r="W33" i="8"/>
  <c r="W22" i="8"/>
  <c r="J75" i="3"/>
  <c r="I22" i="8" s="1"/>
  <c r="I24" i="8" s="1"/>
  <c r="I25" i="8" s="1"/>
  <c r="I27" i="8" s="1"/>
  <c r="J26" i="8" s="1"/>
  <c r="AE15" i="6"/>
  <c r="AE26" i="8"/>
  <c r="U70" i="3"/>
  <c r="S15" i="7" s="1"/>
  <c r="R9" i="6"/>
  <c r="AG6" i="8"/>
  <c r="AG16" i="7"/>
  <c r="Y3" i="10"/>
  <c r="Y4" i="10" s="1"/>
  <c r="Y5" i="10" s="1"/>
  <c r="Y18" i="7"/>
  <c r="E19" i="7"/>
  <c r="E10" i="8" s="1"/>
  <c r="F59" i="3"/>
  <c r="E9" i="6"/>
  <c r="M16" i="7"/>
  <c r="AG9" i="6"/>
  <c r="AL72" i="3"/>
  <c r="AH15" i="7" s="1"/>
  <c r="AH6" i="10" s="1"/>
  <c r="E4" i="10"/>
  <c r="E5" i="10" s="1"/>
  <c r="E24" i="8"/>
  <c r="M149" i="12" l="1"/>
  <c r="M157" i="12" s="1"/>
  <c r="M168" i="12" s="1"/>
  <c r="O4" i="12" s="1"/>
  <c r="O11" i="12" s="1"/>
  <c r="N152" i="12"/>
  <c r="N160" i="12" s="1"/>
  <c r="N171" i="12" s="1"/>
  <c r="P7" i="12" s="1"/>
  <c r="P14" i="12" s="1"/>
  <c r="K148" i="12"/>
  <c r="K156" i="12" s="1"/>
  <c r="K167" i="12" s="1"/>
  <c r="M3" i="12" s="1"/>
  <c r="M10" i="12" s="1"/>
  <c r="L152" i="12"/>
  <c r="L160" i="12" s="1"/>
  <c r="L171" i="12" s="1"/>
  <c r="N7" i="12" s="1"/>
  <c r="N14" i="12" s="1"/>
  <c r="J149" i="12"/>
  <c r="J157" i="12" s="1"/>
  <c r="J168" i="12" s="1"/>
  <c r="L4" i="12" s="1"/>
  <c r="L11" i="12" s="1"/>
  <c r="AH6" i="6"/>
  <c r="AH9" i="6" s="1"/>
  <c r="AG18" i="7"/>
  <c r="AG3" i="10"/>
  <c r="AG4" i="10" s="1"/>
  <c r="AG5" i="10" s="1"/>
  <c r="AF20" i="6"/>
  <c r="Z6" i="6"/>
  <c r="AD72" i="3" s="1"/>
  <c r="AA15" i="7" s="1"/>
  <c r="Z6" i="10"/>
  <c r="Z16" i="7"/>
  <c r="K25" i="8"/>
  <c r="K149" i="12"/>
  <c r="K157" i="12" s="1"/>
  <c r="K168" i="12" s="1"/>
  <c r="M4" i="12" s="1"/>
  <c r="M11" i="12" s="1"/>
  <c r="N151" i="12"/>
  <c r="N159" i="12" s="1"/>
  <c r="N170" i="12" s="1"/>
  <c r="P6" i="12" s="1"/>
  <c r="P13" i="12" s="1"/>
  <c r="M152" i="12"/>
  <c r="M160" i="12" s="1"/>
  <c r="M171" i="12" s="1"/>
  <c r="O7" i="12" s="1"/>
  <c r="O14" i="12" s="1"/>
  <c r="M148" i="12"/>
  <c r="M156" i="12" s="1"/>
  <c r="M167" i="12" s="1"/>
  <c r="O3" i="12" s="1"/>
  <c r="O10" i="12" s="1"/>
  <c r="J148" i="12"/>
  <c r="J156" i="12" s="1"/>
  <c r="J167" i="12" s="1"/>
  <c r="L3" i="12" s="1"/>
  <c r="L10" i="12" s="1"/>
  <c r="N148" i="12"/>
  <c r="N156" i="12" s="1"/>
  <c r="N167" i="12" s="1"/>
  <c r="P3" i="12" s="1"/>
  <c r="P10" i="12" s="1"/>
  <c r="L151" i="12"/>
  <c r="L159" i="12" s="1"/>
  <c r="L170" i="12" s="1"/>
  <c r="N6" i="12" s="1"/>
  <c r="N13" i="12" s="1"/>
  <c r="L150" i="12"/>
  <c r="L158" i="12" s="1"/>
  <c r="L169" i="12" s="1"/>
  <c r="N5" i="12" s="1"/>
  <c r="N12" i="12" s="1"/>
  <c r="K152" i="12"/>
  <c r="K160" i="12" s="1"/>
  <c r="K171" i="12" s="1"/>
  <c r="M7" i="12" s="1"/>
  <c r="M14" i="12" s="1"/>
  <c r="R120" i="12"/>
  <c r="R128" i="12" s="1"/>
  <c r="R136" i="12"/>
  <c r="R144" i="12" s="1"/>
  <c r="U135" i="12"/>
  <c r="U143" i="12" s="1"/>
  <c r="U119" i="12"/>
  <c r="U127" i="12" s="1"/>
  <c r="V117" i="12"/>
  <c r="V125" i="12" s="1"/>
  <c r="V133" i="12"/>
  <c r="V141" i="12" s="1"/>
  <c r="S117" i="12"/>
  <c r="S125" i="12" s="1"/>
  <c r="S133" i="12"/>
  <c r="S141" i="12" s="1"/>
  <c r="T118" i="12"/>
  <c r="T126" i="12" s="1"/>
  <c r="T134" i="12"/>
  <c r="T142" i="12" s="1"/>
  <c r="R134" i="12"/>
  <c r="R142" i="12" s="1"/>
  <c r="R118" i="12"/>
  <c r="R126" i="12" s="1"/>
  <c r="V118" i="12"/>
  <c r="V126" i="12" s="1"/>
  <c r="V134" i="12"/>
  <c r="V142" i="12" s="1"/>
  <c r="N150" i="12"/>
  <c r="N158" i="12" s="1"/>
  <c r="N169" i="12" s="1"/>
  <c r="P5" i="12" s="1"/>
  <c r="P12" i="12" s="1"/>
  <c r="T119" i="12"/>
  <c r="T127" i="12" s="1"/>
  <c r="T135" i="12"/>
  <c r="T143" i="12" s="1"/>
  <c r="T117" i="12"/>
  <c r="T125" i="12" s="1"/>
  <c r="T133" i="12"/>
  <c r="T141" i="12" s="1"/>
  <c r="U132" i="12"/>
  <c r="U140" i="12" s="1"/>
  <c r="U116" i="12"/>
  <c r="U124" i="12" s="1"/>
  <c r="L149" i="12"/>
  <c r="L157" i="12" s="1"/>
  <c r="L168" i="12" s="1"/>
  <c r="N4" i="12" s="1"/>
  <c r="N11" i="12" s="1"/>
  <c r="AD9" i="8"/>
  <c r="AD11" i="8" s="1"/>
  <c r="AD34" i="8" s="1"/>
  <c r="AD35" i="8" s="1"/>
  <c r="AD8" i="10"/>
  <c r="R132" i="12"/>
  <c r="R140" i="12" s="1"/>
  <c r="R116" i="12"/>
  <c r="R124" i="12" s="1"/>
  <c r="V119" i="12"/>
  <c r="V127" i="12" s="1"/>
  <c r="V135" i="12"/>
  <c r="V143" i="12" s="1"/>
  <c r="V116" i="12"/>
  <c r="V124" i="12" s="1"/>
  <c r="V132" i="12"/>
  <c r="V140" i="12" s="1"/>
  <c r="AO37" i="8"/>
  <c r="AO19" i="8" s="1"/>
  <c r="V120" i="12"/>
  <c r="V128" i="12" s="1"/>
  <c r="V136" i="12"/>
  <c r="V144" i="12" s="1"/>
  <c r="K151" i="12"/>
  <c r="K159" i="12" s="1"/>
  <c r="K170" i="12" s="1"/>
  <c r="M6" i="12" s="1"/>
  <c r="M13" i="12" s="1"/>
  <c r="S119" i="12"/>
  <c r="S127" i="12" s="1"/>
  <c r="S135" i="12"/>
  <c r="S143" i="12" s="1"/>
  <c r="S136" i="12"/>
  <c r="S144" i="12" s="1"/>
  <c r="S120" i="12"/>
  <c r="S128" i="12" s="1"/>
  <c r="S134" i="12"/>
  <c r="S142" i="12" s="1"/>
  <c r="S118" i="12"/>
  <c r="S126" i="12" s="1"/>
  <c r="M151" i="12"/>
  <c r="M159" i="12" s="1"/>
  <c r="M170" i="12" s="1"/>
  <c r="O6" i="12" s="1"/>
  <c r="O13" i="12" s="1"/>
  <c r="L148" i="12"/>
  <c r="L156" i="12" s="1"/>
  <c r="L167" i="12" s="1"/>
  <c r="N3" i="12" s="1"/>
  <c r="N10" i="12" s="1"/>
  <c r="N149" i="12"/>
  <c r="N157" i="12" s="1"/>
  <c r="N168" i="12" s="1"/>
  <c r="P4" i="12" s="1"/>
  <c r="P11" i="12" s="1"/>
  <c r="M150" i="12"/>
  <c r="M158" i="12" s="1"/>
  <c r="M169" i="12" s="1"/>
  <c r="O5" i="12" s="1"/>
  <c r="O12" i="12" s="1"/>
  <c r="T132" i="12"/>
  <c r="T140" i="12" s="1"/>
  <c r="T116" i="12"/>
  <c r="T124" i="12" s="1"/>
  <c r="U133" i="12"/>
  <c r="U141" i="12" s="1"/>
  <c r="U117" i="12"/>
  <c r="U125" i="12" s="1"/>
  <c r="U118" i="12"/>
  <c r="U126" i="12" s="1"/>
  <c r="U134" i="12"/>
  <c r="U142" i="12" s="1"/>
  <c r="S116" i="12"/>
  <c r="S124" i="12" s="1"/>
  <c r="S132" i="12"/>
  <c r="S140" i="12" s="1"/>
  <c r="T120" i="12"/>
  <c r="T128" i="12" s="1"/>
  <c r="T136" i="12"/>
  <c r="T144" i="12" s="1"/>
  <c r="K150" i="12"/>
  <c r="K158" i="12" s="1"/>
  <c r="K169" i="12" s="1"/>
  <c r="M5" i="12" s="1"/>
  <c r="M12" i="12" s="1"/>
  <c r="R119" i="12"/>
  <c r="R127" i="12" s="1"/>
  <c r="R135" i="12"/>
  <c r="R143" i="12" s="1"/>
  <c r="R117" i="12"/>
  <c r="R125" i="12" s="1"/>
  <c r="R133" i="12"/>
  <c r="R141" i="12" s="1"/>
  <c r="U136" i="12"/>
  <c r="U144" i="12" s="1"/>
  <c r="U120" i="12"/>
  <c r="U128" i="12" s="1"/>
  <c r="J150" i="12"/>
  <c r="J158" i="12" s="1"/>
  <c r="J169" i="12" s="1"/>
  <c r="L5" i="12" s="1"/>
  <c r="L12" i="12" s="1"/>
  <c r="J152" i="12"/>
  <c r="J160" i="12" s="1"/>
  <c r="J171" i="12" s="1"/>
  <c r="L7" i="12" s="1"/>
  <c r="L14" i="12" s="1"/>
  <c r="J151" i="12"/>
  <c r="J159" i="12" s="1"/>
  <c r="J170" i="12" s="1"/>
  <c r="L6" i="12" s="1"/>
  <c r="L13" i="12" s="1"/>
  <c r="Q20" i="6"/>
  <c r="Q21" i="6" s="1"/>
  <c r="Q32" i="6" s="1"/>
  <c r="Q11" i="6" s="1"/>
  <c r="Q15" i="6" s="1"/>
  <c r="Q16" i="6" s="1"/>
  <c r="C21" i="6"/>
  <c r="C32" i="6" s="1"/>
  <c r="C11" i="6" s="1"/>
  <c r="D20" i="6"/>
  <c r="D21" i="6" s="1"/>
  <c r="D32" i="6" s="1"/>
  <c r="D11" i="6" s="1"/>
  <c r="Z9" i="6"/>
  <c r="E20" i="7"/>
  <c r="E64" i="3" s="1"/>
  <c r="E20" i="6" s="1"/>
  <c r="E21" i="6" s="1"/>
  <c r="I20" i="6"/>
  <c r="I21" i="6" s="1"/>
  <c r="I32" i="6" s="1"/>
  <c r="I11" i="6" s="1"/>
  <c r="J25" i="8"/>
  <c r="J27" i="8" s="1"/>
  <c r="K26" i="8" s="1"/>
  <c r="K27" i="8" s="1"/>
  <c r="L26" i="8" s="1"/>
  <c r="S6" i="6"/>
  <c r="S9" i="6" s="1"/>
  <c r="Z81" i="3"/>
  <c r="W7" i="8" s="1"/>
  <c r="W16" i="6"/>
  <c r="Q22" i="8"/>
  <c r="Q35" i="8"/>
  <c r="X21" i="6"/>
  <c r="X32" i="6" s="1"/>
  <c r="X11" i="6" s="1"/>
  <c r="X15" i="6" s="1"/>
  <c r="L5" i="8"/>
  <c r="L9" i="8" s="1"/>
  <c r="L19" i="7"/>
  <c r="L10" i="8" s="1"/>
  <c r="AG19" i="7"/>
  <c r="AG10" i="8" s="1"/>
  <c r="AG5" i="8"/>
  <c r="S6" i="10"/>
  <c r="S6" i="8"/>
  <c r="S16" i="7"/>
  <c r="P38" i="8"/>
  <c r="Q30" i="8" s="1"/>
  <c r="AE16" i="6"/>
  <c r="AI81" i="3"/>
  <c r="F15" i="7"/>
  <c r="F6" i="6"/>
  <c r="F9" i="6" s="1"/>
  <c r="R19" i="7"/>
  <c r="R10" i="8" s="1"/>
  <c r="R5" i="8"/>
  <c r="R9" i="8" s="1"/>
  <c r="M18" i="7"/>
  <c r="M3" i="10"/>
  <c r="AH6" i="8"/>
  <c r="AH16" i="7"/>
  <c r="AA6" i="10"/>
  <c r="AA16" i="7"/>
  <c r="AA6" i="8"/>
  <c r="Z18" i="7"/>
  <c r="Z3" i="10"/>
  <c r="Z4" i="10" s="1"/>
  <c r="Z5" i="10" s="1"/>
  <c r="AF21" i="6"/>
  <c r="AF32" i="6" s="1"/>
  <c r="AF11" i="6" s="1"/>
  <c r="Y19" i="7"/>
  <c r="Y10" i="8" s="1"/>
  <c r="Y5" i="8"/>
  <c r="Y20" i="7"/>
  <c r="AB77" i="3" s="1"/>
  <c r="AA6" i="6"/>
  <c r="AA9" i="6" s="1"/>
  <c r="AH18" i="7" l="1"/>
  <c r="AH3" i="10"/>
  <c r="S149" i="12"/>
  <c r="S157" i="12" s="1"/>
  <c r="S168" i="12" s="1"/>
  <c r="T4" i="12" s="1"/>
  <c r="T11" i="12" s="1"/>
  <c r="R148" i="12"/>
  <c r="R156" i="12" s="1"/>
  <c r="R167" i="12" s="1"/>
  <c r="S3" i="12" s="1"/>
  <c r="S10" i="12" s="1"/>
  <c r="R150" i="12"/>
  <c r="R158" i="12" s="1"/>
  <c r="R169" i="12" s="1"/>
  <c r="S5" i="12" s="1"/>
  <c r="S12" i="12" s="1"/>
  <c r="T149" i="12"/>
  <c r="T157" i="12" s="1"/>
  <c r="T168" i="12" s="1"/>
  <c r="U4" i="12" s="1"/>
  <c r="U11" i="12" s="1"/>
  <c r="R152" i="12"/>
  <c r="R160" i="12" s="1"/>
  <c r="R171" i="12" s="1"/>
  <c r="S7" i="12" s="1"/>
  <c r="S14" i="12" s="1"/>
  <c r="R149" i="12"/>
  <c r="R157" i="12" s="1"/>
  <c r="R168" i="12" s="1"/>
  <c r="S4" i="12" s="1"/>
  <c r="S11" i="12" s="1"/>
  <c r="R151" i="12"/>
  <c r="R159" i="12" s="1"/>
  <c r="R170" i="12" s="1"/>
  <c r="S6" i="12" s="1"/>
  <c r="S13" i="12" s="1"/>
  <c r="V152" i="12"/>
  <c r="V160" i="12" s="1"/>
  <c r="V171" i="12" s="1"/>
  <c r="W7" i="12" s="1"/>
  <c r="W14" i="12" s="1"/>
  <c r="T151" i="12"/>
  <c r="T159" i="12" s="1"/>
  <c r="T170" i="12" s="1"/>
  <c r="U6" i="12" s="1"/>
  <c r="U13" i="12" s="1"/>
  <c r="U152" i="12"/>
  <c r="U160" i="12" s="1"/>
  <c r="U171" i="12" s="1"/>
  <c r="V7" i="12" s="1"/>
  <c r="V14" i="12" s="1"/>
  <c r="T152" i="12"/>
  <c r="T160" i="12" s="1"/>
  <c r="T171" i="12" s="1"/>
  <c r="U7" i="12" s="1"/>
  <c r="U14" i="12" s="1"/>
  <c r="V148" i="12"/>
  <c r="V156" i="12" s="1"/>
  <c r="V167" i="12" s="1"/>
  <c r="W3" i="12" s="1"/>
  <c r="W10" i="12" s="1"/>
  <c r="U148" i="12"/>
  <c r="U156" i="12" s="1"/>
  <c r="U167" i="12" s="1"/>
  <c r="V3" i="12" s="1"/>
  <c r="V10" i="12" s="1"/>
  <c r="V150" i="12"/>
  <c r="V158" i="12" s="1"/>
  <c r="V169" i="12" s="1"/>
  <c r="W5" i="12" s="1"/>
  <c r="W12" i="12" s="1"/>
  <c r="V149" i="12"/>
  <c r="V157" i="12" s="1"/>
  <c r="V168" i="12" s="1"/>
  <c r="W4" i="12" s="1"/>
  <c r="W11" i="12" s="1"/>
  <c r="T148" i="12"/>
  <c r="T156" i="12" s="1"/>
  <c r="T167" i="12" s="1"/>
  <c r="U3" i="12" s="1"/>
  <c r="U10" i="12" s="1"/>
  <c r="S152" i="12"/>
  <c r="S160" i="12" s="1"/>
  <c r="S171" i="12" s="1"/>
  <c r="T7" i="12" s="1"/>
  <c r="T14" i="12" s="1"/>
  <c r="S148" i="12"/>
  <c r="S156" i="12" s="1"/>
  <c r="S167" i="12" s="1"/>
  <c r="T3" i="12" s="1"/>
  <c r="T10" i="12" s="1"/>
  <c r="S151" i="12"/>
  <c r="S159" i="12" s="1"/>
  <c r="S170" i="12" s="1"/>
  <c r="T6" i="12" s="1"/>
  <c r="T13" i="12" s="1"/>
  <c r="V151" i="12"/>
  <c r="V159" i="12" s="1"/>
  <c r="V170" i="12" s="1"/>
  <c r="W6" i="12" s="1"/>
  <c r="W13" i="12" s="1"/>
  <c r="U151" i="12"/>
  <c r="U159" i="12" s="1"/>
  <c r="U170" i="12" s="1"/>
  <c r="V6" i="12" s="1"/>
  <c r="V13" i="12" s="1"/>
  <c r="U150" i="12"/>
  <c r="U158" i="12" s="1"/>
  <c r="U169" i="12" s="1"/>
  <c r="V5" i="12" s="1"/>
  <c r="V12" i="12" s="1"/>
  <c r="T150" i="12"/>
  <c r="T158" i="12" s="1"/>
  <c r="T169" i="12" s="1"/>
  <c r="U5" i="12" s="1"/>
  <c r="U12" i="12" s="1"/>
  <c r="U149" i="12"/>
  <c r="U157" i="12" s="1"/>
  <c r="U168" i="12" s="1"/>
  <c r="V4" i="12" s="1"/>
  <c r="V11" i="12" s="1"/>
  <c r="S150" i="12"/>
  <c r="S158" i="12" s="1"/>
  <c r="S169" i="12" s="1"/>
  <c r="T5" i="12" s="1"/>
  <c r="T12" i="12" s="1"/>
  <c r="AI34" i="12"/>
  <c r="AD9" i="10"/>
  <c r="AD11" i="10" s="1"/>
  <c r="L11" i="8"/>
  <c r="AD37" i="8"/>
  <c r="AD19" i="8" s="1"/>
  <c r="AD36" i="8"/>
  <c r="AD38" i="8" s="1"/>
  <c r="AD40" i="8" s="1"/>
  <c r="AD23" i="8" s="1"/>
  <c r="AD24" i="8" s="1"/>
  <c r="AD25" i="8" s="1"/>
  <c r="AD27" i="8" s="1"/>
  <c r="R20" i="7"/>
  <c r="T75" i="3" s="1"/>
  <c r="R33" i="8" s="1"/>
  <c r="R22" i="8" s="1"/>
  <c r="J20" i="6"/>
  <c r="J21" i="6" s="1"/>
  <c r="J32" i="6" s="1"/>
  <c r="J11" i="6" s="1"/>
  <c r="J15" i="6" s="1"/>
  <c r="J16" i="6" s="1"/>
  <c r="V70" i="3"/>
  <c r="T15" i="7" s="1"/>
  <c r="T16" i="7" s="1"/>
  <c r="L20" i="7"/>
  <c r="M75" i="3" s="1"/>
  <c r="L22" i="8" s="1"/>
  <c r="L24" i="8" s="1"/>
  <c r="AG20" i="7"/>
  <c r="AK77" i="3" s="1"/>
  <c r="AG33" i="8" s="1"/>
  <c r="AG22" i="8" s="1"/>
  <c r="Z5" i="8"/>
  <c r="Z19" i="7"/>
  <c r="Z10" i="8" s="1"/>
  <c r="AE7" i="8"/>
  <c r="AE32" i="8"/>
  <c r="AF26" i="8"/>
  <c r="AF15" i="6"/>
  <c r="M5" i="8"/>
  <c r="M9" i="8" s="1"/>
  <c r="M19" i="7"/>
  <c r="M10" i="8" s="1"/>
  <c r="S18" i="7"/>
  <c r="S3" i="10"/>
  <c r="S4" i="10" s="1"/>
  <c r="S5" i="10" s="1"/>
  <c r="S9" i="10" s="1"/>
  <c r="S11" i="10" s="1"/>
  <c r="AA81" i="3"/>
  <c r="X7" i="8" s="1"/>
  <c r="X16" i="6"/>
  <c r="M4" i="10"/>
  <c r="M5" i="10" s="1"/>
  <c r="M9" i="10" s="1"/>
  <c r="AA3" i="10"/>
  <c r="AA4" i="10" s="1"/>
  <c r="AA5" i="10" s="1"/>
  <c r="AA18" i="7"/>
  <c r="R11" i="8"/>
  <c r="R34" i="8" s="1"/>
  <c r="Q40" i="8"/>
  <c r="Q23" i="8" s="1"/>
  <c r="Q18" i="8"/>
  <c r="W8" i="10"/>
  <c r="W32" i="8"/>
  <c r="W9" i="8"/>
  <c r="W11" i="8" s="1"/>
  <c r="W34" i="8" s="1"/>
  <c r="Q37" i="8"/>
  <c r="Q19" i="8" s="1"/>
  <c r="Q36" i="8"/>
  <c r="Y22" i="8"/>
  <c r="Y33" i="8"/>
  <c r="AH5" i="8"/>
  <c r="AH19" i="7"/>
  <c r="AH10" i="8" s="1"/>
  <c r="F6" i="10"/>
  <c r="F16" i="7"/>
  <c r="F6" i="8"/>
  <c r="Y20" i="6"/>
  <c r="F24" i="8"/>
  <c r="AH4" i="10" l="1"/>
  <c r="AH5" i="10" s="1"/>
  <c r="T6" i="10"/>
  <c r="T6" i="8"/>
  <c r="Q38" i="8"/>
  <c r="R30" i="8" s="1"/>
  <c r="K20" i="6"/>
  <c r="L25" i="8"/>
  <c r="L27" i="8" s="1"/>
  <c r="M26" i="8" s="1"/>
  <c r="AL42" i="12"/>
  <c r="AL50" i="12" s="1"/>
  <c r="AJ39" i="12"/>
  <c r="AJ47" i="12" s="1"/>
  <c r="AK40" i="12"/>
  <c r="AK48" i="12" s="1"/>
  <c r="AH41" i="12"/>
  <c r="AH49" i="12" s="1"/>
  <c r="AI38" i="12"/>
  <c r="AI46" i="12" s="1"/>
  <c r="AH40" i="12"/>
  <c r="AH48" i="12" s="1"/>
  <c r="AJ40" i="12"/>
  <c r="AJ48" i="12" s="1"/>
  <c r="AJ38" i="12"/>
  <c r="AJ46" i="12" s="1"/>
  <c r="AJ42" i="12"/>
  <c r="AJ50" i="12" s="1"/>
  <c r="AK38" i="12"/>
  <c r="AK46" i="12" s="1"/>
  <c r="AK41" i="12"/>
  <c r="AK49" i="12" s="1"/>
  <c r="AH39" i="12"/>
  <c r="AH47" i="12" s="1"/>
  <c r="AH42" i="12"/>
  <c r="AH50" i="12" s="1"/>
  <c r="AK39" i="12"/>
  <c r="AK47" i="12" s="1"/>
  <c r="AK42" i="12"/>
  <c r="AK50" i="12" s="1"/>
  <c r="AL38" i="12"/>
  <c r="AL46" i="12" s="1"/>
  <c r="AI42" i="12"/>
  <c r="AI50" i="12" s="1"/>
  <c r="AL40" i="12"/>
  <c r="AL48" i="12" s="1"/>
  <c r="AI40" i="12"/>
  <c r="AI48" i="12" s="1"/>
  <c r="AI39" i="12"/>
  <c r="AI47" i="12" s="1"/>
  <c r="AL39" i="12"/>
  <c r="AL47" i="12" s="1"/>
  <c r="AJ41" i="12"/>
  <c r="AJ49" i="12" s="1"/>
  <c r="AI41" i="12"/>
  <c r="AI49" i="12" s="1"/>
  <c r="AH38" i="12"/>
  <c r="AH46" i="12" s="1"/>
  <c r="AL41" i="12"/>
  <c r="AL49" i="12" s="1"/>
  <c r="AE9" i="8"/>
  <c r="AE11" i="8" s="1"/>
  <c r="AE34" i="8" s="1"/>
  <c r="AE8" i="10"/>
  <c r="R35" i="8"/>
  <c r="R37" i="8" s="1"/>
  <c r="R19" i="8" s="1"/>
  <c r="W9" i="10"/>
  <c r="W11" i="10" s="1"/>
  <c r="AA34" i="12"/>
  <c r="R20" i="6"/>
  <c r="R21" i="6" s="1"/>
  <c r="R32" i="6" s="1"/>
  <c r="R11" i="6" s="1"/>
  <c r="R15" i="6" s="1"/>
  <c r="R16" i="6" s="1"/>
  <c r="Q24" i="8"/>
  <c r="Q25" i="8" s="1"/>
  <c r="Q27" i="8" s="1"/>
  <c r="R26" i="8" s="1"/>
  <c r="AG20" i="6"/>
  <c r="AG21" i="6" s="1"/>
  <c r="AG32" i="6" s="1"/>
  <c r="AG11" i="6" s="1"/>
  <c r="AG15" i="6" s="1"/>
  <c r="T6" i="6"/>
  <c r="T9" i="6" s="1"/>
  <c r="AH20" i="7"/>
  <c r="AL77" i="3" s="1"/>
  <c r="AH33" i="8" s="1"/>
  <c r="AH22" i="8" s="1"/>
  <c r="W35" i="8"/>
  <c r="W37" i="8" s="1"/>
  <c r="W19" i="8" s="1"/>
  <c r="M20" i="7"/>
  <c r="N75" i="3" s="1"/>
  <c r="M22" i="8" s="1"/>
  <c r="M24" i="8" s="1"/>
  <c r="M11" i="10"/>
  <c r="I16" i="10" s="1"/>
  <c r="I14" i="10"/>
  <c r="I15" i="10" s="1"/>
  <c r="X8" i="10"/>
  <c r="X32" i="8"/>
  <c r="X9" i="8"/>
  <c r="X11" i="8" s="1"/>
  <c r="X34" i="8" s="1"/>
  <c r="AE35" i="8"/>
  <c r="Z20" i="7"/>
  <c r="AC77" i="3" s="1"/>
  <c r="Y21" i="6"/>
  <c r="Y32" i="6" s="1"/>
  <c r="Y11" i="6" s="1"/>
  <c r="Y15" i="6" s="1"/>
  <c r="F3" i="10"/>
  <c r="F4" i="10" s="1"/>
  <c r="F5" i="10" s="1"/>
  <c r="F18" i="7"/>
  <c r="S19" i="7"/>
  <c r="S10" i="8" s="1"/>
  <c r="S5" i="8"/>
  <c r="S9" i="8" s="1"/>
  <c r="T3" i="10"/>
  <c r="T4" i="10" s="1"/>
  <c r="T5" i="10" s="1"/>
  <c r="T9" i="10" s="1"/>
  <c r="T18" i="7"/>
  <c r="R18" i="8"/>
  <c r="R40" i="8"/>
  <c r="R23" i="8" s="1"/>
  <c r="R36" i="8"/>
  <c r="AA19" i="7"/>
  <c r="AA10" i="8" s="1"/>
  <c r="AA5" i="8"/>
  <c r="AJ81" i="3"/>
  <c r="AF16" i="6"/>
  <c r="M11" i="8"/>
  <c r="K21" i="6"/>
  <c r="K32" i="6" s="1"/>
  <c r="K11" i="6" s="1"/>
  <c r="K15" i="6" s="1"/>
  <c r="K16" i="6" s="1"/>
  <c r="L20" i="6"/>
  <c r="C15" i="6"/>
  <c r="AH20" i="6" l="1"/>
  <c r="AH21" i="6" s="1"/>
  <c r="AH32" i="6" s="1"/>
  <c r="AH11" i="6" s="1"/>
  <c r="AG26" i="8"/>
  <c r="AD38" i="12"/>
  <c r="AD46" i="12" s="1"/>
  <c r="Z41" i="12"/>
  <c r="Z49" i="12" s="1"/>
  <c r="AD40" i="12"/>
  <c r="AD48" i="12" s="1"/>
  <c r="AC40" i="12"/>
  <c r="AC48" i="12" s="1"/>
  <c r="AA42" i="12"/>
  <c r="AA50" i="12" s="1"/>
  <c r="AD42" i="12"/>
  <c r="AD50" i="12" s="1"/>
  <c r="AC39" i="12"/>
  <c r="AC47" i="12" s="1"/>
  <c r="AA39" i="12"/>
  <c r="AA47" i="12" s="1"/>
  <c r="AC41" i="12"/>
  <c r="AC49" i="12" s="1"/>
  <c r="AA38" i="12"/>
  <c r="AA46" i="12" s="1"/>
  <c r="AB40" i="12"/>
  <c r="AB48" i="12" s="1"/>
  <c r="AA41" i="12"/>
  <c r="AA49" i="12" s="1"/>
  <c r="AD41" i="12"/>
  <c r="AD49" i="12" s="1"/>
  <c r="AB42" i="12"/>
  <c r="AB50" i="12" s="1"/>
  <c r="AC38" i="12"/>
  <c r="AC46" i="12" s="1"/>
  <c r="AB38" i="12"/>
  <c r="AB46" i="12" s="1"/>
  <c r="AA40" i="12"/>
  <c r="AA48" i="12" s="1"/>
  <c r="Z40" i="12"/>
  <c r="Z48" i="12" s="1"/>
  <c r="AC42" i="12"/>
  <c r="AC50" i="12" s="1"/>
  <c r="Z38" i="12"/>
  <c r="Z46" i="12" s="1"/>
  <c r="AD39" i="12"/>
  <c r="AD47" i="12" s="1"/>
  <c r="Z42" i="12"/>
  <c r="Z50" i="12" s="1"/>
  <c r="AB39" i="12"/>
  <c r="AB47" i="12" s="1"/>
  <c r="Z39" i="12"/>
  <c r="Z47" i="12" s="1"/>
  <c r="AB41" i="12"/>
  <c r="AB49" i="12" s="1"/>
  <c r="AI69" i="12"/>
  <c r="AE9" i="10"/>
  <c r="AE11" i="10" s="1"/>
  <c r="X9" i="10"/>
  <c r="X11" i="10" s="1"/>
  <c r="AA69" i="12"/>
  <c r="W36" i="8"/>
  <c r="I17" i="10"/>
  <c r="I19" i="10" s="1"/>
  <c r="I21" i="10" s="1"/>
  <c r="I23" i="10" s="1"/>
  <c r="M25" i="8"/>
  <c r="M27" i="8" s="1"/>
  <c r="R38" i="8"/>
  <c r="S30" i="8" s="1"/>
  <c r="S40" i="8" s="1"/>
  <c r="S23" i="8" s="1"/>
  <c r="S11" i="8"/>
  <c r="S34" i="8" s="1"/>
  <c r="S20" i="7"/>
  <c r="U75" i="3" s="1"/>
  <c r="S33" i="8" s="1"/>
  <c r="S22" i="8" s="1"/>
  <c r="Z20" i="6"/>
  <c r="Z21" i="6" s="1"/>
  <c r="Z32" i="6" s="1"/>
  <c r="Z11" i="6" s="1"/>
  <c r="Z15" i="6" s="1"/>
  <c r="S18" i="8"/>
  <c r="Z22" i="8"/>
  <c r="Z33" i="8"/>
  <c r="R24" i="8"/>
  <c r="R25" i="8" s="1"/>
  <c r="R27" i="8" s="1"/>
  <c r="S26" i="8" s="1"/>
  <c r="AE37" i="8"/>
  <c r="AE19" i="8" s="1"/>
  <c r="AE36" i="8"/>
  <c r="AH15" i="6"/>
  <c r="AH26" i="8"/>
  <c r="AA20" i="7"/>
  <c r="AD77" i="3" s="1"/>
  <c r="T19" i="7"/>
  <c r="T10" i="8" s="1"/>
  <c r="T5" i="8"/>
  <c r="T9" i="8" s="1"/>
  <c r="X35" i="8"/>
  <c r="AF32" i="8"/>
  <c r="AF7" i="8"/>
  <c r="P14" i="10"/>
  <c r="P15" i="10" s="1"/>
  <c r="T11" i="10"/>
  <c r="P16" i="10" s="1"/>
  <c r="F5" i="8"/>
  <c r="F19" i="7"/>
  <c r="F10" i="8" s="1"/>
  <c r="M20" i="6"/>
  <c r="M21" i="6" s="1"/>
  <c r="M32" i="6" s="1"/>
  <c r="M11" i="6" s="1"/>
  <c r="M15" i="6" s="1"/>
  <c r="M16" i="6" s="1"/>
  <c r="L21" i="6"/>
  <c r="L32" i="6" s="1"/>
  <c r="L11" i="6" s="1"/>
  <c r="L15" i="6" s="1"/>
  <c r="L16" i="6" s="1"/>
  <c r="AG16" i="6"/>
  <c r="AK81" i="3"/>
  <c r="Y16" i="6"/>
  <c r="AB81" i="3"/>
  <c r="Y7" i="8" s="1"/>
  <c r="C34" i="6"/>
  <c r="C16" i="6"/>
  <c r="D15" i="6"/>
  <c r="AD74" i="12" l="1"/>
  <c r="AD82" i="12" s="1"/>
  <c r="AC75" i="12"/>
  <c r="AC83" i="12" s="1"/>
  <c r="AB74" i="12"/>
  <c r="AB82" i="12" s="1"/>
  <c r="AB75" i="12"/>
  <c r="AB83" i="12" s="1"/>
  <c r="AD75" i="12"/>
  <c r="AD83" i="12" s="1"/>
  <c r="AB73" i="12"/>
  <c r="AB81" i="12" s="1"/>
  <c r="Z76" i="12"/>
  <c r="Z84" i="12" s="1"/>
  <c r="AA75" i="12"/>
  <c r="AA83" i="12" s="1"/>
  <c r="Z74" i="12"/>
  <c r="Z82" i="12" s="1"/>
  <c r="AA74" i="12"/>
  <c r="AA82" i="12" s="1"/>
  <c r="AB76" i="12"/>
  <c r="AB84" i="12" s="1"/>
  <c r="AC73" i="12"/>
  <c r="AC81" i="12" s="1"/>
  <c r="AC76" i="12"/>
  <c r="AC84" i="12" s="1"/>
  <c r="AD76" i="12"/>
  <c r="AD84" i="12" s="1"/>
  <c r="AD77" i="12"/>
  <c r="AD85" i="12" s="1"/>
  <c r="AA76" i="12"/>
  <c r="AA84" i="12" s="1"/>
  <c r="Z73" i="12"/>
  <c r="Z81" i="12" s="1"/>
  <c r="AC74" i="12"/>
  <c r="AC82" i="12" s="1"/>
  <c r="AA77" i="12"/>
  <c r="AA85" i="12" s="1"/>
  <c r="AC77" i="12"/>
  <c r="AC85" i="12" s="1"/>
  <c r="AD73" i="12"/>
  <c r="AD81" i="12" s="1"/>
  <c r="Z75" i="12"/>
  <c r="Z83" i="12" s="1"/>
  <c r="AA73" i="12"/>
  <c r="AA81" i="12" s="1"/>
  <c r="Z77" i="12"/>
  <c r="Z85" i="12" s="1"/>
  <c r="AB77" i="12"/>
  <c r="AB85" i="12" s="1"/>
  <c r="AF9" i="8"/>
  <c r="AF11" i="8" s="1"/>
  <c r="AF34" i="8" s="1"/>
  <c r="AF8" i="10"/>
  <c r="AK75" i="12"/>
  <c r="AK83" i="12" s="1"/>
  <c r="AL76" i="12"/>
  <c r="AL84" i="12" s="1"/>
  <c r="AI74" i="12"/>
  <c r="AI82" i="12" s="1"/>
  <c r="AH74" i="12"/>
  <c r="AH82" i="12" s="1"/>
  <c r="AH73" i="12"/>
  <c r="AH81" i="12" s="1"/>
  <c r="AH75" i="12"/>
  <c r="AH83" i="12" s="1"/>
  <c r="AJ75" i="12"/>
  <c r="AJ83" i="12" s="1"/>
  <c r="AK74" i="12"/>
  <c r="AK82" i="12" s="1"/>
  <c r="AJ74" i="12"/>
  <c r="AJ82" i="12" s="1"/>
  <c r="AL74" i="12"/>
  <c r="AL82" i="12" s="1"/>
  <c r="AK73" i="12"/>
  <c r="AK81" i="12" s="1"/>
  <c r="AL75" i="12"/>
  <c r="AL83" i="12" s="1"/>
  <c r="AJ77" i="12"/>
  <c r="AJ85" i="12" s="1"/>
  <c r="AJ76" i="12"/>
  <c r="AJ84" i="12" s="1"/>
  <c r="AH77" i="12"/>
  <c r="AH85" i="12" s="1"/>
  <c r="AI73" i="12"/>
  <c r="AI81" i="12" s="1"/>
  <c r="AH76" i="12"/>
  <c r="AH84" i="12" s="1"/>
  <c r="AK77" i="12"/>
  <c r="AK85" i="12" s="1"/>
  <c r="AK76" i="12"/>
  <c r="AK84" i="12" s="1"/>
  <c r="AI76" i="12"/>
  <c r="AI84" i="12" s="1"/>
  <c r="AJ73" i="12"/>
  <c r="AJ81" i="12" s="1"/>
  <c r="AL73" i="12"/>
  <c r="AL81" i="12" s="1"/>
  <c r="AL77" i="12"/>
  <c r="AL85" i="12" s="1"/>
  <c r="AI75" i="12"/>
  <c r="AI83" i="12" s="1"/>
  <c r="AI77" i="12"/>
  <c r="AI85" i="12" s="1"/>
  <c r="T20" i="7"/>
  <c r="V75" i="3" s="1"/>
  <c r="T33" i="8" s="1"/>
  <c r="T22" i="8" s="1"/>
  <c r="AE38" i="8"/>
  <c r="AE40" i="8" s="1"/>
  <c r="AE23" i="8" s="1"/>
  <c r="AE24" i="8" s="1"/>
  <c r="AE25" i="8" s="1"/>
  <c r="AE27" i="8" s="1"/>
  <c r="T11" i="8"/>
  <c r="T34" i="8" s="1"/>
  <c r="AA33" i="8"/>
  <c r="AA22" i="8"/>
  <c r="AG7" i="8"/>
  <c r="AG32" i="8"/>
  <c r="AA20" i="6"/>
  <c r="AA21" i="6" s="1"/>
  <c r="AA32" i="6" s="1"/>
  <c r="AA11" i="6" s="1"/>
  <c r="AA15" i="6" s="1"/>
  <c r="P17" i="10"/>
  <c r="P19" i="10" s="1"/>
  <c r="P21" i="10" s="1"/>
  <c r="P23" i="10" s="1"/>
  <c r="X36" i="8"/>
  <c r="X37" i="8"/>
  <c r="X19" i="8" s="1"/>
  <c r="AL81" i="3"/>
  <c r="AH16" i="6"/>
  <c r="F20" i="7"/>
  <c r="Y8" i="10"/>
  <c r="Y32" i="8"/>
  <c r="Y9" i="8"/>
  <c r="Y11" i="8" s="1"/>
  <c r="Y34" i="8" s="1"/>
  <c r="AC81" i="3"/>
  <c r="Z7" i="8" s="1"/>
  <c r="Z16" i="6"/>
  <c r="S20" i="6"/>
  <c r="AF35" i="8"/>
  <c r="S35" i="8"/>
  <c r="D16" i="6"/>
  <c r="D34" i="6"/>
  <c r="D35" i="6" s="1"/>
  <c r="D7" i="8" s="1"/>
  <c r="E15" i="6"/>
  <c r="AI104" i="12" l="1"/>
  <c r="AF9" i="10"/>
  <c r="AF11" i="10" s="1"/>
  <c r="Y9" i="10"/>
  <c r="Y11" i="10" s="1"/>
  <c r="AA104" i="12"/>
  <c r="AG9" i="8"/>
  <c r="AG11" i="8" s="1"/>
  <c r="AG34" i="8" s="1"/>
  <c r="AG35" i="8" s="1"/>
  <c r="AG8" i="10"/>
  <c r="AG9" i="10" s="1"/>
  <c r="AG11" i="10" s="1"/>
  <c r="T35" i="8"/>
  <c r="T37" i="8" s="1"/>
  <c r="T19" i="8" s="1"/>
  <c r="T36" i="8"/>
  <c r="AF37" i="8"/>
  <c r="AF19" i="8" s="1"/>
  <c r="AF36" i="8"/>
  <c r="AF38" i="8" s="1"/>
  <c r="AF40" i="8" s="1"/>
  <c r="AF23" i="8" s="1"/>
  <c r="AF24" i="8" s="1"/>
  <c r="AF25" i="8" s="1"/>
  <c r="AF27" i="8" s="1"/>
  <c r="F64" i="3"/>
  <c r="F20" i="6" s="1"/>
  <c r="F21" i="6" s="1"/>
  <c r="AH7" i="8"/>
  <c r="AH32" i="8"/>
  <c r="S21" i="6"/>
  <c r="S32" i="6" s="1"/>
  <c r="S11" i="6" s="1"/>
  <c r="S15" i="6" s="1"/>
  <c r="S16" i="6" s="1"/>
  <c r="T20" i="6"/>
  <c r="T21" i="6" s="1"/>
  <c r="T32" i="6" s="1"/>
  <c r="T11" i="6" s="1"/>
  <c r="T15" i="6" s="1"/>
  <c r="T16" i="6" s="1"/>
  <c r="AD81" i="3"/>
  <c r="AA7" i="8" s="1"/>
  <c r="AA16" i="6"/>
  <c r="Z8" i="10"/>
  <c r="Z9" i="10" s="1"/>
  <c r="Z11" i="10" s="1"/>
  <c r="Z32" i="8"/>
  <c r="Z9" i="8"/>
  <c r="Z11" i="8" s="1"/>
  <c r="Z34" i="8" s="1"/>
  <c r="S37" i="8"/>
  <c r="S19" i="8" s="1"/>
  <c r="S24" i="8" s="1"/>
  <c r="S25" i="8" s="1"/>
  <c r="S27" i="8" s="1"/>
  <c r="T26" i="8" s="1"/>
  <c r="S36" i="8"/>
  <c r="Y35" i="8"/>
  <c r="D9" i="8"/>
  <c r="D11" i="8" s="1"/>
  <c r="D25" i="8" s="1"/>
  <c r="D8" i="10"/>
  <c r="E34" i="6"/>
  <c r="E35" i="6" s="1"/>
  <c r="E7" i="8" s="1"/>
  <c r="E16" i="6"/>
  <c r="E23" i="6" s="1"/>
  <c r="F15" i="6"/>
  <c r="F34" i="6" s="1"/>
  <c r="B15" i="6"/>
  <c r="B16" i="6" s="1"/>
  <c r="AD108" i="12" l="1"/>
  <c r="AB112" i="12"/>
  <c r="AB108" i="12"/>
  <c r="AB109" i="12"/>
  <c r="AA109" i="12"/>
  <c r="AB111" i="12"/>
  <c r="AA112" i="12"/>
  <c r="Z110" i="12"/>
  <c r="AB110" i="12"/>
  <c r="AC112" i="12"/>
  <c r="AA111" i="12"/>
  <c r="AC110" i="12"/>
  <c r="AA108" i="12"/>
  <c r="AA110" i="12"/>
  <c r="Z111" i="12"/>
  <c r="AD110" i="12"/>
  <c r="Z108" i="12"/>
  <c r="AD111" i="12"/>
  <c r="AC109" i="12"/>
  <c r="AC108" i="12"/>
  <c r="AD112" i="12"/>
  <c r="Z112" i="12"/>
  <c r="AD109" i="12"/>
  <c r="AC111" i="12"/>
  <c r="Z109" i="12"/>
  <c r="D9" i="10"/>
  <c r="D11" i="10" s="1"/>
  <c r="C104" i="12"/>
  <c r="AI110" i="12"/>
  <c r="AK110" i="12"/>
  <c r="AI111" i="12"/>
  <c r="AI109" i="12"/>
  <c r="AK111" i="12"/>
  <c r="AL111" i="12"/>
  <c r="AI112" i="12"/>
  <c r="AL112" i="12"/>
  <c r="AK108" i="12"/>
  <c r="AH108" i="12"/>
  <c r="AL109" i="12"/>
  <c r="AH112" i="12"/>
  <c r="AL110" i="12"/>
  <c r="AK112" i="12"/>
  <c r="AH111" i="12"/>
  <c r="AJ111" i="12"/>
  <c r="AJ110" i="12"/>
  <c r="AI108" i="12"/>
  <c r="AH110" i="12"/>
  <c r="AJ108" i="12"/>
  <c r="AL108" i="12"/>
  <c r="AJ112" i="12"/>
  <c r="AJ109" i="12"/>
  <c r="AH109" i="12"/>
  <c r="AK109" i="12"/>
  <c r="AH9" i="8"/>
  <c r="AH11" i="8" s="1"/>
  <c r="AH34" i="8" s="1"/>
  <c r="AH8" i="10"/>
  <c r="AH9" i="10" s="1"/>
  <c r="Z35" i="8"/>
  <c r="Z37" i="8" s="1"/>
  <c r="Z19" i="8" s="1"/>
  <c r="S38" i="8"/>
  <c r="T30" i="8" s="1"/>
  <c r="T18" i="8" s="1"/>
  <c r="AA8" i="10"/>
  <c r="AA9" i="10" s="1"/>
  <c r="AA32" i="8"/>
  <c r="AA9" i="8"/>
  <c r="AA11" i="8" s="1"/>
  <c r="AA34" i="8" s="1"/>
  <c r="AG36" i="8"/>
  <c r="AG37" i="8"/>
  <c r="AG19" i="8" s="1"/>
  <c r="Y37" i="8"/>
  <c r="Y19" i="8" s="1"/>
  <c r="Y36" i="8"/>
  <c r="AH35" i="8"/>
  <c r="E9" i="8"/>
  <c r="E11" i="8" s="1"/>
  <c r="E25" i="8" s="1"/>
  <c r="E8" i="10"/>
  <c r="E9" i="10" s="1"/>
  <c r="E11" i="10" s="1"/>
  <c r="F35" i="6"/>
  <c r="F7" i="8" s="1"/>
  <c r="F16" i="6"/>
  <c r="B34" i="6"/>
  <c r="T40" i="8" l="1"/>
  <c r="T23" i="8" s="1"/>
  <c r="T38" i="8"/>
  <c r="AH136" i="12"/>
  <c r="AH144" i="12" s="1"/>
  <c r="AH120" i="12"/>
  <c r="AH128" i="12" s="1"/>
  <c r="AD14" i="10"/>
  <c r="AD15" i="10" s="1"/>
  <c r="AH11" i="10"/>
  <c r="AD16" i="10" s="1"/>
  <c r="AH134" i="12"/>
  <c r="AH142" i="12" s="1"/>
  <c r="AH118" i="12"/>
  <c r="AH126" i="12" s="1"/>
  <c r="AL133" i="12"/>
  <c r="AL141" i="12" s="1"/>
  <c r="AL117" i="12"/>
  <c r="AL125" i="12" s="1"/>
  <c r="AI135" i="12"/>
  <c r="AI143" i="12" s="1"/>
  <c r="AI119" i="12"/>
  <c r="AI127" i="12" s="1"/>
  <c r="AD133" i="12"/>
  <c r="AD141" i="12" s="1"/>
  <c r="AD117" i="12"/>
  <c r="AD125" i="12" s="1"/>
  <c r="Z135" i="12"/>
  <c r="Z143" i="12" s="1"/>
  <c r="Z119" i="12"/>
  <c r="Z127" i="12" s="1"/>
  <c r="AA136" i="12"/>
  <c r="AA144" i="12" s="1"/>
  <c r="AA120" i="12"/>
  <c r="AA128" i="12" s="1"/>
  <c r="AD134" i="12"/>
  <c r="AD142" i="12" s="1"/>
  <c r="AD118" i="12"/>
  <c r="AD126" i="12" s="1"/>
  <c r="AA35" i="8"/>
  <c r="AI132" i="12"/>
  <c r="AI140" i="12" s="1"/>
  <c r="AI116" i="12"/>
  <c r="AI124" i="12" s="1"/>
  <c r="AH132" i="12"/>
  <c r="AH140" i="12" s="1"/>
  <c r="AH116" i="12"/>
  <c r="AH124" i="12" s="1"/>
  <c r="AK134" i="12"/>
  <c r="AK142" i="12" s="1"/>
  <c r="AK118" i="12"/>
  <c r="AK126" i="12" s="1"/>
  <c r="Z136" i="12"/>
  <c r="Z144" i="12" s="1"/>
  <c r="Z120" i="12"/>
  <c r="Z128" i="12" s="1"/>
  <c r="AA134" i="12"/>
  <c r="AA142" i="12" s="1"/>
  <c r="AA118" i="12"/>
  <c r="AA126" i="12" s="1"/>
  <c r="AB135" i="12"/>
  <c r="AB143" i="12" s="1"/>
  <c r="AB119" i="12"/>
  <c r="AB127" i="12" s="1"/>
  <c r="AJ132" i="12"/>
  <c r="AJ140" i="12" s="1"/>
  <c r="AJ116" i="12"/>
  <c r="AJ124" i="12" s="1"/>
  <c r="AI133" i="12"/>
  <c r="AI141" i="12" s="1"/>
  <c r="AI117" i="12"/>
  <c r="AI125" i="12" s="1"/>
  <c r="Z134" i="12"/>
  <c r="Z142" i="12" s="1"/>
  <c r="Z118" i="12"/>
  <c r="Z126" i="12" s="1"/>
  <c r="AK133" i="12"/>
  <c r="AK141" i="12" s="1"/>
  <c r="AK117" i="12"/>
  <c r="AK125" i="12" s="1"/>
  <c r="AJ134" i="12"/>
  <c r="AJ142" i="12" s="1"/>
  <c r="AJ118" i="12"/>
  <c r="AJ126" i="12" s="1"/>
  <c r="AK132" i="12"/>
  <c r="AK140" i="12" s="1"/>
  <c r="AK116" i="12"/>
  <c r="AK124" i="12" s="1"/>
  <c r="AI134" i="12"/>
  <c r="AI142" i="12" s="1"/>
  <c r="AI118" i="12"/>
  <c r="AI126" i="12" s="1"/>
  <c r="AD136" i="12"/>
  <c r="AD144" i="12" s="1"/>
  <c r="AD120" i="12"/>
  <c r="AD128" i="12" s="1"/>
  <c r="AA132" i="12"/>
  <c r="AA140" i="12" s="1"/>
  <c r="AA116" i="12"/>
  <c r="AA124" i="12" s="1"/>
  <c r="AA133" i="12"/>
  <c r="AA141" i="12" s="1"/>
  <c r="AA117" i="12"/>
  <c r="AA125" i="12" s="1"/>
  <c r="AH133" i="12"/>
  <c r="AH141" i="12" s="1"/>
  <c r="AH117" i="12"/>
  <c r="AH125" i="12" s="1"/>
  <c r="AJ135" i="12"/>
  <c r="AJ143" i="12" s="1"/>
  <c r="AJ119" i="12"/>
  <c r="AJ127" i="12" s="1"/>
  <c r="AL136" i="12"/>
  <c r="AL144" i="12" s="1"/>
  <c r="AL120" i="12"/>
  <c r="AL128" i="12" s="1"/>
  <c r="F109" i="12"/>
  <c r="C109" i="12"/>
  <c r="F110" i="12"/>
  <c r="B110" i="12"/>
  <c r="E111" i="12"/>
  <c r="B111" i="12"/>
  <c r="B109" i="12"/>
  <c r="D112" i="12"/>
  <c r="F111" i="12"/>
  <c r="D108" i="12"/>
  <c r="B112" i="12"/>
  <c r="C110" i="12"/>
  <c r="E110" i="12"/>
  <c r="C108" i="12"/>
  <c r="D110" i="12"/>
  <c r="D109" i="12"/>
  <c r="E108" i="12"/>
  <c r="C112" i="12"/>
  <c r="F112" i="12"/>
  <c r="B108" i="12"/>
  <c r="E109" i="12"/>
  <c r="C111" i="12"/>
  <c r="E112" i="12"/>
  <c r="F108" i="12"/>
  <c r="D111" i="12"/>
  <c r="AC132" i="12"/>
  <c r="AC140" i="12" s="1"/>
  <c r="AC116" i="12"/>
  <c r="AC124" i="12" s="1"/>
  <c r="AC134" i="12"/>
  <c r="AC142" i="12" s="1"/>
  <c r="AC118" i="12"/>
  <c r="AC126" i="12" s="1"/>
  <c r="AB133" i="12"/>
  <c r="AB141" i="12" s="1"/>
  <c r="AB117" i="12"/>
  <c r="AB125" i="12" s="1"/>
  <c r="AC135" i="12"/>
  <c r="AC143" i="12" s="1"/>
  <c r="AC119" i="12"/>
  <c r="AC127" i="12" s="1"/>
  <c r="Z36" i="8"/>
  <c r="AJ133" i="12"/>
  <c r="AJ141" i="12" s="1"/>
  <c r="AJ117" i="12"/>
  <c r="AJ125" i="12" s="1"/>
  <c r="AH135" i="12"/>
  <c r="AH143" i="12" s="1"/>
  <c r="AH119" i="12"/>
  <c r="AH127" i="12" s="1"/>
  <c r="AI136" i="12"/>
  <c r="AI144" i="12" s="1"/>
  <c r="AI120" i="12"/>
  <c r="AI128" i="12" s="1"/>
  <c r="AC133" i="12"/>
  <c r="AC141" i="12" s="1"/>
  <c r="AC117" i="12"/>
  <c r="AC125" i="12" s="1"/>
  <c r="AA135" i="12"/>
  <c r="AA143" i="12" s="1"/>
  <c r="AA119" i="12"/>
  <c r="AA127" i="12" s="1"/>
  <c r="AB132" i="12"/>
  <c r="AB140" i="12" s="1"/>
  <c r="AB116" i="12"/>
  <c r="AB124" i="12" s="1"/>
  <c r="AD135" i="12"/>
  <c r="AD143" i="12" s="1"/>
  <c r="AD119" i="12"/>
  <c r="AD127" i="12" s="1"/>
  <c r="AC136" i="12"/>
  <c r="AC144" i="12" s="1"/>
  <c r="AC120" i="12"/>
  <c r="AC128" i="12" s="1"/>
  <c r="AB136" i="12"/>
  <c r="AB144" i="12" s="1"/>
  <c r="AB120" i="12"/>
  <c r="AB128" i="12" s="1"/>
  <c r="AJ136" i="12"/>
  <c r="AJ144" i="12" s="1"/>
  <c r="AJ120" i="12"/>
  <c r="AJ128" i="12" s="1"/>
  <c r="AK136" i="12"/>
  <c r="AK144" i="12" s="1"/>
  <c r="AK120" i="12"/>
  <c r="AK128" i="12" s="1"/>
  <c r="AL135" i="12"/>
  <c r="AL143" i="12" s="1"/>
  <c r="AL119" i="12"/>
  <c r="AL127" i="12" s="1"/>
  <c r="AL132" i="12"/>
  <c r="AL140" i="12" s="1"/>
  <c r="AL116" i="12"/>
  <c r="AL124" i="12" s="1"/>
  <c r="AL134" i="12"/>
  <c r="AL142" i="12" s="1"/>
  <c r="AL118" i="12"/>
  <c r="AL126" i="12" s="1"/>
  <c r="AK135" i="12"/>
  <c r="AK143" i="12" s="1"/>
  <c r="AK119" i="12"/>
  <c r="AK127" i="12" s="1"/>
  <c r="Z133" i="12"/>
  <c r="Z141" i="12" s="1"/>
  <c r="Z117" i="12"/>
  <c r="Z125" i="12" s="1"/>
  <c r="Z132" i="12"/>
  <c r="Z140" i="12" s="1"/>
  <c r="Z116" i="12"/>
  <c r="Z124" i="12" s="1"/>
  <c r="AB134" i="12"/>
  <c r="AB142" i="12" s="1"/>
  <c r="AB118" i="12"/>
  <c r="AB126" i="12" s="1"/>
  <c r="AD132" i="12"/>
  <c r="AD140" i="12" s="1"/>
  <c r="AD116" i="12"/>
  <c r="AD124" i="12" s="1"/>
  <c r="AG38" i="8"/>
  <c r="AG40" i="8" s="1"/>
  <c r="AG23" i="8" s="1"/>
  <c r="AG24" i="8" s="1"/>
  <c r="AG25" i="8" s="1"/>
  <c r="AG27" i="8" s="1"/>
  <c r="AA36" i="8"/>
  <c r="AA37" i="8"/>
  <c r="AA19" i="8" s="1"/>
  <c r="W14" i="10"/>
  <c r="W15" i="10" s="1"/>
  <c r="AA11" i="10"/>
  <c r="W16" i="10" s="1"/>
  <c r="AH37" i="8"/>
  <c r="AH19" i="8" s="1"/>
  <c r="AH36" i="8"/>
  <c r="T24" i="8"/>
  <c r="T25" i="8" s="1"/>
  <c r="T27" i="8" s="1"/>
  <c r="F9" i="8"/>
  <c r="F11" i="8" s="1"/>
  <c r="F25" i="8" s="1"/>
  <c r="F8" i="10"/>
  <c r="F9" i="10" s="1"/>
  <c r="F23" i="6"/>
  <c r="F26" i="6" s="1"/>
  <c r="F32" i="6" s="1"/>
  <c r="C35" i="6"/>
  <c r="C7" i="8" s="1"/>
  <c r="B7" i="8"/>
  <c r="AC150" i="12" l="1"/>
  <c r="AC158" i="12" s="1"/>
  <c r="AC169" i="12" s="1"/>
  <c r="AC5" i="12" s="1"/>
  <c r="AC12" i="12" s="1"/>
  <c r="Z151" i="12"/>
  <c r="Z159" i="12" s="1"/>
  <c r="Z170" i="12" s="1"/>
  <c r="Z6" i="12" s="1"/>
  <c r="Z13" i="12" s="1"/>
  <c r="AH150" i="12"/>
  <c r="AH158" i="12" s="1"/>
  <c r="AH169" i="12" s="1"/>
  <c r="AG5" i="12" s="1"/>
  <c r="AG12" i="12" s="1"/>
  <c r="AC151" i="12"/>
  <c r="AC159" i="12" s="1"/>
  <c r="AC170" i="12" s="1"/>
  <c r="AC6" i="12" s="1"/>
  <c r="AC13" i="12" s="1"/>
  <c r="AD150" i="12"/>
  <c r="AD158" i="12" s="1"/>
  <c r="AD169" i="12" s="1"/>
  <c r="AD5" i="12" s="1"/>
  <c r="AD12" i="12" s="1"/>
  <c r="AI151" i="12"/>
  <c r="AI159" i="12" s="1"/>
  <c r="AI170" i="12" s="1"/>
  <c r="AH6" i="12" s="1"/>
  <c r="AH13" i="12" s="1"/>
  <c r="AH152" i="12"/>
  <c r="AH160" i="12" s="1"/>
  <c r="AH171" i="12" s="1"/>
  <c r="AG7" i="12" s="1"/>
  <c r="AG14" i="12" s="1"/>
  <c r="AC148" i="12"/>
  <c r="AC156" i="12" s="1"/>
  <c r="AC167" i="12" s="1"/>
  <c r="AC3" i="12" s="1"/>
  <c r="AC10" i="12" s="1"/>
  <c r="AD149" i="12"/>
  <c r="AD157" i="12" s="1"/>
  <c r="AD168" i="12" s="1"/>
  <c r="AD4" i="12" s="1"/>
  <c r="AD11" i="12" s="1"/>
  <c r="AD17" i="10"/>
  <c r="AD19" i="10" s="1"/>
  <c r="AD21" i="10" s="1"/>
  <c r="AD23" i="10" s="1"/>
  <c r="AJ149" i="12"/>
  <c r="AJ157" i="12" s="1"/>
  <c r="AJ168" i="12" s="1"/>
  <c r="AI4" i="12" s="1"/>
  <c r="AI11" i="12" s="1"/>
  <c r="AB149" i="12"/>
  <c r="AB157" i="12" s="1"/>
  <c r="AB168" i="12" s="1"/>
  <c r="AB4" i="12" s="1"/>
  <c r="AB11" i="12" s="1"/>
  <c r="AA152" i="12"/>
  <c r="AA160" i="12" s="1"/>
  <c r="AA171" i="12" s="1"/>
  <c r="AA7" i="12" s="1"/>
  <c r="AA14" i="12" s="1"/>
  <c r="AL149" i="12"/>
  <c r="AL157" i="12" s="1"/>
  <c r="AL168" i="12" s="1"/>
  <c r="AK4" i="12" s="1"/>
  <c r="AK11" i="12" s="1"/>
  <c r="AH148" i="12"/>
  <c r="AH156" i="12" s="1"/>
  <c r="AH167" i="12" s="1"/>
  <c r="AG3" i="12" s="1"/>
  <c r="AG10" i="12" s="1"/>
  <c r="D134" i="12"/>
  <c r="D142" i="12" s="1"/>
  <c r="D118" i="12"/>
  <c r="B133" i="12"/>
  <c r="B141" i="12" s="1"/>
  <c r="B117" i="12"/>
  <c r="AB150" i="12"/>
  <c r="AB158" i="12" s="1"/>
  <c r="AB169" i="12" s="1"/>
  <c r="AB5" i="12" s="1"/>
  <c r="AB12" i="12" s="1"/>
  <c r="AL150" i="12"/>
  <c r="AL158" i="12" s="1"/>
  <c r="AL169" i="12" s="1"/>
  <c r="AK5" i="12" s="1"/>
  <c r="AK12" i="12" s="1"/>
  <c r="AJ152" i="12"/>
  <c r="AJ160" i="12" s="1"/>
  <c r="AJ171" i="12" s="1"/>
  <c r="AI7" i="12" s="1"/>
  <c r="AI14" i="12" s="1"/>
  <c r="AB148" i="12"/>
  <c r="AB156" i="12" s="1"/>
  <c r="AB167" i="12" s="1"/>
  <c r="AB3" i="12" s="1"/>
  <c r="AB10" i="12" s="1"/>
  <c r="AH151" i="12"/>
  <c r="AH159" i="12" s="1"/>
  <c r="AH170" i="12" s="1"/>
  <c r="AG6" i="12" s="1"/>
  <c r="AG13" i="12" s="1"/>
  <c r="C135" i="12"/>
  <c r="C143" i="12" s="1"/>
  <c r="C119" i="12"/>
  <c r="C116" i="12"/>
  <c r="C132" i="12"/>
  <c r="C140" i="12" s="1"/>
  <c r="B135" i="12"/>
  <c r="B143" i="12" s="1"/>
  <c r="B119" i="12"/>
  <c r="AJ151" i="12"/>
  <c r="AJ159" i="12" s="1"/>
  <c r="AJ170" i="12" s="1"/>
  <c r="AI6" i="12" s="1"/>
  <c r="AI13" i="12" s="1"/>
  <c r="AD152" i="12"/>
  <c r="AD160" i="12" s="1"/>
  <c r="AD171" i="12" s="1"/>
  <c r="AD7" i="12" s="1"/>
  <c r="AD14" i="12" s="1"/>
  <c r="AK149" i="12"/>
  <c r="AK157" i="12" s="1"/>
  <c r="AK168" i="12" s="1"/>
  <c r="AJ4" i="12" s="1"/>
  <c r="AJ11" i="12" s="1"/>
  <c r="AB151" i="12"/>
  <c r="AB159" i="12" s="1"/>
  <c r="AB170" i="12" s="1"/>
  <c r="AB6" i="12" s="1"/>
  <c r="AB13" i="12" s="1"/>
  <c r="E136" i="12"/>
  <c r="E144" i="12" s="1"/>
  <c r="E120" i="12"/>
  <c r="E133" i="12"/>
  <c r="E141" i="12" s="1"/>
  <c r="E117" i="12"/>
  <c r="E134" i="12"/>
  <c r="E142" i="12" s="1"/>
  <c r="E118" i="12"/>
  <c r="E119" i="12"/>
  <c r="E135" i="12"/>
  <c r="E143" i="12" s="1"/>
  <c r="Z148" i="12"/>
  <c r="Z156" i="12" s="1"/>
  <c r="Z167" i="12" s="1"/>
  <c r="Z3" i="12" s="1"/>
  <c r="Z10" i="12" s="1"/>
  <c r="AL148" i="12"/>
  <c r="AL156" i="12" s="1"/>
  <c r="AL167" i="12" s="1"/>
  <c r="AK3" i="12" s="1"/>
  <c r="AK10" i="12" s="1"/>
  <c r="AB152" i="12"/>
  <c r="AB160" i="12" s="1"/>
  <c r="AB171" i="12" s="1"/>
  <c r="AB7" i="12" s="1"/>
  <c r="AB14" i="12" s="1"/>
  <c r="AA151" i="12"/>
  <c r="AA159" i="12" s="1"/>
  <c r="AA170" i="12" s="1"/>
  <c r="AA6" i="12" s="1"/>
  <c r="AA13" i="12" s="1"/>
  <c r="B116" i="12"/>
  <c r="B132" i="12"/>
  <c r="B140" i="12" s="1"/>
  <c r="C118" i="12"/>
  <c r="C134" i="12"/>
  <c r="C142" i="12" s="1"/>
  <c r="B118" i="12"/>
  <c r="B134" i="12"/>
  <c r="B142" i="12" s="1"/>
  <c r="AH149" i="12"/>
  <c r="AH157" i="12" s="1"/>
  <c r="AH168" i="12" s="1"/>
  <c r="AG4" i="12" s="1"/>
  <c r="AG11" i="12" s="1"/>
  <c r="AI150" i="12"/>
  <c r="AI158" i="12" s="1"/>
  <c r="AI169" i="12" s="1"/>
  <c r="AH5" i="12" s="1"/>
  <c r="AH12" i="12" s="1"/>
  <c r="Z150" i="12"/>
  <c r="Z158" i="12" s="1"/>
  <c r="Z169" i="12" s="1"/>
  <c r="Z5" i="12" s="1"/>
  <c r="Z12" i="12" s="1"/>
  <c r="AA150" i="12"/>
  <c r="AA158" i="12" s="1"/>
  <c r="AA169" i="12" s="1"/>
  <c r="AA5" i="12" s="1"/>
  <c r="AA12" i="12" s="1"/>
  <c r="AI148" i="12"/>
  <c r="AI156" i="12" s="1"/>
  <c r="AI167" i="12" s="1"/>
  <c r="AH3" i="12" s="1"/>
  <c r="AH10" i="12" s="1"/>
  <c r="F120" i="12"/>
  <c r="F136" i="12"/>
  <c r="F144" i="12" s="1"/>
  <c r="B120" i="12"/>
  <c r="B136" i="12"/>
  <c r="B144" i="12" s="1"/>
  <c r="F118" i="12"/>
  <c r="F134" i="12"/>
  <c r="F142" i="12" s="1"/>
  <c r="Z149" i="12"/>
  <c r="Z157" i="12" s="1"/>
  <c r="Z168" i="12" s="1"/>
  <c r="Z4" i="12" s="1"/>
  <c r="Z11" i="12" s="1"/>
  <c r="AL151" i="12"/>
  <c r="AL159" i="12" s="1"/>
  <c r="AL170" i="12" s="1"/>
  <c r="AK6" i="12" s="1"/>
  <c r="AK13" i="12" s="1"/>
  <c r="AC152" i="12"/>
  <c r="AC160" i="12" s="1"/>
  <c r="AC171" i="12" s="1"/>
  <c r="AC7" i="12" s="1"/>
  <c r="AC14" i="12" s="1"/>
  <c r="AC149" i="12"/>
  <c r="AC157" i="12" s="1"/>
  <c r="AC168" i="12" s="1"/>
  <c r="AC4" i="12" s="1"/>
  <c r="AC11" i="12" s="1"/>
  <c r="C136" i="12"/>
  <c r="C144" i="12" s="1"/>
  <c r="C120" i="12"/>
  <c r="D116" i="12"/>
  <c r="D132" i="12"/>
  <c r="D140" i="12" s="1"/>
  <c r="C133" i="12"/>
  <c r="C141" i="12" s="1"/>
  <c r="C117" i="12"/>
  <c r="AA149" i="12"/>
  <c r="AA157" i="12" s="1"/>
  <c r="AA168" i="12" s="1"/>
  <c r="AA4" i="12" s="1"/>
  <c r="AA11" i="12" s="1"/>
  <c r="AK148" i="12"/>
  <c r="AK156" i="12" s="1"/>
  <c r="AK167" i="12" s="1"/>
  <c r="AJ3" i="12" s="1"/>
  <c r="AJ10" i="12" s="1"/>
  <c r="AI149" i="12"/>
  <c r="AI157" i="12" s="1"/>
  <c r="AI168" i="12" s="1"/>
  <c r="AH4" i="12" s="1"/>
  <c r="AH11" i="12" s="1"/>
  <c r="Z152" i="12"/>
  <c r="Z160" i="12" s="1"/>
  <c r="Z171" i="12" s="1"/>
  <c r="Z7" i="12" s="1"/>
  <c r="Z14" i="12" s="1"/>
  <c r="D119" i="12"/>
  <c r="D135" i="12"/>
  <c r="D143" i="12" s="1"/>
  <c r="E132" i="12"/>
  <c r="E140" i="12" s="1"/>
  <c r="E116" i="12"/>
  <c r="F135" i="12"/>
  <c r="F143" i="12" s="1"/>
  <c r="F119" i="12"/>
  <c r="F133" i="12"/>
  <c r="F141" i="12" s="1"/>
  <c r="F117" i="12"/>
  <c r="AD148" i="12"/>
  <c r="AD156" i="12" s="1"/>
  <c r="AD167" i="12" s="1"/>
  <c r="AD3" i="12" s="1"/>
  <c r="AD10" i="12" s="1"/>
  <c r="AK151" i="12"/>
  <c r="AK159" i="12" s="1"/>
  <c r="AK170" i="12" s="1"/>
  <c r="AJ6" i="12" s="1"/>
  <c r="AJ13" i="12" s="1"/>
  <c r="AK152" i="12"/>
  <c r="AK160" i="12" s="1"/>
  <c r="AK171" i="12" s="1"/>
  <c r="AJ7" i="12" s="1"/>
  <c r="AJ14" i="12" s="1"/>
  <c r="AD151" i="12"/>
  <c r="AD159" i="12" s="1"/>
  <c r="AD170" i="12" s="1"/>
  <c r="AD6" i="12" s="1"/>
  <c r="AD13" i="12" s="1"/>
  <c r="AI152" i="12"/>
  <c r="AI160" i="12" s="1"/>
  <c r="AI171" i="12" s="1"/>
  <c r="AH7" i="12" s="1"/>
  <c r="AH14" i="12" s="1"/>
  <c r="F116" i="12"/>
  <c r="F132" i="12"/>
  <c r="F140" i="12" s="1"/>
  <c r="D117" i="12"/>
  <c r="D133" i="12"/>
  <c r="D141" i="12" s="1"/>
  <c r="D120" i="12"/>
  <c r="D136" i="12"/>
  <c r="D144" i="12" s="1"/>
  <c r="AL152" i="12"/>
  <c r="AL160" i="12" s="1"/>
  <c r="AL171" i="12" s="1"/>
  <c r="AK7" i="12" s="1"/>
  <c r="AK14" i="12" s="1"/>
  <c r="AA148" i="12"/>
  <c r="AA156" i="12" s="1"/>
  <c r="AA167" i="12" s="1"/>
  <c r="AA3" i="12" s="1"/>
  <c r="AA10" i="12" s="1"/>
  <c r="AJ150" i="12"/>
  <c r="AJ158" i="12" s="1"/>
  <c r="AJ169" i="12" s="1"/>
  <c r="AI5" i="12" s="1"/>
  <c r="AI12" i="12" s="1"/>
  <c r="AJ148" i="12"/>
  <c r="AJ156" i="12" s="1"/>
  <c r="AJ167" i="12" s="1"/>
  <c r="AI3" i="12" s="1"/>
  <c r="AI10" i="12" s="1"/>
  <c r="AK150" i="12"/>
  <c r="AK158" i="12" s="1"/>
  <c r="AK169" i="12" s="1"/>
  <c r="AJ5" i="12" s="1"/>
  <c r="AJ12" i="12" s="1"/>
  <c r="W17" i="10"/>
  <c r="W19" i="10" s="1"/>
  <c r="W21" i="10" s="1"/>
  <c r="W23" i="10" s="1"/>
  <c r="AH38" i="8"/>
  <c r="AH40" i="8" s="1"/>
  <c r="AH23" i="8" s="1"/>
  <c r="AH24" i="8" s="1"/>
  <c r="AH25" i="8" s="1"/>
  <c r="AH27" i="8" s="1"/>
  <c r="B9" i="8"/>
  <c r="B11" i="8" s="1"/>
  <c r="B25" i="8" s="1"/>
  <c r="B27" i="8" s="1"/>
  <c r="C26" i="8" s="1"/>
  <c r="B8" i="10"/>
  <c r="B14" i="10"/>
  <c r="B15" i="10" s="1"/>
  <c r="F11" i="10"/>
  <c r="C9" i="8"/>
  <c r="C11" i="8" s="1"/>
  <c r="C25" i="8" s="1"/>
  <c r="C27" i="8" s="1"/>
  <c r="D26" i="8" s="1"/>
  <c r="D27" i="8" s="1"/>
  <c r="E26" i="8" s="1"/>
  <c r="E27" i="8" s="1"/>
  <c r="F26" i="8" s="1"/>
  <c r="F27" i="8" s="1"/>
  <c r="C8" i="10"/>
  <c r="E26" i="6"/>
  <c r="E32" i="6" s="1"/>
  <c r="C9" i="10" l="1"/>
  <c r="C11" i="10" s="1"/>
  <c r="C69" i="12"/>
  <c r="B9" i="10"/>
  <c r="B11" i="10" s="1"/>
  <c r="C34" i="12"/>
  <c r="I15" i="6"/>
  <c r="I16" i="6" s="1"/>
  <c r="P15" i="6"/>
  <c r="P16" i="6" s="1"/>
  <c r="W30" i="8"/>
  <c r="W38" i="8" s="1"/>
  <c r="W24" i="8"/>
  <c r="W25" i="8" s="1"/>
  <c r="W27" i="8" s="1"/>
  <c r="X26" i="8" s="1"/>
  <c r="B16" i="10" l="1"/>
  <c r="B17" i="10" s="1"/>
  <c r="B19" i="10" s="1"/>
  <c r="B21" i="10" s="1"/>
  <c r="B23" i="10" s="1"/>
  <c r="D40" i="12"/>
  <c r="D48" i="12" s="1"/>
  <c r="D39" i="12"/>
  <c r="D47" i="12" s="1"/>
  <c r="C39" i="12"/>
  <c r="C47" i="12" s="1"/>
  <c r="F38" i="12"/>
  <c r="F46" i="12" s="1"/>
  <c r="D41" i="12"/>
  <c r="D49" i="12" s="1"/>
  <c r="F39" i="12"/>
  <c r="F47" i="12" s="1"/>
  <c r="C40" i="12"/>
  <c r="C48" i="12" s="1"/>
  <c r="B41" i="12"/>
  <c r="B49" i="12" s="1"/>
  <c r="E39" i="12"/>
  <c r="E47" i="12" s="1"/>
  <c r="B38" i="12"/>
  <c r="B46" i="12" s="1"/>
  <c r="B42" i="12"/>
  <c r="B50" i="12" s="1"/>
  <c r="E38" i="12"/>
  <c r="E46" i="12" s="1"/>
  <c r="C41" i="12"/>
  <c r="C49" i="12" s="1"/>
  <c r="C38" i="12"/>
  <c r="C46" i="12" s="1"/>
  <c r="C42" i="12"/>
  <c r="C50" i="12" s="1"/>
  <c r="C128" i="12" s="1"/>
  <c r="C152" i="12" s="1"/>
  <c r="C160" i="12" s="1"/>
  <c r="C171" i="12" s="1"/>
  <c r="F7" i="12" s="1"/>
  <c r="F14" i="12" s="1"/>
  <c r="D42" i="12"/>
  <c r="D50" i="12" s="1"/>
  <c r="E41" i="12"/>
  <c r="E49" i="12" s="1"/>
  <c r="E42" i="12"/>
  <c r="E50" i="12" s="1"/>
  <c r="B40" i="12"/>
  <c r="B48" i="12" s="1"/>
  <c r="E40" i="12"/>
  <c r="E48" i="12" s="1"/>
  <c r="F42" i="12"/>
  <c r="F50" i="12" s="1"/>
  <c r="F41" i="12"/>
  <c r="F49" i="12" s="1"/>
  <c r="F40" i="12"/>
  <c r="F48" i="12" s="1"/>
  <c r="B39" i="12"/>
  <c r="B47" i="12" s="1"/>
  <c r="D38" i="12"/>
  <c r="D46" i="12" s="1"/>
  <c r="C77" i="12"/>
  <c r="C85" i="12" s="1"/>
  <c r="E76" i="12"/>
  <c r="E84" i="12" s="1"/>
  <c r="E74" i="12"/>
  <c r="E82" i="12" s="1"/>
  <c r="B75" i="12"/>
  <c r="B83" i="12" s="1"/>
  <c r="F77" i="12"/>
  <c r="F85" i="12" s="1"/>
  <c r="E73" i="12"/>
  <c r="E81" i="12" s="1"/>
  <c r="C75" i="12"/>
  <c r="C83" i="12" s="1"/>
  <c r="B74" i="12"/>
  <c r="B82" i="12" s="1"/>
  <c r="D73" i="12"/>
  <c r="D81" i="12" s="1"/>
  <c r="C74" i="12"/>
  <c r="C82" i="12" s="1"/>
  <c r="E75" i="12"/>
  <c r="E83" i="12" s="1"/>
  <c r="B73" i="12"/>
  <c r="B81" i="12" s="1"/>
  <c r="D74" i="12"/>
  <c r="D82" i="12" s="1"/>
  <c r="B76" i="12"/>
  <c r="B84" i="12" s="1"/>
  <c r="F75" i="12"/>
  <c r="F83" i="12" s="1"/>
  <c r="C73" i="12"/>
  <c r="C81" i="12" s="1"/>
  <c r="D77" i="12"/>
  <c r="D85" i="12" s="1"/>
  <c r="C76" i="12"/>
  <c r="C84" i="12" s="1"/>
  <c r="D76" i="12"/>
  <c r="D84" i="12" s="1"/>
  <c r="F73" i="12"/>
  <c r="F81" i="12" s="1"/>
  <c r="F74" i="12"/>
  <c r="F82" i="12" s="1"/>
  <c r="B77" i="12"/>
  <c r="B85" i="12" s="1"/>
  <c r="D75" i="12"/>
  <c r="D83" i="12" s="1"/>
  <c r="F76" i="12"/>
  <c r="F84" i="12" s="1"/>
  <c r="E77" i="12"/>
  <c r="E85" i="12" s="1"/>
  <c r="X30" i="8"/>
  <c r="W40" i="8"/>
  <c r="B125" i="12" l="1"/>
  <c r="B149" i="12" s="1"/>
  <c r="B157" i="12" s="1"/>
  <c r="B168" i="12" s="1"/>
  <c r="E4" i="12" s="1"/>
  <c r="E11" i="12" s="1"/>
  <c r="D128" i="12"/>
  <c r="D152" i="12" s="1"/>
  <c r="D160" i="12" s="1"/>
  <c r="D171" i="12" s="1"/>
  <c r="G7" i="12" s="1"/>
  <c r="G14" i="12" s="1"/>
  <c r="B127" i="12"/>
  <c r="B151" i="12" s="1"/>
  <c r="B159" i="12" s="1"/>
  <c r="B170" i="12" s="1"/>
  <c r="E6" i="12" s="1"/>
  <c r="E13" i="12" s="1"/>
  <c r="C126" i="12"/>
  <c r="C150" i="12" s="1"/>
  <c r="C158" i="12" s="1"/>
  <c r="C169" i="12" s="1"/>
  <c r="F5" i="12" s="1"/>
  <c r="F12" i="12" s="1"/>
  <c r="F126" i="12"/>
  <c r="F150" i="12" s="1"/>
  <c r="F158" i="12" s="1"/>
  <c r="F169" i="12" s="1"/>
  <c r="I5" i="12" s="1"/>
  <c r="I12" i="12" s="1"/>
  <c r="F127" i="12"/>
  <c r="F151" i="12" s="1"/>
  <c r="F159" i="12" s="1"/>
  <c r="F170" i="12" s="1"/>
  <c r="I6" i="12" s="1"/>
  <c r="I13" i="12" s="1"/>
  <c r="C124" i="12"/>
  <c r="C148" i="12" s="1"/>
  <c r="C156" i="12" s="1"/>
  <c r="C167" i="12" s="1"/>
  <c r="F3" i="12" s="1"/>
  <c r="F10" i="12" s="1"/>
  <c r="F125" i="12"/>
  <c r="F149" i="12" s="1"/>
  <c r="F157" i="12" s="1"/>
  <c r="F168" i="12" s="1"/>
  <c r="I4" i="12" s="1"/>
  <c r="I11" i="12" s="1"/>
  <c r="F128" i="12"/>
  <c r="F152" i="12" s="1"/>
  <c r="F160" i="12" s="1"/>
  <c r="F171" i="12" s="1"/>
  <c r="I7" i="12" s="1"/>
  <c r="I14" i="12" s="1"/>
  <c r="C127" i="12"/>
  <c r="C151" i="12" s="1"/>
  <c r="C159" i="12" s="1"/>
  <c r="C170" i="12" s="1"/>
  <c r="F6" i="12" s="1"/>
  <c r="F13" i="12" s="1"/>
  <c r="D127" i="12"/>
  <c r="D151" i="12" s="1"/>
  <c r="D159" i="12" s="1"/>
  <c r="D170" i="12" s="1"/>
  <c r="G6" i="12" s="1"/>
  <c r="G13" i="12" s="1"/>
  <c r="E126" i="12"/>
  <c r="E150" i="12" s="1"/>
  <c r="E158" i="12" s="1"/>
  <c r="E169" i="12" s="1"/>
  <c r="H5" i="12" s="1"/>
  <c r="H12" i="12" s="1"/>
  <c r="E124" i="12"/>
  <c r="E148" i="12" s="1"/>
  <c r="E156" i="12" s="1"/>
  <c r="E167" i="12" s="1"/>
  <c r="H3" i="12" s="1"/>
  <c r="H10" i="12" s="1"/>
  <c r="F124" i="12"/>
  <c r="F148" i="12" s="1"/>
  <c r="F156" i="12" s="1"/>
  <c r="F167" i="12" s="1"/>
  <c r="I3" i="12" s="1"/>
  <c r="I10" i="12" s="1"/>
  <c r="B126" i="12"/>
  <c r="B150" i="12" s="1"/>
  <c r="B158" i="12" s="1"/>
  <c r="B169" i="12" s="1"/>
  <c r="E5" i="12" s="1"/>
  <c r="E12" i="12" s="1"/>
  <c r="B128" i="12"/>
  <c r="B152" i="12" s="1"/>
  <c r="B160" i="12" s="1"/>
  <c r="B171" i="12" s="1"/>
  <c r="E7" i="12" s="1"/>
  <c r="E14" i="12" s="1"/>
  <c r="C125" i="12"/>
  <c r="C149" i="12" s="1"/>
  <c r="C157" i="12" s="1"/>
  <c r="C168" i="12" s="1"/>
  <c r="F4" i="12" s="1"/>
  <c r="F11" i="12" s="1"/>
  <c r="E128" i="12"/>
  <c r="E152" i="12" s="1"/>
  <c r="E160" i="12" s="1"/>
  <c r="E171" i="12" s="1"/>
  <c r="H7" i="12" s="1"/>
  <c r="H14" i="12" s="1"/>
  <c r="B124" i="12"/>
  <c r="B148" i="12" s="1"/>
  <c r="B156" i="12" s="1"/>
  <c r="B167" i="12" s="1"/>
  <c r="E3" i="12" s="1"/>
  <c r="E10" i="12" s="1"/>
  <c r="D125" i="12"/>
  <c r="D149" i="12" s="1"/>
  <c r="D157" i="12" s="1"/>
  <c r="D168" i="12" s="1"/>
  <c r="G4" i="12" s="1"/>
  <c r="G11" i="12" s="1"/>
  <c r="D124" i="12"/>
  <c r="D148" i="12" s="1"/>
  <c r="D156" i="12" s="1"/>
  <c r="D167" i="12" s="1"/>
  <c r="G3" i="12" s="1"/>
  <c r="G10" i="12" s="1"/>
  <c r="E127" i="12"/>
  <c r="E151" i="12" s="1"/>
  <c r="E159" i="12" s="1"/>
  <c r="E170" i="12" s="1"/>
  <c r="H6" i="12" s="1"/>
  <c r="H13" i="12" s="1"/>
  <c r="E125" i="12"/>
  <c r="E149" i="12" s="1"/>
  <c r="E157" i="12" s="1"/>
  <c r="E168" i="12" s="1"/>
  <c r="H4" i="12" s="1"/>
  <c r="H11" i="12" s="1"/>
  <c r="D126" i="12"/>
  <c r="D150" i="12" s="1"/>
  <c r="D158" i="12" s="1"/>
  <c r="D169" i="12" s="1"/>
  <c r="G5" i="12" s="1"/>
  <c r="G12" i="12" s="1"/>
  <c r="X38" i="8"/>
  <c r="X18" i="8"/>
  <c r="X24" i="8" s="1"/>
  <c r="X25" i="8" s="1"/>
  <c r="X27" i="8" s="1"/>
  <c r="Y26" i="8" s="1"/>
  <c r="Y30" i="8" l="1"/>
  <c r="X40" i="8"/>
  <c r="Y38" i="8" l="1"/>
  <c r="Y18" i="8"/>
  <c r="Y24" i="8" s="1"/>
  <c r="Y25" i="8" s="1"/>
  <c r="Y27" i="8" s="1"/>
  <c r="Z26" i="8" s="1"/>
  <c r="Z30" i="8" l="1"/>
  <c r="Y40" i="8"/>
  <c r="Z38" i="8" l="1"/>
  <c r="Z18" i="8"/>
  <c r="Z24" i="8" s="1"/>
  <c r="Z25" i="8" s="1"/>
  <c r="Z27" i="8" s="1"/>
  <c r="AA26" i="8" s="1"/>
  <c r="AA30" i="8" l="1"/>
  <c r="Z40" i="8"/>
  <c r="AA38" i="8" l="1"/>
  <c r="AA40" i="8" s="1"/>
  <c r="AA18" i="8"/>
  <c r="AA24" i="8" s="1"/>
  <c r="AA25" i="8" s="1"/>
  <c r="AA27" i="8" s="1"/>
  <c r="AK5" i="8"/>
  <c r="AK19" i="7" l="1"/>
  <c r="AK10" i="8" s="1"/>
  <c r="AK20" i="7" l="1"/>
  <c r="C16" i="13" s="1"/>
  <c r="C17" i="13" s="1"/>
  <c r="AP77" i="3"/>
  <c r="AK22" i="8" s="1"/>
  <c r="AK33" i="8" s="1"/>
  <c r="AK20" i="6" l="1"/>
  <c r="AK21" i="6" s="1"/>
  <c r="AL20" i="6" l="1"/>
  <c r="AK32" i="6"/>
  <c r="AK11" i="6" s="1"/>
  <c r="AK15" i="6" s="1"/>
  <c r="AK16" i="6"/>
  <c r="F7" i="13" s="1"/>
  <c r="G7" i="13" s="1"/>
  <c r="G8" i="13" s="1"/>
  <c r="AP81" i="3"/>
  <c r="AL23" i="6"/>
  <c r="AM20" i="6"/>
  <c r="AL21" i="6"/>
  <c r="AN20" i="6" l="1"/>
  <c r="AM21" i="6"/>
  <c r="AM23" i="6"/>
  <c r="AL18" i="8"/>
  <c r="AL26" i="6"/>
  <c r="AL32" i="6" s="1"/>
  <c r="AK7" i="8"/>
  <c r="AK8" i="10" s="1"/>
  <c r="AL7" i="8"/>
  <c r="AL8" i="10" s="1"/>
  <c r="AQ69" i="12" l="1"/>
  <c r="AL9" i="10"/>
  <c r="AL11" i="10" s="1"/>
  <c r="AQ34" i="12"/>
  <c r="AK9" i="10"/>
  <c r="AK32" i="8"/>
  <c r="AK9" i="8"/>
  <c r="AK11" i="8" s="1"/>
  <c r="AL9" i="8"/>
  <c r="AL11" i="8" s="1"/>
  <c r="AL32" i="8"/>
  <c r="AL30" i="8"/>
  <c r="AM18" i="8"/>
  <c r="AM26" i="6"/>
  <c r="AM32" i="6" s="1"/>
  <c r="AO20" i="6"/>
  <c r="AN23" i="6"/>
  <c r="AN21" i="6"/>
  <c r="AK16" i="10" l="1"/>
  <c r="AK17" i="10" s="1"/>
  <c r="AK19" i="10" s="1"/>
  <c r="AK21" i="10" s="1"/>
  <c r="AK23" i="10" s="1"/>
  <c r="AK11" i="10"/>
  <c r="AS38" i="12"/>
  <c r="AS46" i="12" s="1"/>
  <c r="AP40" i="12"/>
  <c r="AP48" i="12" s="1"/>
  <c r="AP38" i="12"/>
  <c r="AP46" i="12" s="1"/>
  <c r="AR42" i="12"/>
  <c r="AR50" i="12" s="1"/>
  <c r="AT40" i="12"/>
  <c r="AT48" i="12" s="1"/>
  <c r="AT39" i="12"/>
  <c r="AT47" i="12" s="1"/>
  <c r="AP39" i="12"/>
  <c r="AP47" i="12" s="1"/>
  <c r="AP41" i="12"/>
  <c r="AP49" i="12" s="1"/>
  <c r="AS39" i="12"/>
  <c r="AS47" i="12" s="1"/>
  <c r="AR40" i="12"/>
  <c r="AR48" i="12" s="1"/>
  <c r="AQ40" i="12"/>
  <c r="AQ48" i="12" s="1"/>
  <c r="AP42" i="12"/>
  <c r="AP50" i="12" s="1"/>
  <c r="AT42" i="12"/>
  <c r="AT50" i="12" s="1"/>
  <c r="AQ42" i="12"/>
  <c r="AQ50" i="12" s="1"/>
  <c r="AS41" i="12"/>
  <c r="AS49" i="12" s="1"/>
  <c r="AS40" i="12"/>
  <c r="AS48" i="12" s="1"/>
  <c r="AQ41" i="12"/>
  <c r="AQ49" i="12" s="1"/>
  <c r="AQ39" i="12"/>
  <c r="AQ47" i="12" s="1"/>
  <c r="AR38" i="12"/>
  <c r="AR46" i="12" s="1"/>
  <c r="AR39" i="12"/>
  <c r="AR47" i="12" s="1"/>
  <c r="AT41" i="12"/>
  <c r="AT49" i="12" s="1"/>
  <c r="AR41" i="12"/>
  <c r="AR49" i="12" s="1"/>
  <c r="AS42" i="12"/>
  <c r="AS50" i="12" s="1"/>
  <c r="AQ38" i="12"/>
  <c r="AQ46" i="12" s="1"/>
  <c r="AT38" i="12"/>
  <c r="AT46" i="12" s="1"/>
  <c r="AT76" i="12"/>
  <c r="AT84" i="12" s="1"/>
  <c r="AS75" i="12"/>
  <c r="AS83" i="12" s="1"/>
  <c r="AT77" i="12"/>
  <c r="AT85" i="12" s="1"/>
  <c r="AT74" i="12"/>
  <c r="AT82" i="12" s="1"/>
  <c r="AS73" i="12"/>
  <c r="AS81" i="12" s="1"/>
  <c r="AQ77" i="12"/>
  <c r="AQ85" i="12" s="1"/>
  <c r="AS74" i="12"/>
  <c r="AS82" i="12" s="1"/>
  <c r="AR76" i="12"/>
  <c r="AR84" i="12" s="1"/>
  <c r="AR75" i="12"/>
  <c r="AR83" i="12" s="1"/>
  <c r="AP73" i="12"/>
  <c r="AP81" i="12" s="1"/>
  <c r="AQ73" i="12"/>
  <c r="AQ81" i="12" s="1"/>
  <c r="AP77" i="12"/>
  <c r="AP85" i="12" s="1"/>
  <c r="AT75" i="12"/>
  <c r="AT83" i="12" s="1"/>
  <c r="AP76" i="12"/>
  <c r="AP84" i="12" s="1"/>
  <c r="AP75" i="12"/>
  <c r="AP83" i="12" s="1"/>
  <c r="AT73" i="12"/>
  <c r="AT81" i="12" s="1"/>
  <c r="AR74" i="12"/>
  <c r="AR82" i="12" s="1"/>
  <c r="AS76" i="12"/>
  <c r="AS84" i="12" s="1"/>
  <c r="AQ74" i="12"/>
  <c r="AQ82" i="12" s="1"/>
  <c r="AR73" i="12"/>
  <c r="AR81" i="12" s="1"/>
  <c r="AR77" i="12"/>
  <c r="AR85" i="12" s="1"/>
  <c r="AS77" i="12"/>
  <c r="AS85" i="12" s="1"/>
  <c r="AQ75" i="12"/>
  <c r="AQ83" i="12" s="1"/>
  <c r="AP74" i="12"/>
  <c r="AP82" i="12" s="1"/>
  <c r="AQ76" i="12"/>
  <c r="AQ84" i="12" s="1"/>
  <c r="AM30" i="8"/>
  <c r="AM38" i="8" s="1"/>
  <c r="AM40" i="8" s="1"/>
  <c r="AM23" i="8" s="1"/>
  <c r="AM24" i="8" s="1"/>
  <c r="AM25" i="8" s="1"/>
  <c r="AL34" i="8"/>
  <c r="AL35" i="8" s="1"/>
  <c r="AN18" i="8"/>
  <c r="AN26" i="6"/>
  <c r="AN32" i="6" s="1"/>
  <c r="AO21" i="6"/>
  <c r="AO23" i="6"/>
  <c r="AK34" i="8"/>
  <c r="AK35" i="8" s="1"/>
  <c r="AR127" i="12" l="1"/>
  <c r="AR151" i="12" s="1"/>
  <c r="AR159" i="12" s="1"/>
  <c r="AR170" i="12" s="1"/>
  <c r="AP6" i="12" s="1"/>
  <c r="AP13" i="12" s="1"/>
  <c r="AT127" i="12"/>
  <c r="AT151" i="12" s="1"/>
  <c r="AT159" i="12" s="1"/>
  <c r="AT170" i="12" s="1"/>
  <c r="AR6" i="12" s="1"/>
  <c r="AR13" i="12" s="1"/>
  <c r="AT125" i="12"/>
  <c r="AT149" i="12" s="1"/>
  <c r="AT157" i="12" s="1"/>
  <c r="AT168" i="12" s="1"/>
  <c r="AR4" i="12" s="1"/>
  <c r="AR11" i="12" s="1"/>
  <c r="AR125" i="12"/>
  <c r="AR149" i="12" s="1"/>
  <c r="AR157" i="12" s="1"/>
  <c r="AR168" i="12" s="1"/>
  <c r="AP4" i="12" s="1"/>
  <c r="AP11" i="12" s="1"/>
  <c r="AQ128" i="12"/>
  <c r="AQ152" i="12" s="1"/>
  <c r="AQ160" i="12" s="1"/>
  <c r="AQ171" i="12" s="1"/>
  <c r="AO7" i="12" s="1"/>
  <c r="AO14" i="12" s="1"/>
  <c r="AT128" i="12"/>
  <c r="AT152" i="12" s="1"/>
  <c r="AT160" i="12" s="1"/>
  <c r="AT171" i="12" s="1"/>
  <c r="AR7" i="12" s="1"/>
  <c r="AR14" i="12" s="1"/>
  <c r="AT126" i="12"/>
  <c r="AT150" i="12" s="1"/>
  <c r="AT158" i="12" s="1"/>
  <c r="AT169" i="12" s="1"/>
  <c r="AR5" i="12" s="1"/>
  <c r="AR12" i="12" s="1"/>
  <c r="AR124" i="12"/>
  <c r="AR148" i="12" s="1"/>
  <c r="AR156" i="12" s="1"/>
  <c r="AR167" i="12" s="1"/>
  <c r="AP3" i="12" s="1"/>
  <c r="AP10" i="12" s="1"/>
  <c r="AQ126" i="12"/>
  <c r="AQ150" i="12" s="1"/>
  <c r="AQ158" i="12" s="1"/>
  <c r="AQ169" i="12" s="1"/>
  <c r="AO5" i="12" s="1"/>
  <c r="AO12" i="12" s="1"/>
  <c r="AP124" i="12"/>
  <c r="AP148" i="12" s="1"/>
  <c r="AP156" i="12" s="1"/>
  <c r="AP167" i="12" s="1"/>
  <c r="AN3" i="12" s="1"/>
  <c r="AN10" i="12" s="1"/>
  <c r="AQ125" i="12"/>
  <c r="AQ149" i="12" s="1"/>
  <c r="AQ157" i="12" s="1"/>
  <c r="AQ168" i="12" s="1"/>
  <c r="AO4" i="12" s="1"/>
  <c r="AO11" i="12" s="1"/>
  <c r="AR126" i="12"/>
  <c r="AR150" i="12" s="1"/>
  <c r="AR158" i="12" s="1"/>
  <c r="AR169" i="12" s="1"/>
  <c r="AP5" i="12" s="1"/>
  <c r="AP12" i="12" s="1"/>
  <c r="AP126" i="12"/>
  <c r="AP150" i="12" s="1"/>
  <c r="AP158" i="12" s="1"/>
  <c r="AP169" i="12" s="1"/>
  <c r="AN5" i="12" s="1"/>
  <c r="AN12" i="12" s="1"/>
  <c r="AT124" i="12"/>
  <c r="AT148" i="12" s="1"/>
  <c r="AT156" i="12" s="1"/>
  <c r="AT167" i="12" s="1"/>
  <c r="AR3" i="12" s="1"/>
  <c r="AR10" i="12" s="1"/>
  <c r="AQ127" i="12"/>
  <c r="AQ151" i="12" s="1"/>
  <c r="AQ159" i="12" s="1"/>
  <c r="AQ170" i="12" s="1"/>
  <c r="AO6" i="12" s="1"/>
  <c r="AO13" i="12" s="1"/>
  <c r="AS125" i="12"/>
  <c r="AS149" i="12" s="1"/>
  <c r="AS157" i="12" s="1"/>
  <c r="AS168" i="12" s="1"/>
  <c r="AQ4" i="12" s="1"/>
  <c r="AQ11" i="12" s="1"/>
  <c r="AS124" i="12"/>
  <c r="AS148" i="12" s="1"/>
  <c r="AS156" i="12" s="1"/>
  <c r="AS167" i="12" s="1"/>
  <c r="AQ3" i="12" s="1"/>
  <c r="AQ10" i="12" s="1"/>
  <c r="AR128" i="12"/>
  <c r="AR152" i="12" s="1"/>
  <c r="AR160" i="12" s="1"/>
  <c r="AR171" i="12" s="1"/>
  <c r="AP7" i="12" s="1"/>
  <c r="AP14" i="12" s="1"/>
  <c r="AQ124" i="12"/>
  <c r="AQ148" i="12" s="1"/>
  <c r="AQ156" i="12" s="1"/>
  <c r="AQ167" i="12" s="1"/>
  <c r="AO3" i="12" s="1"/>
  <c r="AO10" i="12" s="1"/>
  <c r="AS126" i="12"/>
  <c r="AS150" i="12" s="1"/>
  <c r="AS158" i="12" s="1"/>
  <c r="AS169" i="12" s="1"/>
  <c r="AQ5" i="12" s="1"/>
  <c r="AQ12" i="12" s="1"/>
  <c r="AP127" i="12"/>
  <c r="AP151" i="12" s="1"/>
  <c r="AP159" i="12" s="1"/>
  <c r="AP170" i="12" s="1"/>
  <c r="AN6" i="12" s="1"/>
  <c r="AN13" i="12" s="1"/>
  <c r="AP128" i="12"/>
  <c r="AP152" i="12" s="1"/>
  <c r="AP160" i="12" s="1"/>
  <c r="AP171" i="12" s="1"/>
  <c r="AN7" i="12" s="1"/>
  <c r="AN14" i="12" s="1"/>
  <c r="AS128" i="12"/>
  <c r="AS152" i="12" s="1"/>
  <c r="AS160" i="12" s="1"/>
  <c r="AS171" i="12" s="1"/>
  <c r="AQ7" i="12" s="1"/>
  <c r="AQ14" i="12" s="1"/>
  <c r="AS127" i="12"/>
  <c r="AS151" i="12" s="1"/>
  <c r="AS159" i="12" s="1"/>
  <c r="AS170" i="12" s="1"/>
  <c r="AQ6" i="12" s="1"/>
  <c r="AQ13" i="12" s="1"/>
  <c r="AP125" i="12"/>
  <c r="AP149" i="12" s="1"/>
  <c r="AP157" i="12" s="1"/>
  <c r="AP168" i="12" s="1"/>
  <c r="AN4" i="12" s="1"/>
  <c r="AN11" i="12" s="1"/>
  <c r="AL36" i="8"/>
  <c r="AL37" i="8"/>
  <c r="AL19" i="8" s="1"/>
  <c r="AN30" i="8"/>
  <c r="AN38" i="8" s="1"/>
  <c r="AN40" i="8" s="1"/>
  <c r="AN23" i="8" s="1"/>
  <c r="AN24" i="8" s="1"/>
  <c r="AN25" i="8" s="1"/>
  <c r="AO26" i="6"/>
  <c r="AO32" i="6" s="1"/>
  <c r="AO18" i="8"/>
  <c r="AK37" i="8"/>
  <c r="AK19" i="8" s="1"/>
  <c r="AK36" i="8"/>
  <c r="AO30" i="8" l="1"/>
  <c r="AO38" i="8" s="1"/>
  <c r="AO40" i="8" s="1"/>
  <c r="AO23" i="8" s="1"/>
  <c r="AO24" i="8" s="1"/>
  <c r="AO25" i="8" s="1"/>
  <c r="AK38" i="8"/>
  <c r="AK40" i="8" s="1"/>
  <c r="AK23" i="8" s="1"/>
  <c r="AK24" i="8" s="1"/>
  <c r="AK25" i="8" s="1"/>
  <c r="AK27" i="8" s="1"/>
  <c r="AL26" i="8" s="1"/>
  <c r="AL38" i="8"/>
  <c r="AL40" i="8" s="1"/>
  <c r="AL23" i="8" s="1"/>
  <c r="AL24" i="8" s="1"/>
  <c r="AL25" i="8" s="1"/>
  <c r="AL27" i="8" l="1"/>
  <c r="AM26" i="8" s="1"/>
  <c r="AM27" i="8" s="1"/>
  <c r="AN26" i="8" s="1"/>
  <c r="AN27" i="8" s="1"/>
  <c r="AO26" i="8" s="1"/>
  <c r="AO27" i="8"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19"/>
        </ext>
      </extLst>
    </bk>
    <bk>
      <extLst>
        <ext uri="{3e2802c4-a4d2-4d8b-9148-e3be6c30e623}">
          <xlrd:rvb i="22"/>
        </ext>
      </extLst>
    </bk>
    <bk>
      <extLst>
        <ext uri="{3e2802c4-a4d2-4d8b-9148-e3be6c30e623}">
          <xlrd:rvb i="23"/>
        </ext>
      </extLst>
    </bk>
  </futureMetadata>
  <cellMetadata count="1">
    <bk>
      <rc t="1" v="0"/>
    </bk>
  </cellMetadata>
  <valueMetadata count="13">
    <bk>
      <rc t="2" v="0"/>
    </bk>
    <bk>
      <rc t="2" v="1"/>
    </bk>
    <bk>
      <rc t="2" v="2"/>
    </bk>
    <bk>
      <rc t="2" v="3"/>
    </bk>
    <bk>
      <rc t="2" v="4"/>
    </bk>
    <bk>
      <rc t="2" v="5"/>
    </bk>
    <bk>
      <rc t="2" v="6"/>
    </bk>
    <bk>
      <rc t="2" v="7"/>
    </bk>
    <bk>
      <rc t="2" v="8"/>
    </bk>
    <bk>
      <rc t="2" v="9"/>
    </bk>
    <bk>
      <rc t="2" v="10"/>
    </bk>
    <bk>
      <rc t="2" v="11"/>
    </bk>
    <bk>
      <rc t="2" v="12"/>
    </bk>
  </valueMetadata>
</metadata>
</file>

<file path=xl/sharedStrings.xml><?xml version="1.0" encoding="utf-8"?>
<sst xmlns="http://schemas.openxmlformats.org/spreadsheetml/2006/main" count="3225" uniqueCount="637">
  <si>
    <t>COMPANY PROFILE</t>
  </si>
  <si>
    <t>Parameters</t>
  </si>
  <si>
    <t>Company</t>
  </si>
  <si>
    <t>Industry</t>
  </si>
  <si>
    <t>Beta</t>
  </si>
  <si>
    <t>Share Price</t>
  </si>
  <si>
    <t>Shares Outstanding</t>
  </si>
  <si>
    <t>Market Cap</t>
  </si>
  <si>
    <t>Year Incorporated</t>
  </si>
  <si>
    <t>Change</t>
  </si>
  <si>
    <t>Change (%)</t>
  </si>
  <si>
    <t>BALANCE SHEET</t>
  </si>
  <si>
    <t>Particulars</t>
  </si>
  <si>
    <t>ASSETS</t>
  </si>
  <si>
    <t>Non-Current Assets</t>
  </si>
  <si>
    <t>Property, plant and equipment</t>
  </si>
  <si>
    <t>Right-of-use assets</t>
  </si>
  <si>
    <t>Capital work-in-progress</t>
  </si>
  <si>
    <t>Intangible assets</t>
  </si>
  <si>
    <t>Investments</t>
  </si>
  <si>
    <t>Loans</t>
  </si>
  <si>
    <t>Other financial assets</t>
  </si>
  <si>
    <t>Income tax assets</t>
  </si>
  <si>
    <t>Deferred tax assets</t>
  </si>
  <si>
    <t>Other non-current assets</t>
  </si>
  <si>
    <t>Total Non-current assets</t>
  </si>
  <si>
    <t>Current Assets</t>
  </si>
  <si>
    <t>Inventories</t>
  </si>
  <si>
    <t>Trade Receivables</t>
  </si>
  <si>
    <t>Cash and cash Equivalents</t>
  </si>
  <si>
    <t>Bank Balance</t>
  </si>
  <si>
    <t>Other current assets</t>
  </si>
  <si>
    <t>Total Current assets</t>
  </si>
  <si>
    <t>Total Assets</t>
  </si>
  <si>
    <t>EQUITY AND LIABILITIES</t>
  </si>
  <si>
    <t>Equity</t>
  </si>
  <si>
    <t>Equity share capital</t>
  </si>
  <si>
    <t>Other Equity</t>
  </si>
  <si>
    <t>Total Equity</t>
  </si>
  <si>
    <t>LIABILITIES</t>
  </si>
  <si>
    <t>Non-current liabilities</t>
  </si>
  <si>
    <t>Lease Liabilities</t>
  </si>
  <si>
    <t>Borrowings</t>
  </si>
  <si>
    <t>Provisions</t>
  </si>
  <si>
    <t>Deferred tax liabilities (net)</t>
  </si>
  <si>
    <t>Total Non-current liabilities</t>
  </si>
  <si>
    <t>Current Liabilities</t>
  </si>
  <si>
    <t>Total outstanding dues of micro and small enterprises</t>
  </si>
  <si>
    <t>Total outstanding dues of creditors other than above</t>
  </si>
  <si>
    <t>Other financial liabilities</t>
  </si>
  <si>
    <t>Current Tax liabilities</t>
  </si>
  <si>
    <t>Other current liabilities</t>
  </si>
  <si>
    <t>Total Current liabilities</t>
  </si>
  <si>
    <t>Total Equity and Liabilities</t>
  </si>
  <si>
    <t>2020</t>
  </si>
  <si>
    <t>2021</t>
  </si>
  <si>
    <t>2022</t>
  </si>
  <si>
    <t>2023</t>
  </si>
  <si>
    <t>2024</t>
  </si>
  <si>
    <t>2025</t>
  </si>
  <si>
    <t>Goodwill (net)</t>
  </si>
  <si>
    <t>Other intangible assets</t>
  </si>
  <si>
    <t>Intangible assets under development</t>
  </si>
  <si>
    <t>Investments in associates</t>
  </si>
  <si>
    <t>Investments in joint venture</t>
  </si>
  <si>
    <t>Deferred tax assets (net)</t>
  </si>
  <si>
    <t>Income tax assets (net)</t>
  </si>
  <si>
    <t>Total non-current assets</t>
  </si>
  <si>
    <t>Trade receivables</t>
  </si>
  <si>
    <t>Cash and cash equivalents</t>
  </si>
  <si>
    <t>Bank balances</t>
  </si>
  <si>
    <t>Total current assets</t>
  </si>
  <si>
    <t>Other equity</t>
  </si>
  <si>
    <t>Non-controlling interests</t>
  </si>
  <si>
    <t>Total equity</t>
  </si>
  <si>
    <t>Deferred tax liabilities</t>
  </si>
  <si>
    <t>Other non-current liabilities</t>
  </si>
  <si>
    <t>Total non-current liabilities</t>
  </si>
  <si>
    <t>Trade Payables</t>
  </si>
  <si>
    <t>Current tax liabillities</t>
  </si>
  <si>
    <t>Total current liabilities</t>
  </si>
  <si>
    <t>Investment properties</t>
  </si>
  <si>
    <t>Goodwill</t>
  </si>
  <si>
    <t>Investment in associates and joint ventures</t>
  </si>
  <si>
    <t>Current assets</t>
  </si>
  <si>
    <t>Bank Balances</t>
  </si>
  <si>
    <t>Others</t>
  </si>
  <si>
    <t>Assets held for sale</t>
  </si>
  <si>
    <t>Total assets</t>
  </si>
  <si>
    <t>Non-current Liabilities</t>
  </si>
  <si>
    <t>Income tax liabilities</t>
  </si>
  <si>
    <t>Total Trade payables</t>
  </si>
  <si>
    <t>PPE</t>
  </si>
  <si>
    <t>Other tangible assets</t>
  </si>
  <si>
    <t>Investment in equity accounted investees</t>
  </si>
  <si>
    <t>Tax assets</t>
  </si>
  <si>
    <t>Total non current assets</t>
  </si>
  <si>
    <t>Derivative Instruments</t>
  </si>
  <si>
    <t>Total trade payables</t>
  </si>
  <si>
    <t>Liabilities for current tax</t>
  </si>
  <si>
    <t>Total equity and liabilities</t>
  </si>
  <si>
    <t>Capital WIP</t>
  </si>
  <si>
    <t>ROU Assets</t>
  </si>
  <si>
    <t>Other non current assets</t>
  </si>
  <si>
    <t>Non-current assets held for sale</t>
  </si>
  <si>
    <t>Lease liabilities</t>
  </si>
  <si>
    <t>Current liabilities</t>
  </si>
  <si>
    <t>Total outstanding dues of creditors</t>
  </si>
  <si>
    <t>Current tax liabilities</t>
  </si>
  <si>
    <t>RoU assets</t>
  </si>
  <si>
    <t>Investment in associates</t>
  </si>
  <si>
    <t>Assets classified for sale</t>
  </si>
  <si>
    <t>Equity and Liabilities</t>
  </si>
  <si>
    <t>Non-controlling interest</t>
  </si>
  <si>
    <t>Share application money pending allotment</t>
  </si>
  <si>
    <t>Liabilities</t>
  </si>
  <si>
    <t>Total non current liabilities</t>
  </si>
  <si>
    <t>Liabilities directly associated with assets classified as held for sale</t>
  </si>
  <si>
    <t>Total Equity and liabilities</t>
  </si>
  <si>
    <t>RoU Assets</t>
  </si>
  <si>
    <t>INCOME STATEMENT</t>
  </si>
  <si>
    <t>INCOME</t>
  </si>
  <si>
    <t>Revenue from Operations</t>
  </si>
  <si>
    <t>Other income</t>
  </si>
  <si>
    <t>Total income</t>
  </si>
  <si>
    <t>EXPENSES</t>
  </si>
  <si>
    <t>Cost of raw materials consumed</t>
  </si>
  <si>
    <t>Purchase of stock in trade</t>
  </si>
  <si>
    <t>Changes in inventories of finished good, WIP and SIT</t>
  </si>
  <si>
    <t>Employee benefit expense</t>
  </si>
  <si>
    <t>Finance costs</t>
  </si>
  <si>
    <t>Depreciation and amortisation expense</t>
  </si>
  <si>
    <t>Other expenses</t>
  </si>
  <si>
    <t>Total expense</t>
  </si>
  <si>
    <t>Profit before tax</t>
  </si>
  <si>
    <t>Current tax</t>
  </si>
  <si>
    <t>Deferred tax</t>
  </si>
  <si>
    <t>Total tax expense</t>
  </si>
  <si>
    <t>Profit after tax for the year</t>
  </si>
  <si>
    <t>Revenue from operations</t>
  </si>
  <si>
    <t>Cost of materials consumed</t>
  </si>
  <si>
    <t>Changes in inventories of finished goods, WIP and SIT</t>
  </si>
  <si>
    <t>Employee benefits expense</t>
  </si>
  <si>
    <t>Net gain/loss on foreign currency transactions</t>
  </si>
  <si>
    <t>Total expenses</t>
  </si>
  <si>
    <t>Profit before exceptional items and tax</t>
  </si>
  <si>
    <t>Exceptional items</t>
  </si>
  <si>
    <t>Deferred tax - exceptional</t>
  </si>
  <si>
    <t>Profit for the year before share of profit/loss of associates and joint venture</t>
  </si>
  <si>
    <t>Share of profit/loss of associates</t>
  </si>
  <si>
    <t>Share of profit/loss of joint venture</t>
  </si>
  <si>
    <t>Profit for the year before non controlling interests</t>
  </si>
  <si>
    <t>Non controlling interests</t>
  </si>
  <si>
    <t>Profit for the year</t>
  </si>
  <si>
    <t>Cost of raw materials and components consumed</t>
  </si>
  <si>
    <t>Changes in inventories</t>
  </si>
  <si>
    <t>Employee benefit expenses</t>
  </si>
  <si>
    <t>Impairment of non-current assets</t>
  </si>
  <si>
    <t>Impairment losses on financial assets</t>
  </si>
  <si>
    <t>Share of net profit/loss of associates and joint ventures</t>
  </si>
  <si>
    <t xml:space="preserve">Deferred tax </t>
  </si>
  <si>
    <t>Adjustment of tax relating to earlier periods</t>
  </si>
  <si>
    <t>Sales</t>
  </si>
  <si>
    <t>Service income and license fees</t>
  </si>
  <si>
    <t>Other operating income</t>
  </si>
  <si>
    <t>Selling and other expenses</t>
  </si>
  <si>
    <t>Profit before tax and before share of equity accounted investees</t>
  </si>
  <si>
    <t>Share of profit of equity accounted investees</t>
  </si>
  <si>
    <t>Excess/short provision for tax of earlier years</t>
  </si>
  <si>
    <t>One time impact on current and deferred tax due to change in law</t>
  </si>
  <si>
    <t>Revenue from sale of products</t>
  </si>
  <si>
    <t>Other operating revenue</t>
  </si>
  <si>
    <t>EXPENSE</t>
  </si>
  <si>
    <t>Profit after tax before share of profit/loss from associates</t>
  </si>
  <si>
    <t>Share of profit/loss from associates</t>
  </si>
  <si>
    <t>Operating Activities</t>
  </si>
  <si>
    <t>Adjustments for:</t>
  </si>
  <si>
    <t>Depreciation and Amortisation expense</t>
  </si>
  <si>
    <t>Unrealised foreign exchange gain/loss</t>
  </si>
  <si>
    <t>Interest income from financial assets at amortised cost</t>
  </si>
  <si>
    <t>Provision for doubtful debts</t>
  </si>
  <si>
    <t>Interest expense</t>
  </si>
  <si>
    <t>Operating Profit before working capital changes</t>
  </si>
  <si>
    <t>Increase/decrease in trade receivables</t>
  </si>
  <si>
    <t>increase/decrease in inventories</t>
  </si>
  <si>
    <t>increase/decrease in other current assets</t>
  </si>
  <si>
    <t>increase/decrease in other non current financial assets</t>
  </si>
  <si>
    <t>increase/decrease in other non current assets</t>
  </si>
  <si>
    <t>increase/decrease in other current financial assets</t>
  </si>
  <si>
    <t>increase/decrease in employee benefit obligation</t>
  </si>
  <si>
    <t>increase/decrease in trade payables</t>
  </si>
  <si>
    <t>increase/decrease in other current financial liabilities</t>
  </si>
  <si>
    <t>increase/decrease in other current liabilities</t>
  </si>
  <si>
    <t>Cash generated from operations</t>
  </si>
  <si>
    <t>Income tax paid</t>
  </si>
  <si>
    <t>Net cash flow from/used in operating activities</t>
  </si>
  <si>
    <t>Investing activities</t>
  </si>
  <si>
    <t>Payments for PPE</t>
  </si>
  <si>
    <t>Proceeds from sale of PPE</t>
  </si>
  <si>
    <t>Interest received</t>
  </si>
  <si>
    <t>Proceeds from withdrawal of deposits</t>
  </si>
  <si>
    <t>Investment in deposits</t>
  </si>
  <si>
    <t>Net cash flow from investing activities</t>
  </si>
  <si>
    <t>Financing activities</t>
  </si>
  <si>
    <t>Interest paid</t>
  </si>
  <si>
    <t>Dividend paid</t>
  </si>
  <si>
    <t>Net cash flow from financing activities</t>
  </si>
  <si>
    <t>Net increase/decrease in cash and cash equivalents</t>
  </si>
  <si>
    <t>Opening balance</t>
  </si>
  <si>
    <t>Closing balance</t>
  </si>
  <si>
    <t>Operating activities</t>
  </si>
  <si>
    <t>Adjustments for</t>
  </si>
  <si>
    <t>Net gain/loss on sale/write off/impairment of PPE</t>
  </si>
  <si>
    <t>Interest income</t>
  </si>
  <si>
    <t>Dividend income on investments</t>
  </si>
  <si>
    <t>Net gain arising on financial assets measured at fair value</t>
  </si>
  <si>
    <t>Net gain on sale of financial assets measured at fair value</t>
  </si>
  <si>
    <t>Net gain/loss on sale of financial assets measured at fair value</t>
  </si>
  <si>
    <t>Provision/write off/reversal for doubtful trade receivables</t>
  </si>
  <si>
    <t>Sundry balances written back</t>
  </si>
  <si>
    <t>Effect of exchange rate changes</t>
  </si>
  <si>
    <t>Operating profit before working capital changes</t>
  </si>
  <si>
    <t>increase/decrease in trade receivables</t>
  </si>
  <si>
    <t>increase/decrease in other assets</t>
  </si>
  <si>
    <t>increase/decrease in other liabilities</t>
  </si>
  <si>
    <t>increase/decrease in provisions</t>
  </si>
  <si>
    <t>Payments of PPE</t>
  </si>
  <si>
    <t>Proceeds from disposal of PPE</t>
  </si>
  <si>
    <t>Loans/inter corporate deposits given</t>
  </si>
  <si>
    <t>Loans/inter corporate deposits received back</t>
  </si>
  <si>
    <t xml:space="preserve">Purchase of investments </t>
  </si>
  <si>
    <t>Proceeds from sale of investments</t>
  </si>
  <si>
    <t>Bank balances not considered as cash</t>
  </si>
  <si>
    <t>Fixed deposits/margin money placed</t>
  </si>
  <si>
    <t>Fixed deposits/margin money matured</t>
  </si>
  <si>
    <t>Net cash flow on acquisition of subsidiary</t>
  </si>
  <si>
    <t>Dividend received</t>
  </si>
  <si>
    <t>Net cash from/used in investing activities</t>
  </si>
  <si>
    <t>Proceeds from borrowings</t>
  </si>
  <si>
    <t>Repayment of borrowings</t>
  </si>
  <si>
    <t>Payment for buy-back of equity shares of parent company</t>
  </si>
  <si>
    <t>Net increase/decrease in working capital demand loans</t>
  </si>
  <si>
    <t>Refund from/transfer to escrow account for buy-back</t>
  </si>
  <si>
    <t>Dividend payments to non controlling interests</t>
  </si>
  <si>
    <t>Dividend distribution tax</t>
  </si>
  <si>
    <t>Net cash flow from/used in financing activities</t>
  </si>
  <si>
    <t>Effect of exchange differences of foreign currency</t>
  </si>
  <si>
    <t>Share of profit/loss of associates and joint ventures</t>
  </si>
  <si>
    <t>Net loss/gain on current investments</t>
  </si>
  <si>
    <t>Dividend income from financial assets</t>
  </si>
  <si>
    <t>Dividend income from investments</t>
  </si>
  <si>
    <t>Government grant</t>
  </si>
  <si>
    <t>Unrealized foreign exchange (gain) / loss (net)</t>
  </si>
  <si>
    <t>Exchange difference on translation of financial statements foreign operations</t>
  </si>
  <si>
    <t>Loss/(gain) on disposal of property, plant and equipment (net)</t>
  </si>
  <si>
    <t>Loss/(gain) on sale of investment property (net)</t>
  </si>
  <si>
    <t>Trade and other receivable balances written off</t>
  </si>
  <si>
    <t>Liabilities written back</t>
  </si>
  <si>
    <t>Allowance for expected credit loss</t>
  </si>
  <si>
    <t>Allowance for doubtful loans</t>
  </si>
  <si>
    <t>Finance income</t>
  </si>
  <si>
    <t>Interest on delay deposit of income tax</t>
  </si>
  <si>
    <t>Interest on lease liability</t>
  </si>
  <si>
    <t>Goodwill written off</t>
  </si>
  <si>
    <t>increase/decrease in financial assets-loans</t>
  </si>
  <si>
    <t>increase/decrease in financial assets-other</t>
  </si>
  <si>
    <t>increase/decrease in other asset</t>
  </si>
  <si>
    <t>increase/decrease in other financial liability</t>
  </si>
  <si>
    <t>increase/decrease in other liability</t>
  </si>
  <si>
    <t>Purchase of PPE</t>
  </si>
  <si>
    <t xml:space="preserve">Proceeds from sale/purchase of investment in mutual funds </t>
  </si>
  <si>
    <t>Loan to related parties (net)</t>
  </si>
  <si>
    <t>Loan to other parties (net)</t>
  </si>
  <si>
    <t>Bank deposit not considered as cash</t>
  </si>
  <si>
    <t>Payment/proceeds from investment properties</t>
  </si>
  <si>
    <t>Net cash flow from/used in investing activities</t>
  </si>
  <si>
    <t>Proceeds from current borrowings</t>
  </si>
  <si>
    <t>Proceeds from non-current borrowings</t>
  </si>
  <si>
    <t>Repayment of current borrowings</t>
  </si>
  <si>
    <t>Repayment of non current borrowings</t>
  </si>
  <si>
    <t>Payment of principal portion of lease liabilities</t>
  </si>
  <si>
    <t>Dividend and tax paid</t>
  </si>
  <si>
    <t>Net foreign exchange difference</t>
  </si>
  <si>
    <t>Add: Pursuant to acquisition/disposal of control in subsidiaries</t>
  </si>
  <si>
    <t>Fair value changes and profit on sale of fi nancial instruments measured at FVTPL</t>
  </si>
  <si>
    <t>Allowance for credit losses (on trade receivables and other advances)</t>
  </si>
  <si>
    <t>(Profi t)/loss on sale/disposal of property, plant and equipment and other intangible assets</t>
  </si>
  <si>
    <t>Share of profi t of equity accounted investees</t>
  </si>
  <si>
    <t>Foreign exchange (gain)/loss, net</t>
  </si>
  <si>
    <t>Equity settled share based payment expense</t>
  </si>
  <si>
    <t>Dividend income</t>
  </si>
  <si>
    <t>Trade and other receivables</t>
  </si>
  <si>
    <t>Trade and other payables</t>
  </si>
  <si>
    <t>Other assets and liabilities</t>
  </si>
  <si>
    <t>Net cash flow from/used in operations</t>
  </si>
  <si>
    <t>CapEx</t>
  </si>
  <si>
    <t>Expenditures on other intangible assets</t>
  </si>
  <si>
    <t>Payment of acquisition of business</t>
  </si>
  <si>
    <t>Purchase of investments</t>
  </si>
  <si>
    <t>Interest and dividend received</t>
  </si>
  <si>
    <t>Net cash flow/used in investing activities</t>
  </si>
  <si>
    <t xml:space="preserve">Proceeds from issuance of equity shares </t>
  </si>
  <si>
    <t>Purchase of treasury shares</t>
  </si>
  <si>
    <t>Proceeds from long term loans and borrowings</t>
  </si>
  <si>
    <t>Proceeds from short term borrowings</t>
  </si>
  <si>
    <t>Repayment of long term loans and borrowings</t>
  </si>
  <si>
    <t>Payment of principal portions of lease liabilities</t>
  </si>
  <si>
    <t>Dividends paid</t>
  </si>
  <si>
    <t>Cash flow from/used in financing activities</t>
  </si>
  <si>
    <t>Effect of exchange rates changes on cash and cash equivalents</t>
  </si>
  <si>
    <t>Depreciation, amortisation and impairment expense</t>
  </si>
  <si>
    <t xml:space="preserve">Allowance for credit loss </t>
  </si>
  <si>
    <t>Unrealised foreign exchange gain</t>
  </si>
  <si>
    <t>Loss on sale/discard/write off of PPE</t>
  </si>
  <si>
    <t>Net gain on sale of investments</t>
  </si>
  <si>
    <t>Trade receivables, loans and other assets</t>
  </si>
  <si>
    <t>Trade payables, liabilities and provisions</t>
  </si>
  <si>
    <t>Cash flow from/used in operating activities</t>
  </si>
  <si>
    <t>Payment to acquire other non current investments</t>
  </si>
  <si>
    <t>Investments in/proceeds from redemption of mutual funds</t>
  </si>
  <si>
    <t>Fixed deposits matured</t>
  </si>
  <si>
    <t>Cash flow from/used in investing activities</t>
  </si>
  <si>
    <t>Proceeds from long term borrowings</t>
  </si>
  <si>
    <t>Repayment of long term borrowings</t>
  </si>
  <si>
    <t>Proceeds from/repayment of short term borrowings</t>
  </si>
  <si>
    <t>Repayment of lease obligations</t>
  </si>
  <si>
    <t>Finance costs paid</t>
  </si>
  <si>
    <t>Effect of exchange rate changes on foreign currency</t>
  </si>
  <si>
    <t>Unrealised foreign exchange</t>
  </si>
  <si>
    <t>Share based payment</t>
  </si>
  <si>
    <t>Allowances for credit loss</t>
  </si>
  <si>
    <t>Interest income on income tax refund</t>
  </si>
  <si>
    <t>Sundry balances written off</t>
  </si>
  <si>
    <t>Net gain on sale of current investment</t>
  </si>
  <si>
    <t>Loss on liquidation of subsidiaries</t>
  </si>
  <si>
    <t>Net fair value gain/loss on financial instuments at fair value</t>
  </si>
  <si>
    <t>Net gain on sale/disposal of PPE</t>
  </si>
  <si>
    <t>Rent income</t>
  </si>
  <si>
    <t>Increase in inventories</t>
  </si>
  <si>
    <t>Decrease in trade and other receivables</t>
  </si>
  <si>
    <t>Increase in trade payables and other liabilities</t>
  </si>
  <si>
    <t>Purchase of intangible assets assets</t>
  </si>
  <si>
    <t>Proceeds from sale intangible assets</t>
  </si>
  <si>
    <t>Proceeds from sale/liquidation of investments in subsidiaries</t>
  </si>
  <si>
    <t>Purchase of non-current investments</t>
  </si>
  <si>
    <t>Sale/purchase of current investments</t>
  </si>
  <si>
    <t>Change in other bank balance and cash not available</t>
  </si>
  <si>
    <t>Rent received</t>
  </si>
  <si>
    <t>Proceeds from issue of equity shares</t>
  </si>
  <si>
    <t>Transaction with non-controlling interest</t>
  </si>
  <si>
    <t>Consideration paid on buyback of ESOP rights relating to subsidiary</t>
  </si>
  <si>
    <t>Settlement of put option liability</t>
  </si>
  <si>
    <t>Repayment/proceeds from current borrowings</t>
  </si>
  <si>
    <t>Payment of lease liabilities</t>
  </si>
  <si>
    <t>Proceeds from non current borrowings</t>
  </si>
  <si>
    <t>Tax paid on dividend</t>
  </si>
  <si>
    <t>Exchange difference on translation of foreign currency</t>
  </si>
  <si>
    <t>Net gain on redemption</t>
  </si>
  <si>
    <t>Net gain on financial assets</t>
  </si>
  <si>
    <t>Loss on disposal/discard of assets</t>
  </si>
  <si>
    <t>Government grants</t>
  </si>
  <si>
    <t>Payments for purchase of investments</t>
  </si>
  <si>
    <t>Proceeds out of sale of investments</t>
  </si>
  <si>
    <t>Proceeds from working capital loans</t>
  </si>
  <si>
    <t>Principal elemens of lease payments</t>
  </si>
  <si>
    <t>Profitability Ratios</t>
  </si>
  <si>
    <t>Gross Profit margin</t>
  </si>
  <si>
    <t>EBITDA Margin</t>
  </si>
  <si>
    <t>Operating Profit margin</t>
  </si>
  <si>
    <t>Net Profit margin</t>
  </si>
  <si>
    <t>Return on Equity</t>
  </si>
  <si>
    <t>Return on Assets</t>
  </si>
  <si>
    <t>R&amp;D Expense</t>
  </si>
  <si>
    <t>R&amp;D</t>
  </si>
  <si>
    <t>Liquidity Ratios</t>
  </si>
  <si>
    <t>Current Ratio</t>
  </si>
  <si>
    <t>Quick Ratio</t>
  </si>
  <si>
    <t>Cash Ratio</t>
  </si>
  <si>
    <t>Leverage Ratios</t>
  </si>
  <si>
    <t>Debt to Equity</t>
  </si>
  <si>
    <t>Debt to Assets</t>
  </si>
  <si>
    <t>Interest Coverage Ratio</t>
  </si>
  <si>
    <t>Efficiency Ratios</t>
  </si>
  <si>
    <t>Asset Turnover</t>
  </si>
  <si>
    <t>Inventory Turnover</t>
  </si>
  <si>
    <t>Receivables Turnover</t>
  </si>
  <si>
    <t>Payables Turnover</t>
  </si>
  <si>
    <t>Industry-Specific Ratios</t>
  </si>
  <si>
    <t>R&amp;D Intensity</t>
  </si>
  <si>
    <t>Export Revenue ratio</t>
  </si>
  <si>
    <t>Export Revenue</t>
  </si>
  <si>
    <t>Export revenue</t>
  </si>
  <si>
    <t>2026</t>
  </si>
  <si>
    <t>Cost of Goods Sold</t>
  </si>
  <si>
    <t>COGS</t>
  </si>
  <si>
    <t>CapEx as % of revenue (average)</t>
  </si>
  <si>
    <t>CapEx to revenue ratio</t>
  </si>
  <si>
    <t>Non-current Assets</t>
  </si>
  <si>
    <t>Property, Plant and Equipment</t>
  </si>
  <si>
    <t>Intangible assets (Patents, R&amp;D)</t>
  </si>
  <si>
    <t>Cash and Cash equivalents</t>
  </si>
  <si>
    <t>Inventory</t>
  </si>
  <si>
    <t>Short term borrowings</t>
  </si>
  <si>
    <t>Long-term borrowings</t>
  </si>
  <si>
    <t>EQUITY &amp; LIABILITIES</t>
  </si>
  <si>
    <t>Equity Share capital</t>
  </si>
  <si>
    <t>Total Current Liabilities</t>
  </si>
  <si>
    <t>2027</t>
  </si>
  <si>
    <t>2028</t>
  </si>
  <si>
    <t>2029</t>
  </si>
  <si>
    <t>2030</t>
  </si>
  <si>
    <t>Other Income</t>
  </si>
  <si>
    <t>Gross Profit</t>
  </si>
  <si>
    <t>Research &amp; Development Expenses</t>
  </si>
  <si>
    <t>Selling, General and Administration expense</t>
  </si>
  <si>
    <t>EBITDA</t>
  </si>
  <si>
    <t>Depreciation &amp; Amortisation expense</t>
  </si>
  <si>
    <t>EBIT</t>
  </si>
  <si>
    <t>Interest Expense</t>
  </si>
  <si>
    <t>Tax expense</t>
  </si>
  <si>
    <t>Total Expense</t>
  </si>
  <si>
    <t>Total Income</t>
  </si>
  <si>
    <t>Cash flow from Operating Activities</t>
  </si>
  <si>
    <t>Depreciation and amortisation</t>
  </si>
  <si>
    <t>Change in working capital</t>
  </si>
  <si>
    <t>Other non-cash adjustments</t>
  </si>
  <si>
    <t>Direct tax paid</t>
  </si>
  <si>
    <t>Cash flow from/used in operations</t>
  </si>
  <si>
    <t>Cash flow from Investing activities</t>
  </si>
  <si>
    <t>Capital Expenditures</t>
  </si>
  <si>
    <t>Intangible assets/R&amp;D Capitalized</t>
  </si>
  <si>
    <t>Proceed from asset sales</t>
  </si>
  <si>
    <t>Cash flow from Financing activities</t>
  </si>
  <si>
    <t>Proceeds from Borrowings</t>
  </si>
  <si>
    <t>Repayment from Borrowings</t>
  </si>
  <si>
    <t>Repayment of lease liabilities</t>
  </si>
  <si>
    <t>Buyback/Issue of equity shares</t>
  </si>
  <si>
    <t>Cash and cash equivalents at the beginning of the year</t>
  </si>
  <si>
    <t>Cash and cash equivalents at the end of the year</t>
  </si>
  <si>
    <t>Revenue CAGR</t>
  </si>
  <si>
    <t>Forecast</t>
  </si>
  <si>
    <t>Depreciation and Amortisation</t>
  </si>
  <si>
    <t>Depreciation to PPE ratio</t>
  </si>
  <si>
    <t>Depreciation as % of PPE (average)</t>
  </si>
  <si>
    <t>COGS to revenue ratio</t>
  </si>
  <si>
    <t>Average of COGS</t>
  </si>
  <si>
    <t>Other income CAGR</t>
  </si>
  <si>
    <t>Average</t>
  </si>
  <si>
    <t>R&amp;D expense ratio (Average)</t>
  </si>
  <si>
    <t>SG&amp;A</t>
  </si>
  <si>
    <t>SG&amp;A to Revenue ratio</t>
  </si>
  <si>
    <t xml:space="preserve"> 51.26 </t>
  </si>
  <si>
    <t xml:space="preserve"> 512.60 </t>
  </si>
  <si>
    <t xml:space="preserve"> 207.00 </t>
  </si>
  <si>
    <t xml:space="preserve"> 231.00 </t>
  </si>
  <si>
    <t xml:space="preserve"> 285.90 </t>
  </si>
  <si>
    <t xml:space="preserve"> 236.00 </t>
  </si>
  <si>
    <t>Working notes</t>
  </si>
  <si>
    <t>Average interest paid(5 yrs historical)</t>
  </si>
  <si>
    <t>Dividend Payout</t>
  </si>
  <si>
    <t>Dividends Paid</t>
  </si>
  <si>
    <t>Average Receivables turnover</t>
  </si>
  <si>
    <t>Average inventory turnover</t>
  </si>
  <si>
    <t>Average Payable turnover</t>
  </si>
  <si>
    <t>Other non-current Liabilities</t>
  </si>
  <si>
    <t>Average ONCL</t>
  </si>
  <si>
    <t>Average OCL</t>
  </si>
  <si>
    <t>Working Capital</t>
  </si>
  <si>
    <t>Long-term borrowings (B&amp;L)</t>
  </si>
  <si>
    <t>Cash and Cash equivalents (B&amp;L)</t>
  </si>
  <si>
    <t>Working Notes</t>
  </si>
  <si>
    <t>COGS to Revenue ratio</t>
  </si>
  <si>
    <t xml:space="preserve">Average </t>
  </si>
  <si>
    <t>Other Income CAGR</t>
  </si>
  <si>
    <t>R&amp;D Expense ratio (Average)</t>
  </si>
  <si>
    <t>Other non-current Assets</t>
  </si>
  <si>
    <t>Dividend Payout ratio</t>
  </si>
  <si>
    <t>Average receivables turnover</t>
  </si>
  <si>
    <t>Average Payables turnover</t>
  </si>
  <si>
    <t>Depreciation</t>
  </si>
  <si>
    <t>Amortisation</t>
  </si>
  <si>
    <t>Average (Depreciation)</t>
  </si>
  <si>
    <t>Average (Amortisation)</t>
  </si>
  <si>
    <t>Revenue</t>
  </si>
  <si>
    <t xml:space="preserve">Depreciation </t>
  </si>
  <si>
    <t>Research and Development Expenses</t>
  </si>
  <si>
    <t>Year</t>
  </si>
  <si>
    <t>Opening Debt</t>
  </si>
  <si>
    <t>Dividends</t>
  </si>
  <si>
    <t>Operating Cash Flow</t>
  </si>
  <si>
    <t>Funding Gap</t>
  </si>
  <si>
    <t>New Borrowings</t>
  </si>
  <si>
    <t>Repayments</t>
  </si>
  <si>
    <t>Closing Debt</t>
  </si>
  <si>
    <t>Rate</t>
  </si>
  <si>
    <t>WC to revenue ratio</t>
  </si>
  <si>
    <t>Average Finance cost</t>
  </si>
  <si>
    <t>Borrowings (Average)</t>
  </si>
  <si>
    <t>Change in Working capital</t>
  </si>
  <si>
    <t>Average Finance cost STD</t>
  </si>
  <si>
    <t>Average Finance cost LTD</t>
  </si>
  <si>
    <t>Interest rate STD</t>
  </si>
  <si>
    <t>Interest rate LTD</t>
  </si>
  <si>
    <t>Investments to revenue ratio</t>
  </si>
  <si>
    <t>STD to Revenue</t>
  </si>
  <si>
    <t>Metric</t>
  </si>
  <si>
    <t>Risk Free rate</t>
  </si>
  <si>
    <t>Market risk premium</t>
  </si>
  <si>
    <t>Cost of Equity</t>
  </si>
  <si>
    <t>Pre-tax Cost of Debt</t>
  </si>
  <si>
    <t>Proceeds from Asset sales</t>
  </si>
  <si>
    <t>Tax rate</t>
  </si>
  <si>
    <t>After tax cost of debt</t>
  </si>
  <si>
    <t>Market value of Equity</t>
  </si>
  <si>
    <t>Total Debt</t>
  </si>
  <si>
    <t>Weight of Equity</t>
  </si>
  <si>
    <t>Weight of Debt</t>
  </si>
  <si>
    <t>WACC</t>
  </si>
  <si>
    <t>Cash &amp; Cash Equivalents</t>
  </si>
  <si>
    <t>Net Debt</t>
  </si>
  <si>
    <t>Logo</t>
  </si>
  <si>
    <t>Divis Labs</t>
  </si>
  <si>
    <t>Sun Pharma</t>
  </si>
  <si>
    <t>Mankind Pharma</t>
  </si>
  <si>
    <t>Dr Reddy's Lab</t>
  </si>
  <si>
    <t>Torrent Pharma</t>
  </si>
  <si>
    <t>Cipla</t>
  </si>
  <si>
    <t>Total Value</t>
  </si>
  <si>
    <t>Tax Expense</t>
  </si>
  <si>
    <t>NOPAT</t>
  </si>
  <si>
    <t>Depreciation &amp; Amortisation</t>
  </si>
  <si>
    <t>Change in Working Capital</t>
  </si>
  <si>
    <t>FCFF</t>
  </si>
  <si>
    <t>Discount Factor</t>
  </si>
  <si>
    <t>PV of FCFF</t>
  </si>
  <si>
    <t>Value</t>
  </si>
  <si>
    <t>PV of Terminal value of FCFF</t>
  </si>
  <si>
    <t>Terminal Value of FCFF</t>
  </si>
  <si>
    <t>Terminal Growth</t>
  </si>
  <si>
    <t>Enterprise Value</t>
  </si>
  <si>
    <t>Equity Value</t>
  </si>
  <si>
    <t>Intrinsic Value per share</t>
  </si>
  <si>
    <t>Outstanding Shares</t>
  </si>
  <si>
    <t>Current Market Price per share</t>
  </si>
  <si>
    <t>Current Market Price</t>
  </si>
  <si>
    <t>EPS</t>
  </si>
  <si>
    <t>Book Value</t>
  </si>
  <si>
    <t>Valuation Multiples</t>
  </si>
  <si>
    <t>P/E</t>
  </si>
  <si>
    <t>P/B</t>
  </si>
  <si>
    <t>EV/EBITDA</t>
  </si>
  <si>
    <t>EV/Revenue</t>
  </si>
  <si>
    <t>P/S</t>
  </si>
  <si>
    <t>Long term borrowings Interest expense</t>
  </si>
  <si>
    <t>Short term Borrowings Interest expense</t>
  </si>
  <si>
    <t>Average LTB</t>
  </si>
  <si>
    <t>Average STB</t>
  </si>
  <si>
    <t>LT Borrowings to Revenue ratio</t>
  </si>
  <si>
    <t>ST Borrowings to Revenue ratio</t>
  </si>
  <si>
    <t>Average LTB interest rate</t>
  </si>
  <si>
    <t>Average STB Interest rate</t>
  </si>
  <si>
    <t>LT Borrowings</t>
  </si>
  <si>
    <t>ST Borrowings</t>
  </si>
  <si>
    <t>Purchase of Investments</t>
  </si>
  <si>
    <t>Investments to revenue</t>
  </si>
  <si>
    <t>Margin Growth</t>
  </si>
  <si>
    <t>Divis</t>
  </si>
  <si>
    <t>Growth</t>
  </si>
  <si>
    <t>20.0%</t>
  </si>
  <si>
    <t>25.0%</t>
  </si>
  <si>
    <t>30.0%</t>
  </si>
  <si>
    <t>34.2%</t>
  </si>
  <si>
    <t>40.0%</t>
  </si>
  <si>
    <t>18.0%</t>
  </si>
  <si>
    <t>22.0%</t>
  </si>
  <si>
    <t>26.0%</t>
  </si>
  <si>
    <t>31.6%</t>
  </si>
  <si>
    <t>34.0%</t>
  </si>
  <si>
    <t>Tax Rate</t>
  </si>
  <si>
    <t>20%</t>
  </si>
  <si>
    <t>25%</t>
  </si>
  <si>
    <t>30%</t>
  </si>
  <si>
    <t>34%</t>
  </si>
  <si>
    <t>40%</t>
  </si>
  <si>
    <t>24%</t>
  </si>
  <si>
    <t>28%</t>
  </si>
  <si>
    <t>32%</t>
  </si>
  <si>
    <t>36%</t>
  </si>
  <si>
    <t>21%</t>
  </si>
  <si>
    <t>29%</t>
  </si>
  <si>
    <t>33%</t>
  </si>
  <si>
    <t>37%</t>
  </si>
  <si>
    <t>26%</t>
  </si>
  <si>
    <t>Δ in WC</t>
  </si>
  <si>
    <t>M/G</t>
  </si>
  <si>
    <t>24.0%</t>
  </si>
  <si>
    <t>28.000%</t>
  </si>
  <si>
    <t>32.000%</t>
  </si>
  <si>
    <t>36.000%</t>
  </si>
  <si>
    <t>DF</t>
  </si>
  <si>
    <t xml:space="preserve">DF </t>
  </si>
  <si>
    <t>TG</t>
  </si>
  <si>
    <t>Sum of PV of FCFF</t>
  </si>
  <si>
    <t>1.00</t>
  </si>
  <si>
    <t>2.00</t>
  </si>
  <si>
    <t>3.00</t>
  </si>
  <si>
    <t>4.00</t>
  </si>
  <si>
    <t>5.00</t>
  </si>
  <si>
    <t>PV of Terminal Value</t>
  </si>
  <si>
    <t>Intrinsic Value per Share</t>
  </si>
  <si>
    <t>Shares</t>
  </si>
  <si>
    <t>28.1%</t>
  </si>
  <si>
    <t>32.0%</t>
  </si>
  <si>
    <t>CMP</t>
  </si>
  <si>
    <t>In crores</t>
  </si>
  <si>
    <t>Divi</t>
  </si>
  <si>
    <t>Sun</t>
  </si>
  <si>
    <t>Mankind</t>
  </si>
  <si>
    <t>Dr Reddy's</t>
  </si>
  <si>
    <t>Torrent</t>
  </si>
  <si>
    <t>CapEx Intensity</t>
  </si>
  <si>
    <t>Capex senstivity</t>
  </si>
  <si>
    <t>Capex senstivitiy</t>
  </si>
  <si>
    <t>Capex Senstivity</t>
  </si>
  <si>
    <t>Change in Earnings</t>
  </si>
  <si>
    <t>Real GDP</t>
  </si>
  <si>
    <t xml:space="preserve">Change </t>
  </si>
  <si>
    <t>Earnings Senstivity to GDP</t>
  </si>
  <si>
    <t>Capex CAGR</t>
  </si>
  <si>
    <t>Change in EBIT</t>
  </si>
  <si>
    <t>Change in CE</t>
  </si>
  <si>
    <t>Incremental ROCE</t>
  </si>
  <si>
    <t>Change in EBIT F</t>
  </si>
  <si>
    <t>Change in CE F</t>
  </si>
  <si>
    <t>Incremental ROCE F</t>
  </si>
  <si>
    <t>Earnings CAGR</t>
  </si>
  <si>
    <t>Capex Intensity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</si>
</sst>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8" formatCode="&quot;₹&quot;\ #,##0.00;[Red]&quot;₹&quot;\ \-#,##0.00"/>
    <numFmt numFmtId="43" formatCode="_ * #,##0.00_ ;_ * \-#,##0.00_ ;_ * &quot;-&quot;??_ ;_ @_ "/>
    <numFmt numFmtId="164" formatCode="_ [$₹-4009]\ * #,##0.00_ ;_ [$₹-4009]\ * \-#,##0.00_ ;_ [$₹-4009]\ * &quot;-&quot;??_ ;_ @_ "/>
    <numFmt numFmtId="165" formatCode="_ [$₹-4009]\ * #,##0_ ;_ [$₹-4009]\ * \-#,##0_ ;_ [$₹-4009]\ * &quot;-&quot;_ ;_ @_ "/>
    <numFmt numFmtId="166" formatCode="_ * #,##0.0000_ ;_ * \-#,##0.0000_ ;_ * &quot;-&quot;??_ ;_ @_ "/>
    <numFmt numFmtId="167" formatCode="0.000%"/>
    <numFmt numFmtId="168" formatCode="0.0%"/>
  </numFmts>
  <fonts count="13"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26"/>
      <color theme="8" tint="-0.499984740745262"/>
      <name val="Calibri"/>
      <family val="2"/>
      <scheme val="minor"/>
    </font>
    <font>
      <sz val="8"/>
      <name val="Calibri"/>
      <family val="2"/>
      <scheme val="minor"/>
    </font>
    <font>
      <sz val="11"/>
      <name val="Calibri"/>
      <family val="2"/>
      <scheme val="minor"/>
    </font>
    <font>
      <b/>
      <sz val="11"/>
      <name val="Calibri"/>
      <family val="2"/>
      <scheme val="minor"/>
    </font>
    <font>
      <b/>
      <sz val="14"/>
      <color theme="0"/>
      <name val="Calibri"/>
      <family val="2"/>
      <scheme val="minor"/>
    </font>
    <font>
      <b/>
      <sz val="14"/>
      <color theme="1"/>
      <name val="Calibri"/>
      <family val="2"/>
      <scheme val="minor"/>
    </font>
    <font>
      <b/>
      <sz val="10"/>
      <color theme="0"/>
      <name val="Calibri"/>
      <family val="2"/>
      <scheme val="minor"/>
    </font>
    <font>
      <sz val="11"/>
      <color theme="0"/>
      <name val="Calibri"/>
      <family val="2"/>
      <scheme val="minor"/>
    </font>
    <font>
      <b/>
      <sz val="36"/>
      <color theme="8" tint="-0.499984740745262"/>
      <name val="Calibri"/>
      <family val="2"/>
      <scheme val="minor"/>
    </font>
  </fonts>
  <fills count="31">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5"/>
        <bgColor indexed="64"/>
      </patternFill>
    </fill>
    <fill>
      <patternFill patternType="solid">
        <fgColor rgb="FF0070C0"/>
        <bgColor indexed="64"/>
      </patternFill>
    </fill>
    <fill>
      <patternFill patternType="solid">
        <fgColor rgb="FF7030A0"/>
        <bgColor indexed="64"/>
      </patternFill>
    </fill>
    <fill>
      <patternFill patternType="solid">
        <fgColor rgb="FFFF0000"/>
        <bgColor indexed="64"/>
      </patternFill>
    </fill>
    <fill>
      <patternFill patternType="solid">
        <fgColor rgb="FF3399FF"/>
        <bgColor indexed="64"/>
      </patternFill>
    </fill>
    <fill>
      <patternFill patternType="solid">
        <fgColor theme="0" tint="-0.14999847407452621"/>
        <bgColor theme="0" tint="-0.14999847407452621"/>
      </patternFill>
    </fill>
    <fill>
      <patternFill patternType="solid">
        <fgColor theme="4"/>
        <bgColor theme="4"/>
      </patternFill>
    </fill>
    <fill>
      <patternFill patternType="solid">
        <fgColor theme="0" tint="-0.14999847407452621"/>
        <bgColor indexed="64"/>
      </patternFill>
    </fill>
    <fill>
      <patternFill patternType="solid">
        <fgColor theme="4" tint="0.79998168889431442"/>
        <bgColor theme="4" tint="0.79998168889431442"/>
      </patternFill>
    </fill>
    <fill>
      <patternFill patternType="solid">
        <fgColor rgb="FFC00000"/>
        <bgColor indexed="64"/>
      </patternFill>
    </fill>
    <fill>
      <patternFill patternType="solid">
        <fgColor theme="4"/>
        <bgColor indexed="64"/>
      </patternFill>
    </fill>
    <fill>
      <patternFill patternType="solid">
        <fgColor theme="8" tint="0.59999389629810485"/>
        <bgColor theme="8" tint="0.59999389629810485"/>
      </patternFill>
    </fill>
    <fill>
      <patternFill patternType="solid">
        <fgColor theme="8" tint="0.79998168889431442"/>
        <bgColor theme="8" tint="0.79998168889431442"/>
      </patternFill>
    </fill>
    <fill>
      <patternFill patternType="solid">
        <fgColor rgb="FF002060"/>
        <bgColor indexed="64"/>
      </patternFill>
    </fill>
    <fill>
      <patternFill patternType="solid">
        <fgColor theme="8"/>
        <bgColor indexed="64"/>
      </patternFill>
    </fill>
    <fill>
      <patternFill patternType="solid">
        <fgColor theme="8" tint="0.79998168889431442"/>
        <bgColor theme="8" tint="0.59999389629810485"/>
      </patternFill>
    </fill>
    <fill>
      <patternFill patternType="solid">
        <fgColor rgb="FF002060"/>
        <bgColor theme="8" tint="0.59999389629810485"/>
      </patternFill>
    </fill>
    <fill>
      <patternFill patternType="solid">
        <fgColor theme="4" tint="-0.249977111117893"/>
        <bgColor indexed="64"/>
      </patternFill>
    </fill>
    <fill>
      <patternFill patternType="solid">
        <fgColor rgb="FFDE0000"/>
        <bgColor indexed="64"/>
      </patternFill>
    </fill>
    <fill>
      <patternFill patternType="solid">
        <fgColor theme="5"/>
        <bgColor theme="5"/>
      </patternFill>
    </fill>
    <fill>
      <patternFill patternType="solid">
        <fgColor theme="8"/>
        <bgColor theme="5"/>
      </patternFill>
    </fill>
    <fill>
      <patternFill patternType="solid">
        <fgColor rgb="FF7030A0"/>
        <bgColor theme="5"/>
      </patternFill>
    </fill>
    <fill>
      <patternFill patternType="solid">
        <fgColor theme="8" tint="-0.249977111117893"/>
        <bgColor theme="5"/>
      </patternFill>
    </fill>
    <fill>
      <patternFill patternType="solid">
        <fgColor theme="4"/>
        <bgColor theme="5"/>
      </patternFill>
    </fill>
    <fill>
      <patternFill patternType="solid">
        <fgColor theme="0" tint="-4.9989318521683403E-2"/>
        <bgColor indexed="64"/>
      </patternFill>
    </fill>
    <fill>
      <patternFill patternType="solid">
        <fgColor theme="1" tint="0.14999847407452621"/>
        <bgColor indexed="64"/>
      </patternFill>
    </fill>
    <fill>
      <patternFill patternType="solid">
        <fgColor theme="4" tint="0.59999389629810485"/>
        <bgColor theme="0" tint="-0.14999847407452621"/>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right style="thin">
        <color theme="4" tint="0.39997558519241921"/>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theme="1"/>
      </left>
      <right style="thin">
        <color theme="1"/>
      </right>
      <top style="thin">
        <color theme="1"/>
      </top>
      <bottom style="thin">
        <color theme="1"/>
      </bottom>
      <diagonal/>
    </border>
    <border>
      <left/>
      <right style="thin">
        <color theme="1"/>
      </right>
      <top style="thin">
        <color theme="1"/>
      </top>
      <bottom style="thin">
        <color theme="1"/>
      </bottom>
      <diagonal/>
    </border>
    <border>
      <left/>
      <right style="thin">
        <color theme="1"/>
      </right>
      <top style="thin">
        <color theme="1"/>
      </top>
      <bottom/>
      <diagonal/>
    </border>
    <border>
      <left/>
      <right style="thin">
        <color theme="1"/>
      </right>
      <top/>
      <bottom/>
      <diagonal/>
    </border>
    <border>
      <left style="thin">
        <color theme="1"/>
      </left>
      <right/>
      <top style="thin">
        <color theme="1"/>
      </top>
      <bottom/>
      <diagonal/>
    </border>
    <border>
      <left/>
      <right/>
      <top style="thin">
        <color theme="1"/>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medium">
        <color theme="1"/>
      </left>
      <right style="thin">
        <color theme="1"/>
      </right>
      <top style="medium">
        <color theme="1"/>
      </top>
      <bottom style="thin">
        <color theme="1"/>
      </bottom>
      <diagonal/>
    </border>
    <border>
      <left style="thin">
        <color theme="1"/>
      </left>
      <right/>
      <top/>
      <bottom style="thin">
        <color theme="1"/>
      </bottom>
      <diagonal/>
    </border>
    <border>
      <left/>
      <right style="thin">
        <color theme="1"/>
      </right>
      <top/>
      <bottom style="thin">
        <color theme="1"/>
      </bottom>
      <diagonal/>
    </border>
    <border>
      <left style="medium">
        <color theme="1"/>
      </left>
      <right/>
      <top style="thin">
        <color theme="1"/>
      </top>
      <bottom style="thin">
        <color theme="1"/>
      </bottom>
      <diagonal/>
    </border>
    <border>
      <left style="medium">
        <color theme="1"/>
      </left>
      <right/>
      <top style="thin">
        <color theme="1"/>
      </top>
      <bottom style="medium">
        <color theme="1"/>
      </bottom>
      <diagonal/>
    </border>
    <border>
      <left style="thin">
        <color theme="1"/>
      </left>
      <right style="thin">
        <color theme="1"/>
      </right>
      <top style="medium">
        <color theme="1"/>
      </top>
      <bottom/>
      <diagonal/>
    </border>
    <border>
      <left style="thin">
        <color theme="1"/>
      </left>
      <right style="medium">
        <color theme="1"/>
      </right>
      <top style="medium">
        <color theme="1"/>
      </top>
      <bottom/>
      <diagonal/>
    </border>
    <border>
      <left style="thin">
        <color theme="1"/>
      </left>
      <right/>
      <top/>
      <bottom style="thin">
        <color indexed="64"/>
      </bottom>
      <diagonal/>
    </border>
    <border>
      <left/>
      <right/>
      <top/>
      <bottom style="medium">
        <color theme="1"/>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419">
    <xf numFmtId="0" fontId="0" fillId="0" borderId="0" xfId="0"/>
    <xf numFmtId="0" fontId="0" fillId="0" borderId="0" xfId="0" applyAlignment="1">
      <alignment vertical="center"/>
    </xf>
    <xf numFmtId="0" fontId="3" fillId="0" borderId="1" xfId="0" applyFont="1" applyBorder="1" applyAlignment="1">
      <alignment horizontal="left" vertical="center"/>
    </xf>
    <xf numFmtId="0" fontId="0" fillId="0" borderId="1" xfId="0" applyBorder="1" applyAlignment="1">
      <alignment horizontal="center" vertical="center"/>
    </xf>
    <xf numFmtId="0" fontId="0" fillId="0" borderId="1" xfId="0" applyBorder="1" applyAlignment="1">
      <alignment vertical="center"/>
    </xf>
    <xf numFmtId="4" fontId="0" fillId="0" borderId="1" xfId="0" applyNumberFormat="1" applyBorder="1" applyAlignment="1">
      <alignment vertical="center"/>
    </xf>
    <xf numFmtId="164" fontId="0" fillId="0" borderId="1" xfId="0" applyNumberFormat="1" applyBorder="1" applyAlignment="1">
      <alignment vertical="center"/>
    </xf>
    <xf numFmtId="3" fontId="0" fillId="0" borderId="1" xfId="0" applyNumberFormat="1" applyBorder="1" applyAlignment="1">
      <alignment vertical="center"/>
    </xf>
    <xf numFmtId="165" fontId="0" fillId="0" borderId="1" xfId="0" applyNumberFormat="1" applyBorder="1" applyAlignment="1">
      <alignment vertical="center"/>
    </xf>
    <xf numFmtId="1" fontId="0" fillId="0" borderId="1" xfId="0" applyNumberFormat="1" applyBorder="1" applyAlignment="1">
      <alignment vertical="center"/>
    </xf>
    <xf numFmtId="10" fontId="0" fillId="0" borderId="1" xfId="0" applyNumberFormat="1" applyBorder="1" applyAlignment="1">
      <alignment vertical="center"/>
    </xf>
    <xf numFmtId="0" fontId="3" fillId="0" borderId="1" xfId="0" applyFont="1" applyBorder="1" applyAlignment="1">
      <alignment vertical="center"/>
    </xf>
    <xf numFmtId="0" fontId="3" fillId="2" borderId="2" xfId="0" applyFont="1" applyFill="1" applyBorder="1" applyAlignment="1">
      <alignment vertical="center"/>
    </xf>
    <xf numFmtId="0" fontId="3" fillId="2" borderId="3" xfId="0" applyFont="1" applyFill="1" applyBorder="1" applyAlignment="1">
      <alignment vertical="center"/>
    </xf>
    <xf numFmtId="0" fontId="2" fillId="3" borderId="0" xfId="0" applyFont="1" applyFill="1" applyAlignment="1">
      <alignment vertical="center"/>
    </xf>
    <xf numFmtId="0" fontId="2" fillId="3" borderId="0" xfId="0" applyFont="1" applyFill="1" applyAlignment="1">
      <alignment horizontal="center" vertical="center"/>
    </xf>
    <xf numFmtId="0" fontId="3" fillId="2" borderId="0" xfId="0" applyFont="1" applyFill="1" applyAlignment="1">
      <alignment vertical="center"/>
    </xf>
    <xf numFmtId="0" fontId="0" fillId="2" borderId="0" xfId="0" applyFill="1" applyAlignment="1">
      <alignment vertical="center"/>
    </xf>
    <xf numFmtId="0" fontId="0" fillId="0" borderId="4" xfId="0" applyBorder="1" applyAlignment="1">
      <alignment vertical="center"/>
    </xf>
    <xf numFmtId="0" fontId="3" fillId="0" borderId="4" xfId="0" applyFont="1" applyBorder="1" applyAlignment="1">
      <alignment vertical="center"/>
    </xf>
    <xf numFmtId="0" fontId="3" fillId="0" borderId="2" xfId="0" applyFont="1" applyBorder="1" applyAlignment="1">
      <alignment vertical="center"/>
    </xf>
    <xf numFmtId="0" fontId="3" fillId="0" borderId="0" xfId="0" applyFont="1" applyAlignment="1">
      <alignment vertical="center"/>
    </xf>
    <xf numFmtId="43" fontId="0" fillId="0" borderId="1" xfId="1" applyFont="1" applyBorder="1" applyAlignment="1">
      <alignment vertical="center"/>
    </xf>
    <xf numFmtId="43" fontId="0" fillId="0" borderId="2" xfId="1" applyFont="1" applyBorder="1" applyAlignment="1">
      <alignment vertical="center"/>
    </xf>
    <xf numFmtId="43" fontId="3" fillId="0" borderId="1" xfId="1" applyFont="1" applyBorder="1" applyAlignment="1">
      <alignment vertical="center"/>
    </xf>
    <xf numFmtId="43" fontId="3" fillId="2" borderId="0" xfId="1" applyFont="1" applyFill="1" applyBorder="1" applyAlignment="1">
      <alignment vertical="center"/>
    </xf>
    <xf numFmtId="43" fontId="3" fillId="2" borderId="3" xfId="1" applyFont="1" applyFill="1" applyBorder="1" applyAlignment="1">
      <alignment vertical="center"/>
    </xf>
    <xf numFmtId="43" fontId="3" fillId="2" borderId="4" xfId="1" applyFont="1" applyFill="1" applyBorder="1" applyAlignment="1">
      <alignment vertical="center"/>
    </xf>
    <xf numFmtId="43" fontId="3" fillId="0" borderId="0" xfId="1" applyFont="1" applyBorder="1" applyAlignment="1">
      <alignment vertical="center"/>
    </xf>
    <xf numFmtId="43" fontId="0" fillId="0" borderId="3" xfId="1" applyFont="1" applyBorder="1" applyAlignment="1">
      <alignment vertical="center"/>
    </xf>
    <xf numFmtId="43" fontId="0" fillId="0" borderId="4" xfId="1" applyFont="1" applyBorder="1" applyAlignment="1">
      <alignment vertical="center"/>
    </xf>
    <xf numFmtId="43" fontId="0" fillId="0" borderId="0" xfId="1" applyFont="1" applyBorder="1" applyAlignment="1">
      <alignment vertical="center"/>
    </xf>
    <xf numFmtId="0" fontId="2" fillId="4" borderId="2" xfId="0" applyFont="1" applyFill="1" applyBorder="1" applyAlignment="1">
      <alignment vertical="center"/>
    </xf>
    <xf numFmtId="0" fontId="2" fillId="4" borderId="3" xfId="0" applyFont="1" applyFill="1" applyBorder="1" applyAlignment="1">
      <alignment horizontal="center" vertical="center"/>
    </xf>
    <xf numFmtId="0" fontId="2" fillId="4" borderId="4" xfId="0" applyFont="1" applyFill="1" applyBorder="1" applyAlignment="1">
      <alignment horizontal="center" vertical="center"/>
    </xf>
    <xf numFmtId="0" fontId="2" fillId="5" borderId="0" xfId="0" applyFont="1" applyFill="1" applyAlignment="1">
      <alignment vertical="center"/>
    </xf>
    <xf numFmtId="0" fontId="2" fillId="5" borderId="0" xfId="0" applyFont="1" applyFill="1" applyAlignment="1">
      <alignment horizontal="center" vertical="center"/>
    </xf>
    <xf numFmtId="43" fontId="0" fillId="2" borderId="3" xfId="1" applyFont="1" applyFill="1" applyBorder="1" applyAlignment="1">
      <alignment vertical="center"/>
    </xf>
    <xf numFmtId="43" fontId="0" fillId="2" borderId="4" xfId="1" applyFont="1" applyFill="1" applyBorder="1" applyAlignment="1">
      <alignment vertical="center"/>
    </xf>
    <xf numFmtId="0" fontId="2" fillId="6" borderId="0" xfId="0" applyFont="1" applyFill="1" applyAlignment="1">
      <alignment vertical="center"/>
    </xf>
    <xf numFmtId="0" fontId="2" fillId="6" borderId="0" xfId="0" applyFont="1" applyFill="1" applyAlignment="1">
      <alignment horizontal="center" vertical="center"/>
    </xf>
    <xf numFmtId="0" fontId="2" fillId="7" borderId="2" xfId="0" applyFont="1" applyFill="1" applyBorder="1" applyAlignment="1">
      <alignment vertical="center"/>
    </xf>
    <xf numFmtId="0" fontId="2" fillId="7" borderId="3" xfId="0" applyFont="1" applyFill="1" applyBorder="1" applyAlignment="1">
      <alignment horizontal="center" vertical="center"/>
    </xf>
    <xf numFmtId="0" fontId="2" fillId="7" borderId="4" xfId="0" applyFont="1" applyFill="1" applyBorder="1" applyAlignment="1">
      <alignment horizontal="center" vertical="center"/>
    </xf>
    <xf numFmtId="43" fontId="0" fillId="2" borderId="0" xfId="1" applyFont="1" applyFill="1" applyBorder="1" applyAlignment="1">
      <alignment vertical="center"/>
    </xf>
    <xf numFmtId="0" fontId="2" fillId="8" borderId="0" xfId="0" applyFont="1" applyFill="1" applyAlignment="1">
      <alignment vertical="center"/>
    </xf>
    <xf numFmtId="0" fontId="2" fillId="8" borderId="0" xfId="0" applyFont="1" applyFill="1" applyAlignment="1">
      <alignment horizontal="center" vertical="center"/>
    </xf>
    <xf numFmtId="0" fontId="0" fillId="0" borderId="1" xfId="0" applyBorder="1" applyAlignment="1">
      <alignment vertical="center" wrapText="1"/>
    </xf>
    <xf numFmtId="43" fontId="3" fillId="0" borderId="1" xfId="0" applyNumberFormat="1" applyFont="1" applyBorder="1" applyAlignment="1">
      <alignment vertical="center"/>
    </xf>
    <xf numFmtId="0" fontId="0" fillId="0" borderId="0" xfId="0" applyAlignment="1">
      <alignment horizontal="center" vertical="center"/>
    </xf>
    <xf numFmtId="0" fontId="3" fillId="2" borderId="5" xfId="0" applyFont="1" applyFill="1" applyBorder="1" applyAlignment="1">
      <alignment vertical="center"/>
    </xf>
    <xf numFmtId="43" fontId="0" fillId="2" borderId="6" xfId="1" applyFont="1" applyFill="1" applyBorder="1" applyAlignment="1">
      <alignment vertical="center"/>
    </xf>
    <xf numFmtId="43" fontId="0" fillId="2" borderId="7" xfId="1" applyFont="1" applyFill="1" applyBorder="1" applyAlignment="1">
      <alignment vertical="center"/>
    </xf>
    <xf numFmtId="0" fontId="2" fillId="7" borderId="8" xfId="0" applyFont="1" applyFill="1" applyBorder="1" applyAlignment="1">
      <alignment horizontal="center" vertical="center"/>
    </xf>
    <xf numFmtId="0" fontId="2" fillId="7" borderId="8" xfId="0" applyFont="1" applyFill="1" applyBorder="1" applyAlignment="1">
      <alignment vertical="center"/>
    </xf>
    <xf numFmtId="0" fontId="2" fillId="4" borderId="8" xfId="0" applyFont="1" applyFill="1" applyBorder="1" applyAlignment="1">
      <alignment horizontal="center" vertical="center"/>
    </xf>
    <xf numFmtId="0" fontId="2" fillId="4" borderId="8" xfId="0" applyFont="1" applyFill="1" applyBorder="1" applyAlignment="1">
      <alignment vertical="center"/>
    </xf>
    <xf numFmtId="0" fontId="3" fillId="0" borderId="1" xfId="0" applyFont="1" applyBorder="1" applyAlignment="1">
      <alignment vertical="center" wrapText="1"/>
    </xf>
    <xf numFmtId="0" fontId="2" fillId="5" borderId="2" xfId="0" applyFont="1" applyFill="1" applyBorder="1" applyAlignment="1">
      <alignment vertical="center"/>
    </xf>
    <xf numFmtId="0" fontId="2" fillId="5" borderId="3" xfId="0" applyFont="1" applyFill="1" applyBorder="1" applyAlignment="1">
      <alignment horizontal="center" vertical="center"/>
    </xf>
    <xf numFmtId="0" fontId="2" fillId="5" borderId="4" xfId="0" applyFont="1" applyFill="1" applyBorder="1" applyAlignment="1">
      <alignment horizontal="center" vertical="center"/>
    </xf>
    <xf numFmtId="43" fontId="3" fillId="0" borderId="2" xfId="1" applyFont="1" applyBorder="1" applyAlignment="1">
      <alignment vertical="center"/>
    </xf>
    <xf numFmtId="0" fontId="2" fillId="0" borderId="2" xfId="0" applyFont="1" applyBorder="1" applyAlignment="1">
      <alignment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3" fontId="0" fillId="0" borderId="1" xfId="1" applyFont="1" applyFill="1" applyBorder="1" applyAlignment="1">
      <alignment vertical="center"/>
    </xf>
    <xf numFmtId="43" fontId="3" fillId="0" borderId="1" xfId="1" applyFont="1" applyFill="1" applyBorder="1" applyAlignment="1">
      <alignment vertical="center"/>
    </xf>
    <xf numFmtId="0" fontId="2" fillId="5" borderId="8" xfId="0" applyFont="1" applyFill="1" applyBorder="1" applyAlignment="1">
      <alignment horizontal="center" vertical="center"/>
    </xf>
    <xf numFmtId="0" fontId="2" fillId="5" borderId="8" xfId="0" applyFont="1" applyFill="1" applyBorder="1" applyAlignment="1">
      <alignment vertical="center"/>
    </xf>
    <xf numFmtId="0" fontId="2" fillId="10" borderId="8" xfId="0" applyFont="1" applyFill="1" applyBorder="1" applyAlignment="1">
      <alignment horizontal="center" vertical="center"/>
    </xf>
    <xf numFmtId="0" fontId="2" fillId="10" borderId="8" xfId="0" applyFont="1" applyFill="1" applyBorder="1" applyAlignment="1">
      <alignment vertical="center"/>
    </xf>
    <xf numFmtId="0" fontId="0" fillId="0" borderId="11" xfId="0" applyBorder="1" applyAlignment="1">
      <alignment vertical="center"/>
    </xf>
    <xf numFmtId="43" fontId="0" fillId="0" borderId="11" xfId="1" applyFont="1" applyBorder="1" applyAlignment="1">
      <alignment vertical="center"/>
    </xf>
    <xf numFmtId="0" fontId="0" fillId="0" borderId="12" xfId="0" applyBorder="1" applyAlignment="1">
      <alignment vertical="center"/>
    </xf>
    <xf numFmtId="43" fontId="0" fillId="0" borderId="12" xfId="1" applyFont="1" applyBorder="1" applyAlignment="1">
      <alignment vertical="center"/>
    </xf>
    <xf numFmtId="0" fontId="3" fillId="0" borderId="3" xfId="0" applyFont="1" applyBorder="1" applyAlignment="1">
      <alignment vertical="center"/>
    </xf>
    <xf numFmtId="43" fontId="3" fillId="0" borderId="3" xfId="1" applyFont="1" applyBorder="1" applyAlignment="1">
      <alignment vertical="center"/>
    </xf>
    <xf numFmtId="43" fontId="3" fillId="0" borderId="4" xfId="1" applyFont="1" applyBorder="1" applyAlignment="1">
      <alignment vertical="center"/>
    </xf>
    <xf numFmtId="43" fontId="0" fillId="11" borderId="1" xfId="1" applyFont="1" applyFill="1" applyBorder="1" applyAlignment="1">
      <alignment vertical="center"/>
    </xf>
    <xf numFmtId="43" fontId="0" fillId="0" borderId="0" xfId="1" applyFont="1" applyAlignment="1">
      <alignment vertical="center"/>
    </xf>
    <xf numFmtId="0" fontId="3" fillId="2" borderId="0" xfId="0" applyFont="1" applyFill="1"/>
    <xf numFmtId="0" fontId="0" fillId="0" borderId="1" xfId="0" applyBorder="1"/>
    <xf numFmtId="0" fontId="0" fillId="0" borderId="4" xfId="0" applyBorder="1"/>
    <xf numFmtId="43" fontId="0" fillId="0" borderId="0" xfId="0" applyNumberFormat="1" applyAlignment="1">
      <alignment vertical="center"/>
    </xf>
    <xf numFmtId="43" fontId="0" fillId="0" borderId="1" xfId="0" applyNumberFormat="1" applyBorder="1" applyAlignment="1">
      <alignment vertical="center"/>
    </xf>
    <xf numFmtId="10" fontId="0" fillId="0" borderId="1" xfId="2" applyNumberFormat="1" applyFont="1" applyBorder="1"/>
    <xf numFmtId="43" fontId="0" fillId="0" borderId="1" xfId="1" applyFont="1" applyBorder="1"/>
    <xf numFmtId="166" fontId="0" fillId="0" borderId="1" xfId="1" applyNumberFormat="1" applyFont="1" applyBorder="1"/>
    <xf numFmtId="43" fontId="3" fillId="2" borderId="0" xfId="1" applyFont="1" applyFill="1" applyBorder="1"/>
    <xf numFmtId="43" fontId="0" fillId="0" borderId="2" xfId="1" applyFont="1" applyBorder="1"/>
    <xf numFmtId="0" fontId="2" fillId="0" borderId="0" xfId="0" applyFont="1" applyAlignment="1">
      <alignment horizontal="center" vertical="center"/>
    </xf>
    <xf numFmtId="43" fontId="0" fillId="0" borderId="0" xfId="1" applyFont="1" applyBorder="1"/>
    <xf numFmtId="0" fontId="2" fillId="13" borderId="0" xfId="0" applyFont="1" applyFill="1" applyAlignment="1">
      <alignment vertical="center"/>
    </xf>
    <xf numFmtId="0" fontId="2" fillId="13" borderId="0" xfId="0" applyFont="1" applyFill="1" applyAlignment="1">
      <alignment horizontal="center" vertical="center"/>
    </xf>
    <xf numFmtId="0" fontId="2" fillId="0" borderId="0" xfId="0" applyFont="1" applyAlignment="1">
      <alignment vertical="center"/>
    </xf>
    <xf numFmtId="0" fontId="7" fillId="2" borderId="2" xfId="0" applyFont="1" applyFill="1" applyBorder="1" applyAlignment="1">
      <alignment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0" xfId="0" applyFont="1" applyFill="1" applyAlignment="1">
      <alignment vertical="center"/>
    </xf>
    <xf numFmtId="0" fontId="0" fillId="2" borderId="0" xfId="0" applyFill="1" applyAlignment="1">
      <alignment horizontal="center" vertical="center"/>
    </xf>
    <xf numFmtId="0" fontId="3" fillId="2" borderId="0" xfId="0" applyFont="1" applyFill="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2" fillId="4" borderId="0" xfId="0" applyFont="1" applyFill="1" applyAlignment="1">
      <alignment vertical="center"/>
    </xf>
    <xf numFmtId="0" fontId="2" fillId="2" borderId="3" xfId="0" applyFont="1" applyFill="1" applyBorder="1" applyAlignment="1">
      <alignment vertical="center"/>
    </xf>
    <xf numFmtId="0" fontId="2" fillId="2" borderId="4" xfId="0" applyFont="1" applyFill="1" applyBorder="1" applyAlignment="1">
      <alignment vertical="center"/>
    </xf>
    <xf numFmtId="0" fontId="7" fillId="2" borderId="3" xfId="0" applyFont="1" applyFill="1" applyBorder="1" applyAlignment="1">
      <alignment vertical="center"/>
    </xf>
    <xf numFmtId="0" fontId="3" fillId="0" borderId="7" xfId="0" applyFont="1" applyBorder="1" applyAlignment="1">
      <alignment vertical="center"/>
    </xf>
    <xf numFmtId="0" fontId="3" fillId="0" borderId="0" xfId="0" applyFont="1" applyAlignment="1">
      <alignment horizontal="center" vertical="center"/>
    </xf>
    <xf numFmtId="0" fontId="2" fillId="3" borderId="5" xfId="0" applyFont="1" applyFill="1" applyBorder="1" applyAlignment="1">
      <alignment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2" borderId="10" xfId="0" applyFont="1" applyFill="1" applyBorder="1" applyAlignment="1">
      <alignment vertical="center"/>
    </xf>
    <xf numFmtId="0" fontId="0" fillId="2" borderId="9" xfId="0" applyFill="1" applyBorder="1" applyAlignment="1">
      <alignment horizontal="center" vertical="center"/>
    </xf>
    <xf numFmtId="0" fontId="2" fillId="14" borderId="0" xfId="0" applyFont="1" applyFill="1" applyAlignment="1">
      <alignment vertical="center"/>
    </xf>
    <xf numFmtId="0" fontId="2" fillId="14" borderId="0" xfId="0" applyFont="1" applyFill="1" applyAlignment="1">
      <alignment horizontal="center" vertical="center"/>
    </xf>
    <xf numFmtId="0" fontId="2" fillId="8" borderId="2" xfId="0" applyFont="1" applyFill="1" applyBorder="1" applyAlignment="1">
      <alignment vertical="center"/>
    </xf>
    <xf numFmtId="0" fontId="2" fillId="6" borderId="2" xfId="0" applyFont="1" applyFill="1" applyBorder="1" applyAlignment="1">
      <alignment vertical="center"/>
    </xf>
    <xf numFmtId="0" fontId="2" fillId="14" borderId="2" xfId="0" applyFont="1" applyFill="1" applyBorder="1" applyAlignment="1">
      <alignment vertical="center"/>
    </xf>
    <xf numFmtId="0" fontId="2" fillId="14" borderId="3" xfId="0" applyFont="1" applyFill="1" applyBorder="1" applyAlignment="1">
      <alignment horizontal="center" vertical="center"/>
    </xf>
    <xf numFmtId="0" fontId="2" fillId="14" borderId="4" xfId="0" applyFont="1" applyFill="1" applyBorder="1" applyAlignment="1">
      <alignment horizontal="center" vertical="center"/>
    </xf>
    <xf numFmtId="0" fontId="2" fillId="6" borderId="3" xfId="0" applyFont="1" applyFill="1" applyBorder="1" applyAlignment="1">
      <alignment horizontal="center" vertical="center"/>
    </xf>
    <xf numFmtId="0" fontId="2" fillId="6" borderId="4" xfId="0" applyFont="1" applyFill="1" applyBorder="1" applyAlignment="1">
      <alignment horizontal="center" vertical="center"/>
    </xf>
    <xf numFmtId="0" fontId="2" fillId="8" borderId="3" xfId="0" applyFont="1" applyFill="1" applyBorder="1" applyAlignment="1">
      <alignment horizontal="center" vertical="center"/>
    </xf>
    <xf numFmtId="0" fontId="2" fillId="8" borderId="4" xfId="0" applyFont="1" applyFill="1" applyBorder="1" applyAlignment="1">
      <alignment horizontal="center" vertical="center"/>
    </xf>
    <xf numFmtId="0" fontId="2" fillId="13" borderId="8" xfId="0" applyFont="1" applyFill="1" applyBorder="1" applyAlignment="1">
      <alignment vertical="center"/>
    </xf>
    <xf numFmtId="0" fontId="2" fillId="13" borderId="8" xfId="0" applyFont="1" applyFill="1" applyBorder="1" applyAlignment="1">
      <alignment horizontal="center" vertical="center"/>
    </xf>
    <xf numFmtId="43" fontId="0" fillId="0" borderId="1" xfId="1" applyFont="1" applyBorder="1" applyAlignment="1">
      <alignment horizontal="center" vertical="center"/>
    </xf>
    <xf numFmtId="43" fontId="3" fillId="0" borderId="1" xfId="1" applyFont="1" applyBorder="1" applyAlignment="1">
      <alignment horizontal="center" vertical="center"/>
    </xf>
    <xf numFmtId="43" fontId="0" fillId="2" borderId="0" xfId="1" applyFont="1" applyFill="1" applyBorder="1" applyAlignment="1">
      <alignment horizontal="center" vertical="center"/>
    </xf>
    <xf numFmtId="43" fontId="1" fillId="0" borderId="1" xfId="1" applyFont="1" applyBorder="1" applyAlignment="1">
      <alignment horizontal="center" vertical="center"/>
    </xf>
    <xf numFmtId="43" fontId="3" fillId="2" borderId="0" xfId="1" applyFont="1" applyFill="1" applyBorder="1" applyAlignment="1">
      <alignment horizontal="center" vertical="center"/>
    </xf>
    <xf numFmtId="43" fontId="0" fillId="0" borderId="0" xfId="0" applyNumberFormat="1" applyAlignment="1">
      <alignment horizontal="center" vertical="center"/>
    </xf>
    <xf numFmtId="43" fontId="3" fillId="2" borderId="3" xfId="1" applyFont="1" applyFill="1" applyBorder="1" applyAlignment="1">
      <alignment horizontal="center" vertical="center"/>
    </xf>
    <xf numFmtId="43" fontId="3" fillId="2" borderId="4" xfId="1" applyFont="1" applyFill="1" applyBorder="1" applyAlignment="1">
      <alignment horizontal="center" vertical="center"/>
    </xf>
    <xf numFmtId="43" fontId="0" fillId="0" borderId="1" xfId="1" applyFont="1" applyFill="1" applyBorder="1" applyAlignment="1">
      <alignment horizontal="center" vertical="center"/>
    </xf>
    <xf numFmtId="0" fontId="0" fillId="12" borderId="13" xfId="0" applyFill="1" applyBorder="1" applyAlignment="1">
      <alignment vertical="center"/>
    </xf>
    <xf numFmtId="10" fontId="0" fillId="12" borderId="14" xfId="2" applyNumberFormat="1" applyFont="1" applyFill="1" applyBorder="1" applyAlignment="1">
      <alignment horizontal="center" vertical="center"/>
    </xf>
    <xf numFmtId="10" fontId="0" fillId="12" borderId="15" xfId="2" applyNumberFormat="1" applyFont="1" applyFill="1" applyBorder="1" applyAlignment="1">
      <alignment horizontal="center" vertical="center"/>
    </xf>
    <xf numFmtId="0" fontId="0" fillId="0" borderId="13" xfId="0" applyBorder="1" applyAlignment="1">
      <alignment vertical="center"/>
    </xf>
    <xf numFmtId="0" fontId="0" fillId="12" borderId="14" xfId="0" applyFill="1" applyBorder="1" applyAlignment="1">
      <alignment horizontal="center" vertical="center"/>
    </xf>
    <xf numFmtId="0" fontId="0" fillId="12" borderId="15" xfId="0" applyFill="1" applyBorder="1" applyAlignment="1">
      <alignment horizontal="center" vertical="center"/>
    </xf>
    <xf numFmtId="10" fontId="0" fillId="0" borderId="14" xfId="2" applyNumberFormat="1" applyFont="1" applyBorder="1" applyAlignment="1">
      <alignment horizontal="center" vertical="center"/>
    </xf>
    <xf numFmtId="10" fontId="0" fillId="0" borderId="15" xfId="2" applyNumberFormat="1" applyFont="1" applyBorder="1" applyAlignment="1">
      <alignment horizontal="center" vertical="center"/>
    </xf>
    <xf numFmtId="10" fontId="0" fillId="12" borderId="14" xfId="0" applyNumberFormat="1" applyFill="1" applyBorder="1" applyAlignment="1">
      <alignment horizontal="center" vertical="center"/>
    </xf>
    <xf numFmtId="0" fontId="0" fillId="0" borderId="16" xfId="0" applyBorder="1" applyAlignment="1">
      <alignment vertical="center"/>
    </xf>
    <xf numFmtId="10" fontId="0" fillId="0" borderId="0" xfId="2" applyNumberFormat="1" applyFont="1" applyBorder="1" applyAlignment="1">
      <alignment horizontal="center" vertical="center"/>
    </xf>
    <xf numFmtId="10" fontId="0" fillId="0" borderId="17" xfId="2" applyNumberFormat="1" applyFont="1" applyBorder="1" applyAlignment="1">
      <alignment horizontal="center" vertical="center"/>
    </xf>
    <xf numFmtId="0" fontId="0" fillId="12" borderId="0" xfId="0" applyFill="1" applyAlignment="1">
      <alignment vertical="center"/>
    </xf>
    <xf numFmtId="0" fontId="0" fillId="12" borderId="0" xfId="0" applyFill="1" applyAlignment="1">
      <alignment horizontal="center" vertical="center"/>
    </xf>
    <xf numFmtId="43" fontId="0" fillId="12" borderId="0" xfId="0" applyNumberFormat="1" applyFill="1" applyAlignment="1">
      <alignment horizontal="center" vertical="center"/>
    </xf>
    <xf numFmtId="10" fontId="0" fillId="12" borderId="0" xfId="2" applyNumberFormat="1" applyFont="1" applyFill="1" applyBorder="1" applyAlignment="1">
      <alignment horizontal="center" vertical="center"/>
    </xf>
    <xf numFmtId="10" fontId="0" fillId="0" borderId="0" xfId="0" applyNumberFormat="1" applyAlignment="1">
      <alignment horizontal="center" vertical="center"/>
    </xf>
    <xf numFmtId="10" fontId="0" fillId="12" borderId="0" xfId="0" applyNumberFormat="1" applyFill="1" applyAlignment="1">
      <alignment horizontal="center" vertical="center"/>
    </xf>
    <xf numFmtId="43" fontId="0" fillId="12" borderId="0" xfId="2" applyNumberFormat="1" applyFont="1" applyFill="1" applyBorder="1" applyAlignment="1">
      <alignment horizontal="center" vertical="center"/>
    </xf>
    <xf numFmtId="0" fontId="6" fillId="0" borderId="0" xfId="0" applyFont="1" applyAlignment="1">
      <alignment vertical="center"/>
    </xf>
    <xf numFmtId="43" fontId="6" fillId="0" borderId="0" xfId="1" applyFont="1" applyFill="1" applyBorder="1" applyAlignment="1">
      <alignment horizontal="center" vertical="center"/>
    </xf>
    <xf numFmtId="43" fontId="0" fillId="0" borderId="14" xfId="2" applyNumberFormat="1" applyFont="1" applyBorder="1" applyAlignment="1">
      <alignment horizontal="center" vertical="center"/>
    </xf>
    <xf numFmtId="43" fontId="0" fillId="0" borderId="0" xfId="1" applyFont="1" applyAlignment="1">
      <alignment horizontal="center" vertical="center"/>
    </xf>
    <xf numFmtId="10" fontId="0" fillId="0" borderId="0" xfId="2" applyNumberFormat="1" applyFont="1" applyAlignment="1">
      <alignment vertical="center"/>
    </xf>
    <xf numFmtId="10" fontId="0" fillId="0" borderId="0" xfId="0" applyNumberFormat="1" applyAlignment="1">
      <alignment vertical="center"/>
    </xf>
    <xf numFmtId="43" fontId="3" fillId="2" borderId="0" xfId="1" applyFont="1" applyFill="1" applyAlignment="1">
      <alignment vertical="center"/>
    </xf>
    <xf numFmtId="43" fontId="0" fillId="0" borderId="1" xfId="0" applyNumberFormat="1" applyBorder="1" applyAlignment="1">
      <alignment horizontal="center" vertical="center"/>
    </xf>
    <xf numFmtId="0" fontId="0" fillId="0" borderId="7" xfId="0" applyBorder="1" applyAlignment="1">
      <alignment vertical="center"/>
    </xf>
    <xf numFmtId="43" fontId="0" fillId="0" borderId="11" xfId="0" applyNumberFormat="1" applyBorder="1" applyAlignment="1">
      <alignment horizontal="center" vertical="center"/>
    </xf>
    <xf numFmtId="43" fontId="0" fillId="2" borderId="0" xfId="1" applyFont="1" applyFill="1" applyAlignment="1">
      <alignment horizontal="center" vertical="center"/>
    </xf>
    <xf numFmtId="43" fontId="3" fillId="0" borderId="1" xfId="0" applyNumberFormat="1" applyFont="1" applyBorder="1" applyAlignment="1">
      <alignment horizontal="center" vertical="center"/>
    </xf>
    <xf numFmtId="43" fontId="3" fillId="2" borderId="0" xfId="1" applyFont="1" applyFill="1" applyAlignment="1">
      <alignment horizontal="center" vertical="center"/>
    </xf>
    <xf numFmtId="43" fontId="3" fillId="0" borderId="11" xfId="1" applyFont="1" applyBorder="1" applyAlignment="1">
      <alignment horizontal="center" vertical="center"/>
    </xf>
    <xf numFmtId="0" fontId="2" fillId="8" borderId="8" xfId="0" applyFont="1" applyFill="1" applyBorder="1" applyAlignment="1">
      <alignment vertical="center"/>
    </xf>
    <xf numFmtId="0" fontId="2" fillId="8" borderId="8" xfId="0" applyFont="1" applyFill="1" applyBorder="1" applyAlignment="1">
      <alignment horizontal="center" vertical="center"/>
    </xf>
    <xf numFmtId="0" fontId="0" fillId="2" borderId="9" xfId="0" applyFill="1" applyBorder="1" applyAlignment="1">
      <alignment vertical="center"/>
    </xf>
    <xf numFmtId="43" fontId="3" fillId="2" borderId="9" xfId="1" applyFont="1" applyFill="1" applyBorder="1" applyAlignment="1">
      <alignment vertical="center"/>
    </xf>
    <xf numFmtId="43" fontId="3" fillId="0" borderId="11" xfId="1" applyFont="1" applyBorder="1" applyAlignment="1">
      <alignment vertical="center"/>
    </xf>
    <xf numFmtId="0" fontId="0" fillId="0" borderId="0" xfId="1" applyNumberFormat="1" applyFont="1" applyAlignment="1">
      <alignment horizontal="center" vertical="center"/>
    </xf>
    <xf numFmtId="10" fontId="0" fillId="0" borderId="0" xfId="1" applyNumberFormat="1" applyFont="1" applyAlignment="1">
      <alignment vertical="center"/>
    </xf>
    <xf numFmtId="49" fontId="0" fillId="0" borderId="0" xfId="1" applyNumberFormat="1" applyFont="1" applyBorder="1" applyAlignment="1">
      <alignment horizontal="center" vertical="center"/>
    </xf>
    <xf numFmtId="10" fontId="0" fillId="0" borderId="0" xfId="2" applyNumberFormat="1" applyFont="1" applyAlignment="1">
      <alignment horizontal="right" vertical="center"/>
    </xf>
    <xf numFmtId="0" fontId="0" fillId="0" borderId="0" xfId="0" applyAlignment="1">
      <alignment horizontal="right" vertical="center"/>
    </xf>
    <xf numFmtId="0" fontId="0" fillId="17" borderId="0" xfId="0" applyFill="1" applyAlignment="1">
      <alignment vertical="center"/>
    </xf>
    <xf numFmtId="0" fontId="0" fillId="17" borderId="0" xfId="0" applyFill="1" applyAlignment="1">
      <alignment horizontal="center" vertical="center" wrapText="1"/>
    </xf>
    <xf numFmtId="167" fontId="0" fillId="0" borderId="0" xfId="2" applyNumberFormat="1" applyFont="1" applyBorder="1" applyAlignment="1">
      <alignment horizontal="right" vertical="center"/>
    </xf>
    <xf numFmtId="43" fontId="0" fillId="0" borderId="0" xfId="1" applyFont="1" applyBorder="1" applyAlignment="1">
      <alignment horizontal="right" vertical="center"/>
    </xf>
    <xf numFmtId="10" fontId="0" fillId="0" borderId="0" xfId="2" applyNumberFormat="1" applyFont="1" applyBorder="1" applyAlignment="1">
      <alignment horizontal="right" vertical="center"/>
    </xf>
    <xf numFmtId="10" fontId="3" fillId="0" borderId="0" xfId="2" applyNumberFormat="1" applyFont="1" applyBorder="1" applyAlignment="1">
      <alignment horizontal="right" vertical="center"/>
    </xf>
    <xf numFmtId="0" fontId="0" fillId="7" borderId="0" xfId="0" applyFill="1" applyAlignment="1">
      <alignment vertical="center"/>
    </xf>
    <xf numFmtId="0" fontId="0" fillId="7" borderId="0" xfId="0" applyFill="1" applyAlignment="1">
      <alignment horizontal="center" vertical="center"/>
    </xf>
    <xf numFmtId="10" fontId="0" fillId="0" borderId="11" xfId="2" applyNumberFormat="1" applyFont="1" applyBorder="1" applyAlignment="1">
      <alignment vertical="center"/>
    </xf>
    <xf numFmtId="0" fontId="3" fillId="0" borderId="11" xfId="0" applyFont="1" applyBorder="1" applyAlignment="1">
      <alignment vertical="center"/>
    </xf>
    <xf numFmtId="43" fontId="3" fillId="0" borderId="11" xfId="0" applyNumberFormat="1" applyFont="1" applyBorder="1" applyAlignment="1">
      <alignment vertical="center"/>
    </xf>
    <xf numFmtId="0" fontId="0" fillId="7" borderId="2" xfId="0" applyFill="1" applyBorder="1" applyAlignment="1">
      <alignment vertical="center"/>
    </xf>
    <xf numFmtId="0" fontId="0" fillId="7" borderId="4" xfId="0" applyFill="1" applyBorder="1" applyAlignment="1">
      <alignment horizontal="center" vertical="center"/>
    </xf>
    <xf numFmtId="10" fontId="0" fillId="0" borderId="1" xfId="2" applyNumberFormat="1" applyFont="1" applyBorder="1" applyAlignment="1">
      <alignment vertical="center"/>
    </xf>
    <xf numFmtId="0" fontId="0" fillId="4" borderId="2" xfId="0" applyFill="1" applyBorder="1" applyAlignment="1">
      <alignment vertical="center"/>
    </xf>
    <xf numFmtId="0" fontId="0" fillId="4" borderId="3" xfId="0" applyFill="1" applyBorder="1" applyAlignment="1">
      <alignment horizontal="center" vertical="center"/>
    </xf>
    <xf numFmtId="0" fontId="0" fillId="4" borderId="4" xfId="0" applyFill="1" applyBorder="1" applyAlignment="1">
      <alignment horizontal="center" vertical="center"/>
    </xf>
    <xf numFmtId="10" fontId="0" fillId="0" borderId="1" xfId="2" applyNumberFormat="1" applyFont="1" applyBorder="1" applyAlignment="1">
      <alignment horizontal="center" vertical="center"/>
    </xf>
    <xf numFmtId="0" fontId="2" fillId="18" borderId="0" xfId="0" applyFont="1" applyFill="1" applyAlignment="1">
      <alignment vertical="center"/>
    </xf>
    <xf numFmtId="0" fontId="2" fillId="18" borderId="0" xfId="0" applyFont="1" applyFill="1" applyAlignment="1">
      <alignment horizontal="center" vertical="center"/>
    </xf>
    <xf numFmtId="0" fontId="0" fillId="18" borderId="2" xfId="0" applyFill="1" applyBorder="1" applyAlignment="1">
      <alignment vertical="center"/>
    </xf>
    <xf numFmtId="0" fontId="0" fillId="18" borderId="4" xfId="0" applyFill="1" applyBorder="1" applyAlignment="1">
      <alignment horizontal="center" vertical="center"/>
    </xf>
    <xf numFmtId="0" fontId="0" fillId="6" borderId="2" xfId="0" applyFill="1" applyBorder="1" applyAlignment="1">
      <alignment vertical="center"/>
    </xf>
    <xf numFmtId="0" fontId="0" fillId="6" borderId="4" xfId="0" applyFill="1" applyBorder="1" applyAlignment="1">
      <alignment horizontal="center" vertical="center"/>
    </xf>
    <xf numFmtId="0" fontId="2" fillId="17" borderId="19" xfId="0" applyFont="1" applyFill="1" applyBorder="1" applyAlignment="1">
      <alignment horizontal="center" vertical="center" wrapText="1"/>
    </xf>
    <xf numFmtId="0" fontId="2" fillId="17" borderId="20" xfId="0" applyFont="1" applyFill="1" applyBorder="1" applyAlignment="1">
      <alignment horizontal="center" vertical="center" wrapText="1"/>
    </xf>
    <xf numFmtId="0" fontId="2" fillId="17" borderId="9" xfId="0" applyFont="1" applyFill="1" applyBorder="1" applyAlignment="1">
      <alignment horizontal="left" vertical="center" wrapText="1"/>
    </xf>
    <xf numFmtId="0" fontId="2" fillId="17" borderId="0" xfId="0" applyFont="1" applyFill="1" applyAlignment="1">
      <alignment horizontal="left" vertical="center"/>
    </xf>
    <xf numFmtId="0" fontId="2" fillId="17" borderId="0" xfId="0" applyFont="1" applyFill="1" applyAlignment="1">
      <alignment horizontal="left" vertical="center" wrapText="1"/>
    </xf>
    <xf numFmtId="0" fontId="2" fillId="17" borderId="18" xfId="0" applyFont="1" applyFill="1" applyBorder="1" applyAlignment="1">
      <alignment horizontal="center" vertical="center" wrapText="1"/>
    </xf>
    <xf numFmtId="0" fontId="0" fillId="15" borderId="21" xfId="0" applyFill="1" applyBorder="1" applyAlignment="1">
      <alignment vertical="center"/>
    </xf>
    <xf numFmtId="0" fontId="0" fillId="16" borderId="21" xfId="0" applyFill="1" applyBorder="1" applyAlignment="1">
      <alignment vertical="center"/>
    </xf>
    <xf numFmtId="0" fontId="0" fillId="15" borderId="23" xfId="0" applyFill="1" applyBorder="1" applyAlignment="1">
      <alignment vertical="center"/>
    </xf>
    <xf numFmtId="43" fontId="0" fillId="17" borderId="0" xfId="1" applyFont="1" applyFill="1" applyBorder="1" applyAlignment="1">
      <alignment vertical="center"/>
    </xf>
    <xf numFmtId="43" fontId="0" fillId="0" borderId="0" xfId="1" applyFont="1" applyBorder="1" applyAlignment="1">
      <alignment horizontal="center" vertical="center"/>
    </xf>
    <xf numFmtId="0" fontId="2" fillId="17" borderId="0" xfId="0" applyFont="1" applyFill="1" applyAlignment="1">
      <alignment horizontal="right" vertical="center"/>
    </xf>
    <xf numFmtId="10" fontId="0" fillId="0" borderId="0" xfId="2" applyNumberFormat="1" applyFont="1" applyBorder="1" applyAlignment="1">
      <alignment vertical="center"/>
    </xf>
    <xf numFmtId="0" fontId="3" fillId="19" borderId="23" xfId="0" applyFont="1" applyFill="1" applyBorder="1" applyAlignment="1">
      <alignment vertical="center"/>
    </xf>
    <xf numFmtId="0" fontId="0" fillId="20" borderId="23" xfId="0" applyFill="1" applyBorder="1" applyAlignment="1">
      <alignment vertical="center"/>
    </xf>
    <xf numFmtId="0" fontId="0" fillId="3" borderId="2" xfId="0" applyFill="1" applyBorder="1" applyAlignment="1">
      <alignment vertical="center"/>
    </xf>
    <xf numFmtId="0" fontId="0" fillId="3" borderId="4" xfId="0" applyFill="1" applyBorder="1" applyAlignment="1">
      <alignment horizontal="center" vertical="center"/>
    </xf>
    <xf numFmtId="0" fontId="2" fillId="21" borderId="0" xfId="0" applyFont="1" applyFill="1" applyAlignment="1">
      <alignment vertical="center"/>
    </xf>
    <xf numFmtId="0" fontId="2" fillId="21" borderId="0" xfId="0" applyFont="1" applyFill="1" applyAlignment="1">
      <alignment horizontal="center" vertical="center"/>
    </xf>
    <xf numFmtId="0" fontId="0" fillId="21" borderId="2" xfId="0" applyFill="1" applyBorder="1" applyAlignment="1">
      <alignment vertical="center"/>
    </xf>
    <xf numFmtId="0" fontId="0" fillId="21" borderId="4"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2" fillId="17" borderId="22" xfId="0" applyFont="1" applyFill="1" applyBorder="1" applyAlignment="1">
      <alignment vertical="center"/>
    </xf>
    <xf numFmtId="43" fontId="3" fillId="2" borderId="9" xfId="1" applyFont="1" applyFill="1" applyBorder="1" applyAlignment="1">
      <alignment horizontal="center" vertical="center"/>
    </xf>
    <xf numFmtId="10" fontId="0" fillId="0" borderId="0" xfId="2" applyNumberFormat="1" applyFont="1" applyAlignment="1">
      <alignment horizontal="center" vertical="center"/>
    </xf>
    <xf numFmtId="43" fontId="0" fillId="0" borderId="0" xfId="0" applyNumberFormat="1" applyAlignment="1">
      <alignment horizontal="right" vertical="center"/>
    </xf>
    <xf numFmtId="10" fontId="0" fillId="0" borderId="0" xfId="0" applyNumberFormat="1" applyAlignment="1">
      <alignment horizontal="right" vertical="center"/>
    </xf>
    <xf numFmtId="43" fontId="0" fillId="0" borderId="0" xfId="1" applyFont="1" applyAlignment="1">
      <alignment horizontal="right" vertical="center"/>
    </xf>
    <xf numFmtId="0" fontId="0" fillId="0" borderId="25" xfId="0" applyBorder="1" applyAlignment="1">
      <alignment vertical="center"/>
    </xf>
    <xf numFmtId="0" fontId="0" fillId="0" borderId="24" xfId="0" applyBorder="1" applyAlignment="1">
      <alignment horizontal="center" vertical="center"/>
    </xf>
    <xf numFmtId="0" fontId="0" fillId="0" borderId="4" xfId="0" applyBorder="1" applyAlignment="1">
      <alignment vertical="center" wrapText="1"/>
    </xf>
    <xf numFmtId="0" fontId="0" fillId="0" borderId="7" xfId="0" applyBorder="1" applyAlignment="1">
      <alignment vertical="center" wrapText="1"/>
    </xf>
    <xf numFmtId="43" fontId="0" fillId="0" borderId="2" xfId="0" applyNumberFormat="1" applyBorder="1" applyAlignment="1">
      <alignment vertical="center"/>
    </xf>
    <xf numFmtId="43" fontId="0" fillId="0" borderId="5" xfId="0" applyNumberFormat="1" applyBorder="1" applyAlignment="1">
      <alignment vertical="center"/>
    </xf>
    <xf numFmtId="168" fontId="0" fillId="0" borderId="0" xfId="0" applyNumberFormat="1" applyAlignment="1">
      <alignment vertical="center"/>
    </xf>
    <xf numFmtId="168" fontId="3" fillId="0" borderId="0" xfId="0" applyNumberFormat="1" applyFont="1" applyAlignment="1">
      <alignment horizontal="center" vertical="center"/>
    </xf>
    <xf numFmtId="168" fontId="3" fillId="0" borderId="27" xfId="0" applyNumberFormat="1" applyFont="1" applyBorder="1" applyAlignment="1">
      <alignment horizontal="center" vertical="center"/>
    </xf>
    <xf numFmtId="43" fontId="0" fillId="0" borderId="27" xfId="0" applyNumberFormat="1" applyBorder="1" applyAlignment="1">
      <alignment horizontal="center" vertical="center"/>
    </xf>
    <xf numFmtId="0" fontId="2" fillId="22" borderId="0" xfId="0" applyFont="1" applyFill="1" applyAlignment="1">
      <alignment horizontal="center" vertical="center"/>
    </xf>
    <xf numFmtId="168" fontId="2" fillId="22" borderId="0" xfId="2" applyNumberFormat="1" applyFont="1" applyFill="1" applyBorder="1" applyAlignment="1">
      <alignment horizontal="center" vertical="center"/>
    </xf>
    <xf numFmtId="0" fontId="2" fillId="23" borderId="31" xfId="0" applyFont="1" applyFill="1" applyBorder="1" applyAlignment="1">
      <alignment horizontal="center" vertical="center"/>
    </xf>
    <xf numFmtId="168" fontId="2" fillId="23" borderId="32" xfId="0" applyNumberFormat="1" applyFont="1" applyFill="1" applyBorder="1" applyAlignment="1">
      <alignment horizontal="center" vertical="center"/>
    </xf>
    <xf numFmtId="168" fontId="3" fillId="9" borderId="27" xfId="0" applyNumberFormat="1" applyFont="1" applyFill="1" applyBorder="1" applyAlignment="1">
      <alignment horizontal="center" vertical="center"/>
    </xf>
    <xf numFmtId="43" fontId="0" fillId="9" borderId="27" xfId="0" applyNumberFormat="1" applyFill="1" applyBorder="1" applyAlignment="1">
      <alignment horizontal="center" vertical="center"/>
    </xf>
    <xf numFmtId="0" fontId="2" fillId="26" borderId="31" xfId="0" applyFont="1" applyFill="1" applyBorder="1" applyAlignment="1">
      <alignment horizontal="center" vertical="center"/>
    </xf>
    <xf numFmtId="168" fontId="2" fillId="3" borderId="6" xfId="2" applyNumberFormat="1" applyFont="1" applyFill="1" applyBorder="1" applyAlignment="1">
      <alignment horizontal="center" vertical="center"/>
    </xf>
    <xf numFmtId="0" fontId="0" fillId="0" borderId="35" xfId="0" applyBorder="1" applyAlignment="1">
      <alignment horizontal="center" vertical="center"/>
    </xf>
    <xf numFmtId="43" fontId="0" fillId="11" borderId="27" xfId="0" applyNumberFormat="1" applyFill="1" applyBorder="1" applyAlignment="1">
      <alignment horizontal="center" vertical="center"/>
    </xf>
    <xf numFmtId="9" fontId="3" fillId="0" borderId="0" xfId="2" applyFont="1" applyAlignment="1">
      <alignment horizontal="center" vertical="center"/>
    </xf>
    <xf numFmtId="168" fontId="3" fillId="0" borderId="0" xfId="2" applyNumberFormat="1" applyFont="1" applyAlignment="1">
      <alignment horizontal="center" vertical="center"/>
    </xf>
    <xf numFmtId="0" fontId="3" fillId="22" borderId="0" xfId="0" applyFont="1" applyFill="1" applyAlignment="1">
      <alignment horizontal="center" vertical="center"/>
    </xf>
    <xf numFmtId="0" fontId="0" fillId="0" borderId="35" xfId="0" applyBorder="1" applyAlignment="1">
      <alignment vertical="center"/>
    </xf>
    <xf numFmtId="9" fontId="2" fillId="22" borderId="0" xfId="2" applyFont="1" applyFill="1" applyBorder="1" applyAlignment="1">
      <alignment horizontal="center" vertical="center"/>
    </xf>
    <xf numFmtId="168" fontId="3" fillId="0" borderId="27" xfId="2" applyNumberFormat="1" applyFont="1" applyBorder="1" applyAlignment="1">
      <alignment horizontal="center" vertical="center"/>
    </xf>
    <xf numFmtId="43" fontId="0" fillId="0" borderId="27" xfId="0" applyNumberFormat="1" applyBorder="1" applyAlignment="1">
      <alignment vertical="center"/>
    </xf>
    <xf numFmtId="0" fontId="3" fillId="0" borderId="33" xfId="0" applyFont="1" applyBorder="1" applyAlignment="1">
      <alignment horizontal="center" vertical="center"/>
    </xf>
    <xf numFmtId="168" fontId="3" fillId="0" borderId="34" xfId="2" applyNumberFormat="1" applyFont="1" applyBorder="1" applyAlignment="1">
      <alignment horizontal="center" vertical="center"/>
    </xf>
    <xf numFmtId="167" fontId="3" fillId="0" borderId="34" xfId="2" applyNumberFormat="1" applyFont="1" applyBorder="1" applyAlignment="1">
      <alignment horizontal="center" vertical="center"/>
    </xf>
    <xf numFmtId="167" fontId="3" fillId="0" borderId="28" xfId="2" applyNumberFormat="1" applyFont="1" applyBorder="1" applyAlignment="1">
      <alignment horizontal="center" vertical="center"/>
    </xf>
    <xf numFmtId="9" fontId="3" fillId="0" borderId="34" xfId="2" applyFont="1" applyBorder="1" applyAlignment="1">
      <alignment horizontal="center" vertical="center"/>
    </xf>
    <xf numFmtId="9" fontId="3" fillId="6" borderId="33" xfId="2" applyFont="1" applyFill="1" applyBorder="1" applyAlignment="1">
      <alignment horizontal="center" vertical="center"/>
    </xf>
    <xf numFmtId="9" fontId="3" fillId="6" borderId="34" xfId="2" applyFont="1" applyFill="1" applyBorder="1" applyAlignment="1">
      <alignment horizontal="center" vertical="center"/>
    </xf>
    <xf numFmtId="9" fontId="3" fillId="6" borderId="28" xfId="2" applyFont="1" applyFill="1" applyBorder="1" applyAlignment="1">
      <alignment horizontal="center" vertical="center"/>
    </xf>
    <xf numFmtId="9" fontId="3" fillId="3" borderId="0" xfId="2" applyFont="1" applyFill="1" applyAlignment="1">
      <alignment horizontal="center" vertical="center"/>
    </xf>
    <xf numFmtId="9" fontId="3" fillId="0" borderId="0" xfId="2" applyFont="1" applyBorder="1" applyAlignment="1">
      <alignment horizontal="center" vertical="center"/>
    </xf>
    <xf numFmtId="0" fontId="2" fillId="4" borderId="0" xfId="0" applyFont="1" applyFill="1" applyAlignment="1">
      <alignment horizontal="center" vertical="center"/>
    </xf>
    <xf numFmtId="43" fontId="0" fillId="28" borderId="0" xfId="0" applyNumberFormat="1" applyFill="1" applyAlignment="1">
      <alignment vertical="center"/>
    </xf>
    <xf numFmtId="43" fontId="1" fillId="28" borderId="0" xfId="2" applyNumberFormat="1" applyFont="1" applyFill="1" applyAlignment="1">
      <alignment horizontal="center" vertical="center"/>
    </xf>
    <xf numFmtId="43" fontId="1" fillId="28" borderId="0" xfId="1" applyFont="1" applyFill="1" applyAlignment="1">
      <alignment horizontal="center" vertical="center"/>
    </xf>
    <xf numFmtId="43" fontId="0" fillId="28" borderId="0" xfId="0" applyNumberFormat="1" applyFill="1" applyAlignment="1">
      <alignment horizontal="center" vertical="center"/>
    </xf>
    <xf numFmtId="10" fontId="0" fillId="28" borderId="0" xfId="0" applyNumberFormat="1" applyFill="1" applyAlignment="1">
      <alignment vertical="center"/>
    </xf>
    <xf numFmtId="43" fontId="0" fillId="0" borderId="36" xfId="0" applyNumberFormat="1" applyBorder="1" applyAlignment="1">
      <alignment horizontal="center" vertical="center"/>
    </xf>
    <xf numFmtId="168" fontId="2" fillId="22" borderId="26" xfId="2" applyNumberFormat="1" applyFont="1" applyFill="1" applyBorder="1" applyAlignment="1">
      <alignment horizontal="center" vertical="center"/>
    </xf>
    <xf numFmtId="168" fontId="2" fillId="22" borderId="30" xfId="2" applyNumberFormat="1" applyFont="1" applyFill="1" applyBorder="1" applyAlignment="1">
      <alignment horizontal="center" vertical="center"/>
    </xf>
    <xf numFmtId="9" fontId="2" fillId="0" borderId="0" xfId="2" applyFont="1" applyFill="1" applyBorder="1" applyAlignment="1">
      <alignment horizontal="center" vertical="center"/>
    </xf>
    <xf numFmtId="167" fontId="3" fillId="0" borderId="0" xfId="2" applyNumberFormat="1" applyFont="1" applyBorder="1" applyAlignment="1">
      <alignment horizontal="center" vertical="center"/>
    </xf>
    <xf numFmtId="168" fontId="2" fillId="3" borderId="0" xfId="2" applyNumberFormat="1" applyFont="1" applyFill="1" applyBorder="1" applyAlignment="1">
      <alignment horizontal="center" vertical="center"/>
    </xf>
    <xf numFmtId="49" fontId="2" fillId="22" borderId="0" xfId="1" applyNumberFormat="1" applyFont="1" applyFill="1" applyBorder="1" applyAlignment="1">
      <alignment horizontal="center" vertical="center"/>
    </xf>
    <xf numFmtId="0" fontId="2" fillId="22" borderId="0" xfId="0" applyFont="1" applyFill="1" applyAlignment="1">
      <alignment horizontal="center" vertical="center" wrapText="1"/>
    </xf>
    <xf numFmtId="43" fontId="0" fillId="28" borderId="27" xfId="0" applyNumberFormat="1" applyFill="1" applyBorder="1" applyAlignment="1">
      <alignment horizontal="center" vertical="center"/>
    </xf>
    <xf numFmtId="0" fontId="10" fillId="29" borderId="37" xfId="0" applyFont="1" applyFill="1" applyBorder="1" applyAlignment="1">
      <alignment horizontal="center" vertical="center" wrapText="1"/>
    </xf>
    <xf numFmtId="0" fontId="10" fillId="29" borderId="5" xfId="0" applyFont="1" applyFill="1" applyBorder="1" applyAlignment="1">
      <alignment horizontal="center" vertical="center" wrapText="1"/>
    </xf>
    <xf numFmtId="168" fontId="2" fillId="29" borderId="6" xfId="2" applyNumberFormat="1" applyFont="1" applyFill="1" applyBorder="1" applyAlignment="1">
      <alignment horizontal="center" vertical="center"/>
    </xf>
    <xf numFmtId="168" fontId="2" fillId="29" borderId="7" xfId="2" applyNumberFormat="1" applyFont="1" applyFill="1" applyBorder="1" applyAlignment="1">
      <alignment horizontal="center" vertical="center"/>
    </xf>
    <xf numFmtId="168" fontId="2" fillId="29" borderId="10" xfId="2" applyNumberFormat="1" applyFont="1" applyFill="1" applyBorder="1" applyAlignment="1">
      <alignment horizontal="center" vertical="center"/>
    </xf>
    <xf numFmtId="168" fontId="2" fillId="29" borderId="24" xfId="2" applyNumberFormat="1" applyFont="1" applyFill="1" applyBorder="1" applyAlignment="1">
      <alignment horizontal="center" vertical="center"/>
    </xf>
    <xf numFmtId="49" fontId="2" fillId="4" borderId="0" xfId="1" applyNumberFormat="1" applyFont="1" applyFill="1" applyBorder="1" applyAlignment="1">
      <alignment horizontal="center" vertical="center"/>
    </xf>
    <xf numFmtId="0" fontId="2" fillId="4" borderId="0" xfId="0" applyFont="1" applyFill="1" applyAlignment="1">
      <alignment horizontal="center" vertical="center" wrapText="1"/>
    </xf>
    <xf numFmtId="168" fontId="2" fillId="23" borderId="0" xfId="0" applyNumberFormat="1" applyFont="1" applyFill="1" applyAlignment="1">
      <alignment horizontal="center" vertical="center"/>
    </xf>
    <xf numFmtId="43" fontId="0" fillId="9" borderId="33" xfId="0" applyNumberFormat="1" applyFill="1" applyBorder="1" applyAlignment="1">
      <alignment horizontal="center" vertical="center"/>
    </xf>
    <xf numFmtId="43" fontId="0" fillId="0" borderId="33" xfId="0" applyNumberFormat="1" applyBorder="1" applyAlignment="1">
      <alignment horizontal="center" vertical="center"/>
    </xf>
    <xf numFmtId="168" fontId="2" fillId="23" borderId="1" xfId="0" applyNumberFormat="1" applyFont="1" applyFill="1" applyBorder="1" applyAlignment="1">
      <alignment horizontal="center" vertical="center"/>
    </xf>
    <xf numFmtId="43" fontId="0" fillId="9" borderId="1" xfId="0" applyNumberFormat="1" applyFill="1" applyBorder="1" applyAlignment="1">
      <alignment horizontal="center" vertical="center"/>
    </xf>
    <xf numFmtId="168" fontId="2" fillId="23" borderId="12" xfId="0" applyNumberFormat="1" applyFont="1" applyFill="1" applyBorder="1" applyAlignment="1">
      <alignment horizontal="center" vertical="center"/>
    </xf>
    <xf numFmtId="0" fontId="0" fillId="0" borderId="4" xfId="0" applyBorder="1" applyAlignment="1">
      <alignment horizontal="center" vertical="center"/>
    </xf>
    <xf numFmtId="43" fontId="0" fillId="9" borderId="12" xfId="0" applyNumberFormat="1" applyFill="1" applyBorder="1" applyAlignment="1">
      <alignment horizontal="center" vertical="center"/>
    </xf>
    <xf numFmtId="168" fontId="3" fillId="9" borderId="36" xfId="0" applyNumberFormat="1" applyFont="1" applyFill="1" applyBorder="1" applyAlignment="1">
      <alignment horizontal="center" vertical="center"/>
    </xf>
    <xf numFmtId="43" fontId="0" fillId="9" borderId="36" xfId="0" applyNumberFormat="1" applyFill="1" applyBorder="1" applyAlignment="1">
      <alignment horizontal="center" vertical="center"/>
    </xf>
    <xf numFmtId="43" fontId="0" fillId="9" borderId="38" xfId="0" applyNumberFormat="1" applyFill="1" applyBorder="1" applyAlignment="1">
      <alignment horizontal="center" vertical="center"/>
    </xf>
    <xf numFmtId="0" fontId="2" fillId="23" borderId="2" xfId="0" applyFont="1" applyFill="1" applyBorder="1" applyAlignment="1">
      <alignment horizontal="center" vertical="center"/>
    </xf>
    <xf numFmtId="168" fontId="2" fillId="23" borderId="3" xfId="0" applyNumberFormat="1" applyFont="1" applyFill="1" applyBorder="1" applyAlignment="1">
      <alignment horizontal="center" vertical="center"/>
    </xf>
    <xf numFmtId="168" fontId="2" fillId="23" borderId="4" xfId="0" applyNumberFormat="1" applyFont="1" applyFill="1" applyBorder="1" applyAlignment="1">
      <alignment horizontal="center" vertical="center"/>
    </xf>
    <xf numFmtId="168" fontId="2" fillId="29" borderId="40" xfId="2" applyNumberFormat="1" applyFont="1" applyFill="1" applyBorder="1" applyAlignment="1">
      <alignment horizontal="center" vertical="center"/>
    </xf>
    <xf numFmtId="168" fontId="2" fillId="29" borderId="41" xfId="2" applyNumberFormat="1" applyFont="1" applyFill="1" applyBorder="1" applyAlignment="1">
      <alignment horizontal="center" vertical="center"/>
    </xf>
    <xf numFmtId="168" fontId="2" fillId="29" borderId="42" xfId="2" applyNumberFormat="1" applyFont="1" applyFill="1" applyBorder="1" applyAlignment="1">
      <alignment horizontal="center" vertical="center"/>
    </xf>
    <xf numFmtId="168" fontId="2" fillId="29" borderId="43" xfId="2" applyNumberFormat="1" applyFont="1" applyFill="1" applyBorder="1" applyAlignment="1">
      <alignment horizontal="center" vertical="center"/>
    </xf>
    <xf numFmtId="9" fontId="0" fillId="28" borderId="0" xfId="2" applyFont="1" applyFill="1" applyBorder="1" applyAlignment="1">
      <alignment vertical="center"/>
    </xf>
    <xf numFmtId="0" fontId="2" fillId="24" borderId="2" xfId="0" applyFont="1" applyFill="1" applyBorder="1" applyAlignment="1">
      <alignment horizontal="center" vertical="center"/>
    </xf>
    <xf numFmtId="168" fontId="2" fillId="18" borderId="3" xfId="2" applyNumberFormat="1" applyFont="1" applyFill="1" applyBorder="1" applyAlignment="1">
      <alignment horizontal="center" vertical="center"/>
    </xf>
    <xf numFmtId="168" fontId="2" fillId="18" borderId="4" xfId="2" applyNumberFormat="1" applyFont="1" applyFill="1" applyBorder="1" applyAlignment="1">
      <alignment horizontal="center" vertical="center"/>
    </xf>
    <xf numFmtId="49" fontId="2" fillId="18" borderId="0" xfId="1" applyNumberFormat="1" applyFont="1" applyFill="1" applyBorder="1" applyAlignment="1">
      <alignment horizontal="center" vertical="center"/>
    </xf>
    <xf numFmtId="0" fontId="2" fillId="18" borderId="0" xfId="0" applyFont="1" applyFill="1" applyAlignment="1">
      <alignment horizontal="center" vertical="center" wrapText="1"/>
    </xf>
    <xf numFmtId="0" fontId="2" fillId="25" borderId="2" xfId="0" applyFont="1" applyFill="1" applyBorder="1" applyAlignment="1">
      <alignment horizontal="center" vertical="center"/>
    </xf>
    <xf numFmtId="168" fontId="2" fillId="6" borderId="3" xfId="2" applyNumberFormat="1" applyFont="1" applyFill="1" applyBorder="1" applyAlignment="1">
      <alignment horizontal="center" vertical="center"/>
    </xf>
    <xf numFmtId="168" fontId="2" fillId="6" borderId="4" xfId="2" applyNumberFormat="1" applyFont="1" applyFill="1" applyBorder="1" applyAlignment="1">
      <alignment horizontal="center" vertical="center"/>
    </xf>
    <xf numFmtId="9" fontId="3" fillId="0" borderId="0" xfId="2" applyFont="1" applyFill="1" applyBorder="1" applyAlignment="1">
      <alignment horizontal="center" vertical="center"/>
    </xf>
    <xf numFmtId="49" fontId="2" fillId="14" borderId="0" xfId="1" applyNumberFormat="1" applyFont="1" applyFill="1" applyBorder="1" applyAlignment="1">
      <alignment horizontal="center" vertical="center"/>
    </xf>
    <xf numFmtId="43" fontId="0" fillId="11" borderId="33" xfId="0" applyNumberFormat="1" applyFill="1" applyBorder="1" applyAlignment="1">
      <alignment horizontal="center" vertical="center"/>
    </xf>
    <xf numFmtId="168" fontId="2" fillId="3" borderId="1" xfId="2" applyNumberFormat="1" applyFont="1" applyFill="1" applyBorder="1" applyAlignment="1">
      <alignment horizontal="center" vertical="center"/>
    </xf>
    <xf numFmtId="43" fontId="0" fillId="11" borderId="1" xfId="0" applyNumberFormat="1" applyFill="1" applyBorder="1" applyAlignment="1">
      <alignment horizontal="center" vertical="center"/>
    </xf>
    <xf numFmtId="0" fontId="2" fillId="14" borderId="0" xfId="0" applyFont="1" applyFill="1" applyAlignment="1">
      <alignment horizontal="center" vertical="center" wrapText="1"/>
    </xf>
    <xf numFmtId="9" fontId="3" fillId="0" borderId="0" xfId="2" applyFont="1" applyFill="1" applyAlignment="1">
      <alignment horizontal="center" vertical="center"/>
    </xf>
    <xf numFmtId="49" fontId="2" fillId="3" borderId="0" xfId="1" applyNumberFormat="1" applyFont="1" applyFill="1" applyBorder="1" applyAlignment="1">
      <alignment horizontal="center" vertical="center"/>
    </xf>
    <xf numFmtId="0" fontId="2" fillId="3" borderId="0" xfId="0" applyFont="1" applyFill="1" applyAlignment="1">
      <alignment horizontal="center" vertical="center" wrapText="1"/>
    </xf>
    <xf numFmtId="49" fontId="2" fillId="6" borderId="0" xfId="1" applyNumberFormat="1" applyFont="1" applyFill="1" applyBorder="1" applyAlignment="1">
      <alignment horizontal="center" vertical="center"/>
    </xf>
    <xf numFmtId="0" fontId="2" fillId="6" borderId="0" xfId="0" applyFont="1" applyFill="1" applyAlignment="1">
      <alignment horizontal="center" vertical="center" wrapText="1"/>
    </xf>
    <xf numFmtId="168" fontId="3" fillId="9" borderId="28" xfId="0" applyNumberFormat="1" applyFont="1" applyFill="1" applyBorder="1" applyAlignment="1">
      <alignment horizontal="center" vertical="center"/>
    </xf>
    <xf numFmtId="168" fontId="3" fillId="0" borderId="28" xfId="0" applyNumberFormat="1" applyFont="1" applyBorder="1" applyAlignment="1">
      <alignment horizontal="center" vertical="center"/>
    </xf>
    <xf numFmtId="168" fontId="3" fillId="9" borderId="29" xfId="0" applyNumberFormat="1" applyFont="1" applyFill="1" applyBorder="1" applyAlignment="1">
      <alignment horizontal="center" vertical="center"/>
    </xf>
    <xf numFmtId="43" fontId="0" fillId="11" borderId="35" xfId="0" applyNumberFormat="1" applyFill="1" applyBorder="1" applyAlignment="1">
      <alignment horizontal="center" vertical="center"/>
    </xf>
    <xf numFmtId="168" fontId="3" fillId="9" borderId="39" xfId="0" applyNumberFormat="1" applyFont="1" applyFill="1" applyBorder="1" applyAlignment="1">
      <alignment horizontal="center" vertical="center"/>
    </xf>
    <xf numFmtId="43" fontId="0" fillId="11" borderId="36" xfId="0" applyNumberFormat="1" applyFill="1" applyBorder="1" applyAlignment="1">
      <alignment horizontal="center" vertical="center"/>
    </xf>
    <xf numFmtId="0" fontId="2" fillId="27" borderId="2" xfId="0" applyFont="1" applyFill="1" applyBorder="1" applyAlignment="1">
      <alignment horizontal="center" vertical="center"/>
    </xf>
    <xf numFmtId="168" fontId="2" fillId="14" borderId="3" xfId="2" applyNumberFormat="1" applyFont="1" applyFill="1" applyBorder="1" applyAlignment="1">
      <alignment horizontal="center" vertical="center"/>
    </xf>
    <xf numFmtId="43" fontId="0" fillId="11" borderId="38" xfId="0" applyNumberFormat="1" applyFill="1" applyBorder="1" applyAlignment="1">
      <alignment horizontal="center" vertical="center"/>
    </xf>
    <xf numFmtId="43" fontId="0" fillId="11" borderId="31" xfId="0" applyNumberFormat="1" applyFill="1" applyBorder="1" applyAlignment="1">
      <alignment horizontal="center" vertical="center"/>
    </xf>
    <xf numFmtId="43" fontId="0" fillId="11" borderId="11" xfId="0" applyNumberFormat="1" applyFill="1" applyBorder="1" applyAlignment="1">
      <alignment horizontal="center" vertical="center"/>
    </xf>
    <xf numFmtId="168" fontId="3" fillId="9" borderId="25" xfId="0" applyNumberFormat="1" applyFont="1" applyFill="1" applyBorder="1" applyAlignment="1">
      <alignment horizontal="center" vertical="center"/>
    </xf>
    <xf numFmtId="43" fontId="0" fillId="11" borderId="12" xfId="0" applyNumberFormat="1" applyFill="1" applyBorder="1" applyAlignment="1">
      <alignment horizontal="center" vertical="center"/>
    </xf>
    <xf numFmtId="168" fontId="3" fillId="9" borderId="1" xfId="0" applyNumberFormat="1" applyFont="1" applyFill="1" applyBorder="1" applyAlignment="1">
      <alignment horizontal="center" vertical="center"/>
    </xf>
    <xf numFmtId="43" fontId="0" fillId="0" borderId="24" xfId="0" applyNumberFormat="1" applyBorder="1" applyAlignment="1">
      <alignment vertical="center"/>
    </xf>
    <xf numFmtId="43" fontId="0" fillId="0" borderId="27" xfId="1" applyFont="1" applyBorder="1" applyAlignment="1">
      <alignment vertical="center"/>
    </xf>
    <xf numFmtId="0" fontId="11" fillId="5" borderId="1" xfId="0" applyFont="1" applyFill="1" applyBorder="1" applyAlignment="1">
      <alignment vertical="center"/>
    </xf>
    <xf numFmtId="0" fontId="11" fillId="5" borderId="1" xfId="0" applyFont="1" applyFill="1" applyBorder="1" applyAlignment="1">
      <alignment horizontal="center" vertical="center" wrapText="1"/>
    </xf>
    <xf numFmtId="0" fontId="0" fillId="28" borderId="1" xfId="0" applyFill="1" applyBorder="1" applyAlignment="1">
      <alignment vertical="center"/>
    </xf>
    <xf numFmtId="0" fontId="3" fillId="0" borderId="1" xfId="0" applyFont="1" applyBorder="1" applyAlignment="1">
      <alignment horizontal="center" vertical="center"/>
    </xf>
    <xf numFmtId="0" fontId="0" fillId="30" borderId="4" xfId="0" applyFill="1" applyBorder="1" applyAlignment="1">
      <alignment vertical="center"/>
    </xf>
    <xf numFmtId="43" fontId="0" fillId="30" borderId="1" xfId="1" applyFont="1" applyFill="1" applyBorder="1" applyAlignment="1">
      <alignment vertical="center"/>
    </xf>
    <xf numFmtId="43" fontId="0" fillId="30" borderId="2" xfId="1" applyFont="1" applyFill="1" applyBorder="1" applyAlignment="1">
      <alignment vertical="center"/>
    </xf>
    <xf numFmtId="0" fontId="3" fillId="30" borderId="4" xfId="0" applyFont="1" applyFill="1" applyBorder="1" applyAlignment="1">
      <alignment vertical="center"/>
    </xf>
    <xf numFmtId="43" fontId="3" fillId="30" borderId="1" xfId="1" applyFont="1" applyFill="1" applyBorder="1" applyAlignment="1">
      <alignment vertical="center"/>
    </xf>
    <xf numFmtId="43" fontId="3" fillId="30" borderId="2" xfId="1" applyFont="1" applyFill="1" applyBorder="1" applyAlignment="1">
      <alignment vertical="center"/>
    </xf>
    <xf numFmtId="43" fontId="3" fillId="0" borderId="5" xfId="1" applyFont="1" applyBorder="1" applyAlignment="1">
      <alignment vertical="center"/>
    </xf>
    <xf numFmtId="0" fontId="2" fillId="6" borderId="8" xfId="0" applyFont="1" applyFill="1" applyBorder="1" applyAlignment="1">
      <alignment vertical="center"/>
    </xf>
    <xf numFmtId="0" fontId="2" fillId="6" borderId="8" xfId="0" applyFont="1" applyFill="1" applyBorder="1" applyAlignment="1">
      <alignment horizontal="center" vertical="center"/>
    </xf>
    <xf numFmtId="0" fontId="0" fillId="30" borderId="1" xfId="0" applyFill="1" applyBorder="1" applyAlignment="1">
      <alignment vertical="center"/>
    </xf>
    <xf numFmtId="0" fontId="3" fillId="30" borderId="1" xfId="0" applyFont="1" applyFill="1" applyBorder="1" applyAlignment="1">
      <alignment vertical="center"/>
    </xf>
    <xf numFmtId="0" fontId="2" fillId="14" borderId="8" xfId="0" applyFont="1" applyFill="1" applyBorder="1" applyAlignment="1">
      <alignment vertical="center"/>
    </xf>
    <xf numFmtId="0" fontId="2" fillId="14" borderId="8" xfId="0" applyFont="1" applyFill="1" applyBorder="1" applyAlignment="1">
      <alignment horizontal="center" vertical="center"/>
    </xf>
    <xf numFmtId="8" fontId="0" fillId="0" borderId="0" xfId="0" applyNumberFormat="1" applyAlignment="1">
      <alignment vertical="center"/>
    </xf>
    <xf numFmtId="8" fontId="0" fillId="0" borderId="1" xfId="0" applyNumberFormat="1" applyBorder="1" applyAlignment="1">
      <alignment vertical="center"/>
    </xf>
    <xf numFmtId="43" fontId="0" fillId="0" borderId="0" xfId="1" applyFont="1"/>
    <xf numFmtId="49" fontId="3" fillId="2" borderId="0" xfId="0" applyNumberFormat="1" applyFont="1" applyFill="1"/>
    <xf numFmtId="49" fontId="0" fillId="0" borderId="1" xfId="0" applyNumberFormat="1" applyBorder="1"/>
    <xf numFmtId="49" fontId="0" fillId="0" borderId="0" xfId="1" applyNumberFormat="1" applyFont="1"/>
    <xf numFmtId="10" fontId="0" fillId="0" borderId="0" xfId="1" applyNumberFormat="1" applyFont="1" applyAlignment="1">
      <alignment horizontal="right" vertical="center"/>
    </xf>
    <xf numFmtId="10" fontId="0" fillId="0" borderId="1" xfId="0" applyNumberFormat="1" applyBorder="1" applyAlignment="1">
      <alignment horizontal="center" vertical="center"/>
    </xf>
    <xf numFmtId="10" fontId="0" fillId="0" borderId="11" xfId="2" applyNumberFormat="1" applyFont="1" applyBorder="1" applyAlignment="1">
      <alignment horizontal="center" vertical="center"/>
    </xf>
    <xf numFmtId="10" fontId="3" fillId="0" borderId="1" xfId="0" applyNumberFormat="1" applyFont="1" applyBorder="1" applyAlignment="1">
      <alignment horizontal="center" vertical="center"/>
    </xf>
    <xf numFmtId="10" fontId="3" fillId="0" borderId="1" xfId="2" applyNumberFormat="1" applyFont="1" applyBorder="1" applyAlignment="1">
      <alignment horizontal="center" vertical="center"/>
    </xf>
    <xf numFmtId="10" fontId="3" fillId="0" borderId="0" xfId="2" applyNumberFormat="1" applyFont="1" applyAlignment="1">
      <alignment horizontal="center" vertical="center"/>
    </xf>
    <xf numFmtId="10" fontId="3" fillId="0" borderId="0" xfId="2" applyNumberFormat="1" applyFont="1" applyAlignment="1">
      <alignment vertical="center"/>
    </xf>
    <xf numFmtId="10" fontId="3" fillId="0" borderId="0" xfId="0" applyNumberFormat="1" applyFont="1" applyAlignment="1">
      <alignment vertical="center"/>
    </xf>
    <xf numFmtId="0" fontId="12" fillId="0" borderId="0" xfId="0" applyFont="1" applyAlignment="1">
      <alignment horizontal="left" vertical="center"/>
    </xf>
    <xf numFmtId="0" fontId="0" fillId="0" borderId="0" xfId="0" applyAlignment="1">
      <alignment horizontal="center" vertical="center"/>
    </xf>
    <xf numFmtId="0" fontId="4" fillId="0" borderId="0" xfId="0" applyFont="1" applyAlignment="1">
      <alignment horizontal="left" vertical="center"/>
    </xf>
    <xf numFmtId="0" fontId="4" fillId="0" borderId="0" xfId="0" applyFont="1" applyAlignment="1">
      <alignment horizontal="center" vertical="center"/>
    </xf>
    <xf numFmtId="0" fontId="0" fillId="0" borderId="8" xfId="0"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8" fillId="3" borderId="0" xfId="0" applyFont="1" applyFill="1" applyAlignment="1">
      <alignment horizontal="center" vertical="center"/>
    </xf>
    <xf numFmtId="0" fontId="8" fillId="14" borderId="0" xfId="0" applyFont="1" applyFill="1" applyAlignment="1">
      <alignment horizontal="center" vertical="center"/>
    </xf>
    <xf numFmtId="0" fontId="8" fillId="3" borderId="33" xfId="0" applyFont="1" applyFill="1" applyBorder="1" applyAlignment="1">
      <alignment horizontal="center" vertical="center"/>
    </xf>
    <xf numFmtId="0" fontId="9" fillId="3" borderId="34" xfId="0" applyFont="1" applyFill="1" applyBorder="1" applyAlignment="1">
      <alignment horizontal="center" vertical="center"/>
    </xf>
    <xf numFmtId="0" fontId="8" fillId="14" borderId="31" xfId="0" applyFont="1" applyFill="1" applyBorder="1" applyAlignment="1">
      <alignment horizontal="center" vertical="center"/>
    </xf>
    <xf numFmtId="0" fontId="9" fillId="14" borderId="32" xfId="0" applyFont="1" applyFill="1"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45" xfId="0" applyBorder="1" applyAlignment="1">
      <alignment horizontal="center" vertical="center"/>
    </xf>
    <xf numFmtId="0" fontId="8" fillId="6" borderId="0" xfId="0" applyFont="1" applyFill="1" applyAlignment="1">
      <alignment horizontal="center" vertical="center"/>
    </xf>
    <xf numFmtId="0" fontId="8" fillId="18" borderId="0" xfId="0" applyFont="1" applyFill="1" applyAlignment="1">
      <alignment horizontal="center" vertical="center"/>
    </xf>
    <xf numFmtId="0" fontId="8" fillId="22" borderId="27" xfId="0" applyFont="1" applyFill="1" applyBorder="1" applyAlignment="1">
      <alignment horizontal="center" vertical="center"/>
    </xf>
    <xf numFmtId="0" fontId="8" fillId="4" borderId="33" xfId="0" applyFont="1" applyFill="1" applyBorder="1" applyAlignment="1">
      <alignment horizontal="center" vertical="center"/>
    </xf>
    <xf numFmtId="0" fontId="9" fillId="4" borderId="34" xfId="0" applyFont="1" applyFill="1" applyBorder="1" applyAlignment="1">
      <alignment horizontal="center" vertical="center"/>
    </xf>
    <xf numFmtId="0" fontId="9" fillId="4" borderId="28" xfId="0" applyFont="1" applyFill="1" applyBorder="1" applyAlignment="1">
      <alignment horizontal="center" vertical="center"/>
    </xf>
    <xf numFmtId="0" fontId="8" fillId="18" borderId="31" xfId="0" applyFont="1" applyFill="1" applyBorder="1" applyAlignment="1">
      <alignment horizontal="center" vertical="center"/>
    </xf>
    <xf numFmtId="0" fontId="9" fillId="18" borderId="32" xfId="0" applyFont="1" applyFill="1" applyBorder="1" applyAlignment="1">
      <alignment horizontal="center" vertical="center"/>
    </xf>
    <xf numFmtId="0" fontId="8" fillId="6" borderId="31" xfId="0" applyFont="1" applyFill="1" applyBorder="1" applyAlignment="1">
      <alignment horizontal="center" vertical="center"/>
    </xf>
    <xf numFmtId="0" fontId="9" fillId="6" borderId="32" xfId="0" applyFont="1" applyFill="1"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8" fillId="22" borderId="0" xfId="0" applyFont="1" applyFill="1" applyAlignment="1">
      <alignment horizontal="center" vertical="center"/>
    </xf>
    <xf numFmtId="0" fontId="8" fillId="4" borderId="31" xfId="0" applyFont="1" applyFill="1" applyBorder="1" applyAlignment="1">
      <alignment horizontal="center" vertical="center"/>
    </xf>
    <xf numFmtId="0" fontId="9" fillId="4" borderId="32" xfId="0" applyFont="1" applyFill="1" applyBorder="1" applyAlignment="1">
      <alignment horizontal="center" vertical="center"/>
    </xf>
    <xf numFmtId="0" fontId="9" fillId="4" borderId="29" xfId="0" applyFont="1" applyFill="1" applyBorder="1" applyAlignment="1">
      <alignment horizontal="center" vertical="center"/>
    </xf>
    <xf numFmtId="0" fontId="9" fillId="18" borderId="29" xfId="0" applyFont="1" applyFill="1" applyBorder="1" applyAlignment="1">
      <alignment horizontal="center" vertical="center"/>
    </xf>
    <xf numFmtId="0" fontId="9" fillId="6" borderId="29" xfId="0" applyFont="1" applyFill="1" applyBorder="1" applyAlignment="1">
      <alignment horizontal="center" vertical="center"/>
    </xf>
    <xf numFmtId="0" fontId="8" fillId="3" borderId="31" xfId="0" applyFont="1" applyFill="1" applyBorder="1" applyAlignment="1">
      <alignment horizontal="center" vertical="center"/>
    </xf>
    <xf numFmtId="0" fontId="9" fillId="3" borderId="32" xfId="0" applyFont="1" applyFill="1" applyBorder="1" applyAlignment="1">
      <alignment horizontal="center" vertical="center"/>
    </xf>
    <xf numFmtId="0" fontId="9" fillId="3" borderId="29" xfId="0" applyFont="1" applyFill="1" applyBorder="1" applyAlignment="1">
      <alignment horizontal="center" vertical="center"/>
    </xf>
    <xf numFmtId="0" fontId="0" fillId="0" borderId="44" xfId="0" applyBorder="1" applyAlignment="1">
      <alignment horizontal="center" vertical="center"/>
    </xf>
    <xf numFmtId="0" fontId="8" fillId="4" borderId="0" xfId="0" applyFont="1" applyFill="1" applyAlignment="1">
      <alignment horizontal="center" vertical="center"/>
    </xf>
  </cellXfs>
  <cellStyles count="3">
    <cellStyle name="Comma" xfId="1" builtinId="3"/>
    <cellStyle name="Normal" xfId="0" builtinId="0"/>
    <cellStyle name="Percent" xfId="2" builtinId="5"/>
  </cellStyles>
  <dxfs count="1517">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numFmt numFmtId="168" formatCode="0.0%"/>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0.14999847407452621"/>
        </patternFill>
      </fill>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0"/>
        <name val="Calibri"/>
        <family val="2"/>
        <scheme val="minor"/>
      </font>
      <numFmt numFmtId="168" formatCode="0.0%"/>
      <fill>
        <patternFill patternType="solid">
          <fgColor indexed="64"/>
          <bgColor theme="4"/>
        </patternFill>
      </fill>
      <alignment horizontal="center" vertical="center" textRotation="0" wrapText="0" indent="0" justifyLastLine="0" shrinkToFit="0" readingOrder="0"/>
      <border diagonalUp="0" diagonalDown="0">
        <left/>
        <right/>
        <top/>
        <bottom/>
        <vertical/>
        <horizontal/>
      </border>
    </dxf>
    <dxf>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35" formatCode="_ * #,##0.00_ ;_ * \-#,##0.00_ ;_ * &quot;-&quot;??_ ;_ @_ "/>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numFmt numFmtId="168" formatCode="0.0%"/>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solid">
          <fgColor indexed="64"/>
          <bgColor theme="0" tint="-0.14999847407452621"/>
        </patternFill>
      </fill>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0"/>
        <name val="Calibri"/>
        <family val="2"/>
        <scheme val="minor"/>
      </font>
      <numFmt numFmtId="168" formatCode="0.0%"/>
      <fill>
        <patternFill patternType="solid">
          <fgColor indexed="64"/>
          <bgColor theme="4"/>
        </patternFill>
      </fill>
      <alignment horizontal="center" vertical="center" textRotation="0" wrapText="0" indent="0" justifyLastLine="0" shrinkToFit="0" readingOrder="0"/>
      <border diagonalUp="0" diagonalDown="0">
        <left/>
        <right/>
        <top/>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35" formatCode="_ * #,##0.00_ ;_ * \-#,##0.00_ ;_ * &quot;-&quot;??_ ;_ @_ "/>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35" formatCode="_ * #,##0.00_ ;_ * \-#,##0.00_ ;_ * &quot;-&quot;??_ ;_ @_ "/>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35" formatCode="_ * #,##0.00_ ;_ * \-#,##0.00_ ;_ * &quot;-&quot;??_ ;_ @_ "/>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35" formatCode="_ * #,##0.00_ ;_ * \-#,##0.00_ ;_ * &quot;-&quot;??_ ;_ @_ "/>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i val="0"/>
        <strike val="0"/>
        <condense val="0"/>
        <extend val="0"/>
        <outline val="0"/>
        <shadow val="0"/>
        <u val="none"/>
        <vertAlign val="baseline"/>
        <sz val="11"/>
        <color theme="1"/>
        <name val="Calibri"/>
        <family val="2"/>
        <scheme val="minor"/>
      </font>
      <numFmt numFmtId="168" formatCode="0.0%"/>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right style="thin">
          <color theme="1"/>
        </right>
        <top style="thin">
          <color theme="1"/>
        </top>
        <bottom style="thin">
          <color theme="1"/>
        </bottom>
        <vertical/>
        <horizontal/>
      </border>
    </dxf>
    <dxf>
      <border diagonalUp="0" diagonalDown="0">
        <left style="thin">
          <color indexed="64"/>
        </left>
        <right style="thin">
          <color indexed="64"/>
        </right>
        <top style="thin">
          <color indexed="64"/>
        </top>
        <bottom style="thin">
          <color indexed="64"/>
        </bottom>
      </border>
    </dxf>
    <dxf>
      <fill>
        <patternFill patternType="solid">
          <fgColor indexed="64"/>
          <bgColor theme="0" tint="-0.14999847407452621"/>
        </patternFill>
      </fill>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0"/>
        <name val="Calibri"/>
        <family val="2"/>
        <scheme val="minor"/>
      </font>
      <numFmt numFmtId="168" formatCode="0.0%"/>
      <fill>
        <patternFill patternType="solid">
          <fgColor indexed="64"/>
          <bgColor theme="4"/>
        </patternFill>
      </fill>
      <alignment horizontal="center" vertical="center" textRotation="0" wrapText="0" indent="0" justifyLastLine="0" shrinkToFit="0" readingOrder="0"/>
      <border diagonalUp="0" diagonalDown="0" outline="0">
        <left/>
        <right/>
        <top/>
        <bottom/>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center" textRotation="0" wrapText="1"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8" tint="-0.249977111117893"/>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8" tint="-0.249977111117893"/>
        </patternFill>
      </fill>
      <alignment horizontal="center" vertical="center" textRotation="0" wrapText="1"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8"/>
        </patternFill>
      </fill>
      <alignment horizontal="center"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8" tint="-0.249977111117893"/>
        </patternFill>
      </fill>
      <alignment horizontal="center"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8" tint="-0.249977111117893"/>
        </patternFill>
      </fill>
      <alignment horizontal="center"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8" tint="-0.249977111117893"/>
        </patternFill>
      </fill>
      <alignment horizontal="center"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5"/>
        </patternFill>
      </fill>
      <alignment horizontal="center"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7030A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7030A0"/>
        </patternFill>
      </fill>
      <alignment horizontal="center" vertical="center" textRotation="0" wrapText="1"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7030A0"/>
        </patternFill>
      </fill>
      <alignment horizontal="center"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7030A0"/>
        </patternFill>
      </fill>
      <alignment horizontal="center"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7030A0"/>
        </patternFill>
      </fill>
      <alignment horizontal="center"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7030A0"/>
        </patternFill>
      </fill>
      <alignment horizontal="center"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7030A0"/>
        </patternFill>
      </fill>
      <alignment horizontal="center"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8"/>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8"/>
        </patternFill>
      </fill>
      <alignment horizontal="center" vertical="center" textRotation="0" wrapText="1"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8"/>
        </patternFill>
      </fill>
      <alignment horizontal="center"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8"/>
        </patternFill>
      </fill>
      <alignment horizontal="center"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8"/>
        </patternFill>
      </fill>
      <alignment horizontal="center"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DE0000"/>
        </patternFill>
      </fill>
      <alignment horizontal="center"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5"/>
        </patternFill>
      </fill>
      <alignment horizontal="center"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DE000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5"/>
        </patternFill>
      </fill>
      <alignment horizontal="center" vertical="center" textRotation="0" wrapText="1"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DE0000"/>
        </patternFill>
      </fill>
      <alignment horizontal="center"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DE0000"/>
        </patternFill>
      </fill>
      <alignment horizontal="center"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DE0000"/>
        </patternFill>
      </fill>
      <alignment horizontal="center"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DE0000"/>
        </patternFill>
      </fill>
      <alignment horizontal="center"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5"/>
        </patternFill>
      </fill>
      <alignment horizontal="center"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DE000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DE0000"/>
        </patternFill>
      </fill>
      <alignment horizontal="center" vertical="center" textRotation="0" wrapText="1"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DE0000"/>
        </patternFill>
      </fill>
      <alignment horizontal="center" vertical="center" textRotation="0" wrapText="0" indent="0" justifyLastLine="0" shrinkToFit="0" readingOrder="0"/>
    </dxf>
    <dxf>
      <fill>
        <patternFill patternType="solid">
          <fgColor indexed="64"/>
          <bgColor theme="0" tint="-4.9989318521683403E-2"/>
        </patternFill>
      </fill>
      <alignment horizontal="general" vertical="center" textRotation="0" wrapText="0" indent="0" justifyLastLine="0" shrinkToFit="0" readingOrder="0"/>
    </dxf>
    <dxf>
      <numFmt numFmtId="14" formatCode="0.00%"/>
      <fill>
        <patternFill patternType="solid">
          <fgColor indexed="64"/>
          <bgColor theme="0" tint="-4.9989318521683403E-2"/>
        </patternFill>
      </fill>
      <alignment horizontal="general" vertical="center" textRotation="0" wrapText="0" indent="0" justifyLastLine="0" shrinkToFit="0" readingOrder="0"/>
    </dxf>
    <dxf>
      <numFmt numFmtId="14" formatCode="0.00%"/>
      <fill>
        <patternFill patternType="solid">
          <fgColor indexed="64"/>
          <bgColor theme="0" tint="-4.9989318521683403E-2"/>
        </patternFill>
      </fill>
      <alignment horizontal="general" vertical="center" textRotation="0" wrapText="0" indent="0" justifyLastLine="0" shrinkToFit="0" readingOrder="0"/>
    </dxf>
    <dxf>
      <numFmt numFmtId="14" formatCode="0.00%"/>
      <fill>
        <patternFill patternType="solid">
          <fgColor indexed="64"/>
          <bgColor theme="0" tint="-4.9989318521683403E-2"/>
        </patternFill>
      </fill>
      <alignment horizontal="general" vertical="center" textRotation="0" wrapText="0" indent="0" justifyLastLine="0" shrinkToFit="0" readingOrder="0"/>
    </dxf>
    <dxf>
      <numFmt numFmtId="35" formatCode="_ * #,##0.00_ ;_ * \-#,##0.00_ ;_ * &quot;-&quot;??_ ;_ @_ "/>
      <fill>
        <patternFill patternType="solid">
          <fgColor indexed="64"/>
          <bgColor theme="0" tint="-4.9989318521683403E-2"/>
        </patternFill>
      </fill>
      <alignment horizontal="general" vertical="center" textRotation="0" wrapText="0" indent="0" justifyLastLine="0" shrinkToFit="0" readingOrder="0"/>
    </dxf>
    <dxf>
      <numFmt numFmtId="35" formatCode="_ * #,##0.00_ ;_ * \-#,##0.00_ ;_ * &quot;-&quot;??_ ;_ @_ "/>
      <fill>
        <patternFill patternType="solid">
          <fgColor indexed="64"/>
          <bgColor theme="0" tint="-4.9989318521683403E-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5" formatCode="_ * #,##0.00_ ;_ * \-#,##0.00_ ;_ * &quot;-&quot;??_ ;_ @_ "/>
      <fill>
        <patternFill patternType="solid">
          <fgColor indexed="64"/>
          <bgColor theme="0" tint="-4.9989318521683403E-2"/>
        </patternFill>
      </fill>
      <alignment horizontal="center" vertical="center" textRotation="0" wrapText="0" indent="0" justifyLastLine="0" shrinkToFit="0" readingOrder="0"/>
    </dxf>
    <dxf>
      <fill>
        <patternFill patternType="solid">
          <fgColor indexed="64"/>
          <bgColor theme="0" tint="-4.9989318521683403E-2"/>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DE0000"/>
        </patternFill>
      </fill>
      <alignment horizontal="center"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DE0000"/>
        </patternFill>
      </fill>
      <alignment horizontal="center"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DE0000"/>
        </patternFill>
      </fill>
      <alignment horizontal="center"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DE0000"/>
        </patternFill>
      </fill>
      <alignment horizontal="center"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DE0000"/>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font>
      <numFmt numFmtId="168" formatCode="0.0%"/>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outline="0">
        <left/>
        <right style="thin">
          <color theme="1"/>
        </right>
        <top style="thin">
          <color theme="1"/>
        </top>
        <bottom style="thin">
          <color theme="1"/>
        </bottom>
      </border>
    </dxf>
    <dxf>
      <font>
        <b/>
      </font>
      <numFmt numFmtId="168" formatCode="0.0%"/>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border outline="0">
        <top style="thin">
          <color theme="1"/>
        </top>
      </border>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8" tint="-0.249977111117893"/>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outline="0">
        <left/>
        <right style="thin">
          <color theme="1"/>
        </right>
        <top style="thin">
          <color theme="1"/>
        </top>
        <bottom style="thin">
          <color theme="1"/>
        </bottom>
      </border>
    </dxf>
    <dxf>
      <font>
        <b/>
      </font>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border outline="0">
        <top style="thin">
          <color theme="1"/>
        </top>
      </border>
    </dxf>
    <dxf>
      <alignment horizontal="general" vertical="center" textRotation="0" wrapText="0" indent="0" justifyLastLine="0" shrinkToFit="0" readingOrder="0"/>
    </dxf>
    <dxf>
      <border>
        <bottom style="thin">
          <color theme="1"/>
        </bottom>
      </border>
    </dxf>
    <dxf>
      <font>
        <b/>
        <i val="0"/>
        <strike val="0"/>
        <condense val="0"/>
        <extend val="0"/>
        <outline val="0"/>
        <shadow val="0"/>
        <u val="none"/>
        <vertAlign val="baseline"/>
        <sz val="11"/>
        <color theme="1"/>
        <name val="Calibri"/>
        <family val="2"/>
        <scheme val="minor"/>
      </font>
      <fill>
        <patternFill patternType="solid">
          <fgColor indexed="64"/>
          <bgColor rgb="FF7030A0"/>
        </patternFill>
      </fill>
      <alignment horizontal="center" vertical="center" textRotation="0" wrapText="0" indent="0" justifyLastLine="0" shrinkToFit="0" readingOrder="0"/>
      <border diagonalUp="0" diagonalDown="0">
        <left/>
        <right/>
        <top/>
        <bottom/>
        <vertical/>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font>
      <numFmt numFmtId="168" formatCode="0.0%"/>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border outline="0">
        <top style="thin">
          <color theme="1"/>
        </top>
      </border>
    </dxf>
    <dxf>
      <alignment horizontal="general" vertical="center" textRotation="0" wrapText="0" indent="0" justifyLastLine="0" shrinkToFit="0" readingOrder="0"/>
    </dxf>
    <dxf>
      <border>
        <bottom style="thin">
          <color theme="1"/>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bottom/>
        <vertical/>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DE0000"/>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font>
      <numFmt numFmtId="168" formatCode="0.0%"/>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outline="0">
        <left/>
        <right style="thin">
          <color theme="1"/>
        </right>
        <top style="thin">
          <color theme="1"/>
        </top>
        <bottom style="thin">
          <color theme="1"/>
        </bottom>
      </border>
    </dxf>
    <dxf>
      <font>
        <b/>
      </font>
      <numFmt numFmtId="168" formatCode="0.0%"/>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border outline="0">
        <top style="thin">
          <color theme="1"/>
        </top>
      </border>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8" tint="-0.249977111117893"/>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outline="0">
        <left/>
        <right style="thin">
          <color theme="1"/>
        </right>
        <top style="thin">
          <color theme="1"/>
        </top>
        <bottom style="thin">
          <color theme="1"/>
        </bottom>
      </border>
    </dxf>
    <dxf>
      <font>
        <b/>
      </font>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border outline="0">
        <top style="thin">
          <color theme="1"/>
        </top>
      </border>
    </dxf>
    <dxf>
      <alignment horizontal="general" vertical="center" textRotation="0" wrapText="0" indent="0" justifyLastLine="0" shrinkToFit="0" readingOrder="0"/>
    </dxf>
    <dxf>
      <border>
        <bottom style="thin">
          <color theme="1"/>
        </bottom>
      </border>
    </dxf>
    <dxf>
      <font>
        <b/>
        <i val="0"/>
        <strike val="0"/>
        <condense val="0"/>
        <extend val="0"/>
        <outline val="0"/>
        <shadow val="0"/>
        <u val="none"/>
        <vertAlign val="baseline"/>
        <sz val="11"/>
        <color theme="1"/>
        <name val="Calibri"/>
        <family val="2"/>
        <scheme val="minor"/>
      </font>
      <fill>
        <patternFill patternType="solid">
          <fgColor indexed="64"/>
          <bgColor rgb="FF7030A0"/>
        </patternFill>
      </fill>
      <alignment horizontal="center" vertical="center" textRotation="0" wrapText="0" indent="0" justifyLastLine="0" shrinkToFit="0" readingOrder="0"/>
      <border diagonalUp="0" diagonalDown="0">
        <left/>
        <right/>
        <top/>
        <bottom/>
        <vertical/>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font>
      <numFmt numFmtId="168" formatCode="0.0%"/>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border outline="0">
        <top style="thin">
          <color theme="1"/>
        </top>
      </border>
    </dxf>
    <dxf>
      <alignment horizontal="general" vertical="center" textRotation="0" wrapText="0" indent="0" justifyLastLine="0" shrinkToFit="0" readingOrder="0"/>
    </dxf>
    <dxf>
      <border>
        <bottom style="thin">
          <color theme="1"/>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bottom/>
        <vertical/>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DE0000"/>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font>
      <numFmt numFmtId="168" formatCode="0.0%"/>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outline="0">
        <left/>
        <right style="thin">
          <color theme="1"/>
        </right>
        <top style="thin">
          <color theme="1"/>
        </top>
        <bottom style="thin">
          <color theme="1"/>
        </bottom>
      </border>
    </dxf>
    <dxf>
      <font>
        <b/>
      </font>
      <numFmt numFmtId="168" formatCode="0.0%"/>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border outline="0">
        <top style="thin">
          <color theme="1"/>
        </top>
      </border>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8" tint="-0.249977111117893"/>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outline="0">
        <left/>
        <right style="thin">
          <color theme="1"/>
        </right>
        <top style="thin">
          <color theme="1"/>
        </top>
        <bottom style="thin">
          <color theme="1"/>
        </bottom>
      </border>
    </dxf>
    <dxf>
      <font>
        <b/>
      </font>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border outline="0">
        <top style="thin">
          <color theme="1"/>
        </top>
      </border>
    </dxf>
    <dxf>
      <alignment horizontal="general" vertical="center" textRotation="0" wrapText="0" indent="0" justifyLastLine="0" shrinkToFit="0" readingOrder="0"/>
    </dxf>
    <dxf>
      <border>
        <bottom style="thin">
          <color theme="1"/>
        </bottom>
      </border>
    </dxf>
    <dxf>
      <font>
        <b/>
        <i val="0"/>
        <strike val="0"/>
        <condense val="0"/>
        <extend val="0"/>
        <outline val="0"/>
        <shadow val="0"/>
        <u val="none"/>
        <vertAlign val="baseline"/>
        <sz val="11"/>
        <color theme="1"/>
        <name val="Calibri"/>
        <family val="2"/>
        <scheme val="minor"/>
      </font>
      <fill>
        <patternFill patternType="solid">
          <fgColor indexed="64"/>
          <bgColor rgb="FF7030A0"/>
        </patternFill>
      </fill>
      <alignment horizontal="center" vertical="center" textRotation="0" wrapText="0" indent="0" justifyLastLine="0" shrinkToFit="0" readingOrder="0"/>
      <border diagonalUp="0" diagonalDown="0">
        <left/>
        <right/>
        <top/>
        <bottom/>
        <vertical/>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font>
      <numFmt numFmtId="168" formatCode="0.0%"/>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border outline="0">
        <top style="thin">
          <color theme="1"/>
        </top>
      </border>
    </dxf>
    <dxf>
      <alignment horizontal="general" vertical="center" textRotation="0" wrapText="0" indent="0" justifyLastLine="0" shrinkToFit="0" readingOrder="0"/>
    </dxf>
    <dxf>
      <border>
        <bottom style="thin">
          <color theme="1"/>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bottom/>
        <vertical/>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DE0000"/>
        </patternFill>
      </fill>
      <alignment horizontal="center" vertical="center" textRotation="0" wrapText="0" indent="0" justifyLastLine="0" shrinkToFit="0" readingOrder="0"/>
    </dxf>
    <dxf>
      <numFmt numFmtId="35" formatCode="_ * #,##0.00_ ;_ * \-#,##0.00_ ;_ * &quot;-&quot;??_ ;_ @_ "/>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68" formatCode="0.0%"/>
      <fill>
        <patternFill patternType="solid">
          <fgColor indexed="64"/>
          <bgColor rgb="FFDE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font>
      <numFmt numFmtId="168" formatCode="0.0%"/>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outline="0">
        <left/>
        <right style="thin">
          <color theme="1"/>
        </right>
        <top style="thin">
          <color theme="1"/>
        </top>
        <bottom style="thin">
          <color theme="1"/>
        </bottom>
      </border>
    </dxf>
    <dxf>
      <font>
        <b/>
      </font>
      <numFmt numFmtId="168" formatCode="0.0%"/>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border outline="0">
        <top style="thin">
          <color theme="1"/>
        </top>
      </border>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8" tint="-0.249977111117893"/>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outline="0">
        <left/>
        <right style="thin">
          <color theme="1"/>
        </right>
        <top style="thin">
          <color theme="1"/>
        </top>
        <bottom style="thin">
          <color theme="1"/>
        </bottom>
      </border>
    </dxf>
    <dxf>
      <font>
        <b/>
      </font>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border outline="0">
        <top style="thin">
          <color theme="1"/>
        </top>
      </border>
    </dxf>
    <dxf>
      <alignment horizontal="general" vertical="center" textRotation="0" wrapText="0" indent="0" justifyLastLine="0" shrinkToFit="0" readingOrder="0"/>
    </dxf>
    <dxf>
      <border>
        <bottom style="thin">
          <color theme="1"/>
        </bottom>
      </border>
    </dxf>
    <dxf>
      <font>
        <b/>
        <i val="0"/>
        <strike val="0"/>
        <condense val="0"/>
        <extend val="0"/>
        <outline val="0"/>
        <shadow val="0"/>
        <u val="none"/>
        <vertAlign val="baseline"/>
        <sz val="11"/>
        <color theme="1"/>
        <name val="Calibri"/>
        <family val="2"/>
        <scheme val="minor"/>
      </font>
      <fill>
        <patternFill patternType="solid">
          <fgColor indexed="64"/>
          <bgColor rgb="FF7030A0"/>
        </patternFill>
      </fill>
      <alignment horizontal="center" vertical="center" textRotation="0" wrapText="0" indent="0" justifyLastLine="0" shrinkToFit="0" readingOrder="0"/>
      <border diagonalUp="0" diagonalDown="0">
        <left/>
        <right/>
        <top/>
        <bottom/>
        <vertical/>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font>
      <numFmt numFmtId="168" formatCode="0.0%"/>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border outline="0">
        <top style="thin">
          <color theme="1"/>
        </top>
      </border>
    </dxf>
    <dxf>
      <alignment horizontal="general" vertical="center" textRotation="0" wrapText="0" indent="0" justifyLastLine="0" shrinkToFit="0" readingOrder="0"/>
    </dxf>
    <dxf>
      <border>
        <bottom style="thin">
          <color theme="1"/>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bottom/>
        <vertical/>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DE0000"/>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font>
      <numFmt numFmtId="168" formatCode="0.0%"/>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outline="0">
        <left/>
        <right style="thin">
          <color theme="1"/>
        </right>
        <top style="thin">
          <color theme="1"/>
        </top>
        <bottom style="thin">
          <color theme="1"/>
        </bottom>
      </border>
    </dxf>
    <dxf>
      <font>
        <b/>
      </font>
      <numFmt numFmtId="168" formatCode="0.0%"/>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border outline="0">
        <top style="thin">
          <color theme="1"/>
        </top>
      </border>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8" tint="-0.249977111117893"/>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outline="0">
        <left/>
        <right style="thin">
          <color theme="1"/>
        </right>
        <top style="thin">
          <color theme="1"/>
        </top>
        <bottom style="thin">
          <color theme="1"/>
        </bottom>
      </border>
    </dxf>
    <dxf>
      <font>
        <b/>
      </font>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border outline="0">
        <top style="thin">
          <color theme="1"/>
        </top>
      </border>
    </dxf>
    <dxf>
      <alignment horizontal="general" vertical="center" textRotation="0" wrapText="0" indent="0" justifyLastLine="0" shrinkToFit="0" readingOrder="0"/>
    </dxf>
    <dxf>
      <border>
        <bottom style="thin">
          <color theme="1"/>
        </bottom>
      </border>
    </dxf>
    <dxf>
      <font>
        <b/>
        <i val="0"/>
        <strike val="0"/>
        <condense val="0"/>
        <extend val="0"/>
        <outline val="0"/>
        <shadow val="0"/>
        <u val="none"/>
        <vertAlign val="baseline"/>
        <sz val="11"/>
        <color theme="1"/>
        <name val="Calibri"/>
        <family val="2"/>
        <scheme val="minor"/>
      </font>
      <fill>
        <patternFill patternType="solid">
          <fgColor indexed="64"/>
          <bgColor rgb="FF7030A0"/>
        </patternFill>
      </fill>
      <alignment horizontal="center" vertical="center" textRotation="0" wrapText="0" indent="0" justifyLastLine="0" shrinkToFit="0" readingOrder="0"/>
      <border diagonalUp="0" diagonalDown="0">
        <left/>
        <right/>
        <top/>
        <bottom/>
        <vertical/>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font>
      <numFmt numFmtId="168" formatCode="0.0%"/>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border outline="0">
        <top style="thin">
          <color theme="1"/>
        </top>
      </border>
    </dxf>
    <dxf>
      <alignment horizontal="general" vertical="center" textRotation="0" wrapText="0" indent="0" justifyLastLine="0" shrinkToFit="0" readingOrder="0"/>
    </dxf>
    <dxf>
      <border>
        <bottom style="thin">
          <color theme="1"/>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bottom/>
        <vertical/>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DE0000"/>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font>
      <numFmt numFmtId="168" formatCode="0.0%"/>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outline="0">
        <left/>
        <right style="thin">
          <color theme="1"/>
        </right>
        <top style="thin">
          <color theme="1"/>
        </top>
        <bottom style="thin">
          <color theme="1"/>
        </bottom>
      </border>
    </dxf>
    <dxf>
      <font>
        <b/>
      </font>
      <numFmt numFmtId="168" formatCode="0.0%"/>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border outline="0">
        <top style="thin">
          <color theme="1"/>
        </top>
      </border>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8" tint="-0.249977111117893"/>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outline="0">
        <left/>
        <right style="thin">
          <color theme="1"/>
        </right>
        <top style="thin">
          <color theme="1"/>
        </top>
        <bottom style="thin">
          <color theme="1"/>
        </bottom>
      </border>
    </dxf>
    <dxf>
      <font>
        <b/>
      </font>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border outline="0">
        <top style="thin">
          <color theme="1"/>
        </top>
      </border>
    </dxf>
    <dxf>
      <alignment horizontal="general" vertical="center" textRotation="0" wrapText="0" indent="0" justifyLastLine="0" shrinkToFit="0" readingOrder="0"/>
    </dxf>
    <dxf>
      <border>
        <bottom style="thin">
          <color theme="1"/>
        </bottom>
      </border>
    </dxf>
    <dxf>
      <font>
        <b/>
        <i val="0"/>
        <strike val="0"/>
        <condense val="0"/>
        <extend val="0"/>
        <outline val="0"/>
        <shadow val="0"/>
        <u val="none"/>
        <vertAlign val="baseline"/>
        <sz val="11"/>
        <color theme="1"/>
        <name val="Calibri"/>
        <family val="2"/>
        <scheme val="minor"/>
      </font>
      <fill>
        <patternFill patternType="solid">
          <fgColor indexed="64"/>
          <bgColor rgb="FF7030A0"/>
        </patternFill>
      </fill>
      <alignment horizontal="center" vertical="center" textRotation="0" wrapText="0" indent="0" justifyLastLine="0" shrinkToFit="0" readingOrder="0"/>
      <border diagonalUp="0" diagonalDown="0">
        <left/>
        <right/>
        <top/>
        <bottom/>
        <vertical/>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font>
      <numFmt numFmtId="168" formatCode="0.0%"/>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border outline="0">
        <top style="thin">
          <color theme="1"/>
        </top>
      </border>
    </dxf>
    <dxf>
      <alignment horizontal="general" vertical="center" textRotation="0" wrapText="0" indent="0" justifyLastLine="0" shrinkToFit="0" readingOrder="0"/>
    </dxf>
    <dxf>
      <border>
        <bottom style="thin">
          <color theme="1"/>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bottom/>
        <vertical/>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DE0000"/>
        </patternFill>
      </fill>
      <alignment horizontal="center" vertical="center" textRotation="0" wrapText="0" indent="0" justifyLastLine="0" shrinkToFit="0" readingOrder="0"/>
    </dxf>
    <dxf>
      <numFmt numFmtId="35" formatCode="_ * #,##0.00_ ;_ * \-#,##0.00_ ;_ * &quot;-&quot;??_ ;_ @_ "/>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68" formatCode="0.0%"/>
      <fill>
        <patternFill patternType="solid">
          <fgColor indexed="64"/>
          <bgColor rgb="FFDE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font>
      <numFmt numFmtId="168" formatCode="0.0%"/>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outline="0">
        <left/>
        <right style="thin">
          <color theme="1"/>
        </right>
        <top style="thin">
          <color theme="1"/>
        </top>
        <bottom style="thin">
          <color theme="1"/>
        </bottom>
      </border>
    </dxf>
    <dxf>
      <font>
        <b/>
      </font>
      <numFmt numFmtId="168" formatCode="0.0%"/>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border outline="0">
        <top style="thin">
          <color theme="1"/>
        </top>
      </border>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8" tint="-0.249977111117893"/>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outline="0">
        <left/>
        <right style="thin">
          <color theme="1"/>
        </right>
        <top style="thin">
          <color theme="1"/>
        </top>
        <bottom style="thin">
          <color theme="1"/>
        </bottom>
      </border>
    </dxf>
    <dxf>
      <font>
        <b/>
      </font>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border outline="0">
        <top style="thin">
          <color theme="1"/>
        </top>
      </border>
    </dxf>
    <dxf>
      <alignment horizontal="general" vertical="center" textRotation="0" wrapText="0" indent="0" justifyLastLine="0" shrinkToFit="0" readingOrder="0"/>
    </dxf>
    <dxf>
      <border>
        <bottom style="thin">
          <color theme="1"/>
        </bottom>
      </border>
    </dxf>
    <dxf>
      <font>
        <b/>
        <i val="0"/>
        <strike val="0"/>
        <condense val="0"/>
        <extend val="0"/>
        <outline val="0"/>
        <shadow val="0"/>
        <u val="none"/>
        <vertAlign val="baseline"/>
        <sz val="11"/>
        <color theme="1"/>
        <name val="Calibri"/>
        <family val="2"/>
        <scheme val="minor"/>
      </font>
      <fill>
        <patternFill patternType="solid">
          <fgColor indexed="64"/>
          <bgColor rgb="FF7030A0"/>
        </patternFill>
      </fill>
      <alignment horizontal="center" vertical="center" textRotation="0" wrapText="0" indent="0" justifyLastLine="0" shrinkToFit="0" readingOrder="0"/>
      <border diagonalUp="0" diagonalDown="0">
        <left/>
        <right/>
        <top/>
        <bottom/>
        <vertical/>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font>
      <numFmt numFmtId="168" formatCode="0.0%"/>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border outline="0">
        <top style="thin">
          <color theme="1"/>
        </top>
      </border>
    </dxf>
    <dxf>
      <alignment horizontal="general" vertical="center" textRotation="0" wrapText="0" indent="0" justifyLastLine="0" shrinkToFit="0" readingOrder="0"/>
    </dxf>
    <dxf>
      <border>
        <bottom style="thin">
          <color theme="1"/>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bottom/>
        <vertical/>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DE0000"/>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font>
      <numFmt numFmtId="168" formatCode="0.0%"/>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outline="0">
        <left/>
        <right style="thin">
          <color theme="1"/>
        </right>
        <top style="thin">
          <color theme="1"/>
        </top>
        <bottom style="thin">
          <color theme="1"/>
        </bottom>
      </border>
    </dxf>
    <dxf>
      <font>
        <b/>
      </font>
      <numFmt numFmtId="168" formatCode="0.0%"/>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border outline="0">
        <top style="thin">
          <color theme="1"/>
        </top>
      </border>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8" tint="-0.249977111117893"/>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outline="0">
        <left/>
        <right style="thin">
          <color theme="1"/>
        </right>
        <top style="thin">
          <color theme="1"/>
        </top>
        <bottom style="thin">
          <color theme="1"/>
        </bottom>
      </border>
    </dxf>
    <dxf>
      <font>
        <b/>
      </font>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border outline="0">
        <top style="thin">
          <color theme="1"/>
        </top>
      </border>
    </dxf>
    <dxf>
      <alignment horizontal="general" vertical="center" textRotation="0" wrapText="0" indent="0" justifyLastLine="0" shrinkToFit="0" readingOrder="0"/>
    </dxf>
    <dxf>
      <border>
        <bottom style="thin">
          <color theme="1"/>
        </bottom>
      </border>
    </dxf>
    <dxf>
      <font>
        <b/>
        <i val="0"/>
        <strike val="0"/>
        <condense val="0"/>
        <extend val="0"/>
        <outline val="0"/>
        <shadow val="0"/>
        <u val="none"/>
        <vertAlign val="baseline"/>
        <sz val="11"/>
        <color theme="1"/>
        <name val="Calibri"/>
        <family val="2"/>
        <scheme val="minor"/>
      </font>
      <fill>
        <patternFill patternType="solid">
          <fgColor indexed="64"/>
          <bgColor rgb="FF7030A0"/>
        </patternFill>
      </fill>
      <alignment horizontal="center" vertical="center" textRotation="0" wrapText="0" indent="0" justifyLastLine="0" shrinkToFit="0" readingOrder="0"/>
      <border diagonalUp="0" diagonalDown="0">
        <left/>
        <right/>
        <top/>
        <bottom/>
        <vertical/>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font>
      <numFmt numFmtId="168" formatCode="0.0%"/>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border outline="0">
        <top style="thin">
          <color theme="1"/>
        </top>
      </border>
    </dxf>
    <dxf>
      <alignment horizontal="general" vertical="center" textRotation="0" wrapText="0" indent="0" justifyLastLine="0" shrinkToFit="0" readingOrder="0"/>
    </dxf>
    <dxf>
      <border>
        <bottom style="thin">
          <color theme="1"/>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bottom/>
        <vertical/>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DE0000"/>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font>
      <numFmt numFmtId="168" formatCode="0.0%"/>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outline="0">
        <left/>
        <right style="thin">
          <color theme="1"/>
        </right>
        <top style="thin">
          <color theme="1"/>
        </top>
        <bottom style="thin">
          <color theme="1"/>
        </bottom>
      </border>
    </dxf>
    <dxf>
      <font>
        <b/>
      </font>
      <numFmt numFmtId="168" formatCode="0.0%"/>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border outline="0">
        <top style="thin">
          <color theme="1"/>
        </top>
      </border>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8" tint="-0.249977111117893"/>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outline="0">
        <left/>
        <right style="thin">
          <color theme="1"/>
        </right>
        <top style="thin">
          <color theme="1"/>
        </top>
        <bottom style="thin">
          <color theme="1"/>
        </bottom>
      </border>
    </dxf>
    <dxf>
      <font>
        <b/>
      </font>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border outline="0">
        <top style="thin">
          <color theme="1"/>
        </top>
      </border>
    </dxf>
    <dxf>
      <alignment horizontal="general" vertical="center" textRotation="0" wrapText="0" indent="0" justifyLastLine="0" shrinkToFit="0" readingOrder="0"/>
    </dxf>
    <dxf>
      <border>
        <bottom style="thin">
          <color theme="1"/>
        </bottom>
      </border>
    </dxf>
    <dxf>
      <font>
        <b/>
        <i val="0"/>
        <strike val="0"/>
        <condense val="0"/>
        <extend val="0"/>
        <outline val="0"/>
        <shadow val="0"/>
        <u val="none"/>
        <vertAlign val="baseline"/>
        <sz val="11"/>
        <color theme="1"/>
        <name val="Calibri"/>
        <family val="2"/>
        <scheme val="minor"/>
      </font>
      <fill>
        <patternFill patternType="solid">
          <fgColor indexed="64"/>
          <bgColor rgb="FF7030A0"/>
        </patternFill>
      </fill>
      <alignment horizontal="center" vertical="center" textRotation="0" wrapText="0" indent="0" justifyLastLine="0" shrinkToFit="0" readingOrder="0"/>
      <border diagonalUp="0" diagonalDown="0">
        <left/>
        <right/>
        <top/>
        <bottom/>
        <vertical/>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font>
      <numFmt numFmtId="168" formatCode="0.0%"/>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border outline="0">
        <top style="thin">
          <color theme="1"/>
        </top>
      </border>
    </dxf>
    <dxf>
      <alignment horizontal="general" vertical="center" textRotation="0" wrapText="0" indent="0" justifyLastLine="0" shrinkToFit="0" readingOrder="0"/>
    </dxf>
    <dxf>
      <border>
        <bottom style="thin">
          <color theme="1"/>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bottom/>
        <vertical/>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border diagonalUp="0" diagonalDown="0">
        <left style="thin">
          <color theme="1"/>
        </left>
        <right style="thin">
          <color theme="1"/>
        </right>
        <top style="thin">
          <color theme="1"/>
        </top>
        <bottom style="thin">
          <color theme="1"/>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DE0000"/>
        </patternFill>
      </fill>
      <alignment horizontal="center" vertical="center" textRotation="0" wrapText="0" indent="0" justifyLastLine="0" shrinkToFit="0" readingOrder="0"/>
    </dxf>
    <dxf>
      <numFmt numFmtId="35" formatCode="_ * #,##0.00_ ;_ * \-#,##0.00_ ;_ * &quot;-&quot;??_ ;_ @_ "/>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numFmt numFmtId="35" formatCode="_ * #,##0.00_ ;_ * \-#,##0.00_ ;_ * &quot;-&quot;??_ ;_ @_ "/>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theme="1"/>
        <name val="Calibri"/>
        <family val="2"/>
        <scheme val="minor"/>
      </font>
      <numFmt numFmtId="168"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68" formatCode="0.0%"/>
      <fill>
        <patternFill patternType="solid">
          <fgColor indexed="64"/>
          <bgColor rgb="FFDE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8" tint="0.59999389629810485"/>
          <bgColor theme="8" tint="0.59999389629810485"/>
        </patternFill>
      </fill>
      <alignment horizontal="general" vertical="center" textRotation="0" wrapText="0" indent="0" justifyLastLine="0" shrinkToFit="0" readingOrder="0"/>
      <border diagonalUp="0" diagonalDown="0">
        <left/>
        <right style="thin">
          <color theme="0"/>
        </right>
        <top style="thin">
          <color theme="0"/>
        </top>
        <bottom style="thin">
          <color theme="0"/>
        </bottom>
        <vertical/>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thin">
          <color theme="0"/>
        </left>
        <right style="thin">
          <color theme="0"/>
        </right>
        <top/>
        <bottom/>
      </border>
    </dxf>
    <dxf>
      <alignment horizontal="center"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002060"/>
        </patternFill>
      </fill>
      <alignment horizontal="right" vertical="center" textRotation="0" wrapText="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vertical="center" textRotation="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thin">
          <color theme="0"/>
        </left>
        <right style="thin">
          <color theme="0"/>
        </right>
        <top/>
        <bottom/>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ill>
        <patternFill patternType="solid">
          <fgColor indexed="64"/>
          <bgColor theme="4" tint="-0.249977111117893"/>
        </patternFill>
      </fill>
      <border diagonalUp="0" diagonalDown="0" outline="0">
        <left/>
        <right/>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4" tint="-0.249977111117893"/>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ill>
        <patternFill patternType="solid">
          <fgColor indexed="64"/>
          <bgColor theme="8" tint="-0.249977111117893"/>
        </patternFill>
      </fill>
      <border diagonalUp="0" diagonalDown="0" outline="0">
        <left/>
        <right/>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8" tint="-0.249977111117893"/>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ill>
        <patternFill patternType="solid">
          <fgColor indexed="64"/>
          <bgColor rgb="FF7030A0"/>
        </patternFill>
      </fill>
      <border diagonalUp="0" diagonalDown="0" outline="0">
        <left/>
        <right/>
        <top/>
        <bottom/>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ill>
        <patternFill patternType="solid">
          <fgColor indexed="64"/>
          <bgColor theme="8"/>
        </patternFill>
      </fill>
      <border diagonalUp="0" diagonalDown="0" outline="0">
        <left/>
        <right/>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7030A0"/>
        </patternFill>
      </fill>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8"/>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ill>
        <patternFill patternType="solid">
          <fgColor indexed="64"/>
          <bgColor theme="5"/>
        </patternFill>
      </fill>
      <border diagonalUp="0" diagonalDown="0" outline="0">
        <left/>
        <right/>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dxf>
    <dxf>
      <border>
        <bottom style="thin">
          <color indexed="64"/>
        </bottom>
      </border>
    </dxf>
    <dxf>
      <fill>
        <patternFill patternType="solid">
          <fgColor indexed="64"/>
          <bgColor theme="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ill>
        <patternFill patternType="solid">
          <fgColor indexed="64"/>
          <bgColor rgb="FFFF0000"/>
        </patternFill>
      </fill>
      <border diagonalUp="0" diagonalDown="0" outline="0">
        <left/>
        <right/>
        <top/>
        <bottom/>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ill>
        <patternFill patternType="solid">
          <fgColor indexed="64"/>
          <bgColor rgb="FFFF0000"/>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general" vertical="center" textRotation="0" wrapText="0" indent="0" justifyLastLine="0" shrinkToFit="0" readingOrder="0"/>
      <border diagonalUp="0" diagonalDown="0">
        <left/>
        <right/>
        <top/>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8" tint="-0.249977111117893"/>
        </patternFill>
      </fill>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7030A0"/>
        </patternFill>
      </fill>
      <alignment horizontal="general" vertical="center" textRotation="0" wrapText="0" indent="0" justifyLastLine="0" shrinkToFit="0" readingOrder="0"/>
      <border diagonalUp="0" diagonalDown="0">
        <left/>
        <right/>
        <top/>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3399FF"/>
        </patternFill>
      </fill>
      <alignment horizontal="general" vertical="center" textRotation="0" wrapText="0" indent="0" justifyLastLine="0" shrinkToFit="0" readingOrder="0"/>
      <border diagonalUp="0" diagonalDown="0">
        <left/>
        <right/>
        <top/>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5"/>
        </patternFill>
      </fill>
      <alignment horizontal="general" vertical="center" textRotation="0" wrapText="0" indent="0" justifyLastLine="0" shrinkToFit="0" readingOrder="0"/>
      <border diagonalUp="0" diagonalDown="0">
        <left/>
        <right/>
        <top/>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C00000"/>
        </patternFill>
      </fill>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ill>
        <patternFill patternType="solid">
          <fgColor indexed="64"/>
          <bgColor rgb="FF002060"/>
        </patternFill>
      </fill>
      <alignment horizontal="center"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8" tint="-0.249977111117893"/>
        </patternFill>
      </fill>
      <alignment horizontal="center"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7030A0"/>
        </patternFill>
      </fill>
      <alignment horizontal="center"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70C0"/>
        </patternFill>
      </fill>
      <alignment horizontal="center"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5"/>
        </patternFill>
      </fill>
      <alignment horizontal="center" vertical="center" textRotation="0" wrapText="0" indent="0" justifyLastLine="0" shrinkToFit="0" readingOrder="0"/>
    </dxf>
    <dxf>
      <numFmt numFmtId="30" formatCode="@"/>
    </dxf>
    <dxf>
      <border diagonalUp="0" diagonalDown="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FF0000"/>
        </patternFill>
      </fill>
      <alignment horizontal="center" vertical="center" textRotation="0" wrapText="0" indent="0" justifyLastLine="0" shrinkToFit="0" readingOrder="0"/>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8" tint="-0.249977111117893"/>
        </patternFill>
      </fill>
      <alignment horizontal="center" vertical="center" textRotation="0" wrapText="0" indent="0" justifyLastLine="0" shrinkToFit="0" readingOrder="0"/>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7030A0"/>
        </patternFill>
      </fill>
      <alignment horizontal="center" vertical="center" textRotation="0" wrapText="0" indent="0" justifyLastLine="0" shrinkToFit="0" readingOrder="0"/>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border outline="0">
        <left style="thin">
          <color indexed="64"/>
        </left>
        <right style="thin">
          <color indexed="64"/>
        </right>
        <top style="thin">
          <color indexed="64"/>
        </top>
        <bottom style="thin">
          <color indexed="64"/>
        </bottom>
      </border>
    </dxf>
    <dxf>
      <alignmen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3399FF"/>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C00000"/>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8" tint="-0.249977111117893"/>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7030A0"/>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70C0"/>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5"/>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FF0000"/>
        </patternFill>
      </fill>
      <alignment horizontal="center" vertical="center" textRotation="0" wrapText="0" indent="0" justifyLastLine="0" shrinkToFit="0" readingOrder="0"/>
    </dxf>
    <dxf>
      <numFmt numFmtId="35" formatCode="_ * #,##0.00_ ;_ * \-#,##0.00_ ;_ * &quot;-&quot;??_ ;_ @_ "/>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35" formatCode="_ * #,##0.00_ ;_ * \-#,##0.00_ ;_ * &quot;-&quot;??_ ;_ @_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0" formatCode="@"/>
      <alignment horizontal="center" vertical="center" textRotation="0" wrapText="0" indent="0" justifyLastLine="0" shrinkToFit="0" readingOrder="0"/>
    </dxf>
    <dxf>
      <numFmt numFmtId="35" formatCode="_ * #,##0.00_ ;_ * \-#,##0.00_ ;_ * &quot;-&quot;??_ ;_ @_ "/>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35" formatCode="_ * #,##0.00_ ;_ * \-#,##0.00_ ;_ * &quot;-&quot;??_ ;_ @_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center" vertical="center" textRotation="0" wrapText="0" indent="0" justifyLastLine="0" shrinkToFit="0" readingOrder="0"/>
    </dxf>
    <dxf>
      <numFmt numFmtId="35" formatCode="_ * #,##0.00_ ;_ * \-#,##0.00_ ;_ * &quot;-&quot;??_ ;_ @_ "/>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35" formatCode="_ * #,##0.00_ ;_ * \-#,##0.00_ ;_ * &quot;-&quot;??_ ;_ @_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0" formatCode="@"/>
      <alignment horizontal="center" vertical="center" textRotation="0" wrapText="0" indent="0" justifyLastLine="0" shrinkToFit="0" readingOrder="0"/>
    </dxf>
    <dxf>
      <numFmt numFmtId="35" formatCode="_ * #,##0.00_ ;_ * \-#,##0.00_ ;_ * &quot;-&quot;??_ ;_ @_ "/>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35" formatCode="_ * #,##0.00_ ;_ * \-#,##0.00_ ;_ * &quot;-&quot;??_ ;_ @_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center" vertical="center" textRotation="0" wrapText="0" indent="0" justifyLastLine="0" shrinkToFit="0" readingOrder="0"/>
    </dxf>
    <dxf>
      <numFmt numFmtId="35" formatCode="_ * #,##0.00_ ;_ * \-#,##0.00_ ;_ * &quot;-&quot;??_ ;_ @_ "/>
      <alignment horizontal="center" vertical="center" textRotation="0" wrapText="0" indent="0" justifyLastLine="0" shrinkToFit="0" readingOrder="0"/>
    </dxf>
    <dxf>
      <numFmt numFmtId="35" formatCode="_ * #,##0.00_ ;_ * \-#,##0.00_ ;_ * &quot;-&quot;??_ ;_ @_ "/>
      <alignment horizontal="center" vertical="center" textRotation="0" wrapText="0" indent="0" justifyLastLine="0" shrinkToFit="0" readingOrder="0"/>
    </dxf>
    <dxf>
      <numFmt numFmtId="35" formatCode="_ * #,##0.00_ ;_ * \-#,##0.00_ ;_ * &quot;-&quot;??_ ;_ @_ "/>
      <alignment horizontal="center" vertical="center" textRotation="0" wrapText="0" indent="0" justifyLastLine="0" shrinkToFit="0" readingOrder="0"/>
    </dxf>
    <dxf>
      <numFmt numFmtId="35" formatCode="_ * #,##0.00_ ;_ * \-#,##0.00_ ;_ * &quot;-&quot;??_ ;_ @_ "/>
      <alignment horizontal="center" vertical="center" textRotation="0" wrapText="0" indent="0" justifyLastLine="0" shrinkToFit="0" readingOrder="0"/>
    </dxf>
    <dxf>
      <numFmt numFmtId="35" formatCode="_ * #,##0.00_ ;_ * \-#,##0.00_ ;_ * &quot;-&quot;??_ ;_ @_ "/>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border diagonalUp="0" diagonalDown="0">
        <left/>
        <right style="thin">
          <color theme="4" tint="0.39997558519241921"/>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theme="4" tint="0.39997558519241921"/>
        </left>
        <right/>
        <top style="thin">
          <color theme="4" tint="0.39997558519241921"/>
        </top>
        <bottom/>
        <vertical/>
        <horizontal/>
      </border>
    </dxf>
    <dxf>
      <border outline="0">
        <bottom style="thin">
          <color theme="4" tint="0.39997558519241921"/>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numFmt numFmtId="35" formatCode="_ * #,##0.00_ ;_ * \-#,##0.00_ ;_ * &quot;-&quot;??_ ;_ @_ "/>
      <alignment horizontal="center" vertical="center" textRotation="0" wrapText="0" indent="0" justifyLastLine="0" shrinkToFit="0" readingOrder="0"/>
    </dxf>
    <dxf>
      <numFmt numFmtId="35" formatCode="_ * #,##0.00_ ;_ * \-#,##0.00_ ;_ * &quot;-&quot;??_ ;_ @_ "/>
      <alignment horizontal="center" vertical="center" textRotation="0" wrapText="0" indent="0" justifyLastLine="0" shrinkToFit="0" readingOrder="0"/>
    </dxf>
    <dxf>
      <numFmt numFmtId="35" formatCode="_ * #,##0.00_ ;_ * \-#,##0.00_ ;_ * &quot;-&quot;??_ ;_ @_ "/>
      <alignment horizontal="center" vertical="center" textRotation="0" wrapText="0" indent="0" justifyLastLine="0" shrinkToFit="0" readingOrder="0"/>
    </dxf>
    <dxf>
      <numFmt numFmtId="35" formatCode="_ * #,##0.00_ ;_ * \-#,##0.00_ ;_ * &quot;-&quot;??_ ;_ @_ "/>
      <alignment horizontal="center" vertical="center" textRotation="0" wrapText="0" indent="0" justifyLastLine="0" shrinkToFit="0" readingOrder="0"/>
    </dxf>
    <dxf>
      <numFmt numFmtId="35" formatCode="_ * #,##0.00_ ;_ * \-#,##0.00_ ;_ * &quot;-&quot;??_ ;_ @_ "/>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ill>
        <patternFill patternType="none">
          <bgColor auto="1"/>
        </patternFill>
      </fill>
      <alignment horizontal="general" vertical="center" textRotation="0" wrapText="0" indent="0" justifyLastLine="0" shrinkToFit="0" readingOrder="0"/>
    </dxf>
    <dxf>
      <fill>
        <patternFill patternType="none">
          <bgColor auto="1"/>
        </patternFill>
      </fill>
      <alignment horizontal="general" vertical="center" textRotation="0" wrapText="0" indent="0" justifyLastLine="0" shrinkToFit="0" readingOrder="0"/>
    </dxf>
    <dxf>
      <fill>
        <patternFill patternType="none">
          <bgColor auto="1"/>
        </patternFill>
      </fill>
      <alignment horizontal="general" vertical="center" textRotation="0" wrapText="0" indent="0" justifyLastLine="0" shrinkToFit="0" readingOrder="0"/>
    </dxf>
    <dxf>
      <fill>
        <patternFill patternType="none">
          <bgColor auto="1"/>
        </patternFill>
      </fill>
      <alignment horizontal="general" vertical="center" textRotation="0" wrapText="0" indent="0" justifyLastLine="0" shrinkToFit="0" readingOrder="0"/>
    </dxf>
    <dxf>
      <fill>
        <patternFill patternType="none">
          <bgColor auto="1"/>
        </patternFill>
      </fill>
      <alignment horizontal="general" vertical="center" textRotation="0" wrapText="0" indent="0" justifyLastLine="0" shrinkToFit="0" readingOrder="0"/>
    </dxf>
    <dxf>
      <fill>
        <patternFill patternType="none">
          <bgColor auto="1"/>
        </patternFill>
      </fill>
      <alignment horizontal="general" vertical="center" textRotation="0" wrapText="0" indent="0" justifyLastLine="0" shrinkToFit="0" readingOrder="0"/>
    </dxf>
    <dxf>
      <fill>
        <patternFill patternType="none">
          <bgColor auto="1"/>
        </patternFill>
      </fill>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8" tint="-0.249977111117893"/>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7030A0"/>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70C0"/>
        </patternFill>
      </fill>
      <alignment horizontal="center" vertical="center" textRotation="0" wrapText="0" indent="0" justifyLastLine="0" shrinkToFit="0" readingOrder="0"/>
      <border diagonalUp="0" diagonalDown="0">
        <left/>
        <right/>
        <top/>
        <bottom/>
        <vertical/>
        <horizontal/>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5"/>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vertical="center" textRotation="0" indent="0" justifyLastLine="0" shrinkToFit="0" readingOrder="0"/>
    </dxf>
    <dxf>
      <border diagonalUp="0" diagonalDown="0">
        <left style="thin">
          <color indexed="64"/>
        </left>
        <right style="thin">
          <color indexed="64"/>
        </right>
        <top style="thin">
          <color indexed="64"/>
        </top>
        <bottom style="thin">
          <color indexed="64"/>
        </bottom>
      </border>
    </dxf>
    <dxf>
      <alignment vertical="center" textRotation="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FF0000"/>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8" tint="-0.249977111117893"/>
        </patternFill>
      </fill>
      <alignment horizontal="general"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7030A0"/>
        </patternFill>
      </fill>
      <alignment horizontal="general" vertical="center" textRotation="0" wrapText="0" indent="0" justifyLastLine="0" shrinkToFit="0" readingOrder="0"/>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3399FF"/>
        </patternFill>
      </fill>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5"/>
        </patternFill>
      </fill>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C00000"/>
        </patternFill>
      </fill>
      <alignmen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3399FF"/>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8" tint="-0.249977111117893"/>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7030A0"/>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0070C0"/>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5"/>
        </patternFill>
      </fill>
      <alignment horizontal="center" vertical="center" textRotation="0" wrapText="0" indent="0" justifyLastLine="0" shrinkToFit="0" readingOrder="0"/>
      <border diagonalUp="0" diagonalDown="0">
        <left/>
        <right/>
        <top/>
        <bottom/>
        <vertical/>
        <horizontal/>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FF0000"/>
        </patternFill>
      </fill>
      <alignment horizontal="center" vertical="center" textRotation="0" wrapText="0" indent="0" justifyLastLine="0" shrinkToFit="0" readingOrder="0"/>
      <border diagonalUp="0" diagonalDown="0">
        <left/>
        <right/>
        <top/>
        <bottom/>
        <vertical/>
        <horizontal/>
      </border>
    </dxf>
    <dxf>
      <fill>
        <patternFill>
          <bgColor rgb="FFFF7C80"/>
        </patternFill>
      </fill>
    </dxf>
  </dxfs>
  <tableStyles count="1" defaultTableStyle="TableStyleMedium2" defaultPivotStyle="PivotStyleLight16">
    <tableStyle name="Table Style 1" pivot="0" count="1" xr9:uid="{18EBA039-1971-42C7-8B86-AB743DE78D45}">
      <tableStyleElement type="wholeTable" dxfId="1516"/>
    </tableStyle>
  </tableStyles>
  <colors>
    <mruColors>
      <color rgb="FFDE0000"/>
      <color rgb="FFFF7C80"/>
      <color rgb="FF860000"/>
      <color rgb="FF990099"/>
      <color rgb="FF3A003A"/>
      <color rgb="FF660066"/>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3" Type="http://schemas.openxmlformats.org/officeDocument/2006/relationships/worksheet" Target="worksheets/sheet3.xml"/><Relationship Id="rId21" Type="http://schemas.microsoft.com/office/2017/06/relationships/richStyles" Target="richData/rich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styles" Target="styles.xml"/><Relationship Id="rId23" Type="http://schemas.microsoft.com/office/2017/06/relationships/rdSupportingPropertyBag" Target="richData/rdsupportingpropertybag.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17/06/relationships/rdSupportingPropertyBagStructure" Target="richData/rdsupportingpropertybagstructure.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4">
  <rv s="0">
    <v>0</v>
    <v>5</v>
  </rv>
  <rv s="0">
    <v>1</v>
    <v>5</v>
  </rv>
  <rv s="0">
    <v>2</v>
    <v>5</v>
  </rv>
  <rv s="0">
    <v>3</v>
    <v>5</v>
  </rv>
  <rv s="0">
    <v>4</v>
    <v>5</v>
  </rv>
  <rv s="0">
    <v>5</v>
    <v>5</v>
  </rv>
  <rv s="1">
    <v>https://www.bing.com/financeapi/forcetrigger?t=ahkeim&amp;q=XNSE%3aTORNTPHARM&amp;form=skydnc</v>
    <v>Learn more on Bing</v>
  </rv>
  <rv s="2">
    <v>en-IN</v>
    <v>ahkeim</v>
    <v>268435456</v>
    <v>1</v>
    <v>Powered by Refinitiv</v>
    <v>0</v>
    <v>TORRENT PHARMACEUTICALS LTD (XNSE:TORNTPHARM)</v>
    <v>2</v>
    <v>3</v>
    <v>Finance</v>
    <v>4</v>
    <v>3835.1</v>
    <v>2886.45</v>
    <v>0.68459999999999999</v>
    <v>237.5</v>
    <v>6.6340999999999997E-2</v>
    <v>INR</v>
    <v>Torrent Pharmaceuticals Limited is an India-based pharmaceutical company. The Company is engaged in research, development, manufacturing, marketing and distribution of branded and generic pharmaceutical formulations in India and internationally. The Company is focused on various therapeutic segments, such as cardiovascular (CV), central nervous system (CNS), gastrointestinal (GI), vitamins minerals nutrients (VMN), anti-diabetes (AD), pain management, gynecology, and dermatology. Its pediatric product brands include Tedibar, Atogla, Spoo and B4 Nappi. Its Anti-diabetic products include Gliclazide 80 mg, Tablets, Gliclazide 30 mg, Tablets, Glimepiride 1, 2, 3, 4 mg, Tablets, and others. Its dermatologic therapy products include Macrotor, Ahaglow S Facewash, Fungicide Lotion, Hairjoy 2%, New Dewsoft Cream, Lookbrite 20GMS, Cortaz NC, Dermanex, and others. Its manufacturing facilities are located in the states of Gujarat, Himachal Pradesh, Madhya Pradesh, Andhra Pradesh and Sikkim.</v>
    <v>16107</v>
    <v>National Stock Exchange of India</v>
    <v>XNSE</v>
    <v>XNSE</v>
    <v>Torrent House, Off. Ashram Road, AHMEDABAD, GUJARAT, 380009 IN</v>
    <v>3835.1</v>
    <v>Pharmaceuticals</v>
    <v>Stock</v>
    <v>45971.582905092589</v>
    <v>6</v>
    <v>3602</v>
    <v>1211635000000</v>
    <v>TORRENT PHARMACEUTICALS LTD</v>
    <v>TORRENT PHARMACEUTICALS LTD</v>
    <v>3660</v>
    <v>60.374000000000002</v>
    <v>3580</v>
    <v>3817.5</v>
    <v>338445400</v>
    <v>TORNTPHARM</v>
    <v>TORRENT PHARMACEUTICALS LTD (XNSE:TORNTPHARM)</v>
    <v>1651416</v>
    <v>155300</v>
    <v>1972</v>
  </rv>
  <rv s="3">
    <v>7</v>
  </rv>
  <rv s="1">
    <v>https://www.bing.com/financeapi/forcetrigger?t=ahhedm&amp;q=XNSE%3aCIPLA&amp;form=skydnc</v>
    <v>Learn more on Bing</v>
  </rv>
  <rv s="2">
    <v>en-IN</v>
    <v>ahhedm</v>
    <v>268435456</v>
    <v>1</v>
    <v>Powered by Refinitiv</v>
    <v>0</v>
    <v>CIPLA LIMITED (XNSE:CIPLA)</v>
    <v>2</v>
    <v>3</v>
    <v>Finance</v>
    <v>4</v>
    <v>1673</v>
    <v>1332.35</v>
    <v>0.47760000000000002</v>
    <v>5.8</v>
    <v>3.852E-3</v>
    <v>INR</v>
    <v>Cipla Limited is an India-based global pharmaceutical company. The Company is engaged in manufacturing, developing and marketing a wide range of branded and generic formulations and Active Pharmaceutical Ingredients (APIs). The Company operates through two segments: Pharmaceuticals and New ventures. The Pharmaceuticals segment is engaged in developing, manufacturing, selling, and distributing generic or branded generic medicines, as well as Active Pharmaceutical Ingredients (API). The New ventures segment includes the operations of the Company, a consumer healthcare, Biosimilars and specialty business. Its product portfolio spans complex generics, as well as drugs in the respiratory, anti-retroviral, urology, cardiology, anti-infective and central nervous system (CNS). Its geographical segments include India, the United States, South Africa, and the Rest of the World. It has its network of manufacturing, trading and other incidental operations in India and International markets.</v>
    <v>30313</v>
    <v>National Stock Exchange of India</v>
    <v>XNSE</v>
    <v>XNSE</v>
    <v>Cipla House, Peninsula Business Park, Ganpatrao Kadam Marg, Lower Parel,, MUMBAI, MAHARASHTRA, 400013 IN</v>
    <v>1516.7</v>
    <v>Pharmaceuticals</v>
    <v>Stock</v>
    <v>45971.582870370374</v>
    <v>9</v>
    <v>1503.9</v>
    <v>1216261000000</v>
    <v>CIPLA LIMITED</v>
    <v>CIPLA LIMITED</v>
    <v>1510</v>
    <v>22.432400000000001</v>
    <v>1505.7</v>
    <v>1511.5</v>
    <v>807771200</v>
    <v>CIPLA</v>
    <v>CIPLA LIMITED (XNSE:CIPLA)</v>
    <v>1143959</v>
    <v>1969320</v>
    <v>1935</v>
  </rv>
  <rv s="3">
    <v>10</v>
  </rv>
  <rv s="1">
    <v>https://www.bing.com/financeapi/forcetrigger?t=ahhlpr&amp;q=XNSE%3aDRREDDY&amp;form=skydnc</v>
    <v>Learn more on Bing</v>
  </rv>
  <rv s="2">
    <v>en-IN</v>
    <v>ahhlpr</v>
    <v>268435456</v>
    <v>1</v>
    <v>Powered by Refinitiv</v>
    <v>0</v>
    <v>DR.REDDY'S LABORATORIES LTD (XNSE:DRREDDY)</v>
    <v>2</v>
    <v>3</v>
    <v>Finance</v>
    <v>4</v>
    <v>1405.9</v>
    <v>1020</v>
    <v>0.46929999999999999</v>
    <v>-6.7</v>
    <v>-5.5579999999999996E-3</v>
    <v>INR</v>
    <v>Dr. Reddy’s Laboratories Limited is an India-based pharmaceutical company. Its products and services are spread across its core businesses of active pharmaceutical ingredients (APIs), generics, branded generics, biosimilars and over-the-counter (OTC) pharmaceutical products. It works in the areas of gastrointestinal, cardiovascular, diabetology, oncology, pain management and dermatology. Its segments consist of Global Generics; Pharmaceutical Services and Active Ingredients (PSAI), and Others. The Global Generics segment consists of the Company's business of manufacturing and marketing prescription and over-the-counter finished pharmaceutical products ready for consumption by the patient, marketed under a brand name (branded formulations) or as generic finished dosages with therapeutic equivalence to branded formulations (generics). The Pharmaceutical Services and Active Ingredients segment consists of the Company's business of manufacturing and marketing APIs and intermediates.</v>
    <v>26944</v>
    <v>National Stock Exchange of India</v>
    <v>XNSE</v>
    <v>XNSE</v>
    <v>8-2-337, Road No.3 Banjara Hills, HYDERABAD, TELANGANA, 500-034 IN</v>
    <v>1209.5</v>
    <v>Pharmaceuticals</v>
    <v>Stock</v>
    <v>45971.582870370374</v>
    <v>12</v>
    <v>1195</v>
    <v>1003514000000</v>
    <v>DR.REDDY'S LABORATORIES LTD</v>
    <v>DR.REDDY'S LABORATORIES LTD</v>
    <v>1199.4000000000001</v>
    <v>17.293099999999999</v>
    <v>1205.4000000000001</v>
    <v>1198.7</v>
    <v>832515300</v>
    <v>DRREDDY</v>
    <v>DR.REDDY'S LABORATORIES LTD (XNSE:DRREDDY)</v>
    <v>3483082</v>
    <v>2583200</v>
    <v>1984</v>
  </rv>
  <rv s="3">
    <v>13</v>
  </rv>
  <rv s="1">
    <v>https://www.bing.com/financeapi/forcetrigger?t=ahhkhw&amp;q=XNSE%3aDIVISLAB&amp;form=skydnc</v>
    <v>Learn more on Bing</v>
  </rv>
  <rv s="2">
    <v>en-IN</v>
    <v>ahhkhw</v>
    <v>268435456</v>
    <v>1</v>
    <v>Powered by Refinitiv</v>
    <v>0</v>
    <v>DIVI'S LABORATORIES LIMITED (XNSE:DIVISLAB)</v>
    <v>2</v>
    <v>3</v>
    <v>Finance</v>
    <v>4</v>
    <v>7071.5</v>
    <v>4955</v>
    <v>0.72319999999999995</v>
    <v>35</v>
    <v>5.2580000000000005E-3</v>
    <v>INR</v>
    <v>Divi's Laboratories Limited is an India-based company, which is engaged in pharmaceutical ingredients (APIs), intermediates and nutraceutical ingredients with predominance in exports. The Company’s products include Bupropion HCl, Capecitabine, Carbidopa, Diltiazem HCl, Dextromethorphan Base, Dextromethorphan HBr, Gabapentin, Iopamidol, Iohexol, Irbesartan, Lacosamide, Levetiracetam, Levodopa, Losartan, Nabumetone, Naproxen, Naproxen Sodium, Olmesartan Medoxomil, Pregabalin, Ticagrelor, Triprolidine HCl, Valacyclovir HCl, Valsartan, Venlafaxine HCl, Vigabatrin, and others. The Company is also engaged in custom synthesis (contract manufacturing services) of APIs and Intermediates for global innovator companies with a portfolio of products across diverse therapeutic areas. The Company’s subsidiaries include Divis Laboratories (USA) Inc. and Divi’s Laboratories Europe AG.</v>
    <v>18300</v>
    <v>National Stock Exchange of India</v>
    <v>XNSE</v>
    <v>XNSE</v>
    <v>1-72/23(P)/Divis/303,, Divi Towers, Cyber Hills, Gachibowli,, HYDERABAD, TELANGANA, 500032 IN</v>
    <v>6748</v>
    <v>Pharmaceuticals</v>
    <v>Stock</v>
    <v>45971.582870370374</v>
    <v>15</v>
    <v>6636.5</v>
    <v>1767092000000</v>
    <v>DIVI'S LABORATORIES LIMITED</v>
    <v>DIVI'S LABORATORIES LIMITED</v>
    <v>6700</v>
    <v>71.438299999999998</v>
    <v>6656.5</v>
    <v>6691.5</v>
    <v>265468600</v>
    <v>DIVISLAB</v>
    <v>DIVI'S LABORATORIES LIMITED (XNSE:DIVISLAB)</v>
    <v>418569</v>
    <v>514770</v>
    <v>1990</v>
  </rv>
  <rv s="3">
    <v>16</v>
  </rv>
  <rv s="4">
    <v>en-IN</v>
    <v>c9qnw7</v>
    <v>268435456</v>
    <v>1</v>
    <v>Powered by Refinitiv</v>
    <v>5</v>
    <v>MANKIND PHARMA LIMITED (XBOM:543904)</v>
    <v>6</v>
    <v>3</v>
    <v>Finance</v>
    <v>7</v>
    <v>3050</v>
    <v>2115.5</v>
    <v>0.61499999999999999</v>
    <v>-28.9</v>
    <v>-1.2768999999999999E-2</v>
    <v>INR</v>
    <v>Mankind Pharma Limited is an India-based pharmaceutical company. The Company is engaged in developing, manufacturing, and marketing a range of pharmaceutical formulations across various acute and chronic therapeutic areas, as well as several consumer healthcare products. It also offers pet care, crop protection solutions, and veterinary care. It offers healthcare solutions for a range of healthcare needs with a portfolio that includes anti-infectives, cardiovascular, gastrointestinal, anti-diabetic, neuro/central nervous system, vitamins, minerals and nutrients, derma, fertility, and respiratory therapies. Its portfolio of brands includes Nurokind, Telmikind, Manforce (Rx), Gudcef, Moxikind, Amlokind, Glimestar, Asthakind, Codistar, Candiforce, Mahacef, Dydroboon, Cefakind, Zenflox, Monticope, Dynaglipt, and others. Its subsidiaries include Lifestar Pharma Private Limited, Magnet Labs Private Limited, Jaspack Industries Private Limited, and others.</v>
    <v>27000</v>
    <v>Bombay Stock Exchange</v>
    <v>XBOM</v>
    <v>XBOM</v>
    <v>262, Okhla Industrial Estate, Phase-III, NEW DELHI, DELHI, 110020 IN</v>
    <v>2271.8000000000002</v>
    <v>Pharmaceuticals</v>
    <v>Stock</v>
    <v>45971.735625000001</v>
    <v>2222</v>
    <v>933577100000</v>
    <v>MANKIND PHARMA LIMITED</v>
    <v>MANKIND PHARMA LIMITED</v>
    <v>2264.1999999999998</v>
    <v>53.19</v>
    <v>2263.3000000000002</v>
    <v>2234.4</v>
    <v>412758500</v>
    <v>543904</v>
    <v>MANKIND PHARMA LIMITED (XBOM:543904)</v>
    <v>114120</v>
    <v>367430</v>
    <v>1991</v>
  </rv>
  <rv s="3">
    <v>18</v>
  </rv>
  <rv s="1">
    <v>https://www.bing.com/financeapi/forcetrigger?t=ahk6a2&amp;q=XNSE%3aSUNPHARMA&amp;form=skydnc</v>
    <v>Learn more on Bing</v>
  </rv>
  <rv s="2">
    <v>en-IN</v>
    <v>ahk6a2</v>
    <v>268435456</v>
    <v>1</v>
    <v>Powered by Refinitiv</v>
    <v>0</v>
    <v>SUN PHARMACEUTICAL INDUSTRIES LIMITED (XNSE:SUNPHARMA)</v>
    <v>2</v>
    <v>3</v>
    <v>Finance</v>
    <v>4</v>
    <v>1910</v>
    <v>1548</v>
    <v>0.87129999999999996</v>
    <v>6.4</v>
    <v>3.784E-3</v>
    <v>INR</v>
    <v>Sun Pharmaceutical Industries Limited is an India-based specialty generic pharmaceutical company with a presence in specialty, generics and consumer healthcare products. The Company's global specialty portfolio spans products in dermatology, ophthalmology, and onco-dermatologym, among others. The Company manufactures and markets a large basket of pharmaceutical formulations across chronic and acute therapies, including generic, branded generics, specialty and complex products, over-the-counter (OTC), antiretrovirals (ARV), Active Pharmaceutical Ingredients (API), and intermediates. Its portfolio spans multiple dosage forms, such as tablets, capsules, injectables, inhalers, ointments, creams, and liquids. Its marketed specialty portfolio includes Ilumya/ Ilumetri, Winlevi, Levulan Kerastick + BLU-U, Absorica LD, Odomzo, Cequa, Bromsite, Xelpros, and others. Its portfolio also includes UNLOXCYTTM, an anti-PD-L1 treatment for advanced cutaneous squamous cell carcinoma.</v>
    <v>43000</v>
    <v>National Stock Exchange of India</v>
    <v>XNSE</v>
    <v>XNSE</v>
    <v>Sun House,, CTS No. 201 B/1,, Western Express Highway,Goregaon (E),, MUMBAI, MAHARASHTRA, 400063 IN</v>
    <v>1703.1</v>
    <v>Pharmaceuticals</v>
    <v>Stock</v>
    <v>45971.582905092589</v>
    <v>20</v>
    <v>1685.8</v>
    <v>4058235000000</v>
    <v>SUN PHARMACEUTICAL INDUSTRIES LIMITED</v>
    <v>SUN PHARMACEUTICAL INDUSTRIES LIMITED</v>
    <v>1697.5</v>
    <v>39.361199999999997</v>
    <v>1691.4</v>
    <v>1697.8</v>
    <v>2399335000</v>
    <v>SUNPHARMA</v>
    <v>SUN PHARMACEUTICAL INDUSTRIES LIMITED (XNSE:SUNPHARMA)</v>
    <v>1235665</v>
    <v>1766780</v>
    <v>1993</v>
  </rv>
  <rv s="3">
    <v>21</v>
  </rv>
  <rv s="0">
    <v>6</v>
    <v>5</v>
  </rv>
</rvData>
</file>

<file path=xl/richData/rdrichvaluestructure.xml><?xml version="1.0" encoding="utf-8"?>
<rvStructures xmlns="http://schemas.microsoft.com/office/spreadsheetml/2017/richdata" count="5">
  <s t="_localImage">
    <k n="_rvRel:LocalImageIdentifier" t="i"/>
    <k n="CalcOrigin" t="i"/>
  </s>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2">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spbArrays>
  <spbData count="8">
    <spb s="0">
      <v>0</v>
      <v>Name</v>
      <v>LearnMoreOnLink</v>
    </spb>
    <spb s="1">
      <v>0</v>
      <v>0</v>
      <v>0</v>
    </spb>
    <spb s="2">
      <v>1</v>
      <v>1</v>
      <v>1</v>
      <v>1</v>
    </spb>
    <spb s="3">
      <v>1</v>
      <v>2</v>
      <v>2</v>
      <v>1</v>
      <v>3</v>
      <v>1</v>
      <v>1</v>
      <v>1</v>
      <v>4</v>
      <v>4</v>
      <v>5</v>
      <v>6</v>
      <v>1</v>
      <v>1</v>
      <v>1</v>
      <v>4</v>
      <v>7</v>
      <v>8</v>
      <v>9</v>
      <v>4</v>
    </spb>
    <spb s="4">
      <v>Delayed 5 minutes</v>
      <v>from previous close</v>
      <v>from previous close</v>
      <v>GMT</v>
    </spb>
    <spb s="5">
      <v>1</v>
      <v>Name</v>
    </spb>
    <spb s="6">
      <v>1</v>
      <v>1</v>
      <v>1</v>
    </spb>
    <spb s="4">
      <v>Delayed 15 minutes</v>
      <v>from previous close</v>
      <v>from previous close</v>
      <v>GMT</v>
    </spb>
  </spbData>
</supportingPropertyBags>
</file>

<file path=xl/richData/rdsupportingpropertybagstructure.xml><?xml version="1.0" encoding="utf-8"?>
<spbStructures xmlns="http://schemas.microsoft.com/office/spreadsheetml/2017/richdata2" count="7">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Order" t="spba"/>
    <k n="TitleProperty" t="s"/>
  </s>
  <s>
    <k n="ExchangeID" t="spb"/>
    <k n="UniqueName" t="spb"/>
    <k n="`%ProviderInfo"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yyyy/mm/dd\ h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 xml:space="preserve">_ [$₹-en-IN] * #,##0.00_ ;_ [$₹-en-IN] * -#,##0.00_ ;_ [$₹-en-IN] * "-"??_ ;_ @_ </rpv>
    </rSty>
    <rSty dxfid="5">
      <rpv i="0">#,##0.00</rpv>
    </rSty>
    <rSty>
      <rpv i="1">1</rpv>
    </rSty>
    <rSty dxfid="4">
      <rpv i="0">#,##0</rpv>
    </rSty>
    <rSty dxfid="3"/>
    <rSty dxfid="1">
      <rpv i="0" xml:space="preserve">_ [$₹-en-IN] * #,##0_ ;_ [$₹-en-IN] * -#,##0_ ;_ [$₹-en-IN] * "-"_ ;_ @_ </rpv>
    </rSty>
    <rSty dxfid="2"/>
    <rSty dxfid="6">
      <rpv i="0">0</rpv>
    </rSty>
    <rSty dxfid="0">
      <rpv i="0">0.00</rpv>
    </rSty>
  </richStyles>
</richStyleSheet>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9007CB-8844-4E53-AE51-9085D294476A}" name="Table1" displayName="Table1" ref="A3:G53" totalsRowShown="0" headerRowDxfId="1515" dataDxfId="1513" headerRowBorderDxfId="1514" tableBorderDxfId="1512">
  <autoFilter ref="A3:G53" xr:uid="{6C9007CB-8844-4E53-AE51-9085D294476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5219C5B-5653-4B35-A25A-564DB9C0828F}" name="Particulars" dataDxfId="1511"/>
    <tableColumn id="2" xr3:uid="{BC3199EC-1123-466F-9400-8FD99517F64B}" name="2020" dataDxfId="1510"/>
    <tableColumn id="3" xr3:uid="{24FF5FB0-1829-446A-8426-B48EDB0686CC}" name="2021" dataDxfId="1509"/>
    <tableColumn id="4" xr3:uid="{3CE3E298-980C-42FA-A3AB-51B2E47BB174}" name="2022" dataDxfId="1508"/>
    <tableColumn id="5" xr3:uid="{019811BE-C19F-48F6-BF21-89143D2F60D9}" name="2023" dataDxfId="1507"/>
    <tableColumn id="6" xr3:uid="{CE1E8ADF-9212-4448-A3D5-83C2B169D8D7}" name="2024" dataDxfId="1506"/>
    <tableColumn id="7" xr3:uid="{32AAB104-E6B2-4395-B538-F638E0D74996}" name="2025" dataDxfId="1505"/>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0251207-8514-457C-8AE8-69770C8049AD}" name="Table2" displayName="Table2" ref="I3:O55" totalsRowShown="0" headerRowDxfId="1504" dataDxfId="1502" headerRowBorderDxfId="1503" tableBorderDxfId="1501">
  <autoFilter ref="I3:O55" xr:uid="{70251207-8514-457C-8AE8-69770C8049A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60ADD84-F040-42E3-B0E8-A1BD49AAC2D8}" name="Particulars" dataDxfId="1500"/>
    <tableColumn id="2" xr3:uid="{5800E424-123A-4CFA-BF27-94553A0E47D0}" name="2020" dataDxfId="1499"/>
    <tableColumn id="3" xr3:uid="{D452B059-0173-469C-A0B3-692A4ECBDE01}" name="2021" dataDxfId="1498"/>
    <tableColumn id="4" xr3:uid="{DB776595-A949-496E-9C67-604E309AF98B}" name="2022" dataDxfId="1497"/>
    <tableColumn id="5" xr3:uid="{5221D8D0-F742-4C2E-AFCD-2A9A8831CD84}" name="2023" dataDxfId="1496"/>
    <tableColumn id="6" xr3:uid="{ECC55B57-F74C-4702-AE94-DDD292BB0FFF}" name="2024" dataDxfId="1495"/>
    <tableColumn id="7" xr3:uid="{E099C0B2-489F-4194-9250-9B4E9CC9861E}" name="2025" dataDxfId="1494"/>
  </tableColumns>
  <tableStyleInfo name="TableStyleMedium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B1FEF5-62C7-401D-A87C-D777034F94A7}" name="Table3" displayName="Table3" ref="Q3:W58" totalsRowShown="0" headerRowDxfId="1493" dataDxfId="1492" tableBorderDxfId="1491">
  <autoFilter ref="Q3:W58" xr:uid="{B8B1FEF5-62C7-401D-A87C-D777034F94A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448100E-4A60-4671-A027-1CCFE2DA3233}" name="Particulars" dataDxfId="1490"/>
    <tableColumn id="2" xr3:uid="{E3EDC510-9260-49C3-B376-918EDFCD2A08}" name="2020" dataDxfId="1489"/>
    <tableColumn id="3" xr3:uid="{862F7267-3898-4760-824F-D6D72C321062}" name="2021" dataDxfId="1488"/>
    <tableColumn id="4" xr3:uid="{7CDF19E7-CC1B-414F-AC6E-951BB12AE32E}" name="2022" dataDxfId="1487"/>
    <tableColumn id="5" xr3:uid="{74AD8342-0A30-48CD-A6B9-BB9F5298E566}" name="2023" dataDxfId="1486"/>
    <tableColumn id="6" xr3:uid="{6FEC2468-6661-4E1C-B66E-F7D60BE9B98D}" name="2024" dataDxfId="1485"/>
    <tableColumn id="7" xr3:uid="{E95BB474-F014-40DD-9B40-E45550F44102}" name="2025" dataDxfId="1484"/>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BACEF6C-A29B-4EBD-8CBE-297010E7454C}" name="Table4" displayName="Table4" ref="Y3:AE57" totalsRowShown="0" headerRowDxfId="1483" dataDxfId="1482" tableBorderDxfId="1481">
  <autoFilter ref="Y3:AE57" xr:uid="{0BACEF6C-A29B-4EBD-8CBE-297010E7454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2B24E23-60CB-46BF-87C6-527C3A5C459A}" name="Particulars" dataDxfId="1480"/>
    <tableColumn id="2" xr3:uid="{B62D2BDF-713A-4A94-838F-3B3135F94C2D}" name="2020" dataDxfId="1479"/>
    <tableColumn id="3" xr3:uid="{6214F93C-D764-421C-A6AD-A0DD3116AAC4}" name="2021" dataDxfId="1478"/>
    <tableColumn id="4" xr3:uid="{9890EE99-706D-46DC-9A24-7D849F746071}" name="2022" dataDxfId="1477"/>
    <tableColumn id="5" xr3:uid="{92EA9695-10A4-4CDB-96CF-00AE48CBC8E8}" name="2023" dataDxfId="1476"/>
    <tableColumn id="6" xr3:uid="{709B48D0-3946-46F2-B9C1-BC174D0DA540}" name="2024" dataDxfId="1475"/>
    <tableColumn id="7" xr3:uid="{59F70971-9BEF-4B57-AC2C-0F6DEA82A4D3}" name="2025" dataDxfId="1474"/>
  </tableColumns>
  <tableStyleInfo name="TableStyleDark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DD5975B-43E6-4B6D-B0D0-1D6923BDB7A2}" name="Table5" displayName="Table5" ref="AG3:AM56" totalsRowShown="0" headerRowDxfId="1473" dataDxfId="1472" tableBorderDxfId="1471">
  <autoFilter ref="AG3:AM56" xr:uid="{2DD5975B-43E6-4B6D-B0D0-1D6923BDB7A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1A6AE40-0BA1-442C-96CB-03B2005DE043}" name="Particulars" dataDxfId="1470"/>
    <tableColumn id="2" xr3:uid="{32A3DAB9-9A77-444D-BA7D-494372C3573E}" name="2020" dataDxfId="1469"/>
    <tableColumn id="3" xr3:uid="{5BAD9619-0E62-4EAA-ABEB-99758163DC29}" name="2021" dataDxfId="1468"/>
    <tableColumn id="4" xr3:uid="{8EF26515-42EF-4488-A289-1193F696C451}" name="2022" dataDxfId="1467"/>
    <tableColumn id="5" xr3:uid="{D0EF93DD-9893-4DDA-B795-743B38E2BCA0}" name="2023" dataDxfId="1466"/>
    <tableColumn id="6" xr3:uid="{9E9925F0-CDDB-4601-97AB-5208F0A1C0BE}" name="2024" dataDxfId="1465"/>
    <tableColumn id="7" xr3:uid="{B087249F-6570-407A-9DC5-98A566B4250C}" name="2025" dataDxfId="1464"/>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4CEB7BC-A2DA-4884-83C0-43E9A884E305}" name="Table6" displayName="Table6" ref="AO3:AU61" totalsRowShown="0" headerRowDxfId="1463" dataDxfId="1462" tableBorderDxfId="1461">
  <autoFilter ref="AO3:AU61" xr:uid="{F4CEB7BC-A2DA-4884-83C0-43E9A884E30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F03AA63-6973-4F43-A88A-63733F02D8CF}" name="Particulars" dataDxfId="1460"/>
    <tableColumn id="2" xr3:uid="{B4DBC702-E1C4-4BCE-9720-47D80CB6221E}" name="2020" dataDxfId="1459"/>
    <tableColumn id="3" xr3:uid="{E5D00F77-C9CD-4A5B-AD1F-EEB754B9B521}" name="2021" dataDxfId="1458"/>
    <tableColumn id="4" xr3:uid="{41A116C8-8420-4F37-8A9F-A08508473BDE}" name="2022" dataDxfId="1457"/>
    <tableColumn id="5" xr3:uid="{6C9A288F-BAF7-4A49-8867-B388C5C97F84}" name="2023" dataDxfId="1456"/>
    <tableColumn id="6" xr3:uid="{3238AC13-8924-40B0-9863-727DD7F554F0}" name="2024" dataDxfId="1455"/>
    <tableColumn id="7" xr3:uid="{B65631CB-50DE-4D44-BB2D-A8EECE72B76B}" name="2025" dataDxfId="1454"/>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7E240B2-559A-4C78-8CCF-1F0024DB38D0}" name="Table25" displayName="Table25" ref="A3:F32" totalsRowShown="0" headerRowDxfId="1453" dataDxfId="1452" tableBorderDxfId="1451">
  <autoFilter ref="A3:F32" xr:uid="{97E240B2-559A-4C78-8CCF-1F0024DB38D0}">
    <filterColumn colId="0" hiddenButton="1"/>
    <filterColumn colId="1" hiddenButton="1"/>
    <filterColumn colId="2" hiddenButton="1"/>
    <filterColumn colId="3" hiddenButton="1"/>
    <filterColumn colId="4" hiddenButton="1"/>
    <filterColumn colId="5" hiddenButton="1"/>
  </autoFilter>
  <tableColumns count="6">
    <tableColumn id="1" xr3:uid="{2E23239F-B882-4E43-87B9-DD086663D792}" name="Particulars" dataDxfId="1450"/>
    <tableColumn id="2" xr3:uid="{F347C4D2-1A55-4F73-8B40-E131E40C70AB}" name="2026" dataDxfId="1449"/>
    <tableColumn id="3" xr3:uid="{7FC6C568-721C-4C7D-A228-57CD924A77B6}" name="2027" dataDxfId="1448"/>
    <tableColumn id="4" xr3:uid="{9331ED2E-C1F2-4A51-AFC7-C5E633857C73}" name="2028" dataDxfId="1447"/>
    <tableColumn id="5" xr3:uid="{54C3D16D-94EC-45F3-A389-EF8E8BE12803}" name="2029" dataDxfId="1446"/>
    <tableColumn id="6" xr3:uid="{6B954433-7855-4F94-9F31-2DB9D8C867A0}" name="2030" dataDxfId="1445"/>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852D5412-4969-46D3-A08A-07DF360BFB2D}" name="Table26" displayName="Table26" ref="H3:M32" totalsRowShown="0" headerRowDxfId="1444" dataDxfId="1443" tableBorderDxfId="1442">
  <autoFilter ref="H3:M32" xr:uid="{852D5412-4969-46D3-A08A-07DF360BFB2D}">
    <filterColumn colId="0" hiddenButton="1"/>
    <filterColumn colId="1" hiddenButton="1"/>
    <filterColumn colId="2" hiddenButton="1"/>
    <filterColumn colId="3" hiddenButton="1"/>
    <filterColumn colId="4" hiddenButton="1"/>
    <filterColumn colId="5" hiddenButton="1"/>
  </autoFilter>
  <tableColumns count="6">
    <tableColumn id="1" xr3:uid="{4F85A487-370A-4FA4-990B-30FDB946FE2F}" name="Particulars" dataDxfId="1441"/>
    <tableColumn id="2" xr3:uid="{279F2629-8EFE-4145-B9C4-3DFD80297D23}" name="2026" dataDxfId="1440"/>
    <tableColumn id="3" xr3:uid="{1BD7D988-E4E9-4D20-81BD-344CC73DB08C}" name="2027" dataDxfId="1439"/>
    <tableColumn id="4" xr3:uid="{ADEAA14E-26A8-4035-8E69-327FD9FA7652}" name="2028" dataDxfId="1438"/>
    <tableColumn id="5" xr3:uid="{727F9719-C86E-4B70-A218-CF7D8FAEB734}" name="2029" dataDxfId="1437"/>
    <tableColumn id="6" xr3:uid="{94D95367-96F7-4700-A3DC-41F67847A9D2}" name="2030" dataDxfId="1436"/>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89BF88B6-D47E-4222-8704-3834BA6E24AE}" name="Table27" displayName="Table27" ref="O3:T32" totalsRowShown="0" headerRowDxfId="1435" dataDxfId="1434" tableBorderDxfId="1433">
  <autoFilter ref="O3:T32" xr:uid="{89BF88B6-D47E-4222-8704-3834BA6E24AE}">
    <filterColumn colId="0" hiddenButton="1"/>
    <filterColumn colId="1" hiddenButton="1"/>
    <filterColumn colId="2" hiddenButton="1"/>
    <filterColumn colId="3" hiddenButton="1"/>
    <filterColumn colId="4" hiddenButton="1"/>
    <filterColumn colId="5" hiddenButton="1"/>
  </autoFilter>
  <tableColumns count="6">
    <tableColumn id="1" xr3:uid="{2BF85651-E4E0-4E11-B403-E29F5150E314}" name="Particulars" dataDxfId="1432"/>
    <tableColumn id="2" xr3:uid="{35FF66CC-7FAF-4AAB-B188-637541828157}" name="2026" dataDxfId="1431"/>
    <tableColumn id="3" xr3:uid="{A6873DFA-9669-4039-80E6-3D89FFBC5EBE}" name="2027" dataDxfId="1430"/>
    <tableColumn id="4" xr3:uid="{4A756CE5-E252-431E-AB2A-A2ABF6BDA707}" name="2028" dataDxfId="1429"/>
    <tableColumn id="5" xr3:uid="{9DE3FB70-70CE-4173-9A2B-3AB9806FD582}" name="2029" dataDxfId="1428"/>
    <tableColumn id="6" xr3:uid="{C4884560-062E-4EA9-8523-65D7A5B6D309}" name="2030" dataDxfId="1427"/>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EF00328B-1A6C-4A19-9B3C-DECD26BC62AE}" name="Table28" displayName="Table28" ref="V3:AA32" totalsRowShown="0" headerRowDxfId="1426" dataDxfId="1425" tableBorderDxfId="1424">
  <autoFilter ref="V3:AA32" xr:uid="{EF00328B-1A6C-4A19-9B3C-DECD26BC62AE}">
    <filterColumn colId="0" hiddenButton="1"/>
    <filterColumn colId="1" hiddenButton="1"/>
    <filterColumn colId="2" hiddenButton="1"/>
    <filterColumn colId="3" hiddenButton="1"/>
    <filterColumn colId="4" hiddenButton="1"/>
    <filterColumn colId="5" hiddenButton="1"/>
  </autoFilter>
  <tableColumns count="6">
    <tableColumn id="1" xr3:uid="{26F4BBB8-FEAB-4B56-921B-6694DE33A45A}" name="Particulars" dataDxfId="1423"/>
    <tableColumn id="2" xr3:uid="{3E7BEEAE-C242-4BCA-8D9C-3821279A8D21}" name="2026" dataDxfId="1422"/>
    <tableColumn id="3" xr3:uid="{271E26A8-A832-4AA0-B4BD-5370A2461FBF}" name="2027" dataDxfId="1421"/>
    <tableColumn id="4" xr3:uid="{17001BAC-29EB-4D22-B740-663E74B8D4BA}" name="2028" dataDxfId="1420"/>
    <tableColumn id="5" xr3:uid="{44F9997C-CD6E-41E6-BE02-9CF573AEC41B}" name="2029" dataDxfId="1419"/>
    <tableColumn id="6" xr3:uid="{B4AD4EA3-8CB7-457E-ADF1-EC5DF1FB37CE}" name="2030" dataDxfId="1418"/>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770E9BD-65EE-46E2-9731-D3F50BD4A444}" name="Table29" displayName="Table29" ref="AC3:AH32" totalsRowShown="0" headerRowDxfId="1417" dataDxfId="1416">
  <autoFilter ref="AC3:AH32" xr:uid="{A770E9BD-65EE-46E2-9731-D3F50BD4A444}">
    <filterColumn colId="0" hiddenButton="1"/>
    <filterColumn colId="1" hiddenButton="1"/>
    <filterColumn colId="2" hiddenButton="1"/>
    <filterColumn colId="3" hiddenButton="1"/>
    <filterColumn colId="4" hiddenButton="1"/>
    <filterColumn colId="5" hiddenButton="1"/>
  </autoFilter>
  <tableColumns count="6">
    <tableColumn id="1" xr3:uid="{155D1285-3AAF-4427-ABB4-A0DBA0C6E449}" name="Particulars" dataDxfId="1415"/>
    <tableColumn id="2" xr3:uid="{8833606A-EF19-4970-9EE9-DA04BDF171EB}" name="2026" dataDxfId="1414"/>
    <tableColumn id="3" xr3:uid="{57BE3B32-5B8C-4097-84E4-6149AEC44CCE}" name="2027" dataDxfId="1413"/>
    <tableColumn id="4" xr3:uid="{2A401A64-8A0B-4A54-AFBC-CE5C7E53688C}" name="2028" dataDxfId="1412"/>
    <tableColumn id="5" xr3:uid="{EBE5CDF8-E8C0-4810-A2F6-BF68E127567B}" name="2029" dataDxfId="1411"/>
    <tableColumn id="6" xr3:uid="{14CE00B1-BFEC-4E96-9DAE-324B34E997B9}" name="2030" dataDxfId="1410"/>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E9C567DA-3FD9-42F4-9B8D-9C90CCEB0B9F}" name="Table30" displayName="Table30" ref="AJ3:AO32" totalsRowShown="0" headerRowDxfId="1409" dataDxfId="1408" tableBorderDxfId="1407">
  <autoFilter ref="AJ3:AO32" xr:uid="{E9C567DA-3FD9-42F4-9B8D-9C90CCEB0B9F}">
    <filterColumn colId="0" hiddenButton="1"/>
    <filterColumn colId="1" hiddenButton="1"/>
    <filterColumn colId="2" hiddenButton="1"/>
    <filterColumn colId="3" hiddenButton="1"/>
    <filterColumn colId="4" hiddenButton="1"/>
    <filterColumn colId="5" hiddenButton="1"/>
  </autoFilter>
  <tableColumns count="6">
    <tableColumn id="1" xr3:uid="{73F82A67-9D45-4D4C-9F77-D8895EC8772F}" name="Particulars" dataDxfId="1406"/>
    <tableColumn id="2" xr3:uid="{C6E7839E-B962-4F9E-A351-C8D7B097D47D}" name="2026" dataDxfId="1405"/>
    <tableColumn id="3" xr3:uid="{230B49B3-C25D-4505-8DDF-93814C5D2B5B}" name="2027" dataDxfId="1404"/>
    <tableColumn id="4" xr3:uid="{F643EE7F-56AD-4684-8ADA-AA831825E8CC}" name="2028" dataDxfId="1403"/>
    <tableColumn id="5" xr3:uid="{CCEB2DEC-FFC0-4A0E-A222-E61D2C85634C}" name="2029" dataDxfId="1402"/>
    <tableColumn id="6" xr3:uid="{F904F01B-CA20-4260-8CB5-E1DBE0DD9849}" name="2030" dataDxfId="1401"/>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379EED6-E328-4A5D-9638-EDBA76B3BA76}" name="Table7" displayName="Table7" ref="A3:G21" totalsRowShown="0" headerRowDxfId="1400" dataDxfId="1398" headerRowBorderDxfId="1399" tableBorderDxfId="1397">
  <autoFilter ref="A3:G21" xr:uid="{F379EED6-E328-4A5D-9638-EDBA76B3BA7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B2CC3F4-7BEA-4A9D-B4CE-1FF3B0722004}" name="Particulars" dataDxfId="1396"/>
    <tableColumn id="2" xr3:uid="{04F720D0-C7DE-4BCF-AFE2-4040F6CBFC8C}" name="2020" dataDxfId="1395"/>
    <tableColumn id="3" xr3:uid="{379F0286-1D3C-4EEF-BE7C-933AA87710B9}" name="2021" dataDxfId="1394"/>
    <tableColumn id="4" xr3:uid="{EFB43256-5B4F-47EE-9D06-E3940AE6E6D3}" name="2022" dataDxfId="1393"/>
    <tableColumn id="5" xr3:uid="{4E49D736-4111-4C45-AA09-A396E8642FB2}" name="2023" dataDxfId="1392"/>
    <tableColumn id="6" xr3:uid="{FA3EC5FC-1143-4B17-AA9F-0C30894D9698}" name="2024" dataDxfId="1391"/>
    <tableColumn id="7" xr3:uid="{0FB4E9B5-53ED-4D43-B751-D1BE0E8A02D9}" name="2025" dataDxfId="1390"/>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2B86960-D906-42DB-A7B3-B219645AAE43}" name="Table8" displayName="Table8" ref="I3:O30" totalsRowShown="0" headerRowDxfId="1389" dataDxfId="1387" headerRowBorderDxfId="1388" tableBorderDxfId="1386">
  <autoFilter ref="I3:O30" xr:uid="{52B86960-D906-42DB-A7B3-B219645AAE4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8717776-42A0-4B21-8321-19A407F72245}" name="Particulars" dataDxfId="1385"/>
    <tableColumn id="2" xr3:uid="{895EE268-1D1B-40A8-875E-70C0A6EA39A5}" name="2020" dataDxfId="1384"/>
    <tableColumn id="3" xr3:uid="{867204FF-3DBF-4A1C-A53F-588AF09FCD40}" name="2021" dataDxfId="1383"/>
    <tableColumn id="4" xr3:uid="{562B5209-149A-4A1B-9908-A4502F7C9B06}" name="2022" dataDxfId="1382"/>
    <tableColumn id="5" xr3:uid="{347A25FB-4A92-485E-A48A-49A6DCEAB774}" name="2023" dataDxfId="1381"/>
    <tableColumn id="6" xr3:uid="{2A0F1A1D-F77B-44A1-9C28-2FCB7A1B94DB}" name="2024" dataDxfId="1380"/>
    <tableColumn id="7" xr3:uid="{7A0F6A34-B2D2-42F3-AA57-8349ACBC474E}" name="2025" dataDxfId="1379"/>
  </tableColumns>
  <tableStyleInfo name="TableStyleMedium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1D01B0E-624F-4D34-83A6-53B67DC65536}" name="Table9" displayName="Table9" ref="Q3:W25" totalsRowShown="0" headerRowDxfId="1378" dataDxfId="1376" headerRowBorderDxfId="1377" tableBorderDxfId="1375">
  <autoFilter ref="Q3:W25" xr:uid="{C1D01B0E-624F-4D34-83A6-53B67DC6553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260465D-1022-4A4F-9FF6-9F3CBE0A311A}" name="Particulars" dataDxfId="1374"/>
    <tableColumn id="2" xr3:uid="{9F6EC41E-2305-4721-BE7E-44A49D171DEF}" name="2020" dataDxfId="1373"/>
    <tableColumn id="3" xr3:uid="{1515751E-A254-47F2-A2B8-6DA13BB23056}" name="2021" dataDxfId="1372"/>
    <tableColumn id="4" xr3:uid="{4AA65AAD-C15F-41E6-9BC9-E0B78A8B883F}" name="2022" dataDxfId="1371"/>
    <tableColumn id="5" xr3:uid="{EE011D07-AAE8-4860-BC6D-2EC4855DFA3C}" name="2023" dataDxfId="1370"/>
    <tableColumn id="6" xr3:uid="{139A5ACE-4789-4941-9F95-4B64B6B27F02}" name="2024" dataDxfId="1369"/>
    <tableColumn id="7" xr3:uid="{3CA8060E-212D-45A4-89B7-AFF1CE03F409}" name="2025" dataDxfId="1368"/>
  </tableColumns>
  <tableStyleInfo name="TableStyleMedium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77D0A54-DB89-4D97-8C03-8A3377C57261}" name="Table10" displayName="Table10" ref="Y3:AE26" totalsRowShown="0" headerRowDxfId="1367" dataDxfId="1366" tableBorderDxfId="1365">
  <autoFilter ref="Y3:AE26" xr:uid="{977D0A54-DB89-4D97-8C03-8A3377C5726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CAA68D0-F46B-4E06-B4FC-EF85D3DD7943}" name="Particulars" dataDxfId="1364"/>
    <tableColumn id="2" xr3:uid="{74BD66C3-1B9E-414B-A132-93436BC706F8}" name="2020" dataDxfId="1363"/>
    <tableColumn id="3" xr3:uid="{15BD7367-49EC-4EEF-9745-4E58357E243E}" name="2021" dataDxfId="1362"/>
    <tableColumn id="4" xr3:uid="{AA489A5A-84D6-4FC1-9255-381E13408191}" name="2022" dataDxfId="1361"/>
    <tableColumn id="5" xr3:uid="{EC61B59C-67DA-4D09-B9B4-7A97B0F41735}" name="2023" dataDxfId="1360"/>
    <tableColumn id="6" xr3:uid="{C8881627-6853-4737-9BD8-D7DB3A15843D}" name="2024" dataDxfId="1359"/>
    <tableColumn id="7" xr3:uid="{B5EAAC70-44B9-40BF-849C-B884C0AAFEED}" name="2025" dataDxfId="1358"/>
  </tableColumns>
  <tableStyleInfo name="TableStyleMedium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C7B3461-E696-42F8-B18E-C1953BB4A2DA}" name="Table11" displayName="Table11" ref="AG3:AM25" totalsRowShown="0" headerRowDxfId="1357" dataDxfId="1356" tableBorderDxfId="1355">
  <autoFilter ref="AG3:AM25" xr:uid="{8C7B3461-E696-42F8-B18E-C1953BB4A2D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613797C-4564-4E92-B308-1FD519378CC1}" name="Particulars" dataDxfId="1354"/>
    <tableColumn id="2" xr3:uid="{EA42A018-8F11-4DB8-8101-9D2AB4553121}" name="2020" dataDxfId="1353"/>
    <tableColumn id="3" xr3:uid="{7BEAEFC5-772F-48C1-AEA4-AB2F270CE370}" name="2021" dataDxfId="1352"/>
    <tableColumn id="4" xr3:uid="{C24AD027-2661-467C-8DD9-F552397EB9C3}" name="2022" dataDxfId="1351"/>
    <tableColumn id="5" xr3:uid="{21C6C12E-61AD-4623-BEC5-B9DF6131BCA2}" name="2023" dataDxfId="1350"/>
    <tableColumn id="6" xr3:uid="{42FD513D-C42C-44E4-8EBB-1753BD2D0F63}" name="2024" dataDxfId="1349"/>
    <tableColumn id="7" xr3:uid="{B707EA09-CCD7-476C-9526-D7B1D3B67F97}" name="2025" dataDxfId="1348"/>
  </tableColumns>
  <tableStyleInfo name="TableStyleMedium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9084EBA-0799-4CE8-B335-91A402629424}" name="Table12" displayName="Table12" ref="AO3:AU26" totalsRowShown="0" headerRowDxfId="1347" dataDxfId="1345" headerRowBorderDxfId="1346" tableBorderDxfId="1344">
  <autoFilter ref="AO3:AU26" xr:uid="{E9084EBA-0799-4CE8-B335-91A40262942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0E8B616-DF48-4196-9E94-B9A297E38367}" name="Particulars" dataDxfId="1343"/>
    <tableColumn id="2" xr3:uid="{E1A435B0-A1C4-495C-BF23-271558274964}" name="2020" dataDxfId="1342"/>
    <tableColumn id="3" xr3:uid="{CEF7A0AE-B93B-4468-AEF1-7588DFE8D334}" name="2021" dataDxfId="1341"/>
    <tableColumn id="4" xr3:uid="{6ACE6414-E8D4-4EDB-9118-CBA6C720D5A1}" name="2022" dataDxfId="1340"/>
    <tableColumn id="5" xr3:uid="{2E999616-0FA9-4493-8FAB-8A9BA9C92F33}" name="2023" dataDxfId="1339"/>
    <tableColumn id="6" xr3:uid="{79B44198-A061-430F-9A1A-2BBE63705A5A}" name="2024" dataDxfId="1338"/>
    <tableColumn id="7" xr3:uid="{9137C986-C339-4393-A6F9-A7A8777232DF}" name="2025" dataDxfId="1337"/>
  </tableColumns>
  <tableStyleInfo name="TableStyleMedium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71004E99-3B19-4EF6-B3B8-C51582C363CC}" name="Table39" displayName="Table39" ref="A57:F65" totalsRowShown="0" headerRowDxfId="1336" dataDxfId="1335">
  <autoFilter ref="A57:F65" xr:uid="{71004E99-3B19-4EF6-B3B8-C51582C363CC}">
    <filterColumn colId="0" hiddenButton="1"/>
    <filterColumn colId="1" hiddenButton="1"/>
    <filterColumn colId="2" hiddenButton="1"/>
    <filterColumn colId="3" hiddenButton="1"/>
    <filterColumn colId="4" hiddenButton="1"/>
    <filterColumn colId="5" hiddenButton="1"/>
  </autoFilter>
  <tableColumns count="6">
    <tableColumn id="1" xr3:uid="{52AAC010-277B-49CA-AA26-C347F2BD63E9}" name="Forecast" dataDxfId="1334"/>
    <tableColumn id="2" xr3:uid="{9CBFC443-F179-4525-80F3-21F7C5F6FA2E}" name="2026" dataDxfId="1333"/>
    <tableColumn id="3" xr3:uid="{CDA830AA-198A-4C06-8894-F97DE9F8CDD0}" name="2027" dataDxfId="1332"/>
    <tableColumn id="4" xr3:uid="{61AB0FDC-F8ED-4F5A-98E9-F897071E34EA}" name="2028" dataDxfId="1331"/>
    <tableColumn id="5" xr3:uid="{2BC09903-EDEB-44A5-B3D8-DE1E656E55FA}" name="2029" dataDxfId="1330"/>
    <tableColumn id="6" xr3:uid="{BEF59D10-FD22-4EBB-AF91-42B8E6B856B1}" name="2030" dataDxfId="1329"/>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4F586AF-4159-47B2-B111-9A8D97D15D4C}" name="Table40" displayName="Table40" ref="A23:G54" totalsRowShown="0" headerRowDxfId="1328" dataDxfId="1327" tableBorderDxfId="1326" dataCellStyle="Percent">
  <autoFilter ref="A23:G54" xr:uid="{74F586AF-4159-47B2-B111-9A8D97D15D4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A304D24-9961-4D6F-A2F2-8DAA33188BC6}" name="Working notes" dataDxfId="1325"/>
    <tableColumn id="2" xr3:uid="{AEAE7ECC-CC72-49BC-8B19-1F98ADF08DED}" name="2020" dataDxfId="1324" dataCellStyle="Percent"/>
    <tableColumn id="3" xr3:uid="{F0B346EA-DE6D-4682-91B6-B02E67074422}" name="2021" dataDxfId="1323" dataCellStyle="Percent"/>
    <tableColumn id="4" xr3:uid="{3E17B829-EA1D-40D6-A474-CBE0C4D05E4A}" name="2022" dataDxfId="1322" dataCellStyle="Percent"/>
    <tableColumn id="5" xr3:uid="{A1B820B8-5D8D-4D24-97D2-C9BEED8B30F2}" name="2023" dataDxfId="1321" dataCellStyle="Percent"/>
    <tableColumn id="6" xr3:uid="{82BC48DA-3DB0-4528-9FCA-77BD0C940270}" name="2024" dataDxfId="1320" dataCellStyle="Percent"/>
    <tableColumn id="7" xr3:uid="{CA3538E4-8BC8-4505-A93A-ABC2A5FF6102}" name="2025" dataDxfId="1319" dataCellStyle="Percent"/>
  </tableColumns>
  <tableStyleInfo name="TableStyleMedium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9EDE61F-36FB-4F8A-9C5C-C0D895ED7ABF}" name="Table38" displayName="Table38" ref="I32:O67" totalsRowShown="0" headerRowDxfId="1318">
  <autoFilter ref="I32:O67" xr:uid="{99EDE61F-36FB-4F8A-9C5C-C0D895ED7AB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45621CC-7356-4A1F-9A6B-848EDE5A2E6D}" name="Working Notes"/>
    <tableColumn id="2" xr3:uid="{912F9EDC-8610-4D21-B5AA-0E8A0165184F}" name="2020"/>
    <tableColumn id="3" xr3:uid="{B42DC3D1-A931-4EE7-9017-B138530E56E7}" name="2021"/>
    <tableColumn id="4" xr3:uid="{7CFE7AEE-0506-4E60-989E-89D90C272DC7}" name="2022"/>
    <tableColumn id="5" xr3:uid="{8AF404F4-70D3-4912-A8F7-6ABC4A05BFC2}" name="2023"/>
    <tableColumn id="6" xr3:uid="{70BE5DAE-EB55-47FE-B928-276A86226879}" name="2024"/>
    <tableColumn id="7" xr3:uid="{D262CED3-02B8-4844-8898-A0EE113284E1}" name="2025"/>
  </tableColumns>
  <tableStyleInfo name="TableStyleMedium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98761D89-D900-4DB3-BEC6-E970177B67AF}" name="Table3942" displayName="Table3942" ref="I68:N80" totalsRowShown="0" headerRowDxfId="1317" dataDxfId="1316">
  <autoFilter ref="I68:N80" xr:uid="{98761D89-D900-4DB3-BEC6-E970177B67AF}">
    <filterColumn colId="0" hiddenButton="1"/>
    <filterColumn colId="1" hiddenButton="1"/>
    <filterColumn colId="2" hiddenButton="1"/>
    <filterColumn colId="3" hiddenButton="1"/>
    <filterColumn colId="4" hiddenButton="1"/>
    <filterColumn colId="5" hiddenButton="1"/>
  </autoFilter>
  <tableColumns count="6">
    <tableColumn id="1" xr3:uid="{5E551D1A-7E57-4351-B1B4-77E2DD651229}" name="Forecast" dataDxfId="1315"/>
    <tableColumn id="2" xr3:uid="{22BCE22A-76AE-4540-A643-00CF264350E2}" name="2026" dataDxfId="1314"/>
    <tableColumn id="3" xr3:uid="{C7597D74-FD93-4549-8F8D-053DC5BB2977}" name="2027" dataDxfId="1313"/>
    <tableColumn id="4" xr3:uid="{44E6D3BA-CFB2-48AB-AFDA-55F9D25FEDB4}" name="2028" dataDxfId="1312"/>
    <tableColumn id="5" xr3:uid="{915409E1-C33C-48C8-9B4E-6DBE6554ABA4}" name="2029" dataDxfId="1311"/>
    <tableColumn id="6" xr3:uid="{2D4B4057-7AE1-4E00-98F5-9DBAFF1A071A}" name="2030" dataDxfId="1310"/>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7405B8BB-9B0A-443B-953E-CB462F9AA8FA}" name="Table42" displayName="Table42" ref="Q27:W64" totalsRowShown="0" headerRowDxfId="1309">
  <autoFilter ref="Q27:W64" xr:uid="{7405B8BB-9B0A-443B-953E-CB462F9AA8F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4E520D0-8BEC-4988-8A74-6FC301CAAE88}" name="Working Notes"/>
    <tableColumn id="2" xr3:uid="{9D9F18BC-3326-40AA-B3FC-1D32C60D2246}" name="2020"/>
    <tableColumn id="3" xr3:uid="{AD233B0C-1D70-47B6-AC2A-5B3F96143D07}" name="2021"/>
    <tableColumn id="4" xr3:uid="{49F4292B-AA6C-4220-87C3-67DDB59D0E96}" name="2022"/>
    <tableColumn id="5" xr3:uid="{1D685ED6-07EC-4799-8B20-ACDFDFEE7736}" name="2023"/>
    <tableColumn id="6" xr3:uid="{0C603085-63D7-44FA-B7AD-9A4A656435A8}" name="2024"/>
    <tableColumn id="7" xr3:uid="{09202ECA-C247-4D61-B7D8-16F41716B475}" name="2025"/>
  </tableColumns>
  <tableStyleInfo name="TableStyleMedium13"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CCEB21E-ED55-4749-9A45-71E07F89730A}" name="Table394245" displayName="Table394245" ref="Q68:V83" totalsRowShown="0" headerRowDxfId="1308" dataDxfId="1307" tableBorderDxfId="1306">
  <autoFilter ref="Q68:V83" xr:uid="{CCCEB21E-ED55-4749-9A45-71E07F89730A}">
    <filterColumn colId="0" hiddenButton="1"/>
    <filterColumn colId="1" hiddenButton="1"/>
    <filterColumn colId="2" hiddenButton="1"/>
    <filterColumn colId="3" hiddenButton="1"/>
    <filterColumn colId="4" hiddenButton="1"/>
    <filterColumn colId="5" hiddenButton="1"/>
  </autoFilter>
  <tableColumns count="6">
    <tableColumn id="1" xr3:uid="{786F4D18-6BF8-41A6-BD6F-227FB7BBC6D9}" name="Forecast" dataDxfId="1305"/>
    <tableColumn id="2" xr3:uid="{49B5A00D-E8D3-4103-A09B-F6A1D1B4484E}" name="2026" dataDxfId="1304"/>
    <tableColumn id="3" xr3:uid="{289A84F4-038F-430A-B831-F8F309B2D3E8}" name="2027" dataDxfId="1303"/>
    <tableColumn id="4" xr3:uid="{36638964-927E-4E8C-9FE1-0467647D972D}" name="2028" dataDxfId="1302"/>
    <tableColumn id="5" xr3:uid="{D85012B0-ED91-4813-8EC2-3EB40EA3D745}" name="2029" dataDxfId="1301"/>
    <tableColumn id="6" xr3:uid="{B81E040F-C3D3-48A7-BF09-15ECAB98A12E}" name="2030" dataDxfId="1300"/>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B3FD08F9-7740-4527-9DE6-534D06225CB8}" name="Table47" displayName="Table47" ref="Y28:AE66" totalsRowShown="0" headerRowDxfId="1299" headerRowCellStyle="Comma">
  <autoFilter ref="Y28:AE66" xr:uid="{B3FD08F9-7740-4527-9DE6-534D06225CB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4784D12-7D1C-4D8C-9EAE-7B481F1F0D6A}" name="Working Notes" dataDxfId="1298"/>
    <tableColumn id="2" xr3:uid="{793B9F71-8E9B-46A5-BFDA-6D5E292B21B3}" name="2020"/>
    <tableColumn id="3" xr3:uid="{C175A0A3-5B9C-4953-B089-14DA620B765B}" name="2021"/>
    <tableColumn id="4" xr3:uid="{57554F8F-F535-4E58-A021-16DC768BD3A7}" name="2022"/>
    <tableColumn id="5" xr3:uid="{3F13E7C8-BAE2-4247-8456-59D638E1CD55}" name="2023"/>
    <tableColumn id="6" xr3:uid="{B82735C3-D5D1-473B-880C-7970F9ACECFA}" name="2024"/>
    <tableColumn id="7" xr3:uid="{75BDCAB9-146B-4C10-9BD3-C3E673131B8B}" name="2025"/>
  </tableColumns>
  <tableStyleInfo name="TableStyleMedium13"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23398E38-6D74-4414-A892-EA89210464F2}" name="Table39424550" displayName="Table39424550" ref="Y70:AD87" totalsRowShown="0" headerRowDxfId="1297" dataDxfId="1296" tableBorderDxfId="1295">
  <autoFilter ref="Y70:AD87" xr:uid="{23398E38-6D74-4414-A892-EA89210464F2}">
    <filterColumn colId="0" hiddenButton="1"/>
    <filterColumn colId="1" hiddenButton="1"/>
    <filterColumn colId="2" hiddenButton="1"/>
    <filterColumn colId="3" hiddenButton="1"/>
    <filterColumn colId="4" hiddenButton="1"/>
    <filterColumn colId="5" hiddenButton="1"/>
  </autoFilter>
  <tableColumns count="6">
    <tableColumn id="1" xr3:uid="{0AF4A104-37F8-4C07-838C-5EBB4E9E9593}" name="Forecast" dataDxfId="1294"/>
    <tableColumn id="2" xr3:uid="{FCA5EEC7-2642-43B4-A67D-93D0BD2D0A6D}" name="2026" dataDxfId="1293"/>
    <tableColumn id="3" xr3:uid="{13AE4918-418B-4023-9C48-7862E7BB47A7}" name="2027" dataDxfId="1292"/>
    <tableColumn id="4" xr3:uid="{49E4743A-45FC-4B6A-A099-AFBB2E837B09}" name="2028" dataDxfId="1291"/>
    <tableColumn id="5" xr3:uid="{3150D435-4A9F-48CE-A1EB-BD16E22AE4BE}" name="2029" dataDxfId="1290"/>
    <tableColumn id="6" xr3:uid="{EE5B4FF2-5AF8-418E-A391-57A906BE5612}" name="2030" dataDxfId="1289"/>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F8461706-103E-4541-B3A8-C0442687FC69}" name="Table43" displayName="Table43" ref="AG27:AM67" totalsRowShown="0" headerRowDxfId="1288">
  <autoFilter ref="AG27:AM67" xr:uid="{F8461706-103E-4541-B3A8-C0442687FC6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ACAAEF8-70D9-4FBB-9183-33E578843B50}" name="Working Notes"/>
    <tableColumn id="2" xr3:uid="{CBEC56A2-1BE6-44C0-A9B6-72EDE269D9DD}" name="2020"/>
    <tableColumn id="3" xr3:uid="{948D7FF3-6476-42BF-B484-C165B5557A51}" name="2021"/>
    <tableColumn id="4" xr3:uid="{9BE7C21F-ED66-4EF2-A358-79D8CD0EC3B3}" name="2022"/>
    <tableColumn id="5" xr3:uid="{9E0EFAE3-9BC8-4E3C-973B-41CCF55695C1}" name="2023"/>
    <tableColumn id="6" xr3:uid="{813121E9-3A77-4823-8D3D-A3A2535BC218}" name="2024"/>
    <tableColumn id="7" xr3:uid="{23A072C5-AD26-4E18-9A98-9FABCD3C1CDF}" name="2025"/>
  </tableColumns>
  <tableStyleInfo name="TableStyleMedium13"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FC23C2D5-CBA9-4EF6-9696-2D6ED8802212}" name="Table3942455049" displayName="Table3942455049" ref="AG70:AL88" totalsRowShown="0" headerRowDxfId="1287" dataDxfId="1286" tableBorderDxfId="1285">
  <autoFilter ref="AG70:AL88" xr:uid="{FC23C2D5-CBA9-4EF6-9696-2D6ED8802212}">
    <filterColumn colId="0" hiddenButton="1"/>
    <filterColumn colId="1" hiddenButton="1"/>
    <filterColumn colId="2" hiddenButton="1"/>
    <filterColumn colId="3" hiddenButton="1"/>
    <filterColumn colId="4" hiddenButton="1"/>
    <filterColumn colId="5" hiddenButton="1"/>
  </autoFilter>
  <tableColumns count="6">
    <tableColumn id="1" xr3:uid="{298609D1-2C6B-433E-AC4A-DF78950A31D9}" name="Forecast" dataDxfId="1284"/>
    <tableColumn id="2" xr3:uid="{1E455000-70DA-4DB2-9FC8-9D5F99CB4F68}" name="2026" dataDxfId="1283"/>
    <tableColumn id="3" xr3:uid="{0BB21998-EBAE-47FD-9118-EB43A898FCA0}" name="2027" dataDxfId="1282"/>
    <tableColumn id="4" xr3:uid="{862196EB-A023-41EA-9B3A-1CE8290CDD91}" name="2028" dataDxfId="1281"/>
    <tableColumn id="5" xr3:uid="{4BBBDAB2-4688-4AE4-85E8-B19A6F15E73A}" name="2029" dataDxfId="1280"/>
    <tableColumn id="6" xr3:uid="{24D4581D-5782-473B-8517-5197376B1D28}" name="2030" dataDxfId="1279"/>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40537098-11CE-4C90-9884-0C73B6277CDD}" name="Table70" displayName="Table70" ref="AO28:AU68" totalsRowShown="0" headerRowDxfId="1278" headerRowCellStyle="Comma">
  <autoFilter ref="AO28:AU68" xr:uid="{40537098-11CE-4C90-9884-0C73B6277CD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B6F1400-4A2A-4E29-80C6-379F30D7B471}" name="Working Notes"/>
    <tableColumn id="2" xr3:uid="{7ABBADEB-A9F8-4CAF-89FC-FD2DAB36C328}" name="2020" dataDxfId="1277"/>
    <tableColumn id="3" xr3:uid="{6EA1E10A-C614-4EB2-A58B-B64E306A09B5}" name="2021" dataDxfId="1276"/>
    <tableColumn id="4" xr3:uid="{0E28DC23-9EA5-46A2-A9E2-AF8C389E2882}" name="2022" dataDxfId="1275"/>
    <tableColumn id="5" xr3:uid="{C8354A9B-C6A8-4CCF-90A6-049828AF4B59}" name="2023" dataDxfId="1274"/>
    <tableColumn id="6" xr3:uid="{053C177C-DED5-4A0D-A713-F8E470146B38}" name="2024" dataDxfId="1273"/>
    <tableColumn id="7" xr3:uid="{C3BA8FCA-125A-4923-9873-B2D42B6F6071}" name="2025" dataDxfId="1272"/>
  </tableColumns>
  <tableStyleInfo name="TableStyleMedium13"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B3E01C09-84E0-4654-8258-3F554F261498}" name="Table394245504973" displayName="Table394245504973" ref="AO70:AT88" totalsRowShown="0" headerRowDxfId="1271" dataDxfId="1270" tableBorderDxfId="1269">
  <autoFilter ref="AO70:AT88" xr:uid="{B3E01C09-84E0-4654-8258-3F554F261498}">
    <filterColumn colId="0" hiddenButton="1"/>
    <filterColumn colId="1" hiddenButton="1"/>
    <filterColumn colId="2" hiddenButton="1"/>
    <filterColumn colId="3" hiddenButton="1"/>
    <filterColumn colId="4" hiddenButton="1"/>
    <filterColumn colId="5" hiddenButton="1"/>
  </autoFilter>
  <tableColumns count="6">
    <tableColumn id="1" xr3:uid="{E70B1250-A47C-493D-8739-8445AFB5D86B}" name="Forecast" dataDxfId="1268"/>
    <tableColumn id="2" xr3:uid="{70E2D398-B255-4F9B-B9A7-0AFBF7485423}" name="2026" dataDxfId="1267"/>
    <tableColumn id="3" xr3:uid="{C8A513FE-F90B-4363-A556-008AE6114C30}" name="2027" dataDxfId="1266"/>
    <tableColumn id="4" xr3:uid="{FA27360A-1FAB-4429-ACCE-B8BD7F4E5017}" name="2028" dataDxfId="1265"/>
    <tableColumn id="5" xr3:uid="{97AC6D3E-8233-4C72-81F1-58E52A94D0DE}" name="2029" dataDxfId="1264"/>
    <tableColumn id="6" xr3:uid="{CFC1F353-F273-41E3-9630-E4C8B0A63053}" name="2030" dataDxfId="1263"/>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6ACE3E5-7C29-4400-99FD-E686C26ECEF4}" name="Table13" displayName="Table13" ref="A3:G50" totalsRowShown="0" headerRowDxfId="1262" dataDxfId="1260" headerRowBorderDxfId="1261" tableBorderDxfId="1259">
  <autoFilter ref="A3:G50" xr:uid="{66ACE3E5-7C29-4400-99FD-E686C26ECEF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F7A83C6-111A-45FE-AAD9-EEAB0E1D2BB0}" name="Particulars" dataDxfId="1258"/>
    <tableColumn id="2" xr3:uid="{5A29E358-6F31-4292-846A-E672EF117CF2}" name="2020" dataDxfId="1257"/>
    <tableColumn id="3" xr3:uid="{A00BE472-4A00-4E4C-BB49-C2F2103863B0}" name="2021" dataDxfId="1256"/>
    <tableColumn id="4" xr3:uid="{7B8B076A-77B1-4F35-81AC-F10A04983593}" name="2022" dataDxfId="1255"/>
    <tableColumn id="5" xr3:uid="{AF0876C1-E869-49A4-8DE4-1F28D779A748}" name="2023" dataDxfId="1254"/>
    <tableColumn id="6" xr3:uid="{ECAC65B7-5C40-4B3B-8A70-DF52BAABFBEA}" name="2024" dataDxfId="1253"/>
    <tableColumn id="7" xr3:uid="{9E4AE6B0-E776-4554-AAC7-FD274DF0A721}" name="2025" dataDxfId="1252"/>
  </tableColumns>
  <tableStyleInfo name="TableStyleMedium9"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B66CE17-F72B-40FE-9D94-0EBC3DB14070}" name="Table14" displayName="Table14" ref="I3:O57" totalsRowShown="0" headerRowDxfId="1251" dataDxfId="1249" headerRowBorderDxfId="1250" tableBorderDxfId="1248">
  <autoFilter ref="I3:O57" xr:uid="{3B66CE17-F72B-40FE-9D94-0EBC3DB1407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FE11FB5-8698-4B33-A962-BA0E64AF2252}" name="Particulars" dataDxfId="1247"/>
    <tableColumn id="2" xr3:uid="{35FA461A-35B5-40FB-91F1-426733A769CC}" name="2020" dataDxfId="1246"/>
    <tableColumn id="3" xr3:uid="{ED7E2028-A7A1-4FD4-A81F-A9A1901717EC}" name="2021" dataDxfId="1245"/>
    <tableColumn id="4" xr3:uid="{A61E9939-CA2E-45A0-82C1-38427D4F110F}" name="2022" dataDxfId="1244"/>
    <tableColumn id="5" xr3:uid="{11BB9499-F93E-4AF8-884E-E4C0E1D0E75D}" name="2023" dataDxfId="1243"/>
    <tableColumn id="6" xr3:uid="{602EDC89-4923-47E1-BBC2-5B4450CD3E81}" name="2024" dataDxfId="1242"/>
    <tableColumn id="7" xr3:uid="{91DF5997-82C8-4CB7-BACC-38CE9FAA181A}" name="2025" dataDxfId="1241"/>
  </tableColumns>
  <tableStyleInfo name="TableStyleMedium9"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5BAF339-F494-46E3-833C-0F4F133A24B2}" name="Table15" displayName="Table15" ref="Q3:W67" totalsRowShown="0" headerRowDxfId="1240" dataDxfId="1238" headerRowBorderDxfId="1239" tableBorderDxfId="1237">
  <autoFilter ref="Q3:W67" xr:uid="{D5BAF339-F494-46E3-833C-0F4F133A24B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E910713-C297-412A-9118-E204F9FE2A69}" name="Particulars" dataDxfId="1236"/>
    <tableColumn id="2" xr3:uid="{EF5F79F4-A9CB-4CBD-9037-9CF970ECA799}" name="2020" dataDxfId="1235"/>
    <tableColumn id="3" xr3:uid="{A5664D3E-6B89-401E-8C8A-62ECEF1A3D9F}" name="2021" dataDxfId="1234"/>
    <tableColumn id="4" xr3:uid="{EE412F48-CEC1-4970-83E7-39841A519E9E}" name="2022" dataDxfId="1233"/>
    <tableColumn id="5" xr3:uid="{2997A8F9-5715-4472-8F45-7CC4C06E2173}" name="2023" dataDxfId="1232"/>
    <tableColumn id="6" xr3:uid="{471C4FA4-5AEA-4AF5-A3F4-E72C9811EB65}" name="2024" dataDxfId="1231"/>
    <tableColumn id="7" xr3:uid="{8821BAF6-5873-4C34-8754-8B8FC9EB6872}" name="2025" dataDxfId="1230"/>
  </tableColumns>
  <tableStyleInfo name="TableStyleMedium9"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A149368-1CAF-40BA-B83A-1C01E85E0385}" name="Table16" displayName="Table16" ref="Y3:AE49" totalsRowShown="0" headerRowDxfId="1229" dataDxfId="1228" tableBorderDxfId="1227">
  <autoFilter ref="Y3:AE49" xr:uid="{FA149368-1CAF-40BA-B83A-1C01E85E038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A8C2CFA-AEE0-49A2-AF34-EB5010AE227F}" name="Particulars" dataDxfId="1226"/>
    <tableColumn id="2" xr3:uid="{DE4DEBE5-5D5F-499D-827A-15A3E3783637}" name="2020" dataDxfId="1225"/>
    <tableColumn id="3" xr3:uid="{7B08BB40-6D2B-4CD9-A8B6-221B41BE1CDD}" name="2021" dataDxfId="1224"/>
    <tableColumn id="4" xr3:uid="{52FF1F9C-0961-4162-8105-0FF6B2EFEB25}" name="2022" dataDxfId="1223"/>
    <tableColumn id="5" xr3:uid="{72917D1B-ED6D-4F90-AADA-58DDF0B90E68}" name="2023" dataDxfId="1222"/>
    <tableColumn id="6" xr3:uid="{FEA549E1-7CF9-4017-A4DF-590206F38C41}" name="2024" dataDxfId="1221"/>
    <tableColumn id="7" xr3:uid="{1978A285-6161-4C3A-A9A8-7C904457A656}" name="2025" dataDxfId="1220"/>
  </tableColumns>
  <tableStyleInfo name="TableStyleMedium9"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9B00B57-A639-424B-B28B-FAEFD10A8C1E}" name="Table17" displayName="Table17" ref="AG3:AM40" totalsRowShown="0" headerRowDxfId="1219" dataDxfId="1218" tableBorderDxfId="1217">
  <autoFilter ref="AG3:AM40" xr:uid="{99B00B57-A639-424B-B28B-FAEFD10A8C1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7E52C12-3C97-472E-91D6-409C4242A6C0}" name="Particulars" dataDxfId="1216"/>
    <tableColumn id="2" xr3:uid="{6775DCF6-6D49-463E-8218-6A6490D0EEEA}" name="2020" dataDxfId="1215"/>
    <tableColumn id="3" xr3:uid="{253E4B82-ED33-4DDF-AB79-106F75BCE0B7}" name="2021" dataDxfId="1214"/>
    <tableColumn id="4" xr3:uid="{881C0B1E-F86A-4628-9679-24463BF8A69C}" name="2022" dataDxfId="1213"/>
    <tableColumn id="5" xr3:uid="{A2323B0D-B33F-478C-AF00-4DA462428036}" name="2023" dataDxfId="1212"/>
    <tableColumn id="6" xr3:uid="{C9E766DF-5A8A-45D5-8043-709E329017AC}" name="2024" dataDxfId="1211"/>
    <tableColumn id="7" xr3:uid="{9A6033AA-2656-454F-9FE7-5B8F760D72C9}" name="2025" dataDxfId="1210"/>
  </tableColumns>
  <tableStyleInfo name="TableStyleMedium9"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52910EC-FDD7-47EA-B1D3-D9122CADC48C}" name="Table18" displayName="Table18" ref="AO3:AU58" totalsRowShown="0" headerRowDxfId="1209" dataDxfId="1207" headerRowBorderDxfId="1208" tableBorderDxfId="1206">
  <autoFilter ref="AO3:AU58" xr:uid="{C52910EC-FDD7-47EA-B1D3-D9122CADC48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48859FF-4210-408E-8FB3-1E87E95B5A9A}" name="Particulars" dataDxfId="1205"/>
    <tableColumn id="2" xr3:uid="{F6684EC7-14B6-465B-A0F8-04F28083C8E9}" name="2020" dataDxfId="1204"/>
    <tableColumn id="3" xr3:uid="{CAA7FB2E-03D5-4D90-B4A9-8CAAD8F8520E}" name="2021" dataDxfId="1203"/>
    <tableColumn id="4" xr3:uid="{96154A61-960C-497B-85FF-01C5B25956E7}" name="2022" dataDxfId="1202"/>
    <tableColumn id="5" xr3:uid="{C0482837-0671-4DA0-BF6B-C6E5807C772A}" name="2023" dataDxfId="1201"/>
    <tableColumn id="6" xr3:uid="{D3781D3E-C52E-4AF9-A59B-05E647151C82}" name="2024" dataDxfId="1200"/>
    <tableColumn id="7" xr3:uid="{798E7BEA-6C00-45EC-A4D1-AB14FEA6F952}" name="2025" dataDxfId="1199"/>
  </tableColumns>
  <tableStyleInfo name="TableStyleMedium9"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8F9A1492-08BD-4A7D-A5A1-729279DDD862}" name="Table37" displayName="Table37" ref="A3:F27" totalsRowShown="0" headerRowDxfId="1198" dataDxfId="1196" headerRowBorderDxfId="1197" tableBorderDxfId="1195">
  <autoFilter ref="A3:F27" xr:uid="{8F9A1492-08BD-4A7D-A5A1-729279DDD862}">
    <filterColumn colId="0" hiddenButton="1"/>
    <filterColumn colId="1" hiddenButton="1"/>
    <filterColumn colId="2" hiddenButton="1"/>
    <filterColumn colId="3" hiddenButton="1"/>
    <filterColumn colId="4" hiddenButton="1"/>
    <filterColumn colId="5" hiddenButton="1"/>
  </autoFilter>
  <tableColumns count="6">
    <tableColumn id="1" xr3:uid="{C91F4158-F190-43C7-9A31-8F7D6AE52096}" name="Particulars" dataDxfId="1194"/>
    <tableColumn id="2" xr3:uid="{81AC4994-99A3-4795-837F-283608CDA718}" name="2026" dataDxfId="1193"/>
    <tableColumn id="3" xr3:uid="{11101C39-2995-45DC-9A07-66A01B26AA0F}" name="2027" dataDxfId="1192"/>
    <tableColumn id="4" xr3:uid="{EDB2EACA-FA34-4C0E-876C-3F02325596DA}" name="2028" dataDxfId="1191"/>
    <tableColumn id="5" xr3:uid="{E9264934-C1F2-47CA-9B37-AA441F004E38}" name="2029" dataDxfId="1190"/>
    <tableColumn id="6" xr3:uid="{C4C10C72-63F5-4345-BD28-8F4AF3E84926}" name="2030" dataDxfId="1189"/>
  </tableColumns>
  <tableStyleInfo name="TableStyleMedium23"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D97BEC90-DE43-40EE-9D18-8559470D5DBF}" name="Table45" displayName="Table45" ref="O3:T27" totalsRowShown="0" headerRowDxfId="1188" dataDxfId="1186" headerRowBorderDxfId="1187" tableBorderDxfId="1185">
  <autoFilter ref="O3:T27" xr:uid="{D97BEC90-DE43-40EE-9D18-8559470D5DBF}">
    <filterColumn colId="0" hiddenButton="1"/>
    <filterColumn colId="1" hiddenButton="1"/>
    <filterColumn colId="2" hiddenButton="1"/>
    <filterColumn colId="3" hiddenButton="1"/>
    <filterColumn colId="4" hiddenButton="1"/>
    <filterColumn colId="5" hiddenButton="1"/>
  </autoFilter>
  <tableColumns count="6">
    <tableColumn id="1" xr3:uid="{AFB75D95-4D93-46D8-BAE5-9394640D396F}" name="Particulars" dataDxfId="1184"/>
    <tableColumn id="2" xr3:uid="{55453262-816E-4558-BEB2-E46CD15CCC3B}" name="2026" dataDxfId="1183"/>
    <tableColumn id="3" xr3:uid="{5A96FA83-5CE2-4739-8493-B1B49E7B099B}" name="2027" dataDxfId="1182"/>
    <tableColumn id="4" xr3:uid="{EC5545FC-22BF-48EC-A170-98BDA68D9147}" name="2028" dataDxfId="1181"/>
    <tableColumn id="5" xr3:uid="{AEDF9C46-C475-4697-BC64-3B67560A67B6}" name="2029" dataDxfId="1180"/>
    <tableColumn id="6" xr3:uid="{75D439E9-BDF6-4294-B9B1-9EA56D919D0B}" name="2030" dataDxfId="1179"/>
  </tableColumns>
  <tableStyleInfo name="TableStyleMedium9"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7B471A2A-AC6E-4CA8-9C83-7420DE128901}" name="Table46" displayName="Table46" ref="O29:T40" totalsRowShown="0" headerRowDxfId="1178" dataDxfId="1177" headerRowCellStyle="Comma" dataCellStyle="Comma">
  <autoFilter ref="O29:T40" xr:uid="{7B471A2A-AC6E-4CA8-9C83-7420DE128901}">
    <filterColumn colId="0" hiddenButton="1"/>
    <filterColumn colId="1" hiddenButton="1"/>
    <filterColumn colId="2" hiddenButton="1"/>
    <filterColumn colId="3" hiddenButton="1"/>
    <filterColumn colId="4" hiddenButton="1"/>
    <filterColumn colId="5" hiddenButton="1"/>
  </autoFilter>
  <tableColumns count="6">
    <tableColumn id="1" xr3:uid="{0F42019C-32EC-4248-9284-7D395AFD3CB4}" name="Year" dataDxfId="1176"/>
    <tableColumn id="2" xr3:uid="{A7E93DFC-7399-4F11-B308-1F758EA413CE}" name="2026" dataDxfId="1175" dataCellStyle="Comma"/>
    <tableColumn id="3" xr3:uid="{244D236E-9FFA-479A-AC73-C2B26BC9CBE4}" name="2027" dataDxfId="1174" dataCellStyle="Comma"/>
    <tableColumn id="4" xr3:uid="{8F8C95D7-3DA8-4BAB-9EEF-C958E6E68678}" name="2028" dataDxfId="1173" dataCellStyle="Comma"/>
    <tableColumn id="5" xr3:uid="{3897FA4E-C1D5-4E0E-A840-501106E6FFC8}" name="2029" dataDxfId="1172" dataCellStyle="Comma"/>
    <tableColumn id="6" xr3:uid="{A3F9FB3B-3353-4654-A2A8-0B9EA4BA64DF}" name="2030" dataDxfId="1171" dataCellStyle="Comma"/>
  </tableColumns>
  <tableStyleInfo name="TableStyleMedium13"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17872CB-5000-4096-BE7C-E3FC8E5EF73D}" name="Table4651" displayName="Table4651" ref="V29:AA40" totalsRowShown="0" headerRowDxfId="1170" dataDxfId="1169" headerRowCellStyle="Comma" dataCellStyle="Comma">
  <autoFilter ref="V29:AA40" xr:uid="{017872CB-5000-4096-BE7C-E3FC8E5EF73D}">
    <filterColumn colId="0" hiddenButton="1"/>
    <filterColumn colId="1" hiddenButton="1"/>
    <filterColumn colId="2" hiddenButton="1"/>
    <filterColumn colId="3" hiddenButton="1"/>
    <filterColumn colId="4" hiddenButton="1"/>
    <filterColumn colId="5" hiddenButton="1"/>
  </autoFilter>
  <tableColumns count="6">
    <tableColumn id="1" xr3:uid="{0B20E5C4-F7E3-4FD0-A00A-F30B1BF01C18}" name="Year" dataDxfId="1168"/>
    <tableColumn id="2" xr3:uid="{71408E4A-51EE-4F27-9D6C-FB3C526A9637}" name="2026" dataDxfId="1167" dataCellStyle="Comma"/>
    <tableColumn id="3" xr3:uid="{9C5E9556-0CE7-42F6-86D1-A3981ED4313A}" name="2027" dataDxfId="1166" dataCellStyle="Comma"/>
    <tableColumn id="4" xr3:uid="{25694D00-55A7-488B-AFC0-BB01DA7C4298}" name="2028" dataDxfId="1165" dataCellStyle="Comma"/>
    <tableColumn id="5" xr3:uid="{2D283C29-D918-40ED-A741-BE01B927FBBF}" name="2029" dataDxfId="1164" dataCellStyle="Comma"/>
    <tableColumn id="6" xr3:uid="{6734C6DA-50BB-4D3A-98B7-45A6CF70A941}" name="2030" dataDxfId="1163" dataCellStyle="Comma"/>
  </tableColumns>
  <tableStyleInfo name="TableStyleMedium13"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CC23810F-E11D-40B9-B096-C9557860EABB}" name="Table465170" displayName="Table465170" ref="AC29:AH40" totalsRowShown="0" headerRowDxfId="1162" dataDxfId="1161" headerRowCellStyle="Comma" dataCellStyle="Comma">
  <autoFilter ref="AC29:AH40" xr:uid="{CC23810F-E11D-40B9-B096-C9557860EABB}">
    <filterColumn colId="0" hiddenButton="1"/>
    <filterColumn colId="1" hiddenButton="1"/>
    <filterColumn colId="2" hiddenButton="1"/>
    <filterColumn colId="3" hiddenButton="1"/>
    <filterColumn colId="4" hiddenButton="1"/>
    <filterColumn colId="5" hiddenButton="1"/>
  </autoFilter>
  <tableColumns count="6">
    <tableColumn id="1" xr3:uid="{BFC04B46-8E1B-481B-ADDF-17E4735FEB3A}" name="Year" dataDxfId="1160"/>
    <tableColumn id="2" xr3:uid="{C09C9455-EFAA-4D18-BD0F-1F2CC5CD3664}" name="2026" dataDxfId="1159" dataCellStyle="Comma"/>
    <tableColumn id="3" xr3:uid="{56ED813B-70BC-498E-8C10-A3CD6F1DF1F0}" name="2027" dataDxfId="1158" dataCellStyle="Comma"/>
    <tableColumn id="4" xr3:uid="{FB584086-8230-491F-A6C7-1BFDC77631E9}" name="2028" dataDxfId="1157" dataCellStyle="Comma"/>
    <tableColumn id="5" xr3:uid="{D202DF28-9A4F-468B-A2CE-0EE000191B97}" name="2029" dataDxfId="1156" dataCellStyle="Comma"/>
    <tableColumn id="6" xr3:uid="{AADB5C03-74A8-45FB-B9BE-BEDEA0E692B3}" name="2030" dataDxfId="1155" dataCellStyle="Comma"/>
  </tableColumns>
  <tableStyleInfo name="TableStyleMedium13"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673348F1-7628-43E0-9B1C-1073E1DD412F}" name="Table46517074" displayName="Table46517074" ref="AJ29:AO40" totalsRowShown="0" headerRowDxfId="1154" dataDxfId="1153" headerRowCellStyle="Comma" dataCellStyle="Comma">
  <autoFilter ref="AJ29:AO40" xr:uid="{673348F1-7628-43E0-9B1C-1073E1DD412F}">
    <filterColumn colId="0" hiddenButton="1"/>
    <filterColumn colId="1" hiddenButton="1"/>
    <filterColumn colId="2" hiddenButton="1"/>
    <filterColumn colId="3" hiddenButton="1"/>
    <filterColumn colId="4" hiddenButton="1"/>
    <filterColumn colId="5" hiddenButton="1"/>
  </autoFilter>
  <tableColumns count="6">
    <tableColumn id="1" xr3:uid="{1E9205AA-1623-4DFC-AF66-06ECD3265162}" name="Year" dataDxfId="1152"/>
    <tableColumn id="2" xr3:uid="{E39C37A1-7975-41BC-BDA5-47FFEF62C3AE}" name="2026" dataDxfId="1151" dataCellStyle="Comma"/>
    <tableColumn id="3" xr3:uid="{57D85218-10AF-4AA9-BD78-2A2411D769C9}" name="2027" dataDxfId="1150" dataCellStyle="Comma"/>
    <tableColumn id="4" xr3:uid="{E705523F-2B54-4952-A79D-BB9785209AF3}" name="2028" dataDxfId="1149" dataCellStyle="Comma"/>
    <tableColumn id="5" xr3:uid="{46AB3C1D-72A2-4D09-96AD-488EBBE4B34A}" name="2029" dataDxfId="1148" dataCellStyle="Comma"/>
    <tableColumn id="6" xr3:uid="{9235B089-3F76-40B2-9B37-18627D5E9ABF}" name="2030" dataDxfId="1147" dataCellStyle="Comma"/>
  </tableColumns>
  <tableStyleInfo name="TableStyleMedium13"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6" xr:uid="{B81D28C3-B21D-4110-8918-F0D89DFAF72A}" name="Table196" displayName="Table196" ref="H3:M27" totalsRowShown="0" headerRowDxfId="1146" headerRowBorderDxfId="1145" tableBorderDxfId="1144">
  <autoFilter ref="H3:M27" xr:uid="{B81D28C3-B21D-4110-8918-F0D89DFAF72A}">
    <filterColumn colId="0" hiddenButton="1"/>
    <filterColumn colId="1" hiddenButton="1"/>
    <filterColumn colId="2" hiddenButton="1"/>
    <filterColumn colId="3" hiddenButton="1"/>
    <filterColumn colId="4" hiddenButton="1"/>
    <filterColumn colId="5" hiddenButton="1"/>
  </autoFilter>
  <tableColumns count="6">
    <tableColumn id="1" xr3:uid="{B9C6B59A-3EFB-48E5-A190-E96D187C63B4}" name="Particulars"/>
    <tableColumn id="2" xr3:uid="{5A373F6F-28B3-4273-B4F7-068A1B78EBBD}" name="2026"/>
    <tableColumn id="3" xr3:uid="{6F378851-96DC-4661-9870-914821A59DCC}" name="2027"/>
    <tableColumn id="4" xr3:uid="{A802852C-437F-430B-A3A1-0F421173E49F}" name="2028"/>
    <tableColumn id="5" xr3:uid="{7E80BB67-8583-4026-8585-7A823B5CB0DA}" name="2029"/>
    <tableColumn id="6" xr3:uid="{8E216AFD-F1AD-450D-967C-A9CD3140CFF9}" name="2030"/>
  </tableColumns>
  <tableStyleInfo name="TableStyleMedium9"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7" xr:uid="{084DCCD8-7FD3-49B9-A0CE-5EEF1A2903D5}" name="Table197" displayName="Table197" ref="V3:AA27" totalsRowShown="0" headerRowDxfId="1143" headerRowBorderDxfId="1142" tableBorderDxfId="1141">
  <autoFilter ref="V3:AA27" xr:uid="{084DCCD8-7FD3-49B9-A0CE-5EEF1A2903D5}">
    <filterColumn colId="0" hiddenButton="1"/>
    <filterColumn colId="1" hiddenButton="1"/>
    <filterColumn colId="2" hiddenButton="1"/>
    <filterColumn colId="3" hiddenButton="1"/>
    <filterColumn colId="4" hiddenButton="1"/>
    <filterColumn colId="5" hiddenButton="1"/>
  </autoFilter>
  <tableColumns count="6">
    <tableColumn id="1" xr3:uid="{5EAE944C-638C-4F4B-854F-2EF0C0077F6A}" name="Particulars"/>
    <tableColumn id="2" xr3:uid="{74BAC135-3527-4C16-8352-070F9DAAAAAA}" name="2026"/>
    <tableColumn id="3" xr3:uid="{D9DC8FB2-9DB6-4C11-B489-32FEB3EC304B}" name="2027"/>
    <tableColumn id="4" xr3:uid="{2CD60C6B-990F-43A9-BDD9-859B2C58EE70}" name="2028"/>
    <tableColumn id="5" xr3:uid="{FE3D71FE-1957-44F2-AC0D-258D79074723}" name="2029"/>
    <tableColumn id="6" xr3:uid="{DBF16F01-AE99-4CB9-B323-D1694A1F3FF5}" name="2030"/>
  </tableColumns>
  <tableStyleInfo name="TableStyleMedium9"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8" xr:uid="{FA29DFFD-D554-4196-947A-A592520FE9AB}" name="Table198" displayName="Table198" ref="AC3:AH27" totalsRowShown="0" headerRowDxfId="1140" tableBorderDxfId="1139">
  <autoFilter ref="AC3:AH27" xr:uid="{FA29DFFD-D554-4196-947A-A592520FE9AB}">
    <filterColumn colId="0" hiddenButton="1"/>
    <filterColumn colId="1" hiddenButton="1"/>
    <filterColumn colId="2" hiddenButton="1"/>
    <filterColumn colId="3" hiddenButton="1"/>
    <filterColumn colId="4" hiddenButton="1"/>
    <filterColumn colId="5" hiddenButton="1"/>
  </autoFilter>
  <tableColumns count="6">
    <tableColumn id="1" xr3:uid="{FC5C65D7-4EB7-4B22-9DE6-6F2DFD5E46A1}" name="Particulars"/>
    <tableColumn id="2" xr3:uid="{08804F95-3061-435A-80B7-330D368BF88E}" name="2026"/>
    <tableColumn id="3" xr3:uid="{14DDDB3D-72F3-4684-82FC-8681C1F88FCD}" name="2027"/>
    <tableColumn id="4" xr3:uid="{D6BA7219-52F4-4F2C-9B47-1AC374F6E255}" name="2028"/>
    <tableColumn id="5" xr3:uid="{F5E3A831-9188-4896-B82C-A3F1BF5F79C6}" name="2029"/>
    <tableColumn id="6" xr3:uid="{D5AF0356-096E-4451-8C66-0776E7B9D4F0}" name="2030"/>
  </tableColumns>
  <tableStyleInfo name="TableStyleMedium9"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9" xr:uid="{30F18A57-04B4-4BE1-BFFA-720B71446B01}" name="Table199" displayName="Table199" ref="AJ3:AO27" totalsRowShown="0" headerRowDxfId="1138" headerRowBorderDxfId="1137" tableBorderDxfId="1136">
  <autoFilter ref="AJ3:AO27" xr:uid="{30F18A57-04B4-4BE1-BFFA-720B71446B01}">
    <filterColumn colId="0" hiddenButton="1"/>
    <filterColumn colId="1" hiddenButton="1"/>
    <filterColumn colId="2" hiddenButton="1"/>
    <filterColumn colId="3" hiddenButton="1"/>
    <filterColumn colId="4" hiddenButton="1"/>
    <filterColumn colId="5" hiddenButton="1"/>
  </autoFilter>
  <tableColumns count="6">
    <tableColumn id="1" xr3:uid="{F6DEE60A-84E4-47E5-BC48-0FA4356D722C}" name="Particulars"/>
    <tableColumn id="2" xr3:uid="{568F7C2E-6EAE-461B-AC42-AFF895CD6DA2}" name="2026"/>
    <tableColumn id="3" xr3:uid="{C8CA238F-5210-411E-9518-6905A19C3000}" name="2027"/>
    <tableColumn id="4" xr3:uid="{3631BA4E-0FE5-40E0-9DB9-E7AA526AA42E}" name="2028"/>
    <tableColumn id="5" xr3:uid="{44AD4982-699E-48F2-B79C-31AE2C81C0C7}" name="2029"/>
    <tableColumn id="6" xr3:uid="{87835C3D-87F0-49C7-A03E-A71A057AB13A}" name="2030"/>
  </tableColumns>
  <tableStyleInfo name="TableStyleMedium9"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D31F7E1-4A76-42AC-84F2-58D103CCD5A1}" name="Table19" displayName="Table19" ref="A3:G29" totalsRowShown="0" headerRowDxfId="1135" headerRowBorderDxfId="1134" tableBorderDxfId="1133">
  <autoFilter ref="A3:G29" xr:uid="{2D31F7E1-4A76-42AC-84F2-58D103CCD5A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20A2943-DB02-41D6-9436-8C11CF0645A5}" name="Particulars" dataDxfId="1132"/>
    <tableColumn id="2" xr3:uid="{3080BF31-8E47-4466-A0E3-214601BC3664}" name="2020"/>
    <tableColumn id="3" xr3:uid="{F2045130-8F95-40B5-9A8C-8CD27BCFC35F}" name="2021"/>
    <tableColumn id="4" xr3:uid="{2D020DE6-9949-438F-9CF3-E62DB00C2A1A}" name="2022"/>
    <tableColumn id="5" xr3:uid="{08F67772-3116-4280-8FA7-9EDFDB98D51A}" name="2023"/>
    <tableColumn id="6" xr3:uid="{3E4BCD9C-E7CC-4140-A364-A423B9EC5F7D}" name="2024"/>
    <tableColumn id="7" xr3:uid="{4A4256DB-AD2F-4D85-BD95-F627E373CA05}" name="2025"/>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7471785-1460-4B00-B1FB-7A5AE3D47D93}" name="Table20" displayName="Table20" ref="I3:O29" totalsRowShown="0" headerRowDxfId="1131" headerRowBorderDxfId="1130" tableBorderDxfId="1129">
  <autoFilter ref="I3:O29" xr:uid="{17471785-1460-4B00-B1FB-7A5AE3D47D9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1825638-3565-400B-A5FF-FD8F88EF818B}" name="Particulars"/>
    <tableColumn id="2" xr3:uid="{C88D2CC1-91E4-4009-8EF4-5DFA3A74756A}" name="2020"/>
    <tableColumn id="3" xr3:uid="{68AD2C79-805B-43FD-BEE2-812EDBBD15E6}" name="2021"/>
    <tableColumn id="4" xr3:uid="{FEF01242-E361-48D4-B362-CE3ED9BF635E}" name="2022"/>
    <tableColumn id="5" xr3:uid="{BD07B27F-A9E6-4590-8B35-DB9C1120D59F}" name="2023"/>
    <tableColumn id="6" xr3:uid="{3290DC91-B472-4044-8B01-7FDBB61AA549}" name="2024"/>
    <tableColumn id="7" xr3:uid="{F09B40F3-FC11-418B-8315-BB6D8C269711}" name="2025"/>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4436E78-6EAC-4546-BDC4-CC9A680B03D5}" name="Table21" displayName="Table21" ref="Q3:W29" totalsRowShown="0" headerRowDxfId="1128" headerRowBorderDxfId="1127" tableBorderDxfId="1126">
  <autoFilter ref="Q3:W29" xr:uid="{B4436E78-6EAC-4546-BDC4-CC9A680B03D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11F596A-A536-47A8-9562-B21E9B80B7FD}" name="Particulars"/>
    <tableColumn id="2" xr3:uid="{A4EC8B19-2084-4AFF-862C-D9A4EF5BEB65}" name="2020"/>
    <tableColumn id="3" xr3:uid="{6B2717BE-A3BC-4A30-BBD5-4235246136B1}" name="2021"/>
    <tableColumn id="4" xr3:uid="{186CC0DF-8FDA-4C0B-A008-783039793A2F}" name="2022"/>
    <tableColumn id="5" xr3:uid="{36FAE2D7-859F-4385-9A35-98A22DE29AE4}" name="2023"/>
    <tableColumn id="6" xr3:uid="{F2FB3B0B-F664-4702-BCA3-B338372C32BF}" name="2024"/>
    <tableColumn id="7" xr3:uid="{D7009F34-965A-484B-A271-FC70F635EADC}" name="2025"/>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2FC7D6E-1511-4796-B01C-5AAB0355F19E}" name="Table22" displayName="Table22" ref="Y3:AE28" totalsRowShown="0" headerRowDxfId="1125" tableBorderDxfId="1124">
  <autoFilter ref="Y3:AE28" xr:uid="{12FC7D6E-1511-4796-B01C-5AAB0355F19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D073480-4448-42E4-8FAD-2B69E9A110FC}" name="Particulars"/>
    <tableColumn id="2" xr3:uid="{3523824A-5DEA-4E43-B4C9-BFD3CAAAEE7F}" name="2020"/>
    <tableColumn id="3" xr3:uid="{DC3D37C9-1445-4C70-87B4-D30EAA4C8924}" name="2021"/>
    <tableColumn id="4" xr3:uid="{FF13A113-8352-4106-AA6F-1D0F127C225B}" name="2022"/>
    <tableColumn id="5" xr3:uid="{09E7EA5B-6434-4138-ABD4-0B5DA659AD3C}" name="2023"/>
    <tableColumn id="6" xr3:uid="{B160D29D-0AF1-4D29-B1AD-F002E6A14AC7}" name="2024"/>
    <tableColumn id="7" xr3:uid="{23EA8496-C76D-4811-BB3A-476B683344D4}" name="2025"/>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7D839EF-F8BA-4EEE-9C6E-C349ED71A07D}" name="Table23" displayName="Table23" ref="AG3:AM28" totalsRowShown="0" headerRowDxfId="1123" tableBorderDxfId="1122">
  <autoFilter ref="AG3:AM28" xr:uid="{67D839EF-F8BA-4EEE-9C6E-C349ED71A07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5BC0A6C-57D3-4D82-986F-318FA788C8C9}" name="Particulars"/>
    <tableColumn id="2" xr3:uid="{CA972506-10DE-4572-BC1E-457BAD6369AA}" name="2020"/>
    <tableColumn id="3" xr3:uid="{813245E2-DC6C-41A9-9859-489F854B70DA}" name="2021"/>
    <tableColumn id="4" xr3:uid="{E5545373-4518-4FA7-A7CF-52E3A252D778}" name="2022"/>
    <tableColumn id="5" xr3:uid="{755777DB-0B27-4380-AFD9-FF2F09CB487D}" name="2023"/>
    <tableColumn id="6" xr3:uid="{06D38CCE-88FC-480E-B677-26C227CEB048}" name="2024"/>
    <tableColumn id="7" xr3:uid="{052D792E-4C41-41B2-83AA-2B8858733951}" name="2025"/>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15B396BC-8C35-4203-816D-6BBE71E77629}" name="Table24" displayName="Table24" ref="AO3:AU28" totalsRowShown="0" headerRowDxfId="1121" headerRowBorderDxfId="1120" tableBorderDxfId="1119">
  <autoFilter ref="AO3:AU28" xr:uid="{15B396BC-8C35-4203-816D-6BBE71E7762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59169C-2C48-4BFD-B832-2839BBD137EC}" name="Particulars"/>
    <tableColumn id="2" xr3:uid="{3646325D-319B-4117-BD6B-8FDB5D7FD37D}" name="2020"/>
    <tableColumn id="3" xr3:uid="{0E9B6AE9-BD2A-4D98-BABA-5CE81A65C702}" name="2021"/>
    <tableColumn id="4" xr3:uid="{302E6266-5AFF-40FB-8EE4-8137C8074C0A}" name="2022"/>
    <tableColumn id="5" xr3:uid="{B7F0FC47-ABB5-4B84-8EDA-88425A2FFDAE}" name="2023"/>
    <tableColumn id="6" xr3:uid="{3F994305-1AB5-4FFE-8530-7CD66C9B23F3}" name="2024"/>
    <tableColumn id="7" xr3:uid="{30A1C3EE-8568-49E8-B621-C783C4B36599}" name="2025"/>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882A9D5B-6CD3-43FB-8653-BD365CEB53C4}" name="Table51" displayName="Table51" ref="A2:G20" totalsRowShown="0" headerRowDxfId="1118" dataDxfId="1117" tableBorderDxfId="1116" dataCellStyle="Comma">
  <autoFilter ref="A2:G20" xr:uid="{882A9D5B-6CD3-43FB-8653-BD365CEB53C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436296B-D6C3-4A7D-9E8B-7B92872F99F9}" name="Metric" dataDxfId="1115"/>
    <tableColumn id="2" xr3:uid="{FF6C68EE-19FD-4C6D-9A95-6CB6FE982DDE}" name="Divis Labs" dataDxfId="1114" dataCellStyle="Comma"/>
    <tableColumn id="3" xr3:uid="{935C9CED-8DBC-465D-8E40-35DD8031BD74}" name="Sun Pharma" dataDxfId="1113" dataCellStyle="Comma"/>
    <tableColumn id="4" xr3:uid="{5A08F37C-3551-4398-AC56-2BB033D8658B}" name="Mankind Pharma" dataDxfId="1112" dataCellStyle="Comma"/>
    <tableColumn id="5" xr3:uid="{44150622-9177-4F34-ADD0-1E286A527C97}" name="Dr Reddy's Lab" dataDxfId="1111" dataCellStyle="Comma"/>
    <tableColumn id="6" xr3:uid="{0204D8CC-B5F9-4A52-ADA4-7CFC9370CC90}" name="Torrent Pharma" dataDxfId="1110" dataCellStyle="Comma"/>
    <tableColumn id="7" xr3:uid="{898C9335-89F0-4B52-804C-286FFA84E4C4}" name="Cipla" dataDxfId="1109" dataCellStyle="Comma"/>
  </tableColumns>
  <tableStyleInfo name="TableStyleMedium13"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29364364-05EB-4F86-969D-D63474A68C86}" name="Table31" displayName="Table31" ref="A3:F20" totalsRowShown="0" headerRowDxfId="1108" dataDxfId="1107" tableBorderDxfId="1106">
  <autoFilter ref="A3:F20" xr:uid="{29364364-05EB-4F86-969D-D63474A68C86}">
    <filterColumn colId="0" hiddenButton="1"/>
    <filterColumn colId="1" hiddenButton="1"/>
    <filterColumn colId="2" hiddenButton="1"/>
    <filterColumn colId="3" hiddenButton="1"/>
    <filterColumn colId="4" hiddenButton="1"/>
    <filterColumn colId="5" hiddenButton="1"/>
  </autoFilter>
  <tableColumns count="6">
    <tableColumn id="1" xr3:uid="{4042899E-A023-44BC-9D78-6DF383DD24A0}" name="Particulars" dataDxfId="1105"/>
    <tableColumn id="2" xr3:uid="{B0737DBD-F363-4C1A-8A30-7767F7E78C33}" name="2026" dataDxfId="1104"/>
    <tableColumn id="3" xr3:uid="{66301D3E-9B52-4703-9B88-3703C88FBA8D}" name="2027" dataDxfId="1103"/>
    <tableColumn id="4" xr3:uid="{95CA7741-9178-4E42-B6EA-119529757D8D}" name="2028" dataDxfId="1102"/>
    <tableColumn id="5" xr3:uid="{9571E10D-217E-4018-8E37-D77F939CB707}" name="2029" dataDxfId="1101"/>
    <tableColumn id="6" xr3:uid="{0328881B-238C-464C-8ECE-9B494FB66AD9}" name="2030" dataDxfId="1100"/>
  </tableColumns>
  <tableStyleInfo name="TableStyleMedium9"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FC3553-8F25-47D8-B35F-307C2E4D1AF6}" name="Table32" displayName="Table32" ref="H3:M20" totalsRowShown="0" headerRowDxfId="1099" dataDxfId="1097" headerRowBorderDxfId="1098" tableBorderDxfId="1096">
  <autoFilter ref="H3:M20" xr:uid="{00FC3553-8F25-47D8-B35F-307C2E4D1AF6}">
    <filterColumn colId="0" hiddenButton="1"/>
    <filterColumn colId="1" hiddenButton="1"/>
    <filterColumn colId="2" hiddenButton="1"/>
    <filterColumn colId="3" hiddenButton="1"/>
    <filterColumn colId="4" hiddenButton="1"/>
    <filterColumn colId="5" hiddenButton="1"/>
  </autoFilter>
  <tableColumns count="6">
    <tableColumn id="1" xr3:uid="{2D988E79-87C9-4407-AC66-7F7687E678AF}" name="Particulars" dataDxfId="1095"/>
    <tableColumn id="2" xr3:uid="{88CBA7DA-9F9D-49B1-B944-FDF393C14A24}" name="2026" dataDxfId="1094"/>
    <tableColumn id="3" xr3:uid="{31FBFB0F-2195-419B-A40F-4DE8446A7386}" name="2027" dataDxfId="1093"/>
    <tableColumn id="4" xr3:uid="{010804ED-AC02-40E4-9AD4-0AB56BC9BA89}" name="2028" dataDxfId="1092"/>
    <tableColumn id="5" xr3:uid="{65685B98-255D-4750-A119-A0EBCF96F056}" name="2029" dataDxfId="1091"/>
    <tableColumn id="6" xr3:uid="{8479E786-6435-4294-90A0-2ED8B9D26E54}" name="2030" dataDxfId="1090"/>
  </tableColumns>
  <tableStyleInfo name="TableStyleMedium9"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697499A5-6063-4A6A-B5DF-B2BE696A85C4}" name="Table33" displayName="Table33" ref="O3:T20" totalsRowShown="0" headerRowDxfId="1089" dataDxfId="1087" headerRowBorderDxfId="1088" tableBorderDxfId="1086">
  <autoFilter ref="O3:T20" xr:uid="{697499A5-6063-4A6A-B5DF-B2BE696A85C4}">
    <filterColumn colId="0" hiddenButton="1"/>
    <filterColumn colId="1" hiddenButton="1"/>
    <filterColumn colId="2" hiddenButton="1"/>
    <filterColumn colId="3" hiddenButton="1"/>
    <filterColumn colId="4" hiddenButton="1"/>
    <filterColumn colId="5" hiddenButton="1"/>
  </autoFilter>
  <tableColumns count="6">
    <tableColumn id="1" xr3:uid="{9D181F08-5330-4AE9-9A8A-00DB90FFAB02}" name="Particulars" dataDxfId="1085"/>
    <tableColumn id="2" xr3:uid="{D3DFC905-5CF4-49F0-A3C1-AA112946673D}" name="2026" dataDxfId="1084"/>
    <tableColumn id="3" xr3:uid="{12C71E32-9DFC-4741-8890-1755E77D14E1}" name="2027" dataDxfId="1083"/>
    <tableColumn id="4" xr3:uid="{C5E07F74-AF4D-447C-AC5D-82541CD4B456}" name="2028" dataDxfId="1082"/>
    <tableColumn id="5" xr3:uid="{1728B66F-CE7A-4F77-B800-3BF69C2B707D}" name="2029" dataDxfId="1081"/>
    <tableColumn id="6" xr3:uid="{3A8A0F3C-0390-4508-AF31-0DB0261A71CA}" name="2030" dataDxfId="1080"/>
  </tableColumns>
  <tableStyleInfo name="TableStyleMedium9"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F690972-2289-4121-9F63-EE009B805D77}" name="Table34" displayName="Table34" ref="V3:AA20" totalsRowShown="0" headerRowDxfId="1079" dataDxfId="1077" headerRowBorderDxfId="1078" tableBorderDxfId="1076">
  <autoFilter ref="V3:AA20" xr:uid="{CF690972-2289-4121-9F63-EE009B805D77}">
    <filterColumn colId="0" hiddenButton="1"/>
    <filterColumn colId="1" hiddenButton="1"/>
    <filterColumn colId="2" hiddenButton="1"/>
    <filterColumn colId="3" hiddenButton="1"/>
    <filterColumn colId="4" hiddenButton="1"/>
    <filterColumn colId="5" hiddenButton="1"/>
  </autoFilter>
  <tableColumns count="6">
    <tableColumn id="1" xr3:uid="{D8861BF7-9EE2-4843-9031-E574BCD8105F}" name="Particulars" dataDxfId="1075"/>
    <tableColumn id="2" xr3:uid="{1EDF1232-EFB3-460E-AF85-DC4C6A7BCEDB}" name="2026" dataDxfId="1074"/>
    <tableColumn id="3" xr3:uid="{1DFD2310-2BB5-4610-A90B-C790DA74A801}" name="2027" dataDxfId="1073"/>
    <tableColumn id="4" xr3:uid="{C4E4071A-7B3B-460C-BCF2-4B1D19C89C8B}" name="2028" dataDxfId="1072"/>
    <tableColumn id="5" xr3:uid="{FF5BD26F-C759-4FA5-9A90-E8429E87A94E}" name="2029" dataDxfId="1071"/>
    <tableColumn id="6" xr3:uid="{2CA0024D-1AC5-4C59-8A33-DD0F97B7E5CB}" name="2030" dataDxfId="1070"/>
  </tableColumns>
  <tableStyleInfo name="TableStyleMedium9"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6626222E-8049-4018-AF8A-6DC8D5366F98}" name="Table35" displayName="Table35" ref="AC3:AH20" totalsRowShown="0" headerRowDxfId="1069" dataDxfId="1068" tableBorderDxfId="1067">
  <autoFilter ref="AC3:AH20" xr:uid="{6626222E-8049-4018-AF8A-6DC8D5366F98}">
    <filterColumn colId="0" hiddenButton="1"/>
    <filterColumn colId="1" hiddenButton="1"/>
    <filterColumn colId="2" hiddenButton="1"/>
    <filterColumn colId="3" hiddenButton="1"/>
    <filterColumn colId="4" hiddenButton="1"/>
    <filterColumn colId="5" hiddenButton="1"/>
  </autoFilter>
  <tableColumns count="6">
    <tableColumn id="1" xr3:uid="{23856520-24DD-4556-B711-1EA0DB388309}" name="Particulars" dataDxfId="1066"/>
    <tableColumn id="2" xr3:uid="{F29BED20-5AA4-4288-9D52-61D9B67AB5DF}" name="2026" dataDxfId="1065"/>
    <tableColumn id="3" xr3:uid="{540495A2-8CB9-4A81-AE99-1BD094C0A640}" name="2027" dataDxfId="1064"/>
    <tableColumn id="4" xr3:uid="{07ED9B1A-A2C6-4A19-9FCF-415ADEF6E887}" name="2028" dataDxfId="1063"/>
    <tableColumn id="5" xr3:uid="{112DEFFD-2632-4D84-8B8E-AACE37AD9402}" name="2029" dataDxfId="1062"/>
    <tableColumn id="6" xr3:uid="{553A701B-8291-4EDE-AF1E-4CFC4330F0F7}" name="2030" dataDxfId="1061"/>
  </tableColumns>
  <tableStyleInfo name="TableStyleMedium9"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D1E47228-4F83-4015-BF2B-128D1DA97F4E}" name="Table36" displayName="Table36" ref="AJ3:AO20" totalsRowShown="0" headerRowDxfId="1060" dataDxfId="1058" headerRowBorderDxfId="1059" tableBorderDxfId="1057">
  <autoFilter ref="AJ3:AO20" xr:uid="{D1E47228-4F83-4015-BF2B-128D1DA97F4E}">
    <filterColumn colId="0" hiddenButton="1"/>
    <filterColumn colId="1" hiddenButton="1"/>
    <filterColumn colId="2" hiddenButton="1"/>
    <filterColumn colId="3" hiddenButton="1"/>
    <filterColumn colId="4" hiddenButton="1"/>
    <filterColumn colId="5" hiddenButton="1"/>
  </autoFilter>
  <tableColumns count="6">
    <tableColumn id="1" xr3:uid="{75816157-EEE4-4B64-9ADF-1241CE30DAD8}" name="Particulars" dataDxfId="1056"/>
    <tableColumn id="2" xr3:uid="{0AAF7731-5DEF-4A20-B49D-BD34EDD2E5CD}" name="2026" dataDxfId="1055"/>
    <tableColumn id="3" xr3:uid="{34630976-38C0-4C6D-8B3E-58EFB6751E2D}" name="2027" dataDxfId="1054"/>
    <tableColumn id="4" xr3:uid="{37F5E387-EB97-47EE-BCAC-531BB8B8F27E}" name="2028" dataDxfId="1053"/>
    <tableColumn id="5" xr3:uid="{D0E4C8A0-D8F2-4EA5-A52D-DF4C990810C2}" name="2029" dataDxfId="1052"/>
    <tableColumn id="6" xr3:uid="{B0F95D8A-6059-484E-8838-2C2CADFFC934}" name="2030" dataDxfId="1051"/>
  </tableColumns>
  <tableStyleInfo name="TableStyleMedium9"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687F97-E8B6-451B-8877-5F436DCA1646}" name="Table52" displayName="Table52" ref="A2:F11" totalsRowShown="0" headerRowDxfId="1050" dataDxfId="1049" tableBorderDxfId="1048">
  <autoFilter ref="A2:F11" xr:uid="{4E687F97-E8B6-451B-8877-5F436DCA1646}">
    <filterColumn colId="0" hiddenButton="1"/>
    <filterColumn colId="1" hiddenButton="1"/>
    <filterColumn colId="2" hiddenButton="1"/>
    <filterColumn colId="3" hiddenButton="1"/>
    <filterColumn colId="4" hiddenButton="1"/>
    <filterColumn colId="5" hiddenButton="1"/>
  </autoFilter>
  <tableColumns count="6">
    <tableColumn id="1" xr3:uid="{082816CC-D966-4487-A90C-9C588B459C4C}" name="Year" dataDxfId="1047"/>
    <tableColumn id="2" xr3:uid="{F0A04419-CE08-48BF-A17A-5CD809E5F7B3}" name="2026" dataDxfId="1046"/>
    <tableColumn id="3" xr3:uid="{0F2819D4-8F60-4234-8ADF-442B2FB51186}" name="2027" dataDxfId="1045"/>
    <tableColumn id="4" xr3:uid="{2BEDD900-CC43-4485-8E1B-93193E31CFA9}" name="2028" dataDxfId="1044"/>
    <tableColumn id="5" xr3:uid="{9B865213-C026-49DC-B08B-9EDC802C7250}" name="2029" dataDxfId="1043"/>
    <tableColumn id="6" xr3:uid="{F92FF4F8-9824-454E-B1D1-14F0130E167B}" name="2030" dataDxfId="1042"/>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1099EDA5-1180-4297-9BBE-D913811201F3}" name="Table53" displayName="Table53" ref="A13:B22" totalsRowShown="0" headerRowDxfId="1041" dataDxfId="1039" headerRowBorderDxfId="1040" tableBorderDxfId="1038">
  <autoFilter ref="A13:B22" xr:uid="{1099EDA5-1180-4297-9BBE-D913811201F3}">
    <filterColumn colId="0" hiddenButton="1"/>
    <filterColumn colId="1" hiddenButton="1"/>
  </autoFilter>
  <tableColumns count="2">
    <tableColumn id="1" xr3:uid="{6D263C4E-2ADF-4701-8893-073AB8EAD2C8}" name="Particulars" dataDxfId="1037"/>
    <tableColumn id="2" xr3:uid="{96D43523-EB09-4AB5-BB67-079D90828BD7}" name="Value" dataDxfId="1036"/>
  </tableColumns>
  <tableStyleInfo name="TableStyleMedium16"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3A29CE90-5ABC-4C0A-B3CB-15CA465CD4FE}" name="Table54" displayName="Table54" ref="H2:M11" totalsRowShown="0" headerRowDxfId="1035" dataDxfId="1033" headerRowBorderDxfId="1034">
  <autoFilter ref="H2:M11" xr:uid="{3A29CE90-5ABC-4C0A-B3CB-15CA465CD4FE}">
    <filterColumn colId="0" hiddenButton="1"/>
    <filterColumn colId="1" hiddenButton="1"/>
    <filterColumn colId="2" hiddenButton="1"/>
    <filterColumn colId="3" hiddenButton="1"/>
    <filterColumn colId="4" hiddenButton="1"/>
    <filterColumn colId="5" hiddenButton="1"/>
  </autoFilter>
  <tableColumns count="6">
    <tableColumn id="1" xr3:uid="{E91510FB-602D-44F1-A10A-E9A2CA0FEFBB}" name="Year" dataDxfId="1032"/>
    <tableColumn id="2" xr3:uid="{E843A273-74D5-44C0-8B94-28943DCA1A56}" name="2026" dataDxfId="1031"/>
    <tableColumn id="3" xr3:uid="{EF59E20C-EB25-4E50-898B-E0ED1A7E5F7A}" name="2027" dataDxfId="1030"/>
    <tableColumn id="4" xr3:uid="{01D1ABE5-37CC-4F57-B593-95AFC5CBB321}" name="2028" dataDxfId="1029"/>
    <tableColumn id="5" xr3:uid="{4C3DA096-750B-4E99-87DA-528C6E8335F0}" name="2029" dataDxfId="1028"/>
    <tableColumn id="6" xr3:uid="{8C8093C7-ED75-45E4-9046-EF7811F13209}" name="2030" dataDxfId="1027"/>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47A56D3B-420D-412F-A463-9785F0E65B82}" name="Table5357" displayName="Table5357" ref="H13:I22" totalsRowShown="0" headerRowDxfId="1026" dataDxfId="1024" headerRowBorderDxfId="1025" tableBorderDxfId="1023">
  <autoFilter ref="H13:I22" xr:uid="{47A56D3B-420D-412F-A463-9785F0E65B82}">
    <filterColumn colId="0" hiddenButton="1"/>
    <filterColumn colId="1" hiddenButton="1"/>
  </autoFilter>
  <tableColumns count="2">
    <tableColumn id="1" xr3:uid="{AD19727A-FA91-428D-BD81-32E3692517ED}" name="Particulars" dataDxfId="1022"/>
    <tableColumn id="2" xr3:uid="{E0D27AE4-8E2A-401C-997A-9FA202C656EA}" name="Value" dataDxfId="1021"/>
  </tableColumns>
  <tableStyleInfo name="TableStyleMedium16"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B188A1-220F-4893-A46D-F43BBA28336B}" name="Table57" displayName="Table57" ref="O2:T11" totalsRowShown="0" headerRowDxfId="1020" dataDxfId="1019" tableBorderDxfId="1018">
  <autoFilter ref="O2:T11" xr:uid="{B9B188A1-220F-4893-A46D-F43BBA28336B}">
    <filterColumn colId="0" hiddenButton="1"/>
    <filterColumn colId="1" hiddenButton="1"/>
    <filterColumn colId="2" hiddenButton="1"/>
    <filterColumn colId="3" hiddenButton="1"/>
    <filterColumn colId="4" hiddenButton="1"/>
    <filterColumn colId="5" hiddenButton="1"/>
  </autoFilter>
  <tableColumns count="6">
    <tableColumn id="1" xr3:uid="{B63677E0-6A10-4D7E-8F2C-D419D0C04951}" name="Particulars" dataDxfId="1017"/>
    <tableColumn id="2" xr3:uid="{3C5202D0-E37A-4438-82CC-325F620B162A}" name="2026" dataDxfId="1016"/>
    <tableColumn id="3" xr3:uid="{CEBC74DC-9629-4D1D-BE3C-7FD64CFBB29C}" name="2027" dataDxfId="1015"/>
    <tableColumn id="4" xr3:uid="{BB0C05B8-4A51-421D-BF05-2F4E9F929DD1}" name="2028" dataDxfId="1014"/>
    <tableColumn id="5" xr3:uid="{A4E95A16-CF9B-4033-89E0-7BFCD4124DD2}" name="2029" dataDxfId="1013"/>
    <tableColumn id="6" xr3:uid="{19A33E0D-9643-4721-8366-98878C246BB8}" name="2030" dataDxfId="1012"/>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297FD0F-AA8B-4B15-94A8-C86AE7B06BE5}" name="Table5760" displayName="Table5760" ref="V2:AA11" totalsRowShown="0" headerRowDxfId="1011" dataDxfId="1010" tableBorderDxfId="1009">
  <autoFilter ref="V2:AA11" xr:uid="{6297FD0F-AA8B-4B15-94A8-C86AE7B06BE5}">
    <filterColumn colId="0" hiddenButton="1"/>
    <filterColumn colId="1" hiddenButton="1"/>
    <filterColumn colId="2" hiddenButton="1"/>
    <filterColumn colId="3" hiddenButton="1"/>
    <filterColumn colId="4" hiddenButton="1"/>
    <filterColumn colId="5" hiddenButton="1"/>
  </autoFilter>
  <tableColumns count="6">
    <tableColumn id="1" xr3:uid="{A0557FD3-5DD6-494D-986B-09992E108C84}" name="Particulars" dataDxfId="1008"/>
    <tableColumn id="2" xr3:uid="{372AA149-0641-40C1-B29D-D7ECB6E60901}" name="2026" dataDxfId="1007"/>
    <tableColumn id="3" xr3:uid="{C1E1102F-C934-4088-8F3F-4F868A95E58B}" name="2027" dataDxfId="1006"/>
    <tableColumn id="4" xr3:uid="{62973128-DEC6-4FC4-8506-8D49F1CC1136}" name="2028" dataDxfId="1005"/>
    <tableColumn id="5" xr3:uid="{DBCD5B16-5F62-44A3-8ADF-E3E4A56958C4}" name="2029" dataDxfId="1004"/>
    <tableColumn id="6" xr3:uid="{15F8A5A9-182A-4F27-8056-01AA98566B20}" name="2030" dataDxfId="1003"/>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74C4B8F3-3F0C-4B27-9A00-A6F1D38672BC}" name="Table535761" displayName="Table535761" ref="O13:P22" totalsRowShown="0" headerRowDxfId="1002" dataDxfId="1000" headerRowBorderDxfId="1001" tableBorderDxfId="999">
  <autoFilter ref="O13:P22" xr:uid="{74C4B8F3-3F0C-4B27-9A00-A6F1D38672BC}">
    <filterColumn colId="0" hiddenButton="1"/>
    <filterColumn colId="1" hiddenButton="1"/>
  </autoFilter>
  <tableColumns count="2">
    <tableColumn id="1" xr3:uid="{FC214FE3-4C8E-4F74-B688-03E7A7FB8C46}" name="Particulars" dataDxfId="998"/>
    <tableColumn id="2" xr3:uid="{CA2F1FAE-3E23-4FBE-8642-A6E7BF43CFC6}" name="Value" dataDxfId="997"/>
  </tableColumns>
  <tableStyleInfo name="TableStyleMedium16"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F71C53F1-465C-4099-9848-14BFB6BEA218}" name="Table53576162" displayName="Table53576162" ref="V13:W22" totalsRowShown="0" headerRowDxfId="996" dataDxfId="994" headerRowBorderDxfId="995" tableBorderDxfId="993">
  <autoFilter ref="V13:W22" xr:uid="{F71C53F1-465C-4099-9848-14BFB6BEA218}">
    <filterColumn colId="0" hiddenButton="1"/>
    <filterColumn colId="1" hiddenButton="1"/>
  </autoFilter>
  <tableColumns count="2">
    <tableColumn id="1" xr3:uid="{26564E58-8C33-4D8A-8861-94529EABE8A4}" name="Particulars" dataDxfId="992"/>
    <tableColumn id="2" xr3:uid="{017CE70D-58A6-4FC8-85A1-78BF9B675BC3}" name="Value" dataDxfId="991"/>
  </tableColumns>
  <tableStyleInfo name="TableStyleMedium16"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9A36D3A4-2DE0-416A-ACFE-0742AC6D3903}" name="Table576066" displayName="Table576066" ref="AC2:AH11" totalsRowShown="0" headerRowDxfId="990" dataDxfId="989" tableBorderDxfId="988">
  <autoFilter ref="AC2:AH11" xr:uid="{9A36D3A4-2DE0-416A-ACFE-0742AC6D3903}">
    <filterColumn colId="0" hiddenButton="1"/>
    <filterColumn colId="1" hiddenButton="1"/>
    <filterColumn colId="2" hiddenButton="1"/>
    <filterColumn colId="3" hiddenButton="1"/>
    <filterColumn colId="4" hiddenButton="1"/>
    <filterColumn colId="5" hiddenButton="1"/>
  </autoFilter>
  <tableColumns count="6">
    <tableColumn id="1" xr3:uid="{6BE3A0F8-B034-47CB-9D9F-66AF6C4C1977}" name="Particulars" dataDxfId="987"/>
    <tableColumn id="2" xr3:uid="{35BAF816-D6E0-4C7A-AAC8-B3723860D27E}" name="2026" dataDxfId="986"/>
    <tableColumn id="3" xr3:uid="{8B0AFD83-B31A-462A-B35C-1313CADD4FB9}" name="2027" dataDxfId="985"/>
    <tableColumn id="4" xr3:uid="{637EB1FD-E518-4244-BCC2-04C2B5E1924D}" name="2028" dataDxfId="984"/>
    <tableColumn id="5" xr3:uid="{EDCA2AF8-798E-4FD6-8D68-DA5E7FDEC1A3}" name="2029" dataDxfId="983"/>
    <tableColumn id="6" xr3:uid="{9EC118A7-6BEE-42C1-9597-28816CD800B1}" name="2030" dataDxfId="982"/>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020F2AAC-3B3D-4533-8A52-B24353EC273E}" name="Table5357616267" displayName="Table5357616267" ref="AC13:AD22" totalsRowShown="0" headerRowDxfId="981" dataDxfId="979" headerRowBorderDxfId="980" tableBorderDxfId="978">
  <autoFilter ref="AC13:AD22" xr:uid="{020F2AAC-3B3D-4533-8A52-B24353EC273E}">
    <filterColumn colId="0" hiddenButton="1"/>
    <filterColumn colId="1" hiddenButton="1"/>
  </autoFilter>
  <tableColumns count="2">
    <tableColumn id="1" xr3:uid="{6E9A05FA-CC47-4EB6-93BC-EE673BB0E433}" name="Particulars" dataDxfId="977"/>
    <tableColumn id="2" xr3:uid="{42AC0EF2-FE95-4E46-801E-2DA17E413DD2}" name="Value" dataDxfId="976"/>
  </tableColumns>
  <tableStyleInfo name="TableStyleMedium16"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920E0D19-DECA-4EC5-976F-3AE4F20141BB}" name="Table576068" displayName="Table576068" ref="AJ2:AO11" totalsRowShown="0" headerRowDxfId="975" dataDxfId="974" tableBorderDxfId="973">
  <autoFilter ref="AJ2:AO11" xr:uid="{920E0D19-DECA-4EC5-976F-3AE4F20141BB}">
    <filterColumn colId="0" hiddenButton="1"/>
    <filterColumn colId="1" hiddenButton="1"/>
    <filterColumn colId="2" hiddenButton="1"/>
    <filterColumn colId="3" hiddenButton="1"/>
    <filterColumn colId="4" hiddenButton="1"/>
    <filterColumn colId="5" hiddenButton="1"/>
  </autoFilter>
  <tableColumns count="6">
    <tableColumn id="1" xr3:uid="{6A2199FC-4127-4209-A702-19773F9E509E}" name="Particulars" dataDxfId="972"/>
    <tableColumn id="2" xr3:uid="{23516334-EC71-4126-B44B-8C923CB4AD21}" name="2026" dataDxfId="971"/>
    <tableColumn id="3" xr3:uid="{3F05FA95-3D90-4618-809F-0CDA38EFC967}" name="2027" dataDxfId="970"/>
    <tableColumn id="4" xr3:uid="{2EA68362-F5B6-4EF2-B80B-11D461009B0B}" name="2028" dataDxfId="969"/>
    <tableColumn id="5" xr3:uid="{044EF081-8434-4AE3-958B-FA0A0CA678C1}" name="2029" dataDxfId="968"/>
    <tableColumn id="6" xr3:uid="{86A365DB-78F1-4F40-9E18-A303F06722A4}" name="2030" dataDxfId="967"/>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340A090-2522-47D1-8859-245C13096429}" name="Table5357616269" displayName="Table5357616269" ref="AJ13:AK22" totalsRowShown="0" headerRowDxfId="966" dataDxfId="964" headerRowBorderDxfId="965" tableBorderDxfId="963">
  <autoFilter ref="AJ13:AK22" xr:uid="{3340A090-2522-47D1-8859-245C13096429}">
    <filterColumn colId="0" hiddenButton="1"/>
    <filterColumn colId="1" hiddenButton="1"/>
  </autoFilter>
  <tableColumns count="2">
    <tableColumn id="1" xr3:uid="{42AC8476-A441-4218-A8B4-B6C30721544B}" name="Particulars" dataDxfId="962"/>
    <tableColumn id="2" xr3:uid="{57B70D8B-3BEC-4AC8-9714-2A33953E1F0A}" name="Value" dataDxfId="961"/>
  </tableColumns>
  <tableStyleInfo name="TableStyleMedium16"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44E1DDE1-7FCA-48A0-A32E-7758301ECE95}" name="Table62" displayName="Table62" ref="A2:G17" totalsRowShown="0" headerRowDxfId="960" dataDxfId="959" tableBorderDxfId="958">
  <autoFilter ref="A2:G17" xr:uid="{44E1DDE1-7FCA-48A0-A32E-7758301ECE9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D55AB1D-3BC6-4D7F-8387-F1CA7C4DE759}" name="Particulars" dataDxfId="957"/>
    <tableColumn id="2" xr3:uid="{25E8CC78-0D68-4412-9225-5B8537442723}" name="Divis Labs" dataDxfId="956" dataCellStyle="Comma"/>
    <tableColumn id="3" xr3:uid="{3FC30693-CD93-43CF-BEC8-B677C0170D18}" name="Sun Pharma" dataDxfId="955" dataCellStyle="Comma"/>
    <tableColumn id="4" xr3:uid="{31537A04-8020-4194-8E65-7F53DBB9292B}" name="Mankind Pharma" dataDxfId="954" dataCellStyle="Comma"/>
    <tableColumn id="5" xr3:uid="{A107CFFC-4A60-4EA7-A85D-E0721FE8CCFA}" name="Dr Reddy's Lab" dataDxfId="953" dataCellStyle="Comma"/>
    <tableColumn id="6" xr3:uid="{F7F33013-34F9-4419-8FC8-D13D2695A67B}" name="Torrent Pharma" dataDxfId="952" dataCellStyle="Comma"/>
    <tableColumn id="7" xr3:uid="{39968081-E224-4653-9518-3B32A24FEDE9}" name="Cipla" dataDxfId="951" dataCellStyle="Comma"/>
  </tableColumns>
  <tableStyleInfo name="TableStyleMedium13"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FA5727FA-0AF7-44D4-8150-2328ADD1657A}" name="Table63" displayName="Table63" ref="A19:A24" totalsRowShown="0" headerRowDxfId="950" dataDxfId="949" tableBorderDxfId="948" dataCellStyle="Comma">
  <autoFilter ref="A19:A24" xr:uid="{FA5727FA-0AF7-44D4-8150-2328ADD1657A}">
    <filterColumn colId="0" hiddenButton="1"/>
  </autoFilter>
  <tableColumns count="1">
    <tableColumn id="1" xr3:uid="{8B632B26-62BD-4613-818D-2BC0FF974C71}" name="Average" dataDxfId="947" dataCellStyle="Comma">
      <calculatedColumnFormula>AVERAGE(B13:G13)</calculatedColumnFormula>
    </tableColumn>
  </tableColumns>
  <tableStyleInfo name="TableStyleMedium13"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20B5432-FC20-4D1A-8433-905623CFAFDC}" name="Table64" displayName="Table64" ref="I2:O9" totalsRowShown="0" headerRowDxfId="946" dataDxfId="945" tableBorderDxfId="944">
  <autoFilter ref="I2:O9" xr:uid="{220B5432-FC20-4D1A-8433-905623CFAFD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EA767E1-D9D7-4226-8859-1CDC172AA00D}" name="Particulars" dataDxfId="943"/>
    <tableColumn id="2" xr3:uid="{ACCD50E5-4022-4514-AA93-8A029C1ADDA8}" name="Divis Labs" dataDxfId="942" dataCellStyle="Comma"/>
    <tableColumn id="3" xr3:uid="{A43491CE-D380-4F46-86FB-A76F5A7A3FEB}" name="Sun Pharma" dataDxfId="941" dataCellStyle="Comma"/>
    <tableColumn id="4" xr3:uid="{E040E46D-6134-4CA8-89BD-082730D38A01}" name="Mankind Pharma" dataDxfId="940" dataCellStyle="Comma"/>
    <tableColumn id="5" xr3:uid="{67DF2D93-668B-4F3D-A85B-B59CE53AEBF5}" name="Dr Reddy's Lab" dataDxfId="939" dataCellStyle="Comma"/>
    <tableColumn id="6" xr3:uid="{97183CD4-B55E-47C3-AD0C-815CCE4C9F94}" name="Torrent Pharma" dataDxfId="938" dataCellStyle="Comma"/>
    <tableColumn id="7" xr3:uid="{DF891F2F-0240-46F7-97BF-B3DDE42A0B60}" name="Cipla" dataDxfId="937" dataCellStyle="Comma"/>
  </tableColumns>
  <tableStyleInfo name="TableStyleMedium13"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C6C6822A-57FD-4645-9D30-7890023A8158}" name="Table74" displayName="Table74" ref="A1:B7" totalsRowShown="0" headerRowDxfId="936" headerRowBorderDxfId="935" tableBorderDxfId="934" totalsRowBorderDxfId="933">
  <autoFilter ref="A1:B7" xr:uid="{C6C6822A-57FD-4645-9D30-7890023A8158}">
    <filterColumn colId="0" hiddenButton="1"/>
    <filterColumn colId="1" hiddenButton="1"/>
  </autoFilter>
  <tableColumns count="2">
    <tableColumn id="1" xr3:uid="{6677DB9C-5F29-4671-8274-C49498B3BF33}" name="Company" dataDxfId="932"/>
    <tableColumn id="2" xr3:uid="{15570DDF-DE59-4AFF-9F47-07C37CA5997E}" name="2025" dataDxfId="931"/>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48CA497A-021B-4B07-9D11-963E36E497D0}" name="Table75" displayName="Table75" ref="A18:G23" totalsRowShown="0" headerRowDxfId="930" dataDxfId="929" headerRowCellStyle="Percent">
  <autoFilter ref="A18:G23" xr:uid="{48CA497A-021B-4B07-9D11-963E36E497D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D9D546B-19CD-41D6-91F3-8BB861ECC2F4}" name="Growth" dataDxfId="928">
      <calculatedColumnFormula>D3</calculatedColumnFormula>
    </tableColumn>
    <tableColumn id="2" xr3:uid="{E1B21958-F4FE-4191-82E0-1CAF7D4D7993}" name="20.0%" dataDxfId="927"/>
    <tableColumn id="3" xr3:uid="{6D8BFFD6-306B-412E-8816-FB3D0105B055}" name="25.0%" dataDxfId="926"/>
    <tableColumn id="4" xr3:uid="{E6D27692-24D4-4C51-BF98-8FEB7EA7EC1A}" name="30.0%" dataDxfId="925"/>
    <tableColumn id="5" xr3:uid="{4ED1E57D-321B-4C52-B5BD-A274FB8A6419}" name="34.2%" dataDxfId="924"/>
    <tableColumn id="6" xr3:uid="{BD988E4F-6FD8-45D8-95F7-3565E909D5AF}" name="40.0%" dataDxfId="923"/>
    <tableColumn id="7" xr3:uid="{18F9C432-02F4-4E65-A348-42AF16558525}" name="Revenue" dataDxfId="922">
      <calculatedColumnFormula>$B$2*(1+Table75[[#This Row],[Growth]])</calculatedColumnFormula>
    </tableColumn>
  </tableColumns>
  <tableStyleInfo name="TableStyleMedium17"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C81437A3-72B6-403E-826F-6E7033BD8C68}" name="Table78" displayName="Table78" ref="A26:F31" totalsRowShown="0" headerRowDxfId="921" dataDxfId="920" tableBorderDxfId="919" headerRowCellStyle="Percent">
  <autoFilter ref="A26:F31" xr:uid="{C81437A3-72B6-403E-826F-6E7033BD8C68}">
    <filterColumn colId="0" hiddenButton="1"/>
    <filterColumn colId="1" hiddenButton="1"/>
    <filterColumn colId="2" hiddenButton="1"/>
    <filterColumn colId="3" hiddenButton="1"/>
    <filterColumn colId="4" hiddenButton="1"/>
    <filterColumn colId="5" hiddenButton="1"/>
  </autoFilter>
  <tableColumns count="6">
    <tableColumn id="1" xr3:uid="{66AACAF3-9DC7-4C9B-8ACC-321369FF8B22}" name="Tax Rate" dataDxfId="918" dataCellStyle="Percent"/>
    <tableColumn id="2" xr3:uid="{E1F538CD-178F-4A73-8D26-18939BFBB13B}" name="20%" dataDxfId="917">
      <calculatedColumnFormula>B19*(1-$A$27)</calculatedColumnFormula>
    </tableColumn>
    <tableColumn id="3" xr3:uid="{4A287D59-AE53-41F0-B2A8-9D3CCD98CAA0}" name="25%" dataDxfId="916">
      <calculatedColumnFormula>C19*(1-$A$27)</calculatedColumnFormula>
    </tableColumn>
    <tableColumn id="4" xr3:uid="{75C9635B-78D4-4B5C-B676-5E8EB8492079}" name="30%" dataDxfId="915">
      <calculatedColumnFormula>D19*(1-$A$27)</calculatedColumnFormula>
    </tableColumn>
    <tableColumn id="5" xr3:uid="{210C62D0-0D10-4062-933A-E99941E83546}" name="34%" dataDxfId="914">
      <calculatedColumnFormula>E19*(1-$A$27)</calculatedColumnFormula>
    </tableColumn>
    <tableColumn id="6" xr3:uid="{3B3ADABC-201D-4ABA-8338-7B9C605FD519}" name="40%" dataDxfId="913">
      <calculatedColumnFormula>F19*(1-$A$27)</calculatedColumnFormula>
    </tableColumn>
  </tableColumns>
  <tableStyleInfo name="TableStyleMedium17"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6CDECAE-DE06-4C0B-BC75-E33314251819}" name="Table79" displayName="Table79" ref="I26:N31" totalsRowShown="0" headerRowDxfId="912" dataDxfId="911" tableBorderDxfId="910">
  <autoFilter ref="I26:N31" xr:uid="{46CDECAE-DE06-4C0B-BC75-E33314251819}">
    <filterColumn colId="0" hiddenButton="1"/>
    <filterColumn colId="1" hiddenButton="1"/>
    <filterColumn colId="2" hiddenButton="1"/>
    <filterColumn colId="3" hiddenButton="1"/>
    <filterColumn colId="4" hiddenButton="1"/>
    <filterColumn colId="5" hiddenButton="1"/>
  </autoFilter>
  <tableColumns count="6">
    <tableColumn id="1" xr3:uid="{B2CD7642-A4A7-4C35-A0FD-1F7AC21DBE41}" name="Tax Rate" dataDxfId="909" dataCellStyle="Percent"/>
    <tableColumn id="2" xr3:uid="{8734F9A3-14C5-4267-89DC-01C3CD700786}" name="18.0%" dataDxfId="908">
      <calculatedColumnFormula>J19*(1-$I$27)</calculatedColumnFormula>
    </tableColumn>
    <tableColumn id="3" xr3:uid="{3C425F0A-C8EE-4342-B8CC-F3F63A46572B}" name="22.0%" dataDxfId="907">
      <calculatedColumnFormula>K19*(1-$I$27)</calculatedColumnFormula>
    </tableColumn>
    <tableColumn id="4" xr3:uid="{D883C35E-374E-4C89-B033-894CB5D3DA33}" name="26.0%" dataDxfId="906">
      <calculatedColumnFormula>L19*(1-$I$27)</calculatedColumnFormula>
    </tableColumn>
    <tableColumn id="5" xr3:uid="{A285F5CA-C70F-4F8F-85D7-D6DB10CF1309}" name="31.6%" dataDxfId="905">
      <calculatedColumnFormula>M19*(1-$I$27)</calculatedColumnFormula>
    </tableColumn>
    <tableColumn id="6" xr3:uid="{9DC8C73F-D304-4AC6-9252-F5ED9E7F75CA}" name="34.0%" dataDxfId="904">
      <calculatedColumnFormula>N19*(1-$I$27)</calculatedColumnFormula>
    </tableColumn>
  </tableColumns>
  <tableStyleInfo name="TableStyleMedium17"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0439ECA8-D261-4282-8F99-DEB286FA017B}" name="Table80" displayName="Table80" ref="Q26:V31" totalsRowShown="0" headerRowDxfId="903" dataDxfId="901" headerRowBorderDxfId="902" tableBorderDxfId="900">
  <autoFilter ref="Q26:V31" xr:uid="{0439ECA8-D261-4282-8F99-DEB286FA017B}">
    <filterColumn colId="0" hiddenButton="1"/>
    <filterColumn colId="1" hiddenButton="1"/>
    <filterColumn colId="2" hiddenButton="1"/>
    <filterColumn colId="3" hiddenButton="1"/>
    <filterColumn colId="4" hiddenButton="1"/>
    <filterColumn colId="5" hiddenButton="1"/>
  </autoFilter>
  <tableColumns count="6">
    <tableColumn id="1" xr3:uid="{EA8C4801-7BB9-4E7F-8719-72A700374709}" name="Tax Rate" dataDxfId="899" dataCellStyle="Percent"/>
    <tableColumn id="2" xr3:uid="{A908D9B9-DB8F-4D94-BC54-3069D0D07669}" name="20.0%" dataDxfId="898">
      <calculatedColumnFormula>R19*(1-$Q$27)</calculatedColumnFormula>
    </tableColumn>
    <tableColumn id="3" xr3:uid="{952BF199-4153-46EC-BC35-4189E916EEF8}" name="24%" dataDxfId="897">
      <calculatedColumnFormula>S19*(1-$Q$27)</calculatedColumnFormula>
    </tableColumn>
    <tableColumn id="4" xr3:uid="{FD29C593-F080-4C5C-A1E1-965DB90BFA10}" name="28%" dataDxfId="896">
      <calculatedColumnFormula>T19*(1-$Q$27)</calculatedColumnFormula>
    </tableColumn>
    <tableColumn id="5" xr3:uid="{C9D2819C-A90A-4675-97BB-52E2E6951FDB}" name="32%" dataDxfId="895">
      <calculatedColumnFormula>U19*(1-$Q$27)</calculatedColumnFormula>
    </tableColumn>
    <tableColumn id="6" xr3:uid="{6FE8ED80-8947-4DA0-B08D-D3D76B3B03A8}" name="36%" dataDxfId="894">
      <calculatedColumnFormula>V19*(1-$Q$27)</calculatedColumnFormula>
    </tableColumn>
  </tableColumns>
  <tableStyleInfo name="TableStyleMedium20"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584F9943-F6EF-493B-A5FA-39C66A464DAF}" name="Table81" displayName="Table81" ref="Y26:AD31" totalsRowShown="0" headerRowDxfId="893" dataDxfId="891" headerRowBorderDxfId="892" tableBorderDxfId="890" headerRowCellStyle="Percent">
  <autoFilter ref="Y26:AD31" xr:uid="{584F9943-F6EF-493B-A5FA-39C66A464DAF}">
    <filterColumn colId="0" hiddenButton="1"/>
    <filterColumn colId="1" hiddenButton="1"/>
    <filterColumn colId="2" hiddenButton="1"/>
    <filterColumn colId="3" hiddenButton="1"/>
    <filterColumn colId="4" hiddenButton="1"/>
    <filterColumn colId="5" hiddenButton="1"/>
  </autoFilter>
  <tableColumns count="6">
    <tableColumn id="1" xr3:uid="{6672C42D-AF38-49D3-99E0-EF677D3E2458}" name="Tax Rate" dataDxfId="889">
      <calculatedColumnFormula>Y19</calculatedColumnFormula>
    </tableColumn>
    <tableColumn id="2" xr3:uid="{42BFBFD8-4E68-4479-861B-6FFA69CB7242}" name="21%" dataDxfId="888">
      <calculatedColumnFormula>Z19*(1-$Y$27)</calculatedColumnFormula>
    </tableColumn>
    <tableColumn id="3" xr3:uid="{DF4A0A4B-805C-45F1-BE3F-EE016A47218C}" name="25%" dataDxfId="887">
      <calculatedColumnFormula>AA19*(1-$Y$27)</calculatedColumnFormula>
    </tableColumn>
    <tableColumn id="4" xr3:uid="{B5270FEF-46FB-4F30-B434-AD160B55B216}" name="29%" dataDxfId="886">
      <calculatedColumnFormula>AB19*(1-$Y$27)</calculatedColumnFormula>
    </tableColumn>
    <tableColumn id="5" xr3:uid="{4ECBFBAF-69B6-4130-BC90-2A913A3B67C2}" name="33%" dataDxfId="885">
      <calculatedColumnFormula>AC19*(1-$Y$27)</calculatedColumnFormula>
    </tableColumn>
    <tableColumn id="6" xr3:uid="{2824C6F1-546F-444C-8DC2-E9CB3CCDB899}" name="37%" dataDxfId="884">
      <calculatedColumnFormula>AD19*(1-$Y$27)</calculatedColumnFormula>
    </tableColumn>
  </tableColumns>
  <tableStyleInfo name="TableStyleMedium16"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DEADC10D-66FC-4BA1-BB48-735C9FCA5593}" name="Table82" displayName="Table82" ref="AG26:AL31" totalsRowShown="0" headerRowDxfId="883" dataDxfId="882" tableBorderDxfId="881" headerRowCellStyle="Percent">
  <autoFilter ref="AG26:AL31" xr:uid="{DEADC10D-66FC-4BA1-BB48-735C9FCA5593}">
    <filterColumn colId="0" hiddenButton="1"/>
    <filterColumn colId="1" hiddenButton="1"/>
    <filterColumn colId="2" hiddenButton="1"/>
    <filterColumn colId="3" hiddenButton="1"/>
    <filterColumn colId="4" hiddenButton="1"/>
    <filterColumn colId="5" hiddenButton="1"/>
  </autoFilter>
  <tableColumns count="6">
    <tableColumn id="1" xr3:uid="{BD0B7355-5EF6-481B-80D0-F723F73ADA77}" name="Tax Rate" dataDxfId="880" dataCellStyle="Percent"/>
    <tableColumn id="2" xr3:uid="{4E9B06EC-6B40-4242-9CFD-D2C292243F94}" name="28%" dataDxfId="879">
      <calculatedColumnFormula>AH19*(1-$AG$27)</calculatedColumnFormula>
    </tableColumn>
    <tableColumn id="3" xr3:uid="{35454971-6FE3-47EE-A38A-6A6DF1BE4841}" name="30%" dataDxfId="878">
      <calculatedColumnFormula>AI19*(1-$AG$27)</calculatedColumnFormula>
    </tableColumn>
    <tableColumn id="4" xr3:uid="{7EAC00C4-98BA-4507-A4EB-42844F16BCCA}" name="32%" dataDxfId="877">
      <calculatedColumnFormula>AJ19*(1-$AG$27)</calculatedColumnFormula>
    </tableColumn>
    <tableColumn id="5" xr3:uid="{480B7F47-B949-45CF-8C3B-913B5E5E0FC7}" name="34%" dataDxfId="876">
      <calculatedColumnFormula>AK19*(1-$AG$27)</calculatedColumnFormula>
    </tableColumn>
    <tableColumn id="6" xr3:uid="{3EFE808A-DFA0-4C93-9287-C71807D070FA}" name="36%" dataDxfId="875">
      <calculatedColumnFormula>AL19*(1-$AG$27)</calculatedColumnFormula>
    </tableColumn>
  </tableColumns>
  <tableStyleInfo name="TableStyleMedium20"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7E597A3B-EA1D-43B4-AD89-6B5FC9861A6B}" name="Table83" displayName="Table83" ref="AO26:AT31" totalsRowShown="0" headerRowDxfId="874" dataDxfId="873" tableBorderDxfId="872" headerRowCellStyle="Percent">
  <autoFilter ref="AO26:AT31" xr:uid="{7E597A3B-EA1D-43B4-AD89-6B5FC9861A6B}">
    <filterColumn colId="0" hiddenButton="1"/>
    <filterColumn colId="1" hiddenButton="1"/>
    <filterColumn colId="2" hiddenButton="1"/>
    <filterColumn colId="3" hiddenButton="1"/>
    <filterColumn colId="4" hiddenButton="1"/>
    <filterColumn colId="5" hiddenButton="1"/>
  </autoFilter>
  <tableColumns count="6">
    <tableColumn id="1" xr3:uid="{C4DEA43F-9E2F-4CB6-B099-3BFDE3B99FB1}" name="Tax Rate" dataDxfId="871" dataCellStyle="Percent"/>
    <tableColumn id="2" xr3:uid="{5DED6E19-07EE-449D-8652-375BE4FC4C1F}" name="24%" dataDxfId="870">
      <calculatedColumnFormula>AP19*(1-$AO$27)</calculatedColumnFormula>
    </tableColumn>
    <tableColumn id="3" xr3:uid="{63A2B7C4-14B5-49AB-8D00-E43C7E51C2BF}" name="26%" dataDxfId="869">
      <calculatedColumnFormula>AQ19*(1-$AO$27)</calculatedColumnFormula>
    </tableColumn>
    <tableColumn id="4" xr3:uid="{4CC5DB69-B6C5-43CC-AD9E-4ABABF85EDAF}" name="28%" dataDxfId="868">
      <calculatedColumnFormula>AR19*(1-$AO$27)</calculatedColumnFormula>
    </tableColumn>
    <tableColumn id="5" xr3:uid="{C34BFDA8-D569-46DD-A089-264A8EB3D37A}" name="30%" dataDxfId="867">
      <calculatedColumnFormula>AS19*(1-$AO$27)</calculatedColumnFormula>
    </tableColumn>
    <tableColumn id="6" xr3:uid="{2AD08344-5645-43DF-BE41-95533587432C}" name="32%" dataDxfId="866">
      <calculatedColumnFormula>AT19*(1-$AO$27)</calculatedColumnFormula>
    </tableColumn>
  </tableColumns>
  <tableStyleInfo name="TableStyleMedium16"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070E2390-FB0A-445A-BDD6-4AE025917BDB}" name="Table7885" displayName="Table7885" ref="A37:F42" totalsRowShown="0" headerRowDxfId="865" dataDxfId="864" tableBorderDxfId="863" headerRowCellStyle="Percent">
  <autoFilter ref="A37:F42" xr:uid="{070E2390-FB0A-445A-BDD6-4AE025917BDB}">
    <filterColumn colId="0" hiddenButton="1"/>
    <filterColumn colId="1" hiddenButton="1"/>
    <filterColumn colId="2" hiddenButton="1"/>
    <filterColumn colId="3" hiddenButton="1"/>
    <filterColumn colId="4" hiddenButton="1"/>
    <filterColumn colId="5" hiddenButton="1"/>
  </autoFilter>
  <tableColumns count="6">
    <tableColumn id="1" xr3:uid="{0FB762C6-3CAA-4147-AE46-7D156CC8B1DC}" name="M/G" dataDxfId="862" dataCellStyle="Percent">
      <calculatedColumnFormula>A19</calculatedColumnFormula>
    </tableColumn>
    <tableColumn id="2" xr3:uid="{6D7FCFA6-B4A0-462B-9CFB-A574128D3FAE}" name="20%" dataDxfId="861">
      <calculatedColumnFormula>(B27+$A$34-$B$34-$C$34)</calculatedColumnFormula>
    </tableColumn>
    <tableColumn id="3" xr3:uid="{3B8F9710-DFC0-4DDC-BB7B-BD2A423C9E0F}" name="25%" dataDxfId="860">
      <calculatedColumnFormula>(C27+$A$34-$B$34-$C$34)</calculatedColumnFormula>
    </tableColumn>
    <tableColumn id="4" xr3:uid="{8A6383AF-24C5-43AF-B523-6D26C1F4432C}" name="30%" dataDxfId="859">
      <calculatedColumnFormula>(D27+$A$34-$B$34-$C$34)</calculatedColumnFormula>
    </tableColumn>
    <tableColumn id="5" xr3:uid="{0BC10D1C-F50C-4A29-8E76-41E759548C5D}" name="34%" dataDxfId="858">
      <calculatedColumnFormula>(E27+$A$34-$B$34-$C$34)</calculatedColumnFormula>
    </tableColumn>
    <tableColumn id="6" xr3:uid="{074CB236-43EC-4183-BC19-82605E700159}" name="40%" dataDxfId="857">
      <calculatedColumnFormula>(F27+$A$34-$B$34-$C$34)</calculatedColumnFormula>
    </tableColumn>
  </tableColumns>
  <tableStyleInfo name="TableStyleMedium17"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02D6F34B-F357-451F-9752-DB25DB1599B3}" name="Table7986" displayName="Table7986" ref="I37:N42" totalsRowShown="0" headerRowDxfId="856" dataDxfId="855" tableBorderDxfId="854">
  <autoFilter ref="I37:N42" xr:uid="{02D6F34B-F357-451F-9752-DB25DB1599B3}">
    <filterColumn colId="0" hiddenButton="1"/>
    <filterColumn colId="1" hiddenButton="1"/>
    <filterColumn colId="2" hiddenButton="1"/>
    <filterColumn colId="3" hiddenButton="1"/>
    <filterColumn colId="4" hiddenButton="1"/>
    <filterColumn colId="5" hiddenButton="1"/>
  </autoFilter>
  <tableColumns count="6">
    <tableColumn id="1" xr3:uid="{9D920C4E-A097-4038-8A0E-3C78F9295E53}" name="M/G" dataDxfId="853" dataCellStyle="Percent">
      <calculatedColumnFormula>I19</calculatedColumnFormula>
    </tableColumn>
    <tableColumn id="2" xr3:uid="{2B66B51D-97B2-4C09-BB6E-2009C7AB18DF}" name="18.0%" dataDxfId="852">
      <calculatedColumnFormula>(J27+$I$34-$J$34-$K$34)</calculatedColumnFormula>
    </tableColumn>
    <tableColumn id="3" xr3:uid="{22A5139E-8D5B-4C17-8DF2-EA59D4659BF7}" name="22.0%" dataDxfId="851">
      <calculatedColumnFormula>(K27+$I$34-$J$34-$K$34)</calculatedColumnFormula>
    </tableColumn>
    <tableColumn id="4" xr3:uid="{D2B68AC5-D502-4A82-A7B6-CADCADDE8527}" name="26.0%" dataDxfId="850">
      <calculatedColumnFormula>(L27+$I$34-$J$34-$K$34)</calculatedColumnFormula>
    </tableColumn>
    <tableColumn id="5" xr3:uid="{6B823031-1D03-4323-8DED-AF46EB46E92C}" name="31.6%" dataDxfId="849">
      <calculatedColumnFormula>(M27+$I$34-$J$34-$K$34)</calculatedColumnFormula>
    </tableColumn>
    <tableColumn id="6" xr3:uid="{8EF4D286-B308-4E98-A7F8-B918619857F8}" name="34.0%" dataDxfId="848">
      <calculatedColumnFormula>(N27+$I$34-$J$34-$K$34)</calculatedColumnFormula>
    </tableColumn>
  </tableColumns>
  <tableStyleInfo name="TableStyleMedium17"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9E84C7A6-48A6-4E7E-8971-870765B52A2F}" name="Table8087" displayName="Table8087" ref="Q37:V42" totalsRowShown="0" headerRowDxfId="847" dataDxfId="845" headerRowBorderDxfId="846" tableBorderDxfId="844">
  <autoFilter ref="Q37:V42" xr:uid="{9E84C7A6-48A6-4E7E-8971-870765B52A2F}">
    <filterColumn colId="0" hiddenButton="1"/>
    <filterColumn colId="1" hiddenButton="1"/>
    <filterColumn colId="2" hiddenButton="1"/>
    <filterColumn colId="3" hiddenButton="1"/>
    <filterColumn colId="4" hiddenButton="1"/>
    <filterColumn colId="5" hiddenButton="1"/>
  </autoFilter>
  <tableColumns count="6">
    <tableColumn id="1" xr3:uid="{A514CB97-25CB-4B6D-B3D4-70DFF63D5C9B}" name="M/G" dataDxfId="843" dataCellStyle="Percent">
      <calculatedColumnFormula>Q19</calculatedColumnFormula>
    </tableColumn>
    <tableColumn id="2" xr3:uid="{37F2230E-8633-4F78-BD69-4694A08EA8BF}" name="20%" dataDxfId="842">
      <calculatedColumnFormula>(R27+$Q$34-$R$34-$S$34)</calculatedColumnFormula>
    </tableColumn>
    <tableColumn id="3" xr3:uid="{DD40D0A2-E395-43ED-ABC1-78BDBAC1BF3D}" name="24.0%" dataDxfId="841">
      <calculatedColumnFormula>(S27+$Q$34-$R$34-$S$34)</calculatedColumnFormula>
    </tableColumn>
    <tableColumn id="4" xr3:uid="{74A6AE81-248F-4A21-BDF9-F800343429A0}" name="28.000%" dataDxfId="840">
      <calculatedColumnFormula>(T27+$Q$34-$R$34-$S$34)</calculatedColumnFormula>
    </tableColumn>
    <tableColumn id="5" xr3:uid="{D8CB49AC-F4DC-4027-B30B-31196821B357}" name="32.000%" dataDxfId="839">
      <calculatedColumnFormula>(U27+$Q$34-$R$34-$S$34)</calculatedColumnFormula>
    </tableColumn>
    <tableColumn id="6" xr3:uid="{37CA0B2A-B3B2-4C9A-A0D5-F66467C9011C}" name="36.000%" dataDxfId="838">
      <calculatedColumnFormula>(V27+$Q$34-$R$34-$S$34)</calculatedColumnFormula>
    </tableColumn>
  </tableColumns>
  <tableStyleInfo name="TableStyleMedium20"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ABDEC506-57CB-44F6-8B79-94F18F8E94B2}" name="Table8188" displayName="Table8188" ref="Y37:AD42" totalsRowShown="0" headerRowDxfId="837" dataDxfId="835" headerRowBorderDxfId="836" tableBorderDxfId="834" headerRowCellStyle="Percent">
  <autoFilter ref="Y37:AD42" xr:uid="{ABDEC506-57CB-44F6-8B79-94F18F8E94B2}">
    <filterColumn colId="0" hiddenButton="1"/>
    <filterColumn colId="1" hiddenButton="1"/>
    <filterColumn colId="2" hiddenButton="1"/>
    <filterColumn colId="3" hiddenButton="1"/>
    <filterColumn colId="4" hiddenButton="1"/>
    <filterColumn colId="5" hiddenButton="1"/>
  </autoFilter>
  <tableColumns count="6">
    <tableColumn id="1" xr3:uid="{B9246D8E-A519-459F-84EE-2BA2B8AED4EF}" name="M/G" dataDxfId="833">
      <calculatedColumnFormula>Y19</calculatedColumnFormula>
    </tableColumn>
    <tableColumn id="2" xr3:uid="{0DF5A57E-3C74-415C-B48A-5FD95EF477BB}" name="21%" dataDxfId="832">
      <calculatedColumnFormula>(Z27+$Y$34-$Z$34-$AA$34)</calculatedColumnFormula>
    </tableColumn>
    <tableColumn id="3" xr3:uid="{B0B10079-885D-498F-9947-6C1159B74C3E}" name="25%" dataDxfId="831">
      <calculatedColumnFormula>(AA27+$Y$34-$Z$34-$AA$34)</calculatedColumnFormula>
    </tableColumn>
    <tableColumn id="4" xr3:uid="{482482F6-D786-45D1-82D9-B94E68AA31E3}" name="29%" dataDxfId="830">
      <calculatedColumnFormula>(AB27+$Y$34-$Z$34-$AA$34)</calculatedColumnFormula>
    </tableColumn>
    <tableColumn id="5" xr3:uid="{6CBCE973-717A-4422-9D95-100CDA609E67}" name="33%" dataDxfId="829">
      <calculatedColumnFormula>(AC27+$Y$34-$Z$34-$AA$34)</calculatedColumnFormula>
    </tableColumn>
    <tableColumn id="6" xr3:uid="{7631D609-967A-4E53-863B-2E514D408CFD}" name="37%" dataDxfId="828">
      <calculatedColumnFormula>(AD27+$Y$34-$Z$34-$AA$34)</calculatedColumnFormula>
    </tableColumn>
  </tableColumns>
  <tableStyleInfo name="TableStyleMedium16"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DD91A856-5789-493C-9BC0-425EA59B0B58}" name="Table8289" displayName="Table8289" ref="AG37:AL42" totalsRowShown="0" headerRowDxfId="827" dataDxfId="826" tableBorderDxfId="825" headerRowCellStyle="Percent">
  <autoFilter ref="AG37:AL42" xr:uid="{DD91A856-5789-493C-9BC0-425EA59B0B58}">
    <filterColumn colId="0" hiddenButton="1"/>
    <filterColumn colId="1" hiddenButton="1"/>
    <filterColumn colId="2" hiddenButton="1"/>
    <filterColumn colId="3" hiddenButton="1"/>
    <filterColumn colId="4" hiddenButton="1"/>
    <filterColumn colId="5" hiddenButton="1"/>
  </autoFilter>
  <tableColumns count="6">
    <tableColumn id="1" xr3:uid="{42978692-2D34-42F7-968A-B45A346BFB90}" name="M/G" dataDxfId="824" dataCellStyle="Percent">
      <calculatedColumnFormula>AG19</calculatedColumnFormula>
    </tableColumn>
    <tableColumn id="2" xr3:uid="{5735B89E-DA91-4F89-941E-88103A57F4CC}" name="28%" dataDxfId="823">
      <calculatedColumnFormula>(AH27+$AG$34-$AH$34-$AI$34)</calculatedColumnFormula>
    </tableColumn>
    <tableColumn id="3" xr3:uid="{A94A0959-7F5A-4514-848A-158A87971B50}" name="30%" dataDxfId="822">
      <calculatedColumnFormula>(AI27+$AG$34-$AH$34-$AI$34)</calculatedColumnFormula>
    </tableColumn>
    <tableColumn id="4" xr3:uid="{99652604-24B6-4645-9F54-43DB29E2FEBE}" name="32%" dataDxfId="821">
      <calculatedColumnFormula>(AJ27+$AG$34-$AH$34-$AI$34)</calculatedColumnFormula>
    </tableColumn>
    <tableColumn id="5" xr3:uid="{6AEF8006-0C83-49CC-8DBD-564687B919B7}" name="34%" dataDxfId="820">
      <calculatedColumnFormula>(AK27+$AG$34-$AH$34-$AI$34)</calculatedColumnFormula>
    </tableColumn>
    <tableColumn id="6" xr3:uid="{BF19DA77-953D-4126-B882-7D949A1B8517}" name="36%" dataDxfId="819">
      <calculatedColumnFormula>(AL27+$AG$34-$AH$34-$AI$34)</calculatedColumnFormula>
    </tableColumn>
  </tableColumns>
  <tableStyleInfo name="TableStyleMedium20"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A7CA3B48-C948-490E-BDAA-4E6C8B3D7773}" name="Table8390" displayName="Table8390" ref="AO37:AT42" totalsRowShown="0" headerRowDxfId="818" dataDxfId="817" tableBorderDxfId="816" headerRowCellStyle="Percent">
  <autoFilter ref="AO37:AT42" xr:uid="{A7CA3B48-C948-490E-BDAA-4E6C8B3D7773}">
    <filterColumn colId="0" hiddenButton="1"/>
    <filterColumn colId="1" hiddenButton="1"/>
    <filterColumn colId="2" hiddenButton="1"/>
    <filterColumn colId="3" hiddenButton="1"/>
    <filterColumn colId="4" hiddenButton="1"/>
    <filterColumn colId="5" hiddenButton="1"/>
  </autoFilter>
  <tableColumns count="6">
    <tableColumn id="1" xr3:uid="{014A3059-C66F-4CDB-8D8C-7367F8BBC23B}" name="M/G" dataDxfId="815" dataCellStyle="Percent">
      <calculatedColumnFormula>AO19</calculatedColumnFormula>
    </tableColumn>
    <tableColumn id="2" xr3:uid="{2F6A021B-72B4-4D66-999C-BCB8930EE35B}" name="24%" dataDxfId="814">
      <calculatedColumnFormula>(AP27+$AO$34-$AP$34-$AQ$34)</calculatedColumnFormula>
    </tableColumn>
    <tableColumn id="3" xr3:uid="{FD302FAA-4046-483F-B9C1-1D88A973AF7A}" name="26%" dataDxfId="813">
      <calculatedColumnFormula>(AQ27+$AO$34-$AP$34-$AQ$34)</calculatedColumnFormula>
    </tableColumn>
    <tableColumn id="4" xr3:uid="{E039F672-51B2-4859-9A11-C5E6844ECA7F}" name="28%" dataDxfId="812">
      <calculatedColumnFormula>(AR27+$AO$34-$AP$34-$AQ$34)</calculatedColumnFormula>
    </tableColumn>
    <tableColumn id="5" xr3:uid="{13572056-D91D-4CF5-8879-6355028A1F88}" name="30%" dataDxfId="811">
      <calculatedColumnFormula>(AS27+$AO$34-$AP$34-$AQ$34)</calculatedColumnFormula>
    </tableColumn>
    <tableColumn id="6" xr3:uid="{D209E5EA-1794-46FE-904B-87550FDE0EA9}" name="32%" dataDxfId="810">
      <calculatedColumnFormula>(AT27+$AO$34-$AP$34-$AQ$34)</calculatedColumnFormula>
    </tableColumn>
  </tableColumns>
  <tableStyleInfo name="TableStyleMedium16"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16688817-FBA4-42E5-A8FB-7AF1E20C1764}" name="Table788591" displayName="Table788591" ref="A45:F50" totalsRowShown="0" headerRowDxfId="809" dataDxfId="808" tableBorderDxfId="807" headerRowCellStyle="Percent">
  <autoFilter ref="A45:F50" xr:uid="{16688817-FBA4-42E5-A8FB-7AF1E20C1764}">
    <filterColumn colId="0" hiddenButton="1"/>
    <filterColumn colId="1" hiddenButton="1"/>
    <filterColumn colId="2" hiddenButton="1"/>
    <filterColumn colId="3" hiddenButton="1"/>
    <filterColumn colId="4" hiddenButton="1"/>
    <filterColumn colId="5" hiddenButton="1"/>
  </autoFilter>
  <tableColumns count="6">
    <tableColumn id="1" xr3:uid="{86A7A694-A073-4DC4-9E59-712F38C5CE8A}" name="M/G" dataDxfId="806" dataCellStyle="Percent">
      <calculatedColumnFormula>A38</calculatedColumnFormula>
    </tableColumn>
    <tableColumn id="2" xr3:uid="{02E5CFCF-4D43-4752-A7D6-6F4EB3FBC5BC}" name="20%" dataDxfId="805">
      <calculatedColumnFormula>B38*$E$34</calculatedColumnFormula>
    </tableColumn>
    <tableColumn id="3" xr3:uid="{928036A7-A7FE-4433-8FCA-4B80956918C6}" name="25%" dataDxfId="804">
      <calculatedColumnFormula>C38*$E$34</calculatedColumnFormula>
    </tableColumn>
    <tableColumn id="4" xr3:uid="{586B6FF5-890B-4E0E-AB9A-2BED78E44626}" name="30%" dataDxfId="803">
      <calculatedColumnFormula>D38*$E$34</calculatedColumnFormula>
    </tableColumn>
    <tableColumn id="5" xr3:uid="{27B4BE57-277E-4C5E-B491-650AED520094}" name="34%" dataDxfId="802">
      <calculatedColumnFormula>E38*$E$34</calculatedColumnFormula>
    </tableColumn>
    <tableColumn id="6" xr3:uid="{417F84DC-50BF-4300-8BCA-8653DE9F6D22}" name="40%" dataDxfId="801">
      <calculatedColumnFormula>F38*$E$34</calculatedColumnFormula>
    </tableColumn>
  </tableColumns>
  <tableStyleInfo name="TableStyleMedium17"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DAF47F61-9054-43A6-A35C-935C8B4B1A11}" name="Table798692" displayName="Table798692" ref="I45:N50" totalsRowShown="0" headerRowDxfId="800" dataDxfId="799" tableBorderDxfId="798">
  <autoFilter ref="I45:N50" xr:uid="{DAF47F61-9054-43A6-A35C-935C8B4B1A11}">
    <filterColumn colId="0" hiddenButton="1"/>
    <filterColumn colId="1" hiddenButton="1"/>
    <filterColumn colId="2" hiddenButton="1"/>
    <filterColumn colId="3" hiddenButton="1"/>
    <filterColumn colId="4" hiddenButton="1"/>
    <filterColumn colId="5" hiddenButton="1"/>
  </autoFilter>
  <tableColumns count="6">
    <tableColumn id="1" xr3:uid="{7C8F4E3E-8716-4C4C-9DD6-266BE0567001}" name="M/G" dataDxfId="797" dataCellStyle="Percent">
      <calculatedColumnFormula>I38</calculatedColumnFormula>
    </tableColumn>
    <tableColumn id="2" xr3:uid="{6F2D69D8-EC0F-4985-B663-99D44967502D}" name="18.0%" dataDxfId="796">
      <calculatedColumnFormula>J38*$M$34</calculatedColumnFormula>
    </tableColumn>
    <tableColumn id="3" xr3:uid="{AC0F5118-D94D-4689-9152-2D303AB9FC2F}" name="22.0%" dataDxfId="795">
      <calculatedColumnFormula>K38*$M$34</calculatedColumnFormula>
    </tableColumn>
    <tableColumn id="4" xr3:uid="{BE701857-25D2-4AEA-B7C8-E68036DB3F70}" name="26.0%" dataDxfId="794">
      <calculatedColumnFormula>L38*$M$34</calculatedColumnFormula>
    </tableColumn>
    <tableColumn id="5" xr3:uid="{81360708-7EB4-48F3-91ED-CC473BC4C690}" name="31.6%" dataDxfId="793">
      <calculatedColumnFormula>M38*$M$34</calculatedColumnFormula>
    </tableColumn>
    <tableColumn id="6" xr3:uid="{32D16AF1-033A-4D9A-94D2-DC72B88EC85E}" name="34.0%" dataDxfId="792">
      <calculatedColumnFormula>N38*$M$34</calculatedColumnFormula>
    </tableColumn>
  </tableColumns>
  <tableStyleInfo name="TableStyleMedium17"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A4984D16-BF23-4994-8A22-341AEAC019F7}" name="Table808793" displayName="Table808793" ref="Q45:V50" totalsRowShown="0" headerRowDxfId="791" dataDxfId="789" headerRowBorderDxfId="790" tableBorderDxfId="788">
  <autoFilter ref="Q45:V50" xr:uid="{A4984D16-BF23-4994-8A22-341AEAC019F7}">
    <filterColumn colId="0" hiddenButton="1"/>
    <filterColumn colId="1" hiddenButton="1"/>
    <filterColumn colId="2" hiddenButton="1"/>
    <filterColumn colId="3" hiddenButton="1"/>
    <filterColumn colId="4" hiddenButton="1"/>
    <filterColumn colId="5" hiddenButton="1"/>
  </autoFilter>
  <tableColumns count="6">
    <tableColumn id="1" xr3:uid="{3D02DF37-8F05-4B58-951D-C82F38B841D7}" name="M/G" dataDxfId="787" dataCellStyle="Percent">
      <calculatedColumnFormula>Q38</calculatedColumnFormula>
    </tableColumn>
    <tableColumn id="2" xr3:uid="{ED10E761-2E35-459B-ADB5-A767B9277B15}" name="20%" dataDxfId="786">
      <calculatedColumnFormula>R38*$U$34</calculatedColumnFormula>
    </tableColumn>
    <tableColumn id="3" xr3:uid="{9F3EE56C-4F5B-4CF4-A944-BB0D2EFB4502}" name="24.0%" dataDxfId="785">
      <calculatedColumnFormula>S38*$U$34</calculatedColumnFormula>
    </tableColumn>
    <tableColumn id="4" xr3:uid="{EDA37602-8C1E-4383-B45B-2747A617B13A}" name="28.000%" dataDxfId="784">
      <calculatedColumnFormula>T38*$U$34</calculatedColumnFormula>
    </tableColumn>
    <tableColumn id="5" xr3:uid="{66A3AD2D-64E0-4D02-9F3B-67488C17ED78}" name="32.000%" dataDxfId="783">
      <calculatedColumnFormula>U38*$U$34</calculatedColumnFormula>
    </tableColumn>
    <tableColumn id="6" xr3:uid="{D5E6D789-3ECB-4819-A857-8243905E1875}" name="36.000%" dataDxfId="782">
      <calculatedColumnFormula>V38*$U$34</calculatedColumnFormula>
    </tableColumn>
  </tableColumns>
  <tableStyleInfo name="TableStyleMedium20"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2D5073BE-A2E5-47DD-86ED-11845867B268}" name="Table818894" displayName="Table818894" ref="Y45:AD50" totalsRowShown="0" headerRowDxfId="781" dataDxfId="779" headerRowBorderDxfId="780" tableBorderDxfId="778" headerRowCellStyle="Percent">
  <autoFilter ref="Y45:AD50" xr:uid="{2D5073BE-A2E5-47DD-86ED-11845867B268}">
    <filterColumn colId="0" hiddenButton="1"/>
    <filterColumn colId="1" hiddenButton="1"/>
    <filterColumn colId="2" hiddenButton="1"/>
    <filterColumn colId="3" hiddenButton="1"/>
    <filterColumn colId="4" hiddenButton="1"/>
    <filterColumn colId="5" hiddenButton="1"/>
  </autoFilter>
  <tableColumns count="6">
    <tableColumn id="1" xr3:uid="{D87F0C61-C2A1-4CBD-BE9D-7A2AF92C6280}" name="M/G" dataDxfId="777">
      <calculatedColumnFormula>Y38</calculatedColumnFormula>
    </tableColumn>
    <tableColumn id="2" xr3:uid="{14985A2C-D481-4810-B0F5-FB504C8C86C4}" name="21%" dataDxfId="776">
      <calculatedColumnFormula>Z38*$AC$34</calculatedColumnFormula>
    </tableColumn>
    <tableColumn id="3" xr3:uid="{4D941D7F-7BF0-4965-97CE-2B89B7F18C4E}" name="25%" dataDxfId="775">
      <calculatedColumnFormula>AA38*$AC$34</calculatedColumnFormula>
    </tableColumn>
    <tableColumn id="4" xr3:uid="{D410F536-B185-4914-8E12-857A52704D60}" name="29%" dataDxfId="774">
      <calculatedColumnFormula>AB38*$AC$34</calculatedColumnFormula>
    </tableColumn>
    <tableColumn id="5" xr3:uid="{783D2664-1FBE-4F27-B426-30351F99372D}" name="33%" dataDxfId="773">
      <calculatedColumnFormula>AC38*$AC$34</calculatedColumnFormula>
    </tableColumn>
    <tableColumn id="6" xr3:uid="{00AD38F5-371D-4175-A3C7-12D8DA8582AC}" name="37%" dataDxfId="772">
      <calculatedColumnFormula>AD38*$AC$34</calculatedColumnFormula>
    </tableColumn>
  </tableColumns>
  <tableStyleInfo name="TableStyleMedium16"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6B24E9B2-D666-45B4-9289-270D5B123078}" name="Table828995" displayName="Table828995" ref="AG45:AL50" totalsRowShown="0" headerRowDxfId="771" dataDxfId="770" tableBorderDxfId="769" headerRowCellStyle="Percent">
  <autoFilter ref="AG45:AL50" xr:uid="{6B24E9B2-D666-45B4-9289-270D5B123078}">
    <filterColumn colId="0" hiddenButton="1"/>
    <filterColumn colId="1" hiddenButton="1"/>
    <filterColumn colId="2" hiddenButton="1"/>
    <filterColumn colId="3" hiddenButton="1"/>
    <filterColumn colId="4" hiddenButton="1"/>
    <filterColumn colId="5" hiddenButton="1"/>
  </autoFilter>
  <tableColumns count="6">
    <tableColumn id="1" xr3:uid="{A60A57B4-2F63-40B7-8AC4-0EAD7FF88472}" name="M/G" dataDxfId="768" dataCellStyle="Percent">
      <calculatedColumnFormula>AG38</calculatedColumnFormula>
    </tableColumn>
    <tableColumn id="2" xr3:uid="{7321EED5-3B6A-4FDD-BCB9-AB50AF636E59}" name="28%" dataDxfId="767">
      <calculatedColumnFormula>AH38*$AK$34</calculatedColumnFormula>
    </tableColumn>
    <tableColumn id="3" xr3:uid="{01EC9F89-5FF3-4C50-9231-1D18C8C82364}" name="30%" dataDxfId="766">
      <calculatedColumnFormula>AI38*$AK$34</calculatedColumnFormula>
    </tableColumn>
    <tableColumn id="4" xr3:uid="{572DECA0-B455-4EF6-882A-854C36A36483}" name="32%" dataDxfId="765">
      <calculatedColumnFormula>AJ38*$AK$34</calculatedColumnFormula>
    </tableColumn>
    <tableColumn id="5" xr3:uid="{44ADF1E5-83A4-4C6A-AC41-F69A6265CBE0}" name="34%" dataDxfId="764">
      <calculatedColumnFormula>AK38*$AK$34</calculatedColumnFormula>
    </tableColumn>
    <tableColumn id="6" xr3:uid="{A0DD14A9-3687-4AD7-BBCF-3B0A8831D4BB}" name="36%" dataDxfId="763">
      <calculatedColumnFormula>AL38*$AK$34</calculatedColumnFormula>
    </tableColumn>
  </tableColumns>
  <tableStyleInfo name="TableStyleMedium20"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600457D2-ACB5-4CD3-95A7-AF6D929A3B0A}" name="Table839096" displayName="Table839096" ref="AO45:AT50" totalsRowShown="0" headerRowDxfId="762" dataDxfId="761" tableBorderDxfId="760" headerRowCellStyle="Percent">
  <autoFilter ref="AO45:AT50" xr:uid="{600457D2-ACB5-4CD3-95A7-AF6D929A3B0A}">
    <filterColumn colId="0" hiddenButton="1"/>
    <filterColumn colId="1" hiddenButton="1"/>
    <filterColumn colId="2" hiddenButton="1"/>
    <filterColumn colId="3" hiddenButton="1"/>
    <filterColumn colId="4" hiddenButton="1"/>
    <filterColumn colId="5" hiddenButton="1"/>
  </autoFilter>
  <tableColumns count="6">
    <tableColumn id="1" xr3:uid="{BF47784E-C137-4F3F-B850-5E54091D364C}" name="M/G" dataDxfId="759" dataCellStyle="Percent">
      <calculatedColumnFormula>AO38</calculatedColumnFormula>
    </tableColumn>
    <tableColumn id="2" xr3:uid="{A6864368-0283-4D67-8B7B-BA5C09EE0E43}" name="24%" dataDxfId="758">
      <calculatedColumnFormula>AP38*$AS$34</calculatedColumnFormula>
    </tableColumn>
    <tableColumn id="3" xr3:uid="{D459F559-3107-4585-9BDF-886A9F0FB4A6}" name="26%" dataDxfId="757">
      <calculatedColumnFormula>AQ38*$AS$34</calculatedColumnFormula>
    </tableColumn>
    <tableColumn id="4" xr3:uid="{1D6EF56A-BDD2-4624-9EFF-6F77F316EDE2}" name="28%" dataDxfId="756">
      <calculatedColumnFormula>AR38*$AS$34</calculatedColumnFormula>
    </tableColumn>
    <tableColumn id="5" xr3:uid="{C2A1DDC3-7CD7-4736-B7FE-B0FE38931A67}" name="30%" dataDxfId="755">
      <calculatedColumnFormula>AS38*$AS$34</calculatedColumnFormula>
    </tableColumn>
    <tableColumn id="6" xr3:uid="{BCD7D784-D9E8-4178-8914-78D9E95E46B0}" name="32%" dataDxfId="754">
      <calculatedColumnFormula>AT38*$AS$34</calculatedColumnFormula>
    </tableColumn>
  </tableColumns>
  <tableStyleInfo name="TableStyleMedium16"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E1C0FD63-5B1E-47A2-9A7C-087446316752}" name="Table7597" displayName="Table7597" ref="A53:G58" totalsRowShown="0" headerRowDxfId="753" dataDxfId="752" headerRowCellStyle="Percent">
  <autoFilter ref="A53:G58" xr:uid="{E1C0FD63-5B1E-47A2-9A7C-08744631675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131D0BF-9DDD-4FB1-842F-56ABA05D44F9}" name="Growth" dataDxfId="751">
      <calculatedColumnFormula>A46</calculatedColumnFormula>
    </tableColumn>
    <tableColumn id="2" xr3:uid="{01855867-EB79-418B-A6FA-884EA30D6563}" name="20.0%" dataDxfId="750"/>
    <tableColumn id="3" xr3:uid="{91FD34E2-4D5D-40B3-8D66-9C80ABCA7297}" name="25.0%" dataDxfId="749"/>
    <tableColumn id="4" xr3:uid="{5E63017B-84F8-4A10-A25B-98908CEFC078}" name="30.0%" dataDxfId="748"/>
    <tableColumn id="5" xr3:uid="{4B4EDA01-2139-4E6D-B0BB-699A9FF6F749}" name="34.2%" dataDxfId="747"/>
    <tableColumn id="6" xr3:uid="{63786853-E00E-4246-AB3B-AC5C04C4B68A}" name="40.0%" dataDxfId="746"/>
    <tableColumn id="7" xr3:uid="{6573F3E6-60D0-4B85-A735-438C3E5FFEE0}" name="Revenue" dataDxfId="745">
      <calculatedColumnFormula>G19*(1+Table7597[[#This Row],[Growth]])</calculatedColumnFormula>
    </tableColumn>
  </tableColumns>
  <tableStyleInfo name="TableStyleMedium17"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E58C4F74-DA87-4430-BFEA-9E5E028A6E62}" name="Table7898" displayName="Table7898" ref="A61:F66" totalsRowShown="0" headerRowDxfId="744" dataDxfId="743" tableBorderDxfId="742" headerRowCellStyle="Percent">
  <autoFilter ref="A61:F66" xr:uid="{E58C4F74-DA87-4430-BFEA-9E5E028A6E62}">
    <filterColumn colId="0" hiddenButton="1"/>
    <filterColumn colId="1" hiddenButton="1"/>
    <filterColumn colId="2" hiddenButton="1"/>
    <filterColumn colId="3" hiddenButton="1"/>
    <filterColumn colId="4" hiddenButton="1"/>
    <filterColumn colId="5" hiddenButton="1"/>
  </autoFilter>
  <tableColumns count="6">
    <tableColumn id="1" xr3:uid="{4F5AB98A-DD63-4906-91D6-4D4CBCEF47D5}" name="Tax Rate" dataDxfId="741" dataCellStyle="Percent"/>
    <tableColumn id="2" xr3:uid="{9684E672-8C3F-4317-BA8B-69789307C2F6}" name="20%" dataDxfId="740">
      <calculatedColumnFormula>B54*(1-$A$62)</calculatedColumnFormula>
    </tableColumn>
    <tableColumn id="3" xr3:uid="{FCAB47FE-DA25-4A08-9A40-F2BD3B0E1197}" name="25%" dataDxfId="739">
      <calculatedColumnFormula>C54*(1-$A$62)</calculatedColumnFormula>
    </tableColumn>
    <tableColumn id="4" xr3:uid="{F9273A15-E5F0-4047-870F-0D683632D420}" name="30%" dataDxfId="738">
      <calculatedColumnFormula>D54*(1-$A$62)</calculatedColumnFormula>
    </tableColumn>
    <tableColumn id="5" xr3:uid="{FE2B292F-D830-493A-9B46-8231549D4B58}" name="34%" dataDxfId="737">
      <calculatedColumnFormula>E54*(1-$A$62)</calculatedColumnFormula>
    </tableColumn>
    <tableColumn id="6" xr3:uid="{F99415CF-9AC4-4AC0-A6BB-579F6170DB2B}" name="40%" dataDxfId="736">
      <calculatedColumnFormula>F54*(1-$A$62)</calculatedColumnFormula>
    </tableColumn>
  </tableColumns>
  <tableStyleInfo name="TableStyleMedium17"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7593531E-DD60-47A1-A218-6AFBEDB6993A}" name="Table7999" displayName="Table7999" ref="I61:N66" totalsRowShown="0" headerRowDxfId="735" dataDxfId="734" tableBorderDxfId="733">
  <autoFilter ref="I61:N66" xr:uid="{7593531E-DD60-47A1-A218-6AFBEDB6993A}">
    <filterColumn colId="0" hiddenButton="1"/>
    <filterColumn colId="1" hiddenButton="1"/>
    <filterColumn colId="2" hiddenButton="1"/>
    <filterColumn colId="3" hiddenButton="1"/>
    <filterColumn colId="4" hiddenButton="1"/>
    <filterColumn colId="5" hiddenButton="1"/>
  </autoFilter>
  <tableColumns count="6">
    <tableColumn id="1" xr3:uid="{2F81F795-3B75-4146-A380-8A79AE70A166}" name="Tax Rate" dataDxfId="732" dataCellStyle="Percent"/>
    <tableColumn id="2" xr3:uid="{DE9893D7-862B-4C63-BB39-CE5B04C6CB38}" name="18.0%" dataDxfId="731">
      <calculatedColumnFormula>J54*(1-$I$62)</calculatedColumnFormula>
    </tableColumn>
    <tableColumn id="3" xr3:uid="{BBCA3E10-8981-47B8-9AEA-109863D5DE52}" name="22.0%" dataDxfId="730">
      <calculatedColumnFormula>K54*(1-$I$62)</calculatedColumnFormula>
    </tableColumn>
    <tableColumn id="4" xr3:uid="{72C06E4D-D174-49D9-B27B-D05878D6E565}" name="26.0%" dataDxfId="729">
      <calculatedColumnFormula>L54*(1-$I$62)</calculatedColumnFormula>
    </tableColumn>
    <tableColumn id="5" xr3:uid="{D0D432C9-F84B-4FE8-BDF8-14FE20C8AC42}" name="31.6%" dataDxfId="728">
      <calculatedColumnFormula>M54*(1-$I$62)</calculatedColumnFormula>
    </tableColumn>
    <tableColumn id="6" xr3:uid="{A056C4FA-8EE7-4712-9C65-69D83110B7A7}" name="34.0%" dataDxfId="727">
      <calculatedColumnFormula>N54*(1-$I$62)</calculatedColumnFormula>
    </tableColumn>
  </tableColumns>
  <tableStyleInfo name="TableStyleMedium17"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826AB948-C553-4BB5-A65F-643A777C16FD}" name="Table80100" displayName="Table80100" ref="Q61:V66" totalsRowShown="0" headerRowDxfId="726" dataDxfId="724" headerRowBorderDxfId="725" tableBorderDxfId="723">
  <autoFilter ref="Q61:V66" xr:uid="{826AB948-C553-4BB5-A65F-643A777C16FD}">
    <filterColumn colId="0" hiddenButton="1"/>
    <filterColumn colId="1" hiddenButton="1"/>
    <filterColumn colId="2" hiddenButton="1"/>
    <filterColumn colId="3" hiddenButton="1"/>
    <filterColumn colId="4" hiddenButton="1"/>
    <filterColumn colId="5" hiddenButton="1"/>
  </autoFilter>
  <tableColumns count="6">
    <tableColumn id="1" xr3:uid="{1CC5A3EC-E8EB-467D-A4BB-7CBABC5A4732}" name="Tax Rate" dataDxfId="722" dataCellStyle="Percent"/>
    <tableColumn id="2" xr3:uid="{F8CF0D84-7489-40D0-9551-FE07E892F0BC}" name="20.0%" dataDxfId="721">
      <calculatedColumnFormula>R54*(1-$Q$62)</calculatedColumnFormula>
    </tableColumn>
    <tableColumn id="3" xr3:uid="{61ED619C-E641-47AE-A141-7E574FAC25D9}" name="24%" dataDxfId="720">
      <calculatedColumnFormula>S54*(1-$Q$62)</calculatedColumnFormula>
    </tableColumn>
    <tableColumn id="4" xr3:uid="{A414672F-FFBF-48C1-A421-838C7F74862A}" name="28%" dataDxfId="719">
      <calculatedColumnFormula>T54*(1-$Q$62)</calculatedColumnFormula>
    </tableColumn>
    <tableColumn id="5" xr3:uid="{08EC8392-21E7-4BCD-94F7-427C4C62CEE1}" name="32%" dataDxfId="718">
      <calculatedColumnFormula>U54*(1-$Q$62)</calculatedColumnFormula>
    </tableColumn>
    <tableColumn id="6" xr3:uid="{70C52031-8125-4C9C-862F-9B9BDEDEB51F}" name="36%" dataDxfId="717">
      <calculatedColumnFormula>V54*(1-$Q$62)</calculatedColumnFormula>
    </tableColumn>
  </tableColumns>
  <tableStyleInfo name="TableStyleMedium20"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365821F9-E31F-4EEC-A7E1-02E5E78F725D}" name="Table81101" displayName="Table81101" ref="Y61:AD66" totalsRowShown="0" headerRowDxfId="716" dataDxfId="714" headerRowBorderDxfId="715" tableBorderDxfId="713" headerRowCellStyle="Percent">
  <autoFilter ref="Y61:AD66" xr:uid="{365821F9-E31F-4EEC-A7E1-02E5E78F725D}">
    <filterColumn colId="0" hiddenButton="1"/>
    <filterColumn colId="1" hiddenButton="1"/>
    <filterColumn colId="2" hiddenButton="1"/>
    <filterColumn colId="3" hiddenButton="1"/>
    <filterColumn colId="4" hiddenButton="1"/>
    <filterColumn colId="5" hiddenButton="1"/>
  </autoFilter>
  <tableColumns count="6">
    <tableColumn id="1" xr3:uid="{D5375327-9F78-47BD-B42B-CD376E9520F4}" name="Tax Rate" dataDxfId="712">
      <calculatedColumnFormula>Y54</calculatedColumnFormula>
    </tableColumn>
    <tableColumn id="2" xr3:uid="{1C70290F-D3B4-473F-9616-236E4A6AB5DA}" name="21%" dataDxfId="711">
      <calculatedColumnFormula>Z54*(1-$Y$62)</calculatedColumnFormula>
    </tableColumn>
    <tableColumn id="3" xr3:uid="{12EE1D20-7E86-481D-A483-454E2B226D2A}" name="25%" dataDxfId="710">
      <calculatedColumnFormula>AA54*(1-$Y$62)</calculatedColumnFormula>
    </tableColumn>
    <tableColumn id="4" xr3:uid="{D0291382-E59B-4A68-9B19-158B88C636F2}" name="29%" dataDxfId="709">
      <calculatedColumnFormula>AB54*(1-$Y$62)</calculatedColumnFormula>
    </tableColumn>
    <tableColumn id="5" xr3:uid="{739F3759-EF45-4D8F-8AD9-7D33BD05859E}" name="33%" dataDxfId="708">
      <calculatedColumnFormula>AC54*(1-$Y$62)</calculatedColumnFormula>
    </tableColumn>
    <tableColumn id="6" xr3:uid="{E10A44A4-3BC8-45F7-AA88-003A2D34C60A}" name="37%" dataDxfId="707">
      <calculatedColumnFormula>AD54*(1-$Y$62)</calculatedColumnFormula>
    </tableColumn>
  </tableColumns>
  <tableStyleInfo name="TableStyleMedium16"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3F4A78AF-50A7-4A34-8042-DC12D4D0F62A}" name="Table82102" displayName="Table82102" ref="AG61:AL66" totalsRowShown="0" headerRowDxfId="706" dataDxfId="705" tableBorderDxfId="704" headerRowCellStyle="Percent">
  <autoFilter ref="AG61:AL66" xr:uid="{3F4A78AF-50A7-4A34-8042-DC12D4D0F62A}">
    <filterColumn colId="0" hiddenButton="1"/>
    <filterColumn colId="1" hiddenButton="1"/>
    <filterColumn colId="2" hiddenButton="1"/>
    <filterColumn colId="3" hiddenButton="1"/>
    <filterColumn colId="4" hiddenButton="1"/>
    <filterColumn colId="5" hiddenButton="1"/>
  </autoFilter>
  <tableColumns count="6">
    <tableColumn id="1" xr3:uid="{AFFE8DA2-41B1-4A37-886E-02AF3F725160}" name="Tax Rate" dataDxfId="703" dataCellStyle="Percent"/>
    <tableColumn id="2" xr3:uid="{859D8518-0DBD-4C67-9140-38671C068703}" name="28%" dataDxfId="702">
      <calculatedColumnFormula>AH54*(1-$AG$62)</calculatedColumnFormula>
    </tableColumn>
    <tableColumn id="3" xr3:uid="{D6444515-4638-40AA-A0E3-F2BFC714B102}" name="30%" dataDxfId="701">
      <calculatedColumnFormula>AI54*(1-$AG$62)</calculatedColumnFormula>
    </tableColumn>
    <tableColumn id="4" xr3:uid="{B17FF0DF-E337-4F05-A2ED-7AD6D0FFC9C0}" name="32%" dataDxfId="700">
      <calculatedColumnFormula>AJ54*(1-$AG$62)</calculatedColumnFormula>
    </tableColumn>
    <tableColumn id="5" xr3:uid="{A71A6403-D37E-482F-812D-DE92E18BE8E4}" name="34%" dataDxfId="699">
      <calculatedColumnFormula>AK54*(1-$AG$62)</calculatedColumnFormula>
    </tableColumn>
    <tableColumn id="6" xr3:uid="{5E6F8E08-0A19-42F4-8CCB-D0BB6734F870}" name="36%" dataDxfId="698">
      <calculatedColumnFormula>AL54*(1-$AG$62)</calculatedColumnFormula>
    </tableColumn>
  </tableColumns>
  <tableStyleInfo name="TableStyleMedium20"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76F382AC-3592-406E-BDE4-4008C99771D4}" name="Table83103" displayName="Table83103" ref="AO61:AT66" totalsRowShown="0" headerRowDxfId="697" dataDxfId="696" tableBorderDxfId="695" headerRowCellStyle="Percent">
  <autoFilter ref="AO61:AT66" xr:uid="{76F382AC-3592-406E-BDE4-4008C99771D4}">
    <filterColumn colId="0" hiddenButton="1"/>
    <filterColumn colId="1" hiddenButton="1"/>
    <filterColumn colId="2" hiddenButton="1"/>
    <filterColumn colId="3" hiddenButton="1"/>
    <filterColumn colId="4" hiddenButton="1"/>
    <filterColumn colId="5" hiddenButton="1"/>
  </autoFilter>
  <tableColumns count="6">
    <tableColumn id="1" xr3:uid="{62280518-ABCB-4A77-A831-5C0513DD2311}" name="Tax Rate" dataDxfId="694" dataCellStyle="Percent"/>
    <tableColumn id="2" xr3:uid="{3F6EB32B-4A1A-4396-B1EB-AB8279040FF4}" name="24%" dataDxfId="693">
      <calculatedColumnFormula>AP54*(1-$AO$62)</calculatedColumnFormula>
    </tableColumn>
    <tableColumn id="3" xr3:uid="{1C5E9572-0EC4-46E8-A283-ACAE19700366}" name="26%" dataDxfId="692">
      <calculatedColumnFormula>AQ54*(1-$AO$62)</calculatedColumnFormula>
    </tableColumn>
    <tableColumn id="4" xr3:uid="{D0B5990A-342D-4510-B9A3-7416436A0790}" name="28%" dataDxfId="691">
      <calculatedColumnFormula>AR54*(1-$AO$62)</calculatedColumnFormula>
    </tableColumn>
    <tableColumn id="5" xr3:uid="{DD752233-7CF7-4ED7-931A-3A050BAD9B1C}" name="30%" dataDxfId="690">
      <calculatedColumnFormula>AS54*(1-$AO$62)</calculatedColumnFormula>
    </tableColumn>
    <tableColumn id="6" xr3:uid="{1464F1B2-1F4A-4544-871F-BD2BD13CA937}" name="32%" dataDxfId="689">
      <calculatedColumnFormula>AT54*(1-$AO$62)</calculatedColumnFormula>
    </tableColumn>
  </tableColumns>
  <tableStyleInfo name="TableStyleMedium16"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00567793-F695-4799-A3EB-3125062E2854}" name="Table7885104" displayName="Table7885104" ref="A72:F77" totalsRowShown="0" headerRowDxfId="688" dataDxfId="687" tableBorderDxfId="686" headerRowCellStyle="Percent">
  <autoFilter ref="A72:F77" xr:uid="{00567793-F695-4799-A3EB-3125062E2854}">
    <filterColumn colId="0" hiddenButton="1"/>
    <filterColumn colId="1" hiddenButton="1"/>
    <filterColumn colId="2" hiddenButton="1"/>
    <filterColumn colId="3" hiddenButton="1"/>
    <filterColumn colId="4" hiddenButton="1"/>
    <filterColumn colId="5" hiddenButton="1"/>
  </autoFilter>
  <tableColumns count="6">
    <tableColumn id="1" xr3:uid="{6B6CE1E0-3534-4999-9575-F9787A8FF36E}" name="M/G" dataDxfId="685" dataCellStyle="Percent">
      <calculatedColumnFormula>A54</calculatedColumnFormula>
    </tableColumn>
    <tableColumn id="2" xr3:uid="{B070C4D6-0117-43BD-831B-C5B6254B9D4F}" name="20%" dataDxfId="684">
      <calculatedColumnFormula>(B62+$A$69-$B$69-$C$69)</calculatedColumnFormula>
    </tableColumn>
    <tableColumn id="3" xr3:uid="{145D1541-68E1-4BF8-BF6F-6BBE37433E3D}" name="25%" dataDxfId="683">
      <calculatedColumnFormula>(C62+$A$69-$B$69-$C$69)</calculatedColumnFormula>
    </tableColumn>
    <tableColumn id="4" xr3:uid="{367F5077-A4D8-426F-A1AA-3ECCD285F8BA}" name="30%" dataDxfId="682">
      <calculatedColumnFormula>(D62+$A$69-$B$69-$C$69)</calculatedColumnFormula>
    </tableColumn>
    <tableColumn id="5" xr3:uid="{D40EA7AE-63D3-4ECD-8E16-2BCD09AE2EC9}" name="34%" dataDxfId="681">
      <calculatedColumnFormula>(E62+$A$69-$B$69-$C$69)</calculatedColumnFormula>
    </tableColumn>
    <tableColumn id="6" xr3:uid="{5BA9A8D5-3661-41A0-BC31-D4534243B83F}" name="40%" dataDxfId="680">
      <calculatedColumnFormula>(F62+$A$69-$B$69-$C$69)</calculatedColumnFormula>
    </tableColumn>
  </tableColumns>
  <tableStyleInfo name="TableStyleMedium17"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8C64B503-9C5B-45EF-B855-7366E26212C8}" name="Table7986105" displayName="Table7986105" ref="I72:N77" totalsRowShown="0" headerRowDxfId="679" dataDxfId="678" tableBorderDxfId="677">
  <autoFilter ref="I72:N77" xr:uid="{8C64B503-9C5B-45EF-B855-7366E26212C8}">
    <filterColumn colId="0" hiddenButton="1"/>
    <filterColumn colId="1" hiddenButton="1"/>
    <filterColumn colId="2" hiddenButton="1"/>
    <filterColumn colId="3" hiddenButton="1"/>
    <filterColumn colId="4" hiddenButton="1"/>
    <filterColumn colId="5" hiddenButton="1"/>
  </autoFilter>
  <tableColumns count="6">
    <tableColumn id="1" xr3:uid="{BA39EFF4-7541-4C6C-ACA0-2027A1C0DB38}" name="M/G" dataDxfId="676" dataCellStyle="Percent">
      <calculatedColumnFormula>I54</calculatedColumnFormula>
    </tableColumn>
    <tableColumn id="2" xr3:uid="{AE516299-D95E-40B6-BCB6-AEF494C432B6}" name="18.0%" dataDxfId="675">
      <calculatedColumnFormula>(J62+$I$69-$J$69-$K$69)</calculatedColumnFormula>
    </tableColumn>
    <tableColumn id="3" xr3:uid="{5A5861BC-BF14-4855-BC51-C5FAAE4F804F}" name="22.0%" dataDxfId="674">
      <calculatedColumnFormula>(K62+$I$69-$J$69-$K$69)</calculatedColumnFormula>
    </tableColumn>
    <tableColumn id="4" xr3:uid="{E0FF048E-ED4A-419E-92B1-503FBAB8076A}" name="26.0%" dataDxfId="673">
      <calculatedColumnFormula>(L62+$I$69-$J$69-$K$69)</calculatedColumnFormula>
    </tableColumn>
    <tableColumn id="5" xr3:uid="{063E46BF-D052-43F9-A97B-4C424C3D60FD}" name="31.6%" dataDxfId="672">
      <calculatedColumnFormula>(M62+$I$69-$J$69-$K$69)</calculatedColumnFormula>
    </tableColumn>
    <tableColumn id="6" xr3:uid="{495BBC43-2D5F-4B5F-B37A-65AEFFA33206}" name="34.0%" dataDxfId="671">
      <calculatedColumnFormula>(N62+$I$69-$J$69-$K$69)</calculatedColumnFormula>
    </tableColumn>
  </tableColumns>
  <tableStyleInfo name="TableStyleMedium17"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C94D60CD-DE4E-4D7C-8E4F-024F6757381B}" name="Table8087106" displayName="Table8087106" ref="Q72:V77" totalsRowShown="0" headerRowDxfId="670" dataDxfId="668" headerRowBorderDxfId="669" tableBorderDxfId="667">
  <autoFilter ref="Q72:V77" xr:uid="{C94D60CD-DE4E-4D7C-8E4F-024F6757381B}">
    <filterColumn colId="0" hiddenButton="1"/>
    <filterColumn colId="1" hiddenButton="1"/>
    <filterColumn colId="2" hiddenButton="1"/>
    <filterColumn colId="3" hiddenButton="1"/>
    <filterColumn colId="4" hiddenButton="1"/>
    <filterColumn colId="5" hiddenButton="1"/>
  </autoFilter>
  <tableColumns count="6">
    <tableColumn id="1" xr3:uid="{0D91C13C-DECC-45C9-9347-6ADBEBF41B9E}" name="M/G" dataDxfId="666" dataCellStyle="Percent">
      <calculatedColumnFormula>Q54</calculatedColumnFormula>
    </tableColumn>
    <tableColumn id="2" xr3:uid="{8F4BD10B-3421-4BC3-BAD0-32D966D83647}" name="20%" dataDxfId="665">
      <calculatedColumnFormula>(R62+$Q$69-$R$69-$S$69)</calculatedColumnFormula>
    </tableColumn>
    <tableColumn id="3" xr3:uid="{7B42E058-736D-4D5F-BF1E-78FBE9CE801E}" name="24.0%" dataDxfId="664">
      <calculatedColumnFormula>(S62+$Q$69-$R$69-$S$69)</calculatedColumnFormula>
    </tableColumn>
    <tableColumn id="4" xr3:uid="{828B63E0-61BB-4DB3-BA2A-501536BA5051}" name="28.000%" dataDxfId="663">
      <calculatedColumnFormula>(T62+$Q$69-$R$69-$S$69)</calculatedColumnFormula>
    </tableColumn>
    <tableColumn id="5" xr3:uid="{0A737824-C7C9-45BA-AB97-5848E174C210}" name="32.000%" dataDxfId="662">
      <calculatedColumnFormula>(U62+$Q$69-$R$69-$S$69)</calculatedColumnFormula>
    </tableColumn>
    <tableColumn id="6" xr3:uid="{3FD17C29-700B-4EFC-8C40-5C49E2841D76}" name="36.000%" dataDxfId="661">
      <calculatedColumnFormula>(V62+$Q$69-$R$69-$S$69)</calculatedColumnFormula>
    </tableColumn>
  </tableColumns>
  <tableStyleInfo name="TableStyleMedium20"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8DDCE145-51E4-46CA-AD20-3B853471EC88}" name="Table8188107" displayName="Table8188107" ref="Y72:AD77" totalsRowShown="0" headerRowDxfId="660" dataDxfId="658" headerRowBorderDxfId="659" tableBorderDxfId="657" headerRowCellStyle="Percent">
  <autoFilter ref="Y72:AD77" xr:uid="{8DDCE145-51E4-46CA-AD20-3B853471EC88}">
    <filterColumn colId="0" hiddenButton="1"/>
    <filterColumn colId="1" hiddenButton="1"/>
    <filterColumn colId="2" hiddenButton="1"/>
    <filterColumn colId="3" hiddenButton="1"/>
    <filterColumn colId="4" hiddenButton="1"/>
    <filterColumn colId="5" hiddenButton="1"/>
  </autoFilter>
  <tableColumns count="6">
    <tableColumn id="1" xr3:uid="{D220C861-6F33-47B0-A431-1D3834FAEE49}" name="M/G" dataDxfId="656">
      <calculatedColumnFormula>Y54</calculatedColumnFormula>
    </tableColumn>
    <tableColumn id="2" xr3:uid="{1DD0D33B-A684-44C7-84E1-8810CC2A419F}" name="21%" dataDxfId="655">
      <calculatedColumnFormula>(Z62+$Y$69-$Z$69-$AA$69)</calculatedColumnFormula>
    </tableColumn>
    <tableColumn id="3" xr3:uid="{819513E5-D455-41F8-B26E-1450DBB526A5}" name="25%" dataDxfId="654">
      <calculatedColumnFormula>(AA62+$Y$69-$Z$69-$AA$69)</calculatedColumnFormula>
    </tableColumn>
    <tableColumn id="4" xr3:uid="{DDA462DE-22E7-405B-AB5A-C48DB389817F}" name="29%" dataDxfId="653">
      <calculatedColumnFormula>(AB62+$Y$69-$Z$69-$AA$69)</calculatedColumnFormula>
    </tableColumn>
    <tableColumn id="5" xr3:uid="{A2E5493C-1770-445D-A57C-A59E407106B1}" name="33%" dataDxfId="652">
      <calculatedColumnFormula>(AC62+$Y$69-$Z$69-$AA$69)</calculatedColumnFormula>
    </tableColumn>
    <tableColumn id="6" xr3:uid="{3843D4E4-C679-4BC6-BB20-7AA3C0204406}" name="37%" dataDxfId="651">
      <calculatedColumnFormula>(AD62+$Y$69-$Z$69-$AA$69)</calculatedColumnFormula>
    </tableColumn>
  </tableColumns>
  <tableStyleInfo name="TableStyleMedium16"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B7F1ABEE-E148-4EF4-8837-FD67A90C8D06}" name="Table8289108" displayName="Table8289108" ref="AG72:AL77" totalsRowShown="0" headerRowDxfId="650" dataDxfId="649" tableBorderDxfId="648" headerRowCellStyle="Percent">
  <autoFilter ref="AG72:AL77" xr:uid="{B7F1ABEE-E148-4EF4-8837-FD67A90C8D06}">
    <filterColumn colId="0" hiddenButton="1"/>
    <filterColumn colId="1" hiddenButton="1"/>
    <filterColumn colId="2" hiddenButton="1"/>
    <filterColumn colId="3" hiddenButton="1"/>
    <filterColumn colId="4" hiddenButton="1"/>
    <filterColumn colId="5" hiddenButton="1"/>
  </autoFilter>
  <tableColumns count="6">
    <tableColumn id="1" xr3:uid="{A82B0829-958F-4DED-BB3A-5D68709F5BA8}" name="M/G" dataDxfId="647" dataCellStyle="Percent">
      <calculatedColumnFormula>AG54</calculatedColumnFormula>
    </tableColumn>
    <tableColumn id="2" xr3:uid="{6BF73CDF-51AA-4C08-937B-1AFC78741044}" name="28%" dataDxfId="646">
      <calculatedColumnFormula>(AH62+$AG$69-$AH$69-$AI$69)</calculatedColumnFormula>
    </tableColumn>
    <tableColumn id="3" xr3:uid="{0CEF62BD-2563-49F6-9C67-C2D08A2107C5}" name="30%" dataDxfId="645">
      <calculatedColumnFormula>(AI62+$AG$69-$AH$69-$AI$69)</calculatedColumnFormula>
    </tableColumn>
    <tableColumn id="4" xr3:uid="{3C415838-2594-4985-92D6-717E280D6593}" name="32%" dataDxfId="644">
      <calculatedColumnFormula>(AJ62+$AG$69-$AH$69-$AI$69)</calculatedColumnFormula>
    </tableColumn>
    <tableColumn id="5" xr3:uid="{96441C04-5F65-4FE2-B3CE-95144394317F}" name="34%" dataDxfId="643">
      <calculatedColumnFormula>(AK62+$AG$69-$AH$69-$AI$69)</calculatedColumnFormula>
    </tableColumn>
    <tableColumn id="6" xr3:uid="{076BE805-3490-4002-A657-8A18B0D468A8}" name="36%" dataDxfId="642">
      <calculatedColumnFormula>(AL62+$AG$69-$AH$69-$AI$69)</calculatedColumnFormula>
    </tableColumn>
  </tableColumns>
  <tableStyleInfo name="TableStyleMedium20"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F824AD0D-2889-4B2B-982D-246A31254F9A}" name="Table8390109" displayName="Table8390109" ref="AO72:AT77" totalsRowShown="0" headerRowDxfId="641" dataDxfId="640" tableBorderDxfId="639" headerRowCellStyle="Percent">
  <autoFilter ref="AO72:AT77" xr:uid="{F824AD0D-2889-4B2B-982D-246A31254F9A}">
    <filterColumn colId="0" hiddenButton="1"/>
    <filterColumn colId="1" hiddenButton="1"/>
    <filterColumn colId="2" hiddenButton="1"/>
    <filterColumn colId="3" hiddenButton="1"/>
    <filterColumn colId="4" hiddenButton="1"/>
    <filterColumn colId="5" hiddenButton="1"/>
  </autoFilter>
  <tableColumns count="6">
    <tableColumn id="1" xr3:uid="{C0216753-C830-4D13-9B59-DA2F11318C24}" name="M/G" dataDxfId="638" dataCellStyle="Percent">
      <calculatedColumnFormula>AO54</calculatedColumnFormula>
    </tableColumn>
    <tableColumn id="2" xr3:uid="{C86A2057-0164-4C8A-B395-BB2AA61B4568}" name="24%" dataDxfId="637">
      <calculatedColumnFormula>(AP62+$AO$69-$AP$69-$AQ$69)</calculatedColumnFormula>
    </tableColumn>
    <tableColumn id="3" xr3:uid="{6B9AA414-62FA-4020-BEF9-148B42E938E0}" name="26%" dataDxfId="636">
      <calculatedColumnFormula>(AQ62+$AO$69-$AP$69-$AQ$69)</calculatedColumnFormula>
    </tableColumn>
    <tableColumn id="4" xr3:uid="{C40B3E59-EB96-4757-A86D-EADED4A0D487}" name="28%" dataDxfId="635">
      <calculatedColumnFormula>(AR62+$AO$69-$AP$69-$AQ$69)</calculatedColumnFormula>
    </tableColumn>
    <tableColumn id="5" xr3:uid="{1C63CD37-9834-4D2B-B671-0FAFF19CEB32}" name="30%" dataDxfId="634">
      <calculatedColumnFormula>(AS62+$AO$69-$AP$69-$AQ$69)</calculatedColumnFormula>
    </tableColumn>
    <tableColumn id="6" xr3:uid="{AA637151-53A0-4312-821F-7828E69F0B97}" name="32%" dataDxfId="633">
      <calculatedColumnFormula>(AT62+$AO$69-$AP$69-$AQ$69)</calculatedColumnFormula>
    </tableColumn>
  </tableColumns>
  <tableStyleInfo name="TableStyleMedium16"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37C064A1-7325-44CA-897E-1C7DAE54817C}" name="Table788591110" displayName="Table788591110" ref="A80:F85" totalsRowShown="0" headerRowDxfId="632" dataDxfId="631" tableBorderDxfId="630" headerRowCellStyle="Percent">
  <autoFilter ref="A80:F85" xr:uid="{37C064A1-7325-44CA-897E-1C7DAE54817C}">
    <filterColumn colId="0" hiddenButton="1"/>
    <filterColumn colId="1" hiddenButton="1"/>
    <filterColumn colId="2" hiddenButton="1"/>
    <filterColumn colId="3" hiddenButton="1"/>
    <filterColumn colId="4" hiddenButton="1"/>
    <filterColumn colId="5" hiddenButton="1"/>
  </autoFilter>
  <tableColumns count="6">
    <tableColumn id="1" xr3:uid="{7B1D7E33-0B8C-4F2F-BF3D-F40C1AB1516F}" name="M/G" dataDxfId="629" dataCellStyle="Percent">
      <calculatedColumnFormula>A73</calculatedColumnFormula>
    </tableColumn>
    <tableColumn id="2" xr3:uid="{ED4BCBD0-08EB-4CBC-AFA4-9A1A30E58FC9}" name="20%" dataDxfId="628">
      <calculatedColumnFormula>B73*$E$69</calculatedColumnFormula>
    </tableColumn>
    <tableColumn id="3" xr3:uid="{242F0164-E9E4-446F-B93E-EFF197C869D3}" name="25%" dataDxfId="627">
      <calculatedColumnFormula>C73*$E$69</calculatedColumnFormula>
    </tableColumn>
    <tableColumn id="4" xr3:uid="{8AF04400-4C1A-4D33-97FF-5F92BC39325A}" name="30%" dataDxfId="626">
      <calculatedColumnFormula>D73*$E$69</calculatedColumnFormula>
    </tableColumn>
    <tableColumn id="5" xr3:uid="{11CF4BBE-56D0-4BFD-8692-C1EAE6E66EAA}" name="34%" dataDxfId="625">
      <calculatedColumnFormula>E73*$E$69</calculatedColumnFormula>
    </tableColumn>
    <tableColumn id="6" xr3:uid="{4DB0C7A3-1136-45E9-AEB8-188146FAF002}" name="40%" dataDxfId="624">
      <calculatedColumnFormula>F73*$E$69</calculatedColumnFormula>
    </tableColumn>
  </tableColumns>
  <tableStyleInfo name="TableStyleMedium17"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E779D986-0FB7-4FB9-8F5F-52DD79A4C17F}" name="Table798692111" displayName="Table798692111" ref="I80:N85" totalsRowShown="0" headerRowDxfId="623" dataDxfId="622" tableBorderDxfId="621">
  <autoFilter ref="I80:N85" xr:uid="{E779D986-0FB7-4FB9-8F5F-52DD79A4C17F}">
    <filterColumn colId="0" hiddenButton="1"/>
    <filterColumn colId="1" hiddenButton="1"/>
    <filterColumn colId="2" hiddenButton="1"/>
    <filterColumn colId="3" hiddenButton="1"/>
    <filterColumn colId="4" hiddenButton="1"/>
    <filterColumn colId="5" hiddenButton="1"/>
  </autoFilter>
  <tableColumns count="6">
    <tableColumn id="1" xr3:uid="{84C3BE04-64CD-4CD5-9CED-F4436F743B99}" name="M/G" dataDxfId="620" dataCellStyle="Percent">
      <calculatedColumnFormula>I73</calculatedColumnFormula>
    </tableColumn>
    <tableColumn id="2" xr3:uid="{1878AFB5-EC64-4468-AEBF-57B7EB98DD65}" name="18.0%" dataDxfId="619">
      <calculatedColumnFormula>J73*$M$69</calculatedColumnFormula>
    </tableColumn>
    <tableColumn id="3" xr3:uid="{B4D947DA-D37A-4E4F-9888-4C144F6F182A}" name="22.0%" dataDxfId="618">
      <calculatedColumnFormula>K73*$M$69</calculatedColumnFormula>
    </tableColumn>
    <tableColumn id="4" xr3:uid="{3463CD95-14EA-44D1-B923-CBAA67DBA9D8}" name="26.0%" dataDxfId="617">
      <calculatedColumnFormula>L73*$M$69</calculatedColumnFormula>
    </tableColumn>
    <tableColumn id="5" xr3:uid="{AF038D01-C22E-453A-8FE8-E784B2EC8719}" name="31.6%" dataDxfId="616">
      <calculatedColumnFormula>M73*$M$69</calculatedColumnFormula>
    </tableColumn>
    <tableColumn id="6" xr3:uid="{B164E734-9C14-43CC-9B02-B296097B10ED}" name="34.0%" dataDxfId="615">
      <calculatedColumnFormula>N73*$M$69</calculatedColumnFormula>
    </tableColumn>
  </tableColumns>
  <tableStyleInfo name="TableStyleMedium17"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B87CA9B5-C731-4CAD-AB80-0E3A76551CE8}" name="Table808793112" displayName="Table808793112" ref="Q80:V85" totalsRowShown="0" headerRowDxfId="614" dataDxfId="612" headerRowBorderDxfId="613" tableBorderDxfId="611">
  <autoFilter ref="Q80:V85" xr:uid="{B87CA9B5-C731-4CAD-AB80-0E3A76551CE8}">
    <filterColumn colId="0" hiddenButton="1"/>
    <filterColumn colId="1" hiddenButton="1"/>
    <filterColumn colId="2" hiddenButton="1"/>
    <filterColumn colId="3" hiddenButton="1"/>
    <filterColumn colId="4" hiddenButton="1"/>
    <filterColumn colId="5" hiddenButton="1"/>
  </autoFilter>
  <tableColumns count="6">
    <tableColumn id="1" xr3:uid="{E508F22F-15FF-4AEB-AF00-C6FCE4E427F3}" name="M/G" dataDxfId="610" dataCellStyle="Percent">
      <calculatedColumnFormula>Q73</calculatedColumnFormula>
    </tableColumn>
    <tableColumn id="2" xr3:uid="{7792A516-A161-4E4B-8C68-EDE02BF32EAD}" name="20%" dataDxfId="609">
      <calculatedColumnFormula>R73*$U$69</calculatedColumnFormula>
    </tableColumn>
    <tableColumn id="3" xr3:uid="{879E4613-99D7-493A-86C7-74076C3039A9}" name="24.0%" dataDxfId="608">
      <calculatedColumnFormula>S73*$U$69</calculatedColumnFormula>
    </tableColumn>
    <tableColumn id="4" xr3:uid="{33FF63C5-B4AA-442F-8D5E-501F911566F0}" name="28.000%" dataDxfId="607">
      <calculatedColumnFormula>T73*$U$69</calculatedColumnFormula>
    </tableColumn>
    <tableColumn id="5" xr3:uid="{F6569F0F-CD0C-4559-956E-4F2EAE6CBEC0}" name="32.000%" dataDxfId="606">
      <calculatedColumnFormula>U73*$U$69</calculatedColumnFormula>
    </tableColumn>
    <tableColumn id="6" xr3:uid="{EC9BED09-AA9D-448B-B0E9-52C095FDAE4E}" name="36.000%" dataDxfId="605">
      <calculatedColumnFormula>V73*$U$69</calculatedColumnFormula>
    </tableColumn>
  </tableColumns>
  <tableStyleInfo name="TableStyleMedium20"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BB32EDDF-6F22-48FF-B173-78B4DF7BB749}" name="Table818894113" displayName="Table818894113" ref="Y80:AD85" totalsRowShown="0" headerRowDxfId="604" dataDxfId="602" headerRowBorderDxfId="603" tableBorderDxfId="601" headerRowCellStyle="Percent">
  <autoFilter ref="Y80:AD85" xr:uid="{BB32EDDF-6F22-48FF-B173-78B4DF7BB749}">
    <filterColumn colId="0" hiddenButton="1"/>
    <filterColumn colId="1" hiddenButton="1"/>
    <filterColumn colId="2" hiddenButton="1"/>
    <filterColumn colId="3" hiddenButton="1"/>
    <filterColumn colId="4" hiddenButton="1"/>
    <filterColumn colId="5" hiddenButton="1"/>
  </autoFilter>
  <tableColumns count="6">
    <tableColumn id="1" xr3:uid="{E203E4A8-44CB-4886-B7D2-769764DF91AD}" name="M/G" dataDxfId="600">
      <calculatedColumnFormula>Y73</calculatedColumnFormula>
    </tableColumn>
    <tableColumn id="2" xr3:uid="{4EF10EBF-5BE2-4C41-809F-BCCAFCC12531}" name="21%" dataDxfId="599">
      <calculatedColumnFormula>Z73*$AC$69</calculatedColumnFormula>
    </tableColumn>
    <tableColumn id="3" xr3:uid="{5C215153-1458-4687-973E-39D5BDAFF335}" name="25%" dataDxfId="598">
      <calculatedColumnFormula>AA73*$AC$69</calculatedColumnFormula>
    </tableColumn>
    <tableColumn id="4" xr3:uid="{5927D4CE-3B36-4F8F-8746-B0BBBA85910B}" name="29%" dataDxfId="597">
      <calculatedColumnFormula>AB73*$AC$69</calculatedColumnFormula>
    </tableColumn>
    <tableColumn id="5" xr3:uid="{B89C47E5-0F26-4E6B-B87B-ECD43F39C43F}" name="33%" dataDxfId="596">
      <calculatedColumnFormula>AC73*$AC$69</calculatedColumnFormula>
    </tableColumn>
    <tableColumn id="6" xr3:uid="{5F037973-3187-44F5-804B-9B14B962E28D}" name="37%" dataDxfId="595">
      <calculatedColumnFormula>AD73*$AC$69</calculatedColumnFormula>
    </tableColumn>
  </tableColumns>
  <tableStyleInfo name="TableStyleMedium16"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407C1053-859C-4835-9C19-43FBB3A67800}" name="Table828995114" displayName="Table828995114" ref="AG80:AL85" totalsRowShown="0" headerRowDxfId="594" dataDxfId="593" tableBorderDxfId="592" headerRowCellStyle="Percent">
  <autoFilter ref="AG80:AL85" xr:uid="{407C1053-859C-4835-9C19-43FBB3A67800}">
    <filterColumn colId="0" hiddenButton="1"/>
    <filterColumn colId="1" hiddenButton="1"/>
    <filterColumn colId="2" hiddenButton="1"/>
    <filterColumn colId="3" hiddenButton="1"/>
    <filterColumn colId="4" hiddenButton="1"/>
    <filterColumn colId="5" hiddenButton="1"/>
  </autoFilter>
  <tableColumns count="6">
    <tableColumn id="1" xr3:uid="{ED0C6E64-F2C1-4998-BCF9-4254A49D482A}" name="M/G" dataDxfId="591" dataCellStyle="Percent">
      <calculatedColumnFormula>AG73</calculatedColumnFormula>
    </tableColumn>
    <tableColumn id="2" xr3:uid="{9FB83C55-BD59-4392-9B69-F3DFABFD0F1A}" name="28%" dataDxfId="590">
      <calculatedColumnFormula>AH73*$AK$69</calculatedColumnFormula>
    </tableColumn>
    <tableColumn id="3" xr3:uid="{9BBC8D15-87D5-4265-8DE0-61179A85FF03}" name="30%" dataDxfId="589">
      <calculatedColumnFormula>AI73*$AK$69</calculatedColumnFormula>
    </tableColumn>
    <tableColumn id="4" xr3:uid="{E5DF3242-11FC-4766-9EE3-C7E49A2F323D}" name="32%" dataDxfId="588">
      <calculatedColumnFormula>AJ73*$AK$69</calculatedColumnFormula>
    </tableColumn>
    <tableColumn id="5" xr3:uid="{15619E15-2A90-48D3-8605-33A84D73E02A}" name="34%" dataDxfId="587">
      <calculatedColumnFormula>AK73*$AK$69</calculatedColumnFormula>
    </tableColumn>
    <tableColumn id="6" xr3:uid="{7D9C6B36-C4B1-43FB-B622-C865DF5436C2}" name="36%" dataDxfId="586">
      <calculatedColumnFormula>AL73*$AK$69</calculatedColumnFormula>
    </tableColumn>
  </tableColumns>
  <tableStyleInfo name="TableStyleMedium20"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E10A4845-4707-4D07-BAD0-CFB2B0E857EC}" name="Table839096115" displayName="Table839096115" ref="AO80:AT85" totalsRowShown="0" headerRowDxfId="585" dataDxfId="584" tableBorderDxfId="583" headerRowCellStyle="Percent">
  <autoFilter ref="AO80:AT85" xr:uid="{E10A4845-4707-4D07-BAD0-CFB2B0E857EC}">
    <filterColumn colId="0" hiddenButton="1"/>
    <filterColumn colId="1" hiddenButton="1"/>
    <filterColumn colId="2" hiddenButton="1"/>
    <filterColumn colId="3" hiddenButton="1"/>
    <filterColumn colId="4" hiddenButton="1"/>
    <filterColumn colId="5" hiddenButton="1"/>
  </autoFilter>
  <tableColumns count="6">
    <tableColumn id="1" xr3:uid="{A79489FE-A85E-4905-BFBD-16A5CC0E47F9}" name="M/G" dataDxfId="582" dataCellStyle="Percent">
      <calculatedColumnFormula>AO73</calculatedColumnFormula>
    </tableColumn>
    <tableColumn id="2" xr3:uid="{9982AF45-020F-40CA-AEDD-441C9BEFE997}" name="24%" dataDxfId="581">
      <calculatedColumnFormula>AP73*$AS$69</calculatedColumnFormula>
    </tableColumn>
    <tableColumn id="3" xr3:uid="{CF1E9597-1AF6-44E3-AA16-97AE2D5D67B8}" name="26%" dataDxfId="580">
      <calculatedColumnFormula>AQ73*$AS$69</calculatedColumnFormula>
    </tableColumn>
    <tableColumn id="4" xr3:uid="{7D95076B-2952-4D56-9C1D-01C2F4096B27}" name="28%" dataDxfId="579">
      <calculatedColumnFormula>AR73*$AS$69</calculatedColumnFormula>
    </tableColumn>
    <tableColumn id="5" xr3:uid="{49CC3A34-829E-4CD9-8DC8-B8815FC3E4CD}" name="30%" dataDxfId="578">
      <calculatedColumnFormula>AS73*$AS$69</calculatedColumnFormula>
    </tableColumn>
    <tableColumn id="6" xr3:uid="{3D0E234B-0985-422F-8E05-0F90E3D7852E}" name="32%" dataDxfId="577">
      <calculatedColumnFormula>AT73*$AS$69</calculatedColumnFormula>
    </tableColumn>
  </tableColumns>
  <tableStyleInfo name="TableStyleMedium16"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DBE8E861-0E3E-485A-848C-18E6D911458A}" name="Table75116" displayName="Table75116" ref="A88:G93" totalsRowShown="0" headerRowDxfId="576" dataDxfId="575" headerRowCellStyle="Percent">
  <autoFilter ref="A88:G93" xr:uid="{DBE8E861-0E3E-485A-848C-18E6D911458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7A7797F-2DBE-4F7B-B6E2-55058978D938}" name="Growth" dataDxfId="574">
      <calculatedColumnFormula>A81</calculatedColumnFormula>
    </tableColumn>
    <tableColumn id="2" xr3:uid="{41105560-6034-4A8E-A5C6-A5907749E328}" name="20.0%" dataDxfId="573"/>
    <tableColumn id="3" xr3:uid="{26A23246-C899-4D78-9262-44B20DC696A3}" name="25.0%" dataDxfId="572"/>
    <tableColumn id="4" xr3:uid="{C32D378F-EEBD-444A-A7F7-AAD339FDE9D7}" name="30.0%" dataDxfId="571"/>
    <tableColumn id="5" xr3:uid="{410ABCBE-D776-47EB-9790-7852C717E457}" name="34.2%" dataDxfId="570"/>
    <tableColumn id="6" xr3:uid="{E17FFD40-F593-4EAA-A7FA-B202ECBF767E}" name="40.0%" dataDxfId="569"/>
    <tableColumn id="7" xr3:uid="{B3EC409D-6EB8-4D2F-A45E-8AEE3CC68FC6}" name="Revenue" dataDxfId="568">
      <calculatedColumnFormula>G54*(1+Table75116[[#This Row],[Growth]])</calculatedColumnFormula>
    </tableColumn>
  </tableColumns>
  <tableStyleInfo name="TableStyleMedium17"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BF9503C8-5E39-4300-A1F7-FE3BADED66F2}" name="Table78117" displayName="Table78117" ref="A96:F101" totalsRowShown="0" headerRowDxfId="567" dataDxfId="566" tableBorderDxfId="565" headerRowCellStyle="Percent">
  <autoFilter ref="A96:F101" xr:uid="{BF9503C8-5E39-4300-A1F7-FE3BADED66F2}">
    <filterColumn colId="0" hiddenButton="1"/>
    <filterColumn colId="1" hiddenButton="1"/>
    <filterColumn colId="2" hiddenButton="1"/>
    <filterColumn colId="3" hiddenButton="1"/>
    <filterColumn colId="4" hiddenButton="1"/>
    <filterColumn colId="5" hiddenButton="1"/>
  </autoFilter>
  <tableColumns count="6">
    <tableColumn id="1" xr3:uid="{E64F1EDE-8539-441A-AE57-273A5DFC6E89}" name="Tax Rate" dataDxfId="564" dataCellStyle="Percent"/>
    <tableColumn id="2" xr3:uid="{19F2395A-153A-4507-B454-F4C5165452E1}" name="20%" dataDxfId="563">
      <calculatedColumnFormula>B89*(1-$A$97)</calculatedColumnFormula>
    </tableColumn>
    <tableColumn id="3" xr3:uid="{36D79FDD-60E3-4B7E-9ABA-810CA5DA8686}" name="25%" dataDxfId="562">
      <calculatedColumnFormula>C89*(1-$A$97)</calculatedColumnFormula>
    </tableColumn>
    <tableColumn id="4" xr3:uid="{89EF4F32-206E-48B9-82C3-EB466727037F}" name="30%" dataDxfId="561">
      <calculatedColumnFormula>D89*(1-$A$97)</calculatedColumnFormula>
    </tableColumn>
    <tableColumn id="5" xr3:uid="{2941FAE8-079E-46ED-B036-FF539113DD68}" name="34%" dataDxfId="560">
      <calculatedColumnFormula>E89*(1-$A$97)</calculatedColumnFormula>
    </tableColumn>
    <tableColumn id="6" xr3:uid="{0891C95B-AA1C-499C-81AC-C6323BBB3CE6}" name="40%" dataDxfId="559">
      <calculatedColumnFormula>F89*(1-$A$97)</calculatedColumnFormula>
    </tableColumn>
  </tableColumns>
  <tableStyleInfo name="TableStyleMedium17"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155B6192-2A45-483F-B18D-610428B8AA6B}" name="Table79118" displayName="Table79118" ref="I96:N101" totalsRowShown="0" headerRowDxfId="558" dataDxfId="557" tableBorderDxfId="556">
  <autoFilter ref="I96:N101" xr:uid="{155B6192-2A45-483F-B18D-610428B8AA6B}">
    <filterColumn colId="0" hiddenButton="1"/>
    <filterColumn colId="1" hiddenButton="1"/>
    <filterColumn colId="2" hiddenButton="1"/>
    <filterColumn colId="3" hiddenButton="1"/>
    <filterColumn colId="4" hiddenButton="1"/>
    <filterColumn colId="5" hiddenButton="1"/>
  </autoFilter>
  <tableColumns count="6">
    <tableColumn id="1" xr3:uid="{D2C49B53-1B42-4B68-9A78-D23468579D8F}" name="Tax Rate" dataDxfId="555" dataCellStyle="Percent"/>
    <tableColumn id="2" xr3:uid="{9F048537-A542-4CAF-A3C5-79A90CA8BC81}" name="18.0%" dataDxfId="554">
      <calculatedColumnFormula>J89*(1-$I$97)</calculatedColumnFormula>
    </tableColumn>
    <tableColumn id="3" xr3:uid="{0AD2D06C-C77A-47F5-8CE1-43E4DB025A40}" name="22.0%" dataDxfId="553">
      <calculatedColumnFormula>K89*(1-$I$97)</calculatedColumnFormula>
    </tableColumn>
    <tableColumn id="4" xr3:uid="{01D8A54F-6921-4141-AADF-C62EE657D7BE}" name="26.0%" dataDxfId="552">
      <calculatedColumnFormula>L89*(1-$I$97)</calculatedColumnFormula>
    </tableColumn>
    <tableColumn id="5" xr3:uid="{7ACB6680-4A28-4DB0-9724-B8506A532527}" name="31.6%" dataDxfId="551">
      <calculatedColumnFormula>M89*(1-$I$97)</calculatedColumnFormula>
    </tableColumn>
    <tableColumn id="6" xr3:uid="{57C9F62A-D602-4615-85AF-8D07666FEF92}" name="34.0%" dataDxfId="550">
      <calculatedColumnFormula>N89*(1-$I$97)</calculatedColumnFormula>
    </tableColumn>
  </tableColumns>
  <tableStyleInfo name="TableStyleMedium17"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E1AA9F1A-B99B-479C-82B8-52C49DD89C9E}" name="Table80119" displayName="Table80119" ref="Q96:V101" totalsRowShown="0" headerRowDxfId="549" dataDxfId="547" headerRowBorderDxfId="548" tableBorderDxfId="546">
  <autoFilter ref="Q96:V101" xr:uid="{E1AA9F1A-B99B-479C-82B8-52C49DD89C9E}">
    <filterColumn colId="0" hiddenButton="1"/>
    <filterColumn colId="1" hiddenButton="1"/>
    <filterColumn colId="2" hiddenButton="1"/>
    <filterColumn colId="3" hiddenButton="1"/>
    <filterColumn colId="4" hiddenButton="1"/>
    <filterColumn colId="5" hiddenButton="1"/>
  </autoFilter>
  <tableColumns count="6">
    <tableColumn id="1" xr3:uid="{674093C5-32DB-4F72-9FD4-02204324C5B8}" name="Tax Rate" dataDxfId="545" dataCellStyle="Percent"/>
    <tableColumn id="2" xr3:uid="{395F0FB8-5BB3-4AFE-8571-699A8A07D0B8}" name="20.0%" dataDxfId="544">
      <calculatedColumnFormula>R89*(1-$Q$97)</calculatedColumnFormula>
    </tableColumn>
    <tableColumn id="3" xr3:uid="{59E7A03D-191D-438B-B76E-85B6FD3B0AA1}" name="24%" dataDxfId="543">
      <calculatedColumnFormula>S89*(1-$Q$97)</calculatedColumnFormula>
    </tableColumn>
    <tableColumn id="4" xr3:uid="{4F62A382-2418-43FB-BCEB-169F6A08AB28}" name="28%" dataDxfId="542">
      <calculatedColumnFormula>T89*(1-$Q$97)</calculatedColumnFormula>
    </tableColumn>
    <tableColumn id="5" xr3:uid="{8D8B9F17-FBBD-4BB4-BCBB-B18744910F64}" name="32%" dataDxfId="541">
      <calculatedColumnFormula>U89*(1-$Q$97)</calculatedColumnFormula>
    </tableColumn>
    <tableColumn id="6" xr3:uid="{71905109-E9C5-42C4-90CE-680BEC000077}" name="36%" dataDxfId="540">
      <calculatedColumnFormula>V89*(1-$Q$97)</calculatedColumnFormula>
    </tableColumn>
  </tableColumns>
  <tableStyleInfo name="TableStyleMedium20"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A8B51406-B015-430F-B5E9-96E170A828A1}" name="Table81120" displayName="Table81120" ref="Y96:AD101" totalsRowShown="0" headerRowDxfId="539" dataDxfId="537" headerRowBorderDxfId="538" tableBorderDxfId="536" headerRowCellStyle="Percent">
  <autoFilter ref="Y96:AD101" xr:uid="{A8B51406-B015-430F-B5E9-96E170A828A1}">
    <filterColumn colId="0" hiddenButton="1"/>
    <filterColumn colId="1" hiddenButton="1"/>
    <filterColumn colId="2" hiddenButton="1"/>
    <filterColumn colId="3" hiddenButton="1"/>
    <filterColumn colId="4" hiddenButton="1"/>
    <filterColumn colId="5" hiddenButton="1"/>
  </autoFilter>
  <tableColumns count="6">
    <tableColumn id="1" xr3:uid="{35C57699-6A5D-4598-970B-6BCE176AEEA2}" name="Tax Rate" dataDxfId="535"/>
    <tableColumn id="2" xr3:uid="{45D5D23D-1188-434A-9E47-F9CF171BECDB}" name="21%" dataDxfId="534">
      <calculatedColumnFormula>Z89*(1-$Y$97)</calculatedColumnFormula>
    </tableColumn>
    <tableColumn id="3" xr3:uid="{676B3084-5507-4504-A867-4AF307B3E753}" name="25%" dataDxfId="533">
      <calculatedColumnFormula>AA89*(1-$Y$97)</calculatedColumnFormula>
    </tableColumn>
    <tableColumn id="4" xr3:uid="{92EBEB51-1D55-41EE-99E9-9C957B9A849E}" name="29%" dataDxfId="532">
      <calculatedColumnFormula>AB89*(1-$Y$97)</calculatedColumnFormula>
    </tableColumn>
    <tableColumn id="5" xr3:uid="{66A26BD9-C1F1-4D97-8F3D-D2C82FB52F21}" name="33%" dataDxfId="531">
      <calculatedColumnFormula>AC89*(1-$Y$97)</calculatedColumnFormula>
    </tableColumn>
    <tableColumn id="6" xr3:uid="{7E72A678-A684-4CD4-AAB8-D8F5087E514E}" name="37%" dataDxfId="530">
      <calculatedColumnFormula>AD89*(1-$Y$97)</calculatedColumnFormula>
    </tableColumn>
  </tableColumns>
  <tableStyleInfo name="TableStyleMedium16"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D63159CE-876A-4930-85F6-4FC7F0FF607C}" name="Table82121" displayName="Table82121" ref="AG96:AL101" totalsRowShown="0" headerRowDxfId="529" dataDxfId="528" tableBorderDxfId="527" headerRowCellStyle="Percent">
  <autoFilter ref="AG96:AL101" xr:uid="{D63159CE-876A-4930-85F6-4FC7F0FF607C}">
    <filterColumn colId="0" hiddenButton="1"/>
    <filterColumn colId="1" hiddenButton="1"/>
    <filterColumn colId="2" hiddenButton="1"/>
    <filterColumn colId="3" hiddenButton="1"/>
    <filterColumn colId="4" hiddenButton="1"/>
    <filterColumn colId="5" hiddenButton="1"/>
  </autoFilter>
  <tableColumns count="6">
    <tableColumn id="1" xr3:uid="{7E0AF588-78F0-483A-9ECE-D0CC7F34D21B}" name="Tax Rate" dataDxfId="526" dataCellStyle="Percent"/>
    <tableColumn id="2" xr3:uid="{411B6133-6FF9-41EC-BA46-897E40CD2DAF}" name="28%" dataDxfId="525">
      <calculatedColumnFormula>AH89*(1-$AG$97)</calculatedColumnFormula>
    </tableColumn>
    <tableColumn id="3" xr3:uid="{92C43665-CBB1-4F25-9073-0D313B16ACF0}" name="30%" dataDxfId="524">
      <calculatedColumnFormula>AI89*(1-$AG$97)</calculatedColumnFormula>
    </tableColumn>
    <tableColumn id="4" xr3:uid="{44C69083-3B36-47A0-81C3-7EE871B2AD1D}" name="32%" dataDxfId="523">
      <calculatedColumnFormula>AJ89*(1-$AG$97)</calculatedColumnFormula>
    </tableColumn>
    <tableColumn id="5" xr3:uid="{510BA88D-5D0F-4C9D-8EC9-4BA46D29E4DC}" name="34%" dataDxfId="522">
      <calculatedColumnFormula>AK89*(1-$AG$97)</calculatedColumnFormula>
    </tableColumn>
    <tableColumn id="6" xr3:uid="{CACD948D-9B52-4093-9DF8-633B46A8EB78}" name="36%" dataDxfId="521">
      <calculatedColumnFormula>AL89*(1-$AG$97)</calculatedColumnFormula>
    </tableColumn>
  </tableColumns>
  <tableStyleInfo name="TableStyleMedium20"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16BE7E50-657B-4130-8799-9D5F93531968}" name="Table83122" displayName="Table83122" ref="AO96:AT101" totalsRowShown="0" headerRowDxfId="520" dataDxfId="519" tableBorderDxfId="518" headerRowCellStyle="Percent">
  <autoFilter ref="AO96:AT101" xr:uid="{16BE7E50-657B-4130-8799-9D5F93531968}">
    <filterColumn colId="0" hiddenButton="1"/>
    <filterColumn colId="1" hiddenButton="1"/>
    <filterColumn colId="2" hiddenButton="1"/>
    <filterColumn colId="3" hiddenButton="1"/>
    <filterColumn colId="4" hiddenButton="1"/>
    <filterColumn colId="5" hiddenButton="1"/>
  </autoFilter>
  <tableColumns count="6">
    <tableColumn id="1" xr3:uid="{C8C15FCB-2167-49B0-A0B8-9DE938471E3C}" name="Tax Rate" dataDxfId="517" dataCellStyle="Percent"/>
    <tableColumn id="2" xr3:uid="{9F5AC0BD-D5EA-4D37-882A-5B70B365964F}" name="24%" dataDxfId="516">
      <calculatedColumnFormula>AP89*(1-$AO$97)</calculatedColumnFormula>
    </tableColumn>
    <tableColumn id="3" xr3:uid="{873C311A-69D5-43DB-8FFE-64D1E2B20C44}" name="26%" dataDxfId="515">
      <calculatedColumnFormula>AQ89*(1-$AO$97)</calculatedColumnFormula>
    </tableColumn>
    <tableColumn id="4" xr3:uid="{B4B96CF5-2ECE-49B0-A9CD-262B130603B4}" name="28%" dataDxfId="514">
      <calculatedColumnFormula>AR89*(1-$AO$97)</calculatedColumnFormula>
    </tableColumn>
    <tableColumn id="5" xr3:uid="{2BDD38B0-94C5-4381-80EC-6934B8BFD6E9}" name="30%" dataDxfId="513">
      <calculatedColumnFormula>AS89*(1-$AO$97)</calculatedColumnFormula>
    </tableColumn>
    <tableColumn id="6" xr3:uid="{DE551782-4D63-48E1-BFDC-AE644DC67256}" name="32%" dataDxfId="512">
      <calculatedColumnFormula>AT89*(1-$AO$97)</calculatedColumnFormula>
    </tableColumn>
  </tableColumns>
  <tableStyleInfo name="TableStyleMedium16"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2FD6359C-BE65-459F-9C20-0F3245343BC0}" name="Table7885123" displayName="Table7885123" ref="A107:F112" totalsRowShown="0" headerRowDxfId="511" dataDxfId="510" tableBorderDxfId="509" headerRowCellStyle="Percent">
  <autoFilter ref="A107:F112" xr:uid="{2FD6359C-BE65-459F-9C20-0F3245343BC0}">
    <filterColumn colId="0" hiddenButton="1"/>
    <filterColumn colId="1" hiddenButton="1"/>
    <filterColumn colId="2" hiddenButton="1"/>
    <filterColumn colId="3" hiddenButton="1"/>
    <filterColumn colId="4" hiddenButton="1"/>
    <filterColumn colId="5" hiddenButton="1"/>
  </autoFilter>
  <tableColumns count="6">
    <tableColumn id="1" xr3:uid="{7058DE27-64A8-4D03-9A23-483DC8328F23}" name="M/G" dataDxfId="508" dataCellStyle="Percent">
      <calculatedColumnFormula>A89</calculatedColumnFormula>
    </tableColumn>
    <tableColumn id="2" xr3:uid="{B886BE5F-0F90-4EF0-81C6-CC7C6D2F6D9D}" name="20%" dataDxfId="507">
      <calculatedColumnFormula>(B97+$A$104-$B$104-$C$104)</calculatedColumnFormula>
    </tableColumn>
    <tableColumn id="3" xr3:uid="{B32CF065-5A03-4DC4-9B8E-26ABF8515B40}" name="25%" dataDxfId="506">
      <calculatedColumnFormula>(C97+$A$104-$B$104-$C$104)</calculatedColumnFormula>
    </tableColumn>
    <tableColumn id="4" xr3:uid="{E5531508-7760-4B6E-BB22-591E33A26FC3}" name="30%" dataDxfId="505">
      <calculatedColumnFormula>(D97+$A$104-$B$104-$C$104)</calculatedColumnFormula>
    </tableColumn>
    <tableColumn id="5" xr3:uid="{36444830-C48C-4500-8E77-62383AC9C431}" name="34%" dataDxfId="504">
      <calculatedColumnFormula>(E97+$A$104-$B$104-$C$104)</calculatedColumnFormula>
    </tableColumn>
    <tableColumn id="6" xr3:uid="{71F2EF08-6302-4FC7-AB65-D9C28105B298}" name="40%" dataDxfId="503">
      <calculatedColumnFormula>(F97+$A$104-$B$104-$C$104)</calculatedColumnFormula>
    </tableColumn>
  </tableColumns>
  <tableStyleInfo name="TableStyleMedium17"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96859BBB-8CCD-49BE-88B5-6DDAE51FE409}" name="Table7986124" displayName="Table7986124" ref="I107:N112" totalsRowShown="0" headerRowDxfId="502" dataDxfId="501" tableBorderDxfId="500">
  <autoFilter ref="I107:N112" xr:uid="{96859BBB-8CCD-49BE-88B5-6DDAE51FE409}">
    <filterColumn colId="0" hiddenButton="1"/>
    <filterColumn colId="1" hiddenButton="1"/>
    <filterColumn colId="2" hiddenButton="1"/>
    <filterColumn colId="3" hiddenButton="1"/>
    <filterColumn colId="4" hiddenButton="1"/>
    <filterColumn colId="5" hiddenButton="1"/>
  </autoFilter>
  <tableColumns count="6">
    <tableColumn id="1" xr3:uid="{179E02E2-917C-46F4-A37F-38630A57BC0A}" name="M/G" dataDxfId="499" dataCellStyle="Percent">
      <calculatedColumnFormula>I89</calculatedColumnFormula>
    </tableColumn>
    <tableColumn id="2" xr3:uid="{A8F2FF8B-D496-41F9-9AA2-539670090819}" name="18.0%" dataDxfId="498">
      <calculatedColumnFormula>(J97+$I$104-$J$104-$K$104)</calculatedColumnFormula>
    </tableColumn>
    <tableColumn id="3" xr3:uid="{16D29BA9-3B8B-406A-9350-0FF06D1D61D9}" name="22.0%" dataDxfId="497">
      <calculatedColumnFormula>(K97+$I$104-$J$104-$K$104)</calculatedColumnFormula>
    </tableColumn>
    <tableColumn id="4" xr3:uid="{2750572D-C70B-4F18-BC99-B7EAEFC3F49C}" name="26.0%" dataDxfId="496">
      <calculatedColumnFormula>(L97+$I$104-$J$104-$K$104)</calculatedColumnFormula>
    </tableColumn>
    <tableColumn id="5" xr3:uid="{DEFA63CC-25D1-4A0C-A2F5-8E73CE873E51}" name="31.6%" dataDxfId="495">
      <calculatedColumnFormula>(M97+$I$104-$J$104-$K$104)</calculatedColumnFormula>
    </tableColumn>
    <tableColumn id="6" xr3:uid="{0F640E5B-C55F-4EC6-A0E6-544EF83AAD65}" name="34.0%" dataDxfId="494">
      <calculatedColumnFormula>(N97+$I$104-$J$104-$K$104)</calculatedColumnFormula>
    </tableColumn>
  </tableColumns>
  <tableStyleInfo name="TableStyleMedium17"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30033400-FA6A-489C-B8AB-1B38D6EB9716}" name="Table8087125" displayName="Table8087125" ref="Q107:V112" totalsRowShown="0" headerRowDxfId="493" dataDxfId="491" headerRowBorderDxfId="492" tableBorderDxfId="490">
  <autoFilter ref="Q107:V112" xr:uid="{30033400-FA6A-489C-B8AB-1B38D6EB9716}">
    <filterColumn colId="0" hiddenButton="1"/>
    <filterColumn colId="1" hiddenButton="1"/>
    <filterColumn colId="2" hiddenButton="1"/>
    <filterColumn colId="3" hiddenButton="1"/>
    <filterColumn colId="4" hiddenButton="1"/>
    <filterColumn colId="5" hiddenButton="1"/>
  </autoFilter>
  <tableColumns count="6">
    <tableColumn id="1" xr3:uid="{D0884C0A-8F68-4257-A6F8-D2AFA0DD1F00}" name="M/G" dataDxfId="489" dataCellStyle="Percent">
      <calculatedColumnFormula>Q89</calculatedColumnFormula>
    </tableColumn>
    <tableColumn id="2" xr3:uid="{27CC7D1D-3CED-452C-843B-D7A27371C413}" name="20%" dataDxfId="488">
      <calculatedColumnFormula>(R97+$Q$104-$R$104-$S$104)</calculatedColumnFormula>
    </tableColumn>
    <tableColumn id="3" xr3:uid="{CB631BCA-1626-4E4E-B24E-A4BFF906BC11}" name="24.0%" dataDxfId="487">
      <calculatedColumnFormula>(S97+$Q$104-$R$104-$S$104)</calculatedColumnFormula>
    </tableColumn>
    <tableColumn id="4" xr3:uid="{36D28644-D08E-4F6B-BDB3-EAD8229EC3A8}" name="28.000%" dataDxfId="486">
      <calculatedColumnFormula>(T97+$Q$104-$R$104-$S$104)</calculatedColumnFormula>
    </tableColumn>
    <tableColumn id="5" xr3:uid="{460330CC-E7CA-41DD-83E5-363144F0B57E}" name="32.000%" dataDxfId="485">
      <calculatedColumnFormula>(U97+$Q$104-$R$104-$S$104)</calculatedColumnFormula>
    </tableColumn>
    <tableColumn id="6" xr3:uid="{27EB562F-13AB-46DC-9A60-6ECDAB4953F5}" name="36.000%" dataDxfId="484">
      <calculatedColumnFormula>(V97+$Q$104-$R$104-$S$104)</calculatedColumnFormula>
    </tableColumn>
  </tableColumns>
  <tableStyleInfo name="TableStyleMedium20"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49F2BDA5-8D9C-4577-B8E6-170651537B22}" name="Table8188126" displayName="Table8188126" ref="Y107:AD112" totalsRowShown="0" headerRowDxfId="483" dataDxfId="481" headerRowBorderDxfId="482" tableBorderDxfId="480" headerRowCellStyle="Percent">
  <autoFilter ref="Y107:AD112" xr:uid="{49F2BDA5-8D9C-4577-B8E6-170651537B22}">
    <filterColumn colId="0" hiddenButton="1"/>
    <filterColumn colId="1" hiddenButton="1"/>
    <filterColumn colId="2" hiddenButton="1"/>
    <filterColumn colId="3" hiddenButton="1"/>
    <filterColumn colId="4" hiddenButton="1"/>
    <filterColumn colId="5" hiddenButton="1"/>
  </autoFilter>
  <tableColumns count="6">
    <tableColumn id="1" xr3:uid="{D0BA231B-17C2-4A49-8C25-0AF1A34C2910}" name="M/G" dataDxfId="479">
      <calculatedColumnFormula>Y89</calculatedColumnFormula>
    </tableColumn>
    <tableColumn id="2" xr3:uid="{7C705B20-A97A-4020-8FA3-630CFA060CED}" name="21%" dataDxfId="478">
      <calculatedColumnFormula>(Z97+$Y$104-$Z$104-$AA$104)</calculatedColumnFormula>
    </tableColumn>
    <tableColumn id="3" xr3:uid="{D71EA4BE-A18E-4C94-8937-482CB9B58F12}" name="25%" dataDxfId="477">
      <calculatedColumnFormula>(AA97+$Y$104-$Z$104-$AA$104)</calculatedColumnFormula>
    </tableColumn>
    <tableColumn id="4" xr3:uid="{67920CB2-774B-4A2F-B777-B8997E49438E}" name="29%" dataDxfId="476">
      <calculatedColumnFormula>(AB97+$Y$104-$Z$104-$AA$104)</calculatedColumnFormula>
    </tableColumn>
    <tableColumn id="5" xr3:uid="{001575D5-9E3C-429B-ACA7-34DB227BFBB7}" name="33%" dataDxfId="475">
      <calculatedColumnFormula>(AC97+$Y$104-$Z$104-$AA$104)</calculatedColumnFormula>
    </tableColumn>
    <tableColumn id="6" xr3:uid="{F15629EB-60B2-4392-AFF5-842E40506110}" name="37%" dataDxfId="474">
      <calculatedColumnFormula>(AD97+$Y$104-$Z$104-$AA$104)</calculatedColumnFormula>
    </tableColumn>
  </tableColumns>
  <tableStyleInfo name="TableStyleMedium16"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C31CA765-0E1C-4BB4-B61D-49182E3552F6}" name="Table8289127" displayName="Table8289127" ref="AG107:AL112" totalsRowShown="0" headerRowDxfId="473" dataDxfId="472" tableBorderDxfId="471" headerRowCellStyle="Percent">
  <autoFilter ref="AG107:AL112" xr:uid="{C31CA765-0E1C-4BB4-B61D-49182E3552F6}">
    <filterColumn colId="0" hiddenButton="1"/>
    <filterColumn colId="1" hiddenButton="1"/>
    <filterColumn colId="2" hiddenButton="1"/>
    <filterColumn colId="3" hiddenButton="1"/>
    <filterColumn colId="4" hiddenButton="1"/>
    <filterColumn colId="5" hiddenButton="1"/>
  </autoFilter>
  <tableColumns count="6">
    <tableColumn id="1" xr3:uid="{B2A9B213-E3FC-48EA-A2FD-FBC7E17DF666}" name="M/G" dataDxfId="470" dataCellStyle="Percent">
      <calculatedColumnFormula>AG89</calculatedColumnFormula>
    </tableColumn>
    <tableColumn id="2" xr3:uid="{4B20D7D4-7A9B-4ABE-A91F-D6FF3E59CC47}" name="28%" dataDxfId="469">
      <calculatedColumnFormula>(AH97+$AG$104-$AH$104-$AI$104)</calculatedColumnFormula>
    </tableColumn>
    <tableColumn id="3" xr3:uid="{8529681A-7A91-4AC8-A3D3-5C95B8BEC549}" name="30%" dataDxfId="468">
      <calculatedColumnFormula>(AI97+$AG$104-$AH$104-$AI$104)</calculatedColumnFormula>
    </tableColumn>
    <tableColumn id="4" xr3:uid="{A8F4A3A5-CFA6-4453-B06B-53BAC7AF4633}" name="32%" dataDxfId="467">
      <calculatedColumnFormula>(AJ97+$AG$104-$AH$104-$AI$104)</calculatedColumnFormula>
    </tableColumn>
    <tableColumn id="5" xr3:uid="{511905E4-7B87-4F1C-AA8E-914CC43737E4}" name="34%" dataDxfId="466">
      <calculatedColumnFormula>(AK97+$AG$104-$AH$104-$AI$104)</calculatedColumnFormula>
    </tableColumn>
    <tableColumn id="6" xr3:uid="{5E181705-DC61-420A-9385-840F4308E4FF}" name="36%" dataDxfId="465">
      <calculatedColumnFormula>(AL97+$AG$104-$AH$104-$AI$104)</calculatedColumnFormula>
    </tableColumn>
  </tableColumns>
  <tableStyleInfo name="TableStyleMedium20"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7E8D639F-C661-4CCF-BEAF-60E42D43F8AC}" name="Table8390128" displayName="Table8390128" ref="AO107:AT112" totalsRowShown="0" headerRowDxfId="464" dataDxfId="463" tableBorderDxfId="462" headerRowCellStyle="Percent">
  <autoFilter ref="AO107:AT112" xr:uid="{7E8D639F-C661-4CCF-BEAF-60E42D43F8AC}">
    <filterColumn colId="0" hiddenButton="1"/>
    <filterColumn colId="1" hiddenButton="1"/>
    <filterColumn colId="2" hiddenButton="1"/>
    <filterColumn colId="3" hiddenButton="1"/>
    <filterColumn colId="4" hiddenButton="1"/>
    <filterColumn colId="5" hiddenButton="1"/>
  </autoFilter>
  <tableColumns count="6">
    <tableColumn id="1" xr3:uid="{EC2EDC59-5FF1-4EBD-B51D-44D526E8B9FF}" name="M/G" dataDxfId="461" dataCellStyle="Percent">
      <calculatedColumnFormula>AO89</calculatedColumnFormula>
    </tableColumn>
    <tableColumn id="2" xr3:uid="{F0396C3F-6A94-48F1-9D5B-5518822C2E7A}" name="24%" dataDxfId="460">
      <calculatedColumnFormula>(AP97+$AO$104-$AP$104-$AQ$104)</calculatedColumnFormula>
    </tableColumn>
    <tableColumn id="3" xr3:uid="{4270A922-7FB8-4EC2-8A68-73AD5B89CCD9}" name="26%" dataDxfId="459">
      <calculatedColumnFormula>(AQ97+$AO$104-$AP$104-$AQ$104)</calculatedColumnFormula>
    </tableColumn>
    <tableColumn id="4" xr3:uid="{14459026-61B0-498A-9124-9BA32C02E32A}" name="28%" dataDxfId="458">
      <calculatedColumnFormula>(AR97+$AO$104-$AP$104-$AQ$104)</calculatedColumnFormula>
    </tableColumn>
    <tableColumn id="5" xr3:uid="{9DC16E5D-6D5B-47A6-A81B-8A7AD2206B55}" name="30%" dataDxfId="457">
      <calculatedColumnFormula>(AS97+$AO$104-$AP$104-$AQ$104)</calculatedColumnFormula>
    </tableColumn>
    <tableColumn id="6" xr3:uid="{97CC3ADE-C189-4CA4-870D-58F30013AF35}" name="32%" dataDxfId="456">
      <calculatedColumnFormula>(AT97+$AO$104-$AP$104-$AQ$104)</calculatedColumnFormula>
    </tableColumn>
  </tableColumns>
  <tableStyleInfo name="TableStyleMedium16"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627A4BE1-0CAB-4188-8FC9-3B0A3F0FE460}" name="Table788591129" displayName="Table788591129" ref="A115:F120" totalsRowShown="0" headerRowDxfId="455" dataDxfId="454" tableBorderDxfId="453" headerRowCellStyle="Percent">
  <autoFilter ref="A115:F120" xr:uid="{627A4BE1-0CAB-4188-8FC9-3B0A3F0FE460}">
    <filterColumn colId="0" hiddenButton="1"/>
    <filterColumn colId="1" hiddenButton="1"/>
    <filterColumn colId="2" hiddenButton="1"/>
    <filterColumn colId="3" hiddenButton="1"/>
    <filterColumn colId="4" hiddenButton="1"/>
    <filterColumn colId="5" hiddenButton="1"/>
  </autoFilter>
  <tableColumns count="6">
    <tableColumn id="1" xr3:uid="{FBF44883-264A-49B2-BCE8-0DB8D05AA949}" name="M/G" dataDxfId="452" dataCellStyle="Percent">
      <calculatedColumnFormula>A108</calculatedColumnFormula>
    </tableColumn>
    <tableColumn id="2" xr3:uid="{AA252764-A111-4F73-939E-50E7E71FE8F3}" name="20%" dataDxfId="451">
      <calculatedColumnFormula>B108*$E$104</calculatedColumnFormula>
    </tableColumn>
    <tableColumn id="3" xr3:uid="{669FE08B-46E5-42EC-803D-058B52D713E2}" name="25%" dataDxfId="450">
      <calculatedColumnFormula>C108*$E$104</calculatedColumnFormula>
    </tableColumn>
    <tableColumn id="4" xr3:uid="{F80DA314-1541-4AA8-95DE-3E7E8BF2F820}" name="30%" dataDxfId="449">
      <calculatedColumnFormula>D108*$E$104</calculatedColumnFormula>
    </tableColumn>
    <tableColumn id="5" xr3:uid="{463BB4C9-4D4A-47FA-BBEF-3F3321A7FC64}" name="34%" dataDxfId="448">
      <calculatedColumnFormula>E108*$E$104</calculatedColumnFormula>
    </tableColumn>
    <tableColumn id="6" xr3:uid="{18D09EF6-CD22-4002-AFAF-806DF926DD36}" name="40%" dataDxfId="447">
      <calculatedColumnFormula>F108*$E$104</calculatedColumnFormula>
    </tableColumn>
  </tableColumns>
  <tableStyleInfo name="TableStyleMedium17"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98959099-C36E-4FFF-ABA9-629B5A8BE159}" name="Table798692130" displayName="Table798692130" ref="I115:N120" totalsRowShown="0" headerRowDxfId="446" dataDxfId="445" tableBorderDxfId="444">
  <autoFilter ref="I115:N120" xr:uid="{98959099-C36E-4FFF-ABA9-629B5A8BE159}">
    <filterColumn colId="0" hiddenButton="1"/>
    <filterColumn colId="1" hiddenButton="1"/>
    <filterColumn colId="2" hiddenButton="1"/>
    <filterColumn colId="3" hiddenButton="1"/>
    <filterColumn colId="4" hiddenButton="1"/>
    <filterColumn colId="5" hiddenButton="1"/>
  </autoFilter>
  <tableColumns count="6">
    <tableColumn id="1" xr3:uid="{D66B0216-AE96-44CE-B3D9-BD037B383B69}" name="M/G" dataDxfId="443" dataCellStyle="Percent">
      <calculatedColumnFormula>I108</calculatedColumnFormula>
    </tableColumn>
    <tableColumn id="2" xr3:uid="{723C2DDB-10F7-4CF7-B326-DAE1FCA1796A}" name="18.0%" dataDxfId="442">
      <calculatedColumnFormula>J108*$M$104</calculatedColumnFormula>
    </tableColumn>
    <tableColumn id="3" xr3:uid="{C0DBB016-8E86-4E03-9E9D-4A5A553A8F9A}" name="22.0%" dataDxfId="441">
      <calculatedColumnFormula>K108*$M$104</calculatedColumnFormula>
    </tableColumn>
    <tableColumn id="4" xr3:uid="{1FE2D5C0-0DF8-4507-86B9-075183D56EE5}" name="26.0%" dataDxfId="440">
      <calculatedColumnFormula>L108*$M$104</calculatedColumnFormula>
    </tableColumn>
    <tableColumn id="5" xr3:uid="{E43C0DF5-396A-464F-A244-96F6E13A57C6}" name="31.6%" dataDxfId="439">
      <calculatedColumnFormula>M108*$M$104</calculatedColumnFormula>
    </tableColumn>
    <tableColumn id="6" xr3:uid="{95AB068C-6037-43C4-A59F-5E58AC60F308}" name="34.0%" dataDxfId="438">
      <calculatedColumnFormula>N108*$M$104</calculatedColumnFormula>
    </tableColumn>
  </tableColumns>
  <tableStyleInfo name="TableStyleMedium17"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229D15FD-57E6-4E0F-BF53-258D3AADFFB1}" name="Table808793131" displayName="Table808793131" ref="Q115:V120" totalsRowShown="0" headerRowDxfId="437" dataDxfId="435" headerRowBorderDxfId="436" tableBorderDxfId="434">
  <autoFilter ref="Q115:V120" xr:uid="{229D15FD-57E6-4E0F-BF53-258D3AADFFB1}">
    <filterColumn colId="0" hiddenButton="1"/>
    <filterColumn colId="1" hiddenButton="1"/>
    <filterColumn colId="2" hiddenButton="1"/>
    <filterColumn colId="3" hiddenButton="1"/>
    <filterColumn colId="4" hiddenButton="1"/>
    <filterColumn colId="5" hiddenButton="1"/>
  </autoFilter>
  <tableColumns count="6">
    <tableColumn id="1" xr3:uid="{DB52492E-E226-4EBE-AF8C-E7754DEFE274}" name="M/G" dataDxfId="433" dataCellStyle="Percent">
      <calculatedColumnFormula>Q108</calculatedColumnFormula>
    </tableColumn>
    <tableColumn id="2" xr3:uid="{71DECF76-D7A1-4441-AAB0-DF1D0137C923}" name="20%" dataDxfId="432">
      <calculatedColumnFormula>R108*$U$104</calculatedColumnFormula>
    </tableColumn>
    <tableColumn id="3" xr3:uid="{33F2CFE4-2203-4603-9483-25CCCC667906}" name="24.0%" dataDxfId="431">
      <calculatedColumnFormula>S108*$U$104</calculatedColumnFormula>
    </tableColumn>
    <tableColumn id="4" xr3:uid="{5C3C6CC2-7DF6-4237-BAED-34F2FA4C6D67}" name="28.000%" dataDxfId="430">
      <calculatedColumnFormula>T108*$U$104</calculatedColumnFormula>
    </tableColumn>
    <tableColumn id="5" xr3:uid="{06A0ED0E-B1AE-482F-B032-2EDBB0EFE77C}" name="32.000%" dataDxfId="429">
      <calculatedColumnFormula>U108*$U$104</calculatedColumnFormula>
    </tableColumn>
    <tableColumn id="6" xr3:uid="{602EF3F6-2ABC-4E7C-BB0B-A8495FCC0AE9}" name="36.000%" dataDxfId="428">
      <calculatedColumnFormula>V108*$U$104</calculatedColumnFormula>
    </tableColumn>
  </tableColumns>
  <tableStyleInfo name="TableStyleMedium20"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00115623-A390-41EC-AD84-59011AECBB20}" name="Table818894132" displayName="Table818894132" ref="Y115:AD120" totalsRowShown="0" headerRowDxfId="427" dataDxfId="425" headerRowBorderDxfId="426" tableBorderDxfId="424" headerRowCellStyle="Percent">
  <autoFilter ref="Y115:AD120" xr:uid="{00115623-A390-41EC-AD84-59011AECBB20}">
    <filterColumn colId="0" hiddenButton="1"/>
    <filterColumn colId="1" hiddenButton="1"/>
    <filterColumn colId="2" hiddenButton="1"/>
    <filterColumn colId="3" hiddenButton="1"/>
    <filterColumn colId="4" hiddenButton="1"/>
    <filterColumn colId="5" hiddenButton="1"/>
  </autoFilter>
  <tableColumns count="6">
    <tableColumn id="1" xr3:uid="{52AA2C0D-624E-443D-A913-75D861A517B3}" name="M/G" dataDxfId="423">
      <calculatedColumnFormula>Y108</calculatedColumnFormula>
    </tableColumn>
    <tableColumn id="2" xr3:uid="{5D35B140-8E07-487A-88B5-BADED0290D2E}" name="21%" dataDxfId="422">
      <calculatedColumnFormula>Z108*$AC$104</calculatedColumnFormula>
    </tableColumn>
    <tableColumn id="3" xr3:uid="{B770C0CD-A90F-43F4-849A-076EB28EEEE5}" name="25%" dataDxfId="421">
      <calculatedColumnFormula>AA108*$AC$104</calculatedColumnFormula>
    </tableColumn>
    <tableColumn id="4" xr3:uid="{D168C6E1-F18A-4BBA-98CA-27D739BF0B6B}" name="29%" dataDxfId="420">
      <calculatedColumnFormula>AB108*$AC$104</calculatedColumnFormula>
    </tableColumn>
    <tableColumn id="5" xr3:uid="{18F5A0F9-7C06-4993-A527-45C875285C3B}" name="33%" dataDxfId="419">
      <calculatedColumnFormula>AC108*$AC$104</calculatedColumnFormula>
    </tableColumn>
    <tableColumn id="6" xr3:uid="{1037F4C3-42A8-4C2B-A385-B2EB3B19BDA8}" name="37%" dataDxfId="418">
      <calculatedColumnFormula>AD108*$AC$104</calculatedColumnFormula>
    </tableColumn>
  </tableColumns>
  <tableStyleInfo name="TableStyleMedium16"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F2E11EBE-D3A3-47F9-B88B-7FA3E9389B1D}" name="Table828995133" displayName="Table828995133" ref="AG115:AL120" totalsRowShown="0" headerRowDxfId="417" dataDxfId="416" tableBorderDxfId="415" headerRowCellStyle="Percent">
  <autoFilter ref="AG115:AL120" xr:uid="{F2E11EBE-D3A3-47F9-B88B-7FA3E9389B1D}">
    <filterColumn colId="0" hiddenButton="1"/>
    <filterColumn colId="1" hiddenButton="1"/>
    <filterColumn colId="2" hiddenButton="1"/>
    <filterColumn colId="3" hiddenButton="1"/>
    <filterColumn colId="4" hiddenButton="1"/>
    <filterColumn colId="5" hiddenButton="1"/>
  </autoFilter>
  <tableColumns count="6">
    <tableColumn id="1" xr3:uid="{5C2EE3B3-50B1-4F20-ABC5-CA439036087C}" name="M/G" dataDxfId="414" dataCellStyle="Percent">
      <calculatedColumnFormula>AG108</calculatedColumnFormula>
    </tableColumn>
    <tableColumn id="2" xr3:uid="{3C1CA9FD-C72D-4997-995A-9FC8561057E3}" name="28%" dataDxfId="413">
      <calculatedColumnFormula>AH108*$AK$104</calculatedColumnFormula>
    </tableColumn>
    <tableColumn id="3" xr3:uid="{22B8CEB8-7708-49BA-80B4-CE2DEEDDF042}" name="30%" dataDxfId="412">
      <calculatedColumnFormula>AI108*$AK$104</calculatedColumnFormula>
    </tableColumn>
    <tableColumn id="4" xr3:uid="{57AF03E0-8A1B-4995-A25A-C02A76898F14}" name="32%" dataDxfId="411">
      <calculatedColumnFormula>AJ108*$AK$104</calculatedColumnFormula>
    </tableColumn>
    <tableColumn id="5" xr3:uid="{DE7F540C-7BEB-4119-BE73-1B42EBFAE10B}" name="34%" dataDxfId="410">
      <calculatedColumnFormula>AK108*$AK$104</calculatedColumnFormula>
    </tableColumn>
    <tableColumn id="6" xr3:uid="{79B61692-495D-410B-A7C5-3A8302E1035E}" name="36%" dataDxfId="409">
      <calculatedColumnFormula>AL108*$AK$104</calculatedColumnFormula>
    </tableColumn>
  </tableColumns>
  <tableStyleInfo name="TableStyleMedium20"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C9CA3E58-4DBA-4982-850C-7EF370C04C71}" name="Table839096134" displayName="Table839096134" ref="AO115:AT120" totalsRowShown="0" headerRowDxfId="408" dataDxfId="407" tableBorderDxfId="406" headerRowCellStyle="Percent">
  <autoFilter ref="AO115:AT120" xr:uid="{C9CA3E58-4DBA-4982-850C-7EF370C04C71}">
    <filterColumn colId="0" hiddenButton="1"/>
    <filterColumn colId="1" hiddenButton="1"/>
    <filterColumn colId="2" hiddenButton="1"/>
    <filterColumn colId="3" hiddenButton="1"/>
    <filterColumn colId="4" hiddenButton="1"/>
    <filterColumn colId="5" hiddenButton="1"/>
  </autoFilter>
  <tableColumns count="6">
    <tableColumn id="1" xr3:uid="{3389D6F0-FBEC-459D-A0AD-3643C4FB2793}" name="M/G" dataDxfId="405" dataCellStyle="Percent">
      <calculatedColumnFormula>AO108</calculatedColumnFormula>
    </tableColumn>
    <tableColumn id="2" xr3:uid="{C36E93B0-0CAC-4A2D-8CF1-E955C0294B3D}" name="24%" dataDxfId="404">
      <calculatedColumnFormula>AP108*$AS$104</calculatedColumnFormula>
    </tableColumn>
    <tableColumn id="3" xr3:uid="{590EE5F2-EB31-4535-8296-02878F59467C}" name="26%" dataDxfId="403">
      <calculatedColumnFormula>AQ108*$AS$104</calculatedColumnFormula>
    </tableColumn>
    <tableColumn id="4" xr3:uid="{64BA2F22-CD99-453C-B2E2-92E2AD48FABE}" name="28%" dataDxfId="402">
      <calculatedColumnFormula>AR108*$AS$104</calculatedColumnFormula>
    </tableColumn>
    <tableColumn id="5" xr3:uid="{15A68A0C-5E83-4AF0-9E75-1AECF0BC908F}" name="30%" dataDxfId="401">
      <calculatedColumnFormula>AS108*$AS$104</calculatedColumnFormula>
    </tableColumn>
    <tableColumn id="6" xr3:uid="{0ACC2BA0-8C40-423F-8233-BED3AF2515BC}" name="32%" dataDxfId="400">
      <calculatedColumnFormula>AT108*$AS$104</calculatedColumnFormula>
    </tableColumn>
  </tableColumns>
  <tableStyleInfo name="TableStyleMedium16"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2BD6091F-68EF-4295-A120-93B6247F82BF}" name="Table788591129135" displayName="Table788591129135" ref="A123:F128" totalsRowShown="0" headerRowDxfId="399" dataDxfId="398" tableBorderDxfId="397" headerRowCellStyle="Percent">
  <autoFilter ref="A123:F128" xr:uid="{2BD6091F-68EF-4295-A120-93B6247F82BF}">
    <filterColumn colId="0" hiddenButton="1"/>
    <filterColumn colId="1" hiddenButton="1"/>
    <filterColumn colId="2" hiddenButton="1"/>
    <filterColumn colId="3" hiddenButton="1"/>
    <filterColumn colId="4" hiddenButton="1"/>
    <filterColumn colId="5" hiddenButton="1"/>
  </autoFilter>
  <tableColumns count="6">
    <tableColumn id="1" xr3:uid="{50F6C299-5254-47FB-B257-EAA5D41FA3A8}" name="WACC" dataDxfId="396" dataCellStyle="Percent">
      <calculatedColumnFormula>A116</calculatedColumnFormula>
    </tableColumn>
    <tableColumn id="2" xr3:uid="{6CADD1BD-E15E-4543-9C55-9ECEB2403704}" name="1.00" dataDxfId="395">
      <calculatedColumnFormula>B46+B81+B116</calculatedColumnFormula>
    </tableColumn>
    <tableColumn id="3" xr3:uid="{3AE5B421-2BA1-4AA6-8D97-ACBAAEB89C2A}" name="2.00" dataDxfId="394">
      <calculatedColumnFormula>C46+C81+C116</calculatedColumnFormula>
    </tableColumn>
    <tableColumn id="4" xr3:uid="{1226167D-1B62-44D2-AEF9-A637168A6F76}" name="3.00" dataDxfId="393">
      <calculatedColumnFormula>D46+D81+D116</calculatedColumnFormula>
    </tableColumn>
    <tableColumn id="5" xr3:uid="{66795DF9-C44F-4B02-BB35-6E283BD7B0D9}" name="4.00" dataDxfId="392">
      <calculatedColumnFormula>E46+E81+E116</calculatedColumnFormula>
    </tableColumn>
    <tableColumn id="6" xr3:uid="{7A1101B5-F597-4CA5-A0F8-57AAFA62CB66}" name="5.00" dataDxfId="391">
      <calculatedColumnFormula>F46+F81+F116</calculatedColumnFormula>
    </tableColumn>
  </tableColumns>
  <tableStyleInfo name="TableStyleMedium17"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D0C66DB9-3DB5-4102-8939-F573DDBB4AF5}" name="Table788591129135137" displayName="Table788591129135137" ref="A131:F136" totalsRowShown="0" headerRowDxfId="390" dataDxfId="389" tableBorderDxfId="388" headerRowCellStyle="Percent">
  <autoFilter ref="A131:F136" xr:uid="{D0C66DB9-3DB5-4102-8939-F573DDBB4AF5}">
    <filterColumn colId="0" hiddenButton="1"/>
    <filterColumn colId="1" hiddenButton="1"/>
    <filterColumn colId="2" hiddenButton="1"/>
    <filterColumn colId="3" hiddenButton="1"/>
    <filterColumn colId="4" hiddenButton="1"/>
    <filterColumn colId="5" hiddenButton="1"/>
  </autoFilter>
  <tableColumns count="6">
    <tableColumn id="1" xr3:uid="{695E98AC-7F3E-4FE9-B8E0-4C60A9B6C613}" name="WACC" dataDxfId="387" dataCellStyle="Percent">
      <calculatedColumnFormula>A124</calculatedColumnFormula>
    </tableColumn>
    <tableColumn id="2" xr3:uid="{9258A51E-A211-4170-93EA-29CCAC371CC5}" name="1.00" dataDxfId="386">
      <calculatedColumnFormula>B108/($D$104-$F$104)</calculatedColumnFormula>
    </tableColumn>
    <tableColumn id="3" xr3:uid="{31F18D29-DEBE-49E7-9447-D60585EB0052}" name="2.00" dataDxfId="385">
      <calculatedColumnFormula>C108/($D$104-$F$104)</calculatedColumnFormula>
    </tableColumn>
    <tableColumn id="4" xr3:uid="{9890B53C-ACF2-42B4-A434-864AEF60504D}" name="3.00" dataDxfId="384">
      <calculatedColumnFormula>D108/($D$104-$F$104)</calculatedColumnFormula>
    </tableColumn>
    <tableColumn id="5" xr3:uid="{C2AE0839-3DFE-42D8-A9C9-8C97E682146A}" name="4.00" dataDxfId="383">
      <calculatedColumnFormula>E108/($D$104-$F$104)</calculatedColumnFormula>
    </tableColumn>
    <tableColumn id="6" xr3:uid="{A1A18AF0-D281-462F-8FEC-F5F1D1FF8F55}" name="5.00" dataDxfId="382">
      <calculatedColumnFormula>F108/($D$104-$F$104)</calculatedColumnFormula>
    </tableColumn>
  </tableColumns>
  <tableStyleInfo name="TableStyleMedium17"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4322CFB5-D3E2-4032-82B7-61BBDC1769F6}" name="Table788591129135137139" displayName="Table788591129135137139" ref="A139:F144" totalsRowShown="0" headerRowDxfId="381" dataDxfId="380" tableBorderDxfId="379" headerRowCellStyle="Percent">
  <autoFilter ref="A139:F144" xr:uid="{4322CFB5-D3E2-4032-82B7-61BBDC1769F6}">
    <filterColumn colId="0" hiddenButton="1"/>
    <filterColumn colId="1" hiddenButton="1"/>
    <filterColumn colId="2" hiddenButton="1"/>
    <filterColumn colId="3" hiddenButton="1"/>
    <filterColumn colId="4" hiddenButton="1"/>
    <filterColumn colId="5" hiddenButton="1"/>
  </autoFilter>
  <tableColumns count="6">
    <tableColumn id="1" xr3:uid="{7C4F4D23-08DE-4237-A63D-EB8D33F573C6}" name="WACC" dataDxfId="378" dataCellStyle="Percent">
      <calculatedColumnFormula>A132</calculatedColumnFormula>
    </tableColumn>
    <tableColumn id="2" xr3:uid="{35E4C1C4-1630-4290-8B64-240A4220E946}" name="1.00" dataDxfId="377">
      <calculatedColumnFormula>B132*$E$104</calculatedColumnFormula>
    </tableColumn>
    <tableColumn id="3" xr3:uid="{DCD43042-8331-46E7-8A9C-DD61AF14F27D}" name="2.00" dataDxfId="376">
      <calculatedColumnFormula>C132*$E$104</calculatedColumnFormula>
    </tableColumn>
    <tableColumn id="4" xr3:uid="{75266F31-8531-4B70-899D-B695452500F9}" name="3.00" dataDxfId="375">
      <calculatedColumnFormula>D132*$E$104</calculatedColumnFormula>
    </tableColumn>
    <tableColumn id="5" xr3:uid="{7440BDA5-AE3A-47FF-83D1-2948DDD8AC87}" name="4.00" dataDxfId="374">
      <calculatedColumnFormula>E132*$E$104</calculatedColumnFormula>
    </tableColumn>
    <tableColumn id="6" xr3:uid="{9D9E5117-97AC-4418-A51F-27333FC638CE}" name="5.00" dataDxfId="373">
      <calculatedColumnFormula>F132*$E$104</calculatedColumnFormula>
    </tableColumn>
  </tableColumns>
  <tableStyleInfo name="TableStyleMedium17"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A63C9EFA-10BA-4400-84B6-002D454A2588}" name="Table788591129135137139141" displayName="Table788591129135137139141" ref="A147:F152" totalsRowShown="0" headerRowDxfId="372" dataDxfId="371" tableBorderDxfId="370" headerRowCellStyle="Percent">
  <autoFilter ref="A147:F152" xr:uid="{A63C9EFA-10BA-4400-84B6-002D454A2588}">
    <filterColumn colId="0" hiddenButton="1"/>
    <filterColumn colId="1" hiddenButton="1"/>
    <filterColumn colId="2" hiddenButton="1"/>
    <filterColumn colId="3" hiddenButton="1"/>
    <filterColumn colId="4" hiddenButton="1"/>
    <filterColumn colId="5" hiddenButton="1"/>
  </autoFilter>
  <tableColumns count="6">
    <tableColumn id="1" xr3:uid="{B5F59458-82C6-46A1-A983-24EEC1C9188D}" name="WACC" dataDxfId="369" dataCellStyle="Percent">
      <calculatedColumnFormula>A140</calculatedColumnFormula>
    </tableColumn>
    <tableColumn id="2" xr3:uid="{93314AB0-D76F-4644-AB2B-3918455737B2}" name="1.00" dataDxfId="368">
      <calculatedColumnFormula>B124+B140</calculatedColumnFormula>
    </tableColumn>
    <tableColumn id="3" xr3:uid="{FC77DD02-6090-48F7-9587-8A1F132B827F}" name="2.00" dataDxfId="367">
      <calculatedColumnFormula>C124+C140</calculatedColumnFormula>
    </tableColumn>
    <tableColumn id="4" xr3:uid="{E89057FC-12E0-4546-9AE6-4833BF49D60C}" name="3.00" dataDxfId="366">
      <calculatedColumnFormula>D124+D140</calculatedColumnFormula>
    </tableColumn>
    <tableColumn id="5" xr3:uid="{BCE744CC-A1D5-465C-9CB0-3735DECC20C1}" name="4.00" dataDxfId="365">
      <calculatedColumnFormula>E124+E140</calculatedColumnFormula>
    </tableColumn>
    <tableColumn id="6" xr3:uid="{583A7A8E-727A-4EEC-8D78-77FE1432BE11}" name="5.00" dataDxfId="364">
      <calculatedColumnFormula>F124+F140</calculatedColumnFormula>
    </tableColumn>
  </tableColumns>
  <tableStyleInfo name="TableStyleMedium17"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A0C2C162-E683-4FB3-9C1C-332D95F0E9B5}" name="Table141" displayName="Table141" ref="A103:G104" totalsRowShown="0" headerRowDxfId="363" dataDxfId="362">
  <autoFilter ref="A103:G104" xr:uid="{A0C2C162-E683-4FB3-9C1C-332D95F0E9B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F7BF93C-A295-45BE-87D4-1C84CBE35633}" name="Depreciation" dataDxfId="361">
      <calculatedColumnFormula>DCF!D6</calculatedColumnFormula>
    </tableColumn>
    <tableColumn id="2" xr3:uid="{CB3888F4-0AEE-4C6B-9041-45326DF4139A}" name="CapEx" dataDxfId="360">
      <calculatedColumnFormula>DCF!D7</calculatedColumnFormula>
    </tableColumn>
    <tableColumn id="3" xr3:uid="{62513372-7CFF-4AF7-BF64-3FEE7A528985}" name="Δ in WC" dataDxfId="359">
      <calculatedColumnFormula>DCF!D8</calculatedColumnFormula>
    </tableColumn>
    <tableColumn id="4" xr3:uid="{DA622629-5B4B-4389-B3B6-A24B74D89471}" name="WACC" dataDxfId="358">
      <calculatedColumnFormula>D69</calculatedColumnFormula>
    </tableColumn>
    <tableColumn id="5" xr3:uid="{FB093F38-5CBE-48FF-A127-F5633CBC485D}" name="DF" dataDxfId="357">
      <calculatedColumnFormula>DCF!D10</calculatedColumnFormula>
    </tableColumn>
    <tableColumn id="6" xr3:uid="{7128DC2B-8C28-4547-834E-D8E63BACF84B}" name="TG" dataDxfId="356"/>
    <tableColumn id="7" xr3:uid="{8D031BC7-C0E1-4F72-A405-FD24DDD3013D}" name="Net Debt" dataDxfId="355">
      <calculatedColumnFormula>DCF!B18</calculatedColumnFormula>
    </tableColumn>
  </tableColumns>
  <tableStyleInfo name="TableStyleMedium2"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C56A2823-3F65-45C8-99B5-7D84C70AD401}" name="Table788591129135137139141144" displayName="Table788591129135137139141144" ref="A155:F160" totalsRowShown="0" headerRowDxfId="354" dataDxfId="353" tableBorderDxfId="352" headerRowCellStyle="Percent">
  <autoFilter ref="A155:F160" xr:uid="{C56A2823-3F65-45C8-99B5-7D84C70AD401}">
    <filterColumn colId="0" hiddenButton="1"/>
    <filterColumn colId="1" hiddenButton="1"/>
    <filterColumn colId="2" hiddenButton="1"/>
    <filterColumn colId="3" hiddenButton="1"/>
    <filterColumn colId="4" hiddenButton="1"/>
    <filterColumn colId="5" hiddenButton="1"/>
  </autoFilter>
  <tableColumns count="6">
    <tableColumn id="1" xr3:uid="{AD77804D-CF41-4D8A-B02F-F01D15103877}" name="WACC" dataDxfId="351" dataCellStyle="Percent">
      <calculatedColumnFormula>A148</calculatedColumnFormula>
    </tableColumn>
    <tableColumn id="2" xr3:uid="{B6443FC6-017C-403D-99BA-ABEDA1FDCAE5}" name="1.00" dataDxfId="350">
      <calculatedColumnFormula>B148-$G$104</calculatedColumnFormula>
    </tableColumn>
    <tableColumn id="3" xr3:uid="{BBCCF1E6-6F80-4C6A-8F51-E804C121B188}" name="2.00" dataDxfId="349">
      <calculatedColumnFormula>C148-$G$104</calculatedColumnFormula>
    </tableColumn>
    <tableColumn id="4" xr3:uid="{3ACC1398-EA56-410D-962D-9FD25B635317}" name="3.00" dataDxfId="348">
      <calculatedColumnFormula>D148-$G$104</calculatedColumnFormula>
    </tableColumn>
    <tableColumn id="5" xr3:uid="{DFB66BC8-D9D2-4046-A0D1-A60C4EFFC489}" name="4.00" dataDxfId="347">
      <calculatedColumnFormula>E148-$G$104</calculatedColumnFormula>
    </tableColumn>
    <tableColumn id="6" xr3:uid="{B0C90ED4-BD8D-4E21-BD6B-F02646720B6F}" name="5.00" dataDxfId="346">
      <calculatedColumnFormula>F148-$G$104</calculatedColumnFormula>
    </tableColumn>
  </tableColumns>
  <tableStyleInfo name="TableStyleMedium17"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28197901-0573-4ADD-B90B-B8C23AA5BC4F}" name="Table144" displayName="Table144" ref="A162:A163" totalsRowShown="0" headerRowDxfId="345" dataDxfId="344">
  <autoFilter ref="A162:A163" xr:uid="{28197901-0573-4ADD-B90B-B8C23AA5BC4F}">
    <filterColumn colId="0" hiddenButton="1"/>
  </autoFilter>
  <tableColumns count="1">
    <tableColumn id="1" xr3:uid="{9504B2CD-4ED3-43BB-862E-5274F44D8DF5}" name="Outstanding Shares" dataDxfId="343">
      <calculatedColumnFormula>DCF!B20</calculatedColumnFormula>
    </tableColumn>
  </tableColumns>
  <tableStyleInfo name="TableStyleMedium16"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CE76324D-8FE8-4425-A072-30D7569904CE}" name="Table788591129135137139141144147" displayName="Table788591129135137139141144147" ref="A166:F171" totalsRowShown="0" headerRowDxfId="342" dataDxfId="341" tableBorderDxfId="340" headerRowCellStyle="Percent">
  <autoFilter ref="A166:F171" xr:uid="{CE76324D-8FE8-4425-A072-30D7569904CE}">
    <filterColumn colId="0" hiddenButton="1"/>
    <filterColumn colId="1" hiddenButton="1"/>
    <filterColumn colId="2" hiddenButton="1"/>
    <filterColumn colId="3" hiddenButton="1"/>
    <filterColumn colId="4" hiddenButton="1"/>
    <filterColumn colId="5" hiddenButton="1"/>
  </autoFilter>
  <tableColumns count="6">
    <tableColumn id="1" xr3:uid="{E182436B-0FE3-4350-828F-103B76339368}" name="WACC" dataDxfId="339" dataCellStyle="Percent">
      <calculatedColumnFormula>A159</calculatedColumnFormula>
    </tableColumn>
    <tableColumn id="2" xr3:uid="{C935D4B9-F9DC-4F74-B975-D789D720E006}" name="1.00" dataDxfId="338">
      <calculatedColumnFormula>B156/$A$163</calculatedColumnFormula>
    </tableColumn>
    <tableColumn id="3" xr3:uid="{70C4C2B5-BF1A-4563-915B-1661596193E9}" name="2.00" dataDxfId="337">
      <calculatedColumnFormula>C156/$A$163</calculatedColumnFormula>
    </tableColumn>
    <tableColumn id="4" xr3:uid="{E95C2F56-2774-40B8-AA8A-2A56832CB25F}" name="3.00" dataDxfId="336">
      <calculatedColumnFormula>D156/$A$163</calculatedColumnFormula>
    </tableColumn>
    <tableColumn id="5" xr3:uid="{D0091789-4005-4E7F-835F-7E24B735C676}" name="4.00" dataDxfId="335">
      <calculatedColumnFormula>E156/$A$163</calculatedColumnFormula>
    </tableColumn>
    <tableColumn id="6" xr3:uid="{78F45D7B-CC8D-4C3B-A441-77D29A423FD0}" name="5.00" dataDxfId="334">
      <calculatedColumnFormula>F156/$A$163</calculatedColumnFormula>
    </tableColumn>
  </tableColumns>
  <tableStyleInfo name="TableStyleMedium17"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F5F34CD5-25E7-4D26-B9F2-BCA4EFD5316F}" name="Table788591129135140" displayName="Table788591129135140" ref="I123:N128" totalsRowShown="0" headerRowDxfId="333" dataDxfId="332" tableBorderDxfId="331" headerRowCellStyle="Percent">
  <autoFilter ref="I123:N128" xr:uid="{F5F34CD5-25E7-4D26-B9F2-BCA4EFD5316F}">
    <filterColumn colId="0" hiddenButton="1"/>
    <filterColumn colId="1" hiddenButton="1"/>
    <filterColumn colId="2" hiddenButton="1"/>
    <filterColumn colId="3" hiddenButton="1"/>
    <filterColumn colId="4" hiddenButton="1"/>
    <filterColumn colId="5" hiddenButton="1"/>
  </autoFilter>
  <tableColumns count="6">
    <tableColumn id="1" xr3:uid="{DA6E3AB3-6EB7-4F90-93D2-2844435AEE57}" name="WACC" dataDxfId="330" dataCellStyle="Percent">
      <calculatedColumnFormula>I116</calculatedColumnFormula>
    </tableColumn>
    <tableColumn id="2" xr3:uid="{838F73FD-5FD9-4F83-9ABB-3A0FF4D09302}" name="1.00" dataDxfId="329">
      <calculatedColumnFormula>J46+J81+J116</calculatedColumnFormula>
    </tableColumn>
    <tableColumn id="3" xr3:uid="{A4F24D72-DA91-4676-9678-1BF705A4FAAA}" name="2.00" dataDxfId="328">
      <calculatedColumnFormula>K46+K81+K116</calculatedColumnFormula>
    </tableColumn>
    <tableColumn id="4" xr3:uid="{4A2C8852-AA07-4A54-8185-5AEF7629B4F0}" name="3.00" dataDxfId="327">
      <calculatedColumnFormula>L46+L81+L116</calculatedColumnFormula>
    </tableColumn>
    <tableColumn id="5" xr3:uid="{5E09A388-8E21-441F-991A-0E63BA14BB62}" name="4.00" dataDxfId="326">
      <calculatedColumnFormula>M46+M81+M116</calculatedColumnFormula>
    </tableColumn>
    <tableColumn id="6" xr3:uid="{41AD124D-8972-4B73-9F36-40C4ECE7D316}" name="5.00" dataDxfId="325">
      <calculatedColumnFormula>N46+N81+N116</calculatedColumnFormula>
    </tableColumn>
  </tableColumns>
  <tableStyleInfo name="TableStyleMedium17"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0CC1A8A4-1C60-41C8-93A0-1099C1A7D733}" name="Table788591129135137143" displayName="Table788591129135137143" ref="I131:N136" totalsRowShown="0" headerRowDxfId="324" dataDxfId="323" tableBorderDxfId="322" headerRowCellStyle="Percent">
  <autoFilter ref="I131:N136" xr:uid="{0CC1A8A4-1C60-41C8-93A0-1099C1A7D733}">
    <filterColumn colId="0" hiddenButton="1"/>
    <filterColumn colId="1" hiddenButton="1"/>
    <filterColumn colId="2" hiddenButton="1"/>
    <filterColumn colId="3" hiddenButton="1"/>
    <filterColumn colId="4" hiddenButton="1"/>
    <filterColumn colId="5" hiddenButton="1"/>
  </autoFilter>
  <tableColumns count="6">
    <tableColumn id="1" xr3:uid="{A11BDD3E-308B-4FAA-8304-3042039B41A6}" name="WACC" dataDxfId="321" dataCellStyle="Percent">
      <calculatedColumnFormula>I124</calculatedColumnFormula>
    </tableColumn>
    <tableColumn id="2" xr3:uid="{22D42FB3-E9A0-4E61-9BCD-DE9F3A089F4A}" name="1.00" dataDxfId="320">
      <calculatedColumnFormula>J108/($L$104-$N$104)</calculatedColumnFormula>
    </tableColumn>
    <tableColumn id="3" xr3:uid="{CCF4681B-A974-49F4-80BC-D7DECDE117CD}" name="2.00" dataDxfId="319">
      <calculatedColumnFormula>K108/($L$104-$N$104)</calculatedColumnFormula>
    </tableColumn>
    <tableColumn id="4" xr3:uid="{B73571A5-F373-4FA5-A037-C4446213AA9B}" name="3.00" dataDxfId="318">
      <calculatedColumnFormula>L108/($L$104-$N$104)</calculatedColumnFormula>
    </tableColumn>
    <tableColumn id="5" xr3:uid="{A1814A59-5F1E-4E71-A042-3D266B15659D}" name="4.00" dataDxfId="317">
      <calculatedColumnFormula>M108/($L$104-$N$104)</calculatedColumnFormula>
    </tableColumn>
    <tableColumn id="6" xr3:uid="{3B633555-2227-42BF-9177-AFBBBE34D749}" name="5.00" dataDxfId="316">
      <calculatedColumnFormula>N108/($L$104-$N$104)</calculatedColumnFormula>
    </tableColumn>
  </tableColumns>
  <tableStyleInfo name="TableStyleMedium17"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3DCBE60F-0823-4377-B19F-295473882DAA}" name="Table788591129135137139146" displayName="Table788591129135137139146" ref="I139:N144" totalsRowShown="0" headerRowDxfId="315" dataDxfId="314" tableBorderDxfId="313" headerRowCellStyle="Percent">
  <autoFilter ref="I139:N144" xr:uid="{3DCBE60F-0823-4377-B19F-295473882DAA}">
    <filterColumn colId="0" hiddenButton="1"/>
    <filterColumn colId="1" hiddenButton="1"/>
    <filterColumn colId="2" hiddenButton="1"/>
    <filterColumn colId="3" hiddenButton="1"/>
    <filterColumn colId="4" hiddenButton="1"/>
    <filterColumn colId="5" hiddenButton="1"/>
  </autoFilter>
  <tableColumns count="6">
    <tableColumn id="1" xr3:uid="{0BF60256-E9E0-4C1B-887A-AE1F779DB95D}" name="WACC" dataDxfId="312" dataCellStyle="Percent">
      <calculatedColumnFormula>I132</calculatedColumnFormula>
    </tableColumn>
    <tableColumn id="2" xr3:uid="{10E8E8AC-2CE8-4B77-9858-8C343302EA81}" name="1.00" dataDxfId="311">
      <calculatedColumnFormula>J132*$M$104</calculatedColumnFormula>
    </tableColumn>
    <tableColumn id="3" xr3:uid="{F1AC10A1-0883-4234-91C8-1DB8ACE684C6}" name="2.00" dataDxfId="310">
      <calculatedColumnFormula>K132*$M$104</calculatedColumnFormula>
    </tableColumn>
    <tableColumn id="4" xr3:uid="{98157ED8-9F03-4B51-8572-D2284270C01A}" name="3.00" dataDxfId="309">
      <calculatedColumnFormula>L132*$M$104</calculatedColumnFormula>
    </tableColumn>
    <tableColumn id="5" xr3:uid="{E4958405-76E3-440E-996B-ED218DE6C582}" name="4.00" dataDxfId="308">
      <calculatedColumnFormula>M132*$M$104</calculatedColumnFormula>
    </tableColumn>
    <tableColumn id="6" xr3:uid="{5704B7C2-DE4E-4626-8B71-5D42DD63A67F}" name="5.00" dataDxfId="307">
      <calculatedColumnFormula>N132*$M$104</calculatedColumnFormula>
    </tableColumn>
  </tableColumns>
  <tableStyleInfo name="TableStyleMedium17"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99073278-D638-4D3D-A754-A778A48027B0}" name="Table788591129135137139141148" displayName="Table788591129135137139141148" ref="I147:N152" totalsRowShown="0" headerRowDxfId="306" dataDxfId="305" tableBorderDxfId="304" headerRowCellStyle="Percent">
  <autoFilter ref="I147:N152" xr:uid="{99073278-D638-4D3D-A754-A778A48027B0}">
    <filterColumn colId="0" hiddenButton="1"/>
    <filterColumn colId="1" hiddenButton="1"/>
    <filterColumn colId="2" hiddenButton="1"/>
    <filterColumn colId="3" hiddenButton="1"/>
    <filterColumn colId="4" hiddenButton="1"/>
    <filterColumn colId="5" hiddenButton="1"/>
  </autoFilter>
  <tableColumns count="6">
    <tableColumn id="1" xr3:uid="{F9E9015F-9F3E-4C99-AB0F-9EABDAE6253A}" name="WACC" dataDxfId="303" dataCellStyle="Percent">
      <calculatedColumnFormula>I140</calculatedColumnFormula>
    </tableColumn>
    <tableColumn id="2" xr3:uid="{03D47F24-8CF8-46F7-9EF3-11DB90C0CA4F}" name="1.00" dataDxfId="302">
      <calculatedColumnFormula>J124+J140</calculatedColumnFormula>
    </tableColumn>
    <tableColumn id="3" xr3:uid="{36D20DD9-F6FE-4FB8-80D3-8BF631C3C5B1}" name="2.00" dataDxfId="301">
      <calculatedColumnFormula>K124+K140</calculatedColumnFormula>
    </tableColumn>
    <tableColumn id="4" xr3:uid="{B2B52568-D657-4F54-81EE-439D2541FFA1}" name="3.00" dataDxfId="300">
      <calculatedColumnFormula>L124+L140</calculatedColumnFormula>
    </tableColumn>
    <tableColumn id="5" xr3:uid="{D54C1F65-6F13-48CD-9036-0EA8B223265D}" name="4.00" dataDxfId="299">
      <calculatedColumnFormula>M124+M140</calculatedColumnFormula>
    </tableColumn>
    <tableColumn id="6" xr3:uid="{72FE3039-B4BE-48BD-B17C-04D33B60AFF8}" name="5.00" dataDxfId="298">
      <calculatedColumnFormula>N124+N140</calculatedColumnFormula>
    </tableColumn>
  </tableColumns>
  <tableStyleInfo name="TableStyleMedium17"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BDB9D4F1-0E26-41EE-B631-54BED4B73ED5}" name="Table788591129135137139141144149" displayName="Table788591129135137139141144149" ref="I155:N160" totalsRowShown="0" headerRowDxfId="297" dataDxfId="296" tableBorderDxfId="295" headerRowCellStyle="Percent">
  <autoFilter ref="I155:N160" xr:uid="{BDB9D4F1-0E26-41EE-B631-54BED4B73ED5}">
    <filterColumn colId="0" hiddenButton="1"/>
    <filterColumn colId="1" hiddenButton="1"/>
    <filterColumn colId="2" hiddenButton="1"/>
    <filterColumn colId="3" hiddenButton="1"/>
    <filterColumn colId="4" hiddenButton="1"/>
    <filterColumn colId="5" hiddenButton="1"/>
  </autoFilter>
  <tableColumns count="6">
    <tableColumn id="1" xr3:uid="{9304EFED-058F-4928-AD8F-F4A8F9927F4B}" name="WACC" dataDxfId="294" dataCellStyle="Percent">
      <calculatedColumnFormula>I148</calculatedColumnFormula>
    </tableColumn>
    <tableColumn id="2" xr3:uid="{D8158663-AF00-408B-951F-4B9E1508B182}" name="1.00" dataDxfId="293">
      <calculatedColumnFormula>J148-$O$104</calculatedColumnFormula>
    </tableColumn>
    <tableColumn id="3" xr3:uid="{FF07882F-D2BC-424E-9EAB-EC32DF5979B4}" name="2.00" dataDxfId="292">
      <calculatedColumnFormula>K148-$O$104</calculatedColumnFormula>
    </tableColumn>
    <tableColumn id="4" xr3:uid="{26BB6F38-9552-483D-BF19-DFB1C72128FD}" name="3.00" dataDxfId="291">
      <calculatedColumnFormula>L148-$O$104</calculatedColumnFormula>
    </tableColumn>
    <tableColumn id="5" xr3:uid="{C71DA3DF-6668-4BBF-B1B5-609DC16FA422}" name="4.00" dataDxfId="290">
      <calculatedColumnFormula>M148-$O$104</calculatedColumnFormula>
    </tableColumn>
    <tableColumn id="6" xr3:uid="{97DD78F4-09A7-4802-8584-1681480CF30E}" name="5.00" dataDxfId="289">
      <calculatedColumnFormula>N148-$O$104</calculatedColumnFormula>
    </tableColumn>
  </tableColumns>
  <tableStyleInfo name="TableStyleMedium17"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12CBEEC8-116E-4C49-AC77-670DD8E4FBD8}" name="Table144150" displayName="Table144150" ref="I162:I163" totalsRowShown="0" headerRowDxfId="288" dataDxfId="287">
  <autoFilter ref="I162:I163" xr:uid="{12CBEEC8-116E-4C49-AC77-670DD8E4FBD8}">
    <filterColumn colId="0" hiddenButton="1"/>
  </autoFilter>
  <tableColumns count="1">
    <tableColumn id="1" xr3:uid="{D7B1F813-C105-4F1F-8F72-D6858FC2498B}" name="Outstanding Shares" dataDxfId="286">
      <calculatedColumnFormula>'Relative Valuation'!C11</calculatedColumnFormula>
    </tableColumn>
  </tableColumns>
  <tableStyleInfo name="TableStyleMedium16"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2AEF4ED2-0115-4646-9BA5-0E01133E5154}" name="Table788591129135137139141144147151" displayName="Table788591129135137139141144147151" ref="I166:N171" totalsRowShown="0" headerRowDxfId="285" dataDxfId="284" tableBorderDxfId="283" headerRowCellStyle="Percent">
  <autoFilter ref="I166:N171" xr:uid="{2AEF4ED2-0115-4646-9BA5-0E01133E5154}">
    <filterColumn colId="0" hiddenButton="1"/>
    <filterColumn colId="1" hiddenButton="1"/>
    <filterColumn colId="2" hiddenButton="1"/>
    <filterColumn colId="3" hiddenButton="1"/>
    <filterColumn colId="4" hiddenButton="1"/>
    <filterColumn colId="5" hiddenButton="1"/>
  </autoFilter>
  <tableColumns count="6">
    <tableColumn id="1" xr3:uid="{A118F2B0-C5E8-41E7-8EC6-F019423D61F8}" name="WACC" dataDxfId="282" dataCellStyle="Percent">
      <calculatedColumnFormula>I159</calculatedColumnFormula>
    </tableColumn>
    <tableColumn id="2" xr3:uid="{A718EE87-740D-485B-9C03-C5F3A6064D50}" name="1.00" dataDxfId="281">
      <calculatedColumnFormula>J156/$I$163</calculatedColumnFormula>
    </tableColumn>
    <tableColumn id="3" xr3:uid="{3698FFD3-B79E-44CA-8C70-D2901B6D9081}" name="2.00" dataDxfId="280">
      <calculatedColumnFormula>K156/$I$163</calculatedColumnFormula>
    </tableColumn>
    <tableColumn id="4" xr3:uid="{B28D3098-D2BA-4E67-9ADF-C26C869B02B8}" name="3.00" dataDxfId="279">
      <calculatedColumnFormula>L156/$I$163</calculatedColumnFormula>
    </tableColumn>
    <tableColumn id="5" xr3:uid="{632BC9A1-66BF-4C4F-9429-04CB2D431751}" name="4.00" dataDxfId="278">
      <calculatedColumnFormula>M156/$I$163</calculatedColumnFormula>
    </tableColumn>
    <tableColumn id="6" xr3:uid="{B79E8CA4-7CB0-4454-8867-4F856548C8E5}" name="5.00" dataDxfId="277">
      <calculatedColumnFormula>N156/$I$163</calculatedColumnFormula>
    </tableColumn>
  </tableColumns>
  <tableStyleInfo name="TableStyleMedium17"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312B61FE-59A5-46AA-994F-83140C6D7561}" name="Table788591129135140159" displayName="Table788591129135140159" ref="Q123:V128" totalsRowShown="0" headerRowDxfId="276" dataDxfId="275" tableBorderDxfId="274" headerRowCellStyle="Percent">
  <autoFilter ref="Q123:V128" xr:uid="{312B61FE-59A5-46AA-994F-83140C6D7561}">
    <filterColumn colId="0" hiddenButton="1"/>
    <filterColumn colId="1" hiddenButton="1"/>
    <filterColumn colId="2" hiddenButton="1"/>
    <filterColumn colId="3" hiddenButton="1"/>
    <filterColumn colId="4" hiddenButton="1"/>
    <filterColumn colId="5" hiddenButton="1"/>
  </autoFilter>
  <tableColumns count="6">
    <tableColumn id="1" xr3:uid="{14E0B4D5-4272-48F7-8462-087D614275B9}" name="WACC" dataDxfId="273" dataCellStyle="Percent">
      <calculatedColumnFormula>Q116</calculatedColumnFormula>
    </tableColumn>
    <tableColumn id="2" xr3:uid="{6135AAE9-20F2-41E3-87E4-16CDB38D5501}" name="1.00" dataDxfId="272">
      <calculatedColumnFormula>R46+R81+R116</calculatedColumnFormula>
    </tableColumn>
    <tableColumn id="3" xr3:uid="{E172CB9D-7421-4A29-87C2-4F0F6255D619}" name="2.00" dataDxfId="271">
      <calculatedColumnFormula>S46+S81+S116</calculatedColumnFormula>
    </tableColumn>
    <tableColumn id="4" xr3:uid="{C095F220-5DB3-4B46-BD77-0883BF6AE058}" name="3.00" dataDxfId="270">
      <calculatedColumnFormula>T46+T81+T116</calculatedColumnFormula>
    </tableColumn>
    <tableColumn id="5" xr3:uid="{84BD4DF3-34EC-4FC1-98FA-ADD0F7DB97A6}" name="4.00" dataDxfId="269">
      <calculatedColumnFormula>U46+U81+U116</calculatedColumnFormula>
    </tableColumn>
    <tableColumn id="6" xr3:uid="{22FC6BBD-E761-47EE-857F-1F183B2CD163}" name="5.00" dataDxfId="268">
      <calculatedColumnFormula>V46+V81+V116</calculatedColumnFormula>
    </tableColumn>
  </tableColumns>
  <tableStyleInfo name="TableStyleMedium17"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7E54317F-3EAA-4ED6-84E7-586167A26351}" name="Table788591129135137143160" displayName="Table788591129135137143160" ref="Q131:V136" totalsRowShown="0" headerRowDxfId="267" dataDxfId="266" tableBorderDxfId="265" headerRowCellStyle="Percent">
  <autoFilter ref="Q131:V136" xr:uid="{7E54317F-3EAA-4ED6-84E7-586167A26351}">
    <filterColumn colId="0" hiddenButton="1"/>
    <filterColumn colId="1" hiddenButton="1"/>
    <filterColumn colId="2" hiddenButton="1"/>
    <filterColumn colId="3" hiddenButton="1"/>
    <filterColumn colId="4" hiddenButton="1"/>
    <filterColumn colId="5" hiddenButton="1"/>
  </autoFilter>
  <tableColumns count="6">
    <tableColumn id="1" xr3:uid="{E4868E05-C025-4A68-990F-3807BA6E69BE}" name="WACC" dataDxfId="264" dataCellStyle="Percent">
      <calculatedColumnFormula>Q124</calculatedColumnFormula>
    </tableColumn>
    <tableColumn id="2" xr3:uid="{2FB82BEE-42EB-4F16-A813-9C2475B468F6}" name="1.00" dataDxfId="263">
      <calculatedColumnFormula>R108/($T$104-$V$104)</calculatedColumnFormula>
    </tableColumn>
    <tableColumn id="3" xr3:uid="{BB651F29-9181-4B0B-B3C2-274BA9F1B22D}" name="2.00" dataDxfId="262">
      <calculatedColumnFormula>S108/($T$104-$V$104)</calculatedColumnFormula>
    </tableColumn>
    <tableColumn id="4" xr3:uid="{C6C1FA53-4F1B-4850-9E21-6120D31BADBD}" name="3.00" dataDxfId="261">
      <calculatedColumnFormula>T108/($T$104-$V$104)</calculatedColumnFormula>
    </tableColumn>
    <tableColumn id="5" xr3:uid="{E2ED2F2C-6F40-4AE8-BA8A-BB3DAB77345B}" name="4.00" dataDxfId="260">
      <calculatedColumnFormula>U108/($T$104-$V$104)</calculatedColumnFormula>
    </tableColumn>
    <tableColumn id="6" xr3:uid="{D27BB921-376F-491A-8BB7-EB23B827CB0B}" name="5.00" dataDxfId="259">
      <calculatedColumnFormula>V108/($T$104-$V$104)</calculatedColumnFormula>
    </tableColumn>
  </tableColumns>
  <tableStyleInfo name="TableStyleMedium17"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15EABA97-7AE1-46E9-BD8B-BBC55A69A275}" name="Table788591129135137139146161" displayName="Table788591129135137139146161" ref="Q139:V144" totalsRowShown="0" headerRowDxfId="258" dataDxfId="257" tableBorderDxfId="256" headerRowCellStyle="Percent">
  <autoFilter ref="Q139:V144" xr:uid="{15EABA97-7AE1-46E9-BD8B-BBC55A69A275}">
    <filterColumn colId="0" hiddenButton="1"/>
    <filterColumn colId="1" hiddenButton="1"/>
    <filterColumn colId="2" hiddenButton="1"/>
    <filterColumn colId="3" hiddenButton="1"/>
    <filterColumn colId="4" hiddenButton="1"/>
    <filterColumn colId="5" hiddenButton="1"/>
  </autoFilter>
  <tableColumns count="6">
    <tableColumn id="1" xr3:uid="{AC81CAE4-1890-4BC8-8CF7-F10A3BBBAC9B}" name="WACC" dataDxfId="255" dataCellStyle="Percent">
      <calculatedColumnFormula>Q132</calculatedColumnFormula>
    </tableColumn>
    <tableColumn id="2" xr3:uid="{0CD6691B-6ACB-4074-9235-688470E2AB55}" name="1.00" dataDxfId="254">
      <calculatedColumnFormula>R132*$U$104</calculatedColumnFormula>
    </tableColumn>
    <tableColumn id="3" xr3:uid="{1CC0832C-A0DB-4105-99B8-5A9BA85233ED}" name="2.00" dataDxfId="253">
      <calculatedColumnFormula>S132*$U$104</calculatedColumnFormula>
    </tableColumn>
    <tableColumn id="4" xr3:uid="{72F22FAA-F4A7-438B-AA7F-36C87928AC58}" name="3.00" dataDxfId="252">
      <calculatedColumnFormula>T132*$U$104</calculatedColumnFormula>
    </tableColumn>
    <tableColumn id="5" xr3:uid="{F6814719-64CF-462D-B720-5A49A8A0C6BC}" name="4.00" dataDxfId="251">
      <calculatedColumnFormula>U132*$U$104</calculatedColumnFormula>
    </tableColumn>
    <tableColumn id="6" xr3:uid="{E6FD611C-2099-4F0E-B2BA-44845FE3198E}" name="5.00" dataDxfId="250">
      <calculatedColumnFormula>V132*$U$104</calculatedColumnFormula>
    </tableColumn>
  </tableColumns>
  <tableStyleInfo name="TableStyleMedium17"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54C9E41D-E210-4C9D-B66B-F54653C09033}" name="Table788591129135137139141148162" displayName="Table788591129135137139141148162" ref="Q147:V152" totalsRowShown="0" headerRowDxfId="249" dataDxfId="248" tableBorderDxfId="247" headerRowCellStyle="Percent">
  <autoFilter ref="Q147:V152" xr:uid="{54C9E41D-E210-4C9D-B66B-F54653C09033}">
    <filterColumn colId="0" hiddenButton="1"/>
    <filterColumn colId="1" hiddenButton="1"/>
    <filterColumn colId="2" hiddenButton="1"/>
    <filterColumn colId="3" hiddenButton="1"/>
    <filterColumn colId="4" hiddenButton="1"/>
    <filterColumn colId="5" hiddenButton="1"/>
  </autoFilter>
  <tableColumns count="6">
    <tableColumn id="1" xr3:uid="{5A48B7F7-BFD5-4C2F-AC44-A98704A35F2E}" name="WACC" dataDxfId="246" dataCellStyle="Percent">
      <calculatedColumnFormula>Q140</calculatedColumnFormula>
    </tableColumn>
    <tableColumn id="2" xr3:uid="{17515366-E2F0-4C1A-9B13-FD1FC5D05018}" name="1.00" dataDxfId="245">
      <calculatedColumnFormula>R124+R140</calculatedColumnFormula>
    </tableColumn>
    <tableColumn id="3" xr3:uid="{CA667875-73E9-410B-812E-02902C0F602F}" name="2.00" dataDxfId="244">
      <calculatedColumnFormula>S124+S140</calculatedColumnFormula>
    </tableColumn>
    <tableColumn id="4" xr3:uid="{A42D83A2-4779-4A9A-BB84-A2E99D3538B2}" name="3.00" dataDxfId="243">
      <calculatedColumnFormula>T124+T140</calculatedColumnFormula>
    </tableColumn>
    <tableColumn id="5" xr3:uid="{E9892FB8-BDDA-46AD-8348-A7D93CCD29D0}" name="4.00" dataDxfId="242">
      <calculatedColumnFormula>U124+U140</calculatedColumnFormula>
    </tableColumn>
    <tableColumn id="6" xr3:uid="{D907233E-901F-47CC-A35F-07AB33B657AD}" name="5.00" dataDxfId="241">
      <calculatedColumnFormula>V124+V140</calculatedColumnFormula>
    </tableColumn>
  </tableColumns>
  <tableStyleInfo name="TableStyleMedium17"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7BBE7B2D-FDC4-47E7-BF75-533C295AC0FF}" name="Table788591129135137139141144149163" displayName="Table788591129135137139141144149163" ref="Q155:V160" totalsRowShown="0" headerRowDxfId="240" dataDxfId="239" tableBorderDxfId="238" headerRowCellStyle="Percent">
  <autoFilter ref="Q155:V160" xr:uid="{7BBE7B2D-FDC4-47E7-BF75-533C295AC0FF}">
    <filterColumn colId="0" hiddenButton="1"/>
    <filterColumn colId="1" hiddenButton="1"/>
    <filterColumn colId="2" hiddenButton="1"/>
    <filterColumn colId="3" hiddenButton="1"/>
    <filterColumn colId="4" hiddenButton="1"/>
    <filterColumn colId="5" hiddenButton="1"/>
  </autoFilter>
  <tableColumns count="6">
    <tableColumn id="1" xr3:uid="{546116FB-7FEF-4357-AD93-A97D1D496D05}" name="WACC" dataDxfId="237" dataCellStyle="Percent">
      <calculatedColumnFormula>Q148</calculatedColumnFormula>
    </tableColumn>
    <tableColumn id="2" xr3:uid="{81A0AD46-04BB-42D0-BB87-B071AC7E1D94}" name="1.00" dataDxfId="236">
      <calculatedColumnFormula>R148-$W$104</calculatedColumnFormula>
    </tableColumn>
    <tableColumn id="3" xr3:uid="{6CB058CE-A2B8-49B4-B6A4-B803028F68D2}" name="2.00" dataDxfId="235">
      <calculatedColumnFormula>S148-$W$104</calculatedColumnFormula>
    </tableColumn>
    <tableColumn id="4" xr3:uid="{4B143819-D0EE-41FC-9DEF-12CDF5ABF76A}" name="3.00" dataDxfId="234">
      <calculatedColumnFormula>T148-$W$104</calculatedColumnFormula>
    </tableColumn>
    <tableColumn id="5" xr3:uid="{AED5EF08-87F8-4C49-9908-5F5964AA93A7}" name="4.00" dataDxfId="233">
      <calculatedColumnFormula>U148-$W$104</calculatedColumnFormula>
    </tableColumn>
    <tableColumn id="6" xr3:uid="{4DBF3285-877E-4D58-B2EB-3FF071E376C2}" name="5.00" dataDxfId="232">
      <calculatedColumnFormula>V148-$W$104</calculatedColumnFormula>
    </tableColumn>
  </tableColumns>
  <tableStyleInfo name="TableStyleMedium17"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4126EC38-F6EE-4BDB-B6A1-5E2248802D6B}" name="Table144150164" displayName="Table144150164" ref="Q162:Q163" totalsRowShown="0" headerRowDxfId="231" dataDxfId="230">
  <autoFilter ref="Q162:Q163" xr:uid="{4126EC38-F6EE-4BDB-B6A1-5E2248802D6B}">
    <filterColumn colId="0" hiddenButton="1"/>
  </autoFilter>
  <tableColumns count="1">
    <tableColumn id="1" xr3:uid="{AC0D3B03-A0FB-40CF-BB9A-E74BBD4EFEBE}" name="Shares" dataDxfId="229">
      <calculatedColumnFormula>'Relative Valuation'!D11</calculatedColumnFormula>
    </tableColumn>
  </tableColumns>
  <tableStyleInfo name="TableStyleMedium16"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BEE7642E-37C0-410B-A899-4B2C5C8AAA16}" name="Table788591129135137139141144147151165" displayName="Table788591129135137139141144147151165" ref="Q166:V171" totalsRowShown="0" headerRowDxfId="228" dataDxfId="227" tableBorderDxfId="226" headerRowCellStyle="Percent">
  <autoFilter ref="Q166:V171" xr:uid="{BEE7642E-37C0-410B-A899-4B2C5C8AAA16}">
    <filterColumn colId="0" hiddenButton="1"/>
    <filterColumn colId="1" hiddenButton="1"/>
    <filterColumn colId="2" hiddenButton="1"/>
    <filterColumn colId="3" hiddenButton="1"/>
    <filterColumn colId="4" hiddenButton="1"/>
    <filterColumn colId="5" hiddenButton="1"/>
  </autoFilter>
  <tableColumns count="6">
    <tableColumn id="1" xr3:uid="{EA5BAD1A-BA0F-42BC-BC10-9EB3C042C0BD}" name="WACC" dataDxfId="225" dataCellStyle="Percent">
      <calculatedColumnFormula>Q159</calculatedColumnFormula>
    </tableColumn>
    <tableColumn id="2" xr3:uid="{37EC2068-A09F-4FF0-B94D-B2546CF6621E}" name="1.00" dataDxfId="224">
      <calculatedColumnFormula>R156/$Q$163</calculatedColumnFormula>
    </tableColumn>
    <tableColumn id="3" xr3:uid="{7FE50F6A-23AC-4CF9-9551-5ABEDB306B72}" name="2.00" dataDxfId="223">
      <calculatedColumnFormula>S156/$Q$163</calculatedColumnFormula>
    </tableColumn>
    <tableColumn id="4" xr3:uid="{83CE7A71-BC89-4CC7-ABBD-8B6CC83EE821}" name="3.00" dataDxfId="222">
      <calculatedColumnFormula>T156/$Q$163</calculatedColumnFormula>
    </tableColumn>
    <tableColumn id="5" xr3:uid="{C574E880-15D5-4448-8B24-F46E63B1A8E2}" name="4.00" dataDxfId="221">
      <calculatedColumnFormula>U156/$Q$163</calculatedColumnFormula>
    </tableColumn>
    <tableColumn id="6" xr3:uid="{8EB6B02E-0F93-41D4-8D0B-85514C58653F}" name="5.00" dataDxfId="220">
      <calculatedColumnFormula>V156/$Q$163</calculatedColumnFormula>
    </tableColumn>
  </tableColumns>
  <tableStyleInfo name="TableStyleMedium17"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59F5D460-DF0F-471F-A815-36CFEB04AE2C}" name="Table788591129135140159173" displayName="Table788591129135140159173" ref="Y123:AD128" totalsRowShown="0" headerRowDxfId="219" dataDxfId="218" tableBorderDxfId="217" headerRowCellStyle="Percent">
  <autoFilter ref="Y123:AD128" xr:uid="{59F5D460-DF0F-471F-A815-36CFEB04AE2C}">
    <filterColumn colId="0" hiddenButton="1"/>
    <filterColumn colId="1" hiddenButton="1"/>
    <filterColumn colId="2" hiddenButton="1"/>
    <filterColumn colId="3" hiddenButton="1"/>
    <filterColumn colId="4" hiddenButton="1"/>
    <filterColumn colId="5" hiddenButton="1"/>
  </autoFilter>
  <tableColumns count="6">
    <tableColumn id="1" xr3:uid="{E59AFF09-B1E1-470B-A695-8886A3027CC3}" name="WACC" dataDxfId="216" dataCellStyle="Percent">
      <calculatedColumnFormula>Y116</calculatedColumnFormula>
    </tableColumn>
    <tableColumn id="2" xr3:uid="{1A1015BD-2AE6-4E8C-9F0A-7D34522EEB4A}" name="1.00" dataDxfId="215">
      <calculatedColumnFormula>Z46+Z81+Z116</calculatedColumnFormula>
    </tableColumn>
    <tableColumn id="3" xr3:uid="{E10BBB6B-AB8B-4A20-8F89-50BC33004D2D}" name="2.00" dataDxfId="214">
      <calculatedColumnFormula>AA46+AA81+AA116</calculatedColumnFormula>
    </tableColumn>
    <tableColumn id="4" xr3:uid="{2E40553B-F593-46F7-AE25-F6C068EF2A51}" name="3.00" dataDxfId="213">
      <calculatedColumnFormula>AB46+AB81+AB116</calculatedColumnFormula>
    </tableColumn>
    <tableColumn id="5" xr3:uid="{349459D7-E2B9-4F86-AB19-F1279C6D6C8D}" name="4.00" dataDxfId="212">
      <calculatedColumnFormula>AC46+AC81+AC116</calculatedColumnFormula>
    </tableColumn>
    <tableColumn id="6" xr3:uid="{2C12EDDC-7794-476F-9C54-A1A73F10773E}" name="5.00" dataDxfId="211">
      <calculatedColumnFormula>AD46+AD81+AD116</calculatedColumnFormula>
    </tableColumn>
  </tableColumns>
  <tableStyleInfo name="TableStyleMedium17"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A45B4688-4BA0-4550-A05C-C4AE6AF72E59}" name="Table788591129135137143160174" displayName="Table788591129135137143160174" ref="Y131:AD136" totalsRowShown="0" headerRowDxfId="210" dataDxfId="209" tableBorderDxfId="208" headerRowCellStyle="Percent">
  <autoFilter ref="Y131:AD136" xr:uid="{A45B4688-4BA0-4550-A05C-C4AE6AF72E59}">
    <filterColumn colId="0" hiddenButton="1"/>
    <filterColumn colId="1" hiddenButton="1"/>
    <filterColumn colId="2" hiddenButton="1"/>
    <filterColumn colId="3" hiddenButton="1"/>
    <filterColumn colId="4" hiddenButton="1"/>
    <filterColumn colId="5" hiddenButton="1"/>
  </autoFilter>
  <tableColumns count="6">
    <tableColumn id="1" xr3:uid="{D54B171E-BD0A-4DFE-881C-601F728FBAEC}" name="WACC" dataDxfId="207" dataCellStyle="Percent">
      <calculatedColumnFormula>Y124</calculatedColumnFormula>
    </tableColumn>
    <tableColumn id="2" xr3:uid="{E41A3D8B-F45C-45C0-AC5B-09F1DFF520B3}" name="1.00" dataDxfId="206">
      <calculatedColumnFormula>Z108/($AB$104-$AD$104)</calculatedColumnFormula>
    </tableColumn>
    <tableColumn id="3" xr3:uid="{56157D60-5189-4F8A-93A9-4B3ED6B71CA5}" name="2.00" dataDxfId="205">
      <calculatedColumnFormula>AA108/($AB$104-$AD$104)</calculatedColumnFormula>
    </tableColumn>
    <tableColumn id="4" xr3:uid="{867926D4-617B-4206-A5D3-019A6AAEA4A4}" name="3.00" dataDxfId="204">
      <calculatedColumnFormula>AB108/($AB$104-$AD$104)</calculatedColumnFormula>
    </tableColumn>
    <tableColumn id="5" xr3:uid="{3DC50A61-6740-4DD5-9853-04EC3BF11F94}" name="4.00" dataDxfId="203">
      <calculatedColumnFormula>AC108/($AB$104-$AD$104)</calculatedColumnFormula>
    </tableColumn>
    <tableColumn id="6" xr3:uid="{4C1BDA31-989F-4745-8CB7-22B5CCE2A8CC}" name="5.00" dataDxfId="202">
      <calculatedColumnFormula>AD108/($AB$104-$AD$104)</calculatedColumnFormula>
    </tableColumn>
  </tableColumns>
  <tableStyleInfo name="TableStyleMedium17"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8A9BB69C-2B32-45DD-ADD6-B9067D158ED2}" name="Table788591129135137139146161175" displayName="Table788591129135137139146161175" ref="Y139:AD144" totalsRowShown="0" headerRowDxfId="201" dataDxfId="200" tableBorderDxfId="199" headerRowCellStyle="Percent">
  <autoFilter ref="Y139:AD144" xr:uid="{8A9BB69C-2B32-45DD-ADD6-B9067D158ED2}">
    <filterColumn colId="0" hiddenButton="1"/>
    <filterColumn colId="1" hiddenButton="1"/>
    <filterColumn colId="2" hiddenButton="1"/>
    <filterColumn colId="3" hiddenButton="1"/>
    <filterColumn colId="4" hiddenButton="1"/>
    <filterColumn colId="5" hiddenButton="1"/>
  </autoFilter>
  <tableColumns count="6">
    <tableColumn id="1" xr3:uid="{0BF21222-29B9-4A07-B78D-CBE1CACCF6FB}" name="WACC" dataDxfId="198" dataCellStyle="Percent">
      <calculatedColumnFormula>Y132</calculatedColumnFormula>
    </tableColumn>
    <tableColumn id="2" xr3:uid="{0113A4C7-7287-4630-89A1-D54354E50A33}" name="1.00" dataDxfId="197">
      <calculatedColumnFormula>Z132*$AC$104</calculatedColumnFormula>
    </tableColumn>
    <tableColumn id="3" xr3:uid="{119EAC4B-EF29-42A8-ACD0-B08CFDA756F3}" name="2.00" dataDxfId="196">
      <calculatedColumnFormula>AA132*$AC$104</calculatedColumnFormula>
    </tableColumn>
    <tableColumn id="4" xr3:uid="{BAA858DB-0305-4201-8921-34B8035AAA60}" name="3.00" dataDxfId="195">
      <calculatedColumnFormula>AB132*$AC$104</calculatedColumnFormula>
    </tableColumn>
    <tableColumn id="5" xr3:uid="{08F65A1A-6CF5-45A4-BA60-435FD3AF2D05}" name="4.00" dataDxfId="194">
      <calculatedColumnFormula>AC132*$AC$104</calculatedColumnFormula>
    </tableColumn>
    <tableColumn id="6" xr3:uid="{CCD34BD4-BA18-4BEA-BA15-50BC1EFB1257}" name="5.00" dataDxfId="193">
      <calculatedColumnFormula>AD132*$AC$104</calculatedColumnFormula>
    </tableColumn>
  </tableColumns>
  <tableStyleInfo name="TableStyleMedium17"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97B6F253-3884-4E1C-B3E8-4253C47F7574}" name="Table788591129135137139141148162176" displayName="Table788591129135137139141148162176" ref="Y147:AD152" totalsRowShown="0" headerRowDxfId="192" dataDxfId="191" tableBorderDxfId="190" headerRowCellStyle="Percent">
  <autoFilter ref="Y147:AD152" xr:uid="{97B6F253-3884-4E1C-B3E8-4253C47F7574}">
    <filterColumn colId="0" hiddenButton="1"/>
    <filterColumn colId="1" hiddenButton="1"/>
    <filterColumn colId="2" hiddenButton="1"/>
    <filterColumn colId="3" hiddenButton="1"/>
    <filterColumn colId="4" hiddenButton="1"/>
    <filterColumn colId="5" hiddenButton="1"/>
  </autoFilter>
  <tableColumns count="6">
    <tableColumn id="1" xr3:uid="{32405503-4615-4286-8A14-38BE20FAAEB8}" name="WACC" dataDxfId="189" dataCellStyle="Percent">
      <calculatedColumnFormula>Y140</calculatedColumnFormula>
    </tableColumn>
    <tableColumn id="2" xr3:uid="{F6144D3D-F64B-486C-8E05-D16885DDF7AC}" name="1.00" dataDxfId="188">
      <calculatedColumnFormula>Z124+Z140</calculatedColumnFormula>
    </tableColumn>
    <tableColumn id="3" xr3:uid="{B51CCC7F-6B34-4E27-8B8A-040059A42C0F}" name="2.00" dataDxfId="187">
      <calculatedColumnFormula>AA124+AA140</calculatedColumnFormula>
    </tableColumn>
    <tableColumn id="4" xr3:uid="{FB443788-7F71-47BB-B29B-B0E292983340}" name="3.00" dataDxfId="186">
      <calculatedColumnFormula>AB124+AB140</calculatedColumnFormula>
    </tableColumn>
    <tableColumn id="5" xr3:uid="{44C7A76C-2A0F-452A-80E7-27C0B0B7EB24}" name="4.00" dataDxfId="185">
      <calculatedColumnFormula>AC124+AC140</calculatedColumnFormula>
    </tableColumn>
    <tableColumn id="6" xr3:uid="{446AF2CF-236B-4921-A8C4-F78B8EB1C9A9}" name="5.00" dataDxfId="184">
      <calculatedColumnFormula>AD124+AD140</calculatedColumnFormula>
    </tableColumn>
  </tableColumns>
  <tableStyleInfo name="TableStyleMedium17"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0E552285-E08D-49C1-8306-D3E6BA4E0644}" name="Table788591129135137139141144149163177" displayName="Table788591129135137139141144149163177" ref="Y155:AD160" totalsRowShown="0" headerRowDxfId="183" dataDxfId="182" tableBorderDxfId="181" headerRowCellStyle="Percent">
  <autoFilter ref="Y155:AD160" xr:uid="{0E552285-E08D-49C1-8306-D3E6BA4E0644}">
    <filterColumn colId="0" hiddenButton="1"/>
    <filterColumn colId="1" hiddenButton="1"/>
    <filterColumn colId="2" hiddenButton="1"/>
    <filterColumn colId="3" hiddenButton="1"/>
    <filterColumn colId="4" hiddenButton="1"/>
    <filterColumn colId="5" hiddenButton="1"/>
  </autoFilter>
  <tableColumns count="6">
    <tableColumn id="1" xr3:uid="{79CB7678-353C-4831-B731-A2A5B5E52532}" name="WACC" dataDxfId="180" dataCellStyle="Percent">
      <calculatedColumnFormula>Y148</calculatedColumnFormula>
    </tableColumn>
    <tableColumn id="2" xr3:uid="{911C1B04-2902-432F-979A-4A2FD276797D}" name="1.00" dataDxfId="179">
      <calculatedColumnFormula>Z148-$AE$104</calculatedColumnFormula>
    </tableColumn>
    <tableColumn id="3" xr3:uid="{2A062634-CF89-4E9D-A976-52112AEC0A99}" name="2.00" dataDxfId="178">
      <calculatedColumnFormula>AA148-$AE$104</calculatedColumnFormula>
    </tableColumn>
    <tableColumn id="4" xr3:uid="{6EB7EB5B-7B6B-42B7-9804-164767DF9853}" name="3.00" dataDxfId="177">
      <calculatedColumnFormula>AB148-$AE$104</calculatedColumnFormula>
    </tableColumn>
    <tableColumn id="5" xr3:uid="{58A038BE-A098-4573-A242-C7DEF7BE8E22}" name="4.00" dataDxfId="176">
      <calculatedColumnFormula>AC148-$AE$104</calculatedColumnFormula>
    </tableColumn>
    <tableColumn id="6" xr3:uid="{D9ABBF4F-0A9D-4EB7-B002-D54332075693}" name="5.00" dataDxfId="175">
      <calculatedColumnFormula>AD148-$AE$104</calculatedColumnFormula>
    </tableColumn>
  </tableColumns>
  <tableStyleInfo name="TableStyleMedium17"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3052B624-56F1-4360-99A6-886603058413}" name="Table144150164178" displayName="Table144150164178" ref="Y162:Y163" totalsRowShown="0" headerRowDxfId="174" dataDxfId="173">
  <autoFilter ref="Y162:Y163" xr:uid="{3052B624-56F1-4360-99A6-886603058413}">
    <filterColumn colId="0" hiddenButton="1"/>
  </autoFilter>
  <tableColumns count="1">
    <tableColumn id="1" xr3:uid="{79A55BCC-8E7E-4DEB-B27D-FB1FAB26CB96}" name="Shares" dataDxfId="172">
      <calculatedColumnFormula>'Relative Valuation'!E11</calculatedColumnFormula>
    </tableColumn>
  </tableColumns>
  <tableStyleInfo name="TableStyleMedium16"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E22D9827-3384-4E55-878F-E41F70DEB8BB}" name="Table788591129135137139141144147151165179" displayName="Table788591129135137139141144147151165179" ref="Y166:AD171" totalsRowShown="0" headerRowDxfId="171" dataDxfId="170" tableBorderDxfId="169" headerRowCellStyle="Percent">
  <autoFilter ref="Y166:AD171" xr:uid="{E22D9827-3384-4E55-878F-E41F70DEB8BB}">
    <filterColumn colId="0" hiddenButton="1"/>
    <filterColumn colId="1" hiddenButton="1"/>
    <filterColumn colId="2" hiddenButton="1"/>
    <filterColumn colId="3" hiddenButton="1"/>
    <filterColumn colId="4" hiddenButton="1"/>
    <filterColumn colId="5" hiddenButton="1"/>
  </autoFilter>
  <tableColumns count="6">
    <tableColumn id="1" xr3:uid="{EFA276DB-AF28-4356-AC25-556E07A52ECC}" name="WACC" dataDxfId="168" dataCellStyle="Percent">
      <calculatedColumnFormula>Y159</calculatedColumnFormula>
    </tableColumn>
    <tableColumn id="2" xr3:uid="{5750C800-6986-459E-9FC6-9CE6AE08BA6A}" name="1.00" dataDxfId="167">
      <calculatedColumnFormula>Z156/$Y$163</calculatedColumnFormula>
    </tableColumn>
    <tableColumn id="3" xr3:uid="{94E40BB6-6D50-43B1-9C48-1D4A4F71BA76}" name="2.00" dataDxfId="166">
      <calculatedColumnFormula>AA156/$Y$163</calculatedColumnFormula>
    </tableColumn>
    <tableColumn id="4" xr3:uid="{1030C0F0-4469-4485-9FC1-94D7C50E1214}" name="3.00" dataDxfId="165">
      <calculatedColumnFormula>AB156/$Y$163</calculatedColumnFormula>
    </tableColumn>
    <tableColumn id="5" xr3:uid="{BD076416-F6ED-4AA0-8347-ABA798D4D45F}" name="4.00" dataDxfId="164">
      <calculatedColumnFormula>AC156/$Y$163</calculatedColumnFormula>
    </tableColumn>
    <tableColumn id="6" xr3:uid="{AB796A63-BE23-434F-89F0-F12440C22AC1}" name="5.00" dataDxfId="163">
      <calculatedColumnFormula>AD156/$Y$163</calculatedColumnFormula>
    </tableColumn>
  </tableColumns>
  <tableStyleInfo name="TableStyleMedium17"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7A716B20-129C-4B97-BBDF-934D9082AD40}" name="Table788591129135140159180" displayName="Table788591129135140159180" ref="AG123:AL128" totalsRowShown="0" headerRowDxfId="162" dataDxfId="161" tableBorderDxfId="160" headerRowCellStyle="Percent">
  <autoFilter ref="AG123:AL128" xr:uid="{7A716B20-129C-4B97-BBDF-934D9082AD40}">
    <filterColumn colId="0" hiddenButton="1"/>
    <filterColumn colId="1" hiddenButton="1"/>
    <filterColumn colId="2" hiddenButton="1"/>
    <filterColumn colId="3" hiddenButton="1"/>
    <filterColumn colId="4" hiddenButton="1"/>
    <filterColumn colId="5" hiddenButton="1"/>
  </autoFilter>
  <tableColumns count="6">
    <tableColumn id="1" xr3:uid="{F555F8C3-F1BB-4213-9B67-127ECC346CF4}" name="WACC" dataDxfId="159" dataCellStyle="Percent">
      <calculatedColumnFormula>AG116</calculatedColumnFormula>
    </tableColumn>
    <tableColumn id="2" xr3:uid="{ABEFE86A-756B-4CE1-83E8-786F76517618}" name="1.00" dataDxfId="158">
      <calculatedColumnFormula>AH46+AH81+AH116</calculatedColumnFormula>
    </tableColumn>
    <tableColumn id="3" xr3:uid="{D168A081-0E81-4C98-B8A2-F9888A56DA43}" name="2.00" dataDxfId="157">
      <calculatedColumnFormula>AI46+AI81+AI116</calculatedColumnFormula>
    </tableColumn>
    <tableColumn id="4" xr3:uid="{4D81E0BB-2982-4745-8A81-0F6F48C150AA}" name="3.00" dataDxfId="156">
      <calculatedColumnFormula>AJ46+AJ81+AJ116</calculatedColumnFormula>
    </tableColumn>
    <tableColumn id="5" xr3:uid="{FE31B9F3-2758-42A8-8EB4-3B9DC0D08C88}" name="4.00" dataDxfId="155">
      <calculatedColumnFormula>AK46+AK81+AK116</calculatedColumnFormula>
    </tableColumn>
    <tableColumn id="6" xr3:uid="{A7DF6352-D478-4B76-A4F8-68759F60C6E2}" name="5.00" dataDxfId="154">
      <calculatedColumnFormula>AL46+AL81+AL116</calculatedColumnFormula>
    </tableColumn>
  </tableColumns>
  <tableStyleInfo name="TableStyleMedium17"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8EA86D2B-A62B-4C79-82C2-50284ACD467B}" name="Table788591129135137143160181" displayName="Table788591129135137143160181" ref="AG131:AL136" totalsRowShown="0" headerRowDxfId="153" dataDxfId="152" tableBorderDxfId="151" headerRowCellStyle="Percent">
  <autoFilter ref="AG131:AL136" xr:uid="{8EA86D2B-A62B-4C79-82C2-50284ACD467B}">
    <filterColumn colId="0" hiddenButton="1"/>
    <filterColumn colId="1" hiddenButton="1"/>
    <filterColumn colId="2" hiddenButton="1"/>
    <filterColumn colId="3" hiddenButton="1"/>
    <filterColumn colId="4" hiddenButton="1"/>
    <filterColumn colId="5" hiddenButton="1"/>
  </autoFilter>
  <tableColumns count="6">
    <tableColumn id="1" xr3:uid="{BF207EA6-AEAB-491F-9AFA-73FD32D4AFA5}" name="WACC" dataDxfId="150" dataCellStyle="Percent">
      <calculatedColumnFormula>AG124</calculatedColumnFormula>
    </tableColumn>
    <tableColumn id="2" xr3:uid="{2C9F7331-AD04-430C-82C9-CA20E7C56877}" name="1.00" dataDxfId="149">
      <calculatedColumnFormula>AH108/($AJ$104-$AL$104)</calculatedColumnFormula>
    </tableColumn>
    <tableColumn id="3" xr3:uid="{3705FAAB-4DD2-4DEC-99CA-FC607D8FB202}" name="2.00" dataDxfId="148">
      <calculatedColumnFormula>AI108/($AJ$104-$AL$104)</calculatedColumnFormula>
    </tableColumn>
    <tableColumn id="4" xr3:uid="{E4AE8FE9-9B12-4699-9001-150F9C9B74E3}" name="3.00" dataDxfId="147">
      <calculatedColumnFormula>AJ108/($AJ$104-$AL$104)</calculatedColumnFormula>
    </tableColumn>
    <tableColumn id="5" xr3:uid="{90D564C4-AB07-41DC-BD3E-239D38A54C88}" name="4.00" dataDxfId="146">
      <calculatedColumnFormula>AK108/($AJ$104-$AL$104)</calculatedColumnFormula>
    </tableColumn>
    <tableColumn id="6" xr3:uid="{978B304D-6974-4066-AC71-B1DF39DF165A}" name="5.00" dataDxfId="145">
      <calculatedColumnFormula>AL108/($AJ$104-$AL$104)</calculatedColumnFormula>
    </tableColumn>
  </tableColumns>
  <tableStyleInfo name="TableStyleMedium17"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7403359F-30EF-488A-BB8D-229A7899D7D5}" name="Table788591129135137139146161182" displayName="Table788591129135137139146161182" ref="AG139:AL144" totalsRowShown="0" headerRowDxfId="144" dataDxfId="143" tableBorderDxfId="142" headerRowCellStyle="Percent">
  <autoFilter ref="AG139:AL144" xr:uid="{7403359F-30EF-488A-BB8D-229A7899D7D5}">
    <filterColumn colId="0" hiddenButton="1"/>
    <filterColumn colId="1" hiddenButton="1"/>
    <filterColumn colId="2" hiddenButton="1"/>
    <filterColumn colId="3" hiddenButton="1"/>
    <filterColumn colId="4" hiddenButton="1"/>
    <filterColumn colId="5" hiddenButton="1"/>
  </autoFilter>
  <tableColumns count="6">
    <tableColumn id="1" xr3:uid="{9C6F818D-1442-4F17-AF95-65E1FFCF2BC6}" name="WACC" dataDxfId="141" dataCellStyle="Percent">
      <calculatedColumnFormula>AG132</calculatedColumnFormula>
    </tableColumn>
    <tableColumn id="2" xr3:uid="{FF788276-9272-405B-AA4A-44367D072CE8}" name="1.00" dataDxfId="140">
      <calculatedColumnFormula>AH132*$AK$104</calculatedColumnFormula>
    </tableColumn>
    <tableColumn id="3" xr3:uid="{F8FA5C4D-3071-4637-A77C-748B47485363}" name="2.00" dataDxfId="139">
      <calculatedColumnFormula>AI132*$AK$104</calculatedColumnFormula>
    </tableColumn>
    <tableColumn id="4" xr3:uid="{A95FA229-7B54-4CFB-9F53-876396E67112}" name="3.00" dataDxfId="138">
      <calculatedColumnFormula>AJ132*$AK$104</calculatedColumnFormula>
    </tableColumn>
    <tableColumn id="5" xr3:uid="{F353E873-35AE-4CC5-8C8D-C871612AB0BC}" name="4.00" dataDxfId="137">
      <calculatedColumnFormula>AK132*$AK$104</calculatedColumnFormula>
    </tableColumn>
    <tableColumn id="6" xr3:uid="{3A994285-ABFC-48C2-8595-19851362CD3F}" name="5.00" dataDxfId="136">
      <calculatedColumnFormula>AL132*$AK$104</calculatedColumnFormula>
    </tableColumn>
  </tableColumns>
  <tableStyleInfo name="TableStyleMedium17"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ABAF47A9-5D77-4BB7-9BA8-32279ED5C33C}" name="Table788591129135137139141148162183" displayName="Table788591129135137139141148162183" ref="AG147:AL152" totalsRowShown="0" headerRowDxfId="135" dataDxfId="134" tableBorderDxfId="133" headerRowCellStyle="Percent">
  <autoFilter ref="AG147:AL152" xr:uid="{ABAF47A9-5D77-4BB7-9BA8-32279ED5C33C}">
    <filterColumn colId="0" hiddenButton="1"/>
    <filterColumn colId="1" hiddenButton="1"/>
    <filterColumn colId="2" hiddenButton="1"/>
    <filterColumn colId="3" hiddenButton="1"/>
    <filterColumn colId="4" hiddenButton="1"/>
    <filterColumn colId="5" hiddenButton="1"/>
  </autoFilter>
  <tableColumns count="6">
    <tableColumn id="1" xr3:uid="{69D350E1-1BA4-4660-A440-301876B5DB45}" name="WACC" dataDxfId="132" dataCellStyle="Percent">
      <calculatedColumnFormula>AG140</calculatedColumnFormula>
    </tableColumn>
    <tableColumn id="2" xr3:uid="{6F402E82-6DCC-470C-9173-BF668124EF4E}" name="1.00" dataDxfId="131">
      <calculatedColumnFormula>AH140+AH124</calculatedColumnFormula>
    </tableColumn>
    <tableColumn id="3" xr3:uid="{23897D1C-9AF7-4CF3-AE02-CD53D0621A8D}" name="2.00" dataDxfId="130">
      <calculatedColumnFormula>AI140+AI124</calculatedColumnFormula>
    </tableColumn>
    <tableColumn id="4" xr3:uid="{9764D823-54AB-4428-87FE-598494045E30}" name="3.00" dataDxfId="129">
      <calculatedColumnFormula>AJ140+AJ124</calculatedColumnFormula>
    </tableColumn>
    <tableColumn id="5" xr3:uid="{8ECF5DDC-2BA6-49CD-90C6-4FD1854EC996}" name="4.00" dataDxfId="128">
      <calculatedColumnFormula>AK140+AK124</calculatedColumnFormula>
    </tableColumn>
    <tableColumn id="6" xr3:uid="{D0FF4DC5-C9AE-405C-96C5-2A252413AB3A}" name="5.00" dataDxfId="127">
      <calculatedColumnFormula>AL140+AL124</calculatedColumnFormula>
    </tableColumn>
  </tableColumns>
  <tableStyleInfo name="TableStyleMedium17" showFirstColumn="0" showLastColumn="0" showRowStripes="1" showColumnStripes="0"/>
</table>
</file>

<file path=xl/tables/table1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CF2940C7-1973-4F91-AC9D-05E18D56F544}" name="Table788591129135137139141144149163184" displayName="Table788591129135137139141144149163184" ref="AG155:AL160" totalsRowShown="0" headerRowDxfId="126" dataDxfId="125" tableBorderDxfId="124" headerRowCellStyle="Percent">
  <autoFilter ref="AG155:AL160" xr:uid="{CF2940C7-1973-4F91-AC9D-05E18D56F544}">
    <filterColumn colId="0" hiddenButton="1"/>
    <filterColumn colId="1" hiddenButton="1"/>
    <filterColumn colId="2" hiddenButton="1"/>
    <filterColumn colId="3" hiddenButton="1"/>
    <filterColumn colId="4" hiddenButton="1"/>
    <filterColumn colId="5" hiddenButton="1"/>
  </autoFilter>
  <tableColumns count="6">
    <tableColumn id="1" xr3:uid="{9BD0CD8E-561A-4517-851A-C2115F1DB4D8}" name="WACC" dataDxfId="123" dataCellStyle="Percent">
      <calculatedColumnFormula>AG148</calculatedColumnFormula>
    </tableColumn>
    <tableColumn id="2" xr3:uid="{0BB2A1ED-0BA8-45B5-B9FE-0762272BC439}" name="1.00" dataDxfId="122">
      <calculatedColumnFormula>AH148-$AM$104</calculatedColumnFormula>
    </tableColumn>
    <tableColumn id="3" xr3:uid="{85E5D78F-AE14-407E-B671-AF8C8D0269DC}" name="2.00" dataDxfId="121">
      <calculatedColumnFormula>AI148-$AM$104</calculatedColumnFormula>
    </tableColumn>
    <tableColumn id="4" xr3:uid="{C1EC82A9-26E5-4BE9-8AC7-1AB527B64D5B}" name="3.00" dataDxfId="120">
      <calculatedColumnFormula>AJ148-$AM$104</calculatedColumnFormula>
    </tableColumn>
    <tableColumn id="5" xr3:uid="{8A0BAF54-93FD-4CF2-A993-784A2E830873}" name="4.00" dataDxfId="119">
      <calculatedColumnFormula>AK148-$AM$104</calculatedColumnFormula>
    </tableColumn>
    <tableColumn id="6" xr3:uid="{65A41934-5ADF-4381-925F-A61B70DAF3AC}" name="5.00" dataDxfId="118">
      <calculatedColumnFormula>AL148-$AM$104</calculatedColumnFormula>
    </tableColumn>
  </tableColumns>
  <tableStyleInfo name="TableStyleMedium17" showFirstColumn="0" showLastColumn="0" showRowStripes="1" showColumnStripes="0"/>
</table>
</file>

<file path=xl/tables/table1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76DB2404-45C0-466B-BB18-070ABB906B64}" name="Table144150164185" displayName="Table144150164185" ref="AG162:AG163" totalsRowShown="0" headerRowDxfId="117" dataDxfId="116">
  <autoFilter ref="AG162:AG163" xr:uid="{76DB2404-45C0-466B-BB18-070ABB906B64}">
    <filterColumn colId="0" hiddenButton="1"/>
  </autoFilter>
  <tableColumns count="1">
    <tableColumn id="1" xr3:uid="{C924C173-5358-429D-9F4D-CDFD0977863F}" name="Shares" dataDxfId="115">
      <calculatedColumnFormula>'Relative Valuation'!F11</calculatedColumnFormula>
    </tableColumn>
  </tableColumns>
  <tableStyleInfo name="TableStyleMedium16" showFirstColumn="0" showLastColumn="0" showRowStripes="1" showColumnStripes="0"/>
</table>
</file>

<file path=xl/tables/table1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7611750F-F197-44A0-8DA3-42D1C31D7A55}" name="Table788591129135137139141144147151165186" displayName="Table788591129135137139141144147151165186" ref="AG166:AL171" totalsRowShown="0" headerRowDxfId="114" dataDxfId="113" tableBorderDxfId="112" headerRowCellStyle="Percent">
  <autoFilter ref="AG166:AL171" xr:uid="{7611750F-F197-44A0-8DA3-42D1C31D7A55}">
    <filterColumn colId="0" hiddenButton="1"/>
    <filterColumn colId="1" hiddenButton="1"/>
    <filterColumn colId="2" hiddenButton="1"/>
    <filterColumn colId="3" hiddenButton="1"/>
    <filterColumn colId="4" hiddenButton="1"/>
    <filterColumn colId="5" hiddenButton="1"/>
  </autoFilter>
  <tableColumns count="6">
    <tableColumn id="1" xr3:uid="{51B998E0-4156-41CF-800D-26FDEABDA5CA}" name="WACC" dataDxfId="111" dataCellStyle="Percent">
      <calculatedColumnFormula>AG159</calculatedColumnFormula>
    </tableColumn>
    <tableColumn id="2" xr3:uid="{F5136209-5D86-4EE8-AE1B-D6484FB64695}" name="1.00" dataDxfId="110">
      <calculatedColumnFormula>AH156/$AG$163</calculatedColumnFormula>
    </tableColumn>
    <tableColumn id="3" xr3:uid="{4171C08C-AA64-4306-82D2-7A4C8E1B8BA7}" name="2.00" dataDxfId="109">
      <calculatedColumnFormula>AI156/$AG$163</calculatedColumnFormula>
    </tableColumn>
    <tableColumn id="4" xr3:uid="{1AE698DD-D74D-4F4E-9622-6466B0CC337E}" name="3.00" dataDxfId="108">
      <calculatedColumnFormula>AJ156/$AG$163</calculatedColumnFormula>
    </tableColumn>
    <tableColumn id="5" xr3:uid="{3F9F4753-53A3-45BB-A47B-94363D2C170A}" name="4.00" dataDxfId="107">
      <calculatedColumnFormula>AK156/$AG$163</calculatedColumnFormula>
    </tableColumn>
    <tableColumn id="6" xr3:uid="{809FF068-B8A8-4748-B6EA-3A16FDF4DEC5}" name="5.00" dataDxfId="106">
      <calculatedColumnFormula>AL156/$AG$163</calculatedColumnFormula>
    </tableColumn>
  </tableColumns>
  <tableStyleInfo name="TableStyleMedium17" showFirstColumn="0" showLastColumn="0" showRowStripes="1" showColumnStripes="0"/>
</table>
</file>

<file path=xl/tables/table1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007FCB9C-A2DD-4672-8D04-1D957819CDE3}" name="Table788591129135140159187" displayName="Table788591129135140159187" ref="AO123:AT128" totalsRowShown="0" headerRowDxfId="105" dataDxfId="104" tableBorderDxfId="103" headerRowCellStyle="Percent">
  <autoFilter ref="AO123:AT128" xr:uid="{007FCB9C-A2DD-4672-8D04-1D957819CDE3}">
    <filterColumn colId="0" hiddenButton="1"/>
    <filterColumn colId="1" hiddenButton="1"/>
    <filterColumn colId="2" hiddenButton="1"/>
    <filterColumn colId="3" hiddenButton="1"/>
    <filterColumn colId="4" hiddenButton="1"/>
    <filterColumn colId="5" hiddenButton="1"/>
  </autoFilter>
  <tableColumns count="6">
    <tableColumn id="1" xr3:uid="{F3CA34BC-6968-460F-A2E9-510A9F737D7B}" name="WACC" dataDxfId="102" dataCellStyle="Percent">
      <calculatedColumnFormula>AO116</calculatedColumnFormula>
    </tableColumn>
    <tableColumn id="2" xr3:uid="{A09234B2-733E-46CC-9E0F-67D165A40D5F}" name="1.00" dataDxfId="101">
      <calculatedColumnFormula>AP46+AP81+AP116</calculatedColumnFormula>
    </tableColumn>
    <tableColumn id="3" xr3:uid="{06393A8F-50A3-4668-9513-E59ABEBB0DB6}" name="2.00" dataDxfId="100">
      <calculatedColumnFormula>AQ46+AQ81+AQ116</calculatedColumnFormula>
    </tableColumn>
    <tableColumn id="4" xr3:uid="{99BDE21D-F5D1-4749-8336-7B049745BA6A}" name="3.00" dataDxfId="99">
      <calculatedColumnFormula>AR46+AR81+AR116</calculatedColumnFormula>
    </tableColumn>
    <tableColumn id="5" xr3:uid="{98906E4E-FD28-4052-BDD5-3BBB50AC3DE8}" name="4.00" dataDxfId="98">
      <calculatedColumnFormula>AS46+AS81+AS116</calculatedColumnFormula>
    </tableColumn>
    <tableColumn id="6" xr3:uid="{8D191908-29FB-4649-9BB3-0BB0180D2A05}" name="5.00" dataDxfId="97">
      <calculatedColumnFormula>AT46+AT81+AT116</calculatedColumnFormula>
    </tableColumn>
  </tableColumns>
  <tableStyleInfo name="TableStyleMedium16" showFirstColumn="0" showLastColumn="0" showRowStripes="1" showColumnStripes="0"/>
</table>
</file>

<file path=xl/tables/table1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94A95829-4351-49A8-AC2A-466039E31639}" name="Table788591129135137143160188" displayName="Table788591129135137143160188" ref="AO131:AT136" totalsRowShown="0" headerRowDxfId="96" dataDxfId="95" tableBorderDxfId="94" headerRowCellStyle="Percent">
  <autoFilter ref="AO131:AT136" xr:uid="{94A95829-4351-49A8-AC2A-466039E31639}">
    <filterColumn colId="0" hiddenButton="1"/>
    <filterColumn colId="1" hiddenButton="1"/>
    <filterColumn colId="2" hiddenButton="1"/>
    <filterColumn colId="3" hiddenButton="1"/>
    <filterColumn colId="4" hiddenButton="1"/>
    <filterColumn colId="5" hiddenButton="1"/>
  </autoFilter>
  <tableColumns count="6">
    <tableColumn id="1" xr3:uid="{1379118A-5410-4C9D-B3BF-FA43FA62837B}" name="WACC" dataDxfId="93" dataCellStyle="Percent">
      <calculatedColumnFormula>AO124</calculatedColumnFormula>
    </tableColumn>
    <tableColumn id="2" xr3:uid="{D0F24681-8D55-4F1B-A39A-A656817E683A}" name="1.00" dataDxfId="92" dataCellStyle="Comma">
      <calculatedColumnFormula>AP108/($AR$104-$AT$104)</calculatedColumnFormula>
    </tableColumn>
    <tableColumn id="3" xr3:uid="{7FC3DAB3-C9F2-4DB6-A371-4C44DB175210}" name="2.00" dataDxfId="91" dataCellStyle="Comma">
      <calculatedColumnFormula>AQ108/($AR$104-$AT$104)</calculatedColumnFormula>
    </tableColumn>
    <tableColumn id="4" xr3:uid="{D06477DA-402F-455F-975D-328E7D8ADF22}" name="3.00" dataDxfId="90" dataCellStyle="Comma">
      <calculatedColumnFormula>AR108/($AR$104-$AT$104)</calculatedColumnFormula>
    </tableColumn>
    <tableColumn id="5" xr3:uid="{8272C829-E036-4F0A-8E1E-331BBFC707D8}" name="4.00" dataDxfId="89" dataCellStyle="Comma">
      <calculatedColumnFormula>AS108/($AR$104-$AT$104)</calculatedColumnFormula>
    </tableColumn>
    <tableColumn id="6" xr3:uid="{A51EA847-70E8-48BC-ABB5-34D959A5F422}" name="5.00" dataDxfId="88" dataCellStyle="Comma">
      <calculatedColumnFormula>AT108/($AR$104-$AT$104)</calculatedColumnFormula>
    </tableColumn>
  </tableColumns>
  <tableStyleInfo name="TableStyleMedium17" showFirstColumn="0" showLastColumn="0" showRowStripes="1" showColumnStripes="0"/>
</table>
</file>

<file path=xl/tables/table1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CA7CA979-37B9-4C25-933C-B313E7D56211}" name="Table788591129135137139146161189" displayName="Table788591129135137139146161189" ref="AO139:AT144" totalsRowShown="0" headerRowDxfId="87" dataDxfId="86" tableBorderDxfId="85" headerRowCellStyle="Percent">
  <autoFilter ref="AO139:AT144" xr:uid="{CA7CA979-37B9-4C25-933C-B313E7D56211}">
    <filterColumn colId="0" hiddenButton="1"/>
    <filterColumn colId="1" hiddenButton="1"/>
    <filterColumn colId="2" hiddenButton="1"/>
    <filterColumn colId="3" hiddenButton="1"/>
    <filterColumn colId="4" hiddenButton="1"/>
    <filterColumn colId="5" hiddenButton="1"/>
  </autoFilter>
  <tableColumns count="6">
    <tableColumn id="1" xr3:uid="{C3E86519-6812-4418-AD8C-097E89ECADC9}" name="WACC" dataDxfId="84" dataCellStyle="Percent">
      <calculatedColumnFormula>AO132</calculatedColumnFormula>
    </tableColumn>
    <tableColumn id="2" xr3:uid="{01A43B4B-35F1-4B07-8935-3738EAFE3E84}" name="1.00" dataDxfId="83">
      <calculatedColumnFormula>AP132*$AS$104</calculatedColumnFormula>
    </tableColumn>
    <tableColumn id="3" xr3:uid="{B453ACEB-B618-4405-8229-32015BA352D2}" name="2.00" dataDxfId="82">
      <calculatedColumnFormula>AQ132*$AS$104</calculatedColumnFormula>
    </tableColumn>
    <tableColumn id="4" xr3:uid="{B8CD4926-E91C-4523-94AC-4D41365F8975}" name="3.00" dataDxfId="81">
      <calculatedColumnFormula>AR132*$AS$104</calculatedColumnFormula>
    </tableColumn>
    <tableColumn id="5" xr3:uid="{B55373E5-F874-472A-B272-D91D571D8B18}" name="4.00" dataDxfId="80">
      <calculatedColumnFormula>AS132*$AS$104</calculatedColumnFormula>
    </tableColumn>
    <tableColumn id="6" xr3:uid="{5316920E-1C36-4944-B9D0-3B8FD3CF0493}" name="5.00" dataDxfId="79">
      <calculatedColumnFormula>AT132*$AS$104</calculatedColumnFormula>
    </tableColumn>
  </tableColumns>
  <tableStyleInfo name="TableStyleMedium17" showFirstColumn="0" showLastColumn="0" showRowStripes="1" showColumnStripes="0"/>
</table>
</file>

<file path=xl/tables/table1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15495BC1-7CF0-4C30-96E3-6F013FCB8761}" name="Table788591129135137139141148162190" displayName="Table788591129135137139141148162190" ref="AO147:AT152" totalsRowShown="0" headerRowDxfId="78" dataDxfId="77" tableBorderDxfId="76" headerRowCellStyle="Percent">
  <autoFilter ref="AO147:AT152" xr:uid="{15495BC1-7CF0-4C30-96E3-6F013FCB8761}">
    <filterColumn colId="0" hiddenButton="1"/>
    <filterColumn colId="1" hiddenButton="1"/>
    <filterColumn colId="2" hiddenButton="1"/>
    <filterColumn colId="3" hiddenButton="1"/>
    <filterColumn colId="4" hiddenButton="1"/>
    <filterColumn colId="5" hiddenButton="1"/>
  </autoFilter>
  <tableColumns count="6">
    <tableColumn id="1" xr3:uid="{B445C99D-23C5-4E9D-8169-3AEBC5AF1814}" name="WACC" dataDxfId="75" dataCellStyle="Percent">
      <calculatedColumnFormula>AO140</calculatedColumnFormula>
    </tableColumn>
    <tableColumn id="2" xr3:uid="{82EDB732-689E-4D48-845B-FCD18427E8C5}" name="1.00" dataDxfId="74">
      <calculatedColumnFormula>AP124+AP140</calculatedColumnFormula>
    </tableColumn>
    <tableColumn id="3" xr3:uid="{10BA6386-43FE-4147-AAD0-B95539576F37}" name="2.00" dataDxfId="73">
      <calculatedColumnFormula>AQ124+AQ140</calculatedColumnFormula>
    </tableColumn>
    <tableColumn id="4" xr3:uid="{E6E57D16-2C7B-4119-B60B-8E66CFDCA5BF}" name="3.00" dataDxfId="72">
      <calculatedColumnFormula>AR124+AR140</calculatedColumnFormula>
    </tableColumn>
    <tableColumn id="5" xr3:uid="{8518C823-B92F-4AC0-8524-6AD77196AC42}" name="4.00" dataDxfId="71">
      <calculatedColumnFormula>AS124+AS140</calculatedColumnFormula>
    </tableColumn>
    <tableColumn id="6" xr3:uid="{77F7750C-A178-4472-B87F-C373AF5C0EF6}" name="5.00" dataDxfId="70">
      <calculatedColumnFormula>AT124+AT140</calculatedColumnFormula>
    </tableColumn>
  </tableColumns>
  <tableStyleInfo name="TableStyleMedium17" showFirstColumn="0" showLastColumn="0" showRowStripes="1" showColumnStripes="0"/>
</table>
</file>

<file path=xl/tables/table1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89FEB781-C0B0-44B6-8BCB-AF34CB00FC96}" name="Table788591129135137139141144149163191" displayName="Table788591129135137139141144149163191" ref="AO155:AT160" totalsRowShown="0" headerRowDxfId="69" dataDxfId="68" tableBorderDxfId="67" headerRowCellStyle="Percent">
  <autoFilter ref="AO155:AT160" xr:uid="{89FEB781-C0B0-44B6-8BCB-AF34CB00FC96}">
    <filterColumn colId="0" hiddenButton="1"/>
    <filterColumn colId="1" hiddenButton="1"/>
    <filterColumn colId="2" hiddenButton="1"/>
    <filterColumn colId="3" hiddenButton="1"/>
    <filterColumn colId="4" hiddenButton="1"/>
    <filterColumn colId="5" hiddenButton="1"/>
  </autoFilter>
  <tableColumns count="6">
    <tableColumn id="1" xr3:uid="{0711A0B3-A46B-4188-B164-E2008D730A17}" name="WACC" dataDxfId="66" dataCellStyle="Percent">
      <calculatedColumnFormula>AO148</calculatedColumnFormula>
    </tableColumn>
    <tableColumn id="2" xr3:uid="{764F022D-36D3-4420-8EEB-59B9C76C6E29}" name="1.00" dataDxfId="65">
      <calculatedColumnFormula>AP148-$AU$104</calculatedColumnFormula>
    </tableColumn>
    <tableColumn id="3" xr3:uid="{C97F138F-45E7-4036-A3AE-69CFDB3403A5}" name="2.00" dataDxfId="64">
      <calculatedColumnFormula>AQ148-$AU$104</calculatedColumnFormula>
    </tableColumn>
    <tableColumn id="4" xr3:uid="{6B4B7A49-4124-48A9-9799-FF47466B0E97}" name="3.00" dataDxfId="63">
      <calculatedColumnFormula>AR148-$AU$104</calculatedColumnFormula>
    </tableColumn>
    <tableColumn id="5" xr3:uid="{B2509F4E-A6A0-4612-AF81-F8EAA21D99F7}" name="4.00" dataDxfId="62">
      <calculatedColumnFormula>AS148-$AU$104</calculatedColumnFormula>
    </tableColumn>
    <tableColumn id="6" xr3:uid="{1A17959D-2CB4-47BC-883D-3AABA7A78DBE}" name="5.00" dataDxfId="61">
      <calculatedColumnFormula>AT148-$AU$104</calculatedColumnFormula>
    </tableColumn>
  </tableColumns>
  <tableStyleInfo name="TableStyleMedium17" showFirstColumn="0" showLastColumn="0" showRowStripes="1" showColumnStripes="0"/>
</table>
</file>

<file path=xl/tables/table1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1" xr:uid="{736C49DB-2625-453B-A46D-EF6AB21D796C}" name="Table144150164192" displayName="Table144150164192" ref="AO162:AO163" totalsRowShown="0" headerRowDxfId="60" dataDxfId="59">
  <autoFilter ref="AO162:AO163" xr:uid="{736C49DB-2625-453B-A46D-EF6AB21D796C}">
    <filterColumn colId="0" hiddenButton="1"/>
  </autoFilter>
  <tableColumns count="1">
    <tableColumn id="1" xr3:uid="{B41B5041-2081-498E-B1B7-266FCCA85810}" name="Shares" dataDxfId="58">
      <calculatedColumnFormula>'Relative Valuation'!G11</calculatedColumnFormula>
    </tableColumn>
  </tableColumns>
  <tableStyleInfo name="TableStyleMedium16" showFirstColumn="0" showLastColumn="0" showRowStripes="1" showColumnStripes="0"/>
</table>
</file>

<file path=xl/tables/table1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2" xr:uid="{05DC6747-3B51-440D-9269-6770E3798317}" name="Table788591129135137139141144147151165193" displayName="Table788591129135137139141144147151165193" ref="AO166:AT171" totalsRowShown="0" headerRowDxfId="57" dataDxfId="56" tableBorderDxfId="55" headerRowCellStyle="Percent">
  <autoFilter ref="AO166:AT171" xr:uid="{05DC6747-3B51-440D-9269-6770E3798317}">
    <filterColumn colId="0" hiddenButton="1"/>
    <filterColumn colId="1" hiddenButton="1"/>
    <filterColumn colId="2" hiddenButton="1"/>
    <filterColumn colId="3" hiddenButton="1"/>
    <filterColumn colId="4" hiddenButton="1"/>
    <filterColumn colId="5" hiddenButton="1"/>
  </autoFilter>
  <tableColumns count="6">
    <tableColumn id="1" xr3:uid="{28EE7CFA-F8E1-4294-913E-5A76556CEC73}" name="WACC" dataDxfId="54" dataCellStyle="Percent">
      <calculatedColumnFormula>AO159</calculatedColumnFormula>
    </tableColumn>
    <tableColumn id="2" xr3:uid="{03896540-D92D-4F62-82E1-71DD5393A9D7}" name="1.00" dataDxfId="53">
      <calculatedColumnFormula>AP156/$AO$163</calculatedColumnFormula>
    </tableColumn>
    <tableColumn id="3" xr3:uid="{F0DC1DFC-3A2C-481A-901B-82022BCBE3F2}" name="2.00" dataDxfId="52">
      <calculatedColumnFormula>AQ156/$AO$163</calculatedColumnFormula>
    </tableColumn>
    <tableColumn id="4" xr3:uid="{660BA921-ACA2-4158-897E-55D38A3FD06A}" name="3.00" dataDxfId="51">
      <calculatedColumnFormula>AR156/$AO$163</calculatedColumnFormula>
    </tableColumn>
    <tableColumn id="5" xr3:uid="{ED92717F-FC40-4ECD-AB7D-33B19488B81B}" name="4.00" dataDxfId="50">
      <calculatedColumnFormula>AS156/$AO$163</calculatedColumnFormula>
    </tableColumn>
    <tableColumn id="6" xr3:uid="{CA919324-53D1-453E-90FD-40D896FE40FF}" name="5.00" dataDxfId="49">
      <calculatedColumnFormula>AT156/$AO$163</calculatedColumnFormula>
    </tableColumn>
  </tableColumns>
  <tableStyleInfo name="TableStyleMedium17" showFirstColumn="0" showLastColumn="0" showRowStripes="1" showColumnStripes="0"/>
</table>
</file>

<file path=xl/tables/table1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3" xr:uid="{075A2DF3-2296-423E-9594-9C32D4F5A3D0}" name="Table193" displayName="Table193" ref="AO18:AU23" totalsRowShown="0" headerRowDxfId="48" dataDxfId="46" headerRowBorderDxfId="47" tableBorderDxfId="45" headerRowCellStyle="Percent">
  <autoFilter ref="AO18:AU23" xr:uid="{075A2DF3-2296-423E-9594-9C32D4F5A3D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B4BFB72-EEE6-479E-925B-66FC0D86E08E}" name="Growth" dataDxfId="44">
      <calculatedColumnFormula>AM3</calculatedColumnFormula>
    </tableColumn>
    <tableColumn id="2" xr3:uid="{A60F8C31-C3AB-4B9E-9C3E-986064E55026}" name="24.0%" dataDxfId="43"/>
    <tableColumn id="3" xr3:uid="{56B24E1D-9395-4D8B-9908-57E21072D0C4}" name="26.0%" dataDxfId="42"/>
    <tableColumn id="4" xr3:uid="{B25A0DA5-C3E6-4C82-A56F-6C37EE923508}" name="28.1%" dataDxfId="41"/>
    <tableColumn id="5" xr3:uid="{FC6AE53C-F4E8-4BF4-AAC8-A9BB654BD434}" name="30.0%" dataDxfId="40"/>
    <tableColumn id="6" xr3:uid="{1B7C95E1-E9CB-433D-AA19-88B69097F5FC}" name="32.0%" dataDxfId="39"/>
    <tableColumn id="7" xr3:uid="{E0CB2BCE-7E09-4A7D-A5DD-3C88A7FDFEDC}" name="Revenue" dataDxfId="38">
      <calculatedColumnFormula>$B$7*(1+Table193[[#This Row],[Growth]])</calculatedColumnFormula>
    </tableColumn>
  </tableColumns>
  <tableStyleInfo name="TableStyleMedium16" showFirstColumn="0" showLastColumn="0" showRowStripes="1" showColumnStripes="0"/>
</table>
</file>

<file path=xl/tables/table1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4" xr:uid="{5F4E7A45-7454-41AC-82EC-8C2FE369ACFD}" name="Table194" displayName="Table194" ref="AO53:AU58" totalsRowShown="0" headerRowDxfId="37" dataDxfId="35" headerRowBorderDxfId="36" tableBorderDxfId="34" totalsRowBorderDxfId="33" headerRowCellStyle="Percent">
  <autoFilter ref="AO53:AU58" xr:uid="{5F4E7A45-7454-41AC-82EC-8C2FE369ACF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D7FC9AE-55A0-4EA4-BA0D-A2DB28A1FC72}" name="Growth" dataDxfId="32">
      <calculatedColumnFormula>AO46</calculatedColumnFormula>
    </tableColumn>
    <tableColumn id="2" xr3:uid="{F9E01BD2-8C39-4F0E-81A3-53969CDF38DE}" name="24.0%" dataDxfId="31"/>
    <tableColumn id="3" xr3:uid="{9F036307-38C9-4DC3-8ADD-DC604A4B8917}" name="26.0%" dataDxfId="30"/>
    <tableColumn id="4" xr3:uid="{35F9E969-BB7B-4BB7-8EFE-2CD514C1A9FC}" name="28.1%" dataDxfId="29"/>
    <tableColumn id="5" xr3:uid="{5E92FD0E-CB88-479F-9F03-A5476BEC08DC}" name="30.0%" dataDxfId="28"/>
    <tableColumn id="6" xr3:uid="{96752EF7-F0B8-4112-8E92-D1E39758B2BB}" name="32.0%" dataDxfId="27"/>
    <tableColumn id="7" xr3:uid="{CD0F575D-FF76-41CF-97C1-B8A0507046C7}" name="Revenue" dataDxfId="26">
      <calculatedColumnFormula>AU19*(1+Table194[[#This Row],[Growth]])</calculatedColumnFormula>
    </tableColumn>
  </tableColumns>
  <tableStyleInfo name="TableStyleMedium16" showFirstColumn="0" showLastColumn="0" showRowStripes="1" showColumnStripes="0"/>
</table>
</file>

<file path=xl/tables/table1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5" xr:uid="{F997BD89-F2FB-448F-A773-9D64EFC80E60}" name="Table195" displayName="Table195" ref="AO88:AU93" totalsRowShown="0" headerRowDxfId="25" dataDxfId="23" headerRowBorderDxfId="24" headerRowCellStyle="Percent">
  <autoFilter ref="AO88:AU93" xr:uid="{F997BD89-F2FB-448F-A773-9D64EFC80E6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9FA1453-5824-44AF-BB03-153C91B0F5E5}" name="Growth" dataDxfId="22">
      <calculatedColumnFormula>AO81</calculatedColumnFormula>
    </tableColumn>
    <tableColumn id="2" xr3:uid="{E2D8E4F9-F501-40E9-BAE9-A0716BE0DF43}" name="24.0%" dataDxfId="21"/>
    <tableColumn id="3" xr3:uid="{030C1703-AAAE-427E-86B1-39A88903E0C3}" name="26.0%" dataDxfId="20"/>
    <tableColumn id="4" xr3:uid="{4C691F21-27E1-47D1-9A47-3AA90775DD12}" name="28.1%" dataDxfId="19"/>
    <tableColumn id="5" xr3:uid="{5EED6CFC-0EB2-4AD0-8999-4AD6D3AD4AE5}" name="30.0%" dataDxfId="18"/>
    <tableColumn id="6" xr3:uid="{5AA2CA9D-613D-463A-A8A9-13386F0AE33F}" name="32.0%" dataDxfId="17"/>
    <tableColumn id="7" xr3:uid="{2ED34479-F9FC-4ABC-A4B2-DA0AE63270CB}" name="Revenue" dataDxfId="16">
      <calculatedColumnFormula>AU54*(1+Table195[[#This Row],[Growth]])</calculatedColumnFormula>
    </tableColumn>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image" Target="../media/image8.jpeg"/></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image" Target="../media/image8.jpeg"/><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openxmlformats.org/officeDocument/2006/relationships/table" Target="../tables/table8.xml"/><Relationship Id="rId7" Type="http://schemas.openxmlformats.org/officeDocument/2006/relationships/table" Target="../tables/table12.xml"/><Relationship Id="rId2" Type="http://schemas.openxmlformats.org/officeDocument/2006/relationships/table" Target="../tables/table7.xml"/><Relationship Id="rId1" Type="http://schemas.openxmlformats.org/officeDocument/2006/relationships/image" Target="../media/image8.jpeg"/><Relationship Id="rId6" Type="http://schemas.openxmlformats.org/officeDocument/2006/relationships/table" Target="../tables/table11.xml"/><Relationship Id="rId5" Type="http://schemas.openxmlformats.org/officeDocument/2006/relationships/table" Target="../tables/table10.xml"/><Relationship Id="rId4" Type="http://schemas.openxmlformats.org/officeDocument/2006/relationships/table" Target="../tables/table9.xml"/></Relationships>
</file>

<file path=xl/worksheets/_rels/sheet4.xml.rels><?xml version="1.0" encoding="UTF-8" standalone="yes"?>
<Relationships xmlns="http://schemas.openxmlformats.org/package/2006/relationships"><Relationship Id="rId8" Type="http://schemas.openxmlformats.org/officeDocument/2006/relationships/table" Target="../tables/table19.xml"/><Relationship Id="rId13" Type="http://schemas.openxmlformats.org/officeDocument/2006/relationships/table" Target="../tables/table24.xml"/><Relationship Id="rId18" Type="http://schemas.openxmlformats.org/officeDocument/2006/relationships/table" Target="../tables/table29.xml"/><Relationship Id="rId3" Type="http://schemas.openxmlformats.org/officeDocument/2006/relationships/table" Target="../tables/table14.xml"/><Relationship Id="rId7" Type="http://schemas.openxmlformats.org/officeDocument/2006/relationships/table" Target="../tables/table18.xml"/><Relationship Id="rId12" Type="http://schemas.openxmlformats.org/officeDocument/2006/relationships/table" Target="../tables/table23.xml"/><Relationship Id="rId17" Type="http://schemas.openxmlformats.org/officeDocument/2006/relationships/table" Target="../tables/table28.xml"/><Relationship Id="rId2" Type="http://schemas.openxmlformats.org/officeDocument/2006/relationships/table" Target="../tables/table13.xml"/><Relationship Id="rId16" Type="http://schemas.openxmlformats.org/officeDocument/2006/relationships/table" Target="../tables/table27.xml"/><Relationship Id="rId1" Type="http://schemas.openxmlformats.org/officeDocument/2006/relationships/image" Target="../media/image8.jpeg"/><Relationship Id="rId6" Type="http://schemas.openxmlformats.org/officeDocument/2006/relationships/table" Target="../tables/table17.xml"/><Relationship Id="rId11" Type="http://schemas.openxmlformats.org/officeDocument/2006/relationships/table" Target="../tables/table22.xml"/><Relationship Id="rId5" Type="http://schemas.openxmlformats.org/officeDocument/2006/relationships/table" Target="../tables/table16.xml"/><Relationship Id="rId15" Type="http://schemas.openxmlformats.org/officeDocument/2006/relationships/table" Target="../tables/table26.xml"/><Relationship Id="rId10" Type="http://schemas.openxmlformats.org/officeDocument/2006/relationships/table" Target="../tables/table21.xml"/><Relationship Id="rId19" Type="http://schemas.openxmlformats.org/officeDocument/2006/relationships/table" Target="../tables/table30.xml"/><Relationship Id="rId4" Type="http://schemas.openxmlformats.org/officeDocument/2006/relationships/table" Target="../tables/table15.xml"/><Relationship Id="rId9" Type="http://schemas.openxmlformats.org/officeDocument/2006/relationships/table" Target="../tables/table20.xml"/><Relationship Id="rId14" Type="http://schemas.openxmlformats.org/officeDocument/2006/relationships/table" Target="../tables/table25.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2.xml"/><Relationship Id="rId7" Type="http://schemas.openxmlformats.org/officeDocument/2006/relationships/table" Target="../tables/table36.xml"/><Relationship Id="rId2" Type="http://schemas.openxmlformats.org/officeDocument/2006/relationships/table" Target="../tables/table31.xml"/><Relationship Id="rId1" Type="http://schemas.openxmlformats.org/officeDocument/2006/relationships/image" Target="../media/image8.jpeg"/><Relationship Id="rId6" Type="http://schemas.openxmlformats.org/officeDocument/2006/relationships/table" Target="../tables/table35.xml"/><Relationship Id="rId5" Type="http://schemas.openxmlformats.org/officeDocument/2006/relationships/table" Target="../tables/table34.xml"/><Relationship Id="rId4" Type="http://schemas.openxmlformats.org/officeDocument/2006/relationships/table" Target="../tables/table33.xml"/></Relationships>
</file>

<file path=xl/worksheets/_rels/sheet6.xml.rels><?xml version="1.0" encoding="UTF-8" standalone="yes"?>
<Relationships xmlns="http://schemas.openxmlformats.org/package/2006/relationships"><Relationship Id="rId8" Type="http://schemas.openxmlformats.org/officeDocument/2006/relationships/table" Target="../tables/table43.xml"/><Relationship Id="rId3" Type="http://schemas.openxmlformats.org/officeDocument/2006/relationships/table" Target="../tables/table38.xml"/><Relationship Id="rId7" Type="http://schemas.openxmlformats.org/officeDocument/2006/relationships/table" Target="../tables/table42.xml"/><Relationship Id="rId2" Type="http://schemas.openxmlformats.org/officeDocument/2006/relationships/table" Target="../tables/table37.xml"/><Relationship Id="rId1" Type="http://schemas.openxmlformats.org/officeDocument/2006/relationships/image" Target="../media/image8.jpeg"/><Relationship Id="rId6" Type="http://schemas.openxmlformats.org/officeDocument/2006/relationships/table" Target="../tables/table41.xml"/><Relationship Id="rId11" Type="http://schemas.openxmlformats.org/officeDocument/2006/relationships/table" Target="../tables/table46.xml"/><Relationship Id="rId5" Type="http://schemas.openxmlformats.org/officeDocument/2006/relationships/table" Target="../tables/table40.xml"/><Relationship Id="rId10" Type="http://schemas.openxmlformats.org/officeDocument/2006/relationships/table" Target="../tables/table45.xml"/><Relationship Id="rId4" Type="http://schemas.openxmlformats.org/officeDocument/2006/relationships/table" Target="../tables/table39.xml"/><Relationship Id="rId9" Type="http://schemas.openxmlformats.org/officeDocument/2006/relationships/table" Target="../tables/table4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49.xml"/><Relationship Id="rId2" Type="http://schemas.openxmlformats.org/officeDocument/2006/relationships/table" Target="../tables/table48.xml"/><Relationship Id="rId1" Type="http://schemas.openxmlformats.org/officeDocument/2006/relationships/table" Target="../tables/table47.xml"/><Relationship Id="rId6" Type="http://schemas.openxmlformats.org/officeDocument/2006/relationships/table" Target="../tables/table52.xml"/><Relationship Id="rId5" Type="http://schemas.openxmlformats.org/officeDocument/2006/relationships/table" Target="../tables/table51.xml"/><Relationship Id="rId4" Type="http://schemas.openxmlformats.org/officeDocument/2006/relationships/table" Target="../tables/table50.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3.xml"/></Relationships>
</file>

<file path=xl/worksheets/_rels/sheet9.xml.rels><?xml version="1.0" encoding="UTF-8" standalone="yes"?>
<Relationships xmlns="http://schemas.openxmlformats.org/package/2006/relationships"><Relationship Id="rId3" Type="http://schemas.openxmlformats.org/officeDocument/2006/relationships/table" Target="../tables/table55.xml"/><Relationship Id="rId7" Type="http://schemas.openxmlformats.org/officeDocument/2006/relationships/table" Target="../tables/table59.xml"/><Relationship Id="rId2" Type="http://schemas.openxmlformats.org/officeDocument/2006/relationships/table" Target="../tables/table54.xml"/><Relationship Id="rId1" Type="http://schemas.openxmlformats.org/officeDocument/2006/relationships/image" Target="../media/image8.jpeg"/><Relationship Id="rId6" Type="http://schemas.openxmlformats.org/officeDocument/2006/relationships/table" Target="../tables/table58.xml"/><Relationship Id="rId5" Type="http://schemas.openxmlformats.org/officeDocument/2006/relationships/table" Target="../tables/table57.xml"/><Relationship Id="rId4" Type="http://schemas.openxmlformats.org/officeDocument/2006/relationships/table" Target="../tables/table56.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67.xml"/><Relationship Id="rId3" Type="http://schemas.openxmlformats.org/officeDocument/2006/relationships/table" Target="../tables/table62.xml"/><Relationship Id="rId7" Type="http://schemas.openxmlformats.org/officeDocument/2006/relationships/table" Target="../tables/table66.xml"/><Relationship Id="rId12" Type="http://schemas.openxmlformats.org/officeDocument/2006/relationships/table" Target="../tables/table71.xml"/><Relationship Id="rId2" Type="http://schemas.openxmlformats.org/officeDocument/2006/relationships/table" Target="../tables/table61.xml"/><Relationship Id="rId1" Type="http://schemas.openxmlformats.org/officeDocument/2006/relationships/table" Target="../tables/table60.xml"/><Relationship Id="rId6" Type="http://schemas.openxmlformats.org/officeDocument/2006/relationships/table" Target="../tables/table65.xml"/><Relationship Id="rId11" Type="http://schemas.openxmlformats.org/officeDocument/2006/relationships/table" Target="../tables/table70.xml"/><Relationship Id="rId5" Type="http://schemas.openxmlformats.org/officeDocument/2006/relationships/table" Target="../tables/table64.xml"/><Relationship Id="rId10" Type="http://schemas.openxmlformats.org/officeDocument/2006/relationships/table" Target="../tables/table69.xml"/><Relationship Id="rId4" Type="http://schemas.openxmlformats.org/officeDocument/2006/relationships/table" Target="../tables/table63.xml"/><Relationship Id="rId9" Type="http://schemas.openxmlformats.org/officeDocument/2006/relationships/table" Target="../tables/table68.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4.xml"/><Relationship Id="rId2" Type="http://schemas.openxmlformats.org/officeDocument/2006/relationships/table" Target="../tables/table73.xml"/><Relationship Id="rId1" Type="http://schemas.openxmlformats.org/officeDocument/2006/relationships/table" Target="../tables/table72.xml"/></Relationships>
</file>

<file path=xl/worksheets/_rels/sheet13.xml.rels><?xml version="1.0" encoding="UTF-8" standalone="yes"?>
<Relationships xmlns="http://schemas.openxmlformats.org/package/2006/relationships"><Relationship Id="rId26" Type="http://schemas.openxmlformats.org/officeDocument/2006/relationships/table" Target="../tables/table100.xml"/><Relationship Id="rId21" Type="http://schemas.openxmlformats.org/officeDocument/2006/relationships/table" Target="../tables/table95.xml"/><Relationship Id="rId42" Type="http://schemas.openxmlformats.org/officeDocument/2006/relationships/table" Target="../tables/table116.xml"/><Relationship Id="rId47" Type="http://schemas.openxmlformats.org/officeDocument/2006/relationships/table" Target="../tables/table121.xml"/><Relationship Id="rId63" Type="http://schemas.openxmlformats.org/officeDocument/2006/relationships/table" Target="../tables/table137.xml"/><Relationship Id="rId68" Type="http://schemas.openxmlformats.org/officeDocument/2006/relationships/table" Target="../tables/table142.xml"/><Relationship Id="rId84" Type="http://schemas.openxmlformats.org/officeDocument/2006/relationships/table" Target="../tables/table158.xml"/><Relationship Id="rId89" Type="http://schemas.openxmlformats.org/officeDocument/2006/relationships/table" Target="../tables/table163.xml"/><Relationship Id="rId7" Type="http://schemas.openxmlformats.org/officeDocument/2006/relationships/table" Target="../tables/table81.xml"/><Relationship Id="rId71" Type="http://schemas.openxmlformats.org/officeDocument/2006/relationships/table" Target="../tables/table145.xml"/><Relationship Id="rId92" Type="http://schemas.openxmlformats.org/officeDocument/2006/relationships/table" Target="../tables/table166.xml"/><Relationship Id="rId2" Type="http://schemas.openxmlformats.org/officeDocument/2006/relationships/table" Target="../tables/table76.xml"/><Relationship Id="rId16" Type="http://schemas.openxmlformats.org/officeDocument/2006/relationships/table" Target="../tables/table90.xml"/><Relationship Id="rId29" Type="http://schemas.openxmlformats.org/officeDocument/2006/relationships/table" Target="../tables/table103.xml"/><Relationship Id="rId11" Type="http://schemas.openxmlformats.org/officeDocument/2006/relationships/table" Target="../tables/table85.xml"/><Relationship Id="rId24" Type="http://schemas.openxmlformats.org/officeDocument/2006/relationships/table" Target="../tables/table98.xml"/><Relationship Id="rId32" Type="http://schemas.openxmlformats.org/officeDocument/2006/relationships/table" Target="../tables/table106.xml"/><Relationship Id="rId37" Type="http://schemas.openxmlformats.org/officeDocument/2006/relationships/table" Target="../tables/table111.xml"/><Relationship Id="rId40" Type="http://schemas.openxmlformats.org/officeDocument/2006/relationships/table" Target="../tables/table114.xml"/><Relationship Id="rId45" Type="http://schemas.openxmlformats.org/officeDocument/2006/relationships/table" Target="../tables/table119.xml"/><Relationship Id="rId53" Type="http://schemas.openxmlformats.org/officeDocument/2006/relationships/table" Target="../tables/table127.xml"/><Relationship Id="rId58" Type="http://schemas.openxmlformats.org/officeDocument/2006/relationships/table" Target="../tables/table132.xml"/><Relationship Id="rId66" Type="http://schemas.openxmlformats.org/officeDocument/2006/relationships/table" Target="../tables/table140.xml"/><Relationship Id="rId74" Type="http://schemas.openxmlformats.org/officeDocument/2006/relationships/table" Target="../tables/table148.xml"/><Relationship Id="rId79" Type="http://schemas.openxmlformats.org/officeDocument/2006/relationships/table" Target="../tables/table153.xml"/><Relationship Id="rId87" Type="http://schemas.openxmlformats.org/officeDocument/2006/relationships/table" Target="../tables/table161.xml"/><Relationship Id="rId102" Type="http://schemas.openxmlformats.org/officeDocument/2006/relationships/table" Target="../tables/table176.xml"/><Relationship Id="rId5" Type="http://schemas.openxmlformats.org/officeDocument/2006/relationships/table" Target="../tables/table79.xml"/><Relationship Id="rId61" Type="http://schemas.openxmlformats.org/officeDocument/2006/relationships/table" Target="../tables/table135.xml"/><Relationship Id="rId82" Type="http://schemas.openxmlformats.org/officeDocument/2006/relationships/table" Target="../tables/table156.xml"/><Relationship Id="rId90" Type="http://schemas.openxmlformats.org/officeDocument/2006/relationships/table" Target="../tables/table164.xml"/><Relationship Id="rId95" Type="http://schemas.openxmlformats.org/officeDocument/2006/relationships/table" Target="../tables/table169.xml"/><Relationship Id="rId19" Type="http://schemas.openxmlformats.org/officeDocument/2006/relationships/table" Target="../tables/table93.xml"/><Relationship Id="rId14" Type="http://schemas.openxmlformats.org/officeDocument/2006/relationships/table" Target="../tables/table88.xml"/><Relationship Id="rId22" Type="http://schemas.openxmlformats.org/officeDocument/2006/relationships/table" Target="../tables/table96.xml"/><Relationship Id="rId27" Type="http://schemas.openxmlformats.org/officeDocument/2006/relationships/table" Target="../tables/table101.xml"/><Relationship Id="rId30" Type="http://schemas.openxmlformats.org/officeDocument/2006/relationships/table" Target="../tables/table104.xml"/><Relationship Id="rId35" Type="http://schemas.openxmlformats.org/officeDocument/2006/relationships/table" Target="../tables/table109.xml"/><Relationship Id="rId43" Type="http://schemas.openxmlformats.org/officeDocument/2006/relationships/table" Target="../tables/table117.xml"/><Relationship Id="rId48" Type="http://schemas.openxmlformats.org/officeDocument/2006/relationships/table" Target="../tables/table122.xml"/><Relationship Id="rId56" Type="http://schemas.openxmlformats.org/officeDocument/2006/relationships/table" Target="../tables/table130.xml"/><Relationship Id="rId64" Type="http://schemas.openxmlformats.org/officeDocument/2006/relationships/table" Target="../tables/table138.xml"/><Relationship Id="rId69" Type="http://schemas.openxmlformats.org/officeDocument/2006/relationships/table" Target="../tables/table143.xml"/><Relationship Id="rId77" Type="http://schemas.openxmlformats.org/officeDocument/2006/relationships/table" Target="../tables/table151.xml"/><Relationship Id="rId100" Type="http://schemas.openxmlformats.org/officeDocument/2006/relationships/table" Target="../tables/table174.xml"/><Relationship Id="rId8" Type="http://schemas.openxmlformats.org/officeDocument/2006/relationships/table" Target="../tables/table82.xml"/><Relationship Id="rId51" Type="http://schemas.openxmlformats.org/officeDocument/2006/relationships/table" Target="../tables/table125.xml"/><Relationship Id="rId72" Type="http://schemas.openxmlformats.org/officeDocument/2006/relationships/table" Target="../tables/table146.xml"/><Relationship Id="rId80" Type="http://schemas.openxmlformats.org/officeDocument/2006/relationships/table" Target="../tables/table154.xml"/><Relationship Id="rId85" Type="http://schemas.openxmlformats.org/officeDocument/2006/relationships/table" Target="../tables/table159.xml"/><Relationship Id="rId93" Type="http://schemas.openxmlformats.org/officeDocument/2006/relationships/table" Target="../tables/table167.xml"/><Relationship Id="rId98" Type="http://schemas.openxmlformats.org/officeDocument/2006/relationships/table" Target="../tables/table172.xml"/><Relationship Id="rId3" Type="http://schemas.openxmlformats.org/officeDocument/2006/relationships/table" Target="../tables/table77.xml"/><Relationship Id="rId12" Type="http://schemas.openxmlformats.org/officeDocument/2006/relationships/table" Target="../tables/table86.xml"/><Relationship Id="rId17" Type="http://schemas.openxmlformats.org/officeDocument/2006/relationships/table" Target="../tables/table91.xml"/><Relationship Id="rId25" Type="http://schemas.openxmlformats.org/officeDocument/2006/relationships/table" Target="../tables/table99.xml"/><Relationship Id="rId33" Type="http://schemas.openxmlformats.org/officeDocument/2006/relationships/table" Target="../tables/table107.xml"/><Relationship Id="rId38" Type="http://schemas.openxmlformats.org/officeDocument/2006/relationships/table" Target="../tables/table112.xml"/><Relationship Id="rId46" Type="http://schemas.openxmlformats.org/officeDocument/2006/relationships/table" Target="../tables/table120.xml"/><Relationship Id="rId59" Type="http://schemas.openxmlformats.org/officeDocument/2006/relationships/table" Target="../tables/table133.xml"/><Relationship Id="rId67" Type="http://schemas.openxmlformats.org/officeDocument/2006/relationships/table" Target="../tables/table141.xml"/><Relationship Id="rId103" Type="http://schemas.openxmlformats.org/officeDocument/2006/relationships/table" Target="../tables/table177.xml"/><Relationship Id="rId20" Type="http://schemas.openxmlformats.org/officeDocument/2006/relationships/table" Target="../tables/table94.xml"/><Relationship Id="rId41" Type="http://schemas.openxmlformats.org/officeDocument/2006/relationships/table" Target="../tables/table115.xml"/><Relationship Id="rId54" Type="http://schemas.openxmlformats.org/officeDocument/2006/relationships/table" Target="../tables/table128.xml"/><Relationship Id="rId62" Type="http://schemas.openxmlformats.org/officeDocument/2006/relationships/table" Target="../tables/table136.xml"/><Relationship Id="rId70" Type="http://schemas.openxmlformats.org/officeDocument/2006/relationships/table" Target="../tables/table144.xml"/><Relationship Id="rId75" Type="http://schemas.openxmlformats.org/officeDocument/2006/relationships/table" Target="../tables/table149.xml"/><Relationship Id="rId83" Type="http://schemas.openxmlformats.org/officeDocument/2006/relationships/table" Target="../tables/table157.xml"/><Relationship Id="rId88" Type="http://schemas.openxmlformats.org/officeDocument/2006/relationships/table" Target="../tables/table162.xml"/><Relationship Id="rId91" Type="http://schemas.openxmlformats.org/officeDocument/2006/relationships/table" Target="../tables/table165.xml"/><Relationship Id="rId96" Type="http://schemas.openxmlformats.org/officeDocument/2006/relationships/table" Target="../tables/table170.xml"/><Relationship Id="rId1" Type="http://schemas.openxmlformats.org/officeDocument/2006/relationships/table" Target="../tables/table75.xml"/><Relationship Id="rId6" Type="http://schemas.openxmlformats.org/officeDocument/2006/relationships/table" Target="../tables/table80.xml"/><Relationship Id="rId15" Type="http://schemas.openxmlformats.org/officeDocument/2006/relationships/table" Target="../tables/table89.xml"/><Relationship Id="rId23" Type="http://schemas.openxmlformats.org/officeDocument/2006/relationships/table" Target="../tables/table97.xml"/><Relationship Id="rId28" Type="http://schemas.openxmlformats.org/officeDocument/2006/relationships/table" Target="../tables/table102.xml"/><Relationship Id="rId36" Type="http://schemas.openxmlformats.org/officeDocument/2006/relationships/table" Target="../tables/table110.xml"/><Relationship Id="rId49" Type="http://schemas.openxmlformats.org/officeDocument/2006/relationships/table" Target="../tables/table123.xml"/><Relationship Id="rId57" Type="http://schemas.openxmlformats.org/officeDocument/2006/relationships/table" Target="../tables/table131.xml"/><Relationship Id="rId10" Type="http://schemas.openxmlformats.org/officeDocument/2006/relationships/table" Target="../tables/table84.xml"/><Relationship Id="rId31" Type="http://schemas.openxmlformats.org/officeDocument/2006/relationships/table" Target="../tables/table105.xml"/><Relationship Id="rId44" Type="http://schemas.openxmlformats.org/officeDocument/2006/relationships/table" Target="../tables/table118.xml"/><Relationship Id="rId52" Type="http://schemas.openxmlformats.org/officeDocument/2006/relationships/table" Target="../tables/table126.xml"/><Relationship Id="rId60" Type="http://schemas.openxmlformats.org/officeDocument/2006/relationships/table" Target="../tables/table134.xml"/><Relationship Id="rId65" Type="http://schemas.openxmlformats.org/officeDocument/2006/relationships/table" Target="../tables/table139.xml"/><Relationship Id="rId73" Type="http://schemas.openxmlformats.org/officeDocument/2006/relationships/table" Target="../tables/table147.xml"/><Relationship Id="rId78" Type="http://schemas.openxmlformats.org/officeDocument/2006/relationships/table" Target="../tables/table152.xml"/><Relationship Id="rId81" Type="http://schemas.openxmlformats.org/officeDocument/2006/relationships/table" Target="../tables/table155.xml"/><Relationship Id="rId86" Type="http://schemas.openxmlformats.org/officeDocument/2006/relationships/table" Target="../tables/table160.xml"/><Relationship Id="rId94" Type="http://schemas.openxmlformats.org/officeDocument/2006/relationships/table" Target="../tables/table168.xml"/><Relationship Id="rId99" Type="http://schemas.openxmlformats.org/officeDocument/2006/relationships/table" Target="../tables/table173.xml"/><Relationship Id="rId101" Type="http://schemas.openxmlformats.org/officeDocument/2006/relationships/table" Target="../tables/table175.xml"/><Relationship Id="rId4" Type="http://schemas.openxmlformats.org/officeDocument/2006/relationships/table" Target="../tables/table78.xml"/><Relationship Id="rId9" Type="http://schemas.openxmlformats.org/officeDocument/2006/relationships/table" Target="../tables/table83.xml"/><Relationship Id="rId13" Type="http://schemas.openxmlformats.org/officeDocument/2006/relationships/table" Target="../tables/table87.xml"/><Relationship Id="rId18" Type="http://schemas.openxmlformats.org/officeDocument/2006/relationships/table" Target="../tables/table92.xml"/><Relationship Id="rId39" Type="http://schemas.openxmlformats.org/officeDocument/2006/relationships/table" Target="../tables/table113.xml"/><Relationship Id="rId34" Type="http://schemas.openxmlformats.org/officeDocument/2006/relationships/table" Target="../tables/table108.xml"/><Relationship Id="rId50" Type="http://schemas.openxmlformats.org/officeDocument/2006/relationships/table" Target="../tables/table124.xml"/><Relationship Id="rId55" Type="http://schemas.openxmlformats.org/officeDocument/2006/relationships/table" Target="../tables/table129.xml"/><Relationship Id="rId76" Type="http://schemas.openxmlformats.org/officeDocument/2006/relationships/table" Target="../tables/table150.xml"/><Relationship Id="rId97" Type="http://schemas.openxmlformats.org/officeDocument/2006/relationships/table" Target="../tables/table171.xml"/><Relationship Id="rId104" Type="http://schemas.openxmlformats.org/officeDocument/2006/relationships/table" Target="../tables/table17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
  <sheetViews>
    <sheetView zoomScale="96" workbookViewId="0">
      <selection activeCell="G15" sqref="G15"/>
    </sheetView>
  </sheetViews>
  <sheetFormatPr defaultRowHeight="14.4" x14ac:dyDescent="0.3"/>
  <cols>
    <col min="1" max="1" width="17.33203125" style="1" bestFit="1" customWidth="1"/>
    <col min="2" max="2" width="23.109375" style="1" bestFit="1" customWidth="1"/>
    <col min="3" max="3" width="19.109375" style="1" bestFit="1" customWidth="1"/>
    <col min="4" max="4" width="19.44140625" style="1" bestFit="1" customWidth="1"/>
    <col min="5" max="5" width="21.109375" style="1" bestFit="1" customWidth="1"/>
    <col min="6" max="6" width="23.5546875" style="1" customWidth="1"/>
    <col min="7" max="7" width="22.6640625" style="1" bestFit="1" customWidth="1"/>
    <col min="8" max="16384" width="8.88671875" style="1"/>
  </cols>
  <sheetData>
    <row r="1" spans="1:7" ht="46.2" x14ac:dyDescent="0.3">
      <c r="A1" s="377" t="s">
        <v>0</v>
      </c>
      <c r="B1" s="377"/>
      <c r="C1" s="377"/>
      <c r="D1" s="377"/>
    </row>
    <row r="2" spans="1:7" ht="45" customHeight="1" x14ac:dyDescent="0.3">
      <c r="A2" s="2" t="s">
        <v>1</v>
      </c>
      <c r="B2" s="3" t="e" vm="1">
        <v>#VALUE!</v>
      </c>
      <c r="C2" s="3" t="e" vm="2">
        <v>#VALUE!</v>
      </c>
      <c r="D2" s="3" t="e" vm="3">
        <v>#VALUE!</v>
      </c>
      <c r="E2" s="3" t="e" vm="4">
        <v>#VALUE!</v>
      </c>
      <c r="F2" s="3" t="e" vm="5">
        <v>#VALUE!</v>
      </c>
      <c r="G2" s="3" t="e" vm="6">
        <v>#VALUE!</v>
      </c>
    </row>
    <row r="3" spans="1:7" ht="43.2" x14ac:dyDescent="0.3">
      <c r="A3" s="346" t="s">
        <v>2</v>
      </c>
      <c r="B3" s="347" t="e" vm="7">
        <v>#VALUE!</v>
      </c>
      <c r="C3" s="347" t="e" vm="8">
        <v>#VALUE!</v>
      </c>
      <c r="D3" s="347" t="e" vm="9">
        <v>#VALUE!</v>
      </c>
      <c r="E3" s="347" t="e" vm="10">
        <v>#VALUE!</v>
      </c>
      <c r="F3" s="347" t="e" vm="11">
        <v>#VALUE!</v>
      </c>
      <c r="G3" s="347" t="e" vm="12">
        <v>#VALUE!</v>
      </c>
    </row>
    <row r="4" spans="1:7" x14ac:dyDescent="0.3">
      <c r="A4" s="348" t="s">
        <v>3</v>
      </c>
      <c r="B4" s="349" t="str" cm="1">
        <f t="array" aca="1" ref="B4" ca="1">_FV(B3,"Industry")</f>
        <v>Pharmaceuticals</v>
      </c>
      <c r="C4" s="349" t="str" cm="1">
        <f t="array" aca="1" ref="C4" ca="1">_FV(C3,"Industry")</f>
        <v>Pharmaceuticals</v>
      </c>
      <c r="D4" s="349" t="str" cm="1">
        <f t="array" aca="1" ref="D4" ca="1">_FV(D3,"Industry")</f>
        <v>Pharmaceuticals</v>
      </c>
      <c r="E4" s="349" t="str" cm="1">
        <f t="array" aca="1" ref="E4" ca="1">_FV(E3,"Industry")</f>
        <v>Pharmaceuticals</v>
      </c>
      <c r="F4" s="349" t="str" cm="1">
        <f t="array" aca="1" ref="F4" ca="1">_FV(F3,"Industry")</f>
        <v>Pharmaceuticals</v>
      </c>
      <c r="G4" s="349" t="str" cm="1">
        <f t="array" aca="1" ref="G4" ca="1">_FV(G3,"Industry")</f>
        <v>Pharmaceuticals</v>
      </c>
    </row>
    <row r="5" spans="1:7" x14ac:dyDescent="0.3">
      <c r="A5" s="348" t="s">
        <v>4</v>
      </c>
      <c r="B5" s="5" cm="1">
        <f t="array" aca="1" ref="B5" ca="1">_FV(B3,"Beta")</f>
        <v>0.68459999999999999</v>
      </c>
      <c r="C5" s="5" cm="1">
        <f t="array" aca="1" ref="C5" ca="1">_FV(C3,"Beta")</f>
        <v>0.47760000000000002</v>
      </c>
      <c r="D5" s="5" cm="1">
        <f t="array" aca="1" ref="D5" ca="1">_FV(D3,"Beta")</f>
        <v>0.46929999999999999</v>
      </c>
      <c r="E5" s="5" cm="1">
        <f t="array" aca="1" ref="E5" ca="1">_FV(E3,"Beta")</f>
        <v>0.72319999999999995</v>
      </c>
      <c r="F5" s="5" cm="1">
        <f t="array" aca="1" ref="F5" ca="1">_FV(F3,"Beta")</f>
        <v>0.61499999999999999</v>
      </c>
      <c r="G5" s="5" cm="1">
        <f t="array" aca="1" ref="G5" ca="1">_FV(G3,"Beta")</f>
        <v>0.87129999999999996</v>
      </c>
    </row>
    <row r="6" spans="1:7" x14ac:dyDescent="0.3">
      <c r="A6" s="348" t="s">
        <v>5</v>
      </c>
      <c r="B6" s="6" cm="1">
        <f t="array" aca="1" ref="B6" ca="1">_FV(B3,"Price")</f>
        <v>3817.5</v>
      </c>
      <c r="C6" s="6" cm="1">
        <f t="array" aca="1" ref="C6" ca="1">_FV(C3,"Price")</f>
        <v>1511.5</v>
      </c>
      <c r="D6" s="6" cm="1">
        <f t="array" aca="1" ref="D6" ca="1">_FV(D3,"Price")</f>
        <v>1198.7</v>
      </c>
      <c r="E6" s="6" cm="1">
        <f t="array" aca="1" ref="E6" ca="1">_FV(E3,"Price")</f>
        <v>6691.5</v>
      </c>
      <c r="F6" s="6" cm="1">
        <f t="array" aca="1" ref="F6" ca="1">_FV(F3,"Price")</f>
        <v>2234.4</v>
      </c>
      <c r="G6" s="6" cm="1">
        <f t="array" aca="1" ref="G6" ca="1">_FV(G3,"Price")</f>
        <v>1697.8</v>
      </c>
    </row>
    <row r="7" spans="1:7" x14ac:dyDescent="0.3">
      <c r="A7" s="348" t="s">
        <v>6</v>
      </c>
      <c r="B7" s="7" cm="1">
        <f t="array" aca="1" ref="B7" ca="1">_FV(B3,"Shares outstanding",TRUE)</f>
        <v>338445400</v>
      </c>
      <c r="C7" s="7" cm="1">
        <f t="array" aca="1" ref="C7" ca="1">_FV(C3,"Shares outstanding",TRUE)</f>
        <v>807771200</v>
      </c>
      <c r="D7" s="7" cm="1">
        <f t="array" aca="1" ref="D7" ca="1">_FV(D3,"Shares outstanding",TRUE)</f>
        <v>832515300</v>
      </c>
      <c r="E7" s="7" cm="1">
        <f t="array" aca="1" ref="E7" ca="1">_FV(E3,"Shares outstanding",TRUE)</f>
        <v>265468600</v>
      </c>
      <c r="F7" s="7" cm="1">
        <f t="array" aca="1" ref="F7" ca="1">_FV(F3,"Shares outstanding",TRUE)</f>
        <v>412758500</v>
      </c>
      <c r="G7" s="7" cm="1">
        <f t="array" aca="1" ref="G7" ca="1">_FV(G3,"Shares outstanding",TRUE)</f>
        <v>2399335000</v>
      </c>
    </row>
    <row r="8" spans="1:7" x14ac:dyDescent="0.3">
      <c r="A8" s="348" t="s">
        <v>614</v>
      </c>
      <c r="B8" s="22">
        <f ca="1">B7/10000000</f>
        <v>33.844540000000002</v>
      </c>
      <c r="C8" s="22">
        <f t="shared" ref="C8:G8" ca="1" si="0">C7/10000000</f>
        <v>80.777119999999996</v>
      </c>
      <c r="D8" s="22">
        <f t="shared" ca="1" si="0"/>
        <v>83.251530000000002</v>
      </c>
      <c r="E8" s="22">
        <f t="shared" ca="1" si="0"/>
        <v>26.546859999999999</v>
      </c>
      <c r="F8" s="22">
        <f t="shared" ca="1" si="0"/>
        <v>41.275849999999998</v>
      </c>
      <c r="G8" s="22">
        <f t="shared" ca="1" si="0"/>
        <v>239.93350000000001</v>
      </c>
    </row>
    <row r="9" spans="1:7" x14ac:dyDescent="0.3">
      <c r="A9" s="348" t="s">
        <v>7</v>
      </c>
      <c r="B9" s="8" cm="1">
        <f t="array" aca="1" ref="B9" ca="1">_FV(B3,"Market cap",TRUE)</f>
        <v>1211635000000</v>
      </c>
      <c r="C9" s="8" cm="1">
        <f t="array" aca="1" ref="C9" ca="1">_FV(C3,"Market cap",TRUE)</f>
        <v>1216261000000</v>
      </c>
      <c r="D9" s="8" cm="1">
        <f t="array" aca="1" ref="D9" ca="1">_FV(D3,"Market cap",TRUE)</f>
        <v>1003514000000</v>
      </c>
      <c r="E9" s="8" cm="1">
        <f t="array" aca="1" ref="E9" ca="1">_FV(E3,"Market cap",TRUE)</f>
        <v>1767092000000</v>
      </c>
      <c r="F9" s="8" cm="1">
        <f t="array" aca="1" ref="F9" ca="1">_FV(F3,"Market cap",TRUE)</f>
        <v>933577100000</v>
      </c>
      <c r="G9" s="8" cm="1">
        <f t="array" aca="1" ref="G9" ca="1">_FV(G3,"Market cap",TRUE)</f>
        <v>4058235000000</v>
      </c>
    </row>
    <row r="10" spans="1:7" x14ac:dyDescent="0.3">
      <c r="A10" s="348" t="s">
        <v>8</v>
      </c>
      <c r="B10" s="9" cm="1">
        <f t="array" aca="1" ref="B10" ca="1">_FV(B3,"Year incorporated",TRUE)</f>
        <v>1972</v>
      </c>
      <c r="C10" s="9" cm="1">
        <f t="array" aca="1" ref="C10" ca="1">_FV(C3,"Year incorporated",TRUE)</f>
        <v>1935</v>
      </c>
      <c r="D10" s="9" cm="1">
        <f t="array" aca="1" ref="D10" ca="1">_FV(D3,"Year incorporated",TRUE)</f>
        <v>1984</v>
      </c>
      <c r="E10" s="9" cm="1">
        <f t="array" aca="1" ref="E10" ca="1">_FV(E3,"Year incorporated",TRUE)</f>
        <v>1990</v>
      </c>
      <c r="F10" s="9" cm="1">
        <f t="array" aca="1" ref="F10" ca="1">_FV(F3,"Year incorporated",TRUE)</f>
        <v>1991</v>
      </c>
      <c r="G10" s="9" cm="1">
        <f t="array" aca="1" ref="G10" ca="1">_FV(G3,"Year incorporated",TRUE)</f>
        <v>1993</v>
      </c>
    </row>
    <row r="11" spans="1:7" x14ac:dyDescent="0.3">
      <c r="A11" s="348" t="s">
        <v>9</v>
      </c>
      <c r="B11" s="6" cm="1">
        <f t="array" aca="1" ref="B11" ca="1">_FV(B3,"Change")</f>
        <v>237.5</v>
      </c>
      <c r="C11" s="6" cm="1">
        <f t="array" aca="1" ref="C11" ca="1">_FV(C3,"Change")</f>
        <v>5.8</v>
      </c>
      <c r="D11" s="6" cm="1">
        <f t="array" aca="1" ref="D11" ca="1">_FV(D3,"Change")</f>
        <v>-6.7</v>
      </c>
      <c r="E11" s="6" cm="1">
        <f t="array" aca="1" ref="E11" ca="1">_FV(E3,"Change")</f>
        <v>35</v>
      </c>
      <c r="F11" s="6" cm="1">
        <f t="array" aca="1" ref="F11" ca="1">_FV(F3,"Change")</f>
        <v>-28.9</v>
      </c>
      <c r="G11" s="6" cm="1">
        <f t="array" aca="1" ref="G11" ca="1">_FV(G3,"Change")</f>
        <v>6.4</v>
      </c>
    </row>
    <row r="12" spans="1:7" x14ac:dyDescent="0.3">
      <c r="A12" s="348" t="s">
        <v>10</v>
      </c>
      <c r="B12" s="10" cm="1">
        <f t="array" aca="1" ref="B12" ca="1">_FV(B3,"Change (%)",TRUE)</f>
        <v>6.6340999999999997E-2</v>
      </c>
      <c r="C12" s="10" cm="1">
        <f t="array" aca="1" ref="C12" ca="1">_FV(C3,"Change (%)",TRUE)</f>
        <v>3.852E-3</v>
      </c>
      <c r="D12" s="10" cm="1">
        <f t="array" aca="1" ref="D12" ca="1">_FV(D3,"Change (%)",TRUE)</f>
        <v>-5.5579999999999996E-3</v>
      </c>
      <c r="E12" s="10" cm="1">
        <f t="array" aca="1" ref="E12" ca="1">_FV(E3,"Change (%)",TRUE)</f>
        <v>5.2580000000000005E-3</v>
      </c>
      <c r="F12" s="10" cm="1">
        <f t="array" aca="1" ref="F12" ca="1">_FV(F3,"Change (%)",TRUE)</f>
        <v>-1.2768999999999999E-2</v>
      </c>
      <c r="G12" s="10" cm="1">
        <f t="array" aca="1" ref="G12" ca="1">_FV(G3,"Change (%)",TRUE)</f>
        <v>3.784E-3</v>
      </c>
    </row>
    <row r="13" spans="1:7" x14ac:dyDescent="0.3">
      <c r="A13" s="348" t="s">
        <v>548</v>
      </c>
      <c r="B13" s="5" cm="1">
        <f t="array" aca="1" ref="B13" ca="1">_FV(B3,"P/E",TRUE)</f>
        <v>60.374000000000002</v>
      </c>
      <c r="C13" s="5" cm="1">
        <f t="array" aca="1" ref="C13" ca="1">_FV(C3,"P/E",TRUE)</f>
        <v>22.432400000000001</v>
      </c>
      <c r="D13" s="5" cm="1">
        <f t="array" aca="1" ref="D13" ca="1">_FV(D3,"P/E",TRUE)</f>
        <v>17.293099999999999</v>
      </c>
      <c r="E13" s="5" cm="1">
        <f t="array" aca="1" ref="E13" ca="1">_FV(E3,"P/E",TRUE)</f>
        <v>71.438299999999998</v>
      </c>
      <c r="F13" s="5" cm="1">
        <f t="array" aca="1" ref="F13" ca="1">_FV(F3,"P/E",TRUE)</f>
        <v>53.19</v>
      </c>
      <c r="G13" s="5" cm="1">
        <f t="array" aca="1" ref="G13" ca="1">_FV(G3,"P/E",TRUE)</f>
        <v>39.361199999999997</v>
      </c>
    </row>
  </sheetData>
  <mergeCells count="1">
    <mergeCell ref="A1:D1"/>
  </mergeCells>
  <conditionalFormatting sqref="B11:G12">
    <cfRule type="cellIs" dxfId="15" priority="1" operator="lessThan">
      <formula>0</formula>
    </cfRule>
    <cfRule type="cellIs" dxfId="14" priority="2" operator="greaterThan">
      <formula>0</formula>
    </cfRule>
  </conditionalFormatting>
  <pageMargins left="0.7" right="0.7" top="0.75" bottom="0.75" header="0.3" footer="0.3"/>
  <pictur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D77F6-3855-49E3-9D4D-DD347C4E863A}">
  <dimension ref="A1:AU61"/>
  <sheetViews>
    <sheetView topLeftCell="Q17" workbookViewId="0">
      <selection activeCell="H10" sqref="H10"/>
    </sheetView>
  </sheetViews>
  <sheetFormatPr defaultRowHeight="14.4" x14ac:dyDescent="0.3"/>
  <cols>
    <col min="1" max="1" width="45.21875" style="1" bestFit="1" customWidth="1"/>
    <col min="2" max="2" width="9.33203125" style="1" bestFit="1" customWidth="1"/>
    <col min="3" max="7" width="10.44140625" style="1" bestFit="1" customWidth="1"/>
    <col min="8" max="8" width="8.88671875" style="1"/>
    <col min="9" max="9" width="32.5546875" style="1" bestFit="1" customWidth="1"/>
    <col min="10" max="15" width="10.33203125" style="1" bestFit="1" customWidth="1"/>
    <col min="16" max="16" width="8.88671875" style="1"/>
    <col min="17" max="17" width="45.21875" style="1" bestFit="1" customWidth="1"/>
    <col min="18" max="21" width="9.33203125" style="1" bestFit="1" customWidth="1"/>
    <col min="22" max="23" width="10.44140625" style="1" bestFit="1" customWidth="1"/>
    <col min="24" max="24" width="8.88671875" style="1"/>
    <col min="25" max="25" width="47.109375" style="1" bestFit="1" customWidth="1"/>
    <col min="26" max="31" width="10.44140625" style="1" bestFit="1" customWidth="1"/>
    <col min="32" max="32" width="8.88671875" style="1"/>
    <col min="33" max="33" width="47.109375" style="1" bestFit="1" customWidth="1"/>
    <col min="34" max="39" width="10.44140625" style="1" bestFit="1" customWidth="1"/>
    <col min="40" max="40" width="8.88671875" style="1"/>
    <col min="41" max="41" width="47.109375" style="1" bestFit="1" customWidth="1"/>
    <col min="42" max="47" width="10.44140625" style="1" bestFit="1" customWidth="1"/>
    <col min="48" max="16384" width="8.88671875" style="1"/>
  </cols>
  <sheetData>
    <row r="1" spans="1:47" ht="33.6" x14ac:dyDescent="0.3">
      <c r="A1" s="379" t="s">
        <v>11</v>
      </c>
      <c r="B1" s="379"/>
      <c r="C1" s="379"/>
      <c r="D1" s="379"/>
    </row>
    <row r="2" spans="1:47" ht="33.6" x14ac:dyDescent="0.3">
      <c r="A2" s="380" t="e" vm="4">
        <v>#VALUE!</v>
      </c>
      <c r="B2" s="380"/>
      <c r="C2" s="380"/>
      <c r="D2" s="380"/>
      <c r="E2" s="380"/>
      <c r="F2" s="380"/>
      <c r="G2" s="380"/>
      <c r="I2" s="381" t="e" vm="6">
        <v>#VALUE!</v>
      </c>
      <c r="J2" s="381"/>
      <c r="K2" s="381"/>
      <c r="L2" s="381"/>
      <c r="M2" s="381"/>
      <c r="N2" s="381"/>
      <c r="O2" s="381"/>
      <c r="Q2" s="378" t="e" vm="5">
        <v>#VALUE!</v>
      </c>
      <c r="R2" s="378"/>
      <c r="S2" s="378"/>
      <c r="T2" s="378"/>
      <c r="U2" s="378"/>
      <c r="V2" s="378"/>
      <c r="W2" s="378"/>
      <c r="Y2" s="378" t="e" vm="3">
        <v>#VALUE!</v>
      </c>
      <c r="Z2" s="378"/>
      <c r="AA2" s="378"/>
      <c r="AB2" s="378"/>
      <c r="AC2" s="378"/>
      <c r="AD2" s="378"/>
      <c r="AE2" s="378"/>
      <c r="AG2" s="378" t="e" vm="1">
        <v>#VALUE!</v>
      </c>
      <c r="AH2" s="378"/>
      <c r="AI2" s="378"/>
      <c r="AJ2" s="378"/>
      <c r="AK2" s="378"/>
      <c r="AL2" s="378"/>
      <c r="AM2" s="378"/>
      <c r="AO2" s="378" t="e" vm="2">
        <v>#VALUE!</v>
      </c>
      <c r="AP2" s="378"/>
      <c r="AQ2" s="378"/>
      <c r="AR2" s="378"/>
      <c r="AS2" s="378"/>
      <c r="AT2" s="378"/>
      <c r="AU2" s="378"/>
    </row>
    <row r="3" spans="1:47" x14ac:dyDescent="0.3">
      <c r="A3" s="41" t="s">
        <v>12</v>
      </c>
      <c r="B3" s="42" t="s">
        <v>54</v>
      </c>
      <c r="C3" s="42" t="s">
        <v>55</v>
      </c>
      <c r="D3" s="42" t="s">
        <v>56</v>
      </c>
      <c r="E3" s="42" t="s">
        <v>57</v>
      </c>
      <c r="F3" s="42" t="s">
        <v>58</v>
      </c>
      <c r="G3" s="43" t="s">
        <v>59</v>
      </c>
      <c r="I3" s="32" t="s">
        <v>12</v>
      </c>
      <c r="J3" s="33" t="s">
        <v>54</v>
      </c>
      <c r="K3" s="33" t="s">
        <v>55</v>
      </c>
      <c r="L3" s="33" t="s">
        <v>56</v>
      </c>
      <c r="M3" s="33" t="s">
        <v>57</v>
      </c>
      <c r="N3" s="33" t="s">
        <v>58</v>
      </c>
      <c r="O3" s="34" t="s">
        <v>59</v>
      </c>
      <c r="Q3" s="35" t="s">
        <v>12</v>
      </c>
      <c r="R3" s="36" t="s">
        <v>54</v>
      </c>
      <c r="S3" s="36" t="s">
        <v>55</v>
      </c>
      <c r="T3" s="36" t="s">
        <v>56</v>
      </c>
      <c r="U3" s="36" t="s">
        <v>57</v>
      </c>
      <c r="V3" s="36" t="s">
        <v>58</v>
      </c>
      <c r="W3" s="36" t="s">
        <v>59</v>
      </c>
      <c r="Y3" s="39" t="s">
        <v>12</v>
      </c>
      <c r="Z3" s="40" t="s">
        <v>54</v>
      </c>
      <c r="AA3" s="40" t="s">
        <v>55</v>
      </c>
      <c r="AB3" s="40" t="s">
        <v>56</v>
      </c>
      <c r="AC3" s="40" t="s">
        <v>57</v>
      </c>
      <c r="AD3" s="40" t="s">
        <v>58</v>
      </c>
      <c r="AE3" s="40" t="s">
        <v>59</v>
      </c>
      <c r="AG3" s="14" t="s">
        <v>12</v>
      </c>
      <c r="AH3" s="15" t="s">
        <v>54</v>
      </c>
      <c r="AI3" s="15" t="s">
        <v>55</v>
      </c>
      <c r="AJ3" s="15" t="s">
        <v>56</v>
      </c>
      <c r="AK3" s="15" t="s">
        <v>57</v>
      </c>
      <c r="AL3" s="15" t="s">
        <v>58</v>
      </c>
      <c r="AM3" s="15" t="s">
        <v>59</v>
      </c>
      <c r="AO3" s="45" t="s">
        <v>12</v>
      </c>
      <c r="AP3" s="46" t="s">
        <v>54</v>
      </c>
      <c r="AQ3" s="46" t="s">
        <v>55</v>
      </c>
      <c r="AR3" s="46" t="s">
        <v>56</v>
      </c>
      <c r="AS3" s="46" t="s">
        <v>57</v>
      </c>
      <c r="AT3" s="46" t="s">
        <v>58</v>
      </c>
      <c r="AU3" s="46" t="s">
        <v>59</v>
      </c>
    </row>
    <row r="4" spans="1:47" x14ac:dyDescent="0.3">
      <c r="A4" s="16" t="s">
        <v>13</v>
      </c>
      <c r="B4" s="17"/>
      <c r="C4" s="17"/>
      <c r="D4" s="17"/>
      <c r="E4" s="17"/>
      <c r="F4" s="17"/>
      <c r="G4" s="17"/>
      <c r="I4" s="16" t="s">
        <v>13</v>
      </c>
      <c r="J4" s="17"/>
      <c r="K4" s="17"/>
      <c r="L4" s="17"/>
      <c r="M4" s="17"/>
      <c r="N4" s="17"/>
      <c r="O4" s="17"/>
      <c r="Q4" s="16" t="s">
        <v>13</v>
      </c>
      <c r="R4" s="17"/>
      <c r="S4" s="17"/>
      <c r="T4" s="17"/>
      <c r="U4" s="17"/>
      <c r="V4" s="17"/>
      <c r="W4" s="17"/>
      <c r="Y4" s="16" t="s">
        <v>13</v>
      </c>
      <c r="Z4" s="17"/>
      <c r="AA4" s="17"/>
      <c r="AB4" s="17"/>
      <c r="AC4" s="17"/>
      <c r="AD4" s="17"/>
      <c r="AE4" s="17"/>
      <c r="AG4" s="16" t="s">
        <v>13</v>
      </c>
      <c r="AH4" s="17"/>
      <c r="AI4" s="17"/>
      <c r="AJ4" s="17"/>
      <c r="AK4" s="17"/>
      <c r="AL4" s="17"/>
      <c r="AM4" s="17"/>
      <c r="AO4" s="16" t="s">
        <v>13</v>
      </c>
      <c r="AP4" s="17"/>
      <c r="AQ4" s="17"/>
      <c r="AR4" s="17"/>
      <c r="AS4" s="17"/>
      <c r="AT4" s="17"/>
      <c r="AU4" s="17"/>
    </row>
    <row r="5" spans="1:47" x14ac:dyDescent="0.3">
      <c r="A5" s="13" t="s">
        <v>14</v>
      </c>
      <c r="B5" s="13"/>
      <c r="C5" s="13"/>
      <c r="D5" s="13"/>
      <c r="E5" s="13"/>
      <c r="F5" s="13"/>
      <c r="G5" s="13"/>
      <c r="I5" s="13" t="s">
        <v>14</v>
      </c>
      <c r="J5" s="13"/>
      <c r="K5" s="13"/>
      <c r="L5" s="13"/>
      <c r="M5" s="13"/>
      <c r="N5" s="13"/>
      <c r="O5" s="13"/>
      <c r="Q5" s="13" t="s">
        <v>14</v>
      </c>
      <c r="R5" s="13"/>
      <c r="S5" s="13"/>
      <c r="T5" s="13"/>
      <c r="U5" s="13"/>
      <c r="V5" s="13"/>
      <c r="W5" s="13"/>
      <c r="Y5" s="13" t="s">
        <v>14</v>
      </c>
      <c r="Z5" s="13"/>
      <c r="AA5" s="13"/>
      <c r="AB5" s="13"/>
      <c r="AC5" s="13"/>
      <c r="AD5" s="13"/>
      <c r="AE5" s="13"/>
      <c r="AG5" s="13" t="s">
        <v>14</v>
      </c>
      <c r="AH5" s="13"/>
      <c r="AI5" s="13"/>
      <c r="AJ5" s="13"/>
      <c r="AK5" s="13"/>
      <c r="AL5" s="13"/>
      <c r="AM5" s="13"/>
      <c r="AO5" s="13" t="s">
        <v>14</v>
      </c>
      <c r="AP5" s="13"/>
      <c r="AQ5" s="13"/>
      <c r="AR5" s="13"/>
      <c r="AS5" s="13"/>
      <c r="AT5" s="13"/>
      <c r="AU5" s="13"/>
    </row>
    <row r="6" spans="1:47" x14ac:dyDescent="0.3">
      <c r="A6" s="18" t="s">
        <v>15</v>
      </c>
      <c r="B6" s="22">
        <v>2773.16</v>
      </c>
      <c r="C6" s="22">
        <v>3694.66</v>
      </c>
      <c r="D6" s="22">
        <v>4314.12</v>
      </c>
      <c r="E6" s="22">
        <v>4714.17</v>
      </c>
      <c r="F6" s="22">
        <v>4733</v>
      </c>
      <c r="G6" s="23">
        <v>5437</v>
      </c>
      <c r="I6" s="4" t="s">
        <v>15</v>
      </c>
      <c r="J6" s="22">
        <v>10567.43</v>
      </c>
      <c r="K6" s="22">
        <v>10234.99</v>
      </c>
      <c r="L6" s="22">
        <v>4969.57</v>
      </c>
      <c r="M6" s="22">
        <v>4733.25</v>
      </c>
      <c r="N6" s="22">
        <v>10192.32</v>
      </c>
      <c r="O6" s="22">
        <v>10035.94</v>
      </c>
      <c r="Q6" s="4" t="s">
        <v>15</v>
      </c>
      <c r="R6" s="22">
        <v>1551.3441</v>
      </c>
      <c r="S6" s="22">
        <v>1620.0707</v>
      </c>
      <c r="T6" s="22">
        <v>1652.3630000000001</v>
      </c>
      <c r="U6" s="22">
        <v>2409.4342999999999</v>
      </c>
      <c r="V6" s="22">
        <v>2812.53</v>
      </c>
      <c r="W6" s="22">
        <v>2740.57</v>
      </c>
      <c r="Y6" s="4" t="s">
        <v>92</v>
      </c>
      <c r="Z6" s="22">
        <v>4912.7</v>
      </c>
      <c r="AA6" s="22">
        <v>4777.8999999999996</v>
      </c>
      <c r="AB6" s="22">
        <v>4732.2</v>
      </c>
      <c r="AC6" s="22">
        <v>4886.8999999999996</v>
      </c>
      <c r="AD6" s="22">
        <v>6248.7</v>
      </c>
      <c r="AE6" s="22">
        <v>7298.4</v>
      </c>
      <c r="AG6" s="4" t="s">
        <v>92</v>
      </c>
      <c r="AH6" s="22">
        <v>2817.89</v>
      </c>
      <c r="AI6" s="22">
        <v>2757.79</v>
      </c>
      <c r="AJ6" s="22">
        <v>2575.08</v>
      </c>
      <c r="AK6" s="22">
        <v>2626.67</v>
      </c>
      <c r="AL6" s="22">
        <v>3139.4</v>
      </c>
      <c r="AM6" s="22">
        <v>3209.24</v>
      </c>
      <c r="AO6" s="4" t="s">
        <v>92</v>
      </c>
      <c r="AP6" s="22">
        <v>4805.32</v>
      </c>
      <c r="AQ6" s="22">
        <v>4618.1400000000003</v>
      </c>
      <c r="AR6" s="22">
        <v>4838.79</v>
      </c>
      <c r="AS6" s="22">
        <v>4583.6000000000004</v>
      </c>
      <c r="AT6" s="22">
        <v>4641.9399999999996</v>
      </c>
      <c r="AU6" s="22">
        <v>4813.88</v>
      </c>
    </row>
    <row r="7" spans="1:47" x14ac:dyDescent="0.3">
      <c r="A7" s="18" t="s">
        <v>16</v>
      </c>
      <c r="B7" s="22">
        <v>5.09</v>
      </c>
      <c r="C7" s="22">
        <v>4.26</v>
      </c>
      <c r="D7" s="22">
        <v>3.44</v>
      </c>
      <c r="E7" s="22">
        <v>3.15</v>
      </c>
      <c r="F7" s="22">
        <v>2</v>
      </c>
      <c r="G7" s="23">
        <v>1</v>
      </c>
      <c r="I7" s="4" t="s">
        <v>17</v>
      </c>
      <c r="J7" s="22">
        <v>658.91</v>
      </c>
      <c r="K7" s="22">
        <v>936.52</v>
      </c>
      <c r="L7" s="22">
        <v>358.94</v>
      </c>
      <c r="M7" s="22">
        <v>328.87</v>
      </c>
      <c r="N7" s="22">
        <v>1107.73</v>
      </c>
      <c r="O7" s="22">
        <v>1234.3399999999999</v>
      </c>
      <c r="Q7" s="4" t="s">
        <v>17</v>
      </c>
      <c r="R7" s="22">
        <v>313.2586</v>
      </c>
      <c r="S7" s="22">
        <v>371.61619999999999</v>
      </c>
      <c r="T7" s="22">
        <v>669.87339999999995</v>
      </c>
      <c r="U7" s="22">
        <v>493.18200000000002</v>
      </c>
      <c r="V7" s="22">
        <v>207.1</v>
      </c>
      <c r="W7" s="22">
        <v>306.13</v>
      </c>
      <c r="Y7" s="4" t="s">
        <v>17</v>
      </c>
      <c r="Z7" s="22">
        <v>472.5</v>
      </c>
      <c r="AA7" s="22">
        <v>436.4</v>
      </c>
      <c r="AB7" s="22">
        <v>953.9</v>
      </c>
      <c r="AC7" s="22">
        <v>1279.5999999999999</v>
      </c>
      <c r="AD7" s="22">
        <v>1351</v>
      </c>
      <c r="AE7" s="22">
        <v>2399.4</v>
      </c>
      <c r="AG7" s="4" t="s">
        <v>101</v>
      </c>
      <c r="AH7" s="22">
        <v>576.61</v>
      </c>
      <c r="AI7" s="22">
        <v>745.41</v>
      </c>
      <c r="AJ7" s="22">
        <v>544.34</v>
      </c>
      <c r="AK7" s="22">
        <v>688.24</v>
      </c>
      <c r="AL7" s="22">
        <v>280.8</v>
      </c>
      <c r="AM7" s="22">
        <v>367.26</v>
      </c>
      <c r="AO7" s="4" t="s">
        <v>109</v>
      </c>
      <c r="AP7" s="22">
        <v>322.73</v>
      </c>
      <c r="AQ7" s="22">
        <v>338.13</v>
      </c>
      <c r="AR7" s="22">
        <v>325.61</v>
      </c>
      <c r="AS7" s="22">
        <v>407.18</v>
      </c>
      <c r="AT7" s="22">
        <v>427.03</v>
      </c>
      <c r="AU7" s="22">
        <v>448.38</v>
      </c>
    </row>
    <row r="8" spans="1:47" x14ac:dyDescent="0.3">
      <c r="A8" s="18" t="s">
        <v>17</v>
      </c>
      <c r="B8" s="22">
        <v>919.69</v>
      </c>
      <c r="C8" s="22">
        <v>710.62</v>
      </c>
      <c r="D8" s="22">
        <v>469.93</v>
      </c>
      <c r="E8" s="22">
        <v>211.88</v>
      </c>
      <c r="F8" s="22">
        <v>778</v>
      </c>
      <c r="G8" s="23">
        <v>1022</v>
      </c>
      <c r="I8" s="4" t="s">
        <v>60</v>
      </c>
      <c r="J8" s="22">
        <v>6481.46</v>
      </c>
      <c r="K8" s="22">
        <v>6287.64</v>
      </c>
      <c r="L8" s="22">
        <v>120.8</v>
      </c>
      <c r="M8" s="22">
        <v>120.8</v>
      </c>
      <c r="N8" s="22">
        <v>8568.99</v>
      </c>
      <c r="O8" s="22">
        <v>8939.42</v>
      </c>
      <c r="Q8" s="4" t="s">
        <v>81</v>
      </c>
      <c r="R8" s="22">
        <v>5.5582000000000003</v>
      </c>
      <c r="S8" s="22">
        <v>5.5034999999999998</v>
      </c>
      <c r="T8" s="22">
        <v>5.4242999999999997</v>
      </c>
      <c r="U8" s="22">
        <v>5.3696000000000002</v>
      </c>
      <c r="V8" s="22">
        <v>5.32</v>
      </c>
      <c r="W8" s="22">
        <v>0.05</v>
      </c>
      <c r="Y8" s="4" t="s">
        <v>82</v>
      </c>
      <c r="Z8" s="22">
        <v>465.9</v>
      </c>
      <c r="AA8" s="22">
        <v>491.3</v>
      </c>
      <c r="AB8" s="22">
        <v>559.9</v>
      </c>
      <c r="AC8" s="22">
        <v>547.29999999999995</v>
      </c>
      <c r="AD8" s="22">
        <v>550.1</v>
      </c>
      <c r="AE8" s="22">
        <v>1313.9</v>
      </c>
      <c r="AG8" s="4" t="s">
        <v>102</v>
      </c>
      <c r="AH8" s="22">
        <v>135.41999999999999</v>
      </c>
      <c r="AI8" s="22">
        <v>125.55</v>
      </c>
      <c r="AJ8" s="22">
        <v>127.51</v>
      </c>
      <c r="AK8" s="22">
        <v>144.93</v>
      </c>
      <c r="AL8" s="22">
        <v>157.57</v>
      </c>
      <c r="AM8" s="22">
        <v>246.41</v>
      </c>
      <c r="AO8" s="4" t="s">
        <v>101</v>
      </c>
      <c r="AP8" s="22">
        <v>421</v>
      </c>
      <c r="AQ8" s="22">
        <v>570.84</v>
      </c>
      <c r="AR8" s="22">
        <v>382.9</v>
      </c>
      <c r="AS8" s="22">
        <v>689.17</v>
      </c>
      <c r="AT8" s="22">
        <v>864.32</v>
      </c>
      <c r="AU8" s="22">
        <v>1212.76</v>
      </c>
    </row>
    <row r="9" spans="1:47" x14ac:dyDescent="0.3">
      <c r="A9" s="18" t="s">
        <v>18</v>
      </c>
      <c r="B9" s="22">
        <v>3.6</v>
      </c>
      <c r="C9" s="22">
        <v>4.95</v>
      </c>
      <c r="D9" s="22">
        <v>7.49</v>
      </c>
      <c r="E9" s="22">
        <v>5.28</v>
      </c>
      <c r="F9" s="22">
        <v>4</v>
      </c>
      <c r="G9" s="23">
        <v>4</v>
      </c>
      <c r="I9" s="4" t="s">
        <v>61</v>
      </c>
      <c r="J9" s="22">
        <v>5798.02</v>
      </c>
      <c r="K9" s="22">
        <v>5030.3500000000004</v>
      </c>
      <c r="L9" s="22">
        <v>4622.41</v>
      </c>
      <c r="M9" s="22">
        <v>3857.62</v>
      </c>
      <c r="N9" s="22">
        <v>4486.84</v>
      </c>
      <c r="O9" s="22">
        <v>3610.92</v>
      </c>
      <c r="Q9" s="4" t="s">
        <v>82</v>
      </c>
      <c r="R9" s="22">
        <v>20.4422</v>
      </c>
      <c r="S9" s="22">
        <v>20.4422</v>
      </c>
      <c r="T9" s="22">
        <v>20.4422</v>
      </c>
      <c r="U9" s="22">
        <v>20.022500000000001</v>
      </c>
      <c r="V9" s="22">
        <v>20.02</v>
      </c>
      <c r="W9" s="22">
        <v>6492.63</v>
      </c>
      <c r="Y9" s="4" t="s">
        <v>93</v>
      </c>
      <c r="Z9" s="22">
        <v>1812.4</v>
      </c>
      <c r="AA9" s="22">
        <v>1581.1</v>
      </c>
      <c r="AB9" s="22">
        <v>2913.6</v>
      </c>
      <c r="AC9" s="22">
        <v>2687.3</v>
      </c>
      <c r="AD9" s="22">
        <v>3626.8</v>
      </c>
      <c r="AE9" s="22">
        <v>9614.1</v>
      </c>
      <c r="AG9" s="4" t="s">
        <v>82</v>
      </c>
      <c r="AH9" s="22">
        <v>342.09</v>
      </c>
      <c r="AI9" s="22">
        <v>341.23</v>
      </c>
      <c r="AJ9" s="22">
        <v>259.48</v>
      </c>
      <c r="AK9" s="22">
        <v>337.5</v>
      </c>
      <c r="AL9" s="22">
        <v>338.03</v>
      </c>
      <c r="AM9" s="22">
        <v>338.88</v>
      </c>
      <c r="AO9" s="4" t="s">
        <v>81</v>
      </c>
      <c r="AP9" s="22">
        <v>124.3</v>
      </c>
      <c r="AQ9" s="22">
        <v>121.75</v>
      </c>
      <c r="AR9" s="22">
        <v>61.42</v>
      </c>
      <c r="AS9" s="22">
        <v>59.83</v>
      </c>
      <c r="AT9" s="22">
        <v>113.61</v>
      </c>
      <c r="AU9" s="22">
        <v>111.25</v>
      </c>
    </row>
    <row r="10" spans="1:47" x14ac:dyDescent="0.3">
      <c r="A10" s="18" t="s">
        <v>19</v>
      </c>
      <c r="B10" s="22">
        <v>0.01</v>
      </c>
      <c r="C10" s="22">
        <v>0.01</v>
      </c>
      <c r="D10" s="22">
        <v>72.010000000000005</v>
      </c>
      <c r="E10" s="22">
        <v>77.05</v>
      </c>
      <c r="F10" s="22">
        <v>82</v>
      </c>
      <c r="G10" s="23">
        <v>65</v>
      </c>
      <c r="I10" s="4" t="s">
        <v>62</v>
      </c>
      <c r="J10" s="22">
        <v>561.42999999999995</v>
      </c>
      <c r="K10" s="22">
        <v>630.30999999999995</v>
      </c>
      <c r="L10" s="22">
        <v>469.7</v>
      </c>
      <c r="M10" s="22">
        <v>524.04</v>
      </c>
      <c r="N10" s="22">
        <v>4246.1499999999996</v>
      </c>
      <c r="O10" s="22">
        <v>5409.62</v>
      </c>
      <c r="Q10" s="4" t="s">
        <v>61</v>
      </c>
      <c r="R10" s="22">
        <v>22.252099999999999</v>
      </c>
      <c r="S10" s="22">
        <v>18.428599999999999</v>
      </c>
      <c r="T10" s="22">
        <v>1842.6052</v>
      </c>
      <c r="U10" s="22">
        <v>1701.4632999999999</v>
      </c>
      <c r="V10" s="22">
        <v>1588.34</v>
      </c>
      <c r="W10" s="22">
        <v>9604.0300000000007</v>
      </c>
      <c r="Y10" s="4" t="s">
        <v>62</v>
      </c>
      <c r="Z10" s="22">
        <v>2461</v>
      </c>
      <c r="AA10" s="22">
        <v>1098.7</v>
      </c>
      <c r="AB10" s="22">
        <v>611.20000000000005</v>
      </c>
      <c r="AC10" s="22">
        <v>13.8</v>
      </c>
      <c r="AD10" s="22">
        <v>68.3</v>
      </c>
      <c r="AE10" s="22">
        <v>66.2</v>
      </c>
      <c r="AG10" s="4" t="s">
        <v>93</v>
      </c>
      <c r="AH10" s="22">
        <v>4237.72</v>
      </c>
      <c r="AI10" s="22">
        <v>3840.06</v>
      </c>
      <c r="AJ10" s="22">
        <v>3460.58</v>
      </c>
      <c r="AK10" s="22">
        <v>5012.3500000000004</v>
      </c>
      <c r="AL10" s="22">
        <v>4503.1099999999997</v>
      </c>
      <c r="AM10" s="22">
        <v>4152.37</v>
      </c>
      <c r="AO10" s="4" t="s">
        <v>82</v>
      </c>
      <c r="AP10" s="22">
        <v>2934</v>
      </c>
      <c r="AQ10" s="22">
        <v>3007.29</v>
      </c>
      <c r="AR10" s="22">
        <v>3137.93</v>
      </c>
      <c r="AS10" s="22">
        <v>2983.86</v>
      </c>
      <c r="AT10" s="22">
        <v>3112.04</v>
      </c>
      <c r="AU10" s="22">
        <v>3270.27</v>
      </c>
    </row>
    <row r="11" spans="1:47" x14ac:dyDescent="0.3">
      <c r="A11" s="18" t="s">
        <v>20</v>
      </c>
      <c r="B11" s="22">
        <v>35.32</v>
      </c>
      <c r="C11" s="22">
        <v>55.33</v>
      </c>
      <c r="D11" s="22">
        <v>0</v>
      </c>
      <c r="E11" s="22">
        <v>0</v>
      </c>
      <c r="F11" s="22">
        <v>0</v>
      </c>
      <c r="G11" s="23">
        <v>0</v>
      </c>
      <c r="I11" s="4" t="s">
        <v>63</v>
      </c>
      <c r="J11" s="22">
        <v>215.39</v>
      </c>
      <c r="K11" s="22">
        <v>232.73</v>
      </c>
      <c r="L11" s="22">
        <v>0</v>
      </c>
      <c r="M11" s="22">
        <v>0</v>
      </c>
      <c r="N11" s="22">
        <v>0</v>
      </c>
      <c r="O11" s="22">
        <v>0</v>
      </c>
      <c r="Q11" s="4" t="s">
        <v>62</v>
      </c>
      <c r="R11" s="22">
        <v>3.6945999999999999</v>
      </c>
      <c r="S11" s="22">
        <v>0.33360000000000001</v>
      </c>
      <c r="T11" s="22">
        <v>31.597899999999999</v>
      </c>
      <c r="U11" s="22">
        <v>56.953600000000002</v>
      </c>
      <c r="V11" s="22">
        <v>74.7</v>
      </c>
      <c r="W11" s="22">
        <v>519.54</v>
      </c>
      <c r="Y11" s="4" t="s">
        <v>94</v>
      </c>
      <c r="Z11" s="22">
        <v>252.9</v>
      </c>
      <c r="AA11" s="22">
        <v>276.3</v>
      </c>
      <c r="AB11" s="22">
        <v>337.5</v>
      </c>
      <c r="AC11" s="22">
        <v>431.8</v>
      </c>
      <c r="AD11" s="22">
        <v>419.6</v>
      </c>
      <c r="AE11" s="22">
        <v>481.1</v>
      </c>
      <c r="AG11" s="4" t="s">
        <v>62</v>
      </c>
      <c r="AH11" s="22">
        <v>135.32</v>
      </c>
      <c r="AI11" s="22">
        <v>143.97</v>
      </c>
      <c r="AJ11" s="22">
        <v>85.48</v>
      </c>
      <c r="AK11" s="22">
        <v>77.16</v>
      </c>
      <c r="AL11" s="22">
        <v>79.709999999999994</v>
      </c>
      <c r="AM11" s="22">
        <v>110.88</v>
      </c>
      <c r="AO11" s="4" t="s">
        <v>18</v>
      </c>
      <c r="AP11" s="22">
        <v>1496.54</v>
      </c>
      <c r="AQ11" s="22">
        <v>1430.21</v>
      </c>
      <c r="AR11" s="22">
        <v>1319.58</v>
      </c>
      <c r="AS11" s="22">
        <v>1126.01</v>
      </c>
      <c r="AT11" s="22">
        <v>1312.6</v>
      </c>
      <c r="AU11" s="22">
        <v>1362.61</v>
      </c>
    </row>
    <row r="12" spans="1:47" x14ac:dyDescent="0.3">
      <c r="A12" s="18" t="s">
        <v>21</v>
      </c>
      <c r="B12" s="22">
        <v>0</v>
      </c>
      <c r="C12" s="22">
        <v>1.45</v>
      </c>
      <c r="D12" s="22">
        <v>57.75</v>
      </c>
      <c r="E12" s="22">
        <v>51.09</v>
      </c>
      <c r="F12" s="22">
        <v>56</v>
      </c>
      <c r="G12" s="23">
        <v>62</v>
      </c>
      <c r="I12" s="4" t="s">
        <v>64</v>
      </c>
      <c r="J12" s="22">
        <v>27.57</v>
      </c>
      <c r="K12" s="22">
        <v>27.83</v>
      </c>
      <c r="L12" s="22">
        <v>15340.41</v>
      </c>
      <c r="M12" s="22">
        <v>12401.74</v>
      </c>
      <c r="N12" s="22">
        <v>0</v>
      </c>
      <c r="O12" s="22">
        <v>0</v>
      </c>
      <c r="Q12" s="4" t="s">
        <v>119</v>
      </c>
      <c r="R12" s="22">
        <v>0</v>
      </c>
      <c r="S12" s="22">
        <v>0</v>
      </c>
      <c r="T12" s="22">
        <v>67.357100000000003</v>
      </c>
      <c r="U12" s="22">
        <v>114.3647</v>
      </c>
      <c r="V12" s="22">
        <v>119.06</v>
      </c>
      <c r="W12" s="22">
        <v>167.25</v>
      </c>
      <c r="Y12" s="4" t="s">
        <v>19</v>
      </c>
      <c r="Z12" s="22">
        <v>81.3</v>
      </c>
      <c r="AA12" s="22">
        <v>32.799999999999997</v>
      </c>
      <c r="AB12" s="22">
        <v>495.8</v>
      </c>
      <c r="AC12" s="22">
        <v>166.8</v>
      </c>
      <c r="AD12" s="22">
        <v>105.9</v>
      </c>
      <c r="AE12" s="22">
        <v>239.3</v>
      </c>
      <c r="AG12" s="4" t="s">
        <v>19</v>
      </c>
      <c r="AH12" s="22">
        <v>2.09</v>
      </c>
      <c r="AI12" s="22">
        <v>42.09</v>
      </c>
      <c r="AJ12" s="22">
        <v>42.33</v>
      </c>
      <c r="AK12" s="22">
        <v>42.7</v>
      </c>
      <c r="AL12" s="22">
        <v>31.8</v>
      </c>
      <c r="AM12" s="22">
        <v>43.57</v>
      </c>
      <c r="AO12" s="4" t="s">
        <v>62</v>
      </c>
      <c r="AP12" s="22">
        <v>403.53</v>
      </c>
      <c r="AQ12" s="22">
        <v>398.05</v>
      </c>
      <c r="AR12" s="22">
        <v>383.28</v>
      </c>
      <c r="AS12" s="22">
        <v>404.13</v>
      </c>
      <c r="AT12" s="22">
        <v>288.39999999999998</v>
      </c>
      <c r="AU12" s="22">
        <v>353.51</v>
      </c>
    </row>
    <row r="13" spans="1:47" x14ac:dyDescent="0.3">
      <c r="A13" s="18" t="s">
        <v>22</v>
      </c>
      <c r="B13" s="22">
        <v>0</v>
      </c>
      <c r="C13" s="22">
        <v>68.599999999999994</v>
      </c>
      <c r="D13" s="22">
        <v>29.17</v>
      </c>
      <c r="E13" s="22">
        <v>29.17</v>
      </c>
      <c r="F13" s="22">
        <v>1</v>
      </c>
      <c r="G13" s="23">
        <v>1</v>
      </c>
      <c r="I13" s="4" t="s">
        <v>19</v>
      </c>
      <c r="J13" s="22">
        <v>5002.79</v>
      </c>
      <c r="K13" s="22">
        <v>6221.83</v>
      </c>
      <c r="L13" s="22">
        <v>15.42</v>
      </c>
      <c r="M13" s="22">
        <v>14.4</v>
      </c>
      <c r="N13" s="22">
        <v>6441.23</v>
      </c>
      <c r="O13" s="22">
        <v>4697.7</v>
      </c>
      <c r="Q13" s="4" t="s">
        <v>83</v>
      </c>
      <c r="R13" s="22">
        <v>164.37979999999999</v>
      </c>
      <c r="S13" s="22">
        <v>165.7868</v>
      </c>
      <c r="T13" s="22">
        <v>167.74279999999999</v>
      </c>
      <c r="U13" s="22">
        <v>181.41120000000001</v>
      </c>
      <c r="V13" s="22">
        <v>189.28</v>
      </c>
      <c r="W13" s="22">
        <v>190.9</v>
      </c>
      <c r="Y13" s="4" t="s">
        <v>68</v>
      </c>
      <c r="Z13" s="22">
        <v>11.3</v>
      </c>
      <c r="AA13" s="22">
        <v>173.7</v>
      </c>
      <c r="AB13" s="22">
        <v>11.8</v>
      </c>
      <c r="AC13" s="22">
        <v>5.4</v>
      </c>
      <c r="AD13" s="22">
        <v>0</v>
      </c>
      <c r="AE13" s="22">
        <v>0</v>
      </c>
      <c r="AG13" s="4" t="s">
        <v>20</v>
      </c>
      <c r="AH13" s="22">
        <v>2.29</v>
      </c>
      <c r="AI13" s="22">
        <v>214</v>
      </c>
      <c r="AJ13" s="22">
        <v>1.75</v>
      </c>
      <c r="AK13" s="22">
        <v>2.5</v>
      </c>
      <c r="AL13" s="22">
        <v>2.5</v>
      </c>
      <c r="AM13" s="22">
        <v>3.37</v>
      </c>
      <c r="AO13" s="4" t="s">
        <v>110</v>
      </c>
      <c r="AP13" s="22">
        <v>234.97</v>
      </c>
      <c r="AQ13" s="22">
        <v>228.38</v>
      </c>
      <c r="AR13" s="22">
        <v>45.81</v>
      </c>
      <c r="AS13" s="22">
        <v>90.9</v>
      </c>
      <c r="AT13" s="22">
        <v>130.05000000000001</v>
      </c>
      <c r="AU13" s="22">
        <v>140.47</v>
      </c>
    </row>
    <row r="14" spans="1:47" x14ac:dyDescent="0.3">
      <c r="A14" s="18" t="s">
        <v>23</v>
      </c>
      <c r="B14" s="22">
        <v>4.38</v>
      </c>
      <c r="C14" s="22">
        <v>3.23</v>
      </c>
      <c r="D14" s="22">
        <v>14.47</v>
      </c>
      <c r="E14" s="22">
        <v>14.24</v>
      </c>
      <c r="F14" s="22">
        <v>10</v>
      </c>
      <c r="G14" s="23">
        <v>11</v>
      </c>
      <c r="I14" s="4" t="s">
        <v>20</v>
      </c>
      <c r="J14" s="22">
        <v>0.79</v>
      </c>
      <c r="K14" s="22">
        <v>0.71</v>
      </c>
      <c r="L14" s="22">
        <v>3656.63</v>
      </c>
      <c r="M14" s="22">
        <v>632.70000000000005</v>
      </c>
      <c r="N14" s="22">
        <v>0.85</v>
      </c>
      <c r="O14" s="22">
        <v>2.79</v>
      </c>
      <c r="Q14" s="4" t="s">
        <v>19</v>
      </c>
      <c r="R14" s="22">
        <v>1.2500000000000001E-2</v>
      </c>
      <c r="S14" s="22">
        <v>40.012500000000003</v>
      </c>
      <c r="T14" s="22">
        <v>67.265000000000001</v>
      </c>
      <c r="U14" s="22">
        <v>89.537300000000002</v>
      </c>
      <c r="V14" s="22">
        <v>120.53</v>
      </c>
      <c r="W14" s="22">
        <v>160.19</v>
      </c>
      <c r="Y14" s="4" t="s">
        <v>21</v>
      </c>
      <c r="Z14" s="22">
        <v>73.099999999999994</v>
      </c>
      <c r="AA14" s="22">
        <v>79.3</v>
      </c>
      <c r="AB14" s="22">
        <v>76.8</v>
      </c>
      <c r="AC14" s="22">
        <v>277.3</v>
      </c>
      <c r="AD14" s="22">
        <v>121.2</v>
      </c>
      <c r="AE14" s="22">
        <v>887.5</v>
      </c>
      <c r="AG14" s="4" t="s">
        <v>21</v>
      </c>
      <c r="AH14" s="22">
        <v>126.28</v>
      </c>
      <c r="AI14" s="22">
        <v>52.11</v>
      </c>
      <c r="AJ14" s="22">
        <v>66.849999999999994</v>
      </c>
      <c r="AK14" s="22">
        <v>48.68</v>
      </c>
      <c r="AL14" s="22">
        <v>36.869999999999997</v>
      </c>
      <c r="AM14" s="22">
        <v>32.86</v>
      </c>
      <c r="AO14" s="4" t="s">
        <v>19</v>
      </c>
      <c r="AP14" s="22">
        <v>219.53</v>
      </c>
      <c r="AQ14" s="22">
        <v>195.3</v>
      </c>
      <c r="AR14" s="22">
        <v>309.82</v>
      </c>
      <c r="AS14" s="22">
        <v>481.62</v>
      </c>
      <c r="AT14" s="22">
        <v>512.16</v>
      </c>
      <c r="AU14" s="22">
        <v>499.07</v>
      </c>
    </row>
    <row r="15" spans="1:47" x14ac:dyDescent="0.3">
      <c r="A15" s="18" t="s">
        <v>24</v>
      </c>
      <c r="B15" s="22">
        <v>114.62</v>
      </c>
      <c r="C15" s="22">
        <v>56.25</v>
      </c>
      <c r="D15" s="22">
        <v>54.83</v>
      </c>
      <c r="E15" s="22">
        <v>21</v>
      </c>
      <c r="F15" s="22">
        <v>129</v>
      </c>
      <c r="G15" s="23">
        <v>248</v>
      </c>
      <c r="I15" s="4" t="s">
        <v>21</v>
      </c>
      <c r="J15" s="22">
        <v>104.88</v>
      </c>
      <c r="K15" s="22">
        <v>95.78</v>
      </c>
      <c r="L15" s="22">
        <v>65.13</v>
      </c>
      <c r="M15" s="22">
        <v>53.89</v>
      </c>
      <c r="N15" s="22">
        <v>117.95</v>
      </c>
      <c r="O15" s="22">
        <v>177.04</v>
      </c>
      <c r="Q15" s="4" t="s">
        <v>20</v>
      </c>
      <c r="R15" s="22">
        <v>9.9299999999999999E-2</v>
      </c>
      <c r="S15" s="22">
        <v>7.4300000000000005E-2</v>
      </c>
      <c r="T15" s="22">
        <v>2.8799999999999999E-2</v>
      </c>
      <c r="U15" s="22">
        <v>0</v>
      </c>
      <c r="V15" s="22">
        <v>0</v>
      </c>
      <c r="W15" s="22">
        <v>0</v>
      </c>
      <c r="Y15" s="4" t="s">
        <v>23</v>
      </c>
      <c r="Z15" s="22">
        <v>431.7</v>
      </c>
      <c r="AA15" s="22">
        <v>1219.9000000000001</v>
      </c>
      <c r="AB15" s="22">
        <v>1068.5999999999999</v>
      </c>
      <c r="AC15" s="22">
        <v>1277</v>
      </c>
      <c r="AD15" s="22">
        <v>1057.8</v>
      </c>
      <c r="AE15" s="22">
        <v>1832.5</v>
      </c>
      <c r="AG15" s="4" t="s">
        <v>22</v>
      </c>
      <c r="AH15" s="22">
        <v>188.88</v>
      </c>
      <c r="AI15" s="22">
        <v>55.89</v>
      </c>
      <c r="AJ15" s="22">
        <v>122.21</v>
      </c>
      <c r="AK15" s="22">
        <v>135.80000000000001</v>
      </c>
      <c r="AL15" s="22">
        <v>308.79000000000002</v>
      </c>
      <c r="AM15" s="22">
        <v>226.35</v>
      </c>
      <c r="AO15" s="4" t="s">
        <v>20</v>
      </c>
      <c r="AP15" s="22">
        <v>52.39</v>
      </c>
      <c r="AQ15" s="22">
        <v>52.99</v>
      </c>
      <c r="AR15" s="22">
        <v>0.04</v>
      </c>
      <c r="AS15" s="22">
        <v>0</v>
      </c>
      <c r="AT15" s="22">
        <v>16.98</v>
      </c>
      <c r="AU15" s="22">
        <v>32.54</v>
      </c>
    </row>
    <row r="16" spans="1:47" x14ac:dyDescent="0.3">
      <c r="A16" s="19" t="s">
        <v>25</v>
      </c>
      <c r="B16" s="24">
        <f>SUM(B6:B15)</f>
        <v>3855.8700000000003</v>
      </c>
      <c r="C16" s="24">
        <f t="shared" ref="C16:G16" si="0">SUM(C6:C15)</f>
        <v>4599.3599999999997</v>
      </c>
      <c r="D16" s="24">
        <f t="shared" si="0"/>
        <v>5023.21</v>
      </c>
      <c r="E16" s="24">
        <f t="shared" si="0"/>
        <v>5127.03</v>
      </c>
      <c r="F16" s="24">
        <f t="shared" si="0"/>
        <v>5795</v>
      </c>
      <c r="G16" s="24">
        <f t="shared" si="0"/>
        <v>6851</v>
      </c>
      <c r="I16" s="4" t="s">
        <v>65</v>
      </c>
      <c r="J16" s="22">
        <v>3175.29</v>
      </c>
      <c r="K16" s="22">
        <v>3556.44</v>
      </c>
      <c r="L16" s="22">
        <v>324.04000000000002</v>
      </c>
      <c r="M16" s="22">
        <v>1032.3900000000001</v>
      </c>
      <c r="N16" s="22">
        <v>4103.6499999999996</v>
      </c>
      <c r="O16" s="22">
        <v>4407.55</v>
      </c>
      <c r="Q16" s="4" t="s">
        <v>21</v>
      </c>
      <c r="R16" s="22">
        <v>30.9299</v>
      </c>
      <c r="S16" s="22">
        <v>22.428699999999999</v>
      </c>
      <c r="T16" s="22">
        <v>22.926500000000001</v>
      </c>
      <c r="U16" s="22">
        <v>110.1814</v>
      </c>
      <c r="V16" s="22">
        <v>29.5</v>
      </c>
      <c r="W16" s="22">
        <v>200.33</v>
      </c>
      <c r="Y16" s="4" t="s">
        <v>95</v>
      </c>
      <c r="Z16" s="22">
        <v>340</v>
      </c>
      <c r="AA16" s="22">
        <v>437.9</v>
      </c>
      <c r="AB16" s="22">
        <v>274.5</v>
      </c>
      <c r="AC16" s="22">
        <v>328.5</v>
      </c>
      <c r="AD16" s="22">
        <v>371.8</v>
      </c>
      <c r="AE16" s="22">
        <v>182.1</v>
      </c>
      <c r="AG16" s="4" t="s">
        <v>23</v>
      </c>
      <c r="AH16" s="22">
        <v>433.21</v>
      </c>
      <c r="AI16" s="22">
        <v>421.66</v>
      </c>
      <c r="AJ16" s="22">
        <v>493.65</v>
      </c>
      <c r="AK16" s="22">
        <v>543.66999999999996</v>
      </c>
      <c r="AL16" s="22">
        <v>555.13</v>
      </c>
      <c r="AM16" s="22">
        <v>594.15</v>
      </c>
      <c r="AO16" s="4" t="s">
        <v>21</v>
      </c>
      <c r="AP16" s="22">
        <v>42.04</v>
      </c>
      <c r="AQ16" s="22">
        <v>42.88</v>
      </c>
      <c r="AR16" s="22">
        <v>417.04</v>
      </c>
      <c r="AS16" s="22">
        <v>99.32</v>
      </c>
      <c r="AT16" s="22">
        <v>508.56</v>
      </c>
      <c r="AU16" s="22">
        <v>283.45999999999998</v>
      </c>
    </row>
    <row r="17" spans="1:47" x14ac:dyDescent="0.3">
      <c r="A17" s="16" t="s">
        <v>26</v>
      </c>
      <c r="B17" s="25"/>
      <c r="C17" s="25"/>
      <c r="D17" s="25"/>
      <c r="E17" s="25"/>
      <c r="F17" s="25"/>
      <c r="G17" s="25"/>
      <c r="I17" s="4" t="s">
        <v>66</v>
      </c>
      <c r="J17" s="22">
        <v>3384.25</v>
      </c>
      <c r="K17" s="22">
        <v>3432.78</v>
      </c>
      <c r="L17" s="22">
        <v>883.67</v>
      </c>
      <c r="M17" s="22">
        <v>586.13</v>
      </c>
      <c r="N17" s="22">
        <v>2285.0300000000002</v>
      </c>
      <c r="O17" s="22">
        <v>420.67</v>
      </c>
      <c r="Q17" s="4" t="s">
        <v>22</v>
      </c>
      <c r="R17" s="22">
        <v>54.511600000000001</v>
      </c>
      <c r="S17" s="22">
        <v>55.605600000000003</v>
      </c>
      <c r="T17" s="22">
        <v>79.824200000000005</v>
      </c>
      <c r="U17" s="22">
        <v>102.5153</v>
      </c>
      <c r="V17" s="22">
        <v>81.98</v>
      </c>
      <c r="W17" s="22">
        <v>189.49</v>
      </c>
      <c r="Y17" s="4" t="s">
        <v>24</v>
      </c>
      <c r="Z17" s="22">
        <v>40.700000000000003</v>
      </c>
      <c r="AA17" s="22">
        <v>20.9</v>
      </c>
      <c r="AB17" s="22">
        <v>30.7</v>
      </c>
      <c r="AC17" s="22">
        <v>62.9</v>
      </c>
      <c r="AD17" s="22">
        <v>137.30000000000001</v>
      </c>
      <c r="AE17" s="22">
        <v>94</v>
      </c>
      <c r="AG17" s="4" t="s">
        <v>103</v>
      </c>
      <c r="AH17" s="22">
        <v>31.02</v>
      </c>
      <c r="AI17" s="22">
        <v>23.65</v>
      </c>
      <c r="AJ17" s="22">
        <v>25.93</v>
      </c>
      <c r="AK17" s="22">
        <v>22.47</v>
      </c>
      <c r="AL17" s="22">
        <v>15.38</v>
      </c>
      <c r="AM17" s="22">
        <v>41.83</v>
      </c>
      <c r="AO17" s="4" t="s">
        <v>22</v>
      </c>
      <c r="AP17" s="22">
        <v>468.62</v>
      </c>
      <c r="AQ17" s="22">
        <v>468.16</v>
      </c>
      <c r="AR17" s="22">
        <v>483.62</v>
      </c>
      <c r="AS17" s="22">
        <v>548</v>
      </c>
      <c r="AT17" s="22">
        <v>463.67</v>
      </c>
      <c r="AU17" s="22">
        <v>487.86</v>
      </c>
    </row>
    <row r="18" spans="1:47" x14ac:dyDescent="0.3">
      <c r="A18" s="4" t="s">
        <v>27</v>
      </c>
      <c r="B18" s="22">
        <v>1863.86</v>
      </c>
      <c r="C18" s="22">
        <v>2145.23</v>
      </c>
      <c r="D18" s="22">
        <v>2828.62</v>
      </c>
      <c r="E18" s="22">
        <v>3000.41</v>
      </c>
      <c r="F18" s="22">
        <v>3184</v>
      </c>
      <c r="G18" s="22">
        <v>3236</v>
      </c>
      <c r="I18" s="4" t="s">
        <v>24</v>
      </c>
      <c r="J18" s="22">
        <v>620.09</v>
      </c>
      <c r="K18" s="22">
        <v>636.74</v>
      </c>
      <c r="L18" s="22">
        <v>235.01</v>
      </c>
      <c r="M18" s="22">
        <v>236.51</v>
      </c>
      <c r="N18" s="22">
        <v>473.93</v>
      </c>
      <c r="O18" s="22">
        <v>540.12</v>
      </c>
      <c r="Q18" s="4" t="s">
        <v>23</v>
      </c>
      <c r="R18" s="22">
        <v>47.938899999999997</v>
      </c>
      <c r="S18" s="22">
        <v>49.011000000000003</v>
      </c>
      <c r="T18" s="22">
        <v>39.286200000000001</v>
      </c>
      <c r="U18" s="22">
        <v>29.776900000000001</v>
      </c>
      <c r="V18" s="22">
        <v>80.39</v>
      </c>
      <c r="W18" s="22">
        <v>107.89</v>
      </c>
      <c r="Y18" s="11" t="s">
        <v>96</v>
      </c>
      <c r="Z18" s="24">
        <f>SUM(Z6:Z17)</f>
        <v>11355.5</v>
      </c>
      <c r="AA18" s="24">
        <f t="shared" ref="AA18:AE18" si="1">SUM(AA6:AA17)</f>
        <v>10626.199999999997</v>
      </c>
      <c r="AB18" s="24">
        <f t="shared" si="1"/>
        <v>12066.499999999998</v>
      </c>
      <c r="AC18" s="24">
        <f t="shared" si="1"/>
        <v>11964.599999999997</v>
      </c>
      <c r="AD18" s="24">
        <f t="shared" si="1"/>
        <v>14058.499999999998</v>
      </c>
      <c r="AE18" s="24">
        <f t="shared" si="1"/>
        <v>24408.499999999996</v>
      </c>
      <c r="AG18" s="11" t="s">
        <v>67</v>
      </c>
      <c r="AH18" s="24">
        <f>SUM(AH6:AH17)</f>
        <v>9028.8200000000015</v>
      </c>
      <c r="AI18" s="24">
        <f t="shared" ref="AI18:AM18" si="2">SUM(AI6:AI17)</f>
        <v>8763.41</v>
      </c>
      <c r="AJ18" s="24">
        <f t="shared" si="2"/>
        <v>7805.19</v>
      </c>
      <c r="AK18" s="24">
        <f t="shared" si="2"/>
        <v>9682.67</v>
      </c>
      <c r="AL18" s="24">
        <f t="shared" si="2"/>
        <v>9449.0899999999983</v>
      </c>
      <c r="AM18" s="24">
        <f t="shared" si="2"/>
        <v>9367.17</v>
      </c>
      <c r="AO18" s="4" t="s">
        <v>23</v>
      </c>
      <c r="AP18" s="22">
        <v>239.77</v>
      </c>
      <c r="AQ18" s="22">
        <v>314.69</v>
      </c>
      <c r="AR18" s="22">
        <v>448.83</v>
      </c>
      <c r="AS18" s="22">
        <v>456.54</v>
      </c>
      <c r="AT18" s="22">
        <v>587.79999999999995</v>
      </c>
      <c r="AU18" s="22">
        <v>644.87</v>
      </c>
    </row>
    <row r="19" spans="1:47" x14ac:dyDescent="0.3">
      <c r="A19" s="4" t="s">
        <v>19</v>
      </c>
      <c r="B19" s="22">
        <v>971.35</v>
      </c>
      <c r="C19" s="22">
        <v>0</v>
      </c>
      <c r="D19" s="22">
        <v>0</v>
      </c>
      <c r="E19" s="22">
        <v>0</v>
      </c>
      <c r="F19" s="22">
        <v>0</v>
      </c>
      <c r="G19" s="22">
        <v>0</v>
      </c>
      <c r="I19" s="11" t="s">
        <v>67</v>
      </c>
      <c r="J19" s="24">
        <f>SUM(J6:J18)</f>
        <v>36598.300000000003</v>
      </c>
      <c r="K19" s="24">
        <f t="shared" ref="K19:O19" si="3">SUM(K6:K18)</f>
        <v>37324.65</v>
      </c>
      <c r="L19" s="24">
        <f t="shared" si="3"/>
        <v>31061.73</v>
      </c>
      <c r="M19" s="24">
        <f t="shared" si="3"/>
        <v>24522.34</v>
      </c>
      <c r="N19" s="24">
        <f t="shared" si="3"/>
        <v>42024.669999999991</v>
      </c>
      <c r="O19" s="24">
        <f t="shared" si="3"/>
        <v>39476.110000000008</v>
      </c>
      <c r="Q19" s="4" t="s">
        <v>24</v>
      </c>
      <c r="R19" s="22">
        <v>36.6462</v>
      </c>
      <c r="S19" s="22">
        <v>96.676599999999993</v>
      </c>
      <c r="T19" s="22">
        <v>74.184299999999993</v>
      </c>
      <c r="U19" s="22">
        <v>73.355000000000004</v>
      </c>
      <c r="V19" s="22">
        <v>66.28</v>
      </c>
      <c r="W19" s="22">
        <v>92.26</v>
      </c>
      <c r="Y19" s="16" t="s">
        <v>26</v>
      </c>
      <c r="Z19" s="25"/>
      <c r="AA19" s="25"/>
      <c r="AB19" s="25"/>
      <c r="AC19" s="25"/>
      <c r="AD19" s="25"/>
      <c r="AE19" s="25"/>
      <c r="AG19" s="16" t="s">
        <v>84</v>
      </c>
      <c r="AH19" s="25"/>
      <c r="AI19" s="25"/>
      <c r="AJ19" s="25"/>
      <c r="AK19" s="25"/>
      <c r="AL19" s="25"/>
      <c r="AM19" s="25"/>
      <c r="AO19" s="4" t="s">
        <v>103</v>
      </c>
      <c r="AP19" s="22">
        <v>191.64</v>
      </c>
      <c r="AQ19" s="22">
        <v>155.57</v>
      </c>
      <c r="AR19" s="22">
        <v>218.91</v>
      </c>
      <c r="AS19" s="22">
        <v>258.17</v>
      </c>
      <c r="AT19" s="22">
        <v>297.25</v>
      </c>
      <c r="AU19" s="22">
        <v>437.59</v>
      </c>
    </row>
    <row r="20" spans="1:47" x14ac:dyDescent="0.3">
      <c r="A20" s="4" t="s">
        <v>28</v>
      </c>
      <c r="B20" s="22">
        <v>1413.35</v>
      </c>
      <c r="C20" s="22">
        <v>1676.52</v>
      </c>
      <c r="D20" s="22">
        <v>2423.88</v>
      </c>
      <c r="E20" s="22">
        <v>1792.53</v>
      </c>
      <c r="F20" s="22">
        <v>2156</v>
      </c>
      <c r="G20" s="22">
        <v>2731</v>
      </c>
      <c r="I20" s="21" t="s">
        <v>26</v>
      </c>
      <c r="J20" s="31"/>
      <c r="K20" s="31"/>
      <c r="L20" s="31"/>
      <c r="M20" s="31"/>
      <c r="N20" s="31"/>
      <c r="O20" s="31"/>
      <c r="Q20" s="11" t="s">
        <v>67</v>
      </c>
      <c r="R20" s="24">
        <f t="shared" ref="R20:W20" si="4">SUM(R6:R19)</f>
        <v>2251.0679999999998</v>
      </c>
      <c r="S20" s="24">
        <f t="shared" si="4"/>
        <v>2465.9902999999995</v>
      </c>
      <c r="T20" s="24">
        <f t="shared" si="4"/>
        <v>4740.9208999999992</v>
      </c>
      <c r="U20" s="24">
        <f t="shared" si="4"/>
        <v>5387.5670999999993</v>
      </c>
      <c r="V20" s="24">
        <f t="shared" si="4"/>
        <v>5395.03</v>
      </c>
      <c r="W20" s="24">
        <f t="shared" si="4"/>
        <v>20771.260000000006</v>
      </c>
      <c r="Y20" s="4" t="s">
        <v>27</v>
      </c>
      <c r="Z20" s="22">
        <v>3557.9</v>
      </c>
      <c r="AA20" s="22">
        <v>3506.7</v>
      </c>
      <c r="AB20" s="22">
        <v>4541.2</v>
      </c>
      <c r="AC20" s="22">
        <v>5088.3999999999996</v>
      </c>
      <c r="AD20" s="22">
        <v>6355.2</v>
      </c>
      <c r="AE20" s="22">
        <v>7108.5</v>
      </c>
      <c r="AG20" s="4" t="s">
        <v>27</v>
      </c>
      <c r="AH20" s="22">
        <v>2148.2199999999998</v>
      </c>
      <c r="AI20" s="22">
        <v>2681.2</v>
      </c>
      <c r="AJ20" s="22">
        <v>2462.3200000000002</v>
      </c>
      <c r="AK20" s="22">
        <v>2229.64</v>
      </c>
      <c r="AL20" s="22">
        <v>2279.0700000000002</v>
      </c>
      <c r="AM20" s="22">
        <v>2541.25</v>
      </c>
      <c r="AO20" s="11" t="s">
        <v>96</v>
      </c>
      <c r="AP20" s="24">
        <f>SUM(AP6:AP19)</f>
        <v>11956.380000000001</v>
      </c>
      <c r="AQ20" s="24">
        <f t="shared" ref="AQ20:AU20" si="5">SUM(AQ6:AQ19)</f>
        <v>11942.379999999997</v>
      </c>
      <c r="AR20" s="24">
        <f t="shared" si="5"/>
        <v>12373.580000000002</v>
      </c>
      <c r="AS20" s="24">
        <f t="shared" si="5"/>
        <v>12188.330000000002</v>
      </c>
      <c r="AT20" s="24">
        <f t="shared" si="5"/>
        <v>13276.409999999996</v>
      </c>
      <c r="AU20" s="24">
        <f t="shared" si="5"/>
        <v>14098.520000000002</v>
      </c>
    </row>
    <row r="21" spans="1:47" x14ac:dyDescent="0.3">
      <c r="A21" s="4" t="s">
        <v>29</v>
      </c>
      <c r="B21" s="22">
        <v>43.15</v>
      </c>
      <c r="C21" s="22">
        <v>2030.32</v>
      </c>
      <c r="D21" s="22">
        <v>1214.76</v>
      </c>
      <c r="E21" s="22">
        <v>169.7</v>
      </c>
      <c r="F21" s="22">
        <v>363</v>
      </c>
      <c r="G21" s="22">
        <v>415</v>
      </c>
      <c r="I21" s="4" t="s">
        <v>27</v>
      </c>
      <c r="J21" s="22">
        <v>7874.99</v>
      </c>
      <c r="K21" s="22">
        <v>8997.02</v>
      </c>
      <c r="L21" s="22">
        <v>3403.74</v>
      </c>
      <c r="M21" s="22">
        <v>3989.19</v>
      </c>
      <c r="N21" s="22">
        <v>9868.2900000000009</v>
      </c>
      <c r="O21" s="22">
        <v>10243.33</v>
      </c>
      <c r="Q21" s="16" t="s">
        <v>84</v>
      </c>
      <c r="R21" s="44"/>
      <c r="S21" s="44"/>
      <c r="T21" s="44"/>
      <c r="U21" s="44"/>
      <c r="V21" s="44"/>
      <c r="W21" s="44"/>
      <c r="Y21" s="4" t="s">
        <v>19</v>
      </c>
      <c r="Z21" s="22">
        <v>2252.9</v>
      </c>
      <c r="AA21" s="22">
        <v>2368.6999999999998</v>
      </c>
      <c r="AB21" s="22">
        <v>1378.5</v>
      </c>
      <c r="AC21" s="22">
        <v>2017.3</v>
      </c>
      <c r="AD21" s="22">
        <v>4405</v>
      </c>
      <c r="AE21" s="22">
        <v>3330.7</v>
      </c>
      <c r="AG21" s="4" t="s">
        <v>19</v>
      </c>
      <c r="AH21" s="22">
        <v>0.02</v>
      </c>
      <c r="AI21" s="22">
        <v>139.05000000000001</v>
      </c>
      <c r="AJ21" s="22">
        <v>183.98</v>
      </c>
      <c r="AK21" s="22">
        <v>156.09</v>
      </c>
      <c r="AL21" s="22">
        <v>141.04</v>
      </c>
      <c r="AM21" s="22">
        <v>112.21</v>
      </c>
      <c r="AO21" s="16" t="s">
        <v>26</v>
      </c>
      <c r="AP21" s="44"/>
      <c r="AQ21" s="44"/>
      <c r="AR21" s="44"/>
      <c r="AS21" s="44"/>
      <c r="AT21" s="44"/>
      <c r="AU21" s="44"/>
    </row>
    <row r="22" spans="1:47" x14ac:dyDescent="0.3">
      <c r="A22" s="4" t="s">
        <v>30</v>
      </c>
      <c r="B22" s="22">
        <v>79.48</v>
      </c>
      <c r="C22" s="22">
        <v>125.71</v>
      </c>
      <c r="D22" s="22">
        <v>1604.12</v>
      </c>
      <c r="E22" s="22">
        <v>4043.39</v>
      </c>
      <c r="F22" s="22">
        <v>3617</v>
      </c>
      <c r="G22" s="22">
        <v>3300</v>
      </c>
      <c r="I22" s="4" t="s">
        <v>19</v>
      </c>
      <c r="J22" s="22">
        <v>4897.3599999999997</v>
      </c>
      <c r="K22" s="22">
        <v>3130.06</v>
      </c>
      <c r="L22" s="22">
        <v>193.04</v>
      </c>
      <c r="M22" s="22">
        <v>200.26</v>
      </c>
      <c r="N22" s="22">
        <v>8584.5400000000009</v>
      </c>
      <c r="O22" s="22">
        <v>13656.1</v>
      </c>
      <c r="Q22" s="4" t="s">
        <v>27</v>
      </c>
      <c r="R22" s="22">
        <v>899.1345</v>
      </c>
      <c r="S22" s="22">
        <v>1183.5377000000001</v>
      </c>
      <c r="T22" s="22">
        <v>1760.2381</v>
      </c>
      <c r="U22" s="22">
        <v>1498.4582</v>
      </c>
      <c r="V22" s="22">
        <v>1553.46</v>
      </c>
      <c r="W22" s="22">
        <v>2093.71</v>
      </c>
      <c r="Y22" s="4" t="s">
        <v>68</v>
      </c>
      <c r="Z22" s="22">
        <v>3986.9</v>
      </c>
      <c r="AA22" s="22">
        <v>5027.8</v>
      </c>
      <c r="AB22" s="22">
        <v>4964.1000000000004</v>
      </c>
      <c r="AC22" s="22">
        <v>6676.4</v>
      </c>
      <c r="AD22" s="22">
        <v>8029.8</v>
      </c>
      <c r="AE22" s="22">
        <v>9042</v>
      </c>
      <c r="AG22" s="4" t="s">
        <v>68</v>
      </c>
      <c r="AH22" s="22">
        <v>1649.34</v>
      </c>
      <c r="AI22" s="22">
        <v>1523.37</v>
      </c>
      <c r="AJ22" s="22">
        <v>1632.48</v>
      </c>
      <c r="AK22" s="22">
        <v>1943.82</v>
      </c>
      <c r="AL22" s="22">
        <v>1844.3</v>
      </c>
      <c r="AM22" s="22">
        <v>1866.45</v>
      </c>
      <c r="AO22" s="4" t="s">
        <v>27</v>
      </c>
      <c r="AP22" s="22">
        <v>4377.6000000000004</v>
      </c>
      <c r="AQ22" s="22">
        <v>4669.18</v>
      </c>
      <c r="AR22" s="22">
        <v>5350.24</v>
      </c>
      <c r="AS22" s="22">
        <v>5156.43</v>
      </c>
      <c r="AT22" s="22">
        <v>5237.95</v>
      </c>
      <c r="AU22" s="22">
        <v>5642.11</v>
      </c>
    </row>
    <row r="23" spans="1:47" x14ac:dyDescent="0.3">
      <c r="A23" s="4" t="s">
        <v>20</v>
      </c>
      <c r="B23" s="22">
        <v>0.09</v>
      </c>
      <c r="C23" s="22">
        <v>0</v>
      </c>
      <c r="D23" s="22">
        <v>0</v>
      </c>
      <c r="E23" s="22">
        <v>0</v>
      </c>
      <c r="F23" s="22">
        <v>0</v>
      </c>
      <c r="G23" s="22">
        <v>0</v>
      </c>
      <c r="I23" s="4" t="s">
        <v>68</v>
      </c>
      <c r="J23" s="22">
        <v>9421.24</v>
      </c>
      <c r="K23" s="22">
        <v>9061.4</v>
      </c>
      <c r="L23" s="22">
        <v>4245.16</v>
      </c>
      <c r="M23" s="22">
        <v>7125.02</v>
      </c>
      <c r="N23" s="22">
        <v>11249.37</v>
      </c>
      <c r="O23" s="22">
        <v>13046.11</v>
      </c>
      <c r="Q23" s="4" t="s">
        <v>19</v>
      </c>
      <c r="R23" s="22">
        <v>665.03250000000003</v>
      </c>
      <c r="S23" s="22">
        <v>1306.1741</v>
      </c>
      <c r="T23" s="22">
        <v>874.46180000000004</v>
      </c>
      <c r="U23" s="22">
        <v>1075.4740999999999</v>
      </c>
      <c r="V23" s="22">
        <v>2258.11</v>
      </c>
      <c r="W23" s="22">
        <v>1690.84</v>
      </c>
      <c r="Y23" s="4" t="s">
        <v>97</v>
      </c>
      <c r="Z23" s="22">
        <v>36</v>
      </c>
      <c r="AA23" s="22">
        <v>110.5</v>
      </c>
      <c r="AB23" s="22">
        <v>121.8</v>
      </c>
      <c r="AC23" s="22">
        <v>190.6</v>
      </c>
      <c r="AD23" s="22">
        <v>16.899999999999999</v>
      </c>
      <c r="AE23" s="22">
        <v>55.7</v>
      </c>
      <c r="AG23" s="4" t="s">
        <v>69</v>
      </c>
      <c r="AH23" s="22">
        <v>661.82</v>
      </c>
      <c r="AI23" s="22">
        <v>572.55999999999995</v>
      </c>
      <c r="AJ23" s="22">
        <v>398.4</v>
      </c>
      <c r="AK23" s="22">
        <v>508.53</v>
      </c>
      <c r="AL23" s="22">
        <v>835.14</v>
      </c>
      <c r="AM23" s="22">
        <v>573.48</v>
      </c>
      <c r="AO23" s="4" t="s">
        <v>19</v>
      </c>
      <c r="AP23" s="22">
        <v>1016.52</v>
      </c>
      <c r="AQ23" s="22">
        <v>2286.37</v>
      </c>
      <c r="AR23" s="22">
        <v>2194.9699999999998</v>
      </c>
      <c r="AS23" s="22">
        <v>3089.86</v>
      </c>
      <c r="AT23" s="22">
        <v>4807.01</v>
      </c>
      <c r="AU23" s="22">
        <v>7293.23</v>
      </c>
    </row>
    <row r="24" spans="1:47" x14ac:dyDescent="0.3">
      <c r="A24" s="4" t="s">
        <v>21</v>
      </c>
      <c r="B24" s="22">
        <v>3.89</v>
      </c>
      <c r="C24" s="22">
        <v>9.4700000000000006</v>
      </c>
      <c r="D24" s="22">
        <v>4.8899999999999997</v>
      </c>
      <c r="E24" s="22">
        <v>6.07</v>
      </c>
      <c r="F24" s="22">
        <v>7</v>
      </c>
      <c r="G24" s="22">
        <v>16</v>
      </c>
      <c r="I24" s="4" t="s">
        <v>69</v>
      </c>
      <c r="J24" s="22">
        <v>5676.61</v>
      </c>
      <c r="K24" s="22">
        <v>6273.03</v>
      </c>
      <c r="L24" s="22">
        <v>419.53</v>
      </c>
      <c r="M24" s="22">
        <v>410.28</v>
      </c>
      <c r="N24" s="22">
        <v>9285.65</v>
      </c>
      <c r="O24" s="22">
        <v>10268.77</v>
      </c>
      <c r="Q24" s="4" t="s">
        <v>28</v>
      </c>
      <c r="R24" s="22">
        <v>531.09199999999998</v>
      </c>
      <c r="S24" s="22">
        <v>330.61130000000003</v>
      </c>
      <c r="T24" s="22">
        <v>388.166</v>
      </c>
      <c r="U24" s="22">
        <v>576.42139999999995</v>
      </c>
      <c r="V24" s="22">
        <v>848.28</v>
      </c>
      <c r="W24" s="22">
        <v>1538.34</v>
      </c>
      <c r="Y24" s="4" t="s">
        <v>69</v>
      </c>
      <c r="Z24" s="22">
        <v>222.8</v>
      </c>
      <c r="AA24" s="22">
        <v>205.3</v>
      </c>
      <c r="AB24" s="22">
        <v>1482.9</v>
      </c>
      <c r="AC24" s="22">
        <v>1485.2</v>
      </c>
      <c r="AD24" s="22">
        <v>710.7</v>
      </c>
      <c r="AE24" s="22">
        <v>1465.4</v>
      </c>
      <c r="AG24" s="4" t="s">
        <v>70</v>
      </c>
      <c r="AH24" s="22">
        <v>4.83</v>
      </c>
      <c r="AI24" s="22">
        <v>30.94</v>
      </c>
      <c r="AJ24" s="22">
        <v>5.01</v>
      </c>
      <c r="AK24" s="22">
        <v>62.93</v>
      </c>
      <c r="AL24" s="22">
        <v>3.9</v>
      </c>
      <c r="AM24" s="22">
        <v>5.98</v>
      </c>
      <c r="AO24" s="4" t="s">
        <v>68</v>
      </c>
      <c r="AP24" s="22">
        <v>3891.31</v>
      </c>
      <c r="AQ24" s="22">
        <v>3445.68</v>
      </c>
      <c r="AR24" s="22">
        <v>3424.44</v>
      </c>
      <c r="AS24" s="22">
        <v>4057</v>
      </c>
      <c r="AT24" s="22">
        <v>4770.66</v>
      </c>
      <c r="AU24" s="22">
        <v>5506.37</v>
      </c>
    </row>
    <row r="25" spans="1:47" x14ac:dyDescent="0.3">
      <c r="A25" s="4" t="s">
        <v>22</v>
      </c>
      <c r="B25" s="22">
        <v>79.05</v>
      </c>
      <c r="C25" s="22">
        <v>34.270000000000003</v>
      </c>
      <c r="D25" s="22">
        <v>57.68</v>
      </c>
      <c r="E25" s="22">
        <v>97.87</v>
      </c>
      <c r="F25" s="22">
        <v>28</v>
      </c>
      <c r="G25" s="22">
        <v>13</v>
      </c>
      <c r="I25" s="4" t="s">
        <v>70</v>
      </c>
      <c r="J25" s="22">
        <v>810.94</v>
      </c>
      <c r="K25" s="22">
        <v>172.48</v>
      </c>
      <c r="L25" s="22">
        <v>115.43</v>
      </c>
      <c r="M25" s="22">
        <v>11</v>
      </c>
      <c r="N25" s="22">
        <v>1235.03</v>
      </c>
      <c r="O25" s="22">
        <v>1062.8499999999999</v>
      </c>
      <c r="Q25" s="4" t="s">
        <v>69</v>
      </c>
      <c r="R25" s="22">
        <v>226.0753</v>
      </c>
      <c r="S25" s="22">
        <v>167.18199999999999</v>
      </c>
      <c r="T25" s="22">
        <v>302.53469999999999</v>
      </c>
      <c r="U25" s="22">
        <v>304.82069999999999</v>
      </c>
      <c r="V25" s="22">
        <v>382.01</v>
      </c>
      <c r="W25" s="22">
        <v>407.36</v>
      </c>
      <c r="Y25" s="4" t="s">
        <v>85</v>
      </c>
      <c r="Z25" s="22">
        <v>0</v>
      </c>
      <c r="AA25" s="22">
        <v>0</v>
      </c>
      <c r="AB25" s="22">
        <v>595.9</v>
      </c>
      <c r="AC25" s="22">
        <v>934</v>
      </c>
      <c r="AD25" s="22">
        <v>1017</v>
      </c>
      <c r="AE25" s="22">
        <v>994.8</v>
      </c>
      <c r="AG25" s="4" t="s">
        <v>20</v>
      </c>
      <c r="AH25" s="22">
        <v>3.64</v>
      </c>
      <c r="AI25" s="22">
        <v>3.08</v>
      </c>
      <c r="AJ25" s="22">
        <v>2.61</v>
      </c>
      <c r="AK25" s="22">
        <v>1.71</v>
      </c>
      <c r="AL25" s="22">
        <v>3.05</v>
      </c>
      <c r="AM25" s="22">
        <v>4.22</v>
      </c>
      <c r="AO25" s="4" t="s">
        <v>69</v>
      </c>
      <c r="AP25" s="22">
        <v>742.38</v>
      </c>
      <c r="AQ25" s="22">
        <v>793.29</v>
      </c>
      <c r="AR25" s="22">
        <v>677.74</v>
      </c>
      <c r="AS25" s="22">
        <v>627.63</v>
      </c>
      <c r="AT25" s="22">
        <v>640.07000000000005</v>
      </c>
      <c r="AU25" s="22">
        <v>588.69000000000005</v>
      </c>
    </row>
    <row r="26" spans="1:47" x14ac:dyDescent="0.3">
      <c r="A26" s="4" t="s">
        <v>31</v>
      </c>
      <c r="B26" s="22">
        <v>225.61</v>
      </c>
      <c r="C26" s="22">
        <v>153.19</v>
      </c>
      <c r="D26" s="22">
        <v>217.55</v>
      </c>
      <c r="E26" s="22">
        <v>201.77</v>
      </c>
      <c r="F26" s="22">
        <v>320</v>
      </c>
      <c r="G26" s="22">
        <v>370</v>
      </c>
      <c r="I26" s="4" t="s">
        <v>20</v>
      </c>
      <c r="J26" s="22">
        <v>148.38</v>
      </c>
      <c r="K26" s="22">
        <v>56.01</v>
      </c>
      <c r="L26" s="22">
        <v>9.1</v>
      </c>
      <c r="M26" s="22">
        <v>3347.03</v>
      </c>
      <c r="N26" s="22">
        <v>65.02</v>
      </c>
      <c r="O26" s="22">
        <v>48.38</v>
      </c>
      <c r="Q26" s="4" t="s">
        <v>85</v>
      </c>
      <c r="R26" s="22">
        <v>193.80199999999999</v>
      </c>
      <c r="S26" s="22">
        <v>533.5598</v>
      </c>
      <c r="T26" s="22">
        <v>103.4068</v>
      </c>
      <c r="U26" s="22">
        <v>148.37790000000001</v>
      </c>
      <c r="V26" s="22">
        <v>326.08999999999997</v>
      </c>
      <c r="W26" s="22">
        <v>147.13999999999999</v>
      </c>
      <c r="Y26" s="4" t="s">
        <v>21</v>
      </c>
      <c r="Z26" s="22">
        <v>211.2</v>
      </c>
      <c r="AA26" s="22">
        <v>337.7</v>
      </c>
      <c r="AB26" s="22">
        <v>185.8</v>
      </c>
      <c r="AC26" s="22">
        <v>157.4</v>
      </c>
      <c r="AD26" s="22">
        <v>2252.6999999999998</v>
      </c>
      <c r="AE26" s="22">
        <v>314.2</v>
      </c>
      <c r="AG26" s="4" t="s">
        <v>21</v>
      </c>
      <c r="AH26" s="22">
        <v>81.69</v>
      </c>
      <c r="AI26" s="22">
        <v>120.79</v>
      </c>
      <c r="AJ26" s="22">
        <v>167.98</v>
      </c>
      <c r="AK26" s="22">
        <v>108.41</v>
      </c>
      <c r="AL26" s="22">
        <v>200.68</v>
      </c>
      <c r="AM26" s="22">
        <v>182.85</v>
      </c>
      <c r="AO26" s="4" t="s">
        <v>85</v>
      </c>
      <c r="AP26" s="22">
        <v>261.52999999999997</v>
      </c>
      <c r="AQ26" s="22">
        <v>607.94000000000005</v>
      </c>
      <c r="AR26" s="22">
        <v>1250.74</v>
      </c>
      <c r="AS26" s="22">
        <v>936.99</v>
      </c>
      <c r="AT26" s="22">
        <v>234.9</v>
      </c>
      <c r="AU26" s="22">
        <v>211.15</v>
      </c>
    </row>
    <row r="27" spans="1:47" x14ac:dyDescent="0.3">
      <c r="A27" s="11" t="s">
        <v>32</v>
      </c>
      <c r="B27" s="24">
        <f>SUM(B18:B26)</f>
        <v>4679.829999999999</v>
      </c>
      <c r="C27" s="24">
        <f t="shared" ref="C27:G27" si="6">SUM(C18:C26)</f>
        <v>6174.71</v>
      </c>
      <c r="D27" s="24">
        <f t="shared" si="6"/>
        <v>8351.5</v>
      </c>
      <c r="E27" s="24">
        <f t="shared" si="6"/>
        <v>9311.74</v>
      </c>
      <c r="F27" s="24">
        <f t="shared" si="6"/>
        <v>9675</v>
      </c>
      <c r="G27" s="24">
        <f t="shared" si="6"/>
        <v>10081</v>
      </c>
      <c r="I27" s="4" t="s">
        <v>21</v>
      </c>
      <c r="J27" s="22">
        <v>929.34</v>
      </c>
      <c r="K27" s="22">
        <v>875.93</v>
      </c>
      <c r="L27" s="22">
        <v>402.18</v>
      </c>
      <c r="M27" s="22">
        <v>582.4</v>
      </c>
      <c r="N27" s="22">
        <v>917.2</v>
      </c>
      <c r="O27" s="22">
        <v>1740.66</v>
      </c>
      <c r="Q27" s="4" t="s">
        <v>20</v>
      </c>
      <c r="R27" s="22">
        <v>34.497900000000001</v>
      </c>
      <c r="S27" s="22">
        <v>18.4114</v>
      </c>
      <c r="T27" s="22">
        <v>1.1943999999999999</v>
      </c>
      <c r="U27" s="22">
        <v>1.6326000000000001</v>
      </c>
      <c r="V27" s="22">
        <v>2.86</v>
      </c>
      <c r="W27" s="22">
        <v>3.95</v>
      </c>
      <c r="Y27" s="4" t="s">
        <v>31</v>
      </c>
      <c r="Z27" s="22">
        <v>1042.4000000000001</v>
      </c>
      <c r="AA27" s="22">
        <v>1042.4000000000001</v>
      </c>
      <c r="AB27" s="22">
        <v>1265</v>
      </c>
      <c r="AC27" s="22">
        <v>1233</v>
      </c>
      <c r="AD27" s="22">
        <v>2018</v>
      </c>
      <c r="AE27" s="22">
        <v>2706.8</v>
      </c>
      <c r="AG27" s="4" t="s">
        <v>31</v>
      </c>
      <c r="AH27" s="22">
        <v>429.5</v>
      </c>
      <c r="AI27" s="22">
        <v>450.51</v>
      </c>
      <c r="AJ27" s="22">
        <v>312.20999999999998</v>
      </c>
      <c r="AK27" s="22">
        <v>302.58999999999997</v>
      </c>
      <c r="AL27" s="22">
        <v>304.3</v>
      </c>
      <c r="AM27" s="22">
        <v>336.13</v>
      </c>
      <c r="AO27" s="4" t="s">
        <v>20</v>
      </c>
      <c r="AP27" s="22">
        <v>5.6</v>
      </c>
      <c r="AQ27" s="22">
        <v>2.58</v>
      </c>
      <c r="AR27" s="22">
        <v>3.57</v>
      </c>
      <c r="AS27" s="22">
        <v>7.59</v>
      </c>
      <c r="AT27" s="22">
        <v>0.24</v>
      </c>
      <c r="AU27" s="22">
        <v>15.64</v>
      </c>
    </row>
    <row r="28" spans="1:47" x14ac:dyDescent="0.3">
      <c r="A28" s="11" t="s">
        <v>33</v>
      </c>
      <c r="B28" s="24">
        <f>B16+B27</f>
        <v>8535.6999999999989</v>
      </c>
      <c r="C28" s="24">
        <f t="shared" ref="C28:G28" si="7">C16+C27</f>
        <v>10774.07</v>
      </c>
      <c r="D28" s="24">
        <f t="shared" si="7"/>
        <v>13374.71</v>
      </c>
      <c r="E28" s="24">
        <f t="shared" si="7"/>
        <v>14438.77</v>
      </c>
      <c r="F28" s="24">
        <f t="shared" si="7"/>
        <v>15470</v>
      </c>
      <c r="G28" s="24">
        <f t="shared" si="7"/>
        <v>16932</v>
      </c>
      <c r="I28" s="4" t="s">
        <v>31</v>
      </c>
      <c r="J28" s="22">
        <v>1895.3</v>
      </c>
      <c r="K28" s="22">
        <v>1876.15</v>
      </c>
      <c r="L28" s="22">
        <f>915.57+21.4</f>
        <v>936.97</v>
      </c>
      <c r="M28" s="22">
        <f>778.57+21.4</f>
        <v>799.97</v>
      </c>
      <c r="N28" s="22">
        <v>2228.0100000000002</v>
      </c>
      <c r="O28" s="22">
        <v>2527.86</v>
      </c>
      <c r="Q28" s="4" t="s">
        <v>86</v>
      </c>
      <c r="R28" s="22">
        <v>4.4869000000000003</v>
      </c>
      <c r="S28" s="22">
        <v>9.9911999999999992</v>
      </c>
      <c r="T28" s="22">
        <v>13.937099999999999</v>
      </c>
      <c r="U28" s="22">
        <v>55.979700000000001</v>
      </c>
      <c r="V28" s="22">
        <v>503.03</v>
      </c>
      <c r="W28" s="22">
        <v>301.41000000000003</v>
      </c>
      <c r="Y28" s="11" t="s">
        <v>71</v>
      </c>
      <c r="Z28" s="24">
        <f t="shared" ref="Z28:AE28" si="8">SUM(Z20:Z27)</f>
        <v>11310.1</v>
      </c>
      <c r="AA28" s="24">
        <f t="shared" si="8"/>
        <v>12599.1</v>
      </c>
      <c r="AB28" s="24">
        <f t="shared" si="8"/>
        <v>14535.199999999997</v>
      </c>
      <c r="AC28" s="24">
        <f t="shared" si="8"/>
        <v>17782.300000000003</v>
      </c>
      <c r="AD28" s="24">
        <f t="shared" si="8"/>
        <v>24805.300000000003</v>
      </c>
      <c r="AE28" s="24">
        <f t="shared" si="8"/>
        <v>25018.100000000002</v>
      </c>
      <c r="AG28" s="11" t="s">
        <v>71</v>
      </c>
      <c r="AH28" s="24">
        <f>SUM(AH20:AH27)</f>
        <v>4979.0599999999995</v>
      </c>
      <c r="AI28" s="24">
        <f t="shared" ref="AI28:AM28" si="9">SUM(AI20:AI27)</f>
        <v>5521.5</v>
      </c>
      <c r="AJ28" s="24">
        <f t="shared" si="9"/>
        <v>5164.99</v>
      </c>
      <c r="AK28" s="24">
        <f t="shared" si="9"/>
        <v>5313.72</v>
      </c>
      <c r="AL28" s="24">
        <f t="shared" si="9"/>
        <v>5611.4800000000005</v>
      </c>
      <c r="AM28" s="24">
        <f t="shared" si="9"/>
        <v>5622.57</v>
      </c>
      <c r="AO28" s="4" t="s">
        <v>21</v>
      </c>
      <c r="AP28" s="22">
        <v>522.28</v>
      </c>
      <c r="AQ28" s="22">
        <v>481.66</v>
      </c>
      <c r="AR28" s="22">
        <v>898.39</v>
      </c>
      <c r="AS28" s="22">
        <v>2080.5700000000002</v>
      </c>
      <c r="AT28" s="22">
        <v>2801.52</v>
      </c>
      <c r="AU28" s="22">
        <v>2936.9</v>
      </c>
    </row>
    <row r="29" spans="1:47" x14ac:dyDescent="0.3">
      <c r="A29" s="12" t="s">
        <v>34</v>
      </c>
      <c r="B29" s="26"/>
      <c r="C29" s="26"/>
      <c r="D29" s="26"/>
      <c r="E29" s="26"/>
      <c r="F29" s="26"/>
      <c r="G29" s="27"/>
      <c r="I29" s="11" t="s">
        <v>71</v>
      </c>
      <c r="J29" s="24">
        <f>SUM(J21:J28)</f>
        <v>31654.159999999996</v>
      </c>
      <c r="K29" s="24">
        <f t="shared" ref="K29:O29" si="10">SUM(K21:K28)</f>
        <v>30442.079999999998</v>
      </c>
      <c r="L29" s="24">
        <f t="shared" si="10"/>
        <v>9725.15</v>
      </c>
      <c r="M29" s="24">
        <f t="shared" si="10"/>
        <v>16465.150000000001</v>
      </c>
      <c r="N29" s="24">
        <f t="shared" si="10"/>
        <v>43433.11</v>
      </c>
      <c r="O29" s="24">
        <f t="shared" si="10"/>
        <v>52594.06</v>
      </c>
      <c r="Q29" s="4" t="s">
        <v>31</v>
      </c>
      <c r="R29" s="22">
        <v>265.38099999999997</v>
      </c>
      <c r="S29" s="22">
        <v>354.46530000000001</v>
      </c>
      <c r="T29" s="22">
        <v>959.89779999999996</v>
      </c>
      <c r="U29" s="22">
        <v>663.39179999999999</v>
      </c>
      <c r="V29" s="22">
        <v>691.68</v>
      </c>
      <c r="W29" s="22">
        <v>802.82</v>
      </c>
      <c r="Y29" s="11" t="s">
        <v>88</v>
      </c>
      <c r="Z29" s="24">
        <f t="shared" ref="Z29:AE29" si="11">Z18+Z28</f>
        <v>22665.599999999999</v>
      </c>
      <c r="AA29" s="24">
        <f t="shared" si="11"/>
        <v>23225.299999999996</v>
      </c>
      <c r="AB29" s="24">
        <f t="shared" si="11"/>
        <v>26601.699999999997</v>
      </c>
      <c r="AC29" s="24">
        <f t="shared" si="11"/>
        <v>29746.9</v>
      </c>
      <c r="AD29" s="24">
        <f t="shared" si="11"/>
        <v>38863.800000000003</v>
      </c>
      <c r="AE29" s="24">
        <f t="shared" si="11"/>
        <v>49426.6</v>
      </c>
      <c r="AG29" s="4" t="s">
        <v>104</v>
      </c>
      <c r="AH29" s="22">
        <v>1.86</v>
      </c>
      <c r="AI29" s="22">
        <v>1.72</v>
      </c>
      <c r="AJ29" s="22">
        <v>129.66</v>
      </c>
      <c r="AK29" s="22">
        <v>15.46</v>
      </c>
      <c r="AL29" s="22">
        <v>0</v>
      </c>
      <c r="AM29" s="22">
        <v>0</v>
      </c>
      <c r="AO29" s="4" t="s">
        <v>31</v>
      </c>
      <c r="AP29" s="22">
        <v>886.62</v>
      </c>
      <c r="AQ29" s="22">
        <v>894.33</v>
      </c>
      <c r="AR29" s="22">
        <v>910.74</v>
      </c>
      <c r="AS29" s="22">
        <v>848.99</v>
      </c>
      <c r="AT29" s="22">
        <v>900.1</v>
      </c>
      <c r="AU29" s="22">
        <v>1054.8800000000001</v>
      </c>
    </row>
    <row r="30" spans="1:47" x14ac:dyDescent="0.3">
      <c r="A30" s="21" t="s">
        <v>35</v>
      </c>
      <c r="B30" s="28"/>
      <c r="C30" s="28"/>
      <c r="D30" s="28"/>
      <c r="E30" s="28"/>
      <c r="F30" s="28"/>
      <c r="G30" s="28"/>
      <c r="I30" s="11" t="s">
        <v>33</v>
      </c>
      <c r="J30" s="24">
        <f>J19+J29</f>
        <v>68252.459999999992</v>
      </c>
      <c r="K30" s="24">
        <f t="shared" ref="K30:O30" si="12">K19+K29</f>
        <v>67766.73</v>
      </c>
      <c r="L30" s="24">
        <f t="shared" si="12"/>
        <v>40786.879999999997</v>
      </c>
      <c r="M30" s="24">
        <f t="shared" si="12"/>
        <v>40987.490000000005</v>
      </c>
      <c r="N30" s="24">
        <f t="shared" si="12"/>
        <v>85457.78</v>
      </c>
      <c r="O30" s="24">
        <f t="shared" si="12"/>
        <v>92070.170000000013</v>
      </c>
      <c r="Q30" s="4" t="s">
        <v>87</v>
      </c>
      <c r="R30" s="22">
        <v>2.7105000000000001</v>
      </c>
      <c r="S30" s="22">
        <v>2.702</v>
      </c>
      <c r="T30" s="22">
        <v>2.9815999999999998</v>
      </c>
      <c r="U30" s="22">
        <v>3.3155999999999999</v>
      </c>
      <c r="V30" s="22">
        <v>2.7</v>
      </c>
      <c r="W30" s="22">
        <v>2.7</v>
      </c>
      <c r="Y30" s="16" t="s">
        <v>34</v>
      </c>
      <c r="Z30" s="25"/>
      <c r="AA30" s="25"/>
      <c r="AB30" s="25"/>
      <c r="AC30" s="25"/>
      <c r="AD30" s="25"/>
      <c r="AE30" s="25"/>
      <c r="AG30" s="11" t="s">
        <v>88</v>
      </c>
      <c r="AH30" s="24">
        <f>AH28+AH29+AH18</f>
        <v>14009.740000000002</v>
      </c>
      <c r="AI30" s="24">
        <f t="shared" ref="AI30:AM30" si="13">AI28+AI29+AI18</f>
        <v>14286.630000000001</v>
      </c>
      <c r="AJ30" s="24">
        <f t="shared" si="13"/>
        <v>13099.84</v>
      </c>
      <c r="AK30" s="24">
        <f t="shared" si="13"/>
        <v>15011.85</v>
      </c>
      <c r="AL30" s="24">
        <f t="shared" si="13"/>
        <v>15060.57</v>
      </c>
      <c r="AM30" s="24">
        <f t="shared" si="13"/>
        <v>14989.74</v>
      </c>
      <c r="AO30" s="11" t="s">
        <v>71</v>
      </c>
      <c r="AP30" s="24">
        <f>SUM(AP22:AP29)</f>
        <v>11703.840000000002</v>
      </c>
      <c r="AQ30" s="24">
        <f t="shared" ref="AQ30:AU30" si="14">SUM(AQ22:AQ29)</f>
        <v>13181.03</v>
      </c>
      <c r="AR30" s="24">
        <f t="shared" si="14"/>
        <v>14710.829999999998</v>
      </c>
      <c r="AS30" s="24">
        <f t="shared" si="14"/>
        <v>16805.060000000001</v>
      </c>
      <c r="AT30" s="24">
        <f t="shared" si="14"/>
        <v>19392.449999999997</v>
      </c>
      <c r="AU30" s="24">
        <f t="shared" si="14"/>
        <v>23248.97</v>
      </c>
    </row>
    <row r="31" spans="1:47" x14ac:dyDescent="0.3">
      <c r="A31" s="4" t="s">
        <v>36</v>
      </c>
      <c r="B31" s="22">
        <v>53.09</v>
      </c>
      <c r="C31" s="22">
        <v>53.09</v>
      </c>
      <c r="D31" s="22">
        <v>53.09</v>
      </c>
      <c r="E31" s="22">
        <v>53.09</v>
      </c>
      <c r="F31" s="22">
        <v>53</v>
      </c>
      <c r="G31" s="22">
        <v>53</v>
      </c>
      <c r="I31" s="16" t="s">
        <v>34</v>
      </c>
      <c r="J31" s="25"/>
      <c r="K31" s="25"/>
      <c r="L31" s="25"/>
      <c r="M31" s="25"/>
      <c r="N31" s="25"/>
      <c r="O31" s="25"/>
      <c r="Q31" s="11" t="s">
        <v>71</v>
      </c>
      <c r="R31" s="24">
        <f>SUM(R22:R30)</f>
        <v>2822.2125999999998</v>
      </c>
      <c r="S31" s="24">
        <f t="shared" ref="S31:W31" si="15">SUM(S22:S30)</f>
        <v>3906.6347999999998</v>
      </c>
      <c r="T31" s="24">
        <f t="shared" si="15"/>
        <v>4406.8183000000008</v>
      </c>
      <c r="U31" s="24">
        <f t="shared" si="15"/>
        <v>4327.8719999999994</v>
      </c>
      <c r="V31" s="24">
        <f t="shared" si="15"/>
        <v>6568.22</v>
      </c>
      <c r="W31" s="24">
        <f t="shared" si="15"/>
        <v>6988.2699999999995</v>
      </c>
      <c r="Y31" s="12" t="s">
        <v>35</v>
      </c>
      <c r="Z31" s="37"/>
      <c r="AA31" s="37"/>
      <c r="AB31" s="37"/>
      <c r="AC31" s="37"/>
      <c r="AD31" s="37"/>
      <c r="AE31" s="38"/>
      <c r="AG31" s="16" t="s">
        <v>34</v>
      </c>
      <c r="AH31" s="25"/>
      <c r="AI31" s="25"/>
      <c r="AJ31" s="25"/>
      <c r="AK31" s="25"/>
      <c r="AL31" s="25"/>
      <c r="AM31" s="25"/>
      <c r="AO31" s="4" t="s">
        <v>111</v>
      </c>
      <c r="AP31" s="22">
        <v>2.34</v>
      </c>
      <c r="AQ31" s="22">
        <v>28.48</v>
      </c>
      <c r="AR31" s="22">
        <v>16.71</v>
      </c>
      <c r="AS31" s="22">
        <v>469.89</v>
      </c>
      <c r="AT31" s="22">
        <v>48.96</v>
      </c>
      <c r="AU31" s="22">
        <v>39.549999999999997</v>
      </c>
    </row>
    <row r="32" spans="1:47" x14ac:dyDescent="0.3">
      <c r="A32" s="4" t="s">
        <v>37</v>
      </c>
      <c r="B32" s="22">
        <v>7256.83</v>
      </c>
      <c r="C32" s="22">
        <v>9241.52</v>
      </c>
      <c r="D32" s="22">
        <v>11675.09</v>
      </c>
      <c r="E32" s="22">
        <v>12714</v>
      </c>
      <c r="F32" s="22">
        <v>13518</v>
      </c>
      <c r="G32" s="22">
        <v>14916</v>
      </c>
      <c r="I32" s="20" t="s">
        <v>35</v>
      </c>
      <c r="J32" s="29"/>
      <c r="K32" s="29"/>
      <c r="L32" s="29"/>
      <c r="M32" s="29"/>
      <c r="N32" s="29"/>
      <c r="O32" s="30"/>
      <c r="Q32" s="11" t="s">
        <v>88</v>
      </c>
      <c r="R32" s="24">
        <f>R20+R31</f>
        <v>5073.2806</v>
      </c>
      <c r="S32" s="24">
        <f t="shared" ref="S32:W32" si="16">S20+S31</f>
        <v>6372.6250999999993</v>
      </c>
      <c r="T32" s="24">
        <f t="shared" si="16"/>
        <v>9147.7392</v>
      </c>
      <c r="U32" s="24">
        <f t="shared" si="16"/>
        <v>9715.4390999999996</v>
      </c>
      <c r="V32" s="24">
        <f t="shared" si="16"/>
        <v>11963.25</v>
      </c>
      <c r="W32" s="24">
        <f t="shared" si="16"/>
        <v>27759.530000000006</v>
      </c>
      <c r="Y32" s="4" t="s">
        <v>36</v>
      </c>
      <c r="Z32" s="22">
        <v>83</v>
      </c>
      <c r="AA32" s="22">
        <v>83.1</v>
      </c>
      <c r="AB32" s="22">
        <v>83.2</v>
      </c>
      <c r="AC32" s="22">
        <v>83.2</v>
      </c>
      <c r="AD32" s="22">
        <v>83.4</v>
      </c>
      <c r="AE32" s="22">
        <v>83.4</v>
      </c>
      <c r="AG32" s="21" t="s">
        <v>35</v>
      </c>
      <c r="AH32" s="31"/>
      <c r="AI32" s="31"/>
      <c r="AJ32" s="31"/>
      <c r="AK32" s="31"/>
      <c r="AL32" s="31"/>
      <c r="AM32" s="31"/>
      <c r="AO32" s="11" t="s">
        <v>88</v>
      </c>
      <c r="AP32" s="24">
        <f>AP30+AP20+AP31</f>
        <v>23662.560000000001</v>
      </c>
      <c r="AQ32" s="24">
        <f t="shared" ref="AQ32:AU32" si="17">AQ30+AQ20+AQ31</f>
        <v>25151.889999999996</v>
      </c>
      <c r="AR32" s="24">
        <f t="shared" si="17"/>
        <v>27101.119999999999</v>
      </c>
      <c r="AS32" s="24">
        <f t="shared" si="17"/>
        <v>29463.280000000002</v>
      </c>
      <c r="AT32" s="24">
        <f t="shared" si="17"/>
        <v>32717.819999999992</v>
      </c>
      <c r="AU32" s="24">
        <f t="shared" si="17"/>
        <v>37387.040000000008</v>
      </c>
    </row>
    <row r="33" spans="1:47" x14ac:dyDescent="0.3">
      <c r="A33" s="11" t="s">
        <v>38</v>
      </c>
      <c r="B33" s="24">
        <f>SUM(B31:B32)</f>
        <v>7309.92</v>
      </c>
      <c r="C33" s="24">
        <f t="shared" ref="C33:G33" si="18">SUM(C31:C32)</f>
        <v>9294.61</v>
      </c>
      <c r="D33" s="24">
        <f t="shared" si="18"/>
        <v>11728.18</v>
      </c>
      <c r="E33" s="24">
        <f t="shared" si="18"/>
        <v>12767.09</v>
      </c>
      <c r="F33" s="24">
        <f t="shared" si="18"/>
        <v>13571</v>
      </c>
      <c r="G33" s="24">
        <f t="shared" si="18"/>
        <v>14969</v>
      </c>
      <c r="I33" s="4" t="s">
        <v>36</v>
      </c>
      <c r="J33" s="22">
        <v>239.93</v>
      </c>
      <c r="K33" s="22">
        <v>239.93</v>
      </c>
      <c r="L33" s="22">
        <v>239.93</v>
      </c>
      <c r="M33" s="22">
        <v>239.93</v>
      </c>
      <c r="N33" s="22">
        <v>239.93</v>
      </c>
      <c r="O33" s="22">
        <v>239.93</v>
      </c>
      <c r="Q33" s="50" t="s">
        <v>34</v>
      </c>
      <c r="R33" s="51"/>
      <c r="S33" s="51"/>
      <c r="T33" s="51"/>
      <c r="U33" s="51"/>
      <c r="V33" s="51"/>
      <c r="W33" s="52"/>
      <c r="Y33" s="4" t="s">
        <v>72</v>
      </c>
      <c r="Z33" s="22">
        <v>13940.6</v>
      </c>
      <c r="AA33" s="22">
        <v>15515.7</v>
      </c>
      <c r="AB33" s="22">
        <v>17558.5</v>
      </c>
      <c r="AC33" s="22">
        <v>19129.2</v>
      </c>
      <c r="AD33" s="22">
        <v>28171.4</v>
      </c>
      <c r="AE33" s="22">
        <v>33466.199999999997</v>
      </c>
      <c r="AG33" s="4" t="s">
        <v>36</v>
      </c>
      <c r="AH33" s="22">
        <v>84.62</v>
      </c>
      <c r="AI33" s="22">
        <v>84.62</v>
      </c>
      <c r="AJ33" s="22">
        <v>84.62</v>
      </c>
      <c r="AK33" s="22">
        <v>169.23</v>
      </c>
      <c r="AL33" s="22">
        <v>169.23</v>
      </c>
      <c r="AM33" s="22">
        <v>169.23</v>
      </c>
      <c r="AO33" s="16" t="s">
        <v>112</v>
      </c>
      <c r="AP33" s="25"/>
      <c r="AQ33" s="25"/>
      <c r="AR33" s="25"/>
      <c r="AS33" s="25"/>
      <c r="AT33" s="25"/>
      <c r="AU33" s="25"/>
    </row>
    <row r="34" spans="1:47" x14ac:dyDescent="0.3">
      <c r="A34" s="20" t="s">
        <v>39</v>
      </c>
      <c r="B34" s="29"/>
      <c r="C34" s="29"/>
      <c r="D34" s="29"/>
      <c r="E34" s="29"/>
      <c r="F34" s="29"/>
      <c r="G34" s="30"/>
      <c r="I34" s="4" t="s">
        <v>72</v>
      </c>
      <c r="J34" s="22">
        <v>45024.52</v>
      </c>
      <c r="K34" s="22">
        <v>46222.85</v>
      </c>
      <c r="L34" s="22">
        <v>24348.02</v>
      </c>
      <c r="M34" s="22">
        <v>23508.43</v>
      </c>
      <c r="N34" s="22">
        <v>63426.82</v>
      </c>
      <c r="O34" s="22">
        <v>71978.09</v>
      </c>
      <c r="Q34" s="12" t="s">
        <v>35</v>
      </c>
      <c r="R34" s="37"/>
      <c r="S34" s="37"/>
      <c r="T34" s="37"/>
      <c r="U34" s="37"/>
      <c r="V34" s="37"/>
      <c r="W34" s="38"/>
      <c r="Y34" s="4" t="s">
        <v>73</v>
      </c>
      <c r="Z34" s="22">
        <v>0</v>
      </c>
      <c r="AA34" s="22">
        <v>0</v>
      </c>
      <c r="AB34" s="22">
        <v>0</v>
      </c>
      <c r="AC34" s="22">
        <v>0</v>
      </c>
      <c r="AD34" s="22">
        <v>0</v>
      </c>
      <c r="AE34" s="22">
        <v>377.8</v>
      </c>
      <c r="AG34" s="4" t="s">
        <v>72</v>
      </c>
      <c r="AH34" s="22">
        <v>4738.6000000000004</v>
      </c>
      <c r="AI34" s="22">
        <v>5752.55</v>
      </c>
      <c r="AJ34" s="22">
        <v>5868.33</v>
      </c>
      <c r="AK34" s="22">
        <v>6028.84</v>
      </c>
      <c r="AL34" s="22">
        <v>6686.92</v>
      </c>
      <c r="AM34" s="22">
        <v>7421.46</v>
      </c>
      <c r="AO34" s="20" t="s">
        <v>35</v>
      </c>
      <c r="AP34" s="29"/>
      <c r="AQ34" s="29"/>
      <c r="AR34" s="29"/>
      <c r="AS34" s="29"/>
      <c r="AT34" s="29"/>
      <c r="AU34" s="30"/>
    </row>
    <row r="35" spans="1:47" x14ac:dyDescent="0.3">
      <c r="A35" s="16" t="s">
        <v>40</v>
      </c>
      <c r="B35" s="25"/>
      <c r="C35" s="25"/>
      <c r="D35" s="25"/>
      <c r="E35" s="25"/>
      <c r="F35" s="25"/>
      <c r="G35" s="25"/>
      <c r="I35" s="4" t="s">
        <v>73</v>
      </c>
      <c r="J35" s="22">
        <v>3860.24</v>
      </c>
      <c r="K35" s="22">
        <v>3017.05</v>
      </c>
      <c r="L35" s="22">
        <v>0</v>
      </c>
      <c r="M35" s="22">
        <v>0</v>
      </c>
      <c r="N35" s="22">
        <v>3459.19</v>
      </c>
      <c r="O35" s="22">
        <v>267.93</v>
      </c>
      <c r="Q35" s="4" t="s">
        <v>36</v>
      </c>
      <c r="R35" s="22">
        <v>40.058799999999998</v>
      </c>
      <c r="S35" s="22">
        <v>40.058799999999998</v>
      </c>
      <c r="T35" s="22">
        <v>40.058799999999998</v>
      </c>
      <c r="U35" s="22">
        <v>40.058799999999998</v>
      </c>
      <c r="V35" s="22">
        <v>40.06</v>
      </c>
      <c r="W35" s="22">
        <v>41.26</v>
      </c>
      <c r="Y35" s="11" t="s">
        <v>74</v>
      </c>
      <c r="Z35" s="24">
        <f>SUM(Z32:Z34)</f>
        <v>14023.6</v>
      </c>
      <c r="AA35" s="24">
        <f t="shared" ref="AA35:AE35" si="19">SUM(AA32:AA34)</f>
        <v>15598.800000000001</v>
      </c>
      <c r="AB35" s="24">
        <f t="shared" si="19"/>
        <v>17641.7</v>
      </c>
      <c r="AC35" s="24">
        <f t="shared" si="19"/>
        <v>19212.400000000001</v>
      </c>
      <c r="AD35" s="24">
        <f t="shared" si="19"/>
        <v>28254.800000000003</v>
      </c>
      <c r="AE35" s="24">
        <f t="shared" si="19"/>
        <v>33927.4</v>
      </c>
      <c r="AG35" s="4" t="s">
        <v>73</v>
      </c>
      <c r="AH35" s="22">
        <v>0</v>
      </c>
      <c r="AI35" s="22">
        <v>0</v>
      </c>
      <c r="AJ35" s="22">
        <v>0</v>
      </c>
      <c r="AK35" s="22">
        <v>0</v>
      </c>
      <c r="AL35" s="22">
        <v>0</v>
      </c>
      <c r="AM35" s="22">
        <v>0</v>
      </c>
      <c r="AO35" s="4" t="s">
        <v>36</v>
      </c>
      <c r="AP35" s="22">
        <v>161.25</v>
      </c>
      <c r="AQ35" s="22">
        <v>161.29</v>
      </c>
      <c r="AR35" s="22">
        <v>161.36000000000001</v>
      </c>
      <c r="AS35" s="22">
        <v>161.43</v>
      </c>
      <c r="AT35" s="22">
        <v>161.47</v>
      </c>
      <c r="AU35" s="22">
        <v>161.52000000000001</v>
      </c>
    </row>
    <row r="36" spans="1:47" x14ac:dyDescent="0.3">
      <c r="A36" s="4" t="s">
        <v>41</v>
      </c>
      <c r="B36" s="22">
        <v>4.47</v>
      </c>
      <c r="C36" s="22">
        <v>3.69</v>
      </c>
      <c r="D36" s="22">
        <v>2.87</v>
      </c>
      <c r="E36" s="22">
        <v>2.77</v>
      </c>
      <c r="F36" s="22">
        <v>2</v>
      </c>
      <c r="G36" s="22">
        <v>2</v>
      </c>
      <c r="I36" s="11" t="s">
        <v>74</v>
      </c>
      <c r="J36" s="24">
        <f>SUM(J33:J35)</f>
        <v>49124.689999999995</v>
      </c>
      <c r="K36" s="24">
        <f t="shared" ref="K36:O36" si="20">SUM(K33:K35)</f>
        <v>49479.83</v>
      </c>
      <c r="L36" s="24">
        <f t="shared" si="20"/>
        <v>24587.95</v>
      </c>
      <c r="M36" s="24">
        <f t="shared" si="20"/>
        <v>23748.36</v>
      </c>
      <c r="N36" s="24">
        <f t="shared" si="20"/>
        <v>67125.94</v>
      </c>
      <c r="O36" s="24">
        <f t="shared" si="20"/>
        <v>72485.949999999983</v>
      </c>
      <c r="Q36" s="4" t="s">
        <v>72</v>
      </c>
      <c r="R36" s="22">
        <v>3445.2514000000001</v>
      </c>
      <c r="S36" s="22">
        <v>4681.9449999999997</v>
      </c>
      <c r="T36" s="22">
        <v>6115.1733000000004</v>
      </c>
      <c r="U36" s="22">
        <v>7395.1639999999998</v>
      </c>
      <c r="V36" s="22">
        <v>9323.0300000000007</v>
      </c>
      <c r="W36" s="22">
        <v>14291.13</v>
      </c>
      <c r="Y36" s="16" t="s">
        <v>39</v>
      </c>
      <c r="Z36" s="25"/>
      <c r="AA36" s="25"/>
      <c r="AB36" s="25"/>
      <c r="AC36" s="25"/>
      <c r="AD36" s="25"/>
      <c r="AE36" s="25"/>
      <c r="AG36" s="11" t="s">
        <v>74</v>
      </c>
      <c r="AH36" s="24">
        <f>SUM(AH33:AH35)</f>
        <v>4823.22</v>
      </c>
      <c r="AI36" s="24">
        <f t="shared" ref="AI36:AM36" si="21">SUM(AI33:AI35)</f>
        <v>5837.17</v>
      </c>
      <c r="AJ36" s="24">
        <f t="shared" si="21"/>
        <v>5952.95</v>
      </c>
      <c r="AK36" s="24">
        <f t="shared" si="21"/>
        <v>6198.07</v>
      </c>
      <c r="AL36" s="24">
        <f t="shared" si="21"/>
        <v>6856.15</v>
      </c>
      <c r="AM36" s="24">
        <f t="shared" si="21"/>
        <v>7590.69</v>
      </c>
      <c r="AO36" s="4" t="s">
        <v>72</v>
      </c>
      <c r="AP36" s="22">
        <v>15601.75</v>
      </c>
      <c r="AQ36" s="22">
        <v>18165.240000000002</v>
      </c>
      <c r="AR36" s="22">
        <v>20680.330000000002</v>
      </c>
      <c r="AS36" s="22">
        <v>23246.35</v>
      </c>
      <c r="AT36" s="22">
        <v>26544.959999999999</v>
      </c>
      <c r="AU36" s="22">
        <v>31031.93</v>
      </c>
    </row>
    <row r="37" spans="1:47" x14ac:dyDescent="0.3">
      <c r="A37" s="4" t="s">
        <v>49</v>
      </c>
      <c r="B37" s="22">
        <v>0</v>
      </c>
      <c r="C37" s="22">
        <v>0</v>
      </c>
      <c r="D37" s="22">
        <v>0</v>
      </c>
      <c r="E37" s="22">
        <v>0</v>
      </c>
      <c r="F37" s="22">
        <v>0</v>
      </c>
      <c r="G37" s="22">
        <v>0</v>
      </c>
      <c r="I37" s="16" t="s">
        <v>39</v>
      </c>
      <c r="J37" s="25"/>
      <c r="K37" s="25"/>
      <c r="L37" s="25"/>
      <c r="M37" s="25"/>
      <c r="N37" s="25"/>
      <c r="O37" s="25"/>
      <c r="Q37" s="4" t="s">
        <v>73</v>
      </c>
      <c r="R37" s="22">
        <v>186.2611</v>
      </c>
      <c r="S37" s="22">
        <v>140.88740000000001</v>
      </c>
      <c r="T37" s="22">
        <v>161.07990000000001</v>
      </c>
      <c r="U37" s="22">
        <v>188.0701</v>
      </c>
      <c r="V37" s="22">
        <v>212.7</v>
      </c>
      <c r="W37" s="22">
        <v>235.79</v>
      </c>
      <c r="Y37" s="12" t="s">
        <v>40</v>
      </c>
      <c r="Z37" s="37"/>
      <c r="AA37" s="37"/>
      <c r="AB37" s="37"/>
      <c r="AC37" s="37"/>
      <c r="AD37" s="37"/>
      <c r="AE37" s="38"/>
      <c r="AG37" s="16" t="s">
        <v>40</v>
      </c>
      <c r="AH37" s="44"/>
      <c r="AI37" s="44"/>
      <c r="AJ37" s="44"/>
      <c r="AK37" s="44"/>
      <c r="AL37" s="44"/>
      <c r="AM37" s="44"/>
      <c r="AO37" s="4" t="s">
        <v>113</v>
      </c>
      <c r="AP37" s="22">
        <v>294.27999999999997</v>
      </c>
      <c r="AQ37" s="22">
        <v>259.06</v>
      </c>
      <c r="AR37" s="22">
        <v>275.69</v>
      </c>
      <c r="AS37" s="22">
        <v>305.76</v>
      </c>
      <c r="AT37" s="22">
        <v>95.9</v>
      </c>
      <c r="AU37" s="22">
        <v>95.8</v>
      </c>
    </row>
    <row r="38" spans="1:47" x14ac:dyDescent="0.3">
      <c r="A38" s="4" t="s">
        <v>42</v>
      </c>
      <c r="B38" s="22">
        <v>0</v>
      </c>
      <c r="C38" s="22">
        <v>0</v>
      </c>
      <c r="D38" s="22">
        <v>0</v>
      </c>
      <c r="E38" s="22">
        <v>0</v>
      </c>
      <c r="F38" s="22">
        <v>0</v>
      </c>
      <c r="G38" s="22">
        <v>0</v>
      </c>
      <c r="I38" s="20" t="s">
        <v>40</v>
      </c>
      <c r="J38" s="29"/>
      <c r="K38" s="29"/>
      <c r="L38" s="29"/>
      <c r="M38" s="29"/>
      <c r="N38" s="29"/>
      <c r="O38" s="30"/>
      <c r="Q38" s="11" t="s">
        <v>38</v>
      </c>
      <c r="R38" s="24">
        <f>SUM(R35:R37)</f>
        <v>3671.5713000000001</v>
      </c>
      <c r="S38" s="24">
        <f t="shared" ref="S38:W38" si="22">SUM(S35:S37)</f>
        <v>4862.8911999999991</v>
      </c>
      <c r="T38" s="24">
        <f t="shared" si="22"/>
        <v>6316.3119999999999</v>
      </c>
      <c r="U38" s="24">
        <f t="shared" si="22"/>
        <v>7623.2928999999995</v>
      </c>
      <c r="V38" s="24">
        <f t="shared" si="22"/>
        <v>9575.7900000000009</v>
      </c>
      <c r="W38" s="24">
        <f t="shared" si="22"/>
        <v>14568.18</v>
      </c>
      <c r="Y38" s="4" t="s">
        <v>42</v>
      </c>
      <c r="Z38" s="22">
        <v>2200</v>
      </c>
      <c r="AA38" s="22">
        <v>130.4</v>
      </c>
      <c r="AB38" s="22">
        <v>380</v>
      </c>
      <c r="AC38" s="22">
        <v>380</v>
      </c>
      <c r="AD38" s="22">
        <v>380</v>
      </c>
      <c r="AE38" s="22">
        <v>380</v>
      </c>
      <c r="AG38" s="4" t="s">
        <v>42</v>
      </c>
      <c r="AH38" s="22">
        <v>3275.22</v>
      </c>
      <c r="AI38" s="22">
        <v>2941.07</v>
      </c>
      <c r="AJ38" s="22">
        <v>2123.2199999999998</v>
      </c>
      <c r="AK38" s="22">
        <v>2496.2199999999998</v>
      </c>
      <c r="AL38" s="22">
        <v>1603.78</v>
      </c>
      <c r="AM38" s="22">
        <v>1191.75</v>
      </c>
      <c r="AO38" s="11" t="s">
        <v>74</v>
      </c>
      <c r="AP38" s="24">
        <f>SUM(AP35:AP37)</f>
        <v>16057.28</v>
      </c>
      <c r="AQ38" s="24">
        <f t="shared" ref="AQ38:AU38" si="23">SUM(AQ35:AQ37)</f>
        <v>18585.590000000004</v>
      </c>
      <c r="AR38" s="24">
        <f t="shared" si="23"/>
        <v>21117.38</v>
      </c>
      <c r="AS38" s="24">
        <f t="shared" si="23"/>
        <v>23713.539999999997</v>
      </c>
      <c r="AT38" s="24">
        <f t="shared" si="23"/>
        <v>26802.33</v>
      </c>
      <c r="AU38" s="24">
        <f t="shared" si="23"/>
        <v>31289.25</v>
      </c>
    </row>
    <row r="39" spans="1:47" x14ac:dyDescent="0.3">
      <c r="A39" s="4" t="s">
        <v>43</v>
      </c>
      <c r="B39" s="22">
        <v>20.52</v>
      </c>
      <c r="C39" s="22">
        <v>25.25</v>
      </c>
      <c r="D39" s="22">
        <v>26.71</v>
      </c>
      <c r="E39" s="22">
        <v>30.62</v>
      </c>
      <c r="F39" s="22">
        <v>37</v>
      </c>
      <c r="G39" s="22">
        <v>0</v>
      </c>
      <c r="I39" s="4" t="s">
        <v>42</v>
      </c>
      <c r="J39" s="22">
        <v>2028.92</v>
      </c>
      <c r="K39" s="22">
        <v>898.13</v>
      </c>
      <c r="L39" s="22">
        <v>4865.6400000000003</v>
      </c>
      <c r="M39" s="22">
        <v>7586.73</v>
      </c>
      <c r="N39" s="22">
        <v>1.33</v>
      </c>
      <c r="O39" s="22">
        <v>2.52</v>
      </c>
      <c r="Q39" s="16" t="s">
        <v>39</v>
      </c>
      <c r="R39" s="44"/>
      <c r="S39" s="44"/>
      <c r="T39" s="44"/>
      <c r="U39" s="44"/>
      <c r="V39" s="44"/>
      <c r="W39" s="44"/>
      <c r="Y39" s="4" t="s">
        <v>41</v>
      </c>
      <c r="Z39" s="22">
        <v>10.199999999999999</v>
      </c>
      <c r="AA39" s="22">
        <v>0</v>
      </c>
      <c r="AB39" s="22">
        <v>249.9</v>
      </c>
      <c r="AC39" s="22">
        <v>194.6</v>
      </c>
      <c r="AD39" s="22">
        <v>219</v>
      </c>
      <c r="AE39" s="22">
        <v>406.4</v>
      </c>
      <c r="AG39" s="4" t="s">
        <v>49</v>
      </c>
      <c r="AH39" s="22">
        <v>110.62</v>
      </c>
      <c r="AI39" s="22">
        <v>29.71</v>
      </c>
      <c r="AJ39" s="22">
        <v>5.04</v>
      </c>
      <c r="AK39" s="22">
        <v>20.87</v>
      </c>
      <c r="AL39" s="22">
        <v>9.24</v>
      </c>
      <c r="AM39" s="22">
        <v>13.8</v>
      </c>
      <c r="AO39" s="4" t="s">
        <v>114</v>
      </c>
      <c r="AP39" s="22">
        <v>0</v>
      </c>
      <c r="AQ39" s="22">
        <v>0</v>
      </c>
      <c r="AR39" s="22">
        <v>0</v>
      </c>
      <c r="AS39" s="22">
        <v>0</v>
      </c>
      <c r="AT39" s="22">
        <v>0</v>
      </c>
      <c r="AU39" s="22">
        <v>0</v>
      </c>
    </row>
    <row r="40" spans="1:47" x14ac:dyDescent="0.3">
      <c r="A40" s="4" t="s">
        <v>44</v>
      </c>
      <c r="B40" s="22">
        <v>273.95999999999998</v>
      </c>
      <c r="C40" s="22">
        <v>338.06</v>
      </c>
      <c r="D40" s="22">
        <v>421.4</v>
      </c>
      <c r="E40" s="22">
        <v>537.21</v>
      </c>
      <c r="F40" s="22">
        <v>582</v>
      </c>
      <c r="G40" s="22">
        <v>509</v>
      </c>
      <c r="I40" s="4" t="s">
        <v>49</v>
      </c>
      <c r="J40" s="22">
        <v>42.41</v>
      </c>
      <c r="K40" s="22">
        <v>19.579999999999998</v>
      </c>
      <c r="L40" s="22">
        <v>0</v>
      </c>
      <c r="M40" s="22">
        <v>391.22</v>
      </c>
      <c r="N40" s="22">
        <v>302.29000000000002</v>
      </c>
      <c r="O40" s="22">
        <v>355.74</v>
      </c>
      <c r="Q40" s="12" t="s">
        <v>89</v>
      </c>
      <c r="R40" s="37"/>
      <c r="S40" s="37"/>
      <c r="T40" s="37"/>
      <c r="U40" s="37"/>
      <c r="V40" s="37"/>
      <c r="W40" s="38"/>
      <c r="Y40" s="1" t="s">
        <v>49</v>
      </c>
      <c r="Z40" s="22">
        <v>0</v>
      </c>
      <c r="AA40" s="22">
        <v>0</v>
      </c>
      <c r="AB40" s="22">
        <v>0</v>
      </c>
      <c r="AC40" s="22">
        <v>0</v>
      </c>
      <c r="AD40" s="22">
        <v>0</v>
      </c>
      <c r="AE40" s="22">
        <v>19.8</v>
      </c>
      <c r="AG40" s="4" t="s">
        <v>43</v>
      </c>
      <c r="AH40" s="22">
        <v>338.34</v>
      </c>
      <c r="AI40" s="22">
        <v>369.62</v>
      </c>
      <c r="AJ40" s="22">
        <v>368.74</v>
      </c>
      <c r="AK40" s="22">
        <v>393.06</v>
      </c>
      <c r="AL40" s="22">
        <v>444.69</v>
      </c>
      <c r="AM40" s="22">
        <v>501.27</v>
      </c>
      <c r="AO40" s="21" t="s">
        <v>115</v>
      </c>
      <c r="AP40" s="31"/>
      <c r="AQ40" s="31"/>
      <c r="AR40" s="31"/>
      <c r="AS40" s="31"/>
      <c r="AT40" s="31"/>
      <c r="AU40" s="31"/>
    </row>
    <row r="41" spans="1:47" x14ac:dyDescent="0.3">
      <c r="A41" s="11" t="s">
        <v>45</v>
      </c>
      <c r="B41" s="24">
        <f>SUM(B36:B40)</f>
        <v>298.95</v>
      </c>
      <c r="C41" s="24">
        <f t="shared" ref="C41:G41" si="24">SUM(C36:C40)</f>
        <v>367</v>
      </c>
      <c r="D41" s="24">
        <f t="shared" si="24"/>
        <v>450.97999999999996</v>
      </c>
      <c r="E41" s="24">
        <f t="shared" si="24"/>
        <v>570.6</v>
      </c>
      <c r="F41" s="24">
        <f t="shared" si="24"/>
        <v>621</v>
      </c>
      <c r="G41" s="24">
        <f t="shared" si="24"/>
        <v>511</v>
      </c>
      <c r="I41" s="4" t="s">
        <v>43</v>
      </c>
      <c r="J41" s="22">
        <v>511</v>
      </c>
      <c r="K41" s="22">
        <v>327.12</v>
      </c>
      <c r="L41" s="22">
        <v>397.63</v>
      </c>
      <c r="M41" s="22">
        <v>206.16</v>
      </c>
      <c r="N41" s="22">
        <v>0</v>
      </c>
      <c r="O41" s="22">
        <v>10.68</v>
      </c>
      <c r="Q41" s="4" t="s">
        <v>42</v>
      </c>
      <c r="R41" s="22">
        <v>58.192700000000002</v>
      </c>
      <c r="S41" s="22">
        <v>57.419899999999998</v>
      </c>
      <c r="T41" s="22">
        <v>49.194000000000003</v>
      </c>
      <c r="U41" s="22">
        <v>23.1465</v>
      </c>
      <c r="V41" s="22">
        <v>24.87</v>
      </c>
      <c r="W41" s="22">
        <v>5526.19</v>
      </c>
      <c r="Y41" s="4" t="s">
        <v>43</v>
      </c>
      <c r="Z41" s="22">
        <v>79.3</v>
      </c>
      <c r="AA41" s="22">
        <v>74.5</v>
      </c>
      <c r="AB41" s="22">
        <v>50.8</v>
      </c>
      <c r="AC41" s="22">
        <v>25.8</v>
      </c>
      <c r="AD41" s="22">
        <v>23.9</v>
      </c>
      <c r="AE41" s="22">
        <v>29.8</v>
      </c>
      <c r="AG41" s="4" t="s">
        <v>76</v>
      </c>
      <c r="AH41" s="22">
        <v>8.18</v>
      </c>
      <c r="AI41" s="22">
        <v>5.46</v>
      </c>
      <c r="AJ41" s="22">
        <v>4.42</v>
      </c>
      <c r="AK41" s="22">
        <v>1.46</v>
      </c>
      <c r="AL41" s="22">
        <v>0.96</v>
      </c>
      <c r="AM41" s="22">
        <v>0.46</v>
      </c>
      <c r="AO41" s="12" t="s">
        <v>40</v>
      </c>
      <c r="AP41" s="26"/>
      <c r="AQ41" s="26"/>
      <c r="AR41" s="26"/>
      <c r="AS41" s="26"/>
      <c r="AT41" s="26"/>
      <c r="AU41" s="27"/>
    </row>
    <row r="42" spans="1:47" x14ac:dyDescent="0.3">
      <c r="A42" s="21" t="s">
        <v>46</v>
      </c>
      <c r="B42" s="31"/>
      <c r="C42" s="31"/>
      <c r="D42" s="31"/>
      <c r="E42" s="31"/>
      <c r="F42" s="31"/>
      <c r="G42" s="31"/>
      <c r="I42" s="4" t="s">
        <v>41</v>
      </c>
      <c r="J42" s="22">
        <v>0</v>
      </c>
      <c r="K42" s="22">
        <v>0</v>
      </c>
      <c r="L42" s="22">
        <v>189.68</v>
      </c>
      <c r="M42" s="22">
        <v>181.51</v>
      </c>
      <c r="N42" s="22">
        <v>413.89</v>
      </c>
      <c r="O42" s="22">
        <v>465.04</v>
      </c>
      <c r="Q42" s="4" t="s">
        <v>41</v>
      </c>
      <c r="R42" s="22">
        <v>3.8281999999999998</v>
      </c>
      <c r="S42" s="22">
        <v>5.5105000000000004</v>
      </c>
      <c r="T42" s="22">
        <v>2.99</v>
      </c>
      <c r="U42" s="22">
        <v>5.1779999999999999</v>
      </c>
      <c r="V42" s="22">
        <v>7.71</v>
      </c>
      <c r="W42" s="22">
        <v>14.03</v>
      </c>
      <c r="Y42" s="4" t="s">
        <v>75</v>
      </c>
      <c r="Z42" s="22">
        <v>47.3</v>
      </c>
      <c r="AA42" s="22">
        <v>2</v>
      </c>
      <c r="AB42" s="22">
        <v>28.9</v>
      </c>
      <c r="AC42" s="22">
        <v>1.4</v>
      </c>
      <c r="AD42" s="22">
        <v>84.1</v>
      </c>
      <c r="AE42" s="22">
        <v>1403.8</v>
      </c>
      <c r="AG42" s="4" t="s">
        <v>105</v>
      </c>
      <c r="AH42" s="22">
        <v>0</v>
      </c>
      <c r="AI42" s="22">
        <v>0</v>
      </c>
      <c r="AJ42" s="22">
        <v>36.82</v>
      </c>
      <c r="AK42" s="22">
        <v>52.93</v>
      </c>
      <c r="AL42" s="22">
        <v>64.459999999999994</v>
      </c>
      <c r="AM42" s="22">
        <v>145.86000000000001</v>
      </c>
      <c r="AO42" s="4" t="s">
        <v>42</v>
      </c>
      <c r="AP42" s="22">
        <v>2369.2800000000002</v>
      </c>
      <c r="AQ42" s="22">
        <v>1202.75</v>
      </c>
      <c r="AR42" s="22">
        <v>416.24</v>
      </c>
      <c r="AS42" s="22">
        <v>0</v>
      </c>
      <c r="AT42" s="22">
        <v>0</v>
      </c>
      <c r="AU42" s="22">
        <v>11.98</v>
      </c>
    </row>
    <row r="43" spans="1:47" x14ac:dyDescent="0.3">
      <c r="A43" s="4" t="s">
        <v>42</v>
      </c>
      <c r="B43" s="22">
        <v>33.630000000000003</v>
      </c>
      <c r="C43" s="22">
        <v>0.35</v>
      </c>
      <c r="D43" s="22">
        <v>0</v>
      </c>
      <c r="E43" s="22">
        <v>0</v>
      </c>
      <c r="F43" s="22">
        <v>0</v>
      </c>
      <c r="G43" s="22">
        <v>2</v>
      </c>
      <c r="I43" s="4" t="s">
        <v>75</v>
      </c>
      <c r="J43" s="22">
        <v>58.14</v>
      </c>
      <c r="K43" s="22">
        <v>44.51</v>
      </c>
      <c r="L43" s="22">
        <v>0</v>
      </c>
      <c r="M43" s="22">
        <v>0</v>
      </c>
      <c r="N43" s="22">
        <v>171.86</v>
      </c>
      <c r="O43" s="22">
        <v>192.44</v>
      </c>
      <c r="Q43" s="4" t="s">
        <v>43</v>
      </c>
      <c r="R43" s="22">
        <v>63.004899999999999</v>
      </c>
      <c r="S43" s="22">
        <v>72.244299999999996</v>
      </c>
      <c r="T43" s="22">
        <v>80.004300000000001</v>
      </c>
      <c r="U43" s="22">
        <v>97.888800000000003</v>
      </c>
      <c r="V43" s="22">
        <v>123.12</v>
      </c>
      <c r="W43" s="22">
        <v>155.06</v>
      </c>
      <c r="Y43" s="4" t="s">
        <v>76</v>
      </c>
      <c r="Z43" s="22">
        <v>207.9</v>
      </c>
      <c r="AA43" s="22">
        <v>205.5</v>
      </c>
      <c r="AB43" s="22">
        <v>161.69999999999999</v>
      </c>
      <c r="AC43" s="22">
        <v>166.9</v>
      </c>
      <c r="AD43" s="22">
        <v>314</v>
      </c>
      <c r="AE43" s="22">
        <v>225.6</v>
      </c>
      <c r="AG43" s="1" t="s">
        <v>75</v>
      </c>
      <c r="AH43" s="22">
        <v>0</v>
      </c>
      <c r="AI43" s="22">
        <v>0</v>
      </c>
      <c r="AJ43" s="22">
        <v>193.56</v>
      </c>
      <c r="AK43" s="22">
        <v>401.94</v>
      </c>
      <c r="AL43" s="22">
        <v>656.05</v>
      </c>
      <c r="AM43" s="22">
        <v>828.72</v>
      </c>
      <c r="AO43" s="4" t="s">
        <v>105</v>
      </c>
      <c r="AP43" s="22">
        <v>0</v>
      </c>
      <c r="AQ43" s="22">
        <v>0</v>
      </c>
      <c r="AR43" s="22">
        <v>158.28</v>
      </c>
      <c r="AS43" s="22">
        <v>208.82</v>
      </c>
      <c r="AT43" s="22">
        <v>225.42</v>
      </c>
      <c r="AU43" s="22">
        <v>240.49</v>
      </c>
    </row>
    <row r="44" spans="1:47" x14ac:dyDescent="0.3">
      <c r="A44" s="4" t="s">
        <v>41</v>
      </c>
      <c r="B44" s="22">
        <v>0.75</v>
      </c>
      <c r="C44" s="22">
        <v>0.79</v>
      </c>
      <c r="D44" s="22">
        <v>0.82</v>
      </c>
      <c r="E44" s="22">
        <v>0.49</v>
      </c>
      <c r="F44" s="22">
        <v>1</v>
      </c>
      <c r="G44" s="22">
        <v>0</v>
      </c>
      <c r="I44" s="4" t="s">
        <v>76</v>
      </c>
      <c r="J44" s="22">
        <v>780.87</v>
      </c>
      <c r="K44" s="22">
        <v>751.93</v>
      </c>
      <c r="L44" s="22">
        <v>618.75</v>
      </c>
      <c r="M44" s="22">
        <v>507.45</v>
      </c>
      <c r="N44" s="22">
        <v>499.94</v>
      </c>
      <c r="O44" s="22">
        <f>385.24+8.76</f>
        <v>394</v>
      </c>
      <c r="Q44" s="4" t="s">
        <v>75</v>
      </c>
      <c r="R44" s="22">
        <v>8.1664999999999992</v>
      </c>
      <c r="S44" s="22">
        <v>13.0319</v>
      </c>
      <c r="T44" s="22">
        <v>55.620600000000003</v>
      </c>
      <c r="U44" s="22">
        <v>77.312100000000001</v>
      </c>
      <c r="V44" s="22">
        <v>89.07</v>
      </c>
      <c r="W44" s="22">
        <v>1812.51</v>
      </c>
      <c r="Y44" s="11" t="s">
        <v>77</v>
      </c>
      <c r="Z44" s="24">
        <f t="shared" ref="Z44:AE44" si="25">SUM(Z38:Z43)</f>
        <v>2544.7000000000003</v>
      </c>
      <c r="AA44" s="24">
        <f t="shared" si="25"/>
        <v>412.4</v>
      </c>
      <c r="AB44" s="24">
        <f t="shared" si="25"/>
        <v>871.3</v>
      </c>
      <c r="AC44" s="24">
        <f t="shared" si="25"/>
        <v>768.69999999999993</v>
      </c>
      <c r="AD44" s="24">
        <f t="shared" si="25"/>
        <v>1021</v>
      </c>
      <c r="AE44" s="24">
        <f t="shared" si="25"/>
        <v>2465.3999999999996</v>
      </c>
      <c r="AG44" s="11" t="s">
        <v>77</v>
      </c>
      <c r="AH44" s="24">
        <f>SUM(AH38:AH43)</f>
        <v>3732.3599999999997</v>
      </c>
      <c r="AI44" s="24">
        <f t="shared" ref="AI44:AM44" si="26">SUM(AI38:AI43)</f>
        <v>3345.86</v>
      </c>
      <c r="AJ44" s="24">
        <f t="shared" si="26"/>
        <v>2731.8</v>
      </c>
      <c r="AK44" s="24">
        <f t="shared" si="26"/>
        <v>3366.4799999999996</v>
      </c>
      <c r="AL44" s="24">
        <f t="shared" si="26"/>
        <v>2779.1800000000003</v>
      </c>
      <c r="AM44" s="24">
        <f t="shared" si="26"/>
        <v>2681.8599999999997</v>
      </c>
      <c r="AO44" s="4" t="s">
        <v>49</v>
      </c>
      <c r="AP44" s="22">
        <v>276.89999999999998</v>
      </c>
      <c r="AQ44" s="22">
        <v>295.61</v>
      </c>
      <c r="AR44" s="22">
        <v>100.37</v>
      </c>
      <c r="AS44" s="22">
        <v>113.7</v>
      </c>
      <c r="AT44" s="22">
        <v>67.81</v>
      </c>
      <c r="AU44" s="22">
        <v>102.39</v>
      </c>
    </row>
    <row r="45" spans="1:47" x14ac:dyDescent="0.3">
      <c r="A45" s="4" t="s">
        <v>47</v>
      </c>
      <c r="B45" s="22">
        <v>11.74</v>
      </c>
      <c r="C45" s="22">
        <v>32.479999999999997</v>
      </c>
      <c r="D45" s="22">
        <v>24.78</v>
      </c>
      <c r="E45" s="22">
        <v>37.49</v>
      </c>
      <c r="F45" s="22">
        <v>35</v>
      </c>
      <c r="G45" s="22">
        <v>37</v>
      </c>
      <c r="I45" s="11" t="s">
        <v>77</v>
      </c>
      <c r="J45" s="24">
        <f t="shared" ref="J45:O45" si="27">SUM(J39:J44)</f>
        <v>3421.3399999999997</v>
      </c>
      <c r="K45" s="24">
        <f t="shared" si="27"/>
        <v>2041.27</v>
      </c>
      <c r="L45" s="24">
        <f t="shared" si="27"/>
        <v>6071.7000000000007</v>
      </c>
      <c r="M45" s="24">
        <f t="shared" si="27"/>
        <v>8873.07</v>
      </c>
      <c r="N45" s="24">
        <f t="shared" si="27"/>
        <v>1389.31</v>
      </c>
      <c r="O45" s="24">
        <f t="shared" si="27"/>
        <v>1420.42</v>
      </c>
      <c r="Q45" s="4" t="s">
        <v>76</v>
      </c>
      <c r="R45" s="22">
        <v>17.787299999999998</v>
      </c>
      <c r="S45" s="22">
        <v>7.8868999999999998</v>
      </c>
      <c r="T45" s="22">
        <v>20.154199999999999</v>
      </c>
      <c r="U45" s="22">
        <v>25.494599999999998</v>
      </c>
      <c r="V45" s="22">
        <v>22.96</v>
      </c>
      <c r="W45" s="22">
        <v>20</v>
      </c>
      <c r="Y45" s="16" t="s">
        <v>46</v>
      </c>
      <c r="Z45" s="25"/>
      <c r="AA45" s="25"/>
      <c r="AB45" s="25"/>
      <c r="AC45" s="25"/>
      <c r="AD45" s="25"/>
      <c r="AE45" s="25"/>
      <c r="AG45" s="16" t="s">
        <v>106</v>
      </c>
      <c r="AH45" s="44"/>
      <c r="AI45" s="44"/>
      <c r="AJ45" s="44"/>
      <c r="AK45" s="44"/>
      <c r="AL45" s="44"/>
      <c r="AM45" s="44"/>
      <c r="AO45" s="4" t="s">
        <v>43</v>
      </c>
      <c r="AP45" s="22">
        <v>133.27000000000001</v>
      </c>
      <c r="AQ45" s="22">
        <v>116.17</v>
      </c>
      <c r="AR45" s="22">
        <v>100.22</v>
      </c>
      <c r="AS45" s="22">
        <v>102.16</v>
      </c>
      <c r="AT45" s="22">
        <v>129.26</v>
      </c>
      <c r="AU45" s="22">
        <v>148.69</v>
      </c>
    </row>
    <row r="46" spans="1:47" x14ac:dyDescent="0.3">
      <c r="A46" s="4" t="s">
        <v>48</v>
      </c>
      <c r="B46" s="22">
        <v>578.98</v>
      </c>
      <c r="C46" s="22">
        <v>730.72</v>
      </c>
      <c r="D46" s="22">
        <v>770.92</v>
      </c>
      <c r="E46" s="22">
        <v>725.02</v>
      </c>
      <c r="F46" s="22">
        <v>789</v>
      </c>
      <c r="G46" s="22">
        <v>873</v>
      </c>
      <c r="I46" s="16" t="s">
        <v>46</v>
      </c>
      <c r="J46" s="25"/>
      <c r="K46" s="25"/>
      <c r="L46" s="25"/>
      <c r="M46" s="25"/>
      <c r="N46" s="25"/>
      <c r="O46" s="25"/>
      <c r="Q46" s="11" t="s">
        <v>77</v>
      </c>
      <c r="R46" s="24">
        <f>SUM(R41:R45)</f>
        <v>150.97959999999998</v>
      </c>
      <c r="S46" s="24">
        <f t="shared" ref="S46:W46" si="28">SUM(S41:S45)</f>
        <v>156.09350000000001</v>
      </c>
      <c r="T46" s="24">
        <f t="shared" si="28"/>
        <v>207.9631</v>
      </c>
      <c r="U46" s="24">
        <f t="shared" si="28"/>
        <v>229.01999999999998</v>
      </c>
      <c r="V46" s="24">
        <f t="shared" si="28"/>
        <v>267.72999999999996</v>
      </c>
      <c r="W46" s="24">
        <f t="shared" si="28"/>
        <v>7527.79</v>
      </c>
      <c r="Y46" s="4" t="s">
        <v>42</v>
      </c>
      <c r="Z46" s="22">
        <v>1212.5</v>
      </c>
      <c r="AA46" s="22">
        <v>1653.2</v>
      </c>
      <c r="AB46" s="22">
        <v>2314.5</v>
      </c>
      <c r="AC46" s="22">
        <v>2708.2</v>
      </c>
      <c r="AD46" s="22">
        <v>1272.3</v>
      </c>
      <c r="AE46" s="22">
        <v>3804.5</v>
      </c>
      <c r="AG46" s="4" t="s">
        <v>42</v>
      </c>
      <c r="AH46" s="22">
        <v>1090.8499999999999</v>
      </c>
      <c r="AI46" s="22">
        <v>704.4</v>
      </c>
      <c r="AJ46" s="22">
        <v>1894.88</v>
      </c>
      <c r="AK46" s="22">
        <v>2801.08</v>
      </c>
      <c r="AL46" s="22">
        <v>2333.64</v>
      </c>
      <c r="AM46" s="22">
        <v>1834.34</v>
      </c>
      <c r="AO46" s="4" t="s">
        <v>75</v>
      </c>
      <c r="AP46" s="22">
        <v>365.21</v>
      </c>
      <c r="AQ46" s="22">
        <v>296.61</v>
      </c>
      <c r="AR46" s="22">
        <v>243.96</v>
      </c>
      <c r="AS46" s="22">
        <v>163.28</v>
      </c>
      <c r="AT46" s="22">
        <v>185.29</v>
      </c>
      <c r="AU46" s="22">
        <v>53.53</v>
      </c>
    </row>
    <row r="47" spans="1:47" x14ac:dyDescent="0.3">
      <c r="A47" s="11" t="s">
        <v>98</v>
      </c>
      <c r="B47" s="48">
        <f>B45+B46</f>
        <v>590.72</v>
      </c>
      <c r="C47" s="48">
        <f t="shared" ref="C47:G47" si="29">C45+C46</f>
        <v>763.2</v>
      </c>
      <c r="D47" s="48">
        <f t="shared" si="29"/>
        <v>795.69999999999993</v>
      </c>
      <c r="E47" s="48">
        <f t="shared" si="29"/>
        <v>762.51</v>
      </c>
      <c r="F47" s="48">
        <f t="shared" si="29"/>
        <v>824</v>
      </c>
      <c r="G47" s="48">
        <f t="shared" si="29"/>
        <v>910</v>
      </c>
      <c r="I47" s="4" t="s">
        <v>42</v>
      </c>
      <c r="J47" s="22">
        <v>5549.38</v>
      </c>
      <c r="K47" s="22">
        <v>2444.9</v>
      </c>
      <c r="L47" s="22">
        <v>3.07</v>
      </c>
      <c r="M47" s="22">
        <v>5.94</v>
      </c>
      <c r="N47" s="22">
        <v>2844.36</v>
      </c>
      <c r="O47" s="22">
        <v>1867.11</v>
      </c>
      <c r="Q47" s="16" t="s">
        <v>46</v>
      </c>
      <c r="R47" s="44"/>
      <c r="S47" s="44"/>
      <c r="T47" s="44"/>
      <c r="U47" s="44"/>
      <c r="V47" s="44"/>
      <c r="W47" s="44"/>
      <c r="Y47" s="1" t="s">
        <v>41</v>
      </c>
      <c r="Z47" s="22">
        <v>0</v>
      </c>
      <c r="AA47" s="22">
        <v>0</v>
      </c>
      <c r="AB47" s="22">
        <v>0</v>
      </c>
      <c r="AC47" s="22">
        <v>0</v>
      </c>
      <c r="AD47" s="22">
        <v>130.69999999999999</v>
      </c>
      <c r="AE47" s="22">
        <v>85.7</v>
      </c>
      <c r="AG47" s="4" t="s">
        <v>47</v>
      </c>
      <c r="AH47" s="22">
        <v>13.19</v>
      </c>
      <c r="AI47" s="22">
        <v>19.96</v>
      </c>
      <c r="AJ47" s="22">
        <v>20.36</v>
      </c>
      <c r="AK47" s="22">
        <v>17.96</v>
      </c>
      <c r="AL47" s="22">
        <v>16.12</v>
      </c>
      <c r="AM47" s="22">
        <v>23.13</v>
      </c>
      <c r="AO47" s="4" t="s">
        <v>76</v>
      </c>
      <c r="AP47" s="22">
        <v>67.48</v>
      </c>
      <c r="AQ47" s="22">
        <v>63.61</v>
      </c>
      <c r="AR47" s="22">
        <v>51.46</v>
      </c>
      <c r="AS47" s="22">
        <v>52.11</v>
      </c>
      <c r="AT47" s="22">
        <v>61.94</v>
      </c>
      <c r="AU47" s="22">
        <v>56.75</v>
      </c>
    </row>
    <row r="48" spans="1:47" x14ac:dyDescent="0.3">
      <c r="A48" s="4" t="s">
        <v>49</v>
      </c>
      <c r="B48" s="22">
        <v>105.57</v>
      </c>
      <c r="C48" s="22">
        <v>80.42</v>
      </c>
      <c r="D48" s="22">
        <v>62.89</v>
      </c>
      <c r="E48" s="22">
        <v>43.39</v>
      </c>
      <c r="F48" s="22">
        <v>100</v>
      </c>
      <c r="G48" s="22">
        <v>134</v>
      </c>
      <c r="I48" s="4" t="s">
        <v>78</v>
      </c>
      <c r="J48" s="22">
        <v>3583.64</v>
      </c>
      <c r="K48" s="22">
        <v>3973.66</v>
      </c>
      <c r="L48" s="22">
        <f>105.28+2605.16</f>
        <v>2710.44</v>
      </c>
      <c r="M48" s="22">
        <f>119.42+3006.16</f>
        <v>3125.58</v>
      </c>
      <c r="N48" s="22">
        <v>5653.3</v>
      </c>
      <c r="O48" s="22">
        <v>6184.34</v>
      </c>
      <c r="Q48" s="4" t="s">
        <v>42</v>
      </c>
      <c r="R48" s="22">
        <v>44.280200000000001</v>
      </c>
      <c r="S48" s="22">
        <v>158.60390000000001</v>
      </c>
      <c r="T48" s="22">
        <v>818.83320000000003</v>
      </c>
      <c r="U48" s="22">
        <v>139.48990000000001</v>
      </c>
      <c r="V48" s="22">
        <v>171.17</v>
      </c>
      <c r="W48" s="22">
        <v>2956.84</v>
      </c>
      <c r="Y48" s="4" t="s">
        <v>47</v>
      </c>
      <c r="Z48" s="22">
        <v>7.7</v>
      </c>
      <c r="AA48" s="22">
        <v>5.5</v>
      </c>
      <c r="AB48" s="22">
        <v>15.8</v>
      </c>
      <c r="AC48" s="22">
        <v>12.5</v>
      </c>
      <c r="AD48" s="22">
        <v>28.2</v>
      </c>
      <c r="AE48" s="22">
        <v>21</v>
      </c>
      <c r="AG48" s="4" t="s">
        <v>107</v>
      </c>
      <c r="AH48" s="22">
        <v>2035.62</v>
      </c>
      <c r="AI48" s="22">
        <v>2046.85</v>
      </c>
      <c r="AJ48" s="22">
        <v>1654.08</v>
      </c>
      <c r="AK48" s="22">
        <v>1660.84</v>
      </c>
      <c r="AL48" s="22">
        <v>2073.1999999999998</v>
      </c>
      <c r="AM48" s="22">
        <v>1796.89</v>
      </c>
      <c r="AO48" s="11" t="s">
        <v>116</v>
      </c>
      <c r="AP48" s="24">
        <f>SUM(AP42:AP47)</f>
        <v>3212.1400000000003</v>
      </c>
      <c r="AQ48" s="24">
        <f>SUM(AQ42:AQ47)</f>
        <v>1974.7500000000002</v>
      </c>
      <c r="AR48" s="24">
        <f t="shared" ref="AR48:AU48" si="30">SUM(AR42:AR47)</f>
        <v>1070.53</v>
      </c>
      <c r="AS48" s="24">
        <f t="shared" si="30"/>
        <v>640.06999999999994</v>
      </c>
      <c r="AT48" s="24">
        <f t="shared" si="30"/>
        <v>669.72</v>
      </c>
      <c r="AU48" s="24">
        <f t="shared" si="30"/>
        <v>613.83000000000004</v>
      </c>
    </row>
    <row r="49" spans="1:47" x14ac:dyDescent="0.3">
      <c r="A49" s="4" t="s">
        <v>50</v>
      </c>
      <c r="B49" s="22">
        <v>9.93</v>
      </c>
      <c r="C49" s="22">
        <v>5.98</v>
      </c>
      <c r="D49" s="22">
        <v>1.68</v>
      </c>
      <c r="E49" s="22">
        <v>2.21</v>
      </c>
      <c r="F49" s="22">
        <v>43</v>
      </c>
      <c r="G49" s="22">
        <v>0</v>
      </c>
      <c r="I49" s="4" t="s">
        <v>49</v>
      </c>
      <c r="J49" s="22">
        <v>1888.73</v>
      </c>
      <c r="K49" s="22">
        <v>4237.3500000000004</v>
      </c>
      <c r="L49" s="22">
        <v>4067.81</v>
      </c>
      <c r="M49" s="22">
        <v>4064.01</v>
      </c>
      <c r="N49" s="22">
        <v>1506.7</v>
      </c>
      <c r="O49" s="22">
        <v>1947.84</v>
      </c>
      <c r="Q49" s="4" t="s">
        <v>41</v>
      </c>
      <c r="R49" s="22">
        <v>0</v>
      </c>
      <c r="S49" s="22">
        <v>0</v>
      </c>
      <c r="T49" s="22">
        <v>2.0571999999999999</v>
      </c>
      <c r="U49" s="22">
        <v>2.5565000000000002</v>
      </c>
      <c r="V49" s="22">
        <v>3.42</v>
      </c>
      <c r="W49" s="22">
        <v>14.39</v>
      </c>
      <c r="Y49" s="4" t="s">
        <v>48</v>
      </c>
      <c r="Z49" s="22">
        <v>1359.4</v>
      </c>
      <c r="AA49" s="22">
        <v>1519.3</v>
      </c>
      <c r="AB49" s="22">
        <v>1795.1</v>
      </c>
      <c r="AC49" s="22">
        <v>2253.6999999999998</v>
      </c>
      <c r="AD49" s="22">
        <v>2586.1999999999998</v>
      </c>
      <c r="AE49" s="22">
        <v>2626.8</v>
      </c>
      <c r="AG49" s="11" t="s">
        <v>91</v>
      </c>
      <c r="AH49" s="24">
        <f>SUM(AH47:AH48)</f>
        <v>2048.81</v>
      </c>
      <c r="AI49" s="24">
        <f t="shared" ref="AI49:AM49" si="31">SUM(AI47:AI48)</f>
        <v>2066.81</v>
      </c>
      <c r="AJ49" s="24">
        <f t="shared" si="31"/>
        <v>1674.4399999999998</v>
      </c>
      <c r="AK49" s="24">
        <f t="shared" si="31"/>
        <v>1678.8</v>
      </c>
      <c r="AL49" s="24">
        <f t="shared" si="31"/>
        <v>2089.3199999999997</v>
      </c>
      <c r="AM49" s="24">
        <f t="shared" si="31"/>
        <v>1820.0200000000002</v>
      </c>
      <c r="AO49" s="16" t="s">
        <v>46</v>
      </c>
      <c r="AP49" s="25"/>
      <c r="AQ49" s="25"/>
      <c r="AR49" s="25"/>
      <c r="AS49" s="25"/>
      <c r="AT49" s="25"/>
      <c r="AU49" s="25"/>
    </row>
    <row r="50" spans="1:47" x14ac:dyDescent="0.3">
      <c r="A50" s="4" t="s">
        <v>51</v>
      </c>
      <c r="B50" s="22">
        <v>183.77</v>
      </c>
      <c r="C50" s="22">
        <v>259.20999999999998</v>
      </c>
      <c r="D50" s="22">
        <v>330.31</v>
      </c>
      <c r="E50" s="22">
        <v>287.56</v>
      </c>
      <c r="F50" s="22">
        <v>303</v>
      </c>
      <c r="G50" s="22">
        <v>352</v>
      </c>
      <c r="I50" s="4" t="s">
        <v>51</v>
      </c>
      <c r="J50" s="22">
        <v>646.29</v>
      </c>
      <c r="K50" s="22">
        <v>727.99</v>
      </c>
      <c r="L50" s="22">
        <v>746.31</v>
      </c>
      <c r="M50" s="22">
        <v>343.77</v>
      </c>
      <c r="N50" s="22">
        <v>1084.46</v>
      </c>
      <c r="O50" s="22">
        <v>1169.79</v>
      </c>
      <c r="Q50" s="4" t="s">
        <v>47</v>
      </c>
      <c r="R50" s="22">
        <v>81.022099999999995</v>
      </c>
      <c r="S50" s="22">
        <v>102.702</v>
      </c>
      <c r="T50" s="22">
        <v>114.47199999999999</v>
      </c>
      <c r="U50" s="22">
        <v>60.500700000000002</v>
      </c>
      <c r="V50" s="22">
        <v>79.400000000000006</v>
      </c>
      <c r="W50" s="22">
        <v>86.29</v>
      </c>
      <c r="Y50" s="11" t="s">
        <v>98</v>
      </c>
      <c r="Z50" s="24">
        <f>Z48+Z49</f>
        <v>1367.1000000000001</v>
      </c>
      <c r="AA50" s="24">
        <f t="shared" ref="AA50:AE50" si="32">AA48+AA49</f>
        <v>1524.8</v>
      </c>
      <c r="AB50" s="24">
        <f t="shared" si="32"/>
        <v>1810.8999999999999</v>
      </c>
      <c r="AC50" s="24">
        <f t="shared" si="32"/>
        <v>2266.1999999999998</v>
      </c>
      <c r="AD50" s="24">
        <f t="shared" si="32"/>
        <v>2614.3999999999996</v>
      </c>
      <c r="AE50" s="24">
        <f t="shared" si="32"/>
        <v>2647.8</v>
      </c>
      <c r="AG50" s="4" t="s">
        <v>105</v>
      </c>
      <c r="AH50" s="22">
        <v>0</v>
      </c>
      <c r="AI50" s="22">
        <v>0</v>
      </c>
      <c r="AJ50" s="22">
        <v>14.73</v>
      </c>
      <c r="AK50" s="22">
        <v>18.329999999999998</v>
      </c>
      <c r="AL50" s="22">
        <v>20.059999999999999</v>
      </c>
      <c r="AM50" s="22">
        <v>30.37</v>
      </c>
      <c r="AO50" s="4" t="s">
        <v>42</v>
      </c>
      <c r="AP50" s="22">
        <v>447.15</v>
      </c>
      <c r="AQ50" s="22">
        <v>334.73</v>
      </c>
      <c r="AR50" s="22">
        <v>407.9</v>
      </c>
      <c r="AS50" s="22">
        <v>520.36</v>
      </c>
      <c r="AT50" s="22">
        <v>247.02</v>
      </c>
      <c r="AU50" s="22">
        <v>80.12</v>
      </c>
    </row>
    <row r="51" spans="1:47" x14ac:dyDescent="0.3">
      <c r="A51" s="4" t="s">
        <v>43</v>
      </c>
      <c r="B51" s="22">
        <v>2.46</v>
      </c>
      <c r="C51" s="22">
        <v>2.5099999999999998</v>
      </c>
      <c r="D51" s="22">
        <v>4.1500000000000004</v>
      </c>
      <c r="E51" s="22">
        <v>4.92</v>
      </c>
      <c r="F51" s="22">
        <v>7</v>
      </c>
      <c r="G51" s="22">
        <v>54</v>
      </c>
      <c r="I51" s="4" t="s">
        <v>43</v>
      </c>
      <c r="J51" s="22">
        <v>3836.36</v>
      </c>
      <c r="K51" s="22">
        <v>4582.6499999999996</v>
      </c>
      <c r="L51" s="22">
        <v>2562.5500000000002</v>
      </c>
      <c r="M51" s="22">
        <v>809.5</v>
      </c>
      <c r="N51" s="22">
        <v>5357.56</v>
      </c>
      <c r="O51" s="22">
        <v>6155.13</v>
      </c>
      <c r="Q51" s="4" t="s">
        <v>48</v>
      </c>
      <c r="R51" s="22">
        <v>664.08799999999997</v>
      </c>
      <c r="S51" s="22">
        <v>564.25739999999996</v>
      </c>
      <c r="T51" s="22">
        <v>961.92520000000002</v>
      </c>
      <c r="U51" s="22">
        <v>947.67619999999999</v>
      </c>
      <c r="V51" s="22">
        <v>697.66</v>
      </c>
      <c r="W51" s="22">
        <v>1047.1099999999999</v>
      </c>
      <c r="Y51" s="4" t="s">
        <v>97</v>
      </c>
      <c r="Z51" s="22">
        <v>6.8</v>
      </c>
      <c r="AA51" s="22">
        <v>160.19999999999999</v>
      </c>
      <c r="AB51" s="22">
        <v>32.6</v>
      </c>
      <c r="AC51" s="22">
        <v>47.9</v>
      </c>
      <c r="AD51" s="22">
        <v>46.8</v>
      </c>
      <c r="AE51" s="22">
        <v>128.6</v>
      </c>
      <c r="AG51" s="4" t="s">
        <v>49</v>
      </c>
      <c r="AH51" s="22">
        <v>1753.78</v>
      </c>
      <c r="AI51" s="22">
        <v>1507.3</v>
      </c>
      <c r="AJ51" s="22">
        <v>279.27</v>
      </c>
      <c r="AK51" s="22">
        <v>420.98</v>
      </c>
      <c r="AL51" s="22">
        <v>284.66000000000003</v>
      </c>
      <c r="AM51" s="22">
        <v>392.62</v>
      </c>
      <c r="AO51" s="4" t="s">
        <v>47</v>
      </c>
      <c r="AP51" s="22">
        <v>81.19</v>
      </c>
      <c r="AQ51" s="22">
        <v>69.33</v>
      </c>
      <c r="AR51" s="22">
        <v>175.12</v>
      </c>
      <c r="AS51" s="22">
        <v>225.91</v>
      </c>
      <c r="AT51" s="22">
        <v>253.54</v>
      </c>
      <c r="AU51" s="22">
        <v>278.60000000000002</v>
      </c>
    </row>
    <row r="52" spans="1:47" x14ac:dyDescent="0.3">
      <c r="A52" s="11" t="s">
        <v>52</v>
      </c>
      <c r="B52" s="24">
        <f>SUM(B43:B44,B47,B48:B51)</f>
        <v>926.83</v>
      </c>
      <c r="C52" s="24">
        <f t="shared" ref="C52:G52" si="33">SUM(C43:C44,C47,C48:C51)</f>
        <v>1112.46</v>
      </c>
      <c r="D52" s="24">
        <f t="shared" si="33"/>
        <v>1195.55</v>
      </c>
      <c r="E52" s="24">
        <f t="shared" si="33"/>
        <v>1101.0800000000002</v>
      </c>
      <c r="F52" s="24">
        <f t="shared" si="33"/>
        <v>1278</v>
      </c>
      <c r="G52" s="24">
        <f t="shared" si="33"/>
        <v>1452</v>
      </c>
      <c r="I52" s="4" t="s">
        <v>41</v>
      </c>
      <c r="J52" s="22">
        <v>0</v>
      </c>
      <c r="K52" s="22">
        <v>0</v>
      </c>
      <c r="L52" s="22">
        <v>15.65</v>
      </c>
      <c r="M52" s="22">
        <v>16.64</v>
      </c>
      <c r="N52" s="22">
        <v>125.69</v>
      </c>
      <c r="O52" s="22">
        <v>136.82</v>
      </c>
      <c r="Q52" s="11" t="s">
        <v>91</v>
      </c>
      <c r="R52" s="24">
        <f>R50+R51</f>
        <v>745.11009999999999</v>
      </c>
      <c r="S52" s="24">
        <f t="shared" ref="S52:W52" si="34">S50+S51</f>
        <v>666.95939999999996</v>
      </c>
      <c r="T52" s="24">
        <f t="shared" si="34"/>
        <v>1076.3972000000001</v>
      </c>
      <c r="U52" s="24">
        <f t="shared" si="34"/>
        <v>1008.1769</v>
      </c>
      <c r="V52" s="24">
        <f t="shared" si="34"/>
        <v>777.06</v>
      </c>
      <c r="W52" s="24">
        <f t="shared" si="34"/>
        <v>1133.3999999999999</v>
      </c>
      <c r="Y52" s="4" t="s">
        <v>49</v>
      </c>
      <c r="Z52" s="22">
        <v>2267</v>
      </c>
      <c r="AA52" s="22">
        <v>2700.6</v>
      </c>
      <c r="AB52" s="22">
        <v>2341.6999999999998</v>
      </c>
      <c r="AC52" s="22">
        <v>2483.1999999999998</v>
      </c>
      <c r="AD52" s="22">
        <v>3454</v>
      </c>
      <c r="AE52" s="22">
        <v>3969.8</v>
      </c>
      <c r="AG52" s="4" t="s">
        <v>43</v>
      </c>
      <c r="AH52" s="22">
        <v>418.58</v>
      </c>
      <c r="AI52" s="22">
        <v>431.06</v>
      </c>
      <c r="AJ52" s="22">
        <v>411.03</v>
      </c>
      <c r="AK52" s="22">
        <v>393.71</v>
      </c>
      <c r="AL52" s="22">
        <v>400.14</v>
      </c>
      <c r="AM52" s="22">
        <v>408.13</v>
      </c>
      <c r="AO52" s="4" t="s">
        <v>48</v>
      </c>
      <c r="AP52" s="22">
        <v>2200.62</v>
      </c>
      <c r="AQ52" s="22">
        <v>1997.49</v>
      </c>
      <c r="AR52" s="22">
        <v>2332.98</v>
      </c>
      <c r="AS52" s="22">
        <v>2231.14</v>
      </c>
      <c r="AT52" s="22">
        <v>2220.44</v>
      </c>
      <c r="AU52" s="22">
        <v>2558.89</v>
      </c>
    </row>
    <row r="53" spans="1:47" x14ac:dyDescent="0.3">
      <c r="A53" s="11" t="s">
        <v>53</v>
      </c>
      <c r="B53" s="24">
        <f t="shared" ref="B53:G53" si="35">B33+B41+B52</f>
        <v>8535.7000000000007</v>
      </c>
      <c r="C53" s="24">
        <f t="shared" si="35"/>
        <v>10774.07</v>
      </c>
      <c r="D53" s="24">
        <f t="shared" si="35"/>
        <v>13374.71</v>
      </c>
      <c r="E53" s="24">
        <f t="shared" si="35"/>
        <v>14438.77</v>
      </c>
      <c r="F53" s="24">
        <f t="shared" si="35"/>
        <v>15470</v>
      </c>
      <c r="G53" s="24">
        <f t="shared" si="35"/>
        <v>16932</v>
      </c>
      <c r="I53" s="4" t="s">
        <v>79</v>
      </c>
      <c r="J53" s="22">
        <v>202.03</v>
      </c>
      <c r="K53" s="22">
        <v>179.08</v>
      </c>
      <c r="L53" s="22">
        <v>0</v>
      </c>
      <c r="M53" s="22">
        <v>0.62</v>
      </c>
      <c r="N53" s="22">
        <f>411.7+0.63</f>
        <v>412.33</v>
      </c>
      <c r="O53" s="22">
        <v>733.18</v>
      </c>
      <c r="Q53" s="4" t="s">
        <v>49</v>
      </c>
      <c r="R53" s="22">
        <v>120.5857</v>
      </c>
      <c r="S53" s="22">
        <v>183.58690000000001</v>
      </c>
      <c r="T53" s="22">
        <v>221.489</v>
      </c>
      <c r="U53" s="22">
        <v>236.49180000000001</v>
      </c>
      <c r="V53" s="22">
        <v>561.49</v>
      </c>
      <c r="W53" s="22">
        <v>674.16</v>
      </c>
      <c r="Y53" s="4" t="s">
        <v>99</v>
      </c>
      <c r="Z53" s="22">
        <v>18.100000000000001</v>
      </c>
      <c r="AA53" s="22">
        <v>57.2</v>
      </c>
      <c r="AB53" s="22">
        <v>138.80000000000001</v>
      </c>
      <c r="AC53" s="22">
        <v>544.20000000000005</v>
      </c>
      <c r="AD53" s="22">
        <v>1143.7</v>
      </c>
      <c r="AE53" s="22">
        <v>1319</v>
      </c>
      <c r="AG53" s="4" t="s">
        <v>108</v>
      </c>
      <c r="AH53" s="22">
        <v>35.119999999999997</v>
      </c>
      <c r="AI53" s="22">
        <v>53.99</v>
      </c>
      <c r="AJ53" s="22">
        <v>41.48</v>
      </c>
      <c r="AK53" s="22">
        <v>31.31</v>
      </c>
      <c r="AL53" s="22">
        <v>167.93</v>
      </c>
      <c r="AM53" s="22">
        <v>95.57</v>
      </c>
      <c r="AO53" s="11" t="s">
        <v>98</v>
      </c>
      <c r="AP53" s="24">
        <f>AP51+AP52</f>
        <v>2281.81</v>
      </c>
      <c r="AQ53" s="24">
        <f t="shared" ref="AQ53:AU53" si="36">AQ51+AQ52</f>
        <v>2066.8200000000002</v>
      </c>
      <c r="AR53" s="24">
        <f t="shared" si="36"/>
        <v>2508.1</v>
      </c>
      <c r="AS53" s="24">
        <f t="shared" si="36"/>
        <v>2457.0499999999997</v>
      </c>
      <c r="AT53" s="24">
        <f t="shared" si="36"/>
        <v>2473.98</v>
      </c>
      <c r="AU53" s="24">
        <f t="shared" si="36"/>
        <v>2837.49</v>
      </c>
    </row>
    <row r="54" spans="1:47" x14ac:dyDescent="0.3">
      <c r="I54" s="11" t="s">
        <v>80</v>
      </c>
      <c r="J54" s="24">
        <f t="shared" ref="J54:O54" si="37">SUM(J47:J53)</f>
        <v>15706.430000000002</v>
      </c>
      <c r="K54" s="24">
        <f t="shared" si="37"/>
        <v>16145.63</v>
      </c>
      <c r="L54" s="24">
        <f t="shared" si="37"/>
        <v>10105.83</v>
      </c>
      <c r="M54" s="24">
        <f t="shared" si="37"/>
        <v>8366.0600000000013</v>
      </c>
      <c r="N54" s="24">
        <f t="shared" si="37"/>
        <v>16984.400000000001</v>
      </c>
      <c r="O54" s="24">
        <f t="shared" si="37"/>
        <v>18194.21</v>
      </c>
      <c r="Q54" s="4" t="s">
        <v>43</v>
      </c>
      <c r="R54" s="22">
        <v>215.6704</v>
      </c>
      <c r="S54" s="22">
        <v>234.21850000000001</v>
      </c>
      <c r="T54" s="22">
        <v>264.50259999999997</v>
      </c>
      <c r="U54" s="22">
        <v>307.63040000000001</v>
      </c>
      <c r="V54" s="22">
        <v>427.31</v>
      </c>
      <c r="W54" s="22">
        <v>663.87</v>
      </c>
      <c r="Y54" s="4" t="s">
        <v>43</v>
      </c>
      <c r="Z54" s="22">
        <v>478.9</v>
      </c>
      <c r="AA54" s="22">
        <v>466.9</v>
      </c>
      <c r="AB54" s="22">
        <v>501.5</v>
      </c>
      <c r="AC54" s="22">
        <v>586.6</v>
      </c>
      <c r="AD54" s="22">
        <v>234.1</v>
      </c>
      <c r="AE54" s="22">
        <v>302.8</v>
      </c>
      <c r="AG54" s="4" t="s">
        <v>51</v>
      </c>
      <c r="AH54" s="22">
        <v>107.02</v>
      </c>
      <c r="AI54" s="22">
        <v>128.06</v>
      </c>
      <c r="AJ54" s="22">
        <v>99.26</v>
      </c>
      <c r="AK54" s="22">
        <v>103.09</v>
      </c>
      <c r="AL54" s="22">
        <v>129.5</v>
      </c>
      <c r="AM54" s="22">
        <v>136.13999999999999</v>
      </c>
      <c r="AO54" s="4" t="s">
        <v>105</v>
      </c>
      <c r="AP54" s="22">
        <v>0</v>
      </c>
      <c r="AQ54" s="22">
        <v>0</v>
      </c>
      <c r="AR54" s="22">
        <v>73.36</v>
      </c>
      <c r="AS54" s="22">
        <v>73.94</v>
      </c>
      <c r="AT54" s="22">
        <v>86.97</v>
      </c>
      <c r="AU54" s="22">
        <v>105.6</v>
      </c>
    </row>
    <row r="55" spans="1:47" x14ac:dyDescent="0.3">
      <c r="I55" s="11" t="s">
        <v>53</v>
      </c>
      <c r="J55" s="24">
        <f t="shared" ref="J55:O55" si="38">J36+J45+J54</f>
        <v>68252.459999999992</v>
      </c>
      <c r="K55" s="24">
        <f t="shared" si="38"/>
        <v>67666.73</v>
      </c>
      <c r="L55" s="24">
        <f t="shared" si="38"/>
        <v>40765.480000000003</v>
      </c>
      <c r="M55" s="24">
        <f t="shared" si="38"/>
        <v>40987.490000000005</v>
      </c>
      <c r="N55" s="24">
        <f t="shared" si="38"/>
        <v>85499.65</v>
      </c>
      <c r="O55" s="24">
        <f t="shared" si="38"/>
        <v>92100.579999999987</v>
      </c>
      <c r="Q55" s="4" t="s">
        <v>90</v>
      </c>
      <c r="R55" s="22">
        <v>65.622399999999999</v>
      </c>
      <c r="S55" s="22">
        <v>11.0847</v>
      </c>
      <c r="T55" s="22">
        <v>15.089600000000001</v>
      </c>
      <c r="U55" s="22">
        <v>46.255499999999998</v>
      </c>
      <c r="V55" s="22">
        <v>8.3800000000000008</v>
      </c>
      <c r="W55" s="22">
        <v>18.079999999999998</v>
      </c>
      <c r="Y55" s="4" t="s">
        <v>51</v>
      </c>
      <c r="Z55" s="22">
        <v>546.9</v>
      </c>
      <c r="AA55" s="22">
        <v>651.20000000000005</v>
      </c>
      <c r="AB55" s="22">
        <v>877.4</v>
      </c>
      <c r="AC55" s="22">
        <v>1027.8</v>
      </c>
      <c r="AD55" s="22">
        <v>692</v>
      </c>
      <c r="AE55" s="22">
        <v>775.6</v>
      </c>
      <c r="AG55" s="11" t="s">
        <v>80</v>
      </c>
      <c r="AH55" s="24">
        <f>SUM(AH46,AH49,AH50:AH54)</f>
        <v>5454.16</v>
      </c>
      <c r="AI55" s="24">
        <f t="shared" ref="AI55:AM55" si="39">SUM(AI46,AI49,AI50:AI54)</f>
        <v>4891.6200000000008</v>
      </c>
      <c r="AJ55" s="24">
        <f t="shared" si="39"/>
        <v>4415.0899999999992</v>
      </c>
      <c r="AK55" s="24">
        <f t="shared" si="39"/>
        <v>5447.3000000000011</v>
      </c>
      <c r="AL55" s="24">
        <f t="shared" si="39"/>
        <v>5425.25</v>
      </c>
      <c r="AM55" s="24">
        <f t="shared" si="39"/>
        <v>4717.1899999999996</v>
      </c>
      <c r="AO55" s="4" t="s">
        <v>49</v>
      </c>
      <c r="AP55" s="22">
        <v>530.36</v>
      </c>
      <c r="AQ55" s="22">
        <v>733.99</v>
      </c>
      <c r="AR55" s="22">
        <v>370.83</v>
      </c>
      <c r="AS55" s="22">
        <v>394.54</v>
      </c>
      <c r="AT55" s="22">
        <v>492.14</v>
      </c>
      <c r="AU55" s="22">
        <v>374.54</v>
      </c>
    </row>
    <row r="56" spans="1:47" x14ac:dyDescent="0.3">
      <c r="Q56" s="4" t="s">
        <v>51</v>
      </c>
      <c r="R56" s="22">
        <v>59.460900000000002</v>
      </c>
      <c r="S56" s="22">
        <v>99.186999999999998</v>
      </c>
      <c r="T56" s="22">
        <v>225.09530000000001</v>
      </c>
      <c r="U56" s="22">
        <v>122.5352</v>
      </c>
      <c r="V56" s="22">
        <v>170.9</v>
      </c>
      <c r="W56" s="22">
        <v>202.82</v>
      </c>
      <c r="Y56" s="11" t="s">
        <v>80</v>
      </c>
      <c r="Z56" s="24">
        <f t="shared" ref="Z56:AE56" si="40">SUM(Z46,Z50,Z51:Z55)</f>
        <v>5897.3</v>
      </c>
      <c r="AA56" s="24">
        <f t="shared" si="40"/>
        <v>7214.0999999999985</v>
      </c>
      <c r="AB56" s="24">
        <f t="shared" si="40"/>
        <v>8017.4</v>
      </c>
      <c r="AC56" s="24">
        <f t="shared" si="40"/>
        <v>9664.0999999999985</v>
      </c>
      <c r="AD56" s="24">
        <f t="shared" si="40"/>
        <v>9457.3000000000011</v>
      </c>
      <c r="AE56" s="24">
        <f t="shared" si="40"/>
        <v>12948.1</v>
      </c>
      <c r="AG56" s="11" t="s">
        <v>100</v>
      </c>
      <c r="AH56" s="24">
        <f t="shared" ref="AH56:AM56" si="41">AH36+AH44+AH55</f>
        <v>14009.74</v>
      </c>
      <c r="AI56" s="24">
        <f t="shared" si="41"/>
        <v>14074.650000000001</v>
      </c>
      <c r="AJ56" s="24">
        <f t="shared" si="41"/>
        <v>13099.84</v>
      </c>
      <c r="AK56" s="24">
        <f t="shared" si="41"/>
        <v>15011.85</v>
      </c>
      <c r="AL56" s="24">
        <f t="shared" si="41"/>
        <v>15060.58</v>
      </c>
      <c r="AM56" s="24">
        <f t="shared" si="41"/>
        <v>14989.739999999998</v>
      </c>
      <c r="AO56" s="4" t="s">
        <v>51</v>
      </c>
      <c r="AP56" s="22">
        <v>176.29</v>
      </c>
      <c r="AQ56" s="22">
        <v>359.22</v>
      </c>
      <c r="AR56" s="22">
        <v>311.06</v>
      </c>
      <c r="AS56" s="22">
        <v>284.13</v>
      </c>
      <c r="AT56" s="22">
        <v>311.87</v>
      </c>
      <c r="AU56" s="22">
        <v>292.85000000000002</v>
      </c>
    </row>
    <row r="57" spans="1:47" x14ac:dyDescent="0.3">
      <c r="Q57" s="11" t="s">
        <v>80</v>
      </c>
      <c r="R57" s="24">
        <f t="shared" ref="R57:W57" si="42">SUM(R48,R52,R53:R56)</f>
        <v>1250.7297000000001</v>
      </c>
      <c r="S57" s="24">
        <f t="shared" si="42"/>
        <v>1353.6404</v>
      </c>
      <c r="T57" s="24">
        <f t="shared" si="42"/>
        <v>2621.4068999999995</v>
      </c>
      <c r="U57" s="24">
        <f t="shared" si="42"/>
        <v>1860.5797</v>
      </c>
      <c r="V57" s="24">
        <f t="shared" si="42"/>
        <v>2116.31</v>
      </c>
      <c r="W57" s="24">
        <f t="shared" si="42"/>
        <v>5649.1699999999992</v>
      </c>
      <c r="Y57" s="11" t="s">
        <v>100</v>
      </c>
      <c r="Z57" s="24">
        <f t="shared" ref="Z57:AE57" si="43">Z35+Z44+Z56</f>
        <v>22465.599999999999</v>
      </c>
      <c r="AA57" s="24">
        <f t="shared" si="43"/>
        <v>23225.3</v>
      </c>
      <c r="AB57" s="24">
        <f t="shared" si="43"/>
        <v>26530.400000000001</v>
      </c>
      <c r="AC57" s="24">
        <f t="shared" si="43"/>
        <v>29645.200000000001</v>
      </c>
      <c r="AD57" s="24">
        <f t="shared" si="43"/>
        <v>38733.100000000006</v>
      </c>
      <c r="AE57" s="24">
        <f t="shared" si="43"/>
        <v>49340.9</v>
      </c>
      <c r="AO57" s="4" t="s">
        <v>43</v>
      </c>
      <c r="AP57" s="22">
        <v>948.19</v>
      </c>
      <c r="AQ57" s="22">
        <v>1078.32</v>
      </c>
      <c r="AR57" s="22">
        <v>1221</v>
      </c>
      <c r="AS57" s="22">
        <v>1286.67</v>
      </c>
      <c r="AT57" s="22">
        <v>1611.76</v>
      </c>
      <c r="AU57" s="22">
        <v>1716.61</v>
      </c>
    </row>
    <row r="58" spans="1:47" x14ac:dyDescent="0.3">
      <c r="Q58" s="11" t="s">
        <v>53</v>
      </c>
      <c r="R58" s="24">
        <f t="shared" ref="R58:W58" si="44">R38+R46+R57</f>
        <v>5073.2806</v>
      </c>
      <c r="S58" s="24">
        <f t="shared" si="44"/>
        <v>6372.6250999999993</v>
      </c>
      <c r="T58" s="24">
        <f t="shared" si="44"/>
        <v>9145.6819999999989</v>
      </c>
      <c r="U58" s="24">
        <f t="shared" si="44"/>
        <v>9712.8925999999992</v>
      </c>
      <c r="V58" s="24">
        <f t="shared" si="44"/>
        <v>11959.83</v>
      </c>
      <c r="W58" s="24">
        <f t="shared" si="44"/>
        <v>27745.14</v>
      </c>
      <c r="AO58" s="4" t="s">
        <v>90</v>
      </c>
      <c r="AP58" s="22">
        <v>9.34</v>
      </c>
      <c r="AQ58" s="22">
        <v>18.059999999999999</v>
      </c>
      <c r="AR58" s="22">
        <v>20.62</v>
      </c>
      <c r="AS58" s="22">
        <v>16.579999999999998</v>
      </c>
      <c r="AT58" s="22">
        <v>22.03</v>
      </c>
      <c r="AU58" s="22">
        <v>76.75</v>
      </c>
    </row>
    <row r="59" spans="1:47" x14ac:dyDescent="0.3">
      <c r="AO59" s="11" t="s">
        <v>80</v>
      </c>
      <c r="AP59" s="24">
        <f>SUM(AP50,AP53,AP54:AP58)</f>
        <v>4393.1400000000003</v>
      </c>
      <c r="AQ59" s="24">
        <f t="shared" ref="AQ59:AU59" si="45">SUM(AQ50,AQ53,AQ54:AQ58)</f>
        <v>4591.1400000000003</v>
      </c>
      <c r="AR59" s="24">
        <f t="shared" si="45"/>
        <v>4912.87</v>
      </c>
      <c r="AS59" s="24">
        <f t="shared" si="45"/>
        <v>5033.2700000000004</v>
      </c>
      <c r="AT59" s="24">
        <f t="shared" si="45"/>
        <v>5245.7699999999995</v>
      </c>
      <c r="AU59" s="24">
        <f t="shared" si="45"/>
        <v>5483.9599999999991</v>
      </c>
    </row>
    <row r="60" spans="1:47" ht="28.8" x14ac:dyDescent="0.3">
      <c r="AO60" s="47" t="s">
        <v>117</v>
      </c>
      <c r="AP60" s="22">
        <v>0</v>
      </c>
      <c r="AQ60" s="22">
        <v>0.41</v>
      </c>
      <c r="AR60" s="22">
        <v>0.34</v>
      </c>
      <c r="AS60" s="22">
        <v>76.400000000000006</v>
      </c>
      <c r="AT60" s="22">
        <v>0</v>
      </c>
      <c r="AU60" s="22">
        <v>0</v>
      </c>
    </row>
    <row r="61" spans="1:47" x14ac:dyDescent="0.3">
      <c r="AO61" s="11" t="s">
        <v>118</v>
      </c>
      <c r="AP61" s="24">
        <f>AP38+AP48+AP59+AP60+AP39</f>
        <v>23662.560000000001</v>
      </c>
      <c r="AQ61" s="24">
        <f t="shared" ref="AQ61:AU61" si="46">AQ38+AQ48+AQ59+AQ60+AQ39</f>
        <v>25151.890000000003</v>
      </c>
      <c r="AR61" s="24">
        <f t="shared" si="46"/>
        <v>27101.119999999999</v>
      </c>
      <c r="AS61" s="24">
        <f t="shared" si="46"/>
        <v>29463.279999999999</v>
      </c>
      <c r="AT61" s="24">
        <f t="shared" si="46"/>
        <v>32717.820000000003</v>
      </c>
      <c r="AU61" s="24">
        <f t="shared" si="46"/>
        <v>37387.040000000001</v>
      </c>
    </row>
  </sheetData>
  <mergeCells count="7">
    <mergeCell ref="AO2:AU2"/>
    <mergeCell ref="A1:D1"/>
    <mergeCell ref="A2:G2"/>
    <mergeCell ref="I2:O2"/>
    <mergeCell ref="Q2:W2"/>
    <mergeCell ref="Y2:AE2"/>
    <mergeCell ref="AG2:AM2"/>
  </mergeCells>
  <pageMargins left="0.7" right="0.7" top="0.75" bottom="0.75" header="0.3" footer="0.3"/>
  <picture r:id="rId1"/>
  <tableParts count="6">
    <tablePart r:id="rId2"/>
    <tablePart r:id="rId3"/>
    <tablePart r:id="rId4"/>
    <tablePart r:id="rId5"/>
    <tablePart r:id="rId6"/>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EB7E5-742A-442C-9E4E-FDCE96648627}">
  <dimension ref="A2:AO35"/>
  <sheetViews>
    <sheetView topLeftCell="AJ10" workbookViewId="0">
      <selection activeCell="N13" sqref="N13"/>
    </sheetView>
  </sheetViews>
  <sheetFormatPr defaultRowHeight="14.4" x14ac:dyDescent="0.3"/>
  <cols>
    <col min="1" max="1" width="27.109375" style="1" bestFit="1" customWidth="1"/>
    <col min="2" max="3" width="9.88671875" style="49" bestFit="1" customWidth="1"/>
    <col min="4" max="5" width="10" style="49" bestFit="1" customWidth="1"/>
    <col min="6" max="6" width="10.6640625" style="49" bestFit="1" customWidth="1"/>
    <col min="7" max="7" width="8.88671875" style="1"/>
    <col min="8" max="8" width="27.109375" style="1" bestFit="1" customWidth="1"/>
    <col min="9" max="13" width="11" style="1" bestFit="1" customWidth="1"/>
    <col min="14" max="14" width="8.88671875" style="1"/>
    <col min="15" max="15" width="27.6640625" style="1" bestFit="1" customWidth="1"/>
    <col min="16" max="16" width="10" style="49" bestFit="1" customWidth="1"/>
    <col min="17" max="20" width="9.88671875" style="49" bestFit="1" customWidth="1"/>
    <col min="21" max="21" width="8.88671875" style="1"/>
    <col min="22" max="22" width="27.6640625" style="1" bestFit="1" customWidth="1"/>
    <col min="23" max="27" width="10" style="49" bestFit="1" customWidth="1"/>
    <col min="28" max="28" width="8.88671875" style="1"/>
    <col min="29" max="29" width="27.109375" style="1" bestFit="1" customWidth="1"/>
    <col min="30" max="34" width="10" style="49" bestFit="1" customWidth="1"/>
    <col min="35" max="35" width="8.88671875" style="1"/>
    <col min="36" max="36" width="27.109375" style="1" bestFit="1" customWidth="1"/>
    <col min="37" max="38" width="9.88671875" style="49" bestFit="1" customWidth="1"/>
    <col min="39" max="41" width="10" style="49" bestFit="1" customWidth="1"/>
    <col min="42" max="16384" width="8.88671875" style="1"/>
  </cols>
  <sheetData>
    <row r="2" spans="1:41" ht="43.8" customHeight="1" x14ac:dyDescent="0.3">
      <c r="A2" s="378" t="e" vm="4">
        <v>#VALUE!</v>
      </c>
      <c r="B2" s="378"/>
      <c r="C2" s="378"/>
      <c r="D2" s="378"/>
      <c r="E2" s="378"/>
      <c r="F2" s="378"/>
      <c r="H2" s="378" t="e" vm="6">
        <v>#VALUE!</v>
      </c>
      <c r="I2" s="378"/>
      <c r="J2" s="378"/>
      <c r="K2" s="378"/>
      <c r="L2" s="378"/>
      <c r="M2" s="378"/>
      <c r="O2" s="378" t="e" vm="5">
        <v>#VALUE!</v>
      </c>
      <c r="P2" s="378"/>
      <c r="Q2" s="378"/>
      <c r="R2" s="378"/>
      <c r="S2" s="378"/>
      <c r="T2" s="378"/>
      <c r="V2" s="378" t="e" vm="3">
        <v>#VALUE!</v>
      </c>
      <c r="W2" s="378"/>
      <c r="X2" s="378"/>
      <c r="Y2" s="378"/>
      <c r="Z2" s="378"/>
      <c r="AA2" s="378"/>
      <c r="AC2" s="378" t="e" vm="1">
        <v>#VALUE!</v>
      </c>
      <c r="AD2" s="378"/>
      <c r="AE2" s="378"/>
      <c r="AF2" s="378"/>
      <c r="AG2" s="378"/>
      <c r="AH2" s="378"/>
      <c r="AJ2" s="378" t="e" vm="2">
        <v>#VALUE!</v>
      </c>
      <c r="AK2" s="378"/>
      <c r="AL2" s="378"/>
      <c r="AM2" s="378"/>
      <c r="AN2" s="378"/>
      <c r="AO2" s="378"/>
    </row>
    <row r="3" spans="1:41" s="94" customFormat="1" x14ac:dyDescent="0.3">
      <c r="A3" s="92" t="s">
        <v>12</v>
      </c>
      <c r="B3" s="93" t="s">
        <v>392</v>
      </c>
      <c r="C3" s="93" t="s">
        <v>407</v>
      </c>
      <c r="D3" s="93" t="s">
        <v>408</v>
      </c>
      <c r="E3" s="93" t="s">
        <v>409</v>
      </c>
      <c r="F3" s="93" t="s">
        <v>410</v>
      </c>
      <c r="H3" s="103" t="s">
        <v>12</v>
      </c>
      <c r="I3" s="103" t="s">
        <v>392</v>
      </c>
      <c r="J3" s="103" t="s">
        <v>407</v>
      </c>
      <c r="K3" s="103" t="s">
        <v>408</v>
      </c>
      <c r="L3" s="103" t="s">
        <v>409</v>
      </c>
      <c r="M3" s="103" t="s">
        <v>410</v>
      </c>
      <c r="O3" s="45" t="s">
        <v>12</v>
      </c>
      <c r="P3" s="46" t="s">
        <v>392</v>
      </c>
      <c r="Q3" s="46" t="s">
        <v>407</v>
      </c>
      <c r="R3" s="46" t="s">
        <v>408</v>
      </c>
      <c r="S3" s="46" t="s">
        <v>409</v>
      </c>
      <c r="T3" s="46" t="s">
        <v>410</v>
      </c>
      <c r="V3" s="39" t="s">
        <v>12</v>
      </c>
      <c r="W3" s="40" t="s">
        <v>392</v>
      </c>
      <c r="X3" s="40" t="s">
        <v>407</v>
      </c>
      <c r="Y3" s="40" t="s">
        <v>408</v>
      </c>
      <c r="Z3" s="40" t="s">
        <v>409</v>
      </c>
      <c r="AA3" s="40" t="s">
        <v>410</v>
      </c>
      <c r="AC3" s="109" t="s">
        <v>12</v>
      </c>
      <c r="AD3" s="110" t="s">
        <v>392</v>
      </c>
      <c r="AE3" s="110" t="s">
        <v>407</v>
      </c>
      <c r="AF3" s="110" t="s">
        <v>408</v>
      </c>
      <c r="AG3" s="110" t="s">
        <v>409</v>
      </c>
      <c r="AH3" s="111" t="s">
        <v>410</v>
      </c>
      <c r="AJ3" s="114" t="s">
        <v>12</v>
      </c>
      <c r="AK3" s="115" t="s">
        <v>392</v>
      </c>
      <c r="AL3" s="115" t="s">
        <v>407</v>
      </c>
      <c r="AM3" s="115" t="s">
        <v>408</v>
      </c>
      <c r="AN3" s="115" t="s">
        <v>409</v>
      </c>
      <c r="AO3" s="115" t="s">
        <v>410</v>
      </c>
    </row>
    <row r="4" spans="1:41" s="98" customFormat="1" x14ac:dyDescent="0.3">
      <c r="A4" s="95" t="s">
        <v>13</v>
      </c>
      <c r="B4" s="96"/>
      <c r="C4" s="96"/>
      <c r="D4" s="96"/>
      <c r="E4" s="96"/>
      <c r="F4" s="97"/>
      <c r="G4" s="94"/>
      <c r="H4" s="95" t="s">
        <v>13</v>
      </c>
      <c r="I4" s="104"/>
      <c r="J4" s="104"/>
      <c r="K4" s="104"/>
      <c r="L4" s="104"/>
      <c r="M4" s="105"/>
      <c r="O4" s="106" t="s">
        <v>13</v>
      </c>
      <c r="P4" s="96"/>
      <c r="Q4" s="96"/>
      <c r="R4" s="96"/>
      <c r="S4" s="96"/>
      <c r="T4" s="96"/>
      <c r="V4" s="106" t="s">
        <v>13</v>
      </c>
      <c r="W4" s="96"/>
      <c r="X4" s="96"/>
      <c r="Y4" s="96"/>
      <c r="Z4" s="96"/>
      <c r="AA4" s="96"/>
      <c r="AC4" s="95" t="s">
        <v>13</v>
      </c>
      <c r="AD4" s="96"/>
      <c r="AE4" s="96"/>
      <c r="AF4" s="96"/>
      <c r="AG4" s="96"/>
      <c r="AH4" s="97"/>
      <c r="AJ4" s="95" t="s">
        <v>13</v>
      </c>
      <c r="AK4" s="96"/>
      <c r="AL4" s="96"/>
      <c r="AM4" s="96"/>
      <c r="AN4" s="96"/>
      <c r="AO4" s="97"/>
    </row>
    <row r="5" spans="1:41" x14ac:dyDescent="0.3">
      <c r="A5" s="16" t="s">
        <v>397</v>
      </c>
      <c r="B5" s="99"/>
      <c r="C5" s="99"/>
      <c r="D5" s="99"/>
      <c r="E5" s="99"/>
      <c r="F5" s="99"/>
      <c r="H5" s="16" t="s">
        <v>397</v>
      </c>
      <c r="I5" s="17"/>
      <c r="J5" s="17"/>
      <c r="K5" s="17"/>
      <c r="L5" s="17"/>
      <c r="M5" s="17"/>
      <c r="O5" s="16" t="s">
        <v>397</v>
      </c>
      <c r="P5" s="99"/>
      <c r="Q5" s="99"/>
      <c r="R5" s="99"/>
      <c r="S5" s="99"/>
      <c r="T5" s="99"/>
      <c r="V5" s="16" t="s">
        <v>397</v>
      </c>
      <c r="W5" s="99"/>
      <c r="X5" s="99"/>
      <c r="Y5" s="99"/>
      <c r="Z5" s="99"/>
      <c r="AA5" s="99"/>
      <c r="AC5" s="112" t="s">
        <v>397</v>
      </c>
      <c r="AD5" s="99"/>
      <c r="AE5" s="99"/>
      <c r="AF5" s="99"/>
      <c r="AG5" s="99"/>
      <c r="AH5" s="113"/>
      <c r="AJ5" s="16" t="s">
        <v>397</v>
      </c>
      <c r="AK5" s="99"/>
      <c r="AL5" s="99"/>
      <c r="AM5" s="99"/>
      <c r="AN5" s="99"/>
      <c r="AO5" s="99"/>
    </row>
    <row r="6" spans="1:41" x14ac:dyDescent="0.3">
      <c r="A6" s="4" t="s">
        <v>398</v>
      </c>
      <c r="B6" s="127">
        <f>Table1[[#This Row],[2025]]+'Income Statement'!B58-'Income Statement'!B59</f>
        <v>6372.4947347404086</v>
      </c>
      <c r="C6" s="127">
        <f>Table25[[#This Row],[2026]]+'Income Statement'!C58-'Income Statement'!C59</f>
        <v>7369.2249741192381</v>
      </c>
      <c r="D6" s="127">
        <f>Table25[[#This Row],[2027]]+'Income Statement'!D58-'Income Statement'!D59</f>
        <v>8435.286007735036</v>
      </c>
      <c r="E6" s="127">
        <f>Table25[[#This Row],[2028]]+'Income Statement'!E58-'Income Statement'!E59</f>
        <v>9579.4042732767339</v>
      </c>
      <c r="F6" s="127">
        <f>Table25[[#This Row],[2029]]+'Income Statement'!F58-'Income Statement'!F59</f>
        <v>10811.010048268243</v>
      </c>
      <c r="H6" s="4" t="s">
        <v>398</v>
      </c>
      <c r="I6" s="22">
        <f>Table2[[#This Row],[2025]]+'Income Statement'!J69-'Income Statement'!J70</f>
        <v>10721.883813459288</v>
      </c>
      <c r="J6" s="22">
        <f>Table26[[#This Row],[2026]]+'Income Statement'!K69-'Income Statement'!K70</f>
        <v>11494.880930658359</v>
      </c>
      <c r="K6" s="22">
        <f>Table26[[#This Row],[2027]]+'Income Statement'!L69-'Income Statement'!L70</f>
        <v>12357.245107025725</v>
      </c>
      <c r="L6" s="22">
        <f>Table26[[#This Row],[2028]]+'Income Statement'!M69-'Income Statement'!M70</f>
        <v>13312.37436752324</v>
      </c>
      <c r="M6" s="22">
        <f>Table26[[#This Row],[2029]]+'Income Statement'!N69-'Income Statement'!N70</f>
        <v>14364.687242384613</v>
      </c>
      <c r="O6" s="18" t="s">
        <v>398</v>
      </c>
      <c r="P6" s="127">
        <f>Table3[[#This Row],[2025]]+'Income Statement'!R69-'Income Statement'!R70</f>
        <v>3279.2545590348591</v>
      </c>
      <c r="Q6" s="127">
        <f>Table27[[#This Row],[2026]]+'Income Statement'!S69-'Income Statement'!S70</f>
        <v>3881.968848960536</v>
      </c>
      <c r="R6" s="127">
        <f>Table27[[#This Row],[2027]]+'Income Statement'!T69-'Income Statement'!T70</f>
        <v>4559.4740297741164</v>
      </c>
      <c r="S6" s="127">
        <f>Table27[[#This Row],[2028]]+'Income Statement'!U69-'Income Statement'!U70</f>
        <v>5324.4098744981429</v>
      </c>
      <c r="T6" s="127">
        <f>Table27[[#This Row],[2029]]+'Income Statement'!V69-'Income Statement'!V70</f>
        <v>6191.7101862395502</v>
      </c>
      <c r="V6" s="18" t="s">
        <v>398</v>
      </c>
      <c r="W6" s="127">
        <f>Table4[[#This Row],[2025]]+'Income Statement'!Z71-'Income Statement'!Z72</f>
        <v>8362.211074073999</v>
      </c>
      <c r="X6" s="127">
        <f>Table28[[#This Row],[2026]]+'Income Statement'!AA71-'Income Statement'!AA72</f>
        <v>9502.1226230013817</v>
      </c>
      <c r="Y6" s="127">
        <f>Table28[[#This Row],[2027]]+'Income Statement'!AB71-'Income Statement'!AB72</f>
        <v>10732.529326975839</v>
      </c>
      <c r="Z6" s="127">
        <f>Table28[[#This Row],[2028]]+'Income Statement'!AC71-'Income Statement'!AC72</f>
        <v>12068.481255206896</v>
      </c>
      <c r="AA6" s="127">
        <f>Table28[[#This Row],[2029]]+'Income Statement'!AD71-'Income Statement'!AD72</f>
        <v>13525.89429980676</v>
      </c>
      <c r="AC6" s="4" t="s">
        <v>398</v>
      </c>
      <c r="AD6" s="127">
        <f>Table5[[#This Row],[2025]]+'Income Statement'!AH71-'Income Statement'!AH72</f>
        <v>3453.6831850893245</v>
      </c>
      <c r="AE6" s="127">
        <f>Table29[[#This Row],[2026]]+'Income Statement'!AI71-'Income Statement'!AI72</f>
        <v>3708.4442362811437</v>
      </c>
      <c r="AF6" s="127">
        <f>Table29[[#This Row],[2027]]+'Income Statement'!AJ71-'Income Statement'!AJ72</f>
        <v>3974.6410818365894</v>
      </c>
      <c r="AG6" s="127">
        <f>Table29[[#This Row],[2028]]+'Income Statement'!AK71-'Income Statement'!AK72</f>
        <v>4253.4115415977049</v>
      </c>
      <c r="AH6" s="127">
        <f>Table29[[#This Row],[2029]]+'Income Statement'!AL71-'Income Statement'!AL72</f>
        <v>4545.9195314839235</v>
      </c>
      <c r="AJ6" s="4" t="s">
        <v>398</v>
      </c>
      <c r="AK6" s="127">
        <f>Table6[[#This Row],[2025]]+'Income Statement'!AP71-'Income Statement'!AP72</f>
        <v>5005.9467569584685</v>
      </c>
      <c r="AL6" s="127">
        <f>Table30[[#This Row],[2026]]+'Income Statement'!AQ71-'Income Statement'!AQ72</f>
        <v>5253.1905756147225</v>
      </c>
      <c r="AM6" s="127">
        <f>Table30[[#This Row],[2027]]+'Income Statement'!AR71-'Income Statement'!AR72</f>
        <v>5553.1553435310234</v>
      </c>
      <c r="AN6" s="127">
        <f>Table30[[#This Row],[2028]]+'Income Statement'!AS71-'Income Statement'!AS72</f>
        <v>5904.473966630876</v>
      </c>
      <c r="AO6" s="127">
        <f>Table30[[#This Row],[2029]]+'Income Statement'!AT71-'Income Statement'!AT72</f>
        <v>6306.7238586996982</v>
      </c>
    </row>
    <row r="7" spans="1:41" x14ac:dyDescent="0.3">
      <c r="A7" s="4" t="s">
        <v>399</v>
      </c>
      <c r="B7" s="127">
        <f>'Balance Sheet'!G8+'Balance Sheet'!G9+'Income Statement Forecast'!B11</f>
        <v>1368.0119941471066</v>
      </c>
      <c r="C7" s="127">
        <f>Table25[[#This Row],[2026]]+'Income Statement Forecast'!C11</f>
        <v>1743.222283712721</v>
      </c>
      <c r="D7" s="127">
        <f>Table25[[#This Row],[2027]]+'Income Statement Forecast'!D11</f>
        <v>2154.8550762307577</v>
      </c>
      <c r="E7" s="127">
        <f>Table25[[#This Row],[2028]]+'Income Statement Forecast'!E11</f>
        <v>2606.4478999613489</v>
      </c>
      <c r="F7" s="127">
        <f>Table25[[#This Row],[2029]]+'Income Statement Forecast'!F11</f>
        <v>3101.8820718224156</v>
      </c>
      <c r="H7" s="4" t="s">
        <v>399</v>
      </c>
      <c r="I7" s="22">
        <f>'Balance Sheet'!O9+'Income Statement'!J78-'Income Statement'!J77</f>
        <v>6548.0894851251887</v>
      </c>
      <c r="J7" s="22">
        <f>Table26[[#This Row],[2026]]+'Income Statement'!K78-'Income Statement'!K77</f>
        <v>9249.9840895130164</v>
      </c>
      <c r="K7" s="22">
        <f>Table26[[#This Row],[2027]]+'Income Statement'!L78-'Income Statement'!L77</f>
        <v>11785.795660258231</v>
      </c>
      <c r="L7" s="22">
        <f>Table26[[#This Row],[2028]]+'Income Statement'!M78-'Income Statement'!M77</f>
        <v>14214.17496083576</v>
      </c>
      <c r="M7" s="22">
        <f>Table26[[#This Row],[2029]]+'Income Statement'!N78-'Income Statement'!N77</f>
        <v>16585.357941668597</v>
      </c>
      <c r="O7" s="18" t="s">
        <v>399</v>
      </c>
      <c r="P7" s="127">
        <f>'Balance Sheet'!W10+'Income Statement'!R78-'Income Statement'!R77</f>
        <v>9554.856224321913</v>
      </c>
      <c r="Q7" s="127">
        <f>Table27[[#This Row],[2026]]+'Income Statement'!S78-'Income Statement'!S77</f>
        <v>9573.3566784268078</v>
      </c>
      <c r="R7" s="127">
        <f>Table27[[#This Row],[2027]]+'Income Statement'!T78-'Income Statement'!T77</f>
        <v>9664.0764016666617</v>
      </c>
      <c r="S7" s="127">
        <f>Table27[[#This Row],[2028]]+'Income Statement'!U78-'Income Statement'!U77</f>
        <v>9832.3921799728123</v>
      </c>
      <c r="T7" s="127">
        <f>Table27[[#This Row],[2029]]+'Income Statement'!V78-'Income Statement'!V77</f>
        <v>10084.606604255188</v>
      </c>
      <c r="V7" s="18" t="s">
        <v>399</v>
      </c>
      <c r="W7" s="127">
        <f>'Balance Sheet'!AE9+'Income Statement'!Z80-'Income Statement'!Z79</f>
        <v>11240.507526406154</v>
      </c>
      <c r="X7" s="127">
        <f>'Income Statement'!AA80-'Income Statement'!AA79+Table28[[#This Row],[2026]]</f>
        <v>12966.696838070598</v>
      </c>
      <c r="Y7" s="127">
        <f>'Income Statement'!AB80-'Income Statement'!AB79+Table28[[#This Row],[2027]]</f>
        <v>14814.154716841975</v>
      </c>
      <c r="Z7" s="127">
        <f>'Income Statement'!AC80-'Income Statement'!AC79+Table28[[#This Row],[2028]]</f>
        <v>16805.282523195012</v>
      </c>
      <c r="AA7" s="127">
        <f>'Income Statement'!AD80-'Income Statement'!AD79+Table28[[#This Row],[2029]]</f>
        <v>18963.690666771978</v>
      </c>
      <c r="AC7" s="4" t="s">
        <v>399</v>
      </c>
      <c r="AD7" s="127">
        <f>'Balance Sheet'!AM10+'Income Statement'!AH80-'Income Statement'!AH79</f>
        <v>4381.9349445386297</v>
      </c>
      <c r="AE7" s="127">
        <f>Table29[[#This Row],[2026]]+'Income Statement'!AI80-'Income Statement'!AI79</f>
        <v>4628.3000797109298</v>
      </c>
      <c r="AF7" s="127">
        <f>Table29[[#This Row],[2027]]+'Income Statement'!AJ80-'Income Statement'!AJ79</f>
        <v>4892.2327409516201</v>
      </c>
      <c r="AG7" s="127">
        <f>Table29[[#This Row],[2028]]+'Income Statement'!AK80-'Income Statement'!AK79</f>
        <v>5174.5745816963426</v>
      </c>
      <c r="AH7" s="127">
        <f>Table29[[#This Row],[2029]]+'Income Statement'!AL80-'Income Statement'!AL79</f>
        <v>5476.2434244765154</v>
      </c>
      <c r="AJ7" s="4" t="s">
        <v>399</v>
      </c>
      <c r="AK7" s="127">
        <f>'Balance Sheet'!AU11+'Income Statement'!AP80-'Income Statement'!AP79</f>
        <v>3951.3488163135416</v>
      </c>
      <c r="AL7" s="127">
        <f>Table30[[#This Row],[2026]]+'Income Statement'!AQ80-'Income Statement'!AQ79</f>
        <v>6298.198606458358</v>
      </c>
      <c r="AM7" s="127">
        <f>Table30[[#This Row],[2027]]+'Income Statement'!AR80-'Income Statement'!AR79</f>
        <v>8468.3555190544721</v>
      </c>
      <c r="AN7" s="127">
        <f>Table30[[#This Row],[2028]]+'Income Statement'!AS80-'Income Statement'!AS79</f>
        <v>10516.592303440104</v>
      </c>
      <c r="AO7" s="127">
        <f>Table30[[#This Row],[2029]]+'Income Statement'!AT80-'Income Statement'!AT79</f>
        <v>12489.340732643293</v>
      </c>
    </row>
    <row r="8" spans="1:41" x14ac:dyDescent="0.3">
      <c r="A8" s="4" t="s">
        <v>24</v>
      </c>
      <c r="B8" s="127">
        <f>'Income Statement'!B62</f>
        <v>288.45633673600378</v>
      </c>
      <c r="C8" s="127">
        <f>'Income Statement'!C62</f>
        <v>316.4561111479602</v>
      </c>
      <c r="D8" s="127">
        <f>'Income Statement'!D62</f>
        <v>347.17521444318857</v>
      </c>
      <c r="E8" s="127">
        <f>'Income Statement'!E62</f>
        <v>380.87790445607726</v>
      </c>
      <c r="F8" s="127">
        <f>'Income Statement'!F62</f>
        <v>417.85413597924821</v>
      </c>
      <c r="H8" s="4" t="s">
        <v>24</v>
      </c>
      <c r="I8" s="22">
        <f>'Income Statement'!J73</f>
        <v>18411.02295942817</v>
      </c>
      <c r="J8" s="22">
        <f>'Income Statement'!K73</f>
        <v>19971.847871022423</v>
      </c>
      <c r="K8" s="22">
        <f>'Income Statement'!L73</f>
        <v>21664.994295116099</v>
      </c>
      <c r="L8" s="22">
        <f>'Income Statement'!M73</f>
        <v>23501.680006707589</v>
      </c>
      <c r="M8" s="22">
        <f>'Income Statement'!N73</f>
        <v>25494.073786217872</v>
      </c>
      <c r="O8" s="18" t="s">
        <v>24</v>
      </c>
      <c r="P8" s="127">
        <f>'Income Statement'!R73</f>
        <v>2872.3565493786573</v>
      </c>
      <c r="Q8" s="127">
        <f>'Income Statement'!S73</f>
        <v>3244.9877477396526</v>
      </c>
      <c r="R8" s="127">
        <f>'Income Statement'!T73</f>
        <v>3665.9604411779173</v>
      </c>
      <c r="S8" s="127">
        <f>'Income Statement'!U73</f>
        <v>4141.5459782992166</v>
      </c>
      <c r="T8" s="127">
        <f>'Income Statement'!V73</f>
        <v>4678.8292906006209</v>
      </c>
      <c r="V8" s="18" t="s">
        <v>24</v>
      </c>
      <c r="W8" s="127">
        <f>'Income Statement'!Z75</f>
        <v>5692.1890291731197</v>
      </c>
      <c r="X8" s="127">
        <f>'Income Statement'!AA75</f>
        <v>6314.4621651576799</v>
      </c>
      <c r="Y8" s="127">
        <f>'Income Statement'!AB75</f>
        <v>7004.7625317530801</v>
      </c>
      <c r="Z8" s="127">
        <f>'Income Statement'!AC75</f>
        <v>7770.5269020368823</v>
      </c>
      <c r="AA8" s="127">
        <f>'Income Statement'!AD75</f>
        <v>8620.0050410798667</v>
      </c>
      <c r="AC8" s="4" t="s">
        <v>24</v>
      </c>
      <c r="AD8" s="127">
        <f>'Income Statement'!AH75</f>
        <v>2393.3054583119683</v>
      </c>
      <c r="AE8" s="127">
        <f>'Income Statement'!AI75</f>
        <v>2540.7802225257578</v>
      </c>
      <c r="AF8" s="127">
        <f>'Income Statement'!AJ75</f>
        <v>2697.3423374596064</v>
      </c>
      <c r="AG8" s="127">
        <f>'Income Statement'!AK75</f>
        <v>2863.5517629381638</v>
      </c>
      <c r="AH8" s="127">
        <f>'Income Statement'!AL75</f>
        <v>3040.0029633424538</v>
      </c>
      <c r="AJ8" s="4" t="s">
        <v>24</v>
      </c>
      <c r="AK8" s="127">
        <f>'Income Statement'!AP75</f>
        <v>8079.7437312947422</v>
      </c>
      <c r="AL8" s="127">
        <f>'Income Statement'!AQ75</f>
        <v>8760.9587357759374</v>
      </c>
      <c r="AM8" s="127">
        <f>'Income Statement'!AR75</f>
        <v>9499.6082297014073</v>
      </c>
      <c r="AN8" s="127">
        <f>'Income Statement'!AS75</f>
        <v>10300.534641906508</v>
      </c>
      <c r="AO8" s="127">
        <f>'Income Statement'!AT75</f>
        <v>11168.988678902375</v>
      </c>
    </row>
    <row r="9" spans="1:41" x14ac:dyDescent="0.3">
      <c r="A9" s="11" t="s">
        <v>67</v>
      </c>
      <c r="B9" s="128">
        <f>SUM(B6:B8)</f>
        <v>8028.9630656235186</v>
      </c>
      <c r="C9" s="128">
        <f t="shared" ref="C9:F9" si="0">SUM(C6:C8)</f>
        <v>9428.903368979918</v>
      </c>
      <c r="D9" s="128">
        <f t="shared" si="0"/>
        <v>10937.316298408983</v>
      </c>
      <c r="E9" s="128">
        <f t="shared" si="0"/>
        <v>12566.730077694161</v>
      </c>
      <c r="F9" s="128">
        <f t="shared" si="0"/>
        <v>14330.746256069908</v>
      </c>
      <c r="H9" s="11" t="s">
        <v>67</v>
      </c>
      <c r="I9" s="24">
        <f>SUM(I6:I8)</f>
        <v>35680.996258012645</v>
      </c>
      <c r="J9" s="24">
        <f t="shared" ref="J9:M9" si="1">SUM(J6:J8)</f>
        <v>40716.712891193798</v>
      </c>
      <c r="K9" s="24">
        <f t="shared" si="1"/>
        <v>45808.035062400057</v>
      </c>
      <c r="L9" s="24">
        <f t="shared" si="1"/>
        <v>51028.229335066586</v>
      </c>
      <c r="M9" s="24">
        <f t="shared" si="1"/>
        <v>56444.118970271084</v>
      </c>
      <c r="O9" s="19" t="s">
        <v>67</v>
      </c>
      <c r="P9" s="128">
        <f>P6+P7+P8</f>
        <v>15706.46733273543</v>
      </c>
      <c r="Q9" s="128">
        <f t="shared" ref="Q9:T9" si="2">Q6+Q7+Q8</f>
        <v>16700.313275126995</v>
      </c>
      <c r="R9" s="128">
        <f t="shared" si="2"/>
        <v>17889.510872618695</v>
      </c>
      <c r="S9" s="128">
        <f t="shared" si="2"/>
        <v>19298.348032770169</v>
      </c>
      <c r="T9" s="128">
        <f t="shared" si="2"/>
        <v>20955.146081095358</v>
      </c>
      <c r="V9" s="19" t="s">
        <v>67</v>
      </c>
      <c r="W9" s="128">
        <f>SUM(W6:W8)</f>
        <v>25294.907629653273</v>
      </c>
      <c r="X9" s="128">
        <f t="shared" ref="X9:AA9" si="3">SUM(X6:X8)</f>
        <v>28783.281626229662</v>
      </c>
      <c r="Y9" s="128">
        <f t="shared" si="3"/>
        <v>32551.446575570892</v>
      </c>
      <c r="Z9" s="128">
        <f t="shared" si="3"/>
        <v>36644.290680438789</v>
      </c>
      <c r="AA9" s="128">
        <f t="shared" si="3"/>
        <v>41109.590007658604</v>
      </c>
      <c r="AC9" s="11" t="s">
        <v>67</v>
      </c>
      <c r="AD9" s="128">
        <f>SUM(AD6:AD8)</f>
        <v>10228.923587939922</v>
      </c>
      <c r="AE9" s="128">
        <f t="shared" ref="AE9:AH9" si="4">SUM(AE6:AE8)</f>
        <v>10877.524538517831</v>
      </c>
      <c r="AF9" s="128">
        <f t="shared" si="4"/>
        <v>11564.216160247815</v>
      </c>
      <c r="AG9" s="128">
        <f t="shared" si="4"/>
        <v>12291.53788623221</v>
      </c>
      <c r="AH9" s="128">
        <f t="shared" si="4"/>
        <v>13062.165919302894</v>
      </c>
      <c r="AJ9" s="11" t="s">
        <v>67</v>
      </c>
      <c r="AK9" s="128">
        <f>SUM(AK6:AK8)</f>
        <v>17037.039304566752</v>
      </c>
      <c r="AL9" s="128">
        <f t="shared" ref="AL9:AO9" si="5">SUM(AL6:AL8)</f>
        <v>20312.347917849016</v>
      </c>
      <c r="AM9" s="128">
        <f t="shared" si="5"/>
        <v>23521.119092286903</v>
      </c>
      <c r="AN9" s="128">
        <f t="shared" si="5"/>
        <v>26721.60091197749</v>
      </c>
      <c r="AO9" s="128">
        <f t="shared" si="5"/>
        <v>29965.053270245364</v>
      </c>
    </row>
    <row r="10" spans="1:41" x14ac:dyDescent="0.3">
      <c r="A10" s="16" t="s">
        <v>26</v>
      </c>
      <c r="B10" s="131"/>
      <c r="C10" s="131"/>
      <c r="D10" s="131"/>
      <c r="E10" s="131"/>
      <c r="F10" s="131"/>
      <c r="H10" s="16" t="s">
        <v>26</v>
      </c>
      <c r="I10" s="161"/>
      <c r="J10" s="161"/>
      <c r="K10" s="161"/>
      <c r="L10" s="161"/>
      <c r="M10" s="161"/>
      <c r="O10" s="16" t="s">
        <v>26</v>
      </c>
      <c r="P10" s="167"/>
      <c r="Q10" s="167"/>
      <c r="R10" s="167"/>
      <c r="S10" s="167"/>
      <c r="T10" s="167"/>
      <c r="V10" s="16" t="s">
        <v>26</v>
      </c>
      <c r="W10" s="167"/>
      <c r="X10" s="167"/>
      <c r="Y10" s="167"/>
      <c r="Z10" s="167"/>
      <c r="AA10" s="167"/>
      <c r="AC10" s="112" t="s">
        <v>26</v>
      </c>
      <c r="AD10" s="167"/>
      <c r="AE10" s="167"/>
      <c r="AF10" s="167"/>
      <c r="AG10" s="167"/>
      <c r="AH10" s="227"/>
      <c r="AJ10" s="16" t="s">
        <v>26</v>
      </c>
      <c r="AK10" s="167"/>
      <c r="AL10" s="167"/>
      <c r="AM10" s="167"/>
      <c r="AN10" s="167"/>
      <c r="AO10" s="167"/>
    </row>
    <row r="11" spans="1:41" x14ac:dyDescent="0.3">
      <c r="A11" s="4" t="s">
        <v>469</v>
      </c>
      <c r="B11" s="127">
        <f>B32-(SUM(B6:B8,B12:B14))</f>
        <v>1370.4179371058854</v>
      </c>
      <c r="C11" s="127">
        <f t="shared" ref="C11:D11" si="6">C32-(SUM(C6:C8,C12:C14))</f>
        <v>767.85449211738523</v>
      </c>
      <c r="D11" s="127">
        <f t="shared" si="6"/>
        <v>122.61043991657789</v>
      </c>
      <c r="E11" s="127">
        <v>0</v>
      </c>
      <c r="F11" s="127">
        <v>0</v>
      </c>
      <c r="H11" s="4" t="s">
        <v>400</v>
      </c>
      <c r="I11" s="22">
        <f>I32-(SUM(I6:I8,I12:I14))</f>
        <v>35848.080642718021</v>
      </c>
      <c r="J11" s="22">
        <f t="shared" ref="J11:M11" si="7">J32-(SUM(J6:J8,J12:J14))</f>
        <v>36498.269493989515</v>
      </c>
      <c r="K11" s="22">
        <f t="shared" si="7"/>
        <v>37587.01222743238</v>
      </c>
      <c r="L11" s="22">
        <f t="shared" si="7"/>
        <v>39155.792592091748</v>
      </c>
      <c r="M11" s="22">
        <f t="shared" si="7"/>
        <v>41263.453341199813</v>
      </c>
      <c r="O11" s="18" t="s">
        <v>469</v>
      </c>
      <c r="P11" s="127">
        <f>P32-(SUM(P6:P8,P12:P14))</f>
        <v>7729.9371318311823</v>
      </c>
      <c r="Q11" s="127">
        <f t="shared" ref="Q11:T11" si="8">Q32-(SUM(Q6:Q8,Q12:Q14))</f>
        <v>9046.1720447787229</v>
      </c>
      <c r="R11" s="127">
        <f t="shared" si="8"/>
        <v>10680.093593296457</v>
      </c>
      <c r="S11" s="127">
        <f t="shared" si="8"/>
        <v>12711.654637825242</v>
      </c>
      <c r="T11" s="127">
        <f t="shared" si="8"/>
        <v>15243.078244063585</v>
      </c>
      <c r="V11" s="18" t="s">
        <v>469</v>
      </c>
      <c r="W11" s="127">
        <f>W32-(SUM(W6:W8,W12:W14))</f>
        <v>9586.6306602099503</v>
      </c>
      <c r="X11" s="127">
        <f t="shared" ref="X11:AA11" si="9">X32-(SUM(X6:X8,X12:X14))</f>
        <v>9502.8242006960136</v>
      </c>
      <c r="Y11" s="127">
        <f t="shared" si="9"/>
        <v>9440.8185538038597</v>
      </c>
      <c r="Z11" s="127">
        <f t="shared" si="9"/>
        <v>9396.9292245891993</v>
      </c>
      <c r="AA11" s="127">
        <f t="shared" si="9"/>
        <v>9367.730875417823</v>
      </c>
      <c r="AC11" s="4" t="s">
        <v>400</v>
      </c>
      <c r="AD11" s="127">
        <f>AD32-(SUM(AD6:AD8,AD12:AD14))</f>
        <v>922.19755327072562</v>
      </c>
      <c r="AE11" s="127">
        <f t="shared" ref="AE11:AH11" si="10">AE32-(SUM(AE6:AE8,AE12:AE14))</f>
        <v>930.24221324532118</v>
      </c>
      <c r="AF11" s="127">
        <f t="shared" si="10"/>
        <v>938.77051719045267</v>
      </c>
      <c r="AG11" s="127">
        <f t="shared" si="10"/>
        <v>948.00117062632489</v>
      </c>
      <c r="AH11" s="127">
        <f t="shared" si="10"/>
        <v>958.10184312527053</v>
      </c>
      <c r="AJ11" s="4" t="s">
        <v>400</v>
      </c>
      <c r="AK11" s="127">
        <f>AK32-(SUM(AK6:AK8,AK12:AK14))</f>
        <v>1210.9451268945413</v>
      </c>
      <c r="AL11" s="127">
        <v>0</v>
      </c>
      <c r="AM11" s="127">
        <v>0</v>
      </c>
      <c r="AN11" s="127">
        <v>0</v>
      </c>
      <c r="AO11" s="127">
        <v>0</v>
      </c>
    </row>
    <row r="12" spans="1:41" x14ac:dyDescent="0.3">
      <c r="A12" s="4" t="s">
        <v>68</v>
      </c>
      <c r="B12" s="127">
        <f>'Income Statement Forecast'!B7/'Income Statement'!$B$44</f>
        <v>2567.7850665532915</v>
      </c>
      <c r="C12" s="127">
        <f>'Income Statement Forecast'!C7/'Income Statement'!$B$44</f>
        <v>2817.0338901895816</v>
      </c>
      <c r="D12" s="127">
        <f>'Income Statement Forecast'!D7/'Income Statement'!$B$44</f>
        <v>3090.4896776129199</v>
      </c>
      <c r="E12" s="127">
        <f>'Income Statement Forecast'!E7/'Income Statement'!$B$44</f>
        <v>3390.504803288502</v>
      </c>
      <c r="F12" s="127">
        <f>'Income Statement Forecast'!F7/'Income Statement'!$B$44</f>
        <v>3719.6603912605956</v>
      </c>
      <c r="H12" s="4" t="s">
        <v>68</v>
      </c>
      <c r="I12" s="22">
        <f>'Income Statement'!J76/'Income Statement'!$J$53</f>
        <v>11465.176944315399</v>
      </c>
      <c r="J12" s="22">
        <f>'Income Statement'!K76/'Income Statement'!$J$53</f>
        <v>12437.156275934207</v>
      </c>
      <c r="K12" s="22">
        <f>'Income Statement'!L76/'Income Statement'!$J$53</f>
        <v>13491.536762431186</v>
      </c>
      <c r="L12" s="22">
        <f>'Income Statement'!M76/'Income Statement'!$J$53</f>
        <v>14635.304097950619</v>
      </c>
      <c r="M12" s="22">
        <f>'Income Statement'!N76/'Income Statement'!$J$53</f>
        <v>15876.036200407798</v>
      </c>
      <c r="O12" s="18" t="s">
        <v>68</v>
      </c>
      <c r="P12" s="127">
        <f>'Income Statement'!R76/'Income Statement'!$R$48</f>
        <v>897.91476417424849</v>
      </c>
      <c r="Q12" s="127">
        <f>'Income Statement'!S76/'Income Statement'!$R$48</f>
        <v>1014.4013663242006</v>
      </c>
      <c r="R12" s="127">
        <f>'Income Statement'!T76/'Income Statement'!$R$48</f>
        <v>1145.999790911909</v>
      </c>
      <c r="S12" s="127">
        <f>'Income Statement'!U76/'Income Statement'!$R$48</f>
        <v>1294.6704966783398</v>
      </c>
      <c r="T12" s="127">
        <f>'Income Statement'!V76/'Income Statement'!$R$48</f>
        <v>1462.6282729384752</v>
      </c>
      <c r="V12" s="18" t="s">
        <v>68</v>
      </c>
      <c r="W12" s="127">
        <f>'Income Statement'!Z78/'Income Statement'!$Z$49</f>
        <v>6518.233458490904</v>
      </c>
      <c r="X12" s="127">
        <f>'Income Statement'!AA78/'Income Statement'!$Z$49</f>
        <v>7230.8102113897503</v>
      </c>
      <c r="Y12" s="127">
        <f>'Income Statement'!AB78/'Income Statement'!$Z$49</f>
        <v>8021.2862343907473</v>
      </c>
      <c r="Z12" s="127">
        <f>'Income Statement'!AC78/'Income Statement'!$Z$49</f>
        <v>8898.1775171858972</v>
      </c>
      <c r="AA12" s="127">
        <f>'Income Statement'!AD78/'Income Statement'!$Z$49</f>
        <v>9870.9310219954386</v>
      </c>
      <c r="AC12" s="4" t="s">
        <v>68</v>
      </c>
      <c r="AD12" s="127">
        <f>'Income Statement Forecast'!AD7/'Income Statement'!$AH$48</f>
        <v>2066.3727295089716</v>
      </c>
      <c r="AE12" s="127">
        <f>'Income Statement Forecast'!AE7/'Income Statement'!$AH$48</f>
        <v>2192.8025131134586</v>
      </c>
      <c r="AF12" s="127">
        <f>'Income Statement Forecast'!AF7/'Income Statement'!$AH$48</f>
        <v>2327.2392485213472</v>
      </c>
      <c r="AG12" s="127">
        <f>'Income Statement Forecast'!AG7/'Income Statement'!$AH$48</f>
        <v>2470.124266179294</v>
      </c>
      <c r="AH12" s="127">
        <f>'Income Statement Forecast'!AH7/'Income Statement'!$AH$48</f>
        <v>2621.9386140424631</v>
      </c>
      <c r="AJ12" s="4" t="s">
        <v>68</v>
      </c>
      <c r="AK12" s="127">
        <f>'Income Statement Forecast'!AK7/'Income Statement'!$AP$49</f>
        <v>5444.0269042794034</v>
      </c>
      <c r="AL12" s="127">
        <f>'Income Statement Forecast'!AL7/'Income Statement'!$AP$49</f>
        <v>5903.0207703385886</v>
      </c>
      <c r="AM12" s="127">
        <f>'Income Statement Forecast'!AM7/'Income Statement'!$AP$49</f>
        <v>6400.7132531072511</v>
      </c>
      <c r="AN12" s="127">
        <f>'Income Statement Forecast'!AN7/'Income Statement'!$AP$49</f>
        <v>6940.3671185515495</v>
      </c>
      <c r="AO12" s="127">
        <f>'Income Statement Forecast'!AO7/'Income Statement'!$AP$49</f>
        <v>7525.5202248590367</v>
      </c>
    </row>
    <row r="13" spans="1:41" x14ac:dyDescent="0.3">
      <c r="A13" s="4" t="s">
        <v>401</v>
      </c>
      <c r="B13" s="127">
        <f>'Income Statement Forecast'!B9/'Income Statement'!$B$45</f>
        <v>3460.6438717717374</v>
      </c>
      <c r="C13" s="127">
        <f>'Income Statement Forecast'!C9/'Income Statement'!$B$45</f>
        <v>3796.560388032598</v>
      </c>
      <c r="D13" s="127">
        <f>'Income Statement Forecast'!D9/'Income Statement'!$B$45</f>
        <v>4165.1010058878692</v>
      </c>
      <c r="E13" s="127">
        <f>'Income Statement Forecast'!E9/'Income Statement'!$B$45</f>
        <v>4569.4360569915261</v>
      </c>
      <c r="F13" s="127">
        <f>'Income Statement Forecast'!F9/'Income Statement'!$B$45</f>
        <v>5013.0441623630695</v>
      </c>
      <c r="H13" s="4" t="s">
        <v>401</v>
      </c>
      <c r="I13" s="22">
        <f>'Income Statement'!J71/'Income Statement'!$J$54</f>
        <v>11789.473136074135</v>
      </c>
      <c r="J13" s="22">
        <f>'Income Statement'!K71/'Income Statement'!$J$54</f>
        <v>12788.945213530456</v>
      </c>
      <c r="K13" s="22">
        <f>'Income Statement'!L71/'Income Statement'!$J$54</f>
        <v>13873.149188848969</v>
      </c>
      <c r="L13" s="22">
        <f>'Income Statement'!M71/'Income Statement'!$J$54</f>
        <v>15049.268348764001</v>
      </c>
      <c r="M13" s="22">
        <f>'Income Statement'!N71/'Income Statement'!$J$54</f>
        <v>16325.094955019415</v>
      </c>
      <c r="O13" s="18" t="s">
        <v>401</v>
      </c>
      <c r="P13" s="127">
        <f>'Income Statement'!R71/'Income Statement'!$R$49</f>
        <v>2210.8281201557838</v>
      </c>
      <c r="Q13" s="127">
        <f>'Income Statement'!S71/'Income Statement'!$R$49</f>
        <v>2497.6391471371112</v>
      </c>
      <c r="R13" s="127">
        <f>'Income Statement'!T71/'Income Statement'!$R$49</f>
        <v>2821.6582069130864</v>
      </c>
      <c r="S13" s="127">
        <f>'Income Statement'!U71/'Income Statement'!$R$49</f>
        <v>3187.7123025421984</v>
      </c>
      <c r="T13" s="127">
        <f>'Income Statement'!V71/'Income Statement'!$R$49</f>
        <v>3601.2546448337007</v>
      </c>
      <c r="V13" s="18" t="s">
        <v>401</v>
      </c>
      <c r="W13" s="127">
        <f>'Income Statement'!Z73/'Income Statement'!$Z$50</f>
        <v>6896.9062192356187</v>
      </c>
      <c r="X13" s="127">
        <f>'Income Statement'!AA73/'Income Statement'!$Z$50</f>
        <v>7650.8796799972706</v>
      </c>
      <c r="Y13" s="127">
        <f>'Income Statement'!AB73/'Income Statement'!$Z$50</f>
        <v>8487.2779210100143</v>
      </c>
      <c r="Z13" s="127">
        <f>'Income Statement'!AC73/'Income Statement'!$Z$50</f>
        <v>9415.1116631453533</v>
      </c>
      <c r="AA13" s="127">
        <f>'Income Statement'!AD73/'Income Statement'!$Z$50</f>
        <v>10444.376684079018</v>
      </c>
      <c r="AC13" s="4" t="s">
        <v>401</v>
      </c>
      <c r="AD13" s="127">
        <f>'Income Statement'!AH73/'Income Statement'!$AH$49</f>
        <v>3060.9410665408768</v>
      </c>
      <c r="AE13" s="127">
        <f>'Income Statement'!AI73/'Income Statement'!$AH$49</f>
        <v>3249.5553366051786</v>
      </c>
      <c r="AF13" s="127">
        <f>'Income Statement'!AJ73/'Income Statement'!$AH$49</f>
        <v>3449.7919613958629</v>
      </c>
      <c r="AG13" s="127">
        <f>'Income Statement'!AK73/'Income Statement'!$AH$49</f>
        <v>3662.3671069238035</v>
      </c>
      <c r="AH13" s="127">
        <f>'Income Statement'!AL73/'Income Statement'!$AH$49</f>
        <v>3888.0410691345742</v>
      </c>
      <c r="AJ13" s="4" t="s">
        <v>401</v>
      </c>
      <c r="AK13" s="127">
        <f>'Income Statement Forecast'!AK9/'Income Statement'!$AP$50</f>
        <v>6767.4899195891958</v>
      </c>
      <c r="AL13" s="127">
        <f>'Income Statement Forecast'!AL9/'Income Statement'!$AP$50</f>
        <v>7338.0668870298005</v>
      </c>
      <c r="AM13" s="127">
        <f>'Income Statement Forecast'!AM9/'Income Statement'!$AP$50</f>
        <v>7956.7502476033214</v>
      </c>
      <c r="AN13" s="127">
        <f>'Income Statement Forecast'!AN9/'Income Statement'!$AP$50</f>
        <v>8627.5959577137564</v>
      </c>
      <c r="AO13" s="127">
        <f>'Income Statement Forecast'!AO9/'Income Statement'!$AP$50</f>
        <v>9355.0019419199252</v>
      </c>
    </row>
    <row r="14" spans="1:41" x14ac:dyDescent="0.3">
      <c r="A14" s="4" t="s">
        <v>31</v>
      </c>
      <c r="B14" s="127">
        <f>'Income Statement Forecast'!B7*'Income Statement'!$B$47</f>
        <v>3063.8537041903728</v>
      </c>
      <c r="C14" s="127">
        <f>'Income Statement Forecast'!C7*'Income Statement'!$B$47</f>
        <v>3361.254737287039</v>
      </c>
      <c r="D14" s="127">
        <f>'Income Statement Forecast'!D7*'Income Statement'!$B$47</f>
        <v>3687.5392609188775</v>
      </c>
      <c r="E14" s="127">
        <f>'Income Statement Forecast'!E7*'Income Statement'!$B$47</f>
        <v>4045.5141031622388</v>
      </c>
      <c r="F14" s="127">
        <f>'Income Statement Forecast'!F7*'Income Statement'!$B$47</f>
        <v>4438.2590336469912</v>
      </c>
      <c r="H14" s="4" t="s">
        <v>31</v>
      </c>
      <c r="I14" s="22">
        <f>'Income Statement'!J76*'Income Statement'!$J$56</f>
        <v>5803.9502389189183</v>
      </c>
      <c r="J14" s="22">
        <f>'Income Statement'!K76*'Income Statement'!$J$56</f>
        <v>6295.9897164928143</v>
      </c>
      <c r="K14" s="22">
        <f>'Income Statement'!L76*'Income Statement'!$J$56</f>
        <v>6829.7426543006995</v>
      </c>
      <c r="L14" s="22">
        <f>'Income Statement'!M76*'Income Statement'!$J$56</f>
        <v>7408.7453799016394</v>
      </c>
      <c r="M14" s="22">
        <f>'Income Statement'!N76*'Income Statement'!$J$56</f>
        <v>8036.8340188703696</v>
      </c>
      <c r="O14" s="18" t="s">
        <v>31</v>
      </c>
      <c r="P14" s="127">
        <f>'Income Statement'!R80</f>
        <v>1593.9655241987361</v>
      </c>
      <c r="Q14" s="127">
        <f>'Income Statement'!S80</f>
        <v>1800.7508843089813</v>
      </c>
      <c r="R14" s="127">
        <f>'Income Statement'!T80</f>
        <v>2034.3625367742125</v>
      </c>
      <c r="S14" s="127">
        <f>'Income Statement'!U80</f>
        <v>2298.2806600806221</v>
      </c>
      <c r="T14" s="127">
        <f>'Income Statement'!V80</f>
        <v>2596.4369167337172</v>
      </c>
      <c r="V14" s="18" t="s">
        <v>31</v>
      </c>
      <c r="W14" s="127">
        <f>'Income Statement'!Z82</f>
        <v>3914.3526337408239</v>
      </c>
      <c r="X14" s="127">
        <f>'Income Statement'!AA82</f>
        <v>4342.2717482086655</v>
      </c>
      <c r="Y14" s="127">
        <f>'Income Statement'!AB82</f>
        <v>4816.971208153951</v>
      </c>
      <c r="Z14" s="127">
        <f>'Income Statement'!AC82</f>
        <v>5343.5650658566556</v>
      </c>
      <c r="AA14" s="127">
        <f>'Income Statement'!AD82</f>
        <v>5927.7264445154369</v>
      </c>
      <c r="AC14" s="4" t="s">
        <v>31</v>
      </c>
      <c r="AD14" s="127">
        <f>'Income Statement'!AH82</f>
        <v>848.27606240127716</v>
      </c>
      <c r="AE14" s="127">
        <f>'Income Statement'!AI82</f>
        <v>900.54657883550806</v>
      </c>
      <c r="AF14" s="127">
        <f>'Income Statement'!AJ82</f>
        <v>956.03798880829629</v>
      </c>
      <c r="AG14" s="127">
        <f>'Income Statement'!AK82</f>
        <v>1014.9487628130371</v>
      </c>
      <c r="AH14" s="127">
        <f>'Income Statement'!AL82</f>
        <v>1077.4896010353762</v>
      </c>
      <c r="AJ14" s="4" t="s">
        <v>31</v>
      </c>
      <c r="AK14" s="127">
        <f>'Income Statement'!AP82</f>
        <v>10624.649861820297</v>
      </c>
      <c r="AL14" s="127">
        <f>'Income Statement'!AQ82</f>
        <v>11520.429622160695</v>
      </c>
      <c r="AM14" s="127">
        <f>'Income Statement'!AR82</f>
        <v>12491.734220990003</v>
      </c>
      <c r="AN14" s="127">
        <f>'Income Statement'!AS82</f>
        <v>13544.931324482734</v>
      </c>
      <c r="AO14" s="127">
        <f>'Income Statement'!AT82</f>
        <v>14686.925473186609</v>
      </c>
    </row>
    <row r="15" spans="1:41" x14ac:dyDescent="0.3">
      <c r="A15" s="11" t="s">
        <v>71</v>
      </c>
      <c r="B15" s="128">
        <f>SUM(B11:B14)</f>
        <v>10462.700579621287</v>
      </c>
      <c r="C15" s="128">
        <f t="shared" ref="C15:F15" si="11">SUM(C11:C14)</f>
        <v>10742.703507626604</v>
      </c>
      <c r="D15" s="128">
        <f t="shared" si="11"/>
        <v>11065.740384336244</v>
      </c>
      <c r="E15" s="128">
        <f t="shared" si="11"/>
        <v>12005.454963442267</v>
      </c>
      <c r="F15" s="128">
        <f t="shared" si="11"/>
        <v>13170.963587270657</v>
      </c>
      <c r="H15" s="11" t="s">
        <v>71</v>
      </c>
      <c r="I15" s="24">
        <f>SUM(I11:I14)</f>
        <v>64906.680962026468</v>
      </c>
      <c r="J15" s="24">
        <f t="shared" ref="J15:M15" si="12">SUM(J11:J14)</f>
        <v>68020.360699946992</v>
      </c>
      <c r="K15" s="24">
        <f t="shared" si="12"/>
        <v>71781.440833013228</v>
      </c>
      <c r="L15" s="24">
        <f t="shared" si="12"/>
        <v>76249.110418708005</v>
      </c>
      <c r="M15" s="24">
        <f t="shared" si="12"/>
        <v>81501.418515497397</v>
      </c>
      <c r="O15" s="19" t="s">
        <v>71</v>
      </c>
      <c r="P15" s="128">
        <f>SUM(P11:P14)</f>
        <v>12432.645540359952</v>
      </c>
      <c r="Q15" s="128">
        <f t="shared" ref="Q15:T15" si="13">SUM(Q11:Q14)</f>
        <v>14358.963442549017</v>
      </c>
      <c r="R15" s="128">
        <f t="shared" si="13"/>
        <v>16682.114127895664</v>
      </c>
      <c r="S15" s="128">
        <f t="shared" si="13"/>
        <v>19492.318097126401</v>
      </c>
      <c r="T15" s="128">
        <f t="shared" si="13"/>
        <v>22903.39807856948</v>
      </c>
      <c r="V15" s="19" t="s">
        <v>71</v>
      </c>
      <c r="W15" s="128">
        <f>SUM(W11:W14)</f>
        <v>26916.122971677294</v>
      </c>
      <c r="X15" s="128">
        <f t="shared" ref="X15:AA15" si="14">SUM(X11:X14)</f>
        <v>28726.785840291701</v>
      </c>
      <c r="Y15" s="128">
        <f t="shared" si="14"/>
        <v>30766.35391735857</v>
      </c>
      <c r="Z15" s="128">
        <f t="shared" si="14"/>
        <v>33053.783470777111</v>
      </c>
      <c r="AA15" s="128">
        <f t="shared" si="14"/>
        <v>35610.765026007713</v>
      </c>
      <c r="AC15" s="11" t="s">
        <v>71</v>
      </c>
      <c r="AD15" s="128">
        <f>SUM(AD11:AD14)</f>
        <v>6897.7874117218507</v>
      </c>
      <c r="AE15" s="128">
        <f t="shared" ref="AE15:AH15" si="15">SUM(AE11:AE14)</f>
        <v>7273.1466417994661</v>
      </c>
      <c r="AF15" s="128">
        <f t="shared" si="15"/>
        <v>7671.8397159159585</v>
      </c>
      <c r="AG15" s="128">
        <f t="shared" si="15"/>
        <v>8095.4413065424596</v>
      </c>
      <c r="AH15" s="128">
        <f t="shared" si="15"/>
        <v>8545.5711273376837</v>
      </c>
      <c r="AJ15" s="11" t="s">
        <v>71</v>
      </c>
      <c r="AK15" s="128">
        <f>SUM(AK11:AK14)</f>
        <v>24047.111812583436</v>
      </c>
      <c r="AL15" s="128">
        <f t="shared" ref="AL15:AO15" si="16">SUM(AL11:AL14)</f>
        <v>24761.517279529085</v>
      </c>
      <c r="AM15" s="128">
        <f t="shared" si="16"/>
        <v>26849.197721700577</v>
      </c>
      <c r="AN15" s="128">
        <f t="shared" si="16"/>
        <v>29112.894400748039</v>
      </c>
      <c r="AO15" s="128">
        <f t="shared" si="16"/>
        <v>31567.447639965572</v>
      </c>
    </row>
    <row r="16" spans="1:41" x14ac:dyDescent="0.3">
      <c r="A16" s="11" t="s">
        <v>33</v>
      </c>
      <c r="B16" s="128">
        <f>B9+B15</f>
        <v>18491.663645244807</v>
      </c>
      <c r="C16" s="128">
        <f t="shared" ref="C16:F16" si="17">C9+C15</f>
        <v>20171.606876606522</v>
      </c>
      <c r="D16" s="128">
        <f t="shared" si="17"/>
        <v>22003.056682745228</v>
      </c>
      <c r="E16" s="128">
        <f t="shared" si="17"/>
        <v>24572.185041136428</v>
      </c>
      <c r="F16" s="128">
        <f t="shared" si="17"/>
        <v>27501.709843340563</v>
      </c>
      <c r="H16" s="11" t="s">
        <v>33</v>
      </c>
      <c r="I16" s="24">
        <f>I9+I15</f>
        <v>100587.67722003911</v>
      </c>
      <c r="J16" s="24">
        <f t="shared" ref="J16:M16" si="18">J9+J15</f>
        <v>108737.0735911408</v>
      </c>
      <c r="K16" s="24">
        <f t="shared" si="18"/>
        <v>117589.47589541328</v>
      </c>
      <c r="L16" s="24">
        <f t="shared" si="18"/>
        <v>127277.33975377459</v>
      </c>
      <c r="M16" s="24">
        <f t="shared" si="18"/>
        <v>137945.53748576849</v>
      </c>
      <c r="O16" s="19" t="s">
        <v>33</v>
      </c>
      <c r="P16" s="128">
        <f>P9+P15</f>
        <v>28139.112873095382</v>
      </c>
      <c r="Q16" s="128">
        <f t="shared" ref="Q16:T16" si="19">Q9+Q15</f>
        <v>31059.27671767601</v>
      </c>
      <c r="R16" s="128">
        <f t="shared" si="19"/>
        <v>34571.625000514359</v>
      </c>
      <c r="S16" s="128">
        <f t="shared" si="19"/>
        <v>38790.66612989657</v>
      </c>
      <c r="T16" s="128">
        <f t="shared" si="19"/>
        <v>43858.544159664838</v>
      </c>
      <c r="V16" s="19" t="s">
        <v>33</v>
      </c>
      <c r="W16" s="128">
        <f>W9+W15</f>
        <v>52211.030601330567</v>
      </c>
      <c r="X16" s="128">
        <f t="shared" ref="X16:AA16" si="20">X9+X15</f>
        <v>57510.067466521359</v>
      </c>
      <c r="Y16" s="128">
        <f t="shared" si="20"/>
        <v>63317.800492929462</v>
      </c>
      <c r="Z16" s="128">
        <f t="shared" si="20"/>
        <v>69698.0741512159</v>
      </c>
      <c r="AA16" s="128">
        <f t="shared" si="20"/>
        <v>76720.355033666317</v>
      </c>
      <c r="AC16" s="11" t="s">
        <v>33</v>
      </c>
      <c r="AD16" s="128">
        <f>AD9+AD15</f>
        <v>17126.710999661773</v>
      </c>
      <c r="AE16" s="128">
        <f t="shared" ref="AE16:AH16" si="21">AE9+AE15</f>
        <v>18150.671180317298</v>
      </c>
      <c r="AF16" s="128">
        <f t="shared" si="21"/>
        <v>19236.055876163773</v>
      </c>
      <c r="AG16" s="128">
        <f t="shared" si="21"/>
        <v>20386.97919277467</v>
      </c>
      <c r="AH16" s="128">
        <f t="shared" si="21"/>
        <v>21607.737046640577</v>
      </c>
      <c r="AJ16" s="11" t="s">
        <v>33</v>
      </c>
      <c r="AK16" s="128">
        <f>AK9+AK15</f>
        <v>41084.151117150192</v>
      </c>
      <c r="AL16" s="128">
        <f t="shared" ref="AL16:AO16" si="22">AL9+AL15</f>
        <v>45073.865197378102</v>
      </c>
      <c r="AM16" s="128">
        <f t="shared" si="22"/>
        <v>50370.316813987476</v>
      </c>
      <c r="AN16" s="128">
        <f t="shared" si="22"/>
        <v>55834.495312725528</v>
      </c>
      <c r="AO16" s="128">
        <f t="shared" si="22"/>
        <v>61532.500910210932</v>
      </c>
    </row>
    <row r="17" spans="1:41" x14ac:dyDescent="0.3">
      <c r="A17" s="12" t="s">
        <v>404</v>
      </c>
      <c r="B17" s="133"/>
      <c r="C17" s="133"/>
      <c r="D17" s="133"/>
      <c r="E17" s="133"/>
      <c r="F17" s="134"/>
      <c r="H17" s="16" t="s">
        <v>404</v>
      </c>
      <c r="I17" s="161"/>
      <c r="J17" s="161"/>
      <c r="K17" s="161"/>
      <c r="L17" s="161"/>
      <c r="M17" s="161"/>
      <c r="O17" s="16" t="s">
        <v>404</v>
      </c>
      <c r="P17" s="167"/>
      <c r="Q17" s="167"/>
      <c r="R17" s="167"/>
      <c r="S17" s="167"/>
      <c r="T17" s="167"/>
      <c r="V17" s="13" t="s">
        <v>404</v>
      </c>
      <c r="W17" s="133"/>
      <c r="X17" s="133"/>
      <c r="Y17" s="133"/>
      <c r="Z17" s="133"/>
      <c r="AA17" s="133"/>
      <c r="AC17" s="112" t="s">
        <v>404</v>
      </c>
      <c r="AD17" s="167"/>
      <c r="AE17" s="167"/>
      <c r="AF17" s="167"/>
      <c r="AG17" s="167"/>
      <c r="AH17" s="227"/>
      <c r="AJ17" s="12" t="s">
        <v>404</v>
      </c>
      <c r="AK17" s="133"/>
      <c r="AL17" s="133"/>
      <c r="AM17" s="133"/>
      <c r="AN17" s="133"/>
      <c r="AO17" s="134"/>
    </row>
    <row r="18" spans="1:41" x14ac:dyDescent="0.3">
      <c r="A18" s="16" t="s">
        <v>35</v>
      </c>
      <c r="B18" s="131"/>
      <c r="C18" s="131"/>
      <c r="D18" s="131"/>
      <c r="E18" s="131"/>
      <c r="F18" s="131"/>
      <c r="H18" s="12" t="s">
        <v>35</v>
      </c>
      <c r="I18" s="26"/>
      <c r="J18" s="26"/>
      <c r="K18" s="26"/>
      <c r="L18" s="26"/>
      <c r="M18" s="27"/>
      <c r="O18" s="13" t="s">
        <v>35</v>
      </c>
      <c r="P18" s="133"/>
      <c r="Q18" s="133"/>
      <c r="R18" s="133"/>
      <c r="S18" s="133"/>
      <c r="T18" s="133"/>
      <c r="V18" s="16" t="s">
        <v>35</v>
      </c>
      <c r="W18" s="167"/>
      <c r="X18" s="167"/>
      <c r="Y18" s="167"/>
      <c r="Z18" s="167"/>
      <c r="AA18" s="167"/>
      <c r="AC18" s="12" t="s">
        <v>35</v>
      </c>
      <c r="AD18" s="133"/>
      <c r="AE18" s="133"/>
      <c r="AF18" s="133"/>
      <c r="AG18" s="133"/>
      <c r="AH18" s="134"/>
      <c r="AJ18" s="16" t="s">
        <v>35</v>
      </c>
      <c r="AK18" s="167"/>
      <c r="AL18" s="167"/>
      <c r="AM18" s="167"/>
      <c r="AN18" s="167"/>
      <c r="AO18" s="167"/>
    </row>
    <row r="19" spans="1:41" x14ac:dyDescent="0.3">
      <c r="A19" s="4" t="s">
        <v>405</v>
      </c>
      <c r="B19" s="135">
        <f>'Balance Sheet'!$G$31</f>
        <v>53</v>
      </c>
      <c r="C19" s="135">
        <f>'Balance Sheet'!$G$31</f>
        <v>53</v>
      </c>
      <c r="D19" s="135">
        <f>'Balance Sheet'!$G$31</f>
        <v>53</v>
      </c>
      <c r="E19" s="135">
        <f>'Balance Sheet'!$G$31</f>
        <v>53</v>
      </c>
      <c r="F19" s="135">
        <f>'Balance Sheet'!$G$31</f>
        <v>53</v>
      </c>
      <c r="H19" s="4" t="s">
        <v>405</v>
      </c>
      <c r="I19" s="22">
        <f>'Balance Sheet'!$O$33</f>
        <v>239.93</v>
      </c>
      <c r="J19" s="22">
        <f>'Balance Sheet'!$O$33</f>
        <v>239.93</v>
      </c>
      <c r="K19" s="22">
        <f>'Balance Sheet'!$O$33</f>
        <v>239.93</v>
      </c>
      <c r="L19" s="22">
        <f>'Balance Sheet'!$O$33</f>
        <v>239.93</v>
      </c>
      <c r="M19" s="22">
        <f>'Balance Sheet'!$O$33</f>
        <v>239.93</v>
      </c>
      <c r="O19" s="18" t="s">
        <v>405</v>
      </c>
      <c r="P19" s="127">
        <f>'Balance Sheet'!$W$35</f>
        <v>41.26</v>
      </c>
      <c r="Q19" s="127">
        <f>'Balance Sheet'!$W$35</f>
        <v>41.26</v>
      </c>
      <c r="R19" s="127">
        <f>'Balance Sheet'!$W$35</f>
        <v>41.26</v>
      </c>
      <c r="S19" s="127">
        <f>'Balance Sheet'!$W$35</f>
        <v>41.26</v>
      </c>
      <c r="T19" s="127">
        <f>'Balance Sheet'!$W$35</f>
        <v>41.26</v>
      </c>
      <c r="V19" s="18" t="s">
        <v>405</v>
      </c>
      <c r="W19" s="127">
        <f>'Balance Sheet'!$AE$32</f>
        <v>83.4</v>
      </c>
      <c r="X19" s="127">
        <f>'Balance Sheet'!$AE$32</f>
        <v>83.4</v>
      </c>
      <c r="Y19" s="127">
        <f>'Balance Sheet'!$AE$32</f>
        <v>83.4</v>
      </c>
      <c r="Z19" s="127">
        <f>'Balance Sheet'!$AE$32</f>
        <v>83.4</v>
      </c>
      <c r="AA19" s="127">
        <f>'Balance Sheet'!$AE$32</f>
        <v>83.4</v>
      </c>
      <c r="AC19" s="4" t="s">
        <v>405</v>
      </c>
      <c r="AD19" s="127">
        <f>'Balance Sheet'!$AM$33</f>
        <v>169.23</v>
      </c>
      <c r="AE19" s="127">
        <f>'Balance Sheet'!$AM$33</f>
        <v>169.23</v>
      </c>
      <c r="AF19" s="127">
        <f>'Balance Sheet'!$AM$33</f>
        <v>169.23</v>
      </c>
      <c r="AG19" s="127">
        <f>'Balance Sheet'!$AM$33</f>
        <v>169.23</v>
      </c>
      <c r="AH19" s="127">
        <f>'Balance Sheet'!$AM$33</f>
        <v>169.23</v>
      </c>
      <c r="AJ19" s="4" t="s">
        <v>405</v>
      </c>
      <c r="AK19" s="127">
        <f>'Balance Sheet'!$AU$35</f>
        <v>161.52000000000001</v>
      </c>
      <c r="AL19" s="127">
        <f>'Balance Sheet'!$AU$35</f>
        <v>161.52000000000001</v>
      </c>
      <c r="AM19" s="127">
        <f>'Balance Sheet'!$AU$35</f>
        <v>161.52000000000001</v>
      </c>
      <c r="AN19" s="127">
        <f>'Balance Sheet'!$AU$35</f>
        <v>161.52000000000001</v>
      </c>
      <c r="AO19" s="127">
        <f>'Balance Sheet'!$AU$35</f>
        <v>161.52000000000001</v>
      </c>
    </row>
    <row r="20" spans="1:41" x14ac:dyDescent="0.3">
      <c r="A20" s="4" t="s">
        <v>72</v>
      </c>
      <c r="B20" s="127">
        <f>'Balance Sheet'!G32+Table31[[#This Row],[2026]]-'Income Statement'!B64</f>
        <v>16266.887786255145</v>
      </c>
      <c r="C20" s="127">
        <f>Table25[[#This Row],[2026]]+Table31[[#This Row],[2027]]-'Income Statement'!C64</f>
        <v>17736.410141742865</v>
      </c>
      <c r="D20" s="127">
        <f>Table25[[#This Row],[2027]]+Table31[[#This Row],[2028]]-'Income Statement'!D64</f>
        <v>19337.003065738772</v>
      </c>
      <c r="E20" s="127">
        <f>Table25[[#This Row],[2028]]+Table31[[#This Row],[2029]]-'Income Statement'!E64</f>
        <v>21082.244862556177</v>
      </c>
      <c r="F20" s="127">
        <f>Table25[[#This Row],[2029]]+Table31[[#This Row],[2030]]-'Income Statement'!F64</f>
        <v>22986.972038407283</v>
      </c>
      <c r="H20" s="4" t="s">
        <v>72</v>
      </c>
      <c r="I20" s="22">
        <f>'Balance Sheet'!O34+Table32[[#This Row],[2026]]-'Income Statement'!J75</f>
        <v>78276.810009101027</v>
      </c>
      <c r="J20" s="22">
        <f>Table26[[#This Row],[2026]]+Table32[[#This Row],[2027]]-'Income Statement'!K75</f>
        <v>85047.164718815256</v>
      </c>
      <c r="K20" s="22">
        <f>Table26[[#This Row],[2027]]+Table32[[#This Row],[2028]]-'Income Statement'!L75</f>
        <v>92403.614824791919</v>
      </c>
      <c r="L20" s="22">
        <f>Table26[[#This Row],[2028]]+Table32[[#This Row],[2029]]-'Income Statement'!M75</f>
        <v>100468.70466388631</v>
      </c>
      <c r="M20" s="22">
        <f>Table26[[#This Row],[2029]]+Table32[[#This Row],[2030]]-'Income Statement'!N75</f>
        <v>109376.55502608622</v>
      </c>
      <c r="O20" s="18" t="s">
        <v>72</v>
      </c>
      <c r="P20" s="127">
        <f>'Balance Sheet'!W36+Table33[[#This Row],[2026]]-'Income Statement'!R75</f>
        <v>16337.045055902727</v>
      </c>
      <c r="Q20" s="127">
        <f>Table27[[#This Row],[2026]]+Table33[[#This Row],[2027]]-'Income Statement'!S75</f>
        <v>18833.80246073212</v>
      </c>
      <c r="R20" s="127">
        <f>Table27[[#This Row],[2027]]+Table33[[#This Row],[2028]]-'Income Statement'!T75</f>
        <v>21867.815729902319</v>
      </c>
      <c r="S20" s="127">
        <f>Table27[[#This Row],[2028]]+Table33[[#This Row],[2029]]-'Income Statement'!U75</f>
        <v>25546.467380477025</v>
      </c>
      <c r="T20" s="127">
        <f>Table27[[#This Row],[2029]]+Table33[[#This Row],[2030]]-'Income Statement'!V75</f>
        <v>30003.851132257041</v>
      </c>
      <c r="V20" s="18" t="s">
        <v>72</v>
      </c>
      <c r="W20" s="127">
        <f>'Balance Sheet'!AE33+Table34[[#This Row],[2026]]-'Income Statement'!Z77</f>
        <v>36891.520716104817</v>
      </c>
      <c r="X20" s="127">
        <f>Table28[[#This Row],[2026]]+Table34[[#This Row],[2027]]-'Income Statement'!AA77</f>
        <v>40610.907601601808</v>
      </c>
      <c r="Y20" s="127">
        <f>Table28[[#This Row],[2027]]+Table34[[#This Row],[2028]]-'Income Statement'!AB77</f>
        <v>44666.302471310031</v>
      </c>
      <c r="Z20" s="127">
        <f>Table28[[#This Row],[2028]]+Table34[[#This Row],[2029]]-'Income Statement'!AC77</f>
        <v>49102.671432416908</v>
      </c>
      <c r="AA20" s="127">
        <f>Table28[[#This Row],[2029]]+Table34[[#This Row],[2030]]-'Income Statement'!AD77</f>
        <v>53968.538920986153</v>
      </c>
      <c r="AC20" s="4" t="s">
        <v>72</v>
      </c>
      <c r="AD20" s="127">
        <f>'Balance Sheet'!AM34+Table35[[#This Row],[2026]]-'Income Statement'!AH77</f>
        <v>7870.7667030191797</v>
      </c>
      <c r="AE20" s="127">
        <f>Table29[[#This Row],[2026]]+Table35[[#This Row],[2027]]-'Income Statement'!AI77</f>
        <v>8345.6655149663111</v>
      </c>
      <c r="AF20" s="127">
        <f>Table29[[#This Row],[2027]]+Table35[[#This Row],[2028]]-'Income Statement'!AJ77</f>
        <v>8848.1558453141388</v>
      </c>
      <c r="AG20" s="127">
        <f>Table29[[#This Row],[2028]]+Table35[[#This Row],[2029]]-'Income Statement'!AK77</f>
        <v>9380.2670205257255</v>
      </c>
      <c r="AH20" s="127">
        <f>Table29[[#This Row],[2029]]+Table35[[#This Row],[2030]]-'Income Statement'!AL77</f>
        <v>9944.0817145180481</v>
      </c>
      <c r="AJ20" s="4" t="s">
        <v>72</v>
      </c>
      <c r="AK20" s="127">
        <f>'Balance Sheet'!AU36+Table36[[#This Row],[2026]]-'Income Statement'!AP77</f>
        <v>33095.764690977201</v>
      </c>
      <c r="AL20" s="127">
        <f>Table30[[#This Row],[2026]]+Table36[[#This Row],[2027]]-'Income Statement'!AQ77</f>
        <v>35121.681706437666</v>
      </c>
      <c r="AM20" s="127">
        <f>Table30[[#This Row],[2027]]+Table36[[#This Row],[2028]]-'Income Statement'!AR77</f>
        <v>37070.557343235094</v>
      </c>
      <c r="AN20" s="127">
        <f>Table30[[#This Row],[2028]]+Table36[[#This Row],[2029]]-'Income Statement'!AS77</f>
        <v>38892.558879841446</v>
      </c>
      <c r="AO20" s="127">
        <f>Table30[[#This Row],[2029]]+Table36[[#This Row],[2030]]-'Income Statement'!AT77</f>
        <v>40868.101578437541</v>
      </c>
    </row>
    <row r="21" spans="1:41" s="21" customFormat="1" x14ac:dyDescent="0.3">
      <c r="A21" s="11" t="s">
        <v>74</v>
      </c>
      <c r="B21" s="128">
        <f>SUM(B19:B20)</f>
        <v>16319.887786255145</v>
      </c>
      <c r="C21" s="128">
        <f t="shared" ref="C21:F21" si="23">SUM(C19:C20)</f>
        <v>17789.410141742865</v>
      </c>
      <c r="D21" s="128">
        <f t="shared" si="23"/>
        <v>19390.003065738772</v>
      </c>
      <c r="E21" s="128">
        <f t="shared" si="23"/>
        <v>21135.244862556177</v>
      </c>
      <c r="F21" s="128">
        <f t="shared" si="23"/>
        <v>23039.972038407283</v>
      </c>
      <c r="H21" s="11" t="s">
        <v>74</v>
      </c>
      <c r="I21" s="24">
        <f>I19+I20</f>
        <v>78516.74000910102</v>
      </c>
      <c r="J21" s="24">
        <f t="shared" ref="J21:M21" si="24">J19+J20</f>
        <v>85287.09471881525</v>
      </c>
      <c r="K21" s="24">
        <f t="shared" si="24"/>
        <v>92643.544824791912</v>
      </c>
      <c r="L21" s="24">
        <f t="shared" si="24"/>
        <v>100708.6346638863</v>
      </c>
      <c r="M21" s="24">
        <f t="shared" si="24"/>
        <v>109616.48502608621</v>
      </c>
      <c r="O21" s="19" t="s">
        <v>74</v>
      </c>
      <c r="P21" s="128">
        <f>P19+P20</f>
        <v>16378.305055902727</v>
      </c>
      <c r="Q21" s="128">
        <f t="shared" ref="Q21:T21" si="25">Q19+Q20</f>
        <v>18875.062460732119</v>
      </c>
      <c r="R21" s="128">
        <f t="shared" si="25"/>
        <v>21909.075729902317</v>
      </c>
      <c r="S21" s="128">
        <f t="shared" si="25"/>
        <v>25587.727380477023</v>
      </c>
      <c r="T21" s="128">
        <f t="shared" si="25"/>
        <v>30045.11113225704</v>
      </c>
      <c r="V21" s="19" t="s">
        <v>74</v>
      </c>
      <c r="W21" s="128">
        <f>W19+W20</f>
        <v>36974.920716104818</v>
      </c>
      <c r="X21" s="128">
        <f t="shared" ref="X21:AA21" si="26">X19+X20</f>
        <v>40694.307601601809</v>
      </c>
      <c r="Y21" s="128">
        <f t="shared" si="26"/>
        <v>44749.702471310033</v>
      </c>
      <c r="Z21" s="128">
        <f t="shared" si="26"/>
        <v>49186.071432416909</v>
      </c>
      <c r="AA21" s="128">
        <f t="shared" si="26"/>
        <v>54051.938920986155</v>
      </c>
      <c r="AC21" s="11" t="s">
        <v>74</v>
      </c>
      <c r="AD21" s="128">
        <f>AD19+AD20</f>
        <v>8039.9967030191792</v>
      </c>
      <c r="AE21" s="128">
        <f t="shared" ref="AE21:AH21" si="27">AE19+AE20</f>
        <v>8514.8955149663107</v>
      </c>
      <c r="AF21" s="128">
        <f t="shared" si="27"/>
        <v>9017.3858453141384</v>
      </c>
      <c r="AG21" s="128">
        <f t="shared" si="27"/>
        <v>9549.497020525725</v>
      </c>
      <c r="AH21" s="128">
        <f t="shared" si="27"/>
        <v>10113.311714518048</v>
      </c>
      <c r="AJ21" s="11" t="s">
        <v>74</v>
      </c>
      <c r="AK21" s="128">
        <f>AK19+AK20</f>
        <v>33257.284690977198</v>
      </c>
      <c r="AL21" s="128">
        <f t="shared" ref="AL21:AO21" si="28">AL19+AL20</f>
        <v>35283.201706437663</v>
      </c>
      <c r="AM21" s="128">
        <f t="shared" si="28"/>
        <v>37232.077343235091</v>
      </c>
      <c r="AN21" s="128">
        <f t="shared" si="28"/>
        <v>39054.078879841443</v>
      </c>
      <c r="AO21" s="128">
        <f t="shared" si="28"/>
        <v>41029.621578437538</v>
      </c>
    </row>
    <row r="22" spans="1:41" s="21" customFormat="1" x14ac:dyDescent="0.3">
      <c r="A22" s="16" t="s">
        <v>40</v>
      </c>
      <c r="B22" s="131"/>
      <c r="C22" s="131"/>
      <c r="D22" s="131"/>
      <c r="E22" s="131"/>
      <c r="F22" s="131"/>
      <c r="H22" s="16" t="s">
        <v>40</v>
      </c>
      <c r="I22" s="161"/>
      <c r="J22" s="161"/>
      <c r="K22" s="161"/>
      <c r="L22" s="161"/>
      <c r="M22" s="161"/>
      <c r="O22" s="16" t="s">
        <v>40</v>
      </c>
      <c r="P22" s="167"/>
      <c r="Q22" s="167"/>
      <c r="R22" s="167"/>
      <c r="S22" s="167"/>
      <c r="T22" s="167"/>
      <c r="V22" s="16" t="s">
        <v>40</v>
      </c>
      <c r="W22" s="167"/>
      <c r="X22" s="167"/>
      <c r="Y22" s="167"/>
      <c r="Z22" s="167"/>
      <c r="AA22" s="167"/>
      <c r="AC22" s="112" t="s">
        <v>40</v>
      </c>
      <c r="AD22" s="167"/>
      <c r="AE22" s="167"/>
      <c r="AF22" s="167"/>
      <c r="AG22" s="167"/>
      <c r="AH22" s="227"/>
      <c r="AJ22" s="16" t="s">
        <v>40</v>
      </c>
      <c r="AK22" s="167"/>
      <c r="AL22" s="167"/>
      <c r="AM22" s="167"/>
      <c r="AN22" s="167"/>
      <c r="AO22" s="167"/>
    </row>
    <row r="23" spans="1:41" x14ac:dyDescent="0.3">
      <c r="A23" s="4" t="s">
        <v>468</v>
      </c>
      <c r="B23" s="127">
        <v>0</v>
      </c>
      <c r="C23" s="127">
        <v>0</v>
      </c>
      <c r="D23" s="127">
        <v>0</v>
      </c>
      <c r="E23" s="127">
        <f>E16-(SUM(E19:E20,E24:E25,E28:E30))</f>
        <v>570.60775127046873</v>
      </c>
      <c r="F23" s="127">
        <f>F16-(SUM(F19:F20,F24:F25,F28:F30))</f>
        <v>1317.5256022670546</v>
      </c>
      <c r="H23" s="4" t="s">
        <v>403</v>
      </c>
      <c r="I23" s="22">
        <f>'Income Statement'!$J$66</f>
        <v>5364.71</v>
      </c>
      <c r="J23" s="22">
        <f>'Income Statement'!$J$66</f>
        <v>5364.71</v>
      </c>
      <c r="K23" s="22">
        <f>'Income Statement'!$J$66</f>
        <v>5364.71</v>
      </c>
      <c r="L23" s="22">
        <f>'Income Statement'!$J$66</f>
        <v>5364.71</v>
      </c>
      <c r="M23" s="22">
        <f>'Income Statement'!$J$66</f>
        <v>5364.71</v>
      </c>
      <c r="O23" s="18" t="s">
        <v>403</v>
      </c>
      <c r="P23" s="127">
        <f>'Balance Sheet'!$W$41</f>
        <v>5526.19</v>
      </c>
      <c r="Q23" s="127">
        <f>'Balance Sheet'!$W$41</f>
        <v>5526.19</v>
      </c>
      <c r="R23" s="127">
        <f>'Balance Sheet'!$W$41</f>
        <v>5526.19</v>
      </c>
      <c r="S23" s="127">
        <f>'Balance Sheet'!$W$41</f>
        <v>5526.19</v>
      </c>
      <c r="T23" s="127">
        <f>'Balance Sheet'!$W$41</f>
        <v>5526.19</v>
      </c>
      <c r="V23" s="18" t="s">
        <v>403</v>
      </c>
      <c r="W23" s="127">
        <f>'Balance Sheet'!$AE$38</f>
        <v>380</v>
      </c>
      <c r="X23" s="127">
        <f>'Balance Sheet'!$AE$38</f>
        <v>380</v>
      </c>
      <c r="Y23" s="127">
        <f>'Balance Sheet'!$AE$38</f>
        <v>380</v>
      </c>
      <c r="Z23" s="127">
        <f>'Balance Sheet'!$AE$38</f>
        <v>380</v>
      </c>
      <c r="AA23" s="127">
        <f>'Balance Sheet'!$AE$38</f>
        <v>380</v>
      </c>
      <c r="AC23" s="4" t="s">
        <v>403</v>
      </c>
      <c r="AD23" s="127">
        <f>'Income Statement'!AH85</f>
        <v>1543.3761075475313</v>
      </c>
      <c r="AE23" s="127">
        <f>'Income Statement'!AI85</f>
        <v>1638.4784801942324</v>
      </c>
      <c r="AF23" s="127">
        <f>'Income Statement'!AJ85</f>
        <v>1739.4410325073168</v>
      </c>
      <c r="AG23" s="127">
        <f>'Income Statement'!AK85</f>
        <v>1846.6248669994407</v>
      </c>
      <c r="AH23" s="127">
        <f>'Income Statement'!AL85</f>
        <v>1960.4133372117392</v>
      </c>
      <c r="AJ23" s="4" t="s">
        <v>403</v>
      </c>
      <c r="AK23" s="127">
        <v>0</v>
      </c>
      <c r="AL23" s="127">
        <f>AL16-(SUM(AL19:AL20,AL24:AL25,AL28:AL30))</f>
        <v>1333.0818693163528</v>
      </c>
      <c r="AM23" s="127">
        <f t="shared" ref="AM23:AO23" si="29">AM16-(SUM(AM19:AM20,AM24:AM25,AM28:AM30))</f>
        <v>3996.7658959763721</v>
      </c>
      <c r="AN23" s="127">
        <f t="shared" si="29"/>
        <v>6897.3906972002223</v>
      </c>
      <c r="AO23" s="127">
        <f t="shared" si="29"/>
        <v>9815.7797661225995</v>
      </c>
    </row>
    <row r="24" spans="1:41" x14ac:dyDescent="0.3">
      <c r="A24" s="4" t="s">
        <v>105</v>
      </c>
      <c r="B24" s="127">
        <v>2</v>
      </c>
      <c r="C24" s="127">
        <v>2</v>
      </c>
      <c r="D24" s="127">
        <v>2</v>
      </c>
      <c r="E24" s="127">
        <v>2</v>
      </c>
      <c r="F24" s="127">
        <v>2</v>
      </c>
      <c r="H24" s="4" t="s">
        <v>105</v>
      </c>
      <c r="I24" s="22">
        <f>AVERAGE('Balance Sheet'!N42:O42)</f>
        <v>439.46500000000003</v>
      </c>
      <c r="J24" s="22">
        <f>$I$24</f>
        <v>439.46500000000003</v>
      </c>
      <c r="K24" s="22">
        <f t="shared" ref="K24:M24" si="30">$I$24</f>
        <v>439.46500000000003</v>
      </c>
      <c r="L24" s="22">
        <f t="shared" si="30"/>
        <v>439.46500000000003</v>
      </c>
      <c r="M24" s="22">
        <f t="shared" si="30"/>
        <v>439.46500000000003</v>
      </c>
      <c r="O24" s="18" t="s">
        <v>105</v>
      </c>
      <c r="P24" s="127">
        <f>'Balance Sheet'!$W$42</f>
        <v>14.03</v>
      </c>
      <c r="Q24" s="127">
        <f>'Balance Sheet'!$W$42</f>
        <v>14.03</v>
      </c>
      <c r="R24" s="127">
        <f>'Balance Sheet'!$W$42</f>
        <v>14.03</v>
      </c>
      <c r="S24" s="127">
        <f>'Balance Sheet'!$W$42</f>
        <v>14.03</v>
      </c>
      <c r="T24" s="127">
        <f>'Balance Sheet'!$W$42</f>
        <v>14.03</v>
      </c>
      <c r="V24" s="18" t="s">
        <v>105</v>
      </c>
      <c r="W24" s="127">
        <f>'Balance Sheet'!$AE$39</f>
        <v>406.4</v>
      </c>
      <c r="X24" s="127">
        <f>'Balance Sheet'!$AE$39</f>
        <v>406.4</v>
      </c>
      <c r="Y24" s="127">
        <f>'Balance Sheet'!$AE$39</f>
        <v>406.4</v>
      </c>
      <c r="Z24" s="127">
        <f>'Balance Sheet'!$AE$39</f>
        <v>406.4</v>
      </c>
      <c r="AA24" s="127">
        <f>'Balance Sheet'!$AE$39</f>
        <v>406.4</v>
      </c>
      <c r="AC24" s="4" t="s">
        <v>105</v>
      </c>
      <c r="AD24" s="127">
        <f>'Balance Sheet'!AM42+'Balance Sheet'!AM50</f>
        <v>176.23000000000002</v>
      </c>
      <c r="AE24" s="127">
        <f>$AD$24</f>
        <v>176.23000000000002</v>
      </c>
      <c r="AF24" s="127">
        <f t="shared" ref="AF24:AH24" si="31">$AD$24</f>
        <v>176.23000000000002</v>
      </c>
      <c r="AG24" s="127">
        <f t="shared" si="31"/>
        <v>176.23000000000002</v>
      </c>
      <c r="AH24" s="127">
        <f t="shared" si="31"/>
        <v>176.23000000000002</v>
      </c>
      <c r="AJ24" s="4" t="s">
        <v>105</v>
      </c>
      <c r="AK24" s="127">
        <f>'Balance Sheet'!AU54+'Balance Sheet'!AU43</f>
        <v>346.09000000000003</v>
      </c>
      <c r="AL24" s="127">
        <f>$AK$24</f>
        <v>346.09000000000003</v>
      </c>
      <c r="AM24" s="127">
        <f t="shared" ref="AM24:AO24" si="32">$AK$24</f>
        <v>346.09000000000003</v>
      </c>
      <c r="AN24" s="127">
        <f t="shared" si="32"/>
        <v>346.09000000000003</v>
      </c>
      <c r="AO24" s="127">
        <f t="shared" si="32"/>
        <v>346.09000000000003</v>
      </c>
    </row>
    <row r="25" spans="1:41" x14ac:dyDescent="0.3">
      <c r="A25" s="4" t="s">
        <v>76</v>
      </c>
      <c r="B25" s="127">
        <f>'Income Statement Forecast'!B7*'Income Statement'!$B$51</f>
        <v>624.77091518855241</v>
      </c>
      <c r="C25" s="127">
        <f>'Income Statement Forecast'!C7*'Income Statement'!$B$51</f>
        <v>685.41595035185014</v>
      </c>
      <c r="D25" s="127">
        <f>'Income Statement Forecast'!D7*'Income Statement'!$B$51</f>
        <v>751.9508113873228</v>
      </c>
      <c r="E25" s="127">
        <f>'Income Statement Forecast'!E7*'Income Statement'!$B$51</f>
        <v>824.94785739411407</v>
      </c>
      <c r="F25" s="127">
        <f>'Income Statement Forecast'!F7*'Income Statement'!$B$51</f>
        <v>905.03510481034277</v>
      </c>
      <c r="H25" s="4" t="s">
        <v>76</v>
      </c>
      <c r="I25" s="22">
        <f>'Income Statement'!J76*'Income Statement'!$J$59</f>
        <v>1210.3038206875003</v>
      </c>
      <c r="J25" s="22">
        <f>'Income Statement'!K76*'Income Statement'!$J$59</f>
        <v>1312.9093281647135</v>
      </c>
      <c r="K25" s="22">
        <f>'Income Statement'!L76*'Income Statement'!$J$59</f>
        <v>1424.2133871830401</v>
      </c>
      <c r="L25" s="22">
        <f>'Income Statement'!M76*'Income Statement'!$J$59</f>
        <v>1544.9534318312906</v>
      </c>
      <c r="M25" s="22">
        <f>'Income Statement'!N76*'Income Statement'!$J$59</f>
        <v>1675.9294133924043</v>
      </c>
      <c r="O25" s="18" t="s">
        <v>76</v>
      </c>
      <c r="P25" s="127">
        <f>'Income Statement'!R82</f>
        <v>574.34751273588358</v>
      </c>
      <c r="Q25" s="127">
        <f>'Income Statement'!S82</f>
        <v>648.85769218861401</v>
      </c>
      <c r="R25" s="127">
        <f>'Income Statement'!T82</f>
        <v>733.03408716238391</v>
      </c>
      <c r="S25" s="127">
        <f>'Income Statement'!U82</f>
        <v>828.13069708633827</v>
      </c>
      <c r="T25" s="127">
        <f>'Income Statement'!V82</f>
        <v>935.56420290286428</v>
      </c>
      <c r="V25" s="18" t="s">
        <v>76</v>
      </c>
      <c r="W25" s="127">
        <f>'Income Statement'!Z84</f>
        <v>699.43297723304613</v>
      </c>
      <c r="X25" s="127">
        <f>'Income Statement'!AA84</f>
        <v>775.89536277983291</v>
      </c>
      <c r="Y25" s="127">
        <f>'Income Statement'!AB84</f>
        <v>860.71665703383292</v>
      </c>
      <c r="Z25" s="127">
        <f>'Income Statement'!AC84</f>
        <v>954.81066034636751</v>
      </c>
      <c r="AA25" s="127">
        <f>'Income Statement'!AD84</f>
        <v>1059.1910702097996</v>
      </c>
      <c r="AC25" s="4" t="s">
        <v>76</v>
      </c>
      <c r="AD25" s="127">
        <f>'Income Statement'!AH84</f>
        <v>1031.0561316944713</v>
      </c>
      <c r="AE25" s="127">
        <f>'Income Statement'!AI84</f>
        <v>1094.58950115416</v>
      </c>
      <c r="AF25" s="127">
        <f>'Income Statement'!AJ84</f>
        <v>1162.0377777763401</v>
      </c>
      <c r="AG25" s="127">
        <f>'Income Statement'!AK84</f>
        <v>1233.6421969656701</v>
      </c>
      <c r="AH25" s="127">
        <f>'Income Statement'!AL84</f>
        <v>1309.6588589800592</v>
      </c>
      <c r="AJ25" s="4" t="s">
        <v>76</v>
      </c>
      <c r="AK25" s="127">
        <f>'Income Statement'!AP84</f>
        <v>798.40970094447232</v>
      </c>
      <c r="AL25" s="127">
        <f>'Income Statement'!AQ84</f>
        <v>865.72478989959734</v>
      </c>
      <c r="AM25" s="127">
        <f>'Income Statement'!AR84</f>
        <v>938.71533776358444</v>
      </c>
      <c r="AN25" s="127">
        <f>'Income Statement'!AS84</f>
        <v>1017.8598550296949</v>
      </c>
      <c r="AO25" s="127">
        <f>'Income Statement'!AT84</f>
        <v>1103.6771966461447</v>
      </c>
    </row>
    <row r="26" spans="1:41" s="21" customFormat="1" x14ac:dyDescent="0.3">
      <c r="A26" s="11" t="s">
        <v>77</v>
      </c>
      <c r="B26" s="128">
        <f>SUM(B23:B25)</f>
        <v>626.77091518855241</v>
      </c>
      <c r="C26" s="128">
        <f t="shared" ref="C26:F26" si="33">SUM(C23:C25)</f>
        <v>687.41595035185014</v>
      </c>
      <c r="D26" s="128">
        <f t="shared" si="33"/>
        <v>753.9508113873228</v>
      </c>
      <c r="E26" s="128">
        <f t="shared" si="33"/>
        <v>1397.5556086645829</v>
      </c>
      <c r="F26" s="128">
        <f t="shared" si="33"/>
        <v>2224.5607070773976</v>
      </c>
      <c r="H26" s="11" t="s">
        <v>77</v>
      </c>
      <c r="I26" s="24">
        <f>SUM(I23:I25)</f>
        <v>7014.4788206875</v>
      </c>
      <c r="J26" s="24">
        <f t="shared" ref="J26:M26" si="34">SUM(J23:J25)</f>
        <v>7117.084328164714</v>
      </c>
      <c r="K26" s="24">
        <f t="shared" si="34"/>
        <v>7228.3883871830403</v>
      </c>
      <c r="L26" s="24">
        <f t="shared" si="34"/>
        <v>7349.128431831291</v>
      </c>
      <c r="M26" s="24">
        <f t="shared" si="34"/>
        <v>7480.1044133924042</v>
      </c>
      <c r="O26" s="19" t="s">
        <v>77</v>
      </c>
      <c r="P26" s="128">
        <f>SUM(P23:P25)</f>
        <v>6114.5675127358827</v>
      </c>
      <c r="Q26" s="128">
        <f t="shared" ref="Q26:T26" si="35">SUM(Q23:Q25)</f>
        <v>6189.0776921886136</v>
      </c>
      <c r="R26" s="128">
        <f t="shared" si="35"/>
        <v>6273.2540871623833</v>
      </c>
      <c r="S26" s="128">
        <f t="shared" si="35"/>
        <v>6368.3506970863373</v>
      </c>
      <c r="T26" s="128">
        <f t="shared" si="35"/>
        <v>6475.7842029028634</v>
      </c>
      <c r="V26" s="19" t="s">
        <v>77</v>
      </c>
      <c r="W26" s="128">
        <f>SUM(W23:W25)</f>
        <v>1485.8329772330462</v>
      </c>
      <c r="X26" s="128">
        <f t="shared" ref="X26:AA26" si="36">SUM(X23:X25)</f>
        <v>1562.2953627798329</v>
      </c>
      <c r="Y26" s="128">
        <f t="shared" si="36"/>
        <v>1647.1166570338328</v>
      </c>
      <c r="Z26" s="128">
        <f t="shared" si="36"/>
        <v>1741.2106603463676</v>
      </c>
      <c r="AA26" s="128">
        <f t="shared" si="36"/>
        <v>1845.5910702097995</v>
      </c>
      <c r="AC26" s="11" t="s">
        <v>77</v>
      </c>
      <c r="AD26" s="128">
        <f>SUM(AD23:AD25)</f>
        <v>2750.6622392420027</v>
      </c>
      <c r="AE26" s="128">
        <f t="shared" ref="AE26:AH26" si="37">SUM(AE23:AE25)</f>
        <v>2909.2979813483926</v>
      </c>
      <c r="AF26" s="128">
        <f t="shared" si="37"/>
        <v>3077.7088102836569</v>
      </c>
      <c r="AG26" s="128">
        <f t="shared" si="37"/>
        <v>3256.497063965111</v>
      </c>
      <c r="AH26" s="128">
        <f t="shared" si="37"/>
        <v>3446.3021961917984</v>
      </c>
      <c r="AJ26" s="11" t="s">
        <v>77</v>
      </c>
      <c r="AK26" s="128">
        <f>SUM(AK23:AK25)</f>
        <v>1144.4997009444724</v>
      </c>
      <c r="AL26" s="128">
        <f t="shared" ref="AL26:AO26" si="38">SUM(AL23:AL25)</f>
        <v>2544.8966592159504</v>
      </c>
      <c r="AM26" s="128">
        <f t="shared" si="38"/>
        <v>5281.5712337399564</v>
      </c>
      <c r="AN26" s="128">
        <f t="shared" si="38"/>
        <v>8261.3405522299181</v>
      </c>
      <c r="AO26" s="128">
        <f t="shared" si="38"/>
        <v>11265.546962768745</v>
      </c>
    </row>
    <row r="27" spans="1:41" x14ac:dyDescent="0.3">
      <c r="A27" s="16" t="s">
        <v>46</v>
      </c>
      <c r="B27" s="131"/>
      <c r="C27" s="131"/>
      <c r="D27" s="131"/>
      <c r="E27" s="131"/>
      <c r="F27" s="131"/>
      <c r="H27" s="16" t="s">
        <v>46</v>
      </c>
      <c r="I27" s="161"/>
      <c r="J27" s="161"/>
      <c r="K27" s="161"/>
      <c r="L27" s="161"/>
      <c r="M27" s="161"/>
      <c r="O27" s="16" t="s">
        <v>46</v>
      </c>
      <c r="P27" s="167"/>
      <c r="Q27" s="167"/>
      <c r="R27" s="167"/>
      <c r="S27" s="167"/>
      <c r="T27" s="167"/>
      <c r="V27" s="16" t="s">
        <v>46</v>
      </c>
      <c r="W27" s="167"/>
      <c r="X27" s="167"/>
      <c r="Y27" s="167"/>
      <c r="Z27" s="167"/>
      <c r="AA27" s="167"/>
      <c r="AC27" s="112" t="s">
        <v>46</v>
      </c>
      <c r="AD27" s="167"/>
      <c r="AE27" s="167"/>
      <c r="AF27" s="167"/>
      <c r="AG27" s="167"/>
      <c r="AH27" s="227"/>
      <c r="AJ27" s="16" t="s">
        <v>46</v>
      </c>
      <c r="AK27" s="167"/>
      <c r="AL27" s="167"/>
      <c r="AM27" s="167"/>
      <c r="AN27" s="167"/>
      <c r="AO27" s="167"/>
    </row>
    <row r="28" spans="1:41" x14ac:dyDescent="0.3">
      <c r="A28" s="4" t="s">
        <v>402</v>
      </c>
      <c r="B28" s="127">
        <v>2</v>
      </c>
      <c r="C28" s="127">
        <v>2</v>
      </c>
      <c r="D28" s="127">
        <v>2</v>
      </c>
      <c r="E28" s="127">
        <v>2</v>
      </c>
      <c r="F28" s="127">
        <v>2</v>
      </c>
      <c r="H28" s="4" t="s">
        <v>402</v>
      </c>
      <c r="I28" s="22">
        <v>0</v>
      </c>
      <c r="J28" s="22">
        <v>0</v>
      </c>
      <c r="K28" s="22">
        <v>0</v>
      </c>
      <c r="L28" s="22">
        <v>0</v>
      </c>
      <c r="M28" s="22">
        <v>0</v>
      </c>
      <c r="O28" s="18" t="s">
        <v>402</v>
      </c>
      <c r="P28" s="127">
        <f>'Balance Sheet'!$W$48</f>
        <v>2956.84</v>
      </c>
      <c r="Q28" s="127">
        <f>'Balance Sheet'!$W$48</f>
        <v>2956.84</v>
      </c>
      <c r="R28" s="127">
        <f>'Balance Sheet'!$W$48</f>
        <v>2956.84</v>
      </c>
      <c r="S28" s="127">
        <f>'Balance Sheet'!$W$48</f>
        <v>2956.84</v>
      </c>
      <c r="T28" s="127">
        <f>'Balance Sheet'!$W$48</f>
        <v>2956.84</v>
      </c>
      <c r="V28" s="18" t="s">
        <v>402</v>
      </c>
      <c r="W28" s="127">
        <f>'Income Statement'!Z86</f>
        <v>4083.1577089914717</v>
      </c>
      <c r="X28" s="127">
        <f>'Income Statement'!AA86</f>
        <v>4529.5306841810798</v>
      </c>
      <c r="Y28" s="127">
        <f>'Income Statement'!AB86</f>
        <v>5024.701390729645</v>
      </c>
      <c r="Z28" s="127">
        <f>'Income Statement'!AC86</f>
        <v>5574.0044226160471</v>
      </c>
      <c r="AA28" s="127">
        <f>'Income Statement'!AD86</f>
        <v>6183.3575544738187</v>
      </c>
      <c r="AC28" s="4" t="s">
        <v>402</v>
      </c>
      <c r="AD28" s="127">
        <f>'Income Statement'!AH86</f>
        <v>2703.7344522472099</v>
      </c>
      <c r="AE28" s="127">
        <f>'Income Statement'!AI86</f>
        <v>2870.3377579209823</v>
      </c>
      <c r="AF28" s="127">
        <f>'Income Statement'!AJ86</f>
        <v>3047.2071092999304</v>
      </c>
      <c r="AG28" s="127">
        <f>'Income Statement'!AK86</f>
        <v>3234.975097040011</v>
      </c>
      <c r="AH28" s="127">
        <f>'Income Statement'!AL86</f>
        <v>3434.3132918435886</v>
      </c>
      <c r="AJ28" s="4" t="s">
        <v>402</v>
      </c>
      <c r="AK28" s="127">
        <f>'Income Statement'!AP86</f>
        <v>492.14409633612496</v>
      </c>
      <c r="AL28" s="127">
        <f>'Income Statement'!AQ86</f>
        <v>533.63748448561319</v>
      </c>
      <c r="AM28" s="127">
        <f>'Income Statement'!AR86</f>
        <v>578.62925647574207</v>
      </c>
      <c r="AN28" s="127">
        <f>'Income Statement'!AS86</f>
        <v>627.4143687856407</v>
      </c>
      <c r="AO28" s="127">
        <f>'Income Statement'!AT86</f>
        <v>680.3126464366203</v>
      </c>
    </row>
    <row r="29" spans="1:41" x14ac:dyDescent="0.3">
      <c r="A29" s="4" t="s">
        <v>78</v>
      </c>
      <c r="B29" s="127">
        <f>'Income Statement Forecast'!B9/'Income Statement'!$B$48</f>
        <v>1010.013472386743</v>
      </c>
      <c r="C29" s="127">
        <f>'Income Statement Forecast'!C9/'Income Statement'!$B$48</f>
        <v>1108.0530914842691</v>
      </c>
      <c r="D29" s="127">
        <f>'Income Statement Forecast'!D9/'Income Statement'!$B$48</f>
        <v>1215.6142861485985</v>
      </c>
      <c r="E29" s="127">
        <f>'Income Statement Forecast'!E9/'Income Statement'!$B$48</f>
        <v>1333.6223401711572</v>
      </c>
      <c r="F29" s="127">
        <f>'Income Statement Forecast'!F9/'Income Statement'!$B$48</f>
        <v>1463.0925137824711</v>
      </c>
      <c r="H29" s="4" t="s">
        <v>78</v>
      </c>
      <c r="I29" s="22">
        <f>'Income Statement'!J71/'Income Statement'!$J$57</f>
        <v>5371.2568587308251</v>
      </c>
      <c r="J29" s="22">
        <f>'Income Statement'!K71/'Income Statement'!$J$57</f>
        <v>5826.6140395975926</v>
      </c>
      <c r="K29" s="22">
        <f>'Income Statement'!L71/'Income Statement'!$J$57</f>
        <v>6320.5748783456429</v>
      </c>
      <c r="L29" s="22">
        <f>'Income Statement'!M71/'Income Statement'!$J$57</f>
        <v>6856.4120638979375</v>
      </c>
      <c r="M29" s="22">
        <f>'Income Statement'!N71/'Income Statement'!$J$57</f>
        <v>7437.6757327918494</v>
      </c>
      <c r="O29" s="18" t="s">
        <v>78</v>
      </c>
      <c r="P29" s="127">
        <f>'Income Statement'!R71/'Income Statement'!$R$52</f>
        <v>1392.1776762937807</v>
      </c>
      <c r="Q29" s="127">
        <f>'Income Statement'!S71/'Income Statement'!$R$52</f>
        <v>1572.7850719741657</v>
      </c>
      <c r="R29" s="127">
        <f>'Income Statement'!T71/'Income Statement'!$R$52</f>
        <v>1776.822689191567</v>
      </c>
      <c r="S29" s="127">
        <f>'Income Statement'!U71/'Income Statement'!$R$52</f>
        <v>2007.3301337118805</v>
      </c>
      <c r="T29" s="127">
        <f>'Income Statement'!V71/'Income Statement'!$R$52</f>
        <v>2267.741339762536</v>
      </c>
      <c r="V29" s="18" t="s">
        <v>78</v>
      </c>
      <c r="W29" s="127">
        <f>'Income Statement'!Z73/'Income Statement'!$Z$53</f>
        <v>2811.9029824090267</v>
      </c>
      <c r="X29" s="127">
        <f>'Income Statement'!AA73/'Income Statement'!$Z$53</f>
        <v>3119.3017138953178</v>
      </c>
      <c r="Y29" s="127">
        <f>'Income Statement'!AB73/'Income Statement'!$Z$53</f>
        <v>3460.305438409649</v>
      </c>
      <c r="Z29" s="127">
        <f>'Income Statement'!AC73/'Income Statement'!$Z$53</f>
        <v>3838.5878716858315</v>
      </c>
      <c r="AA29" s="127">
        <f>'Income Statement'!AD73/'Income Statement'!$Z$53</f>
        <v>4258.224342018093</v>
      </c>
      <c r="AC29" s="4" t="s">
        <v>78</v>
      </c>
      <c r="AD29" s="127">
        <f>'Income Statement'!AH73/'Income Statement'!$AH$52</f>
        <v>2468.0213526626353</v>
      </c>
      <c r="AE29" s="127">
        <f>'Income Statement'!AI73/'Income Statement'!$AH$52</f>
        <v>2620.1000878673067</v>
      </c>
      <c r="AF29" s="127">
        <f>'Income Statement'!AJ73/'Income Statement'!$AH$52</f>
        <v>2781.549869103043</v>
      </c>
      <c r="AG29" s="127">
        <f>'Income Statement'!AK73/'Income Statement'!$AH$52</f>
        <v>2952.9481374144325</v>
      </c>
      <c r="AH29" s="127">
        <f>'Income Statement'!AL73/'Income Statement'!$AH$52</f>
        <v>3134.9079155899672</v>
      </c>
      <c r="AJ29" s="4" t="s">
        <v>78</v>
      </c>
      <c r="AK29" s="127">
        <f>'Income Statement'!AP73/'Income Statement'!$AP$53</f>
        <v>3250.5932481818936</v>
      </c>
      <c r="AL29" s="127">
        <f>'Income Statement'!AQ73/'Income Statement'!$AP$53</f>
        <v>3524.6555164627625</v>
      </c>
      <c r="AM29" s="127">
        <f>'Income Statement'!AR73/'Income Statement'!$AP$53</f>
        <v>3821.8244784469498</v>
      </c>
      <c r="AN29" s="127">
        <f>'Income Statement'!AS73/'Income Statement'!$AP$53</f>
        <v>4144.0483105866424</v>
      </c>
      <c r="AO29" s="127">
        <f>'Income Statement'!AT73/'Income Statement'!$AP$53</f>
        <v>4493.4394451199032</v>
      </c>
    </row>
    <row r="30" spans="1:41" x14ac:dyDescent="0.3">
      <c r="A30" s="4" t="s">
        <v>51</v>
      </c>
      <c r="B30" s="127">
        <f>'Income Statement Forecast'!B7*'Income Statement'!$B$52</f>
        <v>532.9914714143639</v>
      </c>
      <c r="C30" s="127">
        <f>'Income Statement Forecast'!C7*'Income Statement'!$B$52</f>
        <v>584.72769302754023</v>
      </c>
      <c r="D30" s="127">
        <f>'Income Statement Forecast'!D7*'Income Statement'!$B$52</f>
        <v>641.48851947053231</v>
      </c>
      <c r="E30" s="127">
        <f>'Income Statement Forecast'!E7*'Income Statement'!$B$52</f>
        <v>703.76222974451309</v>
      </c>
      <c r="F30" s="127">
        <f>'Income Statement Forecast'!F7*'Income Statement'!$B$52</f>
        <v>772.08458407341072</v>
      </c>
      <c r="H30" s="4" t="s">
        <v>51</v>
      </c>
      <c r="I30" s="22">
        <f>'Income Statement'!J76*'Income Statement'!$J$61</f>
        <v>9685.2015315197696</v>
      </c>
      <c r="J30" s="22">
        <f>'Income Statement'!K76*'Income Statement'!$J$61</f>
        <v>10506.28050456323</v>
      </c>
      <c r="K30" s="22">
        <f>'Income Statement'!L76*'Income Statement'!$J$61</f>
        <v>11396.967805092707</v>
      </c>
      <c r="L30" s="22">
        <f>'Income Statement'!M76*'Income Statement'!$J$61</f>
        <v>12363.164594159058</v>
      </c>
      <c r="M30" s="22">
        <f>'Income Statement'!N76*'Income Statement'!$J$61</f>
        <v>13411.272313498017</v>
      </c>
      <c r="O30" s="18" t="s">
        <v>51</v>
      </c>
      <c r="P30" s="127">
        <f>'Income Statement'!R81</f>
        <v>1297.2226281629869</v>
      </c>
      <c r="Q30" s="127">
        <f>'Income Statement'!S81</f>
        <v>1465.5114927811132</v>
      </c>
      <c r="R30" s="127">
        <f>'Income Statement'!T81</f>
        <v>1655.6324942580948</v>
      </c>
      <c r="S30" s="127">
        <f>'Income Statement'!U81</f>
        <v>1870.4179186213248</v>
      </c>
      <c r="T30" s="127">
        <f>'Income Statement'!V81</f>
        <v>2113.0674847423943</v>
      </c>
      <c r="V30" s="18" t="s">
        <v>51</v>
      </c>
      <c r="W30" s="127">
        <f>'Income Statement'!Z83</f>
        <v>6855.2162165922127</v>
      </c>
      <c r="X30" s="127">
        <f>'Income Statement'!AA83</f>
        <v>7604.6321040633147</v>
      </c>
      <c r="Y30" s="127">
        <f>'Income Statement'!AB83</f>
        <v>8435.9745354463012</v>
      </c>
      <c r="Z30" s="127">
        <f>'Income Statement'!AC83</f>
        <v>9358.1997641507351</v>
      </c>
      <c r="AA30" s="127">
        <f>'Income Statement'!AD83</f>
        <v>10381.243145978477</v>
      </c>
      <c r="AC30" s="4" t="s">
        <v>51</v>
      </c>
      <c r="AD30" s="127">
        <f>'Income Statement'!AH83</f>
        <v>1164.2962524907462</v>
      </c>
      <c r="AE30" s="127">
        <f>'Income Statement'!AI83</f>
        <v>1236.0398382143073</v>
      </c>
      <c r="AF30" s="127">
        <f>'Income Statement'!AJ83</f>
        <v>1312.2042421630092</v>
      </c>
      <c r="AG30" s="127">
        <f>'Income Statement'!AK83</f>
        <v>1393.0618738293883</v>
      </c>
      <c r="AH30" s="127">
        <f>'Income Statement'!AL83</f>
        <v>1478.9019284971739</v>
      </c>
      <c r="AJ30" s="4" t="s">
        <v>51</v>
      </c>
      <c r="AK30" s="127">
        <f>'Income Statement'!AP83</f>
        <v>2939.6293807105071</v>
      </c>
      <c r="AL30" s="127">
        <f>'Income Statement'!AQ83</f>
        <v>3187.4738307761118</v>
      </c>
      <c r="AM30" s="127">
        <f>'Income Statement'!AR83</f>
        <v>3456.2145020897433</v>
      </c>
      <c r="AN30" s="127">
        <f>'Income Statement'!AS83</f>
        <v>3747.6132012818875</v>
      </c>
      <c r="AO30" s="127">
        <f>'Income Statement'!AT83</f>
        <v>4063.5802774481267</v>
      </c>
    </row>
    <row r="31" spans="1:41" s="21" customFormat="1" x14ac:dyDescent="0.3">
      <c r="A31" s="11" t="s">
        <v>406</v>
      </c>
      <c r="B31" s="128">
        <f>SUM(B28:B30)</f>
        <v>1545.0049438011069</v>
      </c>
      <c r="C31" s="128">
        <f t="shared" ref="C31:F31" si="39">SUM(C28:C30)</f>
        <v>1694.7807845118093</v>
      </c>
      <c r="D31" s="128">
        <f t="shared" si="39"/>
        <v>1859.1028056191308</v>
      </c>
      <c r="E31" s="128">
        <f t="shared" si="39"/>
        <v>2039.3845699156705</v>
      </c>
      <c r="F31" s="128">
        <f t="shared" si="39"/>
        <v>2237.1770978558816</v>
      </c>
      <c r="H31" s="11" t="s">
        <v>406</v>
      </c>
      <c r="I31" s="24">
        <f>SUM(I28:I30)</f>
        <v>15056.458390250595</v>
      </c>
      <c r="J31" s="24">
        <f t="shared" ref="J31:M31" si="40">SUM(J28:J30)</f>
        <v>16332.894544160823</v>
      </c>
      <c r="K31" s="24">
        <f t="shared" si="40"/>
        <v>17717.542683438351</v>
      </c>
      <c r="L31" s="24">
        <f t="shared" si="40"/>
        <v>19219.576658056994</v>
      </c>
      <c r="M31" s="24">
        <f t="shared" si="40"/>
        <v>20848.948046289865</v>
      </c>
      <c r="O31" s="19" t="s">
        <v>406</v>
      </c>
      <c r="P31" s="128">
        <f>SUM(P28:P30)</f>
        <v>5646.2403044567673</v>
      </c>
      <c r="Q31" s="128">
        <f t="shared" ref="Q31:T31" si="41">SUM(Q28:Q30)</f>
        <v>5995.1365647552793</v>
      </c>
      <c r="R31" s="128">
        <f t="shared" si="41"/>
        <v>6389.2951834496625</v>
      </c>
      <c r="S31" s="128">
        <f t="shared" si="41"/>
        <v>6834.5880523332062</v>
      </c>
      <c r="T31" s="128">
        <f t="shared" si="41"/>
        <v>7337.6488245049304</v>
      </c>
      <c r="V31" s="19" t="s">
        <v>406</v>
      </c>
      <c r="W31" s="128">
        <f>SUM(W28:W30)</f>
        <v>13750.276907992711</v>
      </c>
      <c r="X31" s="128">
        <f t="shared" ref="X31:AA31" si="42">SUM(X28:X30)</f>
        <v>15253.464502139712</v>
      </c>
      <c r="Y31" s="128">
        <f t="shared" si="42"/>
        <v>16920.981364585597</v>
      </c>
      <c r="Z31" s="128">
        <f t="shared" si="42"/>
        <v>18770.792058452615</v>
      </c>
      <c r="AA31" s="128">
        <f t="shared" si="42"/>
        <v>20822.825042470387</v>
      </c>
      <c r="AC31" s="11" t="s">
        <v>406</v>
      </c>
      <c r="AD31" s="128">
        <f>SUM(AD28:AD30)</f>
        <v>6336.0520574005914</v>
      </c>
      <c r="AE31" s="128">
        <f t="shared" ref="AE31:AH31" si="43">SUM(AE28:AE30)</f>
        <v>6726.4776840025961</v>
      </c>
      <c r="AF31" s="128">
        <f t="shared" si="43"/>
        <v>7140.9612205659823</v>
      </c>
      <c r="AG31" s="128">
        <f t="shared" si="43"/>
        <v>7580.9851082838322</v>
      </c>
      <c r="AH31" s="128">
        <f t="shared" si="43"/>
        <v>8048.1231359307294</v>
      </c>
      <c r="AJ31" s="11" t="s">
        <v>406</v>
      </c>
      <c r="AK31" s="128">
        <f>SUM(AK28:AK30)</f>
        <v>6682.3667252285259</v>
      </c>
      <c r="AL31" s="128">
        <f t="shared" ref="AL31:AO31" si="44">SUM(AL28:AL30)</f>
        <v>7245.7668317244879</v>
      </c>
      <c r="AM31" s="128">
        <f t="shared" si="44"/>
        <v>7856.6682370124354</v>
      </c>
      <c r="AN31" s="128">
        <f t="shared" si="44"/>
        <v>8519.0758806541708</v>
      </c>
      <c r="AO31" s="128">
        <f t="shared" si="44"/>
        <v>9237.3323690046509</v>
      </c>
    </row>
    <row r="32" spans="1:41" s="21" customFormat="1" x14ac:dyDescent="0.3">
      <c r="A32" s="11" t="s">
        <v>53</v>
      </c>
      <c r="B32" s="128">
        <f>B21+B26+B31</f>
        <v>18491.663645244807</v>
      </c>
      <c r="C32" s="128">
        <f t="shared" ref="C32:F32" si="45">C21+C26+C31</f>
        <v>20171.606876606522</v>
      </c>
      <c r="D32" s="128">
        <f t="shared" si="45"/>
        <v>22003.056682745228</v>
      </c>
      <c r="E32" s="128">
        <f t="shared" si="45"/>
        <v>24572.185041136432</v>
      </c>
      <c r="F32" s="128">
        <f t="shared" si="45"/>
        <v>27501.709843340563</v>
      </c>
      <c r="H32" s="11" t="s">
        <v>53</v>
      </c>
      <c r="I32" s="24">
        <f>I21+I26+I31</f>
        <v>100587.67722003911</v>
      </c>
      <c r="J32" s="24">
        <f t="shared" ref="J32:M32" si="46">J21+J26+J31</f>
        <v>108737.07359114078</v>
      </c>
      <c r="K32" s="24">
        <f t="shared" si="46"/>
        <v>117589.4758954133</v>
      </c>
      <c r="L32" s="24">
        <f t="shared" si="46"/>
        <v>127277.33975377459</v>
      </c>
      <c r="M32" s="24">
        <f t="shared" si="46"/>
        <v>137945.53748576849</v>
      </c>
      <c r="O32" s="107" t="s">
        <v>53</v>
      </c>
      <c r="P32" s="168">
        <f>P21+P26+P31</f>
        <v>28139.112873095379</v>
      </c>
      <c r="Q32" s="168">
        <f t="shared" ref="Q32:T32" si="47">Q21+Q26+Q31</f>
        <v>31059.27671767601</v>
      </c>
      <c r="R32" s="168">
        <f t="shared" si="47"/>
        <v>34571.625000514359</v>
      </c>
      <c r="S32" s="168">
        <f t="shared" si="47"/>
        <v>38790.66612989657</v>
      </c>
      <c r="T32" s="168">
        <f t="shared" si="47"/>
        <v>43858.544159664838</v>
      </c>
      <c r="V32" s="107" t="s">
        <v>53</v>
      </c>
      <c r="W32" s="168">
        <f>W21+W26+W31</f>
        <v>52211.030601330574</v>
      </c>
      <c r="X32" s="168">
        <f t="shared" ref="X32:AA32" si="48">X21+X26+X31</f>
        <v>57510.067466521359</v>
      </c>
      <c r="Y32" s="168">
        <f t="shared" si="48"/>
        <v>63317.800492929462</v>
      </c>
      <c r="Z32" s="168">
        <f t="shared" si="48"/>
        <v>69698.0741512159</v>
      </c>
      <c r="AA32" s="168">
        <f t="shared" si="48"/>
        <v>76720.355033666332</v>
      </c>
      <c r="AC32" s="11" t="s">
        <v>53</v>
      </c>
      <c r="AD32" s="128">
        <f>AD21+AD26+AD31</f>
        <v>17126.710999661773</v>
      </c>
      <c r="AE32" s="128">
        <f t="shared" ref="AE32:AH32" si="49">AE21+AE26+AE31</f>
        <v>18150.671180317298</v>
      </c>
      <c r="AF32" s="128">
        <f t="shared" si="49"/>
        <v>19236.055876163777</v>
      </c>
      <c r="AG32" s="128">
        <f t="shared" si="49"/>
        <v>20386.97919277467</v>
      </c>
      <c r="AH32" s="128">
        <f t="shared" si="49"/>
        <v>21607.737046640577</v>
      </c>
      <c r="AJ32" s="11" t="s">
        <v>53</v>
      </c>
      <c r="AK32" s="128">
        <f>AK21+AK26+AK31</f>
        <v>41084.151117150192</v>
      </c>
      <c r="AL32" s="128">
        <f t="shared" ref="AL32:AO32" si="50">AL21+AL26+AL31</f>
        <v>45073.865197378102</v>
      </c>
      <c r="AM32" s="128">
        <f t="shared" si="50"/>
        <v>50370.316813987476</v>
      </c>
      <c r="AN32" s="128">
        <f t="shared" si="50"/>
        <v>55834.495312725528</v>
      </c>
      <c r="AO32" s="128">
        <f t="shared" si="50"/>
        <v>61532.500910210932</v>
      </c>
    </row>
    <row r="34" spans="1:6" x14ac:dyDescent="0.3">
      <c r="A34" s="1" t="s">
        <v>467</v>
      </c>
      <c r="B34" s="132">
        <f>B15-B31</f>
        <v>8917.6956358201805</v>
      </c>
      <c r="C34" s="132">
        <f t="shared" ref="C34:F34" si="51">C15-C31</f>
        <v>9047.9227231147943</v>
      </c>
      <c r="D34" s="132">
        <f t="shared" si="51"/>
        <v>9206.6375787171128</v>
      </c>
      <c r="E34" s="132">
        <f t="shared" si="51"/>
        <v>9966.0703935265974</v>
      </c>
      <c r="F34" s="132">
        <f t="shared" si="51"/>
        <v>10933.786489414775</v>
      </c>
    </row>
    <row r="35" spans="1:6" x14ac:dyDescent="0.3">
      <c r="A35" s="1" t="s">
        <v>424</v>
      </c>
      <c r="C35" s="132">
        <f>C34-B34</f>
        <v>130.22708729461374</v>
      </c>
      <c r="D35" s="132">
        <f t="shared" ref="D35:F35" si="52">D34-C34</f>
        <v>158.71485560231849</v>
      </c>
      <c r="E35" s="132">
        <f t="shared" si="52"/>
        <v>759.43281480948463</v>
      </c>
      <c r="F35" s="132">
        <f t="shared" si="52"/>
        <v>967.71609588817773</v>
      </c>
    </row>
  </sheetData>
  <mergeCells count="6">
    <mergeCell ref="O2:T2"/>
    <mergeCell ref="H2:M2"/>
    <mergeCell ref="A2:F2"/>
    <mergeCell ref="AJ2:AO2"/>
    <mergeCell ref="AC2:AH2"/>
    <mergeCell ref="V2:AA2"/>
  </mergeCells>
  <pageMargins left="0.7" right="0.7" top="0.75" bottom="0.75" header="0.3" footer="0.3"/>
  <picture r:id="rId1"/>
  <tableParts count="6">
    <tablePart r:id="rId2"/>
    <tablePart r:id="rId3"/>
    <tablePart r:id="rId4"/>
    <tablePart r:id="rId5"/>
    <tablePart r:id="rId6"/>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D9DFE-B713-4417-AB29-E4EAB18A4547}">
  <dimension ref="A1:AV88"/>
  <sheetViews>
    <sheetView topLeftCell="AO26" zoomScaleNormal="90" workbookViewId="0">
      <selection activeCell="AP37" sqref="AP37"/>
    </sheetView>
  </sheetViews>
  <sheetFormatPr defaultRowHeight="14.4" x14ac:dyDescent="0.3"/>
  <cols>
    <col min="1" max="1" width="45.21875" style="1" bestFit="1" customWidth="1"/>
    <col min="2" max="2" width="10.44140625" style="49" customWidth="1"/>
    <col min="3" max="7" width="10.44140625" style="49" bestFit="1" customWidth="1"/>
    <col min="8" max="8" width="8.88671875" style="1"/>
    <col min="9" max="9" width="44.88671875" style="1" bestFit="1" customWidth="1"/>
    <col min="10" max="15" width="11" style="1" bestFit="1" customWidth="1"/>
    <col min="16" max="16" width="8.88671875" style="1"/>
    <col min="17" max="17" width="46.88671875" style="1" bestFit="1" customWidth="1"/>
    <col min="18" max="23" width="11" style="1" bestFit="1" customWidth="1"/>
    <col min="24" max="24" width="8.88671875" style="1"/>
    <col min="25" max="25" width="46.88671875" style="1" bestFit="1" customWidth="1"/>
    <col min="26" max="31" width="11" style="1" bestFit="1" customWidth="1"/>
    <col min="32" max="32" width="8.88671875" style="1"/>
    <col min="33" max="33" width="46.88671875" style="1" bestFit="1" customWidth="1"/>
    <col min="34" max="39" width="11" style="49" bestFit="1" customWidth="1"/>
    <col min="40" max="40" width="8.88671875" style="1"/>
    <col min="41" max="41" width="49.88671875" style="1" bestFit="1" customWidth="1"/>
    <col min="42" max="47" width="11" style="1" bestFit="1" customWidth="1"/>
    <col min="48" max="16384" width="8.88671875" style="1"/>
  </cols>
  <sheetData>
    <row r="1" spans="1:47" ht="33.6" x14ac:dyDescent="0.3">
      <c r="A1" s="379" t="s">
        <v>120</v>
      </c>
      <c r="B1" s="379"/>
      <c r="C1" s="379"/>
      <c r="D1" s="379"/>
      <c r="AH1" s="1"/>
      <c r="AI1" s="1"/>
      <c r="AJ1" s="1"/>
      <c r="AK1" s="1"/>
      <c r="AL1" s="1"/>
      <c r="AM1" s="1"/>
    </row>
    <row r="2" spans="1:47" ht="33.6" x14ac:dyDescent="0.3">
      <c r="A2" s="380" t="e" vm="4">
        <v>#VALUE!</v>
      </c>
      <c r="B2" s="380"/>
      <c r="C2" s="380"/>
      <c r="D2" s="380"/>
      <c r="E2" s="380"/>
      <c r="F2" s="380"/>
      <c r="G2" s="380"/>
      <c r="I2" s="381" t="e" vm="6">
        <v>#VALUE!</v>
      </c>
      <c r="J2" s="381"/>
      <c r="K2" s="381"/>
      <c r="L2" s="381"/>
      <c r="M2" s="381"/>
      <c r="N2" s="381"/>
      <c r="O2" s="381"/>
      <c r="Q2" s="378" t="e" vm="5">
        <v>#VALUE!</v>
      </c>
      <c r="R2" s="378"/>
      <c r="S2" s="378"/>
      <c r="T2" s="378"/>
      <c r="U2" s="378"/>
      <c r="V2" s="378"/>
      <c r="W2" s="378"/>
      <c r="Y2" s="378" t="e" vm="3">
        <v>#VALUE!</v>
      </c>
      <c r="Z2" s="378"/>
      <c r="AA2" s="378"/>
      <c r="AB2" s="378"/>
      <c r="AC2" s="378"/>
      <c r="AD2" s="378"/>
      <c r="AE2" s="378"/>
      <c r="AG2" s="378" t="e" vm="1">
        <v>#VALUE!</v>
      </c>
      <c r="AH2" s="378"/>
      <c r="AI2" s="378"/>
      <c r="AJ2" s="378"/>
      <c r="AK2" s="378"/>
      <c r="AL2" s="378"/>
      <c r="AM2" s="378"/>
      <c r="AO2" s="378" t="e" vm="2">
        <v>#VALUE!</v>
      </c>
      <c r="AP2" s="378"/>
      <c r="AQ2" s="378"/>
      <c r="AR2" s="378"/>
      <c r="AS2" s="378"/>
      <c r="AT2" s="378"/>
      <c r="AU2" s="378"/>
    </row>
    <row r="3" spans="1:47" x14ac:dyDescent="0.3">
      <c r="A3" s="54" t="s">
        <v>12</v>
      </c>
      <c r="B3" s="53" t="s">
        <v>54</v>
      </c>
      <c r="C3" s="53" t="s">
        <v>55</v>
      </c>
      <c r="D3" s="53" t="s">
        <v>56</v>
      </c>
      <c r="E3" s="53" t="s">
        <v>57</v>
      </c>
      <c r="F3" s="53" t="s">
        <v>58</v>
      </c>
      <c r="G3" s="53" t="s">
        <v>59</v>
      </c>
      <c r="I3" s="56" t="s">
        <v>12</v>
      </c>
      <c r="J3" s="55" t="s">
        <v>54</v>
      </c>
      <c r="K3" s="55" t="s">
        <v>55</v>
      </c>
      <c r="L3" s="55" t="s">
        <v>56</v>
      </c>
      <c r="M3" s="55" t="s">
        <v>57</v>
      </c>
      <c r="N3" s="55" t="s">
        <v>58</v>
      </c>
      <c r="O3" s="55" t="s">
        <v>59</v>
      </c>
      <c r="Q3" s="58" t="s">
        <v>12</v>
      </c>
      <c r="R3" s="59" t="s">
        <v>54</v>
      </c>
      <c r="S3" s="59" t="s">
        <v>55</v>
      </c>
      <c r="T3" s="59" t="s">
        <v>56</v>
      </c>
      <c r="U3" s="59" t="s">
        <v>57</v>
      </c>
      <c r="V3" s="59" t="s">
        <v>58</v>
      </c>
      <c r="W3" s="60" t="s">
        <v>59</v>
      </c>
      <c r="Y3" s="39" t="s">
        <v>12</v>
      </c>
      <c r="Z3" s="40" t="s">
        <v>54</v>
      </c>
      <c r="AA3" s="40" t="s">
        <v>55</v>
      </c>
      <c r="AB3" s="40" t="s">
        <v>56</v>
      </c>
      <c r="AC3" s="40" t="s">
        <v>57</v>
      </c>
      <c r="AD3" s="40" t="s">
        <v>58</v>
      </c>
      <c r="AE3" s="40" t="s">
        <v>59</v>
      </c>
      <c r="AG3" s="14" t="s">
        <v>12</v>
      </c>
      <c r="AH3" s="15" t="s">
        <v>54</v>
      </c>
      <c r="AI3" s="15" t="s">
        <v>55</v>
      </c>
      <c r="AJ3" s="15" t="s">
        <v>56</v>
      </c>
      <c r="AK3" s="15" t="s">
        <v>57</v>
      </c>
      <c r="AL3" s="15" t="s">
        <v>58</v>
      </c>
      <c r="AM3" s="15" t="s">
        <v>59</v>
      </c>
      <c r="AO3" s="62" t="s">
        <v>12</v>
      </c>
      <c r="AP3" s="63" t="s">
        <v>54</v>
      </c>
      <c r="AQ3" s="63" t="s">
        <v>55</v>
      </c>
      <c r="AR3" s="63" t="s">
        <v>56</v>
      </c>
      <c r="AS3" s="63" t="s">
        <v>57</v>
      </c>
      <c r="AT3" s="63" t="s">
        <v>58</v>
      </c>
      <c r="AU3" s="64" t="s">
        <v>59</v>
      </c>
    </row>
    <row r="4" spans="1:47" x14ac:dyDescent="0.3">
      <c r="A4" s="16" t="s">
        <v>121</v>
      </c>
      <c r="B4" s="100"/>
      <c r="C4" s="100"/>
      <c r="D4" s="100"/>
      <c r="E4" s="100"/>
      <c r="F4" s="100"/>
      <c r="G4" s="100"/>
      <c r="I4" s="16" t="s">
        <v>121</v>
      </c>
      <c r="J4" s="16"/>
      <c r="K4" s="16"/>
      <c r="L4" s="16"/>
      <c r="M4" s="16"/>
      <c r="N4" s="16"/>
      <c r="O4" s="16"/>
      <c r="Q4" s="16" t="s">
        <v>121</v>
      </c>
      <c r="R4" s="16"/>
      <c r="S4" s="16"/>
      <c r="T4" s="16"/>
      <c r="U4" s="16"/>
      <c r="V4" s="16"/>
      <c r="W4" s="16"/>
      <c r="Y4" s="16" t="s">
        <v>121</v>
      </c>
      <c r="Z4" s="16"/>
      <c r="AA4" s="16"/>
      <c r="AB4" s="16"/>
      <c r="AC4" s="16"/>
      <c r="AD4" s="16"/>
      <c r="AE4" s="16"/>
      <c r="AG4" s="16" t="s">
        <v>121</v>
      </c>
      <c r="AH4" s="16"/>
      <c r="AI4" s="16"/>
      <c r="AJ4" s="16"/>
      <c r="AK4" s="16"/>
      <c r="AL4" s="16"/>
      <c r="AM4" s="16"/>
      <c r="AO4" s="21" t="s">
        <v>121</v>
      </c>
      <c r="AP4" s="21"/>
      <c r="AQ4" s="21"/>
      <c r="AR4" s="21"/>
      <c r="AS4" s="21"/>
      <c r="AT4" s="21"/>
      <c r="AU4" s="21"/>
    </row>
    <row r="5" spans="1:47" x14ac:dyDescent="0.3">
      <c r="A5" s="4" t="s">
        <v>122</v>
      </c>
      <c r="B5" s="127">
        <v>5394.42</v>
      </c>
      <c r="C5" s="127">
        <v>6969.4</v>
      </c>
      <c r="D5" s="127">
        <v>8959.83</v>
      </c>
      <c r="E5" s="127">
        <v>7767.51</v>
      </c>
      <c r="F5" s="127">
        <v>7845</v>
      </c>
      <c r="G5" s="127">
        <v>9360</v>
      </c>
      <c r="I5" s="4" t="s">
        <v>139</v>
      </c>
      <c r="J5" s="22">
        <v>32837.5</v>
      </c>
      <c r="K5" s="22">
        <v>33498.14</v>
      </c>
      <c r="L5" s="22">
        <v>38654.49</v>
      </c>
      <c r="M5" s="22">
        <v>43885.68</v>
      </c>
      <c r="N5" s="22">
        <v>48496.85</v>
      </c>
      <c r="O5" s="22">
        <v>52578.44</v>
      </c>
      <c r="Q5" s="4" t="s">
        <v>139</v>
      </c>
      <c r="R5" s="22">
        <v>5871.8684999999996</v>
      </c>
      <c r="S5" s="22">
        <v>6223.8981999999996</v>
      </c>
      <c r="T5" s="22">
        <v>7781.5550999999996</v>
      </c>
      <c r="U5" s="22">
        <v>8749.4330000000009</v>
      </c>
      <c r="V5" s="22">
        <v>10260.44</v>
      </c>
      <c r="W5" s="22">
        <v>12207.44</v>
      </c>
      <c r="Y5" s="18" t="s">
        <v>162</v>
      </c>
      <c r="Z5" s="22">
        <v>16357.4</v>
      </c>
      <c r="AA5" s="22">
        <v>18420.2</v>
      </c>
      <c r="AB5" s="22">
        <v>20514.400000000001</v>
      </c>
      <c r="AC5" s="22">
        <v>23459.5</v>
      </c>
      <c r="AD5" s="22">
        <v>27139.599999999999</v>
      </c>
      <c r="AE5" s="23">
        <v>31632</v>
      </c>
      <c r="AG5" s="18" t="s">
        <v>139</v>
      </c>
      <c r="AH5" s="22">
        <v>7939.31</v>
      </c>
      <c r="AI5" s="22">
        <v>8004.83</v>
      </c>
      <c r="AJ5" s="22">
        <v>8508.0400000000009</v>
      </c>
      <c r="AK5" s="22">
        <v>9620.15</v>
      </c>
      <c r="AL5" s="22">
        <v>10727.84</v>
      </c>
      <c r="AM5" s="23">
        <v>11516.09</v>
      </c>
      <c r="AO5" s="4" t="s">
        <v>170</v>
      </c>
      <c r="AP5" s="65">
        <v>16694.849999999999</v>
      </c>
      <c r="AQ5" s="65">
        <v>18988.52</v>
      </c>
      <c r="AR5" s="65">
        <v>21623.360000000001</v>
      </c>
      <c r="AS5" s="65">
        <v>22473.18</v>
      </c>
      <c r="AT5" s="65">
        <v>25446.63</v>
      </c>
      <c r="AU5" s="65">
        <v>27145.4</v>
      </c>
    </row>
    <row r="6" spans="1:47" x14ac:dyDescent="0.3">
      <c r="A6" s="4" t="s">
        <v>123</v>
      </c>
      <c r="B6" s="127">
        <v>189.63</v>
      </c>
      <c r="C6" s="127">
        <v>62.56</v>
      </c>
      <c r="D6" s="127">
        <v>113.87</v>
      </c>
      <c r="E6" s="127">
        <v>344.66</v>
      </c>
      <c r="F6" s="127">
        <v>339</v>
      </c>
      <c r="G6" s="127">
        <v>352</v>
      </c>
      <c r="I6" s="4" t="s">
        <v>123</v>
      </c>
      <c r="J6" s="22">
        <v>635.98</v>
      </c>
      <c r="K6" s="22">
        <v>835.52</v>
      </c>
      <c r="L6" s="22">
        <v>921.51</v>
      </c>
      <c r="M6" s="22">
        <v>634.52</v>
      </c>
      <c r="N6" s="22">
        <v>1354.19</v>
      </c>
      <c r="O6" s="22">
        <v>1965.04</v>
      </c>
      <c r="Q6" s="4" t="s">
        <v>123</v>
      </c>
      <c r="R6" s="22">
        <v>103.78440000000001</v>
      </c>
      <c r="S6" s="22">
        <v>161.4821</v>
      </c>
      <c r="T6" s="22">
        <v>196.02959999999999</v>
      </c>
      <c r="U6" s="22">
        <v>128.5668</v>
      </c>
      <c r="V6" s="22">
        <v>280.22000000000003</v>
      </c>
      <c r="W6" s="22">
        <v>536.79</v>
      </c>
      <c r="Y6" s="18" t="s">
        <v>163</v>
      </c>
      <c r="Z6" s="22">
        <v>1102.5999999999999</v>
      </c>
      <c r="AA6" s="22">
        <v>552</v>
      </c>
      <c r="AB6" s="22">
        <v>924.7</v>
      </c>
      <c r="AC6" s="22">
        <v>1128.4000000000001</v>
      </c>
      <c r="AD6" s="22">
        <v>776.8</v>
      </c>
      <c r="AE6" s="23">
        <v>921.5</v>
      </c>
      <c r="AG6" s="350" t="s">
        <v>123</v>
      </c>
      <c r="AH6" s="351">
        <v>121.3</v>
      </c>
      <c r="AI6" s="351">
        <v>56.65</v>
      </c>
      <c r="AJ6" s="351">
        <v>196.56</v>
      </c>
      <c r="AK6" s="351">
        <v>45.14</v>
      </c>
      <c r="AL6" s="351">
        <v>57.91</v>
      </c>
      <c r="AM6" s="352">
        <v>23.27</v>
      </c>
      <c r="AO6" s="4" t="s">
        <v>171</v>
      </c>
      <c r="AP6" s="65">
        <v>437.14</v>
      </c>
      <c r="AQ6" s="65">
        <v>171.07</v>
      </c>
      <c r="AR6" s="65">
        <v>139.97999999999999</v>
      </c>
      <c r="AS6" s="65">
        <v>279.94</v>
      </c>
      <c r="AT6" s="65">
        <v>327.45999999999998</v>
      </c>
      <c r="AU6" s="65">
        <v>402.22</v>
      </c>
    </row>
    <row r="7" spans="1:47" x14ac:dyDescent="0.3">
      <c r="A7" s="11" t="s">
        <v>124</v>
      </c>
      <c r="B7" s="128">
        <f>SUM(B5:B6)</f>
        <v>5584.05</v>
      </c>
      <c r="C7" s="128">
        <f t="shared" ref="C7:G7" si="0">SUM(C5:C6)</f>
        <v>7031.96</v>
      </c>
      <c r="D7" s="128">
        <f t="shared" si="0"/>
        <v>9073.7000000000007</v>
      </c>
      <c r="E7" s="128">
        <f t="shared" si="0"/>
        <v>8112.17</v>
      </c>
      <c r="F7" s="128">
        <f t="shared" si="0"/>
        <v>8184</v>
      </c>
      <c r="G7" s="128">
        <f t="shared" si="0"/>
        <v>9712</v>
      </c>
      <c r="I7" s="11" t="s">
        <v>124</v>
      </c>
      <c r="J7" s="24">
        <f>SUM(J5:J6)</f>
        <v>33473.480000000003</v>
      </c>
      <c r="K7" s="24">
        <f t="shared" ref="K7:O7" si="1">SUM(K5:K6)</f>
        <v>34333.659999999996</v>
      </c>
      <c r="L7" s="24">
        <f t="shared" si="1"/>
        <v>39576</v>
      </c>
      <c r="M7" s="24">
        <f t="shared" si="1"/>
        <v>44520.2</v>
      </c>
      <c r="N7" s="24">
        <f t="shared" si="1"/>
        <v>49851.040000000001</v>
      </c>
      <c r="O7" s="24">
        <f t="shared" si="1"/>
        <v>54543.48</v>
      </c>
      <c r="Q7" s="11" t="s">
        <v>124</v>
      </c>
      <c r="R7" s="24">
        <f>SUM(R5:R6)</f>
        <v>5975.6528999999991</v>
      </c>
      <c r="S7" s="24">
        <f t="shared" ref="S7:W7" si="2">SUM(S5:S6)</f>
        <v>6385.3802999999998</v>
      </c>
      <c r="T7" s="24">
        <f t="shared" si="2"/>
        <v>7977.5846999999994</v>
      </c>
      <c r="U7" s="24">
        <f t="shared" si="2"/>
        <v>8877.9998000000014</v>
      </c>
      <c r="V7" s="24">
        <f t="shared" si="2"/>
        <v>10540.66</v>
      </c>
      <c r="W7" s="24">
        <f t="shared" si="2"/>
        <v>12744.23</v>
      </c>
      <c r="Y7" s="18" t="s">
        <v>164</v>
      </c>
      <c r="Z7" s="22">
        <v>57</v>
      </c>
      <c r="AA7" s="22">
        <v>75.3</v>
      </c>
      <c r="AB7" s="22">
        <v>106.1</v>
      </c>
      <c r="AC7" s="22">
        <v>81.8</v>
      </c>
      <c r="AD7" s="22">
        <v>94.7</v>
      </c>
      <c r="AE7" s="23">
        <v>90.4</v>
      </c>
      <c r="AG7" s="19" t="s">
        <v>124</v>
      </c>
      <c r="AH7" s="24">
        <f>SUM(AH5:AH6)</f>
        <v>8060.6100000000006</v>
      </c>
      <c r="AI7" s="24">
        <f t="shared" ref="AI7" si="3">SUM(AI5:AI6)</f>
        <v>8061.48</v>
      </c>
      <c r="AJ7" s="24">
        <f t="shared" ref="AJ7" si="4">SUM(AJ5:AJ6)</f>
        <v>8704.6</v>
      </c>
      <c r="AK7" s="24">
        <f t="shared" ref="AK7" si="5">SUM(AK5:AK6)</f>
        <v>9665.2899999999991</v>
      </c>
      <c r="AL7" s="24">
        <f t="shared" ref="AL7" si="6">SUM(AL5:AL6)</f>
        <v>10785.75</v>
      </c>
      <c r="AM7" s="61">
        <f t="shared" ref="AM7" si="7">SUM(AM5:AM6)</f>
        <v>11539.36</v>
      </c>
      <c r="AO7" s="4" t="s">
        <v>123</v>
      </c>
      <c r="AP7" s="65">
        <v>344.2</v>
      </c>
      <c r="AQ7" s="65">
        <v>265.99</v>
      </c>
      <c r="AR7" s="65">
        <v>280.91000000000003</v>
      </c>
      <c r="AS7" s="65">
        <v>475.45</v>
      </c>
      <c r="AT7" s="65">
        <v>746.57</v>
      </c>
      <c r="AU7" s="65">
        <v>861.87</v>
      </c>
    </row>
    <row r="8" spans="1:47" x14ac:dyDescent="0.3">
      <c r="A8" s="16" t="s">
        <v>125</v>
      </c>
      <c r="B8" s="131"/>
      <c r="C8" s="131"/>
      <c r="D8" s="131"/>
      <c r="E8" s="131"/>
      <c r="F8" s="131"/>
      <c r="G8" s="131"/>
      <c r="I8" s="16" t="s">
        <v>125</v>
      </c>
      <c r="J8" s="44"/>
      <c r="K8" s="44"/>
      <c r="L8" s="44"/>
      <c r="M8" s="44"/>
      <c r="N8" s="44"/>
      <c r="O8" s="44"/>
      <c r="Q8" s="16" t="s">
        <v>125</v>
      </c>
      <c r="R8" s="25"/>
      <c r="S8" s="25"/>
      <c r="T8" s="25"/>
      <c r="U8" s="25"/>
      <c r="V8" s="25"/>
      <c r="W8" s="25"/>
      <c r="Y8" s="18" t="s">
        <v>123</v>
      </c>
      <c r="Z8" s="22">
        <v>620.6</v>
      </c>
      <c r="AA8" s="22">
        <v>291.39999999999998</v>
      </c>
      <c r="AB8" s="22">
        <v>484.4</v>
      </c>
      <c r="AC8" s="22">
        <v>1055.5</v>
      </c>
      <c r="AD8" s="22">
        <v>894.3</v>
      </c>
      <c r="AE8" s="23">
        <v>1097.3</v>
      </c>
      <c r="AG8" s="16" t="s">
        <v>125</v>
      </c>
      <c r="AH8" s="25"/>
      <c r="AI8" s="25"/>
      <c r="AJ8" s="25"/>
      <c r="AK8" s="25"/>
      <c r="AL8" s="25"/>
      <c r="AM8" s="25"/>
      <c r="AO8" s="11" t="s">
        <v>124</v>
      </c>
      <c r="AP8" s="66">
        <f>SUM(AP5:AP7)</f>
        <v>17476.189999999999</v>
      </c>
      <c r="AQ8" s="66">
        <f t="shared" ref="AQ8:AU8" si="8">SUM(AQ5:AQ7)</f>
        <v>19425.580000000002</v>
      </c>
      <c r="AR8" s="66">
        <f t="shared" si="8"/>
        <v>22044.25</v>
      </c>
      <c r="AS8" s="66">
        <f t="shared" si="8"/>
        <v>23228.57</v>
      </c>
      <c r="AT8" s="66">
        <f t="shared" si="8"/>
        <v>26520.66</v>
      </c>
      <c r="AU8" s="66">
        <f t="shared" si="8"/>
        <v>28409.49</v>
      </c>
    </row>
    <row r="9" spans="1:47" x14ac:dyDescent="0.3">
      <c r="A9" s="4" t="s">
        <v>126</v>
      </c>
      <c r="B9" s="127">
        <v>2198.41</v>
      </c>
      <c r="C9" s="127">
        <v>2397.44</v>
      </c>
      <c r="D9" s="127">
        <v>3476.56</v>
      </c>
      <c r="E9" s="127">
        <v>3008.36</v>
      </c>
      <c r="F9" s="127">
        <v>3232</v>
      </c>
      <c r="G9" s="127">
        <v>3821</v>
      </c>
      <c r="I9" s="4" t="s">
        <v>140</v>
      </c>
      <c r="J9" s="22">
        <v>5515.23</v>
      </c>
      <c r="K9" s="22">
        <v>6153.13</v>
      </c>
      <c r="L9" s="22">
        <v>7049.12</v>
      </c>
      <c r="M9" s="22">
        <v>7777.57</v>
      </c>
      <c r="N9" s="22">
        <v>6904.33</v>
      </c>
      <c r="O9" s="22">
        <v>6449.1</v>
      </c>
      <c r="Q9" s="4" t="s">
        <v>154</v>
      </c>
      <c r="R9" s="22">
        <v>1297.3217</v>
      </c>
      <c r="S9" s="22">
        <v>1373.1783</v>
      </c>
      <c r="T9" s="22">
        <v>2057.5616</v>
      </c>
      <c r="U9" s="22">
        <v>1813.6635000000001</v>
      </c>
      <c r="V9" s="22">
        <v>1842.29</v>
      </c>
      <c r="W9" s="22">
        <v>2016.35</v>
      </c>
      <c r="Y9" s="19" t="s">
        <v>124</v>
      </c>
      <c r="Z9" s="24">
        <f>SUM(Z5:Z8)</f>
        <v>18137.599999999999</v>
      </c>
      <c r="AA9" s="24">
        <f t="shared" ref="AA9:AE9" si="9">SUM(AA5:AA8)</f>
        <v>19338.900000000001</v>
      </c>
      <c r="AB9" s="24">
        <f t="shared" si="9"/>
        <v>22029.600000000002</v>
      </c>
      <c r="AC9" s="24">
        <f t="shared" si="9"/>
        <v>25725.200000000001</v>
      </c>
      <c r="AD9" s="24">
        <f t="shared" si="9"/>
        <v>28905.399999999998</v>
      </c>
      <c r="AE9" s="24">
        <f t="shared" si="9"/>
        <v>33741.200000000004</v>
      </c>
      <c r="AG9" s="18" t="s">
        <v>126</v>
      </c>
      <c r="AH9" s="22">
        <v>1377.35</v>
      </c>
      <c r="AI9" s="22">
        <v>1420.69</v>
      </c>
      <c r="AJ9" s="22">
        <v>1537.5</v>
      </c>
      <c r="AK9" s="22">
        <v>1480.42</v>
      </c>
      <c r="AL9" s="22">
        <v>1657.59</v>
      </c>
      <c r="AM9" s="23">
        <v>1520.32</v>
      </c>
      <c r="AO9" s="16" t="s">
        <v>172</v>
      </c>
      <c r="AP9" s="25"/>
      <c r="AQ9" s="25"/>
      <c r="AR9" s="25"/>
      <c r="AS9" s="25"/>
      <c r="AT9" s="25"/>
      <c r="AU9" s="25"/>
    </row>
    <row r="10" spans="1:47" x14ac:dyDescent="0.3">
      <c r="A10" s="4" t="s">
        <v>127</v>
      </c>
      <c r="B10" s="127">
        <v>16.11</v>
      </c>
      <c r="C10" s="127">
        <v>5.31</v>
      </c>
      <c r="D10" s="127">
        <v>14.41</v>
      </c>
      <c r="E10" s="127">
        <v>22.33</v>
      </c>
      <c r="F10" s="127">
        <v>6</v>
      </c>
      <c r="G10" s="127">
        <v>0</v>
      </c>
      <c r="I10" s="4" t="s">
        <v>127</v>
      </c>
      <c r="J10" s="22">
        <v>3414.37</v>
      </c>
      <c r="K10" s="22">
        <v>3175.17</v>
      </c>
      <c r="L10" s="22">
        <v>3410.03</v>
      </c>
      <c r="M10" s="22">
        <v>3571.5</v>
      </c>
      <c r="N10" s="22">
        <v>3466.15</v>
      </c>
      <c r="O10" s="22">
        <v>4147.95</v>
      </c>
      <c r="Q10" s="4" t="s">
        <v>127</v>
      </c>
      <c r="R10" s="22">
        <v>591.20529999999997</v>
      </c>
      <c r="S10" s="22">
        <v>654.82449999999994</v>
      </c>
      <c r="T10" s="22">
        <v>813.75440000000003</v>
      </c>
      <c r="U10" s="22">
        <v>809.23760000000004</v>
      </c>
      <c r="V10" s="22">
        <v>1409.85</v>
      </c>
      <c r="W10" s="22">
        <v>1655.69</v>
      </c>
      <c r="Y10" s="21" t="s">
        <v>125</v>
      </c>
      <c r="Z10" s="31"/>
      <c r="AA10" s="31"/>
      <c r="AB10" s="31"/>
      <c r="AC10" s="31"/>
      <c r="AD10" s="31"/>
      <c r="AE10" s="31"/>
      <c r="AG10" s="350" t="s">
        <v>127</v>
      </c>
      <c r="AH10" s="351">
        <v>922.7</v>
      </c>
      <c r="AI10" s="351">
        <v>1004.97</v>
      </c>
      <c r="AJ10" s="351">
        <v>830.65</v>
      </c>
      <c r="AK10" s="351">
        <v>1088.58</v>
      </c>
      <c r="AL10" s="351">
        <v>1183.6300000000001</v>
      </c>
      <c r="AM10" s="352">
        <v>1530.5</v>
      </c>
      <c r="AO10" s="4" t="s">
        <v>140</v>
      </c>
      <c r="AP10" s="65">
        <v>4376.8100000000004</v>
      </c>
      <c r="AQ10" s="65">
        <v>4886.43</v>
      </c>
      <c r="AR10" s="65">
        <v>5533.13</v>
      </c>
      <c r="AS10" s="65">
        <v>5519.62</v>
      </c>
      <c r="AT10" s="65">
        <v>5220.51</v>
      </c>
      <c r="AU10" s="65">
        <v>5409.6</v>
      </c>
    </row>
    <row r="11" spans="1:47" x14ac:dyDescent="0.3">
      <c r="A11" s="4" t="s">
        <v>128</v>
      </c>
      <c r="B11" s="127">
        <v>-105.98</v>
      </c>
      <c r="C11" s="127">
        <v>-78.67</v>
      </c>
      <c r="D11" s="127">
        <v>-523.83000000000004</v>
      </c>
      <c r="E11" s="127">
        <v>23.03</v>
      </c>
      <c r="F11" s="127">
        <v>-109</v>
      </c>
      <c r="G11" s="127">
        <v>-96</v>
      </c>
      <c r="I11" s="4" t="s">
        <v>141</v>
      </c>
      <c r="J11" s="22">
        <v>300.85000000000002</v>
      </c>
      <c r="K11" s="22">
        <v>-638.22</v>
      </c>
      <c r="L11" s="22">
        <v>-107.61</v>
      </c>
      <c r="M11" s="22">
        <v>-686.91</v>
      </c>
      <c r="N11" s="22">
        <v>292.13</v>
      </c>
      <c r="O11" s="22">
        <v>150.31</v>
      </c>
      <c r="Q11" s="4" t="s">
        <v>155</v>
      </c>
      <c r="R11" s="22">
        <v>-10.4559</v>
      </c>
      <c r="S11" s="22">
        <v>-247.39420000000001</v>
      </c>
      <c r="T11" s="22">
        <v>-449.58760000000001</v>
      </c>
      <c r="U11" s="22">
        <v>290.74090000000001</v>
      </c>
      <c r="V11" s="22">
        <v>-53.67</v>
      </c>
      <c r="W11" s="22">
        <v>-183</v>
      </c>
      <c r="Y11" s="4" t="s">
        <v>140</v>
      </c>
      <c r="Z11" s="22">
        <v>2984.8</v>
      </c>
      <c r="AA11" s="22">
        <v>4295.8</v>
      </c>
      <c r="AB11" s="22">
        <v>4312.3999999999996</v>
      </c>
      <c r="AC11" s="22">
        <v>4219.8</v>
      </c>
      <c r="AD11" s="22">
        <v>4490.1000000000004</v>
      </c>
      <c r="AE11" s="22">
        <v>5683.5</v>
      </c>
      <c r="AG11" s="18" t="s">
        <v>128</v>
      </c>
      <c r="AH11" s="22">
        <v>-133.13</v>
      </c>
      <c r="AI11" s="22">
        <v>-279.24</v>
      </c>
      <c r="AJ11" s="22">
        <v>73.86</v>
      </c>
      <c r="AK11" s="22">
        <v>166.19</v>
      </c>
      <c r="AL11" s="22">
        <v>-155.01</v>
      </c>
      <c r="AM11" s="23">
        <v>-274.92</v>
      </c>
      <c r="AO11" s="4" t="s">
        <v>127</v>
      </c>
      <c r="AP11" s="65">
        <v>1859.37</v>
      </c>
      <c r="AQ11" s="65">
        <v>2658.17</v>
      </c>
      <c r="AR11" s="65">
        <v>3687.16</v>
      </c>
      <c r="AS11" s="65">
        <v>2828.66</v>
      </c>
      <c r="AT11" s="65">
        <v>3536.03</v>
      </c>
      <c r="AU11" s="65">
        <v>3851.49</v>
      </c>
    </row>
    <row r="12" spans="1:47" x14ac:dyDescent="0.3">
      <c r="A12" s="4" t="s">
        <v>129</v>
      </c>
      <c r="B12" s="127">
        <v>621.04999999999995</v>
      </c>
      <c r="C12" s="127">
        <v>825.76</v>
      </c>
      <c r="D12" s="127">
        <v>946.16</v>
      </c>
      <c r="E12" s="127">
        <v>975.02</v>
      </c>
      <c r="F12" s="127">
        <v>1094</v>
      </c>
      <c r="G12" s="127">
        <v>1243</v>
      </c>
      <c r="I12" s="4" t="s">
        <v>142</v>
      </c>
      <c r="J12" s="22">
        <v>6362.35</v>
      </c>
      <c r="K12" s="22">
        <v>6862.23</v>
      </c>
      <c r="L12" s="22">
        <v>7300.83</v>
      </c>
      <c r="M12" s="22">
        <v>8296.0300000000007</v>
      </c>
      <c r="N12" s="22">
        <v>9429.06</v>
      </c>
      <c r="O12" s="22">
        <v>9973.1200000000008</v>
      </c>
      <c r="Q12" s="4" t="s">
        <v>156</v>
      </c>
      <c r="R12" s="22">
        <v>1335.5265999999999</v>
      </c>
      <c r="S12" s="22">
        <v>1415.7831000000001</v>
      </c>
      <c r="T12" s="22">
        <v>1620.5933</v>
      </c>
      <c r="U12" s="22">
        <v>1918.4715000000001</v>
      </c>
      <c r="V12" s="22">
        <v>2260.6</v>
      </c>
      <c r="W12" s="22">
        <v>2692.37</v>
      </c>
      <c r="Y12" s="4" t="s">
        <v>127</v>
      </c>
      <c r="Z12" s="22">
        <v>2545.9</v>
      </c>
      <c r="AA12" s="22">
        <v>2573.6</v>
      </c>
      <c r="AB12" s="22">
        <v>3483.7</v>
      </c>
      <c r="AC12" s="22">
        <v>3367</v>
      </c>
      <c r="AD12" s="22">
        <v>4399.1000000000004</v>
      </c>
      <c r="AE12" s="22">
        <v>4841.1000000000004</v>
      </c>
      <c r="AG12" s="350" t="s">
        <v>129</v>
      </c>
      <c r="AH12" s="351">
        <v>1429.04</v>
      </c>
      <c r="AI12" s="351">
        <v>1439.62</v>
      </c>
      <c r="AJ12" s="351">
        <v>1526.45</v>
      </c>
      <c r="AK12" s="351">
        <v>1677.69</v>
      </c>
      <c r="AL12" s="351">
        <v>1984.4</v>
      </c>
      <c r="AM12" s="352">
        <v>2203.37</v>
      </c>
      <c r="AO12" s="4" t="s">
        <v>128</v>
      </c>
      <c r="AP12" s="65">
        <v>-244.76</v>
      </c>
      <c r="AQ12" s="65">
        <v>-192.71</v>
      </c>
      <c r="AR12" s="65">
        <v>-724.69</v>
      </c>
      <c r="AS12" s="65">
        <v>-96</v>
      </c>
      <c r="AT12" s="65">
        <v>63.03</v>
      </c>
      <c r="AU12" s="65">
        <v>-332.1</v>
      </c>
    </row>
    <row r="13" spans="1:47" x14ac:dyDescent="0.3">
      <c r="A13" s="4" t="s">
        <v>130</v>
      </c>
      <c r="B13" s="127">
        <v>6.1</v>
      </c>
      <c r="C13" s="127">
        <v>0.87</v>
      </c>
      <c r="D13" s="127">
        <v>0.8</v>
      </c>
      <c r="E13" s="127">
        <v>0.67</v>
      </c>
      <c r="F13" s="127">
        <v>3</v>
      </c>
      <c r="G13" s="127">
        <v>2</v>
      </c>
      <c r="I13" s="4" t="s">
        <v>130</v>
      </c>
      <c r="J13" s="22">
        <v>302.73</v>
      </c>
      <c r="K13" s="22">
        <v>141.43</v>
      </c>
      <c r="L13" s="22">
        <v>127.35</v>
      </c>
      <c r="M13" s="22">
        <v>172</v>
      </c>
      <c r="N13" s="22">
        <v>238.47</v>
      </c>
      <c r="O13" s="22">
        <v>231.36</v>
      </c>
      <c r="Q13" s="4" t="s">
        <v>130</v>
      </c>
      <c r="R13" s="22">
        <v>21.971800000000002</v>
      </c>
      <c r="S13" s="22">
        <v>20.147400000000001</v>
      </c>
      <c r="T13" s="22">
        <v>58.610399999999998</v>
      </c>
      <c r="U13" s="22">
        <v>44.469000000000001</v>
      </c>
      <c r="V13" s="22">
        <v>32.75</v>
      </c>
      <c r="W13" s="22">
        <v>429.41</v>
      </c>
      <c r="Y13" s="4" t="s">
        <v>141</v>
      </c>
      <c r="Z13" s="22">
        <v>23.7</v>
      </c>
      <c r="AA13" s="22">
        <v>-790.5</v>
      </c>
      <c r="AB13" s="22">
        <v>-353.9</v>
      </c>
      <c r="AC13" s="22">
        <v>70.900000000000006</v>
      </c>
      <c r="AD13" s="22">
        <v>-680.5</v>
      </c>
      <c r="AE13" s="22">
        <v>-544.70000000000005</v>
      </c>
      <c r="AG13" s="18" t="s">
        <v>130</v>
      </c>
      <c r="AH13" s="22">
        <v>450.71</v>
      </c>
      <c r="AI13" s="22">
        <v>358.28</v>
      </c>
      <c r="AJ13" s="22">
        <v>255.06</v>
      </c>
      <c r="AK13" s="22">
        <v>333.44</v>
      </c>
      <c r="AL13" s="22">
        <v>353.56</v>
      </c>
      <c r="AM13" s="23">
        <v>252.31</v>
      </c>
      <c r="AO13" s="4" t="s">
        <v>129</v>
      </c>
      <c r="AP13" s="65">
        <v>3027.01</v>
      </c>
      <c r="AQ13" s="65">
        <v>3251.83</v>
      </c>
      <c r="AR13" s="65">
        <v>3529.91</v>
      </c>
      <c r="AS13" s="65">
        <v>3830.08</v>
      </c>
      <c r="AT13" s="65">
        <v>4310.04</v>
      </c>
      <c r="AU13" s="65">
        <v>4832.83</v>
      </c>
    </row>
    <row r="14" spans="1:47" x14ac:dyDescent="0.3">
      <c r="A14" s="4" t="s">
        <v>131</v>
      </c>
      <c r="B14" s="127">
        <v>186.24</v>
      </c>
      <c r="C14" s="127">
        <v>255.59</v>
      </c>
      <c r="D14" s="127">
        <v>311.51</v>
      </c>
      <c r="E14" s="127">
        <v>343.18</v>
      </c>
      <c r="F14" s="127">
        <v>378</v>
      </c>
      <c r="G14" s="127">
        <v>402</v>
      </c>
      <c r="I14" s="4" t="s">
        <v>131</v>
      </c>
      <c r="J14" s="22">
        <v>2052.7800000000002</v>
      </c>
      <c r="K14" s="22">
        <v>2079.9499999999998</v>
      </c>
      <c r="L14" s="22">
        <v>2143.7399999999998</v>
      </c>
      <c r="M14" s="22">
        <v>2529.4299999999998</v>
      </c>
      <c r="N14" s="22">
        <v>2556.64</v>
      </c>
      <c r="O14" s="22">
        <v>2575.39</v>
      </c>
      <c r="Q14" s="4" t="s">
        <v>131</v>
      </c>
      <c r="R14" s="22">
        <v>99.058400000000006</v>
      </c>
      <c r="S14" s="22">
        <v>118.97029999999999</v>
      </c>
      <c r="T14" s="22">
        <v>166.61920000000001</v>
      </c>
      <c r="U14" s="22">
        <v>325.91950000000003</v>
      </c>
      <c r="V14" s="22">
        <v>378.42</v>
      </c>
      <c r="W14" s="22">
        <v>621.22</v>
      </c>
      <c r="Y14" s="4" t="s">
        <v>129</v>
      </c>
      <c r="Z14" s="22">
        <v>3380.2</v>
      </c>
      <c r="AA14" s="22">
        <v>3629.9</v>
      </c>
      <c r="AB14" s="22">
        <v>3885.8</v>
      </c>
      <c r="AC14" s="22">
        <v>4646.6000000000004</v>
      </c>
      <c r="AD14" s="22">
        <v>5030.1000000000004</v>
      </c>
      <c r="AE14" s="22">
        <v>5580</v>
      </c>
      <c r="AG14" s="350" t="s">
        <v>131</v>
      </c>
      <c r="AH14" s="351">
        <v>654.38</v>
      </c>
      <c r="AI14" s="351">
        <v>657.79</v>
      </c>
      <c r="AJ14" s="351">
        <v>662.16</v>
      </c>
      <c r="AK14" s="351">
        <v>706.59</v>
      </c>
      <c r="AL14" s="351">
        <v>808.27</v>
      </c>
      <c r="AM14" s="352">
        <v>794.93</v>
      </c>
      <c r="AO14" s="4" t="s">
        <v>130</v>
      </c>
      <c r="AP14" s="65">
        <v>197.36</v>
      </c>
      <c r="AQ14" s="65">
        <v>160.69999999999999</v>
      </c>
      <c r="AR14" s="65">
        <v>106.35</v>
      </c>
      <c r="AS14" s="65">
        <v>109.54</v>
      </c>
      <c r="AT14" s="65">
        <v>89.88</v>
      </c>
      <c r="AU14" s="65">
        <v>62.01</v>
      </c>
    </row>
    <row r="15" spans="1:47" x14ac:dyDescent="0.3">
      <c r="A15" s="4" t="s">
        <v>132</v>
      </c>
      <c r="B15" s="127">
        <v>842.66</v>
      </c>
      <c r="C15" s="127">
        <v>959.62</v>
      </c>
      <c r="D15" s="127">
        <v>1164.5899999999999</v>
      </c>
      <c r="E15" s="127">
        <v>1370.95</v>
      </c>
      <c r="F15" s="127">
        <v>1417</v>
      </c>
      <c r="G15" s="127">
        <v>1424</v>
      </c>
      <c r="I15" s="4" t="s">
        <v>132</v>
      </c>
      <c r="J15" s="22">
        <v>10270.549999999999</v>
      </c>
      <c r="K15" s="22">
        <v>9478.11</v>
      </c>
      <c r="L15" s="22">
        <v>10758.36</v>
      </c>
      <c r="M15" s="22">
        <v>13154.6</v>
      </c>
      <c r="N15" s="22">
        <v>15418.18</v>
      </c>
      <c r="O15" s="22">
        <v>16771.8</v>
      </c>
      <c r="Q15" s="4" t="s">
        <v>157</v>
      </c>
      <c r="R15" s="22">
        <v>90.579899999999995</v>
      </c>
      <c r="S15" s="22">
        <v>0</v>
      </c>
      <c r="T15" s="22">
        <v>0</v>
      </c>
      <c r="U15" s="22">
        <v>0</v>
      </c>
      <c r="V15" s="22">
        <v>0</v>
      </c>
      <c r="W15" s="22">
        <v>0</v>
      </c>
      <c r="Y15" s="4" t="s">
        <v>131</v>
      </c>
      <c r="Z15" s="22">
        <v>1163.0999999999999</v>
      </c>
      <c r="AA15" s="22">
        <v>1228.8</v>
      </c>
      <c r="AB15" s="22">
        <v>1165.2</v>
      </c>
      <c r="AC15" s="22">
        <v>1250.2</v>
      </c>
      <c r="AD15" s="22">
        <v>1470</v>
      </c>
      <c r="AE15" s="22">
        <v>1703.7</v>
      </c>
      <c r="AG15" s="18" t="s">
        <v>132</v>
      </c>
      <c r="AH15" s="22">
        <v>2172.9899999999998</v>
      </c>
      <c r="AI15" s="22">
        <v>1933.11</v>
      </c>
      <c r="AJ15" s="22">
        <v>2108.31</v>
      </c>
      <c r="AK15" s="22">
        <v>2365.2199999999998</v>
      </c>
      <c r="AL15" s="22">
        <v>2689.58</v>
      </c>
      <c r="AM15" s="23">
        <v>2815.83</v>
      </c>
      <c r="AO15" s="4" t="s">
        <v>131</v>
      </c>
      <c r="AP15" s="65">
        <v>1174.6500000000001</v>
      </c>
      <c r="AQ15" s="65">
        <v>1067.6600000000001</v>
      </c>
      <c r="AR15" s="65">
        <v>1051.95</v>
      </c>
      <c r="AS15" s="65">
        <v>1172.1099999999999</v>
      </c>
      <c r="AT15" s="65">
        <v>1051.02</v>
      </c>
      <c r="AU15" s="65">
        <v>1106.95</v>
      </c>
    </row>
    <row r="16" spans="1:47" x14ac:dyDescent="0.3">
      <c r="A16" s="11" t="s">
        <v>133</v>
      </c>
      <c r="B16" s="128">
        <f>SUM(B9:B15)</f>
        <v>3764.59</v>
      </c>
      <c r="C16" s="128">
        <f t="shared" ref="C16:G16" si="10">SUM(C9:C15)</f>
        <v>4365.92</v>
      </c>
      <c r="D16" s="128">
        <f t="shared" si="10"/>
        <v>5390.2</v>
      </c>
      <c r="E16" s="128">
        <f t="shared" si="10"/>
        <v>5743.54</v>
      </c>
      <c r="F16" s="128">
        <f t="shared" si="10"/>
        <v>6021</v>
      </c>
      <c r="G16" s="128">
        <f t="shared" si="10"/>
        <v>6796</v>
      </c>
      <c r="I16" s="4" t="s">
        <v>143</v>
      </c>
      <c r="J16" s="22">
        <v>-15.61</v>
      </c>
      <c r="K16" s="22">
        <v>-23.65</v>
      </c>
      <c r="L16" s="22">
        <v>-153.96</v>
      </c>
      <c r="M16" s="22">
        <v>126.1</v>
      </c>
      <c r="N16" s="22">
        <v>-36.130000000000003</v>
      </c>
      <c r="O16" s="22">
        <v>-185.53</v>
      </c>
      <c r="Q16" s="4" t="s">
        <v>158</v>
      </c>
      <c r="R16" s="22">
        <v>0</v>
      </c>
      <c r="S16" s="22">
        <v>17.710599999999999</v>
      </c>
      <c r="T16" s="22">
        <v>0</v>
      </c>
      <c r="U16" s="22">
        <v>0</v>
      </c>
      <c r="V16" s="22">
        <v>0</v>
      </c>
      <c r="W16" s="22">
        <v>0</v>
      </c>
      <c r="Y16" s="4" t="s">
        <v>157</v>
      </c>
      <c r="Z16" s="22">
        <v>1676.7</v>
      </c>
      <c r="AA16" s="22">
        <v>676.8</v>
      </c>
      <c r="AB16" s="22">
        <v>930.4</v>
      </c>
      <c r="AC16" s="22">
        <v>69.900000000000006</v>
      </c>
      <c r="AD16" s="22">
        <v>0.3</v>
      </c>
      <c r="AE16" s="22">
        <v>169.3</v>
      </c>
      <c r="AG16" s="353" t="s">
        <v>133</v>
      </c>
      <c r="AH16" s="354">
        <f>SUM(AH9:AH15)</f>
        <v>6874.04</v>
      </c>
      <c r="AI16" s="354">
        <f t="shared" ref="AI16" si="11">SUM(AI9:AI15)</f>
        <v>6535.2199999999993</v>
      </c>
      <c r="AJ16" s="354">
        <f t="shared" ref="AJ16" si="12">SUM(AJ9:AJ15)</f>
        <v>6993.99</v>
      </c>
      <c r="AK16" s="354">
        <f t="shared" ref="AK16" si="13">SUM(AK9:AK15)</f>
        <v>7818.1299999999992</v>
      </c>
      <c r="AL16" s="354">
        <f t="shared" ref="AL16" si="14">SUM(AL9:AL15)</f>
        <v>8522.02</v>
      </c>
      <c r="AM16" s="355">
        <f t="shared" ref="AM16" si="15">SUM(AM9:AM15)</f>
        <v>8842.34</v>
      </c>
      <c r="AO16" s="4" t="s">
        <v>132</v>
      </c>
      <c r="AP16" s="65">
        <v>4907.57</v>
      </c>
      <c r="AQ16" s="65">
        <v>4303.4399999999996</v>
      </c>
      <c r="AR16" s="65">
        <v>5185.05</v>
      </c>
      <c r="AS16" s="65">
        <v>5643.79</v>
      </c>
      <c r="AT16" s="65">
        <v>6353.43</v>
      </c>
      <c r="AU16" s="65">
        <v>6657.9</v>
      </c>
    </row>
    <row r="17" spans="1:47" x14ac:dyDescent="0.3">
      <c r="A17" s="11" t="s">
        <v>134</v>
      </c>
      <c r="B17" s="128">
        <f>B7-B16</f>
        <v>1819.46</v>
      </c>
      <c r="C17" s="128">
        <f t="shared" ref="C17:G17" si="16">C7-C16</f>
        <v>2666.04</v>
      </c>
      <c r="D17" s="128">
        <f t="shared" si="16"/>
        <v>3683.5000000000009</v>
      </c>
      <c r="E17" s="128">
        <f t="shared" si="16"/>
        <v>2368.63</v>
      </c>
      <c r="F17" s="128">
        <f t="shared" si="16"/>
        <v>2163</v>
      </c>
      <c r="G17" s="128">
        <f t="shared" si="16"/>
        <v>2916</v>
      </c>
      <c r="I17" s="11" t="s">
        <v>144</v>
      </c>
      <c r="J17" s="24">
        <f>SUM(J9:J16)</f>
        <v>28203.249999999996</v>
      </c>
      <c r="K17" s="24">
        <f t="shared" ref="K17:O17" si="17">SUM(K9:K16)</f>
        <v>27228.149999999998</v>
      </c>
      <c r="L17" s="24">
        <f t="shared" si="17"/>
        <v>30527.86</v>
      </c>
      <c r="M17" s="24">
        <f t="shared" si="17"/>
        <v>34940.32</v>
      </c>
      <c r="N17" s="24">
        <f t="shared" si="17"/>
        <v>38268.83</v>
      </c>
      <c r="O17" s="24">
        <f t="shared" si="17"/>
        <v>40113.5</v>
      </c>
      <c r="Q17" s="4" t="s">
        <v>132</v>
      </c>
      <c r="R17" s="22">
        <v>1124.2452000000001</v>
      </c>
      <c r="S17" s="22">
        <v>1352.2256</v>
      </c>
      <c r="T17" s="22">
        <v>1749.8805</v>
      </c>
      <c r="U17" s="22">
        <v>2016.6829</v>
      </c>
      <c r="V17" s="22">
        <v>2287.69</v>
      </c>
      <c r="W17" s="22">
        <v>3008.1</v>
      </c>
      <c r="Y17" s="4" t="s">
        <v>130</v>
      </c>
      <c r="Z17" s="22">
        <v>98.3</v>
      </c>
      <c r="AA17" s="22">
        <v>97</v>
      </c>
      <c r="AB17" s="22">
        <v>95.8</v>
      </c>
      <c r="AC17" s="22">
        <v>142.80000000000001</v>
      </c>
      <c r="AD17" s="22">
        <v>171.1</v>
      </c>
      <c r="AE17" s="22">
        <v>282.89999999999998</v>
      </c>
      <c r="AG17" s="19" t="s">
        <v>145</v>
      </c>
      <c r="AH17" s="24">
        <f>AH7-AH16</f>
        <v>1186.5700000000006</v>
      </c>
      <c r="AI17" s="24">
        <f t="shared" ref="AI17" si="18">AI7-AI16</f>
        <v>1526.2600000000002</v>
      </c>
      <c r="AJ17" s="24">
        <f t="shared" ref="AJ17" si="19">AJ7-AJ16</f>
        <v>1710.6100000000006</v>
      </c>
      <c r="AK17" s="24">
        <f t="shared" ref="AK17" si="20">AK7-AK16</f>
        <v>1847.1599999999999</v>
      </c>
      <c r="AL17" s="24">
        <f t="shared" ref="AL17" si="21">AL7-AL16</f>
        <v>2263.7299999999996</v>
      </c>
      <c r="AM17" s="61">
        <f t="shared" ref="AM17" si="22">AM7-AM16</f>
        <v>2697.0200000000004</v>
      </c>
      <c r="AO17" s="11" t="s">
        <v>133</v>
      </c>
      <c r="AP17" s="66">
        <f>SUM(AP10:AP16)</f>
        <v>15298.01</v>
      </c>
      <c r="AQ17" s="66">
        <f t="shared" ref="AQ17" si="23">SUM(AQ10:AQ16)</f>
        <v>16135.52</v>
      </c>
      <c r="AR17" s="66">
        <f t="shared" ref="AR17" si="24">SUM(AR10:AR16)</f>
        <v>18368.86</v>
      </c>
      <c r="AS17" s="66">
        <f t="shared" ref="AS17" si="25">SUM(AS10:AS16)</f>
        <v>19007.8</v>
      </c>
      <c r="AT17" s="66">
        <f t="shared" ref="AT17" si="26">SUM(AT10:AT16)</f>
        <v>20623.940000000002</v>
      </c>
      <c r="AU17" s="66">
        <f t="shared" ref="AU17" si="27">SUM(AU10:AU16)</f>
        <v>21588.68</v>
      </c>
    </row>
    <row r="18" spans="1:47" x14ac:dyDescent="0.3">
      <c r="A18" s="4" t="s">
        <v>135</v>
      </c>
      <c r="B18" s="127">
        <v>392.79</v>
      </c>
      <c r="C18" s="127">
        <v>616.46</v>
      </c>
      <c r="D18" s="127">
        <v>644</v>
      </c>
      <c r="E18" s="127">
        <v>439.17</v>
      </c>
      <c r="F18" s="127">
        <v>514</v>
      </c>
      <c r="G18" s="127">
        <v>799</v>
      </c>
      <c r="I18" s="11" t="s">
        <v>145</v>
      </c>
      <c r="J18" s="24">
        <f>J7-J17</f>
        <v>5270.2300000000068</v>
      </c>
      <c r="K18" s="24">
        <f t="shared" ref="K18:O18" si="28">K7-K17</f>
        <v>7105.5099999999984</v>
      </c>
      <c r="L18" s="24">
        <f t="shared" si="28"/>
        <v>9048.14</v>
      </c>
      <c r="M18" s="24">
        <f t="shared" si="28"/>
        <v>9579.8799999999974</v>
      </c>
      <c r="N18" s="24">
        <f t="shared" si="28"/>
        <v>11582.21</v>
      </c>
      <c r="O18" s="24">
        <f t="shared" si="28"/>
        <v>14429.980000000003</v>
      </c>
      <c r="Q18" s="11" t="s">
        <v>144</v>
      </c>
      <c r="R18" s="24">
        <f>SUM(R9:R17)</f>
        <v>4549.4530000000004</v>
      </c>
      <c r="S18" s="24">
        <f t="shared" ref="S18:W18" si="29">SUM(S9:S17)</f>
        <v>4705.4456</v>
      </c>
      <c r="T18" s="24">
        <f t="shared" si="29"/>
        <v>6017.4318000000003</v>
      </c>
      <c r="U18" s="24">
        <f t="shared" si="29"/>
        <v>7219.1848999999993</v>
      </c>
      <c r="V18" s="24">
        <f t="shared" si="29"/>
        <v>8157.93</v>
      </c>
      <c r="W18" s="24">
        <f t="shared" si="29"/>
        <v>10240.14</v>
      </c>
      <c r="Y18" s="4" t="s">
        <v>165</v>
      </c>
      <c r="Z18" s="22">
        <v>4435.3</v>
      </c>
      <c r="AA18" s="22">
        <v>4792</v>
      </c>
      <c r="AB18" s="22">
        <v>5519.1</v>
      </c>
      <c r="AC18" s="22">
        <v>5946.5</v>
      </c>
      <c r="AD18" s="22">
        <v>6838.9</v>
      </c>
      <c r="AE18" s="22">
        <v>8367.6</v>
      </c>
      <c r="AG18" s="4" t="s">
        <v>146</v>
      </c>
      <c r="AH18" s="22">
        <v>0</v>
      </c>
      <c r="AI18" s="22">
        <v>0</v>
      </c>
      <c r="AJ18" s="22">
        <v>484.7</v>
      </c>
      <c r="AK18" s="22">
        <v>0</v>
      </c>
      <c r="AL18" s="22">
        <v>-88.38</v>
      </c>
      <c r="AM18" s="22">
        <v>24.21</v>
      </c>
      <c r="AO18" s="11" t="s">
        <v>145</v>
      </c>
      <c r="AP18" s="66">
        <f>AP8-AP17</f>
        <v>2178.1799999999985</v>
      </c>
      <c r="AQ18" s="66">
        <f t="shared" ref="AQ18" si="30">AQ8-AQ17</f>
        <v>3290.0600000000013</v>
      </c>
      <c r="AR18" s="66">
        <f t="shared" ref="AR18" si="31">AR8-AR17</f>
        <v>3675.3899999999994</v>
      </c>
      <c r="AS18" s="66">
        <f t="shared" ref="AS18" si="32">AS8-AS17</f>
        <v>4220.7700000000004</v>
      </c>
      <c r="AT18" s="66">
        <f t="shared" ref="AT18" si="33">AT8-AT17</f>
        <v>5896.7199999999975</v>
      </c>
      <c r="AU18" s="66">
        <f t="shared" ref="AU18" si="34">AU8-AU17</f>
        <v>6820.8100000000013</v>
      </c>
    </row>
    <row r="19" spans="1:47" x14ac:dyDescent="0.3">
      <c r="A19" s="4" t="s">
        <v>136</v>
      </c>
      <c r="B19" s="127">
        <v>50.13</v>
      </c>
      <c r="C19" s="127">
        <v>65.290000000000006</v>
      </c>
      <c r="D19" s="127">
        <v>79.05</v>
      </c>
      <c r="E19" s="127">
        <v>106.08</v>
      </c>
      <c r="F19" s="127">
        <v>49</v>
      </c>
      <c r="G19" s="127">
        <v>-74</v>
      </c>
      <c r="I19" s="4" t="s">
        <v>146</v>
      </c>
      <c r="J19" s="22">
        <v>260.64</v>
      </c>
      <c r="K19" s="22">
        <v>4306.1400000000003</v>
      </c>
      <c r="L19" s="22">
        <v>4566.82</v>
      </c>
      <c r="M19" s="22">
        <v>171.45</v>
      </c>
      <c r="N19" s="22">
        <v>494.32</v>
      </c>
      <c r="O19" s="22">
        <v>677.85</v>
      </c>
      <c r="Q19" s="4" t="s">
        <v>159</v>
      </c>
      <c r="R19" s="22">
        <v>11.5352</v>
      </c>
      <c r="S19" s="22">
        <v>11.677099999999999</v>
      </c>
      <c r="T19" s="22">
        <v>14.447699999999999</v>
      </c>
      <c r="U19" s="22">
        <v>12.424200000000001</v>
      </c>
      <c r="V19" s="22">
        <v>15.21</v>
      </c>
      <c r="W19" s="22">
        <v>12.24</v>
      </c>
      <c r="Y19" s="11" t="s">
        <v>144</v>
      </c>
      <c r="Z19" s="24">
        <f>SUM(Z11:Z18)</f>
        <v>16308</v>
      </c>
      <c r="AA19" s="24">
        <f t="shared" ref="AA19:AE19" si="35">SUM(AA11:AA18)</f>
        <v>16503.399999999998</v>
      </c>
      <c r="AB19" s="24">
        <f t="shared" si="35"/>
        <v>19038.5</v>
      </c>
      <c r="AC19" s="24">
        <f t="shared" si="35"/>
        <v>19713.699999999997</v>
      </c>
      <c r="AD19" s="24">
        <f t="shared" si="35"/>
        <v>21719.1</v>
      </c>
      <c r="AE19" s="24">
        <f t="shared" si="35"/>
        <v>26083.4</v>
      </c>
      <c r="AG19" s="11" t="s">
        <v>134</v>
      </c>
      <c r="AH19" s="48">
        <f>AH17-AH18</f>
        <v>1186.5700000000006</v>
      </c>
      <c r="AI19" s="48">
        <f t="shared" ref="AI19:AM19" si="36">AI17-AI18</f>
        <v>1526.2600000000002</v>
      </c>
      <c r="AJ19" s="48">
        <f>AJ17-AJ18</f>
        <v>1225.9100000000005</v>
      </c>
      <c r="AK19" s="48">
        <f t="shared" si="36"/>
        <v>1847.1599999999999</v>
      </c>
      <c r="AL19" s="48">
        <f t="shared" si="36"/>
        <v>2352.1099999999997</v>
      </c>
      <c r="AM19" s="48">
        <f t="shared" si="36"/>
        <v>2672.8100000000004</v>
      </c>
      <c r="AO19" s="4" t="s">
        <v>146</v>
      </c>
      <c r="AP19" s="65">
        <v>0</v>
      </c>
      <c r="AQ19" s="65">
        <v>0</v>
      </c>
      <c r="AR19" s="65">
        <v>-182.12</v>
      </c>
      <c r="AS19" s="65">
        <v>-182.42</v>
      </c>
      <c r="AT19" s="65">
        <v>-194.82</v>
      </c>
      <c r="AU19" s="65">
        <v>0</v>
      </c>
    </row>
    <row r="20" spans="1:47" x14ac:dyDescent="0.3">
      <c r="A20" s="11" t="s">
        <v>137</v>
      </c>
      <c r="B20" s="128">
        <f>SUM(B18:B19)</f>
        <v>442.92</v>
      </c>
      <c r="C20" s="128">
        <f t="shared" ref="C20:G20" si="37">SUM(C18:C19)</f>
        <v>681.75</v>
      </c>
      <c r="D20" s="128">
        <f t="shared" si="37"/>
        <v>723.05</v>
      </c>
      <c r="E20" s="128">
        <f t="shared" si="37"/>
        <v>545.25</v>
      </c>
      <c r="F20" s="128">
        <f t="shared" si="37"/>
        <v>563</v>
      </c>
      <c r="G20" s="128">
        <f t="shared" si="37"/>
        <v>725</v>
      </c>
      <c r="I20" s="11" t="s">
        <v>134</v>
      </c>
      <c r="J20" s="24">
        <f>J18-J19</f>
        <v>5009.5900000000065</v>
      </c>
      <c r="K20" s="24">
        <f t="shared" ref="K20:O20" si="38">K18-K19</f>
        <v>2799.3699999999981</v>
      </c>
      <c r="L20" s="24">
        <f t="shared" si="38"/>
        <v>4481.32</v>
      </c>
      <c r="M20" s="24">
        <f t="shared" si="38"/>
        <v>9408.4299999999967</v>
      </c>
      <c r="N20" s="24">
        <f t="shared" si="38"/>
        <v>11087.89</v>
      </c>
      <c r="O20" s="24">
        <f t="shared" si="38"/>
        <v>13752.130000000003</v>
      </c>
      <c r="Q20" s="11" t="s">
        <v>134</v>
      </c>
      <c r="R20" s="24">
        <f>R7-R18+R19</f>
        <v>1437.7350999999987</v>
      </c>
      <c r="S20" s="24">
        <f t="shared" ref="S20:W20" si="39">S7-S18+S19</f>
        <v>1691.6117999999999</v>
      </c>
      <c r="T20" s="24">
        <f t="shared" si="39"/>
        <v>1974.6005999999991</v>
      </c>
      <c r="U20" s="24">
        <f t="shared" si="39"/>
        <v>1671.2391000000021</v>
      </c>
      <c r="V20" s="24">
        <f t="shared" si="39"/>
        <v>2397.9399999999996</v>
      </c>
      <c r="W20" s="24">
        <f t="shared" si="39"/>
        <v>2516.33</v>
      </c>
      <c r="Y20" s="11" t="s">
        <v>166</v>
      </c>
      <c r="Z20" s="24">
        <f>Z9-Z19</f>
        <v>1829.5999999999985</v>
      </c>
      <c r="AA20" s="24">
        <f t="shared" ref="AA20:AE20" si="40">AA9-AA19</f>
        <v>2835.5000000000036</v>
      </c>
      <c r="AB20" s="24">
        <f t="shared" si="40"/>
        <v>2991.1000000000022</v>
      </c>
      <c r="AC20" s="24">
        <f t="shared" si="40"/>
        <v>6011.5000000000036</v>
      </c>
      <c r="AD20" s="24">
        <f t="shared" si="40"/>
        <v>7186.2999999999993</v>
      </c>
      <c r="AE20" s="24">
        <f t="shared" si="40"/>
        <v>7657.8000000000029</v>
      </c>
      <c r="AG20" s="350" t="s">
        <v>135</v>
      </c>
      <c r="AH20" s="351">
        <v>260.24</v>
      </c>
      <c r="AI20" s="351">
        <v>334.08</v>
      </c>
      <c r="AJ20" s="351">
        <v>346.22</v>
      </c>
      <c r="AK20" s="351">
        <v>354.77</v>
      </c>
      <c r="AL20" s="351">
        <v>461.73</v>
      </c>
      <c r="AM20" s="352">
        <v>619.01</v>
      </c>
      <c r="AO20" s="11" t="s">
        <v>134</v>
      </c>
      <c r="AP20" s="48">
        <f>AP18+AP19</f>
        <v>2178.1799999999985</v>
      </c>
      <c r="AQ20" s="48">
        <f t="shared" ref="AQ20:AU20" si="41">AQ18+AQ19</f>
        <v>3290.0600000000013</v>
      </c>
      <c r="AR20" s="48">
        <f t="shared" si="41"/>
        <v>3493.2699999999995</v>
      </c>
      <c r="AS20" s="48">
        <f t="shared" si="41"/>
        <v>4038.3500000000004</v>
      </c>
      <c r="AT20" s="48">
        <f t="shared" si="41"/>
        <v>5701.8999999999978</v>
      </c>
      <c r="AU20" s="48">
        <f t="shared" si="41"/>
        <v>6820.8100000000013</v>
      </c>
    </row>
    <row r="21" spans="1:47" x14ac:dyDescent="0.3">
      <c r="A21" s="11" t="s">
        <v>138</v>
      </c>
      <c r="B21" s="128">
        <f>B17-B20</f>
        <v>1376.54</v>
      </c>
      <c r="C21" s="128">
        <f t="shared" ref="C21:G21" si="42">C17-C20</f>
        <v>1984.29</v>
      </c>
      <c r="D21" s="128">
        <f t="shared" si="42"/>
        <v>2960.4500000000007</v>
      </c>
      <c r="E21" s="128">
        <f t="shared" si="42"/>
        <v>1823.38</v>
      </c>
      <c r="F21" s="128">
        <f t="shared" si="42"/>
        <v>1600</v>
      </c>
      <c r="G21" s="128">
        <f t="shared" si="42"/>
        <v>2191</v>
      </c>
      <c r="I21" s="4" t="s">
        <v>135</v>
      </c>
      <c r="J21" s="22">
        <v>1320.14</v>
      </c>
      <c r="K21" s="22">
        <v>957.3</v>
      </c>
      <c r="L21" s="22">
        <v>354.39</v>
      </c>
      <c r="M21" s="22">
        <v>1869.22</v>
      </c>
      <c r="N21" s="22">
        <v>1989.3</v>
      </c>
      <c r="O21" s="22">
        <v>3320.05</v>
      </c>
      <c r="Q21" s="4" t="s">
        <v>135</v>
      </c>
      <c r="R21" s="22">
        <v>408.39949999999999</v>
      </c>
      <c r="S21" s="22">
        <v>394.73950000000002</v>
      </c>
      <c r="T21" s="22">
        <v>469.03219999999999</v>
      </c>
      <c r="U21" s="22">
        <v>327.55579999999998</v>
      </c>
      <c r="V21" s="22">
        <v>492.51</v>
      </c>
      <c r="W21" s="22">
        <v>596.04</v>
      </c>
      <c r="Y21" s="4" t="s">
        <v>167</v>
      </c>
      <c r="Z21" s="22">
        <v>56.1</v>
      </c>
      <c r="AA21" s="22">
        <v>48</v>
      </c>
      <c r="AB21" s="22">
        <v>70.3</v>
      </c>
      <c r="AC21" s="22">
        <v>37</v>
      </c>
      <c r="AD21" s="22">
        <v>14.7</v>
      </c>
      <c r="AE21" s="22">
        <v>21.7</v>
      </c>
      <c r="AG21" s="18" t="s">
        <v>136</v>
      </c>
      <c r="AH21" s="22">
        <v>-59.23</v>
      </c>
      <c r="AI21" s="22">
        <v>-52.98</v>
      </c>
      <c r="AJ21" s="22">
        <v>106.53</v>
      </c>
      <c r="AK21" s="22">
        <v>227.62</v>
      </c>
      <c r="AL21" s="22">
        <v>234</v>
      </c>
      <c r="AM21" s="23">
        <v>142.55000000000001</v>
      </c>
      <c r="AO21" s="4" t="s">
        <v>135</v>
      </c>
      <c r="AP21" s="65">
        <v>682.87</v>
      </c>
      <c r="AQ21" s="65">
        <v>1052.72</v>
      </c>
      <c r="AR21" s="65">
        <v>1136.9000000000001</v>
      </c>
      <c r="AS21" s="65">
        <v>1264.77</v>
      </c>
      <c r="AT21" s="65">
        <v>1696.84</v>
      </c>
      <c r="AU21" s="65">
        <v>1708.35</v>
      </c>
    </row>
    <row r="22" spans="1:47" x14ac:dyDescent="0.3">
      <c r="I22" s="4" t="s">
        <v>136</v>
      </c>
      <c r="J22" s="22">
        <v>-497.34</v>
      </c>
      <c r="K22" s="22">
        <v>-33.1</v>
      </c>
      <c r="L22" s="22">
        <v>797.53</v>
      </c>
      <c r="M22" s="22">
        <v>-1021.63</v>
      </c>
      <c r="N22" s="22">
        <v>-549.85</v>
      </c>
      <c r="O22" s="22">
        <v>-925.5</v>
      </c>
      <c r="Q22" s="4" t="s">
        <v>160</v>
      </c>
      <c r="R22" s="22">
        <v>-32.675199999999997</v>
      </c>
      <c r="S22" s="22">
        <v>2.4182999999999999</v>
      </c>
      <c r="T22" s="22">
        <v>52.6113</v>
      </c>
      <c r="U22" s="22">
        <v>34.0075</v>
      </c>
      <c r="V22" s="22">
        <v>-35.36</v>
      </c>
      <c r="W22" s="22">
        <v>-86.3</v>
      </c>
      <c r="Y22" s="11" t="s">
        <v>134</v>
      </c>
      <c r="Z22" s="24">
        <f>Z20+Z21</f>
        <v>1885.6999999999985</v>
      </c>
      <c r="AA22" s="24">
        <f t="shared" ref="AA22:AE22" si="43">AA20+AA21</f>
        <v>2883.5000000000036</v>
      </c>
      <c r="AB22" s="24">
        <f t="shared" si="43"/>
        <v>3061.4000000000024</v>
      </c>
      <c r="AC22" s="24">
        <f t="shared" si="43"/>
        <v>6048.5000000000036</v>
      </c>
      <c r="AD22" s="24">
        <f t="shared" si="43"/>
        <v>7200.9999999999991</v>
      </c>
      <c r="AE22" s="24">
        <f t="shared" si="43"/>
        <v>7679.5000000000027</v>
      </c>
      <c r="AG22" s="4" t="s">
        <v>168</v>
      </c>
      <c r="AH22" s="22">
        <v>13.66</v>
      </c>
      <c r="AI22" s="22">
        <v>-6.72</v>
      </c>
      <c r="AJ22" s="22">
        <v>-4.0199999999999996</v>
      </c>
      <c r="AK22" s="22">
        <v>19.54</v>
      </c>
      <c r="AL22" s="22">
        <v>0</v>
      </c>
      <c r="AM22" s="22">
        <v>0</v>
      </c>
      <c r="AO22" s="4" t="s">
        <v>136</v>
      </c>
      <c r="AP22" s="65">
        <v>-51.67</v>
      </c>
      <c r="AQ22" s="65">
        <v>-163.96</v>
      </c>
      <c r="AR22" s="65">
        <v>-203.1</v>
      </c>
      <c r="AS22" s="65">
        <v>-61.91</v>
      </c>
      <c r="AT22" s="65">
        <v>-150.25</v>
      </c>
      <c r="AU22" s="65">
        <v>-178.59</v>
      </c>
    </row>
    <row r="23" spans="1:47" x14ac:dyDescent="0.3">
      <c r="A23" s="1" t="s">
        <v>457</v>
      </c>
      <c r="B23" s="49" t="s">
        <v>54</v>
      </c>
      <c r="C23" s="49" t="s">
        <v>55</v>
      </c>
      <c r="D23" s="49" t="s">
        <v>56</v>
      </c>
      <c r="E23" s="49" t="s">
        <v>57</v>
      </c>
      <c r="F23" s="49" t="s">
        <v>58</v>
      </c>
      <c r="G23" s="49" t="s">
        <v>59</v>
      </c>
      <c r="I23" s="4" t="s">
        <v>147</v>
      </c>
      <c r="J23" s="22">
        <v>0</v>
      </c>
      <c r="K23" s="22">
        <v>-409.51</v>
      </c>
      <c r="L23" s="22">
        <v>-76.42</v>
      </c>
      <c r="M23" s="22">
        <v>0</v>
      </c>
      <c r="N23" s="22">
        <v>0</v>
      </c>
      <c r="O23" s="22">
        <v>377.48</v>
      </c>
      <c r="Q23" s="4" t="s">
        <v>161</v>
      </c>
      <c r="R23" s="22">
        <v>5.8705999999999996</v>
      </c>
      <c r="S23" s="22">
        <v>1.4260999999999999</v>
      </c>
      <c r="T23" s="22">
        <v>0</v>
      </c>
      <c r="U23" s="22">
        <v>0</v>
      </c>
      <c r="V23" s="22">
        <v>0</v>
      </c>
      <c r="W23" s="22">
        <v>0</v>
      </c>
      <c r="Y23" s="4" t="s">
        <v>135</v>
      </c>
      <c r="Z23" s="22">
        <v>661.6</v>
      </c>
      <c r="AA23" s="22">
        <v>817.2</v>
      </c>
      <c r="AB23" s="22">
        <v>1101.3</v>
      </c>
      <c r="AC23" s="22">
        <v>814.4</v>
      </c>
      <c r="AD23" s="22">
        <v>1945.9</v>
      </c>
      <c r="AE23" s="22">
        <v>2258.1</v>
      </c>
      <c r="AG23" s="4" t="s">
        <v>169</v>
      </c>
      <c r="AH23" s="22">
        <v>-52.82</v>
      </c>
      <c r="AI23" s="22">
        <v>0</v>
      </c>
      <c r="AJ23" s="22">
        <v>0</v>
      </c>
      <c r="AK23" s="22">
        <v>0</v>
      </c>
      <c r="AL23" s="22">
        <v>0</v>
      </c>
      <c r="AM23" s="22">
        <v>0</v>
      </c>
      <c r="AO23" s="11" t="s">
        <v>137</v>
      </c>
      <c r="AP23" s="66">
        <f>AP21+AP22</f>
        <v>631.20000000000005</v>
      </c>
      <c r="AQ23" s="66">
        <f t="shared" ref="AQ23:AU23" si="44">AQ21+AQ22</f>
        <v>888.76</v>
      </c>
      <c r="AR23" s="66">
        <f t="shared" si="44"/>
        <v>933.80000000000007</v>
      </c>
      <c r="AS23" s="66">
        <f t="shared" si="44"/>
        <v>1202.8599999999999</v>
      </c>
      <c r="AT23" s="66">
        <f t="shared" si="44"/>
        <v>1546.59</v>
      </c>
      <c r="AU23" s="66">
        <f t="shared" si="44"/>
        <v>1529.76</v>
      </c>
    </row>
    <row r="24" spans="1:47" x14ac:dyDescent="0.3">
      <c r="A24" s="155" t="s">
        <v>372</v>
      </c>
      <c r="B24" s="156" t="s">
        <v>451</v>
      </c>
      <c r="C24" s="156" t="s">
        <v>452</v>
      </c>
      <c r="D24" s="156" t="s">
        <v>453</v>
      </c>
      <c r="E24" s="156" t="s">
        <v>454</v>
      </c>
      <c r="F24" s="156" t="s">
        <v>455</v>
      </c>
      <c r="G24" s="156" t="s">
        <v>456</v>
      </c>
      <c r="I24" s="11" t="s">
        <v>137</v>
      </c>
      <c r="J24" s="24">
        <f>SUM(J21:J23)</f>
        <v>822.80000000000018</v>
      </c>
      <c r="K24" s="24">
        <f t="shared" ref="K24:O24" si="45">SUM(K21:K23)</f>
        <v>514.68999999999994</v>
      </c>
      <c r="L24" s="24">
        <f t="shared" si="45"/>
        <v>1075.5</v>
      </c>
      <c r="M24" s="24">
        <f t="shared" si="45"/>
        <v>847.59</v>
      </c>
      <c r="N24" s="24">
        <f t="shared" si="45"/>
        <v>1439.4499999999998</v>
      </c>
      <c r="O24" s="24">
        <f t="shared" si="45"/>
        <v>2772.03</v>
      </c>
      <c r="Q24" s="11" t="s">
        <v>137</v>
      </c>
      <c r="R24" s="24">
        <f>SUM(R21:R23)</f>
        <v>381.5949</v>
      </c>
      <c r="S24" s="24">
        <f t="shared" ref="S24:W24" si="46">SUM(S21:S23)</f>
        <v>398.58390000000003</v>
      </c>
      <c r="T24" s="24">
        <f t="shared" si="46"/>
        <v>521.64350000000002</v>
      </c>
      <c r="U24" s="24">
        <f t="shared" si="46"/>
        <v>361.56329999999997</v>
      </c>
      <c r="V24" s="24">
        <f t="shared" si="46"/>
        <v>457.15</v>
      </c>
      <c r="W24" s="24">
        <f t="shared" si="46"/>
        <v>509.73999999999995</v>
      </c>
      <c r="Y24" s="4" t="s">
        <v>136</v>
      </c>
      <c r="Z24" s="22">
        <v>-801.9</v>
      </c>
      <c r="AA24" s="22">
        <v>114.7</v>
      </c>
      <c r="AB24" s="22">
        <v>-222.4</v>
      </c>
      <c r="AC24" s="22">
        <v>726.8</v>
      </c>
      <c r="AD24" s="22">
        <v>-322.8</v>
      </c>
      <c r="AE24" s="22">
        <v>-303.8</v>
      </c>
      <c r="AG24" s="11" t="s">
        <v>137</v>
      </c>
      <c r="AH24" s="48">
        <f>SUM(AH20:AH23)</f>
        <v>161.85000000000002</v>
      </c>
      <c r="AI24" s="48">
        <f t="shared" ref="AI24:AM24" si="47">SUM(AI20:AI23)</f>
        <v>274.37999999999994</v>
      </c>
      <c r="AJ24" s="48">
        <f t="shared" si="47"/>
        <v>448.73</v>
      </c>
      <c r="AK24" s="48">
        <f t="shared" si="47"/>
        <v>601.92999999999995</v>
      </c>
      <c r="AL24" s="48">
        <f t="shared" si="47"/>
        <v>695.73</v>
      </c>
      <c r="AM24" s="48">
        <f t="shared" si="47"/>
        <v>761.56</v>
      </c>
      <c r="AO24" s="11" t="s">
        <v>173</v>
      </c>
      <c r="AP24" s="66">
        <f t="shared" ref="AP24:AU24" si="48">AP18-AP23</f>
        <v>1546.9799999999984</v>
      </c>
      <c r="AQ24" s="66">
        <f t="shared" si="48"/>
        <v>2401.3000000000011</v>
      </c>
      <c r="AR24" s="66">
        <f t="shared" si="48"/>
        <v>2741.5899999999992</v>
      </c>
      <c r="AS24" s="66">
        <f t="shared" si="48"/>
        <v>3017.9100000000008</v>
      </c>
      <c r="AT24" s="66">
        <f t="shared" si="48"/>
        <v>4350.1299999999974</v>
      </c>
      <c r="AU24" s="66">
        <f t="shared" si="48"/>
        <v>5291.0500000000011</v>
      </c>
    </row>
    <row r="25" spans="1:47" ht="28.8" x14ac:dyDescent="0.3">
      <c r="A25" s="148" t="s">
        <v>390</v>
      </c>
      <c r="B25" s="149">
        <v>4526.6099999999997</v>
      </c>
      <c r="C25" s="150">
        <f>0.88*C7</f>
        <v>6188.1248000000005</v>
      </c>
      <c r="D25" s="150">
        <f>0.9*D7</f>
        <v>8166.3300000000008</v>
      </c>
      <c r="E25" s="150">
        <f>0.88*E7</f>
        <v>7138.7096000000001</v>
      </c>
      <c r="F25" s="150">
        <f>0.87*F7</f>
        <v>7120.08</v>
      </c>
      <c r="G25" s="150">
        <f>0.86*G7</f>
        <v>8352.32</v>
      </c>
      <c r="I25" s="57" t="s">
        <v>148</v>
      </c>
      <c r="J25" s="24">
        <f>J20-J24</f>
        <v>4186.7900000000063</v>
      </c>
      <c r="K25" s="24">
        <f t="shared" ref="K25:O25" si="49">K20-K24</f>
        <v>2284.679999999998</v>
      </c>
      <c r="L25" s="24">
        <f t="shared" si="49"/>
        <v>3405.8199999999997</v>
      </c>
      <c r="M25" s="24">
        <f t="shared" si="49"/>
        <v>8560.8399999999965</v>
      </c>
      <c r="N25" s="24">
        <f t="shared" si="49"/>
        <v>9648.4399999999987</v>
      </c>
      <c r="O25" s="24">
        <f t="shared" si="49"/>
        <v>10980.100000000002</v>
      </c>
      <c r="Q25" s="11" t="s">
        <v>153</v>
      </c>
      <c r="R25" s="24">
        <f>R20-R24</f>
        <v>1056.1401999999987</v>
      </c>
      <c r="S25" s="24">
        <f t="shared" ref="S25:W25" si="50">S20-S24</f>
        <v>1293.0278999999998</v>
      </c>
      <c r="T25" s="24">
        <f t="shared" si="50"/>
        <v>1452.9570999999992</v>
      </c>
      <c r="U25" s="24">
        <f t="shared" si="50"/>
        <v>1309.675800000002</v>
      </c>
      <c r="V25" s="24">
        <f t="shared" si="50"/>
        <v>1940.7899999999995</v>
      </c>
      <c r="W25" s="24">
        <f t="shared" si="50"/>
        <v>2006.59</v>
      </c>
      <c r="Y25" s="11" t="s">
        <v>137</v>
      </c>
      <c r="Z25" s="24">
        <f>SUM(Z23:Z24)</f>
        <v>-140.29999999999995</v>
      </c>
      <c r="AA25" s="24">
        <f t="shared" ref="AA25:AE25" si="51">SUM(AA23:AA24)</f>
        <v>931.90000000000009</v>
      </c>
      <c r="AB25" s="24">
        <f t="shared" si="51"/>
        <v>878.9</v>
      </c>
      <c r="AC25" s="24">
        <f t="shared" si="51"/>
        <v>1541.1999999999998</v>
      </c>
      <c r="AD25" s="24">
        <f t="shared" si="51"/>
        <v>1623.1000000000001</v>
      </c>
      <c r="AE25" s="24">
        <f t="shared" si="51"/>
        <v>1954.3</v>
      </c>
      <c r="AG25" s="11" t="s">
        <v>153</v>
      </c>
      <c r="AH25" s="48">
        <f>AH19-AH24</f>
        <v>1024.7200000000007</v>
      </c>
      <c r="AI25" s="48">
        <f t="shared" ref="AI25:AM25" si="52">AI19-AI24</f>
        <v>1251.8800000000003</v>
      </c>
      <c r="AJ25" s="48">
        <f t="shared" si="52"/>
        <v>777.18000000000052</v>
      </c>
      <c r="AK25" s="48">
        <f t="shared" si="52"/>
        <v>1245.23</v>
      </c>
      <c r="AL25" s="48">
        <f t="shared" si="52"/>
        <v>1656.3799999999997</v>
      </c>
      <c r="AM25" s="48">
        <f t="shared" si="52"/>
        <v>1911.2500000000005</v>
      </c>
      <c r="AO25" s="4" t="s">
        <v>174</v>
      </c>
      <c r="AP25" s="65">
        <v>-47.46</v>
      </c>
      <c r="AQ25" s="65">
        <v>-12.79</v>
      </c>
      <c r="AR25" s="65">
        <v>-12.82</v>
      </c>
      <c r="AS25" s="65">
        <v>-2.6</v>
      </c>
      <c r="AT25" s="65">
        <v>-1.59</v>
      </c>
      <c r="AU25" s="65">
        <v>-21.85</v>
      </c>
    </row>
    <row r="26" spans="1:47" x14ac:dyDescent="0.3">
      <c r="A26" s="1" t="s">
        <v>393</v>
      </c>
      <c r="B26" s="132">
        <f t="shared" ref="B26:G26" si="53">B9+B10+B11</f>
        <v>2108.54</v>
      </c>
      <c r="C26" s="132">
        <f t="shared" si="53"/>
        <v>2324.08</v>
      </c>
      <c r="D26" s="132">
        <f t="shared" si="53"/>
        <v>2967.14</v>
      </c>
      <c r="E26" s="132">
        <f t="shared" si="53"/>
        <v>3053.7200000000003</v>
      </c>
      <c r="F26" s="132">
        <f t="shared" si="53"/>
        <v>3129</v>
      </c>
      <c r="G26" s="132">
        <f t="shared" si="53"/>
        <v>3725</v>
      </c>
      <c r="I26" s="4" t="s">
        <v>149</v>
      </c>
      <c r="J26" s="22">
        <v>-13.83</v>
      </c>
      <c r="K26" s="22">
        <v>-13.55</v>
      </c>
      <c r="L26" s="22">
        <v>-21.73</v>
      </c>
      <c r="M26" s="22">
        <v>-47.67</v>
      </c>
      <c r="N26" s="22">
        <v>-38.270000000000003</v>
      </c>
      <c r="O26" s="22">
        <v>-25.22</v>
      </c>
      <c r="Y26" s="11" t="s">
        <v>153</v>
      </c>
      <c r="Z26" s="24">
        <f>Z22-Z25</f>
        <v>2025.9999999999984</v>
      </c>
      <c r="AA26" s="24">
        <f t="shared" ref="AA26:AE26" si="54">AA22-AA25</f>
        <v>1951.6000000000035</v>
      </c>
      <c r="AB26" s="24">
        <f t="shared" si="54"/>
        <v>2182.5000000000023</v>
      </c>
      <c r="AC26" s="24">
        <f t="shared" si="54"/>
        <v>4507.3000000000038</v>
      </c>
      <c r="AD26" s="24">
        <f t="shared" si="54"/>
        <v>5577.8999999999987</v>
      </c>
      <c r="AE26" s="24">
        <f t="shared" si="54"/>
        <v>5725.2000000000025</v>
      </c>
      <c r="AH26" s="1"/>
      <c r="AI26" s="1"/>
      <c r="AJ26" s="1"/>
      <c r="AK26" s="1"/>
      <c r="AL26" s="1"/>
      <c r="AM26" s="1"/>
      <c r="AO26" s="11" t="s">
        <v>153</v>
      </c>
      <c r="AP26" s="66">
        <f>AP24+AP25</f>
        <v>1499.5199999999984</v>
      </c>
      <c r="AQ26" s="66">
        <f t="shared" ref="AQ26:AU26" si="55">AQ24+AQ25</f>
        <v>2388.5100000000011</v>
      </c>
      <c r="AR26" s="66">
        <f t="shared" si="55"/>
        <v>2728.7699999999991</v>
      </c>
      <c r="AS26" s="66">
        <f t="shared" si="55"/>
        <v>3015.3100000000009</v>
      </c>
      <c r="AT26" s="66">
        <f t="shared" si="55"/>
        <v>4348.5399999999972</v>
      </c>
      <c r="AU26" s="66">
        <f t="shared" si="55"/>
        <v>5269.2000000000007</v>
      </c>
    </row>
    <row r="27" spans="1:47" x14ac:dyDescent="0.3">
      <c r="A27" s="148" t="s">
        <v>396</v>
      </c>
      <c r="B27" s="151">
        <f>ABS('Cash Flow Statement'!B33)/'Income Statement'!B7</f>
        <v>0.21189101100455762</v>
      </c>
      <c r="C27" s="151">
        <f>ABS('Cash Flow Statement'!C33)/'Income Statement'!C7</f>
        <v>0.12943617426720289</v>
      </c>
      <c r="D27" s="151">
        <f>ABS('Cash Flow Statement'!D33)/'Income Statement'!D7</f>
        <v>7.8600791297926978E-2</v>
      </c>
      <c r="E27" s="151">
        <f>ABS('Cash Flow Statement'!E33)/'Income Statement'!E7</f>
        <v>5.8309922006072358E-2</v>
      </c>
      <c r="F27" s="151">
        <f>ABS('Cash Flow Statement'!F33)/'Income Statement'!F7</f>
        <v>0.12255620723362659</v>
      </c>
      <c r="G27" s="151">
        <f>ABS('Cash Flow Statement'!G33)/'Income Statement'!G7</f>
        <v>0.14806425041186161</v>
      </c>
      <c r="I27" s="4" t="s">
        <v>150</v>
      </c>
      <c r="J27" s="22">
        <v>-1</v>
      </c>
      <c r="K27" s="22">
        <v>1.22</v>
      </c>
      <c r="L27" s="22">
        <v>5.19</v>
      </c>
      <c r="M27" s="22">
        <v>-0.23</v>
      </c>
      <c r="N27" s="22">
        <v>-0.14000000000000001</v>
      </c>
      <c r="O27" s="22">
        <v>9.8699999999999992</v>
      </c>
      <c r="Q27" s="1" t="s">
        <v>470</v>
      </c>
      <c r="R27" s="49" t="s">
        <v>54</v>
      </c>
      <c r="S27" s="49" t="s">
        <v>55</v>
      </c>
      <c r="T27" s="49" t="s">
        <v>56</v>
      </c>
      <c r="U27" s="49" t="s">
        <v>57</v>
      </c>
      <c r="V27" s="49" t="s">
        <v>58</v>
      </c>
      <c r="W27" s="49" t="s">
        <v>59</v>
      </c>
      <c r="AG27" s="1" t="s">
        <v>470</v>
      </c>
      <c r="AH27" s="49" t="s">
        <v>54</v>
      </c>
      <c r="AI27" s="49" t="s">
        <v>55</v>
      </c>
      <c r="AJ27" s="49" t="s">
        <v>56</v>
      </c>
      <c r="AK27" s="49" t="s">
        <v>57</v>
      </c>
      <c r="AL27" s="49" t="s">
        <v>58</v>
      </c>
      <c r="AM27" s="49" t="s">
        <v>59</v>
      </c>
    </row>
    <row r="28" spans="1:47" s="79" customFormat="1" x14ac:dyDescent="0.3">
      <c r="A28" s="1" t="s">
        <v>395</v>
      </c>
      <c r="B28" s="152">
        <f>AVERAGE(B27:G27)</f>
        <v>0.12480972603687468</v>
      </c>
      <c r="C28" s="49"/>
      <c r="D28" s="49"/>
      <c r="E28" s="49"/>
      <c r="F28" s="49"/>
      <c r="G28" s="49"/>
      <c r="H28" s="1"/>
      <c r="I28" s="11" t="s">
        <v>151</v>
      </c>
      <c r="J28" s="24">
        <f>SUM(J25:J27)</f>
        <v>4171.9600000000064</v>
      </c>
      <c r="K28" s="24">
        <f t="shared" ref="K28:O28" si="56">SUM(K25:K27)</f>
        <v>2272.3499999999976</v>
      </c>
      <c r="L28" s="24">
        <f t="shared" si="56"/>
        <v>3389.2799999999997</v>
      </c>
      <c r="M28" s="24">
        <f t="shared" si="56"/>
        <v>8512.9399999999969</v>
      </c>
      <c r="N28" s="24">
        <f t="shared" si="56"/>
        <v>9610.0299999999988</v>
      </c>
      <c r="O28" s="24">
        <f t="shared" si="56"/>
        <v>10964.750000000004</v>
      </c>
      <c r="P28" s="1"/>
      <c r="Q28" s="1" t="s">
        <v>373</v>
      </c>
      <c r="R28" s="31">
        <v>143.69999999999999</v>
      </c>
      <c r="S28" s="31">
        <v>119</v>
      </c>
      <c r="T28" s="31">
        <v>167</v>
      </c>
      <c r="U28" s="31">
        <v>1000</v>
      </c>
      <c r="V28" s="31">
        <v>223</v>
      </c>
      <c r="W28" s="31">
        <v>256.3</v>
      </c>
      <c r="X28" s="1"/>
      <c r="Y28" s="31" t="s">
        <v>470</v>
      </c>
      <c r="Z28" s="176" t="s">
        <v>54</v>
      </c>
      <c r="AA28" s="176" t="s">
        <v>55</v>
      </c>
      <c r="AB28" s="176" t="s">
        <v>56</v>
      </c>
      <c r="AC28" s="176" t="s">
        <v>57</v>
      </c>
      <c r="AD28" s="176" t="s">
        <v>58</v>
      </c>
      <c r="AE28" s="176" t="s">
        <v>59</v>
      </c>
      <c r="AG28" s="31" t="s">
        <v>373</v>
      </c>
      <c r="AH28" s="213">
        <v>380.9</v>
      </c>
      <c r="AI28" s="213">
        <v>487</v>
      </c>
      <c r="AJ28" s="213">
        <v>516</v>
      </c>
      <c r="AK28" s="213">
        <v>516</v>
      </c>
      <c r="AL28" s="213">
        <f>0.047*AL7</f>
        <v>506.93025</v>
      </c>
      <c r="AM28" s="213">
        <v>581</v>
      </c>
      <c r="AO28" s="31" t="s">
        <v>470</v>
      </c>
      <c r="AP28" s="176" t="s">
        <v>54</v>
      </c>
      <c r="AQ28" s="176" t="s">
        <v>55</v>
      </c>
      <c r="AR28" s="176" t="s">
        <v>56</v>
      </c>
      <c r="AS28" s="176" t="s">
        <v>57</v>
      </c>
      <c r="AT28" s="176" t="s">
        <v>58</v>
      </c>
      <c r="AU28" s="176" t="s">
        <v>59</v>
      </c>
    </row>
    <row r="29" spans="1:47" s="79" customFormat="1" x14ac:dyDescent="0.3">
      <c r="A29" s="148" t="s">
        <v>442</v>
      </c>
      <c r="B29" s="151">
        <f>B14/'Balance Sheet'!B6</f>
        <v>6.7158043531566888E-2</v>
      </c>
      <c r="C29" s="151">
        <f>C14/'Balance Sheet'!C6</f>
        <v>6.9178219376072492E-2</v>
      </c>
      <c r="D29" s="151">
        <f>D14/'Balance Sheet'!D6</f>
        <v>7.2207078152670759E-2</v>
      </c>
      <c r="E29" s="151">
        <f>E14/'Balance Sheet'!E6</f>
        <v>7.279754442457527E-2</v>
      </c>
      <c r="F29" s="151">
        <f>F14/'Balance Sheet'!F6</f>
        <v>7.9864779209803505E-2</v>
      </c>
      <c r="G29" s="151">
        <f>G14/'Balance Sheet'!G6</f>
        <v>7.3937833363987487E-2</v>
      </c>
      <c r="H29" s="1"/>
      <c r="I29" s="4" t="s">
        <v>152</v>
      </c>
      <c r="J29" s="22">
        <v>407.03</v>
      </c>
      <c r="K29" s="22">
        <v>-631.47</v>
      </c>
      <c r="L29" s="22">
        <v>116.55</v>
      </c>
      <c r="M29" s="22">
        <v>39.36</v>
      </c>
      <c r="N29" s="22">
        <v>33.65</v>
      </c>
      <c r="O29" s="22">
        <v>35.71</v>
      </c>
      <c r="P29" s="1"/>
      <c r="Q29" s="1" t="s">
        <v>390</v>
      </c>
      <c r="R29" s="83">
        <f>0.1*R7</f>
        <v>597.56528999999989</v>
      </c>
      <c r="S29" s="83">
        <f>0.092*S7</f>
        <v>587.45498759999998</v>
      </c>
      <c r="T29" s="83">
        <f>0.024*T7</f>
        <v>191.4620328</v>
      </c>
      <c r="U29" s="83">
        <f>0.034*U7</f>
        <v>301.85199320000009</v>
      </c>
      <c r="V29" s="83">
        <f>0.079*V7</f>
        <v>832.71213999999998</v>
      </c>
      <c r="W29" s="83">
        <f>0.09*W7</f>
        <v>1146.9806999999998</v>
      </c>
      <c r="X29" s="1"/>
      <c r="Y29" s="1" t="s">
        <v>373</v>
      </c>
      <c r="Z29" s="31">
        <v>1541</v>
      </c>
      <c r="AA29" s="31">
        <v>1654.1</v>
      </c>
      <c r="AB29" s="31">
        <v>1748.2</v>
      </c>
      <c r="AC29" s="31">
        <v>1938.1</v>
      </c>
      <c r="AD29" s="31">
        <v>2287.3000000000002</v>
      </c>
      <c r="AE29" s="31">
        <v>2738</v>
      </c>
      <c r="AF29" s="1"/>
      <c r="AG29" s="1" t="s">
        <v>390</v>
      </c>
      <c r="AH29" s="213">
        <v>4422</v>
      </c>
      <c r="AI29" s="213">
        <v>4307</v>
      </c>
      <c r="AJ29" s="213">
        <f>0.45*AJ7</f>
        <v>3917.07</v>
      </c>
      <c r="AK29" s="213">
        <f>0.41*AK7</f>
        <v>3962.7688999999996</v>
      </c>
      <c r="AL29" s="213">
        <f>0.425*AL7</f>
        <v>4583.9437499999995</v>
      </c>
      <c r="AM29" s="213">
        <f>0.24*AM7</f>
        <v>2769.4463999999998</v>
      </c>
      <c r="AO29" s="31" t="s">
        <v>373</v>
      </c>
      <c r="AP29" s="182">
        <v>1362</v>
      </c>
      <c r="AQ29" s="182">
        <f>0.0482*AQ8</f>
        <v>936.3129560000001</v>
      </c>
      <c r="AR29" s="182">
        <f>0.05*AR8</f>
        <v>1102.2125000000001</v>
      </c>
      <c r="AS29" s="182">
        <v>3862</v>
      </c>
      <c r="AT29" s="182">
        <v>1571</v>
      </c>
      <c r="AU29" s="182">
        <v>4317</v>
      </c>
    </row>
    <row r="30" spans="1:47" x14ac:dyDescent="0.3">
      <c r="A30" s="1" t="s">
        <v>443</v>
      </c>
      <c r="B30" s="152">
        <f>AVERAGE(B29:G29)</f>
        <v>7.2523916343112727E-2</v>
      </c>
      <c r="I30" s="11" t="s">
        <v>153</v>
      </c>
      <c r="J30" s="24">
        <f>J28-J29</f>
        <v>3764.9300000000067</v>
      </c>
      <c r="K30" s="24">
        <f t="shared" ref="K30:O30" si="57">K28-K29</f>
        <v>2903.8199999999979</v>
      </c>
      <c r="L30" s="24">
        <f t="shared" si="57"/>
        <v>3272.7299999999996</v>
      </c>
      <c r="M30" s="24">
        <f t="shared" si="57"/>
        <v>8473.5799999999963</v>
      </c>
      <c r="N30" s="24">
        <f t="shared" si="57"/>
        <v>9576.3799999999992</v>
      </c>
      <c r="O30" s="24">
        <f t="shared" si="57"/>
        <v>10929.040000000005</v>
      </c>
      <c r="Q30" s="1" t="s">
        <v>394</v>
      </c>
      <c r="R30" s="83">
        <f t="shared" ref="R30:W30" si="58">R9+R10+R11</f>
        <v>1878.0711000000001</v>
      </c>
      <c r="S30" s="83">
        <f t="shared" si="58"/>
        <v>1780.6086</v>
      </c>
      <c r="T30" s="83">
        <f t="shared" si="58"/>
        <v>2421.7284</v>
      </c>
      <c r="U30" s="83">
        <f t="shared" si="58"/>
        <v>2913.6419999999998</v>
      </c>
      <c r="V30" s="83">
        <f t="shared" si="58"/>
        <v>3198.47</v>
      </c>
      <c r="W30" s="83">
        <f t="shared" si="58"/>
        <v>3489.04</v>
      </c>
      <c r="Y30" s="1" t="s">
        <v>390</v>
      </c>
      <c r="Z30" s="83">
        <f>0.834*Z9</f>
        <v>15126.758399999999</v>
      </c>
      <c r="AA30" s="83">
        <f>0.8*AA9</f>
        <v>15471.120000000003</v>
      </c>
      <c r="AB30" s="83">
        <f>0.69*AB9</f>
        <v>15200.424000000001</v>
      </c>
      <c r="AC30" s="83">
        <f>0.79*AC9</f>
        <v>20322.908000000003</v>
      </c>
      <c r="AD30" s="83">
        <f>0.834*AD9</f>
        <v>24107.103599999999</v>
      </c>
      <c r="AE30" s="83">
        <f>0.835*AE9</f>
        <v>28173.902000000002</v>
      </c>
      <c r="AG30" s="1" t="s">
        <v>394</v>
      </c>
      <c r="AH30" s="132">
        <f>SUM(AH9:AH11)</f>
        <v>2166.92</v>
      </c>
      <c r="AI30" s="132">
        <f t="shared" ref="AI30:AM30" si="59">SUM(AI9:AI11)</f>
        <v>2146.42</v>
      </c>
      <c r="AJ30" s="132">
        <f t="shared" si="59"/>
        <v>2442.0100000000002</v>
      </c>
      <c r="AK30" s="132">
        <f t="shared" si="59"/>
        <v>2735.19</v>
      </c>
      <c r="AL30" s="132">
        <f t="shared" si="59"/>
        <v>2686.21</v>
      </c>
      <c r="AM30" s="132">
        <f t="shared" si="59"/>
        <v>2775.8999999999996</v>
      </c>
      <c r="AO30" s="31" t="s">
        <v>390</v>
      </c>
      <c r="AP30" s="182">
        <f>0.515*AP8</f>
        <v>9000.2378499999995</v>
      </c>
      <c r="AQ30" s="182">
        <f>0.5*AQ8</f>
        <v>9712.7900000000009</v>
      </c>
      <c r="AR30" s="182">
        <f>0.587*AR8</f>
        <v>12939.974749999999</v>
      </c>
      <c r="AS30" s="182">
        <f>0.57*AS8</f>
        <v>13240.284899999999</v>
      </c>
      <c r="AT30" s="182">
        <f>0.573*AT8</f>
        <v>15196.338179999999</v>
      </c>
      <c r="AU30" s="182">
        <f>0.57*AU8</f>
        <v>16193.409299999999</v>
      </c>
    </row>
    <row r="31" spans="1:47" x14ac:dyDescent="0.3">
      <c r="A31" s="148" t="s">
        <v>439</v>
      </c>
      <c r="B31" s="151">
        <f>(G7/B7)^(1/6)-1</f>
        <v>9.6629427804906021E-2</v>
      </c>
      <c r="C31" s="149"/>
      <c r="D31" s="149"/>
      <c r="E31" s="149"/>
      <c r="F31" s="149"/>
      <c r="G31" s="149"/>
      <c r="Q31" s="1" t="s">
        <v>396</v>
      </c>
      <c r="R31" s="159">
        <f>ABS('Cash Flow Statement'!R44)/'Income Statement'!R7</f>
        <v>3.8149772721906255E-2</v>
      </c>
      <c r="S31" s="159">
        <f>ABS('Cash Flow Statement'!S44)/'Income Statement'!S7</f>
        <v>4.8302275746990357E-2</v>
      </c>
      <c r="T31" s="159">
        <f>ABS('Cash Flow Statement'!T44)/'Income Statement'!T7</f>
        <v>5.8271321143102378E-2</v>
      </c>
      <c r="U31" s="159">
        <f>ABS('Cash Flow Statement'!U44)/'Income Statement'!U7</f>
        <v>8.8873678505827391E-2</v>
      </c>
      <c r="V31" s="159">
        <f>ABS('Cash Flow Statement'!V44)/'Income Statement'!V7</f>
        <v>2.9915584033637362E-2</v>
      </c>
      <c r="W31" s="159">
        <f>ABS('Cash Flow Statement'!W44)/'Income Statement'!W7</f>
        <v>3.6156754860827214E-2</v>
      </c>
      <c r="Y31" s="1" t="s">
        <v>394</v>
      </c>
      <c r="Z31" s="83">
        <f t="shared" ref="Z31:AE31" si="60">SUM(Z11+Z12+Z13)</f>
        <v>5554.4000000000005</v>
      </c>
      <c r="AA31" s="83">
        <f t="shared" si="60"/>
        <v>6078.9</v>
      </c>
      <c r="AB31" s="83">
        <f t="shared" si="60"/>
        <v>7442.2</v>
      </c>
      <c r="AC31" s="83">
        <f t="shared" si="60"/>
        <v>7657.7</v>
      </c>
      <c r="AD31" s="83">
        <f t="shared" si="60"/>
        <v>8208.7000000000007</v>
      </c>
      <c r="AE31" s="83">
        <f t="shared" si="60"/>
        <v>9979.9</v>
      </c>
      <c r="AG31" s="1" t="s">
        <v>396</v>
      </c>
      <c r="AH31" s="159">
        <f>ABS('Cash Flow Statement'!AH22)/'Income Statement'!AH7</f>
        <v>5.0465163306499132E-2</v>
      </c>
      <c r="AI31" s="159">
        <f>ABS('Cash Flow Statement'!AI22)/'Income Statement'!AI7</f>
        <v>4.1574251874345651E-2</v>
      </c>
      <c r="AJ31" s="159">
        <f>ABS('Cash Flow Statement'!AJ22)/'Income Statement'!AJ7</f>
        <v>0</v>
      </c>
      <c r="AK31" s="159">
        <f>ABS('Cash Flow Statement'!AK22)/'Income Statement'!AK7</f>
        <v>0.2069260208436581</v>
      </c>
      <c r="AL31" s="159">
        <f>ABS('Cash Flow Statement'!AL22)/'Income Statement'!AL7</f>
        <v>4.012516514845977E-2</v>
      </c>
      <c r="AM31" s="159">
        <f>ABS('Cash Flow Statement'!AM22)/'Income Statement'!AM7</f>
        <v>5.3024604484130836E-2</v>
      </c>
      <c r="AO31" s="1" t="s">
        <v>394</v>
      </c>
      <c r="AP31" s="229">
        <f t="shared" ref="AP31:AU31" si="61">SUM(AP10:AP12)</f>
        <v>5991.42</v>
      </c>
      <c r="AQ31" s="229">
        <f t="shared" si="61"/>
        <v>7351.89</v>
      </c>
      <c r="AR31" s="229">
        <f t="shared" si="61"/>
        <v>8495.6</v>
      </c>
      <c r="AS31" s="229">
        <f t="shared" si="61"/>
        <v>8252.2799999999988</v>
      </c>
      <c r="AT31" s="229">
        <f t="shared" si="61"/>
        <v>8819.5700000000015</v>
      </c>
      <c r="AU31" s="229">
        <f t="shared" si="61"/>
        <v>8928.99</v>
      </c>
    </row>
    <row r="32" spans="1:47" x14ac:dyDescent="0.3">
      <c r="A32" s="1" t="s">
        <v>444</v>
      </c>
      <c r="B32" s="146">
        <f t="shared" ref="B32:G32" si="62">B26/B7</f>
        <v>0.37760048710165561</v>
      </c>
      <c r="C32" s="146">
        <f t="shared" si="62"/>
        <v>0.33050244881939034</v>
      </c>
      <c r="D32" s="146">
        <f t="shared" si="62"/>
        <v>0.32700441936585956</v>
      </c>
      <c r="E32" s="146">
        <f t="shared" si="62"/>
        <v>0.37643688433551076</v>
      </c>
      <c r="F32" s="146">
        <f t="shared" si="62"/>
        <v>0.38233137829912023</v>
      </c>
      <c r="G32" s="146">
        <f t="shared" si="62"/>
        <v>0.3835461285008237</v>
      </c>
      <c r="I32" s="1" t="s">
        <v>470</v>
      </c>
      <c r="J32" s="49" t="s">
        <v>54</v>
      </c>
      <c r="K32" s="49" t="s">
        <v>55</v>
      </c>
      <c r="L32" s="49" t="s">
        <v>56</v>
      </c>
      <c r="M32" s="49" t="s">
        <v>57</v>
      </c>
      <c r="N32" s="49" t="s">
        <v>58</v>
      </c>
      <c r="O32" s="49" t="s">
        <v>59</v>
      </c>
      <c r="Q32" s="1" t="s">
        <v>447</v>
      </c>
      <c r="R32" s="160">
        <f>AVERAGE(R31:W31)</f>
        <v>4.9944897835381828E-2</v>
      </c>
      <c r="Y32" s="1" t="s">
        <v>396</v>
      </c>
      <c r="Z32" s="159">
        <f>ABS('Cash Flow Statement'!Z28)/'Income Statement'!Z9</f>
        <v>7.2225652787579397E-4</v>
      </c>
      <c r="AA32" s="159">
        <f>ABS('Cash Flow Statement'!AA28)/'Income Statement'!AA9</f>
        <v>5.0369979678265051E-2</v>
      </c>
      <c r="AB32" s="159">
        <f>ABS('Cash Flow Statement'!AB28)/'Income Statement'!AB9</f>
        <v>6.6546827904274242E-2</v>
      </c>
      <c r="AC32" s="159">
        <f>ABS('Cash Flow Statement'!AC28)/'Income Statement'!AC9</f>
        <v>4.4015206878858085E-2</v>
      </c>
      <c r="AD32" s="159">
        <f>ABS('Cash Flow Statement'!AD28)/'Income Statement'!AD9</f>
        <v>5.6747182187411351E-2</v>
      </c>
      <c r="AE32" s="159">
        <f>ABS('Cash Flow Statement'!AE28)/'Income Statement'!AE9</f>
        <v>8.1514587507261149E-2</v>
      </c>
      <c r="AG32" s="1" t="s">
        <v>447</v>
      </c>
      <c r="AH32" s="160">
        <f>AVERAGE(AL31:AM31)</f>
        <v>4.6574884816295306E-2</v>
      </c>
      <c r="AI32" s="1"/>
      <c r="AJ32" s="1"/>
      <c r="AK32" s="1"/>
      <c r="AL32" s="1"/>
      <c r="AM32" s="1"/>
      <c r="AO32" s="1" t="s">
        <v>396</v>
      </c>
      <c r="AP32" s="177">
        <f>ABS('Cash Flow Statement'!AP29)/'Income Statement'!AP8</f>
        <v>3.2774306070144581E-2</v>
      </c>
      <c r="AQ32" s="177">
        <f>ABS('Cash Flow Statement'!AQ29)/'Income Statement'!AQ8</f>
        <v>3.2413961384936761E-2</v>
      </c>
      <c r="AR32" s="177">
        <f>ABS('Cash Flow Statement'!AR29)/'Income Statement'!AR8</f>
        <v>2.4682626988897331E-2</v>
      </c>
      <c r="AS32" s="177">
        <f>ABS('Cash Flow Statement'!AS29)/'Income Statement'!AS8</f>
        <v>3.618518057719438E-2</v>
      </c>
      <c r="AT32" s="177">
        <f>ABS('Cash Flow Statement'!AT29)/'Income Statement'!AT8</f>
        <v>4.1411111186524019E-2</v>
      </c>
      <c r="AU32" s="177">
        <f>ABS('Cash Flow Statement'!AU29)/'Income Statement'!AU8</f>
        <v>4.0907457332039397E-2</v>
      </c>
    </row>
    <row r="33" spans="1:48" x14ac:dyDescent="0.3">
      <c r="A33" s="148" t="s">
        <v>445</v>
      </c>
      <c r="B33" s="153">
        <f>AVERAGE(B32:G32)</f>
        <v>0.3629036244037267</v>
      </c>
      <c r="C33" s="149"/>
      <c r="D33" s="149"/>
      <c r="E33" s="149"/>
      <c r="F33" s="149"/>
      <c r="G33" s="149"/>
      <c r="I33" s="1" t="s">
        <v>373</v>
      </c>
      <c r="J33" s="31">
        <v>2302.5</v>
      </c>
      <c r="K33" s="31">
        <v>2149.9</v>
      </c>
      <c r="L33" s="31">
        <v>2220</v>
      </c>
      <c r="M33" s="31">
        <v>2367.6</v>
      </c>
      <c r="N33" s="31">
        <v>3241</v>
      </c>
      <c r="O33" s="31">
        <v>3248.4</v>
      </c>
      <c r="Q33" s="1" t="s">
        <v>479</v>
      </c>
      <c r="R33" s="83">
        <f>'Balance Sheet'!R6/('Balance Sheet'!R6+'Balance Sheet'!R10)*'Income Statement'!R14</f>
        <v>97.657622962892262</v>
      </c>
      <c r="S33" s="83">
        <f>'Balance Sheet'!S6/('Balance Sheet'!S6+'Balance Sheet'!S10)*'Income Statement'!S14</f>
        <v>117.63221211031949</v>
      </c>
      <c r="T33" s="83">
        <f>'Balance Sheet'!T6/('Balance Sheet'!T6+'Balance Sheet'!T10)*'Income Statement'!T14</f>
        <v>78.774794337070077</v>
      </c>
      <c r="U33" s="83">
        <f>'Balance Sheet'!U6/('Balance Sheet'!U6+'Balance Sheet'!U10)*'Income Statement'!U14</f>
        <v>191.02436955346445</v>
      </c>
      <c r="V33" s="83">
        <f>'Balance Sheet'!V6/('Balance Sheet'!V6+'Balance Sheet'!V10)*'Income Statement'!V14</f>
        <v>241.84254536034925</v>
      </c>
      <c r="W33" s="83">
        <f>'Balance Sheet'!W6/('Balance Sheet'!W6+'Balance Sheet'!W10)*'Income Statement'!W14</f>
        <v>137.91430223741557</v>
      </c>
      <c r="Y33" s="1" t="s">
        <v>447</v>
      </c>
      <c r="Z33" s="160">
        <f>AVERAGE(AA32:AE32)</f>
        <v>5.9838756831213979E-2</v>
      </c>
      <c r="AG33" s="1" t="s">
        <v>479</v>
      </c>
      <c r="AH33" s="83">
        <f>'Balance Sheet'!AH6/('Balance Sheet'!AH6+'Balance Sheet'!AH10)*'Income Statement'!AH14</f>
        <v>261.34818367228343</v>
      </c>
      <c r="AI33" s="83">
        <f>'Balance Sheet'!AI6/('Balance Sheet'!AI6+'Balance Sheet'!AI10)*'Income Statement'!AI14</f>
        <v>274.94512365391751</v>
      </c>
      <c r="AJ33" s="83">
        <f>'Balance Sheet'!AJ6/('Balance Sheet'!AJ6+'Balance Sheet'!AJ10)*'Income Statement'!AJ14</f>
        <v>282.50679673805348</v>
      </c>
      <c r="AK33" s="83">
        <f>'Balance Sheet'!AK6/('Balance Sheet'!AK6+'Balance Sheet'!AK10)*'Income Statement'!AK14</f>
        <v>242.96032152029971</v>
      </c>
      <c r="AL33" s="83">
        <f>'Balance Sheet'!AL6/('Balance Sheet'!AL6+'Balance Sheet'!AL10)*'Income Statement'!AL14</f>
        <v>332.02218093270403</v>
      </c>
      <c r="AM33" s="83">
        <f>'Balance Sheet'!AM6/('Balance Sheet'!AM6+'Balance Sheet'!AM10)*'Income Statement'!AM14</f>
        <v>346.5439154206756</v>
      </c>
      <c r="AO33" s="1" t="s">
        <v>447</v>
      </c>
      <c r="AP33" s="230">
        <f>AVERAGE(AP32:AU32)</f>
        <v>3.4729107256622746E-2</v>
      </c>
      <c r="AQ33" s="178"/>
      <c r="AR33" s="178"/>
      <c r="AS33" s="178"/>
      <c r="AT33" s="178"/>
      <c r="AU33" s="178"/>
    </row>
    <row r="34" spans="1:48" x14ac:dyDescent="0.3">
      <c r="A34" s="1" t="s">
        <v>446</v>
      </c>
      <c r="B34" s="146">
        <f>(G6/B6)^(1/6)-1</f>
        <v>0.10859420248510321</v>
      </c>
      <c r="I34" s="1" t="s">
        <v>391</v>
      </c>
      <c r="J34" s="31">
        <v>4204.7550000000001</v>
      </c>
      <c r="K34" s="31">
        <f>0.68*K7</f>
        <v>23346.888800000001</v>
      </c>
      <c r="L34" s="31">
        <f>0.48*L7</f>
        <v>18996.48</v>
      </c>
      <c r="M34" s="31">
        <f>0.689*M7</f>
        <v>30674.417799999996</v>
      </c>
      <c r="N34" s="31">
        <f>0.727*N7</f>
        <v>36241.706079999996</v>
      </c>
      <c r="O34" s="31">
        <f>0.7*O7</f>
        <v>38180.436000000002</v>
      </c>
      <c r="Q34" s="1" t="s">
        <v>480</v>
      </c>
      <c r="R34" s="83">
        <f>'Balance Sheet'!R10/('Balance Sheet'!R6+'Balance Sheet'!R10)*'Income Statement'!R14</f>
        <v>1.4007770371077408</v>
      </c>
      <c r="S34" s="83">
        <f>'Balance Sheet'!S10/('Balance Sheet'!S6+'Balance Sheet'!S10)*'Income Statement'!S14</f>
        <v>1.3380878896805144</v>
      </c>
      <c r="T34" s="83">
        <f>'Balance Sheet'!T10/('Balance Sheet'!T6+'Balance Sheet'!T10)*'Income Statement'!T14</f>
        <v>87.844405662929915</v>
      </c>
      <c r="U34" s="83">
        <f>'Balance Sheet'!U10/('Balance Sheet'!U6+'Balance Sheet'!U10)*'Income Statement'!U14</f>
        <v>134.89513044653557</v>
      </c>
      <c r="V34" s="83">
        <f>'Balance Sheet'!V10/('Balance Sheet'!V6+'Balance Sheet'!V10)*'Income Statement'!V14</f>
        <v>136.5774546396508</v>
      </c>
      <c r="W34" s="83">
        <f>'Balance Sheet'!W10/('Balance Sheet'!W6+'Balance Sheet'!W10)*'Income Statement'!W14</f>
        <v>483.30569776258449</v>
      </c>
      <c r="Y34" s="1" t="s">
        <v>479</v>
      </c>
      <c r="Z34" s="83">
        <f>'Balance Sheet'!Z6/('Balance Sheet'!Z6+'Balance Sheet'!Z9)*'Income Statement'!Z15</f>
        <v>849.64704911451122</v>
      </c>
      <c r="AA34" s="83">
        <f>'Balance Sheet'!AA6/('Balance Sheet'!AA6+'Balance Sheet'!AA9)*'Income Statement'!AA15</f>
        <v>923.27150809875752</v>
      </c>
      <c r="AB34" s="83">
        <f>'Balance Sheet'!AB6/('Balance Sheet'!AB6+'Balance Sheet'!AB9)*'Income Statement'!AB15</f>
        <v>721.17495095346476</v>
      </c>
      <c r="AC34" s="83">
        <f>'Balance Sheet'!AC6/('Balance Sheet'!AC6+'Balance Sheet'!AC9)*'Income Statement'!AC15</f>
        <v>806.63335797840034</v>
      </c>
      <c r="AD34" s="83">
        <f>'Balance Sheet'!AD6/('Balance Sheet'!AD6+'Balance Sheet'!AD9)*'Income Statement'!AD15</f>
        <v>930.13913219583822</v>
      </c>
      <c r="AE34" s="83">
        <f>'Balance Sheet'!AE6/('Balance Sheet'!AE6+'Balance Sheet'!AE9)*'Income Statement'!AE15</f>
        <v>735.21265809312638</v>
      </c>
      <c r="AG34" s="1" t="s">
        <v>480</v>
      </c>
      <c r="AH34" s="83">
        <f>'Balance Sheet'!AH10/('Balance Sheet'!AH6+'Balance Sheet'!AH10)*'Income Statement'!AH14</f>
        <v>393.03181632771651</v>
      </c>
      <c r="AI34" s="83">
        <f>'Balance Sheet'!AI10/('Balance Sheet'!AI6+'Balance Sheet'!AI10)*'Income Statement'!AI14</f>
        <v>382.8448763460824</v>
      </c>
      <c r="AJ34" s="83">
        <f>'Balance Sheet'!AJ10/('Balance Sheet'!AJ6+'Balance Sheet'!AJ10)*'Income Statement'!AJ14</f>
        <v>379.65320326194649</v>
      </c>
      <c r="AK34" s="83">
        <f>'Balance Sheet'!AK10/('Balance Sheet'!AK6+'Balance Sheet'!AK10)*'Income Statement'!AK14</f>
        <v>463.62967847970026</v>
      </c>
      <c r="AL34" s="83">
        <f>'Balance Sheet'!AL10/('Balance Sheet'!AL6+'Balance Sheet'!AL10)*'Income Statement'!AL14</f>
        <v>476.24781906729589</v>
      </c>
      <c r="AM34" s="83">
        <f>'Balance Sheet'!AM10/('Balance Sheet'!AM6+'Balance Sheet'!AM10)*'Income Statement'!AM14</f>
        <v>448.38608457932435</v>
      </c>
      <c r="AO34" s="1" t="s">
        <v>479</v>
      </c>
      <c r="AP34" s="229">
        <f>'Balance Sheet'!AP6/('Balance Sheet'!AP6+'Balance Sheet'!AP11)*'Income Statement'!AP15</f>
        <v>895.69891079776448</v>
      </c>
      <c r="AQ34" s="229">
        <f>'Balance Sheet'!AQ6/('Balance Sheet'!AQ6+'Balance Sheet'!AQ11)*'Income Statement'!AQ15</f>
        <v>815.19808747840329</v>
      </c>
      <c r="AR34" s="229">
        <f>'Balance Sheet'!AR6/('Balance Sheet'!AR6+'Balance Sheet'!AR11)*'Income Statement'!AR15</f>
        <v>826.5442220100449</v>
      </c>
      <c r="AS34" s="229">
        <f>'Balance Sheet'!AS6/('Balance Sheet'!AS6+'Balance Sheet'!AS11)*'Income Statement'!AS15</f>
        <v>940.95453034445427</v>
      </c>
      <c r="AT34" s="229">
        <f>'Balance Sheet'!AT6/('Balance Sheet'!AT6+'Balance Sheet'!AT11)*'Income Statement'!AT15</f>
        <v>819.33646911432288</v>
      </c>
      <c r="AU34" s="229">
        <f>'Balance Sheet'!AU6/('Balance Sheet'!AU6+'Balance Sheet'!AU11)*'Income Statement'!AU15</f>
        <v>862.74315444532419</v>
      </c>
    </row>
    <row r="35" spans="1:48" x14ac:dyDescent="0.3">
      <c r="A35" s="148" t="s">
        <v>458</v>
      </c>
      <c r="B35" s="154">
        <f>AVERAGE(B13:G13)</f>
        <v>2.2399999999999998</v>
      </c>
      <c r="C35" s="151"/>
      <c r="D35" s="151"/>
      <c r="E35" s="151"/>
      <c r="F35" s="151"/>
      <c r="G35" s="151"/>
      <c r="I35" s="1" t="s">
        <v>394</v>
      </c>
      <c r="J35" s="83">
        <f t="shared" ref="J35:O35" si="63">J9+J10+J11</f>
        <v>9230.4499999999989</v>
      </c>
      <c r="K35" s="83">
        <f t="shared" si="63"/>
        <v>8690.08</v>
      </c>
      <c r="L35" s="83">
        <f t="shared" si="63"/>
        <v>10351.539999999999</v>
      </c>
      <c r="M35" s="83">
        <f t="shared" si="63"/>
        <v>10662.16</v>
      </c>
      <c r="N35" s="83">
        <f t="shared" si="63"/>
        <v>10662.609999999999</v>
      </c>
      <c r="O35" s="83">
        <f t="shared" si="63"/>
        <v>10747.359999999999</v>
      </c>
      <c r="Q35" s="1" t="s">
        <v>481</v>
      </c>
      <c r="R35" s="159">
        <f>AVERAGE(R33:W33)/AVERAGE('Balance Sheet'!R6:W6)</f>
        <v>6.7638412061090794E-2</v>
      </c>
      <c r="S35" s="159"/>
      <c r="T35" s="159"/>
      <c r="U35" s="159"/>
      <c r="V35" s="159"/>
      <c r="W35" s="159"/>
      <c r="Y35" s="1" t="s">
        <v>480</v>
      </c>
      <c r="Z35" s="83">
        <f>'Balance Sheet'!Z9/('Balance Sheet'!Z9+'Balance Sheet'!Z6)*'Income Statement'!Z15</f>
        <v>313.45295088548869</v>
      </c>
      <c r="AA35" s="83">
        <f>'Balance Sheet'!AA9/('Balance Sheet'!AA9+'Balance Sheet'!AA6)*'Income Statement'!AA15</f>
        <v>305.52849190124232</v>
      </c>
      <c r="AB35" s="83">
        <f>'Balance Sheet'!AB9/('Balance Sheet'!AB9+'Balance Sheet'!AB6)*'Income Statement'!AB15</f>
        <v>444.0250490465354</v>
      </c>
      <c r="AC35" s="83">
        <f>'Balance Sheet'!AC9/('Balance Sheet'!AC9+'Balance Sheet'!AC6)*'Income Statement'!AC15</f>
        <v>443.56664202159965</v>
      </c>
      <c r="AD35" s="83">
        <f>'Balance Sheet'!AD9/('Balance Sheet'!AD9+'Balance Sheet'!AD6)*'Income Statement'!AD15</f>
        <v>539.8608678041619</v>
      </c>
      <c r="AE35" s="83">
        <f>'Balance Sheet'!AE9/('Balance Sheet'!AE9+'Balance Sheet'!AE6)*'Income Statement'!AE15</f>
        <v>968.48734190687367</v>
      </c>
      <c r="AG35" s="1" t="s">
        <v>481</v>
      </c>
      <c r="AH35" s="159">
        <f>AVERAGE(AH33:AM33)/AVERAGE('Balance Sheet'!AH6:AM6)</f>
        <v>0.1016185570850717</v>
      </c>
      <c r="AI35" s="159"/>
      <c r="AJ35" s="159"/>
      <c r="AK35" s="159"/>
      <c r="AL35" s="159"/>
      <c r="AM35" s="159"/>
      <c r="AO35" s="1" t="s">
        <v>480</v>
      </c>
      <c r="AP35" s="229">
        <f>'Balance Sheet'!AP11/('Balance Sheet'!AP11+'Balance Sheet'!AP6)*'Income Statement'!AP15</f>
        <v>278.95108920223555</v>
      </c>
      <c r="AQ35" s="229">
        <f>'Balance Sheet'!AQ11/('Balance Sheet'!AQ11+'Balance Sheet'!AQ6)*'Income Statement'!AQ15</f>
        <v>252.46191252159679</v>
      </c>
      <c r="AR35" s="229">
        <f>'Balance Sheet'!AR11/('Balance Sheet'!AR11+'Balance Sheet'!AR6)*'Income Statement'!AR15</f>
        <v>225.40577798995514</v>
      </c>
      <c r="AS35" s="229">
        <f>'Balance Sheet'!AS11/('Balance Sheet'!AS11+'Balance Sheet'!AS6)*'Income Statement'!AS15</f>
        <v>231.1554696555456</v>
      </c>
      <c r="AT35" s="229">
        <f>'Balance Sheet'!AT11/('Balance Sheet'!AT11+'Balance Sheet'!AT6)*'Income Statement'!AT15</f>
        <v>231.68353088567716</v>
      </c>
      <c r="AU35" s="229">
        <f>'Balance Sheet'!AU11/('Balance Sheet'!AU11+'Balance Sheet'!AU6)*'Income Statement'!AU15</f>
        <v>244.20684555467588</v>
      </c>
    </row>
    <row r="36" spans="1:48" x14ac:dyDescent="0.3">
      <c r="A36" s="145"/>
      <c r="B36" s="146"/>
      <c r="C36" s="146"/>
      <c r="D36" s="146"/>
      <c r="E36" s="146"/>
      <c r="F36" s="146"/>
      <c r="G36" s="147"/>
      <c r="I36" s="1" t="s">
        <v>396</v>
      </c>
      <c r="J36" s="159">
        <f>ABS('Cash Flow Statement'!J30)/'Income Statement'!J7</f>
        <v>4.6066318769366073E-2</v>
      </c>
      <c r="K36" s="159">
        <f>ABS('Cash Flow Statement'!K30)/'Income Statement'!K7</f>
        <v>3.4081132043598042E-2</v>
      </c>
      <c r="L36" s="159">
        <f>ABS('Cash Flow Statement'!L30)/'Income Statement'!L7</f>
        <v>3.7776430159692745E-2</v>
      </c>
      <c r="M36" s="159">
        <f>ABS('Cash Flow Statement'!M30)/'Income Statement'!M7</f>
        <v>4.6845701501790203E-2</v>
      </c>
      <c r="N36" s="159">
        <f>ABS('Cash Flow Statement'!N30)/'Income Statement'!N7</f>
        <v>4.4167784664071202E-2</v>
      </c>
      <c r="O36" s="159">
        <f>ABS('Cash Flow Statement'!O30)/'Income Statement'!O7</f>
        <v>3.9025379385400412E-2</v>
      </c>
      <c r="Q36" s="1" t="s">
        <v>482</v>
      </c>
      <c r="R36" s="159">
        <f>AVERAGE(T34:W34)/AVERAGE('Balance Sheet'!T10:W10)</f>
        <v>5.717953415349989E-2</v>
      </c>
      <c r="Y36" s="1" t="s">
        <v>481</v>
      </c>
      <c r="Z36" s="159">
        <f>AVERAGE(Z34:AE34)/AVERAGE('Balance Sheet'!Z6:AE6)</f>
        <v>0.15114310147166188</v>
      </c>
      <c r="AA36" s="159"/>
      <c r="AB36" s="159"/>
      <c r="AC36" s="159"/>
      <c r="AD36" s="159"/>
      <c r="AE36" s="159"/>
      <c r="AG36" s="1" t="s">
        <v>482</v>
      </c>
      <c r="AH36" s="159">
        <f>AVERAGE(AH34:AM34)/AVERAGE('Balance Sheet'!AH10:AM10)</f>
        <v>0.10091939630948056</v>
      </c>
      <c r="AI36" s="1"/>
      <c r="AJ36" s="1"/>
      <c r="AK36" s="1"/>
      <c r="AL36" s="1"/>
      <c r="AM36" s="1"/>
      <c r="AO36" s="1" t="s">
        <v>481</v>
      </c>
      <c r="AP36" s="177">
        <f>AVERAGE(AP34:AU34)/AVERAGE('Balance Sheet'!AP6:AU6)</f>
        <v>0.18233819326528486</v>
      </c>
      <c r="AQ36" s="177"/>
      <c r="AR36" s="177"/>
      <c r="AS36" s="177"/>
      <c r="AT36" s="177"/>
      <c r="AU36" s="177"/>
    </row>
    <row r="37" spans="1:48" x14ac:dyDescent="0.3">
      <c r="A37" s="136" t="s">
        <v>448</v>
      </c>
      <c r="B37" s="144">
        <f>AVERAGE('Ratio Analysis'!B25:G25)</f>
        <v>3.2099706717877978E-2</v>
      </c>
      <c r="C37" s="140"/>
      <c r="D37" s="140"/>
      <c r="E37" s="140"/>
      <c r="F37" s="140"/>
      <c r="G37" s="141"/>
      <c r="I37" s="1" t="s">
        <v>447</v>
      </c>
      <c r="J37" s="160">
        <f>AVERAGE(J36:O36)</f>
        <v>4.1327124420653109E-2</v>
      </c>
      <c r="Q37" s="1" t="s">
        <v>439</v>
      </c>
      <c r="R37" s="159">
        <f>(W5/R5)^(1/6)-1</f>
        <v>0.12973013341313844</v>
      </c>
      <c r="Y37" s="1" t="s">
        <v>482</v>
      </c>
      <c r="Z37" s="159">
        <f>AVERAGE(Z35:AE35)/AVERAGE('Balance Sheet'!Z9:AE9)</f>
        <v>0.13559166476575091</v>
      </c>
      <c r="AG37" s="1" t="s">
        <v>439</v>
      </c>
      <c r="AH37" s="159">
        <f>(AM7/AH7)^(1/6)-1</f>
        <v>6.161969994327654E-2</v>
      </c>
      <c r="AI37" s="1"/>
      <c r="AJ37" s="1"/>
      <c r="AK37" s="1"/>
      <c r="AL37" s="1"/>
      <c r="AM37" s="1"/>
      <c r="AO37" s="1" t="s">
        <v>482</v>
      </c>
      <c r="AP37" s="177">
        <f>AVERAGE(AS35:AU35)/AVERAGE('Balance Sheet'!AS11:AU11)</f>
        <v>0.18600497895304632</v>
      </c>
      <c r="AQ37" s="178"/>
      <c r="AR37" s="178"/>
      <c r="AS37" s="178"/>
      <c r="AT37" s="178"/>
      <c r="AU37" s="178"/>
    </row>
    <row r="38" spans="1:48" x14ac:dyDescent="0.3">
      <c r="A38" s="139" t="s">
        <v>450</v>
      </c>
      <c r="B38" s="142">
        <f t="shared" ref="B38:G38" si="64">(B12+B15)/B7</f>
        <v>0.26212336923917229</v>
      </c>
      <c r="C38" s="142">
        <f t="shared" si="64"/>
        <v>0.25389507335081546</v>
      </c>
      <c r="D38" s="142">
        <f t="shared" si="64"/>
        <v>0.23262285506463734</v>
      </c>
      <c r="E38" s="142">
        <f t="shared" si="64"/>
        <v>0.28919142473592147</v>
      </c>
      <c r="F38" s="142">
        <f t="shared" si="64"/>
        <v>0.30681818181818182</v>
      </c>
      <c r="G38" s="143">
        <f t="shared" si="64"/>
        <v>0.27460873146622733</v>
      </c>
      <c r="I38" s="1" t="s">
        <v>479</v>
      </c>
      <c r="J38" s="83">
        <f>'Balance Sheet'!J6/('Balance Sheet'!J6+'Balance Sheet'!J9)*'Income Statement'!J14</f>
        <v>1325.5125251917914</v>
      </c>
      <c r="K38" s="83">
        <f>'Balance Sheet'!K6/('Balance Sheet'!K6+'Balance Sheet'!K9)*'Income Statement'!K14</f>
        <v>1394.5491846562211</v>
      </c>
      <c r="L38" s="83">
        <f>'Balance Sheet'!L6/('Balance Sheet'!L6+'Balance Sheet'!L9)*'Income Statement'!L14</f>
        <v>1110.6639079522683</v>
      </c>
      <c r="M38" s="83">
        <f>'Balance Sheet'!M6/('Balance Sheet'!M6+'Balance Sheet'!M9)*'Income Statement'!M14</f>
        <v>1393.621897141966</v>
      </c>
      <c r="N38" s="83">
        <f>'Balance Sheet'!N6/('Balance Sheet'!N6+'Balance Sheet'!N9)*'Income Statement'!N14</f>
        <v>1775.1760321980275</v>
      </c>
      <c r="O38" s="83">
        <f>'Balance Sheet'!O6/('Balance Sheet'!O6+'Balance Sheet'!O9)*'Income Statement'!O14</f>
        <v>1893.9491953900017</v>
      </c>
      <c r="Q38" s="1" t="s">
        <v>471</v>
      </c>
      <c r="R38" s="159">
        <f>R30/R7</f>
        <v>0.3142871802343139</v>
      </c>
      <c r="S38" s="159">
        <f t="shared" ref="S38:W38" si="65">S30/S7</f>
        <v>0.27885709485463223</v>
      </c>
      <c r="T38" s="159">
        <f t="shared" si="65"/>
        <v>0.30356661709903249</v>
      </c>
      <c r="U38" s="159">
        <f t="shared" si="65"/>
        <v>0.3281867611666312</v>
      </c>
      <c r="V38" s="159">
        <f t="shared" si="65"/>
        <v>0.30344115074388128</v>
      </c>
      <c r="W38" s="159">
        <f t="shared" si="65"/>
        <v>0.27377409227548466</v>
      </c>
      <c r="Y38" s="1" t="s">
        <v>439</v>
      </c>
      <c r="Z38" s="159">
        <f>((AE5+AE6+AE7)/(Z5+Z6+Z7))^(1/6)-1</f>
        <v>0.10932053253947438</v>
      </c>
      <c r="AG38" s="1" t="s">
        <v>471</v>
      </c>
      <c r="AH38" s="159">
        <f t="shared" ref="AH38:AM38" si="66">AH30/AH7</f>
        <v>0.26882828967038475</v>
      </c>
      <c r="AI38" s="159">
        <f t="shared" si="66"/>
        <v>0.26625632017942119</v>
      </c>
      <c r="AJ38" s="159">
        <f t="shared" si="66"/>
        <v>0.28054247179652142</v>
      </c>
      <c r="AK38" s="159">
        <f t="shared" si="66"/>
        <v>0.28299099147568263</v>
      </c>
      <c r="AL38" s="159">
        <f t="shared" si="66"/>
        <v>0.24905175810676125</v>
      </c>
      <c r="AM38" s="159">
        <f t="shared" si="66"/>
        <v>0.24055926845162987</v>
      </c>
      <c r="AO38" s="1" t="s">
        <v>439</v>
      </c>
      <c r="AP38" s="177">
        <f>(AU8/AP8)^(1/6)-1</f>
        <v>8.4349907180104822E-2</v>
      </c>
      <c r="AQ38" s="178"/>
      <c r="AR38" s="178"/>
      <c r="AS38" s="178"/>
      <c r="AT38" s="178"/>
      <c r="AU38" s="178"/>
    </row>
    <row r="39" spans="1:48" x14ac:dyDescent="0.3">
      <c r="A39" s="136" t="s">
        <v>447</v>
      </c>
      <c r="B39" s="137">
        <f>AVERAGE(B38:G38)</f>
        <v>0.26987660594582596</v>
      </c>
      <c r="C39" s="137"/>
      <c r="D39" s="137"/>
      <c r="E39" s="137"/>
      <c r="F39" s="137"/>
      <c r="G39" s="138"/>
      <c r="I39" s="1" t="s">
        <v>480</v>
      </c>
      <c r="J39" s="83">
        <f>'Balance Sheet'!J9/('Balance Sheet'!J6+'Balance Sheet'!J9)*'Income Statement'!J14</f>
        <v>727.26747480820882</v>
      </c>
      <c r="K39" s="83">
        <f>'Balance Sheet'!K9/('Balance Sheet'!K6+'Balance Sheet'!K9)*'Income Statement'!K14</f>
        <v>685.40081534377873</v>
      </c>
      <c r="L39" s="83">
        <f>'Balance Sheet'!L9/('Balance Sheet'!L6+'Balance Sheet'!L9)*'Income Statement'!L14</f>
        <v>1033.0760920477314</v>
      </c>
      <c r="M39" s="83">
        <f>'Balance Sheet'!M9/('Balance Sheet'!M6+'Balance Sheet'!M9)*'Income Statement'!M14</f>
        <v>1135.8081028580343</v>
      </c>
      <c r="N39" s="83">
        <f>'Balance Sheet'!N9/('Balance Sheet'!N6+'Balance Sheet'!N9)*'Income Statement'!N14</f>
        <v>781.46396780197233</v>
      </c>
      <c r="O39" s="83">
        <f>'Balance Sheet'!O9/('Balance Sheet'!O6+'Balance Sheet'!O9)*'Income Statement'!O14</f>
        <v>681.44080460999817</v>
      </c>
      <c r="Q39" s="1" t="s">
        <v>472</v>
      </c>
      <c r="R39" s="160">
        <f>AVERAGE(R38:W38)</f>
        <v>0.30035214939566263</v>
      </c>
      <c r="Y39" s="1" t="s">
        <v>471</v>
      </c>
      <c r="Z39" s="159">
        <f>Z31/Z9</f>
        <v>0.30623676781933667</v>
      </c>
      <c r="AA39" s="159">
        <f t="shared" ref="AA39:AE39" si="67">AA31/AA9</f>
        <v>0.31433535516497829</v>
      </c>
      <c r="AB39" s="159">
        <f t="shared" si="67"/>
        <v>0.33782728692304892</v>
      </c>
      <c r="AC39" s="159">
        <f t="shared" si="67"/>
        <v>0.29767309875141884</v>
      </c>
      <c r="AD39" s="159">
        <f t="shared" si="67"/>
        <v>0.2839849993426834</v>
      </c>
      <c r="AE39" s="159">
        <f t="shared" si="67"/>
        <v>0.29577786207959406</v>
      </c>
      <c r="AG39" s="1" t="s">
        <v>472</v>
      </c>
      <c r="AH39" s="160">
        <f>AVERAGE(AH38:AM38)</f>
        <v>0.26470484994673349</v>
      </c>
      <c r="AI39" s="1"/>
      <c r="AJ39" s="1"/>
      <c r="AK39" s="1"/>
      <c r="AL39" s="1"/>
      <c r="AM39" s="1"/>
      <c r="AO39" s="1" t="s">
        <v>471</v>
      </c>
      <c r="AP39" s="177">
        <f>AP31/AP8</f>
        <v>0.34283330634423181</v>
      </c>
      <c r="AQ39" s="177">
        <f t="shared" ref="AQ39:AU39" si="68">AQ31/AQ8</f>
        <v>0.37846437532367116</v>
      </c>
      <c r="AR39" s="177">
        <f t="shared" si="68"/>
        <v>0.3853884799891128</v>
      </c>
      <c r="AS39" s="177">
        <f t="shared" si="68"/>
        <v>0.35526422849103489</v>
      </c>
      <c r="AT39" s="177">
        <f t="shared" si="68"/>
        <v>0.33255469509431523</v>
      </c>
      <c r="AU39" s="177">
        <f t="shared" si="68"/>
        <v>0.31429603276933166</v>
      </c>
    </row>
    <row r="40" spans="1:48" x14ac:dyDescent="0.3">
      <c r="A40" s="139" t="s">
        <v>24</v>
      </c>
      <c r="B40" s="142">
        <f>('Balance Sheet'!B12+'Balance Sheet'!B13+'Balance Sheet'!B14+'Balance Sheet'!B15+'Balance Sheet'!B10)/'Income Statement'!B7</f>
        <v>2.131248824777715E-2</v>
      </c>
      <c r="C40" s="142">
        <f>('Balance Sheet'!C12+'Balance Sheet'!C13+'Balance Sheet'!C14+'Balance Sheet'!C15+'Balance Sheet'!C10)/'Income Statement'!C7</f>
        <v>1.8421606493779826E-2</v>
      </c>
      <c r="D40" s="142">
        <f>('Balance Sheet'!D12+'Balance Sheet'!D13+'Balance Sheet'!D14+'Balance Sheet'!D15+'Balance Sheet'!D10)/'Income Statement'!D7</f>
        <v>2.5152914467086195E-2</v>
      </c>
      <c r="E40" s="142">
        <f>('Balance Sheet'!E12+'Balance Sheet'!E13+'Balance Sheet'!E14+'Balance Sheet'!E15+'Balance Sheet'!E10)/'Income Statement'!E7</f>
        <v>2.3735942417380307E-2</v>
      </c>
      <c r="F40" s="142">
        <f>('Balance Sheet'!F12+'Balance Sheet'!F13+'Balance Sheet'!F14+'Balance Sheet'!F15+'Balance Sheet'!F10)/'Income Statement'!F7</f>
        <v>3.3968719452590418E-2</v>
      </c>
      <c r="G40" s="142">
        <f>('Balance Sheet'!G12+'Balance Sheet'!G13+'Balance Sheet'!G14+'Balance Sheet'!G15+'Balance Sheet'!G10)/'Income Statement'!G7</f>
        <v>3.9847611202635913E-2</v>
      </c>
      <c r="I40" s="1" t="s">
        <v>481</v>
      </c>
      <c r="J40" s="159">
        <f>AVERAGE(J38:O38)/AVERAGE('Balance Sheet'!J6:O6)</f>
        <v>0.17529783560231946</v>
      </c>
      <c r="K40" s="159"/>
      <c r="L40" s="159"/>
      <c r="M40" s="159"/>
      <c r="N40" s="159"/>
      <c r="O40" s="159"/>
      <c r="Q40" s="1" t="s">
        <v>473</v>
      </c>
      <c r="R40" s="159">
        <f>(W6/R6)^(1/6)-1</f>
        <v>0.31505945958944648</v>
      </c>
      <c r="Y40" s="1" t="s">
        <v>472</v>
      </c>
      <c r="Z40" s="160">
        <f>AVERAGE(Z39:AE39)</f>
        <v>0.30597256168017672</v>
      </c>
      <c r="AG40" s="1" t="s">
        <v>473</v>
      </c>
      <c r="AH40" s="159">
        <f>(AM6/AH6)^(1/6)-1</f>
        <v>-0.24056735162008325</v>
      </c>
      <c r="AI40" s="1"/>
      <c r="AJ40" s="1"/>
      <c r="AK40" s="1"/>
      <c r="AL40" s="1"/>
      <c r="AM40" s="1"/>
      <c r="AO40" s="1" t="s">
        <v>472</v>
      </c>
      <c r="AP40" s="230">
        <f>AVERAGE(AP39:AU39)</f>
        <v>0.35146685300194958</v>
      </c>
      <c r="AQ40" s="178"/>
      <c r="AR40" s="178"/>
      <c r="AS40" s="178"/>
      <c r="AT40" s="178"/>
      <c r="AU40" s="178"/>
    </row>
    <row r="41" spans="1:48" x14ac:dyDescent="0.3">
      <c r="A41" s="139" t="s">
        <v>447</v>
      </c>
      <c r="B41" s="142">
        <f>AVERAGE(B40:G40)</f>
        <v>2.7073213713541638E-2</v>
      </c>
      <c r="C41" s="142"/>
      <c r="D41" s="142"/>
      <c r="E41" s="142"/>
      <c r="F41" s="142"/>
      <c r="G41" s="143"/>
      <c r="I41" s="1" t="s">
        <v>482</v>
      </c>
      <c r="J41" s="159">
        <f>AVERAGE(J39:O39)/AVERAGE('Balance Sheet'!J9:O9)</f>
        <v>0.1840628989055644</v>
      </c>
      <c r="Q41" s="1" t="s">
        <v>474</v>
      </c>
      <c r="R41" s="160">
        <f>AVERAGE('Ratio Analysis'!R25:W25)</f>
        <v>3.6253795632730394E-2</v>
      </c>
      <c r="Y41" s="1" t="s">
        <v>473</v>
      </c>
      <c r="Z41" s="159">
        <f>(AE8/Z8)^(1/6)-1</f>
        <v>9.9644402768082285E-2</v>
      </c>
      <c r="AG41" s="1" t="s">
        <v>474</v>
      </c>
      <c r="AH41" s="160">
        <f>AVERAGE('Ratio Analysis'!AH25:AM25)</f>
        <v>5.2946759949612975E-2</v>
      </c>
      <c r="AI41" s="1"/>
      <c r="AJ41" s="1"/>
      <c r="AK41" s="1"/>
      <c r="AL41" s="1"/>
      <c r="AM41" s="1"/>
      <c r="AO41" s="1" t="s">
        <v>473</v>
      </c>
      <c r="AP41" s="177">
        <f>((AU6+AU7)/(AP6+AP7))^(1/6)-1</f>
        <v>8.3485215440424643E-2</v>
      </c>
      <c r="AQ41" s="178"/>
      <c r="AR41" s="178"/>
      <c r="AS41" s="178"/>
      <c r="AT41" s="178"/>
      <c r="AU41" s="178"/>
    </row>
    <row r="42" spans="1:48" x14ac:dyDescent="0.3">
      <c r="A42" s="139" t="s">
        <v>459</v>
      </c>
      <c r="B42" s="142">
        <f>ABS('Cash Flow Statement'!B46)/'Income Statement'!B21</f>
        <v>0.74398128641376193</v>
      </c>
      <c r="C42" s="142">
        <f>ABS('Cash Flow Statement'!C46)/'Income Statement'!C21</f>
        <v>0</v>
      </c>
      <c r="D42" s="142">
        <f>ABS('Cash Flow Statement'!D46)/'Income Statement'!D21</f>
        <v>0.17934435643229912</v>
      </c>
      <c r="E42" s="142">
        <f>ABS('Cash Flow Statement'!E46)/'Income Statement'!E21</f>
        <v>0.43677675525672099</v>
      </c>
      <c r="F42" s="142">
        <f>ABS('Cash Flow Statement'!F46)/'Income Statement'!F21</f>
        <v>0.4975</v>
      </c>
      <c r="G42" s="142">
        <f>ABS('Cash Flow Statement'!G46)/'Income Statement'!G21</f>
        <v>0.3633044272021908</v>
      </c>
      <c r="I42" s="1" t="s">
        <v>439</v>
      </c>
      <c r="J42" s="159">
        <f>(O7/J7)^(1/6)-1</f>
        <v>8.4776653368680011E-2</v>
      </c>
      <c r="Q42" s="1" t="s">
        <v>450</v>
      </c>
      <c r="R42" s="159">
        <f>(R12+R17)/R7</f>
        <v>0.41163230883105684</v>
      </c>
      <c r="S42" s="159">
        <f t="shared" ref="S42:W42" si="69">(S12+S17)/S7</f>
        <v>0.43349159642065493</v>
      </c>
      <c r="T42" s="159">
        <f t="shared" si="69"/>
        <v>0.42249301345556384</v>
      </c>
      <c r="U42" s="159">
        <f t="shared" si="69"/>
        <v>0.4432478585998616</v>
      </c>
      <c r="V42" s="159">
        <f t="shared" si="69"/>
        <v>0.4314995455692528</v>
      </c>
      <c r="W42" s="159">
        <f t="shared" si="69"/>
        <v>0.44729811059593239</v>
      </c>
      <c r="Y42" s="1" t="s">
        <v>474</v>
      </c>
      <c r="Z42" s="160">
        <f>AVERAGE('Ratio Analysis'!Z25:AE25)</f>
        <v>8.0911161169118631E-2</v>
      </c>
      <c r="AG42" s="1" t="s">
        <v>450</v>
      </c>
      <c r="AH42" s="159">
        <f t="shared" ref="AH42:AM42" si="70">(AH12+AH15)/AH7</f>
        <v>0.44686816506443056</v>
      </c>
      <c r="AI42" s="159">
        <f t="shared" si="70"/>
        <v>0.41837603020785263</v>
      </c>
      <c r="AJ42" s="159">
        <f t="shared" si="70"/>
        <v>0.41756772281322518</v>
      </c>
      <c r="AK42" s="159">
        <f t="shared" si="70"/>
        <v>0.41829163946451686</v>
      </c>
      <c r="AL42" s="159">
        <f t="shared" si="70"/>
        <v>0.43334770414667495</v>
      </c>
      <c r="AM42" s="159">
        <f t="shared" si="70"/>
        <v>0.43496346417825593</v>
      </c>
      <c r="AO42" s="1" t="s">
        <v>474</v>
      </c>
      <c r="AP42" s="230">
        <f>AVERAGE('Ratio Analysis'!AP25:AU25)</f>
        <v>9.226474694472131E-2</v>
      </c>
      <c r="AQ42" s="178"/>
      <c r="AR42" s="178"/>
      <c r="AS42" s="178"/>
      <c r="AT42" s="178"/>
      <c r="AU42" s="178"/>
    </row>
    <row r="43" spans="1:48" x14ac:dyDescent="0.3">
      <c r="A43" s="139" t="s">
        <v>447</v>
      </c>
      <c r="B43" s="142">
        <f>AVERAGE(E42:G42)</f>
        <v>0.43252706081963727</v>
      </c>
      <c r="C43" s="142"/>
      <c r="D43" s="142"/>
      <c r="E43" s="142"/>
      <c r="F43" s="142"/>
      <c r="G43" s="143"/>
      <c r="I43" s="1" t="s">
        <v>471</v>
      </c>
      <c r="J43" s="159">
        <f>J35/J7</f>
        <v>0.27575411938047667</v>
      </c>
      <c r="K43" s="159">
        <f t="shared" ref="K43:O43" si="71">K35/K7</f>
        <v>0.25310671801375095</v>
      </c>
      <c r="L43" s="159">
        <f t="shared" si="71"/>
        <v>0.26156104709925204</v>
      </c>
      <c r="M43" s="159">
        <f t="shared" si="71"/>
        <v>0.2394903886325758</v>
      </c>
      <c r="N43" s="159">
        <f t="shared" si="71"/>
        <v>0.21388941935815178</v>
      </c>
      <c r="O43" s="159">
        <f t="shared" si="71"/>
        <v>0.19704206625613177</v>
      </c>
      <c r="Q43" s="1" t="s">
        <v>447</v>
      </c>
      <c r="R43" s="160">
        <f>AVERAGE(R42:W42)</f>
        <v>0.43161040557872044</v>
      </c>
      <c r="Y43" s="1" t="s">
        <v>450</v>
      </c>
      <c r="Z43" s="159">
        <f>(Z18+Z14)/Z9</f>
        <v>0.43090044989414261</v>
      </c>
      <c r="AA43" s="159">
        <f t="shared" ref="AA43:AE43" si="72">(AA18+AA14)/AA9</f>
        <v>0.43549012611885884</v>
      </c>
      <c r="AB43" s="159">
        <f t="shared" si="72"/>
        <v>0.42692105167592698</v>
      </c>
      <c r="AC43" s="159">
        <f t="shared" si="72"/>
        <v>0.41177911153266056</v>
      </c>
      <c r="AD43" s="159">
        <f t="shared" si="72"/>
        <v>0.41061531755312158</v>
      </c>
      <c r="AE43" s="159">
        <f t="shared" si="72"/>
        <v>0.41337000462342771</v>
      </c>
      <c r="AG43" s="1" t="s">
        <v>447</v>
      </c>
      <c r="AH43" s="160">
        <f>AVERAGE(AH42:AM42)</f>
        <v>0.42823578764582604</v>
      </c>
      <c r="AI43" s="1"/>
      <c r="AJ43" s="1"/>
      <c r="AK43" s="1"/>
      <c r="AL43" s="1"/>
      <c r="AM43" s="1"/>
      <c r="AO43" s="1" t="s">
        <v>450</v>
      </c>
      <c r="AP43" s="177">
        <f>(AP16+AP13)/AP8</f>
        <v>0.45402230119951775</v>
      </c>
      <c r="AQ43" s="177">
        <f t="shared" ref="AQ43:AU43" si="73">(AQ16+AQ13)/AQ8</f>
        <v>0.38893407558487308</v>
      </c>
      <c r="AR43" s="177">
        <f t="shared" si="73"/>
        <v>0.39533937421323018</v>
      </c>
      <c r="AS43" s="177">
        <f t="shared" si="73"/>
        <v>0.40785420712510495</v>
      </c>
      <c r="AT43" s="177">
        <f t="shared" si="73"/>
        <v>0.40208162240306239</v>
      </c>
      <c r="AU43" s="177">
        <f t="shared" si="73"/>
        <v>0.40446801403333882</v>
      </c>
    </row>
    <row r="44" spans="1:48" x14ac:dyDescent="0.3">
      <c r="A44" s="139" t="s">
        <v>461</v>
      </c>
      <c r="B44" s="157">
        <f>AVERAGE('Ratio Analysis'!B22:G22)</f>
        <v>4.1493646576231269</v>
      </c>
      <c r="C44" s="142"/>
      <c r="D44" s="142"/>
      <c r="E44" s="142"/>
      <c r="F44" s="142"/>
      <c r="G44" s="143"/>
      <c r="I44" s="1" t="s">
        <v>472</v>
      </c>
      <c r="J44" s="160">
        <f>AVERAGE(J43:O43)</f>
        <v>0.24014062645672318</v>
      </c>
      <c r="Q44" s="1" t="s">
        <v>475</v>
      </c>
      <c r="R44" s="159">
        <f>('Balance Sheet'!R19+'Balance Sheet'!R18+'Balance Sheet'!R17+'Balance Sheet'!R16+'Balance Sheet'!R7+'Balance Sheet'!R8+'Balance Sheet'!R9+'Balance Sheet'!R11+'Balance Sheet'!R12+'Balance Sheet'!R13)/'Income Statement'!R7</f>
        <v>0.11335330403812448</v>
      </c>
      <c r="S44" s="159">
        <f>('Balance Sheet'!S19+'Balance Sheet'!S18+'Balance Sheet'!S17+'Balance Sheet'!S16+'Balance Sheet'!S7+'Balance Sheet'!S8+'Balance Sheet'!S9+'Balance Sheet'!S11+'Balance Sheet'!S12+'Balance Sheet'!S13)/'Income Statement'!S7</f>
        <v>0.12331359496316922</v>
      </c>
      <c r="T44" s="159">
        <f>('Balance Sheet'!T19+'Balance Sheet'!T18+'Balance Sheet'!T17+'Balance Sheet'!T16+'Balance Sheet'!T7+'Balance Sheet'!T8+'Balance Sheet'!T9+'Balance Sheet'!T11+'Balance Sheet'!T12+'Balance Sheet'!T13)/'Income Statement'!T7</f>
        <v>0.14774633480231178</v>
      </c>
      <c r="U44" s="159">
        <f>('Balance Sheet'!U19+'Balance Sheet'!U18+'Balance Sheet'!U17+'Balance Sheet'!U16+'Balance Sheet'!U7+'Balance Sheet'!U8+'Balance Sheet'!U9+'Balance Sheet'!U11+'Balance Sheet'!U12+'Balance Sheet'!U13)/'Income Statement'!U7</f>
        <v>0.13371617782645137</v>
      </c>
      <c r="V44" s="159">
        <f>('Balance Sheet'!V19+'Balance Sheet'!V18+'Balance Sheet'!V17+'Balance Sheet'!V16+'Balance Sheet'!V7+'Balance Sheet'!V8+'Balance Sheet'!V9+'Balance Sheet'!V11+'Balance Sheet'!V12+'Balance Sheet'!V13)/'Income Statement'!V7</f>
        <v>8.2881906825568785E-2</v>
      </c>
      <c r="W44" s="159">
        <f>('Balance Sheet'!W19+'Balance Sheet'!W18+'Balance Sheet'!W17+'Balance Sheet'!W16+'Balance Sheet'!W7+'Balance Sheet'!W8+'Balance Sheet'!W9+'Balance Sheet'!W11+'Balance Sheet'!W12+'Balance Sheet'!W13)/'Income Statement'!W7</f>
        <v>0.64864413150107925</v>
      </c>
      <c r="Y44" s="1" t="s">
        <v>447</v>
      </c>
      <c r="Z44" s="160">
        <f>AVERAGE(Z43:AE43)</f>
        <v>0.42151267689968974</v>
      </c>
      <c r="AG44" s="1" t="s">
        <v>475</v>
      </c>
      <c r="AH44" s="159">
        <f>('Balance Sheet'!AH17+'Balance Sheet'!AH16+'Balance Sheet'!AH15+'Balance Sheet'!AH14+'Balance Sheet'!AH12+'Balance Sheet'!AH9+'Balance Sheet'!AH8+'Balance Sheet'!AH7)/'Income Statement'!AH7</f>
        <v>0.22772470073604847</v>
      </c>
      <c r="AI44" s="159">
        <f>('Balance Sheet'!AI17+'Balance Sheet'!AI16+'Balance Sheet'!AI15+'Balance Sheet'!AI14+'Balance Sheet'!AI12+'Balance Sheet'!AI9+'Balance Sheet'!AI8+'Balance Sheet'!AI7)/'Income Statement'!AI7</f>
        <v>0.22422557644502006</v>
      </c>
      <c r="AJ44" s="159">
        <f>('Balance Sheet'!AJ17+'Balance Sheet'!AJ16+'Balance Sheet'!AJ15+'Balance Sheet'!AJ14+'Balance Sheet'!AJ12+'Balance Sheet'!AJ9+'Balance Sheet'!AJ8+'Balance Sheet'!AJ7)/'Income Statement'!AJ7</f>
        <v>0.19326562966707259</v>
      </c>
      <c r="AK44" s="159">
        <f>('Balance Sheet'!AK17+'Balance Sheet'!AK16+'Balance Sheet'!AK15+'Balance Sheet'!AK14+'Balance Sheet'!AK12+'Balance Sheet'!AK9+'Balance Sheet'!AK8+'Balance Sheet'!AK7)/'Income Statement'!AK7</f>
        <v>0.20320031783836806</v>
      </c>
      <c r="AL44" s="159">
        <f>('Balance Sheet'!AL17+'Balance Sheet'!AL16+'Balance Sheet'!AL15+'Balance Sheet'!AL14+'Balance Sheet'!AL12+'Balance Sheet'!AL9+'Balance Sheet'!AL8+'Balance Sheet'!AL7)/'Income Statement'!AL7</f>
        <v>0.15987483485154022</v>
      </c>
      <c r="AM44" s="159">
        <f>('Balance Sheet'!AM17+'Balance Sheet'!AM16+'Balance Sheet'!AM15+'Balance Sheet'!AM14+'Balance Sheet'!AM12+'Balance Sheet'!AM9+'Balance Sheet'!AM8+'Balance Sheet'!AM7)/'Income Statement'!AM7</f>
        <v>0.16390077092663718</v>
      </c>
      <c r="AO44" s="1" t="s">
        <v>447</v>
      </c>
      <c r="AP44" s="230">
        <f>AVERAGE(AP43:AU43)</f>
        <v>0.40878326575985452</v>
      </c>
      <c r="AQ44" s="178"/>
      <c r="AR44" s="178"/>
      <c r="AS44" s="178"/>
      <c r="AT44" s="178"/>
      <c r="AU44" s="178"/>
    </row>
    <row r="45" spans="1:48" x14ac:dyDescent="0.3">
      <c r="A45" s="139" t="s">
        <v>462</v>
      </c>
      <c r="B45" s="157">
        <f>AVERAGE('Ratio Analysis'!B21:G21)</f>
        <v>1.1173125289804988</v>
      </c>
      <c r="C45" s="142"/>
      <c r="D45" s="142"/>
      <c r="E45" s="142"/>
      <c r="F45" s="142"/>
      <c r="G45" s="143"/>
      <c r="I45" s="1" t="s">
        <v>473</v>
      </c>
      <c r="J45" s="159">
        <f>(O6/J6)^(1/6)-1</f>
        <v>0.20685378308697566</v>
      </c>
      <c r="Q45" s="1" t="s">
        <v>447</v>
      </c>
      <c r="R45" s="160">
        <f>AVERAGE(R44:W44)</f>
        <v>0.2082759083261175</v>
      </c>
      <c r="Y45" s="1" t="s">
        <v>475</v>
      </c>
      <c r="Z45" s="159">
        <f>('Balance Sheet'!Z17+'Balance Sheet'!Z16+'Balance Sheet'!Z15+'Balance Sheet'!Z14+'Balance Sheet'!Z13+'Balance Sheet'!Z11+'Balance Sheet'!Z8+'Balance Sheet'!Z7)/'Income Statement'!Z9</f>
        <v>0.11512548517995766</v>
      </c>
      <c r="AA45" s="159">
        <f>('Balance Sheet'!AA17+'Balance Sheet'!AA16+'Balance Sheet'!AA15+'Balance Sheet'!AA14+'Balance Sheet'!AA13+'Balance Sheet'!AA11+'Balance Sheet'!AA8+'Balance Sheet'!AA7)/'Income Statement'!AA9</f>
        <v>0.16214469282120494</v>
      </c>
      <c r="AB45" s="159">
        <f>('Balance Sheet'!AB17+'Balance Sheet'!AB16+'Balance Sheet'!AB15+'Balance Sheet'!AB14+'Balance Sheet'!AB13+'Balance Sheet'!AB11+'Balance Sheet'!AB8+'Balance Sheet'!AB7)/'Income Statement'!AB9</f>
        <v>0.15042034353778549</v>
      </c>
      <c r="AC45" s="159">
        <f>('Balance Sheet'!AC17+'Balance Sheet'!AC16+'Balance Sheet'!AC15+'Balance Sheet'!AC14+'Balance Sheet'!AC13+'Balance Sheet'!AC11+'Balance Sheet'!AC8+'Balance Sheet'!AC7)/'Income Statement'!AC9</f>
        <v>0.16364498623917401</v>
      </c>
      <c r="AD45" s="159">
        <f>('Balance Sheet'!AD17+'Balance Sheet'!AD16+'Balance Sheet'!AD15+'Balance Sheet'!AD14+'Balance Sheet'!AD13+'Balance Sheet'!AD11+'Balance Sheet'!AD8+'Balance Sheet'!AD7)/'Income Statement'!AD9</f>
        <v>0.13868688895500497</v>
      </c>
      <c r="AE45" s="159">
        <f>('Balance Sheet'!AE17+'Balance Sheet'!AE16+'Balance Sheet'!AE15+'Balance Sheet'!AE14+'Balance Sheet'!AE13+'Balance Sheet'!AE11+'Balance Sheet'!AE8+'Balance Sheet'!AE7)/'Income Statement'!AE9</f>
        <v>0.21310741763778404</v>
      </c>
      <c r="AG45" s="1" t="s">
        <v>447</v>
      </c>
      <c r="AH45" s="160">
        <f>AVERAGE(AH44:AM44)</f>
        <v>0.19536530507744776</v>
      </c>
      <c r="AI45" s="1"/>
      <c r="AJ45" s="1"/>
      <c r="AK45" s="1"/>
      <c r="AL45" s="1"/>
      <c r="AM45" s="1"/>
      <c r="AO45" s="1" t="s">
        <v>475</v>
      </c>
      <c r="AP45" s="177">
        <f>('Balance Sheet'!AP19+'Balance Sheet'!AP18+'Balance Sheet'!AP17+'Balance Sheet'!AP16+'Balance Sheet'!AP15+'Balance Sheet'!AP13+'Balance Sheet'!AP10+'Balance Sheet'!AP9+'Balance Sheet'!AP9+'Balance Sheet'!AP8+'Balance Sheet'!AP7)/'Income Statement'!AP8</f>
        <v>0.29501624782060626</v>
      </c>
      <c r="AQ45" s="177">
        <f>('Balance Sheet'!AQ19+'Balance Sheet'!AQ18+'Balance Sheet'!AQ17+'Balance Sheet'!AQ16+'Balance Sheet'!AQ15+'Balance Sheet'!AQ13+'Balance Sheet'!AQ10+'Balance Sheet'!AQ9+'Balance Sheet'!AQ9+'Balance Sheet'!AQ8+'Balance Sheet'!AQ7)/'Income Statement'!AQ8</f>
        <v>0.27913864090544527</v>
      </c>
      <c r="AR45" s="177">
        <f>('Balance Sheet'!AR19+'Balance Sheet'!AR18+'Balance Sheet'!AR17+'Balance Sheet'!AR16+'Balance Sheet'!AR15+'Balance Sheet'!AR13+'Balance Sheet'!AR10+'Balance Sheet'!AR9+'Balance Sheet'!AR9+'Balance Sheet'!AR8+'Balance Sheet'!AR7)/'Income Statement'!AR8</f>
        <v>0.25328736518593281</v>
      </c>
      <c r="AS45" s="177">
        <f>('Balance Sheet'!AS19+'Balance Sheet'!AS18+'Balance Sheet'!AS17+'Balance Sheet'!AS16+'Balance Sheet'!AS15+'Balance Sheet'!AS13+'Balance Sheet'!AS10+'Balance Sheet'!AS9+'Balance Sheet'!AS9+'Balance Sheet'!AS8+'Balance Sheet'!AS7)/'Income Statement'!AS8</f>
        <v>0.24335548852124778</v>
      </c>
      <c r="AT45" s="177">
        <f>('Balance Sheet'!AT19+'Balance Sheet'!AT18+'Balance Sheet'!AT17+'Balance Sheet'!AT16+'Balance Sheet'!AT15+'Balance Sheet'!AT13+'Balance Sheet'!AT10+'Balance Sheet'!AT9+'Balance Sheet'!AT9+'Balance Sheet'!AT8+'Balance Sheet'!AT7)/'Income Statement'!AT8</f>
        <v>0.25017929418046153</v>
      </c>
      <c r="AU45" s="177">
        <f>('Balance Sheet'!AU19+'Balance Sheet'!AU18+'Balance Sheet'!AU17+'Balance Sheet'!AU16+'Balance Sheet'!AU15+'Balance Sheet'!AU13+'Balance Sheet'!AU10+'Balance Sheet'!AU9+'Balance Sheet'!AU9+'Balance Sheet'!AU8+'Balance Sheet'!AU7)/'Income Statement'!AU8</f>
        <v>0.25275708926840995</v>
      </c>
      <c r="AV45" s="159"/>
    </row>
    <row r="46" spans="1:48" x14ac:dyDescent="0.3">
      <c r="A46" s="139" t="s">
        <v>31</v>
      </c>
      <c r="B46" s="142">
        <f>('Balance Sheet'!B26+'Balance Sheet'!B25+'Balance Sheet'!B24+'Balance Sheet'!B22)/'Income Statement'!B7</f>
        <v>6.9488990965338782E-2</v>
      </c>
      <c r="C46" s="142">
        <f>('Balance Sheet'!C26+'Balance Sheet'!C25+'Balance Sheet'!C24+'Balance Sheet'!C22)/'Income Statement'!C7</f>
        <v>4.588194472095973E-2</v>
      </c>
      <c r="D46" s="142">
        <f>('Balance Sheet'!D26+'Balance Sheet'!D25+'Balance Sheet'!D24+'Balance Sheet'!D22)/'Income Statement'!D7</f>
        <v>0.20765949943242554</v>
      </c>
      <c r="E46" s="142">
        <f>('Balance Sheet'!E26+'Balance Sheet'!E25+'Balance Sheet'!E24+'Balance Sheet'!E22)/'Income Statement'!E7</f>
        <v>0.53612042153948936</v>
      </c>
      <c r="F46" s="142">
        <f>('Balance Sheet'!F26+'Balance Sheet'!F25+'Balance Sheet'!F24+'Balance Sheet'!F22)/'Income Statement'!F7</f>
        <v>0.48533724340175954</v>
      </c>
      <c r="G46" s="142">
        <f>('Balance Sheet'!G26+'Balance Sheet'!G25+'Balance Sheet'!G24+'Balance Sheet'!G22)/'Income Statement'!G7</f>
        <v>0.38086902800658978</v>
      </c>
      <c r="I46" s="1" t="s">
        <v>474</v>
      </c>
      <c r="J46" s="160">
        <f>AVERAGE('Ratio Analysis'!J25:O25)</f>
        <v>6.0874741567675701E-2</v>
      </c>
      <c r="Q46" s="1" t="s">
        <v>476</v>
      </c>
      <c r="R46" s="159">
        <f>ABS('Cash Flow Statement'!R61)/'Income Statement'!R25</f>
        <v>0.34490307252768193</v>
      </c>
      <c r="S46" s="159">
        <f>ABS('Cash Flow Statement'!S61)/'Income Statement'!S25</f>
        <v>0</v>
      </c>
      <c r="T46" s="159">
        <f>ABS('Cash Flow Statement'!T61)/'Income Statement'!T25</f>
        <v>3.300166260930899E-4</v>
      </c>
      <c r="U46" s="159">
        <f>ABS('Cash Flow Statement'!U61)/'Income Statement'!U25</f>
        <v>3.4298564576057622E-4</v>
      </c>
      <c r="V46" s="159">
        <f>ABS('Cash Flow Statement'!V61)/'Income Statement'!V25</f>
        <v>1.7054910629176784E-3</v>
      </c>
      <c r="W46" s="159">
        <f>ABS('Cash Flow Statement'!W61)/'Income Statement'!W25</f>
        <v>6.0699993521347159E-3</v>
      </c>
      <c r="Y46" s="1" t="s">
        <v>447</v>
      </c>
      <c r="Z46" s="160">
        <f>AVERAGE(Z45:AE45)</f>
        <v>0.15718830239515189</v>
      </c>
      <c r="AG46" s="1" t="s">
        <v>476</v>
      </c>
      <c r="AH46" s="159">
        <f>ABS('Cash Flow Statement'!AH34)/'Income Statement'!AH25</f>
        <v>0.70116714809899239</v>
      </c>
      <c r="AI46" s="159">
        <f>ABS('Cash Flow Statement'!AI34)/'Income Statement'!AI25</f>
        <v>0.27035338850369039</v>
      </c>
      <c r="AJ46" s="159">
        <f>ABS('Cash Flow Statement'!AJ34)/'Income Statement'!AJ25</f>
        <v>0.87095653516559812</v>
      </c>
      <c r="AK46" s="159">
        <f>ABS('Cash Flow Statement'!AK34)/'Income Statement'!AK25</f>
        <v>0.69307678099628178</v>
      </c>
      <c r="AL46" s="159">
        <f>ABS('Cash Flow Statement'!AL34)/'Income Statement'!AL25</f>
        <v>0.61298735797341208</v>
      </c>
      <c r="AM46" s="159">
        <f>ABS('Cash Flow Statement'!AM34)/'Income Statement'!AM25</f>
        <v>0.56666056245912344</v>
      </c>
      <c r="AO46" s="1" t="s">
        <v>447</v>
      </c>
      <c r="AP46" s="230">
        <f>AVERAGE(AP45:AU45)</f>
        <v>0.26228902098035056</v>
      </c>
      <c r="AQ46" s="178"/>
      <c r="AR46" s="178"/>
      <c r="AS46" s="178"/>
      <c r="AT46" s="178"/>
      <c r="AU46" s="178"/>
    </row>
    <row r="47" spans="1:48" x14ac:dyDescent="0.3">
      <c r="A47" s="139" t="s">
        <v>447</v>
      </c>
      <c r="B47" s="142">
        <f>AVERAGE(B46:G46)</f>
        <v>0.28755952134442714</v>
      </c>
      <c r="C47" s="142"/>
      <c r="D47" s="142"/>
      <c r="E47" s="142"/>
      <c r="F47" s="142"/>
      <c r="G47" s="143"/>
      <c r="I47" s="1" t="s">
        <v>450</v>
      </c>
      <c r="J47" s="159">
        <f>(J12+J15)/J7</f>
        <v>0.49689784271010962</v>
      </c>
      <c r="K47" s="159">
        <f t="shared" ref="K47:O47" si="74">(K12+K15)/K7</f>
        <v>0.47592770476552754</v>
      </c>
      <c r="L47" s="159">
        <f t="shared" si="74"/>
        <v>0.45631670709520927</v>
      </c>
      <c r="M47" s="159">
        <f t="shared" si="74"/>
        <v>0.48181791636156179</v>
      </c>
      <c r="N47" s="159">
        <f t="shared" si="74"/>
        <v>0.49842972182726775</v>
      </c>
      <c r="O47" s="159">
        <f t="shared" si="74"/>
        <v>0.49034128368780278</v>
      </c>
      <c r="Q47" s="1" t="s">
        <v>447</v>
      </c>
      <c r="R47" s="160">
        <f>AVERAGE(V46:W46)</f>
        <v>3.8877452075261974E-3</v>
      </c>
      <c r="Y47" s="1" t="s">
        <v>476</v>
      </c>
      <c r="Z47" s="159">
        <f>ABS('Cash Flow Statement'!Z43)/'Income Statement'!Z26</f>
        <v>0.19328726554787776</v>
      </c>
      <c r="AA47" s="159">
        <f>ABS('Cash Flow Statement'!AA43)/'Income Statement'!AA26</f>
        <v>0.21249231399876986</v>
      </c>
      <c r="AB47" s="159">
        <f>ABS('Cash Flow Statement'!AB43)/'Income Statement'!AB26</f>
        <v>0.18996563573883143</v>
      </c>
      <c r="AC47" s="159">
        <f>ABS('Cash Flow Statement'!AC43)/'Income Statement'!AC26</f>
        <v>0.11046524526878609</v>
      </c>
      <c r="AD47" s="159">
        <f>ABS('Cash Flow Statement'!AD43)/'Income Statement'!AD26</f>
        <v>0.119184639380412</v>
      </c>
      <c r="AE47" s="159">
        <f>ABS('Cash Flow Statement'!AE43)/'Income Statement'!AE26</f>
        <v>0.11636274715293785</v>
      </c>
      <c r="AG47" s="1" t="s">
        <v>447</v>
      </c>
      <c r="AH47" s="160">
        <f>AVERAGE(AK46:AM46)</f>
        <v>0.6242415671429391</v>
      </c>
      <c r="AI47" s="1"/>
      <c r="AJ47" s="1"/>
      <c r="AK47" s="1"/>
      <c r="AL47" s="1"/>
      <c r="AM47" s="1"/>
      <c r="AO47" s="1" t="s">
        <v>476</v>
      </c>
      <c r="AP47" s="177">
        <f>ABS('Cash Flow Statement'!AP52)/'Income Statement'!AP26</f>
        <v>0.37629374733248011</v>
      </c>
      <c r="AQ47" s="177">
        <f>ABS('Cash Flow Statement'!AQ52)/'Income Statement'!AQ26</f>
        <v>0</v>
      </c>
      <c r="AR47" s="177">
        <f>ABS('Cash Flow Statement'!AR52)/'Income Statement'!AR26</f>
        <v>0.14781385019624232</v>
      </c>
      <c r="AS47" s="177">
        <f>ABS('Cash Flow Statement'!AS52)/'Income Statement'!AS26</f>
        <v>0.13381708680036211</v>
      </c>
      <c r="AT47" s="177">
        <f>ABS('Cash Flow Statement'!AT52)/'Income Statement'!AT26</f>
        <v>0.15779319035814329</v>
      </c>
      <c r="AU47" s="177">
        <f>ABS('Cash Flow Statement'!AU52)/'Income Statement'!AU26</f>
        <v>0.19923897365824031</v>
      </c>
    </row>
    <row r="48" spans="1:48" x14ac:dyDescent="0.3">
      <c r="A48" s="139" t="s">
        <v>463</v>
      </c>
      <c r="B48" s="157">
        <f>AVERAGE('Ratio Analysis'!B23:G23)</f>
        <v>3.8282863169468517</v>
      </c>
      <c r="C48" s="142"/>
      <c r="D48" s="142"/>
      <c r="E48" s="142"/>
      <c r="F48" s="142"/>
      <c r="G48" s="143"/>
      <c r="I48" s="1" t="s">
        <v>447</v>
      </c>
      <c r="J48" s="160">
        <f>AVERAGE(J47:O47)</f>
        <v>0.48328852940791317</v>
      </c>
      <c r="Q48" s="1" t="s">
        <v>477</v>
      </c>
      <c r="R48" s="83">
        <f>AVERAGE('Ratio Analysis'!R22:W22)</f>
        <v>15.359044499636484</v>
      </c>
      <c r="Y48" s="1" t="s">
        <v>447</v>
      </c>
      <c r="Z48" s="160">
        <f>AVERAGE(Z47:AE47)</f>
        <v>0.15695964118126918</v>
      </c>
      <c r="AG48" s="1" t="s">
        <v>477</v>
      </c>
      <c r="AH48" s="83">
        <f>AVERAGE('Ratio Analysis'!AH22:AM22)</f>
        <v>5.9370140358852348</v>
      </c>
      <c r="AI48" s="1"/>
      <c r="AJ48" s="1"/>
      <c r="AK48" s="1"/>
      <c r="AL48" s="1"/>
      <c r="AM48" s="1"/>
      <c r="AO48" s="1" t="s">
        <v>447</v>
      </c>
      <c r="AP48" s="230">
        <f>AVERAGE(AR47:AU47)</f>
        <v>0.15966577525324702</v>
      </c>
      <c r="AQ48" s="178"/>
      <c r="AR48" s="178"/>
      <c r="AS48" s="178"/>
      <c r="AT48" s="178"/>
      <c r="AU48" s="178"/>
    </row>
    <row r="49" spans="1:47" x14ac:dyDescent="0.3">
      <c r="A49" s="139" t="s">
        <v>464</v>
      </c>
      <c r="B49" s="142">
        <f>('Balance Sheet'!B39+'Balance Sheet'!B40)/'Income Statement'!B7</f>
        <v>5.2735917479248925E-2</v>
      </c>
      <c r="C49" s="142">
        <f>('Balance Sheet'!C39+'Balance Sheet'!C40)/'Income Statement'!C7</f>
        <v>5.1665538484291722E-2</v>
      </c>
      <c r="D49" s="142">
        <f>('Balance Sheet'!D39+'Balance Sheet'!D40)/'Income Statement'!D7</f>
        <v>4.9385586916032037E-2</v>
      </c>
      <c r="E49" s="142">
        <f>('Balance Sheet'!E39+'Balance Sheet'!E40)/'Income Statement'!E7</f>
        <v>6.9997300352433442E-2</v>
      </c>
      <c r="F49" s="142">
        <f>('Balance Sheet'!F39+'Balance Sheet'!F40)/'Income Statement'!F7</f>
        <v>7.5635386119257089E-2</v>
      </c>
      <c r="G49" s="142">
        <f>('Balance Sheet'!G39+'Balance Sheet'!G40)/'Income Statement'!G7</f>
        <v>5.2409390444810543E-2</v>
      </c>
      <c r="I49" s="1" t="s">
        <v>475</v>
      </c>
      <c r="J49" s="159">
        <f>('Balance Sheet'!J18+'Balance Sheet'!J17+'Balance Sheet'!J16+'Balance Sheet'!J15+'Balance Sheet'!J8+'Balance Sheet'!J7)/'Income Statement'!J7</f>
        <v>0.43093457865749241</v>
      </c>
      <c r="K49" s="159">
        <f>('Balance Sheet'!K18+'Balance Sheet'!K17+'Balance Sheet'!K16+'Balance Sheet'!K15+'Balance Sheet'!K8+'Balance Sheet'!K7)/'Income Statement'!K7</f>
        <v>0.43531333391196869</v>
      </c>
      <c r="L49" s="159">
        <f>('Balance Sheet'!L18+'Balance Sheet'!L17+'Balance Sheet'!L16+'Balance Sheet'!L15+'Balance Sheet'!L8+'Balance Sheet'!L7)/'Income Statement'!L7</f>
        <v>5.0222104305639781E-2</v>
      </c>
      <c r="M49" s="159">
        <f>('Balance Sheet'!M18+'Balance Sheet'!M17+'Balance Sheet'!M16+'Balance Sheet'!M15+'Balance Sheet'!M8+'Balance Sheet'!M7)/'Income Statement'!M7</f>
        <v>5.2977974043243302E-2</v>
      </c>
      <c r="N49" s="159">
        <f>('Balance Sheet'!N18+'Balance Sheet'!N17+'Balance Sheet'!N16+'Balance Sheet'!N15+'Balance Sheet'!N8+'Balance Sheet'!N7)/'Income Statement'!N7</f>
        <v>0.33414107308493463</v>
      </c>
      <c r="O49" s="159">
        <f>('Balance Sheet'!O18+'Balance Sheet'!O17+'Balance Sheet'!O16+'Balance Sheet'!O15+'Balance Sheet'!O8+'Balance Sheet'!O7)/'Income Statement'!O7</f>
        <v>0.28819466598024179</v>
      </c>
      <c r="Q49" s="1" t="s">
        <v>462</v>
      </c>
      <c r="R49" s="83">
        <f>AVERAGE('Ratio Analysis'!R21:W21)</f>
        <v>1.8735922255697604</v>
      </c>
      <c r="Y49" s="1" t="s">
        <v>477</v>
      </c>
      <c r="Z49" s="83">
        <f>AVERAGE('Ratio Analysis'!Z22:AE22)</f>
        <v>5.5555770996501321</v>
      </c>
      <c r="AG49" s="1" t="s">
        <v>462</v>
      </c>
      <c r="AH49" s="83">
        <f>AVERAGE('Ratio Analysis'!AH21:AM21)</f>
        <v>1.059394275641824</v>
      </c>
      <c r="AI49" s="1"/>
      <c r="AJ49" s="1"/>
      <c r="AK49" s="1"/>
      <c r="AL49" s="1"/>
      <c r="AM49" s="1"/>
      <c r="AO49" s="1" t="s">
        <v>477</v>
      </c>
      <c r="AP49" s="229">
        <f>AVERAGE('Ratio Analysis'!AP22:AU22)</f>
        <v>5.6584464658207567</v>
      </c>
      <c r="AQ49" s="178"/>
      <c r="AR49" s="178"/>
      <c r="AS49" s="178"/>
      <c r="AT49" s="178"/>
      <c r="AU49" s="178"/>
    </row>
    <row r="50" spans="1:47" x14ac:dyDescent="0.3">
      <c r="A50" s="139" t="s">
        <v>51</v>
      </c>
      <c r="B50" s="142">
        <f>('Balance Sheet'!B48+'Balance Sheet'!B49+Table1[[#This Row],[2020]]+'Balance Sheet'!B51)/'Income Statement'!B7</f>
        <v>5.4034258289234506E-2</v>
      </c>
      <c r="C50" s="142">
        <f>('Balance Sheet'!C48+'Balance Sheet'!C49+Table1[[#This Row],[2021]]+'Balance Sheet'!C51)/'Income Statement'!C7</f>
        <v>4.9505401054613506E-2</v>
      </c>
      <c r="D50" s="142">
        <f>('Balance Sheet'!D48+'Balance Sheet'!D49+Table1[[#This Row],[2022]]+'Balance Sheet'!D51)/'Income Statement'!D7</f>
        <v>4.3976547604615529E-2</v>
      </c>
      <c r="E50" s="142">
        <f>('Balance Sheet'!E48+'Balance Sheet'!E49+Table1[[#This Row],[2023]]+'Balance Sheet'!E51)/'Income Statement'!E7</f>
        <v>4.1675655219257E-2</v>
      </c>
      <c r="F50" s="142">
        <f>('Balance Sheet'!F48+'Balance Sheet'!F49+Table1[[#This Row],[2024]]+'Balance Sheet'!F51)/'Income Statement'!F7</f>
        <v>5.5351906158357771E-2</v>
      </c>
      <c r="G50" s="142">
        <f>('Balance Sheet'!G48+'Balance Sheet'!G49+Table1[[#This Row],[2025]]+'Balance Sheet'!G51)/'Income Statement'!G7</f>
        <v>5.5601317957166392E-2</v>
      </c>
      <c r="I50" s="1" t="s">
        <v>447</v>
      </c>
      <c r="J50" s="160">
        <f>AVERAGE(N49:O49)</f>
        <v>0.31116786953258824</v>
      </c>
      <c r="Q50" s="1" t="s">
        <v>31</v>
      </c>
      <c r="R50" s="159">
        <f>('Balance Sheet'!R29+'Balance Sheet'!R28+'Balance Sheet'!R26)/'Income Statement'!R7</f>
        <v>7.7593178144600747E-2</v>
      </c>
      <c r="S50" s="159">
        <f>('Balance Sheet'!S29+'Balance Sheet'!S28+'Balance Sheet'!S26)/'Income Statement'!S7</f>
        <v>0.14063630634497995</v>
      </c>
      <c r="T50" s="159">
        <f>('Balance Sheet'!T29+'Balance Sheet'!T28+'Balance Sheet'!T26)/'Income Statement'!T7</f>
        <v>0.13503356473294481</v>
      </c>
      <c r="U50" s="159">
        <f>('Balance Sheet'!U29+'Balance Sheet'!U28+'Balance Sheet'!U26)/'Income Statement'!U7</f>
        <v>9.7741543089469293E-2</v>
      </c>
      <c r="V50" s="159">
        <f>('Balance Sheet'!V29+'Balance Sheet'!V28+'Balance Sheet'!V26)/'Income Statement'!V7</f>
        <v>0.14427939047460026</v>
      </c>
      <c r="W50" s="159">
        <f>('Balance Sheet'!W29+'Balance Sheet'!W28+'Balance Sheet'!W26)/'Income Statement'!W7</f>
        <v>9.8191102954042722E-2</v>
      </c>
      <c r="Y50" s="1" t="s">
        <v>462</v>
      </c>
      <c r="Z50" s="83">
        <f>AVERAGE('Ratio Analysis'!Z21:AE21)</f>
        <v>1.6065241264919434</v>
      </c>
      <c r="AG50" s="1" t="s">
        <v>31</v>
      </c>
      <c r="AH50" s="159">
        <f>('Balance Sheet'!AH27+'Balance Sheet'!AH26+'Balance Sheet'!AH25+'Balance Sheet'!AH24+'Balance Sheet'!AH21)/'Income Statement'!AH7</f>
        <v>6.4471547438717414E-2</v>
      </c>
      <c r="AI50" s="159">
        <f>('Balance Sheet'!AI27+'Balance Sheet'!AI26+'Balance Sheet'!AI25+'Balance Sheet'!AI24+'Balance Sheet'!AI21)/'Income Statement'!AI7</f>
        <v>9.2336642899318755E-2</v>
      </c>
      <c r="AJ50" s="159">
        <f>('Balance Sheet'!AJ27+'Balance Sheet'!AJ26+'Balance Sheet'!AJ25+'Balance Sheet'!AJ24+'Balance Sheet'!AJ21)/'Income Statement'!AJ7</f>
        <v>7.7176435447924074E-2</v>
      </c>
      <c r="AK50" s="159">
        <f>('Balance Sheet'!AK27+'Balance Sheet'!AK26+'Balance Sheet'!AK25+'Balance Sheet'!AK24+'Balance Sheet'!AK21)/'Income Statement'!AK7</f>
        <v>6.5360687573782064E-2</v>
      </c>
      <c r="AL50" s="159">
        <f>('Balance Sheet'!AL27+'Balance Sheet'!AL26+'Balance Sheet'!AL25+'Balance Sheet'!AL24+'Balance Sheet'!AL21)/'Income Statement'!AL7</f>
        <v>6.054006443687273E-2</v>
      </c>
      <c r="AM50" s="159">
        <f>('Balance Sheet'!AM27+'Balance Sheet'!AM26+'Balance Sheet'!AM25+'Balance Sheet'!AM24+'Balance Sheet'!AM21)/'Income Statement'!AM7</f>
        <v>5.5582805285561768E-2</v>
      </c>
      <c r="AO50" s="1" t="s">
        <v>462</v>
      </c>
      <c r="AP50" s="229">
        <f>AVERAGE('Ratio Analysis'!AP21:AU21)</f>
        <v>1.5998314478599218</v>
      </c>
      <c r="AQ50" s="178"/>
      <c r="AR50" s="178"/>
      <c r="AS50" s="178"/>
      <c r="AT50" s="178"/>
      <c r="AU50" s="178"/>
    </row>
    <row r="51" spans="1:47" x14ac:dyDescent="0.3">
      <c r="A51" s="139" t="s">
        <v>465</v>
      </c>
      <c r="B51" s="142">
        <f>AVERAGE(B49:G49)</f>
        <v>5.8638186632678953E-2</v>
      </c>
      <c r="C51" s="142"/>
      <c r="D51" s="142"/>
      <c r="E51" s="142"/>
      <c r="F51" s="142"/>
      <c r="G51" s="143"/>
      <c r="I51" s="1" t="s">
        <v>476</v>
      </c>
      <c r="J51" s="159">
        <f>ABS(Table14[[#This Row],[2020]])/'Income Statement'!J30</f>
        <v>0.36632553593293837</v>
      </c>
      <c r="K51" s="159">
        <f>ABS(Table14[[#This Row],[2021]])/'Income Statement'!K30</f>
        <v>0.53704086341439938</v>
      </c>
      <c r="L51" s="159">
        <f>ABS(Table14[[#This Row],[2022]])/'Income Statement'!L30</f>
        <v>0.6596694502754582</v>
      </c>
      <c r="M51" s="159">
        <f>ABS(Table14[[#This Row],[2023]])/'Income Statement'!M30</f>
        <v>0.29726278621314733</v>
      </c>
      <c r="N51" s="159">
        <f>ABS(Table14[[#This Row],[2024]])/'Income Statement'!N30</f>
        <v>0.30263732224494017</v>
      </c>
      <c r="O51" s="159">
        <f>ABS(Table14[[#This Row],[2025]])/'Income Statement'!O30</f>
        <v>0.33067588736064635</v>
      </c>
      <c r="Q51" s="1" t="s">
        <v>447</v>
      </c>
      <c r="R51" s="160">
        <f>AVERAGE(R50:W50)</f>
        <v>0.11557918095677296</v>
      </c>
      <c r="Y51" s="1" t="s">
        <v>31</v>
      </c>
      <c r="Z51" s="159">
        <f>('Balance Sheet'!Z27+'Balance Sheet'!Z26+'Balance Sheet'!Z25+'Balance Sheet'!Z23)/'Income Statement'!Z9</f>
        <v>7.1100917431192678E-2</v>
      </c>
      <c r="AA51" s="159">
        <f>('Balance Sheet'!AA27+'Balance Sheet'!AA26+'Balance Sheet'!AA25+'Balance Sheet'!AA23)/'Income Statement'!AA9</f>
        <v>7.7077806907321508E-2</v>
      </c>
      <c r="AB51" s="159">
        <f>('Balance Sheet'!AB27+'Balance Sheet'!AB26+'Balance Sheet'!AB25+'Balance Sheet'!AB23)/'Income Statement'!AB9</f>
        <v>9.843574100301411E-2</v>
      </c>
      <c r="AC51" s="159">
        <f>('Balance Sheet'!AC27+'Balance Sheet'!AC26+'Balance Sheet'!AC25+'Balance Sheet'!AC23)/'Income Statement'!AC9</f>
        <v>9.7764060143361364E-2</v>
      </c>
      <c r="AD51" s="159">
        <f>('Balance Sheet'!AD27+'Balance Sheet'!AD26+'Balance Sheet'!AD25+'Balance Sheet'!AD23)/'Income Statement'!AD9</f>
        <v>0.18351588284541989</v>
      </c>
      <c r="AE51" s="159">
        <f>('Balance Sheet'!AE27+'Balance Sheet'!AE26+'Balance Sheet'!AE25+'Balance Sheet'!AE23)/'Income Statement'!AE9</f>
        <v>0.12066850023117137</v>
      </c>
      <c r="AG51" s="1" t="s">
        <v>447</v>
      </c>
      <c r="AH51" s="160">
        <f>AVERAGE(AH50:AM50)</f>
        <v>6.9244697180362788E-2</v>
      </c>
      <c r="AI51" s="1"/>
      <c r="AJ51" s="1"/>
      <c r="AK51" s="1"/>
      <c r="AL51" s="1"/>
      <c r="AM51" s="1"/>
      <c r="AO51" s="1" t="s">
        <v>31</v>
      </c>
      <c r="AP51" s="177">
        <f>('Balance Sheet'!AP29+'Balance Sheet'!AP28+'Balance Sheet'!AP27+'Balance Sheet'!AP26+'Balance Sheet'!AP23)/'Income Statement'!AP8</f>
        <v>0.15406962272669275</v>
      </c>
      <c r="AQ51" s="177">
        <f>('Balance Sheet'!AQ29+'Balance Sheet'!AQ28+'Balance Sheet'!AQ27+'Balance Sheet'!AQ26+'Balance Sheet'!AQ23)/'Income Statement'!AQ8</f>
        <v>0.21996151466262526</v>
      </c>
      <c r="AR51" s="177">
        <f>('Balance Sheet'!AR29+'Balance Sheet'!AR28+'Balance Sheet'!AR27+'Balance Sheet'!AR26+'Balance Sheet'!AR23)/'Income Statement'!AR8</f>
        <v>0.23853884799891129</v>
      </c>
      <c r="AS51" s="177">
        <f>('Balance Sheet'!AS29+'Balance Sheet'!AS28+'Balance Sheet'!AS27+'Balance Sheet'!AS26+'Balance Sheet'!AS23)/'Income Statement'!AS8</f>
        <v>0.29980321647006253</v>
      </c>
      <c r="AT51" s="177">
        <f>('Balance Sheet'!AT29+'Balance Sheet'!AT28+'Balance Sheet'!AT27+'Balance Sheet'!AT26+'Balance Sheet'!AT23)/'Income Statement'!AT8</f>
        <v>0.32969654601356074</v>
      </c>
      <c r="AU51" s="177">
        <f>('Balance Sheet'!AU29+'Balance Sheet'!AU28+'Balance Sheet'!AU27+'Balance Sheet'!AU26+'Balance Sheet'!AU23)/'Income Statement'!AU8</f>
        <v>0.40520966761458932</v>
      </c>
    </row>
    <row r="52" spans="1:47" x14ac:dyDescent="0.3">
      <c r="A52" s="139" t="s">
        <v>466</v>
      </c>
      <c r="B52" s="142">
        <f>AVERAGE(B50:G50)</f>
        <v>5.0024181047207454E-2</v>
      </c>
      <c r="C52" s="142"/>
      <c r="D52" s="142"/>
      <c r="E52" s="142"/>
      <c r="F52" s="142"/>
      <c r="G52" s="143"/>
      <c r="I52" s="1" t="s">
        <v>447</v>
      </c>
      <c r="J52" s="160">
        <f>AVERAGE(M51:O51)</f>
        <v>0.31019199860624463</v>
      </c>
      <c r="Q52" s="1" t="s">
        <v>478</v>
      </c>
      <c r="R52" s="83">
        <f>AVERAGE('Ratio Analysis'!R23:W23)</f>
        <v>2.9753317040840046</v>
      </c>
      <c r="Y52" s="1" t="s">
        <v>447</v>
      </c>
      <c r="Z52" s="160">
        <f>AVERAGE(Z51:AE51)</f>
        <v>0.10809381809358015</v>
      </c>
      <c r="AG52" s="1" t="s">
        <v>478</v>
      </c>
      <c r="AH52" s="83">
        <f>AVERAGE('Ratio Analysis'!AH23:AM23)</f>
        <v>1.3139041282896262</v>
      </c>
      <c r="AI52" s="1"/>
      <c r="AJ52" s="1"/>
      <c r="AK52" s="1"/>
      <c r="AL52" s="1"/>
      <c r="AM52" s="1"/>
      <c r="AO52" s="1" t="s">
        <v>447</v>
      </c>
      <c r="AP52" s="230">
        <f>AVERAGE(AS51:AU51)</f>
        <v>0.34490314336607081</v>
      </c>
      <c r="AQ52" s="178"/>
      <c r="AR52" s="178"/>
      <c r="AS52" s="178"/>
      <c r="AT52" s="178"/>
      <c r="AU52" s="178"/>
    </row>
    <row r="53" spans="1:47" x14ac:dyDescent="0.3">
      <c r="A53" s="139" t="s">
        <v>467</v>
      </c>
      <c r="B53" s="158">
        <v>3753</v>
      </c>
      <c r="C53" s="158">
        <v>5062.25</v>
      </c>
      <c r="D53" s="158">
        <v>7155.95</v>
      </c>
      <c r="E53" s="158">
        <v>8210.66</v>
      </c>
      <c r="F53" s="158">
        <v>8397</v>
      </c>
      <c r="G53" s="158">
        <v>8629</v>
      </c>
      <c r="I53" s="1" t="s">
        <v>477</v>
      </c>
      <c r="J53" s="83">
        <f>AVERAGE('Ratio Analysis'!J22:O22)</f>
        <v>5.160626302136369</v>
      </c>
      <c r="Q53" s="1" t="s">
        <v>76</v>
      </c>
      <c r="R53" s="159">
        <f>('Balance Sheet'!R45+'Balance Sheet'!R44+'Balance Sheet'!R43)/'Income Statement'!R7</f>
        <v>1.4886858639329604E-2</v>
      </c>
      <c r="S53" s="159">
        <f>('Balance Sheet'!S45+'Balance Sheet'!S44+'Balance Sheet'!S43)/'Income Statement'!S7</f>
        <v>1.4590062865950208E-2</v>
      </c>
      <c r="T53" s="159">
        <f>('Balance Sheet'!T45+'Balance Sheet'!T44+'Balance Sheet'!T43)/'Income Statement'!T7</f>
        <v>1.9527100727617472E-2</v>
      </c>
      <c r="U53" s="159">
        <f>('Balance Sheet'!U45+'Balance Sheet'!U44+'Balance Sheet'!U43)/'Income Statement'!U7</f>
        <v>2.2605936530883903E-2</v>
      </c>
      <c r="V53" s="159">
        <f>('Balance Sheet'!V45+'Balance Sheet'!V44+'Balance Sheet'!V43)/'Income Statement'!V7</f>
        <v>2.2308849730472285E-2</v>
      </c>
      <c r="W53" s="159">
        <f>('Balance Sheet'!W45+'Balance Sheet'!W44+'Balance Sheet'!W43)/'Income Statement'!W7</f>
        <v>0.15595842196821622</v>
      </c>
      <c r="Y53" s="1" t="s">
        <v>478</v>
      </c>
      <c r="Z53" s="83">
        <f>AVERAGE('Ratio Analysis'!Z23:AE23)</f>
        <v>3.9404084382249227</v>
      </c>
      <c r="AG53" s="1" t="s">
        <v>76</v>
      </c>
      <c r="AH53" s="159">
        <f>('Balance Sheet'!AH43+'Balance Sheet'!AH42+'Balance Sheet'!AH41+'Balance Sheet'!AH40+'Balance Sheet'!AH39)/'Income Statement'!AH7</f>
        <v>5.6712829426060804E-2</v>
      </c>
      <c r="AI53" s="159">
        <f>('Balance Sheet'!AI43+'Balance Sheet'!AI42+'Balance Sheet'!AI41+'Balance Sheet'!AI40+'Balance Sheet'!AI39)/'Income Statement'!AI7</f>
        <v>5.0212864139091082E-2</v>
      </c>
      <c r="AJ53" s="159">
        <f>('Balance Sheet'!AJ43+'Balance Sheet'!AJ42+'Balance Sheet'!AJ41+'Balance Sheet'!AJ40+'Balance Sheet'!AJ39)/'Income Statement'!AJ7</f>
        <v>6.9914757714311965E-2</v>
      </c>
      <c r="AK53" s="159">
        <f>('Balance Sheet'!AK43+'Balance Sheet'!AK42+'Balance Sheet'!AK41+'Balance Sheet'!AK40+'Balance Sheet'!AK39)/'Income Statement'!AK7</f>
        <v>9.0039719449700947E-2</v>
      </c>
      <c r="AL53" s="159">
        <f>('Balance Sheet'!AL43+'Balance Sheet'!AL42+'Balance Sheet'!AL41+'Balance Sheet'!AL40+'Balance Sheet'!AL39)/'Income Statement'!AL7</f>
        <v>0.10897712259230931</v>
      </c>
      <c r="AM53" s="159">
        <f>('Balance Sheet'!AM43+'Balance Sheet'!AM42+'Balance Sheet'!AM41+'Balance Sheet'!AM40+'Balance Sheet'!AM39)/'Income Statement'!AM7</f>
        <v>0.12913281152507589</v>
      </c>
      <c r="AO53" s="1" t="s">
        <v>478</v>
      </c>
      <c r="AP53" s="229">
        <f>AVERAGE('Ratio Analysis'!AP23:AU23)</f>
        <v>3.3307283839617359</v>
      </c>
      <c r="AQ53" s="178"/>
      <c r="AR53" s="178"/>
      <c r="AS53" s="178"/>
      <c r="AT53" s="178"/>
      <c r="AU53" s="178"/>
    </row>
    <row r="54" spans="1:47" x14ac:dyDescent="0.3">
      <c r="A54" s="139"/>
      <c r="B54" s="142"/>
      <c r="C54" s="142"/>
      <c r="D54" s="142"/>
      <c r="E54" s="142"/>
      <c r="F54" s="142"/>
      <c r="G54" s="142"/>
      <c r="I54" s="1" t="s">
        <v>462</v>
      </c>
      <c r="J54" s="83">
        <f>AVERAGE('Ratio Analysis'!J21:O21)</f>
        <v>1.2051869357004055</v>
      </c>
      <c r="Q54" s="1" t="s">
        <v>447</v>
      </c>
      <c r="R54" s="160">
        <f>AVERAGE(R53:W53)</f>
        <v>4.164620507707828E-2</v>
      </c>
      <c r="Y54" s="1" t="s">
        <v>76</v>
      </c>
      <c r="Z54" s="159">
        <f>('Balance Sheet'!Z43+'Balance Sheet'!Z42+'Balance Sheet'!Z41+'Balance Sheet'!Z40)/'Income Statement'!Z9</f>
        <v>1.8442351799576571E-2</v>
      </c>
      <c r="AA54" s="159">
        <f>('Balance Sheet'!AA43+'Balance Sheet'!AA42+'Balance Sheet'!AA41+'Balance Sheet'!AA40)/'Income Statement'!AA9</f>
        <v>1.4582008283821725E-2</v>
      </c>
      <c r="AB54" s="159">
        <f>('Balance Sheet'!AB43+'Balance Sheet'!AB42+'Balance Sheet'!AB41+'Balance Sheet'!AB40)/'Income Statement'!AB9</f>
        <v>1.0957983803609687E-2</v>
      </c>
      <c r="AC54" s="159">
        <f>('Balance Sheet'!AC43+'Balance Sheet'!AC42+'Balance Sheet'!AC41+'Balance Sheet'!AC40)/'Income Statement'!AC9</f>
        <v>7.5451308444637946E-3</v>
      </c>
      <c r="AD54" s="159">
        <f>('Balance Sheet'!AD43+'Balance Sheet'!AD42+'Balance Sheet'!AD41+'Balance Sheet'!AD40)/'Income Statement'!AD9</f>
        <v>1.4599348218671945E-2</v>
      </c>
      <c r="AE54" s="159">
        <f>('Balance Sheet'!AE43+'Balance Sheet'!AE42+'Balance Sheet'!AE41+'Balance Sheet'!AE40)/'Income Statement'!AE9</f>
        <v>4.9761122900193223E-2</v>
      </c>
      <c r="AG54" s="1" t="s">
        <v>447</v>
      </c>
      <c r="AH54" s="160">
        <f>AVERAGE(AH53:AM53)</f>
        <v>8.4165017474424994E-2</v>
      </c>
      <c r="AI54" s="1"/>
      <c r="AJ54" s="1"/>
      <c r="AK54" s="1"/>
      <c r="AL54" s="1"/>
      <c r="AM54" s="1"/>
      <c r="AO54" s="1" t="s">
        <v>76</v>
      </c>
      <c r="AP54" s="177">
        <f>('Balance Sheet'!AP47+'Balance Sheet'!AP46+'Balance Sheet'!AP45+'Balance Sheet'!AP44+'Balance Sheet'!AP43)/'Income Statement'!AP8</f>
        <v>4.8229047635668876E-2</v>
      </c>
      <c r="AQ54" s="177">
        <f>('Balance Sheet'!AQ47+'Balance Sheet'!AQ46+'Balance Sheet'!AQ45+'Balance Sheet'!AQ44+'Balance Sheet'!AQ43)/'Income Statement'!AQ8</f>
        <v>3.9741413126403433E-2</v>
      </c>
      <c r="AR54" s="177">
        <f>('Balance Sheet'!AR47+'Balance Sheet'!AR46+'Balance Sheet'!AR45+'Balance Sheet'!AR44+'Balance Sheet'!AR43)/'Income Statement'!AR8</f>
        <v>2.9680755752633906E-2</v>
      </c>
      <c r="AS54" s="177">
        <f>('Balance Sheet'!AS47+'Balance Sheet'!AS46+'Balance Sheet'!AS45+'Balance Sheet'!AS44+'Balance Sheet'!AS43)/'Income Statement'!AS8</f>
        <v>2.7555290747557856E-2</v>
      </c>
      <c r="AT54" s="177">
        <f>('Balance Sheet'!AT47+'Balance Sheet'!AT46+'Balance Sheet'!AT45+'Balance Sheet'!AT44+'Balance Sheet'!AT43)/'Income Statement'!AT8</f>
        <v>2.5252765202675952E-2</v>
      </c>
      <c r="AU54" s="177">
        <f>('Balance Sheet'!AU47+'Balance Sheet'!AU46+'Balance Sheet'!AU45+'Balance Sheet'!AU44+'Balance Sheet'!AU43)/'Income Statement'!AU8</f>
        <v>2.1184822395614988E-2</v>
      </c>
    </row>
    <row r="55" spans="1:47" x14ac:dyDescent="0.3">
      <c r="I55" s="1" t="s">
        <v>31</v>
      </c>
      <c r="J55" s="159">
        <f>('Balance Sheet'!J28+'Balance Sheet'!J27+'Balance Sheet'!J26+'Balance Sheet'!J25)/'Income Statement'!J7</f>
        <v>0.11304351982524673</v>
      </c>
      <c r="K55" s="159">
        <f>('Balance Sheet'!K28+'Balance Sheet'!K27+'Balance Sheet'!K26+'Balance Sheet'!K25)/'Income Statement'!K7</f>
        <v>8.681189246937264E-2</v>
      </c>
      <c r="L55" s="159">
        <f>('Balance Sheet'!L28+'Balance Sheet'!L27+'Balance Sheet'!L26+'Balance Sheet'!L25)/'Income Statement'!L7</f>
        <v>3.6984030725692341E-2</v>
      </c>
      <c r="M55" s="159">
        <f>('Balance Sheet'!M28+'Balance Sheet'!M27+'Balance Sheet'!M26+'Balance Sheet'!M25)/'Income Statement'!M7</f>
        <v>0.10647750908576331</v>
      </c>
      <c r="N55" s="159">
        <f>('Balance Sheet'!N28+'Balance Sheet'!N27+'Balance Sheet'!N26+'Balance Sheet'!N25)/'Income Statement'!N7</f>
        <v>8.9170857819616201E-2</v>
      </c>
      <c r="O55" s="159">
        <f>('Balance Sheet'!O28+'Balance Sheet'!O27+'Balance Sheet'!O26+'Balance Sheet'!O25)/'Income Statement'!O7</f>
        <v>9.8632320490001729E-2</v>
      </c>
      <c r="Q55" s="1" t="s">
        <v>51</v>
      </c>
      <c r="R55" s="159">
        <f>('Balance Sheet'!R56+Table3[[#This Row],[2020]]+'Balance Sheet'!R54+'Balance Sheet'!R53)/'Income Statement'!R7</f>
        <v>7.7203178919578813E-2</v>
      </c>
      <c r="S55" s="159">
        <f>('Balance Sheet'!S56+Table3[[#This Row],[2021]]+'Balance Sheet'!S54+'Balance Sheet'!S53)/'Income Statement'!S7</f>
        <v>8.2700963010770082E-2</v>
      </c>
      <c r="T55" s="159">
        <f>('Balance Sheet'!T56+Table3[[#This Row],[2022]]+'Balance Sheet'!T54+'Balance Sheet'!T53)/'Income Statement'!T7</f>
        <v>9.102711250436489E-2</v>
      </c>
      <c r="U55" s="159">
        <f>('Balance Sheet'!U56+Table3[[#This Row],[2023]]+'Balance Sheet'!U54+'Balance Sheet'!U53)/'Income Statement'!U7</f>
        <v>8.0301071869814625E-2</v>
      </c>
      <c r="V55" s="159">
        <f>('Balance Sheet'!V56+Table3[[#This Row],[2024]]+'Balance Sheet'!V54+'Balance Sheet'!V53)/'Income Statement'!V7</f>
        <v>0.11081659023249019</v>
      </c>
      <c r="W55" s="159">
        <f>('Balance Sheet'!W56+Table3[[#This Row],[2025]]+'Balance Sheet'!W54+'Balance Sheet'!W53)/'Income Statement'!W7</f>
        <v>0.1223243773849028</v>
      </c>
      <c r="Y55" s="1" t="s">
        <v>447</v>
      </c>
      <c r="Z55" s="160">
        <f>AVERAGE(Z54:AE54)</f>
        <v>1.9314657641722827E-2</v>
      </c>
      <c r="AG55" s="1" t="s">
        <v>51</v>
      </c>
      <c r="AH55" s="159">
        <f>('Balance Sheet'!AH54+'Balance Sheet'!AH53+'Balance Sheet'!AH52+'Balance Sheet'!AH51+'Balance Sheet'!AH50)/'Income Statement'!AH7</f>
        <v>0.287137077714962</v>
      </c>
      <c r="AI55" s="159">
        <f>('Balance Sheet'!AI54+'Balance Sheet'!AI53+'Balance Sheet'!AI52+'Balance Sheet'!AI51+'Balance Sheet'!AI50)/'Income Statement'!AI7</f>
        <v>0.26302986548375734</v>
      </c>
      <c r="AJ55" s="159">
        <f>('Balance Sheet'!AJ54+'Balance Sheet'!AJ53+'Balance Sheet'!AJ52+'Balance Sheet'!AJ51+'Balance Sheet'!AJ50)/'Income Statement'!AJ7</f>
        <v>9.7163568687820223E-2</v>
      </c>
      <c r="AK55" s="159">
        <f>('Balance Sheet'!AK54+'Balance Sheet'!AK53+'Balance Sheet'!AK52+'Balance Sheet'!AK51+'Balance Sheet'!AK50)/'Income Statement'!AK7</f>
        <v>0.10009218554228587</v>
      </c>
      <c r="AL55" s="159">
        <f>('Balance Sheet'!AL54+'Balance Sheet'!AL53+'Balance Sheet'!AL52+'Balance Sheet'!AL51+'Balance Sheet'!AL50)/'Income Statement'!AL7</f>
        <v>9.2927241962774951E-2</v>
      </c>
      <c r="AM55" s="159">
        <f>('Balance Sheet'!AM54+'Balance Sheet'!AM53+'Balance Sheet'!AM52+'Balance Sheet'!AM51+'Balance Sheet'!AM50)/'Income Statement'!AM7</f>
        <v>9.2104761442575664E-2</v>
      </c>
      <c r="AO55" s="1" t="s">
        <v>447</v>
      </c>
      <c r="AP55" s="230">
        <f>AVERAGE(AR54:AU54)</f>
        <v>2.5918408524620677E-2</v>
      </c>
      <c r="AQ55" s="178"/>
      <c r="AR55" s="178"/>
      <c r="AS55" s="178"/>
      <c r="AT55" s="178"/>
      <c r="AU55" s="178"/>
    </row>
    <row r="56" spans="1:47" x14ac:dyDescent="0.3">
      <c r="I56" s="1" t="s">
        <v>447</v>
      </c>
      <c r="J56" s="160">
        <f>AVERAGE(M55:O55)</f>
        <v>9.8093562465127085E-2</v>
      </c>
      <c r="Q56" s="1" t="s">
        <v>447</v>
      </c>
      <c r="R56" s="160">
        <f>AVERAGE(R55:W55)</f>
        <v>9.4062215653653566E-2</v>
      </c>
      <c r="Y56" s="1" t="s">
        <v>51</v>
      </c>
      <c r="Z56" s="159">
        <f>('Balance Sheet'!Z55+'Balance Sheet'!Z54+'Balance Sheet'!Z53+'Balance Sheet'!Z52+'Balance Sheet'!Z51)/'Income Statement'!Z9</f>
        <v>0.18291835744530699</v>
      </c>
      <c r="AA56" s="159">
        <f>('Balance Sheet'!AA55+'Balance Sheet'!AA54+'Balance Sheet'!AA53+'Balance Sheet'!AA52+'Balance Sheet'!AA51)/'Income Statement'!AA9</f>
        <v>0.20870370083096759</v>
      </c>
      <c r="AB56" s="159">
        <f>('Balance Sheet'!AB55+'Balance Sheet'!AB54+'Balance Sheet'!AB53+'Balance Sheet'!AB52+'Balance Sheet'!AB51)/'Income Statement'!AB9</f>
        <v>0.17667138758760936</v>
      </c>
      <c r="AC56" s="159">
        <f>('Balance Sheet'!AC55+'Balance Sheet'!AC54+'Balance Sheet'!AC53+'Balance Sheet'!AC52+'Balance Sheet'!AC51)/'Income Statement'!AC9</f>
        <v>0.1822998460653367</v>
      </c>
      <c r="AD56" s="159">
        <f>('Balance Sheet'!AD55+'Balance Sheet'!AD54+'Balance Sheet'!AD53+'Balance Sheet'!AD52+'Balance Sheet'!AD51)/'Income Statement'!AD9</f>
        <v>0.1927183156088482</v>
      </c>
      <c r="AE56" s="159">
        <f>('Balance Sheet'!AE55+'Balance Sheet'!AE54+'Balance Sheet'!AE53+'Balance Sheet'!AE52+'Balance Sheet'!AE51)/'Income Statement'!AE9</f>
        <v>0.1925183455241663</v>
      </c>
      <c r="AG56" s="1" t="s">
        <v>447</v>
      </c>
      <c r="AH56" s="160">
        <f>AVERAGE(AK55:AM55)</f>
        <v>9.5041396315878823E-2</v>
      </c>
      <c r="AI56" s="1"/>
      <c r="AJ56" s="1"/>
      <c r="AK56" s="1"/>
      <c r="AL56" s="1"/>
      <c r="AM56" s="1"/>
      <c r="AO56" s="1" t="s">
        <v>51</v>
      </c>
      <c r="AP56" s="177">
        <f>('Balance Sheet'!AP58+'Balance Sheet'!AP57+Table6[[#This Row],[2020]]+'Balance Sheet'!AP55+'Balance Sheet'!AP54)/'Income Statement'!AP8</f>
        <v>9.5225561177808227E-2</v>
      </c>
      <c r="AQ56" s="177">
        <f>('Balance Sheet'!AQ58+'Balance Sheet'!AQ57+Table6[[#This Row],[2021]]+'Balance Sheet'!AQ55+'Balance Sheet'!AQ54)/'Income Statement'!AQ8</f>
        <v>0.1127168403723338</v>
      </c>
      <c r="AR56" s="177">
        <f>('Balance Sheet'!AR58+'Balance Sheet'!AR57+Table6[[#This Row],[2022]]+'Balance Sheet'!AR55+'Balance Sheet'!AR54)/'Income Statement'!AR8</f>
        <v>9.0584619571997219E-2</v>
      </c>
      <c r="AS56" s="177">
        <f>('Balance Sheet'!AS58+'Balance Sheet'!AS57+Table6[[#This Row],[2023]]+'Balance Sheet'!AS55+'Balance Sheet'!AS54)/'Income Statement'!AS8</f>
        <v>8.8505663499733309E-2</v>
      </c>
      <c r="AT56" s="177">
        <f>('Balance Sheet'!AT58+'Balance Sheet'!AT57+Table6[[#This Row],[2024]]+'Balance Sheet'!AT55+'Balance Sheet'!AT54)/'Income Statement'!AT8</f>
        <v>9.5200119454040721E-2</v>
      </c>
      <c r="AU56" s="177">
        <f>('Balance Sheet'!AU58+'Balance Sheet'!AU57+Table6[[#This Row],[2025]]+'Balance Sheet'!AU55+'Balance Sheet'!AU54)/'Income Statement'!AU8</f>
        <v>9.0334250984442158E-2</v>
      </c>
    </row>
    <row r="57" spans="1:47" x14ac:dyDescent="0.3">
      <c r="A57" s="21" t="s">
        <v>440</v>
      </c>
      <c r="B57" s="108" t="s">
        <v>392</v>
      </c>
      <c r="C57" s="108" t="s">
        <v>407</v>
      </c>
      <c r="D57" s="108" t="s">
        <v>408</v>
      </c>
      <c r="E57" s="108" t="s">
        <v>409</v>
      </c>
      <c r="F57" s="108" t="s">
        <v>410</v>
      </c>
      <c r="I57" s="1" t="s">
        <v>478</v>
      </c>
      <c r="J57" s="83">
        <f>AVERAGE('Ratio Analysis'!J23:O23)</f>
        <v>2.6452875697597471</v>
      </c>
      <c r="Q57" s="1" t="s">
        <v>467</v>
      </c>
      <c r="R57" s="83">
        <f>'Balance Sheet'!R31-Table3[[#This Row],[2020]]</f>
        <v>1571.4828999999997</v>
      </c>
      <c r="S57" s="83">
        <f>'Balance Sheet'!S31-Table3[[#This Row],[2021]]</f>
        <v>2552.9943999999996</v>
      </c>
      <c r="T57" s="83">
        <f>'Balance Sheet'!T31-Table3[[#This Row],[2022]]</f>
        <v>1785.4114000000013</v>
      </c>
      <c r="U57" s="83">
        <f>'Balance Sheet'!U31-Table3[[#This Row],[2023]]</f>
        <v>2467.2922999999992</v>
      </c>
      <c r="V57" s="83">
        <f>'Balance Sheet'!V31-Table3[[#This Row],[2024]]</f>
        <v>4451.91</v>
      </c>
      <c r="W57" s="83">
        <f>'Balance Sheet'!W31-Table3[[#This Row],[2025]]</f>
        <v>1339.1000000000004</v>
      </c>
      <c r="Y57" s="1" t="s">
        <v>447</v>
      </c>
      <c r="Z57" s="160">
        <f>AVERAGE(Z56:AE56)</f>
        <v>0.18930499217703919</v>
      </c>
      <c r="AG57" s="1" t="s">
        <v>467</v>
      </c>
      <c r="AH57" s="83">
        <f>'Balance Sheet'!AH28-'Balance Sheet'!AH55</f>
        <v>-475.10000000000036</v>
      </c>
      <c r="AI57" s="83">
        <f>'Balance Sheet'!AI28-'Balance Sheet'!AI55</f>
        <v>629.8799999999992</v>
      </c>
      <c r="AJ57" s="83">
        <f>'Balance Sheet'!AJ28-'Balance Sheet'!AJ55</f>
        <v>749.90000000000055</v>
      </c>
      <c r="AK57" s="83">
        <f>'Balance Sheet'!AK28-'Balance Sheet'!AK55</f>
        <v>-133.58000000000084</v>
      </c>
      <c r="AL57" s="83">
        <f>'Balance Sheet'!AL28-'Balance Sheet'!AL55</f>
        <v>186.23000000000047</v>
      </c>
      <c r="AM57" s="83">
        <f>'Balance Sheet'!AM28-'Balance Sheet'!AM55</f>
        <v>905.38000000000011</v>
      </c>
      <c r="AO57" s="1" t="s">
        <v>447</v>
      </c>
      <c r="AP57" s="230">
        <f>AVERAGE(AP56:AU56)</f>
        <v>9.5427842510059244E-2</v>
      </c>
      <c r="AQ57" s="178"/>
      <c r="AR57" s="178"/>
      <c r="AS57" s="178"/>
      <c r="AT57" s="178"/>
      <c r="AU57" s="178"/>
    </row>
    <row r="58" spans="1:47" x14ac:dyDescent="0.3">
      <c r="A58" s="1" t="s">
        <v>295</v>
      </c>
      <c r="B58" s="132">
        <f>'Income Statement Forecast'!B7*'Income Statement'!$B$28</f>
        <v>1329.8072678979124</v>
      </c>
      <c r="C58" s="132">
        <f>'Income Statement Forecast'!C7*'Income Statement'!$B$28</f>
        <v>1458.8885144180697</v>
      </c>
      <c r="D58" s="132">
        <f>'Income Statement Forecast'!D7*'Income Statement'!$B$28</f>
        <v>1600.5060891523974</v>
      </c>
      <c r="E58" s="132">
        <f>'Income Statement Forecast'!E7*'Income Statement'!$B$28</f>
        <v>1755.8782422969041</v>
      </c>
      <c r="F58" s="132">
        <f>'Income Statement Forecast'!F7*'Income Statement'!$B$28</f>
        <v>1926.341689123487</v>
      </c>
      <c r="I58" s="1" t="s">
        <v>76</v>
      </c>
      <c r="J58" s="159">
        <f>('Balance Sheet'!J44+'Balance Sheet'!J43+'Balance Sheet'!J40)/'Income Statement'!J7</f>
        <v>2.6331890200839585E-2</v>
      </c>
      <c r="K58" s="159">
        <f>('Balance Sheet'!K44+'Balance Sheet'!K43+'Balance Sheet'!K40)/'Income Statement'!K7</f>
        <v>2.3767346679614117E-2</v>
      </c>
      <c r="L58" s="159">
        <f>('Balance Sheet'!L44+'Balance Sheet'!L43+'Balance Sheet'!L40)/'Income Statement'!L7</f>
        <v>1.56344754396604E-2</v>
      </c>
      <c r="M58" s="159">
        <f>('Balance Sheet'!M44+'Balance Sheet'!M43+'Balance Sheet'!M40)/'Income Statement'!M7</f>
        <v>2.0185668527994038E-2</v>
      </c>
      <c r="N58" s="159">
        <f>('Balance Sheet'!N44+'Balance Sheet'!N43+'Balance Sheet'!N40)/'Income Statement'!N7</f>
        <v>1.9540013608542569E-2</v>
      </c>
      <c r="O58" s="159">
        <f>('Balance Sheet'!O44+'Balance Sheet'!O43+'Balance Sheet'!O40)/'Income Statement'!O7</f>
        <v>1.7273925316096443E-2</v>
      </c>
      <c r="Q58" s="1" t="s">
        <v>495</v>
      </c>
      <c r="R58" s="159">
        <f>R57/R7</f>
        <v>0.26298095393057386</v>
      </c>
      <c r="S58" s="159">
        <f t="shared" ref="S58:W58" si="75">S57/S7</f>
        <v>0.3998186920832264</v>
      </c>
      <c r="T58" s="159">
        <f t="shared" si="75"/>
        <v>0.2238035028321293</v>
      </c>
      <c r="U58" s="159">
        <f t="shared" si="75"/>
        <v>0.27791083077068762</v>
      </c>
      <c r="V58" s="159">
        <f t="shared" si="75"/>
        <v>0.42235590560742875</v>
      </c>
      <c r="W58" s="159">
        <f t="shared" si="75"/>
        <v>0.10507500256979044</v>
      </c>
      <c r="Y58" s="1" t="s">
        <v>467</v>
      </c>
      <c r="Z58" s="83">
        <f>'Balance Sheet'!Z28-'Balance Sheet'!Z56</f>
        <v>5412.8</v>
      </c>
      <c r="AA58" s="83">
        <f>'Balance Sheet'!AA28-'Balance Sheet'!AA56</f>
        <v>5385.0000000000018</v>
      </c>
      <c r="AB58" s="83">
        <f>'Balance Sheet'!AB28-'Balance Sheet'!AB56</f>
        <v>6517.7999999999975</v>
      </c>
      <c r="AC58" s="83">
        <f>'Balance Sheet'!AC28-'Balance Sheet'!AC56</f>
        <v>8118.2000000000044</v>
      </c>
      <c r="AD58" s="83">
        <f>'Balance Sheet'!AD28-'Balance Sheet'!AD56</f>
        <v>15348.000000000002</v>
      </c>
      <c r="AE58" s="83">
        <f>'Balance Sheet'!AE28-'Balance Sheet'!AE56</f>
        <v>12070.000000000002</v>
      </c>
      <c r="AG58" s="1" t="s">
        <v>553</v>
      </c>
      <c r="AH58" s="79">
        <f>'Balance Sheet'!AH38/('Balance Sheet'!AH38+'Balance Sheet'!AH46)*'Income Statement'!AH13</f>
        <v>338.10140611579749</v>
      </c>
      <c r="AI58" s="79">
        <f>'Balance Sheet'!AI38/('Balance Sheet'!AI38+'Balance Sheet'!AI46)*'Income Statement'!AI13</f>
        <v>289.05094805333744</v>
      </c>
      <c r="AJ58" s="79">
        <f>'Balance Sheet'!AJ38/('Balance Sheet'!AJ38+'Balance Sheet'!AJ46)*'Income Statement'!AJ13</f>
        <v>134.77725621562428</v>
      </c>
      <c r="AK58" s="79">
        <f>'Balance Sheet'!AK38/('Balance Sheet'!AK38+'Balance Sheet'!AK46)*'Income Statement'!AK13</f>
        <v>157.12525188303476</v>
      </c>
      <c r="AL58" s="79">
        <f>'Balance Sheet'!AL38/('Balance Sheet'!AL38+'Balance Sheet'!AL46)*'Income Statement'!AL13</f>
        <v>144.01116893803555</v>
      </c>
      <c r="AM58" s="79">
        <f>'Balance Sheet'!AM38/('Balance Sheet'!AM38+'Balance Sheet'!AM46)*'Income Statement'!AM13</f>
        <v>99.36599456724683</v>
      </c>
      <c r="AO58" s="1" t="s">
        <v>467</v>
      </c>
      <c r="AP58" s="229">
        <f>'Balance Sheet'!AP30-'Balance Sheet'!AP59</f>
        <v>7310.7000000000016</v>
      </c>
      <c r="AQ58" s="229">
        <f>'Balance Sheet'!AQ30-'Balance Sheet'!AQ59</f>
        <v>8589.89</v>
      </c>
      <c r="AR58" s="229">
        <f>'Balance Sheet'!AR30-'Balance Sheet'!AR59</f>
        <v>9797.9599999999991</v>
      </c>
      <c r="AS58" s="229">
        <f>'Balance Sheet'!AS30-'Balance Sheet'!AS59</f>
        <v>11771.79</v>
      </c>
      <c r="AT58" s="229">
        <f>'Balance Sheet'!AT30-'Balance Sheet'!AT59</f>
        <v>14146.679999999997</v>
      </c>
      <c r="AU58" s="229">
        <f>'Balance Sheet'!AU30-'Balance Sheet'!AU59</f>
        <v>17765.010000000002</v>
      </c>
    </row>
    <row r="59" spans="1:47" x14ac:dyDescent="0.3">
      <c r="A59" s="1" t="s">
        <v>441</v>
      </c>
      <c r="B59" s="132">
        <f>'Balance Sheet'!G6*'Income Statement'!B30</f>
        <v>394.31253315750388</v>
      </c>
      <c r="C59" s="132">
        <f>'Balance Sheet Forecast'!B6*'Income Statement'!B30</f>
        <v>462.1582750392397</v>
      </c>
      <c r="D59" s="132">
        <f>'Balance Sheet Forecast'!C6*'Income Statement'!B30</f>
        <v>534.44505553660065</v>
      </c>
      <c r="E59" s="132">
        <f>'Balance Sheet Forecast'!D6*'Income Statement'!B30</f>
        <v>611.75997675520512</v>
      </c>
      <c r="F59" s="132">
        <f>'Balance Sheet Forecast'!E6*'Income Statement'!B30</f>
        <v>694.73591413197846</v>
      </c>
      <c r="I59" s="1" t="s">
        <v>447</v>
      </c>
      <c r="J59" s="160">
        <f>AVERAGE(J58:O58)</f>
        <v>2.0455553295457857E-2</v>
      </c>
      <c r="Q59" s="1" t="s">
        <v>447</v>
      </c>
      <c r="R59" s="160">
        <f>AVERAGE(W58)</f>
        <v>0.10507500256979044</v>
      </c>
      <c r="Y59" s="1" t="s">
        <v>504</v>
      </c>
      <c r="Z59" s="159">
        <f>'Balance Sheet'!Z46/'Income Statement'!Z9</f>
        <v>6.6850079393083989E-2</v>
      </c>
      <c r="AA59" s="159">
        <f>'Balance Sheet'!AA46/'Income Statement'!AA9</f>
        <v>8.5485730832674037E-2</v>
      </c>
      <c r="AB59" s="159">
        <f>'Balance Sheet'!AB46/'Income Statement'!AB9</f>
        <v>0.10506318771107963</v>
      </c>
      <c r="AC59" s="159">
        <f>'Balance Sheet'!AC46/'Income Statement'!AC9</f>
        <v>0.10527420583707803</v>
      </c>
      <c r="AD59" s="159">
        <f>'Balance Sheet'!AD46/'Income Statement'!AD9</f>
        <v>4.4015997010939133E-2</v>
      </c>
      <c r="AE59" s="159">
        <f>'Balance Sheet'!AE46/'Income Statement'!AE9</f>
        <v>0.1127553258331061</v>
      </c>
      <c r="AG59" s="1" t="s">
        <v>554</v>
      </c>
      <c r="AH59" s="79">
        <f>'Balance Sheet'!AH46/('Balance Sheet'!AH46+'Balance Sheet'!AH38)*'Income Statement'!AH13</f>
        <v>112.60859388420249</v>
      </c>
      <c r="AI59" s="79">
        <f>'Balance Sheet'!AI46/('Balance Sheet'!AI46+'Balance Sheet'!AI38)*'Income Statement'!AI13</f>
        <v>69.229051946662565</v>
      </c>
      <c r="AJ59" s="79">
        <f>'Balance Sheet'!AJ46/('Balance Sheet'!AJ46+'Balance Sheet'!AJ38)*'Income Statement'!AJ13</f>
        <v>120.2827437843757</v>
      </c>
      <c r="AK59" s="79">
        <f>'Balance Sheet'!AK46/('Balance Sheet'!AK46+'Balance Sheet'!AK38)*'Income Statement'!AK13</f>
        <v>176.31474811696526</v>
      </c>
      <c r="AL59" s="79">
        <f>'Balance Sheet'!AL46/('Balance Sheet'!AL46+'Balance Sheet'!AL38)*'Income Statement'!AL13</f>
        <v>209.54883106196445</v>
      </c>
      <c r="AM59" s="79">
        <f>'Balance Sheet'!AM46/('Balance Sheet'!AM46+'Balance Sheet'!AM38)*'Income Statement'!AM13</f>
        <v>152.94400543275316</v>
      </c>
      <c r="AO59" s="1" t="s">
        <v>553</v>
      </c>
      <c r="AP59" s="231">
        <f>'Balance Sheet'!AP42/('Balance Sheet'!AP42+'Balance Sheet'!AP50)*'Income Statement'!AP14</f>
        <v>166.02617526443052</v>
      </c>
      <c r="AQ59" s="231">
        <f>'Balance Sheet'!AQ42/('Balance Sheet'!AQ42+'Balance Sheet'!AQ50)*'Income Statement'!AQ14</f>
        <v>125.71345643520566</v>
      </c>
      <c r="AR59" s="231">
        <f>'Balance Sheet'!AR42/('Balance Sheet'!AR42+'Balance Sheet'!AR50)*'Income Statement'!AR14</f>
        <v>53.71311184992841</v>
      </c>
      <c r="AS59" s="231">
        <f>'Balance Sheet'!AS42/('Balance Sheet'!AS42+'Balance Sheet'!AS50)*'Income Statement'!AS14</f>
        <v>0</v>
      </c>
      <c r="AT59" s="231">
        <f>'Balance Sheet'!AT42/('Balance Sheet'!AT42+'Balance Sheet'!AT50)*'Income Statement'!AT14</f>
        <v>0</v>
      </c>
      <c r="AU59" s="231">
        <f>'Balance Sheet'!AU42/('Balance Sheet'!AU42+'Balance Sheet'!AU50)*'Income Statement'!AU14</f>
        <v>8.0660130293159611</v>
      </c>
    </row>
    <row r="60" spans="1:47" x14ac:dyDescent="0.3">
      <c r="A60" s="1" t="s">
        <v>394</v>
      </c>
      <c r="B60" s="132">
        <f>'Income Statement Forecast'!B7*'Income Statement'!$B$33</f>
        <v>3866.6207562701452</v>
      </c>
      <c r="C60" s="132">
        <f>'Income Statement Forecast'!C7*'Income Statement'!$B$33</f>
        <v>4241.9444885798857</v>
      </c>
      <c r="D60" s="132">
        <f>'Income Statement Forecast'!D7*'Income Statement'!$B$33</f>
        <v>4653.7195383477947</v>
      </c>
      <c r="E60" s="132">
        <f>'Income Statement Forecast'!E7*'Income Statement'!$B$33</f>
        <v>5105.4881568518813</v>
      </c>
      <c r="F60" s="132">
        <f>'Income Statement Forecast'!F7*'Income Statement'!$B$33</f>
        <v>5601.1370509408071</v>
      </c>
      <c r="I60" s="1" t="s">
        <v>51</v>
      </c>
      <c r="J60" s="159">
        <f>('Balance Sheet'!J53+'Balance Sheet'!J50+'Balance Sheet'!J51+'Balance Sheet'!J49)/'Income Statement'!J7</f>
        <v>0.19637665399593945</v>
      </c>
      <c r="K60" s="159">
        <f>('Balance Sheet'!K53+'Balance Sheet'!K50+'Balance Sheet'!K51+'Balance Sheet'!K49)/'Income Statement'!K7</f>
        <v>0.28331002287551055</v>
      </c>
      <c r="L60" s="159">
        <f>('Balance Sheet'!L53+'Balance Sheet'!L50+'Balance Sheet'!L51+'Balance Sheet'!L49)/'Income Statement'!L7</f>
        <v>0.18639251061249243</v>
      </c>
      <c r="M60" s="159">
        <f>('Balance Sheet'!M53+'Balance Sheet'!M50+'Balance Sheet'!M51+'Balance Sheet'!M49)/'Income Statement'!M7</f>
        <v>0.11720297752480896</v>
      </c>
      <c r="N60" s="159">
        <f>('Balance Sheet'!N53+'Balance Sheet'!N50+'Balance Sheet'!N51+'Balance Sheet'!N49)/'Income Statement'!N7</f>
        <v>0.16772067343028352</v>
      </c>
      <c r="O60" s="159">
        <f>('Balance Sheet'!O53+'Balance Sheet'!O50+'Balance Sheet'!O51+'Balance Sheet'!O49)/'Income Statement'!O7</f>
        <v>0.18344887418257874</v>
      </c>
      <c r="Q60" s="1" t="s">
        <v>500</v>
      </c>
      <c r="R60" s="79">
        <f>'Balance Sheet'!R41/('Balance Sheet'!R41+'Balance Sheet'!R48)*'Income Statement'!R13</f>
        <v>12.477429309212486</v>
      </c>
      <c r="S60" s="79">
        <f>'Balance Sheet'!S41/('Balance Sheet'!S41+'Balance Sheet'!S48)*'Income Statement'!S13</f>
        <v>5.3552511031654841</v>
      </c>
      <c r="T60" s="79">
        <f>'Balance Sheet'!T41/('Balance Sheet'!T41+'Balance Sheet'!T48)*'Income Statement'!T13</f>
        <v>3.3216470838701828</v>
      </c>
      <c r="U60" s="79">
        <f>'Balance Sheet'!U41/('Balance Sheet'!U41+'Balance Sheet'!U48)*'Income Statement'!U13</f>
        <v>6.3288520189822206</v>
      </c>
      <c r="V60" s="79">
        <f>'Balance Sheet'!V41/('Balance Sheet'!V41+'Balance Sheet'!V48)*'Income Statement'!V13</f>
        <v>4.1547260763109577</v>
      </c>
      <c r="W60" s="79">
        <f>'Balance Sheet'!W41/('Balance Sheet'!W41+'Balance Sheet'!W48)*'Income Statement'!W13</f>
        <v>279.73510030024653</v>
      </c>
      <c r="Y60" s="1" t="s">
        <v>447</v>
      </c>
      <c r="Z60" s="160">
        <f>AVERAGE(AE59)</f>
        <v>0.1127553258331061</v>
      </c>
      <c r="AG60" s="1" t="s">
        <v>559</v>
      </c>
      <c r="AH60" s="159">
        <f>AVERAGE(AH58:AM58)/AVERAGE('Balance Sheet'!AH38:AM38)</f>
        <v>8.5276931536268571E-2</v>
      </c>
      <c r="AI60" s="79"/>
      <c r="AJ60" s="79"/>
      <c r="AK60" s="79"/>
      <c r="AL60" s="79"/>
      <c r="AM60" s="79"/>
      <c r="AO60" s="1" t="s">
        <v>554</v>
      </c>
      <c r="AP60" s="231">
        <f>'Balance Sheet'!AP50/('Balance Sheet'!AP50+'Balance Sheet'!AP42)*'Income Statement'!AP14</f>
        <v>31.333824735569493</v>
      </c>
      <c r="AQ60" s="231">
        <f>'Balance Sheet'!AQ50/('Balance Sheet'!AQ50+'Balance Sheet'!AQ42)*'Income Statement'!AQ14</f>
        <v>34.986543564794339</v>
      </c>
      <c r="AR60" s="231">
        <f>'Balance Sheet'!AR50/('Balance Sheet'!AR50+'Balance Sheet'!AR42)*'Income Statement'!AR14</f>
        <v>52.636888150071584</v>
      </c>
      <c r="AS60" s="231">
        <f>'Balance Sheet'!AS50/('Balance Sheet'!AS50+'Balance Sheet'!AS42)*'Income Statement'!AS14</f>
        <v>109.54</v>
      </c>
      <c r="AT60" s="231">
        <f>'Balance Sheet'!AT50/('Balance Sheet'!AT50+'Balance Sheet'!AT42)*'Income Statement'!AT14</f>
        <v>89.88</v>
      </c>
      <c r="AU60" s="231">
        <f>'Balance Sheet'!AU50/('Balance Sheet'!AU50+'Balance Sheet'!AU42)*'Income Statement'!AU14</f>
        <v>53.94398697068403</v>
      </c>
    </row>
    <row r="61" spans="1:47" x14ac:dyDescent="0.3">
      <c r="A61" s="1" t="s">
        <v>123</v>
      </c>
      <c r="B61" s="132">
        <f>G6*(1+B34)</f>
        <v>390.22515927475632</v>
      </c>
      <c r="C61" s="132">
        <f>B61*(1+$B$34)</f>
        <v>432.60134923582086</v>
      </c>
      <c r="D61" s="132">
        <f>C61*(1+$B$34)</f>
        <v>479.57934775006441</v>
      </c>
      <c r="E61" s="132">
        <f>D61*(1+$B$34)</f>
        <v>531.65888454730862</v>
      </c>
      <c r="F61" s="132">
        <f>E61*(1+$B$34)</f>
        <v>589.39395710884321</v>
      </c>
      <c r="I61" s="1" t="s">
        <v>447</v>
      </c>
      <c r="J61" s="160">
        <f>AVERAGE(L60:O60)</f>
        <v>0.16369125893754091</v>
      </c>
      <c r="Q61" s="1" t="s">
        <v>499</v>
      </c>
      <c r="R61" s="83">
        <f>'Balance Sheet'!R48/('Balance Sheet'!R41+'Balance Sheet'!R48)*'Income Statement'!R13</f>
        <v>9.4943706907875161</v>
      </c>
      <c r="S61" s="83">
        <f>'Balance Sheet'!S48/('Balance Sheet'!S41+'Balance Sheet'!S48)*'Income Statement'!S13</f>
        <v>14.792148896834517</v>
      </c>
      <c r="T61" s="83">
        <f>'Balance Sheet'!T48/('Balance Sheet'!T41+'Balance Sheet'!T48)*'Income Statement'!T13</f>
        <v>55.288752916129816</v>
      </c>
      <c r="U61" s="83">
        <f>'Balance Sheet'!U48/('Balance Sheet'!U41+'Balance Sheet'!U48)*'Income Statement'!U13</f>
        <v>38.140147981017776</v>
      </c>
      <c r="V61" s="83">
        <f>'Balance Sheet'!V48/('Balance Sheet'!V41+'Balance Sheet'!V48)*'Income Statement'!V13</f>
        <v>28.595273923689042</v>
      </c>
      <c r="W61" s="83">
        <f>'Balance Sheet'!W48/('Balance Sheet'!W41+'Balance Sheet'!W48)*'Income Statement'!W13</f>
        <v>149.67489969975352</v>
      </c>
      <c r="Y61" s="1" t="s">
        <v>499</v>
      </c>
      <c r="Z61" s="79">
        <f>'Balance Sheet'!Z46/('Balance Sheet'!Z46+'Balance Sheet'!Z38)*'Income Statement'!Z17</f>
        <v>34.927106227106229</v>
      </c>
      <c r="AA61" s="79">
        <f>'Balance Sheet'!AA46/('Balance Sheet'!AA46+'Balance Sheet'!AA38)*'Income Statement'!AA17</f>
        <v>89.908275398071311</v>
      </c>
      <c r="AB61" s="79">
        <f>'Balance Sheet'!AB46/('Balance Sheet'!AB46+'Balance Sheet'!AB38)*'Income Statement'!AB17</f>
        <v>82.289515680089067</v>
      </c>
      <c r="AC61" s="79">
        <f>'Balance Sheet'!AC46/('Balance Sheet'!AC46+'Balance Sheet'!AC38)*'Income Statement'!AC17</f>
        <v>125.22859918399068</v>
      </c>
      <c r="AD61" s="79">
        <f>'Balance Sheet'!AD46/('Balance Sheet'!AD46+'Balance Sheet'!AD38)*'Income Statement'!AD17</f>
        <v>131.75000302608484</v>
      </c>
      <c r="AE61" s="79">
        <f>'Balance Sheet'!AE46/('Balance Sheet'!AE46+'Balance Sheet'!AE38)*'Income Statement'!AE17</f>
        <v>257.20947544509499</v>
      </c>
      <c r="AG61" s="1" t="s">
        <v>560</v>
      </c>
      <c r="AH61" s="159">
        <f>AVERAGE(AH59:AM59)/AVERAGE('Balance Sheet'!AH46:AM46)</f>
        <v>7.8892296152608551E-2</v>
      </c>
      <c r="AI61" s="83"/>
      <c r="AJ61" s="83"/>
      <c r="AK61" s="83"/>
      <c r="AL61" s="83"/>
      <c r="AM61" s="83"/>
      <c r="AO61" s="1" t="s">
        <v>559</v>
      </c>
      <c r="AP61" s="177">
        <f>AVERAGE(AU59)/'Balance Sheet'!AU42</f>
        <v>0.6732899022801303</v>
      </c>
      <c r="AQ61" s="231"/>
      <c r="AR61" s="231"/>
      <c r="AS61" s="231"/>
      <c r="AT61" s="231"/>
      <c r="AU61" s="231"/>
    </row>
    <row r="62" spans="1:47" x14ac:dyDescent="0.3">
      <c r="A62" s="1" t="s">
        <v>24</v>
      </c>
      <c r="B62" s="132">
        <f>'Income Statement Forecast'!B7*'Income Statement'!$B$41</f>
        <v>288.45633673600378</v>
      </c>
      <c r="C62" s="132">
        <f>'Income Statement Forecast'!C7*'Income Statement'!$B$41</f>
        <v>316.4561111479602</v>
      </c>
      <c r="D62" s="132">
        <f>'Income Statement Forecast'!D7*'Income Statement'!$B$41</f>
        <v>347.17521444318857</v>
      </c>
      <c r="E62" s="132">
        <f>'Income Statement Forecast'!E7*'Income Statement'!$B$41</f>
        <v>380.87790445607726</v>
      </c>
      <c r="F62" s="132">
        <f>'Income Statement Forecast'!F7*'Income Statement'!$B$41</f>
        <v>417.85413597924821</v>
      </c>
      <c r="I62" s="1" t="s">
        <v>467</v>
      </c>
      <c r="J62" s="83">
        <f>'Balance Sheet'!J29-'Balance Sheet'!J54</f>
        <v>15947.729999999994</v>
      </c>
      <c r="K62" s="83">
        <f>'Balance Sheet'!K29-'Balance Sheet'!K54</f>
        <v>14296.449999999999</v>
      </c>
      <c r="L62" s="83">
        <f>'Balance Sheet'!L29-'Balance Sheet'!L54</f>
        <v>-380.68000000000029</v>
      </c>
      <c r="M62" s="83">
        <f>'Balance Sheet'!M29-'Balance Sheet'!M54</f>
        <v>8099.09</v>
      </c>
      <c r="N62" s="83">
        <f>'Balance Sheet'!N29-'Balance Sheet'!N54</f>
        <v>26448.71</v>
      </c>
      <c r="O62" s="83">
        <f>'Balance Sheet'!O29-'Balance Sheet'!O54</f>
        <v>34399.85</v>
      </c>
      <c r="Q62" s="1" t="s">
        <v>502</v>
      </c>
      <c r="R62" s="159">
        <f>R60/'Balance Sheet'!R41</f>
        <v>0.21441571381311547</v>
      </c>
      <c r="S62" s="159">
        <f>S60/'Balance Sheet'!S41</f>
        <v>9.3264723609157871E-2</v>
      </c>
      <c r="T62" s="159">
        <f>T60/'Balance Sheet'!T41</f>
        <v>6.7521386426600452E-2</v>
      </c>
      <c r="U62" s="159">
        <f>U60/'Balance Sheet'!U41</f>
        <v>0.27342587514234207</v>
      </c>
      <c r="V62" s="159">
        <f>V60/'Balance Sheet'!V41</f>
        <v>0.1670577433176903</v>
      </c>
      <c r="W62" s="159">
        <f>W60/'Balance Sheet'!W41</f>
        <v>5.0619884640275947E-2</v>
      </c>
      <c r="Y62" s="1" t="s">
        <v>500</v>
      </c>
      <c r="Z62" s="83">
        <f>'Balance Sheet'!Z38/('Balance Sheet'!Z38+'Balance Sheet'!Z46)*'Income Statement'!Z17</f>
        <v>63.372893772893775</v>
      </c>
      <c r="AA62" s="83">
        <f>'Balance Sheet'!AA38/('Balance Sheet'!AA38+'Balance Sheet'!AA46)*'Income Statement'!AA17</f>
        <v>7.091724601928683</v>
      </c>
      <c r="AB62" s="83">
        <f>'Balance Sheet'!AB38/('Balance Sheet'!AB38+'Balance Sheet'!AB46)*'Income Statement'!AB17</f>
        <v>13.51048431991093</v>
      </c>
      <c r="AC62" s="83">
        <f>'Balance Sheet'!AC38/('Balance Sheet'!AC38+'Balance Sheet'!AC46)*'Income Statement'!AC17</f>
        <v>17.57140081600933</v>
      </c>
      <c r="AD62" s="83">
        <f>'Balance Sheet'!AD38/('Balance Sheet'!AD38+'Balance Sheet'!AD46)*'Income Statement'!AD17</f>
        <v>39.349996973915147</v>
      </c>
      <c r="AE62" s="83">
        <f>'Balance Sheet'!AE38/('Balance Sheet'!AE38+'Balance Sheet'!AE46)*'Income Statement'!AE17</f>
        <v>25.690524554905004</v>
      </c>
      <c r="AG62" s="1" t="s">
        <v>557</v>
      </c>
      <c r="AH62" s="159">
        <f>'Balance Sheet'!AH38/'Income Statement'!AH7</f>
        <v>0.40632408713484458</v>
      </c>
      <c r="AI62" s="159">
        <f>'Balance Sheet'!AI38/'Income Statement'!AI7</f>
        <v>0.36483003121015006</v>
      </c>
      <c r="AJ62" s="159">
        <f>'Balance Sheet'!AJ38/'Income Statement'!AJ7</f>
        <v>0.24391930703306294</v>
      </c>
      <c r="AK62" s="159">
        <f>'Balance Sheet'!AK38/'Income Statement'!AK7</f>
        <v>0.25826643587517811</v>
      </c>
      <c r="AL62" s="159">
        <f>'Balance Sheet'!AL38/'Income Statement'!AL7</f>
        <v>0.148694342071715</v>
      </c>
      <c r="AM62" s="159">
        <f>'Balance Sheet'!AM38/'Income Statement'!AM7</f>
        <v>0.10327695816752401</v>
      </c>
      <c r="AO62" s="1" t="s">
        <v>560</v>
      </c>
      <c r="AP62" s="177">
        <f>AVERAGE(AR60:AU60)/AVERAGE('Balance Sheet'!AR50:AU50)</f>
        <v>0.24374770998945006</v>
      </c>
      <c r="AQ62" s="229"/>
      <c r="AR62" s="229"/>
      <c r="AS62" s="229"/>
      <c r="AT62" s="229"/>
      <c r="AU62" s="229"/>
    </row>
    <row r="63" spans="1:47" x14ac:dyDescent="0.3">
      <c r="A63" s="1" t="s">
        <v>449</v>
      </c>
      <c r="B63" s="132">
        <f>'Income Statement Forecast'!B7*'Income Statement'!$B$39</f>
        <v>2875.44795921072</v>
      </c>
      <c r="C63" s="132">
        <f>'Income Statement Forecast'!C7*'Income Statement'!$B$39</f>
        <v>3154.5608922190363</v>
      </c>
      <c r="D63" s="132">
        <f>'Income Statement Forecast'!D7*'Income Statement'!$B$39</f>
        <v>3460.7811814959146</v>
      </c>
      <c r="E63" s="132">
        <f>'Income Statement Forecast'!E7*'Income Statement'!$B$39</f>
        <v>3796.7430546655269</v>
      </c>
      <c r="F63" s="132">
        <f>'Income Statement Forecast'!F7*'Income Statement'!$B$39</f>
        <v>4165.3368968937611</v>
      </c>
      <c r="I63" s="1" t="s">
        <v>495</v>
      </c>
      <c r="J63" s="159">
        <f>J62/J7</f>
        <v>0.47642880274175237</v>
      </c>
      <c r="K63" s="159">
        <f t="shared" ref="K63:O63" si="76">K62/K7</f>
        <v>0.416397494470441</v>
      </c>
      <c r="L63" s="159">
        <f t="shared" si="76"/>
        <v>-9.6189609864564454E-3</v>
      </c>
      <c r="M63" s="159">
        <f t="shared" si="76"/>
        <v>0.18191944330888002</v>
      </c>
      <c r="N63" s="159">
        <f t="shared" si="76"/>
        <v>0.53055482894639705</v>
      </c>
      <c r="O63" s="159">
        <f t="shared" si="76"/>
        <v>0.63068674752692711</v>
      </c>
      <c r="Q63" s="1" t="s">
        <v>501</v>
      </c>
      <c r="R63" s="159">
        <f>R61/'Balance Sheet'!R48</f>
        <v>0.21441571381311547</v>
      </c>
      <c r="S63" s="159">
        <f>S61/'Balance Sheet'!S48</f>
        <v>9.3264723609157885E-2</v>
      </c>
      <c r="T63" s="159">
        <f>T61/'Balance Sheet'!T48</f>
        <v>6.7521386426600452E-2</v>
      </c>
      <c r="U63" s="159">
        <f>U61/'Balance Sheet'!U48</f>
        <v>0.27342587514234201</v>
      </c>
      <c r="V63" s="159">
        <f>V61/'Balance Sheet'!V48</f>
        <v>0.16705774331769027</v>
      </c>
      <c r="W63" s="159">
        <f>W61/'Balance Sheet'!W48</f>
        <v>5.061988464027594E-2</v>
      </c>
      <c r="Y63" s="1" t="s">
        <v>501</v>
      </c>
      <c r="Z63" s="159">
        <f>AVERAGE(AC61:AE61)/AVERAGE('Balance Sheet'!AC46:AE46)</f>
        <v>6.6048564888268518E-2</v>
      </c>
      <c r="AA63" s="159"/>
      <c r="AB63" s="159"/>
      <c r="AC63" s="159"/>
      <c r="AD63" s="159"/>
      <c r="AE63" s="159"/>
      <c r="AG63" s="1" t="s">
        <v>558</v>
      </c>
      <c r="AH63" s="159">
        <f>'Balance Sheet'!AH46/'Income Statement'!AH7</f>
        <v>0.13533094889840841</v>
      </c>
      <c r="AI63" s="159">
        <f>'Balance Sheet'!AI46/'Income Statement'!AI7</f>
        <v>8.737849625627056E-2</v>
      </c>
      <c r="AJ63" s="159">
        <f>'Balance Sheet'!AJ46/'Income Statement'!AJ7</f>
        <v>0.21768719987133239</v>
      </c>
      <c r="AK63" s="159">
        <f>'Balance Sheet'!AK46/'Income Statement'!AK7</f>
        <v>0.2898081692323769</v>
      </c>
      <c r="AL63" s="159">
        <f>'Balance Sheet'!AL46/'Income Statement'!AL7</f>
        <v>0.21636325707530768</v>
      </c>
      <c r="AM63" s="159">
        <f>'Balance Sheet'!AM46/'Income Statement'!AM7</f>
        <v>0.15896375535558296</v>
      </c>
      <c r="AO63" s="1" t="s">
        <v>557</v>
      </c>
      <c r="AP63" s="177">
        <f>'Balance Sheet'!AP42/'Income Statement'!AP8</f>
        <v>0.13557188380304863</v>
      </c>
      <c r="AQ63" s="177">
        <f>'Balance Sheet'!AQ42/'Income Statement'!AQ8</f>
        <v>6.1915783209561821E-2</v>
      </c>
      <c r="AR63" s="177">
        <f>'Balance Sheet'!AR42/'Income Statement'!AR8</f>
        <v>1.8882021388797531E-2</v>
      </c>
      <c r="AS63" s="177">
        <f>'Balance Sheet'!AS42/'Income Statement'!AS8</f>
        <v>0</v>
      </c>
      <c r="AT63" s="177">
        <f>'Balance Sheet'!AT42/'Income Statement'!AT8</f>
        <v>0</v>
      </c>
      <c r="AU63" s="177">
        <f>'Balance Sheet'!AU42/'Income Statement'!AU8</f>
        <v>4.2169007609781095E-4</v>
      </c>
    </row>
    <row r="64" spans="1:47" x14ac:dyDescent="0.3">
      <c r="A64" s="1" t="s">
        <v>460</v>
      </c>
      <c r="B64" s="132">
        <f>'Income Statement Forecast'!B20*'Income Statement'!$B$43</f>
        <v>1029.6447343022551</v>
      </c>
      <c r="C64" s="132">
        <f>'Income Statement Forecast'!C20*'Income Statement'!$B$43</f>
        <v>1120.0678329188765</v>
      </c>
      <c r="D64" s="132">
        <f>'Income Statement Forecast'!D20*'Income Statement'!$B$43</f>
        <v>1219.9696323574349</v>
      </c>
      <c r="E64" s="132">
        <f>'Income Statement Forecast'!E20*'Income Statement'!$B$43</f>
        <v>1330.2207958802639</v>
      </c>
      <c r="F64" s="132">
        <f>'Income Statement Forecast'!F20*'Income Statement'!$B$43</f>
        <v>1451.7803231711807</v>
      </c>
      <c r="I64" s="1" t="s">
        <v>447</v>
      </c>
      <c r="J64" s="160">
        <f>O63</f>
        <v>0.63068674752692711</v>
      </c>
      <c r="Y64" s="1" t="s">
        <v>502</v>
      </c>
      <c r="Z64" s="159">
        <f>AVERAGE(AC62:AE62)/AVERAGE('Balance Sheet'!AC38:AE38)</f>
        <v>7.2466598548096034E-2</v>
      </c>
      <c r="AA64" s="159"/>
      <c r="AB64" s="159"/>
      <c r="AC64" s="159"/>
      <c r="AD64" s="159"/>
      <c r="AE64" s="159"/>
      <c r="AG64" s="1" t="s">
        <v>555</v>
      </c>
      <c r="AH64" s="159">
        <f>AVERAGE(AL62:AM62)</f>
        <v>0.12598565011961951</v>
      </c>
      <c r="AI64" s="159"/>
      <c r="AJ64" s="159"/>
      <c r="AK64" s="159"/>
      <c r="AL64" s="159"/>
      <c r="AM64" s="159"/>
      <c r="AO64" s="1" t="s">
        <v>558</v>
      </c>
      <c r="AP64" s="177">
        <f>'Balance Sheet'!AP50/'Income Statement'!AP8</f>
        <v>2.5586240479189115E-2</v>
      </c>
      <c r="AQ64" s="177">
        <f>'Balance Sheet'!AQ50/'Income Statement'!AQ8</f>
        <v>1.7231403129275933E-2</v>
      </c>
      <c r="AR64" s="177">
        <f>'Balance Sheet'!AR50/'Income Statement'!AR8</f>
        <v>1.8503691438810574E-2</v>
      </c>
      <c r="AS64" s="177">
        <f>'Balance Sheet'!AS50/'Income Statement'!AS8</f>
        <v>2.240172339493994E-2</v>
      </c>
      <c r="AT64" s="177">
        <f>'Balance Sheet'!AT50/'Income Statement'!AT8</f>
        <v>9.3142478354611095E-3</v>
      </c>
      <c r="AU64" s="177">
        <f>'Balance Sheet'!AU50/'Income Statement'!AU8</f>
        <v>2.820184382049801E-3</v>
      </c>
    </row>
    <row r="65" spans="1:47" x14ac:dyDescent="0.3">
      <c r="A65" s="1" t="s">
        <v>620</v>
      </c>
      <c r="B65" s="228">
        <f>B58/'Income Statement Forecast'!B7</f>
        <v>0.12480972603687467</v>
      </c>
      <c r="C65" s="228">
        <f>C58/'Income Statement Forecast'!C7</f>
        <v>0.12480972603687467</v>
      </c>
      <c r="D65" s="228">
        <f>D58/'Income Statement Forecast'!D7</f>
        <v>0.12480972603687468</v>
      </c>
      <c r="E65" s="228">
        <f>E58/'Income Statement Forecast'!E7</f>
        <v>0.12480972603687468</v>
      </c>
      <c r="F65" s="228">
        <f>F58/'Income Statement Forecast'!F7</f>
        <v>0.12480972603687468</v>
      </c>
      <c r="I65" s="1" t="s">
        <v>496</v>
      </c>
      <c r="J65" s="159">
        <f>AVERAGE('Income Statement'!N13:O13)/AVERAGE('Balance Sheet'!N47:O47)</f>
        <v>9.9720469407637111E-2</v>
      </c>
      <c r="Y65" s="1" t="s">
        <v>503</v>
      </c>
      <c r="Z65" s="159">
        <f>'Balance Sheet'!Z21/'Income Statement'!Z9</f>
        <v>0.12421158256880735</v>
      </c>
      <c r="AA65" s="159">
        <f>'Balance Sheet'!AA21/'Income Statement'!AA9</f>
        <v>0.12248369865917914</v>
      </c>
      <c r="AB65" s="159">
        <f>'Balance Sheet'!AB21/'Income Statement'!AB9</f>
        <v>6.2574899226495256E-2</v>
      </c>
      <c r="AC65" s="159">
        <f>'Balance Sheet'!AC21/'Income Statement'!AC9</f>
        <v>7.8417271780199957E-2</v>
      </c>
      <c r="AD65" s="159">
        <f>'Balance Sheet'!AD21/'Income Statement'!AD9</f>
        <v>0.15239367038684815</v>
      </c>
      <c r="AE65" s="159">
        <f>'Balance Sheet'!AE21/'Income Statement'!AE9</f>
        <v>9.8713145946202258E-2</v>
      </c>
      <c r="AG65" s="1" t="s">
        <v>556</v>
      </c>
      <c r="AH65" s="160">
        <f>AVERAGE(AJ63:AM63)</f>
        <v>0.22070559538364998</v>
      </c>
      <c r="AI65" s="1"/>
      <c r="AJ65" s="1"/>
      <c r="AK65" s="1"/>
      <c r="AL65" s="1"/>
      <c r="AM65" s="1"/>
      <c r="AO65" s="1" t="s">
        <v>555</v>
      </c>
      <c r="AP65" s="177">
        <f>AVERAGE(AU63)</f>
        <v>4.2169007609781095E-4</v>
      </c>
      <c r="AQ65" s="177"/>
      <c r="AR65" s="177"/>
      <c r="AS65" s="177"/>
      <c r="AT65" s="177"/>
      <c r="AU65" s="177"/>
    </row>
    <row r="66" spans="1:47" x14ac:dyDescent="0.3">
      <c r="I66" s="1" t="s">
        <v>497</v>
      </c>
      <c r="J66" s="83">
        <f>AVERAGE('Cash Flow Statement'!M44:O44)</f>
        <v>5364.71</v>
      </c>
      <c r="K66" s="83"/>
      <c r="L66" s="83"/>
      <c r="M66" s="83"/>
      <c r="N66" s="83"/>
      <c r="O66" s="83"/>
      <c r="Y66" s="1" t="s">
        <v>447</v>
      </c>
      <c r="Z66" s="160">
        <f>AVERAGE(AD65:AE65)</f>
        <v>0.12555340816652522</v>
      </c>
      <c r="AG66" s="1" t="s">
        <v>564</v>
      </c>
      <c r="AH66" s="228">
        <f>('Balance Sheet'!AH21+'Balance Sheet'!AH12)/'Income Statement'!AH7</f>
        <v>2.6176678936209541E-4</v>
      </c>
      <c r="AI66" s="228">
        <f>('Balance Sheet'!AI21+'Balance Sheet'!AI12)/'Income Statement'!AI7</f>
        <v>2.2469819437621878E-2</v>
      </c>
      <c r="AJ66" s="228">
        <f>('Balance Sheet'!AJ21+'Balance Sheet'!AJ12)/'Income Statement'!AJ7</f>
        <v>2.599889713484824E-2</v>
      </c>
      <c r="AK66" s="228">
        <f>('Balance Sheet'!AK21+'Balance Sheet'!AK12)/'Income Statement'!AK7</f>
        <v>2.0567411841755399E-2</v>
      </c>
      <c r="AL66" s="228">
        <f>('Balance Sheet'!AL21+'Balance Sheet'!AL12)/'Income Statement'!AL7</f>
        <v>1.6024847599842386E-2</v>
      </c>
      <c r="AM66" s="228">
        <f>('Balance Sheet'!AM21+'Balance Sheet'!AM12)/'Income Statement'!AM7</f>
        <v>1.3499882142510503E-2</v>
      </c>
      <c r="AO66" s="1" t="s">
        <v>556</v>
      </c>
      <c r="AP66" s="230">
        <f>AVERAGE(AP64:AU64)</f>
        <v>1.5976248443287745E-2</v>
      </c>
      <c r="AQ66" s="178"/>
      <c r="AR66" s="178"/>
      <c r="AS66" s="178"/>
      <c r="AT66" s="178"/>
      <c r="AU66" s="178"/>
    </row>
    <row r="67" spans="1:47" x14ac:dyDescent="0.3">
      <c r="K67" s="159"/>
      <c r="L67" s="159"/>
      <c r="M67" s="159"/>
      <c r="N67" s="159"/>
      <c r="O67" s="159"/>
      <c r="AG67" s="1" t="s">
        <v>447</v>
      </c>
      <c r="AH67" s="152">
        <f>AVERAGE(AI66:AM66)</f>
        <v>1.9712171631315681E-2</v>
      </c>
      <c r="AO67" s="1" t="s">
        <v>564</v>
      </c>
      <c r="AP67" s="177">
        <f>('Balance Sheet'!AP14+'Balance Sheet'!AP23)/'Income Statement'!AP8</f>
        <v>7.072765860293348E-2</v>
      </c>
      <c r="AQ67" s="177">
        <f>('Balance Sheet'!AQ14+'Balance Sheet'!AQ23)/'Income Statement'!AQ8</f>
        <v>0.12775268486191918</v>
      </c>
      <c r="AR67" s="177">
        <f>('Balance Sheet'!AR14+'Balance Sheet'!AR23)/'Income Statement'!AR8</f>
        <v>0.11362554861244996</v>
      </c>
      <c r="AS67" s="177">
        <f>('Balance Sheet'!AS14+'Balance Sheet'!AS23)/'Income Statement'!AS8</f>
        <v>0.15375376099346624</v>
      </c>
      <c r="AT67" s="177">
        <f>('Balance Sheet'!AT14+'Balance Sheet'!AT23)/'Income Statement'!AT8</f>
        <v>0.20056702962897605</v>
      </c>
      <c r="AU67" s="177">
        <f>('Balance Sheet'!AU14+'Balance Sheet'!AU23)/'Income Statement'!AU8</f>
        <v>0.27428510684281904</v>
      </c>
    </row>
    <row r="68" spans="1:47" x14ac:dyDescent="0.3">
      <c r="I68" s="21" t="s">
        <v>440</v>
      </c>
      <c r="J68" s="108" t="s">
        <v>392</v>
      </c>
      <c r="K68" s="108" t="s">
        <v>407</v>
      </c>
      <c r="L68" s="108" t="s">
        <v>408</v>
      </c>
      <c r="M68" s="108" t="s">
        <v>409</v>
      </c>
      <c r="N68" s="108" t="s">
        <v>410</v>
      </c>
      <c r="Q68" s="21" t="s">
        <v>440</v>
      </c>
      <c r="R68" s="108" t="s">
        <v>392</v>
      </c>
      <c r="S68" s="108" t="s">
        <v>407</v>
      </c>
      <c r="T68" s="108" t="s">
        <v>408</v>
      </c>
      <c r="U68" s="108" t="s">
        <v>409</v>
      </c>
      <c r="V68" s="108" t="s">
        <v>410</v>
      </c>
      <c r="AO68" s="1" t="s">
        <v>447</v>
      </c>
      <c r="AP68" s="230">
        <f>AVERAGE(AS67:AU67)</f>
        <v>0.20953529915508709</v>
      </c>
      <c r="AQ68" s="178"/>
      <c r="AR68" s="178"/>
      <c r="AS68" s="178"/>
      <c r="AT68" s="178"/>
      <c r="AU68" s="178"/>
    </row>
    <row r="69" spans="1:47" x14ac:dyDescent="0.3">
      <c r="I69" s="1" t="s">
        <v>295</v>
      </c>
      <c r="J69" s="132">
        <f>J76*$J$37</f>
        <v>2445.2223736940282</v>
      </c>
      <c r="K69" s="132">
        <f t="shared" ref="K69:N69" si="77">K76*$J$37</f>
        <v>2652.5201432780277</v>
      </c>
      <c r="L69" s="132">
        <f t="shared" si="77"/>
        <v>2877.3919240181503</v>
      </c>
      <c r="M69" s="132">
        <f t="shared" si="77"/>
        <v>3121.3275817664767</v>
      </c>
      <c r="N69" s="132">
        <f t="shared" si="77"/>
        <v>3385.9432882159931</v>
      </c>
      <c r="Q69" s="18" t="s">
        <v>295</v>
      </c>
      <c r="R69" s="162">
        <f>$R$32*'Income Statement Forecast'!P7</f>
        <v>724.05236197712259</v>
      </c>
      <c r="S69" s="162">
        <f>$R$32*'Income Statement Forecast'!Q7</f>
        <v>824.51786104288738</v>
      </c>
      <c r="T69" s="162">
        <f>$R$32*'Income Statement Forecast'!R7</f>
        <v>940.07538942789131</v>
      </c>
      <c r="U69" s="162">
        <f>$R$32*'Income Statement Forecast'!S7</f>
        <v>1073.3314279317303</v>
      </c>
      <c r="V69" s="162">
        <f>$R$32*'Income Statement Forecast'!T7</f>
        <v>1227.4349408148539</v>
      </c>
    </row>
    <row r="70" spans="1:47" x14ac:dyDescent="0.3">
      <c r="I70" s="1" t="s">
        <v>484</v>
      </c>
      <c r="J70" s="132">
        <f>'Balance Sheet'!O6*'Income Statement'!J40</f>
        <v>1759.2785602347419</v>
      </c>
      <c r="K70" s="132">
        <f>'Balance Sheet Forecast'!I6*'Income Statement'!J40</f>
        <v>1879.5230260789563</v>
      </c>
      <c r="L70" s="132">
        <f>'Balance Sheet Forecast'!J6*'Income Statement'!J40</f>
        <v>2015.0277476507858</v>
      </c>
      <c r="M70" s="132">
        <f>'Balance Sheet Forecast'!K6*'Income Statement'!J40</f>
        <v>2166.198321268962</v>
      </c>
      <c r="N70" s="132">
        <f>'Balance Sheet Forecast'!L6*'Income Statement'!J40</f>
        <v>2333.6304133546205</v>
      </c>
      <c r="Q70" s="18" t="s">
        <v>484</v>
      </c>
      <c r="R70" s="162">
        <f>'Balance Sheet'!W6*'Income Statement'!R35</f>
        <v>185.36780294226361</v>
      </c>
      <c r="S70" s="162">
        <f>'Balance Sheet Forecast'!P6*'Income Statement'!$R$35</f>
        <v>221.8035711172104</v>
      </c>
      <c r="T70" s="162">
        <f>'Balance Sheet Forecast'!Q6*'Income Statement'!$R$35</f>
        <v>262.57020861431107</v>
      </c>
      <c r="U70" s="162">
        <f>'Balance Sheet Forecast'!R6*'Income Statement'!$R$35</f>
        <v>308.39558320770385</v>
      </c>
      <c r="V70" s="162">
        <f>'Balance Sheet Forecast'!S6*'Income Statement'!$R$35</f>
        <v>360.13462907344609</v>
      </c>
      <c r="Y70" s="21" t="s">
        <v>440</v>
      </c>
      <c r="Z70" s="108" t="s">
        <v>392</v>
      </c>
      <c r="AA70" s="108" t="s">
        <v>407</v>
      </c>
      <c r="AB70" s="108" t="s">
        <v>408</v>
      </c>
      <c r="AC70" s="108" t="s">
        <v>409</v>
      </c>
      <c r="AD70" s="108" t="s">
        <v>410</v>
      </c>
      <c r="AG70" s="21" t="s">
        <v>440</v>
      </c>
      <c r="AH70" s="108" t="s">
        <v>392</v>
      </c>
      <c r="AI70" s="108" t="s">
        <v>407</v>
      </c>
      <c r="AJ70" s="108" t="s">
        <v>408</v>
      </c>
      <c r="AK70" s="108" t="s">
        <v>409</v>
      </c>
      <c r="AL70" s="108" t="s">
        <v>410</v>
      </c>
      <c r="AO70" s="21" t="s">
        <v>440</v>
      </c>
      <c r="AP70" s="108" t="s">
        <v>392</v>
      </c>
      <c r="AQ70" s="108" t="s">
        <v>407</v>
      </c>
      <c r="AR70" s="108" t="s">
        <v>408</v>
      </c>
      <c r="AS70" s="108" t="s">
        <v>409</v>
      </c>
      <c r="AT70" s="108" t="s">
        <v>410</v>
      </c>
    </row>
    <row r="71" spans="1:47" x14ac:dyDescent="0.3">
      <c r="I71" s="1" t="s">
        <v>394</v>
      </c>
      <c r="J71" s="132">
        <f>$J$44*J76</f>
        <v>14208.519002387437</v>
      </c>
      <c r="K71" s="132">
        <f t="shared" ref="K71:N71" si="78">$J$44*K76</f>
        <v>15413.069692735138</v>
      </c>
      <c r="L71" s="132">
        <f t="shared" si="78"/>
        <v>16719.738159423454</v>
      </c>
      <c r="M71" s="132">
        <f t="shared" si="78"/>
        <v>18137.181605779988</v>
      </c>
      <c r="N71" s="132">
        <f t="shared" si="78"/>
        <v>19674.791163857997</v>
      </c>
      <c r="Q71" s="18" t="s">
        <v>394</v>
      </c>
      <c r="R71" s="162">
        <f>R76*$R$39</f>
        <v>4142.1903779948843</v>
      </c>
      <c r="S71" s="162">
        <f t="shared" ref="S71:V71" si="79">S76*$R$39</f>
        <v>4679.5572883547784</v>
      </c>
      <c r="T71" s="162">
        <f t="shared" si="79"/>
        <v>5286.6368796874685</v>
      </c>
      <c r="U71" s="162">
        <f t="shared" si="79"/>
        <v>5972.4729873961423</v>
      </c>
      <c r="V71" s="162">
        <f t="shared" si="79"/>
        <v>6747.28270485741</v>
      </c>
      <c r="Y71" s="18" t="s">
        <v>295</v>
      </c>
      <c r="Z71" s="162">
        <f>Z78*$Z$33</f>
        <v>2166.9138858547767</v>
      </c>
      <c r="AA71" s="162">
        <f t="shared" ref="AA71:AD71" si="80">AA78*$Z$33</f>
        <v>2403.8020658236032</v>
      </c>
      <c r="AB71" s="162">
        <f t="shared" si="80"/>
        <v>2666.5869877789282</v>
      </c>
      <c r="AC71" s="162">
        <f t="shared" si="80"/>
        <v>2958.0996973457532</v>
      </c>
      <c r="AD71" s="162">
        <f t="shared" si="80"/>
        <v>3281.4807315644489</v>
      </c>
      <c r="AG71" s="18" t="s">
        <v>295</v>
      </c>
      <c r="AH71" s="162">
        <f>$AH$32*AH78</f>
        <v>570.56152322901994</v>
      </c>
      <c r="AI71" s="162">
        <f>$AH$32*AI78</f>
        <v>605.71935308957097</v>
      </c>
      <c r="AJ71" s="162">
        <f>$AH$32*AJ78</f>
        <v>643.04359787678595</v>
      </c>
      <c r="AK71" s="162">
        <f>$AH$32*AK78</f>
        <v>682.66775142839845</v>
      </c>
      <c r="AL71" s="162">
        <f>$AH$32*AL78</f>
        <v>724.73353343236772</v>
      </c>
      <c r="AO71" s="18" t="s">
        <v>295</v>
      </c>
      <c r="AP71" s="162">
        <f>'Income Statement Forecast'!AK7*'Income Statement'!$AP$33</f>
        <v>1069.8209387543588</v>
      </c>
      <c r="AQ71" s="162">
        <f>'Income Statement Forecast'!AL7*'Income Statement'!$AP$33</f>
        <v>1160.0191059022723</v>
      </c>
      <c r="AR71" s="162">
        <f>'Income Statement Forecast'!AM7*'Income Statement'!$AP$33</f>
        <v>1257.8220463521109</v>
      </c>
      <c r="AS71" s="162">
        <f>'Income Statement Forecast'!AN7*'Income Statement'!$AP$33</f>
        <v>1363.8709353607621</v>
      </c>
      <c r="AT71" s="162">
        <f>'Income Statement Forecast'!AO7*'Income Statement'!$AP$33</f>
        <v>1478.8610073262066</v>
      </c>
    </row>
    <row r="72" spans="1:47" x14ac:dyDescent="0.3">
      <c r="I72" s="1" t="s">
        <v>123</v>
      </c>
      <c r="J72" s="132">
        <f>O6*(1+J45)</f>
        <v>2371.5159579172305</v>
      </c>
      <c r="K72" s="132">
        <f>Table3942[[#This Row],[2026]]*(1+$J$45)</f>
        <v>2862.0730054635424</v>
      </c>
      <c r="L72" s="132">
        <f>Table3942[[#This Row],[2027]]*(1+$J$45)</f>
        <v>3454.1036341147865</v>
      </c>
      <c r="M72" s="132">
        <f>Table3942[[#This Row],[2028]]*(1+$J$45)</f>
        <v>4168.5980380059009</v>
      </c>
      <c r="N72" s="132">
        <f>Table3942[[#This Row],[2029]]*(1+$J$45)</f>
        <v>5030.8883123363657</v>
      </c>
      <c r="Q72" s="18" t="s">
        <v>123</v>
      </c>
      <c r="R72" s="162">
        <f>W6*(1+R40)</f>
        <v>705.91076731301894</v>
      </c>
      <c r="S72" s="162">
        <f>Table394245[[#This Row],[2026]]*(1+$R$40)</f>
        <v>928.31463218103022</v>
      </c>
      <c r="T72" s="162">
        <f>Table394245[[#This Row],[2027]]*(1+$R$40)</f>
        <v>1220.7889385249614</v>
      </c>
      <c r="U72" s="162">
        <f>Table394245[[#This Row],[2028]]*(1+$R$40)</f>
        <v>1605.4100417694096</v>
      </c>
      <c r="V72" s="162">
        <f>Table394245[[#This Row],[2029]]*(1+$R$40)</f>
        <v>2111.2096619487506</v>
      </c>
      <c r="Y72" s="18" t="s">
        <v>484</v>
      </c>
      <c r="Z72" s="162">
        <f>'Balance Sheet'!AE6*'Income Statement'!$Z$36</f>
        <v>1103.1028117807771</v>
      </c>
      <c r="AA72" s="162">
        <f>'Balance Sheet Forecast'!W6*'Income Statement'!$Z$36</f>
        <v>1263.890516896221</v>
      </c>
      <c r="AB72" s="162">
        <f>'Balance Sheet Forecast'!X6*'Income Statement'!$Z$36</f>
        <v>1436.1802838044719</v>
      </c>
      <c r="AC72" s="162">
        <f>'Balance Sheet Forecast'!Y6*'Income Statement'!$Z$36</f>
        <v>1622.1477691146961</v>
      </c>
      <c r="AD72" s="162">
        <f>'Balance Sheet Forecast'!Z6*'Income Statement'!$Z$36</f>
        <v>1824.0676869645852</v>
      </c>
      <c r="AG72" s="18" t="s">
        <v>484</v>
      </c>
      <c r="AH72" s="162">
        <f>'Balance Sheet'!AM6*'Income Statement'!$AH$35</f>
        <v>326.11833813969548</v>
      </c>
      <c r="AI72" s="162">
        <f>'Balance Sheet Forecast'!AD6*'Income Statement'!AH35</f>
        <v>350.95830189775177</v>
      </c>
      <c r="AJ72" s="162">
        <f>'Balance Sheet Forecast'!AE6*'Income Statement'!$AH$35</f>
        <v>376.84675232134055</v>
      </c>
      <c r="AK72" s="162">
        <f>'Balance Sheet Forecast'!AF6*'Income Statement'!$AH$35</f>
        <v>403.89729166728256</v>
      </c>
      <c r="AL72" s="162">
        <f>'Balance Sheet Forecast'!AG6*'Income Statement'!$AH$35</f>
        <v>432.2255435461492</v>
      </c>
      <c r="AO72" s="18" t="s">
        <v>484</v>
      </c>
      <c r="AP72" s="162">
        <f>'Balance Sheet'!AU6*'Income Statement'!AP36</f>
        <v>877.75418179588951</v>
      </c>
      <c r="AQ72" s="162">
        <f>'Balance Sheet Forecast'!AK6*'Income Statement'!$AP$36</f>
        <v>912.77528724601916</v>
      </c>
      <c r="AR72" s="162">
        <f>'Balance Sheet Forecast'!AL6*'Income Statement'!$AP$36</f>
        <v>957.85727843581026</v>
      </c>
      <c r="AS72" s="162">
        <f>'Balance Sheet Forecast'!AM6*'Income Statement'!$AP$36</f>
        <v>1012.552312260909</v>
      </c>
      <c r="AT72" s="162">
        <f>'Balance Sheet Forecast'!AN6*'Income Statement'!$AP$36</f>
        <v>1076.6111152573837</v>
      </c>
    </row>
    <row r="73" spans="1:47" x14ac:dyDescent="0.3">
      <c r="I73" s="1" t="s">
        <v>24</v>
      </c>
      <c r="J73" s="132">
        <f>J76*$J$50</f>
        <v>18411.02295942817</v>
      </c>
      <c r="K73" s="132">
        <f t="shared" ref="K73:N73" si="81">K76*$J$50</f>
        <v>19971.847871022423</v>
      </c>
      <c r="L73" s="132">
        <f t="shared" si="81"/>
        <v>21664.994295116099</v>
      </c>
      <c r="M73" s="132">
        <f t="shared" si="81"/>
        <v>23501.680006707589</v>
      </c>
      <c r="N73" s="132">
        <f t="shared" si="81"/>
        <v>25494.073786217872</v>
      </c>
      <c r="Q73" s="18" t="s">
        <v>24</v>
      </c>
      <c r="R73" s="162">
        <f>R76*$R$45</f>
        <v>2872.3565493786573</v>
      </c>
      <c r="S73" s="162">
        <f t="shared" ref="S73:V73" si="82">S76*$R$45</f>
        <v>3244.9877477396526</v>
      </c>
      <c r="T73" s="162">
        <f t="shared" si="82"/>
        <v>3665.9604411779173</v>
      </c>
      <c r="U73" s="162">
        <f t="shared" si="82"/>
        <v>4141.5459782992166</v>
      </c>
      <c r="V73" s="162">
        <f t="shared" si="82"/>
        <v>4678.8292906006209</v>
      </c>
      <c r="Y73" s="18" t="s">
        <v>394</v>
      </c>
      <c r="Z73" s="162">
        <f>$Z$40*Z78</f>
        <v>11080.046239354355</v>
      </c>
      <c r="AA73" s="162">
        <f t="shared" ref="AA73:AD73" si="83">$Z$40*AA78</f>
        <v>12291.322794802574</v>
      </c>
      <c r="AB73" s="162">
        <f t="shared" si="83"/>
        <v>13635.016748344971</v>
      </c>
      <c r="AC73" s="162">
        <f t="shared" si="83"/>
        <v>15125.604040458697</v>
      </c>
      <c r="AD73" s="162">
        <f t="shared" si="83"/>
        <v>16779.143129142863</v>
      </c>
      <c r="AG73" s="18" t="s">
        <v>394</v>
      </c>
      <c r="AH73" s="162">
        <f>AH78*$AH$39</f>
        <v>3242.7434439703843</v>
      </c>
      <c r="AI73" s="162">
        <f>AI78*$AH$39</f>
        <v>3442.5603219808668</v>
      </c>
      <c r="AJ73" s="162">
        <f>AJ78*$AH$39</f>
        <v>3654.6898560579575</v>
      </c>
      <c r="AK73" s="162">
        <f>AK78*$AH$39</f>
        <v>3879.8907483739854</v>
      </c>
      <c r="AL73" s="162">
        <f>AL78*$AH$39</f>
        <v>4118.9684521014851</v>
      </c>
      <c r="AO73" s="18" t="s">
        <v>394</v>
      </c>
      <c r="AP73" s="162">
        <f>'Income Statement Forecast'!AK7*'Income Statement'!$AP$40</f>
        <v>10826.843196433809</v>
      </c>
      <c r="AQ73" s="162">
        <f>'Income Statement Forecast'!AL7*'Income Statement'!$AP$40</f>
        <v>11739.670172369835</v>
      </c>
      <c r="AR73" s="162">
        <f>'Income Statement Forecast'!AM7*'Income Statement'!$AP$40</f>
        <v>12729.459268883013</v>
      </c>
      <c r="AS73" s="162">
        <f>'Income Statement Forecast'!AN7*'Income Statement'!$AP$40</f>
        <v>13802.699332579608</v>
      </c>
      <c r="AT73" s="162">
        <f>'Income Statement Forecast'!AO7*'Income Statement'!$AP$40</f>
        <v>14966.426301474135</v>
      </c>
    </row>
    <row r="74" spans="1:47" x14ac:dyDescent="0.3">
      <c r="I74" s="1" t="s">
        <v>449</v>
      </c>
      <c r="J74" s="132">
        <f>J76*$J$48</f>
        <v>28594.971017807824</v>
      </c>
      <c r="K74" s="132">
        <f t="shared" ref="K74:N74" si="84">K76*$J$48</f>
        <v>31019.156963871967</v>
      </c>
      <c r="L74" s="132">
        <f t="shared" si="84"/>
        <v>33648.857281586817</v>
      </c>
      <c r="M74" s="132">
        <f t="shared" si="84"/>
        <v>36501.494791600089</v>
      </c>
      <c r="N74" s="132">
        <f t="shared" si="84"/>
        <v>39595.969362986245</v>
      </c>
      <c r="Q74" s="18" t="s">
        <v>449</v>
      </c>
      <c r="R74" s="162">
        <f>R76*$R$43</f>
        <v>5952.3877975499609</v>
      </c>
      <c r="S74" s="162">
        <f t="shared" ref="S74:V74" si="85">S76*$R$43</f>
        <v>6724.5918606528548</v>
      </c>
      <c r="T74" s="162">
        <f t="shared" si="85"/>
        <v>7596.9740598842545</v>
      </c>
      <c r="U74" s="162">
        <f t="shared" si="85"/>
        <v>8582.5305182091925</v>
      </c>
      <c r="V74" s="162">
        <f t="shared" si="85"/>
        <v>9695.9433473588033</v>
      </c>
      <c r="Y74" s="18" t="s">
        <v>123</v>
      </c>
      <c r="Z74" s="162">
        <f>AE8*(1+Z41)</f>
        <v>1206.6398031574167</v>
      </c>
      <c r="AA74" s="162">
        <f>Table39424550[[#This Row],[2026]]*(1+$Z$41)</f>
        <v>1326.8747056992338</v>
      </c>
      <c r="AB74" s="162">
        <f>Table39424550[[#This Row],[2027]]*(1+$Z$41)</f>
        <v>1459.0903432967089</v>
      </c>
      <c r="AC74" s="162">
        <f>Table39424550[[#This Row],[2028]]*(1+$Z$41)</f>
        <v>1604.4805291391856</v>
      </c>
      <c r="AD74" s="162">
        <f>Table39424550[[#This Row],[2029]]*(1+$Z$41)</f>
        <v>1764.3580332182764</v>
      </c>
      <c r="AG74" s="18" t="s">
        <v>123</v>
      </c>
      <c r="AH74" s="162">
        <f>AM6*(1+$AH$40)</f>
        <v>17.671997727800662</v>
      </c>
      <c r="AI74" s="162">
        <f>Table3942455049[[#This Row],[2026]]*(1+$AH$40)</f>
        <v>13.420692036587528</v>
      </c>
      <c r="AJ74" s="162">
        <f>Table3942455049[[#This Row],[2027]]*(1+$AH$40)</f>
        <v>10.192111696436925</v>
      </c>
      <c r="AK74" s="162">
        <f>Table3942455049[[#This Row],[2028]]*(1+$AH$40)</f>
        <v>7.7402223782090198</v>
      </c>
      <c r="AL74" s="162">
        <f>Table3942455049[[#This Row],[2029]]*(1+$AH$40)</f>
        <v>5.8781775797327738</v>
      </c>
      <c r="AO74" s="18" t="s">
        <v>123</v>
      </c>
      <c r="AP74" s="162">
        <f>(AU6+AU7)*(1+AP41)</f>
        <v>1369.6228259860866</v>
      </c>
      <c r="AQ74" s="162">
        <f>Table394245504973[[#This Row],[2026]]*(1+$AP$41)</f>
        <v>1483.9660826856582</v>
      </c>
      <c r="AR74" s="162">
        <f>Table394245504973[[#This Row],[2027]]*(1+$AP$41)</f>
        <v>1607.8553108049534</v>
      </c>
      <c r="AS74" s="162">
        <f>Table394245504973[[#This Row],[2028]]*(1+$AP$41)</f>
        <v>1742.0874578245359</v>
      </c>
      <c r="AT74" s="162">
        <f>Table394245504973[[#This Row],[2029]]*(1+$AP$41)</f>
        <v>1887.526004557079</v>
      </c>
    </row>
    <row r="75" spans="1:47" x14ac:dyDescent="0.3">
      <c r="I75" s="1" t="s">
        <v>460</v>
      </c>
      <c r="J75" s="132">
        <f>$J$52*'Income Statement Forecast'!I20</f>
        <v>2832.4005293306509</v>
      </c>
      <c r="K75" s="132">
        <f>$J$52*'Income Statement Forecast'!J20</f>
        <v>3044.4846311382157</v>
      </c>
      <c r="L75" s="132">
        <f>$J$52*'Income Statement Forecast'!K20</f>
        <v>3308.0392752902603</v>
      </c>
      <c r="M75" s="132">
        <f>$J$52*'Income Statement Forecast'!L20</f>
        <v>3626.6995034457054</v>
      </c>
      <c r="N75" s="132">
        <f>$J$52*'Income Statement Forecast'!M20</f>
        <v>4005.6710005584519</v>
      </c>
      <c r="Q75" s="18" t="s">
        <v>460</v>
      </c>
      <c r="R75" s="162">
        <f>$R$47*'Income Statement Forecast'!P20</f>
        <v>7.9850402555770428</v>
      </c>
      <c r="S75" s="162">
        <f>$R$47*'Income Statement Forecast'!Q20</f>
        <v>9.7446413175624453</v>
      </c>
      <c r="T75" s="162">
        <f>$R$47*'Income Statement Forecast'!R20</f>
        <v>11.841507310081987</v>
      </c>
      <c r="U75" s="162">
        <f>$R$47*'Income Statement Forecast'!S20</f>
        <v>14.357478543078168</v>
      </c>
      <c r="V75" s="162">
        <f>$R$47*'Income Statement Forecast'!T20</f>
        <v>17.396806670848754</v>
      </c>
      <c r="Y75" s="18" t="s">
        <v>24</v>
      </c>
      <c r="Z75" s="162">
        <f>$Z$46*Z78</f>
        <v>5692.1890291731197</v>
      </c>
      <c r="AA75" s="162">
        <f t="shared" ref="AA75:AD75" si="86">$Z$46*AA78</f>
        <v>6314.4621651576799</v>
      </c>
      <c r="AB75" s="162">
        <f t="shared" si="86"/>
        <v>7004.7625317530801</v>
      </c>
      <c r="AC75" s="162">
        <f t="shared" si="86"/>
        <v>7770.5269020368823</v>
      </c>
      <c r="AD75" s="162">
        <f t="shared" si="86"/>
        <v>8620.0050410798667</v>
      </c>
      <c r="AG75" s="18" t="s">
        <v>24</v>
      </c>
      <c r="AH75" s="162">
        <f>AH78*$AH$45</f>
        <v>2393.3054583119683</v>
      </c>
      <c r="AI75" s="162">
        <f>AI78*$AH$45</f>
        <v>2540.7802225257578</v>
      </c>
      <c r="AJ75" s="162">
        <f>AJ78*$AH$45</f>
        <v>2697.3423374596064</v>
      </c>
      <c r="AK75" s="162">
        <f>AK78*$AH$45</f>
        <v>2863.5517629381638</v>
      </c>
      <c r="AL75" s="162">
        <f>AL78*$AH$45</f>
        <v>3040.0029633424538</v>
      </c>
      <c r="AO75" s="18" t="s">
        <v>24</v>
      </c>
      <c r="AP75" s="162">
        <f>'Income Statement Forecast'!AK7*'Income Statement'!$AP$46</f>
        <v>8079.7437312947422</v>
      </c>
      <c r="AQ75" s="162">
        <f>'Income Statement Forecast'!AL7*'Income Statement'!$AP$46</f>
        <v>8760.9587357759374</v>
      </c>
      <c r="AR75" s="162">
        <f>'Income Statement Forecast'!AM7*'Income Statement'!$AP$46</f>
        <v>9499.6082297014073</v>
      </c>
      <c r="AS75" s="162">
        <f>'Income Statement Forecast'!AN7*'Income Statement'!$AP$46</f>
        <v>10300.534641906508</v>
      </c>
      <c r="AT75" s="162">
        <f>'Income Statement Forecast'!AO7*'Income Statement'!$AP$46</f>
        <v>11168.988678902375</v>
      </c>
    </row>
    <row r="76" spans="1:47" x14ac:dyDescent="0.3">
      <c r="I76" s="1" t="s">
        <v>483</v>
      </c>
      <c r="J76" s="132">
        <f>O7*(1+J42)</f>
        <v>59167.493697481535</v>
      </c>
      <c r="K76" s="132">
        <f>Table3942[[#This Row],[2026]]*(1+$J$42)</f>
        <v>64183.515801366484</v>
      </c>
      <c r="L76" s="132">
        <f>Table3942[[#This Row],[2027]]*(1+$J$42)</f>
        <v>69624.779472442126</v>
      </c>
      <c r="M76" s="132">
        <f>Table3942[[#This Row],[2028]]*(1+$J$42)</f>
        <v>75527.335267648145</v>
      </c>
      <c r="N76" s="132">
        <f>Table3942[[#This Row],[2029]]*(1+$J$42)</f>
        <v>81930.289989493627</v>
      </c>
      <c r="Q76" s="18" t="s">
        <v>483</v>
      </c>
      <c r="R76" s="162">
        <f>W5*(1+R37)</f>
        <v>13791.112819832882</v>
      </c>
      <c r="S76" s="162">
        <f>Table394245[[#This Row],[2026]]*(1+$R$37)</f>
        <v>15580.235725865447</v>
      </c>
      <c r="T76" s="162">
        <f>Table394245[[#This Row],[2027]]*(1+$R$37)</f>
        <v>17601.461785190117</v>
      </c>
      <c r="U76" s="162">
        <f>Table394245[[#This Row],[2028]]*(1+$R$37)</f>
        <v>19884.90177084909</v>
      </c>
      <c r="V76" s="162">
        <f>Table394245[[#This Row],[2029]]*(1+$R$37)</f>
        <v>22464.572730488497</v>
      </c>
      <c r="Y76" s="18" t="s">
        <v>449</v>
      </c>
      <c r="Z76" s="162">
        <f>Z78*$Z$44</f>
        <v>15264.048269152945</v>
      </c>
      <c r="AA76" s="162">
        <f t="shared" ref="AA76:AD76" si="87">AA78*$Z$44</f>
        <v>16932.722154644987</v>
      </c>
      <c r="AB76" s="162">
        <f t="shared" si="87"/>
        <v>18783.816357933734</v>
      </c>
      <c r="AC76" s="162">
        <f t="shared" si="87"/>
        <v>20837.273165306742</v>
      </c>
      <c r="AD76" s="162">
        <f t="shared" si="87"/>
        <v>23115.214964408573</v>
      </c>
      <c r="AG76" s="18" t="s">
        <v>449</v>
      </c>
      <c r="AH76" s="162">
        <f>AH78*$AH$43</f>
        <v>5246.0647892981024</v>
      </c>
      <c r="AI76" s="162">
        <f>AI78*$AH$43</f>
        <v>5569.3257274976395</v>
      </c>
      <c r="AJ76" s="162">
        <f>AJ78*$AH$43</f>
        <v>5912.5059077124151</v>
      </c>
      <c r="AK76" s="162">
        <f>AK78*$AH$43</f>
        <v>6276.8327476585036</v>
      </c>
      <c r="AL76" s="162">
        <f>AL78*$AH$43</f>
        <v>6663.6092981633528</v>
      </c>
      <c r="AO76" s="18" t="s">
        <v>449</v>
      </c>
      <c r="AP76" s="162">
        <f>'Income Statement Forecast'!AK7*'Income Statement'!$AP$44</f>
        <v>12592.460090919369</v>
      </c>
      <c r="AQ76" s="162">
        <f>'Income Statement Forecast'!AL7*'Income Statement'!$AP$44</f>
        <v>13654.148808104746</v>
      </c>
      <c r="AR76" s="162">
        <f>'Income Statement Forecast'!AM7*'Income Statement'!$AP$44</f>
        <v>14805.350452954903</v>
      </c>
      <c r="AS76" s="162">
        <f>'Income Statement Forecast'!AN7*'Income Statement'!$AP$44</f>
        <v>16053.612058380821</v>
      </c>
      <c r="AT76" s="162">
        <f>'Income Statement Forecast'!AO7*'Income Statement'!$AP$44</f>
        <v>17407.116967120772</v>
      </c>
    </row>
    <row r="77" spans="1:47" x14ac:dyDescent="0.3">
      <c r="I77" s="1" t="s">
        <v>480</v>
      </c>
      <c r="J77" s="132">
        <f>'Balance Sheet'!O9*'Income Statement'!J41</f>
        <v>664.63640291608067</v>
      </c>
      <c r="K77" s="132">
        <f>'Balance Sheet Forecast'!I7*'Income Statement'!J41</f>
        <v>1205.260332925187</v>
      </c>
      <c r="L77" s="132">
        <f>'Balance Sheet Forecast'!J7*'Income Statement'!$J$41</f>
        <v>1702.5788863461134</v>
      </c>
      <c r="M77" s="132">
        <f>'Balance Sheet Forecast'!K7*'Income Statement'!$J$41</f>
        <v>2169.3277151357506</v>
      </c>
      <c r="N77" s="132">
        <f>'Balance Sheet Forecast'!L7*'Income Statement'!$J$41</f>
        <v>2616.3022488423176</v>
      </c>
      <c r="Q77" s="18" t="s">
        <v>480</v>
      </c>
      <c r="R77" s="162">
        <f>'Balance Sheet'!W10*'Income Statement'!R36</f>
        <v>549.15396139623761</v>
      </c>
      <c r="S77" s="162">
        <f>'Balance Sheet Forecast'!P7*'Income Statement'!$R$36</f>
        <v>546.3422278103958</v>
      </c>
      <c r="T77" s="162">
        <f>'Balance Sheet Forecast'!Q7*'Income Statement'!$R$36</f>
        <v>547.40007515774187</v>
      </c>
      <c r="U77" s="162">
        <f>'Balance Sheet Forecast'!R7*'Income Statement'!$R$36</f>
        <v>552.58738667113118</v>
      </c>
      <c r="V77" s="162">
        <f>'Balance Sheet Forecast'!S7*'Income Statement'!$R$36</f>
        <v>562.21160446536067</v>
      </c>
      <c r="Y77" s="18" t="s">
        <v>460</v>
      </c>
      <c r="Z77" s="162">
        <f>'Income Statement Forecast'!W20*'Income Statement'!$Z$48</f>
        <v>637.73591015727641</v>
      </c>
      <c r="AA77" s="162">
        <f>'Income Statement Forecast'!X20*'Income Statement'!$Z$48</f>
        <v>692.48598226061006</v>
      </c>
      <c r="AB77" s="162">
        <f>'Income Statement Forecast'!Y20*'Income Statement'!$Z$48</f>
        <v>755.04490021055926</v>
      </c>
      <c r="AC77" s="162">
        <f>'Income Statement Forecast'!Z20*'Income Statement'!$Z$48</f>
        <v>825.97573532393415</v>
      </c>
      <c r="AD77" s="162">
        <f>'Income Statement Forecast'!AA20*'Income Statement'!$Z$48</f>
        <v>905.94098734678823</v>
      </c>
      <c r="AG77" s="18" t="s">
        <v>460</v>
      </c>
      <c r="AH77" s="162">
        <f>'Income Statement Forecast'!AD20*'Income Statement'!$AH$47</f>
        <v>746.42615014102296</v>
      </c>
      <c r="AI77" s="162">
        <f>'Income Statement Forecast'!AE20*'Income Statement'!$AH$47</f>
        <v>788.94191768403448</v>
      </c>
      <c r="AJ77" s="162">
        <f>'Income Statement Forecast'!AF20*'Income Statement'!$AH$47</f>
        <v>834.77927269784993</v>
      </c>
      <c r="AK77" s="162">
        <f>'Income Statement Forecast'!AG20*'Income Statement'!$AH$47</f>
        <v>883.98791580735508</v>
      </c>
      <c r="AL77" s="162">
        <f>'Income Statement Forecast'!AH20*'Income Statement'!$AH$47</f>
        <v>936.65647229764045</v>
      </c>
      <c r="AO77" s="18" t="s">
        <v>460</v>
      </c>
      <c r="AP77" s="162">
        <f>'Income Statement Forecast'!AK20*'Income Statement'!$AP$48</f>
        <v>392.13417260105888</v>
      </c>
      <c r="AQ77" s="162">
        <f>'Income Statement Forecast'!AL20*'Income Statement'!$AP$48</f>
        <v>384.92971171050709</v>
      </c>
      <c r="AR77" s="162">
        <f>'Income Statement Forecast'!AM20*'Income Statement'!$AP$48</f>
        <v>370.29164141827187</v>
      </c>
      <c r="AS77" s="162">
        <f>'Income Statement Forecast'!AN20*'Income Statement'!$AP$48</f>
        <v>346.18521927097646</v>
      </c>
      <c r="AT77" s="162">
        <f>'Income Statement Forecast'!AO20*'Income Statement'!$AP$48</f>
        <v>375.35845527688218</v>
      </c>
    </row>
    <row r="78" spans="1:47" x14ac:dyDescent="0.3">
      <c r="I78" s="1" t="s">
        <v>485</v>
      </c>
      <c r="J78" s="132">
        <f>J76*$J$46</f>
        <v>3601.8058880412691</v>
      </c>
      <c r="K78" s="132">
        <f t="shared" ref="K78:N78" si="88">K76*$J$46</f>
        <v>3907.1549373130147</v>
      </c>
      <c r="L78" s="132">
        <f t="shared" si="88"/>
        <v>4238.3904570913264</v>
      </c>
      <c r="M78" s="132">
        <f t="shared" si="88"/>
        <v>4597.7070157132794</v>
      </c>
      <c r="N78" s="132">
        <f t="shared" si="88"/>
        <v>4987.4852296751524</v>
      </c>
      <c r="Q78" s="18" t="s">
        <v>485</v>
      </c>
      <c r="R78" s="162">
        <f>R76*$R$41</f>
        <v>499.98018571814953</v>
      </c>
      <c r="S78" s="162">
        <f t="shared" ref="S78:V78" si="89">S76*$R$41</f>
        <v>564.84268191529077</v>
      </c>
      <c r="T78" s="162">
        <f t="shared" si="89"/>
        <v>638.11979839759636</v>
      </c>
      <c r="U78" s="162">
        <f t="shared" si="89"/>
        <v>720.90316497728168</v>
      </c>
      <c r="V78" s="162">
        <f t="shared" si="89"/>
        <v>814.4260287477382</v>
      </c>
      <c r="Y78" s="18" t="s">
        <v>483</v>
      </c>
      <c r="Z78" s="162">
        <f>(AE5+AE7+AE6)*(1+Z38)</f>
        <v>36212.548532165347</v>
      </c>
      <c r="AA78" s="162">
        <f>Table39424550[[#This Row],[2026]]*(1+$Z$38)</f>
        <v>40171.323622313226</v>
      </c>
      <c r="AB78" s="162">
        <f>Table39424550[[#This Row],[2027]]*(1+$Z$38)</f>
        <v>44562.874113520076</v>
      </c>
      <c r="AC78" s="162">
        <f>Table39424550[[#This Row],[2028]]*(1+$Z$38)</f>
        <v>49434.511243099645</v>
      </c>
      <c r="AD78" s="162">
        <f>Table39424550[[#This Row],[2029]]*(1+$Z$38)</f>
        <v>54838.718338023929</v>
      </c>
      <c r="AG78" s="18" t="s">
        <v>483</v>
      </c>
      <c r="AH78" s="162">
        <f>AM7*(1+AH37)</f>
        <v>12250.411900737448</v>
      </c>
      <c r="AI78" s="162">
        <f>Table3942455049[[#This Row],[2026]]*(1+$AH$37)</f>
        <v>13005.278606242435</v>
      </c>
      <c r="AJ78" s="162">
        <f>Table3942455049[[#This Row],[2027]]*(1+$AH$37)</f>
        <v>13806.659971637808</v>
      </c>
      <c r="AK78" s="162">
        <f>Table3942455049[[#This Row],[2028]]*(1+$AH$37)</f>
        <v>14657.422216308976</v>
      </c>
      <c r="AL78" s="162">
        <f>Table3942455049[[#This Row],[2029]]*(1+$AH$37)</f>
        <v>15560.608175219852</v>
      </c>
      <c r="AO78" s="18" t="s">
        <v>483</v>
      </c>
      <c r="AP78" s="162">
        <f>AU5*(1+AP38)</f>
        <v>29435.111970366819</v>
      </c>
      <c r="AQ78" s="162">
        <f>Table394245504973[[#This Row],[2026]]*(1+$AP$38)</f>
        <v>31917.960932903254</v>
      </c>
      <c r="AR78" s="162">
        <f>Table394245504973[[#This Row],[2027]]*(1+$AP$38)</f>
        <v>34610.237974971853</v>
      </c>
      <c r="AS78" s="162">
        <f>Table394245504973[[#This Row],[2028]]*(1+$AP$38)</f>
        <v>37529.608335642071</v>
      </c>
      <c r="AT78" s="162">
        <f>Table394245504973[[#This Row],[2029]]*(1+$AP$38)</f>
        <v>40695.227315259166</v>
      </c>
    </row>
    <row r="79" spans="1:47" x14ac:dyDescent="0.3">
      <c r="I79" s="1" t="s">
        <v>467</v>
      </c>
      <c r="J79" s="132">
        <f>J76*$J$64</f>
        <v>37316.15415938459</v>
      </c>
      <c r="K79" s="132">
        <f t="shared" ref="K79:N79" si="90">K76*$J$64</f>
        <v>40479.692825606959</v>
      </c>
      <c r="L79" s="132">
        <f t="shared" si="90"/>
        <v>43911.425712754084</v>
      </c>
      <c r="M79" s="132">
        <f t="shared" si="90"/>
        <v>47634.089429328786</v>
      </c>
      <c r="N79" s="132">
        <f t="shared" si="90"/>
        <v>51672.34811741169</v>
      </c>
      <c r="Q79" s="163" t="s">
        <v>467</v>
      </c>
      <c r="R79" s="164">
        <f>R76*$R$59</f>
        <v>1449.1012149842099</v>
      </c>
      <c r="S79" s="164">
        <f t="shared" ref="S79:V79" si="91">S76*$R$59</f>
        <v>1637.0933089332525</v>
      </c>
      <c r="T79" s="164">
        <f t="shared" si="91"/>
        <v>1849.4736423109198</v>
      </c>
      <c r="U79" s="164">
        <f t="shared" si="91"/>
        <v>2089.4061046719985</v>
      </c>
      <c r="V79" s="164">
        <f t="shared" si="91"/>
        <v>2360.4650373853228</v>
      </c>
      <c r="Y79" s="18" t="s">
        <v>480</v>
      </c>
      <c r="Z79" s="162">
        <f>'Balance Sheet'!AE9*'Income Statement'!$Z$37</f>
        <v>1303.5918242244059</v>
      </c>
      <c r="AA79" s="162">
        <f>'Balance Sheet Forecast'!W7*'Income Statement'!$Z$37</f>
        <v>1524.1191283173632</v>
      </c>
      <c r="AB79" s="162">
        <f>'Balance Sheet Forecast'!X7*'Income Statement'!$Z$37</f>
        <v>1758.1760107867908</v>
      </c>
      <c r="AC79" s="162">
        <f>'Balance Sheet Forecast'!Y7*'Income Statement'!$Z$37</f>
        <v>2008.6759001540047</v>
      </c>
      <c r="AD79" s="162">
        <f>'Balance Sheet Forecast'!Z7*'Income Statement'!$Z$37</f>
        <v>2278.6562341787908</v>
      </c>
      <c r="AG79" s="18" t="s">
        <v>480</v>
      </c>
      <c r="AH79" s="162">
        <f>'Balance Sheet'!AM10*'Income Statement'!$AH$36</f>
        <v>419.05467365359777</v>
      </c>
      <c r="AI79" s="162">
        <f>'Balance Sheet Forecast'!AD7*'Income Statement'!$AH$36</f>
        <v>442.2222292702557</v>
      </c>
      <c r="AJ79" s="162">
        <f>'Balance Sheet Forecast'!AE7*'Income Statement'!$AH$36</f>
        <v>467.08524998354778</v>
      </c>
      <c r="AK79" s="162">
        <f>'Balance Sheet Forecast'!AF7*'Income Statement'!$AH$36</f>
        <v>493.72117482231289</v>
      </c>
      <c r="AL79" s="162">
        <f>'Balance Sheet Forecast'!AG7*'Income Statement'!$AH$36</f>
        <v>522.21494294317779</v>
      </c>
      <c r="AO79" s="18" t="s">
        <v>480</v>
      </c>
      <c r="AP79" s="162">
        <f>'Balance Sheet'!AU11*'Income Statement'!$AP$37</f>
        <v>253.45224437121044</v>
      </c>
      <c r="AQ79" s="162">
        <f>'Balance Sheet Forecast'!AK7*'Income Statement'!$AP$37</f>
        <v>734.97055341454484</v>
      </c>
      <c r="AR79" s="162">
        <f>'Balance Sheet Forecast'!AL7*'Income Statement'!$AP$37</f>
        <v>1171.4962992363926</v>
      </c>
      <c r="AS79" s="162">
        <f>'Balance Sheet Forecast'!AM7*'Income Statement'!$AP$37</f>
        <v>1575.1562900886408</v>
      </c>
      <c r="AT79" s="162">
        <f>'Balance Sheet Forecast'!AN7*'Income Statement'!$AP$37</f>
        <v>1956.1385300591455</v>
      </c>
    </row>
    <row r="80" spans="1:47" x14ac:dyDescent="0.3">
      <c r="I80" s="1" t="s">
        <v>621</v>
      </c>
      <c r="J80" s="228">
        <f>J69/J76</f>
        <v>4.1327124420653109E-2</v>
      </c>
      <c r="K80" s="228">
        <f t="shared" ref="K80:N80" si="92">K69/K76</f>
        <v>4.1327124420653109E-2</v>
      </c>
      <c r="L80" s="228">
        <f t="shared" si="92"/>
        <v>4.1327124420653109E-2</v>
      </c>
      <c r="M80" s="228">
        <f t="shared" si="92"/>
        <v>4.1327124420653109E-2</v>
      </c>
      <c r="N80" s="228">
        <f t="shared" si="92"/>
        <v>4.1327124420653109E-2</v>
      </c>
      <c r="Q80" s="163" t="s">
        <v>31</v>
      </c>
      <c r="R80" s="164">
        <f>R76*$R$51</f>
        <v>1593.9655241987361</v>
      </c>
      <c r="S80" s="164">
        <f t="shared" ref="S80:V80" si="93">S76*$R$51</f>
        <v>1800.7508843089813</v>
      </c>
      <c r="T80" s="164">
        <f t="shared" si="93"/>
        <v>2034.3625367742125</v>
      </c>
      <c r="U80" s="164">
        <f t="shared" si="93"/>
        <v>2298.2806600806221</v>
      </c>
      <c r="V80" s="164">
        <f t="shared" si="93"/>
        <v>2596.4369167337172</v>
      </c>
      <c r="Y80" s="18" t="s">
        <v>485</v>
      </c>
      <c r="Z80" s="162">
        <f>Z78*$Z$42</f>
        <v>2929.9993506305609</v>
      </c>
      <c r="AA80" s="162">
        <f t="shared" ref="AA80:AD80" si="94">AA78*$Z$42</f>
        <v>3250.3084399818081</v>
      </c>
      <c r="AB80" s="162">
        <f t="shared" si="94"/>
        <v>3605.6338895581675</v>
      </c>
      <c r="AC80" s="162">
        <f t="shared" si="94"/>
        <v>3999.8037065070425</v>
      </c>
      <c r="AD80" s="162">
        <f t="shared" si="94"/>
        <v>4437.0643777557552</v>
      </c>
      <c r="AG80" s="18" t="s">
        <v>485</v>
      </c>
      <c r="AH80" s="162">
        <f>AH78*$AH$41</f>
        <v>648.61961819222768</v>
      </c>
      <c r="AI80" s="162">
        <f>AI78*$AH$41</f>
        <v>688.58736444255544</v>
      </c>
      <c r="AJ80" s="162">
        <f>AJ78*$AH$41</f>
        <v>731.01791122423731</v>
      </c>
      <c r="AK80" s="162">
        <f>AK78*$AH$41</f>
        <v>776.06301556703556</v>
      </c>
      <c r="AL80" s="162">
        <f>AL78*$AH$41</f>
        <v>823.88378572335068</v>
      </c>
      <c r="AO80" s="18" t="s">
        <v>485</v>
      </c>
      <c r="AP80" s="162">
        <f>'Income Statement Forecast'!AK7*'Income Statement'!$AP$42</f>
        <v>2842.1910606847518</v>
      </c>
      <c r="AQ80" s="162">
        <f>'Income Statement Forecast'!AL7*'Income Statement'!$AP$42</f>
        <v>3081.8203435593609</v>
      </c>
      <c r="AR80" s="162">
        <f>'Income Statement Forecast'!AM7*'Income Statement'!$AP$42</f>
        <v>3341.6532118325067</v>
      </c>
      <c r="AS80" s="162">
        <f>'Income Statement Forecast'!AN7*'Income Statement'!$AP$42</f>
        <v>3623.3930744742729</v>
      </c>
      <c r="AT80" s="162">
        <f>'Income Statement Forecast'!AO7*'Income Statement'!$AP$42</f>
        <v>3928.8869592623369</v>
      </c>
    </row>
    <row r="81" spans="17:46" x14ac:dyDescent="0.3">
      <c r="Q81" s="163" t="s">
        <v>51</v>
      </c>
      <c r="R81" s="164">
        <f>R76*$R$56</f>
        <v>1297.2226281629869</v>
      </c>
      <c r="S81" s="164">
        <f t="shared" ref="S81:V81" si="95">S76*$R$56</f>
        <v>1465.5114927811132</v>
      </c>
      <c r="T81" s="164">
        <f t="shared" si="95"/>
        <v>1655.6324942580948</v>
      </c>
      <c r="U81" s="164">
        <f t="shared" si="95"/>
        <v>1870.4179186213248</v>
      </c>
      <c r="V81" s="164">
        <f t="shared" si="95"/>
        <v>2113.0674847423943</v>
      </c>
      <c r="Y81" s="163" t="s">
        <v>467</v>
      </c>
      <c r="Z81" s="164">
        <f>'Balance Sheet Forecast'!W15-'Balance Sheet Forecast'!W31</f>
        <v>13165.846063684583</v>
      </c>
      <c r="AA81" s="164">
        <f>'Balance Sheet Forecast'!X15-'Balance Sheet Forecast'!X31</f>
        <v>13473.321338151989</v>
      </c>
      <c r="AB81" s="164">
        <f>'Balance Sheet Forecast'!Y15-'Balance Sheet Forecast'!Y31</f>
        <v>13845.372552772973</v>
      </c>
      <c r="AC81" s="164">
        <f>'Balance Sheet Forecast'!Z15-'Balance Sheet Forecast'!Z31</f>
        <v>14282.991412324496</v>
      </c>
      <c r="AD81" s="164">
        <f>'Balance Sheet Forecast'!AA15-'Balance Sheet Forecast'!AA31</f>
        <v>14787.939983537326</v>
      </c>
      <c r="AG81" s="163" t="s">
        <v>467</v>
      </c>
      <c r="AH81" s="164">
        <f>'Balance Sheet Forecast'!AD15-'Balance Sheet Forecast'!AD31</f>
        <v>561.73535432125936</v>
      </c>
      <c r="AI81" s="164">
        <f>'Balance Sheet Forecast'!AE15-'Balance Sheet Forecast'!AE31</f>
        <v>546.66895779687002</v>
      </c>
      <c r="AJ81" s="164">
        <f>'Balance Sheet Forecast'!AF15-'Balance Sheet Forecast'!AF31</f>
        <v>530.87849534997622</v>
      </c>
      <c r="AK81" s="164">
        <f>'Balance Sheet Forecast'!AG15-'Balance Sheet Forecast'!AG31</f>
        <v>514.45619825862741</v>
      </c>
      <c r="AL81" s="164">
        <f>'Balance Sheet Forecast'!AH15-'Balance Sheet Forecast'!AH31</f>
        <v>497.44799140695432</v>
      </c>
      <c r="AO81" s="163" t="s">
        <v>467</v>
      </c>
      <c r="AP81" s="164">
        <f>'Balance Sheet Forecast'!AK15-'Balance Sheet Forecast'!AK31</f>
        <v>17364.74508735491</v>
      </c>
      <c r="AQ81" s="164">
        <f>'Balance Sheet Forecast'!AL15-'Balance Sheet Forecast'!AL31</f>
        <v>17515.750447804596</v>
      </c>
      <c r="AR81" s="164">
        <f>'Balance Sheet Forecast'!AM15-'Balance Sheet Forecast'!AM31</f>
        <v>18992.529484688141</v>
      </c>
      <c r="AS81" s="164">
        <f>'Balance Sheet Forecast'!AN15-'Balance Sheet Forecast'!AN31</f>
        <v>20593.818520093868</v>
      </c>
      <c r="AT81" s="164">
        <f>'Balance Sheet Forecast'!AO15-'Balance Sheet Forecast'!AO31</f>
        <v>22330.115270960923</v>
      </c>
    </row>
    <row r="82" spans="17:46" x14ac:dyDescent="0.3">
      <c r="Q82" s="163" t="s">
        <v>76</v>
      </c>
      <c r="R82" s="164">
        <f>R76*$R$54</f>
        <v>574.34751273588358</v>
      </c>
      <c r="S82" s="164">
        <f t="shared" ref="S82:V82" si="96">S76*$R$54</f>
        <v>648.85769218861401</v>
      </c>
      <c r="T82" s="164">
        <f t="shared" si="96"/>
        <v>733.03408716238391</v>
      </c>
      <c r="U82" s="164">
        <f t="shared" si="96"/>
        <v>828.13069708633827</v>
      </c>
      <c r="V82" s="164">
        <f t="shared" si="96"/>
        <v>935.56420290286428</v>
      </c>
      <c r="Y82" s="163" t="s">
        <v>31</v>
      </c>
      <c r="Z82" s="164">
        <f>Z78*$Z$52</f>
        <v>3914.3526337408239</v>
      </c>
      <c r="AA82" s="164">
        <f t="shared" ref="AA82:AD82" si="97">AA78*$Z$52</f>
        <v>4342.2717482086655</v>
      </c>
      <c r="AB82" s="164">
        <f t="shared" si="97"/>
        <v>4816.971208153951</v>
      </c>
      <c r="AC82" s="164">
        <f t="shared" si="97"/>
        <v>5343.5650658566556</v>
      </c>
      <c r="AD82" s="164">
        <f t="shared" si="97"/>
        <v>5927.7264445154369</v>
      </c>
      <c r="AG82" s="163" t="s">
        <v>31</v>
      </c>
      <c r="AH82" s="164">
        <f>AH78*$AH$51</f>
        <v>848.27606240127716</v>
      </c>
      <c r="AI82" s="164">
        <f>AI78*$AH$51</f>
        <v>900.54657883550806</v>
      </c>
      <c r="AJ82" s="164">
        <f>AJ78*$AH$51</f>
        <v>956.03798880829629</v>
      </c>
      <c r="AK82" s="164">
        <f>AK78*$AH$51</f>
        <v>1014.9487628130371</v>
      </c>
      <c r="AL82" s="164">
        <f>AL78*$AH$51</f>
        <v>1077.4896010353762</v>
      </c>
      <c r="AO82" s="163" t="s">
        <v>31</v>
      </c>
      <c r="AP82" s="164">
        <f>'Income Statement Forecast'!AK7*'Income Statement'!$AP$52</f>
        <v>10624.649861820297</v>
      </c>
      <c r="AQ82" s="164">
        <f>'Income Statement Forecast'!AL7*'Income Statement'!$AP$52</f>
        <v>11520.429622160695</v>
      </c>
      <c r="AR82" s="164">
        <f>'Income Statement Forecast'!AM7*'Income Statement'!$AP$52</f>
        <v>12491.734220990003</v>
      </c>
      <c r="AS82" s="164">
        <f>'Income Statement Forecast'!AN7*'Income Statement'!$AP$52</f>
        <v>13544.931324482734</v>
      </c>
      <c r="AT82" s="164">
        <f>'Income Statement Forecast'!AO7*'Income Statement'!$AP$52</f>
        <v>14686.925473186609</v>
      </c>
    </row>
    <row r="83" spans="17:46" x14ac:dyDescent="0.3">
      <c r="Q83" s="163" t="s">
        <v>621</v>
      </c>
      <c r="R83" s="371">
        <f>R69/R76</f>
        <v>5.2501373271043726E-2</v>
      </c>
      <c r="S83" s="371">
        <f t="shared" ref="S83:V83" si="98">S69/S76</f>
        <v>5.2920756498829373E-2</v>
      </c>
      <c r="T83" s="371">
        <f t="shared" si="98"/>
        <v>5.3408938467762457E-2</v>
      </c>
      <c r="U83" s="371">
        <f t="shared" si="98"/>
        <v>5.3977205434588317E-2</v>
      </c>
      <c r="V83" s="371">
        <f t="shared" si="98"/>
        <v>5.4638695137477607E-2</v>
      </c>
      <c r="Y83" s="163" t="s">
        <v>51</v>
      </c>
      <c r="Z83" s="164">
        <f>Z78*$Z$57</f>
        <v>6855.2162165922127</v>
      </c>
      <c r="AA83" s="164">
        <f t="shared" ref="AA83:AD83" si="99">AA78*$Z$57</f>
        <v>7604.6321040633147</v>
      </c>
      <c r="AB83" s="164">
        <f t="shared" si="99"/>
        <v>8435.9745354463012</v>
      </c>
      <c r="AC83" s="164">
        <f t="shared" si="99"/>
        <v>9358.1997641507351</v>
      </c>
      <c r="AD83" s="164">
        <f t="shared" si="99"/>
        <v>10381.243145978477</v>
      </c>
      <c r="AG83" s="163" t="s">
        <v>51</v>
      </c>
      <c r="AH83" s="164">
        <f>AH78*$AH$56</f>
        <v>1164.2962524907462</v>
      </c>
      <c r="AI83" s="164">
        <f>AI78*$AH$56</f>
        <v>1236.0398382143073</v>
      </c>
      <c r="AJ83" s="164">
        <f>AJ78*$AH$56</f>
        <v>1312.2042421630092</v>
      </c>
      <c r="AK83" s="164">
        <f>AK78*$AH$56</f>
        <v>1393.0618738293883</v>
      </c>
      <c r="AL83" s="164">
        <f>AL78*$AH$56</f>
        <v>1478.9019284971739</v>
      </c>
      <c r="AO83" s="163" t="s">
        <v>51</v>
      </c>
      <c r="AP83" s="164">
        <f>'Income Statement Forecast'!AK7*'Income Statement'!$AP$57</f>
        <v>2939.6293807105071</v>
      </c>
      <c r="AQ83" s="164">
        <f>'Income Statement Forecast'!AL7*'Income Statement'!$AP$57</f>
        <v>3187.4738307761118</v>
      </c>
      <c r="AR83" s="164">
        <f>'Income Statement Forecast'!AM7*'Income Statement'!$AP$57</f>
        <v>3456.2145020897433</v>
      </c>
      <c r="AS83" s="164">
        <f>'Income Statement Forecast'!AN7*'Income Statement'!$AP$57</f>
        <v>3747.6132012818875</v>
      </c>
      <c r="AT83" s="164">
        <f>'Income Statement Forecast'!AO7*'Income Statement'!$AP$57</f>
        <v>4063.5802774481267</v>
      </c>
    </row>
    <row r="84" spans="17:46" x14ac:dyDescent="0.3">
      <c r="Y84" s="163" t="s">
        <v>76</v>
      </c>
      <c r="Z84" s="164">
        <f>Z78*$Z$55</f>
        <v>699.43297723304613</v>
      </c>
      <c r="AA84" s="164">
        <f t="shared" ref="AA84:AD84" si="100">AA78*$Z$55</f>
        <v>775.89536277983291</v>
      </c>
      <c r="AB84" s="164">
        <f t="shared" si="100"/>
        <v>860.71665703383292</v>
      </c>
      <c r="AC84" s="164">
        <f t="shared" si="100"/>
        <v>954.81066034636751</v>
      </c>
      <c r="AD84" s="164">
        <f t="shared" si="100"/>
        <v>1059.1910702097996</v>
      </c>
      <c r="AG84" s="163" t="s">
        <v>76</v>
      </c>
      <c r="AH84" s="164">
        <f>AH78*$AH$54</f>
        <v>1031.0561316944713</v>
      </c>
      <c r="AI84" s="164">
        <f>AI78*$AH$54</f>
        <v>1094.58950115416</v>
      </c>
      <c r="AJ84" s="164">
        <f>AJ78*$AH$54</f>
        <v>1162.0377777763401</v>
      </c>
      <c r="AK84" s="164">
        <f>AK78*$AH$54</f>
        <v>1233.6421969656701</v>
      </c>
      <c r="AL84" s="164">
        <f>AL78*$AH$54</f>
        <v>1309.6588589800592</v>
      </c>
      <c r="AO84" s="163" t="s">
        <v>76</v>
      </c>
      <c r="AP84" s="164">
        <f>'Income Statement Forecast'!AK7*'Income Statement'!$AP$55</f>
        <v>798.40970094447232</v>
      </c>
      <c r="AQ84" s="164">
        <f>'Income Statement Forecast'!AL7*'Income Statement'!$AP$55</f>
        <v>865.72478989959734</v>
      </c>
      <c r="AR84" s="164">
        <f>'Income Statement Forecast'!AM7*'Income Statement'!$AP$55</f>
        <v>938.71533776358444</v>
      </c>
      <c r="AS84" s="164">
        <f>'Income Statement Forecast'!AN7*'Income Statement'!$AP$55</f>
        <v>1017.8598550296949</v>
      </c>
      <c r="AT84" s="164">
        <f>'Income Statement Forecast'!AO7*'Income Statement'!$AP$55</f>
        <v>1103.6771966461447</v>
      </c>
    </row>
    <row r="85" spans="17:46" x14ac:dyDescent="0.3">
      <c r="Y85" s="163" t="s">
        <v>19</v>
      </c>
      <c r="Z85" s="164">
        <f>Z78*$Z$66</f>
        <v>4546.6088866090595</v>
      </c>
      <c r="AA85" s="164">
        <f t="shared" ref="AA85:AD85" si="101">AA78*$Z$66</f>
        <v>5043.6465913418688</v>
      </c>
      <c r="AB85" s="164">
        <f t="shared" si="101"/>
        <v>5595.0207226482671</v>
      </c>
      <c r="AC85" s="164">
        <f t="shared" si="101"/>
        <v>6206.6713676175696</v>
      </c>
      <c r="AD85" s="164">
        <f t="shared" si="101"/>
        <v>6885.1879868230299</v>
      </c>
      <c r="AG85" s="163" t="s">
        <v>561</v>
      </c>
      <c r="AH85" s="164">
        <f>AH78*$AH$64</f>
        <v>1543.3761075475313</v>
      </c>
      <c r="AI85" s="164">
        <f>AI78*$AH$64</f>
        <v>1638.4784801942324</v>
      </c>
      <c r="AJ85" s="164">
        <f>AJ78*$AH$64</f>
        <v>1739.4410325073168</v>
      </c>
      <c r="AK85" s="164">
        <f>AK78*$AH$64</f>
        <v>1846.6248669994407</v>
      </c>
      <c r="AL85" s="164">
        <f>AL78*$AH$64</f>
        <v>1960.4133372117392</v>
      </c>
      <c r="AO85" s="163" t="s">
        <v>561</v>
      </c>
      <c r="AP85" s="164">
        <f>'Income Statement Forecast'!AK7*'Income Statement'!$AP$65</f>
        <v>12.990050960446942</v>
      </c>
      <c r="AQ85" s="164">
        <f>'Income Statement Forecast'!AL7*'Income Statement'!$AP$65</f>
        <v>14.085261145017215</v>
      </c>
      <c r="AR85" s="164">
        <f>'Income Statement Forecast'!AM7*'Income Statement'!$AP$65</f>
        <v>15.272810513796838</v>
      </c>
      <c r="AS85" s="164">
        <f>'Income Statement Forecast'!AN7*'Income Statement'!$AP$65</f>
        <v>16.560484387637015</v>
      </c>
      <c r="AT85" s="164">
        <f>'Income Statement Forecast'!AO7*'Income Statement'!$AP$65</f>
        <v>17.956724487887623</v>
      </c>
    </row>
    <row r="86" spans="17:46" x14ac:dyDescent="0.3">
      <c r="Y86" s="163" t="s">
        <v>42</v>
      </c>
      <c r="Z86" s="164">
        <f>Z78*$Z$60</f>
        <v>4083.1577089914717</v>
      </c>
      <c r="AA86" s="164">
        <f t="shared" ref="AA86:AD86" si="102">AA78*$Z$60</f>
        <v>4529.5306841810798</v>
      </c>
      <c r="AB86" s="164">
        <f t="shared" si="102"/>
        <v>5024.701390729645</v>
      </c>
      <c r="AC86" s="164">
        <f t="shared" si="102"/>
        <v>5574.0044226160471</v>
      </c>
      <c r="AD86" s="164">
        <f t="shared" si="102"/>
        <v>6183.3575544738187</v>
      </c>
      <c r="AG86" s="163" t="s">
        <v>562</v>
      </c>
      <c r="AH86" s="164">
        <f>AH78*$AH$65</f>
        <v>2703.7344522472099</v>
      </c>
      <c r="AI86" s="164">
        <f>AI78*$AH$65</f>
        <v>2870.3377579209823</v>
      </c>
      <c r="AJ86" s="164">
        <f>AJ78*$AH$65</f>
        <v>3047.2071092999304</v>
      </c>
      <c r="AK86" s="164">
        <f>AK78*$AH$65</f>
        <v>3234.975097040011</v>
      </c>
      <c r="AL86" s="164">
        <f>AL78*$AH$65</f>
        <v>3434.3132918435886</v>
      </c>
      <c r="AO86" s="163" t="s">
        <v>562</v>
      </c>
      <c r="AP86" s="164">
        <f>$AP$66*'Income Statement Forecast'!AK7</f>
        <v>492.14409633612496</v>
      </c>
      <c r="AQ86" s="164">
        <f>$AP$66*'Income Statement Forecast'!AL7</f>
        <v>533.63748448561319</v>
      </c>
      <c r="AR86" s="164">
        <f>$AP$66*'Income Statement Forecast'!AM7</f>
        <v>578.62925647574207</v>
      </c>
      <c r="AS86" s="164">
        <f>$AP$66*'Income Statement Forecast'!AN7</f>
        <v>627.4143687856407</v>
      </c>
      <c r="AT86" s="164">
        <f>$AP$66*'Income Statement Forecast'!AO7</f>
        <v>680.3126464366203</v>
      </c>
    </row>
    <row r="87" spans="17:46" x14ac:dyDescent="0.3">
      <c r="Y87" s="163" t="s">
        <v>622</v>
      </c>
      <c r="Z87" s="371">
        <f>Z71/Z78</f>
        <v>5.9838756831213973E-2</v>
      </c>
      <c r="AA87" s="371">
        <f t="shared" ref="AA87:AD87" si="103">AA71/AA78</f>
        <v>5.9838756831213986E-2</v>
      </c>
      <c r="AB87" s="371">
        <f t="shared" si="103"/>
        <v>5.9838756831213986E-2</v>
      </c>
      <c r="AC87" s="371">
        <f t="shared" si="103"/>
        <v>5.9838756831213979E-2</v>
      </c>
      <c r="AD87" s="371">
        <f t="shared" si="103"/>
        <v>5.9838756831213979E-2</v>
      </c>
      <c r="AG87" s="163" t="s">
        <v>19</v>
      </c>
      <c r="AH87" s="164">
        <f>AH78*$AH$67</f>
        <v>241.48222194164873</v>
      </c>
      <c r="AI87" s="164">
        <f>AI78*$AH$67</f>
        <v>256.36228399932884</v>
      </c>
      <c r="AJ87" s="164">
        <f>AJ78*$AH$67</f>
        <v>272.15925101614056</v>
      </c>
      <c r="AK87" s="164">
        <f>AK78*$AH$67</f>
        <v>288.92962240054203</v>
      </c>
      <c r="AL87" s="164">
        <f>AL78*$AH$67</f>
        <v>306.73337903758761</v>
      </c>
      <c r="AO87" s="163" t="s">
        <v>19</v>
      </c>
      <c r="AP87" s="164">
        <f>'Income Statement Forecast'!AK7*'Income Statement'!$AP$68</f>
        <v>6454.679320946927</v>
      </c>
      <c r="AQ87" s="164">
        <f>'Income Statement Forecast'!AL7*'Income Statement'!$AP$68</f>
        <v>6998.8827695678074</v>
      </c>
      <c r="AR87" s="164">
        <f>'Income Statement Forecast'!AM7*'Income Statement'!$AP$68</f>
        <v>7588.9690114620944</v>
      </c>
      <c r="AS87" s="164">
        <f>'Income Statement Forecast'!AN7*'Income Statement'!$AP$68</f>
        <v>8228.8065264116012</v>
      </c>
      <c r="AT87" s="164">
        <f>'Income Statement Forecast'!AO7*'Income Statement'!$AP$68</f>
        <v>8922.5899557149751</v>
      </c>
    </row>
    <row r="88" spans="17:46" x14ac:dyDescent="0.3">
      <c r="AG88" s="163" t="s">
        <v>622</v>
      </c>
      <c r="AH88" s="371">
        <f>AH71/AH78</f>
        <v>4.6574884816295306E-2</v>
      </c>
      <c r="AI88" s="371">
        <f t="shared" ref="AI88:AL88" si="104">AI71/AI78</f>
        <v>4.6574884816295306E-2</v>
      </c>
      <c r="AJ88" s="371">
        <f t="shared" si="104"/>
        <v>4.6574884816295306E-2</v>
      </c>
      <c r="AK88" s="371">
        <f t="shared" si="104"/>
        <v>4.6574884816295306E-2</v>
      </c>
      <c r="AL88" s="371">
        <f t="shared" si="104"/>
        <v>4.6574884816295306E-2</v>
      </c>
      <c r="AO88" s="163" t="s">
        <v>622</v>
      </c>
      <c r="AP88" s="371">
        <f>AP71/AP78</f>
        <v>3.6345060954121003E-2</v>
      </c>
      <c r="AQ88" s="371">
        <f t="shared" ref="AQ88:AT88" si="105">AQ71/AQ78</f>
        <v>3.6343772346260503E-2</v>
      </c>
      <c r="AR88" s="371">
        <f t="shared" si="105"/>
        <v>3.6342484765972891E-2</v>
      </c>
      <c r="AS88" s="371">
        <f t="shared" si="105"/>
        <v>3.6341198212438752E-2</v>
      </c>
      <c r="AT88" s="371">
        <f t="shared" si="105"/>
        <v>3.6339912684839333E-2</v>
      </c>
    </row>
  </sheetData>
  <mergeCells count="7">
    <mergeCell ref="AG2:AM2"/>
    <mergeCell ref="AO2:AU2"/>
    <mergeCell ref="A1:D1"/>
    <mergeCell ref="A2:G2"/>
    <mergeCell ref="I2:O2"/>
    <mergeCell ref="Q2:W2"/>
    <mergeCell ref="Y2:AE2"/>
  </mergeCells>
  <phoneticPr fontId="5" type="noConversion"/>
  <pageMargins left="0.7" right="0.7" top="0.75" bottom="0.75" header="0.3" footer="0.3"/>
  <picture r:id="rId1"/>
  <tableParts count="18">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7AE4B-B574-42C5-BB93-9B8F0F9C7FCE}">
  <dimension ref="A2:AU67"/>
  <sheetViews>
    <sheetView topLeftCell="A6" workbookViewId="0">
      <selection activeCell="H8" sqref="H8"/>
    </sheetView>
  </sheetViews>
  <sheetFormatPr defaultRowHeight="14.4" x14ac:dyDescent="0.3"/>
  <cols>
    <col min="1" max="1" width="57.109375" style="1" bestFit="1" customWidth="1"/>
    <col min="2" max="7" width="10.44140625" style="1" bestFit="1" customWidth="1"/>
    <col min="8" max="8" width="8.88671875" style="1"/>
    <col min="9" max="9" width="55.44140625" style="1" bestFit="1" customWidth="1"/>
    <col min="10" max="13" width="11.44140625" style="1" bestFit="1" customWidth="1"/>
    <col min="14" max="15" width="11.5546875" style="1" bestFit="1" customWidth="1"/>
    <col min="16" max="16" width="8.88671875" style="1"/>
    <col min="17" max="17" width="68.5546875" style="1" bestFit="1" customWidth="1"/>
    <col min="18" max="18" width="9.88671875" style="1" bestFit="1" customWidth="1"/>
    <col min="19" max="21" width="10.44140625" style="1" bestFit="1" customWidth="1"/>
    <col min="22" max="22" width="11" style="1" bestFit="1" customWidth="1"/>
    <col min="23" max="23" width="11.5546875" style="1" bestFit="1" customWidth="1"/>
    <col min="24" max="24" width="8.88671875" style="1"/>
    <col min="25" max="25" width="65.88671875" style="1" customWidth="1"/>
    <col min="26" max="26" width="11.44140625" style="1" bestFit="1" customWidth="1"/>
    <col min="27" max="30" width="11" style="1" bestFit="1" customWidth="1"/>
    <col min="31" max="31" width="11.44140625" style="1" bestFit="1" customWidth="1"/>
    <col min="32" max="32" width="8.88671875" style="1"/>
    <col min="33" max="33" width="58.88671875" style="1" bestFit="1" customWidth="1"/>
    <col min="34" max="37" width="10.44140625" style="1" bestFit="1" customWidth="1"/>
    <col min="38" max="39" width="11" style="1" bestFit="1" customWidth="1"/>
    <col min="40" max="40" width="8.88671875" style="1"/>
    <col min="41" max="41" width="60.21875" style="1" bestFit="1" customWidth="1"/>
    <col min="42" max="42" width="10.88671875" style="1" bestFit="1" customWidth="1"/>
    <col min="43" max="47" width="11" style="1" bestFit="1" customWidth="1"/>
    <col min="48" max="16384" width="8.88671875" style="1"/>
  </cols>
  <sheetData>
    <row r="2" spans="1:47" ht="33.6" x14ac:dyDescent="0.3">
      <c r="A2" s="380" t="e" vm="4">
        <v>#VALUE!</v>
      </c>
      <c r="B2" s="380"/>
      <c r="C2" s="380"/>
      <c r="D2" s="380"/>
      <c r="E2" s="380"/>
      <c r="F2" s="380"/>
      <c r="G2" s="380"/>
      <c r="I2" s="381" t="e" vm="6">
        <v>#VALUE!</v>
      </c>
      <c r="J2" s="381"/>
      <c r="K2" s="381"/>
      <c r="L2" s="381"/>
      <c r="M2" s="381"/>
      <c r="N2" s="381"/>
      <c r="O2" s="381"/>
      <c r="Q2" s="378" t="e" vm="5">
        <v>#VALUE!</v>
      </c>
      <c r="R2" s="378"/>
      <c r="S2" s="378"/>
      <c r="T2" s="378"/>
      <c r="U2" s="378"/>
      <c r="V2" s="378"/>
      <c r="W2" s="378"/>
      <c r="Y2" s="378" t="e" vm="3">
        <v>#VALUE!</v>
      </c>
      <c r="Z2" s="378"/>
      <c r="AA2" s="378"/>
      <c r="AB2" s="378"/>
      <c r="AC2" s="378"/>
      <c r="AD2" s="378"/>
      <c r="AE2" s="378"/>
      <c r="AG2" s="378" t="e" vm="1">
        <v>#VALUE!</v>
      </c>
      <c r="AH2" s="378"/>
      <c r="AI2" s="378"/>
      <c r="AJ2" s="378"/>
      <c r="AK2" s="378"/>
      <c r="AL2" s="378"/>
      <c r="AM2" s="378"/>
      <c r="AO2" s="378" t="e" vm="2">
        <v>#VALUE!</v>
      </c>
      <c r="AP2" s="378"/>
      <c r="AQ2" s="378"/>
      <c r="AR2" s="378"/>
      <c r="AS2" s="378"/>
      <c r="AT2" s="378"/>
      <c r="AU2" s="378"/>
    </row>
    <row r="3" spans="1:47" x14ac:dyDescent="0.3">
      <c r="A3" s="54" t="s">
        <v>12</v>
      </c>
      <c r="B3" s="53" t="s">
        <v>54</v>
      </c>
      <c r="C3" s="53" t="s">
        <v>55</v>
      </c>
      <c r="D3" s="53" t="s">
        <v>56</v>
      </c>
      <c r="E3" s="53" t="s">
        <v>57</v>
      </c>
      <c r="F3" s="53" t="s">
        <v>58</v>
      </c>
      <c r="G3" s="53" t="s">
        <v>59</v>
      </c>
      <c r="I3" s="56" t="s">
        <v>12</v>
      </c>
      <c r="J3" s="55" t="s">
        <v>54</v>
      </c>
      <c r="K3" s="55" t="s">
        <v>55</v>
      </c>
      <c r="L3" s="55" t="s">
        <v>56</v>
      </c>
      <c r="M3" s="55" t="s">
        <v>57</v>
      </c>
      <c r="N3" s="55" t="s">
        <v>58</v>
      </c>
      <c r="O3" s="55" t="s">
        <v>59</v>
      </c>
      <c r="Q3" s="68" t="s">
        <v>12</v>
      </c>
      <c r="R3" s="67" t="s">
        <v>54</v>
      </c>
      <c r="S3" s="67" t="s">
        <v>55</v>
      </c>
      <c r="T3" s="67" t="s">
        <v>56</v>
      </c>
      <c r="U3" s="67" t="s">
        <v>57</v>
      </c>
      <c r="V3" s="67" t="s">
        <v>58</v>
      </c>
      <c r="W3" s="67" t="s">
        <v>59</v>
      </c>
      <c r="Y3" s="39" t="s">
        <v>12</v>
      </c>
      <c r="Z3" s="40" t="s">
        <v>54</v>
      </c>
      <c r="AA3" s="40" t="s">
        <v>55</v>
      </c>
      <c r="AB3" s="40" t="s">
        <v>56</v>
      </c>
      <c r="AC3" s="40" t="s">
        <v>57</v>
      </c>
      <c r="AD3" s="40" t="s">
        <v>58</v>
      </c>
      <c r="AE3" s="40" t="s">
        <v>59</v>
      </c>
      <c r="AG3" s="14" t="s">
        <v>12</v>
      </c>
      <c r="AH3" s="15" t="s">
        <v>54</v>
      </c>
      <c r="AI3" s="15" t="s">
        <v>55</v>
      </c>
      <c r="AJ3" s="15" t="s">
        <v>56</v>
      </c>
      <c r="AK3" s="15" t="s">
        <v>57</v>
      </c>
      <c r="AL3" s="15" t="s">
        <v>58</v>
      </c>
      <c r="AM3" s="15" t="s">
        <v>59</v>
      </c>
      <c r="AO3" s="70" t="s">
        <v>12</v>
      </c>
      <c r="AP3" s="69" t="s">
        <v>54</v>
      </c>
      <c r="AQ3" s="69" t="s">
        <v>55</v>
      </c>
      <c r="AR3" s="69" t="s">
        <v>56</v>
      </c>
      <c r="AS3" s="69" t="s">
        <v>57</v>
      </c>
      <c r="AT3" s="69" t="s">
        <v>58</v>
      </c>
      <c r="AU3" s="69" t="s">
        <v>59</v>
      </c>
    </row>
    <row r="4" spans="1:47" x14ac:dyDescent="0.3">
      <c r="A4" s="16" t="s">
        <v>175</v>
      </c>
      <c r="B4" s="17"/>
      <c r="C4" s="17"/>
      <c r="D4" s="17"/>
      <c r="E4" s="17"/>
      <c r="F4" s="17"/>
      <c r="G4" s="17"/>
      <c r="I4" s="21" t="s">
        <v>210</v>
      </c>
      <c r="Q4" s="21" t="s">
        <v>210</v>
      </c>
      <c r="Y4" s="21" t="s">
        <v>175</v>
      </c>
      <c r="AG4" s="21" t="s">
        <v>210</v>
      </c>
      <c r="AO4" s="21" t="s">
        <v>210</v>
      </c>
    </row>
    <row r="5" spans="1:47" x14ac:dyDescent="0.3">
      <c r="A5" s="4" t="s">
        <v>134</v>
      </c>
      <c r="B5" s="22">
        <v>1819.46</v>
      </c>
      <c r="C5" s="22">
        <v>2666.04</v>
      </c>
      <c r="D5" s="22">
        <v>3683.5</v>
      </c>
      <c r="E5" s="22">
        <v>2368.63</v>
      </c>
      <c r="F5" s="22">
        <v>2163</v>
      </c>
      <c r="G5" s="22">
        <v>2916</v>
      </c>
      <c r="I5" s="4" t="s">
        <v>134</v>
      </c>
      <c r="J5" s="22">
        <v>5009.59</v>
      </c>
      <c r="K5" s="22">
        <v>2799.37</v>
      </c>
      <c r="L5" s="22">
        <v>4841.32</v>
      </c>
      <c r="M5" s="22">
        <v>9408.43</v>
      </c>
      <c r="N5" s="22">
        <v>11087.89</v>
      </c>
      <c r="O5" s="22">
        <v>13752.13</v>
      </c>
      <c r="Q5" s="18" t="s">
        <v>134</v>
      </c>
      <c r="R5" s="22">
        <v>1437.7351000000001</v>
      </c>
      <c r="S5" s="22">
        <v>1691.6117999999999</v>
      </c>
      <c r="T5" s="22">
        <v>1974.6006</v>
      </c>
      <c r="U5" s="22">
        <v>1671.2391</v>
      </c>
      <c r="V5" s="22">
        <f>2397.94+1.41</f>
        <v>2399.35</v>
      </c>
      <c r="W5" s="23">
        <f>2516.33+8.45</f>
        <v>2524.7799999999997</v>
      </c>
      <c r="Y5" s="4" t="s">
        <v>134</v>
      </c>
      <c r="Z5" s="22">
        <v>1885.7</v>
      </c>
      <c r="AA5" s="22">
        <v>2883.5</v>
      </c>
      <c r="AB5" s="22">
        <v>3061.4</v>
      </c>
      <c r="AC5" s="22">
        <v>6048.5</v>
      </c>
      <c r="AD5" s="22">
        <v>7201</v>
      </c>
      <c r="AE5" s="22">
        <v>7679.5</v>
      </c>
      <c r="AG5" s="4" t="s">
        <v>134</v>
      </c>
      <c r="AH5" s="22">
        <v>1186.57</v>
      </c>
      <c r="AI5" s="22">
        <v>1526.26</v>
      </c>
      <c r="AJ5" s="22">
        <v>1225.9100000000001</v>
      </c>
      <c r="AK5" s="22">
        <v>1847.16</v>
      </c>
      <c r="AL5" s="22">
        <v>2352.11</v>
      </c>
      <c r="AM5" s="22">
        <v>2672.81</v>
      </c>
      <c r="AO5" s="11" t="s">
        <v>134</v>
      </c>
      <c r="AP5" s="24">
        <v>2178.1799999999998</v>
      </c>
      <c r="AQ5" s="24">
        <v>3290.06</v>
      </c>
      <c r="AR5" s="24">
        <v>3675.39</v>
      </c>
      <c r="AS5" s="24">
        <v>4220.7700000000004</v>
      </c>
      <c r="AT5" s="24">
        <v>5896.72</v>
      </c>
      <c r="AU5" s="24">
        <v>6820.81</v>
      </c>
    </row>
    <row r="6" spans="1:47" x14ac:dyDescent="0.3">
      <c r="A6" s="21" t="s">
        <v>176</v>
      </c>
      <c r="B6" s="31"/>
      <c r="C6" s="31"/>
      <c r="D6" s="31"/>
      <c r="E6" s="31"/>
      <c r="F6" s="31"/>
      <c r="G6" s="31"/>
      <c r="I6" s="21" t="s">
        <v>211</v>
      </c>
      <c r="J6" s="31"/>
      <c r="K6" s="31"/>
      <c r="L6" s="31"/>
      <c r="M6" s="31"/>
      <c r="N6" s="31"/>
      <c r="O6" s="31"/>
      <c r="Q6" s="21" t="s">
        <v>211</v>
      </c>
      <c r="R6" s="31"/>
      <c r="S6" s="31"/>
      <c r="T6" s="31"/>
      <c r="U6" s="31"/>
      <c r="V6" s="31"/>
      <c r="W6" s="31"/>
      <c r="Y6" s="21" t="s">
        <v>211</v>
      </c>
      <c r="Z6" s="31"/>
      <c r="AA6" s="31"/>
      <c r="AB6" s="31"/>
      <c r="AC6" s="31"/>
      <c r="AD6" s="31"/>
      <c r="AE6" s="31"/>
      <c r="AG6" s="21" t="s">
        <v>211</v>
      </c>
      <c r="AH6" s="31"/>
      <c r="AI6" s="31"/>
      <c r="AJ6" s="31"/>
      <c r="AK6" s="31"/>
      <c r="AL6" s="31"/>
      <c r="AM6" s="31"/>
      <c r="AO6" s="4" t="s">
        <v>310</v>
      </c>
      <c r="AP6" s="22">
        <v>1174.6500000000001</v>
      </c>
      <c r="AQ6" s="22">
        <v>1067.6600000000001</v>
      </c>
      <c r="AR6" s="22">
        <v>1051.95</v>
      </c>
      <c r="AS6" s="22">
        <v>1172.1099999999999</v>
      </c>
      <c r="AT6" s="22">
        <v>1051.02</v>
      </c>
      <c r="AU6" s="22">
        <v>1106.95</v>
      </c>
    </row>
    <row r="7" spans="1:47" ht="28.8" x14ac:dyDescent="0.3">
      <c r="A7" s="4" t="s">
        <v>177</v>
      </c>
      <c r="B7" s="22">
        <v>186.24</v>
      </c>
      <c r="C7" s="22">
        <v>255.59</v>
      </c>
      <c r="D7" s="22">
        <v>311.51</v>
      </c>
      <c r="E7" s="22">
        <v>343.18</v>
      </c>
      <c r="F7" s="22">
        <v>378</v>
      </c>
      <c r="G7" s="22">
        <v>402</v>
      </c>
      <c r="I7" s="4" t="s">
        <v>131</v>
      </c>
      <c r="J7" s="22">
        <v>2052.7800000000002</v>
      </c>
      <c r="K7" s="22">
        <v>2079.9499999999998</v>
      </c>
      <c r="L7" s="22">
        <v>2143.7399999999998</v>
      </c>
      <c r="M7" s="22">
        <v>2529.4299999999998</v>
      </c>
      <c r="N7" s="22">
        <v>2556.64</v>
      </c>
      <c r="O7" s="22">
        <v>2575.39</v>
      </c>
      <c r="Q7" s="4" t="s">
        <v>247</v>
      </c>
      <c r="R7" s="22">
        <v>-11.5352</v>
      </c>
      <c r="S7" s="22">
        <v>-11.677099999999999</v>
      </c>
      <c r="T7" s="22">
        <v>-14.447699999999999</v>
      </c>
      <c r="U7" s="22">
        <v>-12.424200000000001</v>
      </c>
      <c r="V7" s="22">
        <v>-15.21</v>
      </c>
      <c r="W7" s="22">
        <v>-12.24</v>
      </c>
      <c r="Y7" s="47" t="s">
        <v>284</v>
      </c>
      <c r="Z7" s="22">
        <v>1163.0999999999999</v>
      </c>
      <c r="AA7" s="22">
        <v>-55.7</v>
      </c>
      <c r="AB7" s="22">
        <v>-27.7</v>
      </c>
      <c r="AC7" s="22">
        <v>-87.6</v>
      </c>
      <c r="AD7" s="22">
        <v>-314.89999999999998</v>
      </c>
      <c r="AE7" s="22">
        <v>-355.4</v>
      </c>
      <c r="AG7" s="4" t="s">
        <v>310</v>
      </c>
      <c r="AH7" s="22">
        <v>654.38</v>
      </c>
      <c r="AI7" s="22">
        <v>657.79</v>
      </c>
      <c r="AJ7" s="22">
        <v>662.16</v>
      </c>
      <c r="AK7" s="22">
        <v>706.59</v>
      </c>
      <c r="AL7" s="22">
        <v>808.27</v>
      </c>
      <c r="AM7" s="22">
        <v>794.93</v>
      </c>
      <c r="AO7" s="4" t="s">
        <v>181</v>
      </c>
      <c r="AP7" s="22">
        <v>197.36</v>
      </c>
      <c r="AQ7" s="22">
        <v>160.69999999999999</v>
      </c>
      <c r="AR7" s="22">
        <v>106.35</v>
      </c>
      <c r="AS7" s="22">
        <v>109.54</v>
      </c>
      <c r="AT7" s="22">
        <v>89.88</v>
      </c>
      <c r="AU7" s="22">
        <v>62.01</v>
      </c>
    </row>
    <row r="8" spans="1:47" x14ac:dyDescent="0.3">
      <c r="A8" s="4" t="s">
        <v>178</v>
      </c>
      <c r="B8" s="22">
        <f>-48.25+6.18</f>
        <v>-42.07</v>
      </c>
      <c r="C8" s="22">
        <f>-13.28+0.22</f>
        <v>-13.059999999999999</v>
      </c>
      <c r="D8" s="22">
        <v>-5.44</v>
      </c>
      <c r="E8" s="22">
        <v>-2.09</v>
      </c>
      <c r="F8" s="22">
        <v>-2</v>
      </c>
      <c r="G8" s="22">
        <v>9</v>
      </c>
      <c r="I8" s="4" t="s">
        <v>212</v>
      </c>
      <c r="J8" s="22">
        <v>5.37</v>
      </c>
      <c r="K8" s="22">
        <v>1.67</v>
      </c>
      <c r="L8" s="22">
        <v>165.6</v>
      </c>
      <c r="M8" s="22">
        <v>22.71</v>
      </c>
      <c r="N8" s="22">
        <v>166.23</v>
      </c>
      <c r="O8" s="22">
        <v>1.78</v>
      </c>
      <c r="Q8" s="4" t="s">
        <v>131</v>
      </c>
      <c r="R8" s="22">
        <v>99.058400000000006</v>
      </c>
      <c r="S8" s="22">
        <v>118.97029999999999</v>
      </c>
      <c r="T8" s="22">
        <v>166.61920000000001</v>
      </c>
      <c r="U8" s="22">
        <v>325.91950000000003</v>
      </c>
      <c r="V8" s="22">
        <v>398.25</v>
      </c>
      <c r="W8" s="22">
        <v>621.22</v>
      </c>
      <c r="Y8" s="4" t="s">
        <v>131</v>
      </c>
      <c r="Z8" s="22">
        <v>1676.7</v>
      </c>
      <c r="AA8" s="22">
        <v>1228.8</v>
      </c>
      <c r="AB8" s="22">
        <v>1165.2</v>
      </c>
      <c r="AC8" s="22">
        <v>1250.2</v>
      </c>
      <c r="AD8" s="22">
        <v>1470</v>
      </c>
      <c r="AE8" s="22">
        <v>1703.7</v>
      </c>
      <c r="AG8" s="4" t="s">
        <v>311</v>
      </c>
      <c r="AH8" s="22">
        <v>2.64</v>
      </c>
      <c r="AI8" s="22">
        <v>14.42</v>
      </c>
      <c r="AJ8" s="22">
        <f>0.9+484.7</f>
        <v>485.59999999999997</v>
      </c>
      <c r="AK8" s="22">
        <v>2.27</v>
      </c>
      <c r="AL8" s="22">
        <v>7.08</v>
      </c>
      <c r="AM8" s="22">
        <v>1.77</v>
      </c>
      <c r="AO8" s="4" t="s">
        <v>328</v>
      </c>
      <c r="AP8" s="22">
        <v>-31.9</v>
      </c>
      <c r="AQ8" s="22">
        <v>-8.64</v>
      </c>
      <c r="AR8" s="22">
        <v>11.15</v>
      </c>
      <c r="AS8" s="22">
        <v>-56.2</v>
      </c>
      <c r="AT8" s="22">
        <v>-22.81</v>
      </c>
      <c r="AU8" s="22">
        <v>-13.85</v>
      </c>
    </row>
    <row r="9" spans="1:47" x14ac:dyDescent="0.3">
      <c r="A9" s="4" t="s">
        <v>179</v>
      </c>
      <c r="B9" s="22">
        <v>-6.66</v>
      </c>
      <c r="C9" s="22">
        <v>-57.24</v>
      </c>
      <c r="D9" s="22">
        <v>2.33</v>
      </c>
      <c r="E9" s="22">
        <v>11.79</v>
      </c>
      <c r="F9" s="22">
        <v>-301</v>
      </c>
      <c r="G9" s="22">
        <v>-295</v>
      </c>
      <c r="I9" s="4" t="s">
        <v>130</v>
      </c>
      <c r="J9" s="22">
        <v>302.73</v>
      </c>
      <c r="K9" s="22">
        <v>141.30000000000001</v>
      </c>
      <c r="L9" s="22">
        <v>127.35</v>
      </c>
      <c r="M9" s="22">
        <v>172</v>
      </c>
      <c r="N9" s="22">
        <v>0</v>
      </c>
      <c r="O9" s="22">
        <v>295.3</v>
      </c>
      <c r="Q9" s="4" t="s">
        <v>248</v>
      </c>
      <c r="R9" s="22">
        <v>-35.058599999999998</v>
      </c>
      <c r="S9" s="22">
        <v>-62.864899999999999</v>
      </c>
      <c r="T9" s="22">
        <v>-47.772100000000002</v>
      </c>
      <c r="U9" s="22">
        <v>-1.6218999999999999</v>
      </c>
      <c r="V9" s="22">
        <v>-6.86</v>
      </c>
      <c r="W9" s="22">
        <v>-139.06</v>
      </c>
      <c r="Y9" s="4" t="s">
        <v>157</v>
      </c>
      <c r="Z9" s="22">
        <v>52.1</v>
      </c>
      <c r="AA9" s="22">
        <v>676.8</v>
      </c>
      <c r="AB9" s="22">
        <v>930.4</v>
      </c>
      <c r="AC9" s="22">
        <v>69.900000000000006</v>
      </c>
      <c r="AD9" s="22">
        <v>0.3</v>
      </c>
      <c r="AE9" s="22">
        <v>169.3</v>
      </c>
      <c r="AG9" s="4" t="s">
        <v>312</v>
      </c>
      <c r="AH9" s="22">
        <v>-220.09</v>
      </c>
      <c r="AI9" s="22">
        <v>-12.96</v>
      </c>
      <c r="AJ9" s="22">
        <v>-36.4</v>
      </c>
      <c r="AK9" s="22">
        <v>-49.15</v>
      </c>
      <c r="AL9" s="22">
        <v>-88.38</v>
      </c>
      <c r="AM9" s="22">
        <v>0</v>
      </c>
      <c r="AO9" s="4" t="s">
        <v>329</v>
      </c>
      <c r="AP9" s="22">
        <v>23.45</v>
      </c>
      <c r="AQ9" s="22">
        <v>19.54</v>
      </c>
      <c r="AR9" s="22">
        <v>24.12</v>
      </c>
      <c r="AS9" s="22">
        <v>39.04</v>
      </c>
      <c r="AT9" s="22">
        <v>46.16</v>
      </c>
      <c r="AU9" s="22">
        <v>47.34</v>
      </c>
    </row>
    <row r="10" spans="1:47" x14ac:dyDescent="0.3">
      <c r="A10" s="47" t="s">
        <v>290</v>
      </c>
      <c r="B10" s="22">
        <v>-37.369999999999997</v>
      </c>
      <c r="C10" s="22">
        <v>0</v>
      </c>
      <c r="D10" s="22">
        <v>-68.959999999999994</v>
      </c>
      <c r="E10" s="22">
        <v>-204.59</v>
      </c>
      <c r="F10" s="22">
        <v>-5</v>
      </c>
      <c r="G10" s="22">
        <v>-1</v>
      </c>
      <c r="I10" s="4" t="s">
        <v>213</v>
      </c>
      <c r="J10" s="22">
        <v>-354.62</v>
      </c>
      <c r="K10" s="22">
        <v>-211.13</v>
      </c>
      <c r="L10" s="22">
        <v>-553.37</v>
      </c>
      <c r="M10" s="22">
        <v>-384.54</v>
      </c>
      <c r="N10" s="22">
        <v>0</v>
      </c>
      <c r="O10" s="22">
        <v>21.75</v>
      </c>
      <c r="Q10" s="4" t="s">
        <v>249</v>
      </c>
      <c r="R10" s="22">
        <v>-4.2820999999999998</v>
      </c>
      <c r="S10" s="22">
        <v>-0.42430000000000001</v>
      </c>
      <c r="T10" s="22">
        <v>-39.661099999999998</v>
      </c>
      <c r="U10" s="22">
        <v>-33.9758</v>
      </c>
      <c r="V10" s="22">
        <v>-128.47</v>
      </c>
      <c r="W10" s="22">
        <v>-21.78</v>
      </c>
      <c r="Y10" s="4" t="s">
        <v>285</v>
      </c>
      <c r="Z10" s="22">
        <v>-56.1</v>
      </c>
      <c r="AA10" s="22">
        <v>23</v>
      </c>
      <c r="AB10" s="22">
        <v>7</v>
      </c>
      <c r="AC10" s="22">
        <v>20.5</v>
      </c>
      <c r="AD10" s="22">
        <v>27.5</v>
      </c>
      <c r="AE10" s="22">
        <v>16.100000000000001</v>
      </c>
      <c r="AG10" s="4" t="s">
        <v>313</v>
      </c>
      <c r="AH10" s="22">
        <v>25.73</v>
      </c>
      <c r="AI10" s="22">
        <v>1.3</v>
      </c>
      <c r="AJ10" s="22">
        <v>0.82</v>
      </c>
      <c r="AK10" s="22">
        <v>-21.62</v>
      </c>
      <c r="AL10" s="22">
        <v>-57.09</v>
      </c>
      <c r="AM10" s="22">
        <v>-14.7</v>
      </c>
      <c r="AO10" s="4" t="s">
        <v>330</v>
      </c>
      <c r="AP10" s="22">
        <v>180.27</v>
      </c>
      <c r="AQ10" s="22">
        <v>39.479999999999997</v>
      </c>
      <c r="AR10" s="22">
        <v>-40.82</v>
      </c>
      <c r="AS10" s="22">
        <v>-36.68</v>
      </c>
      <c r="AT10" s="22">
        <v>23.51</v>
      </c>
      <c r="AU10" s="22">
        <v>8.93</v>
      </c>
    </row>
    <row r="11" spans="1:47" ht="28.8" x14ac:dyDescent="0.3">
      <c r="A11" s="4" t="s">
        <v>357</v>
      </c>
      <c r="B11" s="22">
        <v>-14.4</v>
      </c>
      <c r="C11" s="22">
        <v>-2.65</v>
      </c>
      <c r="D11" s="22">
        <v>0</v>
      </c>
      <c r="E11" s="22">
        <v>-5.04</v>
      </c>
      <c r="F11" s="22">
        <v>0</v>
      </c>
      <c r="G11" s="22">
        <v>-4</v>
      </c>
      <c r="I11" s="4" t="s">
        <v>214</v>
      </c>
      <c r="J11" s="22">
        <v>-56.18</v>
      </c>
      <c r="K11" s="22">
        <v>-256.04000000000002</v>
      </c>
      <c r="L11" s="22">
        <v>-215.33</v>
      </c>
      <c r="M11" s="22">
        <v>-146.44999999999999</v>
      </c>
      <c r="N11" s="22">
        <v>238.47</v>
      </c>
      <c r="O11" s="22">
        <v>231.36</v>
      </c>
      <c r="Q11" s="4" t="s">
        <v>250</v>
      </c>
      <c r="R11" s="22">
        <v>-4.0000000000000002E-4</v>
      </c>
      <c r="S11" s="22">
        <v>-4.0000000000000002E-4</v>
      </c>
      <c r="T11" s="22">
        <v>-1.4E-3</v>
      </c>
      <c r="U11" s="22">
        <v>-2.3999999999999998E-3</v>
      </c>
      <c r="V11" s="22">
        <v>0</v>
      </c>
      <c r="W11" s="22">
        <v>0</v>
      </c>
      <c r="Y11" s="47" t="s">
        <v>286</v>
      </c>
      <c r="Z11" s="22">
        <v>-92.9</v>
      </c>
      <c r="AA11" s="22">
        <v>4.2</v>
      </c>
      <c r="AB11" s="22">
        <v>-111.9</v>
      </c>
      <c r="AC11" s="22">
        <v>20.8</v>
      </c>
      <c r="AD11" s="22">
        <v>-90</v>
      </c>
      <c r="AE11" s="22">
        <v>-151.19999999999999</v>
      </c>
      <c r="AG11" s="4" t="s">
        <v>314</v>
      </c>
      <c r="AH11" s="22">
        <v>-29.2</v>
      </c>
      <c r="AI11" s="22">
        <v>-15.58</v>
      </c>
      <c r="AJ11" s="22">
        <v>-10.14</v>
      </c>
      <c r="AK11" s="22">
        <v>-19.510000000000002</v>
      </c>
      <c r="AL11" s="22">
        <f>0.02-17.99</f>
        <v>-17.97</v>
      </c>
      <c r="AM11" s="22">
        <f>-1.34-16.73</f>
        <v>-18.07</v>
      </c>
      <c r="AO11" s="4" t="s">
        <v>331</v>
      </c>
      <c r="AP11" s="22">
        <v>-9.2799999999999994</v>
      </c>
      <c r="AQ11" s="22">
        <v>-7.04</v>
      </c>
      <c r="AR11" s="22">
        <v>-17.75</v>
      </c>
      <c r="AS11" s="22">
        <v>-28.62</v>
      </c>
      <c r="AT11" s="22">
        <v>-11.29</v>
      </c>
      <c r="AU11" s="22">
        <v>-9.98</v>
      </c>
    </row>
    <row r="12" spans="1:47" x14ac:dyDescent="0.3">
      <c r="A12" s="4" t="s">
        <v>180</v>
      </c>
      <c r="B12" s="22">
        <v>9.9600000000000009</v>
      </c>
      <c r="C12" s="22">
        <v>-0.11</v>
      </c>
      <c r="D12" s="22">
        <v>-2.0299999999999998</v>
      </c>
      <c r="E12" s="22">
        <v>0.33</v>
      </c>
      <c r="F12" s="22">
        <v>4</v>
      </c>
      <c r="G12" s="22">
        <v>-2</v>
      </c>
      <c r="I12" s="4" t="s">
        <v>215</v>
      </c>
      <c r="J12" s="22">
        <v>-57.19</v>
      </c>
      <c r="K12" s="22">
        <v>-219.76</v>
      </c>
      <c r="L12" s="22">
        <v>361.95</v>
      </c>
      <c r="M12" s="22">
        <v>161.30000000000001</v>
      </c>
      <c r="N12" s="22">
        <v>-1022.91</v>
      </c>
      <c r="O12" s="22">
        <v>-1230.1300000000001</v>
      </c>
      <c r="Q12" s="4" t="s">
        <v>251</v>
      </c>
      <c r="R12" s="22">
        <v>-34.564</v>
      </c>
      <c r="S12" s="22">
        <v>-44.7682</v>
      </c>
      <c r="T12" s="22">
        <v>-4.0000000000000002E-4</v>
      </c>
      <c r="U12" s="22">
        <v>0</v>
      </c>
      <c r="V12" s="22">
        <v>0</v>
      </c>
      <c r="W12" s="22">
        <v>-163.96</v>
      </c>
      <c r="Y12" s="4" t="s">
        <v>287</v>
      </c>
      <c r="Z12" s="22">
        <v>-215.2</v>
      </c>
      <c r="AA12" s="22">
        <v>-48</v>
      </c>
      <c r="AB12" s="22">
        <v>-70.3</v>
      </c>
      <c r="AC12" s="22">
        <v>-37</v>
      </c>
      <c r="AD12" s="22">
        <v>-14.7</v>
      </c>
      <c r="AE12" s="22">
        <v>-21.7</v>
      </c>
      <c r="AG12" s="4" t="s">
        <v>130</v>
      </c>
      <c r="AH12" s="22">
        <v>450.71</v>
      </c>
      <c r="AI12" s="22">
        <v>358.28</v>
      </c>
      <c r="AJ12" s="22">
        <v>255.06</v>
      </c>
      <c r="AK12" s="22">
        <v>333.44</v>
      </c>
      <c r="AL12" s="22">
        <v>353.56</v>
      </c>
      <c r="AM12" s="22">
        <v>252.31</v>
      </c>
      <c r="AO12" s="4" t="s">
        <v>213</v>
      </c>
      <c r="AP12" s="22">
        <v>-58.39</v>
      </c>
      <c r="AQ12" s="22">
        <v>-40.22</v>
      </c>
      <c r="AR12" s="22">
        <v>-61.87</v>
      </c>
      <c r="AS12" s="22">
        <v>-133.62</v>
      </c>
      <c r="AT12" s="22">
        <v>-208.3</v>
      </c>
      <c r="AU12" s="22">
        <v>-254.42</v>
      </c>
    </row>
    <row r="13" spans="1:47" x14ac:dyDescent="0.3">
      <c r="A13" s="4" t="s">
        <v>130</v>
      </c>
      <c r="B13" s="22">
        <v>6.1</v>
      </c>
      <c r="C13" s="22">
        <v>0.87</v>
      </c>
      <c r="D13" s="22">
        <v>0.36</v>
      </c>
      <c r="E13" s="22">
        <v>0.33</v>
      </c>
      <c r="F13" s="22">
        <v>3</v>
      </c>
      <c r="G13" s="22">
        <v>2</v>
      </c>
      <c r="I13" s="4" t="s">
        <v>216</v>
      </c>
      <c r="J13" s="22">
        <v>-24.67</v>
      </c>
      <c r="K13" s="22">
        <v>-13.82</v>
      </c>
      <c r="L13" s="22">
        <v>-48.61</v>
      </c>
      <c r="M13" s="22">
        <v>-184.71</v>
      </c>
      <c r="N13" s="22">
        <v>-103.3</v>
      </c>
      <c r="O13" s="22">
        <v>-66.900000000000006</v>
      </c>
      <c r="Q13" s="4" t="s">
        <v>252</v>
      </c>
      <c r="R13" s="22">
        <v>1.0249999999999999</v>
      </c>
      <c r="S13" s="22">
        <v>-0.50239999999999996</v>
      </c>
      <c r="T13" s="22">
        <v>-38.428699999999999</v>
      </c>
      <c r="U13" s="22">
        <v>-36.820399999999999</v>
      </c>
      <c r="V13" s="22">
        <v>-73.95</v>
      </c>
      <c r="W13" s="22">
        <v>-87.91</v>
      </c>
      <c r="Y13" s="4" t="s">
        <v>288</v>
      </c>
      <c r="Z13" s="22">
        <v>6.8</v>
      </c>
      <c r="AA13" s="22">
        <v>185.3</v>
      </c>
      <c r="AB13" s="22">
        <v>-75.8</v>
      </c>
      <c r="AC13" s="22">
        <v>-92.3</v>
      </c>
      <c r="AD13" s="22">
        <v>-53.3</v>
      </c>
      <c r="AE13" s="22">
        <v>21.1</v>
      </c>
      <c r="AG13" s="4" t="s">
        <v>213</v>
      </c>
      <c r="AH13" s="22">
        <v>-7.96</v>
      </c>
      <c r="AI13" s="22">
        <v>-5.07</v>
      </c>
      <c r="AJ13" s="22">
        <v>-7.15</v>
      </c>
      <c r="AK13" s="22">
        <v>-14.78</v>
      </c>
      <c r="AL13" s="22">
        <v>-11.48</v>
      </c>
      <c r="AM13" s="22">
        <v>-20.190000000000001</v>
      </c>
      <c r="AO13" s="4" t="s">
        <v>290</v>
      </c>
      <c r="AP13" s="22">
        <v>-0.06</v>
      </c>
      <c r="AQ13" s="22">
        <v>-21.64</v>
      </c>
      <c r="AR13" s="22">
        <v>-0.01</v>
      </c>
      <c r="AS13" s="22">
        <v>0</v>
      </c>
      <c r="AT13" s="22">
        <v>0</v>
      </c>
      <c r="AU13" s="22">
        <v>0</v>
      </c>
    </row>
    <row r="14" spans="1:47" x14ac:dyDescent="0.3">
      <c r="A14" s="4" t="s">
        <v>358</v>
      </c>
      <c r="B14" s="22">
        <v>-44.99</v>
      </c>
      <c r="C14" s="22">
        <v>0</v>
      </c>
      <c r="D14" s="22">
        <v>0</v>
      </c>
      <c r="E14" s="22">
        <v>0</v>
      </c>
      <c r="F14" s="22">
        <v>0</v>
      </c>
      <c r="G14" s="22">
        <v>0</v>
      </c>
      <c r="I14" s="4" t="s">
        <v>217</v>
      </c>
      <c r="J14" s="22">
        <v>-0.04</v>
      </c>
      <c r="K14" s="22">
        <v>-26</v>
      </c>
      <c r="L14" s="22">
        <v>-0.77</v>
      </c>
      <c r="M14" s="22">
        <v>24.03</v>
      </c>
      <c r="N14" s="22">
        <v>227.72</v>
      </c>
      <c r="O14" s="22">
        <v>-133.78</v>
      </c>
      <c r="Q14" s="4" t="s">
        <v>253</v>
      </c>
      <c r="R14" s="22">
        <v>-4.4222999999999999</v>
      </c>
      <c r="S14" s="22">
        <v>1.3554999999999999</v>
      </c>
      <c r="T14" s="22">
        <v>-4.6932</v>
      </c>
      <c r="U14" s="22">
        <v>3.9584000000000001</v>
      </c>
      <c r="V14" s="22">
        <v>-3.59</v>
      </c>
      <c r="W14" s="22">
        <v>-2.38</v>
      </c>
      <c r="Y14" s="4" t="s">
        <v>213</v>
      </c>
      <c r="Z14" s="22">
        <v>-88.8</v>
      </c>
      <c r="AA14" s="22">
        <v>-82.6</v>
      </c>
      <c r="AB14" s="22">
        <v>-96.5</v>
      </c>
      <c r="AC14" s="22">
        <v>-118</v>
      </c>
      <c r="AD14" s="22">
        <v>-227.8</v>
      </c>
      <c r="AE14" s="22">
        <v>-267.7</v>
      </c>
      <c r="AG14" s="21" t="s">
        <v>211</v>
      </c>
      <c r="AH14" s="31"/>
      <c r="AI14" s="31"/>
      <c r="AJ14" s="31"/>
      <c r="AK14" s="31"/>
      <c r="AL14" s="31"/>
      <c r="AM14" s="31"/>
      <c r="AO14" s="4" t="s">
        <v>332</v>
      </c>
      <c r="AP14" s="22">
        <v>-2.41</v>
      </c>
      <c r="AQ14" s="22">
        <v>-0.06</v>
      </c>
      <c r="AR14" s="22">
        <v>-6.37</v>
      </c>
      <c r="AS14" s="22">
        <v>-9.08</v>
      </c>
      <c r="AT14" s="22">
        <v>-18.829999999999998</v>
      </c>
      <c r="AU14" s="22">
        <v>-10.94</v>
      </c>
    </row>
    <row r="15" spans="1:47" x14ac:dyDescent="0.3">
      <c r="A15" s="4" t="s">
        <v>359</v>
      </c>
      <c r="B15" s="22">
        <v>3.25</v>
      </c>
      <c r="C15" s="22">
        <v>5.96</v>
      </c>
      <c r="D15" s="22">
        <v>2.0499999999999998</v>
      </c>
      <c r="E15" s="22">
        <v>1.1299999999999999</v>
      </c>
      <c r="F15" s="22">
        <v>4</v>
      </c>
      <c r="G15" s="22">
        <v>4</v>
      </c>
      <c r="I15" s="4" t="s">
        <v>218</v>
      </c>
      <c r="J15" s="22">
        <v>106.81</v>
      </c>
      <c r="K15" s="22">
        <v>4.3099999999999996</v>
      </c>
      <c r="L15" s="22">
        <v>17.57</v>
      </c>
      <c r="M15" s="22">
        <v>207.05</v>
      </c>
      <c r="N15" s="22">
        <v>-330.11</v>
      </c>
      <c r="O15" s="22">
        <v>-395.81</v>
      </c>
      <c r="Q15" s="4" t="s">
        <v>254</v>
      </c>
      <c r="R15" s="22">
        <v>-1.9378</v>
      </c>
      <c r="S15" s="22">
        <v>3.0445000000000002</v>
      </c>
      <c r="T15" s="22">
        <v>0</v>
      </c>
      <c r="U15" s="22">
        <v>-1.833</v>
      </c>
      <c r="V15" s="22">
        <v>1.82</v>
      </c>
      <c r="W15" s="22">
        <v>0</v>
      </c>
      <c r="Y15" s="4" t="s">
        <v>130</v>
      </c>
      <c r="Z15" s="22">
        <v>98.3</v>
      </c>
      <c r="AA15" s="22">
        <v>97</v>
      </c>
      <c r="AB15" s="22">
        <v>95.8</v>
      </c>
      <c r="AC15" s="22">
        <v>142.80000000000001</v>
      </c>
      <c r="AD15" s="22">
        <v>171.1</v>
      </c>
      <c r="AE15" s="22">
        <v>282.89999999999998</v>
      </c>
      <c r="AG15" s="4" t="s">
        <v>315</v>
      </c>
      <c r="AH15" s="22">
        <v>-177.95</v>
      </c>
      <c r="AI15" s="22">
        <v>65.209999999999994</v>
      </c>
      <c r="AJ15" s="22">
        <f>-109.11-3.95</f>
        <v>-113.06</v>
      </c>
      <c r="AK15" s="22">
        <f>-289.72-19.28</f>
        <v>-309</v>
      </c>
      <c r="AL15" s="22">
        <f>78.32-6.78</f>
        <v>71.539999999999992</v>
      </c>
      <c r="AM15" s="22">
        <f>17.17-51.97</f>
        <v>-34.799999999999997</v>
      </c>
      <c r="AO15" s="4" t="s">
        <v>333</v>
      </c>
      <c r="AP15" s="22">
        <v>-125.92</v>
      </c>
      <c r="AQ15" s="22">
        <v>-52.79</v>
      </c>
      <c r="AR15" s="22">
        <v>-77.22</v>
      </c>
      <c r="AS15" s="22">
        <v>-122.39</v>
      </c>
      <c r="AT15" s="22">
        <v>-69.22</v>
      </c>
      <c r="AU15" s="22">
        <v>-174.27</v>
      </c>
    </row>
    <row r="16" spans="1:47" x14ac:dyDescent="0.3">
      <c r="A16" s="4" t="s">
        <v>360</v>
      </c>
      <c r="B16" s="22">
        <v>-0.05</v>
      </c>
      <c r="C16" s="22">
        <v>-7.0000000000000007E-2</v>
      </c>
      <c r="D16" s="22">
        <v>-0.09</v>
      </c>
      <c r="E16" s="22">
        <v>-0.1</v>
      </c>
      <c r="F16" s="22">
        <v>0</v>
      </c>
      <c r="G16" s="22">
        <v>0</v>
      </c>
      <c r="I16" s="4" t="s">
        <v>219</v>
      </c>
      <c r="J16" s="22">
        <v>-5.22</v>
      </c>
      <c r="K16" s="22">
        <v>-12.28</v>
      </c>
      <c r="L16" s="22">
        <v>-5.98</v>
      </c>
      <c r="M16" s="22">
        <v>-15.07</v>
      </c>
      <c r="N16" s="22">
        <v>10.199999999999999</v>
      </c>
      <c r="O16" s="22">
        <v>-17.14</v>
      </c>
      <c r="Q16" s="4" t="s">
        <v>255</v>
      </c>
      <c r="R16" s="22">
        <v>-9.0158000000000005</v>
      </c>
      <c r="S16" s="22">
        <v>0</v>
      </c>
      <c r="T16" s="22">
        <v>3.7433999999999998</v>
      </c>
      <c r="U16" s="22">
        <v>-1.6649</v>
      </c>
      <c r="V16" s="22">
        <v>-0.48</v>
      </c>
      <c r="W16" s="22">
        <v>5.37</v>
      </c>
      <c r="Y16" s="4" t="s">
        <v>289</v>
      </c>
      <c r="Z16" s="22">
        <v>-0.5</v>
      </c>
      <c r="AA16" s="22">
        <v>58.4</v>
      </c>
      <c r="AB16" s="22">
        <v>59.2</v>
      </c>
      <c r="AC16" s="22">
        <v>39.700000000000003</v>
      </c>
      <c r="AD16" s="22">
        <v>40.700000000000003</v>
      </c>
      <c r="AE16" s="22">
        <v>42.4</v>
      </c>
      <c r="AG16" s="4" t="s">
        <v>27</v>
      </c>
      <c r="AH16" s="22">
        <v>-213.07</v>
      </c>
      <c r="AI16" s="22">
        <v>-532.98</v>
      </c>
      <c r="AJ16" s="22">
        <v>218.88</v>
      </c>
      <c r="AK16" s="22">
        <v>255.71</v>
      </c>
      <c r="AL16" s="22">
        <v>-49.43</v>
      </c>
      <c r="AM16" s="22">
        <v>-262.18</v>
      </c>
      <c r="AO16" s="4" t="s">
        <v>334</v>
      </c>
      <c r="AP16" s="22">
        <v>4.66</v>
      </c>
      <c r="AQ16" s="22">
        <v>3.78</v>
      </c>
      <c r="AR16" s="22">
        <v>0</v>
      </c>
      <c r="AS16" s="22">
        <v>-25.77</v>
      </c>
      <c r="AT16" s="22">
        <v>-221.96</v>
      </c>
      <c r="AU16" s="22">
        <v>-234.55</v>
      </c>
    </row>
    <row r="17" spans="1:47" x14ac:dyDescent="0.3">
      <c r="A17" s="11" t="s">
        <v>182</v>
      </c>
      <c r="B17" s="24">
        <f>SUM(B5,B7:B16)</f>
        <v>1879.47</v>
      </c>
      <c r="C17" s="24">
        <f t="shared" ref="C17:G17" si="0">SUM(C5,C7:C16)</f>
        <v>2855.33</v>
      </c>
      <c r="D17" s="24">
        <f t="shared" si="0"/>
        <v>3923.23</v>
      </c>
      <c r="E17" s="24">
        <f t="shared" si="0"/>
        <v>2513.5699999999997</v>
      </c>
      <c r="F17" s="24">
        <f t="shared" si="0"/>
        <v>2244</v>
      </c>
      <c r="G17" s="24">
        <f t="shared" si="0"/>
        <v>3031</v>
      </c>
      <c r="I17" s="4" t="s">
        <v>220</v>
      </c>
      <c r="J17" s="22">
        <v>22.77</v>
      </c>
      <c r="K17" s="22">
        <v>321.52</v>
      </c>
      <c r="L17" s="22">
        <v>-17.2</v>
      </c>
      <c r="M17" s="22">
        <v>336.81</v>
      </c>
      <c r="N17" s="22">
        <f>90.59-29.21-249.92</f>
        <v>-188.54</v>
      </c>
      <c r="O17" s="22">
        <f>180.83-5.62-336.67</f>
        <v>-161.46</v>
      </c>
      <c r="Q17" s="4" t="s">
        <v>256</v>
      </c>
      <c r="R17" s="22">
        <v>0.61219999999999997</v>
      </c>
      <c r="S17" s="22">
        <v>0.55349999999999999</v>
      </c>
      <c r="T17" s="22">
        <v>5.7629000000000001</v>
      </c>
      <c r="U17" s="22">
        <v>4.7077</v>
      </c>
      <c r="V17" s="22">
        <v>4.6900000000000004</v>
      </c>
      <c r="W17" s="22">
        <v>4.3499999999999996</v>
      </c>
      <c r="Y17" s="4" t="s">
        <v>290</v>
      </c>
      <c r="Z17" s="22">
        <f>15.4+3.6</f>
        <v>19</v>
      </c>
      <c r="AA17" s="22">
        <v>0</v>
      </c>
      <c r="AB17" s="22">
        <v>0</v>
      </c>
      <c r="AC17" s="22">
        <v>486.9</v>
      </c>
      <c r="AD17" s="22">
        <v>356.3</v>
      </c>
      <c r="AE17" s="22">
        <v>522</v>
      </c>
      <c r="AG17" s="4" t="s">
        <v>316</v>
      </c>
      <c r="AH17" s="22">
        <v>5.19</v>
      </c>
      <c r="AI17" s="22">
        <v>129.52000000000001</v>
      </c>
      <c r="AJ17" s="22">
        <f>-392.37-65.3</f>
        <v>-457.67</v>
      </c>
      <c r="AK17" s="22">
        <f>-58.02+93.11</f>
        <v>35.089999999999996</v>
      </c>
      <c r="AL17" s="22">
        <f>413.55-17.58</f>
        <v>395.97</v>
      </c>
      <c r="AM17" s="22">
        <f>-277.73+93.78</f>
        <v>-183.95000000000002</v>
      </c>
      <c r="AO17" s="4" t="s">
        <v>335</v>
      </c>
      <c r="AP17" s="22">
        <v>25.18</v>
      </c>
      <c r="AQ17" s="22">
        <v>-12.08</v>
      </c>
      <c r="AR17" s="22">
        <v>-2.02</v>
      </c>
      <c r="AS17" s="22">
        <v>-20.68</v>
      </c>
      <c r="AT17" s="22">
        <v>-3.49</v>
      </c>
      <c r="AU17" s="22">
        <v>5.0599999999999996</v>
      </c>
    </row>
    <row r="18" spans="1:47" x14ac:dyDescent="0.3">
      <c r="A18" s="16" t="s">
        <v>176</v>
      </c>
      <c r="B18" s="44"/>
      <c r="C18" s="44"/>
      <c r="D18" s="44"/>
      <c r="E18" s="44"/>
      <c r="F18" s="44"/>
      <c r="G18" s="44"/>
      <c r="I18" s="11" t="s">
        <v>221</v>
      </c>
      <c r="J18" s="24">
        <f>SUM(J5,J7:J17)</f>
        <v>7002.1300000000019</v>
      </c>
      <c r="K18" s="24">
        <f t="shared" ref="K18:O18" si="1">SUM(K5,K7:K17)</f>
        <v>4609.09</v>
      </c>
      <c r="L18" s="24">
        <f>SUM(L5,L7:L17)</f>
        <v>6816.27</v>
      </c>
      <c r="M18" s="24">
        <f t="shared" si="1"/>
        <v>12130.989999999998</v>
      </c>
      <c r="N18" s="24">
        <f t="shared" si="1"/>
        <v>12642.289999999997</v>
      </c>
      <c r="O18" s="24">
        <f t="shared" si="1"/>
        <v>14872.49</v>
      </c>
      <c r="Q18" s="4" t="s">
        <v>257</v>
      </c>
      <c r="R18" s="22">
        <v>0</v>
      </c>
      <c r="S18" s="22">
        <v>-7.7123999999999997</v>
      </c>
      <c r="T18" s="22">
        <v>-2E-3</v>
      </c>
      <c r="U18" s="22">
        <v>0</v>
      </c>
      <c r="V18" s="22">
        <v>0</v>
      </c>
      <c r="W18" s="22">
        <v>-2.76</v>
      </c>
      <c r="Y18" s="11" t="s">
        <v>221</v>
      </c>
      <c r="Z18" s="24">
        <f>SUM(Z5,Z7:Z17)</f>
        <v>4448.2000000000007</v>
      </c>
      <c r="AA18" s="24">
        <f t="shared" ref="AA18:AE18" si="2">SUM(AA5,AA7:AA17)</f>
        <v>4970.7</v>
      </c>
      <c r="AB18" s="24">
        <f t="shared" si="2"/>
        <v>4936.8</v>
      </c>
      <c r="AC18" s="24">
        <f t="shared" si="2"/>
        <v>7744.3999999999987</v>
      </c>
      <c r="AD18" s="24">
        <f t="shared" si="2"/>
        <v>8566.1999999999989</v>
      </c>
      <c r="AE18" s="24">
        <f t="shared" si="2"/>
        <v>9640.9999999999982</v>
      </c>
      <c r="AG18" s="11" t="s">
        <v>193</v>
      </c>
      <c r="AH18" s="24">
        <f>SUM(AH5,AH7:AH13,AH15:AH17)</f>
        <v>1676.9499999999998</v>
      </c>
      <c r="AI18" s="24">
        <f t="shared" ref="AI18:AM18" si="3">SUM(AI5,AI7:AI13,AI15:AI17)</f>
        <v>2186.19</v>
      </c>
      <c r="AJ18" s="24">
        <f t="shared" si="3"/>
        <v>2224.0100000000002</v>
      </c>
      <c r="AK18" s="24">
        <f t="shared" si="3"/>
        <v>2766.2</v>
      </c>
      <c r="AL18" s="24">
        <f t="shared" si="3"/>
        <v>3764.1800000000003</v>
      </c>
      <c r="AM18" s="24">
        <f t="shared" si="3"/>
        <v>3187.93</v>
      </c>
      <c r="AO18" s="4" t="s">
        <v>336</v>
      </c>
      <c r="AP18" s="22">
        <v>-2.62</v>
      </c>
      <c r="AQ18" s="22">
        <v>-3.01</v>
      </c>
      <c r="AR18" s="22">
        <v>-8.68</v>
      </c>
      <c r="AS18" s="22">
        <v>-1.58</v>
      </c>
      <c r="AT18" s="22">
        <v>-0.93</v>
      </c>
      <c r="AU18" s="22">
        <v>0</v>
      </c>
    </row>
    <row r="19" spans="1:47" x14ac:dyDescent="0.3">
      <c r="A19" s="4" t="s">
        <v>183</v>
      </c>
      <c r="B19" s="22">
        <v>-206.7</v>
      </c>
      <c r="C19" s="22">
        <v>-265.39999999999998</v>
      </c>
      <c r="D19" s="22">
        <v>-741.62</v>
      </c>
      <c r="E19" s="22">
        <v>650.41</v>
      </c>
      <c r="F19" s="22">
        <v>-361</v>
      </c>
      <c r="G19" s="22">
        <v>-582</v>
      </c>
      <c r="I19" s="16" t="s">
        <v>211</v>
      </c>
      <c r="J19" s="44"/>
      <c r="K19" s="44"/>
      <c r="L19" s="44"/>
      <c r="M19" s="44"/>
      <c r="N19" s="44"/>
      <c r="O19" s="44"/>
      <c r="Q19" s="4" t="s">
        <v>258</v>
      </c>
      <c r="R19" s="22">
        <v>0.74260000000000004</v>
      </c>
      <c r="S19" s="22">
        <v>0.2006</v>
      </c>
      <c r="T19" s="22">
        <v>4.9157000000000002</v>
      </c>
      <c r="U19" s="22">
        <v>4.6390000000000002</v>
      </c>
      <c r="V19" s="22">
        <v>5.95</v>
      </c>
      <c r="W19" s="22">
        <v>5</v>
      </c>
      <c r="Y19" s="16" t="s">
        <v>211</v>
      </c>
      <c r="AA19" s="44"/>
      <c r="AB19" s="44"/>
      <c r="AC19" s="44"/>
      <c r="AD19" s="44"/>
      <c r="AE19" s="44"/>
      <c r="AG19" s="4" t="s">
        <v>194</v>
      </c>
      <c r="AH19" s="22">
        <v>-284.04000000000002</v>
      </c>
      <c r="AI19" s="22">
        <v>-175.5</v>
      </c>
      <c r="AJ19" s="22">
        <v>-421.02</v>
      </c>
      <c r="AK19" s="22">
        <v>-398.07</v>
      </c>
      <c r="AL19" s="22">
        <v>-498.1</v>
      </c>
      <c r="AM19" s="22">
        <v>-602.82000000000005</v>
      </c>
      <c r="AO19" s="4" t="s">
        <v>337</v>
      </c>
      <c r="AP19" s="22">
        <v>-9.4600000000000009</v>
      </c>
      <c r="AQ19" s="22">
        <v>-14.77</v>
      </c>
      <c r="AR19" s="22">
        <v>-11.36</v>
      </c>
      <c r="AS19" s="22">
        <v>-7.88</v>
      </c>
      <c r="AT19" s="22">
        <v>-12.97</v>
      </c>
      <c r="AU19" s="22">
        <v>-14.54</v>
      </c>
    </row>
    <row r="20" spans="1:47" x14ac:dyDescent="0.3">
      <c r="A20" s="4" t="s">
        <v>184</v>
      </c>
      <c r="B20" s="22">
        <v>-91.52</v>
      </c>
      <c r="C20" s="22">
        <v>-281.37</v>
      </c>
      <c r="D20" s="22">
        <v>-683.39</v>
      </c>
      <c r="E20" s="22">
        <v>-171.79</v>
      </c>
      <c r="F20" s="22">
        <v>-184</v>
      </c>
      <c r="G20" s="22">
        <v>-52</v>
      </c>
      <c r="I20" s="4" t="s">
        <v>184</v>
      </c>
      <c r="J20" s="22">
        <v>256.77</v>
      </c>
      <c r="K20" s="22">
        <v>-1080.29</v>
      </c>
      <c r="L20" s="22">
        <v>306.95</v>
      </c>
      <c r="M20" s="22">
        <v>-1202.2</v>
      </c>
      <c r="N20" s="22">
        <v>598.80999999999995</v>
      </c>
      <c r="O20" s="22">
        <v>-183.97</v>
      </c>
      <c r="Q20" s="4" t="s">
        <v>259</v>
      </c>
      <c r="R20" s="22">
        <v>5.1752000000000002</v>
      </c>
      <c r="S20" s="22">
        <v>1.4924999999999999</v>
      </c>
      <c r="T20" s="22">
        <v>-8.5265000000000004</v>
      </c>
      <c r="U20" s="22">
        <v>-4.1534000000000004</v>
      </c>
      <c r="V20" s="22">
        <v>-2.48</v>
      </c>
      <c r="W20" s="22">
        <v>-0.81</v>
      </c>
      <c r="Y20" s="4" t="s">
        <v>291</v>
      </c>
      <c r="Z20" s="78">
        <v>-1244.5999999999999</v>
      </c>
      <c r="AA20" s="22">
        <v>208.1</v>
      </c>
      <c r="AB20" s="22">
        <v>-1701.2</v>
      </c>
      <c r="AC20" s="22">
        <v>-575.20000000000005</v>
      </c>
      <c r="AD20" s="22">
        <v>-805.4</v>
      </c>
      <c r="AE20" s="22">
        <v>-1028.3</v>
      </c>
      <c r="AG20" s="11" t="s">
        <v>317</v>
      </c>
      <c r="AH20" s="24">
        <f>AH18+AH19</f>
        <v>1392.9099999999999</v>
      </c>
      <c r="AI20" s="24">
        <f t="shared" ref="AI20:AM20" si="4">AI18+AI19</f>
        <v>2010.69</v>
      </c>
      <c r="AJ20" s="24">
        <f t="shared" si="4"/>
        <v>1802.9900000000002</v>
      </c>
      <c r="AK20" s="24">
        <f t="shared" si="4"/>
        <v>2368.1299999999997</v>
      </c>
      <c r="AL20" s="24">
        <f t="shared" si="4"/>
        <v>3266.0800000000004</v>
      </c>
      <c r="AM20" s="24">
        <f t="shared" si="4"/>
        <v>2585.1099999999997</v>
      </c>
      <c r="AO20" s="11" t="s">
        <v>221</v>
      </c>
      <c r="AP20" s="24">
        <f>SUM(AP5:AP19)</f>
        <v>3543.7099999999996</v>
      </c>
      <c r="AQ20" s="24">
        <f t="shared" ref="AQ20:AU20" si="5">SUM(AQ5:AQ19)</f>
        <v>4420.9699999999975</v>
      </c>
      <c r="AR20" s="24">
        <f t="shared" si="5"/>
        <v>4642.8599999999997</v>
      </c>
      <c r="AS20" s="24">
        <f t="shared" si="5"/>
        <v>5098.9599999999991</v>
      </c>
      <c r="AT20" s="24">
        <f t="shared" si="5"/>
        <v>6537.4899999999989</v>
      </c>
      <c r="AU20" s="24">
        <f t="shared" si="5"/>
        <v>7338.5500000000011</v>
      </c>
    </row>
    <row r="21" spans="1:47" x14ac:dyDescent="0.3">
      <c r="A21" s="4" t="s">
        <v>187</v>
      </c>
      <c r="B21" s="22">
        <v>-0.08</v>
      </c>
      <c r="C21" s="22">
        <v>-2.3199999999999998</v>
      </c>
      <c r="D21" s="22">
        <v>34.270000000000003</v>
      </c>
      <c r="E21" s="22">
        <v>-34.06</v>
      </c>
      <c r="F21" s="22">
        <v>-7</v>
      </c>
      <c r="G21" s="22">
        <v>0</v>
      </c>
      <c r="I21" s="4" t="s">
        <v>222</v>
      </c>
      <c r="J21" s="22">
        <v>-374.05</v>
      </c>
      <c r="K21" s="22">
        <v>93.73</v>
      </c>
      <c r="L21" s="22">
        <v>-1342.26</v>
      </c>
      <c r="M21" s="22">
        <v>-953.17</v>
      </c>
      <c r="N21" s="22">
        <v>352.89</v>
      </c>
      <c r="O21" s="22">
        <v>-1602.05</v>
      </c>
      <c r="Q21" s="4" t="s">
        <v>157</v>
      </c>
      <c r="R21" s="22">
        <v>90.579899999999995</v>
      </c>
      <c r="S21" s="22">
        <v>0</v>
      </c>
      <c r="T21" s="22">
        <v>6.6273999999999997</v>
      </c>
      <c r="U21" s="22">
        <v>9.1503999999999994</v>
      </c>
      <c r="V21" s="22">
        <v>7.96</v>
      </c>
      <c r="W21" s="22">
        <v>8.61</v>
      </c>
      <c r="Y21" s="4" t="s">
        <v>27</v>
      </c>
      <c r="Z21" s="22">
        <v>-148.69999999999999</v>
      </c>
      <c r="AA21" s="22">
        <v>-988.1</v>
      </c>
      <c r="AB21" s="22">
        <v>-532.79999999999995</v>
      </c>
      <c r="AC21" s="22">
        <v>-265.39999999999998</v>
      </c>
      <c r="AD21" s="22">
        <v>-1844.5</v>
      </c>
      <c r="AE21" s="22">
        <v>-1275.3</v>
      </c>
      <c r="AG21" s="16" t="s">
        <v>196</v>
      </c>
      <c r="AH21" s="44"/>
      <c r="AI21" s="44"/>
      <c r="AJ21" s="44"/>
      <c r="AK21" s="44"/>
      <c r="AL21" s="44"/>
      <c r="AM21" s="44"/>
      <c r="AO21" s="16" t="s">
        <v>211</v>
      </c>
      <c r="AP21" s="44"/>
      <c r="AQ21" s="44"/>
      <c r="AR21" s="44"/>
      <c r="AS21" s="44"/>
      <c r="AT21" s="44"/>
      <c r="AU21" s="44"/>
    </row>
    <row r="22" spans="1:47" x14ac:dyDescent="0.3">
      <c r="A22" s="4" t="s">
        <v>186</v>
      </c>
      <c r="B22" s="22">
        <v>0</v>
      </c>
      <c r="C22" s="22">
        <v>-1.45</v>
      </c>
      <c r="D22" s="22">
        <v>1.25</v>
      </c>
      <c r="E22" s="22">
        <v>4.5</v>
      </c>
      <c r="F22" s="22">
        <v>-5</v>
      </c>
      <c r="G22" s="22">
        <v>-6</v>
      </c>
      <c r="I22" s="4" t="s">
        <v>223</v>
      </c>
      <c r="J22" s="22">
        <v>-175.19</v>
      </c>
      <c r="K22" s="22">
        <v>116.62</v>
      </c>
      <c r="L22" s="22">
        <v>14.11</v>
      </c>
      <c r="M22" s="22">
        <v>-215.81</v>
      </c>
      <c r="N22" s="22">
        <v>-383.9</v>
      </c>
      <c r="O22" s="22">
        <v>-59.32</v>
      </c>
      <c r="Q22" s="4" t="s">
        <v>158</v>
      </c>
      <c r="R22" s="22">
        <v>0</v>
      </c>
      <c r="S22" s="22">
        <v>17.710599999999999</v>
      </c>
      <c r="T22" s="22">
        <v>3.0261</v>
      </c>
      <c r="U22" s="22">
        <v>1.9352</v>
      </c>
      <c r="V22" s="22">
        <v>4</v>
      </c>
      <c r="W22" s="22">
        <v>0</v>
      </c>
      <c r="Y22" s="4" t="s">
        <v>292</v>
      </c>
      <c r="Z22" s="22">
        <v>157.6</v>
      </c>
      <c r="AA22" s="22">
        <v>286.10000000000002</v>
      </c>
      <c r="AB22" s="22">
        <v>441.2</v>
      </c>
      <c r="AC22" s="22">
        <v>2.2999999999999998</v>
      </c>
      <c r="AD22" s="22">
        <v>346</v>
      </c>
      <c r="AE22" s="22">
        <v>34</v>
      </c>
      <c r="AG22" s="4" t="s">
        <v>269</v>
      </c>
      <c r="AH22" s="22">
        <v>-406.78</v>
      </c>
      <c r="AI22" s="22">
        <v>-335.15</v>
      </c>
      <c r="AJ22" s="22">
        <v>0</v>
      </c>
      <c r="AK22" s="22">
        <v>-2000</v>
      </c>
      <c r="AL22" s="22">
        <v>-432.78</v>
      </c>
      <c r="AM22" s="22">
        <v>-611.87</v>
      </c>
      <c r="AO22" s="4" t="s">
        <v>338</v>
      </c>
      <c r="AP22" s="22">
        <v>-331.55</v>
      </c>
      <c r="AQ22" s="22">
        <v>-254.32</v>
      </c>
      <c r="AR22" s="22">
        <v>-621.11</v>
      </c>
      <c r="AS22" s="22">
        <v>110.77</v>
      </c>
      <c r="AT22" s="22">
        <v>-61.86</v>
      </c>
      <c r="AU22" s="22">
        <v>-322.54000000000002</v>
      </c>
    </row>
    <row r="23" spans="1:47" x14ac:dyDescent="0.3">
      <c r="A23" s="4" t="s">
        <v>188</v>
      </c>
      <c r="B23" s="22">
        <v>-2.54</v>
      </c>
      <c r="C23" s="22">
        <v>-5.58</v>
      </c>
      <c r="D23" s="22">
        <v>-0.88</v>
      </c>
      <c r="E23" s="22">
        <v>6.66</v>
      </c>
      <c r="F23" s="22">
        <v>-1</v>
      </c>
      <c r="G23" s="22">
        <v>-9</v>
      </c>
      <c r="I23" s="4" t="s">
        <v>190</v>
      </c>
      <c r="J23" s="22">
        <v>-210.11</v>
      </c>
      <c r="K23" s="22">
        <v>381.46</v>
      </c>
      <c r="L23" s="22">
        <v>369.92</v>
      </c>
      <c r="M23" s="22">
        <v>1182.3699999999999</v>
      </c>
      <c r="N23" s="22">
        <v>249.72</v>
      </c>
      <c r="O23" s="22">
        <v>527.97</v>
      </c>
      <c r="Q23" s="4" t="s">
        <v>260</v>
      </c>
      <c r="R23" s="22">
        <v>-12.895099999999999</v>
      </c>
      <c r="S23" s="22">
        <v>-38.302399999999999</v>
      </c>
      <c r="T23" s="22">
        <v>-8</v>
      </c>
      <c r="U23" s="22">
        <v>0</v>
      </c>
      <c r="V23" s="22">
        <v>23.19</v>
      </c>
      <c r="W23" s="22">
        <v>26.64</v>
      </c>
      <c r="Y23" s="4" t="s">
        <v>293</v>
      </c>
      <c r="Z23" s="22">
        <v>482.1</v>
      </c>
      <c r="AA23" s="22">
        <v>-334.9</v>
      </c>
      <c r="AB23" s="22">
        <v>411.05</v>
      </c>
      <c r="AC23" s="22">
        <v>52.8</v>
      </c>
      <c r="AD23" s="22">
        <v>285.7</v>
      </c>
      <c r="AE23" s="22">
        <v>-729.3</v>
      </c>
      <c r="AG23" s="4" t="s">
        <v>198</v>
      </c>
      <c r="AH23" s="22">
        <v>3.95</v>
      </c>
      <c r="AI23" s="22">
        <v>1.1299999999999999</v>
      </c>
      <c r="AJ23" s="22">
        <v>-202.57</v>
      </c>
      <c r="AK23" s="22">
        <v>-573.94000000000005</v>
      </c>
      <c r="AL23" s="22">
        <v>133.66</v>
      </c>
      <c r="AM23" s="22">
        <v>17.77</v>
      </c>
      <c r="AO23" s="4" t="s">
        <v>339</v>
      </c>
      <c r="AP23" s="22">
        <v>217.26</v>
      </c>
      <c r="AQ23" s="22">
        <v>422.93</v>
      </c>
      <c r="AR23" s="22">
        <v>81.36</v>
      </c>
      <c r="AS23" s="22">
        <v>-651.98</v>
      </c>
      <c r="AT23" s="22">
        <v>-906.95</v>
      </c>
      <c r="AU23" s="22">
        <v>-801.87</v>
      </c>
    </row>
    <row r="24" spans="1:47" x14ac:dyDescent="0.3">
      <c r="A24" s="4" t="s">
        <v>185</v>
      </c>
      <c r="B24" s="22">
        <v>-25.39</v>
      </c>
      <c r="C24" s="22">
        <v>72.42</v>
      </c>
      <c r="D24" s="22">
        <f>4.58-64.36</f>
        <v>-59.78</v>
      </c>
      <c r="E24" s="22">
        <f>-1.18+15.78</f>
        <v>14.6</v>
      </c>
      <c r="F24" s="22">
        <v>-119</v>
      </c>
      <c r="G24" s="22">
        <v>-50</v>
      </c>
      <c r="I24" s="4" t="s">
        <v>224</v>
      </c>
      <c r="J24" s="22">
        <v>312.42</v>
      </c>
      <c r="K24" s="22">
        <v>2498.35</v>
      </c>
      <c r="L24" s="22">
        <v>-2333.35</v>
      </c>
      <c r="M24" s="22">
        <v>-669.15</v>
      </c>
      <c r="N24" s="22">
        <v>240.92</v>
      </c>
      <c r="O24" s="22">
        <v>182.03</v>
      </c>
      <c r="Q24" s="4" t="s">
        <v>130</v>
      </c>
      <c r="R24" s="22">
        <v>14.1226</v>
      </c>
      <c r="S24" s="22">
        <v>16.445900000000002</v>
      </c>
      <c r="T24" s="22">
        <v>-17.513000000000002</v>
      </c>
      <c r="U24" s="22">
        <v>0</v>
      </c>
      <c r="V24" s="22">
        <v>-40.049999999999997</v>
      </c>
      <c r="W24" s="22">
        <v>-67.91</v>
      </c>
      <c r="Y24" s="11" t="s">
        <v>193</v>
      </c>
      <c r="Z24" s="24">
        <f>SUM(Z18,Z20:Z23)</f>
        <v>3694.6000000000008</v>
      </c>
      <c r="AA24" s="24">
        <f t="shared" ref="AA24:AE24" si="6">SUM(AA18,AA20:AA23)</f>
        <v>4141.9000000000005</v>
      </c>
      <c r="AB24" s="24">
        <f t="shared" si="6"/>
        <v>3555.05</v>
      </c>
      <c r="AC24" s="24">
        <f t="shared" si="6"/>
        <v>6958.9</v>
      </c>
      <c r="AD24" s="24">
        <f t="shared" si="6"/>
        <v>6547.9999999999991</v>
      </c>
      <c r="AE24" s="24">
        <f t="shared" si="6"/>
        <v>6642.0999999999985</v>
      </c>
      <c r="AG24" s="4" t="s">
        <v>318</v>
      </c>
      <c r="AH24" s="22">
        <v>0</v>
      </c>
      <c r="AI24" s="22">
        <v>-40</v>
      </c>
      <c r="AJ24" s="22">
        <v>6.79</v>
      </c>
      <c r="AK24" s="22">
        <v>158.71</v>
      </c>
      <c r="AL24" s="22">
        <v>0</v>
      </c>
      <c r="AM24" s="22">
        <v>0.06</v>
      </c>
      <c r="AO24" s="4" t="s">
        <v>340</v>
      </c>
      <c r="AP24" s="22">
        <v>487.28</v>
      </c>
      <c r="AQ24" s="22">
        <v>203.05</v>
      </c>
      <c r="AR24" s="22">
        <v>362.29</v>
      </c>
      <c r="AS24" s="22">
        <v>-18.21</v>
      </c>
      <c r="AT24" s="22">
        <v>162.71</v>
      </c>
      <c r="AU24" s="22">
        <v>458.94</v>
      </c>
    </row>
    <row r="25" spans="1:47" x14ac:dyDescent="0.3">
      <c r="A25" s="4" t="s">
        <v>189</v>
      </c>
      <c r="B25" s="22">
        <f>8.7-6.8</f>
        <v>1.8999999999999995</v>
      </c>
      <c r="C25" s="22">
        <f>4.98+0.05</f>
        <v>5.03</v>
      </c>
      <c r="D25" s="22">
        <f>4.81+1.64</f>
        <v>6.4499999999999993</v>
      </c>
      <c r="E25" s="22">
        <f>7.5+0.77</f>
        <v>8.27</v>
      </c>
      <c r="F25" s="22">
        <v>6</v>
      </c>
      <c r="G25" s="22">
        <v>7</v>
      </c>
      <c r="I25" s="4" t="s">
        <v>225</v>
      </c>
      <c r="J25" s="22">
        <v>1088.71</v>
      </c>
      <c r="K25" s="22">
        <v>554.22</v>
      </c>
      <c r="L25" s="22">
        <v>4543.68</v>
      </c>
      <c r="M25" s="22">
        <v>-3803.86</v>
      </c>
      <c r="N25" s="22">
        <v>3.69</v>
      </c>
      <c r="O25" s="22">
        <v>811.78</v>
      </c>
      <c r="Q25" s="4" t="s">
        <v>261</v>
      </c>
      <c r="R25" s="22">
        <v>7.5953999999999997</v>
      </c>
      <c r="S25" s="22">
        <v>3.3744000000000001</v>
      </c>
      <c r="T25" s="22">
        <v>0</v>
      </c>
      <c r="U25" s="22">
        <v>-0.59099999999999997</v>
      </c>
      <c r="V25" s="22">
        <v>24.82</v>
      </c>
      <c r="W25" s="22">
        <v>403.99</v>
      </c>
      <c r="Y25" s="4" t="s">
        <v>194</v>
      </c>
      <c r="Z25" s="22">
        <v>-710.5</v>
      </c>
      <c r="AA25" s="22">
        <v>-571.6</v>
      </c>
      <c r="AB25" s="22">
        <v>-743.7</v>
      </c>
      <c r="AC25" s="22">
        <v>-1071.4000000000001</v>
      </c>
      <c r="AD25" s="22">
        <v>-2004.7</v>
      </c>
      <c r="AE25" s="22">
        <v>-1999.3</v>
      </c>
      <c r="AG25" s="4" t="s">
        <v>319</v>
      </c>
      <c r="AH25" s="22">
        <v>380.5</v>
      </c>
      <c r="AI25" s="22">
        <v>-123.45</v>
      </c>
      <c r="AJ25" s="22">
        <v>-34.79</v>
      </c>
      <c r="AK25" s="22">
        <v>47.4</v>
      </c>
      <c r="AL25" s="22">
        <v>0</v>
      </c>
      <c r="AM25" s="22">
        <v>-10</v>
      </c>
      <c r="AO25" s="11" t="s">
        <v>193</v>
      </c>
      <c r="AP25" s="24">
        <f>SUM(AP20,AP22:AP24)</f>
        <v>3916.6999999999989</v>
      </c>
      <c r="AQ25" s="24">
        <f t="shared" ref="AQ25:AU25" si="7">SUM(AQ20,AQ22:AQ24)</f>
        <v>4792.6299999999983</v>
      </c>
      <c r="AR25" s="24">
        <f t="shared" si="7"/>
        <v>4465.3999999999996</v>
      </c>
      <c r="AS25" s="24">
        <f t="shared" si="7"/>
        <v>4539.54</v>
      </c>
      <c r="AT25" s="24">
        <f t="shared" si="7"/>
        <v>5731.3899999999994</v>
      </c>
      <c r="AU25" s="24">
        <f t="shared" si="7"/>
        <v>6673.0800000000008</v>
      </c>
    </row>
    <row r="26" spans="1:47" x14ac:dyDescent="0.3">
      <c r="A26" s="4" t="s">
        <v>190</v>
      </c>
      <c r="B26" s="22">
        <v>93.85</v>
      </c>
      <c r="C26" s="22">
        <v>174.8</v>
      </c>
      <c r="D26" s="22">
        <v>0</v>
      </c>
      <c r="E26" s="22">
        <v>0</v>
      </c>
      <c r="F26" s="22">
        <v>62</v>
      </c>
      <c r="G26" s="22">
        <v>95</v>
      </c>
      <c r="I26" s="11" t="s">
        <v>193</v>
      </c>
      <c r="J26" s="24">
        <f>SUM(J18,J20:J25)</f>
        <v>7900.6800000000021</v>
      </c>
      <c r="K26" s="24">
        <f t="shared" ref="K26:O26" si="8">SUM(K18,K20:K25)</f>
        <v>7173.1799999999994</v>
      </c>
      <c r="L26" s="24">
        <f t="shared" si="8"/>
        <v>8375.32</v>
      </c>
      <c r="M26" s="24">
        <f t="shared" si="8"/>
        <v>6469.1699999999964</v>
      </c>
      <c r="N26" s="24">
        <f t="shared" si="8"/>
        <v>13704.419999999996</v>
      </c>
      <c r="O26" s="24">
        <f t="shared" si="8"/>
        <v>14548.930000000002</v>
      </c>
      <c r="Q26" s="4" t="s">
        <v>262</v>
      </c>
      <c r="R26" s="22">
        <v>0.25380000000000003</v>
      </c>
      <c r="S26" s="22">
        <v>0.3271</v>
      </c>
      <c r="T26" s="22">
        <v>-12.923400000000001</v>
      </c>
      <c r="U26" s="22">
        <v>-12.763999999999999</v>
      </c>
      <c r="V26" s="22">
        <f>7.37+0.78</f>
        <v>8.15</v>
      </c>
      <c r="W26" s="22">
        <f>23.97+1.43</f>
        <v>25.4</v>
      </c>
      <c r="Y26" s="11" t="s">
        <v>294</v>
      </c>
      <c r="Z26" s="24">
        <f>Z24+Z25</f>
        <v>2984.1000000000008</v>
      </c>
      <c r="AA26" s="24">
        <f t="shared" ref="AA26:AE26" si="9">AA24+AA25</f>
        <v>3570.3000000000006</v>
      </c>
      <c r="AB26" s="24">
        <f t="shared" si="9"/>
        <v>2811.3500000000004</v>
      </c>
      <c r="AC26" s="24">
        <f t="shared" si="9"/>
        <v>5887.5</v>
      </c>
      <c r="AD26" s="24">
        <f t="shared" si="9"/>
        <v>4543.2999999999993</v>
      </c>
      <c r="AE26" s="24">
        <f t="shared" si="9"/>
        <v>4642.7999999999984</v>
      </c>
      <c r="AG26" s="4" t="s">
        <v>320</v>
      </c>
      <c r="AH26" s="22">
        <v>204.08</v>
      </c>
      <c r="AI26" s="22">
        <v>42.8</v>
      </c>
      <c r="AJ26" s="22">
        <v>26.7</v>
      </c>
      <c r="AK26" s="22">
        <v>-60.38</v>
      </c>
      <c r="AL26" s="22">
        <f>33.09+85.01</f>
        <v>118.10000000000001</v>
      </c>
      <c r="AM26" s="22">
        <f>45.48-1.75</f>
        <v>43.73</v>
      </c>
      <c r="AO26" s="4" t="s">
        <v>194</v>
      </c>
      <c r="AP26" s="22">
        <v>-848.25</v>
      </c>
      <c r="AQ26" s="22">
        <v>-1037.43</v>
      </c>
      <c r="AR26" s="22">
        <v>-1139.5</v>
      </c>
      <c r="AS26" s="22">
        <v>-1301.8900000000001</v>
      </c>
      <c r="AT26" s="22">
        <v>-1597.48</v>
      </c>
      <c r="AU26" s="22">
        <v>-1668.1</v>
      </c>
    </row>
    <row r="27" spans="1:47" x14ac:dyDescent="0.3">
      <c r="A27" s="4" t="s">
        <v>191</v>
      </c>
      <c r="B27" s="22">
        <f>0.02+10.37</f>
        <v>10.389999999999999</v>
      </c>
      <c r="C27" s="22">
        <f>0.09-29.01</f>
        <v>-28.92</v>
      </c>
      <c r="D27" s="22">
        <v>2.84</v>
      </c>
      <c r="E27" s="22">
        <v>-0.83</v>
      </c>
      <c r="F27" s="22">
        <v>-5</v>
      </c>
      <c r="G27" s="22">
        <v>0</v>
      </c>
      <c r="I27" s="4" t="s">
        <v>194</v>
      </c>
      <c r="J27" s="22">
        <v>-1345.91</v>
      </c>
      <c r="K27" s="22">
        <v>-1002.94</v>
      </c>
      <c r="L27" s="22">
        <v>969.22</v>
      </c>
      <c r="M27" s="22">
        <v>-1509.84</v>
      </c>
      <c r="N27" s="22">
        <v>-1569.44</v>
      </c>
      <c r="O27" s="22">
        <v>-476.84</v>
      </c>
      <c r="Q27" s="4" t="s">
        <v>263</v>
      </c>
      <c r="R27" s="22">
        <v>3.3999999999999998E-3</v>
      </c>
      <c r="S27" s="22">
        <v>0</v>
      </c>
      <c r="T27" s="22">
        <f>18.5585+2.7827+10.2614+0.4795</f>
        <v>32.082100000000004</v>
      </c>
      <c r="U27" s="22">
        <f>40.243+3.7768+0.4492+5+3.8524</f>
        <v>53.321400000000004</v>
      </c>
      <c r="V27" s="22">
        <v>4.47</v>
      </c>
      <c r="W27" s="22">
        <v>0</v>
      </c>
      <c r="Y27" s="16" t="s">
        <v>196</v>
      </c>
      <c r="Z27" s="25"/>
      <c r="AA27" s="25"/>
      <c r="AB27" s="25"/>
      <c r="AC27" s="25"/>
      <c r="AD27" s="25"/>
      <c r="AE27" s="25"/>
      <c r="AG27" s="4" t="s">
        <v>199</v>
      </c>
      <c r="AH27" s="22">
        <v>16.86</v>
      </c>
      <c r="AI27" s="22">
        <v>5.25</v>
      </c>
      <c r="AJ27" s="22">
        <v>7.24</v>
      </c>
      <c r="AK27" s="22">
        <v>12.9</v>
      </c>
      <c r="AL27" s="22">
        <v>13.12</v>
      </c>
      <c r="AM27" s="22">
        <v>20.260000000000002</v>
      </c>
      <c r="AO27" s="11" t="s">
        <v>317</v>
      </c>
      <c r="AP27" s="24">
        <f>AP25+AP26</f>
        <v>3068.4499999999989</v>
      </c>
      <c r="AQ27" s="24">
        <f t="shared" ref="AQ27:AU27" si="10">AQ25+AQ26</f>
        <v>3755.199999999998</v>
      </c>
      <c r="AR27" s="24">
        <f t="shared" si="10"/>
        <v>3325.8999999999996</v>
      </c>
      <c r="AS27" s="24">
        <f t="shared" si="10"/>
        <v>3237.6499999999996</v>
      </c>
      <c r="AT27" s="24">
        <f t="shared" si="10"/>
        <v>4133.91</v>
      </c>
      <c r="AU27" s="24">
        <f t="shared" si="10"/>
        <v>5004.9800000000014</v>
      </c>
    </row>
    <row r="28" spans="1:47" x14ac:dyDescent="0.3">
      <c r="A28" s="4" t="s">
        <v>192</v>
      </c>
      <c r="B28" s="22">
        <f>-1.28+3.07</f>
        <v>1.7899999999999998</v>
      </c>
      <c r="C28" s="22">
        <f>-20.01+88.72</f>
        <v>68.709999999999994</v>
      </c>
      <c r="D28" s="22">
        <v>70.41</v>
      </c>
      <c r="E28" s="22">
        <v>-58.95</v>
      </c>
      <c r="F28" s="22">
        <v>7</v>
      </c>
      <c r="G28" s="22">
        <v>43</v>
      </c>
      <c r="I28" s="11" t="s">
        <v>195</v>
      </c>
      <c r="J28" s="24">
        <f>J26+J27</f>
        <v>6554.7700000000023</v>
      </c>
      <c r="K28" s="24">
        <f t="shared" ref="K28:O28" si="11">K26+K27</f>
        <v>6170.24</v>
      </c>
      <c r="L28" s="24">
        <f t="shared" si="11"/>
        <v>9344.5399999999991</v>
      </c>
      <c r="M28" s="24">
        <f t="shared" si="11"/>
        <v>4959.3299999999963</v>
      </c>
      <c r="N28" s="24">
        <f t="shared" si="11"/>
        <v>12134.979999999996</v>
      </c>
      <c r="O28" s="24">
        <f t="shared" si="11"/>
        <v>14072.090000000002</v>
      </c>
      <c r="Q28" s="11" t="s">
        <v>221</v>
      </c>
      <c r="R28" s="24">
        <f>SUM(R5,R7:R27)</f>
        <v>1543.1923000000002</v>
      </c>
      <c r="S28" s="24">
        <f t="shared" ref="S28:W28" si="12">SUM(S5,S7:S27)</f>
        <v>1688.8345999999997</v>
      </c>
      <c r="T28" s="24">
        <f t="shared" si="12"/>
        <v>2005.4079000000006</v>
      </c>
      <c r="U28" s="24">
        <f t="shared" si="12"/>
        <v>1969.0196999999998</v>
      </c>
      <c r="V28" s="24">
        <f t="shared" si="12"/>
        <v>2611.56</v>
      </c>
      <c r="W28" s="24">
        <f t="shared" si="12"/>
        <v>3126.5499999999997</v>
      </c>
      <c r="Y28" s="4" t="s">
        <v>295</v>
      </c>
      <c r="Z28" s="22">
        <v>13.1</v>
      </c>
      <c r="AA28" s="22">
        <v>-974.1</v>
      </c>
      <c r="AB28" s="22">
        <v>-1466</v>
      </c>
      <c r="AC28" s="22">
        <v>-1132.3</v>
      </c>
      <c r="AD28" s="22">
        <v>-1640.3</v>
      </c>
      <c r="AE28" s="22">
        <v>-2750.4</v>
      </c>
      <c r="AG28" s="11" t="s">
        <v>321</v>
      </c>
      <c r="AH28" s="24">
        <f>SUM(AH22:AH27)</f>
        <v>198.61</v>
      </c>
      <c r="AI28" s="24">
        <f t="shared" ref="AI28:AM28" si="13">SUM(AI22:AI27)</f>
        <v>-449.41999999999996</v>
      </c>
      <c r="AJ28" s="24">
        <f t="shared" si="13"/>
        <v>-196.63</v>
      </c>
      <c r="AK28" s="24">
        <f t="shared" si="13"/>
        <v>-2415.31</v>
      </c>
      <c r="AL28" s="24">
        <f t="shared" si="13"/>
        <v>-167.89999999999998</v>
      </c>
      <c r="AM28" s="24">
        <f t="shared" si="13"/>
        <v>-540.05000000000007</v>
      </c>
      <c r="AO28" s="21" t="s">
        <v>196</v>
      </c>
      <c r="AP28" s="31"/>
      <c r="AQ28" s="31"/>
      <c r="AR28" s="31"/>
      <c r="AS28" s="31"/>
      <c r="AT28" s="31"/>
      <c r="AU28" s="31"/>
    </row>
    <row r="29" spans="1:47" x14ac:dyDescent="0.3">
      <c r="A29" s="11" t="s">
        <v>193</v>
      </c>
      <c r="B29" s="24">
        <f>SUM(B19:B28,B17)</f>
        <v>1661.17</v>
      </c>
      <c r="C29" s="24">
        <f t="shared" ref="C29:G29" si="14">SUM(C19:C28,C17)</f>
        <v>2591.25</v>
      </c>
      <c r="D29" s="24">
        <f t="shared" si="14"/>
        <v>2552.7799999999997</v>
      </c>
      <c r="E29" s="24">
        <f t="shared" si="14"/>
        <v>2932.3799999999997</v>
      </c>
      <c r="F29" s="24">
        <f t="shared" si="14"/>
        <v>1637</v>
      </c>
      <c r="G29" s="24">
        <f t="shared" si="14"/>
        <v>2477</v>
      </c>
      <c r="I29" s="16" t="s">
        <v>196</v>
      </c>
      <c r="J29" s="25"/>
      <c r="K29" s="25"/>
      <c r="L29" s="25"/>
      <c r="M29" s="25"/>
      <c r="N29" s="25"/>
      <c r="O29" s="25"/>
      <c r="Q29" s="16" t="s">
        <v>211</v>
      </c>
      <c r="R29" s="44"/>
      <c r="S29" s="44"/>
      <c r="T29" s="44"/>
      <c r="U29" s="44"/>
      <c r="V29" s="44"/>
      <c r="W29" s="44"/>
      <c r="Y29" s="4" t="s">
        <v>198</v>
      </c>
      <c r="Z29" s="22">
        <v>25.9</v>
      </c>
      <c r="AA29" s="22">
        <v>8.5</v>
      </c>
      <c r="AB29" s="22">
        <v>37</v>
      </c>
      <c r="AC29" s="22">
        <v>8.1999999999999993</v>
      </c>
      <c r="AD29" s="22">
        <v>106.4</v>
      </c>
      <c r="AE29" s="22">
        <v>51.2</v>
      </c>
      <c r="AG29" s="16" t="s">
        <v>203</v>
      </c>
      <c r="AH29" s="44"/>
      <c r="AI29" s="44"/>
      <c r="AJ29" s="44"/>
      <c r="AK29" s="44"/>
      <c r="AL29" s="44"/>
      <c r="AM29" s="44"/>
      <c r="AO29" s="4" t="s">
        <v>269</v>
      </c>
      <c r="AP29" s="22">
        <v>-572.77</v>
      </c>
      <c r="AQ29" s="22">
        <v>-629.66</v>
      </c>
      <c r="AR29" s="22">
        <v>-544.11</v>
      </c>
      <c r="AS29" s="22">
        <v>-840.53</v>
      </c>
      <c r="AT29" s="22">
        <v>-1098.25</v>
      </c>
      <c r="AU29" s="22">
        <v>-1162.1600000000001</v>
      </c>
    </row>
    <row r="30" spans="1:47" x14ac:dyDescent="0.3">
      <c r="A30" s="4" t="s">
        <v>194</v>
      </c>
      <c r="B30" s="22">
        <v>-445.23</v>
      </c>
      <c r="C30" s="22">
        <v>-644.32000000000005</v>
      </c>
      <c r="D30" s="22">
        <v>-640.98</v>
      </c>
      <c r="E30" s="22">
        <v>-472.65</v>
      </c>
      <c r="F30" s="22">
        <v>-376</v>
      </c>
      <c r="G30" s="22">
        <v>-824</v>
      </c>
      <c r="I30" s="4" t="s">
        <v>226</v>
      </c>
      <c r="J30" s="22">
        <v>-1542</v>
      </c>
      <c r="K30" s="22">
        <v>-1170.1300000000001</v>
      </c>
      <c r="L30" s="22">
        <v>-1495.04</v>
      </c>
      <c r="M30" s="22">
        <v>-2085.58</v>
      </c>
      <c r="N30" s="22">
        <v>-2201.81</v>
      </c>
      <c r="O30" s="22">
        <v>-2128.58</v>
      </c>
      <c r="Q30" s="4" t="s">
        <v>222</v>
      </c>
      <c r="R30" s="22">
        <v>-308.83069999999998</v>
      </c>
      <c r="S30" s="22">
        <v>198.87350000000001</v>
      </c>
      <c r="T30" s="22">
        <v>-65.952699999999993</v>
      </c>
      <c r="U30" s="22">
        <v>-205.31479999999999</v>
      </c>
      <c r="V30" s="22">
        <v>-289.91000000000003</v>
      </c>
      <c r="W30" s="22">
        <v>-123.55</v>
      </c>
      <c r="Y30" s="4" t="s">
        <v>296</v>
      </c>
      <c r="Z30" s="22">
        <v>-484.6</v>
      </c>
      <c r="AA30" s="22">
        <v>-282</v>
      </c>
      <c r="AB30" s="22">
        <v>-438.9</v>
      </c>
      <c r="AC30" s="22">
        <v>-754.3</v>
      </c>
      <c r="AD30" s="22">
        <v>-1103.2</v>
      </c>
      <c r="AE30" s="22">
        <v>-689.4</v>
      </c>
      <c r="AG30" s="4" t="s">
        <v>322</v>
      </c>
      <c r="AH30" s="22">
        <v>750</v>
      </c>
      <c r="AI30" s="22">
        <v>895</v>
      </c>
      <c r="AJ30" s="22">
        <v>0</v>
      </c>
      <c r="AK30" s="22">
        <v>1395</v>
      </c>
      <c r="AL30" s="22">
        <v>0</v>
      </c>
      <c r="AM30" s="22">
        <v>0</v>
      </c>
      <c r="AO30" s="4" t="s">
        <v>341</v>
      </c>
      <c r="AP30" s="22">
        <v>-427.24</v>
      </c>
      <c r="AQ30" s="22">
        <v>-189.26</v>
      </c>
      <c r="AR30" s="22">
        <v>-157.04</v>
      </c>
      <c r="AS30" s="22">
        <v>-342.36</v>
      </c>
      <c r="AT30" s="22">
        <v>-251.05</v>
      </c>
      <c r="AU30" s="22">
        <v>-386.04</v>
      </c>
    </row>
    <row r="31" spans="1:47" x14ac:dyDescent="0.3">
      <c r="A31" s="11" t="s">
        <v>195</v>
      </c>
      <c r="B31" s="24">
        <f>B29+B30</f>
        <v>1215.94</v>
      </c>
      <c r="C31" s="24">
        <f t="shared" ref="C31:G31" si="15">C29+C30</f>
        <v>1946.9299999999998</v>
      </c>
      <c r="D31" s="24">
        <f t="shared" si="15"/>
        <v>1911.7999999999997</v>
      </c>
      <c r="E31" s="24">
        <f t="shared" si="15"/>
        <v>2459.7299999999996</v>
      </c>
      <c r="F31" s="24">
        <f t="shared" si="15"/>
        <v>1261</v>
      </c>
      <c r="G31" s="24">
        <f t="shared" si="15"/>
        <v>1653</v>
      </c>
      <c r="I31" s="4" t="s">
        <v>227</v>
      </c>
      <c r="J31" s="22">
        <v>92.03</v>
      </c>
      <c r="K31" s="22">
        <v>97.1</v>
      </c>
      <c r="L31" s="22">
        <v>-7.68</v>
      </c>
      <c r="M31" s="22">
        <v>0</v>
      </c>
      <c r="N31" s="22">
        <v>30.84</v>
      </c>
      <c r="O31" s="22">
        <v>61.01</v>
      </c>
      <c r="Q31" s="4" t="s">
        <v>184</v>
      </c>
      <c r="R31" s="22">
        <v>-78.149199999999993</v>
      </c>
      <c r="S31" s="22">
        <v>-284.40320000000003</v>
      </c>
      <c r="T31" s="22">
        <v>-576.70039999999995</v>
      </c>
      <c r="U31" s="22">
        <v>261.7799</v>
      </c>
      <c r="V31" s="22">
        <v>-55</v>
      </c>
      <c r="W31" s="22">
        <v>-220.7</v>
      </c>
      <c r="Y31" s="4" t="s">
        <v>297</v>
      </c>
      <c r="Z31" s="22">
        <v>-126.9</v>
      </c>
      <c r="AA31" s="22">
        <v>0</v>
      </c>
      <c r="AB31" s="22">
        <v>294.60000000000002</v>
      </c>
      <c r="AC31" s="22">
        <v>0</v>
      </c>
      <c r="AD31" s="22">
        <v>2.1</v>
      </c>
      <c r="AE31" s="22">
        <v>73.2</v>
      </c>
      <c r="AG31" s="4" t="s">
        <v>323</v>
      </c>
      <c r="AH31" s="22">
        <v>-1201</v>
      </c>
      <c r="AI31" s="22">
        <v>-1437.9</v>
      </c>
      <c r="AJ31" s="22">
        <v>-1032.98</v>
      </c>
      <c r="AK31" s="22">
        <v>-971.84</v>
      </c>
      <c r="AL31" s="22">
        <v>-1236.01</v>
      </c>
      <c r="AM31" s="22">
        <v>-529.17999999999995</v>
      </c>
      <c r="AO31" s="4" t="s">
        <v>198</v>
      </c>
      <c r="AP31" s="22">
        <v>14.32</v>
      </c>
      <c r="AQ31" s="22">
        <v>22.05</v>
      </c>
      <c r="AR31" s="22">
        <v>16.399999999999999</v>
      </c>
      <c r="AS31" s="22">
        <v>28.52</v>
      </c>
      <c r="AT31" s="22">
        <v>34.17</v>
      </c>
      <c r="AU31" s="22">
        <v>24.85</v>
      </c>
    </row>
    <row r="32" spans="1:47" x14ac:dyDescent="0.3">
      <c r="A32" s="16" t="s">
        <v>196</v>
      </c>
      <c r="B32" s="44"/>
      <c r="C32" s="44"/>
      <c r="D32" s="44"/>
      <c r="E32" s="44"/>
      <c r="F32" s="44"/>
      <c r="G32" s="44"/>
      <c r="I32" s="4" t="s">
        <v>228</v>
      </c>
      <c r="J32" s="22">
        <v>-19.13</v>
      </c>
      <c r="K32" s="22">
        <v>0</v>
      </c>
      <c r="L32" s="22">
        <f>14.04+60.61</f>
        <v>74.650000000000006</v>
      </c>
      <c r="M32" s="22">
        <f>21.01</f>
        <v>21.01</v>
      </c>
      <c r="N32" s="22">
        <v>-20.7</v>
      </c>
      <c r="O32" s="22">
        <v>-3.38</v>
      </c>
      <c r="Q32" s="4" t="s">
        <v>264</v>
      </c>
      <c r="R32" s="22">
        <v>0</v>
      </c>
      <c r="S32" s="22">
        <v>0</v>
      </c>
      <c r="T32" s="22">
        <v>13.3911</v>
      </c>
      <c r="U32" s="22">
        <v>-129.29750000000001</v>
      </c>
      <c r="V32" s="22">
        <v>113.34</v>
      </c>
      <c r="W32" s="22">
        <v>28.23</v>
      </c>
      <c r="Y32" s="4" t="s">
        <v>298</v>
      </c>
      <c r="Z32" s="22">
        <v>-11191.8</v>
      </c>
      <c r="AA32" s="22">
        <f>-1551.4</f>
        <v>-1551.4</v>
      </c>
      <c r="AB32" s="22">
        <v>-32.6</v>
      </c>
      <c r="AC32" s="22">
        <v>0</v>
      </c>
      <c r="AD32" s="22">
        <v>-1.2</v>
      </c>
      <c r="AE32" s="22">
        <f>-31.7-5309.6+337.2</f>
        <v>-5004.1000000000004</v>
      </c>
      <c r="AG32" s="4" t="s">
        <v>324</v>
      </c>
      <c r="AH32" s="22">
        <v>138.1</v>
      </c>
      <c r="AI32" s="22">
        <v>-378.93</v>
      </c>
      <c r="AJ32" s="22">
        <v>218.64</v>
      </c>
      <c r="AK32" s="22">
        <v>842.03</v>
      </c>
      <c r="AL32" s="22">
        <v>-133.43</v>
      </c>
      <c r="AM32" s="22">
        <v>-396.32</v>
      </c>
      <c r="AO32" s="4" t="s">
        <v>342</v>
      </c>
      <c r="AP32" s="22">
        <v>0</v>
      </c>
      <c r="AQ32" s="22">
        <v>5.48</v>
      </c>
      <c r="AR32" s="22">
        <v>14.98</v>
      </c>
      <c r="AS32" s="22">
        <v>1.06</v>
      </c>
      <c r="AT32" s="22">
        <v>0</v>
      </c>
      <c r="AU32" s="22">
        <v>8.5500000000000007</v>
      </c>
    </row>
    <row r="33" spans="1:47" x14ac:dyDescent="0.3">
      <c r="A33" s="4" t="s">
        <v>197</v>
      </c>
      <c r="B33" s="22">
        <v>-1183.21</v>
      </c>
      <c r="C33" s="22">
        <v>-910.19</v>
      </c>
      <c r="D33" s="22">
        <v>-713.2</v>
      </c>
      <c r="E33" s="22">
        <v>-473.02</v>
      </c>
      <c r="F33" s="22">
        <v>-1003</v>
      </c>
      <c r="G33" s="22">
        <v>-1438</v>
      </c>
      <c r="I33" s="4" t="s">
        <v>229</v>
      </c>
      <c r="J33" s="22">
        <v>187.54</v>
      </c>
      <c r="K33" s="22">
        <v>88.22</v>
      </c>
      <c r="L33" s="22">
        <v>-15.27</v>
      </c>
      <c r="M33" s="22">
        <v>-155.49</v>
      </c>
      <c r="N33" s="22">
        <v>0</v>
      </c>
      <c r="O33" s="22">
        <v>32</v>
      </c>
      <c r="Q33" s="4" t="s">
        <v>265</v>
      </c>
      <c r="R33" s="22">
        <v>-4.8061999999999996</v>
      </c>
      <c r="S33" s="22">
        <v>2.9969000000000001</v>
      </c>
      <c r="T33" s="22">
        <v>0</v>
      </c>
      <c r="U33" s="22">
        <v>0</v>
      </c>
      <c r="V33" s="22">
        <v>5.22</v>
      </c>
      <c r="W33" s="22">
        <v>-125.37</v>
      </c>
      <c r="Y33" s="4" t="s">
        <v>231</v>
      </c>
      <c r="Z33" s="22">
        <v>11170.4</v>
      </c>
      <c r="AA33" s="22">
        <v>-7541.8</v>
      </c>
      <c r="AB33" s="22">
        <v>-8897.2000000000007</v>
      </c>
      <c r="AC33" s="22">
        <f>-13617.1+11280.5</f>
        <v>-2336.6000000000004</v>
      </c>
      <c r="AD33" s="22">
        <f>-14548.8+12978.4</f>
        <v>-1570.3999999999996</v>
      </c>
      <c r="AE33" s="22">
        <v>-25445.8</v>
      </c>
      <c r="AG33" s="4" t="s">
        <v>325</v>
      </c>
      <c r="AH33" s="22">
        <v>-32.25</v>
      </c>
      <c r="AI33" s="22">
        <v>-34.46</v>
      </c>
      <c r="AJ33" s="22">
        <v>-32.1</v>
      </c>
      <c r="AK33" s="22">
        <v>-21.77</v>
      </c>
      <c r="AL33" s="22">
        <v>-23.9</v>
      </c>
      <c r="AM33" s="22">
        <v>-27.24</v>
      </c>
      <c r="AO33" s="4" t="s">
        <v>343</v>
      </c>
      <c r="AP33" s="22">
        <v>1.27</v>
      </c>
      <c r="AQ33" s="22">
        <v>2.6</v>
      </c>
      <c r="AR33" s="22">
        <v>3.78</v>
      </c>
      <c r="AS33" s="22">
        <v>18.86</v>
      </c>
      <c r="AT33" s="22">
        <v>0</v>
      </c>
      <c r="AU33" s="22">
        <v>-130</v>
      </c>
    </row>
    <row r="34" spans="1:47" x14ac:dyDescent="0.3">
      <c r="A34" s="4" t="s">
        <v>198</v>
      </c>
      <c r="B34" s="22">
        <v>0.36</v>
      </c>
      <c r="C34" s="22">
        <v>0.15</v>
      </c>
      <c r="D34" s="22">
        <v>0</v>
      </c>
      <c r="E34" s="22">
        <v>0.01</v>
      </c>
      <c r="F34" s="22">
        <v>0</v>
      </c>
      <c r="G34" s="22">
        <v>0</v>
      </c>
      <c r="I34" s="4" t="s">
        <v>230</v>
      </c>
      <c r="J34" s="22">
        <v>-33445.39</v>
      </c>
      <c r="K34" s="22">
        <v>-18541.740000000002</v>
      </c>
      <c r="L34" s="22">
        <v>-24135.35</v>
      </c>
      <c r="M34" s="22">
        <v>-21808.74</v>
      </c>
      <c r="N34" s="22">
        <f>-86.59-29004.45</f>
        <v>-29091.040000000001</v>
      </c>
      <c r="O34" s="22">
        <f>-45.5-32263.2</f>
        <v>-32308.7</v>
      </c>
      <c r="Q34" s="4" t="s">
        <v>266</v>
      </c>
      <c r="R34" s="22">
        <v>-130.39230000000001</v>
      </c>
      <c r="S34" s="22">
        <v>-94.308300000000003</v>
      </c>
      <c r="T34" s="22">
        <v>-605.59119999999996</v>
      </c>
      <c r="U34" s="22">
        <v>295.56150000000002</v>
      </c>
      <c r="V34" s="22">
        <v>57.69</v>
      </c>
      <c r="W34" s="22">
        <v>174.29</v>
      </c>
      <c r="Y34" s="4" t="s">
        <v>299</v>
      </c>
      <c r="Z34" s="22">
        <f>39.2+62.4</f>
        <v>101.6</v>
      </c>
      <c r="AA34" s="22">
        <f>7952.8+122</f>
        <v>8074.8</v>
      </c>
      <c r="AB34" s="22">
        <f>7777.1+87.3</f>
        <v>7864.4000000000005</v>
      </c>
      <c r="AC34" s="22">
        <v>77.7</v>
      </c>
      <c r="AD34" s="22">
        <f>44.5+133.8</f>
        <v>178.3</v>
      </c>
      <c r="AE34" s="22">
        <v>27957.599999999999</v>
      </c>
      <c r="AG34" s="4" t="s">
        <v>205</v>
      </c>
      <c r="AH34" s="22">
        <v>-718.5</v>
      </c>
      <c r="AI34" s="22">
        <v>-338.45</v>
      </c>
      <c r="AJ34" s="22">
        <v>-676.89</v>
      </c>
      <c r="AK34" s="22">
        <v>-863.04</v>
      </c>
      <c r="AL34" s="22">
        <v>-1015.34</v>
      </c>
      <c r="AM34" s="22">
        <v>-1083.03</v>
      </c>
      <c r="AO34" s="4" t="s">
        <v>110</v>
      </c>
      <c r="AP34" s="22">
        <v>-33.32</v>
      </c>
      <c r="AQ34" s="22">
        <v>-13.65</v>
      </c>
      <c r="AR34" s="22">
        <v>-18.02</v>
      </c>
      <c r="AS34" s="22">
        <v>-50.9</v>
      </c>
      <c r="AT34" s="22">
        <v>33.630000000000003</v>
      </c>
      <c r="AU34" s="22">
        <v>0</v>
      </c>
    </row>
    <row r="35" spans="1:47" x14ac:dyDescent="0.3">
      <c r="A35" s="4" t="s">
        <v>361</v>
      </c>
      <c r="B35" s="22">
        <v>-450</v>
      </c>
      <c r="C35" s="22">
        <v>-100</v>
      </c>
      <c r="D35" s="22">
        <v>-72</v>
      </c>
      <c r="E35" s="22">
        <v>0</v>
      </c>
      <c r="F35" s="22">
        <v>0</v>
      </c>
      <c r="G35" s="22">
        <v>22</v>
      </c>
      <c r="I35" s="71" t="s">
        <v>231</v>
      </c>
      <c r="J35" s="72">
        <v>31893.63</v>
      </c>
      <c r="K35" s="72">
        <v>19708.8</v>
      </c>
      <c r="L35" s="72">
        <v>20702.080000000002</v>
      </c>
      <c r="M35" s="72">
        <v>20896.84</v>
      </c>
      <c r="N35" s="72">
        <v>30094.47</v>
      </c>
      <c r="O35" s="72">
        <v>29417.54</v>
      </c>
      <c r="Q35" s="4" t="s">
        <v>225</v>
      </c>
      <c r="R35" s="22">
        <v>117.8946</v>
      </c>
      <c r="S35" s="22">
        <v>29.932300000000001</v>
      </c>
      <c r="T35" s="22">
        <v>36.8917</v>
      </c>
      <c r="U35" s="22">
        <v>53.2074</v>
      </c>
      <c r="V35" s="22">
        <v>97.46</v>
      </c>
      <c r="W35" s="22">
        <v>-146.04</v>
      </c>
      <c r="Y35" s="11" t="s">
        <v>300</v>
      </c>
      <c r="Z35" s="24">
        <f>SUM(Z28:Z34)</f>
        <v>-492.29999999999961</v>
      </c>
      <c r="AA35" s="24">
        <f t="shared" ref="AA35:AE35" si="16">SUM(AA28:AA34)</f>
        <v>-2265.9999999999991</v>
      </c>
      <c r="AB35" s="24">
        <f t="shared" si="16"/>
        <v>-2638.7</v>
      </c>
      <c r="AC35" s="24">
        <f t="shared" si="16"/>
        <v>-4137.3</v>
      </c>
      <c r="AD35" s="24">
        <f t="shared" si="16"/>
        <v>-4028.2999999999993</v>
      </c>
      <c r="AE35" s="24">
        <f t="shared" si="16"/>
        <v>-5807.7000000000044</v>
      </c>
      <c r="AG35" s="4" t="s">
        <v>326</v>
      </c>
      <c r="AH35" s="22">
        <v>-485.39</v>
      </c>
      <c r="AI35" s="22">
        <v>-361.39</v>
      </c>
      <c r="AJ35" s="22">
        <v>-257.72000000000003</v>
      </c>
      <c r="AK35" s="22">
        <v>-303.02</v>
      </c>
      <c r="AL35" s="22">
        <v>-370.96</v>
      </c>
      <c r="AM35" s="22">
        <v>-262.22000000000003</v>
      </c>
      <c r="AO35" s="4" t="s">
        <v>344</v>
      </c>
      <c r="AP35" s="22">
        <v>0</v>
      </c>
      <c r="AQ35" s="22">
        <v>-40</v>
      </c>
      <c r="AR35" s="22">
        <v>0</v>
      </c>
      <c r="AS35" s="22">
        <v>25.77</v>
      </c>
      <c r="AT35" s="22">
        <v>120.4</v>
      </c>
      <c r="AU35" s="22">
        <v>0</v>
      </c>
    </row>
    <row r="36" spans="1:47" x14ac:dyDescent="0.3">
      <c r="A36" s="4" t="s">
        <v>362</v>
      </c>
      <c r="B36" s="22">
        <v>1483.63</v>
      </c>
      <c r="C36" s="22">
        <v>1074</v>
      </c>
      <c r="D36" s="22">
        <v>66.81</v>
      </c>
      <c r="E36" s="22">
        <v>204.59</v>
      </c>
      <c r="F36" s="22">
        <v>300</v>
      </c>
      <c r="G36" s="22">
        <v>295</v>
      </c>
      <c r="I36" s="20" t="s">
        <v>232</v>
      </c>
      <c r="J36" s="75"/>
      <c r="K36" s="75"/>
      <c r="L36" s="76"/>
      <c r="M36" s="76"/>
      <c r="N36" s="76"/>
      <c r="O36" s="77"/>
      <c r="Q36" s="4" t="s">
        <v>190</v>
      </c>
      <c r="R36" s="22">
        <v>183.14109999999999</v>
      </c>
      <c r="S36" s="22">
        <v>-78.150700000000001</v>
      </c>
      <c r="T36" s="22">
        <v>419.84910000000002</v>
      </c>
      <c r="U36" s="22">
        <v>-65.019300000000001</v>
      </c>
      <c r="V36" s="22">
        <v>2.7</v>
      </c>
      <c r="W36" s="22">
        <v>160.25</v>
      </c>
      <c r="Y36" s="21" t="s">
        <v>203</v>
      </c>
      <c r="Z36" s="31"/>
      <c r="AA36" s="31"/>
      <c r="AB36" s="31"/>
      <c r="AC36" s="31"/>
      <c r="AD36" s="31"/>
      <c r="AE36" s="31"/>
      <c r="AG36" s="11" t="s">
        <v>245</v>
      </c>
      <c r="AH36" s="24">
        <f>SUM(AH30:AH35)</f>
        <v>-1549.04</v>
      </c>
      <c r="AI36" s="24">
        <f t="shared" ref="AI36:AK36" si="17">SUM(AI30:AI35)</f>
        <v>-1656.13</v>
      </c>
      <c r="AJ36" s="24">
        <f t="shared" si="17"/>
        <v>-1781.05</v>
      </c>
      <c r="AK36" s="24">
        <f t="shared" si="17"/>
        <v>77.360000000000127</v>
      </c>
      <c r="AL36" s="24">
        <f>SUM(AL31:AL35)</f>
        <v>-2779.6400000000003</v>
      </c>
      <c r="AM36" s="24">
        <f>SUM(AM31:AM35)</f>
        <v>-2297.9899999999998</v>
      </c>
      <c r="AO36" s="4" t="s">
        <v>345</v>
      </c>
      <c r="AP36" s="22">
        <v>1210.01</v>
      </c>
      <c r="AQ36" s="22">
        <v>-1204.98</v>
      </c>
      <c r="AR36" s="22">
        <v>-0.05</v>
      </c>
      <c r="AS36" s="22">
        <v>-136.03</v>
      </c>
      <c r="AT36" s="22">
        <v>-300.89</v>
      </c>
      <c r="AU36" s="22">
        <v>-75.09</v>
      </c>
    </row>
    <row r="37" spans="1:47" x14ac:dyDescent="0.3">
      <c r="A37" s="4" t="s">
        <v>236</v>
      </c>
      <c r="B37" s="22">
        <v>37.369999999999997</v>
      </c>
      <c r="C37" s="22">
        <v>0</v>
      </c>
      <c r="D37" s="22">
        <v>0</v>
      </c>
      <c r="E37" s="22">
        <v>0</v>
      </c>
      <c r="F37" s="22">
        <v>0</v>
      </c>
      <c r="G37" s="22">
        <v>0</v>
      </c>
      <c r="I37" s="73" t="s">
        <v>233</v>
      </c>
      <c r="J37" s="74">
        <v>-969.45</v>
      </c>
      <c r="K37" s="74">
        <v>-281.87</v>
      </c>
      <c r="L37" s="74">
        <v>-511.79</v>
      </c>
      <c r="M37" s="74">
        <v>-725.1</v>
      </c>
      <c r="N37" s="74">
        <v>-1567.01</v>
      </c>
      <c r="O37" s="74">
        <v>-2206.5100000000002</v>
      </c>
      <c r="Q37" s="4" t="s">
        <v>267</v>
      </c>
      <c r="R37" s="22">
        <v>28.904399999999999</v>
      </c>
      <c r="S37" s="22">
        <v>85.436400000000006</v>
      </c>
      <c r="T37" s="22">
        <v>18.994399999999999</v>
      </c>
      <c r="U37" s="22">
        <v>16.210999999999999</v>
      </c>
      <c r="V37" s="22">
        <v>50.93</v>
      </c>
      <c r="W37" s="22">
        <v>106.47</v>
      </c>
      <c r="Y37" s="4" t="s">
        <v>301</v>
      </c>
      <c r="Z37" s="22">
        <v>0.4</v>
      </c>
      <c r="AA37" s="22">
        <v>26.9</v>
      </c>
      <c r="AB37" s="22">
        <v>33.4</v>
      </c>
      <c r="AC37" s="22">
        <v>15.7</v>
      </c>
      <c r="AD37" s="22">
        <v>80.5</v>
      </c>
      <c r="AE37" s="22">
        <v>19.3</v>
      </c>
      <c r="AG37" s="11" t="s">
        <v>207</v>
      </c>
      <c r="AH37" s="24">
        <f>AH20+AH28+AH36</f>
        <v>42.480000000000018</v>
      </c>
      <c r="AI37" s="24">
        <f t="shared" ref="AI37:AM37" si="18">AI20+AI28+AI36</f>
        <v>-94.860000000000127</v>
      </c>
      <c r="AJ37" s="24">
        <f t="shared" si="18"/>
        <v>-174.68999999999983</v>
      </c>
      <c r="AK37" s="24">
        <f t="shared" si="18"/>
        <v>30.179999999999836</v>
      </c>
      <c r="AL37" s="24">
        <f t="shared" si="18"/>
        <v>318.53999999999996</v>
      </c>
      <c r="AM37" s="24">
        <f t="shared" si="18"/>
        <v>-252.93000000000029</v>
      </c>
      <c r="AO37" s="4" t="s">
        <v>346</v>
      </c>
      <c r="AP37" s="22">
        <v>-147.84</v>
      </c>
      <c r="AQ37" s="22">
        <v>-416.72</v>
      </c>
      <c r="AR37" s="22">
        <v>170.64</v>
      </c>
      <c r="AS37" s="22">
        <v>-751.83</v>
      </c>
      <c r="AT37" s="22">
        <v>-42</v>
      </c>
      <c r="AU37" s="22">
        <v>-30.63</v>
      </c>
    </row>
    <row r="38" spans="1:47" x14ac:dyDescent="0.3">
      <c r="A38" s="4" t="s">
        <v>199</v>
      </c>
      <c r="B38" s="22">
        <v>5.72</v>
      </c>
      <c r="C38" s="22">
        <v>57.01</v>
      </c>
      <c r="D38" s="22">
        <v>50.5</v>
      </c>
      <c r="E38" s="22">
        <v>1601.18</v>
      </c>
      <c r="F38" s="22">
        <v>3949</v>
      </c>
      <c r="G38" s="22">
        <v>3541</v>
      </c>
      <c r="I38" s="4" t="s">
        <v>234</v>
      </c>
      <c r="J38" s="22">
        <v>819.29</v>
      </c>
      <c r="K38" s="22">
        <v>488.08</v>
      </c>
      <c r="L38" s="22">
        <v>169.26</v>
      </c>
      <c r="M38" s="22">
        <v>148.87</v>
      </c>
      <c r="N38" s="22">
        <v>1496.03</v>
      </c>
      <c r="O38" s="22">
        <v>1233.52</v>
      </c>
      <c r="Q38" s="4" t="s">
        <v>268</v>
      </c>
      <c r="R38" s="22">
        <v>52.161499999999997</v>
      </c>
      <c r="S38" s="22">
        <v>74.593900000000005</v>
      </c>
      <c r="T38" s="22">
        <v>172.9973</v>
      </c>
      <c r="U38" s="22">
        <v>-60.399299999999997</v>
      </c>
      <c r="V38" s="22">
        <v>0</v>
      </c>
      <c r="W38" s="22">
        <v>0</v>
      </c>
      <c r="Y38" s="4" t="s">
        <v>302</v>
      </c>
      <c r="Z38" s="22">
        <v>-47.4</v>
      </c>
      <c r="AA38" s="22">
        <v>-119.3</v>
      </c>
      <c r="AB38" s="22">
        <v>0</v>
      </c>
      <c r="AC38" s="22">
        <v>21.1</v>
      </c>
      <c r="AD38" s="22">
        <v>0</v>
      </c>
      <c r="AE38" s="22">
        <f>-138.9+705.6</f>
        <v>566.70000000000005</v>
      </c>
      <c r="AG38" s="4" t="s">
        <v>327</v>
      </c>
      <c r="AH38" s="22">
        <v>30.58</v>
      </c>
      <c r="AI38" s="22">
        <v>5.6</v>
      </c>
      <c r="AJ38" s="22">
        <v>0.53</v>
      </c>
      <c r="AK38" s="22">
        <f>21.12+58.83</f>
        <v>79.95</v>
      </c>
      <c r="AL38" s="22">
        <v>8.07</v>
      </c>
      <c r="AM38" s="22">
        <v>-8.73</v>
      </c>
      <c r="AO38" s="4" t="s">
        <v>199</v>
      </c>
      <c r="AP38" s="22">
        <v>50.09</v>
      </c>
      <c r="AQ38" s="22">
        <v>40.549999999999997</v>
      </c>
      <c r="AR38" s="22">
        <v>-1416.82</v>
      </c>
      <c r="AS38" s="22">
        <v>-462.96</v>
      </c>
      <c r="AT38" s="22">
        <v>-6.03</v>
      </c>
      <c r="AU38" s="22">
        <v>-17.829999999999998</v>
      </c>
    </row>
    <row r="39" spans="1:47" x14ac:dyDescent="0.3">
      <c r="A39" s="4" t="s">
        <v>200</v>
      </c>
      <c r="B39" s="22">
        <v>105.94</v>
      </c>
      <c r="C39" s="22">
        <v>68.099999999999994</v>
      </c>
      <c r="D39" s="22">
        <v>0</v>
      </c>
      <c r="E39" s="22">
        <v>0</v>
      </c>
      <c r="F39" s="22">
        <v>0</v>
      </c>
      <c r="G39" s="22">
        <v>0</v>
      </c>
      <c r="I39" s="4" t="s">
        <v>235</v>
      </c>
      <c r="J39" s="22">
        <v>0</v>
      </c>
      <c r="K39" s="22">
        <v>-61.6</v>
      </c>
      <c r="L39" s="22">
        <v>-739.57</v>
      </c>
      <c r="M39" s="22">
        <v>-4685.82</v>
      </c>
      <c r="N39" s="22">
        <v>-143.32</v>
      </c>
      <c r="O39" s="22">
        <v>-272.83</v>
      </c>
      <c r="Q39" s="11" t="s">
        <v>193</v>
      </c>
      <c r="R39" s="24">
        <f>SUM(R28,R30:R38)</f>
        <v>1403.1155000000001</v>
      </c>
      <c r="S39" s="24">
        <f t="shared" ref="S39:W39" si="19">SUM(S28,S30:S38)</f>
        <v>1623.8054</v>
      </c>
      <c r="T39" s="24">
        <f t="shared" si="19"/>
        <v>1419.2872000000007</v>
      </c>
      <c r="U39" s="24">
        <f t="shared" si="19"/>
        <v>2135.748599999999</v>
      </c>
      <c r="V39" s="24">
        <f t="shared" si="19"/>
        <v>2593.9899999999998</v>
      </c>
      <c r="W39" s="24">
        <f t="shared" si="19"/>
        <v>2980.1299999999997</v>
      </c>
      <c r="Y39" s="4" t="s">
        <v>303</v>
      </c>
      <c r="Z39" s="22">
        <v>-2291.8000000000002</v>
      </c>
      <c r="AA39" s="22">
        <v>679.1</v>
      </c>
      <c r="AB39" s="22">
        <v>352</v>
      </c>
      <c r="AC39" s="22">
        <v>-1938.2</v>
      </c>
      <c r="AD39" s="22">
        <v>549.29999999999995</v>
      </c>
      <c r="AE39" s="22">
        <v>2449</v>
      </c>
      <c r="AG39" s="4" t="s">
        <v>208</v>
      </c>
      <c r="AH39" s="22">
        <v>588.76</v>
      </c>
      <c r="AI39" s="22">
        <f>AH40</f>
        <v>661.82</v>
      </c>
      <c r="AJ39" s="22">
        <f t="shared" ref="AJ39:AM39" si="20">AI40</f>
        <v>572.55999999999995</v>
      </c>
      <c r="AK39" s="22">
        <f t="shared" si="20"/>
        <v>398.40000000000009</v>
      </c>
      <c r="AL39" s="22">
        <f t="shared" si="20"/>
        <v>508.52999999999992</v>
      </c>
      <c r="AM39" s="22">
        <f t="shared" si="20"/>
        <v>835.13999999999987</v>
      </c>
      <c r="AO39" s="4" t="s">
        <v>236</v>
      </c>
      <c r="AP39" s="22">
        <v>0.06</v>
      </c>
      <c r="AQ39" s="22">
        <v>21.64</v>
      </c>
      <c r="AR39" s="22">
        <f>46.99+0.01</f>
        <v>47</v>
      </c>
      <c r="AS39" s="22">
        <v>114.01</v>
      </c>
      <c r="AT39" s="22">
        <f>-265.1+208.23-8.74+12.97</f>
        <v>-52.640000000000029</v>
      </c>
      <c r="AU39" s="22">
        <f>11.09-104.41+260.2-26.81+14.54</f>
        <v>154.60999999999999</v>
      </c>
    </row>
    <row r="40" spans="1:47" x14ac:dyDescent="0.3">
      <c r="A40" s="4" t="s">
        <v>201</v>
      </c>
      <c r="B40" s="22">
        <v>-83.28</v>
      </c>
      <c r="C40" s="22">
        <v>-113.94</v>
      </c>
      <c r="D40" s="22">
        <v>-1527.03</v>
      </c>
      <c r="E40" s="22">
        <v>-4040.38</v>
      </c>
      <c r="F40" s="22">
        <v>-3515</v>
      </c>
      <c r="G40" s="22">
        <v>-3224</v>
      </c>
      <c r="I40" s="4" t="s">
        <v>199</v>
      </c>
      <c r="J40" s="22">
        <v>338.46</v>
      </c>
      <c r="K40" s="22">
        <v>71.77</v>
      </c>
      <c r="L40" s="22">
        <f>23.84+76.3</f>
        <v>100.14</v>
      </c>
      <c r="M40" s="22">
        <v>317.93</v>
      </c>
      <c r="N40" s="22">
        <v>613.20000000000005</v>
      </c>
      <c r="O40" s="22">
        <v>803.75</v>
      </c>
      <c r="Q40" s="4" t="s">
        <v>194</v>
      </c>
      <c r="R40" s="22">
        <v>-330.91149999999999</v>
      </c>
      <c r="S40" s="22">
        <v>-454.07499999999999</v>
      </c>
      <c r="T40" s="22">
        <v>-499.50830000000002</v>
      </c>
      <c r="U40" s="22">
        <v>-323.0967</v>
      </c>
      <c r="V40" s="22">
        <v>-441.53</v>
      </c>
      <c r="W40" s="22">
        <v>-566.75</v>
      </c>
      <c r="Y40" s="4" t="s">
        <v>304</v>
      </c>
      <c r="Z40" s="22">
        <v>423.5</v>
      </c>
      <c r="AA40" s="22">
        <v>380</v>
      </c>
      <c r="AB40" s="22">
        <v>0</v>
      </c>
      <c r="AC40" s="22">
        <v>0</v>
      </c>
      <c r="AD40" s="22">
        <v>-380</v>
      </c>
      <c r="AE40" s="22">
        <v>0</v>
      </c>
      <c r="AG40" s="11" t="s">
        <v>209</v>
      </c>
      <c r="AH40" s="24">
        <f>SUM(AH37:AH39)</f>
        <v>661.82</v>
      </c>
      <c r="AI40" s="24">
        <f t="shared" ref="AI40:AM40" si="21">SUM(AI37:AI39)</f>
        <v>572.55999999999995</v>
      </c>
      <c r="AJ40" s="24">
        <f t="shared" si="21"/>
        <v>398.40000000000009</v>
      </c>
      <c r="AK40" s="24">
        <f t="shared" si="21"/>
        <v>508.52999999999992</v>
      </c>
      <c r="AL40" s="24">
        <f t="shared" si="21"/>
        <v>835.13999999999987</v>
      </c>
      <c r="AM40" s="24">
        <f t="shared" si="21"/>
        <v>573.47999999999956</v>
      </c>
      <c r="AO40" s="4" t="s">
        <v>347</v>
      </c>
      <c r="AP40" s="22">
        <v>9.4600000000000009</v>
      </c>
      <c r="AQ40" s="22">
        <v>14.77</v>
      </c>
      <c r="AR40" s="22">
        <v>11.36</v>
      </c>
      <c r="AS40" s="22">
        <v>7.88</v>
      </c>
      <c r="AT40" s="22">
        <v>-1425.97</v>
      </c>
      <c r="AU40" s="22">
        <v>-2077.4</v>
      </c>
    </row>
    <row r="41" spans="1:47" x14ac:dyDescent="0.3">
      <c r="A41" s="11" t="s">
        <v>202</v>
      </c>
      <c r="B41" s="24">
        <f>SUM(B33:B40)</f>
        <v>-83.470000000000027</v>
      </c>
      <c r="C41" s="24">
        <f t="shared" ref="C41:G41" si="22">SUM(C33:C40)</f>
        <v>75.12999999999991</v>
      </c>
      <c r="D41" s="24">
        <f t="shared" si="22"/>
        <v>-2194.92</v>
      </c>
      <c r="E41" s="24">
        <f t="shared" si="22"/>
        <v>-2707.62</v>
      </c>
      <c r="F41" s="24">
        <f t="shared" si="22"/>
        <v>-269</v>
      </c>
      <c r="G41" s="24">
        <f t="shared" si="22"/>
        <v>-804</v>
      </c>
      <c r="I41" s="4" t="s">
        <v>236</v>
      </c>
      <c r="J41" s="22">
        <v>56.18</v>
      </c>
      <c r="K41" s="22">
        <v>137.59</v>
      </c>
      <c r="L41" s="22">
        <v>133.83000000000001</v>
      </c>
      <c r="M41" s="22">
        <v>132.4</v>
      </c>
      <c r="N41" s="22">
        <v>99.14</v>
      </c>
      <c r="O41" s="22">
        <v>66.02</v>
      </c>
      <c r="Q41" s="11" t="s">
        <v>195</v>
      </c>
      <c r="R41" s="24">
        <f>R39+R40</f>
        <v>1072.2040000000002</v>
      </c>
      <c r="S41" s="24">
        <f t="shared" ref="S41:W41" si="23">S39+S40</f>
        <v>1169.7303999999999</v>
      </c>
      <c r="T41" s="24">
        <f t="shared" si="23"/>
        <v>919.7789000000007</v>
      </c>
      <c r="U41" s="24">
        <f t="shared" si="23"/>
        <v>1812.6518999999989</v>
      </c>
      <c r="V41" s="24">
        <f t="shared" si="23"/>
        <v>2152.46</v>
      </c>
      <c r="W41" s="24">
        <f t="shared" si="23"/>
        <v>2413.3799999999997</v>
      </c>
      <c r="Y41" s="4" t="s">
        <v>305</v>
      </c>
      <c r="Z41" s="22">
        <v>0</v>
      </c>
      <c r="AA41" s="22">
        <v>-374.3</v>
      </c>
      <c r="AB41" s="22">
        <v>0</v>
      </c>
      <c r="AC41" s="22">
        <v>0</v>
      </c>
      <c r="AD41" s="22">
        <v>380</v>
      </c>
      <c r="AE41" s="22">
        <v>0</v>
      </c>
      <c r="AO41" s="11" t="s">
        <v>321</v>
      </c>
      <c r="AP41" s="24">
        <f>SUM(AP29:AP40)</f>
        <v>104.03999999999999</v>
      </c>
      <c r="AQ41" s="24">
        <f t="shared" ref="AQ41:AU41" si="24">SUM(AQ29:AQ40)</f>
        <v>-2387.1800000000003</v>
      </c>
      <c r="AR41" s="24">
        <f t="shared" si="24"/>
        <v>-1871.8799999999999</v>
      </c>
      <c r="AS41" s="24">
        <f t="shared" si="24"/>
        <v>-2388.5099999999998</v>
      </c>
      <c r="AT41" s="24">
        <f t="shared" si="24"/>
        <v>-2988.63</v>
      </c>
      <c r="AU41" s="24">
        <f t="shared" si="24"/>
        <v>-3691.1400000000003</v>
      </c>
    </row>
    <row r="42" spans="1:47" x14ac:dyDescent="0.3">
      <c r="A42" s="16" t="s">
        <v>203</v>
      </c>
      <c r="B42" s="44"/>
      <c r="C42" s="44"/>
      <c r="D42" s="44"/>
      <c r="E42" s="44"/>
      <c r="F42" s="44"/>
      <c r="G42" s="44"/>
      <c r="I42" s="11" t="s">
        <v>237</v>
      </c>
      <c r="J42" s="24">
        <f>SUM(J30:J41)</f>
        <v>-2588.8399999999961</v>
      </c>
      <c r="K42" s="24">
        <f>SUM(K30:K41)</f>
        <v>536.21999999999628</v>
      </c>
      <c r="L42" s="24">
        <f t="shared" ref="L42:O42" si="25">SUM(L30:L41)</f>
        <v>-5724.7399999999961</v>
      </c>
      <c r="M42" s="24">
        <f t="shared" si="25"/>
        <v>-7943.6800000000021</v>
      </c>
      <c r="N42" s="24">
        <f t="shared" si="25"/>
        <v>-690.19999999999811</v>
      </c>
      <c r="O42" s="24">
        <f t="shared" si="25"/>
        <v>-5306.16</v>
      </c>
      <c r="Q42" s="21" t="s">
        <v>196</v>
      </c>
      <c r="R42" s="31"/>
      <c r="S42" s="31"/>
      <c r="T42" s="31"/>
      <c r="U42" s="31"/>
      <c r="V42" s="31"/>
      <c r="W42" s="31"/>
      <c r="Y42" s="4" t="s">
        <v>306</v>
      </c>
      <c r="Z42" s="22">
        <v>-48.2</v>
      </c>
      <c r="AA42" s="22">
        <v>-75.400000000000006</v>
      </c>
      <c r="AB42" s="22">
        <v>-78.5</v>
      </c>
      <c r="AC42" s="22">
        <v>-101.5</v>
      </c>
      <c r="AD42" s="22">
        <v>-114.7</v>
      </c>
      <c r="AE42" s="22">
        <v>-129.4</v>
      </c>
      <c r="AO42" s="21" t="s">
        <v>203</v>
      </c>
      <c r="AP42" s="31"/>
      <c r="AQ42" s="31"/>
      <c r="AR42" s="31"/>
      <c r="AS42" s="31"/>
      <c r="AT42" s="31"/>
      <c r="AU42" s="31"/>
    </row>
    <row r="43" spans="1:47" x14ac:dyDescent="0.3">
      <c r="A43" s="4" t="s">
        <v>363</v>
      </c>
      <c r="B43" s="22">
        <v>-61.07</v>
      </c>
      <c r="C43" s="22">
        <v>-33.28</v>
      </c>
      <c r="D43" s="22">
        <v>-0.35</v>
      </c>
      <c r="E43" s="22">
        <v>0</v>
      </c>
      <c r="F43" s="22">
        <v>0</v>
      </c>
      <c r="G43" s="22">
        <v>0</v>
      </c>
      <c r="I43" s="16" t="s">
        <v>203</v>
      </c>
      <c r="J43" s="25"/>
      <c r="K43" s="25"/>
      <c r="L43" s="25"/>
      <c r="M43" s="25"/>
      <c r="N43" s="25"/>
      <c r="O43" s="25"/>
      <c r="Q43" s="4" t="s">
        <v>198</v>
      </c>
      <c r="R43" s="22">
        <v>11.2424</v>
      </c>
      <c r="S43" s="22">
        <v>0.74250000000000005</v>
      </c>
      <c r="T43" s="22">
        <v>3.1463999999999999</v>
      </c>
      <c r="U43" s="22">
        <v>6.0479000000000003</v>
      </c>
      <c r="V43" s="22">
        <v>7.51</v>
      </c>
      <c r="W43" s="22">
        <v>11.98</v>
      </c>
      <c r="Y43" s="4" t="s">
        <v>307</v>
      </c>
      <c r="Z43" s="22">
        <v>-391.6</v>
      </c>
      <c r="AA43" s="22">
        <v>-414.7</v>
      </c>
      <c r="AB43" s="22">
        <v>-414.6</v>
      </c>
      <c r="AC43" s="22">
        <v>-497.9</v>
      </c>
      <c r="AD43" s="22">
        <v>-664.8</v>
      </c>
      <c r="AE43" s="22">
        <v>-666.2</v>
      </c>
      <c r="AO43" s="4" t="s">
        <v>348</v>
      </c>
      <c r="AP43" s="22">
        <v>0.11</v>
      </c>
      <c r="AQ43" s="22">
        <v>0.05</v>
      </c>
      <c r="AR43" s="22">
        <v>7.0000000000000007E-2</v>
      </c>
      <c r="AS43" s="22">
        <v>7.0000000000000007E-2</v>
      </c>
      <c r="AT43" s="22">
        <v>0.04</v>
      </c>
      <c r="AU43" s="22">
        <v>0.05</v>
      </c>
    </row>
    <row r="44" spans="1:47" x14ac:dyDescent="0.3">
      <c r="A44" s="4" t="s">
        <v>130</v>
      </c>
      <c r="B44" s="22">
        <v>-6.1</v>
      </c>
      <c r="C44" s="22">
        <v>-0.87</v>
      </c>
      <c r="D44" s="22">
        <v>-0.36</v>
      </c>
      <c r="E44" s="22">
        <v>-0.33</v>
      </c>
      <c r="F44" s="22">
        <v>-2</v>
      </c>
      <c r="G44" s="22">
        <v>-2</v>
      </c>
      <c r="I44" s="4" t="s">
        <v>238</v>
      </c>
      <c r="J44" s="22">
        <v>10551.57</v>
      </c>
      <c r="K44" s="22">
        <v>6602.87</v>
      </c>
      <c r="L44" s="22">
        <v>1656.77</v>
      </c>
      <c r="M44" s="22">
        <v>8159.78</v>
      </c>
      <c r="N44" s="22">
        <v>4572.6499999999996</v>
      </c>
      <c r="O44" s="22">
        <v>3361.7</v>
      </c>
      <c r="Q44" s="4" t="s">
        <v>269</v>
      </c>
      <c r="R44" s="22">
        <v>-227.96979999999999</v>
      </c>
      <c r="S44" s="22">
        <v>-308.42840000000001</v>
      </c>
      <c r="T44" s="22">
        <v>-464.86439999999999</v>
      </c>
      <c r="U44" s="22">
        <v>-789.02049999999997</v>
      </c>
      <c r="V44" s="22">
        <v>-315.33</v>
      </c>
      <c r="W44" s="22">
        <v>-460.79</v>
      </c>
      <c r="Y44" s="4" t="s">
        <v>204</v>
      </c>
      <c r="Z44" s="22">
        <v>-160.80000000000001</v>
      </c>
      <c r="AA44" s="22">
        <v>-132.1</v>
      </c>
      <c r="AB44" s="22">
        <v>-134.5</v>
      </c>
      <c r="AC44" s="22">
        <v>-185.3</v>
      </c>
      <c r="AD44" s="22">
        <v>-226.6</v>
      </c>
      <c r="AE44" s="22">
        <v>-348.3</v>
      </c>
      <c r="AO44" s="4" t="s">
        <v>349</v>
      </c>
      <c r="AP44" s="22">
        <v>-383.02</v>
      </c>
      <c r="AQ44" s="22">
        <v>-5.36</v>
      </c>
      <c r="AR44" s="22">
        <v>-19.75</v>
      </c>
      <c r="AS44" s="22">
        <v>-4.2699999999999996</v>
      </c>
      <c r="AT44" s="22">
        <v>-71.989999999999995</v>
      </c>
      <c r="AU44" s="22">
        <v>2.79</v>
      </c>
    </row>
    <row r="45" spans="1:47" x14ac:dyDescent="0.3">
      <c r="A45" s="4" t="s">
        <v>364</v>
      </c>
      <c r="B45" s="22">
        <v>-0.13</v>
      </c>
      <c r="C45" s="22">
        <v>-0.74</v>
      </c>
      <c r="D45" s="22">
        <v>-0.79</v>
      </c>
      <c r="E45" s="22">
        <v>-0.43</v>
      </c>
      <c r="F45" s="22">
        <v>-1</v>
      </c>
      <c r="G45" s="22">
        <v>-1</v>
      </c>
      <c r="I45" s="4" t="s">
        <v>239</v>
      </c>
      <c r="J45" s="22">
        <v>-13893.46</v>
      </c>
      <c r="K45" s="22">
        <v>-10919.87</v>
      </c>
      <c r="L45" s="22">
        <v>-4399.8999999999996</v>
      </c>
      <c r="M45" s="22">
        <v>-2899.63</v>
      </c>
      <c r="N45" s="22">
        <v>-8105.59</v>
      </c>
      <c r="O45" s="22">
        <v>-4343.84</v>
      </c>
      <c r="Q45" s="4" t="s">
        <v>270</v>
      </c>
      <c r="R45" s="22">
        <v>-86.702299999999994</v>
      </c>
      <c r="S45" s="22">
        <v>-618.27670000000001</v>
      </c>
      <c r="T45" s="22">
        <v>-1880.6568</v>
      </c>
      <c r="U45" s="22">
        <v>-43.048499999999997</v>
      </c>
      <c r="V45" s="22">
        <v>-67</v>
      </c>
      <c r="W45" s="22">
        <v>-59.32</v>
      </c>
      <c r="Y45" s="11" t="s">
        <v>308</v>
      </c>
      <c r="Z45" s="24">
        <f>SUM(Z37:Z44)</f>
        <v>-2515.9000000000005</v>
      </c>
      <c r="AA45" s="24">
        <f t="shared" ref="AA45:AE45" si="26">SUM(AA37:AA44)</f>
        <v>-29.799999999999869</v>
      </c>
      <c r="AB45" s="24">
        <f t="shared" si="26"/>
        <v>-242.20000000000005</v>
      </c>
      <c r="AC45" s="24">
        <f t="shared" si="26"/>
        <v>-2686.1000000000004</v>
      </c>
      <c r="AD45" s="24">
        <f t="shared" si="26"/>
        <v>-376.30000000000007</v>
      </c>
      <c r="AE45" s="24">
        <f t="shared" si="26"/>
        <v>1891.0999999999997</v>
      </c>
      <c r="AO45" s="4" t="s">
        <v>350</v>
      </c>
      <c r="AP45" s="22">
        <v>0</v>
      </c>
      <c r="AQ45" s="22">
        <v>-36</v>
      </c>
      <c r="AR45" s="22">
        <v>-2.77</v>
      </c>
      <c r="AS45" s="22">
        <v>0</v>
      </c>
      <c r="AT45" s="22">
        <v>0</v>
      </c>
      <c r="AU45" s="22">
        <v>-43.14</v>
      </c>
    </row>
    <row r="46" spans="1:47" x14ac:dyDescent="0.3">
      <c r="A46" s="4" t="s">
        <v>307</v>
      </c>
      <c r="B46" s="22">
        <v>-1024.1199999999999</v>
      </c>
      <c r="C46" s="22">
        <v>0</v>
      </c>
      <c r="D46" s="22">
        <v>-530.94000000000005</v>
      </c>
      <c r="E46" s="22">
        <v>-796.41</v>
      </c>
      <c r="F46" s="22">
        <v>-796</v>
      </c>
      <c r="G46" s="22">
        <v>-796</v>
      </c>
      <c r="I46" s="4" t="s">
        <v>240</v>
      </c>
      <c r="J46" s="22">
        <v>-212.48</v>
      </c>
      <c r="K46" s="22">
        <v>-185.42</v>
      </c>
      <c r="L46" s="22">
        <v>-128.65</v>
      </c>
      <c r="M46" s="22">
        <v>-134.62</v>
      </c>
      <c r="N46" s="22">
        <v>-123.1</v>
      </c>
      <c r="O46" s="22">
        <v>-134.51</v>
      </c>
      <c r="Q46" s="4" t="s">
        <v>236</v>
      </c>
      <c r="R46" s="22">
        <v>4.2824999999999998</v>
      </c>
      <c r="S46" s="22">
        <v>0.42470000000000002</v>
      </c>
      <c r="T46" s="22">
        <v>-1158.7545</v>
      </c>
      <c r="U46" s="22">
        <v>-877.58770000000004</v>
      </c>
      <c r="V46" s="22">
        <v>0</v>
      </c>
      <c r="W46" s="22">
        <v>7.99</v>
      </c>
      <c r="Y46" s="11" t="s">
        <v>207</v>
      </c>
      <c r="Z46" s="24">
        <f>Z26+Z35+Z45</f>
        <v>-24.099999999999454</v>
      </c>
      <c r="AA46" s="24">
        <f t="shared" ref="AA46:AE46" si="27">AA26+AA35+AA45</f>
        <v>1274.5000000000016</v>
      </c>
      <c r="AB46" s="24">
        <f t="shared" si="27"/>
        <v>-69.5499999999995</v>
      </c>
      <c r="AC46" s="24">
        <f t="shared" si="27"/>
        <v>-935.90000000000055</v>
      </c>
      <c r="AD46" s="24">
        <f t="shared" si="27"/>
        <v>138.69999999999993</v>
      </c>
      <c r="AE46" s="24">
        <f t="shared" si="27"/>
        <v>726.19999999999368</v>
      </c>
      <c r="AO46" s="4" t="s">
        <v>351</v>
      </c>
      <c r="AP46" s="22">
        <v>21.83</v>
      </c>
      <c r="AQ46" s="22">
        <v>0</v>
      </c>
      <c r="AR46" s="22">
        <v>0</v>
      </c>
      <c r="AS46" s="22">
        <v>0</v>
      </c>
      <c r="AT46" s="22">
        <v>0</v>
      </c>
      <c r="AU46" s="22">
        <v>0</v>
      </c>
    </row>
    <row r="47" spans="1:47" x14ac:dyDescent="0.3">
      <c r="A47" s="11" t="s">
        <v>206</v>
      </c>
      <c r="B47" s="24">
        <f>SUM(B43:B46)</f>
        <v>-1091.4199999999998</v>
      </c>
      <c r="C47" s="24">
        <f t="shared" ref="C47:G47" si="28">SUM(C43:C46)</f>
        <v>-34.89</v>
      </c>
      <c r="D47" s="24">
        <f t="shared" si="28"/>
        <v>-532.44000000000005</v>
      </c>
      <c r="E47" s="24">
        <f t="shared" si="28"/>
        <v>-797.17</v>
      </c>
      <c r="F47" s="24">
        <f t="shared" si="28"/>
        <v>-799</v>
      </c>
      <c r="G47" s="24">
        <f t="shared" si="28"/>
        <v>-799</v>
      </c>
      <c r="I47" s="4" t="s">
        <v>241</v>
      </c>
      <c r="J47" s="22">
        <v>218.9</v>
      </c>
      <c r="K47" s="22">
        <v>-172.64</v>
      </c>
      <c r="L47" s="22">
        <v>-185.7</v>
      </c>
      <c r="M47" s="22">
        <v>0</v>
      </c>
      <c r="N47" s="22">
        <v>-77.39</v>
      </c>
      <c r="O47" s="22">
        <v>-2899.85</v>
      </c>
      <c r="Q47" s="4" t="s">
        <v>271</v>
      </c>
      <c r="R47" s="22">
        <v>-3.1385000000000001</v>
      </c>
      <c r="S47" s="22">
        <v>-1.2805</v>
      </c>
      <c r="T47" s="22">
        <v>1677.9</v>
      </c>
      <c r="U47" s="22">
        <v>712.24270000000001</v>
      </c>
      <c r="V47" s="22">
        <v>-6.88</v>
      </c>
      <c r="W47" s="22">
        <v>-10.65</v>
      </c>
      <c r="Y47" s="4" t="s">
        <v>309</v>
      </c>
      <c r="Z47" s="22">
        <v>-2.5</v>
      </c>
      <c r="AA47" s="22">
        <v>11.3</v>
      </c>
      <c r="AB47" s="22">
        <v>73.3</v>
      </c>
      <c r="AC47" s="22">
        <v>28.6</v>
      </c>
      <c r="AD47" s="22">
        <v>-5.9</v>
      </c>
      <c r="AE47" s="22">
        <v>22.4</v>
      </c>
      <c r="AO47" s="4" t="s">
        <v>352</v>
      </c>
      <c r="AP47" s="22">
        <v>51.92</v>
      </c>
      <c r="AQ47" s="22">
        <v>-132.26</v>
      </c>
      <c r="AR47" s="22">
        <v>34.979999999999997</v>
      </c>
      <c r="AS47" s="22">
        <v>-308</v>
      </c>
      <c r="AT47" s="22">
        <v>-300.45999999999998</v>
      </c>
      <c r="AU47" s="22">
        <v>-98.01</v>
      </c>
    </row>
    <row r="48" spans="1:47" x14ac:dyDescent="0.3">
      <c r="A48" s="11" t="s">
        <v>207</v>
      </c>
      <c r="B48" s="24">
        <f t="shared" ref="B48:G48" si="29">SUM(B31,B41,B47)</f>
        <v>41.050000000000182</v>
      </c>
      <c r="C48" s="24">
        <f t="shared" si="29"/>
        <v>1987.1699999999996</v>
      </c>
      <c r="D48" s="24">
        <f t="shared" si="29"/>
        <v>-815.5600000000004</v>
      </c>
      <c r="E48" s="24">
        <f t="shared" si="29"/>
        <v>-1045.0600000000004</v>
      </c>
      <c r="F48" s="24">
        <f t="shared" si="29"/>
        <v>193</v>
      </c>
      <c r="G48" s="24">
        <f t="shared" si="29"/>
        <v>50</v>
      </c>
      <c r="I48" s="4" t="s">
        <v>242</v>
      </c>
      <c r="J48" s="22">
        <v>-425</v>
      </c>
      <c r="K48" s="22">
        <v>425</v>
      </c>
      <c r="L48" s="22">
        <v>106.42</v>
      </c>
      <c r="M48" s="22">
        <v>-130.49</v>
      </c>
      <c r="N48" s="22">
        <v>143.01</v>
      </c>
      <c r="O48" s="22">
        <v>-48.2</v>
      </c>
      <c r="Q48" s="4" t="s">
        <v>272</v>
      </c>
      <c r="R48" s="22">
        <v>0.23350000000000001</v>
      </c>
      <c r="S48" s="22">
        <v>-0.31859999999999999</v>
      </c>
      <c r="T48" s="22">
        <v>0</v>
      </c>
      <c r="U48" s="22">
        <v>-3.8273000000000001</v>
      </c>
      <c r="V48" s="22">
        <v>-1592.17</v>
      </c>
      <c r="W48" s="22">
        <v>-5471.37</v>
      </c>
      <c r="Y48" s="4" t="s">
        <v>208</v>
      </c>
      <c r="Z48" s="22">
        <v>222.8</v>
      </c>
      <c r="AA48" s="22">
        <f>Z49</f>
        <v>196.20000000000056</v>
      </c>
      <c r="AB48" s="22">
        <f t="shared" ref="AB48:AE48" si="30">AA49</f>
        <v>1482.000000000002</v>
      </c>
      <c r="AC48" s="22">
        <f t="shared" si="30"/>
        <v>1485.7500000000025</v>
      </c>
      <c r="AD48" s="22">
        <f t="shared" si="30"/>
        <v>578.45000000000198</v>
      </c>
      <c r="AE48" s="22">
        <f t="shared" si="30"/>
        <v>711.25000000000193</v>
      </c>
      <c r="AO48" s="4" t="s">
        <v>353</v>
      </c>
      <c r="AP48" s="22">
        <v>-75.83</v>
      </c>
      <c r="AQ48" s="22">
        <v>-84.33</v>
      </c>
      <c r="AR48" s="22">
        <v>-92.1</v>
      </c>
      <c r="AS48" s="22">
        <v>-133.69</v>
      </c>
      <c r="AT48" s="22">
        <v>0</v>
      </c>
      <c r="AU48" s="22">
        <v>11.96</v>
      </c>
    </row>
    <row r="49" spans="1:47" x14ac:dyDescent="0.3">
      <c r="A49" s="4" t="s">
        <v>208</v>
      </c>
      <c r="B49" s="22">
        <v>2.1</v>
      </c>
      <c r="C49" s="22">
        <f>B50</f>
        <v>43.150000000000183</v>
      </c>
      <c r="D49" s="22">
        <f t="shared" ref="D49:G49" si="31">C50</f>
        <v>2030.3199999999997</v>
      </c>
      <c r="E49" s="22">
        <f t="shared" si="31"/>
        <v>1214.7599999999993</v>
      </c>
      <c r="F49" s="22">
        <f t="shared" si="31"/>
        <v>169.69999999999891</v>
      </c>
      <c r="G49" s="22">
        <f t="shared" si="31"/>
        <v>362.69999999999891</v>
      </c>
      <c r="I49" s="4" t="s">
        <v>130</v>
      </c>
      <c r="J49" s="22">
        <v>-271.89</v>
      </c>
      <c r="K49" s="22">
        <v>-144.25</v>
      </c>
      <c r="L49" s="22">
        <v>-73.209999999999994</v>
      </c>
      <c r="M49" s="22">
        <v>-99.24</v>
      </c>
      <c r="N49" s="22">
        <v>-219.03</v>
      </c>
      <c r="O49" s="22">
        <v>-223.82</v>
      </c>
      <c r="Q49" s="4" t="s">
        <v>273</v>
      </c>
      <c r="R49" s="22">
        <v>-169.18090000000001</v>
      </c>
      <c r="S49" s="22">
        <v>-339.75779999999997</v>
      </c>
      <c r="T49" s="22">
        <v>-27</v>
      </c>
      <c r="U49" s="22">
        <v>0</v>
      </c>
      <c r="V49" s="22">
        <v>544.89</v>
      </c>
      <c r="W49" s="22">
        <v>6199.48</v>
      </c>
      <c r="Y49" s="11" t="s">
        <v>209</v>
      </c>
      <c r="Z49" s="24">
        <f>SUM(Z46:Z48)</f>
        <v>196.20000000000056</v>
      </c>
      <c r="AA49" s="24">
        <f t="shared" ref="AA49:AE49" si="32">SUM(AA46:AA48)</f>
        <v>1482.000000000002</v>
      </c>
      <c r="AB49" s="24">
        <f t="shared" si="32"/>
        <v>1485.7500000000025</v>
      </c>
      <c r="AC49" s="24">
        <f t="shared" si="32"/>
        <v>578.45000000000198</v>
      </c>
      <c r="AD49" s="24">
        <f t="shared" si="32"/>
        <v>711.25000000000193</v>
      </c>
      <c r="AE49" s="24">
        <f t="shared" si="32"/>
        <v>1459.8499999999956</v>
      </c>
      <c r="AO49" s="4" t="s">
        <v>354</v>
      </c>
      <c r="AP49" s="22">
        <v>211.63</v>
      </c>
      <c r="AQ49" s="22">
        <v>70.489999999999995</v>
      </c>
      <c r="AR49" s="22">
        <v>0</v>
      </c>
      <c r="AS49" s="22">
        <v>0</v>
      </c>
      <c r="AT49" s="22">
        <v>0</v>
      </c>
      <c r="AU49" s="22">
        <v>0</v>
      </c>
    </row>
    <row r="50" spans="1:47" x14ac:dyDescent="0.3">
      <c r="A50" s="11" t="s">
        <v>209</v>
      </c>
      <c r="B50" s="24">
        <f>B48+B49</f>
        <v>43.150000000000183</v>
      </c>
      <c r="C50" s="24">
        <f t="shared" ref="C50:G50" si="33">C48+C49</f>
        <v>2030.3199999999997</v>
      </c>
      <c r="D50" s="24">
        <f t="shared" si="33"/>
        <v>1214.7599999999993</v>
      </c>
      <c r="E50" s="24">
        <f t="shared" si="33"/>
        <v>169.69999999999891</v>
      </c>
      <c r="F50" s="24">
        <f t="shared" si="33"/>
        <v>362.69999999999891</v>
      </c>
      <c r="G50" s="24">
        <f t="shared" si="33"/>
        <v>412.69999999999891</v>
      </c>
      <c r="I50" s="4" t="s">
        <v>243</v>
      </c>
      <c r="J50" s="22">
        <v>-20.149999999999999</v>
      </c>
      <c r="K50" s="22">
        <v>-26.7</v>
      </c>
      <c r="L50" s="22">
        <v>-10.27</v>
      </c>
      <c r="M50" s="22">
        <v>-0.85</v>
      </c>
      <c r="N50" s="22">
        <v>-2.54</v>
      </c>
      <c r="O50" s="22">
        <v>-3.33</v>
      </c>
      <c r="Q50" s="4" t="s">
        <v>83</v>
      </c>
      <c r="R50" s="22">
        <v>5.2972000000000001</v>
      </c>
      <c r="S50" s="22">
        <v>10.270099999999999</v>
      </c>
      <c r="T50" s="22">
        <v>0</v>
      </c>
      <c r="U50" s="22">
        <v>-20.077000000000002</v>
      </c>
      <c r="V50" s="22">
        <v>0</v>
      </c>
      <c r="W50" s="22">
        <v>562.46</v>
      </c>
      <c r="AO50" s="4" t="s">
        <v>279</v>
      </c>
      <c r="AP50" s="22">
        <v>-1947.74</v>
      </c>
      <c r="AQ50" s="22">
        <v>-1021.75</v>
      </c>
      <c r="AR50" s="22">
        <v>-1041.21</v>
      </c>
      <c r="AS50" s="22">
        <v>-43.9</v>
      </c>
      <c r="AT50" s="22">
        <v>-77.02</v>
      </c>
      <c r="AU50" s="22">
        <v>-80.23</v>
      </c>
    </row>
    <row r="51" spans="1:47" x14ac:dyDescent="0.3">
      <c r="I51" s="4" t="s">
        <v>205</v>
      </c>
      <c r="J51" s="22">
        <v>-1379.19</v>
      </c>
      <c r="K51" s="22">
        <v>-1559.47</v>
      </c>
      <c r="L51" s="22">
        <v>-2158.92</v>
      </c>
      <c r="M51" s="22">
        <v>-2518.88</v>
      </c>
      <c r="N51" s="22">
        <v>-2898.17</v>
      </c>
      <c r="O51" s="22">
        <v>-3613.97</v>
      </c>
      <c r="Q51" s="4" t="s">
        <v>274</v>
      </c>
      <c r="R51" s="22">
        <v>13.886900000000001</v>
      </c>
      <c r="S51" s="22">
        <v>0</v>
      </c>
      <c r="T51" s="22">
        <v>1.8E-3</v>
      </c>
      <c r="U51" s="22">
        <v>2.3999999999999998E-3</v>
      </c>
      <c r="V51" s="22">
        <f>-31.33-1.23-667.59+7.39</f>
        <v>-692.76</v>
      </c>
      <c r="W51" s="22">
        <f>-20.82-1.09+188.34+5.63-13702.7</f>
        <v>-13530.640000000001</v>
      </c>
      <c r="AO51" s="4" t="s">
        <v>204</v>
      </c>
      <c r="AP51" s="22">
        <v>-163.52000000000001</v>
      </c>
      <c r="AQ51" s="22">
        <v>-120.74</v>
      </c>
      <c r="AR51" s="22">
        <v>-75.66</v>
      </c>
      <c r="AS51" s="22">
        <v>-65</v>
      </c>
      <c r="AT51" s="22">
        <v>-64.83</v>
      </c>
      <c r="AU51" s="22">
        <v>-36.380000000000003</v>
      </c>
    </row>
    <row r="52" spans="1:47" x14ac:dyDescent="0.3">
      <c r="I52" s="4" t="s">
        <v>244</v>
      </c>
      <c r="J52" s="22">
        <v>-283.45</v>
      </c>
      <c r="K52" s="22">
        <v>0</v>
      </c>
      <c r="L52" s="22">
        <v>0</v>
      </c>
      <c r="M52" s="22">
        <v>0</v>
      </c>
      <c r="N52" s="22">
        <v>0</v>
      </c>
      <c r="O52" s="22">
        <v>0</v>
      </c>
      <c r="Q52" s="4" t="s">
        <v>199</v>
      </c>
      <c r="R52" s="22">
        <v>12.895099999999999</v>
      </c>
      <c r="S52" s="22">
        <v>38.302399999999999</v>
      </c>
      <c r="T52" s="22">
        <f>17.3588-0.0963+430.153+20.7442+12.9234</f>
        <v>481.0831</v>
      </c>
      <c r="U52" s="22">
        <f>-0.4094-44.9711-6.2442+12.764</f>
        <v>-38.860699999999994</v>
      </c>
      <c r="V52" s="22">
        <v>40.049999999999997</v>
      </c>
      <c r="W52" s="22">
        <v>67.91</v>
      </c>
      <c r="AO52" s="4" t="s">
        <v>205</v>
      </c>
      <c r="AP52" s="22">
        <v>-564.26</v>
      </c>
      <c r="AQ52" s="22">
        <v>0</v>
      </c>
      <c r="AR52" s="22">
        <v>-403.35</v>
      </c>
      <c r="AS52" s="22">
        <v>-403.5</v>
      </c>
      <c r="AT52" s="22">
        <v>-686.17</v>
      </c>
      <c r="AU52" s="22">
        <v>-1049.83</v>
      </c>
    </row>
    <row r="53" spans="1:47" x14ac:dyDescent="0.3">
      <c r="I53" s="11" t="s">
        <v>245</v>
      </c>
      <c r="J53" s="24">
        <f>SUM(J44:J52)</f>
        <v>-5715.1499999999987</v>
      </c>
      <c r="K53" s="24">
        <f t="shared" ref="K53:O53" si="34">SUM(K44:K52)</f>
        <v>-5980.4800000000014</v>
      </c>
      <c r="L53" s="24">
        <f t="shared" si="34"/>
        <v>-5193.4599999999991</v>
      </c>
      <c r="M53" s="24">
        <f t="shared" si="34"/>
        <v>2376.0699999999997</v>
      </c>
      <c r="N53" s="24">
        <f t="shared" si="34"/>
        <v>-6710.16</v>
      </c>
      <c r="O53" s="24">
        <f t="shared" si="34"/>
        <v>-7905.82</v>
      </c>
      <c r="Q53" s="11" t="s">
        <v>275</v>
      </c>
      <c r="R53" s="24">
        <f>SUM(R43:R52)</f>
        <v>-439.15389999999996</v>
      </c>
      <c r="S53" s="24">
        <f t="shared" ref="S53:W53" si="35">SUM(S43:S52)</f>
        <v>-1218.3223</v>
      </c>
      <c r="T53" s="24">
        <f t="shared" si="35"/>
        <v>-1369.1443999999999</v>
      </c>
      <c r="U53" s="24">
        <f t="shared" si="35"/>
        <v>-1054.1287</v>
      </c>
      <c r="V53" s="24">
        <f t="shared" si="35"/>
        <v>-2081.6899999999996</v>
      </c>
      <c r="W53" s="24">
        <f t="shared" si="35"/>
        <v>-12682.95</v>
      </c>
      <c r="AO53" s="4" t="s">
        <v>355</v>
      </c>
      <c r="AP53" s="22">
        <v>-99.94</v>
      </c>
      <c r="AQ53" s="22">
        <v>0</v>
      </c>
      <c r="AR53" s="22">
        <v>0</v>
      </c>
      <c r="AS53" s="22">
        <v>0</v>
      </c>
      <c r="AT53" s="22">
        <v>0</v>
      </c>
      <c r="AU53" s="22">
        <v>0</v>
      </c>
    </row>
    <row r="54" spans="1:47" x14ac:dyDescent="0.3">
      <c r="I54" s="11" t="s">
        <v>207</v>
      </c>
      <c r="J54" s="24">
        <f>J28+J42+J53</f>
        <v>-1749.2199999999925</v>
      </c>
      <c r="K54" s="24">
        <f t="shared" ref="K54:O54" si="36">K28+K42+K53</f>
        <v>725.97999999999502</v>
      </c>
      <c r="L54" s="24">
        <f t="shared" si="36"/>
        <v>-1573.6599999999962</v>
      </c>
      <c r="M54" s="24">
        <f t="shared" si="36"/>
        <v>-608.28000000000611</v>
      </c>
      <c r="N54" s="24">
        <f t="shared" si="36"/>
        <v>4734.6199999999972</v>
      </c>
      <c r="O54" s="24">
        <f t="shared" si="36"/>
        <v>860.1100000000024</v>
      </c>
      <c r="Q54" s="21" t="s">
        <v>203</v>
      </c>
      <c r="R54" s="31"/>
      <c r="S54" s="31"/>
      <c r="T54" s="31"/>
      <c r="U54" s="31"/>
      <c r="V54" s="31"/>
      <c r="W54" s="31"/>
      <c r="AO54" s="11" t="s">
        <v>308</v>
      </c>
      <c r="AP54" s="24">
        <f>SUM(AP43:AP53)</f>
        <v>-2948.82</v>
      </c>
      <c r="AQ54" s="24">
        <f t="shared" ref="AQ54:AU54" si="37">SUM(AQ43:AQ53)</f>
        <v>-1329.8999999999999</v>
      </c>
      <c r="AR54" s="24">
        <f t="shared" si="37"/>
        <v>-1599.79</v>
      </c>
      <c r="AS54" s="24">
        <f t="shared" si="37"/>
        <v>-958.29</v>
      </c>
      <c r="AT54" s="24">
        <f t="shared" si="37"/>
        <v>-1200.4299999999998</v>
      </c>
      <c r="AU54" s="24">
        <f t="shared" si="37"/>
        <v>-1292.79</v>
      </c>
    </row>
    <row r="55" spans="1:47" x14ac:dyDescent="0.3">
      <c r="I55" s="4" t="s">
        <v>208</v>
      </c>
      <c r="J55" s="22">
        <v>7062.3</v>
      </c>
      <c r="K55" s="22">
        <f>J57</f>
        <v>5676.6000000000076</v>
      </c>
      <c r="L55" s="22">
        <f t="shared" ref="L55:O55" si="38">K57</f>
        <v>6272.8900000000031</v>
      </c>
      <c r="M55" s="22">
        <f t="shared" si="38"/>
        <v>4868.1100000000069</v>
      </c>
      <c r="N55" s="22">
        <f t="shared" si="38"/>
        <v>4983.5900000000011</v>
      </c>
      <c r="O55" s="22">
        <f t="shared" si="38"/>
        <v>9645.5099999999984</v>
      </c>
      <c r="Q55" s="4" t="s">
        <v>130</v>
      </c>
      <c r="R55" s="22">
        <v>-21.971800000000002</v>
      </c>
      <c r="S55" s="22">
        <v>-16.773</v>
      </c>
      <c r="T55" s="22">
        <v>-17.306899999999999</v>
      </c>
      <c r="U55" s="22">
        <v>-41.481900000000003</v>
      </c>
      <c r="V55" s="22">
        <v>0</v>
      </c>
      <c r="W55" s="22">
        <v>2963.23</v>
      </c>
      <c r="AO55" s="11" t="s">
        <v>207</v>
      </c>
      <c r="AP55" s="24">
        <f>AP27+AP41+AP54</f>
        <v>223.66999999999871</v>
      </c>
      <c r="AQ55" s="24">
        <f t="shared" ref="AQ55:AU55" si="39">AQ27+AQ41+AQ54</f>
        <v>38.119999999997844</v>
      </c>
      <c r="AR55" s="24">
        <f t="shared" si="39"/>
        <v>-145.77000000000021</v>
      </c>
      <c r="AS55" s="24">
        <f t="shared" si="39"/>
        <v>-109.15000000000009</v>
      </c>
      <c r="AT55" s="24">
        <f t="shared" si="39"/>
        <v>-55.150000000000091</v>
      </c>
      <c r="AU55" s="24">
        <f t="shared" si="39"/>
        <v>21.050000000001091</v>
      </c>
    </row>
    <row r="56" spans="1:47" x14ac:dyDescent="0.3">
      <c r="I56" s="4" t="s">
        <v>246</v>
      </c>
      <c r="J56" s="22">
        <v>363.52</v>
      </c>
      <c r="K56" s="22">
        <v>-129.69</v>
      </c>
      <c r="L56" s="22">
        <f>41.45+127.43</f>
        <v>168.88</v>
      </c>
      <c r="M56" s="22">
        <f>566.69+157.07</f>
        <v>723.76</v>
      </c>
      <c r="N56" s="22">
        <f>1.29-73.99</f>
        <v>-72.699999999999989</v>
      </c>
      <c r="O56" s="22">
        <f>-0.03+123.04</f>
        <v>123.01</v>
      </c>
      <c r="Q56" s="4" t="s">
        <v>276</v>
      </c>
      <c r="R56" s="22">
        <v>13.879200000000001</v>
      </c>
      <c r="S56" s="22">
        <v>126.78230000000001</v>
      </c>
      <c r="T56" s="22">
        <v>1272.3271</v>
      </c>
      <c r="U56" s="22">
        <v>1094.7348</v>
      </c>
      <c r="V56" s="22">
        <v>-25.38</v>
      </c>
      <c r="W56" s="22">
        <v>-96.7</v>
      </c>
      <c r="AO56" s="4" t="s">
        <v>208</v>
      </c>
      <c r="AP56" s="22">
        <v>508.36</v>
      </c>
      <c r="AQ56" s="22">
        <f>AP58</f>
        <v>742.37999999999874</v>
      </c>
      <c r="AR56" s="22">
        <f t="shared" ref="AR56:AU56" si="40">AQ58</f>
        <v>793.28999999999655</v>
      </c>
      <c r="AS56" s="22">
        <f t="shared" si="40"/>
        <v>660.96999999999639</v>
      </c>
      <c r="AT56" s="22">
        <f t="shared" si="40"/>
        <v>564.1899999999963</v>
      </c>
      <c r="AU56" s="22">
        <f t="shared" si="40"/>
        <v>514.59999999999616</v>
      </c>
    </row>
    <row r="57" spans="1:47" x14ac:dyDescent="0.3">
      <c r="I57" s="11" t="s">
        <v>209</v>
      </c>
      <c r="J57" s="24">
        <f>SUM(J54:J56)</f>
        <v>5676.6000000000076</v>
      </c>
      <c r="K57" s="24">
        <f t="shared" ref="K57:O57" si="41">SUM(K54:K56)</f>
        <v>6272.8900000000031</v>
      </c>
      <c r="L57" s="24">
        <f t="shared" si="41"/>
        <v>4868.1100000000069</v>
      </c>
      <c r="M57" s="24">
        <f t="shared" si="41"/>
        <v>4983.5900000000011</v>
      </c>
      <c r="N57" s="24">
        <f t="shared" si="41"/>
        <v>9645.5099999999984</v>
      </c>
      <c r="O57" s="24">
        <f t="shared" si="41"/>
        <v>10628.630000000001</v>
      </c>
      <c r="Q57" s="4" t="s">
        <v>277</v>
      </c>
      <c r="R57" s="22">
        <v>61.042200000000001</v>
      </c>
      <c r="S57" s="22">
        <v>452.15809999999999</v>
      </c>
      <c r="T57" s="22">
        <v>5.8594999999999997</v>
      </c>
      <c r="U57" s="22">
        <v>3.8451</v>
      </c>
      <c r="V57" s="22">
        <v>374.61</v>
      </c>
      <c r="W57" s="22">
        <v>6562.21</v>
      </c>
      <c r="AO57" s="4" t="s">
        <v>356</v>
      </c>
      <c r="AP57" s="22">
        <v>10.35</v>
      </c>
      <c r="AQ57" s="22">
        <v>12.79</v>
      </c>
      <c r="AR57" s="22">
        <v>13.45</v>
      </c>
      <c r="AS57" s="22">
        <v>12.37</v>
      </c>
      <c r="AT57" s="22">
        <v>5.56</v>
      </c>
      <c r="AU57" s="22">
        <v>9.26</v>
      </c>
    </row>
    <row r="58" spans="1:47" x14ac:dyDescent="0.3">
      <c r="Q58" s="4" t="s">
        <v>278</v>
      </c>
      <c r="R58" s="22">
        <v>-211.06309999999999</v>
      </c>
      <c r="S58" s="22">
        <v>-12.458600000000001</v>
      </c>
      <c r="T58" s="22">
        <v>-645.35059999999999</v>
      </c>
      <c r="U58" s="22">
        <v>-1764.152</v>
      </c>
      <c r="V58" s="22">
        <v>26.09</v>
      </c>
      <c r="W58" s="22">
        <v>5889.07</v>
      </c>
      <c r="AO58" s="11" t="s">
        <v>209</v>
      </c>
      <c r="AP58" s="24">
        <f>SUM(AP55:AP57)</f>
        <v>742.37999999999874</v>
      </c>
      <c r="AQ58" s="24">
        <f t="shared" ref="AQ58:AU58" si="42">SUM(AQ55:AQ57)</f>
        <v>793.28999999999655</v>
      </c>
      <c r="AR58" s="24">
        <f t="shared" si="42"/>
        <v>660.96999999999639</v>
      </c>
      <c r="AS58" s="24">
        <f t="shared" si="42"/>
        <v>564.1899999999963</v>
      </c>
      <c r="AT58" s="24">
        <f t="shared" si="42"/>
        <v>514.59999999999616</v>
      </c>
      <c r="AU58" s="24">
        <f t="shared" si="42"/>
        <v>544.90999999999724</v>
      </c>
    </row>
    <row r="59" spans="1:47" x14ac:dyDescent="0.3">
      <c r="Q59" s="4" t="s">
        <v>279</v>
      </c>
      <c r="R59" s="22">
        <v>-3.5203000000000002</v>
      </c>
      <c r="S59" s="22">
        <v>-458.87</v>
      </c>
      <c r="T59" s="22">
        <v>-8.5906000000000002</v>
      </c>
      <c r="U59" s="22">
        <v>-29.671099999999999</v>
      </c>
      <c r="V59" s="22">
        <v>-339.81</v>
      </c>
      <c r="W59" s="22">
        <v>-4479.93</v>
      </c>
    </row>
    <row r="60" spans="1:47" x14ac:dyDescent="0.3">
      <c r="Q60" s="4" t="s">
        <v>280</v>
      </c>
      <c r="R60" s="22">
        <v>-1.0688</v>
      </c>
      <c r="S60" s="22">
        <v>-1.4532</v>
      </c>
      <c r="T60" s="22">
        <v>-1.8384</v>
      </c>
      <c r="U60" s="22">
        <v>-2.5537999999999998</v>
      </c>
      <c r="V60" s="22">
        <v>-26.93</v>
      </c>
      <c r="W60" s="22">
        <v>-593.14</v>
      </c>
    </row>
    <row r="61" spans="1:47" x14ac:dyDescent="0.3">
      <c r="Q61" s="4" t="s">
        <v>281</v>
      </c>
      <c r="R61" s="22">
        <v>-364.26600000000002</v>
      </c>
      <c r="S61" s="22">
        <v>0</v>
      </c>
      <c r="T61" s="22">
        <v>-0.47949999999999998</v>
      </c>
      <c r="U61" s="22">
        <v>-0.44919999999999999</v>
      </c>
      <c r="V61" s="22">
        <f>-2.52-0.79</f>
        <v>-3.31</v>
      </c>
      <c r="W61" s="22">
        <f>-10.75-1.43</f>
        <v>-12.18</v>
      </c>
    </row>
    <row r="62" spans="1:47" x14ac:dyDescent="0.3">
      <c r="Q62" s="11" t="s">
        <v>245</v>
      </c>
      <c r="R62" s="24">
        <f>SUM(R55:R61)</f>
        <v>-526.96860000000004</v>
      </c>
      <c r="S62" s="24">
        <f t="shared" ref="S62:W62" si="43">SUM(S55:S61)</f>
        <v>89.385599999999997</v>
      </c>
      <c r="T62" s="24">
        <f t="shared" si="43"/>
        <v>604.62059999999997</v>
      </c>
      <c r="U62" s="24">
        <f t="shared" si="43"/>
        <v>-739.72810000000015</v>
      </c>
      <c r="V62" s="24">
        <f t="shared" si="43"/>
        <v>5.2699999999999907</v>
      </c>
      <c r="W62" s="24">
        <f t="shared" si="43"/>
        <v>10232.56</v>
      </c>
    </row>
    <row r="63" spans="1:47" x14ac:dyDescent="0.3">
      <c r="Q63" s="11" t="s">
        <v>207</v>
      </c>
      <c r="R63" s="24">
        <f>R41+R53+R62</f>
        <v>106.08150000000012</v>
      </c>
      <c r="S63" s="24">
        <f t="shared" ref="S63:W63" si="44">S41+S53+S62</f>
        <v>40.793699999999873</v>
      </c>
      <c r="T63" s="24">
        <f t="shared" si="44"/>
        <v>155.25510000000077</v>
      </c>
      <c r="U63" s="24">
        <f t="shared" si="44"/>
        <v>18.795099999998797</v>
      </c>
      <c r="V63" s="24">
        <f t="shared" si="44"/>
        <v>76.040000000000433</v>
      </c>
      <c r="W63" s="24">
        <f t="shared" si="44"/>
        <v>-37.010000000002037</v>
      </c>
    </row>
    <row r="64" spans="1:47" x14ac:dyDescent="0.3">
      <c r="Q64" s="4" t="s">
        <v>282</v>
      </c>
      <c r="R64" s="22">
        <v>3.6034999999999999</v>
      </c>
      <c r="S64" s="22">
        <v>0.37519999999999998</v>
      </c>
      <c r="T64" s="22">
        <v>0.47789999999999999</v>
      </c>
      <c r="U64" s="22">
        <v>2.3153999999999999</v>
      </c>
      <c r="V64" s="22">
        <v>1.17</v>
      </c>
      <c r="W64" s="22">
        <v>1.31</v>
      </c>
    </row>
    <row r="65" spans="17:23" x14ac:dyDescent="0.3">
      <c r="Q65" s="4" t="s">
        <v>283</v>
      </c>
      <c r="R65" s="22">
        <v>0</v>
      </c>
      <c r="S65" s="22">
        <v>-100.0622</v>
      </c>
      <c r="T65" s="22">
        <v>0</v>
      </c>
      <c r="U65" s="22">
        <v>0</v>
      </c>
      <c r="V65" s="22">
        <v>0</v>
      </c>
      <c r="W65" s="22">
        <f>-9.4+66.97</f>
        <v>57.57</v>
      </c>
    </row>
    <row r="66" spans="17:23" x14ac:dyDescent="0.3">
      <c r="Q66" s="4" t="s">
        <v>208</v>
      </c>
      <c r="R66" s="22">
        <v>116.3903</v>
      </c>
      <c r="S66" s="22">
        <f>R67</f>
        <v>226.07530000000011</v>
      </c>
      <c r="T66" s="22">
        <v>127.3274</v>
      </c>
      <c r="U66" s="22">
        <f t="shared" ref="U66:W66" si="45">T67</f>
        <v>283.06040000000075</v>
      </c>
      <c r="V66" s="22">
        <v>304.8</v>
      </c>
      <c r="W66" s="22">
        <f t="shared" si="45"/>
        <v>382.01000000000045</v>
      </c>
    </row>
    <row r="67" spans="17:23" x14ac:dyDescent="0.3">
      <c r="Q67" s="11" t="s">
        <v>209</v>
      </c>
      <c r="R67" s="24">
        <f>SUM(R63:R66)</f>
        <v>226.07530000000011</v>
      </c>
      <c r="S67" s="24">
        <f t="shared" ref="S67:W67" si="46">SUM(S63:S66)</f>
        <v>167.18199999999999</v>
      </c>
      <c r="T67" s="24">
        <f t="shared" si="46"/>
        <v>283.06040000000075</v>
      </c>
      <c r="U67" s="24">
        <f t="shared" si="46"/>
        <v>304.17089999999956</v>
      </c>
      <c r="V67" s="24">
        <f t="shared" si="46"/>
        <v>382.01000000000045</v>
      </c>
      <c r="W67" s="24">
        <f t="shared" si="46"/>
        <v>403.8799999999984</v>
      </c>
    </row>
  </sheetData>
  <mergeCells count="6">
    <mergeCell ref="AO2:AU2"/>
    <mergeCell ref="A2:G2"/>
    <mergeCell ref="I2:O2"/>
    <mergeCell ref="Q2:W2"/>
    <mergeCell ref="Y2:AE2"/>
    <mergeCell ref="AG2:AM2"/>
  </mergeCells>
  <pageMargins left="0.7" right="0.7" top="0.75" bottom="0.75" header="0.3" footer="0.3"/>
  <picture r:id="rId1"/>
  <tableParts count="6">
    <tablePart r:id="rId2"/>
    <tablePart r:id="rId3"/>
    <tablePart r:id="rId4"/>
    <tablePart r:id="rId5"/>
    <tablePart r:id="rId6"/>
    <tablePart r:id="rId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1ABCA-AC95-4B48-B41A-BF4B8EE3553E}">
  <dimension ref="A1:AO40"/>
  <sheetViews>
    <sheetView topLeftCell="A7" workbookViewId="0">
      <selection activeCell="AK31" sqref="AK31"/>
    </sheetView>
  </sheetViews>
  <sheetFormatPr defaultRowHeight="14.4" x14ac:dyDescent="0.3"/>
  <cols>
    <col min="1" max="1" width="45.6640625" style="1" bestFit="1" customWidth="1"/>
    <col min="2" max="2" width="9.5546875" style="1" bestFit="1" customWidth="1"/>
    <col min="3" max="6" width="9.6640625" style="1" bestFit="1" customWidth="1"/>
    <col min="7" max="7" width="8.88671875" style="1"/>
    <col min="8" max="8" width="45.6640625" style="1" bestFit="1" customWidth="1"/>
    <col min="9" max="9" width="10.6640625" style="79" bestFit="1" customWidth="1"/>
    <col min="10" max="13" width="9.88671875" style="79" bestFit="1" customWidth="1"/>
    <col min="14" max="14" width="8.88671875" style="1"/>
    <col min="15" max="15" width="45.6640625" style="1" bestFit="1" customWidth="1"/>
    <col min="16" max="20" width="10" style="79" bestFit="1" customWidth="1"/>
    <col min="21" max="21" width="8.88671875" style="1"/>
    <col min="22" max="22" width="45.6640625" style="1" bestFit="1" customWidth="1"/>
    <col min="23" max="23" width="10" style="79" bestFit="1" customWidth="1"/>
    <col min="24" max="27" width="10.6640625" style="79" bestFit="1" customWidth="1"/>
    <col min="28" max="28" width="8.88671875" style="1"/>
    <col min="29" max="29" width="45.6640625" style="1" bestFit="1" customWidth="1"/>
    <col min="30" max="30" width="10" style="1" bestFit="1" customWidth="1"/>
    <col min="31" max="34" width="10.6640625" style="1" bestFit="1" customWidth="1"/>
    <col min="35" max="35" width="8.88671875" style="1"/>
    <col min="36" max="36" width="45.6640625" style="1" bestFit="1" customWidth="1"/>
    <col min="37" max="37" width="10.5546875" style="79" bestFit="1" customWidth="1"/>
    <col min="38" max="41" width="10.6640625" style="79" bestFit="1" customWidth="1"/>
    <col min="42" max="16384" width="8.88671875" style="1"/>
  </cols>
  <sheetData>
    <row r="1" spans="1:41" x14ac:dyDescent="0.3">
      <c r="I1" s="1"/>
      <c r="J1" s="1"/>
      <c r="K1" s="1"/>
      <c r="L1" s="1"/>
      <c r="M1" s="1"/>
      <c r="P1" s="1"/>
      <c r="Q1" s="1"/>
      <c r="R1" s="1"/>
      <c r="S1" s="1"/>
      <c r="T1" s="1"/>
      <c r="W1" s="1"/>
      <c r="X1" s="1"/>
      <c r="Y1" s="1"/>
      <c r="Z1" s="1"/>
      <c r="AA1" s="1"/>
      <c r="AK1" s="1"/>
      <c r="AL1" s="1"/>
      <c r="AM1" s="1"/>
      <c r="AN1" s="1"/>
      <c r="AO1" s="1"/>
    </row>
    <row r="2" spans="1:41" ht="43.8" customHeight="1" x14ac:dyDescent="0.3">
      <c r="A2" s="378" t="e" vm="4">
        <v>#VALUE!</v>
      </c>
      <c r="B2" s="378"/>
      <c r="C2" s="378"/>
      <c r="D2" s="378"/>
      <c r="E2" s="378"/>
      <c r="F2" s="378"/>
      <c r="H2" s="378" t="e" vm="6">
        <v>#VALUE!</v>
      </c>
      <c r="I2" s="378"/>
      <c r="J2" s="378"/>
      <c r="K2" s="378"/>
      <c r="L2" s="378"/>
      <c r="M2" s="378"/>
      <c r="O2" s="378" t="e" vm="5">
        <v>#VALUE!</v>
      </c>
      <c r="P2" s="378"/>
      <c r="Q2" s="378"/>
      <c r="R2" s="378"/>
      <c r="S2" s="378"/>
      <c r="T2" s="378"/>
      <c r="V2" s="378" t="e" vm="3">
        <v>#VALUE!</v>
      </c>
      <c r="W2" s="378"/>
      <c r="X2" s="378"/>
      <c r="Y2" s="378"/>
      <c r="Z2" s="378"/>
      <c r="AA2" s="378"/>
      <c r="AC2" s="378" t="e" vm="1">
        <v>#VALUE!</v>
      </c>
      <c r="AD2" s="378"/>
      <c r="AE2" s="378"/>
      <c r="AF2" s="378"/>
      <c r="AG2" s="378"/>
      <c r="AH2" s="378"/>
      <c r="AJ2" s="378" t="e" vm="2">
        <v>#VALUE!</v>
      </c>
      <c r="AK2" s="378"/>
      <c r="AL2" s="378"/>
      <c r="AM2" s="378"/>
      <c r="AN2" s="378"/>
      <c r="AO2" s="378"/>
    </row>
    <row r="3" spans="1:41" s="94" customFormat="1" x14ac:dyDescent="0.3">
      <c r="A3" s="125" t="s">
        <v>12</v>
      </c>
      <c r="B3" s="126" t="s">
        <v>392</v>
      </c>
      <c r="C3" s="126" t="s">
        <v>407</v>
      </c>
      <c r="D3" s="126" t="s">
        <v>408</v>
      </c>
      <c r="E3" s="126" t="s">
        <v>409</v>
      </c>
      <c r="F3" s="126" t="s">
        <v>410</v>
      </c>
      <c r="H3" s="56" t="s">
        <v>12</v>
      </c>
      <c r="I3" s="55" t="s">
        <v>392</v>
      </c>
      <c r="J3" s="55" t="s">
        <v>407</v>
      </c>
      <c r="K3" s="55" t="s">
        <v>408</v>
      </c>
      <c r="L3" s="55" t="s">
        <v>409</v>
      </c>
      <c r="M3" s="55" t="s">
        <v>410</v>
      </c>
      <c r="O3" s="169" t="s">
        <v>12</v>
      </c>
      <c r="P3" s="170" t="s">
        <v>392</v>
      </c>
      <c r="Q3" s="170" t="s">
        <v>407</v>
      </c>
      <c r="R3" s="170" t="s">
        <v>408</v>
      </c>
      <c r="S3" s="170" t="s">
        <v>409</v>
      </c>
      <c r="T3" s="170" t="s">
        <v>410</v>
      </c>
      <c r="V3" s="357" t="s">
        <v>12</v>
      </c>
      <c r="W3" s="358" t="s">
        <v>392</v>
      </c>
      <c r="X3" s="358" t="s">
        <v>407</v>
      </c>
      <c r="Y3" s="358" t="s">
        <v>408</v>
      </c>
      <c r="Z3" s="358" t="s">
        <v>409</v>
      </c>
      <c r="AA3" s="358" t="s">
        <v>410</v>
      </c>
      <c r="AC3" s="14" t="s">
        <v>12</v>
      </c>
      <c r="AD3" s="15" t="s">
        <v>392</v>
      </c>
      <c r="AE3" s="15" t="s">
        <v>407</v>
      </c>
      <c r="AF3" s="15" t="s">
        <v>408</v>
      </c>
      <c r="AG3" s="15" t="s">
        <v>409</v>
      </c>
      <c r="AH3" s="15" t="s">
        <v>410</v>
      </c>
      <c r="AJ3" s="361" t="s">
        <v>12</v>
      </c>
      <c r="AK3" s="362" t="s">
        <v>392</v>
      </c>
      <c r="AL3" s="362" t="s">
        <v>407</v>
      </c>
      <c r="AM3" s="362" t="s">
        <v>408</v>
      </c>
      <c r="AN3" s="362" t="s">
        <v>409</v>
      </c>
      <c r="AO3" s="362" t="s">
        <v>410</v>
      </c>
    </row>
    <row r="4" spans="1:41" x14ac:dyDescent="0.3">
      <c r="A4" s="16" t="s">
        <v>422</v>
      </c>
      <c r="B4" s="17"/>
      <c r="C4" s="17"/>
      <c r="D4" s="17"/>
      <c r="E4" s="17"/>
      <c r="F4" s="17"/>
      <c r="H4" s="16" t="s">
        <v>422</v>
      </c>
      <c r="I4" s="17"/>
      <c r="J4" s="17"/>
      <c r="K4" s="17"/>
      <c r="L4" s="17"/>
      <c r="M4" s="17"/>
      <c r="O4" s="16" t="s">
        <v>422</v>
      </c>
      <c r="P4" s="17"/>
      <c r="Q4" s="17"/>
      <c r="R4" s="17"/>
      <c r="S4" s="17"/>
      <c r="T4" s="17"/>
      <c r="V4" s="16" t="s">
        <v>422</v>
      </c>
      <c r="W4" s="17"/>
      <c r="X4" s="17"/>
      <c r="Y4" s="17"/>
      <c r="Z4" s="17"/>
      <c r="AA4" s="17"/>
      <c r="AC4" s="112" t="s">
        <v>422</v>
      </c>
      <c r="AD4" s="17"/>
      <c r="AE4" s="17"/>
      <c r="AF4" s="17"/>
      <c r="AG4" s="17"/>
      <c r="AH4" s="171"/>
      <c r="AJ4" s="16" t="s">
        <v>422</v>
      </c>
      <c r="AK4" s="17"/>
      <c r="AL4" s="17"/>
      <c r="AM4" s="17"/>
      <c r="AN4" s="17"/>
      <c r="AO4" s="17"/>
    </row>
    <row r="5" spans="1:41" x14ac:dyDescent="0.3">
      <c r="A5" s="4" t="s">
        <v>134</v>
      </c>
      <c r="B5" s="22">
        <f>'Income Statement Forecast'!B18</f>
        <v>3174.0433607432005</v>
      </c>
      <c r="C5" s="22">
        <f>'Income Statement Forecast'!C18</f>
        <v>3452.7869178754636</v>
      </c>
      <c r="D5" s="22">
        <f>'Income Statement Forecast'!D18</f>
        <v>3760.7500751377934</v>
      </c>
      <c r="E5" s="22">
        <f>'Income Statement Forecast'!E18</f>
        <v>4100.6167902635589</v>
      </c>
      <c r="F5" s="22">
        <f>'Income Statement Forecast'!F18</f>
        <v>4475.3433320297145</v>
      </c>
      <c r="H5" s="18" t="s">
        <v>134</v>
      </c>
      <c r="I5" s="22">
        <f>'Income Statement Forecast'!I18</f>
        <v>12174.82738457557</v>
      </c>
      <c r="J5" s="22">
        <f>'Income Statement Forecast'!J18</f>
        <v>13086.452454469923</v>
      </c>
      <c r="K5" s="22">
        <f>'Income Statement Forecast'!K18</f>
        <v>14219.319175022565</v>
      </c>
      <c r="L5" s="22">
        <f>'Income Statement Forecast'!L18</f>
        <v>15589.052456720137</v>
      </c>
      <c r="M5" s="23">
        <f>'Income Statement Forecast'!M18</f>
        <v>17218.028483677816</v>
      </c>
      <c r="O5" s="18" t="s">
        <v>134</v>
      </c>
      <c r="P5" s="22">
        <f>'Income Statement Forecast'!P18</f>
        <v>2738.5334615444053</v>
      </c>
      <c r="Q5" s="22">
        <f>'Income Statement Forecast'!Q18</f>
        <v>3342.0027281959447</v>
      </c>
      <c r="R5" s="22">
        <f>'Income Statement Forecast'!R18</f>
        <v>4061.1397019737069</v>
      </c>
      <c r="S5" s="22">
        <f>'Income Statement Forecast'!S18</f>
        <v>4924.0121721570476</v>
      </c>
      <c r="T5" s="22">
        <f>'Income Statement Forecast'!T18</f>
        <v>5966.374077934488</v>
      </c>
      <c r="V5" s="18" t="s">
        <v>134</v>
      </c>
      <c r="W5" s="22">
        <f>'Income Statement Forecast'!W18</f>
        <v>5417.4088350161255</v>
      </c>
      <c r="X5" s="22">
        <f>'Income Statement Forecast'!X18</f>
        <v>5882.4971570101343</v>
      </c>
      <c r="Y5" s="22">
        <f>'Income Statement Forecast'!Y18</f>
        <v>6413.9196932250443</v>
      </c>
      <c r="Z5" s="22">
        <f>'Income Statement Forecast'!Z18</f>
        <v>7016.4595952410746</v>
      </c>
      <c r="AA5" s="23">
        <f>'Income Statement Forecast'!AA18</f>
        <v>7695.7446345547069</v>
      </c>
      <c r="AC5" s="4" t="s">
        <v>134</v>
      </c>
      <c r="AD5" s="22">
        <f>'Income Statement Forecast'!AD18</f>
        <v>1594.3104708802705</v>
      </c>
      <c r="AE5" s="22">
        <f>'Income Statement Forecast'!AE18</f>
        <v>1685.1209728415542</v>
      </c>
      <c r="AF5" s="22">
        <f>'Income Statement Forecast'!AF18</f>
        <v>1783.0261373942371</v>
      </c>
      <c r="AG5" s="22">
        <f>'Income Statement Forecast'!AG18</f>
        <v>1888.1321213585875</v>
      </c>
      <c r="AH5" s="22">
        <f>'Income Statement Forecast'!AH18</f>
        <v>2000.6282217199514</v>
      </c>
      <c r="AJ5" s="18" t="s">
        <v>134</v>
      </c>
      <c r="AK5" s="22">
        <f>'Income Statement Forecast'!AK18</f>
        <v>3274.6251514376791</v>
      </c>
      <c r="AL5" s="22">
        <f>'Income Statement Forecast'!AL18</f>
        <v>3214.4623028946339</v>
      </c>
      <c r="AM5" s="22">
        <f>'Income Statement Forecast'!AM18</f>
        <v>3092.2230376209272</v>
      </c>
      <c r="AN5" s="22">
        <f>'Income Statement Forecast'!AN18</f>
        <v>2890.9156745031064</v>
      </c>
      <c r="AO5" s="23">
        <f>'Income Statement Forecast'!AO18</f>
        <v>3134.5348718306386</v>
      </c>
    </row>
    <row r="6" spans="1:41" x14ac:dyDescent="0.3">
      <c r="A6" s="4" t="s">
        <v>423</v>
      </c>
      <c r="B6" s="22">
        <f>'Income Statement Forecast'!B15</f>
        <v>394.31253315750388</v>
      </c>
      <c r="C6" s="22">
        <f>'Income Statement Forecast'!C15</f>
        <v>462.1582750392397</v>
      </c>
      <c r="D6" s="22">
        <f>'Income Statement Forecast'!D15</f>
        <v>534.44505553660065</v>
      </c>
      <c r="E6" s="22">
        <f>'Income Statement Forecast'!E15</f>
        <v>611.75997675520512</v>
      </c>
      <c r="F6" s="22">
        <f>'Income Statement Forecast'!F15</f>
        <v>694.73591413197846</v>
      </c>
      <c r="H6" s="350" t="s">
        <v>423</v>
      </c>
      <c r="I6" s="351">
        <f>'Income Statement Forecast'!I15</f>
        <v>2423.9149631508226</v>
      </c>
      <c r="J6" s="351">
        <f>'Income Statement Forecast'!J15</f>
        <v>3084.7833590041432</v>
      </c>
      <c r="K6" s="351">
        <f>'Income Statement Forecast'!K15</f>
        <v>3717.6066339968993</v>
      </c>
      <c r="L6" s="351">
        <f>'Income Statement Forecast'!L15</f>
        <v>4335.5260364047126</v>
      </c>
      <c r="M6" s="352">
        <f>'Income Statement Forecast'!M15</f>
        <v>4949.9326621969376</v>
      </c>
      <c r="O6" s="350" t="s">
        <v>423</v>
      </c>
      <c r="P6" s="351">
        <f>'Income Statement Forecast'!P15</f>
        <v>734.52176433850127</v>
      </c>
      <c r="Q6" s="351">
        <f>'Income Statement Forecast'!Q15</f>
        <v>768.14579892760617</v>
      </c>
      <c r="R6" s="351">
        <f>'Income Statement Forecast'!R15</f>
        <v>809.97028377205288</v>
      </c>
      <c r="S6" s="351">
        <f>'Income Statement Forecast'!S15</f>
        <v>860.98296987883509</v>
      </c>
      <c r="T6" s="351">
        <f>'Income Statement Forecast'!T15</f>
        <v>922.3462335388067</v>
      </c>
      <c r="V6" s="350" t="s">
        <v>423</v>
      </c>
      <c r="W6" s="351">
        <f>'Income Statement Forecast'!W15</f>
        <v>2406.6946360051829</v>
      </c>
      <c r="X6" s="351">
        <f>'Income Statement Forecast'!X15</f>
        <v>2788.009645213584</v>
      </c>
      <c r="Y6" s="351">
        <f>'Income Statement Forecast'!Y15</f>
        <v>3194.3562945912627</v>
      </c>
      <c r="Z6" s="351">
        <f>'Income Statement Forecast'!Z15</f>
        <v>3630.8236692687005</v>
      </c>
      <c r="AA6" s="352">
        <f>'Income Statement Forecast'!AA15</f>
        <v>4102.7239211433762</v>
      </c>
      <c r="AC6" s="359" t="s">
        <v>423</v>
      </c>
      <c r="AD6" s="351">
        <f>'Income Statement Forecast'!AD15</f>
        <v>745.1730117932932</v>
      </c>
      <c r="AE6" s="351">
        <f>'Income Statement Forecast'!AE15</f>
        <v>793.18053116800752</v>
      </c>
      <c r="AF6" s="351">
        <f>'Income Statement Forecast'!AF15</f>
        <v>843.93200230488833</v>
      </c>
      <c r="AG6" s="351">
        <f>'Income Statement Forecast'!AG15</f>
        <v>897.61846648959545</v>
      </c>
      <c r="AH6" s="351">
        <f>'Income Statement Forecast'!AH15</f>
        <v>954.44048648932699</v>
      </c>
      <c r="AJ6" s="350" t="s">
        <v>423</v>
      </c>
      <c r="AK6" s="351">
        <f>'Income Statement Forecast'!AK15</f>
        <v>1131.2064261670998</v>
      </c>
      <c r="AL6" s="351">
        <f>'Income Statement Forecast'!AL15</f>
        <v>1647.745840660564</v>
      </c>
      <c r="AM6" s="351">
        <f>'Income Statement Forecast'!AM15</f>
        <v>2129.3535776722028</v>
      </c>
      <c r="AN6" s="351">
        <f>'Income Statement Forecast'!AN15</f>
        <v>2587.7086023495499</v>
      </c>
      <c r="AO6" s="352">
        <f>'Income Statement Forecast'!AO15</f>
        <v>2628</v>
      </c>
    </row>
    <row r="7" spans="1:41" x14ac:dyDescent="0.3">
      <c r="A7" s="4" t="s">
        <v>424</v>
      </c>
      <c r="B7" s="22">
        <f>ABS('Balance Sheet Forecast'!B34-'Income Statement'!G53)</f>
        <v>288.69563582018054</v>
      </c>
      <c r="C7" s="22">
        <f>-'Balance Sheet Forecast'!C35</f>
        <v>-130.22708729461374</v>
      </c>
      <c r="D7" s="22">
        <f>-'Balance Sheet Forecast'!D35</f>
        <v>-158.71485560231849</v>
      </c>
      <c r="E7" s="22">
        <f>-'Balance Sheet Forecast'!E35</f>
        <v>-759.43281480948463</v>
      </c>
      <c r="F7" s="22">
        <f>-'Balance Sheet Forecast'!F35</f>
        <v>-967.71609588817773</v>
      </c>
      <c r="H7" s="18" t="s">
        <v>424</v>
      </c>
      <c r="I7" s="22">
        <f>'Income Statement'!J79-'Income Statement'!O62</f>
        <v>2916.3041593845919</v>
      </c>
      <c r="J7" s="22">
        <f>'Income Statement'!K79-'Income Statement'!J79</f>
        <v>3163.5386662223682</v>
      </c>
      <c r="K7" s="22">
        <f>'Income Statement'!L79-'Income Statement'!K79</f>
        <v>3431.7328871471254</v>
      </c>
      <c r="L7" s="22">
        <f>'Income Statement'!M79-'Income Statement'!L79</f>
        <v>3722.6637165747015</v>
      </c>
      <c r="M7" s="23">
        <f>'Income Statement'!N79-'Income Statement'!M79</f>
        <v>4038.258688082904</v>
      </c>
      <c r="O7" s="18" t="s">
        <v>424</v>
      </c>
      <c r="P7" s="22">
        <f>'Income Statement'!R79-'Income Statement'!W57</f>
        <v>110.00121498420958</v>
      </c>
      <c r="Q7" s="22">
        <f>'Income Statement'!S79-'Income Statement'!R79</f>
        <v>187.99209394904256</v>
      </c>
      <c r="R7" s="22">
        <f>'Income Statement'!T79-'Income Statement'!S79</f>
        <v>212.38033337766728</v>
      </c>
      <c r="S7" s="22">
        <f>'Income Statement'!U79-'Income Statement'!T79</f>
        <v>239.93246236107871</v>
      </c>
      <c r="T7" s="22">
        <f>'Income Statement'!V79-'Income Statement'!U79</f>
        <v>271.05893271332434</v>
      </c>
      <c r="V7" s="18" t="s">
        <v>424</v>
      </c>
      <c r="W7" s="22">
        <f>'Income Statement'!Z81-'Income Statement'!AE58</f>
        <v>1095.8460636845812</v>
      </c>
      <c r="X7" s="22">
        <f>'Income Statement'!AA81-'Income Statement'!Z81</f>
        <v>307.47527446740605</v>
      </c>
      <c r="Y7" s="22">
        <f>'Income Statement'!AB81-'Income Statement'!AA81</f>
        <v>372.05121462098396</v>
      </c>
      <c r="Z7" s="22">
        <f>'Income Statement'!AC81-'Income Statement'!AB81</f>
        <v>437.6188595515232</v>
      </c>
      <c r="AA7" s="23">
        <f>'Income Statement'!AD81-'Income Statement'!AC81</f>
        <v>504.94857121282985</v>
      </c>
      <c r="AC7" s="4" t="s">
        <v>424</v>
      </c>
      <c r="AD7" s="22">
        <f>'Income Statement'!AH81-'Income Statement'!AM57</f>
        <v>-343.64464567874074</v>
      </c>
      <c r="AE7" s="22">
        <f>'Income Statement'!AI81-'Income Statement'!AH81</f>
        <v>-15.066396524389347</v>
      </c>
      <c r="AF7" s="22">
        <f>'Income Statement'!AJ81-'Income Statement'!AI81</f>
        <v>-15.790462446893798</v>
      </c>
      <c r="AG7" s="22">
        <f>'Income Statement'!AK81-'Income Statement'!AJ81</f>
        <v>-16.42229709134881</v>
      </c>
      <c r="AH7" s="22">
        <f>'Income Statement'!AL81-'Income Statement'!AK81</f>
        <v>-17.008206851673094</v>
      </c>
      <c r="AJ7" s="18" t="s">
        <v>424</v>
      </c>
      <c r="AK7" s="22">
        <f>'Income Statement'!AP81-'Income Statement'!AU58</f>
        <v>-400.26491264509241</v>
      </c>
      <c r="AL7" s="22">
        <f>'Income Statement'!AQ81-'Income Statement'!AP81</f>
        <v>151.00536044968612</v>
      </c>
      <c r="AM7" s="22">
        <f>'Income Statement'!AR81-'Income Statement'!AQ81</f>
        <v>1476.7790368835449</v>
      </c>
      <c r="AN7" s="22">
        <f>'Income Statement'!AS81-'Income Statement'!AR81</f>
        <v>1601.2890354057272</v>
      </c>
      <c r="AO7" s="23">
        <f>'Income Statement'!AT81-'Income Statement'!AS81</f>
        <v>1736.2967508670554</v>
      </c>
    </row>
    <row r="8" spans="1:41" x14ac:dyDescent="0.3">
      <c r="A8" s="4" t="s">
        <v>425</v>
      </c>
      <c r="B8" s="22">
        <v>0</v>
      </c>
      <c r="C8" s="22">
        <v>0</v>
      </c>
      <c r="D8" s="22">
        <v>0</v>
      </c>
      <c r="E8" s="22">
        <v>0</v>
      </c>
      <c r="F8" s="22">
        <v>0</v>
      </c>
      <c r="H8" s="350" t="s">
        <v>425</v>
      </c>
      <c r="I8" s="351">
        <v>0</v>
      </c>
      <c r="J8" s="351">
        <v>0</v>
      </c>
      <c r="K8" s="351">
        <v>0</v>
      </c>
      <c r="L8" s="351">
        <v>0</v>
      </c>
      <c r="M8" s="352">
        <v>0</v>
      </c>
      <c r="O8" s="350" t="s">
        <v>425</v>
      </c>
      <c r="P8" s="351">
        <v>0</v>
      </c>
      <c r="Q8" s="351">
        <v>0</v>
      </c>
      <c r="R8" s="351">
        <v>0</v>
      </c>
      <c r="S8" s="351">
        <v>0</v>
      </c>
      <c r="T8" s="351">
        <v>0</v>
      </c>
      <c r="V8" s="350" t="s">
        <v>425</v>
      </c>
      <c r="W8" s="351">
        <v>0</v>
      </c>
      <c r="X8" s="351">
        <v>0</v>
      </c>
      <c r="Y8" s="351">
        <v>0</v>
      </c>
      <c r="Z8" s="351">
        <v>0</v>
      </c>
      <c r="AA8" s="352">
        <v>0</v>
      </c>
      <c r="AC8" s="359" t="s">
        <v>425</v>
      </c>
      <c r="AD8" s="351">
        <v>0</v>
      </c>
      <c r="AE8" s="351">
        <v>0</v>
      </c>
      <c r="AF8" s="351">
        <v>0</v>
      </c>
      <c r="AG8" s="351">
        <v>0</v>
      </c>
      <c r="AH8" s="351">
        <v>0</v>
      </c>
      <c r="AJ8" s="350" t="s">
        <v>425</v>
      </c>
      <c r="AK8" s="351">
        <v>0</v>
      </c>
      <c r="AL8" s="351">
        <v>0</v>
      </c>
      <c r="AM8" s="351">
        <v>0</v>
      </c>
      <c r="AN8" s="351">
        <v>0</v>
      </c>
      <c r="AO8" s="352">
        <v>0</v>
      </c>
    </row>
    <row r="9" spans="1:41" s="21" customFormat="1" x14ac:dyDescent="0.3">
      <c r="A9" s="11" t="s">
        <v>193</v>
      </c>
      <c r="B9" s="24">
        <f>SUM(B5:B8)</f>
        <v>3857.0515297208849</v>
      </c>
      <c r="C9" s="24">
        <f>SUM(C5:C8)</f>
        <v>3784.7181056200898</v>
      </c>
      <c r="D9" s="24">
        <f>SUM(D5:D8)</f>
        <v>4136.4802750720755</v>
      </c>
      <c r="E9" s="24">
        <f>SUM(E5:E8)</f>
        <v>3952.9439522092798</v>
      </c>
      <c r="F9" s="24">
        <f>SUM(F5:F8)</f>
        <v>4202.3631502735152</v>
      </c>
      <c r="H9" s="19" t="s">
        <v>193</v>
      </c>
      <c r="I9" s="24">
        <f>SUM(I5:I8)</f>
        <v>17515.046507110987</v>
      </c>
      <c r="J9" s="24">
        <f>SUM(J5:J8)</f>
        <v>19334.774479696433</v>
      </c>
      <c r="K9" s="24">
        <f>SUM(K5:K8)</f>
        <v>21368.658696166589</v>
      </c>
      <c r="L9" s="24">
        <f>SUM(L5:L8)</f>
        <v>23647.242209699551</v>
      </c>
      <c r="M9" s="61">
        <f>SUM(M5:M8)</f>
        <v>26206.219833957657</v>
      </c>
      <c r="O9" s="19" t="s">
        <v>193</v>
      </c>
      <c r="P9" s="24">
        <f>SUM(P5:P8)</f>
        <v>3583.0564408671162</v>
      </c>
      <c r="Q9" s="24">
        <f>SUM(Q5:Q8)</f>
        <v>4298.1406210725927</v>
      </c>
      <c r="R9" s="24">
        <f>SUM(R5:R8)</f>
        <v>5083.4903191234262</v>
      </c>
      <c r="S9" s="24">
        <f>SUM(S5:S8)</f>
        <v>6024.9276043969621</v>
      </c>
      <c r="T9" s="24">
        <f>SUM(T5:T8)</f>
        <v>7159.7792441866186</v>
      </c>
      <c r="V9" s="19" t="s">
        <v>193</v>
      </c>
      <c r="W9" s="24">
        <f>SUM(W5:W8)</f>
        <v>8919.9495347058892</v>
      </c>
      <c r="X9" s="24">
        <f>SUM(X5:X8)</f>
        <v>8977.9820766911234</v>
      </c>
      <c r="Y9" s="24">
        <f>SUM(Y5:Y8)</f>
        <v>9980.3272024372909</v>
      </c>
      <c r="Z9" s="24">
        <f>SUM(Z5:Z8)</f>
        <v>11084.902124061298</v>
      </c>
      <c r="AA9" s="61">
        <f>SUM(AA5:AA8)</f>
        <v>12303.417126910914</v>
      </c>
      <c r="AC9" s="11" t="s">
        <v>193</v>
      </c>
      <c r="AD9" s="24">
        <f>SUM(AD5:AD8)</f>
        <v>1995.8388369948229</v>
      </c>
      <c r="AE9" s="24">
        <f>SUM(AE5:AE8)</f>
        <v>2463.2351074851722</v>
      </c>
      <c r="AF9" s="24">
        <f>SUM(AF5:AF8)</f>
        <v>2611.1676772522314</v>
      </c>
      <c r="AG9" s="24">
        <f>SUM(AG5:AG8)</f>
        <v>2769.3282907568341</v>
      </c>
      <c r="AH9" s="24">
        <f>SUM(AH5:AH8)</f>
        <v>2938.0605013576051</v>
      </c>
      <c r="AJ9" s="19" t="s">
        <v>193</v>
      </c>
      <c r="AK9" s="24">
        <f>SUM(AK5:AK8)</f>
        <v>4005.566664959686</v>
      </c>
      <c r="AL9" s="24">
        <f>SUM(AL5:AL8)</f>
        <v>5013.2135040048843</v>
      </c>
      <c r="AM9" s="24">
        <f>SUM(AM5:AM8)</f>
        <v>6698.355652176675</v>
      </c>
      <c r="AN9" s="24">
        <f>SUM(AN5:AN8)</f>
        <v>7079.9133122583835</v>
      </c>
      <c r="AO9" s="61">
        <f>SUM(AO5:AO8)</f>
        <v>7498.831622697694</v>
      </c>
    </row>
    <row r="10" spans="1:41" x14ac:dyDescent="0.3">
      <c r="A10" s="4" t="s">
        <v>426</v>
      </c>
      <c r="B10" s="22">
        <f>'Income Statement Forecast'!B19</f>
        <v>793.51084018580013</v>
      </c>
      <c r="C10" s="22">
        <f>'Income Statement Forecast'!C19</f>
        <v>863.1967294688659</v>
      </c>
      <c r="D10" s="22">
        <f>'Income Statement Forecast'!D19</f>
        <v>940.18751878444834</v>
      </c>
      <c r="E10" s="22">
        <f>'Income Statement Forecast'!E19</f>
        <v>1025.1541975658897</v>
      </c>
      <c r="F10" s="22">
        <f>'Income Statement Forecast'!F19</f>
        <v>1118.8358330074286</v>
      </c>
      <c r="H10" s="350" t="s">
        <v>426</v>
      </c>
      <c r="I10" s="351">
        <f>'Income Statement Forecast'!I19</f>
        <v>3043.7068461438926</v>
      </c>
      <c r="J10" s="351">
        <f>'Income Statement Forecast'!J19</f>
        <v>3271.6131136174808</v>
      </c>
      <c r="K10" s="351">
        <f>'Income Statement Forecast'!K19</f>
        <v>3554.8297937556413</v>
      </c>
      <c r="L10" s="351">
        <f>'Income Statement Forecast'!L19</f>
        <v>3897.2631141800343</v>
      </c>
      <c r="M10" s="352">
        <f>'Income Statement Forecast'!M19</f>
        <v>4304.5071209194539</v>
      </c>
      <c r="O10" s="350" t="s">
        <v>426</v>
      </c>
      <c r="P10" s="351">
        <f>'Income Statement Forecast'!P19</f>
        <v>684.63336538610133</v>
      </c>
      <c r="Q10" s="351">
        <f>'Income Statement Forecast'!Q19</f>
        <v>835.50068204898616</v>
      </c>
      <c r="R10" s="351">
        <f>'Income Statement Forecast'!R19</f>
        <v>1015.2849254934267</v>
      </c>
      <c r="S10" s="351">
        <f>'Income Statement Forecast'!S19</f>
        <v>1231.0030430392619</v>
      </c>
      <c r="T10" s="351">
        <f>'Income Statement Forecast'!T19</f>
        <v>1491.593519483622</v>
      </c>
      <c r="V10" s="350" t="s">
        <v>426</v>
      </c>
      <c r="W10" s="351">
        <f>'Income Statement Forecast'!W19</f>
        <v>1354.3522087540314</v>
      </c>
      <c r="X10" s="351">
        <f>'Income Statement Forecast'!X19</f>
        <v>1470.6242892525336</v>
      </c>
      <c r="Y10" s="351">
        <f>'Income Statement Forecast'!Y19</f>
        <v>1603.4799233062611</v>
      </c>
      <c r="Z10" s="351">
        <f>'Income Statement Forecast'!Z19</f>
        <v>1754.1148988102686</v>
      </c>
      <c r="AA10" s="352">
        <f>'Income Statement Forecast'!AA19</f>
        <v>1923.9361586386767</v>
      </c>
      <c r="AC10" s="359" t="s">
        <v>426</v>
      </c>
      <c r="AD10" s="351">
        <f>'Income Statement Forecast'!AD19</f>
        <v>398.57761772006762</v>
      </c>
      <c r="AE10" s="351">
        <f>'Income Statement Forecast'!AE19</f>
        <v>421.28024321038856</v>
      </c>
      <c r="AF10" s="351">
        <f>'Income Statement Forecast'!AF19</f>
        <v>445.75653434855928</v>
      </c>
      <c r="AG10" s="351">
        <f>'Income Statement Forecast'!AG19</f>
        <v>472.03303033964687</v>
      </c>
      <c r="AH10" s="351">
        <f>'Income Statement Forecast'!AH19</f>
        <v>500.15705542998785</v>
      </c>
      <c r="AJ10" s="350" t="s">
        <v>426</v>
      </c>
      <c r="AK10" s="351">
        <f>'Income Statement Forecast'!AK19</f>
        <v>818.65628785941976</v>
      </c>
      <c r="AL10" s="351">
        <f>'Income Statement Forecast'!AL19</f>
        <v>803.61557572365848</v>
      </c>
      <c r="AM10" s="351">
        <f>'Income Statement Forecast'!AM19</f>
        <v>773.05575940523181</v>
      </c>
      <c r="AN10" s="351">
        <f>'Income Statement Forecast'!AN19</f>
        <v>722.7289186257766</v>
      </c>
      <c r="AO10" s="352">
        <f>'Income Statement Forecast'!AO19</f>
        <v>783.63371795765966</v>
      </c>
    </row>
    <row r="11" spans="1:41" s="21" customFormat="1" x14ac:dyDescent="0.3">
      <c r="A11" s="11" t="s">
        <v>427</v>
      </c>
      <c r="B11" s="24">
        <f>B9-B10</f>
        <v>3063.5406895350848</v>
      </c>
      <c r="C11" s="24">
        <f>C9-C10</f>
        <v>2921.5213761512241</v>
      </c>
      <c r="D11" s="24">
        <f>D9-D10</f>
        <v>3196.2927562876271</v>
      </c>
      <c r="E11" s="24">
        <f>E9-E10</f>
        <v>2927.7897546433901</v>
      </c>
      <c r="F11" s="24">
        <f>F9-F10</f>
        <v>3083.5273172660864</v>
      </c>
      <c r="H11" s="19" t="s">
        <v>427</v>
      </c>
      <c r="I11" s="24">
        <f>I9-I10</f>
        <v>14471.339660967094</v>
      </c>
      <c r="J11" s="24">
        <f>J9-J10</f>
        <v>16063.161366078952</v>
      </c>
      <c r="K11" s="24">
        <f>K9-K10</f>
        <v>17813.828902410947</v>
      </c>
      <c r="L11" s="24">
        <f>L9-L10</f>
        <v>19749.979095519517</v>
      </c>
      <c r="M11" s="61">
        <f>M9-M10</f>
        <v>21901.712713038203</v>
      </c>
      <c r="O11" s="19" t="s">
        <v>427</v>
      </c>
      <c r="P11" s="24">
        <f>P9-P10</f>
        <v>2898.4230754810151</v>
      </c>
      <c r="Q11" s="24">
        <f>Q9-Q10</f>
        <v>3462.6399390236065</v>
      </c>
      <c r="R11" s="24">
        <f>R9-R10</f>
        <v>4068.2053936299994</v>
      </c>
      <c r="S11" s="24">
        <f>S9-S10</f>
        <v>4793.9245613577004</v>
      </c>
      <c r="T11" s="61">
        <f>T9-T10</f>
        <v>5668.1857247029966</v>
      </c>
      <c r="V11" s="19" t="s">
        <v>427</v>
      </c>
      <c r="W11" s="24">
        <f>W9-W10</f>
        <v>7565.5973259518578</v>
      </c>
      <c r="X11" s="24">
        <f>X9-X10</f>
        <v>7507.3577874385901</v>
      </c>
      <c r="Y11" s="24">
        <f>Y9-Y10</f>
        <v>8376.8472791310305</v>
      </c>
      <c r="Z11" s="24">
        <f>Z9-Z10</f>
        <v>9330.7872252510297</v>
      </c>
      <c r="AA11" s="61">
        <f>AA9-AA10</f>
        <v>10379.480968272237</v>
      </c>
      <c r="AC11" s="11" t="s">
        <v>427</v>
      </c>
      <c r="AD11" s="24">
        <f>AD9-AD10</f>
        <v>1597.2612192747554</v>
      </c>
      <c r="AE11" s="24">
        <f>AE9-AE10</f>
        <v>2041.9548642747836</v>
      </c>
      <c r="AF11" s="24">
        <f>AF9-AF10</f>
        <v>2165.411142903672</v>
      </c>
      <c r="AG11" s="24">
        <f>AG9-AG10</f>
        <v>2297.2952604171874</v>
      </c>
      <c r="AH11" s="24">
        <f>AH9-AH10</f>
        <v>2437.9034459276172</v>
      </c>
      <c r="AJ11" s="19" t="s">
        <v>427</v>
      </c>
      <c r="AK11" s="24">
        <f>AK9-AK10</f>
        <v>3186.9103771002665</v>
      </c>
      <c r="AL11" s="24">
        <f>AL9-AL10</f>
        <v>4209.5979282812259</v>
      </c>
      <c r="AM11" s="24">
        <f>AM9-AM10</f>
        <v>5925.2998927714434</v>
      </c>
      <c r="AN11" s="24">
        <f>AN9-AN10</f>
        <v>6357.1843936326068</v>
      </c>
      <c r="AO11" s="61">
        <f>AO9-AO10</f>
        <v>6715.1979047400346</v>
      </c>
    </row>
    <row r="12" spans="1:41" x14ac:dyDescent="0.3">
      <c r="A12" s="16" t="s">
        <v>428</v>
      </c>
      <c r="B12" s="25"/>
      <c r="C12" s="25"/>
      <c r="D12" s="25"/>
      <c r="E12" s="25"/>
      <c r="F12" s="25"/>
      <c r="H12" s="16" t="s">
        <v>428</v>
      </c>
      <c r="I12" s="161"/>
      <c r="J12" s="161"/>
      <c r="K12" s="161"/>
      <c r="L12" s="161"/>
      <c r="M12" s="25"/>
      <c r="O12" s="16" t="s">
        <v>428</v>
      </c>
      <c r="P12" s="161"/>
      <c r="Q12" s="161"/>
      <c r="R12" s="161"/>
      <c r="S12" s="161"/>
      <c r="T12" s="25"/>
      <c r="V12" s="16" t="s">
        <v>428</v>
      </c>
      <c r="W12" s="161"/>
      <c r="X12" s="161"/>
      <c r="Y12" s="161"/>
      <c r="Z12" s="161"/>
      <c r="AA12" s="25"/>
      <c r="AC12" s="112" t="s">
        <v>428</v>
      </c>
      <c r="AD12" s="161"/>
      <c r="AE12" s="161"/>
      <c r="AF12" s="161"/>
      <c r="AG12" s="161"/>
      <c r="AH12" s="172"/>
      <c r="AJ12" s="16" t="s">
        <v>428</v>
      </c>
      <c r="AK12" s="161"/>
      <c r="AL12" s="161"/>
      <c r="AM12" s="161"/>
      <c r="AN12" s="161"/>
      <c r="AO12" s="25"/>
    </row>
    <row r="13" spans="1:41" x14ac:dyDescent="0.3">
      <c r="A13" s="4" t="s">
        <v>429</v>
      </c>
      <c r="B13" s="22">
        <f>-'Income Statement'!B58</f>
        <v>-1329.8072678979124</v>
      </c>
      <c r="C13" s="22">
        <f>-'Income Statement'!C58</f>
        <v>-1458.8885144180697</v>
      </c>
      <c r="D13" s="22">
        <f>-'Income Statement'!D58</f>
        <v>-1600.5060891523974</v>
      </c>
      <c r="E13" s="22">
        <f>-'Income Statement'!E58</f>
        <v>-1755.8782422969041</v>
      </c>
      <c r="F13" s="22">
        <f>-'Income Statement'!F58</f>
        <v>-1926.341689123487</v>
      </c>
      <c r="H13" s="18" t="s">
        <v>429</v>
      </c>
      <c r="I13" s="22">
        <f>-'Income Statement'!J69</f>
        <v>-2445.2223736940282</v>
      </c>
      <c r="J13" s="22">
        <f>-'Income Statement'!K69</f>
        <v>-2652.5201432780277</v>
      </c>
      <c r="K13" s="22">
        <f>-'Income Statement'!L69</f>
        <v>-2877.3919240181503</v>
      </c>
      <c r="L13" s="22">
        <f>-'Income Statement'!M69</f>
        <v>-3121.3275817664767</v>
      </c>
      <c r="M13" s="23">
        <f>-'Income Statement'!N69</f>
        <v>-3385.9432882159931</v>
      </c>
      <c r="O13" s="18" t="s">
        <v>429</v>
      </c>
      <c r="P13" s="22">
        <f>-'Income Statement'!R69</f>
        <v>-724.05236197712259</v>
      </c>
      <c r="Q13" s="22">
        <f>-'Income Statement'!S69</f>
        <v>-824.51786104288738</v>
      </c>
      <c r="R13" s="22">
        <f>-'Income Statement'!T69</f>
        <v>-940.07538942789131</v>
      </c>
      <c r="S13" s="22">
        <f>-'Income Statement'!U69</f>
        <v>-1073.3314279317303</v>
      </c>
      <c r="T13" s="22">
        <f>-'Income Statement'!V69</f>
        <v>-1227.4349408148539</v>
      </c>
      <c r="V13" s="18" t="s">
        <v>429</v>
      </c>
      <c r="W13" s="22">
        <f>-'Income Statement'!Z71</f>
        <v>-2166.9138858547767</v>
      </c>
      <c r="X13" s="22">
        <f>-'Income Statement'!AA71</f>
        <v>-2403.8020658236032</v>
      </c>
      <c r="Y13" s="22">
        <f>-'Income Statement'!AB71</f>
        <v>-2666.5869877789282</v>
      </c>
      <c r="Z13" s="22">
        <f>-'Income Statement'!AC71</f>
        <v>-2958.0996973457532</v>
      </c>
      <c r="AA13" s="23">
        <f>-'Income Statement'!AD71</f>
        <v>-3281.4807315644489</v>
      </c>
      <c r="AC13" s="4" t="s">
        <v>429</v>
      </c>
      <c r="AD13" s="22">
        <f>-'Income Statement'!AH71</f>
        <v>-570.56152322901994</v>
      </c>
      <c r="AE13" s="22">
        <f>-'Income Statement'!AI71</f>
        <v>-605.71935308957097</v>
      </c>
      <c r="AF13" s="22">
        <f>-'Income Statement'!AJ71</f>
        <v>-643.04359787678595</v>
      </c>
      <c r="AG13" s="22">
        <f>-'Income Statement'!AK71</f>
        <v>-682.66775142839845</v>
      </c>
      <c r="AH13" s="22">
        <f>-'Income Statement'!AL71</f>
        <v>-724.73353343236772</v>
      </c>
      <c r="AJ13" s="18" t="s">
        <v>429</v>
      </c>
      <c r="AK13" s="22">
        <f>-'Income Statement'!AP71</f>
        <v>-1069.8209387543588</v>
      </c>
      <c r="AL13" s="22">
        <f>-'Income Statement'!AQ71</f>
        <v>-1160.0191059022723</v>
      </c>
      <c r="AM13" s="22">
        <f>-'Income Statement'!AR71</f>
        <v>-1257.8220463521109</v>
      </c>
      <c r="AN13" s="22">
        <f>-'Income Statement'!AS71</f>
        <v>-1363.8709353607621</v>
      </c>
      <c r="AO13" s="23">
        <f>-'Income Statement'!AT71</f>
        <v>-1478.8610073262066</v>
      </c>
    </row>
    <row r="14" spans="1:41" x14ac:dyDescent="0.3">
      <c r="A14" s="4" t="s">
        <v>430</v>
      </c>
      <c r="B14" s="22">
        <f>-'Income Statement Forecast'!B11</f>
        <v>-342.01199414710675</v>
      </c>
      <c r="C14" s="22">
        <f>-'Income Statement Forecast'!C11</f>
        <v>-375.21028956561429</v>
      </c>
      <c r="D14" s="22">
        <f>-'Income Statement Forecast'!D11</f>
        <v>-411.63279251803658</v>
      </c>
      <c r="E14" s="22">
        <f>-'Income Statement Forecast'!E11</f>
        <v>-451.59282373059108</v>
      </c>
      <c r="F14" s="22">
        <f>-'Income Statement Forecast'!F11</f>
        <v>-495.43417186106655</v>
      </c>
      <c r="H14" s="350" t="s">
        <v>430</v>
      </c>
      <c r="I14" s="351">
        <f>-'Income Statement Forecast'!I11</f>
        <v>-3601.8058880412691</v>
      </c>
      <c r="J14" s="351">
        <f>-'Income Statement Forecast'!J11</f>
        <v>-3907.1549373130147</v>
      </c>
      <c r="K14" s="351">
        <f>-'Income Statement Forecast'!K11</f>
        <v>-4238.3904570913264</v>
      </c>
      <c r="L14" s="351">
        <f>-'Income Statement Forecast'!L11</f>
        <v>-4597.7070157132794</v>
      </c>
      <c r="M14" s="352">
        <f>-'Income Statement Forecast'!M11</f>
        <v>-4987.4852296751524</v>
      </c>
      <c r="O14" s="350" t="s">
        <v>430</v>
      </c>
      <c r="P14" s="351">
        <f>-'Income Statement'!R78</f>
        <v>-499.98018571814953</v>
      </c>
      <c r="Q14" s="351">
        <f>-'Income Statement'!S78</f>
        <v>-564.84268191529077</v>
      </c>
      <c r="R14" s="351">
        <f>-'Income Statement'!T78</f>
        <v>-638.11979839759636</v>
      </c>
      <c r="S14" s="351">
        <f>-'Income Statement'!U78</f>
        <v>-720.90316497728168</v>
      </c>
      <c r="T14" s="351">
        <f>-'Income Statement'!V78</f>
        <v>-814.4260287477382</v>
      </c>
      <c r="V14" s="350" t="s">
        <v>430</v>
      </c>
      <c r="W14" s="351">
        <f>-'Income Statement'!Z80</f>
        <v>-2929.9993506305609</v>
      </c>
      <c r="X14" s="351">
        <f>-'Income Statement'!AA80</f>
        <v>-3250.3084399818081</v>
      </c>
      <c r="Y14" s="351">
        <f>-'Income Statement'!AB80</f>
        <v>-3605.6338895581675</v>
      </c>
      <c r="Z14" s="351">
        <f>-'Income Statement'!AC80</f>
        <v>-3999.8037065070425</v>
      </c>
      <c r="AA14" s="352">
        <f>-'Income Statement'!AD80</f>
        <v>-4437.0643777557552</v>
      </c>
      <c r="AC14" s="359" t="s">
        <v>430</v>
      </c>
      <c r="AD14" s="351">
        <f>-'Income Statement'!AH80</f>
        <v>-648.61961819222768</v>
      </c>
      <c r="AE14" s="351">
        <f>-'Income Statement'!AI80</f>
        <v>-688.58736444255544</v>
      </c>
      <c r="AF14" s="351">
        <f>-'Income Statement'!AJ80</f>
        <v>-731.01791122423731</v>
      </c>
      <c r="AG14" s="351">
        <f>-'Income Statement'!AK80</f>
        <v>-776.06301556703556</v>
      </c>
      <c r="AH14" s="351">
        <f>-'Income Statement'!AL80</f>
        <v>-823.88378572335068</v>
      </c>
      <c r="AJ14" s="350" t="s">
        <v>430</v>
      </c>
      <c r="AK14" s="351">
        <f>-'Income Statement'!AP80</f>
        <v>-2842.1910606847518</v>
      </c>
      <c r="AL14" s="351">
        <f>-'Income Statement'!AQ80</f>
        <v>-3081.8203435593609</v>
      </c>
      <c r="AM14" s="351">
        <f>-'Income Statement'!AR80</f>
        <v>-3341.6532118325067</v>
      </c>
      <c r="AN14" s="351">
        <f>-'Income Statement'!AS80</f>
        <v>-3623.3930744742729</v>
      </c>
      <c r="AO14" s="352">
        <f>-'Income Statement'!AT80</f>
        <v>-3928.8869592623369</v>
      </c>
    </row>
    <row r="15" spans="1:41" x14ac:dyDescent="0.3">
      <c r="A15" s="4" t="s">
        <v>431</v>
      </c>
      <c r="B15" s="22">
        <v>0</v>
      </c>
      <c r="C15" s="22">
        <v>0</v>
      </c>
      <c r="D15" s="22">
        <v>0</v>
      </c>
      <c r="E15" s="22">
        <v>0</v>
      </c>
      <c r="F15" s="22">
        <v>0</v>
      </c>
      <c r="H15" s="18" t="s">
        <v>431</v>
      </c>
      <c r="I15" s="22">
        <v>0</v>
      </c>
      <c r="J15" s="22">
        <v>0</v>
      </c>
      <c r="K15" s="22">
        <v>0</v>
      </c>
      <c r="L15" s="22">
        <v>0</v>
      </c>
      <c r="M15" s="23">
        <v>0</v>
      </c>
      <c r="O15" s="18" t="s">
        <v>431</v>
      </c>
      <c r="P15" s="22">
        <f>AVERAGE('Cash Flow Statement'!V48:W48)</f>
        <v>-3531.77</v>
      </c>
      <c r="Q15" s="22">
        <f>$P$15</f>
        <v>-3531.77</v>
      </c>
      <c r="R15" s="22">
        <f>$P$15</f>
        <v>-3531.77</v>
      </c>
      <c r="S15" s="22">
        <f>$P$15</f>
        <v>-3531.77</v>
      </c>
      <c r="T15" s="22">
        <f>$P$15</f>
        <v>-3531.77</v>
      </c>
      <c r="V15" s="18" t="s">
        <v>510</v>
      </c>
      <c r="W15" s="22">
        <v>0</v>
      </c>
      <c r="X15" s="22">
        <v>0</v>
      </c>
      <c r="Y15" s="22">
        <v>0</v>
      </c>
      <c r="Z15" s="22">
        <v>0</v>
      </c>
      <c r="AA15" s="23">
        <v>0</v>
      </c>
      <c r="AC15" s="4" t="s">
        <v>563</v>
      </c>
      <c r="AD15" s="22">
        <f>-'Income Statement'!AH87</f>
        <v>-241.48222194164873</v>
      </c>
      <c r="AE15" s="22">
        <f>-'Income Statement'!AI87</f>
        <v>-256.36228399932884</v>
      </c>
      <c r="AF15" s="22">
        <f>-'Income Statement'!AJ87</f>
        <v>-272.15925101614056</v>
      </c>
      <c r="AG15" s="22">
        <f>-'Income Statement'!AK87</f>
        <v>-288.92962240054203</v>
      </c>
      <c r="AH15" s="22">
        <f>-'Income Statement'!AL87</f>
        <v>-306.73337903758761</v>
      </c>
      <c r="AJ15" s="18" t="s">
        <v>431</v>
      </c>
      <c r="AK15" s="22"/>
      <c r="AL15" s="22"/>
      <c r="AM15" s="22"/>
      <c r="AN15" s="22"/>
      <c r="AO15" s="23"/>
    </row>
    <row r="16" spans="1:41" s="21" customFormat="1" x14ac:dyDescent="0.3">
      <c r="A16" s="11" t="s">
        <v>321</v>
      </c>
      <c r="B16" s="24">
        <f>SUM(B13:B15)</f>
        <v>-1671.8192620450191</v>
      </c>
      <c r="C16" s="24">
        <f>SUM(C13:C15)</f>
        <v>-1834.0988039836839</v>
      </c>
      <c r="D16" s="24">
        <f>SUM(D13:D15)</f>
        <v>-2012.1388816704339</v>
      </c>
      <c r="E16" s="24">
        <f>SUM(E13:E15)</f>
        <v>-2207.471066027495</v>
      </c>
      <c r="F16" s="24">
        <f>SUM(F13:F15)</f>
        <v>-2421.7758609845537</v>
      </c>
      <c r="H16" s="353" t="s">
        <v>321</v>
      </c>
      <c r="I16" s="354">
        <f>SUM(I13:I15)</f>
        <v>-6047.0282617352968</v>
      </c>
      <c r="J16" s="354">
        <f>SUM(J13:J15)</f>
        <v>-6559.6750805910424</v>
      </c>
      <c r="K16" s="354">
        <f>SUM(K13:K15)</f>
        <v>-7115.7823811094768</v>
      </c>
      <c r="L16" s="354">
        <f>SUM(L13:L15)</f>
        <v>-7719.0345974797565</v>
      </c>
      <c r="M16" s="355">
        <f>SUM(M13:M15)</f>
        <v>-8373.428517891145</v>
      </c>
      <c r="O16" s="353" t="s">
        <v>321</v>
      </c>
      <c r="P16" s="354">
        <f>SUM(P13:P15)</f>
        <v>-4755.8025476952716</v>
      </c>
      <c r="Q16" s="354">
        <f>SUM(Q13:Q15)</f>
        <v>-4921.130542958178</v>
      </c>
      <c r="R16" s="354">
        <f>SUM(R13:R15)</f>
        <v>-5109.9651878254881</v>
      </c>
      <c r="S16" s="354">
        <f>SUM(S13:S15)</f>
        <v>-5326.004592909012</v>
      </c>
      <c r="T16" s="354">
        <f>SUM(T13:T15)</f>
        <v>-5573.6309695625923</v>
      </c>
      <c r="V16" s="353" t="s">
        <v>321</v>
      </c>
      <c r="W16" s="354">
        <f>SUM(W13:W15)</f>
        <v>-5096.9132364853376</v>
      </c>
      <c r="X16" s="354">
        <f>SUM(X13:X15)</f>
        <v>-5654.1105058054109</v>
      </c>
      <c r="Y16" s="354">
        <f>SUM(Y13:Y15)</f>
        <v>-6272.2208773370958</v>
      </c>
      <c r="Z16" s="354">
        <f>SUM(Z13:Z15)</f>
        <v>-6957.9034038527952</v>
      </c>
      <c r="AA16" s="355">
        <f>SUM(AA13:AA15)</f>
        <v>-7718.5451093202046</v>
      </c>
      <c r="AC16" s="360" t="s">
        <v>321</v>
      </c>
      <c r="AD16" s="354">
        <f>SUM(AD13:AD15)</f>
        <v>-1460.6633633628962</v>
      </c>
      <c r="AE16" s="354">
        <f>SUM(AE13:AE15)</f>
        <v>-1550.6690015314553</v>
      </c>
      <c r="AF16" s="354">
        <f>SUM(AF13:AF15)</f>
        <v>-1646.2207601171638</v>
      </c>
      <c r="AG16" s="354">
        <f>SUM(AG13:AG15)</f>
        <v>-1747.6603893959759</v>
      </c>
      <c r="AH16" s="354">
        <f>SUM(AH13:AH15)</f>
        <v>-1855.350698193306</v>
      </c>
      <c r="AJ16" s="353" t="s">
        <v>321</v>
      </c>
      <c r="AK16" s="354">
        <f>SUM(AK13:AK15)</f>
        <v>-3912.0119994391107</v>
      </c>
      <c r="AL16" s="354">
        <f>SUM(AL13:AL15)</f>
        <v>-4241.8394494616332</v>
      </c>
      <c r="AM16" s="354">
        <f>SUM(AM13:AM15)</f>
        <v>-4599.4752581846178</v>
      </c>
      <c r="AN16" s="354">
        <f>SUM(AN13:AN15)</f>
        <v>-4987.2640098350348</v>
      </c>
      <c r="AO16" s="355">
        <f>SUM(AO13:AO15)</f>
        <v>-5407.7479665885439</v>
      </c>
    </row>
    <row r="17" spans="1:41" s="21" customFormat="1" x14ac:dyDescent="0.3">
      <c r="A17" s="16" t="s">
        <v>432</v>
      </c>
      <c r="B17" s="25"/>
      <c r="C17" s="25"/>
      <c r="D17" s="25"/>
      <c r="E17" s="25"/>
      <c r="F17" s="25"/>
      <c r="H17" s="16" t="s">
        <v>432</v>
      </c>
      <c r="I17" s="161"/>
      <c r="J17" s="161"/>
      <c r="K17" s="161"/>
      <c r="L17" s="161"/>
      <c r="M17" s="25"/>
      <c r="O17" s="16" t="s">
        <v>432</v>
      </c>
      <c r="P17" s="161"/>
      <c r="Q17" s="161"/>
      <c r="R17" s="161"/>
      <c r="S17" s="161"/>
      <c r="T17" s="25"/>
      <c r="V17" s="16" t="s">
        <v>432</v>
      </c>
      <c r="W17" s="161"/>
      <c r="X17" s="161"/>
      <c r="Y17" s="161"/>
      <c r="Z17" s="161"/>
      <c r="AA17" s="25"/>
      <c r="AC17" s="112" t="s">
        <v>432</v>
      </c>
      <c r="AD17" s="161"/>
      <c r="AE17" s="161"/>
      <c r="AF17" s="161"/>
      <c r="AG17" s="161"/>
      <c r="AH17" s="172"/>
      <c r="AJ17" s="16" t="s">
        <v>432</v>
      </c>
      <c r="AK17" s="161"/>
      <c r="AL17" s="161"/>
      <c r="AM17" s="161"/>
      <c r="AN17" s="161"/>
      <c r="AO17" s="25"/>
    </row>
    <row r="18" spans="1:41" x14ac:dyDescent="0.3">
      <c r="A18" s="4" t="s">
        <v>433</v>
      </c>
      <c r="B18" s="22">
        <v>0</v>
      </c>
      <c r="C18" s="22">
        <v>0</v>
      </c>
      <c r="D18" s="22">
        <v>0</v>
      </c>
      <c r="E18" s="22">
        <v>0</v>
      </c>
      <c r="F18" s="22">
        <v>0</v>
      </c>
      <c r="H18" s="350" t="s">
        <v>433</v>
      </c>
      <c r="I18" s="351">
        <f>'Balance Sheet Forecast'!I23</f>
        <v>5364.71</v>
      </c>
      <c r="J18" s="351">
        <f>'Balance Sheet Forecast'!J23</f>
        <v>5364.71</v>
      </c>
      <c r="K18" s="351">
        <f>'Balance Sheet Forecast'!K23</f>
        <v>5364.71</v>
      </c>
      <c r="L18" s="351">
        <f>'Balance Sheet Forecast'!L23</f>
        <v>5364.71</v>
      </c>
      <c r="M18" s="352">
        <f>'Balance Sheet Forecast'!M23</f>
        <v>5364.71</v>
      </c>
      <c r="O18" s="350" t="s">
        <v>433</v>
      </c>
      <c r="P18" s="351">
        <f>'Balance Sheet Forecast'!P23+'Balance Sheet Forecast'!P28</f>
        <v>8483.0299999999988</v>
      </c>
      <c r="Q18" s="351">
        <f>Q30</f>
        <v>6426.6455417358929</v>
      </c>
      <c r="R18" s="351">
        <f>R30</f>
        <v>3986.260199021779</v>
      </c>
      <c r="S18" s="351">
        <f>S30</f>
        <v>1082.3520355074206</v>
      </c>
      <c r="T18" s="351">
        <f>T30</f>
        <v>-2383.9511570143927</v>
      </c>
      <c r="V18" s="350" t="s">
        <v>433</v>
      </c>
      <c r="W18" s="351">
        <f>'Balance Sheet Forecast'!W23+'Balance Sheet Forecast'!W28</f>
        <v>4463.1577089914717</v>
      </c>
      <c r="X18" s="351">
        <f>X30</f>
        <v>5327.5869269173281</v>
      </c>
      <c r="Y18" s="351">
        <f>Y30</f>
        <v>6248.6938527600023</v>
      </c>
      <c r="Z18" s="351">
        <f>Z30</f>
        <v>7239.5340988554908</v>
      </c>
      <c r="AA18" s="352">
        <f>AA30</f>
        <v>8313.79872029949</v>
      </c>
      <c r="AC18" s="359" t="s">
        <v>433</v>
      </c>
      <c r="AD18" s="351">
        <f>'Balance Sheet Forecast'!AD23+'Balance Sheet Forecast'!AD28</f>
        <v>4247.1105597947408</v>
      </c>
      <c r="AE18" s="351">
        <f>'Balance Sheet Forecast'!AE23+'Balance Sheet Forecast'!AE28</f>
        <v>4508.8162381152142</v>
      </c>
      <c r="AF18" s="351">
        <f>'Balance Sheet Forecast'!AF23+'Balance Sheet Forecast'!AF28</f>
        <v>4786.6481418072472</v>
      </c>
      <c r="AG18" s="351">
        <f>'Balance Sheet Forecast'!AG23+'Balance Sheet Forecast'!AG28</f>
        <v>5081.5999640394512</v>
      </c>
      <c r="AH18" s="351">
        <f>'Balance Sheet Forecast'!AH23+'Balance Sheet Forecast'!AH28</f>
        <v>5394.726629055328</v>
      </c>
      <c r="AJ18" s="350" t="s">
        <v>433</v>
      </c>
      <c r="AK18" s="351">
        <f>'Balance Sheet Forecast'!AK23+'Balance Sheet Forecast'!AK28</f>
        <v>492.14409633612496</v>
      </c>
      <c r="AL18" s="351">
        <f>'Balance Sheet Forecast'!AL23+'Balance Sheet Forecast'!AL28</f>
        <v>1866.719353801966</v>
      </c>
      <c r="AM18" s="351">
        <f>'Balance Sheet Forecast'!AM23+'Balance Sheet Forecast'!AM28</f>
        <v>4575.3951524521144</v>
      </c>
      <c r="AN18" s="351">
        <f>'Balance Sheet Forecast'!AN23+'Balance Sheet Forecast'!AN28</f>
        <v>7524.8050659858627</v>
      </c>
      <c r="AO18" s="352">
        <f>'Balance Sheet Forecast'!AO23+'Balance Sheet Forecast'!AO28</f>
        <v>10496.092412559219</v>
      </c>
    </row>
    <row r="19" spans="1:41" x14ac:dyDescent="0.3">
      <c r="A19" s="4" t="s">
        <v>434</v>
      </c>
      <c r="B19" s="22">
        <v>0</v>
      </c>
      <c r="C19" s="22">
        <v>0</v>
      </c>
      <c r="D19" s="22">
        <v>0</v>
      </c>
      <c r="E19" s="22">
        <v>0</v>
      </c>
      <c r="F19" s="22">
        <v>0</v>
      </c>
      <c r="H19" s="18" t="s">
        <v>434</v>
      </c>
      <c r="I19" s="22">
        <f>'Cash Flow Statement'!O45</f>
        <v>-4343.84</v>
      </c>
      <c r="J19" s="22">
        <f>$I$19</f>
        <v>-4343.84</v>
      </c>
      <c r="K19" s="22">
        <f>$I$19</f>
        <v>-4343.84</v>
      </c>
      <c r="L19" s="22">
        <f>$I$19</f>
        <v>-4343.84</v>
      </c>
      <c r="M19" s="23">
        <f>$I$19</f>
        <v>-4343.84</v>
      </c>
      <c r="O19" s="18" t="s">
        <v>434</v>
      </c>
      <c r="P19" s="22">
        <f>-P37</f>
        <v>-2056.3844582641059</v>
      </c>
      <c r="Q19" s="22">
        <f>-Q37</f>
        <v>-2440.3853427141139</v>
      </c>
      <c r="R19" s="22">
        <f>-R37</f>
        <v>-2903.9081635143584</v>
      </c>
      <c r="S19" s="22">
        <f>-S37</f>
        <v>-3466.3031925218133</v>
      </c>
      <c r="T19" s="22">
        <f>-T37</f>
        <v>-4152.2950445039696</v>
      </c>
      <c r="V19" s="18" t="s">
        <v>434</v>
      </c>
      <c r="W19" s="22">
        <f>-W37</f>
        <v>-3665.1014662552234</v>
      </c>
      <c r="X19" s="22">
        <f>-X37</f>
        <v>-4103.5944648869709</v>
      </c>
      <c r="Y19" s="22">
        <f>-Y37</f>
        <v>-4583.1641765205586</v>
      </c>
      <c r="Z19" s="22">
        <f>-Z37</f>
        <v>-5109.0929330298195</v>
      </c>
      <c r="AA19" s="23">
        <f>-AA37</f>
        <v>-5687.1106781481703</v>
      </c>
      <c r="AC19" s="4" t="s">
        <v>434</v>
      </c>
      <c r="AD19" s="22">
        <f>-AD37</f>
        <v>-623.91819158345322</v>
      </c>
      <c r="AE19" s="22">
        <f>-AE37</f>
        <v>-662.35999002556764</v>
      </c>
      <c r="AF19" s="22">
        <f>-AF37</f>
        <v>-703.37873477592984</v>
      </c>
      <c r="AG19" s="22">
        <f>-AG37</f>
        <v>-747.06189027278265</v>
      </c>
      <c r="AH19" s="22">
        <f>-AH37</f>
        <v>-793.52164704928214</v>
      </c>
      <c r="AJ19" s="18" t="s">
        <v>434</v>
      </c>
      <c r="AK19" s="22">
        <f>-AK37</f>
        <v>-2125.2201783899409</v>
      </c>
      <c r="AL19" s="22">
        <f>-AL37</f>
        <v>-2513.6437502187605</v>
      </c>
      <c r="AM19" s="22">
        <f>-AM37</f>
        <v>-2820.4071681175155</v>
      </c>
      <c r="AN19" s="22">
        <f>-AN37</f>
        <v>-3045.839203595141</v>
      </c>
      <c r="AO19" s="23">
        <f>-AO37</f>
        <v>-3124.6816912698905</v>
      </c>
    </row>
    <row r="20" spans="1:41" x14ac:dyDescent="0.3">
      <c r="A20" s="4" t="s">
        <v>435</v>
      </c>
      <c r="B20" s="22">
        <v>0</v>
      </c>
      <c r="C20" s="22">
        <v>0</v>
      </c>
      <c r="D20" s="22">
        <v>0</v>
      </c>
      <c r="E20" s="22">
        <v>0</v>
      </c>
      <c r="F20" s="22">
        <v>0</v>
      </c>
      <c r="H20" s="350" t="s">
        <v>435</v>
      </c>
      <c r="I20" s="351">
        <v>0</v>
      </c>
      <c r="J20" s="351">
        <v>0</v>
      </c>
      <c r="K20" s="351">
        <v>0</v>
      </c>
      <c r="L20" s="351">
        <v>0</v>
      </c>
      <c r="M20" s="352">
        <v>0</v>
      </c>
      <c r="O20" s="350" t="s">
        <v>435</v>
      </c>
      <c r="P20" s="351">
        <f>'Cash Flow Statement'!$W$60</f>
        <v>-593.14</v>
      </c>
      <c r="Q20" s="351">
        <f>'Cash Flow Statement'!$W$60</f>
        <v>-593.14</v>
      </c>
      <c r="R20" s="351">
        <f>'Cash Flow Statement'!$W$60</f>
        <v>-593.14</v>
      </c>
      <c r="S20" s="351">
        <f>'Cash Flow Statement'!$W$60</f>
        <v>-593.14</v>
      </c>
      <c r="T20" s="351">
        <f>'Cash Flow Statement'!$W$60</f>
        <v>-593.14</v>
      </c>
      <c r="V20" s="350" t="s">
        <v>435</v>
      </c>
      <c r="W20" s="351">
        <f>'Cash Flow Statement'!$AE$42</f>
        <v>-129.4</v>
      </c>
      <c r="X20" s="351">
        <f>'Cash Flow Statement'!$AE$42</f>
        <v>-129.4</v>
      </c>
      <c r="Y20" s="351">
        <f>'Cash Flow Statement'!$AE$42</f>
        <v>-129.4</v>
      </c>
      <c r="Z20" s="351">
        <f>'Cash Flow Statement'!$AE$42</f>
        <v>-129.4</v>
      </c>
      <c r="AA20" s="352">
        <f>'Cash Flow Statement'!$AE$42</f>
        <v>-129.4</v>
      </c>
      <c r="AC20" s="359" t="s">
        <v>435</v>
      </c>
      <c r="AD20" s="351">
        <f>'Cash Flow Statement'!$AM$33</f>
        <v>-27.24</v>
      </c>
      <c r="AE20" s="351">
        <f>'Cash Flow Statement'!$AM$33</f>
        <v>-27.24</v>
      </c>
      <c r="AF20" s="351">
        <f>'Cash Flow Statement'!$AM$33</f>
        <v>-27.24</v>
      </c>
      <c r="AG20" s="351">
        <f>'Cash Flow Statement'!$AM$33</f>
        <v>-27.24</v>
      </c>
      <c r="AH20" s="351">
        <f>'Cash Flow Statement'!$AM$33</f>
        <v>-27.24</v>
      </c>
      <c r="AJ20" s="350" t="s">
        <v>435</v>
      </c>
      <c r="AK20" s="351">
        <f>-('Balance Sheet'!AU43+'Balance Sheet'!AU54)</f>
        <v>-346.09000000000003</v>
      </c>
      <c r="AL20" s="351">
        <f>$AK$20</f>
        <v>-346.09000000000003</v>
      </c>
      <c r="AM20" s="351">
        <f>$AK$20</f>
        <v>-346.09000000000003</v>
      </c>
      <c r="AN20" s="351">
        <f>$AK$20</f>
        <v>-346.09000000000003</v>
      </c>
      <c r="AO20" s="352">
        <f>$AK$20</f>
        <v>-346.09000000000003</v>
      </c>
    </row>
    <row r="21" spans="1:41" x14ac:dyDescent="0.3">
      <c r="A21" s="4" t="s">
        <v>436</v>
      </c>
      <c r="B21" s="22">
        <v>0</v>
      </c>
      <c r="C21" s="22">
        <v>0</v>
      </c>
      <c r="D21" s="22">
        <v>0</v>
      </c>
      <c r="E21" s="22">
        <v>0</v>
      </c>
      <c r="F21" s="22">
        <v>0</v>
      </c>
      <c r="H21" s="18" t="s">
        <v>436</v>
      </c>
      <c r="I21" s="22">
        <f>'Cash Flow Statement'!$O$46</f>
        <v>-134.51</v>
      </c>
      <c r="J21" s="22">
        <f>'Cash Flow Statement'!$O$46</f>
        <v>-134.51</v>
      </c>
      <c r="K21" s="22">
        <f>'Cash Flow Statement'!$O$46</f>
        <v>-134.51</v>
      </c>
      <c r="L21" s="22">
        <f>'Cash Flow Statement'!$O$46</f>
        <v>-134.51</v>
      </c>
      <c r="M21" s="23">
        <f>'Cash Flow Statement'!$O$46</f>
        <v>-134.51</v>
      </c>
      <c r="O21" s="18" t="s">
        <v>436</v>
      </c>
      <c r="P21" s="22">
        <v>0</v>
      </c>
      <c r="Q21" s="22">
        <v>0</v>
      </c>
      <c r="R21" s="22">
        <v>0</v>
      </c>
      <c r="S21" s="22">
        <v>0</v>
      </c>
      <c r="T21" s="22">
        <v>0</v>
      </c>
      <c r="V21" s="18" t="s">
        <v>436</v>
      </c>
      <c r="W21" s="22">
        <v>0</v>
      </c>
      <c r="X21" s="22">
        <v>0</v>
      </c>
      <c r="Y21" s="22">
        <v>0</v>
      </c>
      <c r="Z21" s="22">
        <v>0</v>
      </c>
      <c r="AA21" s="23">
        <v>0</v>
      </c>
      <c r="AC21" s="4" t="s">
        <v>436</v>
      </c>
      <c r="AD21" s="22">
        <v>0</v>
      </c>
      <c r="AE21" s="22">
        <v>0</v>
      </c>
      <c r="AF21" s="22">
        <v>0</v>
      </c>
      <c r="AG21" s="22">
        <v>0</v>
      </c>
      <c r="AH21" s="22">
        <v>0</v>
      </c>
      <c r="AJ21" s="18" t="s">
        <v>436</v>
      </c>
      <c r="AK21" s="22">
        <v>0</v>
      </c>
      <c r="AL21" s="22">
        <v>0</v>
      </c>
      <c r="AM21" s="22">
        <v>0</v>
      </c>
      <c r="AN21" s="22">
        <v>0</v>
      </c>
      <c r="AO21" s="23">
        <v>0</v>
      </c>
    </row>
    <row r="22" spans="1:41" x14ac:dyDescent="0.3">
      <c r="A22" s="4" t="s">
        <v>307</v>
      </c>
      <c r="B22" s="22">
        <v>-796</v>
      </c>
      <c r="C22" s="22">
        <v>-796</v>
      </c>
      <c r="D22" s="22">
        <v>-796</v>
      </c>
      <c r="E22" s="22">
        <v>-796</v>
      </c>
      <c r="F22" s="22">
        <v>-796</v>
      </c>
      <c r="H22" s="350" t="s">
        <v>307</v>
      </c>
      <c r="I22" s="351">
        <f>-'Income Statement'!J75</f>
        <v>-2832.4005293306509</v>
      </c>
      <c r="J22" s="351">
        <f>-'Income Statement'!K75</f>
        <v>-3044.4846311382157</v>
      </c>
      <c r="K22" s="351">
        <f>-'Income Statement'!L75</f>
        <v>-3308.0392752902603</v>
      </c>
      <c r="L22" s="351">
        <f>-'Income Statement'!M75</f>
        <v>-3626.6995034457054</v>
      </c>
      <c r="M22" s="352">
        <f>-'Income Statement'!N75</f>
        <v>-4005.6710005584519</v>
      </c>
      <c r="O22" s="350" t="s">
        <v>307</v>
      </c>
      <c r="P22" s="351">
        <f>-P33</f>
        <v>-7.9850402555770428</v>
      </c>
      <c r="Q22" s="351">
        <f>-Q33</f>
        <v>-9.7446413175624453</v>
      </c>
      <c r="R22" s="351">
        <f>-R33</f>
        <v>-11.841507310081987</v>
      </c>
      <c r="S22" s="351">
        <f>-S33</f>
        <v>-14.357478543078168</v>
      </c>
      <c r="T22" s="351">
        <f>-T33</f>
        <v>-17.396806670848754</v>
      </c>
      <c r="V22" s="350" t="s">
        <v>307</v>
      </c>
      <c r="W22" s="351">
        <f>-'Income Statement'!Z77</f>
        <v>-637.73591015727641</v>
      </c>
      <c r="X22" s="351">
        <f>-'Income Statement'!AA77</f>
        <v>-692.48598226061006</v>
      </c>
      <c r="Y22" s="351">
        <f>-'Income Statement'!AB77</f>
        <v>-755.04490021055926</v>
      </c>
      <c r="Z22" s="351">
        <f>-'Income Statement'!AC77</f>
        <v>-825.97573532393415</v>
      </c>
      <c r="AA22" s="352">
        <f>-'Income Statement'!AD77</f>
        <v>-905.94098734678823</v>
      </c>
      <c r="AC22" s="359" t="s">
        <v>307</v>
      </c>
      <c r="AD22" s="351">
        <f>-AD33</f>
        <v>-746.42615014102296</v>
      </c>
      <c r="AE22" s="351">
        <f>-AE33</f>
        <v>-788.94191768403448</v>
      </c>
      <c r="AF22" s="351">
        <f>-AF33</f>
        <v>-834.77927269784993</v>
      </c>
      <c r="AG22" s="351">
        <f>-AG33</f>
        <v>-883.98791580735508</v>
      </c>
      <c r="AH22" s="351">
        <f>-AH33</f>
        <v>-936.65647229764045</v>
      </c>
      <c r="AJ22" s="350" t="s">
        <v>307</v>
      </c>
      <c r="AK22" s="351">
        <f>-'Income Statement'!AP77</f>
        <v>-392.13417260105888</v>
      </c>
      <c r="AL22" s="351">
        <f>-'Income Statement'!AQ77</f>
        <v>-384.92971171050709</v>
      </c>
      <c r="AM22" s="351">
        <f>-'Income Statement'!AR77</f>
        <v>-370.29164141827187</v>
      </c>
      <c r="AN22" s="351">
        <f>-'Income Statement'!AS77</f>
        <v>-346.18521927097646</v>
      </c>
      <c r="AO22" s="352">
        <f>-'Income Statement'!AT77</f>
        <v>-375.35845527688218</v>
      </c>
    </row>
    <row r="23" spans="1:41" x14ac:dyDescent="0.3">
      <c r="A23" s="4" t="s">
        <v>204</v>
      </c>
      <c r="B23" s="22">
        <f>-'Income Statement Forecast'!B17</f>
        <v>-2.2399999999999998</v>
      </c>
      <c r="C23" s="22">
        <f>-'Income Statement Forecast'!C17</f>
        <v>-2.2399999999999998</v>
      </c>
      <c r="D23" s="22">
        <f>-'Income Statement Forecast'!D17</f>
        <v>-2.2399999999999998</v>
      </c>
      <c r="E23" s="22">
        <f>-'Income Statement Forecast'!E17</f>
        <v>-2.2399999999999998</v>
      </c>
      <c r="F23" s="22">
        <f>-'Income Statement Forecast'!F17</f>
        <v>-2.2399999999999998</v>
      </c>
      <c r="H23" s="18" t="s">
        <v>204</v>
      </c>
      <c r="I23" s="22">
        <f>'Income Statement Forecast'!$I$17</f>
        <v>534.97139943584489</v>
      </c>
      <c r="J23" s="22">
        <f>'Income Statement Forecast'!$I$17</f>
        <v>534.97139943584489</v>
      </c>
      <c r="K23" s="22">
        <f>'Income Statement Forecast'!$I$17</f>
        <v>534.97139943584489</v>
      </c>
      <c r="L23" s="22">
        <f>'Income Statement Forecast'!$I$17</f>
        <v>534.97139943584489</v>
      </c>
      <c r="M23" s="23">
        <f>'Income Statement Forecast'!$I$17</f>
        <v>534.97139943584489</v>
      </c>
      <c r="O23" s="18" t="s">
        <v>204</v>
      </c>
      <c r="P23" s="22">
        <f>-P40</f>
        <v>-429.40999999999997</v>
      </c>
      <c r="Q23" s="22">
        <f>-Q40</f>
        <v>-325.3160559466146</v>
      </c>
      <c r="R23" s="22">
        <f>-R40</f>
        <v>-201.78403142060586</v>
      </c>
      <c r="S23" s="22">
        <f>-S40</f>
        <v>-54.788535177553477</v>
      </c>
      <c r="T23" s="23">
        <f>T40</f>
        <v>-120.67533255612092</v>
      </c>
      <c r="V23" s="18" t="s">
        <v>204</v>
      </c>
      <c r="W23" s="22">
        <f>-'Income Statement Forecast'!W17</f>
        <v>-320.99100516359056</v>
      </c>
      <c r="X23" s="22">
        <f>-'Income Statement Forecast'!X17</f>
        <v>-353.33813635937514</v>
      </c>
      <c r="Y23" s="22">
        <f>-'Income Statement Forecast'!Y17</f>
        <v>-389.22147316360707</v>
      </c>
      <c r="Z23" s="22">
        <f>-'Income Statement Forecast'!Z17</f>
        <v>-429.02759545657096</v>
      </c>
      <c r="AA23" s="23">
        <f>-'Income Statement Forecast'!AA17</f>
        <v>-473.18534423693313</v>
      </c>
      <c r="AC23" s="4" t="s">
        <v>204</v>
      </c>
      <c r="AD23" s="22">
        <f>-AD40</f>
        <v>-297.4083464287404</v>
      </c>
      <c r="AE23" s="22">
        <f>-AE40</f>
        <v>-315.73487579396664</v>
      </c>
      <c r="AF23" s="22">
        <f>-AF40</f>
        <v>-335.17359249897532</v>
      </c>
      <c r="AG23" s="22">
        <f>-AG40</f>
        <v>-355.79888397915352</v>
      </c>
      <c r="AH23" s="22">
        <f>-AH40</f>
        <v>-377.68813416707314</v>
      </c>
      <c r="AJ23" s="18" t="s">
        <v>204</v>
      </c>
      <c r="AK23" s="22">
        <f>AK40</f>
        <v>-130.64608656430528</v>
      </c>
      <c r="AL23" s="22">
        <f>AL40</f>
        <v>-51.753951713343561</v>
      </c>
      <c r="AM23" s="22">
        <f>-AM40</f>
        <v>-140.3990387467679</v>
      </c>
      <c r="AN23" s="22">
        <f>-AN40</f>
        <v>-358.31726899125772</v>
      </c>
      <c r="AO23" s="23">
        <f>-AO40</f>
        <v>-589.71285770314626</v>
      </c>
    </row>
    <row r="24" spans="1:41" s="21" customFormat="1" x14ac:dyDescent="0.3">
      <c r="A24" s="11" t="s">
        <v>308</v>
      </c>
      <c r="B24" s="24">
        <f>SUM(B18:B23)</f>
        <v>-798.24</v>
      </c>
      <c r="C24" s="24">
        <f>SUM(C18:C23)</f>
        <v>-798.24</v>
      </c>
      <c r="D24" s="24">
        <f>SUM(D18:D23)</f>
        <v>-798.24</v>
      </c>
      <c r="E24" s="24">
        <f>SUM(E18:E23)</f>
        <v>-798.24</v>
      </c>
      <c r="F24" s="24">
        <f>SUM(F18:F23)</f>
        <v>-798.24</v>
      </c>
      <c r="H24" s="353" t="s">
        <v>308</v>
      </c>
      <c r="I24" s="354">
        <f>SUM(I18:I23)</f>
        <v>-1411.0691298948061</v>
      </c>
      <c r="J24" s="354">
        <f>SUM(J18:J23)</f>
        <v>-1623.1532317023707</v>
      </c>
      <c r="K24" s="354">
        <f>SUM(K18:K23)</f>
        <v>-1886.7078758544153</v>
      </c>
      <c r="L24" s="354">
        <f>SUM(L18:L23)</f>
        <v>-2205.3681040098604</v>
      </c>
      <c r="M24" s="355">
        <f>SUM(M18:M23)</f>
        <v>-2584.3396011226073</v>
      </c>
      <c r="O24" s="353" t="s">
        <v>308</v>
      </c>
      <c r="P24" s="354">
        <f>SUM(P18:P23)</f>
        <v>5396.1105014803161</v>
      </c>
      <c r="Q24" s="354">
        <f>SUM(Q18:Q23)</f>
        <v>3058.059501757602</v>
      </c>
      <c r="R24" s="354">
        <f>SUM(R18:R23)</f>
        <v>275.58649677673282</v>
      </c>
      <c r="S24" s="354">
        <f>SUM(S18:S23)</f>
        <v>-3046.2371707350244</v>
      </c>
      <c r="T24" s="354">
        <f>SUM(T18:T23)</f>
        <v>-7267.4583407453329</v>
      </c>
      <c r="V24" s="353" t="s">
        <v>308</v>
      </c>
      <c r="W24" s="354">
        <f>SUM(W18:W23)</f>
        <v>-290.07067258461859</v>
      </c>
      <c r="X24" s="354">
        <f>SUM(X18:X23)</f>
        <v>48.768343410371983</v>
      </c>
      <c r="Y24" s="354">
        <f>SUM(Y18:Y23)</f>
        <v>391.86330286527726</v>
      </c>
      <c r="Z24" s="354">
        <f>SUM(Z18:Z23)</f>
        <v>746.03783504516605</v>
      </c>
      <c r="AA24" s="355">
        <f>SUM(AA18:AA23)</f>
        <v>1118.1617105675982</v>
      </c>
      <c r="AC24" s="360" t="s">
        <v>308</v>
      </c>
      <c r="AD24" s="354">
        <f>SUM(AD18:AD23)</f>
        <v>2552.1178716415243</v>
      </c>
      <c r="AE24" s="354">
        <f>SUM(AE18:AE23)</f>
        <v>2714.5394546116454</v>
      </c>
      <c r="AF24" s="354">
        <f>SUM(AF18:AF23)</f>
        <v>2886.0765418344922</v>
      </c>
      <c r="AG24" s="354">
        <f>SUM(AG18:AG23)</f>
        <v>3067.5112739801598</v>
      </c>
      <c r="AH24" s="354">
        <f>SUM(AH18:AH23)</f>
        <v>3259.6203755413321</v>
      </c>
      <c r="AJ24" s="353" t="s">
        <v>308</v>
      </c>
      <c r="AK24" s="354">
        <f>SUM(AK18:AK23)</f>
        <v>-2501.9463412191799</v>
      </c>
      <c r="AL24" s="354">
        <f>SUM(AL18:AL23)</f>
        <v>-1429.6980598406453</v>
      </c>
      <c r="AM24" s="354">
        <f>SUM(AM18:AM23)</f>
        <v>898.20730416955894</v>
      </c>
      <c r="AN24" s="354">
        <f>SUM(AN18:AN23)</f>
        <v>3428.3733741284873</v>
      </c>
      <c r="AO24" s="355">
        <f>SUM(AO18:AO23)</f>
        <v>6060.2494083092997</v>
      </c>
    </row>
    <row r="25" spans="1:41" s="21" customFormat="1" x14ac:dyDescent="0.3">
      <c r="A25" s="11" t="s">
        <v>207</v>
      </c>
      <c r="B25" s="24">
        <f>B11+B16+B24</f>
        <v>593.4814274900657</v>
      </c>
      <c r="C25" s="24">
        <f>C11+C16+C24</f>
        <v>289.18257216754023</v>
      </c>
      <c r="D25" s="24">
        <f>D11+D16+D24</f>
        <v>385.91387461719319</v>
      </c>
      <c r="E25" s="24">
        <f>E11+E16+E24</f>
        <v>-77.921311384104911</v>
      </c>
      <c r="F25" s="24">
        <f>F11+F16+F24</f>
        <v>-136.48854371846733</v>
      </c>
      <c r="H25" s="19" t="s">
        <v>207</v>
      </c>
      <c r="I25" s="24">
        <f>I11+I16+I24</f>
        <v>7013.2422693369917</v>
      </c>
      <c r="J25" s="24">
        <f>J11+J16+J24</f>
        <v>7880.33305378554</v>
      </c>
      <c r="K25" s="24">
        <f>K11+K16+K24</f>
        <v>8811.3386454470547</v>
      </c>
      <c r="L25" s="24">
        <f>L11+L16+L24</f>
        <v>9825.5763940299003</v>
      </c>
      <c r="M25" s="61">
        <f>M11+M16+M24</f>
        <v>10943.944594024451</v>
      </c>
      <c r="O25" s="19" t="s">
        <v>207</v>
      </c>
      <c r="P25" s="24">
        <f>P11+P16+P24</f>
        <v>3538.7310292660595</v>
      </c>
      <c r="Q25" s="24">
        <f>Q11+Q16+Q24</f>
        <v>1599.5688978230305</v>
      </c>
      <c r="R25" s="24">
        <f>R11+R16+R24</f>
        <v>-766.17329741875585</v>
      </c>
      <c r="S25" s="24">
        <f>S11+S16+S24</f>
        <v>-3578.3172022863359</v>
      </c>
      <c r="T25" s="24">
        <f>T11+T16+T24</f>
        <v>-7172.9035856049286</v>
      </c>
      <c r="V25" s="19" t="s">
        <v>207</v>
      </c>
      <c r="W25" s="24">
        <f>W11+W16+W24</f>
        <v>2178.6134168819017</v>
      </c>
      <c r="X25" s="24">
        <f>X11+X16+X24</f>
        <v>1902.0156250435512</v>
      </c>
      <c r="Y25" s="24">
        <f>Y11+Y16+Y24</f>
        <v>2496.4897046592118</v>
      </c>
      <c r="Z25" s="24">
        <f>Z11+Z16+Z24</f>
        <v>3118.9216564434005</v>
      </c>
      <c r="AA25" s="61">
        <f>AA11+AA16+AA24</f>
        <v>3779.0975695196307</v>
      </c>
      <c r="AC25" s="11" t="s">
        <v>207</v>
      </c>
      <c r="AD25" s="24">
        <f>AD11+AD16+AD24</f>
        <v>2688.7157275533837</v>
      </c>
      <c r="AE25" s="24">
        <f>AE11+AE16+AE24</f>
        <v>3205.8253173549738</v>
      </c>
      <c r="AF25" s="24">
        <f>AF11+AF16+AF24</f>
        <v>3405.2669246210007</v>
      </c>
      <c r="AG25" s="24">
        <f>AG11+AG16+AG24</f>
        <v>3617.1461450013712</v>
      </c>
      <c r="AH25" s="24">
        <f>AH11+AH16+AH24</f>
        <v>3842.1731232756433</v>
      </c>
      <c r="AJ25" s="19" t="s">
        <v>207</v>
      </c>
      <c r="AK25" s="24">
        <f>AK11+AK16+AK24</f>
        <v>-3227.0479635580241</v>
      </c>
      <c r="AL25" s="24">
        <f>AL11+AL16+AL24</f>
        <v>-1461.9395810210526</v>
      </c>
      <c r="AM25" s="24">
        <f>AM11+AM16+AM24</f>
        <v>2224.0319387563845</v>
      </c>
      <c r="AN25" s="24">
        <f>AN11+AN16+AN24</f>
        <v>4798.2937579260597</v>
      </c>
      <c r="AO25" s="61">
        <f>AO11+AO16+AO24</f>
        <v>7367.6993464607904</v>
      </c>
    </row>
    <row r="26" spans="1:41" x14ac:dyDescent="0.3">
      <c r="A26" s="4" t="s">
        <v>437</v>
      </c>
      <c r="B26" s="22">
        <f>'Cash Flow Statement'!G50</f>
        <v>412.69999999999891</v>
      </c>
      <c r="C26" s="22">
        <f>B27</f>
        <v>1006.1814274900646</v>
      </c>
      <c r="D26" s="22">
        <f>C27</f>
        <v>1295.3639996576048</v>
      </c>
      <c r="E26" s="22">
        <f>D27</f>
        <v>1681.277874274798</v>
      </c>
      <c r="F26" s="22">
        <f>E27</f>
        <v>1603.3565628906931</v>
      </c>
      <c r="H26" s="350" t="s">
        <v>437</v>
      </c>
      <c r="I26" s="351">
        <f>'Cash Flow Statement'!O57</f>
        <v>10628.630000000001</v>
      </c>
      <c r="J26" s="351">
        <f>I27</f>
        <v>17641.872269336993</v>
      </c>
      <c r="K26" s="351">
        <f>J27</f>
        <v>25522.205323122533</v>
      </c>
      <c r="L26" s="351">
        <f>K27</f>
        <v>34333.543968569589</v>
      </c>
      <c r="M26" s="352">
        <f>L27</f>
        <v>44159.120362599489</v>
      </c>
      <c r="O26" s="350" t="s">
        <v>437</v>
      </c>
      <c r="P26" s="351">
        <f>'Cash Flow Statement'!W67</f>
        <v>403.8799999999984</v>
      </c>
      <c r="Q26" s="351">
        <f>P27</f>
        <v>3942.6110292660578</v>
      </c>
      <c r="R26" s="351">
        <f>Q27</f>
        <v>5542.1799270890879</v>
      </c>
      <c r="S26" s="351">
        <f>R27</f>
        <v>4776.0066296703317</v>
      </c>
      <c r="T26" s="351">
        <f>S27</f>
        <v>1197.6894273839957</v>
      </c>
      <c r="V26" s="350" t="s">
        <v>437</v>
      </c>
      <c r="W26" s="351">
        <f>'Balance Sheet'!AE24</f>
        <v>1465.4</v>
      </c>
      <c r="X26" s="351">
        <f>W27</f>
        <v>3644.0134168819018</v>
      </c>
      <c r="Y26" s="351">
        <f>X27</f>
        <v>5546.0290419254525</v>
      </c>
      <c r="Z26" s="351">
        <f>Y27</f>
        <v>8042.5187465846648</v>
      </c>
      <c r="AA26" s="352">
        <f>Z27</f>
        <v>11161.440403028066</v>
      </c>
      <c r="AC26" s="359" t="s">
        <v>437</v>
      </c>
      <c r="AD26" s="351">
        <f>'Cash Flow Statement'!AM40</f>
        <v>573.47999999999956</v>
      </c>
      <c r="AE26" s="351">
        <f>'Balance Sheet Forecast'!AE11</f>
        <v>930.24221324532118</v>
      </c>
      <c r="AF26" s="351">
        <f>'Balance Sheet Forecast'!AF11</f>
        <v>938.77051719045267</v>
      </c>
      <c r="AG26" s="351">
        <f>'Balance Sheet Forecast'!AG11</f>
        <v>948.00117062632489</v>
      </c>
      <c r="AH26" s="351">
        <f>'Balance Sheet Forecast'!AH11</f>
        <v>958.10184312527053</v>
      </c>
      <c r="AJ26" s="350" t="s">
        <v>437</v>
      </c>
      <c r="AK26" s="351">
        <f>'Cash Flow Statement'!AU58</f>
        <v>544.90999999999724</v>
      </c>
      <c r="AL26" s="351">
        <f>AK27</f>
        <v>-2682.137963558027</v>
      </c>
      <c r="AM26" s="351">
        <f>AL27</f>
        <v>-4144.0775445790796</v>
      </c>
      <c r="AN26" s="351">
        <f>AM27</f>
        <v>-1920.0456058226951</v>
      </c>
      <c r="AO26" s="352">
        <f>AN27</f>
        <v>2878.2481521033646</v>
      </c>
    </row>
    <row r="27" spans="1:41" s="21" customFormat="1" x14ac:dyDescent="0.3">
      <c r="A27" s="11" t="s">
        <v>438</v>
      </c>
      <c r="B27" s="24">
        <f>SUM(B25:B26)</f>
        <v>1006.1814274900646</v>
      </c>
      <c r="C27" s="24">
        <f>SUM(C25:C26)</f>
        <v>1295.3639996576048</v>
      </c>
      <c r="D27" s="24">
        <f>SUM(D25:D26)</f>
        <v>1681.277874274798</v>
      </c>
      <c r="E27" s="24">
        <f>SUM(E25:E26)</f>
        <v>1603.3565628906931</v>
      </c>
      <c r="F27" s="24">
        <f>SUM(F25:F26)</f>
        <v>1466.8680191722258</v>
      </c>
      <c r="H27" s="107" t="s">
        <v>438</v>
      </c>
      <c r="I27" s="173">
        <f>I25+I26</f>
        <v>17641.872269336993</v>
      </c>
      <c r="J27" s="173">
        <f>J25+J26</f>
        <v>25522.205323122533</v>
      </c>
      <c r="K27" s="173">
        <f>K25+K26</f>
        <v>34333.543968569589</v>
      </c>
      <c r="L27" s="173">
        <f>L25+L26</f>
        <v>44159.120362599489</v>
      </c>
      <c r="M27" s="356">
        <f>M25+M26</f>
        <v>55103.064956623944</v>
      </c>
      <c r="O27" s="107" t="s">
        <v>438</v>
      </c>
      <c r="P27" s="173">
        <f>P25+P26</f>
        <v>3942.6110292660578</v>
      </c>
      <c r="Q27" s="173">
        <f>Q25+Q26</f>
        <v>5542.1799270890879</v>
      </c>
      <c r="R27" s="173">
        <f>R25+R26</f>
        <v>4776.0066296703317</v>
      </c>
      <c r="S27" s="173">
        <f>S25+S26</f>
        <v>1197.6894273839957</v>
      </c>
      <c r="T27" s="173">
        <f>T25+T26</f>
        <v>-5975.2141582209333</v>
      </c>
      <c r="V27" s="107" t="s">
        <v>438</v>
      </c>
      <c r="W27" s="173">
        <f>W25+W26</f>
        <v>3644.0134168819018</v>
      </c>
      <c r="X27" s="173">
        <f>X25+X26</f>
        <v>5546.0290419254525</v>
      </c>
      <c r="Y27" s="173">
        <f>Y25+Y26</f>
        <v>8042.5187465846648</v>
      </c>
      <c r="Z27" s="173">
        <f>Z25+Z26</f>
        <v>11161.440403028066</v>
      </c>
      <c r="AA27" s="356">
        <f>AA25+AA26</f>
        <v>14940.537972547696</v>
      </c>
      <c r="AC27" s="188" t="s">
        <v>438</v>
      </c>
      <c r="AD27" s="173">
        <f>AD25+AD26</f>
        <v>3262.1957275533832</v>
      </c>
      <c r="AE27" s="173">
        <f>AE25+AE26</f>
        <v>4136.067530600295</v>
      </c>
      <c r="AF27" s="173">
        <f>AF25+AF26</f>
        <v>4344.0374418114534</v>
      </c>
      <c r="AG27" s="173">
        <f>AG25+AG26</f>
        <v>4565.1473156276961</v>
      </c>
      <c r="AH27" s="173">
        <f>AH25+AH26</f>
        <v>4800.2749664009134</v>
      </c>
      <c r="AJ27" s="107" t="s">
        <v>438</v>
      </c>
      <c r="AK27" s="173">
        <f>AK25+AK26</f>
        <v>-2682.137963558027</v>
      </c>
      <c r="AL27" s="173">
        <f>AL25+AL26</f>
        <v>-4144.0775445790796</v>
      </c>
      <c r="AM27" s="173">
        <f>AM25+AM26</f>
        <v>-1920.0456058226951</v>
      </c>
      <c r="AN27" s="173">
        <f>AN25+AN26</f>
        <v>2878.2481521033646</v>
      </c>
      <c r="AO27" s="356">
        <f>AO25+AO26</f>
        <v>10245.947498564155</v>
      </c>
    </row>
    <row r="29" spans="1:41" x14ac:dyDescent="0.3">
      <c r="O29" s="1" t="s">
        <v>486</v>
      </c>
      <c r="P29" s="174" t="s">
        <v>392</v>
      </c>
      <c r="Q29" s="174" t="s">
        <v>407</v>
      </c>
      <c r="R29" s="174" t="s">
        <v>408</v>
      </c>
      <c r="S29" s="174" t="s">
        <v>409</v>
      </c>
      <c r="T29" s="174" t="s">
        <v>410</v>
      </c>
      <c r="V29" s="1" t="s">
        <v>486</v>
      </c>
      <c r="W29" s="174" t="s">
        <v>392</v>
      </c>
      <c r="X29" s="174" t="s">
        <v>407</v>
      </c>
      <c r="Y29" s="174" t="s">
        <v>408</v>
      </c>
      <c r="Z29" s="174" t="s">
        <v>409</v>
      </c>
      <c r="AA29" s="174" t="s">
        <v>410</v>
      </c>
      <c r="AC29" s="1" t="s">
        <v>486</v>
      </c>
      <c r="AD29" s="174" t="s">
        <v>392</v>
      </c>
      <c r="AE29" s="174" t="s">
        <v>407</v>
      </c>
      <c r="AF29" s="174" t="s">
        <v>408</v>
      </c>
      <c r="AG29" s="174" t="s">
        <v>409</v>
      </c>
      <c r="AH29" s="174" t="s">
        <v>410</v>
      </c>
      <c r="AJ29" s="1" t="s">
        <v>486</v>
      </c>
      <c r="AK29" s="174" t="s">
        <v>392</v>
      </c>
      <c r="AL29" s="174" t="s">
        <v>407</v>
      </c>
      <c r="AM29" s="174" t="s">
        <v>408</v>
      </c>
      <c r="AN29" s="174" t="s">
        <v>409</v>
      </c>
      <c r="AO29" s="174" t="s">
        <v>410</v>
      </c>
    </row>
    <row r="30" spans="1:41" x14ac:dyDescent="0.3">
      <c r="O30" s="1" t="s">
        <v>487</v>
      </c>
      <c r="P30" s="79">
        <f>'Balance Sheet'!W41+'Balance Sheet'!W48</f>
        <v>8483.0299999999988</v>
      </c>
      <c r="Q30" s="79">
        <f>P38</f>
        <v>6426.6455417358929</v>
      </c>
      <c r="R30" s="79">
        <f>Q38</f>
        <v>3986.260199021779</v>
      </c>
      <c r="S30" s="79">
        <f>R38</f>
        <v>1082.3520355074206</v>
      </c>
      <c r="T30" s="79">
        <f>S38</f>
        <v>-2383.9511570143927</v>
      </c>
      <c r="V30" s="1" t="s">
        <v>487</v>
      </c>
      <c r="W30" s="79">
        <f>W18</f>
        <v>4463.1577089914717</v>
      </c>
      <c r="X30" s="79">
        <f>W38+'Income Statement'!AA86</f>
        <v>5327.5869269173281</v>
      </c>
      <c r="Y30" s="79">
        <f>X38+'Income Statement'!AB86</f>
        <v>6248.6938527600023</v>
      </c>
      <c r="Z30" s="79">
        <f>Y38+'Income Statement'!AC86</f>
        <v>7239.5340988554908</v>
      </c>
      <c r="AA30" s="79">
        <f>Z38+'Income Statement'!AD86</f>
        <v>8313.79872029949</v>
      </c>
      <c r="AC30" s="1" t="s">
        <v>487</v>
      </c>
      <c r="AD30" s="79">
        <f>AD18</f>
        <v>4247.1105597947408</v>
      </c>
      <c r="AE30" s="79">
        <f>AE18</f>
        <v>4508.8162381152142</v>
      </c>
      <c r="AF30" s="79">
        <f>AF18</f>
        <v>4786.6481418072472</v>
      </c>
      <c r="AG30" s="79">
        <f>AG18</f>
        <v>5081.5999640394512</v>
      </c>
      <c r="AH30" s="79">
        <f>AH18</f>
        <v>5394.726629055328</v>
      </c>
      <c r="AJ30" s="1" t="s">
        <v>487</v>
      </c>
      <c r="AK30" s="79">
        <f>AK18</f>
        <v>492.14409633612496</v>
      </c>
      <c r="AL30" s="79">
        <f>AL18</f>
        <v>1866.719353801966</v>
      </c>
      <c r="AM30" s="79">
        <f>AM18</f>
        <v>4575.3951524521144</v>
      </c>
      <c r="AN30" s="79">
        <f>AN18</f>
        <v>7524.8050659858627</v>
      </c>
      <c r="AO30" s="79">
        <f>AO18</f>
        <v>10496.092412559219</v>
      </c>
    </row>
    <row r="31" spans="1:41" x14ac:dyDescent="0.3">
      <c r="O31" s="1" t="s">
        <v>295</v>
      </c>
      <c r="P31" s="79">
        <f>'Income Statement'!R69</f>
        <v>724.05236197712259</v>
      </c>
      <c r="Q31" s="79">
        <f>'Income Statement'!S69</f>
        <v>824.51786104288738</v>
      </c>
      <c r="R31" s="79">
        <f>'Income Statement'!T69</f>
        <v>940.07538942789131</v>
      </c>
      <c r="S31" s="79">
        <f>'Income Statement'!U69</f>
        <v>1073.3314279317303</v>
      </c>
      <c r="T31" s="79">
        <f>'Income Statement'!V69</f>
        <v>1227.4349408148539</v>
      </c>
      <c r="V31" s="1" t="s">
        <v>295</v>
      </c>
      <c r="W31" s="79">
        <f>'Income Statement'!Z71</f>
        <v>2166.9138858547767</v>
      </c>
      <c r="X31" s="79">
        <f>'Income Statement'!AA71</f>
        <v>2403.8020658236032</v>
      </c>
      <c r="Y31" s="79">
        <f>'Income Statement'!AB71</f>
        <v>2666.5869877789282</v>
      </c>
      <c r="Z31" s="79">
        <f>'Income Statement'!AC71</f>
        <v>2958.0996973457532</v>
      </c>
      <c r="AA31" s="79">
        <f>'Income Statement'!AD71</f>
        <v>3281.4807315644489</v>
      </c>
      <c r="AC31" s="1" t="s">
        <v>295</v>
      </c>
      <c r="AD31" s="79">
        <f>'Income Statement'!AH71</f>
        <v>570.56152322901994</v>
      </c>
      <c r="AE31" s="79">
        <f>'Income Statement'!AI71</f>
        <v>605.71935308957097</v>
      </c>
      <c r="AF31" s="79">
        <f>'Income Statement'!AJ71</f>
        <v>643.04359787678595</v>
      </c>
      <c r="AG31" s="79">
        <f>'Income Statement'!AK71</f>
        <v>682.66775142839845</v>
      </c>
      <c r="AH31" s="79">
        <f>'Income Statement'!AL71</f>
        <v>724.73353343236772</v>
      </c>
      <c r="AJ31" s="1" t="s">
        <v>295</v>
      </c>
      <c r="AK31" s="79">
        <f>'Income Statement'!AP71</f>
        <v>1069.8209387543588</v>
      </c>
      <c r="AL31" s="79">
        <f>'Income Statement'!AQ71</f>
        <v>1160.0191059022723</v>
      </c>
      <c r="AM31" s="79">
        <f>'Income Statement'!AR71</f>
        <v>1257.8220463521109</v>
      </c>
      <c r="AN31" s="79">
        <f>'Income Statement'!AS71</f>
        <v>1363.8709353607621</v>
      </c>
      <c r="AO31" s="79">
        <f>'Income Statement'!AT71</f>
        <v>1478.8610073262066</v>
      </c>
    </row>
    <row r="32" spans="1:41" x14ac:dyDescent="0.3">
      <c r="O32" s="1" t="s">
        <v>498</v>
      </c>
      <c r="P32" s="79">
        <f>'Income Statement'!R79-'Income Statement'!W57</f>
        <v>110.00121498420958</v>
      </c>
      <c r="Q32" s="79">
        <f>'Income Statement'!S79-'Income Statement'!R79</f>
        <v>187.99209394904256</v>
      </c>
      <c r="R32" s="79">
        <f>'Income Statement'!T79-'Income Statement'!S79</f>
        <v>212.38033337766728</v>
      </c>
      <c r="S32" s="79">
        <f>'Income Statement'!U79-'Income Statement'!T79</f>
        <v>239.93246236107871</v>
      </c>
      <c r="T32" s="79">
        <f>'Income Statement'!V79-'Income Statement'!U79</f>
        <v>271.05893271332434</v>
      </c>
      <c r="V32" s="1" t="s">
        <v>498</v>
      </c>
      <c r="W32" s="79">
        <f>W7</f>
        <v>1095.8460636845812</v>
      </c>
      <c r="X32" s="79">
        <f>X7</f>
        <v>307.47527446740605</v>
      </c>
      <c r="Y32" s="79">
        <f>Y7</f>
        <v>372.05121462098396</v>
      </c>
      <c r="Z32" s="79">
        <f>Z7</f>
        <v>437.6188595515232</v>
      </c>
      <c r="AA32" s="79">
        <f>AA7</f>
        <v>504.94857121282985</v>
      </c>
      <c r="AC32" s="1" t="s">
        <v>498</v>
      </c>
      <c r="AD32" s="79">
        <f>'Income Statement'!AH81-'Income Statement'!AM57</f>
        <v>-343.64464567874074</v>
      </c>
      <c r="AE32" s="79">
        <f>'Income Statement'!AI81-'Income Statement'!AH81</f>
        <v>-15.066396524389347</v>
      </c>
      <c r="AF32" s="79">
        <f>'Income Statement'!AJ81-'Income Statement'!AI81</f>
        <v>-15.790462446893798</v>
      </c>
      <c r="AG32" s="79">
        <f>'Income Statement'!AK81-'Income Statement'!AJ81</f>
        <v>-16.42229709134881</v>
      </c>
      <c r="AH32" s="79">
        <f>'Income Statement'!AL81-'Income Statement'!AK81</f>
        <v>-17.008206851673094</v>
      </c>
      <c r="AJ32" s="1" t="s">
        <v>498</v>
      </c>
      <c r="AK32" s="79">
        <f>AK7</f>
        <v>-400.26491264509241</v>
      </c>
      <c r="AL32" s="79">
        <f>AL7</f>
        <v>151.00536044968612</v>
      </c>
      <c r="AM32" s="79">
        <f t="shared" ref="AM32:AO32" si="0">AM7</f>
        <v>1476.7790368835449</v>
      </c>
      <c r="AN32" s="79">
        <f t="shared" si="0"/>
        <v>1601.2890354057272</v>
      </c>
      <c r="AO32" s="79">
        <f t="shared" si="0"/>
        <v>1736.2967508670554</v>
      </c>
    </row>
    <row r="33" spans="15:41" x14ac:dyDescent="0.3">
      <c r="O33" s="1" t="s">
        <v>488</v>
      </c>
      <c r="P33" s="79">
        <f>'Income Statement'!R75</f>
        <v>7.9850402555770428</v>
      </c>
      <c r="Q33" s="79">
        <f>'Income Statement'!S75</f>
        <v>9.7446413175624453</v>
      </c>
      <c r="R33" s="79">
        <f>'Income Statement'!T75</f>
        <v>11.841507310081987</v>
      </c>
      <c r="S33" s="79">
        <f>'Income Statement'!U75</f>
        <v>14.357478543078168</v>
      </c>
      <c r="T33" s="79">
        <f>'Income Statement'!V75</f>
        <v>17.396806670848754</v>
      </c>
      <c r="V33" s="1" t="s">
        <v>488</v>
      </c>
      <c r="W33" s="79">
        <f>'Income Statement'!Z77</f>
        <v>637.73591015727641</v>
      </c>
      <c r="X33" s="79">
        <f>'Income Statement'!AA77</f>
        <v>692.48598226061006</v>
      </c>
      <c r="Y33" s="79">
        <f>'Income Statement'!AB77</f>
        <v>755.04490021055926</v>
      </c>
      <c r="Z33" s="79">
        <f>'Income Statement'!AC77</f>
        <v>825.97573532393415</v>
      </c>
      <c r="AA33" s="79">
        <f>'Income Statement'!AD77</f>
        <v>905.94098734678823</v>
      </c>
      <c r="AC33" s="1" t="s">
        <v>488</v>
      </c>
      <c r="AD33" s="79">
        <f>'Income Statement'!AH77</f>
        <v>746.42615014102296</v>
      </c>
      <c r="AE33" s="79">
        <f>'Income Statement'!AI77</f>
        <v>788.94191768403448</v>
      </c>
      <c r="AF33" s="79">
        <f>'Income Statement'!AJ77</f>
        <v>834.77927269784993</v>
      </c>
      <c r="AG33" s="79">
        <f>'Income Statement'!AK77</f>
        <v>883.98791580735508</v>
      </c>
      <c r="AH33" s="79">
        <f>'Income Statement'!AL77</f>
        <v>936.65647229764045</v>
      </c>
      <c r="AJ33" s="1" t="s">
        <v>488</v>
      </c>
      <c r="AK33" s="79">
        <f>-AK22</f>
        <v>392.13417260105888</v>
      </c>
      <c r="AL33" s="79">
        <f>-AL22</f>
        <v>384.92971171050709</v>
      </c>
      <c r="AM33" s="79">
        <f>-AM22</f>
        <v>370.29164141827187</v>
      </c>
      <c r="AN33" s="79">
        <f>-AN22</f>
        <v>346.18521927097646</v>
      </c>
      <c r="AO33" s="79">
        <f>-AO22</f>
        <v>375.35845527688218</v>
      </c>
    </row>
    <row r="34" spans="15:41" x14ac:dyDescent="0.3">
      <c r="O34" s="1" t="s">
        <v>489</v>
      </c>
      <c r="P34" s="79">
        <f>P11</f>
        <v>2898.4230754810151</v>
      </c>
      <c r="Q34" s="79">
        <f>Q11</f>
        <v>3462.6399390236065</v>
      </c>
      <c r="R34" s="79">
        <f>R11</f>
        <v>4068.2053936299994</v>
      </c>
      <c r="S34" s="79">
        <f>S11</f>
        <v>4793.9245613577004</v>
      </c>
      <c r="T34" s="79">
        <f>T11</f>
        <v>5668.1857247029966</v>
      </c>
      <c r="V34" s="1" t="s">
        <v>489</v>
      </c>
      <c r="W34" s="79">
        <f>W11</f>
        <v>7565.5973259518578</v>
      </c>
      <c r="X34" s="79">
        <f>X11</f>
        <v>7507.3577874385901</v>
      </c>
      <c r="Y34" s="79">
        <f>Y11</f>
        <v>8376.8472791310305</v>
      </c>
      <c r="Z34" s="79">
        <f>Z11</f>
        <v>9330.7872252510297</v>
      </c>
      <c r="AA34" s="79">
        <f>AA11</f>
        <v>10379.480968272237</v>
      </c>
      <c r="AC34" s="1" t="s">
        <v>489</v>
      </c>
      <c r="AD34" s="79">
        <f>AD11</f>
        <v>1597.2612192747554</v>
      </c>
      <c r="AE34" s="79">
        <f>AE11</f>
        <v>2041.9548642747836</v>
      </c>
      <c r="AF34" s="79">
        <f>AF11</f>
        <v>2165.411142903672</v>
      </c>
      <c r="AG34" s="79">
        <f>AG11</f>
        <v>2297.2952604171874</v>
      </c>
      <c r="AH34" s="79">
        <f>AH11</f>
        <v>2437.9034459276172</v>
      </c>
      <c r="AJ34" s="1" t="s">
        <v>489</v>
      </c>
      <c r="AK34" s="79">
        <f>AK11</f>
        <v>3186.9103771002665</v>
      </c>
      <c r="AL34" s="79">
        <f>AL11</f>
        <v>4209.5979282812259</v>
      </c>
      <c r="AM34" s="79">
        <f>AM11</f>
        <v>5925.2998927714434</v>
      </c>
      <c r="AN34" s="79">
        <f>AN11</f>
        <v>6357.1843936326068</v>
      </c>
      <c r="AO34" s="79">
        <f>AO11</f>
        <v>6715.1979047400346</v>
      </c>
    </row>
    <row r="35" spans="15:41" x14ac:dyDescent="0.3">
      <c r="O35" s="1" t="s">
        <v>490</v>
      </c>
      <c r="P35" s="79">
        <f>(P31+P32+P33)-P34</f>
        <v>-2056.3844582641059</v>
      </c>
      <c r="Q35" s="79">
        <f>(Q31+Q32+Q33)-Q34</f>
        <v>-2440.3853427141139</v>
      </c>
      <c r="R35" s="79">
        <f>(R31+R32+R33)-R34</f>
        <v>-2903.9081635143584</v>
      </c>
      <c r="S35" s="79">
        <f>(S31+S32+S33)-S34</f>
        <v>-3466.3031925218133</v>
      </c>
      <c r="T35" s="79">
        <f>(T31+T32+T33)-T34</f>
        <v>-4152.2950445039696</v>
      </c>
      <c r="V35" s="1" t="s">
        <v>490</v>
      </c>
      <c r="W35" s="79">
        <f>(W31+W32+W33)-W34</f>
        <v>-3665.1014662552234</v>
      </c>
      <c r="X35" s="79">
        <f>(X31+X32+X33)-X34</f>
        <v>-4103.5944648869709</v>
      </c>
      <c r="Y35" s="79">
        <f>(Y31+Y32+Y33)-Y34</f>
        <v>-4583.1641765205586</v>
      </c>
      <c r="Z35" s="79">
        <f>(Z31+Z32+Z33)-Z34</f>
        <v>-5109.0929330298195</v>
      </c>
      <c r="AA35" s="79">
        <f>(AA31+AA32+AA33)-AA34</f>
        <v>-5687.1106781481703</v>
      </c>
      <c r="AC35" s="1" t="s">
        <v>490</v>
      </c>
      <c r="AD35" s="79">
        <f>(AD31+AD32+AD33)-AD34</f>
        <v>-623.91819158345322</v>
      </c>
      <c r="AE35" s="79">
        <f>(AE31+AE32+AE33)-AE34</f>
        <v>-662.35999002556764</v>
      </c>
      <c r="AF35" s="79">
        <f>(AF31+AF32+AF33)-AF34</f>
        <v>-703.37873477592984</v>
      </c>
      <c r="AG35" s="79">
        <f>(AG31+AG32+AG33)-AG34</f>
        <v>-747.06189027278265</v>
      </c>
      <c r="AH35" s="79">
        <f>(AH31+AH32+AH33)-AH34</f>
        <v>-793.52164704928214</v>
      </c>
      <c r="AJ35" s="1" t="s">
        <v>490</v>
      </c>
      <c r="AK35" s="79">
        <f>(AK31+AK32+AK33)-AK34</f>
        <v>-2125.2201783899409</v>
      </c>
      <c r="AL35" s="79">
        <f>(AL31+AL32+AL33)-AL34</f>
        <v>-2513.6437502187605</v>
      </c>
      <c r="AM35" s="79">
        <f>(AM31+AM32+AM33)-AM34</f>
        <v>-2820.4071681175155</v>
      </c>
      <c r="AN35" s="79">
        <f>(AN31+AN32+AN33)-AN34</f>
        <v>-3045.839203595141</v>
      </c>
      <c r="AO35" s="79">
        <f>(AO31+AO32+AO33)-AO34</f>
        <v>-3124.6816912698905</v>
      </c>
    </row>
    <row r="36" spans="15:41" x14ac:dyDescent="0.3">
      <c r="O36" s="1" t="s">
        <v>491</v>
      </c>
      <c r="P36" s="79">
        <f>MAX(P35,0)</f>
        <v>0</v>
      </c>
      <c r="Q36" s="79">
        <f>MAX(Q35,0)</f>
        <v>0</v>
      </c>
      <c r="R36" s="79">
        <f>MAX(R35,0)</f>
        <v>0</v>
      </c>
      <c r="S36" s="79">
        <f>MAX(S35,0)</f>
        <v>0</v>
      </c>
      <c r="T36" s="79">
        <f>MAX(T35,0)</f>
        <v>0</v>
      </c>
      <c r="V36" s="1" t="s">
        <v>491</v>
      </c>
      <c r="W36" s="79">
        <f>MAX(W35,0)</f>
        <v>0</v>
      </c>
      <c r="X36" s="79">
        <f>MAX(X35,0)</f>
        <v>0</v>
      </c>
      <c r="Y36" s="79">
        <f>MAX(Y35,0)</f>
        <v>0</v>
      </c>
      <c r="Z36" s="79">
        <f>MAX(Z35,0)</f>
        <v>0</v>
      </c>
      <c r="AA36" s="79">
        <f>MAX(AA35,0)</f>
        <v>0</v>
      </c>
      <c r="AC36" s="1" t="s">
        <v>491</v>
      </c>
      <c r="AD36" s="79">
        <f>MAX(AD35,0)</f>
        <v>0</v>
      </c>
      <c r="AE36" s="79">
        <f>MAX(AE35,0)</f>
        <v>0</v>
      </c>
      <c r="AF36" s="79">
        <f>MAX(AF35,0)</f>
        <v>0</v>
      </c>
      <c r="AG36" s="79">
        <f>MAX(AG35,0)</f>
        <v>0</v>
      </c>
      <c r="AH36" s="79">
        <f>MAX(AH35,0)</f>
        <v>0</v>
      </c>
      <c r="AJ36" s="1" t="s">
        <v>491</v>
      </c>
      <c r="AK36" s="79">
        <f>MAX(AK35,0)</f>
        <v>0</v>
      </c>
      <c r="AL36" s="79">
        <f>MAX(AL35,0)</f>
        <v>0</v>
      </c>
      <c r="AM36" s="79">
        <f>MAX(AM35,0)</f>
        <v>0</v>
      </c>
      <c r="AN36" s="79">
        <f>MAX(AN35,0)</f>
        <v>0</v>
      </c>
      <c r="AO36" s="79">
        <f>MAX(AO35,0)</f>
        <v>0</v>
      </c>
    </row>
    <row r="37" spans="15:41" x14ac:dyDescent="0.3">
      <c r="O37" s="1" t="s">
        <v>492</v>
      </c>
      <c r="P37" s="79">
        <f>MAX(-P35,0)</f>
        <v>2056.3844582641059</v>
      </c>
      <c r="Q37" s="79">
        <f>MAX(-Q35,0)</f>
        <v>2440.3853427141139</v>
      </c>
      <c r="R37" s="79">
        <f>MAX(-R35,0)</f>
        <v>2903.9081635143584</v>
      </c>
      <c r="S37" s="79">
        <f>MAX(-S35,0)</f>
        <v>3466.3031925218133</v>
      </c>
      <c r="T37" s="79">
        <f>MAX(-T35,0)</f>
        <v>4152.2950445039696</v>
      </c>
      <c r="V37" s="1" t="s">
        <v>492</v>
      </c>
      <c r="W37" s="79">
        <f>MAX(-W35,0)</f>
        <v>3665.1014662552234</v>
      </c>
      <c r="X37" s="79">
        <f>MAX(-X35,0)</f>
        <v>4103.5944648869709</v>
      </c>
      <c r="Y37" s="79">
        <f>MAX(-Y35,0)</f>
        <v>4583.1641765205586</v>
      </c>
      <c r="Z37" s="79">
        <f>MAX(-Z35,0)</f>
        <v>5109.0929330298195</v>
      </c>
      <c r="AA37" s="79">
        <f>MAX(-AA35,0)</f>
        <v>5687.1106781481703</v>
      </c>
      <c r="AC37" s="1" t="s">
        <v>492</v>
      </c>
      <c r="AD37" s="79">
        <f>MAX(-AD35,0)</f>
        <v>623.91819158345322</v>
      </c>
      <c r="AE37" s="79">
        <f>MAX(-AE35,0)</f>
        <v>662.35999002556764</v>
      </c>
      <c r="AF37" s="79">
        <f>MAX(-AF35,0)</f>
        <v>703.37873477592984</v>
      </c>
      <c r="AG37" s="79">
        <f>MAX(-AG35,0)</f>
        <v>747.06189027278265</v>
      </c>
      <c r="AH37" s="79">
        <f>MAX(-AH35,0)</f>
        <v>793.52164704928214</v>
      </c>
      <c r="AJ37" s="1" t="s">
        <v>492</v>
      </c>
      <c r="AK37" s="79">
        <f>MAX(-AK35,0)</f>
        <v>2125.2201783899409</v>
      </c>
      <c r="AL37" s="79">
        <f>MAX(-AL35,0)</f>
        <v>2513.6437502187605</v>
      </c>
      <c r="AM37" s="79">
        <f>MAX(-AM35,0)</f>
        <v>2820.4071681175155</v>
      </c>
      <c r="AN37" s="79">
        <f>MAX(-AN35,0)</f>
        <v>3045.839203595141</v>
      </c>
      <c r="AO37" s="79">
        <f>MAX(-AO35,0)</f>
        <v>3124.6816912698905</v>
      </c>
    </row>
    <row r="38" spans="15:41" x14ac:dyDescent="0.3">
      <c r="O38" s="1" t="s">
        <v>493</v>
      </c>
      <c r="P38" s="79">
        <f>P30+P36-P37</f>
        <v>6426.6455417358929</v>
      </c>
      <c r="Q38" s="79">
        <f>Q30+Q36-Q37</f>
        <v>3986.260199021779</v>
      </c>
      <c r="R38" s="79">
        <f>R30+R36-R37</f>
        <v>1082.3520355074206</v>
      </c>
      <c r="S38" s="79">
        <f>S30+S36-S37</f>
        <v>-2383.9511570143927</v>
      </c>
      <c r="T38" s="79">
        <f>T30+T36-T37</f>
        <v>-6536.2462015183628</v>
      </c>
      <c r="V38" s="1" t="s">
        <v>493</v>
      </c>
      <c r="W38" s="79">
        <f>W30+W36-W37</f>
        <v>798.05624273624835</v>
      </c>
      <c r="X38" s="79">
        <f>X30+X36-X37</f>
        <v>1223.9924620303573</v>
      </c>
      <c r="Y38" s="79">
        <f>Y30+Y36-Y37</f>
        <v>1665.5296762394437</v>
      </c>
      <c r="Z38" s="79">
        <f>Z30+Z36-Z37</f>
        <v>2130.4411658256713</v>
      </c>
      <c r="AA38" s="79">
        <f>AA30+AA36-AA37</f>
        <v>2626.6880421513197</v>
      </c>
      <c r="AC38" s="1" t="s">
        <v>493</v>
      </c>
      <c r="AD38" s="79">
        <f>AD30+AD36-AD37</f>
        <v>3623.1923682112874</v>
      </c>
      <c r="AE38" s="79">
        <f>AE30+AE36-AE37</f>
        <v>3846.4562480896466</v>
      </c>
      <c r="AF38" s="79">
        <f>AF30+AF36-AF37</f>
        <v>4083.2694070313173</v>
      </c>
      <c r="AG38" s="79">
        <f>AG30+AG36-AG37</f>
        <v>4334.5380737666683</v>
      </c>
      <c r="AH38" s="79">
        <f>AH30+AH36-AH37</f>
        <v>4601.2049820060456</v>
      </c>
      <c r="AJ38" s="1" t="s">
        <v>493</v>
      </c>
      <c r="AK38" s="79">
        <f>AK30+AK36-AK37</f>
        <v>-1633.076082053816</v>
      </c>
      <c r="AL38" s="79">
        <f>AL30+AL36-AL37</f>
        <v>-646.92439641679448</v>
      </c>
      <c r="AM38" s="79">
        <f>AM30+AM36-AM37</f>
        <v>1754.9879843345989</v>
      </c>
      <c r="AN38" s="79">
        <f>AN30+AN36-AN37</f>
        <v>4478.9658623907217</v>
      </c>
      <c r="AO38" s="79">
        <f>AO30+AO36-AO37</f>
        <v>7371.4107212893286</v>
      </c>
    </row>
    <row r="39" spans="15:41" x14ac:dyDescent="0.3">
      <c r="O39" s="1" t="s">
        <v>494</v>
      </c>
      <c r="P39" s="175">
        <f>'Income Statement'!$W$63</f>
        <v>5.061988464027594E-2</v>
      </c>
      <c r="Q39" s="175">
        <f>'Income Statement'!$W$63</f>
        <v>5.061988464027594E-2</v>
      </c>
      <c r="R39" s="175">
        <f>'Income Statement'!$W$63</f>
        <v>5.061988464027594E-2</v>
      </c>
      <c r="S39" s="175">
        <f>'Income Statement'!$W$63</f>
        <v>5.061988464027594E-2</v>
      </c>
      <c r="T39" s="175">
        <f>'Income Statement'!$W$63</f>
        <v>5.061988464027594E-2</v>
      </c>
      <c r="V39" s="1" t="s">
        <v>494</v>
      </c>
      <c r="W39" s="175">
        <f>AVERAGE('Income Statement'!Z63:Z64)</f>
        <v>6.9257581718182276E-2</v>
      </c>
      <c r="X39" s="175">
        <f>$W$39</f>
        <v>6.9257581718182276E-2</v>
      </c>
      <c r="Y39" s="175">
        <f>$W$39</f>
        <v>6.9257581718182276E-2</v>
      </c>
      <c r="Z39" s="175">
        <f>$W$39</f>
        <v>6.9257581718182276E-2</v>
      </c>
      <c r="AA39" s="175">
        <f>$W$39</f>
        <v>6.9257581718182276E-2</v>
      </c>
      <c r="AC39" s="1" t="s">
        <v>494</v>
      </c>
      <c r="AD39" s="175">
        <f>AVERAGE('Income Statement'!AH60:AH61)</f>
        <v>8.2084613844438561E-2</v>
      </c>
      <c r="AE39" s="175">
        <f>$AD$39</f>
        <v>8.2084613844438561E-2</v>
      </c>
      <c r="AF39" s="175">
        <f>$AD$39</f>
        <v>8.2084613844438561E-2</v>
      </c>
      <c r="AG39" s="175">
        <f>$AD$39</f>
        <v>8.2084613844438561E-2</v>
      </c>
      <c r="AH39" s="175">
        <f>$AD$39</f>
        <v>8.2084613844438561E-2</v>
      </c>
      <c r="AJ39" s="1" t="s">
        <v>494</v>
      </c>
      <c r="AK39" s="175">
        <f>0.08</f>
        <v>0.08</v>
      </c>
      <c r="AL39" s="175">
        <f>0.08</f>
        <v>0.08</v>
      </c>
      <c r="AM39" s="175">
        <f>0.08</f>
        <v>0.08</v>
      </c>
      <c r="AN39" s="175">
        <f>0.08</f>
        <v>0.08</v>
      </c>
      <c r="AO39" s="175">
        <f>0.08</f>
        <v>0.08</v>
      </c>
    </row>
    <row r="40" spans="15:41" x14ac:dyDescent="0.3">
      <c r="O40" s="1" t="s">
        <v>418</v>
      </c>
      <c r="P40" s="79">
        <f>P30*P39</f>
        <v>429.40999999999997</v>
      </c>
      <c r="Q40" s="79">
        <f>Q30*Q39</f>
        <v>325.3160559466146</v>
      </c>
      <c r="R40" s="79">
        <f>R30*R39</f>
        <v>201.78403142060586</v>
      </c>
      <c r="S40" s="79">
        <f>S30*S39</f>
        <v>54.788535177553477</v>
      </c>
      <c r="T40" s="79">
        <f>T30*T39</f>
        <v>-120.67533255612092</v>
      </c>
      <c r="V40" s="1" t="s">
        <v>418</v>
      </c>
      <c r="W40" s="79">
        <f>W38*W39</f>
        <v>55.271445447011232</v>
      </c>
      <c r="X40" s="79">
        <f>X38*X39</f>
        <v>84.77075796150659</v>
      </c>
      <c r="Y40" s="79">
        <f>Y38*Y39</f>
        <v>115.35055765621094</v>
      </c>
      <c r="Z40" s="79">
        <f>Z38*Z39</f>
        <v>147.54920313795094</v>
      </c>
      <c r="AA40" s="79">
        <f>AA38*AA39</f>
        <v>181.91806172746723</v>
      </c>
      <c r="AC40" s="1" t="s">
        <v>418</v>
      </c>
      <c r="AD40" s="79">
        <f>AD38*AD39</f>
        <v>297.4083464287404</v>
      </c>
      <c r="AE40" s="79">
        <f>AE38*AE39</f>
        <v>315.73487579396664</v>
      </c>
      <c r="AF40" s="79">
        <f>AF38*AF39</f>
        <v>335.17359249897532</v>
      </c>
      <c r="AG40" s="79">
        <f>AG38*AG39</f>
        <v>355.79888397915352</v>
      </c>
      <c r="AH40" s="79">
        <f>AH38*AH39</f>
        <v>377.68813416707314</v>
      </c>
      <c r="AJ40" s="1" t="s">
        <v>418</v>
      </c>
      <c r="AK40" s="79">
        <f>AK38*AK39</f>
        <v>-130.64608656430528</v>
      </c>
      <c r="AL40" s="79">
        <f>AL38*AL39</f>
        <v>-51.753951713343561</v>
      </c>
      <c r="AM40" s="79">
        <f>AM38*AM39</f>
        <v>140.3990387467679</v>
      </c>
      <c r="AN40" s="79">
        <f>AN38*AN39</f>
        <v>358.31726899125772</v>
      </c>
      <c r="AO40" s="79">
        <f>AO38*AO39</f>
        <v>589.71285770314626</v>
      </c>
    </row>
  </sheetData>
  <mergeCells count="6">
    <mergeCell ref="AJ2:AO2"/>
    <mergeCell ref="A2:F2"/>
    <mergeCell ref="H2:M2"/>
    <mergeCell ref="O2:T2"/>
    <mergeCell ref="V2:AA2"/>
    <mergeCell ref="AC2:AH2"/>
  </mergeCells>
  <pageMargins left="0.7" right="0.7" top="0.75" bottom="0.75" header="0.3" footer="0.3"/>
  <picture r:id="rId1"/>
  <tableParts count="10">
    <tablePart r:id="rId2"/>
    <tablePart r:id="rId3"/>
    <tablePart r:id="rId4"/>
    <tablePart r:id="rId5"/>
    <tablePart r:id="rId6"/>
    <tablePart r:id="rId7"/>
    <tablePart r:id="rId8"/>
    <tablePart r:id="rId9"/>
    <tablePart r:id="rId10"/>
    <tablePart r:id="rId1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6201B-CD9F-4DD6-98E6-B01F54BE94F3}">
  <dimension ref="A2:AU29"/>
  <sheetViews>
    <sheetView tabSelected="1" topLeftCell="AP5" workbookViewId="0">
      <selection activeCell="Y29" sqref="Y29"/>
    </sheetView>
  </sheetViews>
  <sheetFormatPr defaultRowHeight="14.4" x14ac:dyDescent="0.3"/>
  <cols>
    <col min="1" max="1" width="45.21875" bestFit="1" customWidth="1"/>
    <col min="2" max="2" width="9.88671875" bestFit="1" customWidth="1"/>
    <col min="3" max="7" width="10.88671875" bestFit="1" customWidth="1"/>
    <col min="9" max="9" width="44.88671875" bestFit="1" customWidth="1"/>
    <col min="10" max="15" width="11" bestFit="1" customWidth="1"/>
    <col min="17" max="17" width="20.88671875" bestFit="1" customWidth="1"/>
    <col min="18" max="20" width="7" bestFit="1" customWidth="1"/>
    <col min="21" max="22" width="9.88671875" bestFit="1" customWidth="1"/>
    <col min="23" max="23" width="10.88671875" bestFit="1" customWidth="1"/>
    <col min="25" max="25" width="20.88671875" bestFit="1" customWidth="1"/>
    <col min="26" max="31" width="9.88671875" bestFit="1" customWidth="1"/>
    <col min="33" max="33" width="20.88671875" bestFit="1" customWidth="1"/>
    <col min="34" max="38" width="9.88671875" bestFit="1" customWidth="1"/>
    <col min="39" max="39" width="10.88671875" bestFit="1" customWidth="1"/>
    <col min="41" max="41" width="20.88671875" bestFit="1" customWidth="1"/>
    <col min="42" max="45" width="9.88671875" bestFit="1" customWidth="1"/>
    <col min="46" max="47" width="10.88671875" bestFit="1" customWidth="1"/>
  </cols>
  <sheetData>
    <row r="2" spans="1:47" s="1" customFormat="1" ht="33.6" x14ac:dyDescent="0.3">
      <c r="A2" s="380" t="e" vm="4">
        <v>#VALUE!</v>
      </c>
      <c r="B2" s="380"/>
      <c r="C2" s="380"/>
      <c r="D2" s="380"/>
      <c r="E2" s="380"/>
      <c r="F2" s="380"/>
      <c r="G2" s="380"/>
      <c r="I2" s="378" t="e" vm="6">
        <v>#VALUE!</v>
      </c>
      <c r="J2" s="378"/>
      <c r="K2" s="378"/>
      <c r="L2" s="378"/>
      <c r="M2" s="378"/>
      <c r="N2" s="378"/>
      <c r="O2" s="378"/>
      <c r="Q2" s="378" t="e" vm="5">
        <v>#VALUE!</v>
      </c>
      <c r="R2" s="378"/>
      <c r="S2" s="378"/>
      <c r="T2" s="378"/>
      <c r="U2" s="378"/>
      <c r="V2" s="378"/>
      <c r="W2" s="378"/>
      <c r="Y2" s="378" t="e" vm="3">
        <v>#VALUE!</v>
      </c>
      <c r="Z2" s="378"/>
      <c r="AA2" s="378"/>
      <c r="AB2" s="378"/>
      <c r="AC2" s="378"/>
      <c r="AD2" s="378"/>
      <c r="AE2" s="378"/>
      <c r="AG2" s="378" t="e" vm="1">
        <v>#VALUE!</v>
      </c>
      <c r="AH2" s="378"/>
      <c r="AI2" s="378"/>
      <c r="AJ2" s="378"/>
      <c r="AK2" s="378"/>
      <c r="AL2" s="378"/>
      <c r="AM2" s="378"/>
      <c r="AO2" s="378" t="e" vm="2">
        <v>#VALUE!</v>
      </c>
      <c r="AP2" s="378"/>
      <c r="AQ2" s="378"/>
      <c r="AR2" s="378"/>
      <c r="AS2" s="378"/>
      <c r="AT2" s="378"/>
      <c r="AU2" s="378"/>
    </row>
    <row r="3" spans="1:47" s="1" customFormat="1" x14ac:dyDescent="0.3">
      <c r="A3" s="54" t="s">
        <v>12</v>
      </c>
      <c r="B3" s="53" t="s">
        <v>54</v>
      </c>
      <c r="C3" s="53" t="s">
        <v>55</v>
      </c>
      <c r="D3" s="53" t="s">
        <v>56</v>
      </c>
      <c r="E3" s="53" t="s">
        <v>57</v>
      </c>
      <c r="F3" s="53" t="s">
        <v>58</v>
      </c>
      <c r="G3" s="53" t="s">
        <v>59</v>
      </c>
      <c r="I3" s="56" t="s">
        <v>12</v>
      </c>
      <c r="J3" s="55" t="s">
        <v>54</v>
      </c>
      <c r="K3" s="55" t="s">
        <v>55</v>
      </c>
      <c r="L3" s="55" t="s">
        <v>56</v>
      </c>
      <c r="M3" s="55" t="s">
        <v>57</v>
      </c>
      <c r="N3" s="55" t="s">
        <v>58</v>
      </c>
      <c r="O3" s="55" t="s">
        <v>59</v>
      </c>
      <c r="Q3" s="68" t="s">
        <v>12</v>
      </c>
      <c r="R3" s="67" t="s">
        <v>54</v>
      </c>
      <c r="S3" s="67" t="s">
        <v>55</v>
      </c>
      <c r="T3" s="67" t="s">
        <v>56</v>
      </c>
      <c r="U3" s="67" t="s">
        <v>57</v>
      </c>
      <c r="V3" s="67" t="s">
        <v>58</v>
      </c>
      <c r="W3" s="67" t="s">
        <v>59</v>
      </c>
      <c r="Y3" s="39" t="s">
        <v>12</v>
      </c>
      <c r="Z3" s="40" t="s">
        <v>54</v>
      </c>
      <c r="AA3" s="40" t="s">
        <v>55</v>
      </c>
      <c r="AB3" s="40" t="s">
        <v>56</v>
      </c>
      <c r="AC3" s="40" t="s">
        <v>57</v>
      </c>
      <c r="AD3" s="40" t="s">
        <v>58</v>
      </c>
      <c r="AE3" s="40" t="s">
        <v>59</v>
      </c>
      <c r="AG3" s="14" t="s">
        <v>12</v>
      </c>
      <c r="AH3" s="15" t="s">
        <v>54</v>
      </c>
      <c r="AI3" s="15" t="s">
        <v>55</v>
      </c>
      <c r="AJ3" s="15" t="s">
        <v>56</v>
      </c>
      <c r="AK3" s="15" t="s">
        <v>57</v>
      </c>
      <c r="AL3" s="15" t="s">
        <v>58</v>
      </c>
      <c r="AM3" s="15" t="s">
        <v>59</v>
      </c>
      <c r="AN3" s="90"/>
      <c r="AO3" s="70" t="s">
        <v>12</v>
      </c>
      <c r="AP3" s="69" t="s">
        <v>54</v>
      </c>
      <c r="AQ3" s="69" t="s">
        <v>55</v>
      </c>
      <c r="AR3" s="69" t="s">
        <v>56</v>
      </c>
      <c r="AS3" s="69" t="s">
        <v>57</v>
      </c>
      <c r="AT3" s="69" t="s">
        <v>58</v>
      </c>
      <c r="AU3" s="69" t="s">
        <v>59</v>
      </c>
    </row>
    <row r="4" spans="1:47" x14ac:dyDescent="0.3">
      <c r="A4" s="366" t="s">
        <v>365</v>
      </c>
      <c r="B4" s="80"/>
      <c r="C4" s="80"/>
      <c r="D4" s="80"/>
      <c r="E4" s="80"/>
      <c r="F4" s="80"/>
      <c r="G4" s="80"/>
      <c r="I4" s="80" t="s">
        <v>365</v>
      </c>
      <c r="J4" s="80"/>
      <c r="K4" s="80"/>
      <c r="L4" s="80"/>
      <c r="M4" s="80"/>
      <c r="N4" s="80"/>
      <c r="O4" s="80"/>
      <c r="Q4" s="80" t="s">
        <v>365</v>
      </c>
      <c r="R4" s="80"/>
      <c r="S4" s="80"/>
      <c r="T4" s="80"/>
      <c r="U4" s="80"/>
      <c r="V4" s="80"/>
      <c r="W4" s="80"/>
      <c r="Y4" s="80" t="s">
        <v>365</v>
      </c>
      <c r="Z4" s="80"/>
      <c r="AA4" s="80"/>
      <c r="AB4" s="80"/>
      <c r="AC4" s="80"/>
      <c r="AD4" s="80"/>
      <c r="AE4" s="80"/>
      <c r="AG4" s="80" t="s">
        <v>365</v>
      </c>
      <c r="AH4" s="80"/>
      <c r="AI4" s="80"/>
      <c r="AJ4" s="80"/>
      <c r="AK4" s="80"/>
      <c r="AL4" s="80"/>
      <c r="AM4" s="80"/>
      <c r="AO4" s="80" t="s">
        <v>365</v>
      </c>
      <c r="AP4" s="80"/>
      <c r="AQ4" s="80"/>
      <c r="AR4" s="80"/>
      <c r="AS4" s="80"/>
      <c r="AT4" s="80"/>
      <c r="AU4" s="80"/>
    </row>
    <row r="5" spans="1:47" x14ac:dyDescent="0.3">
      <c r="A5" s="367" t="s">
        <v>366</v>
      </c>
      <c r="B5" s="85">
        <f>('Income Statement'!B7-('Income Statement'!B9+'Income Statement'!B10+'Income Statement'!B11))/'Income Statement'!B7</f>
        <v>0.62239951289834439</v>
      </c>
      <c r="C5" s="85">
        <f>('Income Statement'!C7-('Income Statement'!C9+'Income Statement'!C10+'Income Statement'!C11))/'Income Statement'!C7</f>
        <v>0.66949755118060972</v>
      </c>
      <c r="D5" s="85">
        <f>('Income Statement'!D7-('Income Statement'!D9+'Income Statement'!D10+'Income Statement'!D11))/'Income Statement'!D7</f>
        <v>0.67299558063414056</v>
      </c>
      <c r="E5" s="85">
        <f>('Income Statement'!E7-('Income Statement'!E9+'Income Statement'!E10+'Income Statement'!E11))/'Income Statement'!E7</f>
        <v>0.6235631156644893</v>
      </c>
      <c r="F5" s="85">
        <f>('Income Statement'!F7-('Income Statement'!F9+'Income Statement'!F10+'Income Statement'!F11))/'Income Statement'!F7</f>
        <v>0.61766862170087977</v>
      </c>
      <c r="G5" s="85">
        <f>('Income Statement'!G7-('Income Statement'!G9+'Income Statement'!G10+'Income Statement'!G11))/'Income Statement'!G7</f>
        <v>0.6164538714991763</v>
      </c>
      <c r="I5" s="82" t="s">
        <v>366</v>
      </c>
      <c r="J5" s="85">
        <f>('Income Statement'!J7-'Income Statement'!J9+'Income Statement'!J10+'Income Statement'!J11)/'Income Statement'!J7</f>
        <v>0.9462257882956896</v>
      </c>
      <c r="K5" s="85">
        <f>('Income Statement'!K7-'Income Statement'!K9+'Income Statement'!K10+'Income Statement'!K11)/'Income Statement'!K7</f>
        <v>0.89467537104986761</v>
      </c>
      <c r="L5" s="85">
        <f>('Income Statement'!L7-'Income Statement'!L9+'Income Statement'!L10+'Income Statement'!L11)/'Income Statement'!L7</f>
        <v>0.90532898726500921</v>
      </c>
      <c r="M5" s="85">
        <f>('Income Statement'!M7-'Income Statement'!M9+'Income Statement'!M10+'Income Statement'!M11)/'Income Statement'!M7</f>
        <v>0.89009528259082382</v>
      </c>
      <c r="N5" s="85">
        <f>('Income Statement'!N7-'Income Statement'!N9+'Income Statement'!N10+'Income Statement'!N11)/'Income Statement'!N7</f>
        <v>0.93689098562437212</v>
      </c>
      <c r="O5" s="85">
        <f>('Income Statement'!O7-'Income Statement'!O9+'Income Statement'!O10+'Income Statement'!O11)/'Income Statement'!O7</f>
        <v>0.96056650584084469</v>
      </c>
      <c r="Q5" s="82" t="s">
        <v>366</v>
      </c>
      <c r="R5" s="85">
        <f>('Income Statement'!R7-'Income Statement'!R9+'Income Statement'!R10+'Income Statement'!R11)/'Income Statement'!R7</f>
        <v>0.88008468497224779</v>
      </c>
      <c r="S5" s="85">
        <f>('Income Statement'!S7-'Income Statement'!S9+'Income Statement'!S10+'Income Statement'!S11)/'Income Statement'!S7</f>
        <v>0.84875638495642924</v>
      </c>
      <c r="T5" s="85">
        <f>('Income Statement'!T7-'Income Statement'!T9+'Income Statement'!T10+'Income Statement'!T11)/'Income Statement'!T7</f>
        <v>0.78773089052880874</v>
      </c>
      <c r="U5" s="85">
        <f>('Income Statement'!U7-'Income Statement'!U9+'Income Statement'!U10+'Income Statement'!U11)/'Income Statement'!U7</f>
        <v>0.91961196034268888</v>
      </c>
      <c r="V5" s="85">
        <f>('Income Statement'!V7-'Income Statement'!V9+'Income Statement'!V10+'Income Statement'!V11)/'Income Statement'!V7</f>
        <v>0.95388239446106782</v>
      </c>
      <c r="W5" s="85">
        <f>('Income Statement'!W7-'Income Statement'!W9+'Income Statement'!W10+'Income Statement'!W11)/'Income Statement'!W7</f>
        <v>0.95734069457315196</v>
      </c>
      <c r="Y5" s="81" t="s">
        <v>366</v>
      </c>
      <c r="Z5" s="85">
        <f>('Income Statement'!Z9-'Income Statement'!Z11+'Income Statement'!Z12+'Income Statement'!Z13)/'Income Statement'!Z9</f>
        <v>0.97710832745236431</v>
      </c>
      <c r="AA5" s="85">
        <f>('Income Statement'!AA9-'Income Statement'!AA11+'Income Statement'!AA12+'Income Statement'!AA13)/'Income Statement'!AA9</f>
        <v>0.87007016945120974</v>
      </c>
      <c r="AB5" s="85">
        <f>('Income Statement'!AB9-'Income Statement'!AB11+'Income Statement'!AB12+'Income Statement'!AB13)/'Income Statement'!AB9</f>
        <v>0.94631768166466945</v>
      </c>
      <c r="AC5" s="85">
        <f>('Income Statement'!AC9-'Income Statement'!AC11+'Income Statement'!AC12+'Income Statement'!AC13)/'Income Statement'!AC9</f>
        <v>0.96960567847869028</v>
      </c>
      <c r="AD5" s="85">
        <f>('Income Statement'!AD9-'Income Statement'!AD11+'Income Statement'!AD12+'Income Statement'!AD13)/'Income Statement'!AD9</f>
        <v>0.97330948542486861</v>
      </c>
      <c r="AE5" s="85">
        <f>('Income Statement'!AE9-'Income Statement'!AE11+'Income Statement'!AE12+'Income Statement'!AE13)/'Income Statement'!AE9</f>
        <v>0.95889002169454551</v>
      </c>
      <c r="AG5" s="82" t="s">
        <v>366</v>
      </c>
      <c r="AH5" s="85">
        <f>('Income Statement'!AH7-'Income Statement'!AH9+'Income Statement'!AH10+'Income Statement'!AH11)/'Income Statement'!AH7</f>
        <v>0.92707996044964336</v>
      </c>
      <c r="AI5" s="85">
        <f>('Income Statement'!AI7-'Income Statement'!AI9+'Income Statement'!AI10+'Income Statement'!AI11)/'Income Statement'!AI7</f>
        <v>0.91379250460213257</v>
      </c>
      <c r="AJ5" s="85">
        <f>('Income Statement'!AJ7-'Income Statement'!AJ9+'Income Statement'!AJ10+'Income Statement'!AJ11)/'Income Statement'!AJ7</f>
        <v>0.92728097787376784</v>
      </c>
      <c r="AK5" s="85">
        <f>('Income Statement'!AK7-'Income Statement'!AK9+'Income Statement'!AK10+'Income Statement'!AK11)/'Income Statement'!AK7</f>
        <v>0.97665357169831435</v>
      </c>
      <c r="AL5" s="85">
        <f>('Income Statement'!AL7-'Income Statement'!AL9+'Income Statement'!AL10+'Income Statement'!AL11)/'Income Statement'!AL7</f>
        <v>0.94168509375796772</v>
      </c>
      <c r="AM5" s="85">
        <f>('Income Statement'!AM7-'Income Statement'!AM9+'Income Statement'!AM10+'Income Statement'!AM11)/'Income Statement'!AM7</f>
        <v>0.97705765311074444</v>
      </c>
      <c r="AO5" s="82" t="s">
        <v>366</v>
      </c>
      <c r="AP5" s="85">
        <f>('Income Statement'!AP8-'Income Statement'!AP10+'Income Statement'!AP11+'Income Statement'!AP12)/'Income Statement'!AP8</f>
        <v>0.8419449548213882</v>
      </c>
      <c r="AQ5" s="85">
        <f>('Income Statement'!AQ8-'Income Statement'!AQ10+'Income Statement'!AQ11+'Income Statement'!AQ12)/'Income Statement'!AQ8</f>
        <v>0.87537206096291587</v>
      </c>
      <c r="AR5" s="85">
        <f>('Income Statement'!AR8-'Income Statement'!AR10+'Income Statement'!AR11+'Income Statement'!AR12)/'Income Statement'!AR8</f>
        <v>0.88338637059550673</v>
      </c>
      <c r="AS5" s="85">
        <f>('Income Statement'!AS8-'Income Statement'!AS10+'Income Statement'!AS11+'Income Statement'!AS12)/'Income Statement'!AS8</f>
        <v>0.88002016482288836</v>
      </c>
      <c r="AT5" s="85">
        <f>('Income Statement'!AT8-'Income Statement'!AT10+'Income Statement'!AT11+'Income Statement'!AT12)/'Income Statement'!AT8</f>
        <v>0.93886087299486509</v>
      </c>
      <c r="AU5" s="85">
        <f>('Income Statement'!AU8-'Income Statement'!AU10+'Income Statement'!AU11+'Income Statement'!AU12)/'Income Statement'!AU8</f>
        <v>0.93346554267605641</v>
      </c>
    </row>
    <row r="6" spans="1:47" x14ac:dyDescent="0.3">
      <c r="A6" s="367" t="s">
        <v>367</v>
      </c>
      <c r="B6" s="85">
        <f>('Income Statement'!B17+'Income Statement'!B13+'Income Statement'!B14)/'Income Statement'!B7</f>
        <v>0.3602761436591721</v>
      </c>
      <c r="C6" s="85">
        <f>('Income Statement'!C17+'Income Statement'!C13+'Income Statement'!C14)/'Income Statement'!C7</f>
        <v>0.41560247782979426</v>
      </c>
      <c r="D6" s="85">
        <f>('Income Statement'!D17+'Income Statement'!D13+'Income Statement'!D14)/'Income Statement'!D7</f>
        <v>0.44037272556950319</v>
      </c>
      <c r="E6" s="85">
        <f>('Income Statement'!E17+'Income Statement'!E13+'Income Statement'!E14)/'Income Statement'!E7</f>
        <v>0.33437169092856783</v>
      </c>
      <c r="F6" s="85">
        <f>('Income Statement'!F17+'Income Statement'!F13+'Income Statement'!F14)/'Income Statement'!F7</f>
        <v>0.31085043988269795</v>
      </c>
      <c r="G6" s="85">
        <f>('Income Statement'!G17+'Income Statement'!G13+'Income Statement'!G14)/'Income Statement'!G7</f>
        <v>0.34184514003294891</v>
      </c>
      <c r="I6" s="82" t="s">
        <v>367</v>
      </c>
      <c r="J6" s="85">
        <f>('Income Statement'!J18+'Income Statement'!J13+'Income Statement'!J14)/'Income Statement'!J7</f>
        <v>0.22781437723236445</v>
      </c>
      <c r="K6" s="85">
        <f>('Income Statement'!K18+'Income Statement'!K13+'Income Statement'!K14)/'Income Statement'!K7</f>
        <v>0.27165440561827664</v>
      </c>
      <c r="L6" s="85">
        <f>('Income Statement'!L18+'Income Statement'!L13+'Income Statement'!L14)/'Income Statement'!L7</f>
        <v>0.28601248231251264</v>
      </c>
      <c r="M6" s="85">
        <f>('Income Statement'!M18+'Income Statement'!M13+'Income Statement'!M14)/'Income Statement'!M7</f>
        <v>0.2758592728693941</v>
      </c>
      <c r="N6" s="85">
        <f>('Income Statement'!N18+'Income Statement'!N13+'Income Statement'!N14)/'Income Statement'!N7</f>
        <v>0.28840561801719677</v>
      </c>
      <c r="O6" s="85">
        <f>('Income Statement'!O18+'Income Statement'!O13+'Income Statement'!O14)/'Income Statement'!O7</f>
        <v>0.31601815652393289</v>
      </c>
      <c r="Q6" s="82" t="s">
        <v>367</v>
      </c>
      <c r="R6" s="85">
        <f>('Income Statement'!R20+'Income Statement'!R13+'Income Statement'!R14)/'Income Statement'!R7</f>
        <v>0.26085271786786662</v>
      </c>
      <c r="S6" s="85">
        <f>('Income Statement'!S20+'Income Statement'!S13+'Income Statement'!S14)/'Income Statement'!S7</f>
        <v>0.28670641590446855</v>
      </c>
      <c r="T6" s="85">
        <f>('Income Statement'!T20+'Income Statement'!T13+'Income Statement'!T14)/'Income Statement'!T7</f>
        <v>0.27575140631223871</v>
      </c>
      <c r="U6" s="85">
        <f>('Income Statement'!U20+'Income Statement'!U13+'Income Statement'!U14)/'Income Statement'!U7</f>
        <v>0.22996481707512562</v>
      </c>
      <c r="V6" s="85">
        <f>('Income Statement'!V20+'Income Statement'!V13+'Income Statement'!V14)/'Income Statement'!V7</f>
        <v>0.2665022873330512</v>
      </c>
      <c r="W6" s="85">
        <f>('Income Statement'!W20+'Income Statement'!W13+'Income Statement'!W14)/'Income Statement'!W7</f>
        <v>0.27988823177233935</v>
      </c>
      <c r="Y6" s="81" t="s">
        <v>367</v>
      </c>
      <c r="Z6" s="85">
        <f>('Income Statement'!Z20+'Income Statement'!Z15+'Income Statement'!Z17)/'Income Statement'!Z9</f>
        <v>0.17041946012702888</v>
      </c>
      <c r="AA6" s="85">
        <f>('Income Statement'!AA20+'Income Statement'!AA15+'Income Statement'!AA17)/'Income Statement'!AA9</f>
        <v>0.2151776988349908</v>
      </c>
      <c r="AB6" s="85">
        <f>('Income Statement'!AB20+'Income Statement'!AB15+'Income Statement'!AB17)/'Income Statement'!AB9</f>
        <v>0.19301757635181763</v>
      </c>
      <c r="AC6" s="85">
        <f>('Income Statement'!AC20+'Income Statement'!AC15+'Income Statement'!AC17)/'Income Statement'!AC9</f>
        <v>0.28783060967456048</v>
      </c>
      <c r="AD6" s="85">
        <f>('Income Statement'!AD20+'Income Statement'!AD15+'Income Statement'!AD17)/'Income Statement'!AD9</f>
        <v>0.30538930442062728</v>
      </c>
      <c r="AE6" s="85">
        <f>('Income Statement'!AE20+'Income Statement'!AE15+'Income Statement'!AE17)/'Income Statement'!AE9</f>
        <v>0.28583452870674436</v>
      </c>
      <c r="AG6" s="82" t="s">
        <v>367</v>
      </c>
      <c r="AH6" s="85">
        <f>('Income Statement'!AH17+'Income Statement'!AH13+'Income Statement'!AH14)/'Income Statement'!AH7</f>
        <v>0.2843035452651847</v>
      </c>
      <c r="AI6" s="85">
        <f>('Income Statement'!AI17+'Income Statement'!AI13+'Income Statement'!AI14)/'Income Statement'!AI7</f>
        <v>0.31536764961272623</v>
      </c>
      <c r="AJ6" s="85">
        <f>('Income Statement'!AJ17+'Income Statement'!AJ13+'Income Statement'!AJ14)/'Income Statement'!AJ7</f>
        <v>0.30188980539025345</v>
      </c>
      <c r="AK6" s="85">
        <f>('Income Statement'!AK17+'Income Statement'!AK13+'Income Statement'!AK14)/'Income Statement'!AK7</f>
        <v>0.29871736905980062</v>
      </c>
      <c r="AL6" s="85">
        <f>('Income Statement'!AL17+'Income Statement'!AL13+'Income Statement'!AL14)/'Income Statement'!AL7</f>
        <v>0.31760053774656372</v>
      </c>
      <c r="AM6" s="85">
        <f>('Income Statement'!AM17+'Income Statement'!AM13+'Income Statement'!AM14)/'Income Statement'!AM7</f>
        <v>0.32447726737011412</v>
      </c>
      <c r="AO6" s="82" t="s">
        <v>367</v>
      </c>
      <c r="AP6" s="85">
        <f>('Income Statement'!AP18+'Income Statement'!AP14+'Income Statement'!AP15)/'Income Statement'!AP8</f>
        <v>0.20314439245625041</v>
      </c>
      <c r="AQ6" s="85">
        <f>('Income Statement'!AQ18+'Income Statement'!AQ14+'Income Statement'!AQ15)/'Income Statement'!AQ8</f>
        <v>0.23260154909145572</v>
      </c>
      <c r="AR6" s="85">
        <f>('Income Statement'!AR18+'Income Statement'!AR14+'Income Statement'!AR15)/'Income Statement'!AR8</f>
        <v>0.21927214579765697</v>
      </c>
      <c r="AS6" s="85">
        <f>('Income Statement'!AS18+'Income Statement'!AS14+'Income Statement'!AS15)/'Income Statement'!AS8</f>
        <v>0.23688156438386004</v>
      </c>
      <c r="AT6" s="85">
        <f>('Income Statement'!AT18+'Income Statement'!AT14+'Income Statement'!AT15)/'Income Statement'!AT8</f>
        <v>0.26536368250262238</v>
      </c>
      <c r="AU6" s="85">
        <f>('Income Statement'!AU18+'Income Statement'!AU14+'Income Statement'!AU15)/'Income Statement'!AU8</f>
        <v>0.28123595319732952</v>
      </c>
    </row>
    <row r="7" spans="1:47" x14ac:dyDescent="0.3">
      <c r="A7" s="367" t="s">
        <v>368</v>
      </c>
      <c r="B7" s="85">
        <f>('Income Statement'!B17+'Income Statement'!B13)/Table7[[#This Row],[2020]]</f>
        <v>0.32692400676928035</v>
      </c>
      <c r="C7" s="85">
        <f>('Income Statement'!C17+'Income Statement'!C13)/Table7[[#This Row],[2021]]</f>
        <v>0.37925557028196971</v>
      </c>
      <c r="D7" s="85">
        <f>('Income Statement'!D17+'Income Statement'!D13)/Table7[[#This Row],[2022]]</f>
        <v>0.40604163681849748</v>
      </c>
      <c r="E7" s="85">
        <f>('Income Statement'!E17+'Income Statement'!E13)/Table7[[#This Row],[2023]]</f>
        <v>0.29206735065956457</v>
      </c>
      <c r="F7" s="85">
        <f>('Income Statement'!F17+'Income Statement'!F13)/Table7[[#This Row],[2024]]</f>
        <v>0.26466275659824046</v>
      </c>
      <c r="G7" s="85">
        <f>('Income Statement'!G17+'Income Statement'!G13)/Table7[[#This Row],[2025]]</f>
        <v>0.30045304777594728</v>
      </c>
      <c r="I7" s="82" t="s">
        <v>368</v>
      </c>
      <c r="J7" s="85">
        <f>('Income Statement'!J18+'Income Statement'!J13)/Table8[[#This Row],[2020]]</f>
        <v>0.16648881442861649</v>
      </c>
      <c r="K7" s="85">
        <f>('Income Statement'!K18+'Income Statement'!K13)/Table8[[#This Row],[2021]]</f>
        <v>0.21107391405402159</v>
      </c>
      <c r="L7" s="85">
        <f>('Income Statement'!L18+'Income Statement'!L13)/Table8[[#This Row],[2022]]</f>
        <v>0.23184480493228218</v>
      </c>
      <c r="M7" s="85">
        <f>('Income Statement'!M18+'Income Statement'!M13)/Table8[[#This Row],[2023]]</f>
        <v>0.21904393960494334</v>
      </c>
      <c r="N7" s="85">
        <f>('Income Statement'!N18+'Income Statement'!N13)/Table8[[#This Row],[2024]]</f>
        <v>0.23712002798737997</v>
      </c>
      <c r="O7" s="85">
        <f>('Income Statement'!O18+'Income Statement'!O13)/Table8[[#This Row],[2025]]</f>
        <v>0.26880096392822761</v>
      </c>
      <c r="Q7" s="82" t="s">
        <v>368</v>
      </c>
      <c r="R7" s="85">
        <f>('Income Statement'!R20+'Income Statement'!R13)/Table9[[#This Row],[2020]]</f>
        <v>0.24427571755380889</v>
      </c>
      <c r="S7" s="85">
        <f>('Income Statement'!S20+'Income Statement'!S13)/Table9[[#This Row],[2021]]</f>
        <v>0.26807474568116169</v>
      </c>
      <c r="T7" s="85">
        <f>('Income Statement'!T20+'Income Statement'!T13)/Table9[[#This Row],[2022]]</f>
        <v>0.25486548579045476</v>
      </c>
      <c r="U7" s="85">
        <f>('Income Statement'!U20+'Income Statement'!U13)/Table9[[#This Row],[2023]]</f>
        <v>0.19325390162770692</v>
      </c>
      <c r="V7" s="85">
        <f>('Income Statement'!V20+'Income Statement'!V13)/Table9[[#This Row],[2024]]</f>
        <v>0.23060130959541431</v>
      </c>
      <c r="W7" s="85">
        <f>('Income Statement'!W20+'Income Statement'!W13)/Table9[[#This Row],[2025]]</f>
        <v>0.23114303492639413</v>
      </c>
      <c r="Y7" s="81" t="s">
        <v>368</v>
      </c>
      <c r="Z7" s="85">
        <f>('Income Statement'!Z20+'Income Statement'!Z17)/'Income Statement'!Z9</f>
        <v>0.10629300458715589</v>
      </c>
      <c r="AA7" s="85">
        <f>('Income Statement'!AA20+'Income Statement'!AA17)/'Income Statement'!AA9</f>
        <v>0.15163737337697611</v>
      </c>
      <c r="AB7" s="85">
        <f>('Income Statement'!AB20+'Income Statement'!AB17)/'Income Statement'!AB9</f>
        <v>0.14012510440498249</v>
      </c>
      <c r="AC7" s="85">
        <f>('Income Statement'!AC20+'Income Statement'!AC17)/'Income Statement'!AC9</f>
        <v>0.23923234804782872</v>
      </c>
      <c r="AD7" s="85">
        <f>('Income Statement'!AD20+'Income Statement'!AD17)/'Income Statement'!AD9</f>
        <v>0.25453375493852359</v>
      </c>
      <c r="AE7" s="85">
        <f>('Income Statement'!AE20+'Income Statement'!AE17)/'Income Statement'!AE9</f>
        <v>0.2353413630813368</v>
      </c>
      <c r="AG7" s="82" t="s">
        <v>368</v>
      </c>
      <c r="AH7" s="85">
        <f>('Income Statement'!AH17+'Income Statement'!AH13)/Table11[[#This Row],[2020]]</f>
        <v>0.20312110373780651</v>
      </c>
      <c r="AI7" s="85">
        <f>('Income Statement'!AI17+'Income Statement'!AI13)/Table11[[#This Row],[2021]]</f>
        <v>0.23377097009482134</v>
      </c>
      <c r="AJ7" s="85">
        <f>('Income Statement'!AJ17+'Income Statement'!AJ13)/Table11[[#This Row],[2022]]</f>
        <v>0.22581968154768747</v>
      </c>
      <c r="AK7" s="85">
        <f>('Income Statement'!AK17+'Income Statement'!AK13)/Table11[[#This Row],[2023]]</f>
        <v>0.22561144052584042</v>
      </c>
      <c r="AL7" s="85">
        <f>('Income Statement'!AL17+'Income Statement'!AL13)/Table11[[#This Row],[2024]]</f>
        <v>0.24266184549057779</v>
      </c>
      <c r="AM7" s="85">
        <f>('Income Statement'!AM17+'Income Statement'!AM13)/Table11[[#This Row],[2025]]</f>
        <v>0.2555886981600366</v>
      </c>
      <c r="AO7" s="82" t="s">
        <v>368</v>
      </c>
      <c r="AP7" s="85">
        <f>('Income Statement'!AP18+'Income Statement'!AP14)/'Income Statement'!AP8</f>
        <v>0.13593008544768617</v>
      </c>
      <c r="AQ7" s="85">
        <f>('Income Statement'!AQ18+'Income Statement'!AQ14)/'Income Statement'!AQ8</f>
        <v>0.1776399983938704</v>
      </c>
      <c r="AR7" s="85">
        <f>('Income Statement'!AR18+'Income Statement'!AR14)/'Income Statement'!AR8</f>
        <v>0.17155221883257535</v>
      </c>
      <c r="AS7" s="85">
        <f>('Income Statement'!AS18+'Income Statement'!AS14)/'Income Statement'!AS8</f>
        <v>0.1864217211821477</v>
      </c>
      <c r="AT7" s="85">
        <f>('Income Statement'!AT18+'Income Statement'!AT14)/'Income Statement'!AT8</f>
        <v>0.22573344705599324</v>
      </c>
      <c r="AU7" s="85">
        <f>('Income Statement'!AU18+'Income Statement'!AU14)/'Income Statement'!AU8</f>
        <v>0.24227186056490282</v>
      </c>
    </row>
    <row r="8" spans="1:47" x14ac:dyDescent="0.3">
      <c r="A8" s="367" t="s">
        <v>369</v>
      </c>
      <c r="B8" s="85">
        <f>'Income Statement'!B21/'Income Statement'!B7</f>
        <v>0.24651283566586973</v>
      </c>
      <c r="C8" s="85">
        <f>'Income Statement'!C21/'Income Statement'!C7</f>
        <v>0.28218163925847134</v>
      </c>
      <c r="D8" s="85">
        <f>'Income Statement'!D21/'Income Statement'!D7</f>
        <v>0.32626712366509808</v>
      </c>
      <c r="E8" s="85">
        <f>'Income Statement'!E21/'Income Statement'!E7</f>
        <v>0.22477093058947237</v>
      </c>
      <c r="F8" s="85">
        <f>'Income Statement'!F21/'Income Statement'!F7</f>
        <v>0.19550342130987292</v>
      </c>
      <c r="G8" s="85">
        <f>'Income Statement'!G21/'Income Statement'!G7</f>
        <v>0.2255971993410214</v>
      </c>
      <c r="I8" s="82" t="s">
        <v>369</v>
      </c>
      <c r="J8" s="85">
        <f>'Income Statement'!J30/'Income Statement'!J7</f>
        <v>0.11247501006767167</v>
      </c>
      <c r="K8" s="85">
        <f>'Income Statement'!K30/'Income Statement'!K7</f>
        <v>8.4576476845171708E-2</v>
      </c>
      <c r="L8" s="85">
        <f>'Income Statement'!L30/'Income Statement'!L7</f>
        <v>8.2694815039417821E-2</v>
      </c>
      <c r="M8" s="85">
        <f>'Income Statement'!M30/'Income Statement'!M7</f>
        <v>0.19033113058791284</v>
      </c>
      <c r="N8" s="85">
        <f>'Income Statement'!N30/'Income Statement'!N7</f>
        <v>0.19209990403409838</v>
      </c>
      <c r="O8" s="85">
        <f>'Income Statement'!O30/'Income Statement'!O7</f>
        <v>0.20037298683545685</v>
      </c>
      <c r="Q8" s="82" t="s">
        <v>369</v>
      </c>
      <c r="R8" s="85">
        <f>'Income Statement'!R25/'Income Statement'!R7</f>
        <v>0.17674055332095992</v>
      </c>
      <c r="S8" s="85">
        <f>'Income Statement'!S25/'Income Statement'!S7</f>
        <v>0.20249818166664244</v>
      </c>
      <c r="T8" s="85">
        <f>'Income Statement'!T25/'Income Statement'!T7</f>
        <v>0.18212994968264007</v>
      </c>
      <c r="U8" s="85">
        <f>'Income Statement'!U25/'Income Statement'!U7</f>
        <v>0.147519241890499</v>
      </c>
      <c r="V8" s="85">
        <f>'Income Statement'!V25/'Income Statement'!V7</f>
        <v>0.18412414402893174</v>
      </c>
      <c r="W8" s="85">
        <f>'Income Statement'!W25/'Income Statement'!W7</f>
        <v>0.15745086207640635</v>
      </c>
      <c r="Y8" s="81" t="s">
        <v>369</v>
      </c>
      <c r="Z8" s="85">
        <f>'Income Statement'!Z26/'Income Statement'!Z9</f>
        <v>0.11170165843330973</v>
      </c>
      <c r="AA8" s="85">
        <f>'Income Statement'!AA26/'Income Statement'!AA9</f>
        <v>0.10091577080392387</v>
      </c>
      <c r="AB8" s="85">
        <f>'Income Statement'!AB26/'Income Statement'!AB9</f>
        <v>9.9071249591458854E-2</v>
      </c>
      <c r="AC8" s="85">
        <f>'Income Statement'!AC26/'Income Statement'!AC9</f>
        <v>0.17520952218058572</v>
      </c>
      <c r="AD8" s="85">
        <f>'Income Statement'!AD26/'Income Statement'!AD9</f>
        <v>0.19297086357566404</v>
      </c>
      <c r="AE8" s="85">
        <f>'Income Statement'!AE26/'Income Statement'!AE9</f>
        <v>0.16967979799177271</v>
      </c>
      <c r="AG8" s="82" t="s">
        <v>369</v>
      </c>
      <c r="AH8" s="85">
        <f>'Income Statement'!AH25/'Income Statement'!AH7</f>
        <v>0.12712685516356712</v>
      </c>
      <c r="AI8" s="85">
        <f>'Income Statement'!AI25/'Income Statement'!AI7</f>
        <v>0.15529158417561048</v>
      </c>
      <c r="AJ8" s="85">
        <f>'Income Statement'!AJ25/'Income Statement'!AJ7</f>
        <v>8.9283826942076663E-2</v>
      </c>
      <c r="AK8" s="85">
        <f>'Income Statement'!AK25/'Income Statement'!AK7</f>
        <v>0.12883524446757419</v>
      </c>
      <c r="AL8" s="85">
        <f>'Income Statement'!AL25/'Income Statement'!AL7</f>
        <v>0.15357114711540687</v>
      </c>
      <c r="AM8" s="85">
        <f>'Income Statement'!AM25/'Income Statement'!AM7</f>
        <v>0.16562876970646556</v>
      </c>
      <c r="AO8" s="82" t="s">
        <v>369</v>
      </c>
      <c r="AP8" s="85">
        <f>'Income Statement'!AP26/Table12[[#This Row],[2020]]</f>
        <v>8.580359906821787E-2</v>
      </c>
      <c r="AQ8" s="85">
        <f>'Income Statement'!AQ26/Table12[[#This Row],[2021]]</f>
        <v>0.12295694645925635</v>
      </c>
      <c r="AR8" s="85">
        <f>'Income Statement'!AR26/Table12[[#This Row],[2022]]</f>
        <v>0.12378602129807088</v>
      </c>
      <c r="AS8" s="85">
        <f>'Income Statement'!AS26/Table12[[#This Row],[2023]]</f>
        <v>0.1298104015873556</v>
      </c>
      <c r="AT8" s="85">
        <f>'Income Statement'!AT26/Table12[[#This Row],[2024]]</f>
        <v>0.16396801587894108</v>
      </c>
      <c r="AU8" s="85">
        <f>'Income Statement'!AU26/Table12[[#This Row],[2025]]</f>
        <v>0.18547323447200215</v>
      </c>
    </row>
    <row r="9" spans="1:47" x14ac:dyDescent="0.3">
      <c r="A9" s="367" t="s">
        <v>371</v>
      </c>
      <c r="B9" s="85">
        <f>'Income Statement'!B21/'Balance Sheet'!B28</f>
        <v>0.16126855442435889</v>
      </c>
      <c r="C9" s="85">
        <f>'Income Statement'!C21/'Balance Sheet'!C28</f>
        <v>0.18417274066346329</v>
      </c>
      <c r="D9" s="85">
        <f>'Income Statement'!D21/'Balance Sheet'!D28</f>
        <v>0.2213468553710698</v>
      </c>
      <c r="E9" s="85">
        <f>'Income Statement'!E21/'Balance Sheet'!E28</f>
        <v>0.12628361003049429</v>
      </c>
      <c r="F9" s="85">
        <f>'Income Statement'!F21/'Balance Sheet'!F28</f>
        <v>0.10342598577892695</v>
      </c>
      <c r="G9" s="85">
        <f>'Income Statement'!G21/'Balance Sheet'!G28</f>
        <v>0.12939995275218522</v>
      </c>
      <c r="I9" s="82" t="s">
        <v>371</v>
      </c>
      <c r="J9" s="85">
        <f>'Income Statement'!J30/'Balance Sheet'!J30</f>
        <v>5.5161821273548337E-2</v>
      </c>
      <c r="K9" s="85">
        <f>'Income Statement'!K30/'Balance Sheet'!K30</f>
        <v>4.2850230489209058E-2</v>
      </c>
      <c r="L9" s="85">
        <f>'Income Statement'!L30/'Balance Sheet'!L30</f>
        <v>8.0239773181964388E-2</v>
      </c>
      <c r="M9" s="85">
        <f>'Income Statement'!M30/'Balance Sheet'!M30</f>
        <v>0.20673576254608406</v>
      </c>
      <c r="N9" s="85">
        <f>'Income Statement'!N30/'Balance Sheet'!N30</f>
        <v>0.11205977969472176</v>
      </c>
      <c r="O9" s="85">
        <f>'Income Statement'!O30/'Balance Sheet'!O30</f>
        <v>0.11870337591426194</v>
      </c>
      <c r="Q9" s="82" t="s">
        <v>371</v>
      </c>
      <c r="R9" s="85">
        <f>'Income Statement'!R25/'Balance Sheet'!R32</f>
        <v>0.20817697329810589</v>
      </c>
      <c r="S9" s="85">
        <f>'Income Statement'!S25/'Balance Sheet'!S32</f>
        <v>0.20290349419739126</v>
      </c>
      <c r="T9" s="85">
        <f>'Income Statement'!T25/'Balance Sheet'!T32</f>
        <v>0.15883237029757027</v>
      </c>
      <c r="U9" s="85">
        <f>'Income Statement'!U25/'Balance Sheet'!U32</f>
        <v>0.13480356230116269</v>
      </c>
      <c r="V9" s="85">
        <f>'Income Statement'!V25/'Balance Sheet'!V32</f>
        <v>0.16222932731490183</v>
      </c>
      <c r="W9" s="85">
        <f>'Income Statement'!W25/'Balance Sheet'!W32</f>
        <v>7.2284725281732062E-2</v>
      </c>
      <c r="Y9" s="81" t="s">
        <v>371</v>
      </c>
      <c r="Z9" s="85">
        <f>Table10[[#This Row],[2020]]/'Balance Sheet'!Z29</f>
        <v>0.80022589298319924</v>
      </c>
      <c r="AA9" s="85">
        <f>Table10[[#This Row],[2021]]/'Balance Sheet'!AA29</f>
        <v>0.8326652400614849</v>
      </c>
      <c r="AB9" s="85">
        <f>Table10[[#This Row],[2022]]/'Balance Sheet'!AB29</f>
        <v>0.82812752568444892</v>
      </c>
      <c r="AC9" s="85">
        <f>Table10[[#This Row],[2023]]/'Balance Sheet'!AC29</f>
        <v>0.86480271893878014</v>
      </c>
      <c r="AD9" s="85">
        <f>Table10[[#This Row],[2024]]/'Balance Sheet'!AD29</f>
        <v>0.74376154673500783</v>
      </c>
      <c r="AE9" s="85">
        <f>Table10[[#This Row],[2025]]/'Balance Sheet'!AE29</f>
        <v>0.68265266071305741</v>
      </c>
      <c r="AG9" s="82" t="s">
        <v>371</v>
      </c>
      <c r="AH9" s="85">
        <f>'Income Statement'!AH25/'Balance Sheet'!AH30</f>
        <v>7.3143398806830143E-2</v>
      </c>
      <c r="AI9" s="85">
        <f>'Income Statement'!AI25/'Balance Sheet'!AI30</f>
        <v>8.7625983174478533E-2</v>
      </c>
      <c r="AJ9" s="85">
        <f>'Income Statement'!AJ25/'Balance Sheet'!AJ30</f>
        <v>5.9327442167232618E-2</v>
      </c>
      <c r="AK9" s="85">
        <f>'Income Statement'!AK25/'Balance Sheet'!AK30</f>
        <v>8.2949802988972046E-2</v>
      </c>
      <c r="AL9" s="85">
        <f>'Income Statement'!AL25/'Balance Sheet'!AL30</f>
        <v>0.10998122913010594</v>
      </c>
      <c r="AM9" s="85">
        <f>'Income Statement'!AM25/'Balance Sheet'!AM30</f>
        <v>0.12750387932012167</v>
      </c>
      <c r="AO9" s="82" t="s">
        <v>371</v>
      </c>
      <c r="AP9" s="85">
        <f>'Income Statement'!AP26/'Balance Sheet'!AP30</f>
        <v>0.12812205224951795</v>
      </c>
      <c r="AQ9" s="85">
        <f>'Income Statement'!AQ26/'Balance Sheet'!AQ30</f>
        <v>0.18120814534220778</v>
      </c>
      <c r="AR9" s="85">
        <f>'Income Statement'!AR26/'Balance Sheet'!AR30</f>
        <v>0.18549395241464958</v>
      </c>
      <c r="AS9" s="85">
        <f>'Income Statement'!AS26/'Balance Sheet'!AS30</f>
        <v>0.17942869588088353</v>
      </c>
      <c r="AT9" s="85">
        <f>'Income Statement'!AT26/'Balance Sheet'!AT30</f>
        <v>0.22423881459021414</v>
      </c>
      <c r="AU9" s="85">
        <f>'Income Statement'!AU26/'Balance Sheet'!AU30</f>
        <v>0.22664229856204385</v>
      </c>
    </row>
    <row r="10" spans="1:47" x14ac:dyDescent="0.3">
      <c r="A10" s="367" t="s">
        <v>370</v>
      </c>
      <c r="B10" s="85">
        <f>'Income Statement'!B21/'Balance Sheet'!B33</f>
        <v>0.18831122638825049</v>
      </c>
      <c r="C10" s="85">
        <f>'Income Statement'!C21/'Balance Sheet'!C33</f>
        <v>0.2134882474896741</v>
      </c>
      <c r="D10" s="85">
        <f>'Income Statement'!D21/'Balance Sheet'!D33</f>
        <v>0.25242194441081228</v>
      </c>
      <c r="E10" s="85">
        <f>'Income Statement'!E21/'Balance Sheet'!E33</f>
        <v>0.14281876292874884</v>
      </c>
      <c r="F10" s="85">
        <f>'Income Statement'!F21/'Balance Sheet'!F33</f>
        <v>0.11789845995136689</v>
      </c>
      <c r="G10" s="85">
        <f>'Income Statement'!G21/'Balance Sheet'!G33</f>
        <v>0.14636916293673591</v>
      </c>
      <c r="I10" s="82" t="s">
        <v>370</v>
      </c>
      <c r="J10" s="85">
        <f>'Income Statement'!J30/'Balance Sheet'!J36</f>
        <v>7.6640280070978714E-2</v>
      </c>
      <c r="K10" s="85">
        <f>'Income Statement'!K30/'Balance Sheet'!K36</f>
        <v>5.8686943750615103E-2</v>
      </c>
      <c r="L10" s="85">
        <f>'Income Statement'!L30/'Balance Sheet'!L36</f>
        <v>0.1331030037071004</v>
      </c>
      <c r="M10" s="85">
        <f>'Income Statement'!M30/'Balance Sheet'!M36</f>
        <v>0.35680695424863007</v>
      </c>
      <c r="N10" s="85">
        <f>'Income Statement'!N30/'Balance Sheet'!N36</f>
        <v>0.14266288114550052</v>
      </c>
      <c r="O10" s="85">
        <f>'Income Statement'!O30/'Balance Sheet'!O36</f>
        <v>0.15077459838768764</v>
      </c>
      <c r="Q10" s="82" t="s">
        <v>370</v>
      </c>
      <c r="R10" s="85">
        <f>'Income Statement'!R25/'Balance Sheet'!R38</f>
        <v>0.28765346324610358</v>
      </c>
      <c r="S10" s="85">
        <f>'Income Statement'!S25/'Balance Sheet'!S38</f>
        <v>0.26589694213187415</v>
      </c>
      <c r="T10" s="85">
        <f>'Income Statement'!T25/'Balance Sheet'!T38</f>
        <v>0.23003250947704915</v>
      </c>
      <c r="U10" s="85">
        <f>'Income Statement'!U25/'Balance Sheet'!U38</f>
        <v>0.17179922340383932</v>
      </c>
      <c r="V10" s="85">
        <f>'Income Statement'!V25/'Balance Sheet'!V38</f>
        <v>0.20267675042999056</v>
      </c>
      <c r="W10" s="85">
        <f>'Income Statement'!W25/'Balance Sheet'!W38</f>
        <v>0.13773786430425763</v>
      </c>
      <c r="Y10" s="81" t="s">
        <v>370</v>
      </c>
      <c r="Z10" s="85">
        <f>'Income Statement'!Z9/'Balance Sheet'!Z35</f>
        <v>1.2933626173022619</v>
      </c>
      <c r="AA10" s="85">
        <f>'Income Statement'!AA9/'Balance Sheet'!AA35</f>
        <v>1.2397684437264405</v>
      </c>
      <c r="AB10" s="85">
        <f>'Income Statement'!AB9/'Balance Sheet'!AB35</f>
        <v>1.2487231956104003</v>
      </c>
      <c r="AC10" s="85">
        <f>'Income Statement'!AC9/'Balance Sheet'!AC35</f>
        <v>1.3389894026774374</v>
      </c>
      <c r="AD10" s="85">
        <f>'Income Statement'!AD9/'Balance Sheet'!AD35</f>
        <v>1.0230261760833557</v>
      </c>
      <c r="AE10" s="85">
        <f>'Income Statement'!AE9/'Balance Sheet'!AE35</f>
        <v>0.99451181051303672</v>
      </c>
      <c r="AG10" s="82" t="s">
        <v>370</v>
      </c>
      <c r="AH10" s="85">
        <f>'Income Statement'!AH25/'Balance Sheet'!AH36</f>
        <v>0.21245557946765867</v>
      </c>
      <c r="AI10" s="85">
        <f>'Income Statement'!AI25/'Balance Sheet'!AI36</f>
        <v>0.21446694202841451</v>
      </c>
      <c r="AJ10" s="85">
        <f>'Income Statement'!AJ25/'Balance Sheet'!AJ36</f>
        <v>0.13055375906063391</v>
      </c>
      <c r="AK10" s="85">
        <f>'Income Statement'!AK25/'Balance Sheet'!AK36</f>
        <v>0.20090608850819691</v>
      </c>
      <c r="AL10" s="85">
        <f>'Income Statement'!AL25/'Balance Sheet'!AL36</f>
        <v>0.24159039694289064</v>
      </c>
      <c r="AM10" s="85">
        <f>'Income Statement'!AM25/'Balance Sheet'!AM36</f>
        <v>0.25178870432068767</v>
      </c>
      <c r="AO10" s="82" t="s">
        <v>370</v>
      </c>
      <c r="AP10" s="85">
        <f>'Income Statement'!AP26/'Balance Sheet'!AP36</f>
        <v>9.6112295095101413E-2</v>
      </c>
      <c r="AQ10" s="85">
        <f>'Income Statement'!AQ26/'Balance Sheet'!AQ36</f>
        <v>0.13148794070433426</v>
      </c>
      <c r="AR10" s="85">
        <f>'Income Statement'!AR26/'Balance Sheet'!AR36</f>
        <v>0.13195002207411577</v>
      </c>
      <c r="AS10" s="85">
        <f>'Income Statement'!AS26/'Balance Sheet'!AS36</f>
        <v>0.12971111593863127</v>
      </c>
      <c r="AT10" s="85">
        <f>'Income Statement'!AT26/'Balance Sheet'!AT36</f>
        <v>0.16381791496389511</v>
      </c>
      <c r="AU10" s="85">
        <f>'Income Statement'!AU26/'Balance Sheet'!AU36</f>
        <v>0.16979930026910994</v>
      </c>
    </row>
    <row r="11" spans="1:47" x14ac:dyDescent="0.3">
      <c r="A11" s="366" t="s">
        <v>374</v>
      </c>
      <c r="B11" s="80"/>
      <c r="C11" s="80"/>
      <c r="D11" s="80"/>
      <c r="E11" s="80"/>
      <c r="F11" s="80"/>
      <c r="G11" s="80"/>
      <c r="I11" s="80" t="s">
        <v>374</v>
      </c>
      <c r="J11" s="80"/>
      <c r="K11" s="80"/>
      <c r="L11" s="80"/>
      <c r="M11" s="80"/>
      <c r="N11" s="80"/>
      <c r="O11" s="80"/>
      <c r="Q11" s="80" t="s">
        <v>374</v>
      </c>
      <c r="R11" s="80"/>
      <c r="S11" s="80"/>
      <c r="T11" s="80"/>
      <c r="U11" s="80"/>
      <c r="V11" s="80"/>
      <c r="W11" s="80"/>
      <c r="Y11" s="80" t="s">
        <v>374</v>
      </c>
      <c r="Z11" s="80"/>
      <c r="AA11" s="80"/>
      <c r="AB11" s="80"/>
      <c r="AC11" s="80"/>
      <c r="AD11" s="80"/>
      <c r="AE11" s="80"/>
      <c r="AG11" s="80" t="s">
        <v>374</v>
      </c>
      <c r="AH11" s="80"/>
      <c r="AI11" s="80"/>
      <c r="AJ11" s="80"/>
      <c r="AK11" s="80"/>
      <c r="AL11" s="80"/>
      <c r="AM11" s="80"/>
      <c r="AO11" s="80" t="s">
        <v>374</v>
      </c>
      <c r="AP11" s="80"/>
      <c r="AQ11" s="80"/>
      <c r="AR11" s="80"/>
      <c r="AS11" s="80"/>
      <c r="AT11" s="80"/>
      <c r="AU11" s="80"/>
    </row>
    <row r="12" spans="1:47" x14ac:dyDescent="0.3">
      <c r="A12" s="367" t="s">
        <v>375</v>
      </c>
      <c r="B12" s="86">
        <f>'Balance Sheet'!B27/'Balance Sheet'!B52</f>
        <v>5.0492862768792541</v>
      </c>
      <c r="C12" s="86">
        <f>'Balance Sheet'!C27/'Balance Sheet'!C52</f>
        <v>5.5505006921597175</v>
      </c>
      <c r="D12" s="86">
        <f>'Balance Sheet'!D27/'Balance Sheet'!D52</f>
        <v>6.9854878507799762</v>
      </c>
      <c r="E12" s="86">
        <f>'Balance Sheet'!E27/'Balance Sheet'!E52</f>
        <v>8.4569150288807347</v>
      </c>
      <c r="F12" s="86">
        <f>'Balance Sheet'!F27/'Balance Sheet'!F52</f>
        <v>7.570422535211268</v>
      </c>
      <c r="G12" s="86">
        <f>'Balance Sheet'!G27/'Balance Sheet'!G52</f>
        <v>6.9428374655647387</v>
      </c>
      <c r="I12" s="81" t="s">
        <v>375</v>
      </c>
      <c r="J12" s="86">
        <f>'Balance Sheet'!J29/'Balance Sheet'!J54</f>
        <v>2.0153631347161634</v>
      </c>
      <c r="K12" s="86">
        <f>'Balance Sheet'!K29/'Balance Sheet'!K54</f>
        <v>1.8854686995800101</v>
      </c>
      <c r="L12" s="86">
        <f>'Balance Sheet'!L29/'Balance Sheet'!L54</f>
        <v>0.96233065468150558</v>
      </c>
      <c r="M12" s="86">
        <f>'Balance Sheet'!M29/'Balance Sheet'!M54</f>
        <v>1.9680889211887076</v>
      </c>
      <c r="N12" s="86">
        <f>'Balance Sheet'!N29/'Balance Sheet'!N54</f>
        <v>2.5572354631308727</v>
      </c>
      <c r="O12" s="86">
        <f>'Balance Sheet'!O29/'Balance Sheet'!O54</f>
        <v>2.8907031412740647</v>
      </c>
      <c r="Q12" s="82" t="s">
        <v>375</v>
      </c>
      <c r="R12" s="86">
        <f>'Balance Sheet'!R31/'Balance Sheet'!R57</f>
        <v>2.2564528530824841</v>
      </c>
      <c r="S12" s="86">
        <f>'Balance Sheet'!S31/'Balance Sheet'!S57</f>
        <v>2.8860211323480001</v>
      </c>
      <c r="T12" s="86">
        <f>'Balance Sheet'!T31/'Balance Sheet'!T57</f>
        <v>1.6810889984305761</v>
      </c>
      <c r="U12" s="86">
        <f>'Balance Sheet'!U31/'Balance Sheet'!U57</f>
        <v>2.3260879391514373</v>
      </c>
      <c r="V12" s="86">
        <f>'Balance Sheet'!V31/'Balance Sheet'!V57</f>
        <v>3.1036190350184993</v>
      </c>
      <c r="W12" s="86">
        <f>'Balance Sheet'!W31/'Balance Sheet'!W57</f>
        <v>1.2370436719022442</v>
      </c>
      <c r="Y12" s="81" t="s">
        <v>375</v>
      </c>
      <c r="Z12" s="86">
        <f>'Balance Sheet'!Z28/'Balance Sheet'!Z56</f>
        <v>1.9178437590083597</v>
      </c>
      <c r="AA12" s="86">
        <f>'Balance Sheet'!AA28/'Balance Sheet'!AA56</f>
        <v>1.7464548592340006</v>
      </c>
      <c r="AB12" s="86">
        <f>'Balance Sheet'!AB28/'Balance Sheet'!AB56</f>
        <v>1.8129568189188512</v>
      </c>
      <c r="AC12" s="86">
        <f>'Balance Sheet'!AC28/'Balance Sheet'!AC56</f>
        <v>1.8400368373671636</v>
      </c>
      <c r="AD12" s="86">
        <f>'Balance Sheet'!AD28/'Balance Sheet'!AD56</f>
        <v>2.6228733359415477</v>
      </c>
      <c r="AE12" s="86">
        <f>'Balance Sheet'!AE28/'Balance Sheet'!AE56</f>
        <v>1.9321831002231988</v>
      </c>
      <c r="AG12" s="82" t="s">
        <v>375</v>
      </c>
      <c r="AH12" s="86">
        <f>'Balance Sheet'!AH28/'Balance Sheet'!AH55</f>
        <v>0.91289217771389175</v>
      </c>
      <c r="AI12" s="86">
        <f>'Balance Sheet'!AI28/'Balance Sheet'!AI55</f>
        <v>1.1287671568928084</v>
      </c>
      <c r="AJ12" s="86">
        <f>'Balance Sheet'!AJ28/'Balance Sheet'!AJ55</f>
        <v>1.1698493122450506</v>
      </c>
      <c r="AK12" s="86">
        <f>'Balance Sheet'!AK28/'Balance Sheet'!AK55</f>
        <v>0.97547775962403382</v>
      </c>
      <c r="AL12" s="86">
        <f>'Balance Sheet'!AL28/'Balance Sheet'!AL55</f>
        <v>1.034326528731395</v>
      </c>
      <c r="AM12" s="89">
        <f>'Balance Sheet'!AM28/'Balance Sheet'!AM55</f>
        <v>1.191932061248328</v>
      </c>
      <c r="AN12" s="91"/>
      <c r="AO12" s="82" t="s">
        <v>375</v>
      </c>
      <c r="AP12" s="86">
        <f>'Balance Sheet'!AP30/'Balance Sheet'!AP59</f>
        <v>2.6641172373291089</v>
      </c>
      <c r="AQ12" s="86">
        <f>'Balance Sheet'!AQ30/'Balance Sheet'!AQ59</f>
        <v>2.8709710442286664</v>
      </c>
      <c r="AR12" s="86">
        <f>'Balance Sheet'!AR30/'Balance Sheet'!AR59</f>
        <v>2.9943454640566509</v>
      </c>
      <c r="AS12" s="86">
        <f>'Balance Sheet'!AS30/'Balance Sheet'!AS59</f>
        <v>3.3387956537201462</v>
      </c>
      <c r="AT12" s="86">
        <f>'Balance Sheet'!AT30/'Balance Sheet'!AT59</f>
        <v>3.6967785472866708</v>
      </c>
      <c r="AU12" s="86">
        <f>'Balance Sheet'!AU30/'Balance Sheet'!AU59</f>
        <v>4.2394492301183826</v>
      </c>
    </row>
    <row r="13" spans="1:47" x14ac:dyDescent="0.3">
      <c r="A13" s="367" t="s">
        <v>376</v>
      </c>
      <c r="B13" s="86">
        <f>('Balance Sheet'!B27-'Balance Sheet'!B18)/'Balance Sheet'!B52</f>
        <v>3.0382810224097181</v>
      </c>
      <c r="C13" s="86">
        <f>('Balance Sheet'!C27-'Balance Sheet'!C18)/'Balance Sheet'!C52</f>
        <v>3.6221347284396743</v>
      </c>
      <c r="D13" s="86">
        <f>('Balance Sheet'!D27-'Balance Sheet'!D18)/'Balance Sheet'!D52</f>
        <v>4.6195307599013011</v>
      </c>
      <c r="E13" s="86">
        <f>('Balance Sheet'!E27-'Balance Sheet'!E18)/'Balance Sheet'!E52</f>
        <v>5.73194499945508</v>
      </c>
      <c r="F13" s="86">
        <f>('Balance Sheet'!F27-'Balance Sheet'!F18)/'Balance Sheet'!F52</f>
        <v>5.0790297339593113</v>
      </c>
      <c r="G13" s="86">
        <f>('Balance Sheet'!G27-'Balance Sheet'!G18)/'Balance Sheet'!G52</f>
        <v>4.7141873278236917</v>
      </c>
      <c r="I13" s="81" t="s">
        <v>376</v>
      </c>
      <c r="J13" s="86">
        <f>('Balance Sheet'!J29-'Balance Sheet'!J21)/'Balance Sheet'!J54</f>
        <v>1.5139767598365761</v>
      </c>
      <c r="K13" s="86">
        <f>('Balance Sheet'!K29-'Balance Sheet'!K21)/'Balance Sheet'!K54</f>
        <v>1.3282268948316045</v>
      </c>
      <c r="L13" s="86">
        <f>('Balance Sheet'!L29-'Balance Sheet'!L21)/'Balance Sheet'!L54</f>
        <v>0.62552111009189748</v>
      </c>
      <c r="M13" s="86">
        <f>('Balance Sheet'!M29-'Balance Sheet'!M21)/'Balance Sheet'!M54</f>
        <v>1.4912587287205685</v>
      </c>
      <c r="N13" s="86">
        <f>('Balance Sheet'!N29-'Balance Sheet'!N21)/'Balance Sheet'!N54</f>
        <v>1.9762146440262827</v>
      </c>
      <c r="O13" s="86">
        <f>('Balance Sheet'!O29-'Balance Sheet'!O21)/'Balance Sheet'!O54</f>
        <v>2.3277037035408514</v>
      </c>
      <c r="Q13" s="82" t="s">
        <v>376</v>
      </c>
      <c r="R13" s="86">
        <f>('Balance Sheet'!R31-'Balance Sheet'!R22)/'Balance Sheet'!R57</f>
        <v>1.5375649111074916</v>
      </c>
      <c r="S13" s="86">
        <f>('Balance Sheet'!S31-'Balance Sheet'!S22)/'Balance Sheet'!S57</f>
        <v>2.0116842700616795</v>
      </c>
      <c r="T13" s="86">
        <f>('Balance Sheet'!T31-'Balance Sheet'!T22)/'Balance Sheet'!T57</f>
        <v>1.0096029731210372</v>
      </c>
      <c r="U13" s="86">
        <f>('Balance Sheet'!U31-'Balance Sheet'!U22)/'Balance Sheet'!U57</f>
        <v>1.5207162584865348</v>
      </c>
      <c r="V13" s="86">
        <f>('Balance Sheet'!V31-'Balance Sheet'!V22)/'Balance Sheet'!V57</f>
        <v>2.3695772358491904</v>
      </c>
      <c r="W13" s="86">
        <f>('Balance Sheet'!W31-'Balance Sheet'!W22)/'Balance Sheet'!W57</f>
        <v>0.86642108486733449</v>
      </c>
      <c r="Y13" s="81" t="s">
        <v>376</v>
      </c>
      <c r="Z13" s="86">
        <f>('Balance Sheet'!Z28-'Balance Sheet'!Z20)/'Balance Sheet'!Z56</f>
        <v>1.3145337696912147</v>
      </c>
      <c r="AA13" s="86">
        <f>('Balance Sheet'!AA28-'Balance Sheet'!AA20)/'Balance Sheet'!AA56</f>
        <v>1.2603651183099767</v>
      </c>
      <c r="AB13" s="86">
        <f>('Balance Sheet'!AB28-'Balance Sheet'!AB20)/'Balance Sheet'!AB56</f>
        <v>1.246538778157507</v>
      </c>
      <c r="AC13" s="86">
        <f>('Balance Sheet'!AC28-'Balance Sheet'!AC20)/'Balance Sheet'!AC56</f>
        <v>1.3135108287372859</v>
      </c>
      <c r="AD13" s="86">
        <f>('Balance Sheet'!AD28-'Balance Sheet'!AD20)/'Balance Sheet'!AD56</f>
        <v>1.9508845019191523</v>
      </c>
      <c r="AE13" s="86">
        <f>('Balance Sheet'!AE28-'Balance Sheet'!AE20)/'Balance Sheet'!AE56</f>
        <v>1.3831836331199174</v>
      </c>
      <c r="AG13" s="82" t="s">
        <v>376</v>
      </c>
      <c r="AH13" s="86">
        <f>('Balance Sheet'!AH28-'Balance Sheet'!AH20)/'Balance Sheet'!AH55</f>
        <v>0.51902401103011275</v>
      </c>
      <c r="AI13" s="86">
        <f>('Balance Sheet'!AI28-'Balance Sheet'!AI20)/'Balance Sheet'!AI55</f>
        <v>0.58064608452823396</v>
      </c>
      <c r="AJ13" s="86">
        <f>('Balance Sheet'!AJ28-'Balance Sheet'!AJ20)/'Balance Sheet'!AJ55</f>
        <v>0.61214380680801528</v>
      </c>
      <c r="AK13" s="86">
        <f>('Balance Sheet'!AK28-'Balance Sheet'!AK20)/'Balance Sheet'!AK55</f>
        <v>0.56616672479944186</v>
      </c>
      <c r="AL13" s="86">
        <f>('Balance Sheet'!AL28-'Balance Sheet'!AL20)/'Balance Sheet'!AL55</f>
        <v>0.61424081839546574</v>
      </c>
      <c r="AM13" s="86">
        <f>('Balance Sheet'!AM28-'Balance Sheet'!AM20)/'Balance Sheet'!AM55</f>
        <v>0.6532109158206475</v>
      </c>
      <c r="AO13" s="81" t="s">
        <v>376</v>
      </c>
      <c r="AP13" s="86">
        <f>('Balance Sheet'!AP30-'Balance Sheet'!AP22)/'Balance Sheet'!AP59</f>
        <v>1.6676545705349706</v>
      </c>
      <c r="AQ13" s="86">
        <f>('Balance Sheet'!AQ30-'Balance Sheet'!AQ22)/'Balance Sheet'!AQ59</f>
        <v>1.8539730872942233</v>
      </c>
      <c r="AR13" s="86">
        <f>('Balance Sheet'!AR30-'Balance Sheet'!AR22)/'Balance Sheet'!AR59</f>
        <v>1.9053201082055904</v>
      </c>
      <c r="AS13" s="86">
        <f>('Balance Sheet'!AS30-'Balance Sheet'!AS22)/'Balance Sheet'!AS59</f>
        <v>2.3143264716575902</v>
      </c>
      <c r="AT13" s="86">
        <f>('Balance Sheet'!AT30-'Balance Sheet'!AT22)/'Balance Sheet'!AT59</f>
        <v>2.6982692721945485</v>
      </c>
      <c r="AU13" s="86">
        <f>('Balance Sheet'!AU30-'Balance Sheet'!AU22)/'Balance Sheet'!AU59</f>
        <v>3.2106105806752789</v>
      </c>
    </row>
    <row r="14" spans="1:47" x14ac:dyDescent="0.3">
      <c r="A14" s="367" t="s">
        <v>377</v>
      </c>
      <c r="B14" s="86">
        <f>'Balance Sheet'!B21/'Balance Sheet'!B52</f>
        <v>4.655654219220353E-2</v>
      </c>
      <c r="C14" s="86">
        <f>'Balance Sheet'!C21/'Balance Sheet'!C52</f>
        <v>1.825072362152347</v>
      </c>
      <c r="D14" s="86">
        <f>'Balance Sheet'!D21/'Balance Sheet'!D52</f>
        <v>1.01606791853122</v>
      </c>
      <c r="E14" s="86">
        <f>'Balance Sheet'!E21/'Balance Sheet'!E52</f>
        <v>0.15412140807207467</v>
      </c>
      <c r="F14" s="86">
        <f>'Balance Sheet'!F21/'Balance Sheet'!F52</f>
        <v>0.284037558685446</v>
      </c>
      <c r="G14" s="86">
        <f>'Balance Sheet'!G21/'Balance Sheet'!G52</f>
        <v>0.28581267217630851</v>
      </c>
      <c r="I14" s="81" t="s">
        <v>377</v>
      </c>
      <c r="J14" s="86">
        <f>'Balance Sheet'!J24/'Balance Sheet'!J54</f>
        <v>0.36141949507303689</v>
      </c>
      <c r="K14" s="86">
        <f>'Balance Sheet'!K24/'Balance Sheet'!K54</f>
        <v>0.38852804133378505</v>
      </c>
      <c r="L14" s="86">
        <f>'Balance Sheet'!L24/'Balance Sheet'!L54</f>
        <v>4.1513660926415737E-2</v>
      </c>
      <c r="M14" s="86">
        <f>'Balance Sheet'!M24/'Balance Sheet'!M54</f>
        <v>4.9041006160606054E-2</v>
      </c>
      <c r="N14" s="86">
        <f>'Balance Sheet'!N24/'Balance Sheet'!N54</f>
        <v>0.54671639857751808</v>
      </c>
      <c r="O14" s="86">
        <f>'Balance Sheet'!O24/'Balance Sheet'!O54</f>
        <v>0.56439768475795327</v>
      </c>
      <c r="Q14" s="82" t="s">
        <v>377</v>
      </c>
      <c r="R14" s="86">
        <f>'Balance Sheet'!R25/'Balance Sheet'!R57</f>
        <v>0.18075472262312151</v>
      </c>
      <c r="S14" s="86">
        <f>'Balance Sheet'!S25/'Balance Sheet'!S57</f>
        <v>0.12350547457064667</v>
      </c>
      <c r="T14" s="86">
        <f>'Balance Sheet'!T25/'Balance Sheet'!T57</f>
        <v>0.11540928651709891</v>
      </c>
      <c r="U14" s="86">
        <f>'Balance Sheet'!U25/'Balance Sheet'!U57</f>
        <v>0.16383103610127531</v>
      </c>
      <c r="V14" s="86">
        <f>'Balance Sheet'!V25/'Balance Sheet'!V57</f>
        <v>0.18050758159248881</v>
      </c>
      <c r="W14" s="86">
        <f>'Balance Sheet'!W25/'Balance Sheet'!W57</f>
        <v>7.2109708151817012E-2</v>
      </c>
      <c r="Y14" s="81" t="s">
        <v>377</v>
      </c>
      <c r="Z14" s="86">
        <f>'Balance Sheet'!Z24/'Balance Sheet'!Z56</f>
        <v>3.7780001017414751E-2</v>
      </c>
      <c r="AA14" s="86">
        <f>'Balance Sheet'!AA24/'Balance Sheet'!AA56</f>
        <v>2.8458158328828274E-2</v>
      </c>
      <c r="AB14" s="86">
        <f>'Balance Sheet'!AB24/'Balance Sheet'!AB56</f>
        <v>0.18496021153990075</v>
      </c>
      <c r="AC14" s="86">
        <f>'Balance Sheet'!AC24/'Balance Sheet'!AC56</f>
        <v>0.15368218458004371</v>
      </c>
      <c r="AD14" s="86">
        <f>'Balance Sheet'!AD24/'Balance Sheet'!AD56</f>
        <v>7.5148298140061118E-2</v>
      </c>
      <c r="AE14" s="86">
        <f>'Balance Sheet'!AE24/'Balance Sheet'!AE56</f>
        <v>0.11317490597076019</v>
      </c>
      <c r="AG14" s="82" t="s">
        <v>377</v>
      </c>
      <c r="AH14" s="86">
        <f>'Balance Sheet'!AH23/'Balance Sheet'!AH55</f>
        <v>0.12134224151840065</v>
      </c>
      <c r="AI14" s="86">
        <f>'Balance Sheet'!AI23/'Balance Sheet'!AI55</f>
        <v>0.11704915753881125</v>
      </c>
      <c r="AJ14" s="86">
        <f>'Balance Sheet'!AJ23/'Balance Sheet'!AJ55</f>
        <v>9.0235986129388088E-2</v>
      </c>
      <c r="AK14" s="86">
        <f>'Balance Sheet'!AK23/'Balance Sheet'!AK55</f>
        <v>9.3354505902006474E-2</v>
      </c>
      <c r="AL14" s="86">
        <f>'Balance Sheet'!AL23/'Balance Sheet'!AL55</f>
        <v>0.15393576332887884</v>
      </c>
      <c r="AM14" s="86">
        <f>'Balance Sheet'!AM23/'Balance Sheet'!AM55</f>
        <v>0.12157237677515641</v>
      </c>
      <c r="AO14" s="81" t="s">
        <v>377</v>
      </c>
      <c r="AP14" s="86">
        <f>'Balance Sheet'!AP25/'Balance Sheet'!AP59</f>
        <v>0.16898619210860569</v>
      </c>
      <c r="AQ14" s="86">
        <f>'Balance Sheet'!AQ25/'Balance Sheet'!AQ59</f>
        <v>0.17278715090369709</v>
      </c>
      <c r="AR14" s="86">
        <f>'Balance Sheet'!AR25/'Balance Sheet'!AR59</f>
        <v>0.13795195069277225</v>
      </c>
      <c r="AS14" s="86">
        <f>'Balance Sheet'!AS25/'Balance Sheet'!AS59</f>
        <v>0.1246962710126816</v>
      </c>
      <c r="AT14" s="86">
        <f>'Balance Sheet'!AT25/'Balance Sheet'!AT59</f>
        <v>0.12201640559917802</v>
      </c>
      <c r="AU14" s="86">
        <f>'Balance Sheet'!AU25/'Balance Sheet'!AU59</f>
        <v>0.10734761012115335</v>
      </c>
    </row>
    <row r="15" spans="1:47" x14ac:dyDescent="0.3">
      <c r="A15" s="366" t="s">
        <v>378</v>
      </c>
      <c r="B15" s="80"/>
      <c r="C15" s="80"/>
      <c r="D15" s="80"/>
      <c r="E15" s="80"/>
      <c r="F15" s="80"/>
      <c r="G15" s="80"/>
      <c r="I15" s="80" t="s">
        <v>378</v>
      </c>
      <c r="J15" s="88"/>
      <c r="K15" s="88"/>
      <c r="L15" s="88"/>
      <c r="M15" s="88"/>
      <c r="N15" s="88"/>
      <c r="O15" s="88"/>
      <c r="Q15" s="80" t="s">
        <v>378</v>
      </c>
      <c r="R15" s="88"/>
      <c r="S15" s="88"/>
      <c r="T15" s="88"/>
      <c r="U15" s="88"/>
      <c r="V15" s="88"/>
      <c r="W15" s="88"/>
      <c r="Y15" s="80" t="s">
        <v>378</v>
      </c>
      <c r="Z15" s="80"/>
      <c r="AA15" s="80"/>
      <c r="AB15" s="80"/>
      <c r="AC15" s="80"/>
      <c r="AD15" s="80"/>
      <c r="AE15" s="80"/>
      <c r="AG15" s="80" t="s">
        <v>378</v>
      </c>
      <c r="AH15" s="88"/>
      <c r="AI15" s="88"/>
      <c r="AJ15" s="88"/>
      <c r="AK15" s="88"/>
      <c r="AL15" s="88"/>
      <c r="AM15" s="88"/>
      <c r="AO15" s="80" t="s">
        <v>378</v>
      </c>
      <c r="AP15" s="88"/>
      <c r="AQ15" s="88"/>
      <c r="AR15" s="88"/>
      <c r="AS15" s="88"/>
      <c r="AT15" s="88"/>
      <c r="AU15" s="88"/>
    </row>
    <row r="16" spans="1:47" x14ac:dyDescent="0.3">
      <c r="A16" s="367" t="s">
        <v>379</v>
      </c>
      <c r="B16" s="87">
        <f>('Balance Sheet'!B36+'Balance Sheet'!B38+'Balance Sheet'!B43+'Balance Sheet'!B44)/'Balance Sheet'!B33</f>
        <v>5.3146956464639834E-3</v>
      </c>
      <c r="C16" s="87">
        <f>('Balance Sheet'!C36+'Balance Sheet'!C38+'Balance Sheet'!C43+'Balance Sheet'!C44)/'Balance Sheet'!C33</f>
        <v>5.1965601569081428E-4</v>
      </c>
      <c r="D16" s="87">
        <f>('Balance Sheet'!D36+'Balance Sheet'!D38+'Balance Sheet'!D43+'Balance Sheet'!D44)/'Balance Sheet'!D33</f>
        <v>3.1462682189393407E-4</v>
      </c>
      <c r="E16" s="87">
        <f>('Balance Sheet'!E36+'Balance Sheet'!E38+'Balance Sheet'!E43+'Balance Sheet'!E44)/'Balance Sheet'!E33</f>
        <v>2.5534401339694481E-4</v>
      </c>
      <c r="F16" s="87">
        <f>('Balance Sheet'!F36+'Balance Sheet'!F38+'Balance Sheet'!F43+'Balance Sheet'!F44)/'Balance Sheet'!F33</f>
        <v>2.2105961240881291E-4</v>
      </c>
      <c r="G16" s="87">
        <f>('Balance Sheet'!G36+'Balance Sheet'!G38+'Balance Sheet'!G43+'Balance Sheet'!G44)/'Balance Sheet'!G33</f>
        <v>2.6721891909947226E-4</v>
      </c>
      <c r="I16" s="81" t="s">
        <v>379</v>
      </c>
      <c r="J16" s="86">
        <f>('Balance Sheet'!J39+'Balance Sheet'!J42+'Balance Sheet'!J47+'Balance Sheet'!J52)/'Balance Sheet'!J36</f>
        <v>0.15426662234407995</v>
      </c>
      <c r="K16" s="86">
        <f>('Balance Sheet'!K39+'Balance Sheet'!K42+'Balance Sheet'!K47+'Balance Sheet'!K52)/'Balance Sheet'!K36</f>
        <v>6.7563490011990746E-2</v>
      </c>
      <c r="L16" s="86">
        <f>('Balance Sheet'!L39+'Balance Sheet'!L42+'Balance Sheet'!L47+'Balance Sheet'!L52)/'Balance Sheet'!L36</f>
        <v>0.20636287287065411</v>
      </c>
      <c r="M16" s="86">
        <f>('Balance Sheet'!M39+'Balance Sheet'!M42+'Balance Sheet'!M47+'Balance Sheet'!M52)/'Balance Sheet'!M36</f>
        <v>0.3280571795273442</v>
      </c>
      <c r="N16" s="86">
        <f>('Balance Sheet'!N39+'Balance Sheet'!N42+'Balance Sheet'!N47+'Balance Sheet'!N52)/'Balance Sheet'!N36</f>
        <v>5.0431621516212659E-2</v>
      </c>
      <c r="O16" s="86">
        <f>('Balance Sheet'!O39+'Balance Sheet'!O42+'Balance Sheet'!O47+'Balance Sheet'!O52)/'Balance Sheet'!O36</f>
        <v>3.4096124835226699E-2</v>
      </c>
      <c r="Q16" s="81" t="s">
        <v>379</v>
      </c>
      <c r="R16" s="86">
        <f>('Balance Sheet'!R41+'Balance Sheet'!R42+'Balance Sheet'!R48+'Balance Sheet'!R49)/'Balance Sheet'!R38</f>
        <v>2.8952481462092266E-2</v>
      </c>
      <c r="S16" s="86">
        <f>('Balance Sheet'!S41+'Balance Sheet'!S42+'Balance Sheet'!S48+'Balance Sheet'!S49)/'Balance Sheet'!S38</f>
        <v>4.5556088114823555E-2</v>
      </c>
      <c r="T16" s="86">
        <f>('Balance Sheet'!T41+'Balance Sheet'!T42+'Balance Sheet'!T48+'Balance Sheet'!T49)/'Balance Sheet'!T38</f>
        <v>0.13822534415652679</v>
      </c>
      <c r="U16" s="86">
        <f>('Balance Sheet'!U41+'Balance Sheet'!U42+'Balance Sheet'!U48+'Balance Sheet'!U49)/'Balance Sheet'!U38</f>
        <v>2.234872806736837E-2</v>
      </c>
      <c r="V16" s="86">
        <f>('Balance Sheet'!V41+'Balance Sheet'!V42+'Balance Sheet'!V48+'Balance Sheet'!V49)/'Balance Sheet'!V38</f>
        <v>2.1634768515182555E-2</v>
      </c>
      <c r="W16" s="86">
        <f>('Balance Sheet'!W41+'Balance Sheet'!W42+'Balance Sheet'!W48+'Balance Sheet'!W49)/'Balance Sheet'!W38</f>
        <v>0.58424937088915696</v>
      </c>
      <c r="Y16" s="81" t="s">
        <v>379</v>
      </c>
      <c r="Z16" s="86">
        <f>('Balance Sheet'!Z38+'Balance Sheet'!Z39+'Balance Sheet'!Z46+'Balance Sheet'!Z47)/'Balance Sheet'!Z35</f>
        <v>0.24406714395732906</v>
      </c>
      <c r="AA16" s="86">
        <f>('Balance Sheet'!AA38+'Balance Sheet'!AA39+'Balance Sheet'!AA46+'Balance Sheet'!AA47)/'Balance Sheet'!AA35</f>
        <v>0.11434212888170885</v>
      </c>
      <c r="AB16" s="86">
        <f>('Balance Sheet'!AB38+'Balance Sheet'!AB39+'Balance Sheet'!AB46+'Balance Sheet'!AB47)/'Balance Sheet'!AB35</f>
        <v>0.16690001530464751</v>
      </c>
      <c r="AC16" s="86">
        <f>('Balance Sheet'!AC38+'Balance Sheet'!AC39+'Balance Sheet'!AC46+'Balance Sheet'!AC47)/'Balance Sheet'!AC35</f>
        <v>0.17086881389102868</v>
      </c>
      <c r="AD16" s="86">
        <f>('Balance Sheet'!AD38+'Balance Sheet'!AD39+'Balance Sheet'!AD46+'Balance Sheet'!AD47)/'Balance Sheet'!AD35</f>
        <v>7.0855217520562869E-2</v>
      </c>
      <c r="AE16" s="86">
        <f>('Balance Sheet'!AE38+'Balance Sheet'!AE39+'Balance Sheet'!AE46+'Balance Sheet'!AE47)/'Balance Sheet'!AE35</f>
        <v>0.13784139073433271</v>
      </c>
      <c r="AG16" s="81" t="s">
        <v>379</v>
      </c>
      <c r="AH16" s="86">
        <f>('Balance Sheet'!AH38+'Balance Sheet'!AH42+'Balance Sheet'!AH46+'Balance Sheet'!AH50)/'Balance Sheet'!AH36</f>
        <v>0.90521892014048699</v>
      </c>
      <c r="AI16" s="86">
        <f>('Balance Sheet'!AI38+'Balance Sheet'!AI42+'Balance Sheet'!AI46+'Balance Sheet'!AI50)/'Balance Sheet'!AI36</f>
        <v>0.6245269539862639</v>
      </c>
      <c r="AJ16" s="86">
        <f>('Balance Sheet'!AJ38+'Balance Sheet'!AJ42+'Balance Sheet'!AJ46+'Balance Sheet'!AJ50)/'Balance Sheet'!AJ36</f>
        <v>0.68363584441327407</v>
      </c>
      <c r="AK16" s="86">
        <f>('Balance Sheet'!AK38+'Balance Sheet'!AK42+'Balance Sheet'!AK46+'Balance Sheet'!AK50)/'Balance Sheet'!AK36</f>
        <v>0.86616640341267515</v>
      </c>
      <c r="AL16" s="86">
        <f>('Balance Sheet'!AL38+'Balance Sheet'!AL42+'Balance Sheet'!AL46+'Balance Sheet'!AL50)/'Balance Sheet'!AL36</f>
        <v>0.58661785404345013</v>
      </c>
      <c r="AM16" s="86">
        <f>('Balance Sheet'!AM38+'Balance Sheet'!AM42+'Balance Sheet'!AM46+'Balance Sheet'!AM50)/'Balance Sheet'!AM36</f>
        <v>0.42187469123360327</v>
      </c>
      <c r="AO16" s="81" t="s">
        <v>379</v>
      </c>
      <c r="AP16" s="86">
        <f>('Balance Sheet'!AP42+'Balance Sheet'!AP43+'Balance Sheet'!AP50+'Balance Sheet'!AP54)/'Balance Sheet'!AP38</f>
        <v>0.17539894677056139</v>
      </c>
      <c r="AQ16" s="86">
        <f>('Balance Sheet'!AQ42+'Balance Sheet'!AQ43+'Balance Sheet'!AQ50+'Balance Sheet'!AQ54)/'Balance Sheet'!AQ38</f>
        <v>8.2724304151764877E-2</v>
      </c>
      <c r="AR16" s="86">
        <f>('Balance Sheet'!AR42+'Balance Sheet'!AR43+'Balance Sheet'!AR50+'Balance Sheet'!AR54)/'Balance Sheet'!AR38</f>
        <v>4.9995785462022276E-2</v>
      </c>
      <c r="AS16" s="86">
        <f>('Balance Sheet'!AS42+'Balance Sheet'!AS43+'Balance Sheet'!AS50+'Balance Sheet'!AS54)/'Balance Sheet'!AS38</f>
        <v>3.3867571016389798E-2</v>
      </c>
      <c r="AT16" s="86">
        <f>('Balance Sheet'!AT42+'Balance Sheet'!AT43+'Balance Sheet'!AT50+'Balance Sheet'!AT54)/'Balance Sheet'!AT38</f>
        <v>2.0871692871477963E-2</v>
      </c>
      <c r="AU16" s="86">
        <f>('Balance Sheet'!AU42+'Balance Sheet'!AU43+'Balance Sheet'!AU50+'Balance Sheet'!AU54)/'Balance Sheet'!AU38</f>
        <v>1.4004490360107707E-2</v>
      </c>
    </row>
    <row r="17" spans="1:47" x14ac:dyDescent="0.3">
      <c r="A17" s="367" t="s">
        <v>380</v>
      </c>
      <c r="B17" s="87">
        <f>('Balance Sheet'!B36+'Balance Sheet'!B38+'Balance Sheet'!B43+'Balance Sheet'!B44)/'Balance Sheet'!B28</f>
        <v>4.5514720526728921E-3</v>
      </c>
      <c r="C17" s="87">
        <f>('Balance Sheet'!C36+'Balance Sheet'!C38+'Balance Sheet'!C43+'Balance Sheet'!C44)/'Balance Sheet'!C28</f>
        <v>4.4829855384269829E-4</v>
      </c>
      <c r="D17" s="87">
        <f>('Balance Sheet'!D36+'Balance Sheet'!D38+'Balance Sheet'!D43+'Balance Sheet'!D44)/'Balance Sheet'!D28</f>
        <v>2.7589383246440485E-4</v>
      </c>
      <c r="E17" s="87">
        <f>('Balance Sheet'!E36+'Balance Sheet'!E38+'Balance Sheet'!E43+'Balance Sheet'!E44)/'Balance Sheet'!E28</f>
        <v>2.2578100489169088E-4</v>
      </c>
      <c r="F17" s="87">
        <f>('Balance Sheet'!F36+'Balance Sheet'!F38+'Balance Sheet'!F43+'Balance Sheet'!F44)/'Balance Sheet'!F28</f>
        <v>1.9392372333548803E-4</v>
      </c>
      <c r="G17" s="87">
        <f>('Balance Sheet'!G36+'Balance Sheet'!G38+'Balance Sheet'!G43+'Balance Sheet'!G44)/'Balance Sheet'!G28</f>
        <v>2.3623907394283014E-4</v>
      </c>
      <c r="I17" s="81" t="s">
        <v>380</v>
      </c>
      <c r="J17" s="86">
        <f>('Balance Sheet'!J39+'Balance Sheet'!J42+'Balance Sheet'!J47+'Balance Sheet'!J52)/'Balance Sheet'!J30</f>
        <v>0.11103336055579537</v>
      </c>
      <c r="K17" s="86">
        <f>('Balance Sheet'!K39+'Balance Sheet'!K42+'Balance Sheet'!K47+'Balance Sheet'!K52)/'Balance Sheet'!K30</f>
        <v>4.9331434466440983E-2</v>
      </c>
      <c r="L17" s="86">
        <f>('Balance Sheet'!L39+'Balance Sheet'!L42+'Balance Sheet'!L47+'Balance Sheet'!L52)/'Balance Sheet'!L30</f>
        <v>0.12440372982684629</v>
      </c>
      <c r="M17" s="86">
        <f>('Balance Sheet'!M39+'Balance Sheet'!M42+'Balance Sheet'!M47+'Balance Sheet'!M52)/'Balance Sheet'!M30</f>
        <v>0.19007799696931915</v>
      </c>
      <c r="N17" s="86">
        <f>('Balance Sheet'!N39+'Balance Sheet'!N42+'Balance Sheet'!N47+'Balance Sheet'!N52)/'Balance Sheet'!N30</f>
        <v>3.9613362294222951E-2</v>
      </c>
      <c r="O17" s="86">
        <f>('Balance Sheet'!O39+'Balance Sheet'!O42+'Balance Sheet'!O47+'Balance Sheet'!O52)/'Balance Sheet'!O30</f>
        <v>2.6843547698456514E-2</v>
      </c>
      <c r="Q17" s="81" t="s">
        <v>380</v>
      </c>
      <c r="R17" s="86">
        <f>('Balance Sheet'!R41+'Balance Sheet'!R42+'Balance Sheet'!R48+'Balance Sheet'!R49)/'Balance Sheet'!R32</f>
        <v>2.0953128435277166E-2</v>
      </c>
      <c r="S17" s="86">
        <f>('Balance Sheet'!S41+'Balance Sheet'!S42+'Balance Sheet'!S48+'Balance Sheet'!S49)/'Balance Sheet'!S32</f>
        <v>3.4763428967443895E-2</v>
      </c>
      <c r="T17" s="86">
        <f>('Balance Sheet'!T41+'Balance Sheet'!T42+'Balance Sheet'!T48+'Balance Sheet'!T49)/'Balance Sheet'!T32</f>
        <v>9.5441549098819953E-2</v>
      </c>
      <c r="U17" s="86">
        <f>('Balance Sheet'!U41+'Balance Sheet'!U42+'Balance Sheet'!U48+'Balance Sheet'!U49)/'Balance Sheet'!U32</f>
        <v>1.7536098805868695E-2</v>
      </c>
      <c r="V17" s="86">
        <f>('Balance Sheet'!V41+'Balance Sheet'!V42+'Balance Sheet'!V48+'Balance Sheet'!V49)/'Balance Sheet'!V32</f>
        <v>1.7317200593484211E-2</v>
      </c>
      <c r="W17" s="86">
        <f>('Balance Sheet'!W41+'Balance Sheet'!W42+'Balance Sheet'!W48+'Balance Sheet'!W49)/'Balance Sheet'!W32</f>
        <v>0.30661362061965736</v>
      </c>
      <c r="Y17" s="81" t="s">
        <v>380</v>
      </c>
      <c r="Z17" s="86">
        <f>('Balance Sheet'!Z38+'Balance Sheet'!Z39+'Balance Sheet'!Z46+'Balance Sheet'!Z47)/'Balance Sheet'!Z29</f>
        <v>0.15100857687420585</v>
      </c>
      <c r="AA17" s="86">
        <f>('Balance Sheet'!AA38+'Balance Sheet'!AA39+'Balance Sheet'!AA46+'Balance Sheet'!AA47)/'Balance Sheet'!AA29</f>
        <v>7.6795563458814331E-2</v>
      </c>
      <c r="AB17" s="86">
        <f>('Balance Sheet'!AB38+'Balance Sheet'!AB39+'Balance Sheet'!AB46+'Balance Sheet'!AB47)/'Balance Sheet'!AB29</f>
        <v>0.11068465549194226</v>
      </c>
      <c r="AC17" s="86">
        <f>('Balance Sheet'!AC38+'Balance Sheet'!AC39+'Balance Sheet'!AC46+'Balance Sheet'!AC47)/'Balance Sheet'!AC29</f>
        <v>0.11035771794708019</v>
      </c>
      <c r="AD17" s="86">
        <f>('Balance Sheet'!AD38+'Balance Sheet'!AD39+'Balance Sheet'!AD46+'Balance Sheet'!AD47)/'Balance Sheet'!AD29</f>
        <v>5.1513233394572838E-2</v>
      </c>
      <c r="AE17" s="86">
        <f>('Balance Sheet'!AE38+'Balance Sheet'!AE39+'Balance Sheet'!AE46+'Balance Sheet'!AE47)/'Balance Sheet'!AE29</f>
        <v>9.4617068542040106E-2</v>
      </c>
      <c r="AG17" s="81" t="s">
        <v>380</v>
      </c>
      <c r="AH17" s="86">
        <f>('Balance Sheet'!AH38+'Balance Sheet'!AH42+'Balance Sheet'!AH46+'Balance Sheet'!AH50)/'Balance Sheet'!AH30</f>
        <v>0.31164532675124584</v>
      </c>
      <c r="AI17" s="86">
        <f>('Balance Sheet'!AI38+'Balance Sheet'!AI42+'Balance Sheet'!AI46+'Balance Sheet'!AI50)/'Balance Sheet'!AI30</f>
        <v>0.25516654382454085</v>
      </c>
      <c r="AJ17" s="86">
        <f>('Balance Sheet'!AJ38+'Balance Sheet'!AJ42+'Balance Sheet'!AJ46+'Balance Sheet'!AJ50)/'Balance Sheet'!AJ30</f>
        <v>0.31066409971419501</v>
      </c>
      <c r="AK17" s="86">
        <f>('Balance Sheet'!AK38+'Balance Sheet'!AK42+'Balance Sheet'!AK46+'Balance Sheet'!AK50)/'Balance Sheet'!AK30</f>
        <v>0.35762147903156505</v>
      </c>
      <c r="AL17" s="86">
        <f>('Balance Sheet'!AL38+'Balance Sheet'!AL42+'Balance Sheet'!AL46+'Balance Sheet'!AL50)/'Balance Sheet'!AL30</f>
        <v>0.26705098147015682</v>
      </c>
      <c r="AM17" s="86">
        <f>('Balance Sheet'!AM38+'Balance Sheet'!AM42+'Balance Sheet'!AM46+'Balance Sheet'!AM50)/'Balance Sheet'!AM30</f>
        <v>0.21363412574200752</v>
      </c>
      <c r="AO17" s="81" t="s">
        <v>380</v>
      </c>
      <c r="AP17" s="86">
        <f>('Balance Sheet'!AP42+'Balance Sheet'!AP43+'Balance Sheet'!AP50+'Balance Sheet'!AP54)/'Balance Sheet'!AP32</f>
        <v>0.11902473781366006</v>
      </c>
      <c r="AQ17" s="86">
        <f>('Balance Sheet'!AQ42+'Balance Sheet'!AQ43+'Balance Sheet'!AQ50+'Balance Sheet'!AQ54)/'Balance Sheet'!AQ32</f>
        <v>6.1127811866225568E-2</v>
      </c>
      <c r="AR17" s="86">
        <f>('Balance Sheet'!AR42+'Balance Sheet'!AR43+'Balance Sheet'!AR50+'Balance Sheet'!AR54)/'Balance Sheet'!AR32</f>
        <v>3.8957061553175659E-2</v>
      </c>
      <c r="AS17" s="86">
        <f>('Balance Sheet'!AS42+'Balance Sheet'!AS43+'Balance Sheet'!AS50+'Balance Sheet'!AS54)/'Balance Sheet'!AS32</f>
        <v>2.7258336478491196E-2</v>
      </c>
      <c r="AT17" s="86">
        <f>('Balance Sheet'!AT42+'Balance Sheet'!AT43+'Balance Sheet'!AT50+'Balance Sheet'!AT54)/'Balance Sheet'!AT32</f>
        <v>1.7098021811966693E-2</v>
      </c>
      <c r="AU17" s="86">
        <f>('Balance Sheet'!AU42+'Balance Sheet'!AU43+'Balance Sheet'!AU50+'Balance Sheet'!AU54)/'Balance Sheet'!AU32</f>
        <v>1.1720371551211329E-2</v>
      </c>
    </row>
    <row r="18" spans="1:47" x14ac:dyDescent="0.3">
      <c r="A18" s="367" t="s">
        <v>381</v>
      </c>
      <c r="B18" s="86">
        <f>('Income Statement'!B17+'Income Statement'!B13)/'Income Statement'!B13</f>
        <v>299.27213114754102</v>
      </c>
      <c r="C18" s="86">
        <f>('Income Statement'!C17+'Income Statement'!C13)/'Income Statement'!C13</f>
        <v>3065.4137931034479</v>
      </c>
      <c r="D18" s="86">
        <f>('Income Statement'!D17+'Income Statement'!D13)/'Income Statement'!D13</f>
        <v>4605.3750000000009</v>
      </c>
      <c r="E18" s="86">
        <f>('Income Statement'!E17+'Income Statement'!E13)/'Income Statement'!E13</f>
        <v>3536.2686567164178</v>
      </c>
      <c r="F18" s="86">
        <f>('Income Statement'!F17+'Income Statement'!F13)/'Income Statement'!F13</f>
        <v>722</v>
      </c>
      <c r="G18" s="86">
        <f>('Income Statement'!G17+'Income Statement'!G13)/'Income Statement'!G13</f>
        <v>1459</v>
      </c>
      <c r="I18" s="81" t="s">
        <v>381</v>
      </c>
      <c r="J18" s="86">
        <f>(Table8[[#This Row],[2020]]+'Income Statement'!J13)/'Income Statement'!J13</f>
        <v>18.409011330228275</v>
      </c>
      <c r="K18" s="86">
        <f>(Table8[[#This Row],[2021]]+'Income Statement'!K13)/'Income Statement'!K13</f>
        <v>51.240472318461421</v>
      </c>
      <c r="L18" s="86">
        <f>(Table8[[#This Row],[2022]]+'Income Statement'!L13)/'Income Statement'!L13</f>
        <v>72.049391440910881</v>
      </c>
      <c r="M18" s="86">
        <f>(Table8[[#This Row],[2023]]+'Income Statement'!M13)/'Income Statement'!M13</f>
        <v>56.696976744186031</v>
      </c>
      <c r="N18" s="86">
        <f>(Table8[[#This Row],[2024]]+'Income Statement'!N13)/'Income Statement'!N13</f>
        <v>49.568834654254196</v>
      </c>
      <c r="O18" s="86">
        <f>(Table8[[#This Row],[2025]]+'Income Statement'!O13)/'Income Statement'!O13</f>
        <v>63.370245504840952</v>
      </c>
      <c r="Q18" s="81" t="s">
        <v>381</v>
      </c>
      <c r="R18" s="86">
        <f>('Income Statement'!R20+'Income Statement'!R13)/'Income Statement'!R13</f>
        <v>66.435471832075592</v>
      </c>
      <c r="S18" s="86">
        <f>('Income Statement'!S20+'Income Statement'!S13)/'Income Statement'!S13</f>
        <v>84.961791595937925</v>
      </c>
      <c r="T18" s="86">
        <f>('Income Statement'!T20+'Income Statement'!T13)/'Income Statement'!T13</f>
        <v>34.690276810941391</v>
      </c>
      <c r="U18" s="86">
        <f>('Income Statement'!U20+'Income Statement'!U13)/'Income Statement'!U13</f>
        <v>38.582115631113858</v>
      </c>
      <c r="V18" s="86">
        <f>('Income Statement'!V20+'Income Statement'!V13)/'Income Statement'!V13</f>
        <v>74.219541984732814</v>
      </c>
      <c r="W18" s="86">
        <f>('Income Statement'!W20+'Income Statement'!W13)/'Income Statement'!W13</f>
        <v>6.8599706574136601</v>
      </c>
      <c r="Y18" s="81" t="s">
        <v>381</v>
      </c>
      <c r="Z18" s="86">
        <f>('Income Statement'!Z20+'Income Statement'!Z17)/'Income Statement'!Z17</f>
        <v>19.612410986775163</v>
      </c>
      <c r="AA18" s="86">
        <f>('Income Statement'!AA20+'Income Statement'!AA17)/'Income Statement'!AA17</f>
        <v>30.231958762886634</v>
      </c>
      <c r="AB18" s="86">
        <f>('Income Statement'!AB20+'Income Statement'!AB17)/'Income Statement'!AB17</f>
        <v>32.22233820459293</v>
      </c>
      <c r="AC18" s="86">
        <f>('Income Statement'!AC20+'Income Statement'!AC17)/'Income Statement'!AC17</f>
        <v>43.09733893557425</v>
      </c>
      <c r="AD18" s="86">
        <f>('Income Statement'!AD20+'Income Statement'!AD17)/'Income Statement'!AD17</f>
        <v>43.000584453535943</v>
      </c>
      <c r="AE18" s="86">
        <f>('Income Statement'!AE20+'Income Statement'!AE17)/'Income Statement'!AE17</f>
        <v>28.068928950159076</v>
      </c>
      <c r="AG18" s="81" t="s">
        <v>381</v>
      </c>
      <c r="AH18" s="86">
        <f>('Income Statement'!AH17+'Income Statement'!AH13)/'Income Statement'!AH13</f>
        <v>3.6326684564354035</v>
      </c>
      <c r="AI18" s="86">
        <f>('Income Statement'!AI17+'Income Statement'!AI13)/'Income Statement'!AI13</f>
        <v>5.2599642737523737</v>
      </c>
      <c r="AJ18" s="86">
        <f>('Income Statement'!AJ17+'Income Statement'!AJ13)/'Income Statement'!AJ13</f>
        <v>7.7066964635771997</v>
      </c>
      <c r="AK18" s="86">
        <f>('Income Statement'!AK17+'Income Statement'!AK13)/'Income Statement'!AK13</f>
        <v>6.5397072936660265</v>
      </c>
      <c r="AL18" s="86">
        <f>('Income Statement'!AL17+'Income Statement'!AL13)/'Income Statement'!AL13</f>
        <v>7.4026756420409532</v>
      </c>
      <c r="AM18" s="86">
        <f>('Income Statement'!AM17+'Income Statement'!AM13)/'Income Statement'!AM13</f>
        <v>11.68931076849907</v>
      </c>
      <c r="AO18" s="81" t="s">
        <v>381</v>
      </c>
      <c r="AP18" s="86">
        <f>(Table12[[#This Row],[2020]]+'Income Statement'!AP14)/'Income Statement'!AP14</f>
        <v>12.036582894203478</v>
      </c>
      <c r="AQ18" s="86">
        <f>(Table12[[#This Row],[2021]]+'Income Statement'!AQ14)/'Income Statement'!AQ14</f>
        <v>21.473304293715007</v>
      </c>
      <c r="AR18" s="86">
        <f>(Table12[[#This Row],[2022]]+'Income Statement'!AR14)/'Income Statement'!AR14</f>
        <v>35.559379407616355</v>
      </c>
      <c r="AS18" s="86">
        <f>(Table12[[#This Row],[2023]]+'Income Statement'!AS14)/'Income Statement'!AS14</f>
        <v>39.531769216724484</v>
      </c>
      <c r="AT18" s="86">
        <f>(Table12[[#This Row],[2024]]+'Income Statement'!AT14)/'Income Statement'!AT14</f>
        <v>66.606586559857561</v>
      </c>
      <c r="AU18" s="86">
        <f>(Table12[[#This Row],[2025]]+'Income Statement'!AU14)/'Income Statement'!AU14</f>
        <v>110.99532333494601</v>
      </c>
    </row>
    <row r="19" spans="1:47" x14ac:dyDescent="0.3">
      <c r="A19" s="366" t="s">
        <v>382</v>
      </c>
      <c r="B19" s="80"/>
      <c r="C19" s="80"/>
      <c r="D19" s="80"/>
      <c r="E19" s="80"/>
      <c r="F19" s="80"/>
      <c r="G19" s="80"/>
      <c r="I19" s="80" t="s">
        <v>382</v>
      </c>
      <c r="J19" s="88"/>
      <c r="K19" s="88"/>
      <c r="L19" s="88"/>
      <c r="M19" s="88"/>
      <c r="N19" s="88"/>
      <c r="O19" s="88"/>
      <c r="Q19" s="80" t="s">
        <v>382</v>
      </c>
      <c r="R19" s="88"/>
      <c r="S19" s="88"/>
      <c r="T19" s="88"/>
      <c r="U19" s="88"/>
      <c r="V19" s="88"/>
      <c r="W19" s="88"/>
      <c r="Y19" s="80" t="s">
        <v>382</v>
      </c>
      <c r="Z19" s="80"/>
      <c r="AA19" s="80"/>
      <c r="AB19" s="80"/>
      <c r="AC19" s="80"/>
      <c r="AD19" s="80"/>
      <c r="AE19" s="80"/>
      <c r="AG19" s="80" t="s">
        <v>382</v>
      </c>
      <c r="AH19" s="88"/>
      <c r="AI19" s="88"/>
      <c r="AJ19" s="88"/>
      <c r="AK19" s="88"/>
      <c r="AL19" s="88"/>
      <c r="AM19" s="88"/>
      <c r="AO19" s="80" t="s">
        <v>382</v>
      </c>
      <c r="AP19" s="88"/>
      <c r="AQ19" s="88"/>
      <c r="AR19" s="88"/>
      <c r="AS19" s="88"/>
      <c r="AT19" s="88"/>
      <c r="AU19" s="88"/>
    </row>
    <row r="20" spans="1:47" x14ac:dyDescent="0.3">
      <c r="A20" s="367" t="s">
        <v>383</v>
      </c>
      <c r="B20" s="86">
        <f>'Income Statement'!B7/'Balance Sheet'!B28</f>
        <v>0.65419942125426167</v>
      </c>
      <c r="C20" s="86">
        <f>'Income Statement'!C7/AVERAGE('Balance Sheet'!B28:C28)</f>
        <v>0.72833182373482452</v>
      </c>
      <c r="D20" s="86">
        <f>'Income Statement'!D7/AVERAGE('Balance Sheet'!C28:D28)</f>
        <v>0.75148309769686095</v>
      </c>
      <c r="E20" s="86">
        <f>'Income Statement'!E7/AVERAGE('Balance Sheet'!D28:E28)</f>
        <v>0.58332650211336379</v>
      </c>
      <c r="F20" s="86">
        <f>'Income Statement'!F7/AVERAGE('Balance Sheet'!E28:F28)</f>
        <v>0.5472642305250266</v>
      </c>
      <c r="G20" s="86">
        <f>'Income Statement'!G7/AVERAGE('Balance Sheet'!F28:G28)</f>
        <v>0.59946916856984134</v>
      </c>
      <c r="I20" s="81" t="s">
        <v>383</v>
      </c>
      <c r="J20" s="86">
        <f>'Income Statement'!J7/'Balance Sheet'!J30</f>
        <v>0.49043624215156506</v>
      </c>
      <c r="K20" s="86">
        <f>'Income Statement'!K7/AVERAGE('Balance Sheet'!J30:K30)</f>
        <v>0.50483553092765798</v>
      </c>
      <c r="L20" s="86">
        <f>'Income Statement'!L7/AVERAGE('Balance Sheet'!K30:L30)</f>
        <v>0.72915124609858672</v>
      </c>
      <c r="M20" s="86">
        <f>'Income Statement'!M7/AVERAGE('Balance Sheet'!L30:M30)</f>
        <v>1.08885461300405</v>
      </c>
      <c r="N20" s="86">
        <f>'Income Statement'!N7/AVERAGE('Balance Sheet'!M30:N30)</f>
        <v>0.78849987824771939</v>
      </c>
      <c r="O20" s="86">
        <f>'Income Statement'!O7/AVERAGE('Balance Sheet'!N30:O30)</f>
        <v>0.61447766393967818</v>
      </c>
      <c r="Q20" s="81" t="s">
        <v>383</v>
      </c>
      <c r="R20" s="86">
        <f>'Income Statement'!R7/'Balance Sheet'!R32</f>
        <v>1.1778676109498061</v>
      </c>
      <c r="S20" s="86">
        <f>'Income Statement'!S7/AVERAGE('Balance Sheet'!R32:S32)</f>
        <v>1.1157492412330463</v>
      </c>
      <c r="T20" s="86">
        <f>'Income Statement'!T7/AVERAGE('Balance Sheet'!S32:T32)</f>
        <v>1.0280151349282438</v>
      </c>
      <c r="U20" s="86">
        <f>'Income Statement'!U7/AVERAGE('Balance Sheet'!T32:U32)</f>
        <v>0.94130476410754194</v>
      </c>
      <c r="V20" s="86">
        <f>'Income Statement'!V7/AVERAGE('Balance Sheet'!U32:V32)</f>
        <v>0.97244440855051517</v>
      </c>
      <c r="W20" s="86">
        <f>'Income Statement'!W7/AVERAGE('Balance Sheet'!V32:W32)</f>
        <v>0.64165851433358878</v>
      </c>
      <c r="Y20" s="81" t="s">
        <v>383</v>
      </c>
      <c r="Z20" s="86">
        <f>'Income Statement'!Z9/'Balance Sheet'!Z29</f>
        <v>0.80022589298319924</v>
      </c>
      <c r="AA20" s="86">
        <f>'Income Statement'!AA9/AVERAGE('Balance Sheet'!Z29:AA29)</f>
        <v>0.84282068994070736</v>
      </c>
      <c r="AB20" s="86">
        <f>'Income Statement'!AB9/AVERAGE('Balance Sheet'!AA29:AB29)</f>
        <v>0.88424348244927475</v>
      </c>
      <c r="AC20" s="86">
        <f>'Income Statement'!AC9/AVERAGE('Balance Sheet'!AB29:AC29)</f>
        <v>0.91307326180242288</v>
      </c>
      <c r="AD20" s="86">
        <f>'Income Statement'!AD9/AVERAGE('Balance Sheet'!AC29:AD29)</f>
        <v>0.84259160743149375</v>
      </c>
      <c r="AE20" s="86">
        <f>'Income Statement'!AE9/AVERAGE('Balance Sheet'!AD29:AE29)</f>
        <v>0.76432318802497223</v>
      </c>
      <c r="AG20" s="81" t="s">
        <v>383</v>
      </c>
      <c r="AH20" s="86">
        <f>'Income Statement'!AH7/AVERAGE('Balance Sheet'!AH30)</f>
        <v>0.57535757266016352</v>
      </c>
      <c r="AI20" s="86">
        <f>'Income Statement'!AI7/AVERAGE('Balance Sheet'!AH30:AI30)</f>
        <v>0.56978898706795245</v>
      </c>
      <c r="AJ20" s="86">
        <f>'Income Statement'!AJ7/AVERAGE('Balance Sheet'!AI30:AJ30)</f>
        <v>0.63568616181640059</v>
      </c>
      <c r="AK20" s="86">
        <f>'Income Statement'!AK7/AVERAGE('Balance Sheet'!AJ30:AK30)</f>
        <v>0.68763493052178637</v>
      </c>
      <c r="AL20" s="86">
        <f>'Income Statement'!AL7/AVERAGE('Balance Sheet'!AK30:AL30)</f>
        <v>0.71731839339833647</v>
      </c>
      <c r="AM20" s="86">
        <f>'Income Statement'!AM7/AVERAGE('Balance Sheet'!AL30:AM30)</f>
        <v>0.76800272609500542</v>
      </c>
      <c r="AO20" s="81" t="s">
        <v>383</v>
      </c>
      <c r="AP20" s="86">
        <f>'Income Statement'!AP8/'Balance Sheet'!AP32</f>
        <v>0.73855871892136771</v>
      </c>
      <c r="AQ20" s="86">
        <f>'Income Statement'!AQ8/AVERAGE('Balance Sheet'!AP32:AQ32)</f>
        <v>0.79589465824156591</v>
      </c>
      <c r="AR20" s="86">
        <f>'Income Statement'!AR8/AVERAGE('Balance Sheet'!AQ32:AR32)</f>
        <v>0.84375043657772064</v>
      </c>
      <c r="AS20" s="86">
        <f>'Income Statement'!AS8/AVERAGE('Balance Sheet'!AR32:AS32)</f>
        <v>0.82131411276350497</v>
      </c>
      <c r="AT20" s="86">
        <f>'Income Statement'!AT8/AVERAGE('Balance Sheet'!AS32:AT32)</f>
        <v>0.85301353626745113</v>
      </c>
      <c r="AU20" s="86">
        <f>'Income Statement'!AU8/AVERAGE('Balance Sheet'!AT32:AU32)</f>
        <v>0.81048560684665805</v>
      </c>
    </row>
    <row r="21" spans="1:47" x14ac:dyDescent="0.3">
      <c r="A21" s="367" t="s">
        <v>384</v>
      </c>
      <c r="B21" s="86">
        <f>('Income Statement'!B9+'Income Statement'!B10+'Income Statement'!B11)/'Balance Sheet'!B18</f>
        <v>1.131275954202569</v>
      </c>
      <c r="C21" s="86">
        <f>('Income Statement'!C9+'Income Statement'!C10+'Income Statement'!C11)/AVERAGE('Balance Sheet'!B18:C18)</f>
        <v>1.1594052515658166</v>
      </c>
      <c r="D21" s="86">
        <f>('Income Statement'!D9+'Income Statement'!D10+'Income Statement'!D11)/AVERAGE('Balance Sheet'!C18:D18)</f>
        <v>1.1930958915126109</v>
      </c>
      <c r="E21" s="86">
        <f>('Income Statement'!E9+'Income Statement'!E10+'Income Statement'!E11)/AVERAGE('Balance Sheet'!D18:E18)</f>
        <v>1.0477626637708162</v>
      </c>
      <c r="F21" s="86">
        <f>('Income Statement'!F9+'Income Statement'!F10+'Income Statement'!F11)/AVERAGE('Balance Sheet'!E18:F18)</f>
        <v>1.0118992757595309</v>
      </c>
      <c r="G21" s="86">
        <f>('Income Statement'!G9+'Income Statement'!G10+'Income Statement'!G11)/AVERAGE('Balance Sheet'!F18:G18)</f>
        <v>1.1604361370716512</v>
      </c>
      <c r="I21" s="81" t="s">
        <v>384</v>
      </c>
      <c r="J21" s="86">
        <f>('Income Statement'!J9+'Income Statement'!J10+'Income Statement'!J11)/Table2[[#This Row],[2020]]</f>
        <v>1.1721221233296804</v>
      </c>
      <c r="K21" s="86">
        <f>('Income Statement'!K9+'Income Statement'!K10+'Income Statement'!K11)/AVERAGE(Table2[[#This Row],[2020]:[2021]])</f>
        <v>1.0301179290434275</v>
      </c>
      <c r="L21" s="86">
        <f>('Income Statement'!L9+'Income Statement'!L10+'Income Statement'!L11)/AVERAGE(Table2[[#This Row],[2020]:[2021]])</f>
        <v>1.2270666032085089</v>
      </c>
      <c r="M21" s="86">
        <f>('Income Statement'!M9+'Income Statement'!M10+'Income Statement'!M11)/AVERAGE(Table2[[#This Row],[2020]:[2021]])</f>
        <v>1.2638873495214855</v>
      </c>
      <c r="N21" s="86">
        <f>('Income Statement'!N9+'Income Statement'!N10+'Income Statement'!N11)/AVERAGE(Table2[[#This Row],[2020]:[2021]])</f>
        <v>1.2639406923063699</v>
      </c>
      <c r="O21" s="86">
        <f>('Income Statement'!O9+'Income Statement'!O10+'Income Statement'!O11)/AVERAGE(Table2[[#This Row],[2020]:[2021]])</f>
        <v>1.2739869167929603</v>
      </c>
      <c r="Q21" s="81" t="s">
        <v>384</v>
      </c>
      <c r="R21" s="86">
        <f>('Income Statement'!R9+'Income Statement'!R10+'Income Statement'!R11)/'Balance Sheet'!R22</f>
        <v>2.088754352101938</v>
      </c>
      <c r="S21" s="86">
        <f>('Income Statement'!S9+'Income Statement'!S10+'Income Statement'!S11)/AVERAGE('Balance Sheet'!R22:S22)</f>
        <v>1.7099268910393099</v>
      </c>
      <c r="T21" s="86">
        <f>('Income Statement'!T9+'Income Statement'!T10+'Income Statement'!T11)/AVERAGE('Balance Sheet'!S22:T22)</f>
        <v>1.6453212231719547</v>
      </c>
      <c r="U21" s="86">
        <f>('Income Statement'!U9+'Income Statement'!U10+'Income Statement'!U11)/AVERAGE('Balance Sheet'!T22:U22)</f>
        <v>1.7882255551092625</v>
      </c>
      <c r="V21" s="86">
        <f>('Income Statement'!V9+'Income Statement'!V10+'Income Statement'!V11)/AVERAGE('Balance Sheet'!U22:V22)</f>
        <v>2.0960391402364582</v>
      </c>
      <c r="W21" s="86">
        <f>('Income Statement'!W9+'Income Statement'!W10+'Income Statement'!W11)/AVERAGE('Balance Sheet'!V22:W22)</f>
        <v>1.9132861917596382</v>
      </c>
      <c r="Y21" s="81" t="s">
        <v>384</v>
      </c>
      <c r="Z21" s="86">
        <f>('Income Statement'!Z11+'Income Statement'!Z12+'Income Statement'!Z13)/'Balance Sheet'!Z20</f>
        <v>1.5611456196070717</v>
      </c>
      <c r="AA21" s="86">
        <f>('Income Statement'!AA11+'Income Statement'!AA12+'Income Statement'!AA13)/AVERAGE('Balance Sheet'!Z20:AA20)</f>
        <v>1.7209466919570815</v>
      </c>
      <c r="AB21" s="86">
        <f>('Income Statement'!AB11+'Income Statement'!AB12+'Income Statement'!AB13)/AVERAGE('Balance Sheet'!AA20:AB20)</f>
        <v>1.8494762608879336</v>
      </c>
      <c r="AC21" s="86">
        <f>('Income Statement'!AC11+'Income Statement'!AC12+'Income Statement'!AC13)/AVERAGE('Balance Sheet'!AB20:AC20)</f>
        <v>1.5904502783085488</v>
      </c>
      <c r="AD21" s="86">
        <f>('Income Statement'!AD11+'Income Statement'!AD12+'Income Statement'!AD13)/AVERAGE('Balance Sheet'!AC20:AD20)</f>
        <v>1.4346359537208573</v>
      </c>
      <c r="AE21" s="86">
        <f>('Income Statement'!AE11+'Income Statement'!AE12+'Income Statement'!AE13)/AVERAGE('Balance Sheet'!AD20:AE20)</f>
        <v>1.4824899544701677</v>
      </c>
      <c r="AG21" s="81" t="s">
        <v>384</v>
      </c>
      <c r="AH21" s="86">
        <f>('Income Statement'!AH9+'Income Statement'!AH10+'Income Statement'!AH11)/'Balance Sheet'!AH20</f>
        <v>1.0087048812505237</v>
      </c>
      <c r="AI21" s="86">
        <f>('Income Statement'!AI9+'Income Statement'!AI10+'Income Statement'!AI11)/AVERAGE('Balance Sheet'!AH20:AI20)</f>
        <v>0.88889349031560727</v>
      </c>
      <c r="AJ21" s="86">
        <f>('Income Statement'!AJ9+'Income Statement'!AJ10+'Income Statement'!AJ11)/AVERAGE('Balance Sheet'!AI20:AJ20)</f>
        <v>0.94954816934706199</v>
      </c>
      <c r="AK21" s="86">
        <f>('Income Statement'!AK9+'Income Statement'!AK10+'Income Statement'!AK11)/AVERAGE('Balance Sheet'!AJ20:AK20)</f>
        <v>1.1659050801797117</v>
      </c>
      <c r="AL21" s="86">
        <f>('Income Statement'!AL9+'Income Statement'!AL10+'Income Statement'!AL11)/AVERAGE('Balance Sheet'!AK20:AL20)</f>
        <v>1.1915647712982205</v>
      </c>
      <c r="AM21" s="86">
        <f>('Income Statement'!AM9+'Income Statement'!AM10+'Income Statement'!AM11)/AVERAGE('Balance Sheet'!AL20:AM20)</f>
        <v>1.1517492614598199</v>
      </c>
      <c r="AO21" s="81" t="s">
        <v>384</v>
      </c>
      <c r="AP21" s="86">
        <f>('Income Statement'!AP10+'Income Statement'!AP11+'Income Statement'!AP12)/'Balance Sheet'!AP22</f>
        <v>1.3686540570175438</v>
      </c>
      <c r="AQ21" s="86">
        <f>('Income Statement'!AQ10+'Income Statement'!AQ11+'Income Statement'!AQ12)/AVERAGE('Balance Sheet'!AP22:AQ22)</f>
        <v>1.6253053572652369</v>
      </c>
      <c r="AR21" s="86">
        <f>('Income Statement'!AR10+'Income Statement'!AR11+'Income Statement'!AR12)/AVERAGE('Balance Sheet'!AQ22:AR22)</f>
        <v>1.6958267045397839</v>
      </c>
      <c r="AS21" s="86">
        <f>('Income Statement'!AS10+'Income Statement'!AS11+'Income Statement'!AS12)/AVERAGE('Balance Sheet'!AR22:AS22)</f>
        <v>1.5708649838626318</v>
      </c>
      <c r="AT21" s="86">
        <f>('Income Statement'!AT10+'Income Statement'!AT11+'Income Statement'!AT12)/AVERAGE('Balance Sheet'!AS22:AT22)</f>
        <v>1.6969881801511972</v>
      </c>
      <c r="AU21" s="86">
        <f>('Income Statement'!AU10+'Income Statement'!AU11+'Income Statement'!AU12)/AVERAGE('Balance Sheet'!AT22:AU22)</f>
        <v>1.641349404323138</v>
      </c>
    </row>
    <row r="22" spans="1:47" x14ac:dyDescent="0.3">
      <c r="A22" s="367" t="s">
        <v>385</v>
      </c>
      <c r="B22" s="86">
        <f>'Income Statement'!B7/'Balance Sheet'!B20</f>
        <v>3.95093218240351</v>
      </c>
      <c r="C22" s="86">
        <f>'Income Statement'!C7/AVERAGE('Balance Sheet'!B20:C20)</f>
        <v>4.551621912896012</v>
      </c>
      <c r="D22" s="86">
        <f>'Income Statement'!D7/AVERAGE('Balance Sheet'!C20:D20)</f>
        <v>4.4257633401619358</v>
      </c>
      <c r="E22" s="86">
        <f>'Income Statement'!E7/AVERAGE('Balance Sheet'!D20:E20)</f>
        <v>3.84790378544781</v>
      </c>
      <c r="F22" s="86">
        <f>'Income Statement'!F7/AVERAGE('Balance Sheet'!E20:F20)</f>
        <v>4.1453401645675738</v>
      </c>
      <c r="G22" s="86">
        <f>'Income Statement'!G7/AVERAGE('Balance Sheet'!F20:G20)</f>
        <v>3.9746265602619193</v>
      </c>
      <c r="I22" s="81" t="s">
        <v>385</v>
      </c>
      <c r="J22" s="86">
        <f>'Income Statement'!J7/'Balance Sheet'!J23</f>
        <v>3.5529802870959664</v>
      </c>
      <c r="K22" s="86">
        <f>'Income Statement'!K7/AVERAGE('Balance Sheet'!J23:K23)</f>
        <v>3.7152333216466911</v>
      </c>
      <c r="L22" s="86">
        <f>'Income Statement'!L7/AVERAGE('Balance Sheet'!K23:L23)</f>
        <v>5.9483442753048124</v>
      </c>
      <c r="M22" s="86">
        <f>'Income Statement'!M7/AVERAGE('Balance Sheet'!L23:M23)</f>
        <v>7.8310457706034553</v>
      </c>
      <c r="N22" s="86">
        <f>'Income Statement'!N7/AVERAGE('Balance Sheet'!M23:N23)</f>
        <v>5.4261436706198136</v>
      </c>
      <c r="O22" s="86">
        <f>'Income Statement'!O7/AVERAGE('Balance Sheet'!N23:O23)</f>
        <v>4.4900104875474778</v>
      </c>
      <c r="Q22" s="81" t="s">
        <v>385</v>
      </c>
      <c r="R22" s="86">
        <f>'Income Statement'!R7/'Balance Sheet'!R24</f>
        <v>11.251634180142046</v>
      </c>
      <c r="S22" s="86">
        <f>'Income Statement'!S7/AVERAGE('Balance Sheet'!R24:S24)</f>
        <v>14.820368681424336</v>
      </c>
      <c r="T22" s="86">
        <f>'Income Statement'!T7/AVERAGE('Balance Sheet'!S24:T24)</f>
        <v>22.197653431737479</v>
      </c>
      <c r="U22" s="86">
        <f>'Income Statement'!U7/AVERAGE('Balance Sheet'!T24:U24)</f>
        <v>18.407870142197591</v>
      </c>
      <c r="V22" s="86">
        <f>'Income Statement'!V7/AVERAGE('Balance Sheet'!U24:V24)</f>
        <v>14.79700939438959</v>
      </c>
      <c r="W22" s="86">
        <f>'Income Statement'!W7/AVERAGE('Balance Sheet'!V24:W24)</f>
        <v>10.679731167927864</v>
      </c>
      <c r="Y22" s="81" t="s">
        <v>385</v>
      </c>
      <c r="Z22" s="86">
        <f>'Income Statement'!Z9/Table4[[#This Row],[2020]]</f>
        <v>4.5492989540745938</v>
      </c>
      <c r="AA22" s="86">
        <f>'Income Statement'!AA9/AVERAGE(Table4[[#This Row],[2020]:[2021]])</f>
        <v>4.2905254750574064</v>
      </c>
      <c r="AB22" s="86">
        <f>'Income Statement'!AB9/AVERAGE(Table4[[#This Row],[2020]:[2021]])</f>
        <v>4.8874837764983861</v>
      </c>
      <c r="AC22" s="86">
        <f>'Income Statement'!AC9/AVERAGE(Table4[[#This Row],[2020]:[2021]])</f>
        <v>5.7073890423419522</v>
      </c>
      <c r="AD22" s="86">
        <f>'Income Statement'!AD9/AVERAGE(Table4[[#This Row],[2020]:[2021]])</f>
        <v>6.412947740912065</v>
      </c>
      <c r="AE22" s="86">
        <f>'Income Statement'!AE9/AVERAGE(Table4[[#This Row],[2020]:[2021]])</f>
        <v>7.4858176090163848</v>
      </c>
      <c r="AG22" s="81" t="s">
        <v>385</v>
      </c>
      <c r="AH22" s="86">
        <f>'Income Statement'!AH7/AVERAGE(Table5[[#This Row],[2020]])</f>
        <v>4.887173051038598</v>
      </c>
      <c r="AI22" s="86">
        <f>'Income Statement'!AI7/AVERAGE(Table5[[#This Row],[2020]:[2021]])</f>
        <v>5.0817629093109673</v>
      </c>
      <c r="AJ22" s="86">
        <f>'Income Statement'!AJ7/AVERAGE(Table5[[#This Row],[2020]:[2021]])</f>
        <v>5.4871702739928958</v>
      </c>
      <c r="AK22" s="86">
        <f>'Income Statement'!AK7/AVERAGE(Table5[[#This Row],[2020]:[2021]])</f>
        <v>6.0927661210763029</v>
      </c>
      <c r="AL22" s="86">
        <f>'Income Statement'!AL7/AVERAGE(Table5[[#This Row],[2020]:[2021]])</f>
        <v>6.7990771296462649</v>
      </c>
      <c r="AM22" s="86">
        <f>'Income Statement'!AM7/AVERAGE(Table5[[#This Row],[2020]:[2021]])</f>
        <v>7.2741347302463826</v>
      </c>
      <c r="AO22" s="81" t="s">
        <v>385</v>
      </c>
      <c r="AP22" s="86">
        <f>'Income Statement'!AP8/'Balance Sheet'!AP24</f>
        <v>4.4910814096024216</v>
      </c>
      <c r="AQ22" s="86">
        <f>'Income Statement'!AQ8/AVERAGE('Balance Sheet'!AP24:AQ24)</f>
        <v>5.2952450528077595</v>
      </c>
      <c r="AR22" s="86">
        <f>'Income Statement'!AR8/AVERAGE('Balance Sheet'!AQ24:AR24)</f>
        <v>6.4174279343010019</v>
      </c>
      <c r="AS22" s="86">
        <f>'Income Statement'!AS8/AVERAGE('Balance Sheet'!AR24:AS24)</f>
        <v>6.209652152526786</v>
      </c>
      <c r="AT22" s="86">
        <f>'Income Statement'!AT8/AVERAGE('Balance Sheet'!AS24:AT24)</f>
        <v>6.0085368036376572</v>
      </c>
      <c r="AU22" s="86">
        <f>'Income Statement'!AU8/AVERAGE('Balance Sheet'!AT24:AU24)</f>
        <v>5.5287354420489194</v>
      </c>
    </row>
    <row r="23" spans="1:47" x14ac:dyDescent="0.3">
      <c r="A23" s="367" t="s">
        <v>386</v>
      </c>
      <c r="B23" s="86">
        <f>('Income Statement'!B9+'Income Statement'!B10+'Income Statement'!B11)/'Balance Sheet'!B47</f>
        <v>3.5694406825568796</v>
      </c>
      <c r="C23" s="86">
        <f>('Income Statement'!C9+'Income Statement'!C10+'Income Statement'!C11)/AVERAGE('Balance Sheet'!B47:C47)</f>
        <v>3.4331127393051286</v>
      </c>
      <c r="D23" s="86">
        <f>('Income Statement'!D9+'Income Statement'!D10+'Income Statement'!D11)/AVERAGE('Balance Sheet'!C47:D47)</f>
        <v>3.8067098595163253</v>
      </c>
      <c r="E23" s="86">
        <f>('Income Statement'!E9+'Income Statement'!E10+'Income Statement'!E11)/AVERAGE('Balance Sheet'!D47:E47)</f>
        <v>3.9195230424653933</v>
      </c>
      <c r="F23" s="86">
        <f>('Income Statement'!F9+'Income Statement'!F10+'Income Statement'!F11)/AVERAGE('Balance Sheet'!E47:F47)</f>
        <v>3.9445071257035882</v>
      </c>
      <c r="G23" s="86">
        <f>('Income Statement'!G9+'Income Statement'!G10+'Income Statement'!G11)/AVERAGE('Balance Sheet'!F47:G47)</f>
        <v>4.2964244521337944</v>
      </c>
      <c r="I23" s="81" t="s">
        <v>386</v>
      </c>
      <c r="J23" s="86">
        <f>('Income Statement'!J9+'Income Statement'!J10+'Income Statement'!J11)/'Balance Sheet'!J48</f>
        <v>2.575719101249009</v>
      </c>
      <c r="K23" s="86">
        <f>('Income Statement'!K9+'Income Statement'!K10+'Income Statement'!K11)/AVERAGE('Balance Sheet'!J48:K48)</f>
        <v>2.2997843145038575</v>
      </c>
      <c r="L23" s="86">
        <f>('Income Statement'!L9+'Income Statement'!L10+'Income Statement'!L11)/AVERAGE('Balance Sheet'!K48:L48)</f>
        <v>3.0973623973309792</v>
      </c>
      <c r="M23" s="86">
        <f>('Income Statement'!M9+'Income Statement'!M10+'Income Statement'!M11)/AVERAGE('Balance Sheet'!L48:M48)</f>
        <v>3.6539148255146485</v>
      </c>
      <c r="N23" s="86">
        <f>('Income Statement'!N9+'Income Statement'!N10+'Income Statement'!N11)/AVERAGE('Balance Sheet'!M48:N48)</f>
        <v>2.4291504155427566</v>
      </c>
      <c r="O23" s="86">
        <f>('Income Statement'!O9+'Income Statement'!O10+'Income Statement'!O11)/AVERAGE('Balance Sheet'!N48:O48)</f>
        <v>1.8157943644172316</v>
      </c>
      <c r="Q23" s="81" t="s">
        <v>386</v>
      </c>
      <c r="R23" s="86">
        <f>('Income Statement'!R9+'Income Statement'!R10+'Income Statement'!R11)/'Balance Sheet'!R52</f>
        <v>2.5205283085009853</v>
      </c>
      <c r="S23" s="86">
        <f>('Income Statement'!S9+'Income Statement'!S10+'Income Statement'!S11)/AVERAGE('Balance Sheet'!R52:S52)</f>
        <v>2.5219843640840622</v>
      </c>
      <c r="T23" s="86">
        <f>('Income Statement'!T9+'Income Statement'!T10+'Income Statement'!T11)/AVERAGE('Balance Sheet'!S52:T52)</f>
        <v>2.7782364204776004</v>
      </c>
      <c r="U23" s="86">
        <f>('Income Statement'!U9+'Income Statement'!U10+'Income Statement'!U11)/AVERAGE('Balance Sheet'!T52:U52)</f>
        <v>2.7954314504818987</v>
      </c>
      <c r="V23" s="86">
        <f>('Income Statement'!V9+'Income Statement'!V10+'Income Statement'!V11)/AVERAGE('Balance Sheet'!U52:V52)</f>
        <v>3.5832443302062602</v>
      </c>
      <c r="W23" s="86">
        <f>('Income Statement'!W9+'Income Statement'!W10+'Income Statement'!W11)/AVERAGE('Balance Sheet'!V52:W52)</f>
        <v>3.6525653507532221</v>
      </c>
      <c r="Y23" s="81" t="s">
        <v>386</v>
      </c>
      <c r="Z23" s="86">
        <f>('Income Statement'!Z11+'Income Statement'!Z12+'Income Statement'!Z13)/'Balance Sheet'!Z50</f>
        <v>4.0629068831833806</v>
      </c>
      <c r="AA23" s="86">
        <f>('Income Statement'!AA11+'Income Statement'!AA12+'Income Statement'!AA13)/AVERAGE('Balance Sheet'!Z50:AA50)</f>
        <v>4.2040872782599674</v>
      </c>
      <c r="AB23" s="86">
        <f>('Income Statement'!AB11+'Income Statement'!AB12+'Income Statement'!AB13)/AVERAGE('Balance Sheet'!AA50:AB50)</f>
        <v>4.4621518721707591</v>
      </c>
      <c r="AC23" s="86">
        <f>('Income Statement'!AC11+'Income Statement'!AC12+'Income Statement'!AC13)/AVERAGE('Balance Sheet'!AB50:AC50)</f>
        <v>3.7564445316524004</v>
      </c>
      <c r="AD23" s="86">
        <f>('Income Statement'!AD11+'Income Statement'!AD12+'Income Statement'!AD13)/AVERAGE('Balance Sheet'!AC50:AD50)</f>
        <v>3.3638077285579651</v>
      </c>
      <c r="AE23" s="86">
        <f>('Income Statement'!AE11+'Income Statement'!AE12+'Income Statement'!AE13)/AVERAGE('Balance Sheet'!AD50:AE50)</f>
        <v>3.7930523355250654</v>
      </c>
      <c r="AG23" s="81" t="s">
        <v>386</v>
      </c>
      <c r="AH23" s="86">
        <f>('Income Statement'!AH9+'Income Statement'!AH10+'Income Statement'!AH11)/'Balance Sheet'!AH49</f>
        <v>1.0576480981643004</v>
      </c>
      <c r="AI23" s="86">
        <f>('Income Statement'!AI9+'Income Statement'!AI10+'Income Statement'!AI11)/AVERAGE('Balance Sheet'!AH49:AI49)</f>
        <v>1.0430603408477945</v>
      </c>
      <c r="AJ23" s="86">
        <f>('Income Statement'!AJ9+'Income Statement'!AJ10+'Income Statement'!AJ11)/AVERAGE('Balance Sheet'!AI49:AJ49)</f>
        <v>1.3054513865686603</v>
      </c>
      <c r="AK23" s="86">
        <f>('Income Statement'!AK9+'Income Statement'!AK10+'Income Statement'!AK11)/AVERAGE('Balance Sheet'!AJ49:AK49)</f>
        <v>1.6313714497023775</v>
      </c>
      <c r="AL23" s="86">
        <f>('Income Statement'!AL9+'Income Statement'!AL10+'Income Statement'!AL11)/AVERAGE('Balance Sheet'!AK49:AL49)</f>
        <v>1.4257560799549909</v>
      </c>
      <c r="AM23" s="86">
        <f>('Income Statement'!AM9+'Income Statement'!AM10+'Income Statement'!AM11)/AVERAGE('Balance Sheet'!AL49:AM49)</f>
        <v>1.4201374144996339</v>
      </c>
      <c r="AO23" s="81" t="s">
        <v>386</v>
      </c>
      <c r="AP23" s="86">
        <f>('Income Statement'!AP10+'Income Statement'!AP11+'Income Statement'!AP12)/'Balance Sheet'!AP53</f>
        <v>2.6257313273234844</v>
      </c>
      <c r="AQ23" s="86">
        <f>('Income Statement'!AQ10+'Income Statement'!AQ11+'Income Statement'!AQ12)/AVERAGE('Balance Sheet'!AP53:AQ53)</f>
        <v>3.3812442079459508</v>
      </c>
      <c r="AR23" s="86">
        <f>('Income Statement'!AR10+'Income Statement'!AR11+'Income Statement'!AR12)/AVERAGE('Balance Sheet'!AQ53:AR53)</f>
        <v>3.713988441327936</v>
      </c>
      <c r="AS23" s="86">
        <f>('Income Statement'!AS10+'Income Statement'!AS11+'Income Statement'!AS12)/AVERAGE('Balance Sheet'!AR53:AS53)</f>
        <v>3.3240808434790488</v>
      </c>
      <c r="AT23" s="86">
        <f>('Income Statement'!AT10+'Income Statement'!AT11+'Income Statement'!AT12)/AVERAGE('Balance Sheet'!AS53:AT53)</f>
        <v>3.5771715037223468</v>
      </c>
      <c r="AU23" s="86">
        <f>('Income Statement'!AU10+'Income Statement'!AU11+'Income Statement'!AU12)/AVERAGE('Balance Sheet'!AT53:AU53)</f>
        <v>3.3621539799716467</v>
      </c>
    </row>
    <row r="24" spans="1:47" x14ac:dyDescent="0.3">
      <c r="A24" s="366" t="s">
        <v>387</v>
      </c>
      <c r="B24" s="80"/>
      <c r="C24" s="80"/>
      <c r="D24" s="80"/>
      <c r="E24" s="80"/>
      <c r="F24" s="80"/>
      <c r="G24" s="80"/>
      <c r="I24" s="80" t="s">
        <v>387</v>
      </c>
      <c r="J24" s="80"/>
      <c r="K24" s="80"/>
      <c r="L24" s="80"/>
      <c r="M24" s="80"/>
      <c r="N24" s="80"/>
      <c r="O24" s="80"/>
      <c r="Q24" s="80" t="s">
        <v>387</v>
      </c>
      <c r="R24" s="80"/>
      <c r="S24" s="80"/>
      <c r="T24" s="80"/>
      <c r="U24" s="80"/>
      <c r="V24" s="80"/>
      <c r="W24" s="80"/>
      <c r="Y24" s="80" t="s">
        <v>387</v>
      </c>
      <c r="Z24" s="80"/>
      <c r="AA24" s="80"/>
      <c r="AB24" s="80"/>
      <c r="AC24" s="80"/>
      <c r="AD24" s="80"/>
      <c r="AE24" s="80"/>
      <c r="AG24" s="80" t="s">
        <v>387</v>
      </c>
      <c r="AH24" s="80"/>
      <c r="AI24" s="80"/>
      <c r="AJ24" s="80"/>
      <c r="AK24" s="80"/>
      <c r="AL24" s="80"/>
      <c r="AM24" s="80"/>
      <c r="AO24" s="80" t="s">
        <v>387</v>
      </c>
      <c r="AP24" s="80"/>
      <c r="AQ24" s="80"/>
      <c r="AR24" s="80"/>
      <c r="AS24" s="80"/>
      <c r="AT24" s="80"/>
      <c r="AU24" s="80"/>
    </row>
    <row r="25" spans="1:47" x14ac:dyDescent="0.3">
      <c r="A25" s="367" t="s">
        <v>388</v>
      </c>
      <c r="B25" s="85">
        <f>'Income Statement'!B24/'Income Statement'!B7</f>
        <v>9.1797172303256583E-3</v>
      </c>
      <c r="C25" s="85">
        <f>'Income Statement'!C24/'Income Statement'!C7</f>
        <v>7.2895750260240394E-2</v>
      </c>
      <c r="D25" s="85">
        <f>'Income Statement'!D24/'Income Statement'!D7</f>
        <v>2.2813185359886263E-2</v>
      </c>
      <c r="E25" s="85">
        <f>'Income Statement'!E24/'Income Statement'!E7</f>
        <v>2.847573460615347E-2</v>
      </c>
      <c r="F25" s="85">
        <f>'Income Statement'!F24/'Income Statement'!F7</f>
        <v>3.4934017595307912E-2</v>
      </c>
      <c r="G25" s="85">
        <f>'Income Statement'!G24/'Income Statement'!G7</f>
        <v>2.4299835255354202E-2</v>
      </c>
      <c r="I25" s="81" t="s">
        <v>388</v>
      </c>
      <c r="J25" s="85">
        <f>'Income Statement'!J33/'Income Statement'!J7</f>
        <v>6.8785796995113738E-2</v>
      </c>
      <c r="K25" s="85">
        <f>'Income Statement'!K33/'Income Statement'!K7</f>
        <v>6.2617850820448517E-2</v>
      </c>
      <c r="L25" s="85">
        <f>'Income Statement'!L33/'Income Statement'!L7</f>
        <v>5.6094602789569438E-2</v>
      </c>
      <c r="M25" s="85">
        <f>'Income Statement'!M33/'Income Statement'!M7</f>
        <v>5.318035408645963E-2</v>
      </c>
      <c r="N25" s="85">
        <f>'Income Statement'!N33/'Income Statement'!N7</f>
        <v>6.5013688781618201E-2</v>
      </c>
      <c r="O25" s="85">
        <f>'Income Statement'!O33/'Income Statement'!O7</f>
        <v>5.9556155932844766E-2</v>
      </c>
      <c r="Q25" s="81" t="s">
        <v>388</v>
      </c>
      <c r="R25" s="85">
        <f>'Income Statement'!R28/'Income Statement'!R7</f>
        <v>2.4047581478502542E-2</v>
      </c>
      <c r="S25" s="85">
        <f>'Income Statement'!S28/'Income Statement'!S7</f>
        <v>1.8636321473287972E-2</v>
      </c>
      <c r="T25" s="85">
        <f>'Income Statement'!T28/'Income Statement'!T7</f>
        <v>2.0933654267562964E-2</v>
      </c>
      <c r="U25" s="85">
        <f>'Income Statement'!U28/'Income Statement'!U7</f>
        <v>0.11263798406483405</v>
      </c>
      <c r="V25" s="85">
        <f>'Income Statement'!V28/'Income Statement'!V7</f>
        <v>2.1156170486478075E-2</v>
      </c>
      <c r="W25" s="85">
        <f>'Income Statement'!W28/'Income Statement'!W7</f>
        <v>2.0111062025716737E-2</v>
      </c>
      <c r="Y25" s="81" t="s">
        <v>388</v>
      </c>
      <c r="Z25" s="85">
        <f>'Income Statement'!Z29/'Income Statement'!Z9</f>
        <v>8.4961626676076221E-2</v>
      </c>
      <c r="AA25" s="85">
        <f>'Income Statement'!AA29/'Income Statement'!AA9</f>
        <v>8.55322691569841E-2</v>
      </c>
      <c r="AB25" s="85">
        <f>'Income Statement'!AB29/'Income Statement'!AB9</f>
        <v>7.9356865308494021E-2</v>
      </c>
      <c r="AC25" s="85">
        <f>'Income Statement'!AC29/'Income Statement'!AC9</f>
        <v>7.5338578514452748E-2</v>
      </c>
      <c r="AD25" s="85">
        <f>'Income Statement'!AD29/'Income Statement'!AD9</f>
        <v>7.91305430819155E-2</v>
      </c>
      <c r="AE25" s="85">
        <f>'Income Statement'!AE29/'Income Statement'!AE9</f>
        <v>8.1147084276789197E-2</v>
      </c>
      <c r="AG25" s="81" t="s">
        <v>388</v>
      </c>
      <c r="AH25" s="85">
        <f>'Income Statement'!AH28/'Income Statement'!AH7</f>
        <v>4.7254488183896749E-2</v>
      </c>
      <c r="AI25" s="85">
        <f>'Income Statement'!AI28/'Income Statement'!AI7</f>
        <v>6.0410743436689049E-2</v>
      </c>
      <c r="AJ25" s="85">
        <f>'Income Statement'!AJ28/'Income Statement'!AJ7</f>
        <v>5.9279001907037658E-2</v>
      </c>
      <c r="AK25" s="85">
        <f>'Income Statement'!AK28/'Income Statement'!AK7</f>
        <v>5.338691337766379E-2</v>
      </c>
      <c r="AL25" s="85">
        <f>'Income Statement'!AL28/'Income Statement'!AL7</f>
        <v>4.7E-2</v>
      </c>
      <c r="AM25" s="85">
        <f>'Income Statement'!AM28/'Income Statement'!AM7</f>
        <v>5.0349412792390566E-2</v>
      </c>
      <c r="AO25" s="81" t="s">
        <v>388</v>
      </c>
      <c r="AP25" s="85">
        <f>'Income Statement'!AP29/'Income Statement'!AP8</f>
        <v>7.7934607028190939E-2</v>
      </c>
      <c r="AQ25" s="85">
        <f>'Income Statement'!AQ29/'Income Statement'!AQ8</f>
        <v>4.82E-2</v>
      </c>
      <c r="AR25" s="85">
        <f>'Income Statement'!AR29/'Income Statement'!AR8</f>
        <v>0.05</v>
      </c>
      <c r="AS25" s="85">
        <f>'Income Statement'!AS29/'Income Statement'!AS8</f>
        <v>0.16626077283276586</v>
      </c>
      <c r="AT25" s="85">
        <f>'Income Statement'!AT29/'Income Statement'!AT8</f>
        <v>5.9236836488986325E-2</v>
      </c>
      <c r="AU25" s="85">
        <f>'Income Statement'!AU29/'Income Statement'!AU8</f>
        <v>0.1519562653183848</v>
      </c>
    </row>
    <row r="26" spans="1:47" x14ac:dyDescent="0.3">
      <c r="A26" s="367" t="s">
        <v>389</v>
      </c>
      <c r="B26" s="85">
        <f>'Income Statement'!B25/'Income Statement'!B7</f>
        <v>0.81063206812259914</v>
      </c>
      <c r="C26" s="85">
        <f>'Income Statement'!C25/'Income Statement'!C7</f>
        <v>0.88000000000000012</v>
      </c>
      <c r="D26" s="85">
        <f>'Income Statement'!D25/'Income Statement'!D7</f>
        <v>0.9</v>
      </c>
      <c r="E26" s="85">
        <f>'Income Statement'!E25/'Income Statement'!E7</f>
        <v>0.88</v>
      </c>
      <c r="F26" s="85">
        <f>'Income Statement'!F25/'Income Statement'!F7</f>
        <v>0.87</v>
      </c>
      <c r="G26" s="85">
        <f>'Income Statement'!G25/'Income Statement'!G7</f>
        <v>0.86</v>
      </c>
      <c r="I26" s="81" t="s">
        <v>389</v>
      </c>
      <c r="J26" s="85">
        <f>'Income Statement'!J34/'Income Statement'!J7</f>
        <v>0.12561451632755244</v>
      </c>
      <c r="K26" s="85">
        <f>'Income Statement'!K34/'Income Statement'!K7</f>
        <v>0.68</v>
      </c>
      <c r="L26" s="85">
        <f>'Income Statement'!L34/'Income Statement'!L7</f>
        <v>0.48</v>
      </c>
      <c r="M26" s="85">
        <f>'Income Statement'!M34/'Income Statement'!M7</f>
        <v>0.68899999999999995</v>
      </c>
      <c r="N26" s="85">
        <f>'Income Statement'!N34/'Income Statement'!N7</f>
        <v>0.72699999999999987</v>
      </c>
      <c r="O26" s="85">
        <f>'Income Statement'!O34/'Income Statement'!O7</f>
        <v>0.7</v>
      </c>
      <c r="Q26" s="81" t="s">
        <v>389</v>
      </c>
      <c r="R26" s="85">
        <f>'Income Statement'!R29/'Income Statement'!R7</f>
        <v>9.9999999999999992E-2</v>
      </c>
      <c r="S26" s="85">
        <f>'Income Statement'!S29/'Income Statement'!S7</f>
        <v>9.1999999999999998E-2</v>
      </c>
      <c r="T26" s="85">
        <f>'Income Statement'!T29/'Income Statement'!T7</f>
        <v>2.4E-2</v>
      </c>
      <c r="U26" s="85">
        <f>'Income Statement'!U29/'Income Statement'!U7</f>
        <v>3.4000000000000002E-2</v>
      </c>
      <c r="V26" s="85">
        <f>'Income Statement'!V29/'Income Statement'!V7</f>
        <v>7.9000000000000001E-2</v>
      </c>
      <c r="W26" s="85">
        <f>'Income Statement'!W29/'Income Statement'!W7</f>
        <v>0.09</v>
      </c>
      <c r="Y26" s="81" t="s">
        <v>389</v>
      </c>
      <c r="Z26" s="85">
        <f>'Income Statement'!Z30/'Income Statement'!Z9</f>
        <v>0.83399999999999996</v>
      </c>
      <c r="AA26" s="85">
        <f>'Income Statement'!AA30/'Income Statement'!AA9</f>
        <v>0.8</v>
      </c>
      <c r="AB26" s="85">
        <f>'Income Statement'!AB30/'Income Statement'!AB9</f>
        <v>0.69</v>
      </c>
      <c r="AC26" s="85">
        <f>'Income Statement'!AC30/'Income Statement'!AC9</f>
        <v>0.79000000000000015</v>
      </c>
      <c r="AD26" s="85">
        <f>'Income Statement'!AD30/'Income Statement'!AD9</f>
        <v>0.83399999999999996</v>
      </c>
      <c r="AE26" s="85">
        <f>'Income Statement'!AE30/'Income Statement'!AE9</f>
        <v>0.83499999999999996</v>
      </c>
      <c r="AG26" s="81" t="s">
        <v>389</v>
      </c>
      <c r="AH26" s="85">
        <f>'Income Statement'!AH29/'Income Statement'!AH7</f>
        <v>0.54859371685269476</v>
      </c>
      <c r="AI26" s="85">
        <f>'Income Statement'!AI29/'Income Statement'!AI7</f>
        <v>0.53426914164644712</v>
      </c>
      <c r="AJ26" s="85">
        <f>'Income Statement'!AJ29/'Income Statement'!AJ7</f>
        <v>0.45</v>
      </c>
      <c r="AK26" s="85">
        <f>'Income Statement'!AK29/'Income Statement'!AK7</f>
        <v>0.41</v>
      </c>
      <c r="AL26" s="85">
        <f>'Income Statement'!AL29/'Income Statement'!AL7</f>
        <v>0.42499999999999993</v>
      </c>
      <c r="AM26" s="85">
        <f>'Income Statement'!AM29/'Income Statement'!AM7</f>
        <v>0.23999999999999996</v>
      </c>
      <c r="AO26" s="81" t="s">
        <v>389</v>
      </c>
      <c r="AP26" s="85">
        <f>'Income Statement'!AP30/'Income Statement'!AP8</f>
        <v>0.51500000000000001</v>
      </c>
      <c r="AQ26" s="85">
        <f>'Income Statement'!AQ30/'Income Statement'!AQ8</f>
        <v>0.5</v>
      </c>
      <c r="AR26" s="85">
        <f>'Income Statement'!AR30/'Income Statement'!AR8</f>
        <v>0.58699999999999997</v>
      </c>
      <c r="AS26" s="85">
        <f>'Income Statement'!AS30/'Income Statement'!AS8</f>
        <v>0.56999999999999995</v>
      </c>
      <c r="AT26" s="85">
        <f>'Income Statement'!AT30/'Income Statement'!AT8</f>
        <v>0.57299999999999995</v>
      </c>
      <c r="AU26" s="85">
        <f>'Income Statement'!AU30/'Income Statement'!AU8</f>
        <v>0.56999999999999995</v>
      </c>
    </row>
    <row r="27" spans="1:47" s="365" customFormat="1" x14ac:dyDescent="0.3">
      <c r="A27" s="368" t="s">
        <v>613</v>
      </c>
      <c r="B27" s="365">
        <v>2310.9</v>
      </c>
      <c r="C27" s="365">
        <v>3616.1</v>
      </c>
      <c r="D27" s="365">
        <v>4505.95</v>
      </c>
      <c r="E27" s="365">
        <v>3183.95</v>
      </c>
      <c r="F27" s="365">
        <v>3748.15</v>
      </c>
      <c r="G27" s="365">
        <v>5482.85</v>
      </c>
      <c r="I27" s="365" t="s">
        <v>613</v>
      </c>
      <c r="J27" s="365">
        <v>457.1</v>
      </c>
      <c r="K27" s="365">
        <v>610.75</v>
      </c>
      <c r="L27" s="365">
        <v>908.7</v>
      </c>
      <c r="M27" s="365">
        <v>1003.5</v>
      </c>
      <c r="N27" s="365">
        <v>1609</v>
      </c>
      <c r="O27" s="365">
        <v>1687.55</v>
      </c>
      <c r="Q27" s="365" t="s">
        <v>613</v>
      </c>
      <c r="R27" s="365">
        <v>0</v>
      </c>
      <c r="S27" s="365">
        <v>0</v>
      </c>
      <c r="T27" s="365">
        <v>0</v>
      </c>
      <c r="U27" s="365">
        <v>1394.45</v>
      </c>
      <c r="V27" s="365">
        <v>2344.75</v>
      </c>
      <c r="W27" s="365">
        <v>2451.1999999999998</v>
      </c>
      <c r="Y27" s="365" t="s">
        <v>613</v>
      </c>
      <c r="Z27" s="365">
        <v>785.91</v>
      </c>
      <c r="AA27" s="365">
        <v>854.89</v>
      </c>
      <c r="AB27" s="365">
        <v>855.89</v>
      </c>
      <c r="AC27" s="365">
        <v>970.58</v>
      </c>
      <c r="AD27" s="365">
        <v>1188.57</v>
      </c>
      <c r="AE27" s="365">
        <v>1109.5</v>
      </c>
      <c r="AG27" s="365" t="s">
        <v>613</v>
      </c>
      <c r="AH27" s="365">
        <v>1275.18</v>
      </c>
      <c r="AI27" s="365">
        <v>1287.3800000000001</v>
      </c>
      <c r="AJ27" s="365">
        <v>1393.35</v>
      </c>
      <c r="AK27" s="365">
        <v>1574.75</v>
      </c>
      <c r="AL27" s="365">
        <v>2577.6999999999998</v>
      </c>
      <c r="AM27" s="365">
        <v>3129</v>
      </c>
      <c r="AO27" s="365" t="s">
        <v>613</v>
      </c>
      <c r="AP27" s="365">
        <v>449.2</v>
      </c>
      <c r="AQ27" s="365">
        <f>818.3</f>
        <v>818.3</v>
      </c>
      <c r="AR27" s="365">
        <f>1014.85</f>
        <v>1014.85</v>
      </c>
      <c r="AS27" s="365">
        <f>900.5</f>
        <v>900.5</v>
      </c>
      <c r="AT27" s="365">
        <v>1449.4</v>
      </c>
      <c r="AU27" s="365">
        <f>1463.05</f>
        <v>1463.05</v>
      </c>
    </row>
    <row r="28" spans="1:47" s="365" customFormat="1" x14ac:dyDescent="0.3">
      <c r="A28" s="368" t="s">
        <v>7</v>
      </c>
      <c r="B28" s="365">
        <f ca="1">B27*'Company Profile'!$E$8</f>
        <v>61347.138773999999</v>
      </c>
      <c r="C28" s="365">
        <f ca="1">C27*'Company Profile'!$E$8</f>
        <v>95996.100445999997</v>
      </c>
      <c r="D28" s="365">
        <f ca="1">D27*'Company Profile'!$E$8</f>
        <v>119618.823817</v>
      </c>
      <c r="E28" s="365">
        <f ca="1">E27*'Company Profile'!$E$8</f>
        <v>84523.874896999987</v>
      </c>
      <c r="F28" s="365">
        <f ca="1">F27*'Company Profile'!$E$8</f>
        <v>99501.613308999993</v>
      </c>
      <c r="G28" s="365">
        <f ca="1">G27*'Company Profile'!$E$8</f>
        <v>145552.451351</v>
      </c>
      <c r="I28" s="365" t="s">
        <v>7</v>
      </c>
      <c r="J28" s="365">
        <f ca="1">J27*'Company Profile'!$G$8</f>
        <v>109673.60285000001</v>
      </c>
      <c r="K28" s="365">
        <f ca="1">K27*'Company Profile'!$G$8</f>
        <v>146539.385125</v>
      </c>
      <c r="L28" s="365">
        <f ca="1">L27*'Company Profile'!$G$8</f>
        <v>218027.57145000002</v>
      </c>
      <c r="M28" s="365">
        <f ca="1">M27*'Company Profile'!$G$8</f>
        <v>240773.26725</v>
      </c>
      <c r="N28" s="365">
        <f ca="1">N27*'Company Profile'!$G$8</f>
        <v>386053.00150000001</v>
      </c>
      <c r="O28" s="365">
        <f ca="1">O27*'Company Profile'!$G$8</f>
        <v>404899.777925</v>
      </c>
      <c r="Q28" s="365" t="s">
        <v>7</v>
      </c>
      <c r="R28" s="365">
        <f ca="1">R27*'Company Profile'!$F$8</f>
        <v>0</v>
      </c>
      <c r="S28" s="365">
        <f ca="1">S27*'Company Profile'!$F$8</f>
        <v>0</v>
      </c>
      <c r="T28" s="365">
        <f ca="1">T27*'Company Profile'!$F$8</f>
        <v>0</v>
      </c>
      <c r="U28" s="365">
        <f ca="1">U27*'Company Profile'!$F$8</f>
        <v>57557.109032499997</v>
      </c>
      <c r="V28" s="365">
        <f ca="1">V27*'Company Profile'!$F$8</f>
        <v>96781.549287499991</v>
      </c>
      <c r="W28" s="365">
        <f ca="1">W27*'Company Profile'!$F$8</f>
        <v>101175.36351999998</v>
      </c>
      <c r="Y28" s="365" t="s">
        <v>7</v>
      </c>
      <c r="Z28" s="365">
        <f ca="1">Z27*'Company Profile'!$D$8</f>
        <v>65428.209942299996</v>
      </c>
      <c r="AA28" s="365">
        <f ca="1">AA27*'Company Profile'!$D$8</f>
        <v>71170.900481699995</v>
      </c>
      <c r="AB28" s="365">
        <f ca="1">AB27*'Company Profile'!$D$8</f>
        <v>71254.152011700004</v>
      </c>
      <c r="AC28" s="365">
        <f ca="1">AC27*'Company Profile'!$D$8</f>
        <v>80802.26998740001</v>
      </c>
      <c r="AD28" s="365">
        <f ca="1">AD27*'Company Profile'!$D$8</f>
        <v>98950.271012099998</v>
      </c>
      <c r="AE28" s="365">
        <f ca="1">AE27*'Company Profile'!$D$8</f>
        <v>92367.572534999999</v>
      </c>
      <c r="AG28" s="365" t="s">
        <v>7</v>
      </c>
      <c r="AH28" s="365">
        <f ca="1">AH27*'Company Profile'!$B$8</f>
        <v>43157.880517200007</v>
      </c>
      <c r="AI28" s="365">
        <f ca="1">AI27*'Company Profile'!$B$8</f>
        <v>43570.783905200005</v>
      </c>
      <c r="AJ28" s="365">
        <f ca="1">AJ27*'Company Profile'!$B$8</f>
        <v>47157.289809000002</v>
      </c>
      <c r="AK28" s="365">
        <f ca="1">AK27*'Company Profile'!$B$8</f>
        <v>53296.689365000006</v>
      </c>
      <c r="AL28" s="365">
        <f ca="1">AL27*'Company Profile'!$B$8</f>
        <v>87241.070758000002</v>
      </c>
      <c r="AM28" s="365">
        <f ca="1">AM27*'Company Profile'!$B$8</f>
        <v>105899.56566000001</v>
      </c>
      <c r="AO28" s="365" t="s">
        <v>7</v>
      </c>
      <c r="AP28" s="365">
        <f ca="1">AP27*'Company Profile'!$C$8</f>
        <v>36285.082303999996</v>
      </c>
      <c r="AQ28" s="365">
        <f ca="1">AQ27*'Company Profile'!$C$8</f>
        <v>66099.917296</v>
      </c>
      <c r="AR28" s="365">
        <f ca="1">AR27*'Company Profile'!$C$8</f>
        <v>81976.660231999995</v>
      </c>
      <c r="AS28" s="365">
        <f ca="1">AS27*'Company Profile'!$C$8</f>
        <v>72739.796560000003</v>
      </c>
      <c r="AT28" s="365">
        <f ca="1">AT27*'Company Profile'!$C$8</f>
        <v>117078.357728</v>
      </c>
      <c r="AU28" s="365">
        <f ca="1">AU27*'Company Profile'!$C$8</f>
        <v>118180.96541599999</v>
      </c>
    </row>
    <row r="29" spans="1:47" s="365" customFormat="1" x14ac:dyDescent="0.3">
      <c r="A29" s="365" t="s">
        <v>548</v>
      </c>
      <c r="B29" s="365">
        <f ca="1">B28/'Income Statement'!B21</f>
        <v>44.566186797332442</v>
      </c>
      <c r="C29" s="365">
        <f ca="1">C28/'Income Statement'!C21</f>
        <v>48.378059883383983</v>
      </c>
      <c r="D29" s="365">
        <f ca="1">D28/'Income Statement'!D21</f>
        <v>40.405622056444109</v>
      </c>
      <c r="E29" s="365">
        <f ca="1">E28/'Income Statement'!E21</f>
        <v>46.355600531430632</v>
      </c>
      <c r="F29" s="365">
        <f ca="1">F28/'Income Statement'!F21</f>
        <v>62.188508318124995</v>
      </c>
      <c r="G29" s="365">
        <f ca="1">G28/'Income Statement'!G21</f>
        <v>66.431972319032397</v>
      </c>
      <c r="I29" s="365" t="s">
        <v>548</v>
      </c>
      <c r="J29" s="365">
        <f ca="1">J28/'Income Statement'!J30</f>
        <v>29.13031659287153</v>
      </c>
      <c r="K29" s="365">
        <f ca="1">K28/'Income Statement'!K30</f>
        <v>50.464348728571366</v>
      </c>
      <c r="L29" s="365">
        <f ca="1">L28/'Income Statement'!L30</f>
        <v>66.619480204599839</v>
      </c>
      <c r="M29" s="365">
        <f ca="1">M28/'Income Statement'!M30</f>
        <v>28.41458595422479</v>
      </c>
      <c r="N29" s="365">
        <f ca="1">N28/'Income Statement'!N30</f>
        <v>40.313041201372549</v>
      </c>
      <c r="O29" s="365">
        <f ca="1">O28/'Income Statement'!O30</f>
        <v>37.048064415996265</v>
      </c>
      <c r="Q29" s="365" t="s">
        <v>548</v>
      </c>
      <c r="R29" s="365">
        <f ca="1">R28/'Income Statement'!R25</f>
        <v>0</v>
      </c>
      <c r="S29" s="365">
        <f ca="1">S28/'Income Statement'!S25</f>
        <v>0</v>
      </c>
      <c r="T29" s="365">
        <f ca="1">T28/'Income Statement'!T25</f>
        <v>0</v>
      </c>
      <c r="U29" s="365">
        <f ca="1">U28/'Income Statement'!U25</f>
        <v>43.947600644754914</v>
      </c>
      <c r="V29" s="365">
        <f ca="1">V28/'Income Statement'!V25</f>
        <v>49.867089838416319</v>
      </c>
      <c r="W29" s="365">
        <f ca="1">W28/'Income Statement'!W25</f>
        <v>50.421542776551256</v>
      </c>
    </row>
  </sheetData>
  <mergeCells count="6">
    <mergeCell ref="AO2:AU2"/>
    <mergeCell ref="A2:G2"/>
    <mergeCell ref="I2:O2"/>
    <mergeCell ref="Q2:W2"/>
    <mergeCell ref="Y2:AE2"/>
    <mergeCell ref="AG2:AM2"/>
  </mergeCells>
  <phoneticPr fontId="5" type="noConversion"/>
  <pageMargins left="0.7" right="0.7" top="0.75" bottom="0.75" header="0.3" footer="0.3"/>
  <tableParts count="6">
    <tablePart r:id="rId1"/>
    <tablePart r:id="rId2"/>
    <tablePart r:id="rId3"/>
    <tablePart r:id="rId4"/>
    <tablePart r:id="rId5"/>
    <tablePart r:id="rId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C5902-0BC6-4767-8A89-DB03F27CB313}">
  <dimension ref="A1:G20"/>
  <sheetViews>
    <sheetView workbookViewId="0">
      <selection activeCell="B9" sqref="B9"/>
    </sheetView>
  </sheetViews>
  <sheetFormatPr defaultRowHeight="14.4" x14ac:dyDescent="0.3"/>
  <cols>
    <col min="1" max="1" width="20.88671875" style="1" bestFit="1" customWidth="1"/>
    <col min="2" max="2" width="11.5546875" style="178" customWidth="1"/>
    <col min="3" max="3" width="13.109375" style="178" customWidth="1"/>
    <col min="4" max="4" width="17.44140625" style="178" customWidth="1"/>
    <col min="5" max="5" width="15.21875" style="178" customWidth="1"/>
    <col min="6" max="6" width="16.109375" style="178" customWidth="1"/>
    <col min="7" max="7" width="15.109375" style="178" customWidth="1"/>
    <col min="8" max="16384" width="8.88671875" style="1"/>
  </cols>
  <sheetData>
    <row r="1" spans="1:7" ht="46.8" customHeight="1" x14ac:dyDescent="0.3">
      <c r="A1" s="226" t="s">
        <v>520</v>
      </c>
      <c r="B1" s="224" t="e" vm="4">
        <v>#VALUE!</v>
      </c>
      <c r="C1" s="224" t="e" vm="6">
        <v>#VALUE!</v>
      </c>
      <c r="D1" s="224" t="e" vm="5">
        <v>#VALUE!</v>
      </c>
      <c r="E1" s="224" t="e" vm="3">
        <v>#VALUE!</v>
      </c>
      <c r="F1" s="224" t="e" vm="1">
        <v>#VALUE!</v>
      </c>
      <c r="G1" s="225" t="e" vm="2">
        <v>#VALUE!</v>
      </c>
    </row>
    <row r="2" spans="1:7" ht="46.8" customHeight="1" x14ac:dyDescent="0.3">
      <c r="A2" s="179" t="s">
        <v>505</v>
      </c>
      <c r="B2" s="180" t="s">
        <v>521</v>
      </c>
      <c r="C2" s="180" t="s">
        <v>522</v>
      </c>
      <c r="D2" s="180" t="s">
        <v>523</v>
      </c>
      <c r="E2" s="180" t="s">
        <v>524</v>
      </c>
      <c r="F2" s="180" t="s">
        <v>525</v>
      </c>
      <c r="G2" s="180" t="s">
        <v>526</v>
      </c>
    </row>
    <row r="3" spans="1:7" x14ac:dyDescent="0.3">
      <c r="A3" s="1" t="s">
        <v>506</v>
      </c>
      <c r="B3" s="181">
        <v>7.3649999999999993E-2</v>
      </c>
      <c r="C3" s="181">
        <v>7.3649999999999993E-2</v>
      </c>
      <c r="D3" s="181">
        <v>7.3649999999999993E-2</v>
      </c>
      <c r="E3" s="181">
        <v>7.3649999999999993E-2</v>
      </c>
      <c r="F3" s="181">
        <v>7.3649999999999993E-2</v>
      </c>
      <c r="G3" s="181">
        <v>7.3649999999999993E-2</v>
      </c>
    </row>
    <row r="4" spans="1:7" x14ac:dyDescent="0.3">
      <c r="A4" s="1" t="s">
        <v>4</v>
      </c>
      <c r="B4" s="182">
        <f ca="1">'Company Profile'!E5</f>
        <v>0.72319999999999995</v>
      </c>
      <c r="C4" s="182">
        <f ca="1">'Company Profile'!G5</f>
        <v>0.87129999999999996</v>
      </c>
      <c r="D4" s="182">
        <f ca="1">'Company Profile'!F5</f>
        <v>0.61499999999999999</v>
      </c>
      <c r="E4" s="182">
        <f ca="1">'Company Profile'!D5</f>
        <v>0.46929999999999999</v>
      </c>
      <c r="F4" s="182">
        <f ca="1">'Company Profile'!B5</f>
        <v>0.68459999999999999</v>
      </c>
      <c r="G4" s="182">
        <f ca="1">'Company Profile'!C5</f>
        <v>0.47760000000000002</v>
      </c>
    </row>
    <row r="5" spans="1:7" x14ac:dyDescent="0.3">
      <c r="A5" s="1" t="s">
        <v>507</v>
      </c>
      <c r="B5" s="183">
        <v>7.2599999999999998E-2</v>
      </c>
      <c r="C5" s="183">
        <v>7.2599999999999998E-2</v>
      </c>
      <c r="D5" s="183">
        <v>7.2599999999999998E-2</v>
      </c>
      <c r="E5" s="183">
        <v>7.2599999999999998E-2</v>
      </c>
      <c r="F5" s="183">
        <v>7.2599999999999998E-2</v>
      </c>
      <c r="G5" s="183">
        <v>7.2599999999999998E-2</v>
      </c>
    </row>
    <row r="6" spans="1:7" s="21" customFormat="1" x14ac:dyDescent="0.3">
      <c r="A6" s="21" t="s">
        <v>508</v>
      </c>
      <c r="B6" s="184">
        <f ca="1">B3+(B4*B5)</f>
        <v>0.12615431999999999</v>
      </c>
      <c r="C6" s="184">
        <f t="shared" ref="C6:G6" ca="1" si="0">C3+(C4*C5)</f>
        <v>0.13690637999999999</v>
      </c>
      <c r="D6" s="184">
        <f t="shared" ca="1" si="0"/>
        <v>0.11829899999999999</v>
      </c>
      <c r="E6" s="184">
        <f t="shared" ca="1" si="0"/>
        <v>0.10772118</v>
      </c>
      <c r="F6" s="184">
        <f t="shared" ca="1" si="0"/>
        <v>0.12335195999999998</v>
      </c>
      <c r="G6" s="184">
        <f t="shared" ca="1" si="0"/>
        <v>0.10832375999999999</v>
      </c>
    </row>
    <row r="7" spans="1:7" x14ac:dyDescent="0.3">
      <c r="A7" s="1" t="s">
        <v>418</v>
      </c>
      <c r="B7" s="182">
        <f>'Cash Flow Statement'!G13</f>
        <v>2</v>
      </c>
      <c r="C7" s="182">
        <f>'Cash Flow Statement'!O9</f>
        <v>295.3</v>
      </c>
      <c r="D7" s="182">
        <f>'Income Statement'!W13</f>
        <v>429.41</v>
      </c>
      <c r="E7" s="182">
        <f>'Cash Flow Statement'!AE15</f>
        <v>282.89999999999998</v>
      </c>
      <c r="F7" s="182">
        <f>'Cash Flow Statement'!AM12</f>
        <v>252.31</v>
      </c>
      <c r="G7" s="182">
        <f>Table18[[#This Row],[2025]]</f>
        <v>62.01</v>
      </c>
    </row>
    <row r="8" spans="1:7" x14ac:dyDescent="0.3">
      <c r="A8" s="1" t="s">
        <v>514</v>
      </c>
      <c r="B8" s="182">
        <f>'Balance Sheet'!G43+'Balance Sheet'!G36</f>
        <v>4</v>
      </c>
      <c r="C8" s="182">
        <f>'Balance Sheet'!O39+'Balance Sheet'!O47+'Balance Sheet'!O52+'Balance Sheet'!O42</f>
        <v>2471.4899999999998</v>
      </c>
      <c r="D8" s="182">
        <f>'Balance Sheet'!W41+'Balance Sheet'!W42+'Balance Sheet'!W48+'Balance Sheet'!W49</f>
        <v>8511.4499999999989</v>
      </c>
      <c r="E8" s="182">
        <f>'Balance Sheet'!AE38+'Balance Sheet'!AE39+'Balance Sheet'!AE46+'Balance Sheet'!AE47</f>
        <v>4676.5999999999995</v>
      </c>
      <c r="F8" s="182">
        <f>'Balance Sheet'!AM38+'Balance Sheet'!AM42+'Balance Sheet'!AM46+'Balance Sheet'!AM50</f>
        <v>3202.3199999999997</v>
      </c>
      <c r="G8" s="182">
        <f>'Balance Sheet'!AU42+'Balance Sheet'!AU43+'Balance Sheet'!AU50+'Balance Sheet'!AU54</f>
        <v>438.19000000000005</v>
      </c>
    </row>
    <row r="9" spans="1:7" x14ac:dyDescent="0.3">
      <c r="A9" s="1" t="s">
        <v>509</v>
      </c>
      <c r="B9" s="183">
        <f>B7/B8</f>
        <v>0.5</v>
      </c>
      <c r="C9" s="183">
        <f t="shared" ref="C9:G9" si="1">C7/C8</f>
        <v>0.11948257933473332</v>
      </c>
      <c r="D9" s="183">
        <f t="shared" si="1"/>
        <v>5.0450863248917642E-2</v>
      </c>
      <c r="E9" s="183">
        <f t="shared" si="1"/>
        <v>6.0492665611769234E-2</v>
      </c>
      <c r="F9" s="183">
        <f t="shared" si="1"/>
        <v>7.878975242948863E-2</v>
      </c>
      <c r="G9" s="183">
        <f t="shared" si="1"/>
        <v>0.14151395513361781</v>
      </c>
    </row>
    <row r="10" spans="1:7" x14ac:dyDescent="0.3">
      <c r="A10" s="1" t="s">
        <v>511</v>
      </c>
      <c r="B10" s="183">
        <v>0.25</v>
      </c>
      <c r="C10" s="183">
        <v>0.25</v>
      </c>
      <c r="D10" s="183">
        <v>0.25</v>
      </c>
      <c r="E10" s="183">
        <v>0.25</v>
      </c>
      <c r="F10" s="183">
        <v>0.25</v>
      </c>
      <c r="G10" s="183">
        <v>0.25</v>
      </c>
    </row>
    <row r="11" spans="1:7" s="21" customFormat="1" x14ac:dyDescent="0.3">
      <c r="A11" s="21" t="s">
        <v>512</v>
      </c>
      <c r="B11" s="184">
        <f>B9*(1-B10)</f>
        <v>0.375</v>
      </c>
      <c r="C11" s="184">
        <f t="shared" ref="C11:G11" si="2">C9*(1-C10)</f>
        <v>8.9611934501049983E-2</v>
      </c>
      <c r="D11" s="184">
        <f t="shared" si="2"/>
        <v>3.783814743668823E-2</v>
      </c>
      <c r="E11" s="184">
        <f t="shared" si="2"/>
        <v>4.5369499208826922E-2</v>
      </c>
      <c r="F11" s="184">
        <f t="shared" si="2"/>
        <v>5.9092314322116472E-2</v>
      </c>
      <c r="G11" s="184">
        <f t="shared" si="2"/>
        <v>0.10613546635021336</v>
      </c>
    </row>
    <row r="12" spans="1:7" x14ac:dyDescent="0.3">
      <c r="A12" s="1" t="s">
        <v>513</v>
      </c>
      <c r="B12" s="182">
        <f ca="1">'Company Profile'!E9/10000000</f>
        <v>176709.2</v>
      </c>
      <c r="C12" s="182">
        <f ca="1">'Company Profile'!G9/10000000</f>
        <v>405823.5</v>
      </c>
      <c r="D12" s="182">
        <f ca="1">'Company Profile'!F9/10000000</f>
        <v>93357.71</v>
      </c>
      <c r="E12" s="182">
        <f ca="1">'Company Profile'!D9/10000000</f>
        <v>100351.4</v>
      </c>
      <c r="F12" s="182">
        <f ca="1">'Company Profile'!B9/10000000</f>
        <v>121163.5</v>
      </c>
      <c r="G12" s="182">
        <f ca="1">'Company Profile'!C9/10000000</f>
        <v>121626.1</v>
      </c>
    </row>
    <row r="13" spans="1:7" x14ac:dyDescent="0.3">
      <c r="A13" s="1" t="s">
        <v>527</v>
      </c>
      <c r="B13" s="182">
        <f ca="1">B8+B12</f>
        <v>176713.2</v>
      </c>
      <c r="C13" s="182">
        <f t="shared" ref="C13:G13" ca="1" si="3">C8+C12</f>
        <v>408294.99</v>
      </c>
      <c r="D13" s="182">
        <f t="shared" ca="1" si="3"/>
        <v>101869.16</v>
      </c>
      <c r="E13" s="182">
        <f t="shared" ca="1" si="3"/>
        <v>105028</v>
      </c>
      <c r="F13" s="182">
        <f t="shared" ca="1" si="3"/>
        <v>124365.82</v>
      </c>
      <c r="G13" s="182">
        <f t="shared" ca="1" si="3"/>
        <v>122064.29000000001</v>
      </c>
    </row>
    <row r="14" spans="1:7" x14ac:dyDescent="0.3">
      <c r="A14" s="1" t="s">
        <v>515</v>
      </c>
      <c r="B14" s="183">
        <f ca="1">B12/B13</f>
        <v>0.99997736445268381</v>
      </c>
      <c r="C14" s="183">
        <f t="shared" ref="C14:G14" ca="1" si="4">C12/C13</f>
        <v>0.99394680302102167</v>
      </c>
      <c r="D14" s="183">
        <f t="shared" ca="1" si="4"/>
        <v>0.91644723486480106</v>
      </c>
      <c r="E14" s="183">
        <f t="shared" ca="1" si="4"/>
        <v>0.95547282629394059</v>
      </c>
      <c r="F14" s="183">
        <f t="shared" ca="1" si="4"/>
        <v>0.97425080299394151</v>
      </c>
      <c r="G14" s="183">
        <f t="shared" ca="1" si="4"/>
        <v>0.99641017041101865</v>
      </c>
    </row>
    <row r="15" spans="1:7" x14ac:dyDescent="0.3">
      <c r="A15" s="1" t="s">
        <v>516</v>
      </c>
      <c r="B15" s="183">
        <f ca="1">B8/B13</f>
        <v>2.2635547316216331E-5</v>
      </c>
      <c r="C15" s="183">
        <f t="shared" ref="C15:G15" ca="1" si="5">C8/C13</f>
        <v>6.0531969789783605E-3</v>
      </c>
      <c r="D15" s="183">
        <f t="shared" ca="1" si="5"/>
        <v>8.3552765135198909E-2</v>
      </c>
      <c r="E15" s="183">
        <f t="shared" ca="1" si="5"/>
        <v>4.4527173706059332E-2</v>
      </c>
      <c r="F15" s="183">
        <f t="shared" ca="1" si="5"/>
        <v>2.5749197006058412E-2</v>
      </c>
      <c r="G15" s="183">
        <f t="shared" ca="1" si="5"/>
        <v>3.5898295889813477E-3</v>
      </c>
    </row>
    <row r="16" spans="1:7" s="21" customFormat="1" x14ac:dyDescent="0.3">
      <c r="A16" s="21" t="s">
        <v>517</v>
      </c>
      <c r="B16" s="184">
        <f ca="1">(B6*B14)+(B11*B15)</f>
        <v>0.12615995275816408</v>
      </c>
      <c r="C16" s="184">
        <f t="shared" ref="C16:G16" ca="1" si="6">(C6*C14)+(C11*C15)</f>
        <v>0.13662009740538331</v>
      </c>
      <c r="D16" s="184">
        <f t="shared" ca="1" si="6"/>
        <v>0.11157627328319973</v>
      </c>
      <c r="E16" s="184">
        <f t="shared" ca="1" si="6"/>
        <v>0.10494483587854667</v>
      </c>
      <c r="F16" s="184">
        <f t="shared" ca="1" si="6"/>
        <v>0.12169732572390064</v>
      </c>
      <c r="G16" s="184">
        <f t="shared" ca="1" si="6"/>
        <v>0.10831590439870661</v>
      </c>
    </row>
    <row r="17" spans="1:7" x14ac:dyDescent="0.3">
      <c r="A17" s="1" t="s">
        <v>538</v>
      </c>
      <c r="B17" s="177">
        <v>0.04</v>
      </c>
      <c r="C17" s="177">
        <v>0.04</v>
      </c>
      <c r="D17" s="177">
        <v>0.04</v>
      </c>
      <c r="E17" s="177">
        <v>0.04</v>
      </c>
      <c r="F17" s="177">
        <v>0.04</v>
      </c>
      <c r="G17" s="177">
        <v>0.04</v>
      </c>
    </row>
    <row r="18" spans="1:7" x14ac:dyDescent="0.3">
      <c r="A18" s="1" t="s">
        <v>518</v>
      </c>
      <c r="B18" s="182">
        <f>'Balance Sheet'!G21</f>
        <v>415</v>
      </c>
      <c r="C18" s="182">
        <f>'Balance Sheet'!O24</f>
        <v>10268.77</v>
      </c>
      <c r="D18" s="182">
        <f>'Balance Sheet'!W25</f>
        <v>407.36</v>
      </c>
      <c r="E18" s="182">
        <f>'Balance Sheet'!AE24</f>
        <v>1465.4</v>
      </c>
      <c r="F18" s="182">
        <f>'Balance Sheet'!AM23</f>
        <v>573.48</v>
      </c>
      <c r="G18" s="182">
        <f>'Balance Sheet'!AU25</f>
        <v>588.69000000000005</v>
      </c>
    </row>
    <row r="19" spans="1:7" x14ac:dyDescent="0.3">
      <c r="A19" s="1" t="s">
        <v>519</v>
      </c>
      <c r="B19" s="182">
        <f t="shared" ref="B19:G19" si="7">B8-B18</f>
        <v>-411</v>
      </c>
      <c r="C19" s="182">
        <f t="shared" si="7"/>
        <v>-7797.2800000000007</v>
      </c>
      <c r="D19" s="182">
        <f t="shared" si="7"/>
        <v>8104.0899999999992</v>
      </c>
      <c r="E19" s="182">
        <f t="shared" si="7"/>
        <v>3211.1999999999994</v>
      </c>
      <c r="F19" s="182">
        <f t="shared" si="7"/>
        <v>2628.8399999999997</v>
      </c>
      <c r="G19" s="182">
        <f t="shared" si="7"/>
        <v>-150.5</v>
      </c>
    </row>
    <row r="20" spans="1:7" x14ac:dyDescent="0.3">
      <c r="A20" s="1" t="s">
        <v>439</v>
      </c>
      <c r="B20" s="369">
        <f>'Income Statement'!B31</f>
        <v>9.6629427804906021E-2</v>
      </c>
      <c r="C20" s="369">
        <f>'Income Statement'!J42</f>
        <v>8.4776653368680011E-2</v>
      </c>
      <c r="D20" s="369">
        <f>'Income Statement'!R37</f>
        <v>0.12973013341313844</v>
      </c>
      <c r="E20" s="369">
        <f>'Income Statement'!Z38</f>
        <v>0.10932053253947438</v>
      </c>
      <c r="F20" s="369">
        <f>'Income Statement'!AH37</f>
        <v>6.161969994327654E-2</v>
      </c>
      <c r="G20" s="369">
        <f>'Income Statement'!AP38</f>
        <v>8.4349907180104822E-2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EE4D8-E563-499E-BDE2-AFF8E3A9A29D}">
  <dimension ref="A2:AO53"/>
  <sheetViews>
    <sheetView showGridLines="0" topLeftCell="AJ6" workbookViewId="0">
      <selection activeCell="AP15" sqref="AP15"/>
    </sheetView>
  </sheetViews>
  <sheetFormatPr defaultRowHeight="14.4" x14ac:dyDescent="0.3"/>
  <cols>
    <col min="1" max="1" width="36.88671875" style="1" bestFit="1" customWidth="1"/>
    <col min="2" max="2" width="9.88671875" style="49" bestFit="1" customWidth="1"/>
    <col min="3" max="3" width="10" style="49" bestFit="1" customWidth="1"/>
    <col min="4" max="6" width="9.88671875" style="49" bestFit="1" customWidth="1"/>
    <col min="7" max="7" width="8.88671875" style="1"/>
    <col min="8" max="8" width="36.88671875" style="1" bestFit="1" customWidth="1"/>
    <col min="9" max="9" width="9.88671875" style="49" bestFit="1" customWidth="1"/>
    <col min="10" max="13" width="10" style="49" bestFit="1" customWidth="1"/>
    <col min="14" max="14" width="8.88671875" style="1"/>
    <col min="15" max="15" width="36.88671875" style="1" bestFit="1" customWidth="1"/>
    <col min="16" max="16" width="9.88671875" style="49" bestFit="1" customWidth="1"/>
    <col min="17" max="20" width="10" style="49" bestFit="1" customWidth="1"/>
    <col min="21" max="21" width="8.88671875" style="1"/>
    <col min="22" max="22" width="36.88671875" style="1" bestFit="1" customWidth="1"/>
    <col min="23" max="23" width="9.88671875" style="49" bestFit="1" customWidth="1"/>
    <col min="24" max="27" width="10" style="49" bestFit="1" customWidth="1"/>
    <col min="28" max="28" width="8.88671875" style="1"/>
    <col min="29" max="29" width="36.88671875" style="1" bestFit="1" customWidth="1"/>
    <col min="30" max="30" width="9.88671875" style="49" bestFit="1" customWidth="1"/>
    <col min="31" max="34" width="10" style="49" bestFit="1" customWidth="1"/>
    <col min="35" max="35" width="8.88671875" style="1"/>
    <col min="36" max="36" width="36.88671875" style="1" bestFit="1" customWidth="1"/>
    <col min="37" max="41" width="10" style="49" bestFit="1" customWidth="1"/>
    <col min="42" max="16384" width="8.88671875" style="1"/>
  </cols>
  <sheetData>
    <row r="2" spans="1:41" ht="43.8" customHeight="1" x14ac:dyDescent="0.3">
      <c r="A2" s="378" t="e" vm="4">
        <v>#VALUE!</v>
      </c>
      <c r="B2" s="378"/>
      <c r="C2" s="378"/>
      <c r="D2" s="378"/>
      <c r="E2" s="378"/>
      <c r="F2" s="378"/>
      <c r="H2" s="378" t="e" vm="6">
        <v>#VALUE!</v>
      </c>
      <c r="I2" s="378"/>
      <c r="J2" s="378"/>
      <c r="K2" s="378"/>
      <c r="L2" s="378"/>
      <c r="M2" s="378"/>
      <c r="O2" s="378" t="e" vm="5">
        <v>#VALUE!</v>
      </c>
      <c r="P2" s="378"/>
      <c r="Q2" s="378"/>
      <c r="R2" s="378"/>
      <c r="S2" s="378"/>
      <c r="T2" s="378"/>
      <c r="V2" s="378" t="e" vm="3">
        <v>#VALUE!</v>
      </c>
      <c r="W2" s="378"/>
      <c r="X2" s="378"/>
      <c r="Y2" s="378"/>
      <c r="Z2" s="378"/>
      <c r="AA2" s="378"/>
      <c r="AC2" s="378" t="e" vm="1">
        <v>#VALUE!</v>
      </c>
      <c r="AD2" s="378"/>
      <c r="AE2" s="378"/>
      <c r="AF2" s="378"/>
      <c r="AG2" s="378"/>
      <c r="AH2" s="378"/>
      <c r="AJ2" s="378" t="e" vm="2">
        <v>#VALUE!</v>
      </c>
      <c r="AK2" s="378"/>
      <c r="AL2" s="378"/>
      <c r="AM2" s="378"/>
      <c r="AN2" s="378"/>
      <c r="AO2" s="378"/>
    </row>
    <row r="3" spans="1:41" s="94" customFormat="1" x14ac:dyDescent="0.3">
      <c r="A3" s="92" t="s">
        <v>12</v>
      </c>
      <c r="B3" s="93" t="s">
        <v>392</v>
      </c>
      <c r="C3" s="93" t="s">
        <v>407</v>
      </c>
      <c r="D3" s="93" t="s">
        <v>408</v>
      </c>
      <c r="E3" s="93" t="s">
        <v>409</v>
      </c>
      <c r="F3" s="93" t="s">
        <v>410</v>
      </c>
      <c r="H3" s="32" t="s">
        <v>12</v>
      </c>
      <c r="I3" s="33" t="s">
        <v>392</v>
      </c>
      <c r="J3" s="33" t="s">
        <v>407</v>
      </c>
      <c r="K3" s="33" t="s">
        <v>408</v>
      </c>
      <c r="L3" s="33" t="s">
        <v>409</v>
      </c>
      <c r="M3" s="34" t="s">
        <v>410</v>
      </c>
      <c r="O3" s="116" t="s">
        <v>12</v>
      </c>
      <c r="P3" s="123" t="s">
        <v>392</v>
      </c>
      <c r="Q3" s="123" t="s">
        <v>407</v>
      </c>
      <c r="R3" s="123" t="s">
        <v>408</v>
      </c>
      <c r="S3" s="123" t="s">
        <v>409</v>
      </c>
      <c r="T3" s="124" t="s">
        <v>410</v>
      </c>
      <c r="V3" s="117" t="s">
        <v>12</v>
      </c>
      <c r="W3" s="121" t="s">
        <v>392</v>
      </c>
      <c r="X3" s="121" t="s">
        <v>407</v>
      </c>
      <c r="Y3" s="121" t="s">
        <v>408</v>
      </c>
      <c r="Z3" s="121" t="s">
        <v>409</v>
      </c>
      <c r="AA3" s="122" t="s">
        <v>410</v>
      </c>
      <c r="AC3" s="14" t="s">
        <v>12</v>
      </c>
      <c r="AD3" s="15" t="s">
        <v>392</v>
      </c>
      <c r="AE3" s="15" t="s">
        <v>407</v>
      </c>
      <c r="AF3" s="15" t="s">
        <v>408</v>
      </c>
      <c r="AG3" s="15" t="s">
        <v>409</v>
      </c>
      <c r="AH3" s="15" t="s">
        <v>410</v>
      </c>
      <c r="AJ3" s="118" t="s">
        <v>12</v>
      </c>
      <c r="AK3" s="119" t="s">
        <v>392</v>
      </c>
      <c r="AL3" s="119" t="s">
        <v>407</v>
      </c>
      <c r="AM3" s="119" t="s">
        <v>408</v>
      </c>
      <c r="AN3" s="119" t="s">
        <v>409</v>
      </c>
      <c r="AO3" s="120" t="s">
        <v>410</v>
      </c>
    </row>
    <row r="4" spans="1:41" x14ac:dyDescent="0.3">
      <c r="A4" s="16" t="s">
        <v>121</v>
      </c>
      <c r="B4" s="100"/>
      <c r="C4" s="100"/>
      <c r="D4" s="100"/>
      <c r="E4" s="100"/>
      <c r="F4" s="100"/>
      <c r="H4" s="16" t="s">
        <v>121</v>
      </c>
      <c r="I4" s="100"/>
      <c r="J4" s="100"/>
      <c r="K4" s="100"/>
      <c r="L4" s="100"/>
      <c r="M4" s="100"/>
      <c r="O4" s="16" t="s">
        <v>121</v>
      </c>
      <c r="P4" s="100"/>
      <c r="Q4" s="100"/>
      <c r="R4" s="100"/>
      <c r="S4" s="100"/>
      <c r="T4" s="100"/>
      <c r="V4" s="16" t="s">
        <v>121</v>
      </c>
      <c r="W4" s="100"/>
      <c r="X4" s="100"/>
      <c r="Y4" s="100"/>
      <c r="Z4" s="100"/>
      <c r="AA4" s="100"/>
      <c r="AC4" s="12" t="s">
        <v>121</v>
      </c>
      <c r="AD4" s="101"/>
      <c r="AE4" s="101"/>
      <c r="AF4" s="101"/>
      <c r="AG4" s="101"/>
      <c r="AH4" s="102"/>
      <c r="AJ4" s="16" t="s">
        <v>121</v>
      </c>
      <c r="AK4" s="100"/>
      <c r="AL4" s="100"/>
      <c r="AM4" s="100"/>
      <c r="AN4" s="100"/>
      <c r="AO4" s="100"/>
    </row>
    <row r="5" spans="1:41" x14ac:dyDescent="0.3">
      <c r="A5" s="4" t="s">
        <v>122</v>
      </c>
      <c r="B5" s="127">
        <f>Table7[[#This Row],[2025]]*(1+'Income Statement'!B31)</f>
        <v>10264.45144425392</v>
      </c>
      <c r="C5" s="127">
        <f>Table31[[#This Row],[2026]]*(1+'Income Statement'!$B$31)</f>
        <v>11256.299514043418</v>
      </c>
      <c r="D5" s="127">
        <f>Table31[[#This Row],[2027]]*(1+'Income Statement'!$B$31)</f>
        <v>12343.989295286076</v>
      </c>
      <c r="E5" s="127">
        <f>Table31[[#This Row],[2028]]*(1+'Income Statement'!$B$31)</f>
        <v>13536.781917719454</v>
      </c>
      <c r="F5" s="127">
        <f>Table31[[#This Row],[2029]]*(1+'Income Statement'!$B$31)</f>
        <v>14844.833408748484</v>
      </c>
      <c r="H5" s="4" t="s">
        <v>122</v>
      </c>
      <c r="I5" s="127">
        <f>'Income Statement'!J76</f>
        <v>59167.493697481535</v>
      </c>
      <c r="J5" s="127">
        <f>'Income Statement'!K76</f>
        <v>64183.515801366484</v>
      </c>
      <c r="K5" s="127">
        <f>'Income Statement'!L76</f>
        <v>69624.779472442126</v>
      </c>
      <c r="L5" s="127">
        <f>'Income Statement'!M76</f>
        <v>75527.335267648145</v>
      </c>
      <c r="M5" s="127">
        <f>'Income Statement'!N76</f>
        <v>81930.289989493627</v>
      </c>
      <c r="O5" s="4" t="s">
        <v>122</v>
      </c>
      <c r="P5" s="127">
        <f>'Income Statement'!R76</f>
        <v>13791.112819832882</v>
      </c>
      <c r="Q5" s="127">
        <f>'Income Statement'!S76</f>
        <v>15580.235725865447</v>
      </c>
      <c r="R5" s="127">
        <f>'Income Statement'!T76</f>
        <v>17601.461785190117</v>
      </c>
      <c r="S5" s="127">
        <f>'Income Statement'!U76</f>
        <v>19884.90177084909</v>
      </c>
      <c r="T5" s="127">
        <f>'Income Statement'!V76</f>
        <v>22464.572730488497</v>
      </c>
      <c r="V5" s="4" t="s">
        <v>122</v>
      </c>
      <c r="W5" s="127">
        <f>'Income Statement'!Z78</f>
        <v>36212.548532165347</v>
      </c>
      <c r="X5" s="127">
        <f>'Income Statement'!AA78</f>
        <v>40171.323622313226</v>
      </c>
      <c r="Y5" s="127">
        <f>'Income Statement'!AB78</f>
        <v>44562.874113520076</v>
      </c>
      <c r="Z5" s="127">
        <f>'Income Statement'!AC78</f>
        <v>49434.511243099645</v>
      </c>
      <c r="AA5" s="127">
        <f>'Income Statement'!AD78</f>
        <v>54838.718338023929</v>
      </c>
      <c r="AC5" s="4" t="s">
        <v>122</v>
      </c>
      <c r="AD5" s="127">
        <f>'Income Statement'!AH78</f>
        <v>12250.411900737448</v>
      </c>
      <c r="AE5" s="127">
        <f>'Income Statement'!AI78</f>
        <v>13005.278606242435</v>
      </c>
      <c r="AF5" s="127">
        <f>'Income Statement'!AJ78</f>
        <v>13806.659971637808</v>
      </c>
      <c r="AG5" s="127">
        <f>'Income Statement'!AK78</f>
        <v>14657.422216308976</v>
      </c>
      <c r="AH5" s="127">
        <f>'Income Statement'!AL78</f>
        <v>15560.608175219852</v>
      </c>
      <c r="AJ5" s="4" t="s">
        <v>122</v>
      </c>
      <c r="AK5" s="127">
        <f>'Income Statement'!AP78</f>
        <v>29435.111970366819</v>
      </c>
      <c r="AL5" s="127">
        <f>'Income Statement'!AQ78</f>
        <v>31917.960932903254</v>
      </c>
      <c r="AM5" s="127">
        <f>'Income Statement'!AR78</f>
        <v>34610.237974971853</v>
      </c>
      <c r="AN5" s="127">
        <f>'Income Statement'!AS78</f>
        <v>37529.608335642071</v>
      </c>
      <c r="AO5" s="127">
        <f>'Income Statement'!AT78</f>
        <v>40695.227315259166</v>
      </c>
    </row>
    <row r="6" spans="1:41" x14ac:dyDescent="0.3">
      <c r="A6" s="4" t="s">
        <v>411</v>
      </c>
      <c r="B6" s="127">
        <f>'Income Statement'!B61</f>
        <v>390.22515927475632</v>
      </c>
      <c r="C6" s="127">
        <f>'Income Statement'!C61</f>
        <v>432.60134923582086</v>
      </c>
      <c r="D6" s="127">
        <f>'Income Statement'!D61</f>
        <v>479.57934775006441</v>
      </c>
      <c r="E6" s="127">
        <f>'Income Statement'!E61</f>
        <v>531.65888454730862</v>
      </c>
      <c r="F6" s="127">
        <f>'Income Statement'!F61</f>
        <v>589.39395710884321</v>
      </c>
      <c r="H6" s="4" t="s">
        <v>411</v>
      </c>
      <c r="I6" s="127">
        <f>'Income Statement'!J72</f>
        <v>2371.5159579172305</v>
      </c>
      <c r="J6" s="127">
        <f>'Income Statement'!K72</f>
        <v>2862.0730054635424</v>
      </c>
      <c r="K6" s="127">
        <f>'Income Statement'!L72</f>
        <v>3454.1036341147865</v>
      </c>
      <c r="L6" s="127">
        <f>'Income Statement'!M72</f>
        <v>4168.5980380059009</v>
      </c>
      <c r="M6" s="127">
        <f>'Income Statement'!N72</f>
        <v>5030.8883123363657</v>
      </c>
      <c r="O6" s="4" t="s">
        <v>411</v>
      </c>
      <c r="P6" s="127">
        <f>'Income Statement'!R72</f>
        <v>705.91076731301894</v>
      </c>
      <c r="Q6" s="127">
        <f>'Income Statement'!S72</f>
        <v>928.31463218103022</v>
      </c>
      <c r="R6" s="127">
        <f>'Income Statement'!T72</f>
        <v>1220.7889385249614</v>
      </c>
      <c r="S6" s="127">
        <f>'Income Statement'!U72</f>
        <v>1605.4100417694096</v>
      </c>
      <c r="T6" s="127">
        <f>'Income Statement'!V72</f>
        <v>2111.2096619487506</v>
      </c>
      <c r="V6" s="4" t="s">
        <v>411</v>
      </c>
      <c r="W6" s="127">
        <f>'Income Statement'!Z74</f>
        <v>1206.6398031574167</v>
      </c>
      <c r="X6" s="127">
        <f>'Income Statement'!AA74</f>
        <v>1326.8747056992338</v>
      </c>
      <c r="Y6" s="127">
        <f>'Income Statement'!AB74</f>
        <v>1459.0903432967089</v>
      </c>
      <c r="Z6" s="127">
        <f>'Income Statement'!AC74</f>
        <v>1604.4805291391856</v>
      </c>
      <c r="AA6" s="127">
        <f>'Income Statement'!AD74</f>
        <v>1764.3580332182764</v>
      </c>
      <c r="AC6" s="4" t="s">
        <v>411</v>
      </c>
      <c r="AD6" s="127">
        <f>'Income Statement'!AH74</f>
        <v>17.671997727800662</v>
      </c>
      <c r="AE6" s="127">
        <f>'Income Statement'!AI74</f>
        <v>13.420692036587528</v>
      </c>
      <c r="AF6" s="127">
        <f>'Income Statement'!AJ74</f>
        <v>10.192111696436925</v>
      </c>
      <c r="AG6" s="127">
        <f>'Income Statement'!AK74</f>
        <v>7.7402223782090198</v>
      </c>
      <c r="AH6" s="127">
        <f>'Income Statement'!AL74</f>
        <v>5.8781775797327738</v>
      </c>
      <c r="AJ6" s="4" t="s">
        <v>411</v>
      </c>
      <c r="AK6" s="127">
        <f>'Income Statement'!AP74</f>
        <v>1369.6228259860866</v>
      </c>
      <c r="AL6" s="127">
        <f>'Income Statement'!AQ74</f>
        <v>1483.9660826856582</v>
      </c>
      <c r="AM6" s="127">
        <f>'Income Statement'!AR74</f>
        <v>1607.8553108049534</v>
      </c>
      <c r="AN6" s="127">
        <f>'Income Statement'!AS74</f>
        <v>1742.0874578245359</v>
      </c>
      <c r="AO6" s="127">
        <f>'Income Statement'!AT74</f>
        <v>1887.526004557079</v>
      </c>
    </row>
    <row r="7" spans="1:41" s="21" customFormat="1" x14ac:dyDescent="0.3">
      <c r="A7" s="11" t="s">
        <v>421</v>
      </c>
      <c r="B7" s="128">
        <f>B5+B6</f>
        <v>10654.676603528676</v>
      </c>
      <c r="C7" s="128">
        <f t="shared" ref="C7:F7" si="0">C5+C6</f>
        <v>11688.900863279239</v>
      </c>
      <c r="D7" s="128">
        <f t="shared" si="0"/>
        <v>12823.56864303614</v>
      </c>
      <c r="E7" s="128">
        <f t="shared" si="0"/>
        <v>14068.440802266763</v>
      </c>
      <c r="F7" s="128">
        <f t="shared" si="0"/>
        <v>15434.227365857327</v>
      </c>
      <c r="H7" s="11" t="s">
        <v>421</v>
      </c>
      <c r="I7" s="128">
        <f>I5+I6</f>
        <v>61539.009655398768</v>
      </c>
      <c r="J7" s="128">
        <f t="shared" ref="J7:M7" si="1">J5+J6</f>
        <v>67045.588806830026</v>
      </c>
      <c r="K7" s="128">
        <f t="shared" si="1"/>
        <v>73078.88310655691</v>
      </c>
      <c r="L7" s="128">
        <f t="shared" si="1"/>
        <v>79695.933305654049</v>
      </c>
      <c r="M7" s="128">
        <f t="shared" si="1"/>
        <v>86961.17830182999</v>
      </c>
      <c r="O7" s="11" t="s">
        <v>421</v>
      </c>
      <c r="P7" s="128">
        <f>P5+P6</f>
        <v>14497.023587145901</v>
      </c>
      <c r="Q7" s="128">
        <f t="shared" ref="Q7:T7" si="2">Q5+Q6</f>
        <v>16508.550358046476</v>
      </c>
      <c r="R7" s="128">
        <f t="shared" si="2"/>
        <v>18822.250723715078</v>
      </c>
      <c r="S7" s="128">
        <f t="shared" si="2"/>
        <v>21490.3118126185</v>
      </c>
      <c r="T7" s="128">
        <f t="shared" si="2"/>
        <v>24575.782392437246</v>
      </c>
      <c r="V7" s="11" t="s">
        <v>421</v>
      </c>
      <c r="W7" s="128">
        <f>W5+W6</f>
        <v>37419.18833532276</v>
      </c>
      <c r="X7" s="128">
        <f t="shared" ref="X7:AA7" si="3">X5+X6</f>
        <v>41498.198328012462</v>
      </c>
      <c r="Y7" s="128">
        <f t="shared" si="3"/>
        <v>46021.964456816786</v>
      </c>
      <c r="Z7" s="128">
        <f t="shared" si="3"/>
        <v>51038.991772238827</v>
      </c>
      <c r="AA7" s="128">
        <f t="shared" si="3"/>
        <v>56603.076371242205</v>
      </c>
      <c r="AC7" s="11" t="s">
        <v>421</v>
      </c>
      <c r="AD7" s="128">
        <f>AD5+AD6</f>
        <v>12268.083898465249</v>
      </c>
      <c r="AE7" s="128">
        <f t="shared" ref="AE7:AH7" si="4">AE5+AE6</f>
        <v>13018.699298279022</v>
      </c>
      <c r="AF7" s="128">
        <f t="shared" si="4"/>
        <v>13816.852083334245</v>
      </c>
      <c r="AG7" s="128">
        <f t="shared" si="4"/>
        <v>14665.162438687184</v>
      </c>
      <c r="AH7" s="128">
        <f t="shared" si="4"/>
        <v>15566.486352799584</v>
      </c>
      <c r="AJ7" s="11" t="s">
        <v>421</v>
      </c>
      <c r="AK7" s="128">
        <f>AK5+AK6</f>
        <v>30804.734796352906</v>
      </c>
      <c r="AL7" s="128">
        <f t="shared" ref="AL7:AO7" si="5">AL5+AL6</f>
        <v>33401.92701558891</v>
      </c>
      <c r="AM7" s="128">
        <f t="shared" si="5"/>
        <v>36218.093285776806</v>
      </c>
      <c r="AN7" s="128">
        <f t="shared" si="5"/>
        <v>39271.695793466606</v>
      </c>
      <c r="AO7" s="128">
        <f t="shared" si="5"/>
        <v>42582.753319816242</v>
      </c>
    </row>
    <row r="8" spans="1:41" x14ac:dyDescent="0.3">
      <c r="A8" s="16" t="s">
        <v>125</v>
      </c>
      <c r="B8" s="129"/>
      <c r="C8" s="129"/>
      <c r="D8" s="129"/>
      <c r="E8" s="129"/>
      <c r="F8" s="129"/>
      <c r="H8" s="16" t="s">
        <v>125</v>
      </c>
      <c r="I8" s="129"/>
      <c r="J8" s="129"/>
      <c r="K8" s="129"/>
      <c r="L8" s="129"/>
      <c r="M8" s="129"/>
      <c r="O8" s="16" t="s">
        <v>125</v>
      </c>
      <c r="P8" s="165"/>
      <c r="Q8" s="165"/>
      <c r="R8" s="165"/>
      <c r="S8" s="165"/>
      <c r="T8" s="165"/>
      <c r="V8" s="16" t="s">
        <v>125</v>
      </c>
      <c r="W8" s="165"/>
      <c r="X8" s="165"/>
      <c r="Y8" s="165"/>
      <c r="Z8" s="165"/>
      <c r="AA8" s="165"/>
      <c r="AC8" s="16" t="s">
        <v>125</v>
      </c>
      <c r="AD8" s="165"/>
      <c r="AE8" s="165"/>
      <c r="AF8" s="165"/>
      <c r="AG8" s="165"/>
      <c r="AH8" s="165"/>
      <c r="AJ8" s="16" t="s">
        <v>125</v>
      </c>
      <c r="AK8" s="165"/>
      <c r="AL8" s="165"/>
      <c r="AM8" s="165"/>
      <c r="AN8" s="165"/>
      <c r="AO8" s="165"/>
    </row>
    <row r="9" spans="1:41" x14ac:dyDescent="0.3">
      <c r="A9" s="4" t="s">
        <v>393</v>
      </c>
      <c r="B9" s="127">
        <f>'Income Statement'!B60</f>
        <v>3866.6207562701452</v>
      </c>
      <c r="C9" s="127">
        <f>'Income Statement'!C60</f>
        <v>4241.9444885798857</v>
      </c>
      <c r="D9" s="127">
        <f>'Income Statement'!D60</f>
        <v>4653.7195383477947</v>
      </c>
      <c r="E9" s="127">
        <f>'Income Statement'!E60</f>
        <v>5105.4881568518813</v>
      </c>
      <c r="F9" s="127">
        <f>'Income Statement'!F60</f>
        <v>5601.1370509408071</v>
      </c>
      <c r="H9" s="4" t="s">
        <v>393</v>
      </c>
      <c r="I9" s="127">
        <f>'Income Statement'!J71</f>
        <v>14208.519002387437</v>
      </c>
      <c r="J9" s="127">
        <f>'Income Statement'!K71</f>
        <v>15413.069692735138</v>
      </c>
      <c r="K9" s="127">
        <f>'Income Statement'!L71</f>
        <v>16719.738159423454</v>
      </c>
      <c r="L9" s="127">
        <f>'Income Statement'!M71</f>
        <v>18137.181605779988</v>
      </c>
      <c r="M9" s="127">
        <f>'Income Statement'!N71</f>
        <v>19674.791163857997</v>
      </c>
      <c r="O9" s="4" t="s">
        <v>393</v>
      </c>
      <c r="P9" s="127">
        <f>'Income Statement'!R71</f>
        <v>4142.1903779948843</v>
      </c>
      <c r="Q9" s="127">
        <f>'Income Statement'!S71</f>
        <v>4679.5572883547784</v>
      </c>
      <c r="R9" s="127">
        <f>'Income Statement'!T71</f>
        <v>5286.6368796874685</v>
      </c>
      <c r="S9" s="127">
        <f>'Income Statement'!U71</f>
        <v>5972.4729873961423</v>
      </c>
      <c r="T9" s="127">
        <f>'Income Statement'!V71</f>
        <v>6747.28270485741</v>
      </c>
      <c r="V9" s="4" t="s">
        <v>393</v>
      </c>
      <c r="W9" s="127">
        <f>'Income Statement'!Z73</f>
        <v>11080.046239354355</v>
      </c>
      <c r="X9" s="127">
        <f>'Income Statement'!AA73</f>
        <v>12291.322794802574</v>
      </c>
      <c r="Y9" s="127">
        <f>'Income Statement'!AB73</f>
        <v>13635.016748344971</v>
      </c>
      <c r="Z9" s="127">
        <f>'Income Statement'!AC73</f>
        <v>15125.604040458697</v>
      </c>
      <c r="AA9" s="127">
        <f>'Income Statement'!AD73</f>
        <v>16779.143129142863</v>
      </c>
      <c r="AC9" s="4" t="s">
        <v>393</v>
      </c>
      <c r="AD9" s="127">
        <f>'Income Statement'!AH73</f>
        <v>3242.7434439703843</v>
      </c>
      <c r="AE9" s="127">
        <f>'Income Statement'!AI73</f>
        <v>3442.5603219808668</v>
      </c>
      <c r="AF9" s="127">
        <f>'Income Statement'!AJ73</f>
        <v>3654.6898560579575</v>
      </c>
      <c r="AG9" s="127">
        <f>'Income Statement'!AK73</f>
        <v>3879.8907483739854</v>
      </c>
      <c r="AH9" s="127">
        <f>'Income Statement'!AL73</f>
        <v>4118.9684521014851</v>
      </c>
      <c r="AJ9" s="4" t="s">
        <v>393</v>
      </c>
      <c r="AK9" s="127">
        <f>'Income Statement'!AP73</f>
        <v>10826.843196433809</v>
      </c>
      <c r="AL9" s="127">
        <f>'Income Statement'!AQ73</f>
        <v>11739.670172369835</v>
      </c>
      <c r="AM9" s="127">
        <f>'Income Statement'!AR73</f>
        <v>12729.459268883013</v>
      </c>
      <c r="AN9" s="127">
        <f>'Income Statement'!AS73</f>
        <v>13802.699332579608</v>
      </c>
      <c r="AO9" s="127">
        <f>'Income Statement'!AT73</f>
        <v>14966.426301474135</v>
      </c>
    </row>
    <row r="10" spans="1:41" s="21" customFormat="1" x14ac:dyDescent="0.3">
      <c r="A10" s="11" t="s">
        <v>412</v>
      </c>
      <c r="B10" s="128">
        <f>B7-B9</f>
        <v>6788.0558472585308</v>
      </c>
      <c r="C10" s="128">
        <f t="shared" ref="C10:F10" si="6">C7-C9</f>
        <v>7446.9563746993535</v>
      </c>
      <c r="D10" s="128">
        <f t="shared" si="6"/>
        <v>8169.8491046883455</v>
      </c>
      <c r="E10" s="128">
        <f t="shared" si="6"/>
        <v>8962.9526454148818</v>
      </c>
      <c r="F10" s="128">
        <f t="shared" si="6"/>
        <v>9833.0903149165206</v>
      </c>
      <c r="H10" s="11" t="s">
        <v>412</v>
      </c>
      <c r="I10" s="128">
        <f>I7-I9</f>
        <v>47330.490653011329</v>
      </c>
      <c r="J10" s="128">
        <f t="shared" ref="J10:M10" si="7">J7-J9</f>
        <v>51632.519114094888</v>
      </c>
      <c r="K10" s="128">
        <f t="shared" si="7"/>
        <v>56359.144947133456</v>
      </c>
      <c r="L10" s="128">
        <f t="shared" si="7"/>
        <v>61558.751699874061</v>
      </c>
      <c r="M10" s="128">
        <f t="shared" si="7"/>
        <v>67286.387137971993</v>
      </c>
      <c r="O10" s="11" t="s">
        <v>412</v>
      </c>
      <c r="P10" s="128">
        <f>P7-P9</f>
        <v>10354.833209151016</v>
      </c>
      <c r="Q10" s="128">
        <f t="shared" ref="Q10:T10" si="8">Q7-Q9</f>
        <v>11828.993069691696</v>
      </c>
      <c r="R10" s="128">
        <f t="shared" si="8"/>
        <v>13535.61384402761</v>
      </c>
      <c r="S10" s="128">
        <f t="shared" si="8"/>
        <v>15517.838825222358</v>
      </c>
      <c r="T10" s="128">
        <f t="shared" si="8"/>
        <v>17828.499687579835</v>
      </c>
      <c r="V10" s="11" t="s">
        <v>412</v>
      </c>
      <c r="W10" s="128">
        <f>W7-W9</f>
        <v>26339.142095968404</v>
      </c>
      <c r="X10" s="128">
        <f t="shared" ref="X10:AA10" si="9">X7-X9</f>
        <v>29206.875533209888</v>
      </c>
      <c r="Y10" s="128">
        <f t="shared" si="9"/>
        <v>32386.947708471816</v>
      </c>
      <c r="Z10" s="128">
        <f t="shared" si="9"/>
        <v>35913.387731780131</v>
      </c>
      <c r="AA10" s="128">
        <f t="shared" si="9"/>
        <v>39823.933242099345</v>
      </c>
      <c r="AC10" s="11" t="s">
        <v>412</v>
      </c>
      <c r="AD10" s="128">
        <f>AD7-AD9</f>
        <v>9025.3404544948644</v>
      </c>
      <c r="AE10" s="128">
        <f t="shared" ref="AE10:AH10" si="10">AE7-AE9</f>
        <v>9576.1389762981544</v>
      </c>
      <c r="AF10" s="128">
        <f t="shared" si="10"/>
        <v>10162.162227276287</v>
      </c>
      <c r="AG10" s="128">
        <f t="shared" si="10"/>
        <v>10785.271690313199</v>
      </c>
      <c r="AH10" s="128">
        <f t="shared" si="10"/>
        <v>11447.517900698098</v>
      </c>
      <c r="AJ10" s="11" t="s">
        <v>412</v>
      </c>
      <c r="AK10" s="128">
        <f>AK7-AK9</f>
        <v>19977.891599919098</v>
      </c>
      <c r="AL10" s="128">
        <f t="shared" ref="AL10:AO10" si="11">AL7-AL9</f>
        <v>21662.256843219075</v>
      </c>
      <c r="AM10" s="128">
        <f t="shared" si="11"/>
        <v>23488.634016893793</v>
      </c>
      <c r="AN10" s="128">
        <f t="shared" si="11"/>
        <v>25468.996460887</v>
      </c>
      <c r="AO10" s="128">
        <f t="shared" si="11"/>
        <v>27616.327018342105</v>
      </c>
    </row>
    <row r="11" spans="1:41" x14ac:dyDescent="0.3">
      <c r="A11" s="4" t="s">
        <v>413</v>
      </c>
      <c r="B11" s="127">
        <f>B7*'Income Statement'!$B$37</f>
        <v>342.01199414710675</v>
      </c>
      <c r="C11" s="127">
        <f>C7*'Income Statement'!$B$37</f>
        <v>375.21028956561429</v>
      </c>
      <c r="D11" s="127">
        <f>D7*'Income Statement'!$B$37</f>
        <v>411.63279251803658</v>
      </c>
      <c r="E11" s="127">
        <f>E7*'Income Statement'!$B$37</f>
        <v>451.59282373059108</v>
      </c>
      <c r="F11" s="127">
        <f>F7*'Income Statement'!$B$37</f>
        <v>495.43417186106655</v>
      </c>
      <c r="H11" s="4" t="s">
        <v>413</v>
      </c>
      <c r="I11" s="127">
        <f>'Income Statement'!J78</f>
        <v>3601.8058880412691</v>
      </c>
      <c r="J11" s="127">
        <f>'Income Statement'!K78</f>
        <v>3907.1549373130147</v>
      </c>
      <c r="K11" s="127">
        <f>'Income Statement'!L78</f>
        <v>4238.3904570913264</v>
      </c>
      <c r="L11" s="127">
        <f>'Income Statement'!M78</f>
        <v>4597.7070157132794</v>
      </c>
      <c r="M11" s="127">
        <f>'Income Statement'!N78</f>
        <v>4987.4852296751524</v>
      </c>
      <c r="O11" s="4" t="s">
        <v>413</v>
      </c>
      <c r="P11" s="127">
        <f>'Income Statement'!R78</f>
        <v>499.98018571814953</v>
      </c>
      <c r="Q11" s="127">
        <f>'Income Statement'!S78</f>
        <v>564.84268191529077</v>
      </c>
      <c r="R11" s="127">
        <f>'Income Statement'!T78</f>
        <v>638.11979839759636</v>
      </c>
      <c r="S11" s="127">
        <f>'Income Statement'!U78</f>
        <v>720.90316497728168</v>
      </c>
      <c r="T11" s="127">
        <f>'Income Statement'!V78</f>
        <v>814.4260287477382</v>
      </c>
      <c r="V11" s="4" t="s">
        <v>413</v>
      </c>
      <c r="W11" s="127">
        <f>'Income Statement'!Z80</f>
        <v>2929.9993506305609</v>
      </c>
      <c r="X11" s="127">
        <f>'Income Statement'!AA80</f>
        <v>3250.3084399818081</v>
      </c>
      <c r="Y11" s="127">
        <f>'Income Statement'!AB80</f>
        <v>3605.6338895581675</v>
      </c>
      <c r="Z11" s="127">
        <f>'Income Statement'!AC80</f>
        <v>3999.8037065070425</v>
      </c>
      <c r="AA11" s="127">
        <f>'Income Statement'!AD80</f>
        <v>4437.0643777557552</v>
      </c>
      <c r="AC11" s="4" t="s">
        <v>413</v>
      </c>
      <c r="AD11" s="127">
        <f>'Income Statement'!AH80</f>
        <v>648.61961819222768</v>
      </c>
      <c r="AE11" s="127">
        <f>'Income Statement'!AI80</f>
        <v>688.58736444255544</v>
      </c>
      <c r="AF11" s="127">
        <f>'Income Statement'!AJ80</f>
        <v>731.01791122423731</v>
      </c>
      <c r="AG11" s="127">
        <f>'Income Statement'!AK80</f>
        <v>776.06301556703556</v>
      </c>
      <c r="AH11" s="127">
        <f>'Income Statement'!AL80</f>
        <v>823.88378572335068</v>
      </c>
      <c r="AJ11" s="4" t="s">
        <v>413</v>
      </c>
      <c r="AK11" s="127">
        <f>'Income Statement'!AP80</f>
        <v>2842.1910606847518</v>
      </c>
      <c r="AL11" s="127">
        <f>'Income Statement'!AQ80</f>
        <v>3081.8203435593609</v>
      </c>
      <c r="AM11" s="127">
        <f>'Income Statement'!AR80</f>
        <v>3341.6532118325067</v>
      </c>
      <c r="AN11" s="127">
        <f>'Income Statement'!AS80</f>
        <v>3623.3930744742729</v>
      </c>
      <c r="AO11" s="127">
        <f>'Income Statement'!AT80</f>
        <v>3928.8869592623369</v>
      </c>
    </row>
    <row r="12" spans="1:41" x14ac:dyDescent="0.3">
      <c r="A12" s="4" t="s">
        <v>414</v>
      </c>
      <c r="B12" s="127">
        <f>'Income Statement'!B63</f>
        <v>2875.44795921072</v>
      </c>
      <c r="C12" s="127">
        <f>'Income Statement'!C63</f>
        <v>3154.5608922190363</v>
      </c>
      <c r="D12" s="127">
        <f>'Income Statement'!D63</f>
        <v>3460.7811814959146</v>
      </c>
      <c r="E12" s="127">
        <f>'Income Statement'!E63</f>
        <v>3796.7430546655269</v>
      </c>
      <c r="F12" s="127">
        <f>'Income Statement'!F63</f>
        <v>4165.3368968937611</v>
      </c>
      <c r="H12" s="4" t="s">
        <v>414</v>
      </c>
      <c r="I12" s="127">
        <f>'Income Statement'!J74</f>
        <v>28594.971017807824</v>
      </c>
      <c r="J12" s="127">
        <f>'Income Statement'!K74</f>
        <v>31019.156963871967</v>
      </c>
      <c r="K12" s="127">
        <f>'Income Statement'!L74</f>
        <v>33648.857281586817</v>
      </c>
      <c r="L12" s="127">
        <f>'Income Statement'!M74</f>
        <v>36501.494791600089</v>
      </c>
      <c r="M12" s="127">
        <f>'Income Statement'!N74</f>
        <v>39595.969362986245</v>
      </c>
      <c r="O12" s="4" t="s">
        <v>414</v>
      </c>
      <c r="P12" s="127">
        <f>'Income Statement'!R74</f>
        <v>5952.3877975499609</v>
      </c>
      <c r="Q12" s="127">
        <f>'Income Statement'!S74</f>
        <v>6724.5918606528548</v>
      </c>
      <c r="R12" s="127">
        <f>'Income Statement'!T74</f>
        <v>7596.9740598842545</v>
      </c>
      <c r="S12" s="127">
        <f>'Income Statement'!U74</f>
        <v>8582.5305182091925</v>
      </c>
      <c r="T12" s="127">
        <f>'Income Statement'!V74</f>
        <v>9695.9433473588033</v>
      </c>
      <c r="V12" s="4" t="s">
        <v>414</v>
      </c>
      <c r="W12" s="127">
        <f>'Income Statement'!Z76</f>
        <v>15264.048269152945</v>
      </c>
      <c r="X12" s="127">
        <f>'Income Statement'!AA76</f>
        <v>16932.722154644987</v>
      </c>
      <c r="Y12" s="127">
        <f>'Income Statement'!AB76</f>
        <v>18783.816357933734</v>
      </c>
      <c r="Z12" s="127">
        <f>'Income Statement'!AC76</f>
        <v>20837.273165306742</v>
      </c>
      <c r="AA12" s="127">
        <f>'Income Statement'!AD76</f>
        <v>23115.214964408573</v>
      </c>
      <c r="AC12" s="4" t="s">
        <v>414</v>
      </c>
      <c r="AD12" s="127">
        <f>'Income Statement'!AH76</f>
        <v>5246.0647892981024</v>
      </c>
      <c r="AE12" s="127">
        <f>'Income Statement'!AI76</f>
        <v>5569.3257274976395</v>
      </c>
      <c r="AF12" s="127">
        <f>'Income Statement'!AJ76</f>
        <v>5912.5059077124151</v>
      </c>
      <c r="AG12" s="127">
        <f>'Income Statement'!AK76</f>
        <v>6276.8327476585036</v>
      </c>
      <c r="AH12" s="127">
        <f>'Income Statement'!AL76</f>
        <v>6663.6092981633528</v>
      </c>
      <c r="AJ12" s="4" t="s">
        <v>414</v>
      </c>
      <c r="AK12" s="127">
        <f>'Income Statement'!AP76</f>
        <v>12592.460090919369</v>
      </c>
      <c r="AL12" s="127">
        <f>'Income Statement'!AQ76</f>
        <v>13654.148808104746</v>
      </c>
      <c r="AM12" s="127">
        <f>'Income Statement'!AR76</f>
        <v>14805.350452954903</v>
      </c>
      <c r="AN12" s="127">
        <f>'Income Statement'!AS76</f>
        <v>16053.612058380821</v>
      </c>
      <c r="AO12" s="127">
        <f>'Income Statement'!AT76</f>
        <v>17407.116967120772</v>
      </c>
    </row>
    <row r="13" spans="1:41" x14ac:dyDescent="0.3">
      <c r="A13" s="11" t="s">
        <v>420</v>
      </c>
      <c r="B13" s="128">
        <f>SUM(B11:B12)</f>
        <v>3217.4599533578266</v>
      </c>
      <c r="C13" s="128">
        <f>SUM(C11:C12)</f>
        <v>3529.7711817846507</v>
      </c>
      <c r="D13" s="128">
        <f>SUM(D11:D12)</f>
        <v>3872.4139740139512</v>
      </c>
      <c r="E13" s="128">
        <f>SUM(E11:E12)</f>
        <v>4248.3358783961176</v>
      </c>
      <c r="F13" s="128">
        <f>SUM(F11:F12)</f>
        <v>4660.7710687548279</v>
      </c>
      <c r="H13" s="11" t="s">
        <v>420</v>
      </c>
      <c r="I13" s="128">
        <f>SUM(I11:I12)</f>
        <v>32196.776905849092</v>
      </c>
      <c r="J13" s="128">
        <f t="shared" ref="J13:M13" si="12">SUM(J11:J12)</f>
        <v>34926.311901184978</v>
      </c>
      <c r="K13" s="128">
        <f t="shared" si="12"/>
        <v>37887.247738678147</v>
      </c>
      <c r="L13" s="128">
        <f t="shared" si="12"/>
        <v>41099.201807313366</v>
      </c>
      <c r="M13" s="128">
        <f t="shared" si="12"/>
        <v>44583.454592661394</v>
      </c>
      <c r="O13" s="11" t="s">
        <v>420</v>
      </c>
      <c r="P13" s="128">
        <f>P11+P12</f>
        <v>6452.36798326811</v>
      </c>
      <c r="Q13" s="128">
        <f t="shared" ref="Q13:T13" si="13">Q11+Q12</f>
        <v>7289.4345425681458</v>
      </c>
      <c r="R13" s="128">
        <f t="shared" si="13"/>
        <v>8235.0938582818508</v>
      </c>
      <c r="S13" s="128">
        <f t="shared" si="13"/>
        <v>9303.4336831864748</v>
      </c>
      <c r="T13" s="128">
        <f t="shared" si="13"/>
        <v>10510.369376106541</v>
      </c>
      <c r="V13" s="11" t="s">
        <v>420</v>
      </c>
      <c r="W13" s="128">
        <f>SUM(W11:W12)</f>
        <v>18194.047619783505</v>
      </c>
      <c r="X13" s="128">
        <f t="shared" ref="X13:AA13" si="14">SUM(X11:X12)</f>
        <v>20183.030594626794</v>
      </c>
      <c r="Y13" s="128">
        <f t="shared" si="14"/>
        <v>22389.450247491903</v>
      </c>
      <c r="Z13" s="128">
        <f t="shared" si="14"/>
        <v>24837.076871813784</v>
      </c>
      <c r="AA13" s="128">
        <f t="shared" si="14"/>
        <v>27552.279342164329</v>
      </c>
      <c r="AC13" s="11" t="s">
        <v>420</v>
      </c>
      <c r="AD13" s="128">
        <f>SUM(AD11:AD12)</f>
        <v>5894.6844074903302</v>
      </c>
      <c r="AE13" s="128">
        <f t="shared" ref="AE13:AH13" si="15">SUM(AE11:AE12)</f>
        <v>6257.913091940195</v>
      </c>
      <c r="AF13" s="128">
        <f t="shared" si="15"/>
        <v>6643.5238189366528</v>
      </c>
      <c r="AG13" s="128">
        <f t="shared" si="15"/>
        <v>7052.8957632255388</v>
      </c>
      <c r="AH13" s="128">
        <f t="shared" si="15"/>
        <v>7487.493083886704</v>
      </c>
      <c r="AJ13" s="11" t="s">
        <v>420</v>
      </c>
      <c r="AK13" s="128">
        <f>SUM(AK11:AK12)</f>
        <v>15434.651151604121</v>
      </c>
      <c r="AL13" s="128">
        <f t="shared" ref="AL13:AO13" si="16">SUM(AL11:AL12)</f>
        <v>16735.969151664107</v>
      </c>
      <c r="AM13" s="128">
        <f t="shared" si="16"/>
        <v>18147.003664787408</v>
      </c>
      <c r="AN13" s="128">
        <f t="shared" si="16"/>
        <v>19677.005132855094</v>
      </c>
      <c r="AO13" s="128">
        <f t="shared" si="16"/>
        <v>21336.00392638311</v>
      </c>
    </row>
    <row r="14" spans="1:41" s="21" customFormat="1" x14ac:dyDescent="0.3">
      <c r="A14" s="11" t="s">
        <v>415</v>
      </c>
      <c r="B14" s="128">
        <f>B10-B13</f>
        <v>3570.5958939007041</v>
      </c>
      <c r="C14" s="128">
        <f>C10-C13</f>
        <v>3917.1851929147028</v>
      </c>
      <c r="D14" s="128">
        <f>D10-D13</f>
        <v>4297.4351306743938</v>
      </c>
      <c r="E14" s="128">
        <f>E10-E13</f>
        <v>4714.6167670187642</v>
      </c>
      <c r="F14" s="128">
        <f>F10-F13</f>
        <v>5172.3192461616927</v>
      </c>
      <c r="H14" s="11" t="s">
        <v>415</v>
      </c>
      <c r="I14" s="128">
        <f>I10-I13</f>
        <v>15133.713747162237</v>
      </c>
      <c r="J14" s="128">
        <f t="shared" ref="J14:M14" si="17">J10-J13</f>
        <v>16706.207212909911</v>
      </c>
      <c r="K14" s="128">
        <f t="shared" si="17"/>
        <v>18471.89720845531</v>
      </c>
      <c r="L14" s="128">
        <f t="shared" si="17"/>
        <v>20459.549892560695</v>
      </c>
      <c r="M14" s="128">
        <f t="shared" si="17"/>
        <v>22702.932545310599</v>
      </c>
      <c r="O14" s="11" t="s">
        <v>415</v>
      </c>
      <c r="P14" s="128">
        <f>P10-P13</f>
        <v>3902.4652258829065</v>
      </c>
      <c r="Q14" s="128">
        <f t="shared" ref="Q14:T14" si="18">Q10-Q13</f>
        <v>4539.5585271235504</v>
      </c>
      <c r="R14" s="128">
        <f t="shared" si="18"/>
        <v>5300.5199857457592</v>
      </c>
      <c r="S14" s="128">
        <f t="shared" si="18"/>
        <v>6214.4051420358828</v>
      </c>
      <c r="T14" s="128">
        <f t="shared" si="18"/>
        <v>7318.1303114732946</v>
      </c>
      <c r="V14" s="11" t="s">
        <v>415</v>
      </c>
      <c r="W14" s="128">
        <f>W10-W13</f>
        <v>8145.0944761848987</v>
      </c>
      <c r="X14" s="128">
        <f t="shared" ref="X14:AA14" si="19">X10-X13</f>
        <v>9023.8449385830936</v>
      </c>
      <c r="Y14" s="128">
        <f t="shared" si="19"/>
        <v>9997.4974609799137</v>
      </c>
      <c r="Z14" s="128">
        <f t="shared" si="19"/>
        <v>11076.310859966346</v>
      </c>
      <c r="AA14" s="128">
        <f t="shared" si="19"/>
        <v>12271.653899935016</v>
      </c>
      <c r="AC14" s="11" t="s">
        <v>415</v>
      </c>
      <c r="AD14" s="128">
        <f>AD10-AD13</f>
        <v>3130.6560470045342</v>
      </c>
      <c r="AE14" s="128">
        <f t="shared" ref="AE14:AH14" si="20">AE10-AE13</f>
        <v>3318.2258843579593</v>
      </c>
      <c r="AF14" s="128">
        <f t="shared" si="20"/>
        <v>3518.6384083396342</v>
      </c>
      <c r="AG14" s="128">
        <f t="shared" si="20"/>
        <v>3732.3759270876599</v>
      </c>
      <c r="AH14" s="128">
        <f t="shared" si="20"/>
        <v>3960.024816811394</v>
      </c>
      <c r="AJ14" s="11" t="s">
        <v>415</v>
      </c>
      <c r="AK14" s="128">
        <f>AK10-AK13</f>
        <v>4543.2404483149767</v>
      </c>
      <c r="AL14" s="128">
        <f t="shared" ref="AL14:AO14" si="21">AL10-AL13</f>
        <v>4926.2876915549678</v>
      </c>
      <c r="AM14" s="128">
        <f t="shared" si="21"/>
        <v>5341.6303521063855</v>
      </c>
      <c r="AN14" s="128">
        <f t="shared" si="21"/>
        <v>5791.9913280319051</v>
      </c>
      <c r="AO14" s="128">
        <f t="shared" si="21"/>
        <v>6280.3230919589951</v>
      </c>
    </row>
    <row r="15" spans="1:41" x14ac:dyDescent="0.3">
      <c r="A15" s="4" t="s">
        <v>416</v>
      </c>
      <c r="B15" s="130">
        <f>'Income Statement'!B59</f>
        <v>394.31253315750388</v>
      </c>
      <c r="C15" s="130">
        <f>'Income Statement'!C59</f>
        <v>462.1582750392397</v>
      </c>
      <c r="D15" s="130">
        <f>'Income Statement'!D59</f>
        <v>534.44505553660065</v>
      </c>
      <c r="E15" s="130">
        <f>'Income Statement'!E59</f>
        <v>611.75997675520512</v>
      </c>
      <c r="F15" s="130">
        <f>'Income Statement'!F59</f>
        <v>694.73591413197846</v>
      </c>
      <c r="H15" s="4" t="s">
        <v>416</v>
      </c>
      <c r="I15" s="130">
        <f>'Income Statement'!J70+'Income Statement'!J77</f>
        <v>2423.9149631508226</v>
      </c>
      <c r="J15" s="130">
        <f>'Income Statement'!K70+'Income Statement'!K77</f>
        <v>3084.7833590041432</v>
      </c>
      <c r="K15" s="130">
        <f>'Income Statement'!L70+'Income Statement'!L77</f>
        <v>3717.6066339968993</v>
      </c>
      <c r="L15" s="130">
        <f>'Income Statement'!M70+'Income Statement'!M77</f>
        <v>4335.5260364047126</v>
      </c>
      <c r="M15" s="130">
        <f>'Income Statement'!N70+'Income Statement'!N77</f>
        <v>4949.9326621969376</v>
      </c>
      <c r="O15" s="4" t="s">
        <v>416</v>
      </c>
      <c r="P15" s="127">
        <f>'Income Statement'!R70+'Income Statement'!R77</f>
        <v>734.52176433850127</v>
      </c>
      <c r="Q15" s="127">
        <f>'Income Statement'!S70+'Income Statement'!S77</f>
        <v>768.14579892760617</v>
      </c>
      <c r="R15" s="127">
        <f>'Income Statement'!T70+'Income Statement'!T77</f>
        <v>809.97028377205288</v>
      </c>
      <c r="S15" s="127">
        <f>'Income Statement'!U70+'Income Statement'!U77</f>
        <v>860.98296987883509</v>
      </c>
      <c r="T15" s="127">
        <f>'Income Statement'!V70+'Income Statement'!V77</f>
        <v>922.3462335388067</v>
      </c>
      <c r="V15" s="4" t="s">
        <v>416</v>
      </c>
      <c r="W15" s="127">
        <f>'Income Statement'!Z72+'Income Statement'!Z79</f>
        <v>2406.6946360051829</v>
      </c>
      <c r="X15" s="127">
        <f>'Income Statement'!AA72+'Income Statement'!AA79</f>
        <v>2788.009645213584</v>
      </c>
      <c r="Y15" s="127">
        <f>'Income Statement'!AB72+'Income Statement'!AB79</f>
        <v>3194.3562945912627</v>
      </c>
      <c r="Z15" s="127">
        <f>'Income Statement'!AC72+'Income Statement'!AC79</f>
        <v>3630.8236692687005</v>
      </c>
      <c r="AA15" s="127">
        <f>'Income Statement'!AD72+'Income Statement'!AD79</f>
        <v>4102.7239211433762</v>
      </c>
      <c r="AC15" s="4" t="s">
        <v>416</v>
      </c>
      <c r="AD15" s="127">
        <f>'Income Statement'!AH72+'Income Statement'!AH79</f>
        <v>745.1730117932932</v>
      </c>
      <c r="AE15" s="127">
        <f>'Income Statement'!AI72+'Income Statement'!AI79</f>
        <v>793.18053116800752</v>
      </c>
      <c r="AF15" s="127">
        <f>'Income Statement'!AJ72+'Income Statement'!AJ79</f>
        <v>843.93200230488833</v>
      </c>
      <c r="AG15" s="127">
        <f>'Income Statement'!AK72+'Income Statement'!AK79</f>
        <v>897.61846648959545</v>
      </c>
      <c r="AH15" s="127">
        <f>'Income Statement'!AL72+'Income Statement'!AL79</f>
        <v>954.44048648932699</v>
      </c>
      <c r="AJ15" s="4" t="s">
        <v>416</v>
      </c>
      <c r="AK15" s="127">
        <f>'Income Statement'!AP72+'Income Statement'!AP79</f>
        <v>1131.2064261670998</v>
      </c>
      <c r="AL15" s="127">
        <f>'Income Statement'!AQ72+'Income Statement'!AQ79</f>
        <v>1647.745840660564</v>
      </c>
      <c r="AM15" s="127">
        <f>'Income Statement'!AR72+'Income Statement'!AR79</f>
        <v>2129.3535776722028</v>
      </c>
      <c r="AN15" s="127">
        <f>'Income Statement'!AS72+'Income Statement'!AS79</f>
        <v>2587.7086023495499</v>
      </c>
      <c r="AO15" s="127">
        <v>2628</v>
      </c>
    </row>
    <row r="16" spans="1:41" x14ac:dyDescent="0.3">
      <c r="A16" s="11" t="s">
        <v>417</v>
      </c>
      <c r="B16" s="128">
        <f>B14-B15</f>
        <v>3176.2833607432003</v>
      </c>
      <c r="C16" s="128">
        <f t="shared" ref="C16:F16" si="22">C14-C15</f>
        <v>3455.0269178754634</v>
      </c>
      <c r="D16" s="128">
        <f t="shared" si="22"/>
        <v>3762.9900751377932</v>
      </c>
      <c r="E16" s="128">
        <f t="shared" si="22"/>
        <v>4102.8567902635587</v>
      </c>
      <c r="F16" s="128">
        <f t="shared" si="22"/>
        <v>4477.5833320297143</v>
      </c>
      <c r="H16" s="11" t="s">
        <v>417</v>
      </c>
      <c r="I16" s="128">
        <f>I14-I15</f>
        <v>12709.798784011415</v>
      </c>
      <c r="J16" s="128">
        <f t="shared" ref="J16:M16" si="23">J14-J15</f>
        <v>13621.423853905768</v>
      </c>
      <c r="K16" s="128">
        <f t="shared" si="23"/>
        <v>14754.29057445841</v>
      </c>
      <c r="L16" s="128">
        <f t="shared" si="23"/>
        <v>16124.023856155982</v>
      </c>
      <c r="M16" s="128">
        <f t="shared" si="23"/>
        <v>17752.999883113662</v>
      </c>
      <c r="O16" s="11" t="s">
        <v>417</v>
      </c>
      <c r="P16" s="128">
        <f>P14-P15</f>
        <v>3167.9434615444052</v>
      </c>
      <c r="Q16" s="128">
        <f t="shared" ref="Q16:T16" si="24">Q14-Q15</f>
        <v>3771.4127281959445</v>
      </c>
      <c r="R16" s="128">
        <f t="shared" si="24"/>
        <v>4490.5497019737068</v>
      </c>
      <c r="S16" s="128">
        <f t="shared" si="24"/>
        <v>5353.4221721570475</v>
      </c>
      <c r="T16" s="128">
        <f t="shared" si="24"/>
        <v>6395.7840779344879</v>
      </c>
      <c r="V16" s="11" t="s">
        <v>417</v>
      </c>
      <c r="W16" s="128">
        <f>W14-W15</f>
        <v>5738.3998401797162</v>
      </c>
      <c r="X16" s="128">
        <f t="shared" ref="X16:AA16" si="25">X14-X15</f>
        <v>6235.8352933695096</v>
      </c>
      <c r="Y16" s="128">
        <f t="shared" si="25"/>
        <v>6803.1411663886511</v>
      </c>
      <c r="Z16" s="128">
        <f t="shared" si="25"/>
        <v>7445.4871906976459</v>
      </c>
      <c r="AA16" s="128">
        <f t="shared" si="25"/>
        <v>8168.9299787916398</v>
      </c>
      <c r="AC16" s="11" t="s">
        <v>417</v>
      </c>
      <c r="AD16" s="128">
        <f>AD14-AD15</f>
        <v>2385.4830352112413</v>
      </c>
      <c r="AE16" s="128">
        <f t="shared" ref="AE16:AH16" si="26">AE14-AE15</f>
        <v>2525.045353189952</v>
      </c>
      <c r="AF16" s="128">
        <f t="shared" si="26"/>
        <v>2674.7064060347457</v>
      </c>
      <c r="AG16" s="128">
        <f t="shared" si="26"/>
        <v>2834.7574605980644</v>
      </c>
      <c r="AH16" s="128">
        <f t="shared" si="26"/>
        <v>3005.5843303220672</v>
      </c>
      <c r="AJ16" s="11" t="s">
        <v>417</v>
      </c>
      <c r="AK16" s="128">
        <f>AK14-AK15</f>
        <v>3412.0340221478768</v>
      </c>
      <c r="AL16" s="128">
        <f t="shared" ref="AL16:AO16" si="27">AL14-AL15</f>
        <v>3278.541850894404</v>
      </c>
      <c r="AM16" s="128">
        <f t="shared" si="27"/>
        <v>3212.2767744341827</v>
      </c>
      <c r="AN16" s="128">
        <f t="shared" si="27"/>
        <v>3204.2827256823552</v>
      </c>
      <c r="AO16" s="128">
        <f t="shared" si="27"/>
        <v>3652.3230919589951</v>
      </c>
    </row>
    <row r="17" spans="1:41" x14ac:dyDescent="0.3">
      <c r="A17" s="4" t="s">
        <v>418</v>
      </c>
      <c r="B17" s="130">
        <f>'Income Statement'!$B$35</f>
        <v>2.2399999999999998</v>
      </c>
      <c r="C17" s="130">
        <f>'Income Statement'!$B$35</f>
        <v>2.2399999999999998</v>
      </c>
      <c r="D17" s="130">
        <f>'Income Statement'!$B$35</f>
        <v>2.2399999999999998</v>
      </c>
      <c r="E17" s="130">
        <f>'Income Statement'!$B$35</f>
        <v>2.2399999999999998</v>
      </c>
      <c r="F17" s="130">
        <f>'Income Statement'!$B$35</f>
        <v>2.2399999999999998</v>
      </c>
      <c r="H17" s="4" t="s">
        <v>418</v>
      </c>
      <c r="I17" s="130">
        <f>'Balance Sheet Forecast'!I23*'Income Statement'!$J$65</f>
        <v>534.97139943584489</v>
      </c>
      <c r="J17" s="130">
        <f>'Balance Sheet Forecast'!J23*'Income Statement'!$J$65</f>
        <v>534.97139943584489</v>
      </c>
      <c r="K17" s="130">
        <f>'Balance Sheet Forecast'!K23*'Income Statement'!$J$65</f>
        <v>534.97139943584489</v>
      </c>
      <c r="L17" s="130">
        <f>'Balance Sheet Forecast'!L23*'Income Statement'!$J$65</f>
        <v>534.97139943584489</v>
      </c>
      <c r="M17" s="130">
        <f>'Balance Sheet Forecast'!M23*'Income Statement'!$J$65</f>
        <v>534.97139943584489</v>
      </c>
      <c r="O17" s="4" t="s">
        <v>418</v>
      </c>
      <c r="P17" s="127">
        <f>('Balance Sheet Forecast'!P23*'Income Statement'!$W$62)+('Balance Sheet Forecast'!P28*'Income Statement'!$W$63)</f>
        <v>429.41000000000008</v>
      </c>
      <c r="Q17" s="127">
        <f>('Balance Sheet Forecast'!Q23*'Income Statement'!$W$62)+('Balance Sheet Forecast'!Q28*'Income Statement'!$W$63)</f>
        <v>429.41000000000008</v>
      </c>
      <c r="R17" s="127">
        <f>('Balance Sheet Forecast'!R23*'Income Statement'!$W$62)+('Balance Sheet Forecast'!R28*'Income Statement'!$W$63)</f>
        <v>429.41000000000008</v>
      </c>
      <c r="S17" s="127">
        <f>('Balance Sheet Forecast'!S23*'Income Statement'!$W$62)+('Balance Sheet Forecast'!S28*'Income Statement'!$W$63)</f>
        <v>429.41000000000008</v>
      </c>
      <c r="T17" s="127">
        <f>('Balance Sheet Forecast'!T23*'Income Statement'!$W$62)+('Balance Sheet Forecast'!T28*'Income Statement'!$W$63)</f>
        <v>429.41000000000008</v>
      </c>
      <c r="V17" s="4" t="s">
        <v>418</v>
      </c>
      <c r="W17" s="127">
        <f>('Balance Sheet Forecast'!W23*'Income Statement'!$Z$63)+('Income Statement'!$Z$64*'Balance Sheet Forecast'!W28)</f>
        <v>320.99100516359056</v>
      </c>
      <c r="X17" s="127">
        <f>('Balance Sheet Forecast'!X23*'Income Statement'!$Z$63)+('Income Statement'!$Z$64*'Balance Sheet Forecast'!X28)</f>
        <v>353.33813635937514</v>
      </c>
      <c r="Y17" s="127">
        <f>('Balance Sheet Forecast'!Y23*'Income Statement'!$Z$63)+('Income Statement'!$Z$64*'Balance Sheet Forecast'!Y28)</f>
        <v>389.22147316360707</v>
      </c>
      <c r="Z17" s="127">
        <f>('Balance Sheet Forecast'!Z23*'Income Statement'!$Z$63)+('Income Statement'!$Z$64*'Balance Sheet Forecast'!Z28)</f>
        <v>429.02759545657096</v>
      </c>
      <c r="AA17" s="127">
        <f>('Balance Sheet Forecast'!AA23*'Income Statement'!$Z$63)+('Income Statement'!$Z$64*'Balance Sheet Forecast'!AA28)</f>
        <v>473.18534423693313</v>
      </c>
      <c r="AC17" s="4" t="s">
        <v>418</v>
      </c>
      <c r="AD17" s="127">
        <f>('Income Statement'!AH85*'Income Statement'!$AH$64)+('Income Statement'!AH86*'Income Statement'!$AH$65)</f>
        <v>791.17256433097077</v>
      </c>
      <c r="AE17" s="127">
        <f>('Income Statement'!AI85*'Income Statement'!$AH$64)+('Income Statement'!AI86*'Income Statement'!$AH$65)</f>
        <v>839.9243803483979</v>
      </c>
      <c r="AF17" s="127">
        <f>('Income Statement'!AJ85*'Income Statement'!$AH$64)+('Income Statement'!AJ86*'Income Statement'!$AH$65)</f>
        <v>891.68026864050853</v>
      </c>
      <c r="AG17" s="127">
        <f>('Income Statement'!AK85*'Income Statement'!$AH$64)+('Income Statement'!AK86*'Income Statement'!$AH$65)</f>
        <v>946.62533923947694</v>
      </c>
      <c r="AH17" s="127">
        <f>('Income Statement'!AL85*'Income Statement'!$AH$64)+('Income Statement'!AL86*'Income Statement'!$AH$65)</f>
        <v>1004.9561086021159</v>
      </c>
      <c r="AJ17" s="4" t="s">
        <v>418</v>
      </c>
      <c r="AK17" s="79">
        <v>-137.40887071019765</v>
      </c>
      <c r="AL17" s="79">
        <v>-64.079547999770185</v>
      </c>
      <c r="AM17" s="79">
        <v>120.05373681325534</v>
      </c>
      <c r="AN17" s="79">
        <v>313.36705117924885</v>
      </c>
      <c r="AO17" s="79">
        <v>517.78822012835622</v>
      </c>
    </row>
    <row r="18" spans="1:41" x14ac:dyDescent="0.3">
      <c r="A18" s="11" t="s">
        <v>134</v>
      </c>
      <c r="B18" s="128">
        <f>B16-B17</f>
        <v>3174.0433607432005</v>
      </c>
      <c r="C18" s="128">
        <f t="shared" ref="C18:F18" si="28">C16-C17</f>
        <v>3452.7869178754636</v>
      </c>
      <c r="D18" s="128">
        <f t="shared" si="28"/>
        <v>3760.7500751377934</v>
      </c>
      <c r="E18" s="128">
        <f t="shared" si="28"/>
        <v>4100.6167902635589</v>
      </c>
      <c r="F18" s="128">
        <f t="shared" si="28"/>
        <v>4475.3433320297145</v>
      </c>
      <c r="H18" s="11" t="s">
        <v>134</v>
      </c>
      <c r="I18" s="128">
        <f>I16-I17</f>
        <v>12174.82738457557</v>
      </c>
      <c r="J18" s="128">
        <f t="shared" ref="J18:M18" si="29">J16-J17</f>
        <v>13086.452454469923</v>
      </c>
      <c r="K18" s="128">
        <f t="shared" si="29"/>
        <v>14219.319175022565</v>
      </c>
      <c r="L18" s="128">
        <f t="shared" si="29"/>
        <v>15589.052456720137</v>
      </c>
      <c r="M18" s="128">
        <f t="shared" si="29"/>
        <v>17218.028483677816</v>
      </c>
      <c r="O18" s="11" t="s">
        <v>134</v>
      </c>
      <c r="P18" s="128">
        <f>P16-P17</f>
        <v>2738.5334615444053</v>
      </c>
      <c r="Q18" s="128">
        <f t="shared" ref="Q18:T18" si="30">Q16-Q17</f>
        <v>3342.0027281959447</v>
      </c>
      <c r="R18" s="128">
        <f t="shared" si="30"/>
        <v>4061.1397019737069</v>
      </c>
      <c r="S18" s="128">
        <f t="shared" si="30"/>
        <v>4924.0121721570476</v>
      </c>
      <c r="T18" s="128">
        <f t="shared" si="30"/>
        <v>5966.374077934488</v>
      </c>
      <c r="V18" s="11" t="s">
        <v>134</v>
      </c>
      <c r="W18" s="128">
        <f>W16-W17</f>
        <v>5417.4088350161255</v>
      </c>
      <c r="X18" s="128">
        <f t="shared" ref="X18:AA18" si="31">X16-X17</f>
        <v>5882.4971570101343</v>
      </c>
      <c r="Y18" s="128">
        <f t="shared" si="31"/>
        <v>6413.9196932250443</v>
      </c>
      <c r="Z18" s="128">
        <f t="shared" si="31"/>
        <v>7016.4595952410746</v>
      </c>
      <c r="AA18" s="128">
        <f t="shared" si="31"/>
        <v>7695.7446345547069</v>
      </c>
      <c r="AC18" s="11" t="s">
        <v>134</v>
      </c>
      <c r="AD18" s="128">
        <f>AD16-AD17</f>
        <v>1594.3104708802705</v>
      </c>
      <c r="AE18" s="128">
        <f t="shared" ref="AE18:AH18" si="32">AE16-AE17</f>
        <v>1685.1209728415542</v>
      </c>
      <c r="AF18" s="128">
        <f t="shared" si="32"/>
        <v>1783.0261373942371</v>
      </c>
      <c r="AG18" s="128">
        <f t="shared" si="32"/>
        <v>1888.1321213585875</v>
      </c>
      <c r="AH18" s="128">
        <f t="shared" si="32"/>
        <v>2000.6282217199514</v>
      </c>
      <c r="AJ18" s="11" t="s">
        <v>134</v>
      </c>
      <c r="AK18" s="128">
        <f>AK16+AK17</f>
        <v>3274.6251514376791</v>
      </c>
      <c r="AL18" s="128">
        <f>AL16+AL17</f>
        <v>3214.4623028946339</v>
      </c>
      <c r="AM18" s="128">
        <f>AM16-AM17</f>
        <v>3092.2230376209272</v>
      </c>
      <c r="AN18" s="128">
        <f t="shared" ref="AN18:AO18" si="33">AN16-AN17</f>
        <v>2890.9156745031064</v>
      </c>
      <c r="AO18" s="128">
        <f t="shared" si="33"/>
        <v>3134.5348718306386</v>
      </c>
    </row>
    <row r="19" spans="1:41" x14ac:dyDescent="0.3">
      <c r="A19" s="4" t="s">
        <v>419</v>
      </c>
      <c r="B19" s="130">
        <f>B18*0.25</f>
        <v>793.51084018580013</v>
      </c>
      <c r="C19" s="130">
        <f t="shared" ref="C19:F19" si="34">C18*0.25</f>
        <v>863.1967294688659</v>
      </c>
      <c r="D19" s="130">
        <f t="shared" si="34"/>
        <v>940.18751878444834</v>
      </c>
      <c r="E19" s="130">
        <f t="shared" si="34"/>
        <v>1025.1541975658897</v>
      </c>
      <c r="F19" s="130">
        <f t="shared" si="34"/>
        <v>1118.8358330074286</v>
      </c>
      <c r="H19" s="4" t="s">
        <v>419</v>
      </c>
      <c r="I19" s="130">
        <f>I18*0.25</f>
        <v>3043.7068461438926</v>
      </c>
      <c r="J19" s="130">
        <f t="shared" ref="J19:M19" si="35">J18*0.25</f>
        <v>3271.6131136174808</v>
      </c>
      <c r="K19" s="130">
        <f t="shared" si="35"/>
        <v>3554.8297937556413</v>
      </c>
      <c r="L19" s="130">
        <f t="shared" si="35"/>
        <v>3897.2631141800343</v>
      </c>
      <c r="M19" s="130">
        <f t="shared" si="35"/>
        <v>4304.5071209194539</v>
      </c>
      <c r="O19" s="4" t="s">
        <v>419</v>
      </c>
      <c r="P19" s="127">
        <f>P18*0.25</f>
        <v>684.63336538610133</v>
      </c>
      <c r="Q19" s="127">
        <f t="shared" ref="Q19:T19" si="36">Q18*0.25</f>
        <v>835.50068204898616</v>
      </c>
      <c r="R19" s="127">
        <f t="shared" si="36"/>
        <v>1015.2849254934267</v>
      </c>
      <c r="S19" s="127">
        <f t="shared" si="36"/>
        <v>1231.0030430392619</v>
      </c>
      <c r="T19" s="127">
        <f t="shared" si="36"/>
        <v>1491.593519483622</v>
      </c>
      <c r="V19" s="4" t="s">
        <v>419</v>
      </c>
      <c r="W19" s="127">
        <f>W18*0.25</f>
        <v>1354.3522087540314</v>
      </c>
      <c r="X19" s="127">
        <f t="shared" ref="X19:AA19" si="37">X18*0.25</f>
        <v>1470.6242892525336</v>
      </c>
      <c r="Y19" s="127">
        <f t="shared" si="37"/>
        <v>1603.4799233062611</v>
      </c>
      <c r="Z19" s="127">
        <f t="shared" si="37"/>
        <v>1754.1148988102686</v>
      </c>
      <c r="AA19" s="127">
        <f t="shared" si="37"/>
        <v>1923.9361586386767</v>
      </c>
      <c r="AC19" s="4" t="s">
        <v>419</v>
      </c>
      <c r="AD19" s="127">
        <f>AD18*0.25</f>
        <v>398.57761772006762</v>
      </c>
      <c r="AE19" s="127">
        <f t="shared" ref="AE19:AH19" si="38">AE18*0.25</f>
        <v>421.28024321038856</v>
      </c>
      <c r="AF19" s="127">
        <f t="shared" si="38"/>
        <v>445.75653434855928</v>
      </c>
      <c r="AG19" s="127">
        <f t="shared" si="38"/>
        <v>472.03303033964687</v>
      </c>
      <c r="AH19" s="127">
        <f t="shared" si="38"/>
        <v>500.15705542998785</v>
      </c>
      <c r="AJ19" s="4" t="s">
        <v>419</v>
      </c>
      <c r="AK19" s="127">
        <f>AK18*0.25</f>
        <v>818.65628785941976</v>
      </c>
      <c r="AL19" s="127">
        <f t="shared" ref="AL19:AO19" si="39">AL18*0.25</f>
        <v>803.61557572365848</v>
      </c>
      <c r="AM19" s="127">
        <f t="shared" si="39"/>
        <v>773.05575940523181</v>
      </c>
      <c r="AN19" s="127">
        <f t="shared" si="39"/>
        <v>722.7289186257766</v>
      </c>
      <c r="AO19" s="127">
        <f t="shared" si="39"/>
        <v>783.63371795765966</v>
      </c>
    </row>
    <row r="20" spans="1:41" x14ac:dyDescent="0.3">
      <c r="A20" s="11" t="s">
        <v>153</v>
      </c>
      <c r="B20" s="128">
        <f>B18-B19</f>
        <v>2380.5325205574004</v>
      </c>
      <c r="C20" s="128">
        <f t="shared" ref="C20:F20" si="40">C18-C19</f>
        <v>2589.5901884065979</v>
      </c>
      <c r="D20" s="128">
        <f t="shared" si="40"/>
        <v>2820.5625563533449</v>
      </c>
      <c r="E20" s="128">
        <f t="shared" si="40"/>
        <v>3075.4625926976692</v>
      </c>
      <c r="F20" s="128">
        <f t="shared" si="40"/>
        <v>3356.5074990222856</v>
      </c>
      <c r="H20" s="11" t="s">
        <v>153</v>
      </c>
      <c r="I20" s="128">
        <f>I18-I19</f>
        <v>9131.1205384316781</v>
      </c>
      <c r="J20" s="128">
        <f t="shared" ref="J20:M20" si="41">J18-J19</f>
        <v>9814.8393408524425</v>
      </c>
      <c r="K20" s="128">
        <f t="shared" si="41"/>
        <v>10664.489381266923</v>
      </c>
      <c r="L20" s="128">
        <f t="shared" si="41"/>
        <v>11691.789342540103</v>
      </c>
      <c r="M20" s="128">
        <f t="shared" si="41"/>
        <v>12913.521362758362</v>
      </c>
      <c r="O20" s="11" t="s">
        <v>153</v>
      </c>
      <c r="P20" s="128">
        <f>P18-P19</f>
        <v>2053.9000961583042</v>
      </c>
      <c r="Q20" s="128">
        <f t="shared" ref="Q20:T20" si="42">Q18-Q19</f>
        <v>2506.5020461469585</v>
      </c>
      <c r="R20" s="128">
        <f t="shared" si="42"/>
        <v>3045.8547764802802</v>
      </c>
      <c r="S20" s="128">
        <f t="shared" si="42"/>
        <v>3693.009129117786</v>
      </c>
      <c r="T20" s="128">
        <f t="shared" si="42"/>
        <v>4474.780558450866</v>
      </c>
      <c r="V20" s="11" t="s">
        <v>153</v>
      </c>
      <c r="W20" s="128">
        <f>W18-W19</f>
        <v>4063.0566262620941</v>
      </c>
      <c r="X20" s="128">
        <f t="shared" ref="X20:AA20" si="43">X18-X19</f>
        <v>4411.8728677576009</v>
      </c>
      <c r="Y20" s="128">
        <f t="shared" si="43"/>
        <v>4810.439769918783</v>
      </c>
      <c r="Z20" s="128">
        <f t="shared" si="43"/>
        <v>5262.3446964308059</v>
      </c>
      <c r="AA20" s="128">
        <f t="shared" si="43"/>
        <v>5771.8084759160301</v>
      </c>
      <c r="AC20" s="11" t="s">
        <v>153</v>
      </c>
      <c r="AD20" s="128">
        <f>AD18-AD19</f>
        <v>1195.7328531602029</v>
      </c>
      <c r="AE20" s="128">
        <f t="shared" ref="AE20:AH20" si="44">AE18-AE19</f>
        <v>1263.8407296311657</v>
      </c>
      <c r="AF20" s="128">
        <f t="shared" si="44"/>
        <v>1337.2696030456777</v>
      </c>
      <c r="AG20" s="128">
        <f t="shared" si="44"/>
        <v>1416.0990910189407</v>
      </c>
      <c r="AH20" s="128">
        <f t="shared" si="44"/>
        <v>1500.4711662899635</v>
      </c>
      <c r="AJ20" s="11" t="s">
        <v>153</v>
      </c>
      <c r="AK20" s="128">
        <f>AK18-AK19</f>
        <v>2455.9688635782595</v>
      </c>
      <c r="AL20" s="128">
        <f t="shared" ref="AL20:AO20" si="45">AL18-AL19</f>
        <v>2410.8467271709756</v>
      </c>
      <c r="AM20" s="128">
        <f t="shared" si="45"/>
        <v>2319.1672782156957</v>
      </c>
      <c r="AN20" s="128">
        <f t="shared" si="45"/>
        <v>2168.1867558773297</v>
      </c>
      <c r="AO20" s="128">
        <f t="shared" si="45"/>
        <v>2350.9011538729792</v>
      </c>
    </row>
    <row r="21" spans="1:41" s="21" customFormat="1" x14ac:dyDescent="0.3">
      <c r="B21" s="108"/>
      <c r="C21" s="108"/>
      <c r="D21" s="108"/>
      <c r="E21" s="108"/>
      <c r="F21" s="108"/>
      <c r="I21" s="108"/>
      <c r="J21" s="108"/>
      <c r="K21" s="108"/>
      <c r="L21" s="108"/>
      <c r="M21" s="108"/>
      <c r="P21" s="108"/>
      <c r="Q21" s="108"/>
      <c r="R21" s="108"/>
      <c r="S21" s="108"/>
      <c r="T21" s="108"/>
      <c r="W21" s="108"/>
      <c r="X21" s="108"/>
      <c r="Y21" s="108"/>
      <c r="Z21" s="108"/>
      <c r="AA21" s="108"/>
      <c r="AD21" s="108"/>
      <c r="AE21" s="108"/>
      <c r="AF21" s="108"/>
      <c r="AG21" s="108"/>
      <c r="AH21" s="108"/>
      <c r="AK21" s="108"/>
      <c r="AL21" s="108"/>
      <c r="AM21" s="108"/>
      <c r="AN21" s="108"/>
      <c r="AO21" s="108"/>
    </row>
    <row r="22" spans="1:41" x14ac:dyDescent="0.3">
      <c r="A22" s="4" t="s">
        <v>439</v>
      </c>
      <c r="B22" s="3" t="s">
        <v>615</v>
      </c>
      <c r="C22" s="196">
        <f>(F7/B7)^(1/5)-1</f>
        <v>7.6933593166442549E-2</v>
      </c>
    </row>
    <row r="23" spans="1:41" x14ac:dyDescent="0.3">
      <c r="A23" s="4" t="s">
        <v>439</v>
      </c>
      <c r="B23" s="3" t="s">
        <v>616</v>
      </c>
      <c r="C23" s="196">
        <f>(M7/I7)^(1/5)-1</f>
        <v>7.1605619944138388E-2</v>
      </c>
    </row>
    <row r="24" spans="1:41" x14ac:dyDescent="0.3">
      <c r="A24" s="4" t="s">
        <v>439</v>
      </c>
      <c r="B24" s="3" t="s">
        <v>617</v>
      </c>
      <c r="C24" s="196">
        <f>(T7/P7)^(1/5)-1</f>
        <v>0.11133681528957662</v>
      </c>
    </row>
    <row r="25" spans="1:41" x14ac:dyDescent="0.3">
      <c r="A25" s="4" t="s">
        <v>439</v>
      </c>
      <c r="B25" s="3" t="s">
        <v>618</v>
      </c>
      <c r="C25" s="196">
        <f>(AA7/W7)^(1/5)-1</f>
        <v>8.6298386703859808E-2</v>
      </c>
    </row>
    <row r="26" spans="1:41" x14ac:dyDescent="0.3">
      <c r="A26" s="4" t="s">
        <v>439</v>
      </c>
      <c r="B26" s="3" t="s">
        <v>619</v>
      </c>
      <c r="C26" s="196">
        <f>(AH7/AD7)^(1/5)-1</f>
        <v>4.8776075096977456E-2</v>
      </c>
    </row>
    <row r="27" spans="1:41" x14ac:dyDescent="0.3">
      <c r="A27" s="4" t="s">
        <v>439</v>
      </c>
      <c r="B27" s="3" t="s">
        <v>526</v>
      </c>
      <c r="C27" s="196">
        <f>(AO7/AK7)^(1/5)-1</f>
        <v>6.6898864447261452E-2</v>
      </c>
    </row>
    <row r="28" spans="1:41" x14ac:dyDescent="0.3">
      <c r="A28" s="382" t="s">
        <v>447</v>
      </c>
      <c r="B28" s="382"/>
      <c r="C28" s="372">
        <f>AVERAGE(C22:C27)</f>
        <v>7.697489244137605E-2</v>
      </c>
    </row>
    <row r="29" spans="1:41" x14ac:dyDescent="0.3">
      <c r="A29" s="4" t="s">
        <v>623</v>
      </c>
      <c r="B29" s="3" t="str">
        <f>B22</f>
        <v>Divi</v>
      </c>
      <c r="C29" s="370">
        <f>AVERAGE('Income Statement'!B65:F65)</f>
        <v>0.12480972603687468</v>
      </c>
    </row>
    <row r="30" spans="1:41" x14ac:dyDescent="0.3">
      <c r="A30" s="4" t="s">
        <v>623</v>
      </c>
      <c r="B30" s="3" t="str">
        <f t="shared" ref="B30:B33" si="46">B23</f>
        <v>Sun</v>
      </c>
      <c r="C30" s="370">
        <f>AVERAGE('Income Statement'!J80:N80)</f>
        <v>4.1327124420653109E-2</v>
      </c>
    </row>
    <row r="31" spans="1:41" x14ac:dyDescent="0.3">
      <c r="A31" s="4" t="s">
        <v>623</v>
      </c>
      <c r="B31" s="3" t="str">
        <f t="shared" si="46"/>
        <v>Mankind</v>
      </c>
      <c r="C31" s="370">
        <f>AVERAGE('Income Statement'!R83:V83)</f>
        <v>5.3489393761940299E-2</v>
      </c>
    </row>
    <row r="32" spans="1:41" x14ac:dyDescent="0.3">
      <c r="A32" s="4" t="s">
        <v>623</v>
      </c>
      <c r="B32" s="3" t="str">
        <f t="shared" si="46"/>
        <v>Dr Reddy's</v>
      </c>
      <c r="C32" s="370">
        <f>AVERAGE('Income Statement'!Z87:AD87)</f>
        <v>5.9838756831213979E-2</v>
      </c>
    </row>
    <row r="33" spans="1:3" x14ac:dyDescent="0.3">
      <c r="A33" s="4" t="s">
        <v>623</v>
      </c>
      <c r="B33" s="3" t="str">
        <f t="shared" si="46"/>
        <v>Torrent</v>
      </c>
      <c r="C33" s="370">
        <f>AVERAGE('Income Statement'!AH88:AL88)</f>
        <v>4.6574884816295306E-2</v>
      </c>
    </row>
    <row r="34" spans="1:3" x14ac:dyDescent="0.3">
      <c r="A34" s="4" t="s">
        <v>623</v>
      </c>
      <c r="B34" s="3" t="str">
        <f>B27</f>
        <v>Cipla</v>
      </c>
      <c r="C34" s="370">
        <f>AVERAGE('Income Statement'!AP88:AT88)</f>
        <v>3.6342485792726496E-2</v>
      </c>
    </row>
    <row r="35" spans="1:3" x14ac:dyDescent="0.3">
      <c r="A35" s="382" t="s">
        <v>447</v>
      </c>
      <c r="B35" s="382"/>
      <c r="C35" s="373">
        <f>AVERAGE(C29:C34)</f>
        <v>6.0397061943283974E-2</v>
      </c>
    </row>
    <row r="36" spans="1:3" x14ac:dyDescent="0.3">
      <c r="A36" s="4" t="s">
        <v>624</v>
      </c>
      <c r="B36" s="3" t="str">
        <f>B29</f>
        <v>Divi</v>
      </c>
      <c r="C36" s="196">
        <f>('Income Statement'!G21-'Income Statement'!B21)/'Income Statement'!B21</f>
        <v>0.59167187295683388</v>
      </c>
    </row>
    <row r="37" spans="1:3" x14ac:dyDescent="0.3">
      <c r="A37" s="4" t="s">
        <v>624</v>
      </c>
      <c r="B37" s="3" t="str">
        <f t="shared" ref="B37:B41" si="47">B30</f>
        <v>Sun</v>
      </c>
      <c r="C37" s="196">
        <f>('Income Statement'!O30-'Income Statement'!J30)/'Income Statement'!J30</f>
        <v>1.9028534395061754</v>
      </c>
    </row>
    <row r="38" spans="1:3" x14ac:dyDescent="0.3">
      <c r="A38" s="4" t="s">
        <v>624</v>
      </c>
      <c r="B38" s="3" t="str">
        <f t="shared" si="47"/>
        <v>Mankind</v>
      </c>
      <c r="C38" s="196">
        <f>('Income Statement'!W25-'Income Statement'!R25)/'Income Statement'!R25</f>
        <v>0.89992768005611601</v>
      </c>
    </row>
    <row r="39" spans="1:3" x14ac:dyDescent="0.3">
      <c r="A39" s="4" t="s">
        <v>624</v>
      </c>
      <c r="B39" s="3" t="str">
        <f t="shared" si="47"/>
        <v>Dr Reddy's</v>
      </c>
      <c r="C39" s="196">
        <f>('Income Statement'!AE26-'Income Statement'!Z26)/'Income Statement'!Z26</f>
        <v>1.8258637709772987</v>
      </c>
    </row>
    <row r="40" spans="1:3" x14ac:dyDescent="0.3">
      <c r="A40" s="4" t="s">
        <v>624</v>
      </c>
      <c r="B40" s="3" t="str">
        <f t="shared" si="47"/>
        <v>Torrent</v>
      </c>
      <c r="C40" s="196">
        <f>('Income Statement'!AM25-'Income Statement'!AH25)/'Income Statement'!AH25</f>
        <v>0.8651436489967983</v>
      </c>
    </row>
    <row r="41" spans="1:3" x14ac:dyDescent="0.3">
      <c r="A41" s="4" t="s">
        <v>624</v>
      </c>
      <c r="B41" s="3" t="str">
        <f t="shared" si="47"/>
        <v>Cipla</v>
      </c>
      <c r="C41" s="196">
        <f>('Income Statement'!AU26-'Income Statement'!AP26)/'Income Statement'!AP26</f>
        <v>2.5139244558258684</v>
      </c>
    </row>
    <row r="42" spans="1:3" x14ac:dyDescent="0.3">
      <c r="A42" s="382" t="s">
        <v>447</v>
      </c>
      <c r="B42" s="382"/>
      <c r="C42" s="372">
        <f>AVERAGE(C36:C41)</f>
        <v>1.4332308113865151</v>
      </c>
    </row>
    <row r="43" spans="1:3" x14ac:dyDescent="0.3">
      <c r="A43" s="4" t="s">
        <v>625</v>
      </c>
      <c r="B43" s="3">
        <v>2020</v>
      </c>
      <c r="C43" s="196">
        <f>AVERAGE(-5.8%,9.7%)</f>
        <v>1.9499999999999997E-2</v>
      </c>
    </row>
    <row r="44" spans="1:3" x14ac:dyDescent="0.3">
      <c r="A44" s="4" t="s">
        <v>625</v>
      </c>
      <c r="B44" s="3">
        <v>2025</v>
      </c>
      <c r="C44" s="196">
        <v>7.8E-2</v>
      </c>
    </row>
    <row r="45" spans="1:3" x14ac:dyDescent="0.3">
      <c r="A45" s="383" t="s">
        <v>626</v>
      </c>
      <c r="B45" s="383"/>
      <c r="C45" s="196">
        <f>C44-C43</f>
        <v>5.8500000000000003E-2</v>
      </c>
    </row>
    <row r="46" spans="1:3" x14ac:dyDescent="0.3">
      <c r="A46" s="11" t="s">
        <v>627</v>
      </c>
      <c r="B46" s="349">
        <v>2025</v>
      </c>
      <c r="C46" s="128">
        <f>C42/C45</f>
        <v>24.499671989513079</v>
      </c>
    </row>
    <row r="47" spans="1:3" x14ac:dyDescent="0.3">
      <c r="A47" s="4" t="s">
        <v>628</v>
      </c>
      <c r="B47" s="3" t="str">
        <f>B36</f>
        <v>Divi</v>
      </c>
      <c r="C47" s="196">
        <f>(DCF!F7/DCF!B7)^(1/5)-1</f>
        <v>7.6933593166442549E-2</v>
      </c>
    </row>
    <row r="48" spans="1:3" x14ac:dyDescent="0.3">
      <c r="A48" s="4" t="s">
        <v>628</v>
      </c>
      <c r="B48" s="3" t="str">
        <f t="shared" ref="B48:B52" si="48">B37</f>
        <v>Sun</v>
      </c>
      <c r="C48" s="196">
        <f>(DCF!M7/DCF!I7)^(1/5)-1</f>
        <v>6.7264991170779442E-2</v>
      </c>
    </row>
    <row r="49" spans="1:3" x14ac:dyDescent="0.3">
      <c r="A49" s="4" t="s">
        <v>628</v>
      </c>
      <c r="B49" s="3" t="str">
        <f t="shared" si="48"/>
        <v>Mankind</v>
      </c>
      <c r="C49" s="196">
        <f>(DCF!T7/DCF!P7)^(1/5)-1</f>
        <v>0.11133681528957662</v>
      </c>
    </row>
    <row r="50" spans="1:3" x14ac:dyDescent="0.3">
      <c r="A50" s="4" t="s">
        <v>628</v>
      </c>
      <c r="B50" s="3" t="str">
        <f t="shared" si="48"/>
        <v>Dr Reddy's</v>
      </c>
      <c r="C50" s="196">
        <f>(DCF!AA7/DCF!W7)^(1/5)-1</f>
        <v>8.6539805007947779E-2</v>
      </c>
    </row>
    <row r="51" spans="1:3" x14ac:dyDescent="0.3">
      <c r="A51" s="4" t="s">
        <v>628</v>
      </c>
      <c r="B51" s="3" t="str">
        <f t="shared" si="48"/>
        <v>Torrent</v>
      </c>
      <c r="C51" s="196">
        <f>(DCF!AH7/DCF!AD7)^(1/5)-1</f>
        <v>4.8999243828878436E-2</v>
      </c>
    </row>
    <row r="52" spans="1:3" x14ac:dyDescent="0.3">
      <c r="A52" s="4" t="s">
        <v>628</v>
      </c>
      <c r="B52" s="3" t="str">
        <f t="shared" si="48"/>
        <v>Cipla</v>
      </c>
      <c r="C52" s="196">
        <f>(DCF!AO7/DCF!AK7)^(1/5)-1</f>
        <v>6.6898864447261452E-2</v>
      </c>
    </row>
    <row r="53" spans="1:3" x14ac:dyDescent="0.3">
      <c r="A53" s="4" t="s">
        <v>628</v>
      </c>
      <c r="B53" s="349" t="s">
        <v>447</v>
      </c>
      <c r="C53" s="373">
        <f>AVERAGE(C47:C52)</f>
        <v>7.6328885485147713E-2</v>
      </c>
    </row>
  </sheetData>
  <mergeCells count="10">
    <mergeCell ref="A28:B28"/>
    <mergeCell ref="A35:B35"/>
    <mergeCell ref="A42:B42"/>
    <mergeCell ref="A45:B45"/>
    <mergeCell ref="AJ2:AO2"/>
    <mergeCell ref="A2:F2"/>
    <mergeCell ref="H2:M2"/>
    <mergeCell ref="O2:T2"/>
    <mergeCell ref="V2:AA2"/>
    <mergeCell ref="AC2:AH2"/>
  </mergeCells>
  <pageMargins left="0.7" right="0.7" top="0.75" bottom="0.75" header="0.3" footer="0.3"/>
  <picture r:id="rId1"/>
  <tableParts count="6">
    <tablePart r:id="rId2"/>
    <tablePart r:id="rId3"/>
    <tablePart r:id="rId4"/>
    <tablePart r:id="rId5"/>
    <tablePart r:id="rId6"/>
    <tablePart r:id="rId7"/>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00C1F-A36E-494E-ABA1-FB14EDD6FEDE}">
  <dimension ref="A1:G25"/>
  <sheetViews>
    <sheetView topLeftCell="C1" workbookViewId="0">
      <selection activeCell="G11" sqref="G11"/>
    </sheetView>
  </sheetViews>
  <sheetFormatPr defaultRowHeight="14.4" x14ac:dyDescent="0.3"/>
  <cols>
    <col min="1" max="1" width="13.33203125" style="1" bestFit="1" customWidth="1"/>
    <col min="2" max="2" width="13.109375" style="1" bestFit="1" customWidth="1"/>
    <col min="3" max="3" width="11.44140625" style="1" bestFit="1" customWidth="1"/>
    <col min="4" max="4" width="15.88671875" style="1" bestFit="1" customWidth="1"/>
    <col min="5" max="5" width="14.44140625" style="1" bestFit="1" customWidth="1"/>
    <col min="6" max="6" width="15.109375" style="1" bestFit="1" customWidth="1"/>
    <col min="7" max="7" width="17.33203125" style="1" bestFit="1" customWidth="1"/>
    <col min="8" max="16384" width="8.88671875" style="1"/>
  </cols>
  <sheetData>
    <row r="1" spans="1:7" x14ac:dyDescent="0.3">
      <c r="A1" s="4" t="s">
        <v>2</v>
      </c>
      <c r="B1" s="4" t="s">
        <v>629</v>
      </c>
      <c r="C1" s="4" t="s">
        <v>630</v>
      </c>
      <c r="D1" s="4" t="s">
        <v>631</v>
      </c>
      <c r="E1" s="4" t="s">
        <v>632</v>
      </c>
      <c r="F1" s="4" t="s">
        <v>633</v>
      </c>
      <c r="G1" s="4" t="s">
        <v>634</v>
      </c>
    </row>
    <row r="2" spans="1:7" x14ac:dyDescent="0.3">
      <c r="A2" s="4" t="str">
        <f>'Income Statement Forecast'!B22</f>
        <v>Divi</v>
      </c>
      <c r="B2" s="84">
        <f>(('Income Statement'!G17+'Income Statement'!G13)-('Income Statement'!B17+'Income Statement'!B13))</f>
        <v>1092.44</v>
      </c>
      <c r="C2" s="84">
        <f>('Balance Sheet'!G28-'Balance Sheet'!G52)-('Balance Sheet'!B28-'Balance Sheet'!B52)</f>
        <v>7871.130000000001</v>
      </c>
      <c r="D2" s="196">
        <f>B2/C2</f>
        <v>0.13879074542028907</v>
      </c>
      <c r="E2" s="84">
        <f>'Income Statement Forecast'!F16-'Income Statement Forecast'!B16</f>
        <v>1301.2999712865139</v>
      </c>
      <c r="F2" s="84">
        <f>('Balance Sheet Forecast'!F16-'Balance Sheet Forecast'!F31)-('Balance Sheet Forecast'!B16-'Balance Sheet Forecast'!B31)</f>
        <v>8317.874044040982</v>
      </c>
      <c r="G2" s="196">
        <f>E2/F2</f>
        <v>0.15644622224338439</v>
      </c>
    </row>
    <row r="3" spans="1:7" x14ac:dyDescent="0.3">
      <c r="A3" s="4" t="str">
        <f>'Income Statement Forecast'!B23</f>
        <v>Sun</v>
      </c>
      <c r="B3" s="84">
        <f>(('Income Statement'!O18+'Income Statement'!O13)-('Income Statement'!J18+'Income Statement'!J13))</f>
        <v>9088.3799999999974</v>
      </c>
      <c r="C3" s="84">
        <f>('Balance Sheet'!O30-'Balance Sheet'!O54)-('Balance Sheet'!J30-'Balance Sheet'!J54)</f>
        <v>21329.930000000029</v>
      </c>
      <c r="D3" s="196">
        <f t="shared" ref="D3:D7" si="0">B3/C3</f>
        <v>0.42608578649812656</v>
      </c>
      <c r="E3" s="84">
        <f>'Income Statement Forecast'!M16-'Income Statement Forecast'!I16</f>
        <v>5043.2010991022471</v>
      </c>
      <c r="F3" s="84">
        <f>('Balance Sheet Forecast'!M16-'Balance Sheet Forecast'!M31)-('Balance Sheet Forecast'!I16-'Balance Sheet Forecast'!I31)</f>
        <v>31565.370609690115</v>
      </c>
      <c r="G3" s="196">
        <f t="shared" ref="G3:G7" si="1">E3/F3</f>
        <v>0.15977005819009954</v>
      </c>
    </row>
    <row r="4" spans="1:7" x14ac:dyDescent="0.3">
      <c r="A4" s="4" t="str">
        <f>'Income Statement Forecast'!B24</f>
        <v>Mankind</v>
      </c>
      <c r="B4" s="84">
        <f>(('Income Statement'!W20+'Income Statement'!W13)-('Income Statement'!R20+'Income Statement'!R13))</f>
        <v>1486.033100000001</v>
      </c>
      <c r="C4" s="84">
        <f>('Balance Sheet'!W32-'Balance Sheet'!W57)-('Balance Sheet'!R32-'Balance Sheet'!R57)</f>
        <v>18287.809100000006</v>
      </c>
      <c r="D4" s="196">
        <f t="shared" si="0"/>
        <v>8.1258126212614523E-2</v>
      </c>
      <c r="E4" s="84">
        <f>'Income Statement Forecast'!T16-'Income Statement Forecast'!P16</f>
        <v>3227.8406163900827</v>
      </c>
      <c r="F4" s="84">
        <f>('Balance Sheet Forecast'!T16-'Balance Sheet Forecast'!T31)-('Balance Sheet Forecast'!P16-'Balance Sheet Forecast'!P31)</f>
        <v>14028.022766521288</v>
      </c>
      <c r="G4" s="196">
        <f t="shared" si="1"/>
        <v>0.23009947090287852</v>
      </c>
    </row>
    <row r="5" spans="1:7" x14ac:dyDescent="0.3">
      <c r="A5" s="4" t="str">
        <f>'Income Statement Forecast'!B25</f>
        <v>Dr Reddy's</v>
      </c>
      <c r="B5" s="84">
        <f>(('Income Statement'!AE20+'Income Statement'!AE17)-('Income Statement'!Z20+'Income Statement'!Z17))</f>
        <v>6012.8000000000038</v>
      </c>
      <c r="C5" s="84">
        <f>('Balance Sheet'!AE29-'Balance Sheet'!AE56)-('Balance Sheet'!Z29-'Balance Sheet'!Z56)</f>
        <v>19710.2</v>
      </c>
      <c r="D5" s="196">
        <f t="shared" si="0"/>
        <v>0.30506032409615347</v>
      </c>
      <c r="E5" s="84">
        <f>'Income Statement Forecast'!AA16-'Income Statement Forecast'!W16</f>
        <v>2430.5301386119236</v>
      </c>
      <c r="F5" s="84">
        <f>('Balance Sheet Forecast'!AA16-'Balance Sheet Forecast'!AA31)-('Balance Sheet Forecast'!W16-'Balance Sheet Forecast'!W31)</f>
        <v>17436.776297858072</v>
      </c>
      <c r="G5" s="196">
        <f t="shared" si="1"/>
        <v>0.13939102601840966</v>
      </c>
    </row>
    <row r="6" spans="1:7" x14ac:dyDescent="0.3">
      <c r="A6" s="4" t="str">
        <f>'Income Statement Forecast'!B26</f>
        <v>Torrent</v>
      </c>
      <c r="B6" s="84">
        <f>(('Income Statement'!AM17+'Income Statement'!AM13)-('Income Statement'!AH17+'Income Statement'!AH13))</f>
        <v>1312.0499999999997</v>
      </c>
      <c r="C6" s="84">
        <f>('Balance Sheet'!AM30-'Balance Sheet'!AM55)-('Balance Sheet'!AH30-'Balance Sheet'!AH55)</f>
        <v>1716.9699999999975</v>
      </c>
      <c r="D6" s="196">
        <f t="shared" si="0"/>
        <v>0.76416594349348077</v>
      </c>
      <c r="E6" s="84">
        <f>'Income Statement Forecast'!AH16-'Income Statement Forecast'!AD16</f>
        <v>620.10129511082596</v>
      </c>
      <c r="F6" s="84">
        <f>('Balance Sheet Forecast'!AH16-'Balance Sheet Forecast'!AH31)-('Balance Sheet Forecast'!AD16-'Balance Sheet Forecast'!AD31)</f>
        <v>2768.9549684486665</v>
      </c>
      <c r="G6" s="196">
        <f t="shared" si="1"/>
        <v>0.2239477716960647</v>
      </c>
    </row>
    <row r="7" spans="1:7" x14ac:dyDescent="0.3">
      <c r="A7" s="4" t="str">
        <f>'Income Statement Forecast'!B27</f>
        <v>Cipla</v>
      </c>
      <c r="B7" s="84">
        <f>(('Income Statement'!AU18+'Income Statement'!AU14)-('Income Statement'!AP18+'Income Statement'!AP14))</f>
        <v>4507.2800000000025</v>
      </c>
      <c r="C7" s="84">
        <f>('Balance Sheet'!AU32-'Balance Sheet'!AU59)-('Balance Sheet'!AP32-'Balance Sheet'!AP59)</f>
        <v>12633.660000000007</v>
      </c>
      <c r="D7" s="196">
        <f t="shared" si="0"/>
        <v>0.35676755587850234</v>
      </c>
      <c r="E7" s="84">
        <f>'Income Statement Forecast'!AO16-'Income Statement Forecast'!AK16</f>
        <v>240.28906981111822</v>
      </c>
      <c r="F7" s="84">
        <f>('Balance Sheet Forecast'!AO16-'Balance Sheet Forecast'!AO31)-('Balance Sheet Forecast'!AK16-'Balance Sheet Forecast'!AK31)</f>
        <v>17893.384149284611</v>
      </c>
      <c r="G7" s="196">
        <f t="shared" si="1"/>
        <v>1.3428933722452113E-2</v>
      </c>
    </row>
    <row r="8" spans="1:7" s="21" customFormat="1" x14ac:dyDescent="0.3">
      <c r="A8" s="11" t="s">
        <v>447</v>
      </c>
      <c r="B8" s="11"/>
      <c r="C8" s="11"/>
      <c r="D8" s="373">
        <f>AVERAGE(D2:D7)</f>
        <v>0.34535474693319451</v>
      </c>
      <c r="E8" s="11"/>
      <c r="F8" s="11"/>
      <c r="G8" s="373">
        <f>AVERAGE(G2:G7)</f>
        <v>0.15384724712888151</v>
      </c>
    </row>
    <row r="11" spans="1:7" x14ac:dyDescent="0.3">
      <c r="A11" s="1" t="s">
        <v>635</v>
      </c>
      <c r="B11" s="1" t="str">
        <f>A2</f>
        <v>Divi</v>
      </c>
      <c r="C11" s="228">
        <f>('Income Statement Forecast'!F20/'Income Statement Forecast'!B20)^(1/5)-1</f>
        <v>7.1131276328607829E-2</v>
      </c>
      <c r="D11" s="1" t="s">
        <v>636</v>
      </c>
      <c r="E11" s="1" t="str">
        <f>B11</f>
        <v>Divi</v>
      </c>
      <c r="F11" s="159">
        <f>-AVERAGE('Cash Flow Statement Forecast'!B13:F13)/AVERAGE('Income Statement Forecast'!B7:F7)</f>
        <v>0.12480972603687467</v>
      </c>
    </row>
    <row r="12" spans="1:7" x14ac:dyDescent="0.3">
      <c r="A12" s="1" t="s">
        <v>635</v>
      </c>
      <c r="B12" s="1" t="str">
        <f t="shared" ref="B12:B16" si="2">A3</f>
        <v>Sun</v>
      </c>
      <c r="C12" s="228">
        <f>('Income Statement Forecast'!M20/'Income Statement Forecast'!I20)^(1/5)-1</f>
        <v>7.1776232268531359E-2</v>
      </c>
      <c r="D12" s="1" t="s">
        <v>636</v>
      </c>
      <c r="E12" s="1" t="str">
        <f t="shared" ref="E12:E16" si="3">B12</f>
        <v>Sun</v>
      </c>
      <c r="F12" s="159">
        <f>-AVERAGE('Cash Flow Statement Forecast'!I13:M13)/AVERAGE('Income Statement Forecast'!I7:M7)</f>
        <v>3.9320107480500639E-2</v>
      </c>
    </row>
    <row r="13" spans="1:7" x14ac:dyDescent="0.3">
      <c r="A13" s="1" t="s">
        <v>635</v>
      </c>
      <c r="B13" s="1" t="str">
        <f t="shared" si="2"/>
        <v>Mankind</v>
      </c>
      <c r="C13" s="228">
        <f>('Income Statement Forecast'!T20/'Income Statement Forecast'!P20)^(1/5)-1</f>
        <v>0.16852628375778611</v>
      </c>
      <c r="D13" s="1" t="s">
        <v>636</v>
      </c>
      <c r="E13" s="1" t="str">
        <f t="shared" si="3"/>
        <v>Mankind</v>
      </c>
      <c r="F13" s="159">
        <f>-AVERAGE(Table45[[#This Row],[2026]:[2030]])/AVERAGE('Income Statement Forecast'!P7:T7)</f>
        <v>4.9944897835381828E-2</v>
      </c>
    </row>
    <row r="14" spans="1:7" x14ac:dyDescent="0.3">
      <c r="A14" s="1" t="s">
        <v>635</v>
      </c>
      <c r="B14" s="1" t="str">
        <f t="shared" si="2"/>
        <v>Dr Reddy's</v>
      </c>
      <c r="C14" s="228">
        <f>('Income Statement Forecast'!AA20/'Income Statement Forecast'!W20)^(1/5)-1</f>
        <v>7.2733411201120424E-2</v>
      </c>
      <c r="D14" s="1" t="s">
        <v>636</v>
      </c>
      <c r="E14" s="1" t="str">
        <f t="shared" si="3"/>
        <v>Dr Reddy's</v>
      </c>
      <c r="F14" s="159">
        <f>-AVERAGE('Cash Flow Statement Forecast'!W13:AA13)/AVERAGE('Income Statement Forecast'!W7:AA7)</f>
        <v>5.7944798045502274E-2</v>
      </c>
    </row>
    <row r="15" spans="1:7" x14ac:dyDescent="0.3">
      <c r="A15" s="1" t="s">
        <v>635</v>
      </c>
      <c r="B15" s="1" t="str">
        <f t="shared" si="2"/>
        <v>Torrent</v>
      </c>
      <c r="C15" s="228">
        <f>('Income Statement Forecast'!AH20/'Income Statement Forecast'!AD20)^(1/5)-1</f>
        <v>4.6450520864542932E-2</v>
      </c>
      <c r="D15" s="1" t="s">
        <v>636</v>
      </c>
      <c r="E15" s="1" t="str">
        <f t="shared" si="3"/>
        <v>Torrent</v>
      </c>
      <c r="F15" s="159">
        <f>-AVERAGE('Cash Flow Statement Forecast'!AD13:AH13)/AVERAGE('Income Statement Forecast'!AD7:AH7)</f>
        <v>4.6538004455648256E-2</v>
      </c>
    </row>
    <row r="16" spans="1:7" x14ac:dyDescent="0.3">
      <c r="A16" s="1" t="s">
        <v>635</v>
      </c>
      <c r="B16" s="1" t="str">
        <f t="shared" si="2"/>
        <v>Cipla</v>
      </c>
      <c r="C16" s="228">
        <f>('Income Statement Forecast'!AO20/'Income Statement Forecast'!AK20)^(1/5)-1</f>
        <v>-8.7063994965999036E-3</v>
      </c>
      <c r="D16" s="1" t="s">
        <v>636</v>
      </c>
      <c r="E16" s="1" t="str">
        <f t="shared" si="3"/>
        <v>Cipla</v>
      </c>
      <c r="F16" s="159">
        <f>-AVERAGE('Cash Flow Statement Forecast'!AK13:AO13)/AVERAGE('Income Statement Forecast'!AK7:AO7)</f>
        <v>3.4729107256622753E-2</v>
      </c>
    </row>
    <row r="17" spans="1:6" x14ac:dyDescent="0.3">
      <c r="A17" s="21" t="s">
        <v>635</v>
      </c>
      <c r="B17" s="21" t="str">
        <f>A8</f>
        <v>Average</v>
      </c>
      <c r="C17" s="374">
        <f>AVERAGE(C11:C16)</f>
        <v>7.0318554153998125E-2</v>
      </c>
      <c r="D17" s="21" t="s">
        <v>636</v>
      </c>
      <c r="E17" s="21" t="str">
        <f>B17</f>
        <v>Average</v>
      </c>
      <c r="F17" s="376">
        <f>AVERAGE(F11:F16)</f>
        <v>5.8881106851755072E-2</v>
      </c>
    </row>
    <row r="19" spans="1:6" x14ac:dyDescent="0.3">
      <c r="A19" s="1" t="s">
        <v>367</v>
      </c>
      <c r="B19" s="1" t="str">
        <f>B11</f>
        <v>Divi</v>
      </c>
      <c r="C19" s="159">
        <f>AVERAGE('Income Statement Forecast'!B14:F14)/AVERAGE('Income Statement Forecast'!B7:F7)</f>
        <v>0.33512006293256941</v>
      </c>
    </row>
    <row r="20" spans="1:6" x14ac:dyDescent="0.3">
      <c r="A20" s="1" t="s">
        <v>367</v>
      </c>
      <c r="B20" s="1" t="str">
        <f t="shared" ref="B20:B24" si="4">B12</f>
        <v>Sun</v>
      </c>
      <c r="C20" s="159">
        <f>AVERAGE('Income Statement Forecast'!I14:M14)/AVERAGE('Income Statement Forecast'!I7:M7)</f>
        <v>0.25378515982586969</v>
      </c>
    </row>
    <row r="21" spans="1:6" x14ac:dyDescent="0.3">
      <c r="A21" s="1" t="s">
        <v>367</v>
      </c>
      <c r="B21" s="1" t="str">
        <f t="shared" si="4"/>
        <v>Mankind</v>
      </c>
      <c r="C21" s="159">
        <f>AVERAGE('Income Statement Forecast'!P14:T14)/AVERAGE('Income Statement Forecast'!P7:T7)</f>
        <v>0.28442970641454335</v>
      </c>
    </row>
    <row r="22" spans="1:6" x14ac:dyDescent="0.3">
      <c r="A22" s="1" t="s">
        <v>367</v>
      </c>
      <c r="B22" s="1" t="str">
        <f t="shared" si="4"/>
        <v>Dr Reddy's</v>
      </c>
      <c r="C22" s="159">
        <f>AVERAGE('Income Statement Forecast'!W14:AA14)/AVERAGE('Income Statement Forecast'!W7:AA7)</f>
        <v>0.21719018568027032</v>
      </c>
    </row>
    <row r="23" spans="1:6" x14ac:dyDescent="0.3">
      <c r="A23" s="1" t="s">
        <v>367</v>
      </c>
      <c r="B23" s="1" t="str">
        <f t="shared" si="4"/>
        <v>Torrent</v>
      </c>
      <c r="C23" s="159">
        <f>AVERAGE('Income Statement Forecast'!AD14:AH14)/AVERAGE('Income Statement Forecast'!AD7:AH7)</f>
        <v>0.25470323400381939</v>
      </c>
    </row>
    <row r="24" spans="1:6" x14ac:dyDescent="0.3">
      <c r="A24" s="1" t="s">
        <v>367</v>
      </c>
      <c r="B24" s="1" t="str">
        <f t="shared" si="4"/>
        <v>Cipla</v>
      </c>
      <c r="C24" s="159">
        <f>AVERAGE('Income Statement Forecast'!AK14:AO14)/AVERAGE('Income Statement Forecast'!AK7:AO7)</f>
        <v>0.1474851342934746</v>
      </c>
    </row>
    <row r="25" spans="1:6" x14ac:dyDescent="0.3">
      <c r="A25" s="21" t="s">
        <v>367</v>
      </c>
      <c r="B25" s="21" t="str">
        <f>B17</f>
        <v>Average</v>
      </c>
      <c r="C25" s="375">
        <f>AVERAGE(C19:C24)</f>
        <v>0.24878558052509112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929EC-5AF4-4A8F-A899-A05725F0737D}">
  <dimension ref="A1:AS23"/>
  <sheetViews>
    <sheetView topLeftCell="AC1" workbookViewId="0">
      <selection activeCell="AS3" sqref="AS3"/>
    </sheetView>
  </sheetViews>
  <sheetFormatPr defaultRowHeight="14.4" x14ac:dyDescent="0.3"/>
  <cols>
    <col min="1" max="1" width="26.33203125" style="1" bestFit="1" customWidth="1"/>
    <col min="2" max="2" width="9.88671875" style="1" bestFit="1" customWidth="1"/>
    <col min="3" max="7" width="8.88671875" style="1"/>
    <col min="8" max="8" width="26.33203125" style="1" bestFit="1" customWidth="1"/>
    <col min="9" max="9" width="10.88671875" style="49" bestFit="1" customWidth="1"/>
    <col min="10" max="13" width="9.88671875" style="49" bestFit="1" customWidth="1"/>
    <col min="14" max="14" width="8.88671875" style="1"/>
    <col min="15" max="15" width="26.33203125" style="1" bestFit="1" customWidth="1"/>
    <col min="16" max="16" width="10.88671875" style="49" bestFit="1" customWidth="1"/>
    <col min="17" max="20" width="8.88671875" style="49"/>
    <col min="21" max="21" width="8.88671875" style="1"/>
    <col min="22" max="22" width="26.33203125" style="1" bestFit="1" customWidth="1"/>
    <col min="23" max="23" width="10.88671875" style="1" bestFit="1" customWidth="1"/>
    <col min="24" max="28" width="8.88671875" style="1"/>
    <col min="29" max="29" width="26.33203125" style="1" bestFit="1" customWidth="1"/>
    <col min="30" max="30" width="10.88671875" style="1" bestFit="1" customWidth="1"/>
    <col min="31" max="35" width="8.88671875" style="1"/>
    <col min="36" max="36" width="26.33203125" style="1" bestFit="1" customWidth="1"/>
    <col min="37" max="37" width="10.88671875" style="1" bestFit="1" customWidth="1"/>
    <col min="38" max="38" width="8.88671875" style="1"/>
    <col min="39" max="41" width="9.6640625" style="1" bestFit="1" customWidth="1"/>
    <col min="42" max="44" width="8.88671875" style="1"/>
    <col min="45" max="45" width="9.44140625" style="1" bestFit="1" customWidth="1"/>
    <col min="46" max="16384" width="8.88671875" style="1"/>
  </cols>
  <sheetData>
    <row r="1" spans="1:45" ht="36" customHeight="1" x14ac:dyDescent="0.3">
      <c r="A1" s="378" t="e" vm="4">
        <v>#VALUE!</v>
      </c>
      <c r="B1" s="378"/>
      <c r="C1" s="378"/>
      <c r="D1" s="378"/>
      <c r="E1" s="378"/>
      <c r="F1" s="378"/>
      <c r="H1" s="381" t="e" vm="6">
        <v>#VALUE!</v>
      </c>
      <c r="I1" s="381"/>
      <c r="J1" s="381"/>
      <c r="K1" s="381"/>
      <c r="L1" s="381"/>
      <c r="M1" s="381"/>
      <c r="O1" s="378" t="e" vm="5">
        <v>#VALUE!</v>
      </c>
      <c r="P1" s="378"/>
      <c r="Q1" s="378"/>
      <c r="R1" s="378"/>
      <c r="S1" s="378"/>
      <c r="T1" s="378"/>
      <c r="V1" s="378" t="e" vm="3">
        <v>#VALUE!</v>
      </c>
      <c r="W1" s="378"/>
      <c r="X1" s="378"/>
      <c r="Y1" s="378"/>
      <c r="Z1" s="378"/>
      <c r="AA1" s="378"/>
      <c r="AC1" s="378" t="e" vm="1">
        <v>#VALUE!</v>
      </c>
      <c r="AD1" s="378"/>
      <c r="AE1" s="378"/>
      <c r="AF1" s="378"/>
      <c r="AG1" s="378"/>
      <c r="AH1" s="378"/>
      <c r="AJ1" s="378" t="e" vm="2">
        <v>#VALUE!</v>
      </c>
      <c r="AK1" s="378"/>
      <c r="AL1" s="378"/>
      <c r="AM1" s="378"/>
      <c r="AN1" s="378"/>
      <c r="AO1" s="378"/>
    </row>
    <row r="2" spans="1:45" ht="22.8" customHeight="1" x14ac:dyDescent="0.3">
      <c r="A2" s="185" t="s">
        <v>486</v>
      </c>
      <c r="B2" s="186" t="s">
        <v>392</v>
      </c>
      <c r="C2" s="186" t="s">
        <v>407</v>
      </c>
      <c r="D2" s="186" t="s">
        <v>408</v>
      </c>
      <c r="E2" s="186" t="s">
        <v>409</v>
      </c>
      <c r="F2" s="186" t="s">
        <v>410</v>
      </c>
      <c r="H2" s="193" t="s">
        <v>486</v>
      </c>
      <c r="I2" s="194" t="s">
        <v>392</v>
      </c>
      <c r="J2" s="194" t="s">
        <v>407</v>
      </c>
      <c r="K2" s="194" t="s">
        <v>408</v>
      </c>
      <c r="L2" s="194" t="s">
        <v>409</v>
      </c>
      <c r="M2" s="195" t="s">
        <v>410</v>
      </c>
      <c r="O2" s="197" t="s">
        <v>12</v>
      </c>
      <c r="P2" s="198" t="s">
        <v>392</v>
      </c>
      <c r="Q2" s="198" t="s">
        <v>407</v>
      </c>
      <c r="R2" s="198" t="s">
        <v>408</v>
      </c>
      <c r="S2" s="198" t="s">
        <v>409</v>
      </c>
      <c r="T2" s="198" t="s">
        <v>410</v>
      </c>
      <c r="V2" s="39" t="s">
        <v>12</v>
      </c>
      <c r="W2" s="40" t="s">
        <v>392</v>
      </c>
      <c r="X2" s="40" t="s">
        <v>407</v>
      </c>
      <c r="Y2" s="40" t="s">
        <v>408</v>
      </c>
      <c r="Z2" s="40" t="s">
        <v>409</v>
      </c>
      <c r="AA2" s="40" t="s">
        <v>410</v>
      </c>
      <c r="AC2" s="14" t="s">
        <v>12</v>
      </c>
      <c r="AD2" s="15" t="s">
        <v>392</v>
      </c>
      <c r="AE2" s="15" t="s">
        <v>407</v>
      </c>
      <c r="AF2" s="15" t="s">
        <v>408</v>
      </c>
      <c r="AG2" s="15" t="s">
        <v>409</v>
      </c>
      <c r="AH2" s="15" t="s">
        <v>410</v>
      </c>
      <c r="AJ2" s="220" t="s">
        <v>12</v>
      </c>
      <c r="AK2" s="221" t="s">
        <v>392</v>
      </c>
      <c r="AL2" s="221" t="s">
        <v>407</v>
      </c>
      <c r="AM2" s="221" t="s">
        <v>408</v>
      </c>
      <c r="AN2" s="221" t="s">
        <v>409</v>
      </c>
      <c r="AO2" s="221" t="s">
        <v>410</v>
      </c>
    </row>
    <row r="3" spans="1:45" x14ac:dyDescent="0.3">
      <c r="A3" s="4" t="s">
        <v>417</v>
      </c>
      <c r="B3" s="84">
        <f>'Income Statement Forecast'!B16</f>
        <v>3176.2833607432003</v>
      </c>
      <c r="C3" s="84">
        <f>'Income Statement Forecast'!C16</f>
        <v>3455.0269178754634</v>
      </c>
      <c r="D3" s="84">
        <f>'Income Statement Forecast'!D16</f>
        <v>3762.9900751377932</v>
      </c>
      <c r="E3" s="84">
        <f>'Income Statement Forecast'!E16</f>
        <v>4102.8567902635587</v>
      </c>
      <c r="F3" s="84">
        <f>'Income Statement Forecast'!F16</f>
        <v>4477.5833320297143</v>
      </c>
      <c r="H3" s="4" t="s">
        <v>417</v>
      </c>
      <c r="I3" s="162">
        <f>'Income Statement Forecast'!I16</f>
        <v>12709.798784011415</v>
      </c>
      <c r="J3" s="162">
        <f>'Income Statement Forecast'!J16</f>
        <v>13621.423853905768</v>
      </c>
      <c r="K3" s="162">
        <f>'Income Statement Forecast'!K16</f>
        <v>14754.29057445841</v>
      </c>
      <c r="L3" s="162">
        <f>'Income Statement Forecast'!L16</f>
        <v>16124.023856155982</v>
      </c>
      <c r="M3" s="162">
        <f>'Income Statement Forecast'!M16</f>
        <v>17752.999883113662</v>
      </c>
      <c r="O3" s="4" t="s">
        <v>417</v>
      </c>
      <c r="P3" s="162">
        <f>'Income Statement Forecast'!P16</f>
        <v>3167.9434615444052</v>
      </c>
      <c r="Q3" s="162">
        <f>'Income Statement Forecast'!Q16</f>
        <v>3771.4127281959445</v>
      </c>
      <c r="R3" s="162">
        <f>'Income Statement Forecast'!R16</f>
        <v>4490.5497019737068</v>
      </c>
      <c r="S3" s="162">
        <f>'Income Statement Forecast'!S16</f>
        <v>5353.4221721570475</v>
      </c>
      <c r="T3" s="162">
        <f>'Income Statement Forecast'!T16</f>
        <v>6395.7840779344879</v>
      </c>
      <c r="V3" s="4" t="s">
        <v>417</v>
      </c>
      <c r="W3" s="162">
        <f>'Income Statement Forecast'!W16</f>
        <v>5738.3998401797162</v>
      </c>
      <c r="X3" s="162">
        <f>'Income Statement Forecast'!X16</f>
        <v>6235.8352933695096</v>
      </c>
      <c r="Y3" s="162">
        <f>'Income Statement Forecast'!Y16</f>
        <v>6803.1411663886511</v>
      </c>
      <c r="Z3" s="162">
        <f>'Income Statement Forecast'!Z16</f>
        <v>7445.4871906976459</v>
      </c>
      <c r="AA3" s="162">
        <f>'Income Statement Forecast'!AA16</f>
        <v>8168.9299787916398</v>
      </c>
      <c r="AC3" s="4" t="s">
        <v>417</v>
      </c>
      <c r="AD3" s="162">
        <f>'Income Statement Forecast'!AD16</f>
        <v>2385.4830352112413</v>
      </c>
      <c r="AE3" s="162">
        <f>'Income Statement Forecast'!AE16</f>
        <v>2525.045353189952</v>
      </c>
      <c r="AF3" s="162">
        <f>'Income Statement Forecast'!AF16</f>
        <v>2674.7064060347457</v>
      </c>
      <c r="AG3" s="162">
        <f>'Income Statement Forecast'!AG16</f>
        <v>2834.7574605980644</v>
      </c>
      <c r="AH3" s="162">
        <f>'Income Statement Forecast'!AH16</f>
        <v>3005.5843303220672</v>
      </c>
      <c r="AJ3" s="4" t="s">
        <v>417</v>
      </c>
      <c r="AK3" s="162">
        <f>'Income Statement Forecast'!AK16</f>
        <v>3412.0340221478768</v>
      </c>
      <c r="AL3" s="162">
        <f>'Income Statement Forecast'!AL16</f>
        <v>3278.541850894404</v>
      </c>
      <c r="AM3" s="162">
        <f>'Income Statement Forecast'!AM16</f>
        <v>3212.2767744341827</v>
      </c>
      <c r="AN3" s="162">
        <f>'Income Statement Forecast'!AN16</f>
        <v>3204.2827256823552</v>
      </c>
      <c r="AO3" s="162">
        <f>'Income Statement Forecast'!AO16</f>
        <v>3652.3230919589951</v>
      </c>
    </row>
    <row r="4" spans="1:45" x14ac:dyDescent="0.3">
      <c r="A4" s="4" t="s">
        <v>528</v>
      </c>
      <c r="B4" s="84">
        <f>B3*0.25</f>
        <v>794.07084018580008</v>
      </c>
      <c r="C4" s="84">
        <f t="shared" ref="C4:F4" si="0">C3*0.25</f>
        <v>863.75672946886584</v>
      </c>
      <c r="D4" s="84">
        <f t="shared" si="0"/>
        <v>940.74751878444829</v>
      </c>
      <c r="E4" s="84">
        <f t="shared" si="0"/>
        <v>1025.7141975658897</v>
      </c>
      <c r="F4" s="84">
        <f t="shared" si="0"/>
        <v>1119.3958330074286</v>
      </c>
      <c r="H4" s="4" t="s">
        <v>528</v>
      </c>
      <c r="I4" s="162">
        <f>I3*0.25</f>
        <v>3177.4496960028537</v>
      </c>
      <c r="J4" s="162">
        <f t="shared" ref="J4:M4" si="1">J3*0.25</f>
        <v>3405.355963476442</v>
      </c>
      <c r="K4" s="162">
        <f t="shared" si="1"/>
        <v>3688.5726436146024</v>
      </c>
      <c r="L4" s="162">
        <f t="shared" si="1"/>
        <v>4031.0059640389954</v>
      </c>
      <c r="M4" s="162">
        <f t="shared" si="1"/>
        <v>4438.2499707784154</v>
      </c>
      <c r="O4" s="4" t="s">
        <v>528</v>
      </c>
      <c r="P4" s="162">
        <f>P3*0.25</f>
        <v>791.9858653861013</v>
      </c>
      <c r="Q4" s="162">
        <f t="shared" ref="Q4:T4" si="2">Q3*0.25</f>
        <v>942.85318204898613</v>
      </c>
      <c r="R4" s="162">
        <f t="shared" si="2"/>
        <v>1122.6374254934267</v>
      </c>
      <c r="S4" s="162">
        <f t="shared" si="2"/>
        <v>1338.3555430392619</v>
      </c>
      <c r="T4" s="162">
        <f t="shared" si="2"/>
        <v>1598.946019483622</v>
      </c>
      <c r="V4" s="4" t="s">
        <v>528</v>
      </c>
      <c r="W4" s="162">
        <f>W3*0.25</f>
        <v>1434.599960044929</v>
      </c>
      <c r="X4" s="162">
        <f t="shared" ref="X4:AA4" si="3">X3*0.25</f>
        <v>1558.9588233423774</v>
      </c>
      <c r="Y4" s="162">
        <f t="shared" si="3"/>
        <v>1700.7852915971628</v>
      </c>
      <c r="Z4" s="162">
        <f t="shared" si="3"/>
        <v>1861.3717976744115</v>
      </c>
      <c r="AA4" s="162">
        <f t="shared" si="3"/>
        <v>2042.2324946979099</v>
      </c>
      <c r="AC4" s="4" t="s">
        <v>528</v>
      </c>
      <c r="AD4" s="162">
        <f>AD3*0.25</f>
        <v>596.37075880281031</v>
      </c>
      <c r="AE4" s="162">
        <f t="shared" ref="AE4:AH4" si="4">AE3*0.25</f>
        <v>631.26133829748801</v>
      </c>
      <c r="AF4" s="162">
        <f t="shared" si="4"/>
        <v>668.67660150868642</v>
      </c>
      <c r="AG4" s="162">
        <f t="shared" si="4"/>
        <v>708.68936514951611</v>
      </c>
      <c r="AH4" s="162">
        <f t="shared" si="4"/>
        <v>751.3960825805168</v>
      </c>
      <c r="AJ4" s="4" t="s">
        <v>528</v>
      </c>
      <c r="AK4" s="162">
        <f>AK3*0.25</f>
        <v>853.00850553696921</v>
      </c>
      <c r="AL4" s="162">
        <f t="shared" ref="AL4:AO4" si="5">AL3*0.25</f>
        <v>819.63546272360099</v>
      </c>
      <c r="AM4" s="162">
        <f t="shared" si="5"/>
        <v>803.06919360854567</v>
      </c>
      <c r="AN4" s="162">
        <f t="shared" si="5"/>
        <v>801.07068142058881</v>
      </c>
      <c r="AO4" s="162">
        <f t="shared" si="5"/>
        <v>913.08077298974877</v>
      </c>
    </row>
    <row r="5" spans="1:45" x14ac:dyDescent="0.3">
      <c r="A5" s="4" t="s">
        <v>529</v>
      </c>
      <c r="B5" s="84">
        <f>B3-B4</f>
        <v>2382.2125205574002</v>
      </c>
      <c r="C5" s="84">
        <f t="shared" ref="C5:F5" si="6">C3-C4</f>
        <v>2591.2701884065973</v>
      </c>
      <c r="D5" s="84">
        <f t="shared" si="6"/>
        <v>2822.2425563533448</v>
      </c>
      <c r="E5" s="84">
        <f t="shared" si="6"/>
        <v>3077.142592697669</v>
      </c>
      <c r="F5" s="84">
        <f t="shared" si="6"/>
        <v>3358.1874990222859</v>
      </c>
      <c r="H5" s="4" t="s">
        <v>529</v>
      </c>
      <c r="I5" s="162">
        <f>I3-I4</f>
        <v>9532.349088008561</v>
      </c>
      <c r="J5" s="162">
        <f t="shared" ref="J5:M5" si="7">J3-J4</f>
        <v>10216.067890429325</v>
      </c>
      <c r="K5" s="162">
        <f t="shared" si="7"/>
        <v>11065.717930843806</v>
      </c>
      <c r="L5" s="162">
        <f t="shared" si="7"/>
        <v>12093.017892116986</v>
      </c>
      <c r="M5" s="162">
        <f t="shared" si="7"/>
        <v>13314.749912335246</v>
      </c>
      <c r="O5" s="4" t="s">
        <v>529</v>
      </c>
      <c r="P5" s="162">
        <f>P3-P4</f>
        <v>2375.9575961583041</v>
      </c>
      <c r="Q5" s="162">
        <f t="shared" ref="Q5:T5" si="8">Q3-Q4</f>
        <v>2828.5595461469584</v>
      </c>
      <c r="R5" s="162">
        <f t="shared" si="8"/>
        <v>3367.9122764802801</v>
      </c>
      <c r="S5" s="162">
        <f t="shared" si="8"/>
        <v>4015.0666291177859</v>
      </c>
      <c r="T5" s="162">
        <f t="shared" si="8"/>
        <v>4796.8380584508659</v>
      </c>
      <c r="V5" s="4" t="s">
        <v>529</v>
      </c>
      <c r="W5" s="162">
        <f>W3-W4</f>
        <v>4303.7998801347876</v>
      </c>
      <c r="X5" s="162">
        <f t="shared" ref="X5:AA5" si="9">X3-X4</f>
        <v>4676.8764700271322</v>
      </c>
      <c r="Y5" s="162">
        <f t="shared" si="9"/>
        <v>5102.3558747914885</v>
      </c>
      <c r="Z5" s="162">
        <f t="shared" si="9"/>
        <v>5584.115393023234</v>
      </c>
      <c r="AA5" s="162">
        <f t="shared" si="9"/>
        <v>6126.6974840937301</v>
      </c>
      <c r="AC5" s="4" t="s">
        <v>529</v>
      </c>
      <c r="AD5" s="162">
        <f>AD3-AD4</f>
        <v>1789.1122764084309</v>
      </c>
      <c r="AE5" s="162">
        <f t="shared" ref="AE5:AH5" si="10">AE3-AE4</f>
        <v>1893.784014892464</v>
      </c>
      <c r="AF5" s="162">
        <f t="shared" si="10"/>
        <v>2006.0298045260593</v>
      </c>
      <c r="AG5" s="162">
        <f t="shared" si="10"/>
        <v>2126.0680954485483</v>
      </c>
      <c r="AH5" s="162">
        <f t="shared" si="10"/>
        <v>2254.1882477415502</v>
      </c>
      <c r="AJ5" s="4" t="s">
        <v>529</v>
      </c>
      <c r="AK5" s="162">
        <f>AK3-AK4</f>
        <v>2559.0255166109077</v>
      </c>
      <c r="AL5" s="162">
        <f t="shared" ref="AL5:AO5" si="11">AL3-AL4</f>
        <v>2458.906388170803</v>
      </c>
      <c r="AM5" s="162">
        <f t="shared" si="11"/>
        <v>2409.2075808256368</v>
      </c>
      <c r="AN5" s="162">
        <f t="shared" si="11"/>
        <v>2403.2120442617666</v>
      </c>
      <c r="AO5" s="162">
        <f t="shared" si="11"/>
        <v>2739.2423189692463</v>
      </c>
    </row>
    <row r="6" spans="1:45" x14ac:dyDescent="0.3">
      <c r="A6" s="4" t="s">
        <v>530</v>
      </c>
      <c r="B6" s="84">
        <f>'Income Statement Forecast'!B15</f>
        <v>394.31253315750388</v>
      </c>
      <c r="C6" s="84">
        <f>'Income Statement Forecast'!C15</f>
        <v>462.1582750392397</v>
      </c>
      <c r="D6" s="84">
        <f>'Income Statement Forecast'!D15</f>
        <v>534.44505553660065</v>
      </c>
      <c r="E6" s="84">
        <f>'Income Statement Forecast'!E15</f>
        <v>611.75997675520512</v>
      </c>
      <c r="F6" s="84">
        <f>'Income Statement Forecast'!F15</f>
        <v>694.73591413197846</v>
      </c>
      <c r="H6" s="4" t="s">
        <v>530</v>
      </c>
      <c r="I6" s="162">
        <f>'Income Statement Forecast'!I15</f>
        <v>2423.9149631508226</v>
      </c>
      <c r="J6" s="162">
        <f>'Income Statement Forecast'!J15</f>
        <v>3084.7833590041432</v>
      </c>
      <c r="K6" s="162">
        <f>'Income Statement Forecast'!K15</f>
        <v>3717.6066339968993</v>
      </c>
      <c r="L6" s="162">
        <f>'Income Statement Forecast'!L15</f>
        <v>4335.5260364047126</v>
      </c>
      <c r="M6" s="162">
        <f>'Income Statement Forecast'!M15</f>
        <v>4949.9326621969376</v>
      </c>
      <c r="O6" s="4" t="s">
        <v>530</v>
      </c>
      <c r="P6" s="162">
        <f>'Income Statement Forecast'!P15</f>
        <v>734.52176433850127</v>
      </c>
      <c r="Q6" s="162">
        <f>'Income Statement Forecast'!Q15</f>
        <v>768.14579892760617</v>
      </c>
      <c r="R6" s="162">
        <f>'Income Statement Forecast'!R15</f>
        <v>809.97028377205288</v>
      </c>
      <c r="S6" s="162">
        <f>'Income Statement Forecast'!S15</f>
        <v>860.98296987883509</v>
      </c>
      <c r="T6" s="162">
        <f>'Income Statement Forecast'!T15</f>
        <v>922.3462335388067</v>
      </c>
      <c r="V6" s="4" t="s">
        <v>530</v>
      </c>
      <c r="W6" s="162">
        <f>'Income Statement Forecast'!W15</f>
        <v>2406.6946360051829</v>
      </c>
      <c r="X6" s="162">
        <f>'Income Statement Forecast'!X15</f>
        <v>2788.009645213584</v>
      </c>
      <c r="Y6" s="162">
        <f>'Income Statement Forecast'!Y15</f>
        <v>3194.3562945912627</v>
      </c>
      <c r="Z6" s="162">
        <f>'Income Statement Forecast'!Z15</f>
        <v>3630.8236692687005</v>
      </c>
      <c r="AA6" s="162">
        <f>'Income Statement Forecast'!AA15</f>
        <v>4102.7239211433762</v>
      </c>
      <c r="AC6" s="4" t="s">
        <v>530</v>
      </c>
      <c r="AD6" s="162">
        <f>'Income Statement Forecast'!AD15</f>
        <v>745.1730117932932</v>
      </c>
      <c r="AE6" s="162">
        <f>'Income Statement Forecast'!AE15</f>
        <v>793.18053116800752</v>
      </c>
      <c r="AF6" s="162">
        <f>'Income Statement Forecast'!AF15</f>
        <v>843.93200230488833</v>
      </c>
      <c r="AG6" s="162">
        <f>'Income Statement Forecast'!AG15</f>
        <v>897.61846648959545</v>
      </c>
      <c r="AH6" s="162">
        <f>'Income Statement Forecast'!AH15</f>
        <v>954.44048648932699</v>
      </c>
      <c r="AJ6" s="4" t="s">
        <v>530</v>
      </c>
      <c r="AK6" s="162">
        <f>'Income Statement Forecast'!AK15</f>
        <v>1131.2064261670998</v>
      </c>
      <c r="AL6" s="162">
        <f>'Income Statement Forecast'!AL15</f>
        <v>1647.745840660564</v>
      </c>
      <c r="AM6" s="162">
        <f>'Income Statement Forecast'!AM15</f>
        <v>2129.3535776722028</v>
      </c>
      <c r="AN6" s="162">
        <f>'Income Statement Forecast'!AN15</f>
        <v>2587.7086023495499</v>
      </c>
      <c r="AO6" s="162">
        <f>'Income Statement Forecast'!AO15</f>
        <v>2628</v>
      </c>
      <c r="AS6" s="160"/>
    </row>
    <row r="7" spans="1:45" x14ac:dyDescent="0.3">
      <c r="A7" s="4" t="s">
        <v>295</v>
      </c>
      <c r="B7" s="84">
        <f>'Income Statement'!B58</f>
        <v>1329.8072678979124</v>
      </c>
      <c r="C7" s="84">
        <f>'Income Statement'!C58</f>
        <v>1458.8885144180697</v>
      </c>
      <c r="D7" s="84">
        <f>'Income Statement'!D58</f>
        <v>1600.5060891523974</v>
      </c>
      <c r="E7" s="84">
        <f>'Income Statement'!E58</f>
        <v>1755.8782422969041</v>
      </c>
      <c r="F7" s="84">
        <f>'Income Statement'!F58</f>
        <v>1926.341689123487</v>
      </c>
      <c r="H7" s="4" t="s">
        <v>295</v>
      </c>
      <c r="I7" s="162">
        <f>'Income Statement'!J69</f>
        <v>2445.2223736940282</v>
      </c>
      <c r="J7" s="162">
        <f>'Income Statement'!K69</f>
        <v>2652.5201432780277</v>
      </c>
      <c r="K7" s="162">
        <f>'Income Statement'!L69</f>
        <v>2877.3919240181503</v>
      </c>
      <c r="L7" s="162">
        <f>'Income Statement'!M69</f>
        <v>3121.3275817664767</v>
      </c>
      <c r="M7" s="162">
        <f>'Income Statement'!N69</f>
        <v>3385.9432882159931</v>
      </c>
      <c r="O7" s="4" t="s">
        <v>295</v>
      </c>
      <c r="P7" s="162">
        <f>'Income Statement'!R69</f>
        <v>724.05236197712259</v>
      </c>
      <c r="Q7" s="162">
        <f>'Income Statement'!S69</f>
        <v>824.51786104288738</v>
      </c>
      <c r="R7" s="162">
        <f>'Income Statement'!T69</f>
        <v>940.07538942789131</v>
      </c>
      <c r="S7" s="162">
        <f>'Income Statement'!U69</f>
        <v>1073.3314279317303</v>
      </c>
      <c r="T7" s="162">
        <f>'Income Statement'!V69</f>
        <v>1227.4349408148539</v>
      </c>
      <c r="V7" s="4" t="s">
        <v>295</v>
      </c>
      <c r="W7" s="162">
        <f>'Income Statement'!Z71</f>
        <v>2166.9138858547767</v>
      </c>
      <c r="X7" s="162">
        <f>'Income Statement'!AA71</f>
        <v>2403.8020658236032</v>
      </c>
      <c r="Y7" s="162">
        <f>'Income Statement'!AB71</f>
        <v>2666.5869877789282</v>
      </c>
      <c r="Z7" s="162">
        <f>'Income Statement'!AC71</f>
        <v>2958.0996973457532</v>
      </c>
      <c r="AA7" s="162">
        <f>'Income Statement'!AD71</f>
        <v>3281.4807315644489</v>
      </c>
      <c r="AC7" s="4" t="s">
        <v>295</v>
      </c>
      <c r="AD7" s="162">
        <f>'Income Statement'!AH71</f>
        <v>570.56152322901994</v>
      </c>
      <c r="AE7" s="162">
        <f>'Income Statement'!AI71</f>
        <v>605.71935308957097</v>
      </c>
      <c r="AF7" s="162">
        <f>'Income Statement'!AJ71</f>
        <v>643.04359787678595</v>
      </c>
      <c r="AG7" s="162">
        <f>'Income Statement'!AK71</f>
        <v>682.66775142839845</v>
      </c>
      <c r="AH7" s="162">
        <f>'Income Statement'!AL71</f>
        <v>724.73353343236772</v>
      </c>
      <c r="AJ7" s="4" t="s">
        <v>295</v>
      </c>
      <c r="AK7" s="162">
        <f>'Income Statement'!AP71</f>
        <v>1069.8209387543588</v>
      </c>
      <c r="AL7" s="162">
        <f>'Income Statement'!AQ71</f>
        <v>1160.0191059022723</v>
      </c>
      <c r="AM7" s="162">
        <f>'Income Statement'!AR71</f>
        <v>1257.8220463521109</v>
      </c>
      <c r="AN7" s="162">
        <f>'Income Statement'!AS71</f>
        <v>1363.8709353607621</v>
      </c>
      <c r="AO7" s="162">
        <f>'Income Statement'!AT71</f>
        <v>1478.8610073262066</v>
      </c>
      <c r="AS7" s="363"/>
    </row>
    <row r="8" spans="1:45" x14ac:dyDescent="0.3">
      <c r="A8" s="4" t="s">
        <v>531</v>
      </c>
      <c r="B8" s="84">
        <f>'Cash Flow Statement Forecast'!B7</f>
        <v>288.69563582018054</v>
      </c>
      <c r="C8" s="84">
        <f>'Cash Flow Statement Forecast'!C7</f>
        <v>-130.22708729461374</v>
      </c>
      <c r="D8" s="84">
        <f>'Cash Flow Statement Forecast'!D7</f>
        <v>-158.71485560231849</v>
      </c>
      <c r="E8" s="84">
        <f>'Cash Flow Statement Forecast'!E7</f>
        <v>-759.43281480948463</v>
      </c>
      <c r="F8" s="84">
        <f>'Cash Flow Statement Forecast'!F7</f>
        <v>-967.71609588817773</v>
      </c>
      <c r="H8" s="4" t="s">
        <v>531</v>
      </c>
      <c r="I8" s="162">
        <f>'Cash Flow Statement Forecast'!I7</f>
        <v>2916.3041593845919</v>
      </c>
      <c r="J8" s="162">
        <f>'Cash Flow Statement Forecast'!J7</f>
        <v>3163.5386662223682</v>
      </c>
      <c r="K8" s="162">
        <f>'Cash Flow Statement Forecast'!K7</f>
        <v>3431.7328871471254</v>
      </c>
      <c r="L8" s="162">
        <f>'Cash Flow Statement Forecast'!L7</f>
        <v>3722.6637165747015</v>
      </c>
      <c r="M8" s="162">
        <f>'Cash Flow Statement Forecast'!M7</f>
        <v>4038.258688082904</v>
      </c>
      <c r="O8" s="4" t="s">
        <v>531</v>
      </c>
      <c r="P8" s="162">
        <f>'Cash Flow Statement Forecast'!P7</f>
        <v>110.00121498420958</v>
      </c>
      <c r="Q8" s="162">
        <f>'Cash Flow Statement Forecast'!Q7</f>
        <v>187.99209394904256</v>
      </c>
      <c r="R8" s="162">
        <f>'Cash Flow Statement Forecast'!R7</f>
        <v>212.38033337766728</v>
      </c>
      <c r="S8" s="162">
        <f>'Cash Flow Statement Forecast'!S7</f>
        <v>239.93246236107871</v>
      </c>
      <c r="T8" s="162">
        <f>'Cash Flow Statement Forecast'!T7</f>
        <v>271.05893271332434</v>
      </c>
      <c r="V8" s="4" t="s">
        <v>531</v>
      </c>
      <c r="W8" s="162">
        <f>'Cash Flow Statement Forecast'!W7</f>
        <v>1095.8460636845812</v>
      </c>
      <c r="X8" s="162">
        <f>'Cash Flow Statement Forecast'!X7</f>
        <v>307.47527446740605</v>
      </c>
      <c r="Y8" s="162">
        <f>'Cash Flow Statement Forecast'!Y7</f>
        <v>372.05121462098396</v>
      </c>
      <c r="Z8" s="162">
        <f>'Cash Flow Statement Forecast'!Z7</f>
        <v>437.6188595515232</v>
      </c>
      <c r="AA8" s="162">
        <f>'Cash Flow Statement Forecast'!AA7</f>
        <v>504.94857121282985</v>
      </c>
      <c r="AC8" s="4" t="s">
        <v>531</v>
      </c>
      <c r="AD8" s="162">
        <f>'Cash Flow Statement Forecast'!AD7</f>
        <v>-343.64464567874074</v>
      </c>
      <c r="AE8" s="162">
        <f>'Cash Flow Statement Forecast'!AE7</f>
        <v>-15.066396524389347</v>
      </c>
      <c r="AF8" s="162">
        <f>'Cash Flow Statement Forecast'!AF7</f>
        <v>-15.790462446893798</v>
      </c>
      <c r="AG8" s="162">
        <f>'Cash Flow Statement Forecast'!AG7</f>
        <v>-16.42229709134881</v>
      </c>
      <c r="AH8" s="162">
        <f>'Cash Flow Statement Forecast'!AH7</f>
        <v>-17.008206851673094</v>
      </c>
      <c r="AJ8" s="4" t="s">
        <v>531</v>
      </c>
      <c r="AK8" s="162">
        <f>'Cash Flow Statement Forecast'!AK7</f>
        <v>-400.26491264509241</v>
      </c>
      <c r="AL8" s="162">
        <f>'Cash Flow Statement Forecast'!AL7</f>
        <v>151.00536044968612</v>
      </c>
      <c r="AM8" s="162">
        <f>'Cash Flow Statement Forecast'!AM7</f>
        <v>1476.7790368835449</v>
      </c>
      <c r="AN8" s="162">
        <f>'Cash Flow Statement Forecast'!AN7</f>
        <v>1601.2890354057272</v>
      </c>
      <c r="AO8" s="162">
        <f>'Cash Flow Statement Forecast'!AO7</f>
        <v>1736.2967508670554</v>
      </c>
    </row>
    <row r="9" spans="1:45" s="21" customFormat="1" x14ac:dyDescent="0.3">
      <c r="A9" s="11" t="s">
        <v>532</v>
      </c>
      <c r="B9" s="48">
        <f>B5+B6-B7-B8</f>
        <v>1158.0221499968111</v>
      </c>
      <c r="C9" s="48">
        <f t="shared" ref="C9:F9" si="12">C5+C6-C7-C8</f>
        <v>1724.7670363223813</v>
      </c>
      <c r="D9" s="48">
        <f t="shared" si="12"/>
        <v>1914.8963783398665</v>
      </c>
      <c r="E9" s="48">
        <f t="shared" si="12"/>
        <v>2692.4571419654549</v>
      </c>
      <c r="F9" s="48">
        <f t="shared" si="12"/>
        <v>3094.2978199189552</v>
      </c>
      <c r="H9" s="11" t="s">
        <v>532</v>
      </c>
      <c r="I9" s="166">
        <f>I5+I6-I7-I8</f>
        <v>6594.737518080763</v>
      </c>
      <c r="J9" s="166">
        <f t="shared" ref="J9:M9" si="13">J5+J6-J7-J8</f>
        <v>7484.7924399330732</v>
      </c>
      <c r="K9" s="166">
        <f t="shared" si="13"/>
        <v>8474.1997536754316</v>
      </c>
      <c r="L9" s="166">
        <f t="shared" si="13"/>
        <v>9584.5526301805221</v>
      </c>
      <c r="M9" s="166">
        <f t="shared" si="13"/>
        <v>10840.480598233287</v>
      </c>
      <c r="O9" s="11" t="s">
        <v>532</v>
      </c>
      <c r="P9" s="166">
        <f>P5+P6-P7-P8</f>
        <v>2276.4257835354733</v>
      </c>
      <c r="Q9" s="166">
        <f t="shared" ref="Q9:T9" si="14">Q5+Q6-Q7-Q8</f>
        <v>2584.1953900826343</v>
      </c>
      <c r="R9" s="166">
        <f t="shared" si="14"/>
        <v>3025.4268374467742</v>
      </c>
      <c r="S9" s="166">
        <f t="shared" si="14"/>
        <v>3562.7857087038124</v>
      </c>
      <c r="T9" s="166">
        <f t="shared" si="14"/>
        <v>4220.6904184614941</v>
      </c>
      <c r="V9" s="11" t="s">
        <v>532</v>
      </c>
      <c r="W9" s="166">
        <f>W5+W6-W7-W8</f>
        <v>3447.7345666006122</v>
      </c>
      <c r="X9" s="166">
        <f t="shared" ref="X9:AA9" si="15">X5+X6-X7-X8</f>
        <v>4753.6087749497074</v>
      </c>
      <c r="Y9" s="166">
        <f t="shared" si="15"/>
        <v>5258.0739669828381</v>
      </c>
      <c r="Z9" s="166">
        <f t="shared" si="15"/>
        <v>5819.2205053946582</v>
      </c>
      <c r="AA9" s="166">
        <f t="shared" si="15"/>
        <v>6442.9921024598279</v>
      </c>
      <c r="AC9" s="11" t="s">
        <v>532</v>
      </c>
      <c r="AD9" s="166">
        <f>AD5+AD6-AD7-AD8</f>
        <v>2307.3684106514447</v>
      </c>
      <c r="AE9" s="166">
        <f t="shared" ref="AE9:AH9" si="16">AE5+AE6-AE7-AE8</f>
        <v>2096.3115894952898</v>
      </c>
      <c r="AF9" s="166">
        <f t="shared" si="16"/>
        <v>2222.7086714010552</v>
      </c>
      <c r="AG9" s="166">
        <f t="shared" si="16"/>
        <v>2357.4411076010942</v>
      </c>
      <c r="AH9" s="166">
        <f t="shared" si="16"/>
        <v>2500.9034076501821</v>
      </c>
      <c r="AJ9" s="11" t="s">
        <v>532</v>
      </c>
      <c r="AK9" s="166">
        <f>AK5+AK6-AK7-AK8</f>
        <v>3020.6759166687411</v>
      </c>
      <c r="AL9" s="166">
        <f t="shared" ref="AL9:AO9" si="17">AL5+AL6-AL7-AL8</f>
        <v>2795.6277624794088</v>
      </c>
      <c r="AM9" s="166">
        <f t="shared" si="17"/>
        <v>1803.9600752621836</v>
      </c>
      <c r="AN9" s="166">
        <f t="shared" si="17"/>
        <v>2025.7606758448273</v>
      </c>
      <c r="AO9" s="166">
        <f t="shared" si="17"/>
        <v>2152.0845607759843</v>
      </c>
    </row>
    <row r="10" spans="1:45" x14ac:dyDescent="0.3">
      <c r="A10" s="71" t="s">
        <v>533</v>
      </c>
      <c r="B10" s="187">
        <f ca="1">1/(1+WACC!$B$16)^1</f>
        <v>0.88797332701347076</v>
      </c>
      <c r="C10" s="187">
        <f ca="1">1/(1+WACC!$B$16)^2</f>
        <v>0.78849662948737231</v>
      </c>
      <c r="D10" s="187">
        <f ca="1">1/(1+WACC!$B$16)^3</f>
        <v>0.70016397542481001</v>
      </c>
      <c r="E10" s="187">
        <f ca="1">1/(1+WACC!$B$16)^4</f>
        <v>0.62172693471294649</v>
      </c>
      <c r="F10" s="187">
        <f ca="1">1/(1+WACC!$B$16)^5</f>
        <v>0.5520769347109421</v>
      </c>
      <c r="H10" s="4" t="s">
        <v>533</v>
      </c>
      <c r="I10" s="196">
        <f ca="1">1/(1+WACC!$C$16)^1</f>
        <v>0.87980144138111538</v>
      </c>
      <c r="J10" s="196">
        <f ca="1">1/(1+WACC!$C$16)^2</f>
        <v>0.77405057625628826</v>
      </c>
      <c r="K10" s="196">
        <f ca="1">1/(1+WACC!$C$16)^3</f>
        <v>0.68101081269216546</v>
      </c>
      <c r="L10" s="196">
        <f ca="1">1/(1+WACC!$C$16)^4</f>
        <v>0.59915429460269198</v>
      </c>
      <c r="M10" s="196">
        <f ca="1">1/(1+WACC!$C$16)^5</f>
        <v>0.52713681200113394</v>
      </c>
      <c r="O10" s="4" t="s">
        <v>533</v>
      </c>
      <c r="P10" s="196">
        <f ca="1">1/(1+WACC!$D$16)^1</f>
        <v>0.89962337631259148</v>
      </c>
      <c r="Q10" s="196">
        <f ca="1">1/(1+WACC!$D$16)^2</f>
        <v>0.80932221920806646</v>
      </c>
      <c r="R10" s="196">
        <f ca="1">1/(1+WACC!$D$16)^3</f>
        <v>0.72808518736876005</v>
      </c>
      <c r="S10" s="196">
        <f ca="1">1/(1+WACC!$D$16)^4</f>
        <v>0.65500245450386962</v>
      </c>
      <c r="T10" s="196">
        <f ca="1">1/(1+WACC!$D$16)^5</f>
        <v>0.58925551961380573</v>
      </c>
      <c r="V10" s="4" t="s">
        <v>533</v>
      </c>
      <c r="W10" s="196">
        <f ca="1">1/(1+WACC!$E$16)^1</f>
        <v>0.90502255635675732</v>
      </c>
      <c r="X10" s="196">
        <f ca="1">1/(1+WACC!$E$16)^2</f>
        <v>0.81906582751451984</v>
      </c>
      <c r="Y10" s="196">
        <f ca="1">1/(1+WACC!$E$16)^3</f>
        <v>0.74127304904165359</v>
      </c>
      <c r="Z10" s="196">
        <f ca="1">1/(1+WACC!$E$16)^4</f>
        <v>0.6708688298020451</v>
      </c>
      <c r="AA10" s="196">
        <f ca="1">1/(1+WACC!$E$16)^5</f>
        <v>0.60715142332751315</v>
      </c>
      <c r="AC10" s="4" t="s">
        <v>533</v>
      </c>
      <c r="AD10" s="196">
        <f ca="1">1/(1+WACC!$F$16)^1</f>
        <v>0.89150609265707048</v>
      </c>
      <c r="AE10" s="196">
        <f ca="1">1/(1+WACC!$F$16)^2</f>
        <v>0.79478311324467721</v>
      </c>
      <c r="AF10" s="196">
        <f ca="1">1/(1+WACC!$F$16)^3</f>
        <v>0.70855398779858414</v>
      </c>
      <c r="AG10" s="196">
        <f ca="1">1/(1+WACC!$F$16)^4</f>
        <v>0.63168019709890144</v>
      </c>
      <c r="AH10" s="196">
        <f ca="1">1/(1+WACC!$F$16)^5</f>
        <v>0.56314674432448975</v>
      </c>
      <c r="AJ10" s="4" t="s">
        <v>533</v>
      </c>
      <c r="AK10" s="196">
        <f ca="1">1/(1+WACC!$G$16)^1</f>
        <v>0.90226982761068375</v>
      </c>
      <c r="AL10" s="196">
        <f ca="1">1/(1+WACC!$G$16)^2</f>
        <v>0.81409084181661295</v>
      </c>
      <c r="AM10" s="196">
        <f ca="1">1/(1+WACC!$G$16)^3</f>
        <v>0.73452960350531182</v>
      </c>
      <c r="AN10" s="196">
        <f ca="1">1/(1+WACC!$G$16)^4</f>
        <v>0.66274389872968165</v>
      </c>
      <c r="AO10" s="196">
        <f ca="1">1/(1+WACC!$G$16)^5</f>
        <v>0.59797382325686232</v>
      </c>
    </row>
    <row r="11" spans="1:45" s="21" customFormat="1" x14ac:dyDescent="0.3">
      <c r="A11" s="188" t="s">
        <v>534</v>
      </c>
      <c r="B11" s="189">
        <f ca="1">B9*B10</f>
        <v>1028.2927812879609</v>
      </c>
      <c r="C11" s="189">
        <f t="shared" ref="C11:F11" ca="1" si="18">C9*C10</f>
        <v>1359.9729947911219</v>
      </c>
      <c r="D11" s="189">
        <f t="shared" ca="1" si="18"/>
        <v>1340.7414607850119</v>
      </c>
      <c r="E11" s="189">
        <f t="shared" ca="1" si="18"/>
        <v>1673.9731257201629</v>
      </c>
      <c r="F11" s="189">
        <f t="shared" ca="1" si="18"/>
        <v>1708.2904555036075</v>
      </c>
      <c r="H11" s="11" t="s">
        <v>534</v>
      </c>
      <c r="I11" s="166">
        <f ca="1">I9*I10</f>
        <v>5802.0595739375749</v>
      </c>
      <c r="J11" s="166">
        <f t="shared" ref="J11:M11" ca="1" si="19">J9*J10</f>
        <v>5793.6079012889049</v>
      </c>
      <c r="K11" s="166">
        <f t="shared" ca="1" si="19"/>
        <v>5771.0216611662536</v>
      </c>
      <c r="L11" s="166">
        <f t="shared" ca="1" si="19"/>
        <v>5742.6258702181867</v>
      </c>
      <c r="M11" s="166">
        <f t="shared" ca="1" si="19"/>
        <v>5714.4163831128399</v>
      </c>
      <c r="O11" s="11" t="s">
        <v>534</v>
      </c>
      <c r="P11" s="166">
        <f ca="1">P9*P10</f>
        <v>2047.9258493092191</v>
      </c>
      <c r="Q11" s="166">
        <f t="shared" ref="Q11:T11" ca="1" si="20">Q9*Q10</f>
        <v>2091.4467479689324</v>
      </c>
      <c r="R11" s="166">
        <f t="shared" ca="1" si="20"/>
        <v>2202.7684658129097</v>
      </c>
      <c r="S11" s="166">
        <f t="shared" ca="1" si="20"/>
        <v>2333.6333840723059</v>
      </c>
      <c r="T11" s="166">
        <f t="shared" ca="1" si="20"/>
        <v>2487.0651256595388</v>
      </c>
      <c r="V11" s="11" t="s">
        <v>534</v>
      </c>
      <c r="W11" s="166">
        <f ca="1">W9*W10</f>
        <v>3120.2775511044429</v>
      </c>
      <c r="X11" s="166">
        <f t="shared" ref="X11:AA11" ca="1" si="21">X9*X10</f>
        <v>3893.518504934465</v>
      </c>
      <c r="Y11" s="166">
        <f t="shared" ca="1" si="21"/>
        <v>3897.6685215919115</v>
      </c>
      <c r="Z11" s="166">
        <f t="shared" ca="1" si="21"/>
        <v>3903.9336508141796</v>
      </c>
      <c r="AA11" s="166">
        <f t="shared" ca="1" si="21"/>
        <v>3911.871825496411</v>
      </c>
      <c r="AC11" s="11" t="s">
        <v>534</v>
      </c>
      <c r="AD11" s="166">
        <f ca="1">AD9*AD10</f>
        <v>2057.0329961002244</v>
      </c>
      <c r="AE11" s="166">
        <f t="shared" ref="AE11:AH11" ca="1" si="22">AE9*AE10</f>
        <v>1666.1130514299641</v>
      </c>
      <c r="AF11" s="166">
        <f t="shared" ca="1" si="22"/>
        <v>1574.9090928357105</v>
      </c>
      <c r="AG11" s="166">
        <f t="shared" ca="1" si="22"/>
        <v>1489.1488634985117</v>
      </c>
      <c r="AH11" s="166">
        <f t="shared" ca="1" si="22"/>
        <v>1408.3756118882222</v>
      </c>
      <c r="AJ11" s="11" t="s">
        <v>534</v>
      </c>
      <c r="AK11" s="166">
        <f ca="1">AK9*AK10</f>
        <v>2725.464738600449</v>
      </c>
      <c r="AL11" s="166">
        <f t="shared" ref="AL11:AO11" ca="1" si="23">AL9*AL10</f>
        <v>2275.8949585627561</v>
      </c>
      <c r="AM11" s="166">
        <f t="shared" ca="1" si="23"/>
        <v>1325.0620788217443</v>
      </c>
      <c r="AN11" s="166">
        <f t="shared" ca="1" si="23"/>
        <v>1342.5605282026756</v>
      </c>
      <c r="AO11" s="166">
        <f t="shared" ca="1" si="23"/>
        <v>1286.8902327792807</v>
      </c>
    </row>
    <row r="13" spans="1:45" x14ac:dyDescent="0.3">
      <c r="A13" s="190" t="s">
        <v>12</v>
      </c>
      <c r="B13" s="191" t="s">
        <v>535</v>
      </c>
      <c r="H13" s="193" t="s">
        <v>12</v>
      </c>
      <c r="I13" s="195" t="s">
        <v>535</v>
      </c>
      <c r="O13" s="199" t="s">
        <v>12</v>
      </c>
      <c r="P13" s="200" t="s">
        <v>535</v>
      </c>
      <c r="V13" s="201" t="s">
        <v>12</v>
      </c>
      <c r="W13" s="202" t="s">
        <v>535</v>
      </c>
      <c r="AC13" s="218" t="s">
        <v>12</v>
      </c>
      <c r="AD13" s="219" t="s">
        <v>535</v>
      </c>
      <c r="AJ13" s="222" t="s">
        <v>12</v>
      </c>
      <c r="AK13" s="223" t="s">
        <v>535</v>
      </c>
    </row>
    <row r="14" spans="1:45" x14ac:dyDescent="0.3">
      <c r="A14" s="4" t="s">
        <v>537</v>
      </c>
      <c r="B14" s="84">
        <f ca="1">F9/(WACC!B16-WACC!B17)</f>
        <v>35913.411287539915</v>
      </c>
      <c r="H14" s="4" t="s">
        <v>537</v>
      </c>
      <c r="I14" s="84">
        <f ca="1">M9/(WACC!C16-WACC!C17)</f>
        <v>112196.95373262269</v>
      </c>
      <c r="O14" s="4" t="s">
        <v>537</v>
      </c>
      <c r="P14" s="84">
        <f ca="1">T9/(WACC!D16-WACC!D17)</f>
        <v>58967.730853516892</v>
      </c>
      <c r="V14" s="4" t="s">
        <v>537</v>
      </c>
      <c r="W14" s="84">
        <f ca="1">AA9/(WACC!E16-WACC!E17)</f>
        <v>99207.15042700035</v>
      </c>
      <c r="AC14" s="4" t="s">
        <v>537</v>
      </c>
      <c r="AD14" s="84">
        <f ca="1">AH9/(WACC!F16-WACC!F17)</f>
        <v>30611.814835923567</v>
      </c>
      <c r="AJ14" s="4" t="s">
        <v>537</v>
      </c>
      <c r="AK14" s="84">
        <f ca="1">AO9/(WACC!G16-WACC!G17)</f>
        <v>31501.955214058889</v>
      </c>
    </row>
    <row r="15" spans="1:45" x14ac:dyDescent="0.3">
      <c r="A15" s="4" t="s">
        <v>536</v>
      </c>
      <c r="B15" s="84">
        <f ca="1">B14*F10</f>
        <v>19826.966018638384</v>
      </c>
      <c r="H15" s="4" t="s">
        <v>536</v>
      </c>
      <c r="I15" s="84">
        <f ca="1">I14*M10</f>
        <v>59143.144506853445</v>
      </c>
      <c r="O15" s="4" t="s">
        <v>536</v>
      </c>
      <c r="P15" s="84">
        <f ca="1">P14*T10</f>
        <v>34747.060884536142</v>
      </c>
      <c r="V15" s="4" t="s">
        <v>536</v>
      </c>
      <c r="W15" s="84">
        <f ca="1">W14*AA10</f>
        <v>60233.76258601997</v>
      </c>
      <c r="AC15" s="4" t="s">
        <v>536</v>
      </c>
      <c r="AD15" s="84">
        <f ca="1">AD14*AH10</f>
        <v>17238.94386271447</v>
      </c>
      <c r="AJ15" s="4" t="s">
        <v>536</v>
      </c>
      <c r="AK15" s="84">
        <f ca="1">AK14*AO10</f>
        <v>18837.344599417243</v>
      </c>
    </row>
    <row r="16" spans="1:45" x14ac:dyDescent="0.3">
      <c r="A16" s="4" t="s">
        <v>534</v>
      </c>
      <c r="B16" s="84">
        <f ca="1">SUM(B11:F11)</f>
        <v>7111.2708180878653</v>
      </c>
      <c r="H16" s="4" t="s">
        <v>534</v>
      </c>
      <c r="I16" s="84">
        <f ca="1">SUM(I11:M11)</f>
        <v>28823.731389723762</v>
      </c>
      <c r="O16" s="4" t="s">
        <v>534</v>
      </c>
      <c r="P16" s="84">
        <f ca="1">SUM(P11:T11)</f>
        <v>11162.839572822906</v>
      </c>
      <c r="V16" s="4" t="s">
        <v>534</v>
      </c>
      <c r="W16" s="84">
        <f ca="1">SUM(W11:AA11)</f>
        <v>18727.270053941411</v>
      </c>
      <c r="AC16" s="4" t="s">
        <v>534</v>
      </c>
      <c r="AD16" s="84">
        <f ca="1">SUM(AD11:AH11)</f>
        <v>8195.5796157526329</v>
      </c>
      <c r="AJ16" s="4" t="s">
        <v>534</v>
      </c>
      <c r="AK16" s="364">
        <f ca="1">NPV(Table51[[#This Row],[Cipla]],DCF!AK9:AO9)</f>
        <v>8955.8725369669064</v>
      </c>
    </row>
    <row r="17" spans="1:37" x14ac:dyDescent="0.3">
      <c r="A17" s="4" t="s">
        <v>539</v>
      </c>
      <c r="B17" s="84">
        <f ca="1">B15+B16</f>
        <v>26938.23683672625</v>
      </c>
      <c r="H17" s="4" t="s">
        <v>539</v>
      </c>
      <c r="I17" s="84">
        <f ca="1">I15+I16</f>
        <v>87966.875896577199</v>
      </c>
      <c r="O17" s="4" t="s">
        <v>539</v>
      </c>
      <c r="P17" s="84">
        <f ca="1">SUM(P15:P16)</f>
        <v>45909.90045735905</v>
      </c>
      <c r="V17" s="4" t="s">
        <v>539</v>
      </c>
      <c r="W17" s="84">
        <f ca="1">W15+W16</f>
        <v>78961.032639961384</v>
      </c>
      <c r="AC17" s="4" t="s">
        <v>539</v>
      </c>
      <c r="AD17" s="84">
        <f ca="1">AD15+AD16</f>
        <v>25434.523478467105</v>
      </c>
      <c r="AJ17" s="4" t="s">
        <v>539</v>
      </c>
      <c r="AK17" s="84">
        <f ca="1">AK15+AK16</f>
        <v>27793.217136384148</v>
      </c>
    </row>
    <row r="18" spans="1:37" x14ac:dyDescent="0.3">
      <c r="A18" s="4" t="s">
        <v>519</v>
      </c>
      <c r="B18" s="84">
        <f>WACC!B19</f>
        <v>-411</v>
      </c>
      <c r="H18" s="4" t="s">
        <v>519</v>
      </c>
      <c r="I18" s="84">
        <f>WACC!C19</f>
        <v>-7797.2800000000007</v>
      </c>
      <c r="O18" s="4" t="s">
        <v>519</v>
      </c>
      <c r="P18" s="84">
        <f>WACC!D19</f>
        <v>8104.0899999999992</v>
      </c>
      <c r="V18" s="4" t="s">
        <v>519</v>
      </c>
      <c r="W18" s="84">
        <f>WACC!E19</f>
        <v>3211.1999999999994</v>
      </c>
      <c r="AC18" s="4" t="s">
        <v>519</v>
      </c>
      <c r="AD18" s="84">
        <f>WACC!F19</f>
        <v>2628.8399999999997</v>
      </c>
      <c r="AJ18" s="4" t="s">
        <v>519</v>
      </c>
      <c r="AK18" s="84">
        <f>WACC!G19</f>
        <v>-150.5</v>
      </c>
    </row>
    <row r="19" spans="1:37" x14ac:dyDescent="0.3">
      <c r="A19" s="4" t="s">
        <v>540</v>
      </c>
      <c r="B19" s="84">
        <f ca="1">B17-B18</f>
        <v>27349.23683672625</v>
      </c>
      <c r="H19" s="4" t="s">
        <v>540</v>
      </c>
      <c r="I19" s="84">
        <f ca="1">I17-I18</f>
        <v>95764.155896577198</v>
      </c>
      <c r="O19" s="4" t="s">
        <v>540</v>
      </c>
      <c r="P19" s="84">
        <f ca="1">P17-P18</f>
        <v>37805.810457359054</v>
      </c>
      <c r="V19" s="4" t="s">
        <v>540</v>
      </c>
      <c r="W19" s="84">
        <f ca="1">W17-W18</f>
        <v>75749.832639961387</v>
      </c>
      <c r="AC19" s="4" t="s">
        <v>540</v>
      </c>
      <c r="AD19" s="84">
        <f ca="1">AD17-AD18</f>
        <v>22805.683478467105</v>
      </c>
      <c r="AJ19" s="4" t="s">
        <v>540</v>
      </c>
      <c r="AK19" s="84">
        <f ca="1">AK17-AK18</f>
        <v>27943.717136384148</v>
      </c>
    </row>
    <row r="20" spans="1:37" x14ac:dyDescent="0.3">
      <c r="A20" s="4" t="s">
        <v>542</v>
      </c>
      <c r="B20" s="22">
        <f ca="1">'Company Profile'!E7/10000000</f>
        <v>26.546859999999999</v>
      </c>
      <c r="H20" s="4" t="s">
        <v>542</v>
      </c>
      <c r="I20" s="22">
        <f ca="1">'Company Profile'!G7/10000000</f>
        <v>239.93350000000001</v>
      </c>
      <c r="O20" s="4" t="s">
        <v>542</v>
      </c>
      <c r="P20" s="22">
        <f ca="1">'Company Profile'!F7/10000000</f>
        <v>41.275849999999998</v>
      </c>
      <c r="V20" s="4" t="s">
        <v>542</v>
      </c>
      <c r="W20" s="22">
        <f ca="1">'Company Profile'!D7/10000000</f>
        <v>83.251530000000002</v>
      </c>
      <c r="AC20" s="4" t="s">
        <v>542</v>
      </c>
      <c r="AD20" s="22">
        <f ca="1">'Relative Valuation'!F11</f>
        <v>33.844540000000002</v>
      </c>
      <c r="AJ20" s="4" t="s">
        <v>542</v>
      </c>
      <c r="AK20" s="22">
        <f ca="1">'Relative Valuation'!G11</f>
        <v>80.777119999999996</v>
      </c>
    </row>
    <row r="21" spans="1:37" x14ac:dyDescent="0.3">
      <c r="A21" s="4" t="s">
        <v>541</v>
      </c>
      <c r="B21" s="22">
        <f ca="1">B19/B20</f>
        <v>1030.2249244063612</v>
      </c>
      <c r="H21" s="4" t="s">
        <v>541</v>
      </c>
      <c r="I21" s="22">
        <f ca="1">I19/I20</f>
        <v>399.12790792689304</v>
      </c>
      <c r="O21" s="4" t="s">
        <v>541</v>
      </c>
      <c r="P21" s="22">
        <f ca="1">P19/P20</f>
        <v>915.93051281461328</v>
      </c>
      <c r="V21" s="4" t="s">
        <v>541</v>
      </c>
      <c r="W21" s="22">
        <f ca="1">W19/W20</f>
        <v>909.89117725477695</v>
      </c>
      <c r="AC21" s="4" t="s">
        <v>541</v>
      </c>
      <c r="AD21" s="22">
        <f ca="1">AD19/AD20</f>
        <v>673.83641433646619</v>
      </c>
      <c r="AJ21" s="4" t="s">
        <v>541</v>
      </c>
      <c r="AK21" s="22">
        <f ca="1">AK19/AK20</f>
        <v>345.93604149769328</v>
      </c>
    </row>
    <row r="22" spans="1:37" x14ac:dyDescent="0.3">
      <c r="A22" s="4" t="s">
        <v>543</v>
      </c>
      <c r="B22" s="22">
        <f ca="1">'Company Profile'!E6</f>
        <v>6691.5</v>
      </c>
      <c r="H22" s="4" t="s">
        <v>543</v>
      </c>
      <c r="I22" s="22">
        <f ca="1">'Company Profile'!G6</f>
        <v>1697.8</v>
      </c>
      <c r="O22" s="4" t="s">
        <v>543</v>
      </c>
      <c r="P22" s="22">
        <f ca="1">'Company Profile'!F6</f>
        <v>2234.4</v>
      </c>
      <c r="V22" s="4" t="s">
        <v>543</v>
      </c>
      <c r="W22" s="22">
        <f ca="1">'Company Profile'!D6</f>
        <v>1198.7</v>
      </c>
      <c r="AC22" s="4" t="s">
        <v>543</v>
      </c>
      <c r="AD22" s="22">
        <f ca="1">'Relative Valuation'!F3</f>
        <v>3817.5</v>
      </c>
      <c r="AJ22" s="4" t="s">
        <v>543</v>
      </c>
      <c r="AK22" s="22">
        <f ca="1">'Relative Valuation'!G3</f>
        <v>1511.5</v>
      </c>
    </row>
    <row r="23" spans="1:37" x14ac:dyDescent="0.3">
      <c r="A23" s="4" t="e" vm="13">
        <v>#VALUE!</v>
      </c>
      <c r="B23" s="192">
        <f ca="1">(B21-B22)/B22</f>
        <v>-0.84603976322104735</v>
      </c>
      <c r="H23" s="4" t="e" vm="13">
        <v>#VALUE!</v>
      </c>
      <c r="I23" s="192">
        <f ca="1">(I21-I22)/I22</f>
        <v>-0.76491464958953159</v>
      </c>
      <c r="O23" s="4" t="e" vm="13">
        <v>#VALUE!</v>
      </c>
      <c r="P23" s="192">
        <f ca="1">(P21-P22)/P22</f>
        <v>-0.5900776437456976</v>
      </c>
      <c r="V23" s="4" t="e" vm="13">
        <v>#VALUE!</v>
      </c>
      <c r="W23" s="192">
        <f ca="1">(W21-W22)/W22</f>
        <v>-0.24093503190558363</v>
      </c>
      <c r="AC23" s="4" t="e" vm="13">
        <v>#VALUE!</v>
      </c>
      <c r="AD23" s="192">
        <f ca="1">(AD21-AD22)/AD22</f>
        <v>-0.82348751425370892</v>
      </c>
      <c r="AJ23" s="4" t="e" vm="13">
        <v>#VALUE!</v>
      </c>
      <c r="AK23" s="192">
        <f ca="1">(AK21-AK22)/AK22</f>
        <v>-0.77113063744777166</v>
      </c>
    </row>
  </sheetData>
  <mergeCells count="6">
    <mergeCell ref="AJ1:AO1"/>
    <mergeCell ref="A1:F1"/>
    <mergeCell ref="H1:M1"/>
    <mergeCell ref="O1:T1"/>
    <mergeCell ref="V1:AA1"/>
    <mergeCell ref="AC1:AH1"/>
  </mergeCells>
  <conditionalFormatting sqref="B23">
    <cfRule type="cellIs" dxfId="13" priority="11" operator="lessThan">
      <formula>0</formula>
    </cfRule>
    <cfRule type="cellIs" dxfId="12" priority="12" operator="greaterThan">
      <formula>0</formula>
    </cfRule>
  </conditionalFormatting>
  <conditionalFormatting sqref="I23">
    <cfRule type="cellIs" dxfId="11" priority="9" operator="lessThan">
      <formula>0</formula>
    </cfRule>
    <cfRule type="cellIs" dxfId="10" priority="10" operator="greaterThan">
      <formula>0</formula>
    </cfRule>
  </conditionalFormatting>
  <conditionalFormatting sqref="P23">
    <cfRule type="cellIs" dxfId="9" priority="7" operator="lessThan">
      <formula>0</formula>
    </cfRule>
    <cfRule type="cellIs" dxfId="8" priority="8" operator="greaterThan">
      <formula>0</formula>
    </cfRule>
  </conditionalFormatting>
  <conditionalFormatting sqref="W23">
    <cfRule type="cellIs" dxfId="7" priority="5" operator="lessThan">
      <formula>0</formula>
    </cfRule>
    <cfRule type="cellIs" dxfId="6" priority="6" operator="greaterThan">
      <formula>0</formula>
    </cfRule>
  </conditionalFormatting>
  <conditionalFormatting sqref="AD23">
    <cfRule type="cellIs" dxfId="5" priority="3" operator="lessThan">
      <formula>0</formula>
    </cfRule>
    <cfRule type="cellIs" dxfId="4" priority="4" operator="greaterThan">
      <formula>0</formula>
    </cfRule>
  </conditionalFormatting>
  <conditionalFormatting sqref="AK23">
    <cfRule type="cellIs" dxfId="3" priority="1" operator="lessThan">
      <formula>0</formula>
    </cfRule>
    <cfRule type="cellIs" dxfId="2" priority="2" operator="greaterThan">
      <formula>0</formula>
    </cfRule>
  </conditionalFormatting>
  <pageMargins left="0.7" right="0.7" top="0.75" bottom="0.75" header="0.3" footer="0.3"/>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5D525-5EAF-46A9-896A-606210638BAE}">
  <dimension ref="A1:O24"/>
  <sheetViews>
    <sheetView topLeftCell="I1" workbookViewId="0">
      <selection activeCell="B13" sqref="B13"/>
    </sheetView>
  </sheetViews>
  <sheetFormatPr defaultRowHeight="14.4" x14ac:dyDescent="0.3"/>
  <cols>
    <col min="1" max="1" width="18.77734375" style="1" customWidth="1"/>
    <col min="2" max="2" width="11.5546875" style="1" customWidth="1"/>
    <col min="3" max="3" width="13.109375" style="1" customWidth="1"/>
    <col min="4" max="4" width="17.44140625" style="1" customWidth="1"/>
    <col min="5" max="5" width="15.21875" style="1" customWidth="1"/>
    <col min="6" max="6" width="16.109375" style="1" customWidth="1"/>
    <col min="7" max="7" width="15.109375" style="1" customWidth="1"/>
    <col min="8" max="8" width="8.88671875" style="1"/>
    <col min="9" max="9" width="18.77734375" style="1" customWidth="1"/>
    <col min="10" max="11" width="15.21875" style="1" customWidth="1"/>
    <col min="12" max="12" width="17.44140625" style="1" customWidth="1"/>
    <col min="13" max="13" width="15.21875" style="1" customWidth="1"/>
    <col min="14" max="14" width="16.109375" style="1" customWidth="1"/>
    <col min="15" max="15" width="15.21875" style="1" customWidth="1"/>
    <col min="16" max="16384" width="8.88671875" style="1"/>
  </cols>
  <sheetData>
    <row r="1" spans="1:15" ht="45" customHeight="1" x14ac:dyDescent="0.3">
      <c r="B1" s="49" t="e" vm="4">
        <v>#VALUE!</v>
      </c>
      <c r="C1" s="49" t="e" vm="6">
        <v>#VALUE!</v>
      </c>
      <c r="D1" s="49" t="e" vm="5">
        <v>#VALUE!</v>
      </c>
      <c r="E1" s="49" t="e" vm="3">
        <v>#VALUE!</v>
      </c>
      <c r="F1" s="49" t="e" vm="1">
        <v>#VALUE!</v>
      </c>
      <c r="G1" s="49" t="e" vm="2">
        <v>#VALUE!</v>
      </c>
      <c r="J1" s="49" t="e" vm="4">
        <v>#VALUE!</v>
      </c>
      <c r="K1" s="49" t="e" vm="6">
        <v>#VALUE!</v>
      </c>
      <c r="L1" s="49" t="e" vm="5">
        <v>#VALUE!</v>
      </c>
      <c r="M1" s="49" t="e" vm="3">
        <v>#VALUE!</v>
      </c>
      <c r="N1" s="49" t="e" vm="1">
        <v>#VALUE!</v>
      </c>
      <c r="O1" s="49" t="e" vm="2">
        <v>#VALUE!</v>
      </c>
    </row>
    <row r="2" spans="1:15" ht="29.4" thickBot="1" x14ac:dyDescent="0.35">
      <c r="A2" s="205" t="s">
        <v>12</v>
      </c>
      <c r="B2" s="203" t="s">
        <v>521</v>
      </c>
      <c r="C2" s="203" t="s">
        <v>522</v>
      </c>
      <c r="D2" s="203" t="s">
        <v>523</v>
      </c>
      <c r="E2" s="203" t="s">
        <v>524</v>
      </c>
      <c r="F2" s="203" t="s">
        <v>525</v>
      </c>
      <c r="G2" s="204" t="s">
        <v>526</v>
      </c>
      <c r="I2" s="207" t="s">
        <v>12</v>
      </c>
      <c r="J2" s="208" t="s">
        <v>521</v>
      </c>
      <c r="K2" s="203" t="s">
        <v>522</v>
      </c>
      <c r="L2" s="203" t="s">
        <v>523</v>
      </c>
      <c r="M2" s="203" t="s">
        <v>524</v>
      </c>
      <c r="N2" s="203" t="s">
        <v>525</v>
      </c>
      <c r="O2" s="204" t="s">
        <v>526</v>
      </c>
    </row>
    <row r="3" spans="1:15" ht="15" thickTop="1" x14ac:dyDescent="0.3">
      <c r="A3" s="1" t="s">
        <v>544</v>
      </c>
      <c r="B3" s="31">
        <f ca="1">'Company Profile'!E6</f>
        <v>6691.5</v>
      </c>
      <c r="C3" s="31">
        <f ca="1">'Company Profile'!G6</f>
        <v>1697.8</v>
      </c>
      <c r="D3" s="31">
        <f ca="1">'Company Profile'!F6</f>
        <v>2234.4</v>
      </c>
      <c r="E3" s="31">
        <f ca="1">'Company Profile'!D6</f>
        <v>1198.7</v>
      </c>
      <c r="F3" s="31">
        <f ca="1">'Company Profile'!B6</f>
        <v>3817.5</v>
      </c>
      <c r="G3" s="31">
        <f ca="1">'Company Profile'!C6</f>
        <v>1511.5</v>
      </c>
      <c r="I3" s="209" t="s">
        <v>548</v>
      </c>
      <c r="J3" s="31">
        <f ca="1">$A$20*B9</f>
        <v>3748.5785739570156</v>
      </c>
      <c r="K3" s="31">
        <f t="shared" ref="K3:O3" ca="1" si="0">$A$20*C9</f>
        <v>2068.8477274917527</v>
      </c>
      <c r="L3" s="31">
        <f t="shared" ca="1" si="0"/>
        <v>2208.0048271252213</v>
      </c>
      <c r="M3" s="31">
        <f t="shared" ca="1" si="0"/>
        <v>3123.4592140654772</v>
      </c>
      <c r="N3" s="31">
        <f t="shared" ca="1" si="0"/>
        <v>2564.8754645378172</v>
      </c>
      <c r="O3" s="31">
        <f t="shared" ca="1" si="0"/>
        <v>2962.7412125504516</v>
      </c>
    </row>
    <row r="4" spans="1:15" x14ac:dyDescent="0.3">
      <c r="A4" s="1" t="s">
        <v>7</v>
      </c>
      <c r="B4" s="31">
        <f ca="1">WACC!B12</f>
        <v>176709.2</v>
      </c>
      <c r="C4" s="31">
        <f ca="1">WACC!C12</f>
        <v>405823.5</v>
      </c>
      <c r="D4" s="31">
        <f ca="1">WACC!D12</f>
        <v>93357.71</v>
      </c>
      <c r="E4" s="31">
        <f ca="1">WACC!E12</f>
        <v>100351.4</v>
      </c>
      <c r="F4" s="31">
        <f ca="1">WACC!F12</f>
        <v>121163.5</v>
      </c>
      <c r="G4" s="31">
        <f ca="1">WACC!G12</f>
        <v>121626.1</v>
      </c>
      <c r="I4" s="210" t="s">
        <v>549</v>
      </c>
      <c r="J4" s="31">
        <f ca="1">$A$21*(B10/B11)</f>
        <v>4481.0983506692628</v>
      </c>
      <c r="K4" s="31">
        <f t="shared" ref="K4:O4" ca="1" si="1">$A$21*(C10/C11)</f>
        <v>2400.86528943845</v>
      </c>
      <c r="L4" s="31">
        <f t="shared" ca="1" si="1"/>
        <v>2804.8789313179946</v>
      </c>
      <c r="M4" s="31">
        <f t="shared" ca="1" si="1"/>
        <v>3238.6439288605293</v>
      </c>
      <c r="N4" s="31">
        <f t="shared" ca="1" si="1"/>
        <v>1782.3684525102792</v>
      </c>
      <c r="O4" s="31">
        <f t="shared" ca="1" si="1"/>
        <v>3078.304912012446</v>
      </c>
    </row>
    <row r="5" spans="1:15" x14ac:dyDescent="0.3">
      <c r="A5" s="1" t="s">
        <v>519</v>
      </c>
      <c r="B5" s="31">
        <f>WACC!B19</f>
        <v>-411</v>
      </c>
      <c r="C5" s="31">
        <f>WACC!C19</f>
        <v>-7797.2800000000007</v>
      </c>
      <c r="D5" s="31">
        <f>WACC!D19</f>
        <v>8104.0899999999992</v>
      </c>
      <c r="E5" s="31">
        <f>WACC!E19</f>
        <v>3211.1999999999994</v>
      </c>
      <c r="F5" s="31">
        <f>WACC!F19</f>
        <v>2628.8399999999997</v>
      </c>
      <c r="G5" s="31">
        <f>WACC!G19</f>
        <v>-150.5</v>
      </c>
      <c r="I5" s="209" t="s">
        <v>550</v>
      </c>
      <c r="J5" s="31">
        <f ca="1">($A$22*B8)/B11</f>
        <v>3410.9042620947998</v>
      </c>
      <c r="K5" s="31">
        <f t="shared" ref="K5:O5" ca="1" si="2">($A$22*C8)/C11</f>
        <v>1959.3345424682277</v>
      </c>
      <c r="L5" s="31">
        <f t="shared" ca="1" si="2"/>
        <v>2356.9307317760372</v>
      </c>
      <c r="M5" s="31">
        <f t="shared" ca="1" si="2"/>
        <v>3159.5671960444706</v>
      </c>
      <c r="N5" s="31">
        <f t="shared" ca="1" si="2"/>
        <v>3017.3242844747424</v>
      </c>
      <c r="O5" s="31">
        <f t="shared" ca="1" si="2"/>
        <v>2697.6805338214094</v>
      </c>
    </row>
    <row r="6" spans="1:15" x14ac:dyDescent="0.3">
      <c r="A6" s="1" t="s">
        <v>539</v>
      </c>
      <c r="B6" s="31">
        <f ca="1">B4+B5</f>
        <v>176298.2</v>
      </c>
      <c r="C6" s="31">
        <f t="shared" ref="C6:G6" ca="1" si="3">C4+C5</f>
        <v>398026.22</v>
      </c>
      <c r="D6" s="31">
        <f t="shared" ca="1" si="3"/>
        <v>101461.8</v>
      </c>
      <c r="E6" s="31">
        <f t="shared" ca="1" si="3"/>
        <v>103562.59999999999</v>
      </c>
      <c r="F6" s="31">
        <f t="shared" ca="1" si="3"/>
        <v>123792.34</v>
      </c>
      <c r="G6" s="31">
        <f t="shared" ca="1" si="3"/>
        <v>121475.6</v>
      </c>
      <c r="I6" s="210" t="s">
        <v>551</v>
      </c>
      <c r="J6" s="31">
        <f ca="1">($A$23*B7)/B11</f>
        <v>3139.2101026487671</v>
      </c>
      <c r="K6" s="31">
        <f t="shared" ref="K6:O6" ca="1" si="4">($A$23*C7)/C11</f>
        <v>1950.6386420754018</v>
      </c>
      <c r="L6" s="31">
        <f t="shared" ca="1" si="4"/>
        <v>2649.3689631926109</v>
      </c>
      <c r="M6" s="31">
        <f t="shared" ca="1" si="4"/>
        <v>3477.7084415387121</v>
      </c>
      <c r="N6" s="31">
        <f t="shared" ca="1" si="4"/>
        <v>2925.6204017004602</v>
      </c>
      <c r="O6" s="31">
        <f t="shared" ca="1" si="4"/>
        <v>3017.8659264801918</v>
      </c>
    </row>
    <row r="7" spans="1:15" x14ac:dyDescent="0.3">
      <c r="A7" s="1" t="s">
        <v>483</v>
      </c>
      <c r="B7" s="31">
        <f>Table7[[#This Row],[2025]]</f>
        <v>9712</v>
      </c>
      <c r="C7" s="31">
        <f>Table8[[#This Row],[2025]]</f>
        <v>54543.48</v>
      </c>
      <c r="D7" s="31">
        <f>Table9[[#This Row],[2025]]</f>
        <v>12744.23</v>
      </c>
      <c r="E7" s="31">
        <f>'Income Statement'!AE9</f>
        <v>33741.200000000004</v>
      </c>
      <c r="F7" s="31">
        <f>Table11[[#This Row],[2025]]</f>
        <v>11539.36</v>
      </c>
      <c r="G7" s="31">
        <f>'Income Statement'!AU8</f>
        <v>28409.49</v>
      </c>
      <c r="I7" s="211" t="s">
        <v>552</v>
      </c>
      <c r="J7" s="31">
        <f ca="1">($A$24*Table62[[#This Row],[Divis Labs]])/B11</f>
        <v>3136.9720944402402</v>
      </c>
      <c r="K7" s="31">
        <f ca="1">($A$24*Table62[[#This Row],[Sun Pharma]])/C11</f>
        <v>1949.2479911950572</v>
      </c>
      <c r="L7" s="31">
        <f ca="1">($A$24*Table62[[#This Row],[Mankind Pharma]])/D11</f>
        <v>2647.4801729259007</v>
      </c>
      <c r="M7" s="31">
        <f ca="1">($A$24*Table62[[#This Row],[Dr Reddy''s Lab]])/E11</f>
        <v>3475.2291108203062</v>
      </c>
      <c r="N7" s="31">
        <f ca="1">($A$24*Table62[[#This Row],[Torrent Pharma]])/F11</f>
        <v>2923.534666034499</v>
      </c>
      <c r="O7" s="31">
        <f ca="1">($A$24*Table62[[#This Row],[Cipla]])/G11</f>
        <v>3015.7144270600038</v>
      </c>
    </row>
    <row r="8" spans="1:15" x14ac:dyDescent="0.3">
      <c r="A8" s="1" t="s">
        <v>415</v>
      </c>
      <c r="B8" s="31">
        <f>'Income Statement'!G17+'Income Statement'!G13+'Income Statement'!G14</f>
        <v>3320</v>
      </c>
      <c r="C8" s="31">
        <f>'Income Statement'!O18+'Income Statement'!O13+'Income Statement'!O14</f>
        <v>17236.730000000003</v>
      </c>
      <c r="D8" s="31">
        <f>'Income Statement'!W20+'Income Statement'!W13+'Income Statement'!W14</f>
        <v>3566.96</v>
      </c>
      <c r="E8" s="31">
        <f>'Income Statement'!AE20+'Income Statement'!AE17+'Income Statement'!AE15</f>
        <v>9644.4000000000033</v>
      </c>
      <c r="F8" s="31">
        <f>'Income Statement'!AM17+'Income Statement'!AM13+'Income Statement'!AM14</f>
        <v>3744.26</v>
      </c>
      <c r="G8" s="31">
        <f>'Income Statement'!AU18+'Income Statement'!AU14+'Income Statement'!AU15</f>
        <v>7989.7700000000013</v>
      </c>
      <c r="I8" s="216" t="s">
        <v>447</v>
      </c>
      <c r="J8" s="28">
        <f ca="1">AVERAGE(J3:J7)</f>
        <v>3583.3526767620169</v>
      </c>
      <c r="K8" s="28">
        <f t="shared" ref="K8:O8" ca="1" si="5">AVERAGE(K3:K7)</f>
        <v>2065.7868385337779</v>
      </c>
      <c r="L8" s="28">
        <f t="shared" ca="1" si="5"/>
        <v>2533.3327252675531</v>
      </c>
      <c r="M8" s="28">
        <f t="shared" ca="1" si="5"/>
        <v>3294.9215782658998</v>
      </c>
      <c r="N8" s="28">
        <f t="shared" ca="1" si="5"/>
        <v>2642.7446538515596</v>
      </c>
      <c r="O8" s="28">
        <f t="shared" ca="1" si="5"/>
        <v>2954.4614023849003</v>
      </c>
    </row>
    <row r="9" spans="1:15" x14ac:dyDescent="0.3">
      <c r="A9" s="1" t="s">
        <v>545</v>
      </c>
      <c r="B9" s="31">
        <f ca="1">'Income Statement'!G21/'Relative Valuation'!B11</f>
        <v>82.533301490270418</v>
      </c>
      <c r="C9" s="31">
        <f ca="1">'Income Statement'!O30/'Relative Valuation'!C11</f>
        <v>45.55028789227017</v>
      </c>
      <c r="D9" s="31">
        <f ca="1">'Income Statement'!W25/'Relative Valuation'!D11</f>
        <v>48.614141198788154</v>
      </c>
      <c r="E9" s="31">
        <f ca="1">'Income Statement'!AE26/'Relative Valuation'!E11</f>
        <v>68.769907291793942</v>
      </c>
      <c r="F9" s="31">
        <f ca="1">'Income Statement'!AM25/'Relative Valuation'!F11</f>
        <v>56.471442661061438</v>
      </c>
      <c r="G9" s="31">
        <f ca="1">'Income Statement'!AU26/'Relative Valuation'!G11</f>
        <v>65.231342736656131</v>
      </c>
      <c r="I9" s="217" t="e" vm="13">
        <v>#VALUE!</v>
      </c>
      <c r="J9" s="215">
        <f ca="1">(J8-B3)/B3</f>
        <v>-0.46449186628379036</v>
      </c>
      <c r="K9" s="215">
        <f t="shared" ref="K9:O9" ca="1" si="6">(K8-C3)/C3</f>
        <v>0.21674333757437739</v>
      </c>
      <c r="L9" s="215">
        <f t="shared" ca="1" si="6"/>
        <v>0.13378657593427901</v>
      </c>
      <c r="M9" s="215">
        <f t="shared" ca="1" si="6"/>
        <v>1.7487457898272292</v>
      </c>
      <c r="N9" s="215">
        <f t="shared" ca="1" si="6"/>
        <v>-0.30772897083128758</v>
      </c>
      <c r="O9" s="215">
        <f t="shared" ca="1" si="6"/>
        <v>0.95465524471379448</v>
      </c>
    </row>
    <row r="10" spans="1:15" x14ac:dyDescent="0.3">
      <c r="A10" s="1" t="s">
        <v>546</v>
      </c>
      <c r="B10" s="31">
        <f>'Balance Sheet'!G33</f>
        <v>14969</v>
      </c>
      <c r="C10" s="31">
        <f>'Balance Sheet'!O36</f>
        <v>72485.949999999983</v>
      </c>
      <c r="D10" s="31">
        <f>'Balance Sheet'!W38</f>
        <v>14568.18</v>
      </c>
      <c r="E10" s="31">
        <f>'Balance Sheet'!AE35</f>
        <v>33927.4</v>
      </c>
      <c r="F10" s="31">
        <f>'Balance Sheet'!AM36</f>
        <v>7590.69</v>
      </c>
      <c r="G10" s="31">
        <f>'Balance Sheet'!AU38</f>
        <v>31289.25</v>
      </c>
    </row>
    <row r="11" spans="1:15" x14ac:dyDescent="0.3">
      <c r="A11" s="1" t="s">
        <v>542</v>
      </c>
      <c r="B11" s="31">
        <f ca="1">'Company Profile'!E7/10000000</f>
        <v>26.546859999999999</v>
      </c>
      <c r="C11" s="31">
        <f ca="1">'Company Profile'!G7/10000000</f>
        <v>239.93350000000001</v>
      </c>
      <c r="D11" s="31">
        <f ca="1">'Company Profile'!F7/10000000</f>
        <v>41.275849999999998</v>
      </c>
      <c r="E11" s="31">
        <f ca="1">'Company Profile'!D7/10000000</f>
        <v>83.251530000000002</v>
      </c>
      <c r="F11" s="31">
        <f ca="1">'Company Profile'!B7/10000000</f>
        <v>33.844540000000002</v>
      </c>
      <c r="G11" s="31">
        <f ca="1">'Company Profile'!C7/10000000</f>
        <v>80.777119999999996</v>
      </c>
    </row>
    <row r="12" spans="1:15" x14ac:dyDescent="0.3">
      <c r="A12" s="206" t="s">
        <v>547</v>
      </c>
      <c r="B12" s="212"/>
      <c r="C12" s="212"/>
      <c r="D12" s="212"/>
      <c r="E12" s="212"/>
      <c r="F12" s="212"/>
      <c r="G12" s="212"/>
    </row>
    <row r="13" spans="1:15" x14ac:dyDescent="0.3">
      <c r="A13" s="1" t="s">
        <v>548</v>
      </c>
      <c r="B13" s="31">
        <f ca="1">B3/B9</f>
        <v>81.076364075764488</v>
      </c>
      <c r="C13" s="31">
        <f t="shared" ref="C13:G13" ca="1" si="7">C3/C9</f>
        <v>37.273090436122459</v>
      </c>
      <c r="D13" s="31">
        <f t="shared" ca="1" si="7"/>
        <v>45.961935044029921</v>
      </c>
      <c r="E13" s="31">
        <f t="shared" ca="1" si="7"/>
        <v>17.43058915164535</v>
      </c>
      <c r="F13" s="31">
        <f t="shared" ca="1" si="7"/>
        <v>67.600539672988873</v>
      </c>
      <c r="G13" s="31">
        <f t="shared" ca="1" si="7"/>
        <v>23.171376467015861</v>
      </c>
    </row>
    <row r="14" spans="1:15" x14ac:dyDescent="0.3">
      <c r="A14" s="1" t="s">
        <v>549</v>
      </c>
      <c r="B14" s="31">
        <f ca="1">B3/(B10/B11)</f>
        <v>11.867079543723696</v>
      </c>
      <c r="C14" s="31">
        <f t="shared" ref="C14:G14" ca="1" si="8">C3/(C10/C11)</f>
        <v>5.6198352411743251</v>
      </c>
      <c r="D14" s="31">
        <f t="shared" ca="1" si="8"/>
        <v>6.3306987722556967</v>
      </c>
      <c r="E14" s="31">
        <f t="shared" ca="1" si="8"/>
        <v>2.941386873471</v>
      </c>
      <c r="F14" s="31">
        <f t="shared" ca="1" si="8"/>
        <v>17.021052295641109</v>
      </c>
      <c r="G14" s="31">
        <f t="shared" ca="1" si="8"/>
        <v>3.902126669063656</v>
      </c>
    </row>
    <row r="15" spans="1:15" x14ac:dyDescent="0.3">
      <c r="A15" s="1" t="s">
        <v>550</v>
      </c>
      <c r="B15" s="31">
        <f ca="1">B6/B8</f>
        <v>53.101867469879522</v>
      </c>
      <c r="C15" s="31">
        <f t="shared" ref="C15:G15" ca="1" si="9">C6/C8</f>
        <v>23.091747680679568</v>
      </c>
      <c r="D15" s="31">
        <f t="shared" ca="1" si="9"/>
        <v>28.444894251687714</v>
      </c>
      <c r="E15" s="31">
        <f t="shared" ca="1" si="9"/>
        <v>10.738107088051093</v>
      </c>
      <c r="F15" s="31">
        <f t="shared" ca="1" si="9"/>
        <v>33.061897410970388</v>
      </c>
      <c r="G15" s="31">
        <f t="shared" ca="1" si="9"/>
        <v>15.203891976865414</v>
      </c>
    </row>
    <row r="16" spans="1:15" x14ac:dyDescent="0.3">
      <c r="A16" s="1" t="s">
        <v>551</v>
      </c>
      <c r="B16" s="31">
        <f ca="1">B6/B7</f>
        <v>18.15261532125206</v>
      </c>
      <c r="C16" s="31">
        <f t="shared" ref="C16:G16" ca="1" si="10">C6/C7</f>
        <v>7.2974115329641593</v>
      </c>
      <c r="D16" s="31">
        <f t="shared" ca="1" si="10"/>
        <v>7.9613911550560532</v>
      </c>
      <c r="E16" s="31">
        <f t="shared" ca="1" si="10"/>
        <v>3.0693217787156346</v>
      </c>
      <c r="F16" s="31">
        <f t="shared" ca="1" si="10"/>
        <v>10.727834125982723</v>
      </c>
      <c r="G16" s="31">
        <f t="shared" ca="1" si="10"/>
        <v>4.2758810524229753</v>
      </c>
    </row>
    <row r="17" spans="1:7" x14ac:dyDescent="0.3">
      <c r="A17" s="1" t="s">
        <v>552</v>
      </c>
      <c r="B17" s="31">
        <f ca="1">B3/(B7/B11)</f>
        <v>18.290600668245467</v>
      </c>
      <c r="C17" s="31">
        <f t="shared" ref="C17:G17" ca="1" si="11">C3/(C7/C11)</f>
        <v>7.4685204592739582</v>
      </c>
      <c r="D17" s="31">
        <f t="shared" ca="1" si="11"/>
        <v>7.2367462953823019</v>
      </c>
      <c r="E17" s="31">
        <f t="shared" ca="1" si="11"/>
        <v>2.957618846128768</v>
      </c>
      <c r="F17" s="31">
        <f t="shared" ca="1" si="11"/>
        <v>11.196594217530263</v>
      </c>
      <c r="G17" s="31">
        <f t="shared" ca="1" si="11"/>
        <v>4.2976701405058657</v>
      </c>
    </row>
    <row r="19" spans="1:7" x14ac:dyDescent="0.3">
      <c r="A19" s="214" t="s">
        <v>447</v>
      </c>
    </row>
    <row r="20" spans="1:7" x14ac:dyDescent="0.3">
      <c r="A20" s="213">
        <f ca="1">AVERAGE(B13:G13)</f>
        <v>45.418982474594493</v>
      </c>
    </row>
    <row r="21" spans="1:7" x14ac:dyDescent="0.3">
      <c r="A21" s="213">
        <f t="shared" ref="A21:A24" ca="1" si="12">AVERAGE(B14:G14)</f>
        <v>7.9470298992215795</v>
      </c>
    </row>
    <row r="22" spans="1:7" x14ac:dyDescent="0.3">
      <c r="A22" s="213">
        <f t="shared" ca="1" si="12"/>
        <v>27.273734313022278</v>
      </c>
    </row>
    <row r="23" spans="1:7" x14ac:dyDescent="0.3">
      <c r="A23" s="213">
        <f t="shared" ca="1" si="12"/>
        <v>8.580742494398935</v>
      </c>
    </row>
    <row r="24" spans="1:7" x14ac:dyDescent="0.3">
      <c r="A24" s="213">
        <f t="shared" ca="1" si="12"/>
        <v>8.574625104511103</v>
      </c>
    </row>
  </sheetData>
  <conditionalFormatting sqref="J9:O9">
    <cfRule type="cellIs" dxfId="1" priority="1" operator="lessThan">
      <formula>0</formula>
    </cfRule>
    <cfRule type="cellIs" dxfId="0" priority="2" operator="greaterThan">
      <formula>0</formula>
    </cfRule>
  </conditionalFormatting>
  <pageMargins left="0.7" right="0.7" top="0.75" bottom="0.75" header="0.3" footer="0.3"/>
  <tableParts count="3">
    <tablePart r:id="rId1"/>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79180-C18C-4622-95D6-7BBD060E476F}">
  <dimension ref="A1:AU171"/>
  <sheetViews>
    <sheetView workbookViewId="0">
      <selection activeCell="AM3" sqref="AM3:AM7"/>
    </sheetView>
  </sheetViews>
  <sheetFormatPr defaultRowHeight="14.4" x14ac:dyDescent="0.3"/>
  <cols>
    <col min="1" max="1" width="12.77734375" style="108" customWidth="1"/>
    <col min="2" max="2" width="10.88671875" style="1" bestFit="1" customWidth="1"/>
    <col min="3" max="3" width="9.77734375" style="1" customWidth="1"/>
    <col min="4" max="5" width="9.77734375" style="1" bestFit="1" customWidth="1"/>
    <col min="6" max="6" width="9.77734375" style="1" customWidth="1"/>
    <col min="7" max="7" width="10.44140625" style="1" customWidth="1"/>
    <col min="8" max="8" width="8.88671875" style="1"/>
    <col min="9" max="9" width="12.77734375" style="253" customWidth="1"/>
    <col min="10" max="14" width="10.88671875" style="1" bestFit="1" customWidth="1"/>
    <col min="15" max="15" width="9.88671875" style="1" bestFit="1" customWidth="1"/>
    <col min="16" max="16" width="12.77734375" style="1" customWidth="1"/>
    <col min="17" max="17" width="12.77734375" style="252" customWidth="1"/>
    <col min="18" max="18" width="9.88671875" style="1" bestFit="1" customWidth="1"/>
    <col min="19" max="21" width="10.88671875" style="1" bestFit="1" customWidth="1"/>
    <col min="22" max="22" width="9.88671875" style="1" bestFit="1" customWidth="1"/>
    <col min="23" max="23" width="12.77734375" style="1" customWidth="1"/>
    <col min="24" max="24" width="8.88671875" style="1"/>
    <col min="25" max="25" width="11.6640625" style="1" bestFit="1" customWidth="1"/>
    <col min="26" max="30" width="10.88671875" style="1" bestFit="1" customWidth="1"/>
    <col min="31" max="31" width="10.88671875" style="1" customWidth="1"/>
    <col min="32" max="32" width="6.88671875" style="1" customWidth="1"/>
    <col min="33" max="37" width="10.88671875" style="1" bestFit="1" customWidth="1"/>
    <col min="38" max="39" width="9.88671875" style="1" bestFit="1" customWidth="1"/>
    <col min="40" max="45" width="10.88671875" style="1" bestFit="1" customWidth="1"/>
    <col min="46" max="46" width="12" style="1" bestFit="1" customWidth="1"/>
    <col min="47" max="47" width="10.21875" style="1" customWidth="1"/>
    <col min="48" max="49" width="9.6640625" style="1" customWidth="1"/>
    <col min="50" max="16384" width="8.88671875" style="1"/>
  </cols>
  <sheetData>
    <row r="1" spans="1:44" ht="31.2" customHeight="1" thickBot="1" x14ac:dyDescent="0.35">
      <c r="A1" s="232" t="s">
        <v>2</v>
      </c>
      <c r="B1" s="233" t="s">
        <v>59</v>
      </c>
      <c r="D1" s="394" t="e" vm="4">
        <v>#VALUE!</v>
      </c>
      <c r="E1" s="394"/>
      <c r="F1" s="394"/>
      <c r="G1" s="394"/>
      <c r="H1" s="394"/>
      <c r="I1" s="83">
        <f ca="1">DCF!B22</f>
        <v>6691.5</v>
      </c>
      <c r="K1" s="381" t="e" vm="6">
        <v>#VALUE!</v>
      </c>
      <c r="L1" s="381"/>
      <c r="M1" s="381"/>
      <c r="N1" s="381"/>
      <c r="O1" s="381"/>
      <c r="P1" s="83">
        <f ca="1">'Relative Valuation'!C3</f>
        <v>1697.8</v>
      </c>
      <c r="Q1" s="1"/>
      <c r="R1" s="381" t="e" vm="5">
        <v>#VALUE!</v>
      </c>
      <c r="S1" s="381"/>
      <c r="T1" s="381"/>
      <c r="U1" s="381"/>
      <c r="V1" s="381"/>
      <c r="W1" s="83">
        <f ca="1">'Relative Valuation'!D3</f>
        <v>2234.4</v>
      </c>
      <c r="Y1" s="381" t="e" vm="3">
        <v>#VALUE!</v>
      </c>
      <c r="Z1" s="381"/>
      <c r="AA1" s="381"/>
      <c r="AB1" s="381"/>
      <c r="AC1" s="381"/>
      <c r="AD1" s="83">
        <f ca="1">'Relative Valuation'!E3</f>
        <v>1198.7</v>
      </c>
      <c r="AF1" s="381" t="e" vm="1">
        <v>#VALUE!</v>
      </c>
      <c r="AG1" s="381"/>
      <c r="AH1" s="381"/>
      <c r="AI1" s="381"/>
      <c r="AJ1" s="381"/>
      <c r="AK1" s="83">
        <f ca="1">'Relative Valuation'!F3</f>
        <v>3817.5</v>
      </c>
      <c r="AM1" s="381" t="e" vm="2">
        <v>#VALUE!</v>
      </c>
      <c r="AN1" s="381"/>
      <c r="AO1" s="381"/>
      <c r="AP1" s="381"/>
      <c r="AQ1" s="381"/>
      <c r="AR1" s="83">
        <f ca="1">'Relative Valuation'!G3</f>
        <v>1511.5</v>
      </c>
    </row>
    <row r="2" spans="1:44" ht="34.799999999999997" customHeight="1" x14ac:dyDescent="0.3">
      <c r="A2" s="234" t="s">
        <v>566</v>
      </c>
      <c r="B2" s="236">
        <f>'Income Statement'!G7</f>
        <v>9712</v>
      </c>
      <c r="D2" s="284" t="s">
        <v>565</v>
      </c>
      <c r="E2" s="308">
        <v>0.2</v>
      </c>
      <c r="F2" s="308">
        <v>0.25</v>
      </c>
      <c r="G2" s="308">
        <v>0.3</v>
      </c>
      <c r="H2" s="308">
        <v>0.34179999999999999</v>
      </c>
      <c r="I2" s="309">
        <v>0.4</v>
      </c>
      <c r="K2" s="285" t="s">
        <v>565</v>
      </c>
      <c r="L2" s="286">
        <v>0.18</v>
      </c>
      <c r="M2" s="286">
        <v>0.22</v>
      </c>
      <c r="N2" s="286">
        <v>0.26</v>
      </c>
      <c r="O2" s="286">
        <v>0.316</v>
      </c>
      <c r="P2" s="287">
        <v>0.34</v>
      </c>
      <c r="Q2" s="1"/>
      <c r="R2" s="285" t="s">
        <v>565</v>
      </c>
      <c r="S2" s="286">
        <v>0.2</v>
      </c>
      <c r="T2" s="286">
        <v>0.24</v>
      </c>
      <c r="U2" s="286">
        <v>0.27989999999999998</v>
      </c>
      <c r="V2" s="286">
        <v>0.32</v>
      </c>
      <c r="W2" s="287">
        <v>0.36</v>
      </c>
      <c r="Y2" s="285" t="s">
        <v>565</v>
      </c>
      <c r="Z2" s="286">
        <v>0.21</v>
      </c>
      <c r="AA2" s="286">
        <v>0.25</v>
      </c>
      <c r="AB2" s="286">
        <v>0.28799999999999998</v>
      </c>
      <c r="AC2" s="286">
        <v>0.33</v>
      </c>
      <c r="AD2" s="287">
        <v>0.37</v>
      </c>
      <c r="AF2" s="285" t="s">
        <v>565</v>
      </c>
      <c r="AG2" s="286">
        <v>0.27500000000000002</v>
      </c>
      <c r="AH2" s="286">
        <v>0.29499999999999998</v>
      </c>
      <c r="AI2" s="286">
        <v>0.3145</v>
      </c>
      <c r="AJ2" s="286">
        <v>0.33500000000000002</v>
      </c>
      <c r="AK2" s="287">
        <v>0.35499999999999998</v>
      </c>
      <c r="AM2" s="285" t="s">
        <v>565</v>
      </c>
      <c r="AN2" s="286">
        <v>0.24</v>
      </c>
      <c r="AO2" s="286">
        <v>0.26</v>
      </c>
      <c r="AP2" s="286">
        <v>0.28100000000000003</v>
      </c>
      <c r="AQ2" s="286">
        <v>0.3</v>
      </c>
      <c r="AR2" s="287">
        <v>0.32</v>
      </c>
    </row>
    <row r="3" spans="1:44" ht="34.799999999999997" customHeight="1" x14ac:dyDescent="0.3">
      <c r="A3" s="234" t="s">
        <v>522</v>
      </c>
      <c r="B3" s="236">
        <f>'Income Statement'!O7</f>
        <v>54543.48</v>
      </c>
      <c r="D3" s="306">
        <v>0.08</v>
      </c>
      <c r="E3" s="270">
        <f ca="1">B167</f>
        <v>360.37653519979153</v>
      </c>
      <c r="F3" s="270">
        <f t="shared" ref="F3:I3" ca="1" si="0">C167</f>
        <v>538.6917083832783</v>
      </c>
      <c r="G3" s="270">
        <f t="shared" ca="1" si="0"/>
        <v>717.00688156676472</v>
      </c>
      <c r="H3" s="270">
        <f t="shared" ca="1" si="0"/>
        <v>866.79162704089367</v>
      </c>
      <c r="I3" s="270">
        <f t="shared" ca="1" si="0"/>
        <v>1073.6372279337377</v>
      </c>
      <c r="K3" s="288">
        <v>0.06</v>
      </c>
      <c r="L3" s="83">
        <f ca="1">J167</f>
        <v>267.25945726771801</v>
      </c>
      <c r="M3" s="83">
        <f t="shared" ref="M3:P3" ca="1" si="1">K167</f>
        <v>342.33268227909008</v>
      </c>
      <c r="N3" s="83">
        <f t="shared" ca="1" si="1"/>
        <v>417.40590729046221</v>
      </c>
      <c r="O3" s="83">
        <f t="shared" ca="1" si="1"/>
        <v>522.50842230638318</v>
      </c>
      <c r="P3" s="83">
        <f t="shared" ca="1" si="1"/>
        <v>567.55235731320636</v>
      </c>
      <c r="Q3" s="1"/>
      <c r="R3" s="288">
        <v>7.0000000000000007E-2</v>
      </c>
      <c r="S3" s="83">
        <f ca="1">R167</f>
        <v>412.18852308570149</v>
      </c>
      <c r="T3" s="83">
        <f t="shared" ref="T3:W3" ca="1" si="2">S167</f>
        <v>553.3752307480097</v>
      </c>
      <c r="U3" s="83">
        <f t="shared" ca="1" si="2"/>
        <v>694.20897164116241</v>
      </c>
      <c r="V3" s="83">
        <f t="shared" ca="1" si="2"/>
        <v>835.74864607262657</v>
      </c>
      <c r="W3" s="83">
        <f t="shared" ca="1" si="2"/>
        <v>976.93535373493501</v>
      </c>
      <c r="Y3" s="288">
        <v>7.0000000000000007E-2</v>
      </c>
      <c r="Z3" s="31">
        <f ca="1">Z167</f>
        <v>1047.8058111881483</v>
      </c>
      <c r="AA3" s="31">
        <f t="shared" ref="AA3:AD3" ca="1" si="3">AA167</f>
        <v>1252.0331875242009</v>
      </c>
      <c r="AB3" s="31">
        <f t="shared" ca="1" si="3"/>
        <v>1446.0491950434507</v>
      </c>
      <c r="AC3" s="31">
        <f t="shared" ca="1" si="3"/>
        <v>1660.487940196306</v>
      </c>
      <c r="AD3" s="31">
        <f t="shared" ca="1" si="3"/>
        <v>1864.7153165323584</v>
      </c>
      <c r="AF3" s="288">
        <v>0.02</v>
      </c>
      <c r="AG3" s="83">
        <f ca="1">AH167</f>
        <v>822.98666626781187</v>
      </c>
      <c r="AH3" s="83">
        <f t="shared" ref="AH3:AK3" ca="1" si="4">AI167</f>
        <v>882.78239431662348</v>
      </c>
      <c r="AI3" s="83">
        <f t="shared" ca="1" si="4"/>
        <v>941.08322916421514</v>
      </c>
      <c r="AJ3" s="83">
        <f t="shared" ca="1" si="4"/>
        <v>1002.3738504142473</v>
      </c>
      <c r="AK3" s="83">
        <f t="shared" ca="1" si="4"/>
        <v>1062.1695784630592</v>
      </c>
      <c r="AM3" s="288">
        <v>0.04</v>
      </c>
      <c r="AN3" s="83">
        <f ca="1">AP167</f>
        <v>856.31676378023883</v>
      </c>
      <c r="AO3" s="83">
        <f t="shared" ref="AO3:AR3" ca="1" si="5">AQ167</f>
        <v>933.98089047250937</v>
      </c>
      <c r="AP3" s="83">
        <f t="shared" ca="1" si="5"/>
        <v>1015.5282234993937</v>
      </c>
      <c r="AQ3" s="83">
        <f t="shared" ca="1" si="5"/>
        <v>1089.3091438570507</v>
      </c>
      <c r="AR3" s="83">
        <f t="shared" ca="1" si="5"/>
        <v>1166.973270549322</v>
      </c>
    </row>
    <row r="4" spans="1:44" ht="34.799999999999997" customHeight="1" x14ac:dyDescent="0.3">
      <c r="A4" s="234" t="s">
        <v>523</v>
      </c>
      <c r="B4" s="236">
        <f>'Income Statement'!W7</f>
        <v>12744.23</v>
      </c>
      <c r="D4" s="306">
        <v>9.6600000000000005E-2</v>
      </c>
      <c r="E4" s="270">
        <f t="shared" ref="E4:E7" ca="1" si="6">B168</f>
        <v>391.31882366058335</v>
      </c>
      <c r="F4" s="270">
        <f t="shared" ref="F4:F7" ca="1" si="7">C168</f>
        <v>577.36956895926789</v>
      </c>
      <c r="G4" s="270">
        <f t="shared" ref="G4:G7" ca="1" si="8">D168</f>
        <v>763.42031425795221</v>
      </c>
      <c r="H4" s="270">
        <f t="shared" ref="H4:H7" ca="1" si="9">E168</f>
        <v>919.70294030884725</v>
      </c>
      <c r="I4" s="270">
        <f t="shared" ref="I4:I7" ca="1" si="10">F168</f>
        <v>1135.5218048553213</v>
      </c>
      <c r="K4" s="288">
        <v>8.48E-2</v>
      </c>
      <c r="L4" s="83">
        <f t="shared" ref="L4:L7" ca="1" si="11">J168</f>
        <v>289.48973797623171</v>
      </c>
      <c r="M4" s="83">
        <f t="shared" ref="M4:M7" ca="1" si="12">K168</f>
        <v>369.50302536727355</v>
      </c>
      <c r="N4" s="83">
        <f t="shared" ref="N4:N7" ca="1" si="13">L168</f>
        <v>449.51631275831539</v>
      </c>
      <c r="O4" s="83">
        <f t="shared" ref="O4:O7" ca="1" si="14">M168</f>
        <v>561.53491510577396</v>
      </c>
      <c r="P4" s="83">
        <f t="shared" ref="P4:P7" ca="1" si="15">N168</f>
        <v>609.54288754039897</v>
      </c>
      <c r="Q4" s="1"/>
      <c r="R4" s="288">
        <v>0.1</v>
      </c>
      <c r="S4" s="83">
        <f t="shared" ref="S4:W4" ca="1" si="16">R168</f>
        <v>469.3688460653309</v>
      </c>
      <c r="T4" s="83">
        <f t="shared" ca="1" si="16"/>
        <v>621.99161832356492</v>
      </c>
      <c r="U4" s="83">
        <f t="shared" ca="1" si="16"/>
        <v>774.23283365115344</v>
      </c>
      <c r="V4" s="83">
        <f t="shared" ca="1" si="16"/>
        <v>927.23716284003342</v>
      </c>
      <c r="W4" s="83">
        <f t="shared" ca="1" si="16"/>
        <v>1079.8599350982677</v>
      </c>
      <c r="Y4" s="288">
        <v>0.09</v>
      </c>
      <c r="Z4" s="31">
        <f t="shared" ref="Z4:AD4" ca="1" si="17">Z168</f>
        <v>1105.5225029513749</v>
      </c>
      <c r="AA4" s="31">
        <f t="shared" ca="1" si="17"/>
        <v>1320.7435348613756</v>
      </c>
      <c r="AB4" s="31">
        <f t="shared" ca="1" si="17"/>
        <v>1525.2035151758757</v>
      </c>
      <c r="AC4" s="31">
        <f t="shared" ca="1" si="17"/>
        <v>1751.1855986813766</v>
      </c>
      <c r="AD4" s="31">
        <f t="shared" ca="1" si="17"/>
        <v>1966.4066305913768</v>
      </c>
      <c r="AF4" s="288">
        <v>0.04</v>
      </c>
      <c r="AG4" s="83">
        <f t="shared" ref="AG4:AK4" ca="1" si="18">AH168</f>
        <v>868.53815010837991</v>
      </c>
      <c r="AH4" s="83">
        <f t="shared" ca="1" si="18"/>
        <v>931.64671334559637</v>
      </c>
      <c r="AI4" s="83">
        <f t="shared" ca="1" si="18"/>
        <v>993.17756250188302</v>
      </c>
      <c r="AJ4" s="83">
        <f t="shared" ca="1" si="18"/>
        <v>1057.8638398200303</v>
      </c>
      <c r="AK4" s="83">
        <f t="shared" ca="1" si="18"/>
        <v>1120.9724030572468</v>
      </c>
      <c r="AM4" s="288">
        <v>0.06</v>
      </c>
      <c r="AN4" s="83">
        <f t="shared" ref="AN4:AN7" ca="1" si="19">AP168</f>
        <v>907.72733020671251</v>
      </c>
      <c r="AO4" s="83">
        <f t="shared" ref="AO4:AO7" ca="1" si="20">AQ168</f>
        <v>989.67567076785588</v>
      </c>
      <c r="AP4" s="83">
        <f t="shared" ref="AP4:AP7" ca="1" si="21">AR168</f>
        <v>1075.721428357057</v>
      </c>
      <c r="AQ4" s="83">
        <f t="shared" ref="AQ4:AQ7" ca="1" si="22">AS168</f>
        <v>1153.5723518901432</v>
      </c>
      <c r="AR4" s="83">
        <f t="shared" ref="AR4:AR7" ca="1" si="23">AT168</f>
        <v>1235.5206924512865</v>
      </c>
    </row>
    <row r="5" spans="1:44" ht="34.799999999999997" customHeight="1" x14ac:dyDescent="0.3">
      <c r="A5" s="234" t="s">
        <v>524</v>
      </c>
      <c r="B5" s="236">
        <f>'Income Statement'!AE9</f>
        <v>33741.200000000004</v>
      </c>
      <c r="D5" s="306">
        <v>0.12</v>
      </c>
      <c r="E5" s="270">
        <f t="shared" ca="1" si="6"/>
        <v>436.47133957315327</v>
      </c>
      <c r="F5" s="270">
        <f t="shared" ca="1" si="7"/>
        <v>633.81021384998007</v>
      </c>
      <c r="G5" s="270">
        <f t="shared" ca="1" si="8"/>
        <v>831.14908812680687</v>
      </c>
      <c r="H5" s="270">
        <f t="shared" ca="1" si="9"/>
        <v>996.91374251934178</v>
      </c>
      <c r="I5" s="270">
        <f t="shared" ca="1" si="10"/>
        <v>1225.8268366804612</v>
      </c>
      <c r="K5" s="288">
        <v>0.11</v>
      </c>
      <c r="L5" s="83">
        <f t="shared" ca="1" si="11"/>
        <v>313.08130234228719</v>
      </c>
      <c r="M5" s="83">
        <f t="shared" ca="1" si="12"/>
        <v>398.33715959245251</v>
      </c>
      <c r="N5" s="83">
        <f t="shared" ca="1" si="13"/>
        <v>483.59301684261783</v>
      </c>
      <c r="O5" s="83">
        <f t="shared" ca="1" si="14"/>
        <v>602.95121699284925</v>
      </c>
      <c r="P5" s="83">
        <f t="shared" ca="1" si="15"/>
        <v>654.1047313429483</v>
      </c>
      <c r="Q5" s="1"/>
      <c r="R5" s="288">
        <v>0.12970000000000001</v>
      </c>
      <c r="S5" s="83">
        <f t="shared" ref="S5:W5" ca="1" si="24">R169</f>
        <v>528.99741636766078</v>
      </c>
      <c r="T5" s="83">
        <f t="shared" ca="1" si="24"/>
        <v>693.54590268636093</v>
      </c>
      <c r="U5" s="83">
        <f t="shared" ca="1" si="24"/>
        <v>857.68301778926434</v>
      </c>
      <c r="V5" s="83">
        <f t="shared" ca="1" si="24"/>
        <v>1022.6428753237616</v>
      </c>
      <c r="W5" s="83">
        <f t="shared" ca="1" si="24"/>
        <v>1187.1913616424615</v>
      </c>
      <c r="Y5" s="288">
        <v>0.109</v>
      </c>
      <c r="Z5" s="31">
        <f t="shared" ref="Z5:AD5" ca="1" si="25">Z169</f>
        <v>1162.2716040084517</v>
      </c>
      <c r="AA5" s="31">
        <f t="shared" ca="1" si="25"/>
        <v>1388.3019885007527</v>
      </c>
      <c r="AB5" s="31">
        <f t="shared" ca="1" si="25"/>
        <v>1603.0308537684386</v>
      </c>
      <c r="AC5" s="31">
        <f t="shared" ca="1" si="25"/>
        <v>1840.3627574853547</v>
      </c>
      <c r="AD5" s="31">
        <f t="shared" ca="1" si="25"/>
        <v>2066.3931419776554</v>
      </c>
      <c r="AF5" s="288">
        <v>6.1600000000000002E-2</v>
      </c>
      <c r="AG5" s="83">
        <f t="shared" ref="AG5:AK5" ca="1" si="26">AH169</f>
        <v>919.63444425775072</v>
      </c>
      <c r="AH5" s="83">
        <f t="shared" ca="1" si="26"/>
        <v>986.45910161492156</v>
      </c>
      <c r="AI5" s="83">
        <f t="shared" ca="1" si="26"/>
        <v>1051.6131425381634</v>
      </c>
      <c r="AJ5" s="83">
        <f t="shared" ca="1" si="26"/>
        <v>1120.1084163292637</v>
      </c>
      <c r="AK5" s="83">
        <f t="shared" ca="1" si="26"/>
        <v>1186.9330736864345</v>
      </c>
      <c r="AM5" s="288">
        <v>8.43E-2</v>
      </c>
      <c r="AN5" s="83">
        <f t="shared" ca="1" si="19"/>
        <v>972.58506036977019</v>
      </c>
      <c r="AO5" s="83">
        <f t="shared" ca="1" si="20"/>
        <v>1059.938211777835</v>
      </c>
      <c r="AP5" s="83">
        <f t="shared" ca="1" si="21"/>
        <v>1151.6590207563036</v>
      </c>
      <c r="AQ5" s="83">
        <f t="shared" ca="1" si="22"/>
        <v>1234.6445145939651</v>
      </c>
      <c r="AR5" s="83">
        <f t="shared" ca="1" si="23"/>
        <v>1321.9976660020302</v>
      </c>
    </row>
    <row r="6" spans="1:44" ht="34.799999999999997" customHeight="1" x14ac:dyDescent="0.3">
      <c r="A6" s="234" t="s">
        <v>525</v>
      </c>
      <c r="B6" s="236">
        <f>'Income Statement'!AM7</f>
        <v>11539.36</v>
      </c>
      <c r="D6" s="306">
        <v>0.14000000000000001</v>
      </c>
      <c r="E6" s="270">
        <f t="shared" ca="1" si="6"/>
        <v>476.51201010233927</v>
      </c>
      <c r="F6" s="270">
        <f t="shared" ca="1" si="7"/>
        <v>683.86105201146279</v>
      </c>
      <c r="G6" s="270">
        <f t="shared" ca="1" si="8"/>
        <v>891.21009392058613</v>
      </c>
      <c r="H6" s="270">
        <f t="shared" ca="1" si="9"/>
        <v>1065.3832891242503</v>
      </c>
      <c r="I6" s="270">
        <f t="shared" ca="1" si="10"/>
        <v>1305.908177738833</v>
      </c>
      <c r="K6" s="288">
        <v>0.13500000000000001</v>
      </c>
      <c r="L6" s="83">
        <f t="shared" ca="1" si="11"/>
        <v>337.50671088133345</v>
      </c>
      <c r="M6" s="83">
        <f t="shared" ca="1" si="12"/>
        <v>428.19043669573114</v>
      </c>
      <c r="N6" s="83">
        <f t="shared" ca="1" si="13"/>
        <v>518.87416251012894</v>
      </c>
      <c r="O6" s="83">
        <f t="shared" ca="1" si="14"/>
        <v>645.83137865028573</v>
      </c>
      <c r="P6" s="83">
        <f t="shared" ca="1" si="15"/>
        <v>700.24161413892432</v>
      </c>
      <c r="Q6" s="1"/>
      <c r="R6" s="288">
        <v>0.16</v>
      </c>
      <c r="S6" s="83">
        <f t="shared" ref="S6:W6" ca="1" si="27">R170</f>
        <v>593.00974891056364</v>
      </c>
      <c r="T6" s="83">
        <f t="shared" ca="1" si="27"/>
        <v>770.36070173784435</v>
      </c>
      <c r="U6" s="83">
        <f t="shared" ca="1" si="27"/>
        <v>947.26827718305697</v>
      </c>
      <c r="V6" s="83">
        <f t="shared" ca="1" si="27"/>
        <v>1125.0626073924063</v>
      </c>
      <c r="W6" s="83">
        <f t="shared" ca="1" si="27"/>
        <v>1302.413560219687</v>
      </c>
      <c r="Y6" s="288">
        <v>0.13</v>
      </c>
      <c r="Z6" s="31">
        <f t="shared" ref="Z6:AD6" ca="1" si="28">Z170</f>
        <v>1227.2079278307226</v>
      </c>
      <c r="AA6" s="31">
        <f t="shared" ca="1" si="28"/>
        <v>1465.6071359082177</v>
      </c>
      <c r="AB6" s="31">
        <f t="shared" ca="1" si="28"/>
        <v>1692.0863835818379</v>
      </c>
      <c r="AC6" s="31">
        <f t="shared" ca="1" si="28"/>
        <v>1942.4055520632085</v>
      </c>
      <c r="AD6" s="31">
        <f t="shared" ca="1" si="28"/>
        <v>2180.8047601407034</v>
      </c>
      <c r="AF6" s="288">
        <v>0.08</v>
      </c>
      <c r="AG6" s="83">
        <f t="shared" ref="AG6:AK6" ca="1" si="29">AH170</f>
        <v>964.74688446021628</v>
      </c>
      <c r="AH6" s="83">
        <f t="shared" ca="1" si="29"/>
        <v>1034.8524465593848</v>
      </c>
      <c r="AI6" s="83">
        <f t="shared" ca="1" si="29"/>
        <v>1103.2053696060741</v>
      </c>
      <c r="AJ6" s="83">
        <f t="shared" ca="1" si="29"/>
        <v>1175.0635707577223</v>
      </c>
      <c r="AK6" s="83">
        <f t="shared" ca="1" si="29"/>
        <v>1245.1691328568904</v>
      </c>
      <c r="AM6" s="288">
        <v>0.1</v>
      </c>
      <c r="AN6" s="83">
        <f t="shared" ca="1" si="19"/>
        <v>1016.2568023993769</v>
      </c>
      <c r="AO6" s="83">
        <f t="shared" ca="1" si="20"/>
        <v>1107.2492656432426</v>
      </c>
      <c r="AP6" s="83">
        <f t="shared" ca="1" si="21"/>
        <v>1202.7913520493016</v>
      </c>
      <c r="AQ6" s="83">
        <f t="shared" ca="1" si="22"/>
        <v>1289.2341921309735</v>
      </c>
      <c r="AR6" s="83">
        <f t="shared" ca="1" si="23"/>
        <v>1380.2266553748391</v>
      </c>
    </row>
    <row r="7" spans="1:44" ht="34.799999999999997" customHeight="1" thickBot="1" x14ac:dyDescent="0.35">
      <c r="A7" s="235" t="s">
        <v>526</v>
      </c>
      <c r="B7" s="237">
        <f>'Income Statement'!AU8</f>
        <v>28409.49</v>
      </c>
      <c r="D7" s="307">
        <v>0.16</v>
      </c>
      <c r="E7" s="270">
        <f t="shared" ca="1" si="6"/>
        <v>517.91252570418999</v>
      </c>
      <c r="F7" s="270">
        <f t="shared" ca="1" si="7"/>
        <v>735.61169651377611</v>
      </c>
      <c r="G7" s="270">
        <f t="shared" ca="1" si="8"/>
        <v>953.31086732336234</v>
      </c>
      <c r="H7" s="270">
        <f t="shared" ca="1" si="9"/>
        <v>1136.1781708034152</v>
      </c>
      <c r="I7" s="270">
        <f t="shared" ca="1" si="10"/>
        <v>1388.7092089425346</v>
      </c>
      <c r="K7" s="289">
        <v>0.16</v>
      </c>
      <c r="L7" s="83">
        <f t="shared" ca="1" si="11"/>
        <v>362.97142769536276</v>
      </c>
      <c r="M7" s="83">
        <f t="shared" ca="1" si="12"/>
        <v>459.31397946843384</v>
      </c>
      <c r="N7" s="83">
        <f t="shared" ca="1" si="13"/>
        <v>555.65653124150481</v>
      </c>
      <c r="O7" s="83">
        <f t="shared" ca="1" si="14"/>
        <v>690.5361037238041</v>
      </c>
      <c r="P7" s="83">
        <f t="shared" ca="1" si="15"/>
        <v>748.34163478764674</v>
      </c>
      <c r="Q7" s="1"/>
      <c r="R7" s="289">
        <v>0.19</v>
      </c>
      <c r="S7" s="83">
        <f t="shared" ref="S7:W7" ca="1" si="30">R171</f>
        <v>659.63389365132343</v>
      </c>
      <c r="T7" s="83">
        <f t="shared" ca="1" si="30"/>
        <v>850.30967542675648</v>
      </c>
      <c r="U7" s="83">
        <f t="shared" ca="1" si="30"/>
        <v>1040.5087677477504</v>
      </c>
      <c r="V7" s="83">
        <f t="shared" ca="1" si="30"/>
        <v>1231.6612389776221</v>
      </c>
      <c r="W7" s="83">
        <f t="shared" ca="1" si="30"/>
        <v>1422.337020753055</v>
      </c>
      <c r="Y7" s="289">
        <v>0.15</v>
      </c>
      <c r="Z7" s="31">
        <f t="shared" ref="Z7:AD7" ca="1" si="31">Z171</f>
        <v>1291.2511479995178</v>
      </c>
      <c r="AA7" s="31">
        <f t="shared" ca="1" si="31"/>
        <v>1541.8490646805928</v>
      </c>
      <c r="AB7" s="31">
        <f t="shared" ca="1" si="31"/>
        <v>1779.9170855276138</v>
      </c>
      <c r="AC7" s="31">
        <f t="shared" ca="1" si="31"/>
        <v>2043.0448980427432</v>
      </c>
      <c r="AD7" s="31">
        <f t="shared" ca="1" si="31"/>
        <v>2293.6428147238189</v>
      </c>
      <c r="AF7" s="289">
        <v>0.1</v>
      </c>
      <c r="AG7" s="83">
        <f t="shared" ref="AG7:AK7" ca="1" si="32">AH171</f>
        <v>1015.4674678400331</v>
      </c>
      <c r="AH7" s="83">
        <f t="shared" ca="1" si="32"/>
        <v>1089.2617996395518</v>
      </c>
      <c r="AI7" s="83">
        <f t="shared" ca="1" si="32"/>
        <v>1161.2112731440827</v>
      </c>
      <c r="AJ7" s="83">
        <f t="shared" ca="1" si="32"/>
        <v>1236.8504632385898</v>
      </c>
      <c r="AK7" s="83">
        <f t="shared" ca="1" si="32"/>
        <v>1310.6447950381082</v>
      </c>
      <c r="AM7" s="289">
        <v>0.12</v>
      </c>
      <c r="AN7" s="83">
        <f t="shared" ca="1" si="19"/>
        <v>1073.4455162926415</v>
      </c>
      <c r="AO7" s="83">
        <f t="shared" ca="1" si="20"/>
        <v>1169.2037056942791</v>
      </c>
      <c r="AP7" s="83">
        <f t="shared" ca="1" si="21"/>
        <v>1269.7498045659986</v>
      </c>
      <c r="AQ7" s="83">
        <f t="shared" ca="1" si="22"/>
        <v>1360.7200844975541</v>
      </c>
      <c r="AR7" s="83">
        <f t="shared" ca="1" si="23"/>
        <v>1456.4782738991919</v>
      </c>
    </row>
    <row r="8" spans="1:44" ht="15" thickBot="1" x14ac:dyDescent="0.35">
      <c r="A8" s="1"/>
      <c r="I8" s="1"/>
      <c r="Q8" s="1"/>
    </row>
    <row r="9" spans="1:44" ht="41.4" x14ac:dyDescent="0.3">
      <c r="A9" s="1"/>
      <c r="D9" s="284" t="s">
        <v>565</v>
      </c>
      <c r="E9" s="308">
        <v>0.2</v>
      </c>
      <c r="F9" s="308">
        <v>0.25</v>
      </c>
      <c r="G9" s="308">
        <v>0.3</v>
      </c>
      <c r="H9" s="308">
        <v>0.34179999999999999</v>
      </c>
      <c r="I9" s="309">
        <v>0.4</v>
      </c>
      <c r="K9" s="284" t="s">
        <v>565</v>
      </c>
      <c r="L9" s="308">
        <v>0.2</v>
      </c>
      <c r="M9" s="308">
        <v>0.25</v>
      </c>
      <c r="N9" s="308">
        <v>0.3</v>
      </c>
      <c r="O9" s="308">
        <v>0.34179999999999999</v>
      </c>
      <c r="P9" s="309">
        <v>0.4</v>
      </c>
      <c r="Q9" s="1"/>
      <c r="R9" s="284" t="s">
        <v>565</v>
      </c>
      <c r="S9" s="308">
        <v>0.2</v>
      </c>
      <c r="T9" s="308">
        <v>0.25</v>
      </c>
      <c r="U9" s="308">
        <v>0.3</v>
      </c>
      <c r="V9" s="308">
        <v>0.34179999999999999</v>
      </c>
      <c r="W9" s="309">
        <v>0.4</v>
      </c>
      <c r="Y9" s="284" t="s">
        <v>565</v>
      </c>
      <c r="Z9" s="308">
        <v>0.2</v>
      </c>
      <c r="AA9" s="308">
        <v>0.25</v>
      </c>
      <c r="AB9" s="308">
        <v>0.3</v>
      </c>
      <c r="AC9" s="308">
        <v>0.34179999999999999</v>
      </c>
      <c r="AD9" s="309">
        <v>0.4</v>
      </c>
      <c r="AF9" s="284" t="s">
        <v>565</v>
      </c>
      <c r="AG9" s="308">
        <v>0.2</v>
      </c>
      <c r="AH9" s="308">
        <v>0.25</v>
      </c>
      <c r="AI9" s="308">
        <v>0.3</v>
      </c>
      <c r="AJ9" s="308">
        <v>0.34179999999999999</v>
      </c>
      <c r="AK9" s="309">
        <v>0.4</v>
      </c>
      <c r="AM9" s="284" t="s">
        <v>565</v>
      </c>
      <c r="AN9" s="308">
        <v>0.2</v>
      </c>
      <c r="AO9" s="308">
        <v>0.25</v>
      </c>
      <c r="AP9" s="308">
        <v>0.3</v>
      </c>
      <c r="AQ9" s="308">
        <v>0.34179999999999999</v>
      </c>
      <c r="AR9" s="309">
        <v>0.4</v>
      </c>
    </row>
    <row r="10" spans="1:44" x14ac:dyDescent="0.3">
      <c r="A10" s="1"/>
      <c r="D10" s="306">
        <v>0.08</v>
      </c>
      <c r="E10" s="310">
        <f ca="1">(E3-$I$1)/$I$1</f>
        <v>-0.94614413282525711</v>
      </c>
      <c r="F10" s="310">
        <f t="shared" ref="F10:I10" ca="1" si="33">(F3-$I$1)/$I$1</f>
        <v>-0.91949612069292708</v>
      </c>
      <c r="G10" s="310">
        <f t="shared" ca="1" si="33"/>
        <v>-0.89284810856059704</v>
      </c>
      <c r="H10" s="310">
        <f t="shared" ca="1" si="33"/>
        <v>-0.87046377836943989</v>
      </c>
      <c r="I10" s="310">
        <f t="shared" ca="1" si="33"/>
        <v>-0.83955208429593697</v>
      </c>
      <c r="K10" s="306">
        <v>0.08</v>
      </c>
      <c r="L10" s="310">
        <f ca="1">(L3-$P$1)/$P$1</f>
        <v>-0.84258484081298268</v>
      </c>
      <c r="M10" s="310">
        <f t="shared" ref="M10:P10" ca="1" si="34">(M3-$P$1)/$P$1</f>
        <v>-0.79836689699664853</v>
      </c>
      <c r="N10" s="310">
        <f t="shared" ca="1" si="34"/>
        <v>-0.75414895318031439</v>
      </c>
      <c r="O10" s="310">
        <f t="shared" ca="1" si="34"/>
        <v>-0.69224383183744653</v>
      </c>
      <c r="P10" s="310">
        <f t="shared" ca="1" si="34"/>
        <v>-0.6657130655476462</v>
      </c>
      <c r="Q10" s="1"/>
      <c r="R10" s="306">
        <v>0.08</v>
      </c>
      <c r="S10" s="310">
        <f ca="1">(S3-$W$1)/$W$1</f>
        <v>-0.81552608168380702</v>
      </c>
      <c r="T10" s="310">
        <f t="shared" ref="T10:W10" ca="1" si="35">(T3-$W$1)/$W$1</f>
        <v>-0.75233833210346868</v>
      </c>
      <c r="U10" s="310">
        <f t="shared" ca="1" si="35"/>
        <v>-0.68930855189708096</v>
      </c>
      <c r="V10" s="310">
        <f t="shared" ca="1" si="35"/>
        <v>-0.62596283294279154</v>
      </c>
      <c r="W10" s="310">
        <f t="shared" ca="1" si="35"/>
        <v>-0.56277508336245308</v>
      </c>
      <c r="Y10" s="306">
        <v>0.08</v>
      </c>
      <c r="Z10" s="310">
        <f ca="1">(Z3-$AD$1)/$AD$1</f>
        <v>-0.12588152899962607</v>
      </c>
      <c r="AA10" s="310">
        <f t="shared" ref="AA10:AD10" ca="1" si="36">(AA3-$AD$1)/$AD$1</f>
        <v>4.4492523170268514E-2</v>
      </c>
      <c r="AB10" s="310">
        <f t="shared" ca="1" si="36"/>
        <v>0.20634787273166819</v>
      </c>
      <c r="AC10" s="310">
        <f t="shared" ca="1" si="36"/>
        <v>0.3852406275100575</v>
      </c>
      <c r="AD10" s="310">
        <f t="shared" ca="1" si="36"/>
        <v>0.55561467967995193</v>
      </c>
      <c r="AF10" s="306">
        <v>0.08</v>
      </c>
      <c r="AG10" s="310">
        <f ca="1">(AG3-$AK$1)/$AK$1</f>
        <v>-0.78441737622323204</v>
      </c>
      <c r="AH10" s="310">
        <f t="shared" ref="AH10:AK10" ca="1" si="37">(AH3-$AK$1)/$AK$1</f>
        <v>-0.76875379323729576</v>
      </c>
      <c r="AI10" s="310">
        <f t="shared" ca="1" si="37"/>
        <v>-0.75348179982600783</v>
      </c>
      <c r="AJ10" s="310">
        <f t="shared" ca="1" si="37"/>
        <v>-0.73742662726542307</v>
      </c>
      <c r="AK10" s="310">
        <f t="shared" ca="1" si="37"/>
        <v>-0.72176304427948679</v>
      </c>
      <c r="AM10" s="306">
        <v>0.08</v>
      </c>
      <c r="AN10" s="310">
        <f ca="1">(AN3-$AR$1)/$AR$1</f>
        <v>-0.43346558797205503</v>
      </c>
      <c r="AO10" s="310">
        <f t="shared" ref="AO10:AR10" ca="1" si="38">(AO3-$AR$1)/$AR$1</f>
        <v>-0.38208343336254758</v>
      </c>
      <c r="AP10" s="310">
        <f t="shared" ca="1" si="38"/>
        <v>-0.32813217102256453</v>
      </c>
      <c r="AQ10" s="310">
        <f t="shared" ca="1" si="38"/>
        <v>-0.27931912414353244</v>
      </c>
      <c r="AR10" s="310">
        <f t="shared" ca="1" si="38"/>
        <v>-0.22793696953402445</v>
      </c>
    </row>
    <row r="11" spans="1:44" x14ac:dyDescent="0.3">
      <c r="A11" s="1"/>
      <c r="D11" s="306">
        <v>9.6600000000000005E-2</v>
      </c>
      <c r="E11" s="310">
        <f t="shared" ref="E11:I11" ca="1" si="39">(E4-$I$1)/$I$1</f>
        <v>-0.9415200143972825</v>
      </c>
      <c r="F11" s="310">
        <f t="shared" ca="1" si="39"/>
        <v>-0.9137159726579589</v>
      </c>
      <c r="G11" s="310">
        <f t="shared" ca="1" si="39"/>
        <v>-0.88591193091863529</v>
      </c>
      <c r="H11" s="310">
        <f t="shared" ca="1" si="39"/>
        <v>-0.86255653585760339</v>
      </c>
      <c r="I11" s="310">
        <f t="shared" ca="1" si="39"/>
        <v>-0.83030384743998786</v>
      </c>
      <c r="K11" s="306">
        <v>9.6600000000000005E-2</v>
      </c>
      <c r="L11" s="310">
        <f t="shared" ref="L11:P11" ca="1" si="40">(L4-$P$1)/$P$1</f>
        <v>-0.82949126046870558</v>
      </c>
      <c r="M11" s="310">
        <f t="shared" ca="1" si="40"/>
        <v>-0.78236363213142091</v>
      </c>
      <c r="N11" s="310">
        <f t="shared" ca="1" si="40"/>
        <v>-0.73523600379413634</v>
      </c>
      <c r="O11" s="310">
        <f t="shared" ca="1" si="40"/>
        <v>-0.66925732412193784</v>
      </c>
      <c r="P11" s="310">
        <f t="shared" ca="1" si="40"/>
        <v>-0.64098074711956721</v>
      </c>
      <c r="Q11" s="1"/>
      <c r="R11" s="306">
        <v>9.6600000000000005E-2</v>
      </c>
      <c r="S11" s="310">
        <f t="shared" ref="S11:W11" ca="1" si="41">(S4-$W$1)/$W$1</f>
        <v>-0.78993517451426298</v>
      </c>
      <c r="T11" s="310">
        <f t="shared" ca="1" si="41"/>
        <v>-0.72162924350001567</v>
      </c>
      <c r="U11" s="310">
        <f t="shared" ca="1" si="41"/>
        <v>-0.65349407731330411</v>
      </c>
      <c r="V11" s="310">
        <f t="shared" ca="1" si="41"/>
        <v>-0.58501738147152105</v>
      </c>
      <c r="W11" s="310">
        <f t="shared" ca="1" si="41"/>
        <v>-0.51671145045727374</v>
      </c>
      <c r="Y11" s="306">
        <v>9.6600000000000005E-2</v>
      </c>
      <c r="Z11" s="310">
        <f t="shared" ref="Z11:AD11" ca="1" si="42">(Z4-$AD$1)/$AD$1</f>
        <v>-7.7732124008196485E-2</v>
      </c>
      <c r="AA11" s="310">
        <f t="shared" ca="1" si="42"/>
        <v>0.10181324339816093</v>
      </c>
      <c r="AB11" s="310">
        <f t="shared" ca="1" si="42"/>
        <v>0.27238134243420009</v>
      </c>
      <c r="AC11" s="310">
        <f t="shared" ca="1" si="42"/>
        <v>0.46090397821087559</v>
      </c>
      <c r="AD11" s="310">
        <f t="shared" ca="1" si="42"/>
        <v>0.64044934561723266</v>
      </c>
      <c r="AF11" s="306">
        <v>9.6600000000000005E-2</v>
      </c>
      <c r="AG11" s="310">
        <f t="shared" ref="AG11:AK11" ca="1" si="43">(AG4-$AK$1)/$AK$1</f>
        <v>-0.7724850949290426</v>
      </c>
      <c r="AH11" s="310">
        <f t="shared" ca="1" si="43"/>
        <v>-0.75595370966716535</v>
      </c>
      <c r="AI11" s="310">
        <f t="shared" ca="1" si="43"/>
        <v>-0.73983560903683476</v>
      </c>
      <c r="AJ11" s="310">
        <f t="shared" ca="1" si="43"/>
        <v>-0.72289093914341063</v>
      </c>
      <c r="AK11" s="310">
        <f t="shared" ca="1" si="43"/>
        <v>-0.70635955388153315</v>
      </c>
      <c r="AM11" s="306">
        <v>9.6600000000000005E-2</v>
      </c>
      <c r="AN11" s="310">
        <f t="shared" ref="AN11:AR11" ca="1" si="44">(AN4-$AR$1)/$AR$1</f>
        <v>-0.39945264293303839</v>
      </c>
      <c r="AO11" s="310">
        <f t="shared" ca="1" si="44"/>
        <v>-0.34523607623694619</v>
      </c>
      <c r="AP11" s="310">
        <f t="shared" ca="1" si="44"/>
        <v>-0.28830868120604897</v>
      </c>
      <c r="AQ11" s="310">
        <f t="shared" ca="1" si="44"/>
        <v>-0.23680294284476139</v>
      </c>
      <c r="AR11" s="310">
        <f t="shared" ca="1" si="44"/>
        <v>-0.18258637614866918</v>
      </c>
    </row>
    <row r="12" spans="1:44" x14ac:dyDescent="0.3">
      <c r="A12" s="1"/>
      <c r="D12" s="306">
        <v>0.12</v>
      </c>
      <c r="E12" s="310">
        <f t="shared" ref="E12:I12" ca="1" si="45">(E5-$I$1)/$I$1</f>
        <v>-0.93477227234952498</v>
      </c>
      <c r="F12" s="310">
        <f t="shared" ca="1" si="45"/>
        <v>-0.90528129509826205</v>
      </c>
      <c r="G12" s="310">
        <f t="shared" ca="1" si="45"/>
        <v>-0.87579031784699879</v>
      </c>
      <c r="H12" s="310">
        <f t="shared" ca="1" si="45"/>
        <v>-0.85101789695593777</v>
      </c>
      <c r="I12" s="310">
        <f t="shared" ca="1" si="45"/>
        <v>-0.8168083633444726</v>
      </c>
      <c r="K12" s="306">
        <v>0.12</v>
      </c>
      <c r="L12" s="310">
        <f t="shared" ref="L12:P12" ca="1" si="46">(L5-$P$1)/$P$1</f>
        <v>-0.81559588741766564</v>
      </c>
      <c r="M12" s="310">
        <f t="shared" ca="1" si="46"/>
        <v>-0.76538039840237215</v>
      </c>
      <c r="N12" s="310">
        <f t="shared" ca="1" si="46"/>
        <v>-0.71516490938707866</v>
      </c>
      <c r="O12" s="310">
        <f t="shared" ca="1" si="46"/>
        <v>-0.64486322476566782</v>
      </c>
      <c r="P12" s="310">
        <f t="shared" ca="1" si="46"/>
        <v>-0.61473393135649179</v>
      </c>
      <c r="Q12" s="1"/>
      <c r="R12" s="306">
        <v>0.12</v>
      </c>
      <c r="S12" s="310">
        <f t="shared" ref="S12:W12" ca="1" si="47">(S5-$W$1)/$W$1</f>
        <v>-0.76324856052288725</v>
      </c>
      <c r="T12" s="310">
        <f t="shared" ca="1" si="47"/>
        <v>-0.6896053067103648</v>
      </c>
      <c r="U12" s="310">
        <f t="shared" ca="1" si="47"/>
        <v>-0.61614616103237363</v>
      </c>
      <c r="V12" s="310">
        <f t="shared" ca="1" si="47"/>
        <v>-0.54231879908531977</v>
      </c>
      <c r="W12" s="310">
        <f t="shared" ca="1" si="47"/>
        <v>-0.46867554527279742</v>
      </c>
      <c r="Y12" s="306">
        <v>0.12</v>
      </c>
      <c r="Z12" s="310">
        <f t="shared" ref="Z12:AD12" ca="1" si="48">(Z5-$AD$1)/$AD$1</f>
        <v>-3.038991907195154E-2</v>
      </c>
      <c r="AA12" s="310">
        <f t="shared" ca="1" si="48"/>
        <v>0.15817301117940491</v>
      </c>
      <c r="AB12" s="310">
        <f t="shared" ca="1" si="48"/>
        <v>0.33730779491819352</v>
      </c>
      <c r="AC12" s="310">
        <f t="shared" ca="1" si="48"/>
        <v>0.53529887168211776</v>
      </c>
      <c r="AD12" s="310">
        <f t="shared" ca="1" si="48"/>
        <v>0.72386180193347405</v>
      </c>
      <c r="AF12" s="306">
        <v>0.12</v>
      </c>
      <c r="AG12" s="310">
        <f t="shared" ref="AG12:AK12" ca="1" si="49">(AG5-$AK$1)/$AK$1</f>
        <v>-0.7591003420411917</v>
      </c>
      <c r="AH12" s="310">
        <f t="shared" ca="1" si="49"/>
        <v>-0.74159552020565256</v>
      </c>
      <c r="AI12" s="310">
        <f t="shared" ca="1" si="49"/>
        <v>-0.72452831891600167</v>
      </c>
      <c r="AJ12" s="310">
        <f t="shared" ca="1" si="49"/>
        <v>-0.70658587653457405</v>
      </c>
      <c r="AK12" s="310">
        <f t="shared" ca="1" si="49"/>
        <v>-0.6890810546990348</v>
      </c>
      <c r="AM12" s="306">
        <v>0.12</v>
      </c>
      <c r="AN12" s="310">
        <f t="shared" ref="AN12:AR12" ca="1" si="50">(AN5-$AR$1)/$AR$1</f>
        <v>-0.35654312909707564</v>
      </c>
      <c r="AO12" s="310">
        <f t="shared" ca="1" si="50"/>
        <v>-0.29875076958131985</v>
      </c>
      <c r="AP12" s="310">
        <f t="shared" ca="1" si="50"/>
        <v>-0.23806879208977602</v>
      </c>
      <c r="AQ12" s="310">
        <f t="shared" ca="1" si="50"/>
        <v>-0.18316605054980806</v>
      </c>
      <c r="AR12" s="310">
        <f t="shared" ca="1" si="50"/>
        <v>-0.12537369103405213</v>
      </c>
    </row>
    <row r="13" spans="1:44" x14ac:dyDescent="0.3">
      <c r="A13" s="1"/>
      <c r="D13" s="306">
        <v>0.14000000000000001</v>
      </c>
      <c r="E13" s="310">
        <f t="shared" ref="E13:I13" ca="1" si="51">(E6-$I$1)/$I$1</f>
        <v>-0.92878846146568939</v>
      </c>
      <c r="F13" s="310">
        <f t="shared" ca="1" si="51"/>
        <v>-0.89780153149346742</v>
      </c>
      <c r="G13" s="310">
        <f t="shared" ca="1" si="51"/>
        <v>-0.86681460152124534</v>
      </c>
      <c r="H13" s="310">
        <f t="shared" ca="1" si="51"/>
        <v>-0.84078558034457895</v>
      </c>
      <c r="I13" s="310">
        <f t="shared" ca="1" si="51"/>
        <v>-0.80484074157680152</v>
      </c>
      <c r="K13" s="306">
        <v>0.14000000000000001</v>
      </c>
      <c r="L13" s="310">
        <f t="shared" ref="L13:P13" ca="1" si="52">(L6-$P$1)/$P$1</f>
        <v>-0.8012093822114893</v>
      </c>
      <c r="M13" s="310">
        <f t="shared" ca="1" si="52"/>
        <v>-0.74779689203926769</v>
      </c>
      <c r="N13" s="310">
        <f t="shared" ca="1" si="52"/>
        <v>-0.69438440186704609</v>
      </c>
      <c r="O13" s="310">
        <f t="shared" ca="1" si="52"/>
        <v>-0.61960691562593617</v>
      </c>
      <c r="P13" s="310">
        <f t="shared" ca="1" si="52"/>
        <v>-0.58755942152260321</v>
      </c>
      <c r="Q13" s="1"/>
      <c r="R13" s="306">
        <v>0.14000000000000001</v>
      </c>
      <c r="S13" s="310">
        <f t="shared" ref="S13:W13" ca="1" si="53">(S6-$W$1)/$W$1</f>
        <v>-0.73460000496304878</v>
      </c>
      <c r="T13" s="310">
        <f t="shared" ca="1" si="53"/>
        <v>-0.65522704003855869</v>
      </c>
      <c r="U13" s="310">
        <f t="shared" ca="1" si="53"/>
        <v>-0.57605250752637982</v>
      </c>
      <c r="V13" s="310">
        <f t="shared" ca="1" si="53"/>
        <v>-0.4964811101895783</v>
      </c>
      <c r="W13" s="310">
        <f t="shared" ca="1" si="53"/>
        <v>-0.41710814526508816</v>
      </c>
      <c r="Y13" s="306">
        <v>0.14000000000000001</v>
      </c>
      <c r="Z13" s="310">
        <f t="shared" ref="Z13:AD13" ca="1" si="54">(Z6-$AD$1)/$AD$1</f>
        <v>2.378237076059278E-2</v>
      </c>
      <c r="AA13" s="310">
        <f t="shared" ca="1" si="54"/>
        <v>0.22266383240862408</v>
      </c>
      <c r="AB13" s="310">
        <f t="shared" ca="1" si="54"/>
        <v>0.41160122097425367</v>
      </c>
      <c r="AC13" s="310">
        <f t="shared" ca="1" si="54"/>
        <v>0.62042675570468708</v>
      </c>
      <c r="AD13" s="310">
        <f t="shared" ca="1" si="54"/>
        <v>0.81930821735271819</v>
      </c>
      <c r="AF13" s="306">
        <v>0.14000000000000001</v>
      </c>
      <c r="AG13" s="310">
        <f t="shared" ref="AG13:AK13" ca="1" si="55">(AG6-$AK$1)/$AK$1</f>
        <v>-0.74728306890367613</v>
      </c>
      <c r="AH13" s="310">
        <f t="shared" ca="1" si="55"/>
        <v>-0.7289188090217722</v>
      </c>
      <c r="AI13" s="310">
        <f t="shared" ca="1" si="55"/>
        <v>-0.71101365563691576</v>
      </c>
      <c r="AJ13" s="310">
        <f t="shared" ca="1" si="55"/>
        <v>-0.69219028925796411</v>
      </c>
      <c r="AK13" s="310">
        <f t="shared" ca="1" si="55"/>
        <v>-0.67382602937606018</v>
      </c>
      <c r="AM13" s="306">
        <v>0.14000000000000001</v>
      </c>
      <c r="AN13" s="310">
        <f t="shared" ref="AN13:AR13" ca="1" si="56">(AN6-$AR$1)/$AR$1</f>
        <v>-0.32765014727133518</v>
      </c>
      <c r="AO13" s="310">
        <f t="shared" ca="1" si="56"/>
        <v>-0.26745003927010086</v>
      </c>
      <c r="AP13" s="310">
        <f t="shared" ca="1" si="56"/>
        <v>-0.20423992586880474</v>
      </c>
      <c r="AQ13" s="310">
        <f t="shared" ca="1" si="56"/>
        <v>-0.1470498232676325</v>
      </c>
      <c r="AR13" s="310">
        <f t="shared" ca="1" si="56"/>
        <v>-8.6849715266398231E-2</v>
      </c>
    </row>
    <row r="14" spans="1:44" ht="15" thickBot="1" x14ac:dyDescent="0.35">
      <c r="A14" s="1"/>
      <c r="D14" s="307">
        <v>0.16</v>
      </c>
      <c r="E14" s="310">
        <f t="shared" ref="E14:I14" ca="1" si="57">(E7-$I$1)/$I$1</f>
        <v>-0.92260143081458723</v>
      </c>
      <c r="F14" s="310">
        <f t="shared" ca="1" si="57"/>
        <v>-0.89006774317958959</v>
      </c>
      <c r="G14" s="310">
        <f t="shared" ca="1" si="57"/>
        <v>-0.85753405554459206</v>
      </c>
      <c r="H14" s="310">
        <f t="shared" ca="1" si="57"/>
        <v>-0.830205757931194</v>
      </c>
      <c r="I14" s="310">
        <f t="shared" ca="1" si="57"/>
        <v>-0.79246668027459688</v>
      </c>
      <c r="K14" s="307">
        <v>0.16</v>
      </c>
      <c r="L14" s="310">
        <f t="shared" ref="L14:P14" ca="1" si="58">(L7-$P$1)/$P$1</f>
        <v>-0.78621072700237793</v>
      </c>
      <c r="M14" s="310">
        <f t="shared" ca="1" si="58"/>
        <v>-0.72946520233924261</v>
      </c>
      <c r="N14" s="310">
        <f t="shared" ca="1" si="58"/>
        <v>-0.67271967767610741</v>
      </c>
      <c r="O14" s="310">
        <f t="shared" ca="1" si="58"/>
        <v>-0.59327594314771814</v>
      </c>
      <c r="P14" s="310">
        <f t="shared" ca="1" si="58"/>
        <v>-0.559228628349837</v>
      </c>
      <c r="Q14" s="1"/>
      <c r="R14" s="307">
        <v>0.16</v>
      </c>
      <c r="S14" s="310">
        <f t="shared" ref="S14:W14" ca="1" si="59">(S7-$W$1)/$W$1</f>
        <v>-0.70478253954022407</v>
      </c>
      <c r="T14" s="310">
        <f t="shared" ca="1" si="59"/>
        <v>-0.61944608153116876</v>
      </c>
      <c r="U14" s="310">
        <f t="shared" ca="1" si="59"/>
        <v>-0.53432296466713647</v>
      </c>
      <c r="V14" s="310">
        <f t="shared" ca="1" si="59"/>
        <v>-0.44877316551305851</v>
      </c>
      <c r="W14" s="310">
        <f t="shared" ca="1" si="59"/>
        <v>-0.36343670750400336</v>
      </c>
      <c r="Y14" s="307">
        <v>0.16</v>
      </c>
      <c r="Z14" s="310">
        <f t="shared" ref="Z14:AD14" ca="1" si="60">(Z7-$AD$1)/$AD$1</f>
        <v>7.7209600400031497E-2</v>
      </c>
      <c r="AA14" s="310">
        <f t="shared" ca="1" si="60"/>
        <v>0.28626767721747959</v>
      </c>
      <c r="AB14" s="310">
        <f t="shared" ca="1" si="60"/>
        <v>0.48487285019405502</v>
      </c>
      <c r="AC14" s="310">
        <f t="shared" ca="1" si="60"/>
        <v>0.70438383085237599</v>
      </c>
      <c r="AD14" s="310">
        <f t="shared" ca="1" si="60"/>
        <v>0.91344190766982469</v>
      </c>
      <c r="AF14" s="307">
        <v>0.16</v>
      </c>
      <c r="AG14" s="310">
        <f t="shared" ref="AG14:AK14" ca="1" si="61">(AG7-$AK$1)/$AK$1</f>
        <v>-0.73399673403011567</v>
      </c>
      <c r="AH14" s="310">
        <f t="shared" ca="1" si="61"/>
        <v>-0.71466619524831643</v>
      </c>
      <c r="AI14" s="310">
        <f t="shared" ca="1" si="61"/>
        <v>-0.69581891993606204</v>
      </c>
      <c r="AJ14" s="310">
        <f t="shared" ca="1" si="61"/>
        <v>-0.67600511768471783</v>
      </c>
      <c r="AK14" s="310">
        <f t="shared" ca="1" si="61"/>
        <v>-0.65667457890291869</v>
      </c>
      <c r="AM14" s="307">
        <v>0.16</v>
      </c>
      <c r="AN14" s="310">
        <f t="shared" ref="AN14:AR14" ca="1" si="62">(AN7-$AR$1)/$AR$1</f>
        <v>-0.28981441197972774</v>
      </c>
      <c r="AO14" s="310">
        <f t="shared" ca="1" si="62"/>
        <v>-0.22646132603752628</v>
      </c>
      <c r="AP14" s="310">
        <f t="shared" ca="1" si="62"/>
        <v>-0.15994058579821463</v>
      </c>
      <c r="AQ14" s="310">
        <f t="shared" ca="1" si="62"/>
        <v>-9.9755154153123304E-2</v>
      </c>
      <c r="AR14" s="310">
        <f t="shared" ca="1" si="62"/>
        <v>-3.6402068210921672E-2</v>
      </c>
    </row>
    <row r="15" spans="1:44" x14ac:dyDescent="0.3">
      <c r="A15" s="1"/>
      <c r="I15" s="1"/>
      <c r="Q15" s="1"/>
    </row>
    <row r="16" spans="1:44" x14ac:dyDescent="0.3">
      <c r="A16" s="1"/>
      <c r="I16" s="1"/>
      <c r="Q16" s="1"/>
    </row>
    <row r="17" spans="1:47" ht="33" customHeight="1" x14ac:dyDescent="0.3">
      <c r="A17" s="397" t="s">
        <v>415</v>
      </c>
      <c r="B17" s="397"/>
      <c r="C17" s="397"/>
      <c r="D17" s="397"/>
      <c r="E17" s="397"/>
      <c r="F17" s="405" t="e" vm="4">
        <v>#VALUE!</v>
      </c>
      <c r="G17" s="406"/>
      <c r="I17" s="398" t="s">
        <v>415</v>
      </c>
      <c r="J17" s="399"/>
      <c r="K17" s="399"/>
      <c r="L17" s="399"/>
      <c r="M17" s="400"/>
      <c r="N17" s="405" t="e" vm="6">
        <v>#VALUE!</v>
      </c>
      <c r="O17" s="407"/>
      <c r="Q17" s="401" t="s">
        <v>415</v>
      </c>
      <c r="R17" s="402"/>
      <c r="S17" s="402"/>
      <c r="T17" s="402"/>
      <c r="U17" s="402"/>
      <c r="V17" s="392" t="e" vm="5">
        <v>#VALUE!</v>
      </c>
      <c r="W17" s="393"/>
      <c r="Y17" s="403" t="s">
        <v>415</v>
      </c>
      <c r="Z17" s="404"/>
      <c r="AA17" s="404"/>
      <c r="AB17" s="404"/>
      <c r="AC17" s="404"/>
      <c r="AD17" s="384" t="e" vm="3">
        <v>#VALUE!</v>
      </c>
      <c r="AE17" s="385"/>
      <c r="AG17" s="388" t="s">
        <v>415</v>
      </c>
      <c r="AH17" s="389"/>
      <c r="AI17" s="389"/>
      <c r="AJ17" s="389"/>
      <c r="AK17" s="389"/>
      <c r="AL17" s="392" t="e" vm="1">
        <v>#VALUE!</v>
      </c>
      <c r="AM17" s="393"/>
      <c r="AO17" s="390" t="s">
        <v>415</v>
      </c>
      <c r="AP17" s="391"/>
      <c r="AQ17" s="391"/>
      <c r="AR17" s="391"/>
      <c r="AS17" s="391"/>
      <c r="AT17" s="384" t="e" vm="2">
        <v>#VALUE!</v>
      </c>
      <c r="AU17" s="385"/>
    </row>
    <row r="18" spans="1:47" x14ac:dyDescent="0.3">
      <c r="A18" s="242" t="s">
        <v>567</v>
      </c>
      <c r="B18" s="243" t="s">
        <v>568</v>
      </c>
      <c r="C18" s="243" t="s">
        <v>569</v>
      </c>
      <c r="D18" s="243" t="s">
        <v>570</v>
      </c>
      <c r="E18" s="243" t="s">
        <v>571</v>
      </c>
      <c r="F18" s="277" t="s">
        <v>572</v>
      </c>
      <c r="G18" s="276" t="s">
        <v>483</v>
      </c>
      <c r="I18" s="244" t="s">
        <v>567</v>
      </c>
      <c r="J18" s="245" t="s">
        <v>573</v>
      </c>
      <c r="K18" s="245" t="s">
        <v>574</v>
      </c>
      <c r="L18" s="245" t="s">
        <v>575</v>
      </c>
      <c r="M18" s="245" t="s">
        <v>576</v>
      </c>
      <c r="N18" s="292" t="s">
        <v>577</v>
      </c>
      <c r="O18" s="295" t="s">
        <v>483</v>
      </c>
      <c r="Q18" s="311" t="s">
        <v>567</v>
      </c>
      <c r="R18" s="312">
        <v>0.2</v>
      </c>
      <c r="S18" s="312">
        <v>0.24</v>
      </c>
      <c r="T18" s="312">
        <v>0.27989999999999998</v>
      </c>
      <c r="U18" s="312">
        <v>0.32</v>
      </c>
      <c r="V18" s="312">
        <v>0.36</v>
      </c>
      <c r="W18" s="313" t="s">
        <v>483</v>
      </c>
      <c r="Y18" s="316" t="s">
        <v>567</v>
      </c>
      <c r="Z18" s="317">
        <v>0.21</v>
      </c>
      <c r="AA18" s="317">
        <v>0.25</v>
      </c>
      <c r="AB18" s="317">
        <v>0.28799999999999998</v>
      </c>
      <c r="AC18" s="317">
        <v>0.33</v>
      </c>
      <c r="AD18" s="317">
        <v>0.37</v>
      </c>
      <c r="AE18" s="318" t="s">
        <v>483</v>
      </c>
      <c r="AG18" s="248" t="s">
        <v>567</v>
      </c>
      <c r="AH18" s="249">
        <v>0.27500000000000002</v>
      </c>
      <c r="AI18" s="249">
        <v>0.29499999999999998</v>
      </c>
      <c r="AJ18" s="249">
        <v>0.3145</v>
      </c>
      <c r="AK18" s="249">
        <v>0.33500000000000002</v>
      </c>
      <c r="AL18" s="280">
        <v>0.35499999999999998</v>
      </c>
      <c r="AM18" s="322" t="s">
        <v>483</v>
      </c>
      <c r="AO18" s="336" t="s">
        <v>567</v>
      </c>
      <c r="AP18" s="337" t="s">
        <v>595</v>
      </c>
      <c r="AQ18" s="337" t="s">
        <v>575</v>
      </c>
      <c r="AR18" s="337" t="s">
        <v>611</v>
      </c>
      <c r="AS18" s="337" t="s">
        <v>570</v>
      </c>
      <c r="AT18" s="337" t="s">
        <v>612</v>
      </c>
      <c r="AU18" s="298" t="s">
        <v>483</v>
      </c>
    </row>
    <row r="19" spans="1:47" x14ac:dyDescent="0.3">
      <c r="A19" s="240">
        <f>D3</f>
        <v>0.08</v>
      </c>
      <c r="B19" s="241">
        <f>($B$2*(1+$A$19))*B18</f>
        <v>2097.7920000000004</v>
      </c>
      <c r="C19" s="241">
        <f>($B$2*(1+$A$19))*C18</f>
        <v>2622.2400000000002</v>
      </c>
      <c r="D19" s="241">
        <f>($B$2*(1+$A$19))*D18</f>
        <v>3146.6880000000001</v>
      </c>
      <c r="E19" s="241">
        <f>($B$2*(1+$A$19))*E18</f>
        <v>3587.2243200000007</v>
      </c>
      <c r="F19" s="241">
        <f>($B$2*(1+$A$19))*F18</f>
        <v>4195.5840000000007</v>
      </c>
      <c r="G19" s="275">
        <f>$B$2*(1+Table75[[#This Row],[Growth]])</f>
        <v>10488.960000000001</v>
      </c>
      <c r="I19" s="246">
        <f>K3</f>
        <v>0.06</v>
      </c>
      <c r="J19" s="247">
        <f>($B$3*(1+$I$19))*J18</f>
        <v>10406.895984000001</v>
      </c>
      <c r="K19" s="247">
        <f>($B$3*(1+$I$19))*K18</f>
        <v>12719.539536000002</v>
      </c>
      <c r="L19" s="247">
        <f>($B$3*(1+$I$19))*L18</f>
        <v>15032.183088000002</v>
      </c>
      <c r="M19" s="247">
        <f>($B$3*(1+$I$19))*M18</f>
        <v>18269.884060800003</v>
      </c>
      <c r="N19" s="293">
        <f>($B$3*(1+$I$19))*N18</f>
        <v>19657.470192000004</v>
      </c>
      <c r="O19" s="296">
        <f>$B$3*(1+I19)</f>
        <v>57816.088800000005</v>
      </c>
      <c r="Q19" s="300">
        <f>R3</f>
        <v>7.0000000000000007E-2</v>
      </c>
      <c r="R19" s="301">
        <f>($B$4*(1+$Q$19))*R18</f>
        <v>2727.2652200000002</v>
      </c>
      <c r="S19" s="301">
        <f>($B$4*(1+$Q$19))*S18</f>
        <v>3272.7182640000001</v>
      </c>
      <c r="T19" s="301">
        <f>($B$4*(1+$Q$19))*T18</f>
        <v>3816.80767539</v>
      </c>
      <c r="U19" s="301">
        <f>($B$4*(1+$Q$19))*U18</f>
        <v>4363.6243519999998</v>
      </c>
      <c r="V19" s="302">
        <f>($B$4*(1+$Q$19))*V18</f>
        <v>4909.0773959999997</v>
      </c>
      <c r="W19" s="299">
        <f>$B$4*(1+Q19)</f>
        <v>13636.3261</v>
      </c>
      <c r="Y19" s="300">
        <f>Y3</f>
        <v>7.0000000000000007E-2</v>
      </c>
      <c r="Z19" s="301">
        <f>($B$5*(1+$Y$19))*Z18</f>
        <v>7581.647640000002</v>
      </c>
      <c r="AA19" s="301">
        <f>($B$5*(1+$Y$19))*AA18</f>
        <v>9025.7710000000025</v>
      </c>
      <c r="AB19" s="301">
        <f>($B$5*(1+$Y$19))*AB18</f>
        <v>10397.688192000001</v>
      </c>
      <c r="AC19" s="301">
        <f>($B$5*(1+$Y$19))*AC18</f>
        <v>11914.017720000003</v>
      </c>
      <c r="AD19" s="302">
        <f>($B$5*(1+$Y$19))*AD18</f>
        <v>13358.141080000003</v>
      </c>
      <c r="AE19" s="296">
        <f>$B$5*(1+Y19)</f>
        <v>36103.08400000001</v>
      </c>
      <c r="AG19" s="246">
        <f>AF3</f>
        <v>0.02</v>
      </c>
      <c r="AH19" s="251">
        <f>($B$6*(1+$AG$19))*AH18</f>
        <v>3236.7904800000006</v>
      </c>
      <c r="AI19" s="251">
        <f>($B$6*(1+$AG$19))*AI18</f>
        <v>3472.1934240000001</v>
      </c>
      <c r="AJ19" s="251">
        <f>($B$6*(1+$AG$19))*AJ18</f>
        <v>3701.7112944000005</v>
      </c>
      <c r="AK19" s="251">
        <f>($B$6*(1+$AG$19))*AK18</f>
        <v>3942.9993120000008</v>
      </c>
      <c r="AL19" s="321">
        <f>($B$6*(1+$AG$19))*AL18</f>
        <v>4178.4022560000003</v>
      </c>
      <c r="AM19" s="323">
        <f>$B$6*(1+AG19)</f>
        <v>11770.147200000001</v>
      </c>
      <c r="AO19" s="334">
        <f>AM3</f>
        <v>0.04</v>
      </c>
      <c r="AP19" s="335">
        <f>($B$7*(1+$AG$19))*AP18</f>
        <v>6954.6431520000006</v>
      </c>
      <c r="AQ19" s="335">
        <f>($B$7*(1+$AG$19))*AQ18</f>
        <v>7534.1967480000003</v>
      </c>
      <c r="AR19" s="335">
        <f>($B$7*(1+$AG$19))*AR18</f>
        <v>8142.7280238000012</v>
      </c>
      <c r="AS19" s="335">
        <f>($B$7*(1+$AG$19))*AS18</f>
        <v>8693.3039399999998</v>
      </c>
      <c r="AT19" s="338">
        <f>($B$7*(1+$AG$19))*AT18</f>
        <v>9272.8575360000013</v>
      </c>
      <c r="AU19" s="84">
        <f>$B$7*(1+Table193[[#This Row],[Growth]])</f>
        <v>29545.869600000002</v>
      </c>
    </row>
    <row r="20" spans="1:47" x14ac:dyDescent="0.3">
      <c r="A20" s="240">
        <f>D4</f>
        <v>9.6600000000000005E-2</v>
      </c>
      <c r="B20" s="241">
        <f>($B$2*(1+$A$20))*B18</f>
        <v>2130.03584</v>
      </c>
      <c r="C20" s="241">
        <f>($B$2*(1+$A$20))*C18</f>
        <v>2662.5448000000001</v>
      </c>
      <c r="D20" s="241">
        <f>($B$2*(1+$A$20))*D18</f>
        <v>3195.0537600000002</v>
      </c>
      <c r="E20" s="241">
        <f>($B$2*(1+$A$20))*E18</f>
        <v>3642.3612864000006</v>
      </c>
      <c r="F20" s="241">
        <f>($B$2*(1+$A$20))*F18</f>
        <v>4260.07168</v>
      </c>
      <c r="G20" s="275">
        <f>$B$2*(1+Table75[[#This Row],[Growth]])</f>
        <v>10650.1792</v>
      </c>
      <c r="I20" s="240">
        <f>K4</f>
        <v>8.48E-2</v>
      </c>
      <c r="J20" s="241">
        <f>($B$3*(1+$I$20))*J18</f>
        <v>10650.378078720001</v>
      </c>
      <c r="K20" s="241">
        <f>($B$3*(1+$I$20))*K18</f>
        <v>13017.128762880002</v>
      </c>
      <c r="L20" s="241">
        <f>($B$3*(1+$I$20))*L18</f>
        <v>15383.879447040003</v>
      </c>
      <c r="M20" s="241">
        <f>($B$3*(1+$I$20))*M18</f>
        <v>18697.330404864002</v>
      </c>
      <c r="N20" s="294">
        <f>($B$3*(1+$I$20))*N18</f>
        <v>20117.380815360004</v>
      </c>
      <c r="O20" s="296">
        <f t="shared" ref="O20:O23" si="63">$B$3*(1+I20)</f>
        <v>59168.767104000006</v>
      </c>
      <c r="Q20" s="246">
        <f>R4</f>
        <v>0.1</v>
      </c>
      <c r="R20" s="241">
        <f>($B$4*(1+$Q$20))*R18</f>
        <v>2803.7306000000003</v>
      </c>
      <c r="S20" s="241">
        <f>($B$4*(1+$Q$20))*S18</f>
        <v>3364.4767200000001</v>
      </c>
      <c r="T20" s="241">
        <f>($B$4*(1+$Q$20))*T18</f>
        <v>3923.8209746999996</v>
      </c>
      <c r="U20" s="241">
        <f>($B$4*(1+$Q$20))*U18</f>
        <v>4485.9689600000002</v>
      </c>
      <c r="V20" s="294">
        <f>($B$4*(1+$Q$20))*V18</f>
        <v>5046.7150799999999</v>
      </c>
      <c r="W20" s="299">
        <f t="shared" ref="W20:W23" si="64">$B$4*(1+Q20)</f>
        <v>14018.653</v>
      </c>
      <c r="Y20" s="246">
        <f>Y4</f>
        <v>0.09</v>
      </c>
      <c r="Z20" s="241">
        <f>($B$5*(1+$Y$20))*Z18</f>
        <v>7723.3606800000016</v>
      </c>
      <c r="AA20" s="241">
        <f>($B$5*(1+$Y$20))*AA18</f>
        <v>9194.4770000000026</v>
      </c>
      <c r="AB20" s="241">
        <f>($B$5*(1+$Y$20))*AB18</f>
        <v>10592.037504000002</v>
      </c>
      <c r="AC20" s="241">
        <f>($B$5*(1+$Y$20))*AC18</f>
        <v>12136.709640000005</v>
      </c>
      <c r="AD20" s="294">
        <f>($B$5*(1+$Y$20))*AD18</f>
        <v>13607.825960000004</v>
      </c>
      <c r="AE20" s="296">
        <f t="shared" ref="AE20:AE23" si="65">$B$5*(1+Y20)</f>
        <v>36777.90800000001</v>
      </c>
      <c r="AG20" s="240">
        <f>AF4</f>
        <v>0.04</v>
      </c>
      <c r="AH20" s="241">
        <f>($B$6*(1+$AG$20))*AH18</f>
        <v>3300.2569600000006</v>
      </c>
      <c r="AI20" s="241">
        <f>($B$6*(1+$AG$20))*AI18</f>
        <v>3540.2756480000003</v>
      </c>
      <c r="AJ20" s="241">
        <f>($B$6*(1+$AG$20))*AJ18</f>
        <v>3774.2938688000008</v>
      </c>
      <c r="AK20" s="241">
        <f>($B$6*(1+$AG$20))*AK18</f>
        <v>4020.313024000001</v>
      </c>
      <c r="AL20" s="294">
        <f>($B$6*(1+$AG$20))*AL18</f>
        <v>4260.3317120000002</v>
      </c>
      <c r="AM20" s="323">
        <f t="shared" ref="AM20:AM23" si="66">$B$6*(1+AG20)</f>
        <v>12000.934400000002</v>
      </c>
      <c r="AO20" s="331">
        <f>AM4</f>
        <v>0.06</v>
      </c>
      <c r="AP20" s="241">
        <f>($B$7*(1+$AG$20))*AP18</f>
        <v>7091.0087039999999</v>
      </c>
      <c r="AQ20" s="241">
        <f>($B$7*(1+$AG$20))*AQ18</f>
        <v>7681.9260960000011</v>
      </c>
      <c r="AR20" s="241">
        <f>($B$7*(1+$AG$20))*AR18</f>
        <v>8302.3893576000009</v>
      </c>
      <c r="AS20" s="241">
        <f>($B$7*(1+$AG$20))*AS18</f>
        <v>8863.7608799999998</v>
      </c>
      <c r="AT20" s="294">
        <f>($B$7*(1+$AG$20))*AT18</f>
        <v>9454.678272000001</v>
      </c>
      <c r="AU20" s="84">
        <f>$B$7*(1+Table193[[#This Row],[Growth]])</f>
        <v>30114.059400000002</v>
      </c>
    </row>
    <row r="21" spans="1:47" x14ac:dyDescent="0.3">
      <c r="A21" s="240">
        <f>D5</f>
        <v>0.12</v>
      </c>
      <c r="B21" s="241">
        <f>($B$2*(1+$A$21))*B18</f>
        <v>2175.4880000000003</v>
      </c>
      <c r="C21" s="241">
        <f>($B$2*(1+$A$21))*C18</f>
        <v>2719.36</v>
      </c>
      <c r="D21" s="241">
        <f>($B$2*(1+$A$21))*D18</f>
        <v>3263.232</v>
      </c>
      <c r="E21" s="241">
        <f>($B$2*(1+$A$21))*E18</f>
        <v>3720.0844800000004</v>
      </c>
      <c r="F21" s="241">
        <f>($B$2*(1+$A$21))*F18</f>
        <v>4350.9760000000006</v>
      </c>
      <c r="G21" s="275">
        <f>$B$2*(1+Table75[[#This Row],[Growth]])</f>
        <v>10877.44</v>
      </c>
      <c r="I21" s="246">
        <f>K5</f>
        <v>0.11</v>
      </c>
      <c r="J21" s="247">
        <f>($B$3*(1+$I$21))*J18</f>
        <v>10897.787304000001</v>
      </c>
      <c r="K21" s="247">
        <f>($B$3*(1+$I$21))*K18</f>
        <v>13319.517816000003</v>
      </c>
      <c r="L21" s="247">
        <f>($B$3*(1+$I$21))*L18</f>
        <v>15741.248328000003</v>
      </c>
      <c r="M21" s="247">
        <f>($B$3*(1+$I$21))*M18</f>
        <v>19131.671044800005</v>
      </c>
      <c r="N21" s="293">
        <f>($B$3*(1+$I$21))*N18</f>
        <v>20584.709352000005</v>
      </c>
      <c r="O21" s="296">
        <f t="shared" si="63"/>
        <v>60543.262800000011</v>
      </c>
      <c r="Q21" s="246">
        <f>R5</f>
        <v>0.12970000000000001</v>
      </c>
      <c r="R21" s="247">
        <f>($B$4*(1+$Q$21))*R18</f>
        <v>2879.4313261999996</v>
      </c>
      <c r="S21" s="247">
        <f>($B$4*(1+$Q$21))*S18</f>
        <v>3455.3175914399994</v>
      </c>
      <c r="T21" s="247">
        <f>($B$4*(1+$Q$21))*T18</f>
        <v>4029.764141016899</v>
      </c>
      <c r="U21" s="247">
        <f>($B$4*(1+$Q$21))*U18</f>
        <v>4607.0901219199995</v>
      </c>
      <c r="V21" s="293">
        <f>($B$4*(1+$Q$21))*V18</f>
        <v>5182.9763871599989</v>
      </c>
      <c r="W21" s="299">
        <f t="shared" si="64"/>
        <v>14397.156630999998</v>
      </c>
      <c r="Y21" s="246">
        <f>Y5</f>
        <v>0.109</v>
      </c>
      <c r="Z21" s="247">
        <f>($B$5*(1+$Y$21))*Z18</f>
        <v>7857.9880680000015</v>
      </c>
      <c r="AA21" s="247">
        <f>($B$5*(1+$Y$21))*AA18</f>
        <v>9354.7477000000017</v>
      </c>
      <c r="AB21" s="247">
        <f>($B$5*(1+$Y$21))*AB18</f>
        <v>10776.669350400001</v>
      </c>
      <c r="AC21" s="247">
        <f>($B$5*(1+$Y$21))*AC18</f>
        <v>12348.266964000002</v>
      </c>
      <c r="AD21" s="293">
        <f>($B$5*(1+$Y$21))*AD18</f>
        <v>13845.026596000002</v>
      </c>
      <c r="AE21" s="296">
        <f t="shared" si="65"/>
        <v>37418.990800000007</v>
      </c>
      <c r="AG21" s="246">
        <f>AF5</f>
        <v>6.1600000000000002E-2</v>
      </c>
      <c r="AH21" s="251">
        <f>($B$6*(1+$AG$21))*AH18</f>
        <v>3368.8007584000006</v>
      </c>
      <c r="AI21" s="251">
        <f>($B$6*(1+$AG$21))*AI18</f>
        <v>3613.80444992</v>
      </c>
      <c r="AJ21" s="251">
        <f>($B$6*(1+$AG$21))*AJ18</f>
        <v>3852.6830491520004</v>
      </c>
      <c r="AK21" s="251">
        <f>($B$6*(1+$AG$21))*AK18</f>
        <v>4103.8118329600011</v>
      </c>
      <c r="AL21" s="321">
        <f>($B$6*(1+$AG$21))*AL18</f>
        <v>4348.81552448</v>
      </c>
      <c r="AM21" s="323">
        <f t="shared" si="66"/>
        <v>12250.184576000001</v>
      </c>
      <c r="AO21" s="330">
        <f>AM5</f>
        <v>8.43E-2</v>
      </c>
      <c r="AP21" s="251">
        <f>($B$7*(1+$AG$21))*AP18</f>
        <v>7238.2835001600006</v>
      </c>
      <c r="AQ21" s="251">
        <f>($B$7*(1+$AG$21))*AQ18</f>
        <v>7841.4737918400015</v>
      </c>
      <c r="AR21" s="251">
        <f>($B$7*(1+$AG$21))*AR18</f>
        <v>8474.8235981040016</v>
      </c>
      <c r="AS21" s="251">
        <f>($B$7*(1+$AG$21))*AS18</f>
        <v>9047.8543752000005</v>
      </c>
      <c r="AT21" s="321">
        <f>($B$7*(1+$AG$21))*AT18</f>
        <v>9651.0446668800014</v>
      </c>
      <c r="AU21" s="84">
        <f>$B$7*(1+Table193[[#This Row],[Growth]])</f>
        <v>30804.410007000002</v>
      </c>
    </row>
    <row r="22" spans="1:47" x14ac:dyDescent="0.3">
      <c r="A22" s="240">
        <f>D6</f>
        <v>0.14000000000000001</v>
      </c>
      <c r="B22" s="241">
        <f>($B$2*(1+$A$22))*B18</f>
        <v>2214.3360000000007</v>
      </c>
      <c r="C22" s="241">
        <f>($B$2*(1+$A$22))*C18</f>
        <v>2767.9200000000005</v>
      </c>
      <c r="D22" s="241">
        <f>($B$2*(1+$A$22))*D18</f>
        <v>3321.5040000000004</v>
      </c>
      <c r="E22" s="241">
        <f>($B$2*(1+$A$22))*E18</f>
        <v>3786.514560000001</v>
      </c>
      <c r="F22" s="241">
        <f>($B$2*(1+$A$22))*F18</f>
        <v>4428.6720000000014</v>
      </c>
      <c r="G22" s="275">
        <f>$B$2*(1+Table75[[#This Row],[Growth]])</f>
        <v>11071.680000000002</v>
      </c>
      <c r="I22" s="240">
        <f>K6</f>
        <v>0.13500000000000001</v>
      </c>
      <c r="J22" s="241">
        <f>($B$3*(1+$I$22))*J18</f>
        <v>11143.232964000001</v>
      </c>
      <c r="K22" s="241">
        <f>($B$3*(1+$I$22))*K18</f>
        <v>13619.506956000001</v>
      </c>
      <c r="L22" s="241">
        <f>($B$3*(1+$I$22))*L18</f>
        <v>16095.780948000001</v>
      </c>
      <c r="M22" s="241">
        <f>($B$3*(1+$I$22))*M18</f>
        <v>19562.5645368</v>
      </c>
      <c r="N22" s="294">
        <f>($B$3*(1+$I$22))*N18</f>
        <v>21048.328932000004</v>
      </c>
      <c r="O22" s="296">
        <f t="shared" si="63"/>
        <v>61906.849800000004</v>
      </c>
      <c r="Q22" s="246">
        <f>R6</f>
        <v>0.16</v>
      </c>
      <c r="R22" s="241">
        <f>($B$4*(1+$Q$22))*R18</f>
        <v>2956.6613600000001</v>
      </c>
      <c r="S22" s="241">
        <f>($B$4*(1+$Q$22))*S18</f>
        <v>3547.9936319999997</v>
      </c>
      <c r="T22" s="241">
        <f>($B$4*(1+$Q$22))*T18</f>
        <v>4137.8475733199994</v>
      </c>
      <c r="U22" s="241">
        <f>($B$4*(1+$Q$22))*U18</f>
        <v>4730.6581759999999</v>
      </c>
      <c r="V22" s="294">
        <f>($B$4*(1+$Q$22))*V18</f>
        <v>5321.9904479999996</v>
      </c>
      <c r="W22" s="299">
        <f t="shared" si="64"/>
        <v>14783.306799999998</v>
      </c>
      <c r="Y22" s="246">
        <f>Y6</f>
        <v>0.13</v>
      </c>
      <c r="Z22" s="241">
        <f>($B$5*(1+$Y$22))*Z18</f>
        <v>8006.7867600000009</v>
      </c>
      <c r="AA22" s="241">
        <f>($B$5*(1+$Y$22))*AA18</f>
        <v>9531.889000000001</v>
      </c>
      <c r="AB22" s="241">
        <f>($B$5*(1+$Y$22))*AB18</f>
        <v>10980.736128</v>
      </c>
      <c r="AC22" s="241">
        <f>($B$5*(1+$Y$22))*AC18</f>
        <v>12582.093480000001</v>
      </c>
      <c r="AD22" s="294">
        <f>($B$5*(1+$Y$22))*AD18</f>
        <v>14107.195720000002</v>
      </c>
      <c r="AE22" s="296">
        <f t="shared" si="65"/>
        <v>38127.556000000004</v>
      </c>
      <c r="AG22" s="240">
        <f>AF6</f>
        <v>0.08</v>
      </c>
      <c r="AH22" s="241">
        <f>($B$6*(1+$AG$22))*AH18</f>
        <v>3427.1899200000007</v>
      </c>
      <c r="AI22" s="241">
        <f>($B$6*(1+$AG$22))*AI18</f>
        <v>3676.4400960000003</v>
      </c>
      <c r="AJ22" s="241">
        <f>($B$6*(1+$AG$22))*AJ18</f>
        <v>3919.4590176000006</v>
      </c>
      <c r="AK22" s="241">
        <f>($B$6*(1+$AG$22))*AK18</f>
        <v>4174.9404480000003</v>
      </c>
      <c r="AL22" s="294">
        <f>($B$6*(1+$AG$22))*AL18</f>
        <v>4424.1906239999998</v>
      </c>
      <c r="AM22" s="323">
        <f t="shared" si="66"/>
        <v>12462.508800000001</v>
      </c>
      <c r="AO22" s="331">
        <f>AM6</f>
        <v>0.1</v>
      </c>
      <c r="AP22" s="241">
        <f>($B$7*(1+$AG$22))*AP18</f>
        <v>7363.7398080000003</v>
      </c>
      <c r="AQ22" s="241">
        <f>($B$7*(1+$AG$22))*AQ18</f>
        <v>7977.3847920000007</v>
      </c>
      <c r="AR22" s="241">
        <f>($B$7*(1+$AG$22))*AR18</f>
        <v>8621.7120252000022</v>
      </c>
      <c r="AS22" s="241">
        <f>($B$7*(1+$AG$22))*AS18</f>
        <v>9204.6747599999999</v>
      </c>
      <c r="AT22" s="294">
        <f>($B$7*(1+$AG$22))*AT18</f>
        <v>9818.3197440000004</v>
      </c>
      <c r="AU22" s="84">
        <f>$B$7*(1+Table193[[#This Row],[Growth]])</f>
        <v>31250.439000000006</v>
      </c>
    </row>
    <row r="23" spans="1:47" x14ac:dyDescent="0.3">
      <c r="A23" s="240">
        <f>D7</f>
        <v>0.16</v>
      </c>
      <c r="B23" s="241">
        <f>($B$2*(1+$A$23))*B18</f>
        <v>2253.1840000000002</v>
      </c>
      <c r="C23" s="241">
        <f>($B$2*(1+$A$23))*C18</f>
        <v>2816.48</v>
      </c>
      <c r="D23" s="241">
        <f>($B$2*(1+$A$23))*D18</f>
        <v>3379.7759999999998</v>
      </c>
      <c r="E23" s="241">
        <f>($B$2*(1+$A$23))*E18</f>
        <v>3852.9446400000002</v>
      </c>
      <c r="F23" s="241">
        <f>($B$2*(1+$A$23))*F18</f>
        <v>4506.3680000000004</v>
      </c>
      <c r="G23" s="275">
        <f>$B$2*(1+Table75[[#This Row],[Growth]])</f>
        <v>11265.92</v>
      </c>
      <c r="I23" s="246">
        <f>K7</f>
        <v>0.16</v>
      </c>
      <c r="J23" s="247">
        <f>($B$3*(1+$I$23))*J18</f>
        <v>11388.678623999998</v>
      </c>
      <c r="K23" s="247">
        <f>($B$3*(1+$I$23))*K18</f>
        <v>13919.496095999999</v>
      </c>
      <c r="L23" s="247">
        <f>($B$3*(1+$I$23))*L18</f>
        <v>16450.313567999998</v>
      </c>
      <c r="M23" s="247">
        <f>($B$3*(1+$I$23))*M18</f>
        <v>19993.4580288</v>
      </c>
      <c r="N23" s="293">
        <f>($B$3*(1+$I$23))*N18</f>
        <v>21511.948511999999</v>
      </c>
      <c r="O23" s="296">
        <f t="shared" si="63"/>
        <v>63270.436799999996</v>
      </c>
      <c r="Q23" s="246">
        <f>R7</f>
        <v>0.19</v>
      </c>
      <c r="R23" s="247">
        <f>($B$4*(1+$Q$23))*R18</f>
        <v>3033.1267399999997</v>
      </c>
      <c r="S23" s="247">
        <f>($B$4*(1+$Q$23))*S18</f>
        <v>3639.7520879999997</v>
      </c>
      <c r="T23" s="247">
        <f>($B$4*(1+$Q$23))*T18</f>
        <v>4244.860872629999</v>
      </c>
      <c r="U23" s="247">
        <f>($B$4*(1+$Q$23))*U18</f>
        <v>4853.0027839999993</v>
      </c>
      <c r="V23" s="293">
        <f>($B$4*(1+$Q$23))*V18</f>
        <v>5459.6281319999989</v>
      </c>
      <c r="W23" s="299">
        <f t="shared" si="64"/>
        <v>15165.633699999998</v>
      </c>
      <c r="Y23" s="246">
        <f>Y7</f>
        <v>0.15</v>
      </c>
      <c r="Z23" s="247">
        <f>($B$5*(1+$Y$23))*Z18</f>
        <v>8148.4998000000005</v>
      </c>
      <c r="AA23" s="247">
        <f>($B$5*(1+$Y$23))*AA18</f>
        <v>9700.5950000000012</v>
      </c>
      <c r="AB23" s="247">
        <f>($B$5*(1+$Y$23))*AB18</f>
        <v>11175.085440000001</v>
      </c>
      <c r="AC23" s="247">
        <f>($B$5*(1+$Y$23))*AC18</f>
        <v>12804.785400000002</v>
      </c>
      <c r="AD23" s="293">
        <f>($B$5*(1+$Y$23))*AD18</f>
        <v>14356.880600000002</v>
      </c>
      <c r="AE23" s="296">
        <f t="shared" si="65"/>
        <v>38802.380000000005</v>
      </c>
      <c r="AG23" s="246">
        <f>AF7</f>
        <v>0.1</v>
      </c>
      <c r="AH23" s="251">
        <f>($B$6*(1+$AG$23))*AH18</f>
        <v>3490.6564000000008</v>
      </c>
      <c r="AI23" s="251">
        <f>($B$6*(1+$AG$23))*AI18</f>
        <v>3744.5223200000005</v>
      </c>
      <c r="AJ23" s="251">
        <f>($B$6*(1+$AG$23))*AJ18</f>
        <v>3992.0415920000005</v>
      </c>
      <c r="AK23" s="251">
        <f>($B$6*(1+$AG$23))*AK18</f>
        <v>4252.2541600000013</v>
      </c>
      <c r="AL23" s="321">
        <f>($B$6*(1+$AG$23))*AL18</f>
        <v>4506.1200800000006</v>
      </c>
      <c r="AM23" s="323">
        <f t="shared" si="66"/>
        <v>12693.296000000002</v>
      </c>
      <c r="AO23" s="332">
        <f>AM7</f>
        <v>0.12</v>
      </c>
      <c r="AP23" s="333">
        <f>($B$7*(1+$AG$23))*AP18</f>
        <v>7500.1053600000014</v>
      </c>
      <c r="AQ23" s="333">
        <f>($B$7*(1+$AG$23))*AQ18</f>
        <v>8125.1141400000015</v>
      </c>
      <c r="AR23" s="333">
        <f>($B$7*(1+$AG$23))*AR18</f>
        <v>8781.3733590000029</v>
      </c>
      <c r="AS23" s="333">
        <f>($B$7*(1+$AG$23))*AS18</f>
        <v>9375.1317000000017</v>
      </c>
      <c r="AT23" s="339">
        <f>($B$7*(1+$AG$23))*AT18</f>
        <v>10000.140480000002</v>
      </c>
      <c r="AU23" s="84">
        <f>$B$7*(1+Table193[[#This Row],[Growth]])</f>
        <v>31818.628800000006</v>
      </c>
    </row>
    <row r="24" spans="1:47" x14ac:dyDescent="0.3">
      <c r="A24" s="238"/>
      <c r="I24" s="1"/>
      <c r="Q24" s="1"/>
    </row>
    <row r="25" spans="1:47" ht="34.200000000000003" customHeight="1" x14ac:dyDescent="0.3">
      <c r="A25" s="408" t="s">
        <v>529</v>
      </c>
      <c r="B25" s="408"/>
      <c r="C25" s="408"/>
      <c r="D25" s="408"/>
      <c r="E25" s="408"/>
      <c r="F25" s="255" t="e" vm="4">
        <v>#VALUE!</v>
      </c>
      <c r="I25" s="409" t="s">
        <v>529</v>
      </c>
      <c r="J25" s="410"/>
      <c r="K25" s="410"/>
      <c r="L25" s="410"/>
      <c r="M25" s="411"/>
      <c r="N25" s="250" t="e" vm="6">
        <v>#VALUE!</v>
      </c>
      <c r="O25" s="49"/>
      <c r="Q25" s="401" t="s">
        <v>529</v>
      </c>
      <c r="R25" s="402"/>
      <c r="S25" s="402"/>
      <c r="T25" s="402"/>
      <c r="U25" s="412"/>
      <c r="V25" s="250" t="e" vm="5">
        <v>#VALUE!</v>
      </c>
      <c r="W25" s="49"/>
      <c r="Y25" s="403" t="s">
        <v>529</v>
      </c>
      <c r="Z25" s="404"/>
      <c r="AA25" s="404"/>
      <c r="AB25" s="404"/>
      <c r="AC25" s="413"/>
      <c r="AD25" s="250" t="e" vm="3">
        <v>#VALUE!</v>
      </c>
      <c r="AE25" s="49"/>
      <c r="AG25" s="414" t="s">
        <v>529</v>
      </c>
      <c r="AH25" s="415"/>
      <c r="AI25" s="415"/>
      <c r="AJ25" s="415"/>
      <c r="AK25" s="416"/>
      <c r="AL25" s="250" t="e" vm="1">
        <v>#VALUE!</v>
      </c>
      <c r="AM25" s="49"/>
      <c r="AO25" s="387" t="s">
        <v>529</v>
      </c>
      <c r="AP25" s="387"/>
      <c r="AQ25" s="387"/>
      <c r="AR25" s="387"/>
      <c r="AS25" s="387"/>
      <c r="AT25" s="250" t="e" vm="2">
        <v>#VALUE!</v>
      </c>
    </row>
    <row r="26" spans="1:47" s="252" customFormat="1" x14ac:dyDescent="0.3">
      <c r="A26" s="242" t="s">
        <v>578</v>
      </c>
      <c r="B26" s="256" t="s">
        <v>579</v>
      </c>
      <c r="C26" s="256" t="s">
        <v>580</v>
      </c>
      <c r="D26" s="256" t="s">
        <v>581</v>
      </c>
      <c r="E26" s="256" t="s">
        <v>582</v>
      </c>
      <c r="F26" s="256" t="s">
        <v>583</v>
      </c>
      <c r="G26" s="278"/>
      <c r="H26" s="1"/>
      <c r="I26" s="108" t="s">
        <v>578</v>
      </c>
      <c r="J26" s="239" t="s">
        <v>573</v>
      </c>
      <c r="K26" s="239" t="s">
        <v>574</v>
      </c>
      <c r="L26" s="239" t="s">
        <v>575</v>
      </c>
      <c r="M26" s="239" t="s">
        <v>576</v>
      </c>
      <c r="N26" s="239" t="s">
        <v>577</v>
      </c>
      <c r="O26" s="239"/>
      <c r="P26" s="108"/>
      <c r="Q26" s="259" t="s">
        <v>578</v>
      </c>
      <c r="R26" s="263" t="s">
        <v>568</v>
      </c>
      <c r="S26" s="261" t="s">
        <v>584</v>
      </c>
      <c r="T26" s="261" t="s">
        <v>585</v>
      </c>
      <c r="U26" s="261" t="s">
        <v>586</v>
      </c>
      <c r="V26" s="262" t="s">
        <v>587</v>
      </c>
      <c r="W26" s="279"/>
      <c r="Y26" s="264" t="s">
        <v>578</v>
      </c>
      <c r="Z26" s="265" t="s">
        <v>588</v>
      </c>
      <c r="AA26" s="265" t="s">
        <v>580</v>
      </c>
      <c r="AB26" s="265" t="s">
        <v>589</v>
      </c>
      <c r="AC26" s="265" t="s">
        <v>590</v>
      </c>
      <c r="AD26" s="266" t="s">
        <v>591</v>
      </c>
      <c r="AE26" s="319"/>
      <c r="AG26" s="267" t="s">
        <v>578</v>
      </c>
      <c r="AH26" s="267" t="s">
        <v>585</v>
      </c>
      <c r="AI26" s="267" t="s">
        <v>581</v>
      </c>
      <c r="AJ26" s="267" t="s">
        <v>586</v>
      </c>
      <c r="AK26" s="267" t="s">
        <v>582</v>
      </c>
      <c r="AL26" s="267" t="s">
        <v>587</v>
      </c>
      <c r="AM26" s="325"/>
      <c r="AO26" s="268" t="s">
        <v>578</v>
      </c>
      <c r="AP26" s="268" t="s">
        <v>584</v>
      </c>
      <c r="AQ26" s="268" t="s">
        <v>592</v>
      </c>
      <c r="AR26" s="268" t="s">
        <v>585</v>
      </c>
      <c r="AS26" s="268" t="s">
        <v>581</v>
      </c>
      <c r="AT26" s="268" t="s">
        <v>586</v>
      </c>
    </row>
    <row r="27" spans="1:47" x14ac:dyDescent="0.3">
      <c r="A27" s="257">
        <v>0.25</v>
      </c>
      <c r="B27" s="258">
        <f>B19*(1-$A$27)</f>
        <v>1573.3440000000003</v>
      </c>
      <c r="C27" s="258">
        <f t="shared" ref="C27:F27" si="67">C19*(1-$A$27)</f>
        <v>1966.6800000000003</v>
      </c>
      <c r="D27" s="258">
        <f t="shared" si="67"/>
        <v>2360.0160000000001</v>
      </c>
      <c r="E27" s="258">
        <f t="shared" si="67"/>
        <v>2690.4182400000004</v>
      </c>
      <c r="F27" s="258">
        <f t="shared" si="67"/>
        <v>3146.6880000000006</v>
      </c>
      <c r="G27" s="83"/>
      <c r="I27" s="257">
        <v>0.25</v>
      </c>
      <c r="J27" s="258">
        <f>J19*(1-$I$27)</f>
        <v>7805.1719880000001</v>
      </c>
      <c r="K27" s="258">
        <f t="shared" ref="K27:N27" si="68">K19*(1-$I$27)</f>
        <v>9539.6546520000011</v>
      </c>
      <c r="L27" s="258">
        <f t="shared" si="68"/>
        <v>11274.137316</v>
      </c>
      <c r="M27" s="258">
        <f t="shared" si="68"/>
        <v>13702.413045600002</v>
      </c>
      <c r="N27" s="258">
        <f t="shared" si="68"/>
        <v>14743.102644000002</v>
      </c>
      <c r="O27" s="83"/>
      <c r="Q27" s="257">
        <v>0.25</v>
      </c>
      <c r="R27" s="258">
        <f>R19*(1-$Q$27)</f>
        <v>2045.4489150000002</v>
      </c>
      <c r="S27" s="258">
        <f t="shared" ref="S27:V27" si="69">S19*(1-$Q$27)</f>
        <v>2454.5386980000003</v>
      </c>
      <c r="T27" s="258">
        <f t="shared" si="69"/>
        <v>2862.6057565424999</v>
      </c>
      <c r="U27" s="258">
        <f t="shared" si="69"/>
        <v>3272.7182640000001</v>
      </c>
      <c r="V27" s="258">
        <f t="shared" si="69"/>
        <v>3681.8080469999995</v>
      </c>
      <c r="W27" s="83"/>
      <c r="Y27" s="240">
        <v>0.25</v>
      </c>
      <c r="Z27" s="258">
        <f>Z19*(1-$Y$27)</f>
        <v>5686.2357300000012</v>
      </c>
      <c r="AA27" s="258">
        <f t="shared" ref="AA27:AD27" si="70">AA19*(1-$Y$27)</f>
        <v>6769.3282500000023</v>
      </c>
      <c r="AB27" s="258">
        <f t="shared" si="70"/>
        <v>7798.2661440000011</v>
      </c>
      <c r="AC27" s="258">
        <f t="shared" si="70"/>
        <v>8935.5132900000026</v>
      </c>
      <c r="AD27" s="258">
        <f t="shared" si="70"/>
        <v>10018.605810000003</v>
      </c>
      <c r="AE27" s="83"/>
      <c r="AG27" s="257">
        <v>0.25</v>
      </c>
      <c r="AH27" s="258">
        <f>AH19*(1-$AG$27)</f>
        <v>2427.5928600000007</v>
      </c>
      <c r="AI27" s="258">
        <f t="shared" ref="AI27:AL27" si="71">AI19*(1-$AG$27)</f>
        <v>2604.1450679999998</v>
      </c>
      <c r="AJ27" s="258">
        <f t="shared" si="71"/>
        <v>2776.2834708000005</v>
      </c>
      <c r="AK27" s="258">
        <f t="shared" si="71"/>
        <v>2957.2494840000008</v>
      </c>
      <c r="AL27" s="258">
        <f t="shared" si="71"/>
        <v>3133.801692</v>
      </c>
      <c r="AM27" s="83"/>
      <c r="AO27" s="257">
        <v>0.25</v>
      </c>
      <c r="AP27" s="258">
        <f>AP19*(1-$AO$27)</f>
        <v>5215.9823640000004</v>
      </c>
      <c r="AQ27" s="258">
        <f t="shared" ref="AQ27:AT27" si="72">AQ19*(1-$AO$27)</f>
        <v>5650.6475609999998</v>
      </c>
      <c r="AR27" s="258">
        <f t="shared" si="72"/>
        <v>6107.0460178500007</v>
      </c>
      <c r="AS27" s="258">
        <f t="shared" si="72"/>
        <v>6519.9779550000003</v>
      </c>
      <c r="AT27" s="258">
        <f t="shared" si="72"/>
        <v>6954.6431520000006</v>
      </c>
    </row>
    <row r="28" spans="1:47" x14ac:dyDescent="0.3">
      <c r="A28" s="257">
        <v>0.25</v>
      </c>
      <c r="B28" s="258">
        <f t="shared" ref="B28:F28" si="73">B20*(1-$A$27)</f>
        <v>1597.5268799999999</v>
      </c>
      <c r="C28" s="258">
        <f t="shared" si="73"/>
        <v>1996.9086000000002</v>
      </c>
      <c r="D28" s="258">
        <f t="shared" si="73"/>
        <v>2396.2903200000001</v>
      </c>
      <c r="E28" s="258">
        <f t="shared" si="73"/>
        <v>2731.7709648000005</v>
      </c>
      <c r="F28" s="258">
        <f t="shared" si="73"/>
        <v>3195.0537599999998</v>
      </c>
      <c r="G28" s="83"/>
      <c r="I28" s="257">
        <v>0.25</v>
      </c>
      <c r="J28" s="258">
        <f t="shared" ref="J28:N28" si="74">J20*(1-$I$27)</f>
        <v>7987.7835590400009</v>
      </c>
      <c r="K28" s="258">
        <f t="shared" si="74"/>
        <v>9762.8465721600005</v>
      </c>
      <c r="L28" s="258">
        <f t="shared" si="74"/>
        <v>11537.909585280002</v>
      </c>
      <c r="M28" s="258">
        <f t="shared" si="74"/>
        <v>14022.997803648002</v>
      </c>
      <c r="N28" s="258">
        <f t="shared" si="74"/>
        <v>15088.035611520003</v>
      </c>
      <c r="O28" s="83"/>
      <c r="Q28" s="257">
        <v>0.25</v>
      </c>
      <c r="R28" s="258">
        <f t="shared" ref="R28:V28" si="75">R20*(1-$Q$27)</f>
        <v>2102.7979500000001</v>
      </c>
      <c r="S28" s="258">
        <f t="shared" si="75"/>
        <v>2523.35754</v>
      </c>
      <c r="T28" s="258">
        <f t="shared" si="75"/>
        <v>2942.8657310249996</v>
      </c>
      <c r="U28" s="258">
        <f t="shared" si="75"/>
        <v>3364.4767200000001</v>
      </c>
      <c r="V28" s="258">
        <f t="shared" si="75"/>
        <v>3785.03631</v>
      </c>
      <c r="W28" s="83"/>
      <c r="Y28" s="240">
        <v>0.25</v>
      </c>
      <c r="Z28" s="258">
        <f t="shared" ref="Z28:AD28" si="76">Z20*(1-$Y$27)</f>
        <v>5792.5205100000012</v>
      </c>
      <c r="AA28" s="258">
        <f t="shared" si="76"/>
        <v>6895.8577500000019</v>
      </c>
      <c r="AB28" s="258">
        <f t="shared" si="76"/>
        <v>7944.0281280000017</v>
      </c>
      <c r="AC28" s="258">
        <f t="shared" si="76"/>
        <v>9102.5322300000043</v>
      </c>
      <c r="AD28" s="258">
        <f t="shared" si="76"/>
        <v>10205.869470000003</v>
      </c>
      <c r="AE28" s="83"/>
      <c r="AG28" s="257">
        <v>0.25</v>
      </c>
      <c r="AH28" s="258">
        <f t="shared" ref="AH28:AL28" si="77">AH20*(1-$AG$27)</f>
        <v>2475.1927200000005</v>
      </c>
      <c r="AI28" s="258">
        <f t="shared" si="77"/>
        <v>2655.2067360000001</v>
      </c>
      <c r="AJ28" s="258">
        <f t="shared" si="77"/>
        <v>2830.7204016000005</v>
      </c>
      <c r="AK28" s="258">
        <f t="shared" si="77"/>
        <v>3015.2347680000007</v>
      </c>
      <c r="AL28" s="258">
        <f t="shared" si="77"/>
        <v>3195.2487840000003</v>
      </c>
      <c r="AM28" s="83"/>
      <c r="AO28" s="257">
        <v>0.25</v>
      </c>
      <c r="AP28" s="258">
        <f t="shared" ref="AP28:AT28" si="78">AP20*(1-$AO$27)</f>
        <v>5318.2565279999999</v>
      </c>
      <c r="AQ28" s="258">
        <f t="shared" si="78"/>
        <v>5761.4445720000003</v>
      </c>
      <c r="AR28" s="258">
        <f t="shared" si="78"/>
        <v>6226.7920182000007</v>
      </c>
      <c r="AS28" s="258">
        <f t="shared" si="78"/>
        <v>6647.8206599999994</v>
      </c>
      <c r="AT28" s="258">
        <f t="shared" si="78"/>
        <v>7091.0087040000008</v>
      </c>
    </row>
    <row r="29" spans="1:47" x14ac:dyDescent="0.3">
      <c r="A29" s="257">
        <v>0.25</v>
      </c>
      <c r="B29" s="258">
        <f t="shared" ref="B29:F29" si="79">B21*(1-$A$27)</f>
        <v>1631.6160000000002</v>
      </c>
      <c r="C29" s="258">
        <f t="shared" si="79"/>
        <v>2039.52</v>
      </c>
      <c r="D29" s="258">
        <f t="shared" si="79"/>
        <v>2447.424</v>
      </c>
      <c r="E29" s="258">
        <f t="shared" si="79"/>
        <v>2790.0633600000001</v>
      </c>
      <c r="F29" s="258">
        <f t="shared" si="79"/>
        <v>3263.2320000000004</v>
      </c>
      <c r="G29" s="83"/>
      <c r="I29" s="257">
        <v>0.25</v>
      </c>
      <c r="J29" s="258">
        <f t="shared" ref="J29:N29" si="80">J21*(1-$I$27)</f>
        <v>8173.340478000001</v>
      </c>
      <c r="K29" s="258">
        <f t="shared" si="80"/>
        <v>9989.6383620000015</v>
      </c>
      <c r="L29" s="258">
        <f t="shared" si="80"/>
        <v>11805.936246000003</v>
      </c>
      <c r="M29" s="258">
        <f t="shared" si="80"/>
        <v>14348.753283600003</v>
      </c>
      <c r="N29" s="258">
        <f t="shared" si="80"/>
        <v>15438.532014000004</v>
      </c>
      <c r="O29" s="83"/>
      <c r="Q29" s="257">
        <v>0.25</v>
      </c>
      <c r="R29" s="258">
        <f t="shared" ref="R29:V29" si="81">R21*(1-$Q$27)</f>
        <v>2159.5734946499997</v>
      </c>
      <c r="S29" s="258">
        <f t="shared" si="81"/>
        <v>2591.4881935799995</v>
      </c>
      <c r="T29" s="258">
        <f t="shared" si="81"/>
        <v>3022.3231057626745</v>
      </c>
      <c r="U29" s="258">
        <f t="shared" si="81"/>
        <v>3455.3175914399999</v>
      </c>
      <c r="V29" s="258">
        <f t="shared" si="81"/>
        <v>3887.2322903699992</v>
      </c>
      <c r="W29" s="83"/>
      <c r="Y29" s="240">
        <v>0.25</v>
      </c>
      <c r="Z29" s="258">
        <f t="shared" ref="Z29:AD29" si="82">Z21*(1-$Y$27)</f>
        <v>5893.4910510000009</v>
      </c>
      <c r="AA29" s="258">
        <f t="shared" si="82"/>
        <v>7016.0607750000017</v>
      </c>
      <c r="AB29" s="258">
        <f t="shared" si="82"/>
        <v>8082.5020128000015</v>
      </c>
      <c r="AC29" s="258">
        <f t="shared" si="82"/>
        <v>9261.2002230000016</v>
      </c>
      <c r="AD29" s="258">
        <f t="shared" si="82"/>
        <v>10383.769947000001</v>
      </c>
      <c r="AE29" s="83"/>
      <c r="AG29" s="257">
        <v>0.25</v>
      </c>
      <c r="AH29" s="258">
        <f t="shared" ref="AH29:AL29" si="83">AH21*(1-$AG$27)</f>
        <v>2526.6005688000005</v>
      </c>
      <c r="AI29" s="258">
        <f t="shared" si="83"/>
        <v>2710.3533374399999</v>
      </c>
      <c r="AJ29" s="258">
        <f t="shared" si="83"/>
        <v>2889.5122868640001</v>
      </c>
      <c r="AK29" s="258">
        <f t="shared" si="83"/>
        <v>3077.858874720001</v>
      </c>
      <c r="AL29" s="258">
        <f t="shared" si="83"/>
        <v>3261.61164336</v>
      </c>
      <c r="AM29" s="83"/>
      <c r="AO29" s="257">
        <v>0.25</v>
      </c>
      <c r="AP29" s="258">
        <f t="shared" ref="AP29:AT29" si="84">AP21*(1-$AO$27)</f>
        <v>5428.7126251200007</v>
      </c>
      <c r="AQ29" s="258">
        <f t="shared" si="84"/>
        <v>5881.1053438800009</v>
      </c>
      <c r="AR29" s="258">
        <f t="shared" si="84"/>
        <v>6356.1176985780012</v>
      </c>
      <c r="AS29" s="258">
        <f t="shared" si="84"/>
        <v>6785.8907814000004</v>
      </c>
      <c r="AT29" s="258">
        <f t="shared" si="84"/>
        <v>7238.2835001600015</v>
      </c>
    </row>
    <row r="30" spans="1:47" x14ac:dyDescent="0.3">
      <c r="A30" s="257">
        <v>0.25</v>
      </c>
      <c r="B30" s="258">
        <f t="shared" ref="B30:F30" si="85">B22*(1-$A$27)</f>
        <v>1660.7520000000004</v>
      </c>
      <c r="C30" s="258">
        <f t="shared" si="85"/>
        <v>2075.9400000000005</v>
      </c>
      <c r="D30" s="258">
        <f t="shared" si="85"/>
        <v>2491.1280000000002</v>
      </c>
      <c r="E30" s="258">
        <f t="shared" si="85"/>
        <v>2839.8859200000006</v>
      </c>
      <c r="F30" s="258">
        <f t="shared" si="85"/>
        <v>3321.5040000000008</v>
      </c>
      <c r="G30" s="83"/>
      <c r="I30" s="257">
        <v>0.25</v>
      </c>
      <c r="J30" s="258">
        <f t="shared" ref="J30:N30" si="86">J22*(1-$I$27)</f>
        <v>8357.4247230000001</v>
      </c>
      <c r="K30" s="258">
        <f t="shared" si="86"/>
        <v>10214.630217000002</v>
      </c>
      <c r="L30" s="258">
        <f t="shared" si="86"/>
        <v>12071.835711000002</v>
      </c>
      <c r="M30" s="258">
        <f t="shared" si="86"/>
        <v>14671.923402600001</v>
      </c>
      <c r="N30" s="258">
        <f t="shared" si="86"/>
        <v>15786.246699000003</v>
      </c>
      <c r="O30" s="83"/>
      <c r="Q30" s="257">
        <v>0.25</v>
      </c>
      <c r="R30" s="258">
        <f t="shared" ref="R30:V30" si="87">R22*(1-$Q$27)</f>
        <v>2217.49602</v>
      </c>
      <c r="S30" s="258">
        <f t="shared" si="87"/>
        <v>2660.9952239999998</v>
      </c>
      <c r="T30" s="258">
        <f t="shared" si="87"/>
        <v>3103.3856799899995</v>
      </c>
      <c r="U30" s="258">
        <f t="shared" si="87"/>
        <v>3547.9936319999997</v>
      </c>
      <c r="V30" s="258">
        <f t="shared" si="87"/>
        <v>3991.4928359999994</v>
      </c>
      <c r="W30" s="83"/>
      <c r="Y30" s="240">
        <v>0.25</v>
      </c>
      <c r="Z30" s="258">
        <f t="shared" ref="Z30:AD30" si="88">Z22*(1-$Y$27)</f>
        <v>6005.0900700000002</v>
      </c>
      <c r="AA30" s="258">
        <f t="shared" si="88"/>
        <v>7148.9167500000003</v>
      </c>
      <c r="AB30" s="258">
        <f t="shared" si="88"/>
        <v>8235.5520959999994</v>
      </c>
      <c r="AC30" s="258">
        <f t="shared" si="88"/>
        <v>9436.5701100000006</v>
      </c>
      <c r="AD30" s="258">
        <f t="shared" si="88"/>
        <v>10580.396790000001</v>
      </c>
      <c r="AE30" s="83"/>
      <c r="AG30" s="257">
        <v>0.25</v>
      </c>
      <c r="AH30" s="258">
        <f t="shared" ref="AH30:AL30" si="89">AH22*(1-$AG$27)</f>
        <v>2570.3924400000005</v>
      </c>
      <c r="AI30" s="258">
        <f t="shared" si="89"/>
        <v>2757.3300720000002</v>
      </c>
      <c r="AJ30" s="258">
        <f t="shared" si="89"/>
        <v>2939.5942632000006</v>
      </c>
      <c r="AK30" s="258">
        <f t="shared" si="89"/>
        <v>3131.205336</v>
      </c>
      <c r="AL30" s="258">
        <f t="shared" si="89"/>
        <v>3318.1429680000001</v>
      </c>
      <c r="AM30" s="83"/>
      <c r="AO30" s="257">
        <v>0.25</v>
      </c>
      <c r="AP30" s="258">
        <f t="shared" ref="AP30:AT30" si="90">AP22*(1-$AO$27)</f>
        <v>5522.8048560000007</v>
      </c>
      <c r="AQ30" s="258">
        <f t="shared" si="90"/>
        <v>5983.0385940000006</v>
      </c>
      <c r="AR30" s="258">
        <f t="shared" si="90"/>
        <v>6466.2840189000017</v>
      </c>
      <c r="AS30" s="258">
        <f t="shared" si="90"/>
        <v>6903.5060699999995</v>
      </c>
      <c r="AT30" s="258">
        <f t="shared" si="90"/>
        <v>7363.7398080000003</v>
      </c>
    </row>
    <row r="31" spans="1:47" x14ac:dyDescent="0.3">
      <c r="A31" s="257">
        <v>0.25</v>
      </c>
      <c r="B31" s="258">
        <f t="shared" ref="B31:F31" si="91">B23*(1-$A$27)</f>
        <v>1689.8880000000001</v>
      </c>
      <c r="C31" s="258">
        <f t="shared" si="91"/>
        <v>2112.36</v>
      </c>
      <c r="D31" s="258">
        <f t="shared" si="91"/>
        <v>2534.8319999999999</v>
      </c>
      <c r="E31" s="258">
        <f t="shared" si="91"/>
        <v>2889.7084800000002</v>
      </c>
      <c r="F31" s="258">
        <f t="shared" si="91"/>
        <v>3379.7760000000003</v>
      </c>
      <c r="G31" s="83"/>
      <c r="I31" s="257">
        <v>0.25</v>
      </c>
      <c r="J31" s="258">
        <f t="shared" ref="J31:N31" si="92">J23*(1-$I$27)</f>
        <v>8541.5089679999983</v>
      </c>
      <c r="K31" s="258">
        <f t="shared" si="92"/>
        <v>10439.622071999998</v>
      </c>
      <c r="L31" s="258">
        <f t="shared" si="92"/>
        <v>12337.735175999998</v>
      </c>
      <c r="M31" s="258">
        <f t="shared" si="92"/>
        <v>14995.0935216</v>
      </c>
      <c r="N31" s="258">
        <f t="shared" si="92"/>
        <v>16133.961383999998</v>
      </c>
      <c r="O31" s="83"/>
      <c r="Q31" s="257">
        <v>0.25</v>
      </c>
      <c r="R31" s="258">
        <f t="shared" ref="R31:V31" si="93">R23*(1-$Q$27)</f>
        <v>2274.8450549999998</v>
      </c>
      <c r="S31" s="258">
        <f t="shared" si="93"/>
        <v>2729.8140659999999</v>
      </c>
      <c r="T31" s="258">
        <f t="shared" si="93"/>
        <v>3183.6456544724992</v>
      </c>
      <c r="U31" s="258">
        <f t="shared" si="93"/>
        <v>3639.7520879999993</v>
      </c>
      <c r="V31" s="258">
        <f t="shared" si="93"/>
        <v>4094.7210989999994</v>
      </c>
      <c r="W31" s="83"/>
      <c r="Y31" s="240">
        <v>0.25</v>
      </c>
      <c r="Z31" s="258">
        <f t="shared" ref="Z31:AD31" si="94">Z23*(1-$Y$27)</f>
        <v>6111.3748500000002</v>
      </c>
      <c r="AA31" s="258">
        <f t="shared" si="94"/>
        <v>7275.4462500000009</v>
      </c>
      <c r="AB31" s="258">
        <f t="shared" si="94"/>
        <v>8381.3140800000001</v>
      </c>
      <c r="AC31" s="258">
        <f t="shared" si="94"/>
        <v>9603.5890500000023</v>
      </c>
      <c r="AD31" s="258">
        <f t="shared" si="94"/>
        <v>10767.660450000001</v>
      </c>
      <c r="AE31" s="83"/>
      <c r="AG31" s="257">
        <v>0.25</v>
      </c>
      <c r="AH31" s="258">
        <f t="shared" ref="AH31:AL31" si="95">AH23*(1-$AG$27)</f>
        <v>2617.9923000000008</v>
      </c>
      <c r="AI31" s="258">
        <f t="shared" si="95"/>
        <v>2808.3917400000005</v>
      </c>
      <c r="AJ31" s="258">
        <f t="shared" si="95"/>
        <v>2994.0311940000001</v>
      </c>
      <c r="AK31" s="258">
        <f t="shared" si="95"/>
        <v>3189.1906200000012</v>
      </c>
      <c r="AL31" s="258">
        <f t="shared" si="95"/>
        <v>3379.5900600000004</v>
      </c>
      <c r="AM31" s="83"/>
      <c r="AO31" s="257">
        <v>0.25</v>
      </c>
      <c r="AP31" s="258">
        <f t="shared" ref="AP31:AT31" si="96">AP23*(1-$AO$27)</f>
        <v>5625.079020000001</v>
      </c>
      <c r="AQ31" s="258">
        <f t="shared" si="96"/>
        <v>6093.8356050000011</v>
      </c>
      <c r="AR31" s="258">
        <f t="shared" si="96"/>
        <v>6586.0300192500017</v>
      </c>
      <c r="AS31" s="258">
        <f t="shared" si="96"/>
        <v>7031.3487750000013</v>
      </c>
      <c r="AT31" s="258">
        <f t="shared" si="96"/>
        <v>7500.1053600000014</v>
      </c>
    </row>
    <row r="33" spans="1:46" s="108" customFormat="1" x14ac:dyDescent="0.3">
      <c r="A33" s="242" t="s">
        <v>479</v>
      </c>
      <c r="B33" s="242" t="s">
        <v>295</v>
      </c>
      <c r="C33" s="242" t="s">
        <v>593</v>
      </c>
      <c r="D33" s="242" t="s">
        <v>517</v>
      </c>
      <c r="E33" s="242" t="s">
        <v>599</v>
      </c>
      <c r="I33" s="269" t="s">
        <v>479</v>
      </c>
      <c r="J33" s="269" t="s">
        <v>295</v>
      </c>
      <c r="K33" s="269" t="s">
        <v>593</v>
      </c>
      <c r="L33" s="269" t="s">
        <v>517</v>
      </c>
      <c r="M33" s="269" t="s">
        <v>599</v>
      </c>
      <c r="Q33" s="198" t="s">
        <v>479</v>
      </c>
      <c r="R33" s="198" t="s">
        <v>295</v>
      </c>
      <c r="S33" s="198" t="s">
        <v>593</v>
      </c>
      <c r="T33" s="198" t="s">
        <v>517</v>
      </c>
      <c r="U33" s="198" t="s">
        <v>599</v>
      </c>
      <c r="Y33" s="40" t="s">
        <v>479</v>
      </c>
      <c r="Z33" s="40" t="s">
        <v>295</v>
      </c>
      <c r="AA33" s="40" t="s">
        <v>593</v>
      </c>
      <c r="AB33" s="40" t="s">
        <v>517</v>
      </c>
      <c r="AC33" s="40" t="s">
        <v>599</v>
      </c>
      <c r="AG33" s="15" t="s">
        <v>479</v>
      </c>
      <c r="AH33" s="15" t="s">
        <v>295</v>
      </c>
      <c r="AI33" s="15" t="s">
        <v>593</v>
      </c>
      <c r="AJ33" s="15" t="s">
        <v>517</v>
      </c>
      <c r="AK33" s="15" t="s">
        <v>599</v>
      </c>
      <c r="AO33" s="115" t="s">
        <v>479</v>
      </c>
      <c r="AP33" s="115" t="s">
        <v>295</v>
      </c>
      <c r="AQ33" s="115" t="s">
        <v>593</v>
      </c>
      <c r="AR33" s="115" t="s">
        <v>517</v>
      </c>
      <c r="AS33" s="115" t="s">
        <v>600</v>
      </c>
    </row>
    <row r="34" spans="1:46" x14ac:dyDescent="0.3">
      <c r="A34" s="273">
        <f>DCF!B6</f>
        <v>394.31253315750388</v>
      </c>
      <c r="B34" s="270">
        <f>DCF!B7</f>
        <v>1329.8072678979124</v>
      </c>
      <c r="C34" s="270">
        <f>DCF!B8</f>
        <v>288.69563582018054</v>
      </c>
      <c r="D34" s="274">
        <f ca="1">WACC!B16</f>
        <v>0.12615995275816408</v>
      </c>
      <c r="E34" s="274">
        <f ca="1">DCF!B10</f>
        <v>0.88797332701347076</v>
      </c>
      <c r="I34" s="272">
        <f>DCF!I6</f>
        <v>2423.9149631508226</v>
      </c>
      <c r="J34" s="270">
        <f>DCF!I7</f>
        <v>2445.2223736940282</v>
      </c>
      <c r="K34" s="270">
        <f>DCF!I8</f>
        <v>2916.3041593845919</v>
      </c>
      <c r="L34" s="274">
        <f ca="1">WACC!C16</f>
        <v>0.13662009740538331</v>
      </c>
      <c r="M34" s="274">
        <f ca="1">DCF!I10</f>
        <v>0.87980144138111538</v>
      </c>
      <c r="Q34" s="271">
        <f>DCF!P6</f>
        <v>734.52176433850127</v>
      </c>
      <c r="R34" s="270">
        <f>DCF!P7</f>
        <v>724.05236197712259</v>
      </c>
      <c r="S34" s="270">
        <f>DCF!P8</f>
        <v>110.00121498420958</v>
      </c>
      <c r="T34" s="274">
        <f ca="1">WACC!D16</f>
        <v>0.11157627328319973</v>
      </c>
      <c r="U34" s="274">
        <f ca="1">DCF!P10</f>
        <v>0.89962337631259148</v>
      </c>
      <c r="Y34" s="270">
        <f>DCF!W6</f>
        <v>2406.6946360051829</v>
      </c>
      <c r="Z34" s="270">
        <f>DCF!W7</f>
        <v>2166.9138858547767</v>
      </c>
      <c r="AA34" s="270">
        <f>DCF!W8</f>
        <v>1095.8460636845812</v>
      </c>
      <c r="AB34" s="274">
        <f ca="1">WACC!E16</f>
        <v>0.10494483587854667</v>
      </c>
      <c r="AC34" s="274">
        <f ca="1">DCF!W10</f>
        <v>0.90502255635675732</v>
      </c>
      <c r="AG34" s="270">
        <f>DCF!AD6</f>
        <v>745.1730117932932</v>
      </c>
      <c r="AH34" s="270">
        <f>DCF!AD7</f>
        <v>570.56152322901994</v>
      </c>
      <c r="AI34" s="270">
        <f>DCF!AD8</f>
        <v>-343.64464567874074</v>
      </c>
      <c r="AJ34" s="274">
        <f ca="1">WACC!F16</f>
        <v>0.12169732572390064</v>
      </c>
      <c r="AK34" s="274">
        <f ca="1">DCF!AD10</f>
        <v>0.89150609265707048</v>
      </c>
      <c r="AO34" s="270">
        <f>DCF!AK6</f>
        <v>1131.2064261670998</v>
      </c>
      <c r="AP34" s="270">
        <f>DCF!AK7</f>
        <v>1069.8209387543588</v>
      </c>
      <c r="AQ34" s="270">
        <f>DCF!AK8</f>
        <v>-400.26491264509241</v>
      </c>
      <c r="AR34" s="274">
        <f ca="1">WACC!G16</f>
        <v>0.10831590439870661</v>
      </c>
      <c r="AS34" s="274">
        <f ca="1">DCF!AK10</f>
        <v>0.90226982761068375</v>
      </c>
    </row>
    <row r="36" spans="1:46" ht="31.8" customHeight="1" x14ac:dyDescent="0.3">
      <c r="A36" s="408" t="s">
        <v>532</v>
      </c>
      <c r="B36" s="408"/>
      <c r="C36" s="408"/>
      <c r="D36" s="408"/>
      <c r="E36" s="408"/>
      <c r="F36" s="255" t="e" vm="4">
        <v>#VALUE!</v>
      </c>
      <c r="I36" s="409" t="s">
        <v>532</v>
      </c>
      <c r="J36" s="410"/>
      <c r="K36" s="410"/>
      <c r="L36" s="410"/>
      <c r="M36" s="411"/>
      <c r="N36" s="250" t="e" vm="6">
        <v>#VALUE!</v>
      </c>
      <c r="O36" s="49"/>
      <c r="Q36" s="401" t="s">
        <v>532</v>
      </c>
      <c r="R36" s="402"/>
      <c r="S36" s="402"/>
      <c r="T36" s="402"/>
      <c r="U36" s="412"/>
      <c r="V36" s="250" t="e" vm="5">
        <v>#VALUE!</v>
      </c>
      <c r="W36" s="49"/>
      <c r="Y36" s="403" t="s">
        <v>532</v>
      </c>
      <c r="Z36" s="404"/>
      <c r="AA36" s="404"/>
      <c r="AB36" s="404"/>
      <c r="AC36" s="413"/>
      <c r="AD36" s="250" t="e" vm="3">
        <v>#VALUE!</v>
      </c>
      <c r="AE36" s="49"/>
      <c r="AG36" s="414" t="s">
        <v>532</v>
      </c>
      <c r="AH36" s="415"/>
      <c r="AI36" s="415"/>
      <c r="AJ36" s="415"/>
      <c r="AK36" s="416"/>
      <c r="AL36" s="250" t="e" vm="1">
        <v>#VALUE!</v>
      </c>
      <c r="AM36" s="49"/>
      <c r="AO36" s="387" t="s">
        <v>532</v>
      </c>
      <c r="AP36" s="387"/>
      <c r="AQ36" s="387"/>
      <c r="AR36" s="387"/>
      <c r="AS36" s="387"/>
      <c r="AT36" s="250" t="e" vm="2">
        <v>#VALUE!</v>
      </c>
    </row>
    <row r="37" spans="1:46" x14ac:dyDescent="0.3">
      <c r="A37" s="242" t="s">
        <v>594</v>
      </c>
      <c r="B37" s="256" t="s">
        <v>579</v>
      </c>
      <c r="C37" s="256" t="s">
        <v>580</v>
      </c>
      <c r="D37" s="256" t="s">
        <v>581</v>
      </c>
      <c r="E37" s="256" t="s">
        <v>582</v>
      </c>
      <c r="F37" s="256" t="s">
        <v>583</v>
      </c>
      <c r="G37" s="278"/>
      <c r="I37" s="108" t="s">
        <v>594</v>
      </c>
      <c r="J37" s="239" t="s">
        <v>573</v>
      </c>
      <c r="K37" s="239" t="s">
        <v>574</v>
      </c>
      <c r="L37" s="239" t="s">
        <v>575</v>
      </c>
      <c r="M37" s="239" t="s">
        <v>576</v>
      </c>
      <c r="N37" s="239" t="s">
        <v>577</v>
      </c>
      <c r="O37" s="239"/>
      <c r="P37" s="108"/>
      <c r="Q37" s="259" t="s">
        <v>594</v>
      </c>
      <c r="R37" s="263" t="s">
        <v>579</v>
      </c>
      <c r="S37" s="260" t="s">
        <v>595</v>
      </c>
      <c r="T37" s="261" t="s">
        <v>596</v>
      </c>
      <c r="U37" s="261" t="s">
        <v>597</v>
      </c>
      <c r="V37" s="262" t="s">
        <v>598</v>
      </c>
      <c r="W37" s="279"/>
      <c r="X37" s="252"/>
      <c r="Y37" s="264" t="s">
        <v>594</v>
      </c>
      <c r="Z37" s="265" t="s">
        <v>588</v>
      </c>
      <c r="AA37" s="265" t="s">
        <v>580</v>
      </c>
      <c r="AB37" s="265" t="s">
        <v>589</v>
      </c>
      <c r="AC37" s="265" t="s">
        <v>590</v>
      </c>
      <c r="AD37" s="266" t="s">
        <v>591</v>
      </c>
      <c r="AE37" s="319"/>
      <c r="AF37" s="252"/>
      <c r="AG37" s="267" t="s">
        <v>594</v>
      </c>
      <c r="AH37" s="267" t="s">
        <v>585</v>
      </c>
      <c r="AI37" s="267" t="s">
        <v>581</v>
      </c>
      <c r="AJ37" s="267" t="s">
        <v>586</v>
      </c>
      <c r="AK37" s="267" t="s">
        <v>582</v>
      </c>
      <c r="AL37" s="267" t="s">
        <v>587</v>
      </c>
      <c r="AM37" s="325"/>
      <c r="AN37" s="252"/>
      <c r="AO37" s="268" t="s">
        <v>594</v>
      </c>
      <c r="AP37" s="268" t="s">
        <v>584</v>
      </c>
      <c r="AQ37" s="268" t="s">
        <v>592</v>
      </c>
      <c r="AR37" s="268" t="s">
        <v>585</v>
      </c>
      <c r="AS37" s="268" t="s">
        <v>581</v>
      </c>
      <c r="AT37" s="268" t="s">
        <v>586</v>
      </c>
    </row>
    <row r="38" spans="1:46" x14ac:dyDescent="0.3">
      <c r="A38" s="257">
        <f>A19</f>
        <v>0.08</v>
      </c>
      <c r="B38" s="258">
        <f>(B27+$A$34-$B$34-$C$34)</f>
        <v>349.15362943941113</v>
      </c>
      <c r="C38" s="258">
        <f t="shared" ref="C38:F38" si="97">(C27+$A$34-$B$34-$C$34)</f>
        <v>742.48962943941115</v>
      </c>
      <c r="D38" s="258">
        <f t="shared" si="97"/>
        <v>1135.8256294394109</v>
      </c>
      <c r="E38" s="258">
        <f t="shared" si="97"/>
        <v>1466.2278694394113</v>
      </c>
      <c r="F38" s="258">
        <f t="shared" si="97"/>
        <v>1922.4976294394114</v>
      </c>
      <c r="G38" s="83"/>
      <c r="I38" s="257">
        <f>I19</f>
        <v>0.06</v>
      </c>
      <c r="J38" s="258">
        <f>(J27+$I$34-$J$34-$K$34)</f>
        <v>4867.5604180722021</v>
      </c>
      <c r="K38" s="258">
        <f t="shared" ref="K38:N38" si="98">(K27+$I$34-$J$34-$K$34)</f>
        <v>6602.0430820722031</v>
      </c>
      <c r="L38" s="258">
        <f t="shared" si="98"/>
        <v>8336.5257460722023</v>
      </c>
      <c r="M38" s="258">
        <f t="shared" si="98"/>
        <v>10764.801475672204</v>
      </c>
      <c r="N38" s="258">
        <f t="shared" si="98"/>
        <v>11805.491074072204</v>
      </c>
      <c r="O38" s="83"/>
      <c r="Q38" s="257">
        <f>Q19</f>
        <v>7.0000000000000007E-2</v>
      </c>
      <c r="R38" s="258">
        <f>(R27+$Q$34-$R$34-$S$34)</f>
        <v>1945.9171023771692</v>
      </c>
      <c r="S38" s="258">
        <f t="shared" ref="S38:V38" si="99">(S27+$Q$34-$R$34-$S$34)</f>
        <v>2355.0068853771695</v>
      </c>
      <c r="T38" s="258">
        <f t="shared" si="99"/>
        <v>2763.0739439196691</v>
      </c>
      <c r="U38" s="258">
        <f t="shared" si="99"/>
        <v>3173.1864513771693</v>
      </c>
      <c r="V38" s="258">
        <f t="shared" si="99"/>
        <v>3582.2762343771687</v>
      </c>
      <c r="W38" s="83"/>
      <c r="Y38" s="240">
        <f>Y19</f>
        <v>7.0000000000000007E-2</v>
      </c>
      <c r="Z38" s="258">
        <f>(Z27+$Y$34-$Z$34-$AA$34)</f>
        <v>4830.1704164658267</v>
      </c>
      <c r="AA38" s="258">
        <f t="shared" ref="AA38:AD38" si="100">(AA27+$Y$34-$Z$34-$AA$34)</f>
        <v>5913.2629364658269</v>
      </c>
      <c r="AB38" s="258">
        <f t="shared" si="100"/>
        <v>6942.2008304658257</v>
      </c>
      <c r="AC38" s="258">
        <f t="shared" si="100"/>
        <v>8079.4479764658281</v>
      </c>
      <c r="AD38" s="258">
        <f t="shared" si="100"/>
        <v>9162.5404964658264</v>
      </c>
      <c r="AE38" s="83"/>
      <c r="AG38" s="257">
        <f>AG19</f>
        <v>0.02</v>
      </c>
      <c r="AH38" s="258">
        <f>(AH27+$AG$34-$AH$34-$AI$34)</f>
        <v>2945.8489942430142</v>
      </c>
      <c r="AI38" s="258">
        <f t="shared" ref="AI38:AL38" si="101">(AI27+$AG$34-$AH$34-$AI$34)</f>
        <v>3122.4012022430134</v>
      </c>
      <c r="AJ38" s="258">
        <f t="shared" si="101"/>
        <v>3294.5396050430145</v>
      </c>
      <c r="AK38" s="258">
        <f t="shared" si="101"/>
        <v>3475.5056182430144</v>
      </c>
      <c r="AL38" s="258">
        <f t="shared" si="101"/>
        <v>3652.0578262430136</v>
      </c>
      <c r="AM38" s="83"/>
      <c r="AO38" s="257">
        <f>AO19</f>
        <v>0.04</v>
      </c>
      <c r="AP38" s="258">
        <f>(AP27+$AO$34-$AP$34-$AQ$34)</f>
        <v>5677.6327640578329</v>
      </c>
      <c r="AQ38" s="258">
        <f t="shared" ref="AQ38:AT38" si="102">(AQ27+$AO$34-$AP$34-$AQ$34)</f>
        <v>6112.2979610578332</v>
      </c>
      <c r="AR38" s="258">
        <f t="shared" si="102"/>
        <v>6568.6964179078332</v>
      </c>
      <c r="AS38" s="258">
        <f t="shared" si="102"/>
        <v>6981.6283550578337</v>
      </c>
      <c r="AT38" s="258">
        <f t="shared" si="102"/>
        <v>7416.2935520578339</v>
      </c>
    </row>
    <row r="39" spans="1:46" x14ac:dyDescent="0.3">
      <c r="A39" s="257">
        <f t="shared" ref="A39:A42" si="103">A20</f>
        <v>9.6600000000000005E-2</v>
      </c>
      <c r="B39" s="258">
        <f t="shared" ref="B39:F39" si="104">(B28+$A$34-$B$34-$C$34)</f>
        <v>373.33650943941075</v>
      </c>
      <c r="C39" s="258">
        <f t="shared" si="104"/>
        <v>772.71822943941106</v>
      </c>
      <c r="D39" s="258">
        <f t="shared" si="104"/>
        <v>1172.0999494394109</v>
      </c>
      <c r="E39" s="258">
        <f t="shared" si="104"/>
        <v>1507.5805942394113</v>
      </c>
      <c r="F39" s="258">
        <f t="shared" si="104"/>
        <v>1970.8633894394106</v>
      </c>
      <c r="G39" s="83"/>
      <c r="I39" s="257">
        <f t="shared" ref="I39:I42" si="105">I20</f>
        <v>8.48E-2</v>
      </c>
      <c r="J39" s="258">
        <f t="shared" ref="J39:N39" si="106">(J28+$I$34-$J$34-$K$34)</f>
        <v>5050.1719891122029</v>
      </c>
      <c r="K39" s="258">
        <f t="shared" si="106"/>
        <v>6825.2350022322025</v>
      </c>
      <c r="L39" s="258">
        <f t="shared" si="106"/>
        <v>8600.2980153522039</v>
      </c>
      <c r="M39" s="258">
        <f t="shared" si="106"/>
        <v>11085.386233720204</v>
      </c>
      <c r="N39" s="258">
        <f t="shared" si="106"/>
        <v>12150.424041592203</v>
      </c>
      <c r="O39" s="83"/>
      <c r="Q39" s="257">
        <f t="shared" ref="Q39:Q42" si="107">Q20</f>
        <v>0.1</v>
      </c>
      <c r="R39" s="258">
        <f t="shared" ref="R39:V39" si="108">(R28+$Q$34-$R$34-$S$34)</f>
        <v>2003.2661373771693</v>
      </c>
      <c r="S39" s="258">
        <f t="shared" si="108"/>
        <v>2423.8257273771692</v>
      </c>
      <c r="T39" s="258">
        <f t="shared" si="108"/>
        <v>2843.3339184021688</v>
      </c>
      <c r="U39" s="258">
        <f t="shared" si="108"/>
        <v>3264.9449073771689</v>
      </c>
      <c r="V39" s="258">
        <f t="shared" si="108"/>
        <v>3685.5044973771696</v>
      </c>
      <c r="W39" s="83"/>
      <c r="Y39" s="240">
        <f t="shared" ref="Y39:Y42" si="109">Y20</f>
        <v>0.09</v>
      </c>
      <c r="Z39" s="258">
        <f t="shared" ref="Z39:AD39" si="110">(Z28+$Y$34-$Z$34-$AA$34)</f>
        <v>4936.4551964658267</v>
      </c>
      <c r="AA39" s="258">
        <f t="shared" si="110"/>
        <v>6039.7924364658274</v>
      </c>
      <c r="AB39" s="258">
        <f t="shared" si="110"/>
        <v>7087.9628144658263</v>
      </c>
      <c r="AC39" s="258">
        <f t="shared" si="110"/>
        <v>8246.4669164658299</v>
      </c>
      <c r="AD39" s="258">
        <f t="shared" si="110"/>
        <v>9349.804156465827</v>
      </c>
      <c r="AE39" s="83"/>
      <c r="AG39" s="257">
        <f t="shared" ref="AG39:AG42" si="111">AG20</f>
        <v>0.04</v>
      </c>
      <c r="AH39" s="258">
        <f t="shared" ref="AH39:AL39" si="112">(AH28+$AG$34-$AH$34-$AI$34)</f>
        <v>2993.4488542430145</v>
      </c>
      <c r="AI39" s="258">
        <f t="shared" si="112"/>
        <v>3173.4628702430136</v>
      </c>
      <c r="AJ39" s="258">
        <f t="shared" si="112"/>
        <v>3348.9765358430141</v>
      </c>
      <c r="AK39" s="258">
        <f t="shared" si="112"/>
        <v>3533.4909022430147</v>
      </c>
      <c r="AL39" s="258">
        <f t="shared" si="112"/>
        <v>3713.5049182430139</v>
      </c>
      <c r="AM39" s="83"/>
      <c r="AO39" s="257">
        <f t="shared" ref="AO39:AO42" si="113">AO20</f>
        <v>0.06</v>
      </c>
      <c r="AP39" s="258">
        <f t="shared" ref="AP39:AT39" si="114">(AP28+$AO$34-$AP$34-$AQ$34)</f>
        <v>5779.9069280578333</v>
      </c>
      <c r="AQ39" s="258">
        <f t="shared" si="114"/>
        <v>6223.0949720578337</v>
      </c>
      <c r="AR39" s="258">
        <f t="shared" si="114"/>
        <v>6688.4424182578332</v>
      </c>
      <c r="AS39" s="258">
        <f t="shared" si="114"/>
        <v>7109.4710600578328</v>
      </c>
      <c r="AT39" s="258">
        <f t="shared" si="114"/>
        <v>7552.6591040578332</v>
      </c>
    </row>
    <row r="40" spans="1:46" x14ac:dyDescent="0.3">
      <c r="A40" s="257">
        <f t="shared" si="103"/>
        <v>0.12</v>
      </c>
      <c r="B40" s="258">
        <f t="shared" ref="B40:F40" si="115">(B29+$A$34-$B$34-$C$34)</f>
        <v>407.42562943941107</v>
      </c>
      <c r="C40" s="258">
        <f t="shared" si="115"/>
        <v>815.32962943941084</v>
      </c>
      <c r="D40" s="258">
        <f t="shared" si="115"/>
        <v>1223.2336294394108</v>
      </c>
      <c r="E40" s="258">
        <f t="shared" si="115"/>
        <v>1565.872989439411</v>
      </c>
      <c r="F40" s="258">
        <f t="shared" si="115"/>
        <v>2039.0416294394113</v>
      </c>
      <c r="G40" s="83"/>
      <c r="I40" s="257">
        <f t="shared" si="105"/>
        <v>0.11</v>
      </c>
      <c r="J40" s="258">
        <f t="shared" ref="J40:N40" si="116">(J29+$I$34-$J$34-$K$34)</f>
        <v>5235.7289080722039</v>
      </c>
      <c r="K40" s="258">
        <f t="shared" si="116"/>
        <v>7052.0267920722035</v>
      </c>
      <c r="L40" s="258">
        <f t="shared" si="116"/>
        <v>8868.324676072205</v>
      </c>
      <c r="M40" s="258">
        <f t="shared" si="116"/>
        <v>11411.141713672205</v>
      </c>
      <c r="N40" s="258">
        <f t="shared" si="116"/>
        <v>12500.920444072206</v>
      </c>
      <c r="O40" s="83"/>
      <c r="Q40" s="257">
        <f t="shared" si="107"/>
        <v>0.12970000000000001</v>
      </c>
      <c r="R40" s="258">
        <f t="shared" ref="R40:V40" si="117">(R29+$Q$34-$R$34-$S$34)</f>
        <v>2060.0416820271689</v>
      </c>
      <c r="S40" s="258">
        <f t="shared" si="117"/>
        <v>2491.9563809571687</v>
      </c>
      <c r="T40" s="258">
        <f t="shared" si="117"/>
        <v>2922.7912931398437</v>
      </c>
      <c r="U40" s="258">
        <f t="shared" si="117"/>
        <v>3355.7857788171691</v>
      </c>
      <c r="V40" s="258">
        <f t="shared" si="117"/>
        <v>3787.7004777471689</v>
      </c>
      <c r="W40" s="83"/>
      <c r="Y40" s="240">
        <f t="shared" si="109"/>
        <v>0.109</v>
      </c>
      <c r="Z40" s="258">
        <f t="shared" ref="Z40:AD40" si="118">(Z29+$Y$34-$Z$34-$AA$34)</f>
        <v>5037.4257374658255</v>
      </c>
      <c r="AA40" s="258">
        <f t="shared" si="118"/>
        <v>6159.9954614658263</v>
      </c>
      <c r="AB40" s="258">
        <f t="shared" si="118"/>
        <v>7226.4366992658252</v>
      </c>
      <c r="AC40" s="258">
        <f t="shared" si="118"/>
        <v>8405.1349094658253</v>
      </c>
      <c r="AD40" s="258">
        <f t="shared" si="118"/>
        <v>9527.7046334658262</v>
      </c>
      <c r="AE40" s="83"/>
      <c r="AG40" s="257">
        <f t="shared" si="111"/>
        <v>6.1600000000000002E-2</v>
      </c>
      <c r="AH40" s="258">
        <f t="shared" ref="AH40:AL40" si="119">(AH29+$AG$34-$AH$34-$AI$34)</f>
        <v>3044.856703043014</v>
      </c>
      <c r="AI40" s="258">
        <f t="shared" si="119"/>
        <v>3228.6094716830139</v>
      </c>
      <c r="AJ40" s="258">
        <f t="shared" si="119"/>
        <v>3407.7684211070136</v>
      </c>
      <c r="AK40" s="258">
        <f t="shared" si="119"/>
        <v>3596.1150089630146</v>
      </c>
      <c r="AL40" s="258">
        <f t="shared" si="119"/>
        <v>3779.8677776030136</v>
      </c>
      <c r="AM40" s="83"/>
      <c r="AO40" s="257">
        <f t="shared" si="113"/>
        <v>8.43E-2</v>
      </c>
      <c r="AP40" s="258">
        <f t="shared" ref="AP40:AT40" si="120">(AP29+$AO$34-$AP$34-$AQ$34)</f>
        <v>5890.3630251778341</v>
      </c>
      <c r="AQ40" s="258">
        <f t="shared" si="120"/>
        <v>6342.7557439378343</v>
      </c>
      <c r="AR40" s="258">
        <f t="shared" si="120"/>
        <v>6817.7680986358337</v>
      </c>
      <c r="AS40" s="258">
        <f t="shared" si="120"/>
        <v>7247.5411814578329</v>
      </c>
      <c r="AT40" s="258">
        <f t="shared" si="120"/>
        <v>7699.9339002178349</v>
      </c>
    </row>
    <row r="41" spans="1:46" x14ac:dyDescent="0.3">
      <c r="A41" s="257">
        <f t="shared" si="103"/>
        <v>0.14000000000000001</v>
      </c>
      <c r="B41" s="258">
        <f t="shared" ref="B41:F41" si="121">(B30+$A$34-$B$34-$C$34)</f>
        <v>436.56162943941126</v>
      </c>
      <c r="C41" s="258">
        <f t="shared" si="121"/>
        <v>851.74962943941136</v>
      </c>
      <c r="D41" s="258">
        <f t="shared" si="121"/>
        <v>1266.937629439411</v>
      </c>
      <c r="E41" s="258">
        <f t="shared" si="121"/>
        <v>1615.6955494394115</v>
      </c>
      <c r="F41" s="258">
        <f t="shared" si="121"/>
        <v>2097.3136294394117</v>
      </c>
      <c r="G41" s="83"/>
      <c r="I41" s="257">
        <f t="shared" si="105"/>
        <v>0.13500000000000001</v>
      </c>
      <c r="J41" s="258">
        <f t="shared" ref="J41:N41" si="122">(J30+$I$34-$J$34-$K$34)</f>
        <v>5419.8131530722021</v>
      </c>
      <c r="K41" s="258">
        <f t="shared" si="122"/>
        <v>7277.0186470722037</v>
      </c>
      <c r="L41" s="258">
        <f t="shared" si="122"/>
        <v>9134.2241410722036</v>
      </c>
      <c r="M41" s="258">
        <f t="shared" si="122"/>
        <v>11734.311832672203</v>
      </c>
      <c r="N41" s="258">
        <f t="shared" si="122"/>
        <v>12848.635129072205</v>
      </c>
      <c r="O41" s="83"/>
      <c r="Q41" s="257">
        <f t="shared" si="107"/>
        <v>0.16</v>
      </c>
      <c r="R41" s="258">
        <f t="shared" ref="R41:V41" si="123">(R30+$Q$34-$R$34-$S$34)</f>
        <v>2117.9642073771693</v>
      </c>
      <c r="S41" s="258">
        <f t="shared" si="123"/>
        <v>2561.463411377169</v>
      </c>
      <c r="T41" s="258">
        <f t="shared" si="123"/>
        <v>3003.8538673671687</v>
      </c>
      <c r="U41" s="258">
        <f t="shared" si="123"/>
        <v>3448.4618193771689</v>
      </c>
      <c r="V41" s="258">
        <f t="shared" si="123"/>
        <v>3891.9610233771687</v>
      </c>
      <c r="W41" s="83"/>
      <c r="Y41" s="240">
        <f t="shared" si="109"/>
        <v>0.13</v>
      </c>
      <c r="Z41" s="258">
        <f t="shared" ref="Z41:AD41" si="124">(Z30+$Y$34-$Z$34-$AA$34)</f>
        <v>5149.0247564658248</v>
      </c>
      <c r="AA41" s="258">
        <f t="shared" si="124"/>
        <v>6292.8514364658249</v>
      </c>
      <c r="AB41" s="258">
        <f t="shared" si="124"/>
        <v>7379.4867824658249</v>
      </c>
      <c r="AC41" s="258">
        <f t="shared" si="124"/>
        <v>8580.5047964658261</v>
      </c>
      <c r="AD41" s="258">
        <f t="shared" si="124"/>
        <v>9724.3314764658244</v>
      </c>
      <c r="AE41" s="83"/>
      <c r="AG41" s="257">
        <f t="shared" si="111"/>
        <v>0.08</v>
      </c>
      <c r="AH41" s="258">
        <f t="shared" ref="AH41:AL41" si="125">(AH30+$AG$34-$AH$34-$AI$34)</f>
        <v>3088.6485742430141</v>
      </c>
      <c r="AI41" s="258">
        <f t="shared" si="125"/>
        <v>3275.5862062430142</v>
      </c>
      <c r="AJ41" s="258">
        <f t="shared" si="125"/>
        <v>3457.8503974430141</v>
      </c>
      <c r="AK41" s="258">
        <f t="shared" si="125"/>
        <v>3649.4614702430135</v>
      </c>
      <c r="AL41" s="258">
        <f t="shared" si="125"/>
        <v>3836.3991022430137</v>
      </c>
      <c r="AM41" s="83"/>
      <c r="AO41" s="257">
        <f t="shared" si="113"/>
        <v>0.1</v>
      </c>
      <c r="AP41" s="258">
        <f t="shared" ref="AP41:AT41" si="126">(AP30+$AO$34-$AP$34-$AQ$34)</f>
        <v>5984.455256057834</v>
      </c>
      <c r="AQ41" s="258">
        <f t="shared" si="126"/>
        <v>6444.688994057833</v>
      </c>
      <c r="AR41" s="258">
        <f t="shared" si="126"/>
        <v>6927.9344189578351</v>
      </c>
      <c r="AS41" s="258">
        <f t="shared" si="126"/>
        <v>7365.1564700578328</v>
      </c>
      <c r="AT41" s="258">
        <f t="shared" si="126"/>
        <v>7825.3902080578337</v>
      </c>
    </row>
    <row r="42" spans="1:46" x14ac:dyDescent="0.3">
      <c r="A42" s="257">
        <f t="shared" si="103"/>
        <v>0.16</v>
      </c>
      <c r="B42" s="258">
        <f t="shared" ref="B42:F42" si="127">(B31+$A$34-$B$34-$C$34)</f>
        <v>465.69762943941123</v>
      </c>
      <c r="C42" s="258">
        <f t="shared" si="127"/>
        <v>888.16962943941098</v>
      </c>
      <c r="D42" s="258">
        <f t="shared" si="127"/>
        <v>1310.6416294394107</v>
      </c>
      <c r="E42" s="258">
        <f t="shared" si="127"/>
        <v>1665.5181094394111</v>
      </c>
      <c r="F42" s="258">
        <f t="shared" si="127"/>
        <v>2155.5856294394112</v>
      </c>
      <c r="G42" s="83"/>
      <c r="I42" s="257">
        <f t="shared" si="105"/>
        <v>0.16</v>
      </c>
      <c r="J42" s="258">
        <f t="shared" ref="J42:N42" si="128">(J31+$I$34-$J$34-$K$34)</f>
        <v>5603.8973980722003</v>
      </c>
      <c r="K42" s="258">
        <f t="shared" si="128"/>
        <v>7502.0105020722003</v>
      </c>
      <c r="L42" s="258">
        <f t="shared" si="128"/>
        <v>9400.1236060722003</v>
      </c>
      <c r="M42" s="258">
        <f t="shared" si="128"/>
        <v>12057.481951672202</v>
      </c>
      <c r="N42" s="258">
        <f t="shared" si="128"/>
        <v>13196.3498140722</v>
      </c>
      <c r="O42" s="83"/>
      <c r="Q42" s="257">
        <f t="shared" si="107"/>
        <v>0.19</v>
      </c>
      <c r="R42" s="258">
        <f t="shared" ref="R42:V42" si="129">(R31+$Q$34-$R$34-$S$34)</f>
        <v>2175.313242377169</v>
      </c>
      <c r="S42" s="258">
        <f t="shared" si="129"/>
        <v>2630.2822533771691</v>
      </c>
      <c r="T42" s="258">
        <f t="shared" si="129"/>
        <v>3084.1138418496685</v>
      </c>
      <c r="U42" s="258">
        <f t="shared" si="129"/>
        <v>3540.2202753771685</v>
      </c>
      <c r="V42" s="258">
        <f t="shared" si="129"/>
        <v>3995.1892863771682</v>
      </c>
      <c r="W42" s="83"/>
      <c r="Y42" s="240">
        <f t="shared" si="109"/>
        <v>0.15</v>
      </c>
      <c r="Z42" s="258">
        <f t="shared" ref="Z42:AD42" si="130">(Z31+$Y$34-$Z$34-$AA$34)</f>
        <v>5255.3095364658247</v>
      </c>
      <c r="AA42" s="258">
        <f t="shared" si="130"/>
        <v>6419.3809364658255</v>
      </c>
      <c r="AB42" s="258">
        <f t="shared" si="130"/>
        <v>7525.2487664658256</v>
      </c>
      <c r="AC42" s="258">
        <f t="shared" si="130"/>
        <v>8747.5237364658278</v>
      </c>
      <c r="AD42" s="258">
        <f t="shared" si="130"/>
        <v>9911.5951364658249</v>
      </c>
      <c r="AE42" s="83"/>
      <c r="AG42" s="257">
        <f t="shared" si="111"/>
        <v>0.1</v>
      </c>
      <c r="AH42" s="258">
        <f t="shared" ref="AH42:AL42" si="131">(AH31+$AG$34-$AH$34-$AI$34)</f>
        <v>3136.2484342430143</v>
      </c>
      <c r="AI42" s="258">
        <f t="shared" si="131"/>
        <v>3326.6478742430145</v>
      </c>
      <c r="AJ42" s="258">
        <f t="shared" si="131"/>
        <v>3512.2873282430137</v>
      </c>
      <c r="AK42" s="258">
        <f t="shared" si="131"/>
        <v>3707.4467542430148</v>
      </c>
      <c r="AL42" s="258">
        <f t="shared" si="131"/>
        <v>3897.846194243014</v>
      </c>
      <c r="AM42" s="83"/>
      <c r="AO42" s="257">
        <f t="shared" si="113"/>
        <v>0.12</v>
      </c>
      <c r="AP42" s="258">
        <f t="shared" ref="AP42:AT42" si="132">(AP31+$AO$34-$AP$34-$AQ$34)</f>
        <v>6086.7294200578344</v>
      </c>
      <c r="AQ42" s="258">
        <f t="shared" si="132"/>
        <v>6555.4860050578336</v>
      </c>
      <c r="AR42" s="258">
        <f t="shared" si="132"/>
        <v>7047.6804193078351</v>
      </c>
      <c r="AS42" s="258">
        <f t="shared" si="132"/>
        <v>7492.9991750578338</v>
      </c>
      <c r="AT42" s="258">
        <f t="shared" si="132"/>
        <v>7961.7557600578348</v>
      </c>
    </row>
    <row r="44" spans="1:46" ht="18" x14ac:dyDescent="0.3">
      <c r="A44" s="408" t="s">
        <v>534</v>
      </c>
      <c r="B44" s="408"/>
      <c r="C44" s="408"/>
      <c r="D44" s="408"/>
      <c r="E44" s="408"/>
      <c r="F44" s="250" t="e" vm="4">
        <v>#VALUE!</v>
      </c>
      <c r="G44" s="49"/>
      <c r="I44" s="409" t="s">
        <v>534</v>
      </c>
      <c r="J44" s="410"/>
      <c r="K44" s="410"/>
      <c r="L44" s="410"/>
      <c r="M44" s="411"/>
      <c r="N44" s="250" t="e" vm="6">
        <v>#VALUE!</v>
      </c>
      <c r="O44" s="49"/>
      <c r="Q44" s="401" t="s">
        <v>534</v>
      </c>
      <c r="R44" s="402"/>
      <c r="S44" s="402"/>
      <c r="T44" s="402"/>
      <c r="U44" s="412"/>
      <c r="V44" s="250" t="e" vm="5">
        <v>#VALUE!</v>
      </c>
      <c r="W44" s="49"/>
      <c r="Y44" s="403" t="s">
        <v>534</v>
      </c>
      <c r="Z44" s="404"/>
      <c r="AA44" s="404"/>
      <c r="AB44" s="404"/>
      <c r="AC44" s="413"/>
      <c r="AD44" s="250" t="e" vm="3">
        <v>#VALUE!</v>
      </c>
      <c r="AE44" s="49"/>
      <c r="AG44" s="414" t="s">
        <v>534</v>
      </c>
      <c r="AH44" s="415"/>
      <c r="AI44" s="415"/>
      <c r="AJ44" s="415"/>
      <c r="AK44" s="416"/>
      <c r="AL44" s="250" t="e" vm="1">
        <v>#VALUE!</v>
      </c>
      <c r="AM44" s="49"/>
      <c r="AO44" s="387" t="s">
        <v>534</v>
      </c>
      <c r="AP44" s="387"/>
      <c r="AQ44" s="387"/>
      <c r="AR44" s="387"/>
      <c r="AS44" s="387"/>
      <c r="AT44" s="250" t="e" vm="2">
        <v>#VALUE!</v>
      </c>
    </row>
    <row r="45" spans="1:46" x14ac:dyDescent="0.3">
      <c r="A45" s="242" t="s">
        <v>594</v>
      </c>
      <c r="B45" s="256" t="s">
        <v>579</v>
      </c>
      <c r="C45" s="256" t="s">
        <v>580</v>
      </c>
      <c r="D45" s="256" t="s">
        <v>581</v>
      </c>
      <c r="E45" s="256" t="s">
        <v>582</v>
      </c>
      <c r="F45" s="256" t="s">
        <v>583</v>
      </c>
      <c r="G45" s="278"/>
      <c r="I45" s="108" t="s">
        <v>594</v>
      </c>
      <c r="J45" s="239" t="s">
        <v>573</v>
      </c>
      <c r="K45" s="239" t="s">
        <v>574</v>
      </c>
      <c r="L45" s="239" t="s">
        <v>575</v>
      </c>
      <c r="M45" s="239" t="s">
        <v>576</v>
      </c>
      <c r="N45" s="239" t="s">
        <v>577</v>
      </c>
      <c r="O45" s="239"/>
      <c r="P45" s="108"/>
      <c r="Q45" s="259" t="s">
        <v>594</v>
      </c>
      <c r="R45" s="263" t="s">
        <v>579</v>
      </c>
      <c r="S45" s="260" t="s">
        <v>595</v>
      </c>
      <c r="T45" s="261" t="s">
        <v>596</v>
      </c>
      <c r="U45" s="261" t="s">
        <v>597</v>
      </c>
      <c r="V45" s="262" t="s">
        <v>598</v>
      </c>
      <c r="W45" s="279"/>
      <c r="X45" s="252"/>
      <c r="Y45" s="264" t="s">
        <v>594</v>
      </c>
      <c r="Z45" s="265" t="s">
        <v>588</v>
      </c>
      <c r="AA45" s="265" t="s">
        <v>580</v>
      </c>
      <c r="AB45" s="265" t="s">
        <v>589</v>
      </c>
      <c r="AC45" s="265" t="s">
        <v>590</v>
      </c>
      <c r="AD45" s="266" t="s">
        <v>591</v>
      </c>
      <c r="AE45" s="319"/>
      <c r="AF45" s="252"/>
      <c r="AG45" s="267" t="s">
        <v>594</v>
      </c>
      <c r="AH45" s="267" t="s">
        <v>585</v>
      </c>
      <c r="AI45" s="267" t="s">
        <v>581</v>
      </c>
      <c r="AJ45" s="267" t="s">
        <v>586</v>
      </c>
      <c r="AK45" s="267" t="s">
        <v>582</v>
      </c>
      <c r="AL45" s="267" t="s">
        <v>587</v>
      </c>
      <c r="AM45" s="325"/>
      <c r="AN45" s="252"/>
      <c r="AO45" s="268" t="s">
        <v>594</v>
      </c>
      <c r="AP45" s="268" t="s">
        <v>584</v>
      </c>
      <c r="AQ45" s="268" t="s">
        <v>592</v>
      </c>
      <c r="AR45" s="268" t="s">
        <v>585</v>
      </c>
      <c r="AS45" s="268" t="s">
        <v>581</v>
      </c>
      <c r="AT45" s="268" t="s">
        <v>586</v>
      </c>
    </row>
    <row r="46" spans="1:46" x14ac:dyDescent="0.3">
      <c r="A46" s="257">
        <f>A38</f>
        <v>0.08</v>
      </c>
      <c r="B46" s="258">
        <f ca="1">B38*$E$34</f>
        <v>310.0391099721424</v>
      </c>
      <c r="C46" s="258">
        <f t="shared" ref="C46:F46" ca="1" si="133">C38*$E$34</f>
        <v>659.31098652631294</v>
      </c>
      <c r="D46" s="258">
        <f t="shared" ca="1" si="133"/>
        <v>1008.5828630804833</v>
      </c>
      <c r="E46" s="258">
        <f t="shared" ca="1" si="133"/>
        <v>1301.9712393859868</v>
      </c>
      <c r="F46" s="258">
        <f t="shared" ca="1" si="133"/>
        <v>1707.1266161888248</v>
      </c>
      <c r="G46" s="83"/>
      <c r="I46" s="257">
        <f>I38</f>
        <v>0.06</v>
      </c>
      <c r="J46" s="258">
        <f ca="1">J38*$M$34</f>
        <v>4282.486671829588</v>
      </c>
      <c r="K46" s="258">
        <f t="shared" ref="K46:N46" ca="1" si="134">K38*$M$34</f>
        <v>5808.4870196673455</v>
      </c>
      <c r="L46" s="258">
        <f t="shared" ca="1" si="134"/>
        <v>7334.4873675051022</v>
      </c>
      <c r="M46" s="258">
        <f t="shared" ca="1" si="134"/>
        <v>9470.8878544779636</v>
      </c>
      <c r="N46" s="258">
        <f t="shared" ca="1" si="134"/>
        <v>10386.488063180617</v>
      </c>
      <c r="O46" s="83"/>
      <c r="Q46" s="257">
        <f>Q38</f>
        <v>7.0000000000000007E-2</v>
      </c>
      <c r="R46" s="258">
        <f ca="1">R38*$U$34</f>
        <v>1750.5925136649637</v>
      </c>
      <c r="S46" s="258">
        <f t="shared" ref="S46:V46" ca="1" si="135">S38*$U$34</f>
        <v>2118.6192454624093</v>
      </c>
      <c r="T46" s="258">
        <f t="shared" ca="1" si="135"/>
        <v>2485.7259104303607</v>
      </c>
      <c r="U46" s="258">
        <f t="shared" ca="1" si="135"/>
        <v>2854.6727090572999</v>
      </c>
      <c r="V46" s="258">
        <f t="shared" ca="1" si="135"/>
        <v>3222.6994408547448</v>
      </c>
      <c r="W46" s="83"/>
      <c r="Y46" s="240">
        <f>Y38</f>
        <v>7.0000000000000007E-2</v>
      </c>
      <c r="Z46" s="258">
        <f ca="1">Z38*$AC$34</f>
        <v>4371.4131779486861</v>
      </c>
      <c r="AA46" s="258">
        <f t="shared" ref="AA46:AD46" ca="1" si="136">AA38*$AC$34</f>
        <v>5351.6363391699679</v>
      </c>
      <c r="AB46" s="258">
        <f t="shared" ca="1" si="136"/>
        <v>6282.848342330185</v>
      </c>
      <c r="AC46" s="258">
        <f t="shared" ca="1" si="136"/>
        <v>7312.0826616125341</v>
      </c>
      <c r="AD46" s="258">
        <f t="shared" ca="1" si="136"/>
        <v>8292.3058228338141</v>
      </c>
      <c r="AE46" s="83"/>
      <c r="AG46" s="257">
        <f>AG38</f>
        <v>0.02</v>
      </c>
      <c r="AH46" s="258">
        <f ca="1">AH38*$AK$34</f>
        <v>2626.2423264153504</v>
      </c>
      <c r="AI46" s="258">
        <f t="shared" ref="AI46:AL46" ca="1" si="137">AI38*$AK$34</f>
        <v>2783.6396955194082</v>
      </c>
      <c r="AJ46" s="258">
        <f t="shared" ca="1" si="137"/>
        <v>2937.102130395866</v>
      </c>
      <c r="AK46" s="258">
        <f t="shared" ca="1" si="137"/>
        <v>3098.4344337275256</v>
      </c>
      <c r="AL46" s="258">
        <f t="shared" ca="1" si="137"/>
        <v>3255.8318028315834</v>
      </c>
      <c r="AM46" s="83"/>
      <c r="AO46" s="257">
        <f>AO38</f>
        <v>0.04</v>
      </c>
      <c r="AP46" s="258">
        <f ca="1">AP38*$AS$34</f>
        <v>5122.7567352632304</v>
      </c>
      <c r="AQ46" s="258">
        <f t="shared" ref="AQ46:AT46" ca="1" si="138">AQ38*$AS$34</f>
        <v>5514.9420276287847</v>
      </c>
      <c r="AR46" s="258">
        <f t="shared" ca="1" si="138"/>
        <v>5926.7365846126168</v>
      </c>
      <c r="AS46" s="258">
        <f t="shared" ca="1" si="138"/>
        <v>6299.3126123598931</v>
      </c>
      <c r="AT46" s="258">
        <f t="shared" ca="1" si="138"/>
        <v>6691.4979047254474</v>
      </c>
    </row>
    <row r="47" spans="1:46" x14ac:dyDescent="0.3">
      <c r="A47" s="257">
        <f t="shared" ref="A47:A50" si="139">A39</f>
        <v>9.6600000000000005E-2</v>
      </c>
      <c r="B47" s="258">
        <f t="shared" ref="B47:F47" ca="1" si="140">B39*$E$34</f>
        <v>331.51286238250958</v>
      </c>
      <c r="C47" s="258">
        <f t="shared" ca="1" si="140"/>
        <v>686.15317703927224</v>
      </c>
      <c r="D47" s="258">
        <f t="shared" ca="1" si="140"/>
        <v>1040.7934916960346</v>
      </c>
      <c r="E47" s="258">
        <f t="shared" ca="1" si="140"/>
        <v>1338.6913560077153</v>
      </c>
      <c r="F47" s="258">
        <f t="shared" ca="1" si="140"/>
        <v>1750.0741210095591</v>
      </c>
      <c r="G47" s="83"/>
      <c r="I47" s="257">
        <f t="shared" ref="I47:I50" si="141">I39</f>
        <v>8.48E-2</v>
      </c>
      <c r="J47" s="258">
        <f t="shared" ref="J47:N47" ca="1" si="142">J39*$M$34</f>
        <v>4443.1485952434505</v>
      </c>
      <c r="K47" s="258">
        <f t="shared" ca="1" si="142"/>
        <v>6004.8515927287317</v>
      </c>
      <c r="L47" s="258">
        <f t="shared" ca="1" si="142"/>
        <v>7566.5545902140148</v>
      </c>
      <c r="M47" s="258">
        <f t="shared" ca="1" si="142"/>
        <v>9752.9387866934103</v>
      </c>
      <c r="N47" s="258">
        <f t="shared" ca="1" si="142"/>
        <v>10689.960585184577</v>
      </c>
      <c r="O47" s="83"/>
      <c r="Q47" s="257">
        <f t="shared" ref="Q47:Q50" si="143">Q39</f>
        <v>0.1</v>
      </c>
      <c r="R47" s="258">
        <f t="shared" ref="R47:V47" ca="1" si="144">R39*$U$34</f>
        <v>1802.1850461599329</v>
      </c>
      <c r="S47" s="258">
        <f t="shared" ca="1" si="144"/>
        <v>2180.5302844563716</v>
      </c>
      <c r="T47" s="258">
        <f t="shared" ca="1" si="144"/>
        <v>2557.9296596570698</v>
      </c>
      <c r="U47" s="258">
        <f t="shared" ca="1" si="144"/>
        <v>2937.2207610492501</v>
      </c>
      <c r="V47" s="258">
        <f t="shared" ca="1" si="144"/>
        <v>3315.5659993456898</v>
      </c>
      <c r="W47" s="83"/>
      <c r="Y47" s="240">
        <f t="shared" ref="Y47:Y50" si="145">Y39</f>
        <v>0.09</v>
      </c>
      <c r="Z47" s="258">
        <f t="shared" ref="Z47:AD47" ca="1" si="146">Z39*$AC$34</f>
        <v>4467.6033012461012</v>
      </c>
      <c r="AA47" s="258">
        <f t="shared" ca="1" si="146"/>
        <v>5466.1483907145112</v>
      </c>
      <c r="AB47" s="258">
        <f t="shared" ca="1" si="146"/>
        <v>6414.7662257094989</v>
      </c>
      <c r="AC47" s="258">
        <f t="shared" ca="1" si="146"/>
        <v>7463.2385696513311</v>
      </c>
      <c r="AD47" s="258">
        <f t="shared" ca="1" si="146"/>
        <v>8461.7836591197374</v>
      </c>
      <c r="AE47" s="83"/>
      <c r="AG47" s="257">
        <f t="shared" ref="AG47:AG50" si="147">AG39</f>
        <v>0.04</v>
      </c>
      <c r="AH47" s="258">
        <f t="shared" ref="AH47:AL47" ca="1" si="148">AH39*$AK$34</f>
        <v>2668.6778916149742</v>
      </c>
      <c r="AI47" s="258">
        <f t="shared" ca="1" si="148"/>
        <v>2829.1614836426411</v>
      </c>
      <c r="AJ47" s="258">
        <f t="shared" ca="1" si="148"/>
        <v>2985.6329858696172</v>
      </c>
      <c r="AK47" s="258">
        <f t="shared" ca="1" si="148"/>
        <v>3150.1286676979767</v>
      </c>
      <c r="AL47" s="258">
        <f t="shared" ca="1" si="148"/>
        <v>3310.6122597256431</v>
      </c>
      <c r="AM47" s="83"/>
      <c r="AO47" s="257">
        <f t="shared" ref="AO47:AO50" si="149">AO39</f>
        <v>0.06</v>
      </c>
      <c r="AP47" s="258">
        <f t="shared" ref="AP47:AT47" ca="1" si="150">AP39*$AS$34</f>
        <v>5215.0356275845379</v>
      </c>
      <c r="AQ47" s="258">
        <f t="shared" ca="1" si="150"/>
        <v>5614.9108276435345</v>
      </c>
      <c r="AR47" s="258">
        <f t="shared" ca="1" si="150"/>
        <v>6034.77978770548</v>
      </c>
      <c r="AS47" s="258">
        <f t="shared" ca="1" si="150"/>
        <v>6414.6612277615259</v>
      </c>
      <c r="AT47" s="258">
        <f t="shared" ca="1" si="150"/>
        <v>6814.5364278205225</v>
      </c>
    </row>
    <row r="48" spans="1:46" x14ac:dyDescent="0.3">
      <c r="A48" s="257">
        <f t="shared" si="139"/>
        <v>0.12</v>
      </c>
      <c r="B48" s="258">
        <f t="shared" ref="B48:F48" ca="1" si="151">B40*$E$34</f>
        <v>361.78309168387131</v>
      </c>
      <c r="C48" s="258">
        <f t="shared" ca="1" si="151"/>
        <v>723.99096366597394</v>
      </c>
      <c r="D48" s="258">
        <f t="shared" ca="1" si="151"/>
        <v>1086.1988356480767</v>
      </c>
      <c r="E48" s="258">
        <f t="shared" ca="1" si="151"/>
        <v>1390.4534481130431</v>
      </c>
      <c r="F48" s="258">
        <f t="shared" ca="1" si="151"/>
        <v>1810.6145796122826</v>
      </c>
      <c r="G48" s="83"/>
      <c r="I48" s="257">
        <f t="shared" si="141"/>
        <v>0.11</v>
      </c>
      <c r="J48" s="258">
        <f t="shared" ref="J48:N48" ca="1" si="152">J40*$M$34</f>
        <v>4606.401840002698</v>
      </c>
      <c r="K48" s="258">
        <f t="shared" ca="1" si="152"/>
        <v>6204.383336323368</v>
      </c>
      <c r="L48" s="258">
        <f t="shared" ca="1" si="152"/>
        <v>7802.3648326440389</v>
      </c>
      <c r="M48" s="258">
        <f t="shared" ca="1" si="152"/>
        <v>10039.538927492977</v>
      </c>
      <c r="N48" s="258">
        <f t="shared" ca="1" si="152"/>
        <v>10998.32782528538</v>
      </c>
      <c r="O48" s="83"/>
      <c r="Q48" s="257">
        <f t="shared" si="143"/>
        <v>0.12970000000000001</v>
      </c>
      <c r="R48" s="258">
        <f t="shared" ref="R48:V48" ca="1" si="153">R40*$U$34</f>
        <v>1853.2616533299517</v>
      </c>
      <c r="S48" s="258">
        <f t="shared" ca="1" si="153"/>
        <v>2241.8222130603945</v>
      </c>
      <c r="T48" s="258">
        <f t="shared" ca="1" si="153"/>
        <v>2629.4113713915117</v>
      </c>
      <c r="U48" s="258">
        <f t="shared" ca="1" si="153"/>
        <v>3018.9433325212808</v>
      </c>
      <c r="V48" s="258">
        <f t="shared" ca="1" si="153"/>
        <v>3407.5038922517238</v>
      </c>
      <c r="W48" s="83"/>
      <c r="Y48" s="240">
        <f t="shared" si="145"/>
        <v>0.109</v>
      </c>
      <c r="Z48" s="258">
        <f t="shared" ref="Z48:AD48" ca="1" si="154">Z40*$AC$34</f>
        <v>4558.9839183786453</v>
      </c>
      <c r="AA48" s="258">
        <f t="shared" ca="1" si="154"/>
        <v>5574.934839681825</v>
      </c>
      <c r="AB48" s="258">
        <f t="shared" ca="1" si="154"/>
        <v>6540.0882149198442</v>
      </c>
      <c r="AC48" s="258">
        <f t="shared" ca="1" si="154"/>
        <v>7606.8366822881835</v>
      </c>
      <c r="AD48" s="258">
        <f t="shared" ca="1" si="154"/>
        <v>8622.7876035913632</v>
      </c>
      <c r="AE48" s="83"/>
      <c r="AG48" s="257">
        <f t="shared" si="147"/>
        <v>6.1600000000000002E-2</v>
      </c>
      <c r="AH48" s="258">
        <f t="shared" ref="AH48:AL48" ca="1" si="155">AH40*$AK$34</f>
        <v>2714.5083020305674</v>
      </c>
      <c r="AI48" s="258">
        <f t="shared" ca="1" si="155"/>
        <v>2878.3250148157322</v>
      </c>
      <c r="AJ48" s="258">
        <f t="shared" ca="1" si="155"/>
        <v>3038.0463097812681</v>
      </c>
      <c r="AK48" s="258">
        <f t="shared" ca="1" si="155"/>
        <v>3205.9584403860631</v>
      </c>
      <c r="AL48" s="258">
        <f t="shared" ca="1" si="155"/>
        <v>3369.7751531712274</v>
      </c>
      <c r="AM48" s="83"/>
      <c r="AO48" s="257">
        <f t="shared" si="149"/>
        <v>8.43E-2</v>
      </c>
      <c r="AP48" s="258">
        <f t="shared" ref="AP48:AT48" ca="1" si="156">AP40*$AS$34</f>
        <v>5314.6968312915496</v>
      </c>
      <c r="AQ48" s="258">
        <f t="shared" ca="1" si="156"/>
        <v>5722.8771316594639</v>
      </c>
      <c r="AR48" s="258">
        <f t="shared" ca="1" si="156"/>
        <v>6151.4664470457728</v>
      </c>
      <c r="AS48" s="258">
        <f t="shared" ca="1" si="156"/>
        <v>6539.2377323952896</v>
      </c>
      <c r="AT48" s="258">
        <f t="shared" ca="1" si="156"/>
        <v>6947.4180327632057</v>
      </c>
    </row>
    <row r="49" spans="1:47" x14ac:dyDescent="0.3">
      <c r="A49" s="257">
        <f t="shared" si="139"/>
        <v>0.14000000000000001</v>
      </c>
      <c r="B49" s="258">
        <f t="shared" ref="B49:F49" ca="1" si="157">B41*$E$34</f>
        <v>387.65508253973599</v>
      </c>
      <c r="C49" s="258">
        <f t="shared" ca="1" si="157"/>
        <v>756.33095223580494</v>
      </c>
      <c r="D49" s="258">
        <f t="shared" ca="1" si="157"/>
        <v>1125.0068219318734</v>
      </c>
      <c r="E49" s="258">
        <f t="shared" ca="1" si="157"/>
        <v>1434.6945524765717</v>
      </c>
      <c r="F49" s="258">
        <f t="shared" ca="1" si="157"/>
        <v>1862.358561324012</v>
      </c>
      <c r="G49" s="83"/>
      <c r="I49" s="257">
        <f t="shared" si="141"/>
        <v>0.13500000000000001</v>
      </c>
      <c r="J49" s="258">
        <f t="shared" ref="J49:N49" ca="1" si="158">J41*$M$34</f>
        <v>4768.3594240892508</v>
      </c>
      <c r="K49" s="258">
        <f t="shared" ca="1" si="158"/>
        <v>6402.3314946513792</v>
      </c>
      <c r="L49" s="258">
        <f t="shared" ca="1" si="158"/>
        <v>8036.303565213505</v>
      </c>
      <c r="M49" s="258">
        <f t="shared" ca="1" si="158"/>
        <v>10323.864464000482</v>
      </c>
      <c r="N49" s="258">
        <f t="shared" ca="1" si="158"/>
        <v>11304.247706337759</v>
      </c>
      <c r="O49" s="83"/>
      <c r="Q49" s="257">
        <f t="shared" si="143"/>
        <v>0.16</v>
      </c>
      <c r="R49" s="258">
        <f t="shared" ref="R49:V49" ca="1" si="159">R41*$U$34</f>
        <v>1905.3701111498706</v>
      </c>
      <c r="S49" s="258">
        <f t="shared" ca="1" si="159"/>
        <v>2304.3523624442973</v>
      </c>
      <c r="T49" s="258">
        <f t="shared" ca="1" si="159"/>
        <v>2702.3371581104875</v>
      </c>
      <c r="U49" s="258">
        <f t="shared" ca="1" si="159"/>
        <v>3102.3168650331509</v>
      </c>
      <c r="V49" s="258">
        <f t="shared" ca="1" si="159"/>
        <v>3501.2991163275774</v>
      </c>
      <c r="W49" s="83"/>
      <c r="Y49" s="240">
        <f t="shared" si="145"/>
        <v>0.13</v>
      </c>
      <c r="Z49" s="258">
        <f t="shared" ref="Z49:AD49" ca="1" si="160">Z41*$AC$34</f>
        <v>4659.9835478409304</v>
      </c>
      <c r="AA49" s="258">
        <f t="shared" ca="1" si="160"/>
        <v>5695.1724938035932</v>
      </c>
      <c r="AB49" s="258">
        <f t="shared" ca="1" si="160"/>
        <v>6678.6019924681232</v>
      </c>
      <c r="AC49" s="258">
        <f t="shared" ca="1" si="160"/>
        <v>7765.5503857289195</v>
      </c>
      <c r="AD49" s="258">
        <f t="shared" ca="1" si="160"/>
        <v>8800.7393316915804</v>
      </c>
      <c r="AE49" s="83"/>
      <c r="AG49" s="257">
        <f t="shared" si="147"/>
        <v>0.08</v>
      </c>
      <c r="AH49" s="258">
        <f t="shared" ref="AH49:AL49" ca="1" si="161">AH41*$AK$34</f>
        <v>2753.549022014221</v>
      </c>
      <c r="AI49" s="258">
        <f t="shared" ca="1" si="161"/>
        <v>2920.2050598891065</v>
      </c>
      <c r="AJ49" s="258">
        <f t="shared" ca="1" si="161"/>
        <v>3082.6946968171196</v>
      </c>
      <c r="AK49" s="258">
        <f t="shared" ca="1" si="161"/>
        <v>3253.5171356388769</v>
      </c>
      <c r="AL49" s="258">
        <f t="shared" ca="1" si="161"/>
        <v>3420.1731735137623</v>
      </c>
      <c r="AM49" s="83"/>
      <c r="AO49" s="257">
        <f t="shared" si="149"/>
        <v>0.1</v>
      </c>
      <c r="AP49" s="258">
        <f t="shared" ref="AP49:AT49" ca="1" si="162">AP41*$AS$34</f>
        <v>5399.5934122271519</v>
      </c>
      <c r="AQ49" s="258">
        <f t="shared" ca="1" si="162"/>
        <v>5814.8484276730314</v>
      </c>
      <c r="AR49" s="258">
        <f t="shared" ca="1" si="162"/>
        <v>6250.8661938912082</v>
      </c>
      <c r="AS49" s="258">
        <f t="shared" ca="1" si="162"/>
        <v>6645.3584585647932</v>
      </c>
      <c r="AT49" s="258">
        <f t="shared" ca="1" si="162"/>
        <v>7060.6134740106745</v>
      </c>
    </row>
    <row r="50" spans="1:47" x14ac:dyDescent="0.3">
      <c r="A50" s="257">
        <f t="shared" si="139"/>
        <v>0.16</v>
      </c>
      <c r="B50" s="258">
        <f t="shared" ref="B50:F50" ca="1" si="163">B42*$E$34</f>
        <v>413.52707339560044</v>
      </c>
      <c r="C50" s="258">
        <f t="shared" ca="1" si="163"/>
        <v>788.67094080563527</v>
      </c>
      <c r="D50" s="258">
        <f t="shared" ca="1" si="163"/>
        <v>1163.8148082156699</v>
      </c>
      <c r="E50" s="258">
        <f t="shared" ca="1" si="163"/>
        <v>1478.9356568400997</v>
      </c>
      <c r="F50" s="258">
        <f t="shared" ca="1" si="163"/>
        <v>1914.1025430357404</v>
      </c>
      <c r="G50" s="83"/>
      <c r="I50" s="257">
        <f t="shared" si="141"/>
        <v>0.16</v>
      </c>
      <c r="J50" s="258">
        <f t="shared" ref="J50:N50" ca="1" si="164">J42*$M$34</f>
        <v>4930.3170081758035</v>
      </c>
      <c r="K50" s="258">
        <f t="shared" ca="1" si="164"/>
        <v>6600.2796529793868</v>
      </c>
      <c r="L50" s="258">
        <f t="shared" ca="1" si="164"/>
        <v>8270.2422977829701</v>
      </c>
      <c r="M50" s="258">
        <f t="shared" ca="1" si="164"/>
        <v>10608.190000507988</v>
      </c>
      <c r="N50" s="258">
        <f t="shared" ca="1" si="164"/>
        <v>11610.167587390135</v>
      </c>
      <c r="O50" s="83"/>
      <c r="Q50" s="257">
        <f t="shared" si="143"/>
        <v>0.19</v>
      </c>
      <c r="R50" s="258">
        <f t="shared" ref="R50:V50" ca="1" si="165">R42*$U$34</f>
        <v>1956.9626436448393</v>
      </c>
      <c r="S50" s="258">
        <f t="shared" ca="1" si="165"/>
        <v>2366.2634014382602</v>
      </c>
      <c r="T50" s="258">
        <f t="shared" ca="1" si="165"/>
        <v>2774.5409073371966</v>
      </c>
      <c r="U50" s="258">
        <f t="shared" ca="1" si="165"/>
        <v>3184.8649170251006</v>
      </c>
      <c r="V50" s="258">
        <f t="shared" ca="1" si="165"/>
        <v>3594.165674818521</v>
      </c>
      <c r="W50" s="83"/>
      <c r="Y50" s="240">
        <f t="shared" si="145"/>
        <v>0.15</v>
      </c>
      <c r="Z50" s="258">
        <f t="shared" ref="Z50:AD50" ca="1" si="166">Z42*$AC$34</f>
        <v>4756.1736711383464</v>
      </c>
      <c r="AA50" s="258">
        <f t="shared" ca="1" si="166"/>
        <v>5809.6845453481365</v>
      </c>
      <c r="AB50" s="258">
        <f t="shared" ca="1" si="166"/>
        <v>6810.5198758474362</v>
      </c>
      <c r="AC50" s="258">
        <f t="shared" ca="1" si="166"/>
        <v>7916.7062937677174</v>
      </c>
      <c r="AD50" s="258">
        <f t="shared" ca="1" si="166"/>
        <v>8970.2171679775038</v>
      </c>
      <c r="AE50" s="83"/>
      <c r="AG50" s="257">
        <f t="shared" si="147"/>
        <v>0.1</v>
      </c>
      <c r="AH50" s="258">
        <f t="shared" ref="AH50:AL50" ca="1" si="167">AH42*$AK$34</f>
        <v>2795.9845872138449</v>
      </c>
      <c r="AI50" s="258">
        <f t="shared" ca="1" si="167"/>
        <v>2965.7268480123394</v>
      </c>
      <c r="AJ50" s="258">
        <f t="shared" ca="1" si="167"/>
        <v>3131.2255522908708</v>
      </c>
      <c r="AK50" s="258">
        <f t="shared" ca="1" si="167"/>
        <v>3305.2113696093284</v>
      </c>
      <c r="AL50" s="258">
        <f t="shared" ca="1" si="167"/>
        <v>3474.9536304078219</v>
      </c>
      <c r="AM50" s="83"/>
      <c r="AO50" s="257">
        <f t="shared" si="149"/>
        <v>0.12</v>
      </c>
      <c r="AP50" s="258">
        <f t="shared" ref="AP50:AT50" ca="1" si="168">AP42*$AS$34</f>
        <v>5491.8723045484594</v>
      </c>
      <c r="AQ50" s="258">
        <f t="shared" ca="1" si="168"/>
        <v>5914.8172276877813</v>
      </c>
      <c r="AR50" s="258">
        <f t="shared" ca="1" si="168"/>
        <v>6358.9093969840715</v>
      </c>
      <c r="AS50" s="258">
        <f t="shared" ca="1" si="168"/>
        <v>6760.7070739664268</v>
      </c>
      <c r="AT50" s="258">
        <f t="shared" ca="1" si="168"/>
        <v>7183.6519971057505</v>
      </c>
    </row>
    <row r="52" spans="1:47" ht="18" x14ac:dyDescent="0.3">
      <c r="A52" s="397" t="s">
        <v>415</v>
      </c>
      <c r="B52" s="397"/>
      <c r="C52" s="397"/>
      <c r="D52" s="397"/>
      <c r="E52" s="397"/>
      <c r="F52" s="405" t="e" vm="4">
        <v>#VALUE!</v>
      </c>
      <c r="G52" s="406"/>
      <c r="I52" s="398" t="s">
        <v>415</v>
      </c>
      <c r="J52" s="399"/>
      <c r="K52" s="399"/>
      <c r="L52" s="399"/>
      <c r="M52" s="399"/>
      <c r="N52" s="392" t="e" vm="6">
        <v>#VALUE!</v>
      </c>
      <c r="O52" s="393"/>
      <c r="Q52" s="401" t="s">
        <v>415</v>
      </c>
      <c r="R52" s="402"/>
      <c r="S52" s="402"/>
      <c r="T52" s="402"/>
      <c r="U52" s="402"/>
      <c r="V52" s="384" t="e" vm="5">
        <v>#VALUE!</v>
      </c>
      <c r="W52" s="385"/>
      <c r="Y52" s="403" t="s">
        <v>415</v>
      </c>
      <c r="Z52" s="404"/>
      <c r="AA52" s="404"/>
      <c r="AB52" s="404"/>
      <c r="AC52" s="404"/>
      <c r="AD52" s="392" t="e" vm="3">
        <v>#VALUE!</v>
      </c>
      <c r="AE52" s="393"/>
      <c r="AG52" s="388" t="s">
        <v>415</v>
      </c>
      <c r="AH52" s="389"/>
      <c r="AI52" s="389"/>
      <c r="AJ52" s="389"/>
      <c r="AK52" s="389"/>
      <c r="AL52" s="392" t="e" vm="1">
        <v>#VALUE!</v>
      </c>
      <c r="AM52" s="393"/>
      <c r="AO52" s="390" t="s">
        <v>415</v>
      </c>
      <c r="AP52" s="391"/>
      <c r="AQ52" s="391"/>
      <c r="AR52" s="391"/>
      <c r="AS52" s="391"/>
      <c r="AT52" s="384" t="e" vm="2">
        <v>#VALUE!</v>
      </c>
      <c r="AU52" s="385"/>
    </row>
    <row r="53" spans="1:47" x14ac:dyDescent="0.3">
      <c r="A53" s="242" t="s">
        <v>567</v>
      </c>
      <c r="B53" s="243" t="s">
        <v>568</v>
      </c>
      <c r="C53" s="243" t="s">
        <v>569</v>
      </c>
      <c r="D53" s="243" t="s">
        <v>570</v>
      </c>
      <c r="E53" s="243" t="s">
        <v>571</v>
      </c>
      <c r="F53" s="277" t="s">
        <v>572</v>
      </c>
      <c r="G53" s="276" t="s">
        <v>483</v>
      </c>
      <c r="I53" s="244" t="s">
        <v>567</v>
      </c>
      <c r="J53" s="245" t="s">
        <v>573</v>
      </c>
      <c r="K53" s="245" t="s">
        <v>574</v>
      </c>
      <c r="L53" s="245" t="s">
        <v>575</v>
      </c>
      <c r="M53" s="245" t="s">
        <v>576</v>
      </c>
      <c r="N53" s="292" t="s">
        <v>577</v>
      </c>
      <c r="O53" s="297"/>
      <c r="Q53" s="311" t="s">
        <v>567</v>
      </c>
      <c r="R53" s="312">
        <v>0.2</v>
      </c>
      <c r="S53" s="312">
        <v>0.24</v>
      </c>
      <c r="T53" s="312">
        <v>0.27989999999999998</v>
      </c>
      <c r="U53" s="312">
        <v>0.32</v>
      </c>
      <c r="V53" s="312">
        <v>0.36</v>
      </c>
      <c r="W53" s="313" t="s">
        <v>483</v>
      </c>
      <c r="Y53" s="316" t="s">
        <v>567</v>
      </c>
      <c r="Z53" s="317">
        <v>0.21</v>
      </c>
      <c r="AA53" s="317">
        <v>0.25</v>
      </c>
      <c r="AB53" s="317">
        <v>0.28799999999999998</v>
      </c>
      <c r="AC53" s="317">
        <v>0.33</v>
      </c>
      <c r="AD53" s="317">
        <v>0.37</v>
      </c>
      <c r="AE53" s="318" t="s">
        <v>483</v>
      </c>
      <c r="AG53" s="248" t="s">
        <v>567</v>
      </c>
      <c r="AH53" s="249">
        <v>0.27500000000000002</v>
      </c>
      <c r="AI53" s="249">
        <v>0.29499999999999998</v>
      </c>
      <c r="AJ53" s="249">
        <v>0.3145</v>
      </c>
      <c r="AK53" s="249">
        <v>0.33500000000000002</v>
      </c>
      <c r="AL53" s="249">
        <v>0.35499999999999998</v>
      </c>
      <c r="AM53" s="322" t="s">
        <v>483</v>
      </c>
      <c r="AO53" s="336" t="s">
        <v>567</v>
      </c>
      <c r="AP53" s="337" t="s">
        <v>595</v>
      </c>
      <c r="AQ53" s="337" t="s">
        <v>575</v>
      </c>
      <c r="AR53" s="337" t="s">
        <v>611</v>
      </c>
      <c r="AS53" s="337" t="s">
        <v>570</v>
      </c>
      <c r="AT53" s="337" t="s">
        <v>612</v>
      </c>
      <c r="AU53" s="298" t="s">
        <v>483</v>
      </c>
    </row>
    <row r="54" spans="1:47" x14ac:dyDescent="0.3">
      <c r="A54" s="240">
        <f>A46</f>
        <v>0.08</v>
      </c>
      <c r="B54" s="241">
        <f>$G$54*Table7597[[#Headers],[20.0%]]</f>
        <v>2265.6153600000007</v>
      </c>
      <c r="C54" s="241">
        <f>$G$54*Table7597[[#Headers],[25.0%]]</f>
        <v>2832.0192000000006</v>
      </c>
      <c r="D54" s="241">
        <f>$G$54*Table7597[[#Headers],[30.0%]]</f>
        <v>3398.4230400000006</v>
      </c>
      <c r="E54" s="241">
        <f>$G$54*Table7597[[#Headers],[34.2%]]</f>
        <v>3874.2022656000013</v>
      </c>
      <c r="F54" s="241">
        <f>$G$54*Table7597[[#Headers],[40.0%]]</f>
        <v>4531.2307200000014</v>
      </c>
      <c r="G54" s="275">
        <f>G19*(1+Table7597[[#This Row],[Growth]])</f>
        <v>11328.076800000003</v>
      </c>
      <c r="I54" s="246">
        <f>I46</f>
        <v>0.06</v>
      </c>
      <c r="J54" s="247">
        <f>$O$54*J53</f>
        <v>11031.309743040001</v>
      </c>
      <c r="K54" s="247">
        <f t="shared" ref="K54:N54" si="169">$O$54*K53</f>
        <v>13482.711908160003</v>
      </c>
      <c r="L54" s="247">
        <f t="shared" si="169"/>
        <v>15934.114073280003</v>
      </c>
      <c r="M54" s="247">
        <f t="shared" si="169"/>
        <v>19366.077104448003</v>
      </c>
      <c r="N54" s="247">
        <f t="shared" si="169"/>
        <v>20836.918403520005</v>
      </c>
      <c r="O54" s="296">
        <f>O19*(1+I54)</f>
        <v>61285.054128000011</v>
      </c>
      <c r="Q54" s="300">
        <f>Q46</f>
        <v>7.0000000000000007E-2</v>
      </c>
      <c r="R54" s="301">
        <f>$W$54*R53</f>
        <v>2918.1737854000003</v>
      </c>
      <c r="S54" s="301">
        <f t="shared" ref="S54:V54" si="170">$W$54*S53</f>
        <v>3501.8085424800001</v>
      </c>
      <c r="T54" s="301">
        <f t="shared" si="170"/>
        <v>4083.9842126673002</v>
      </c>
      <c r="U54" s="301">
        <f t="shared" si="170"/>
        <v>4669.0780566400008</v>
      </c>
      <c r="V54" s="301">
        <f t="shared" si="170"/>
        <v>5252.7128137200007</v>
      </c>
      <c r="W54" s="296">
        <f>W19*(1+Q54)</f>
        <v>14590.868927000001</v>
      </c>
      <c r="Y54" s="300">
        <f>Y46</f>
        <v>7.0000000000000007E-2</v>
      </c>
      <c r="Z54" s="301">
        <f>$AE$54*Z53</f>
        <v>8112.3629748000021</v>
      </c>
      <c r="AA54" s="301">
        <f t="shared" ref="AA54:AD54" si="171">$AE$54*AA53</f>
        <v>9657.5749700000033</v>
      </c>
      <c r="AB54" s="301">
        <f t="shared" si="171"/>
        <v>11125.526365440002</v>
      </c>
      <c r="AC54" s="301">
        <f t="shared" si="171"/>
        <v>12747.998960400006</v>
      </c>
      <c r="AD54" s="301">
        <f t="shared" si="171"/>
        <v>14293.210955600005</v>
      </c>
      <c r="AE54" s="296">
        <f>AE19*(1+Y54)</f>
        <v>38630.299880000013</v>
      </c>
      <c r="AG54" s="246">
        <f>AG46</f>
        <v>0.02</v>
      </c>
      <c r="AH54" s="251">
        <f>$AM$54*AH53</f>
        <v>3301.5262896000004</v>
      </c>
      <c r="AI54" s="251">
        <f t="shared" ref="AI54:AL54" si="172">$AM$54*AI53</f>
        <v>3541.6372924799998</v>
      </c>
      <c r="AJ54" s="251">
        <f t="shared" si="172"/>
        <v>3775.7455202880001</v>
      </c>
      <c r="AK54" s="251">
        <f t="shared" si="172"/>
        <v>4021.8592982400005</v>
      </c>
      <c r="AL54" s="251">
        <f t="shared" si="172"/>
        <v>4261.9703011199999</v>
      </c>
      <c r="AM54" s="323">
        <f>AM19*(1+AG54)</f>
        <v>12005.550144000001</v>
      </c>
      <c r="AO54" s="341">
        <f>AO46</f>
        <v>0.04</v>
      </c>
      <c r="AP54" s="342">
        <f>$AU$54*Table194[[#Headers],[24.0%]]</f>
        <v>7374.6490521600008</v>
      </c>
      <c r="AQ54" s="342">
        <f>$AU$54*Table194[[#Headers],[26.0%]]</f>
        <v>7989.2031398400013</v>
      </c>
      <c r="AR54" s="342">
        <f>$AU$54*Table194[[#Headers],[28.1%]]</f>
        <v>8634.4849319040022</v>
      </c>
      <c r="AS54" s="342">
        <f>$AU$54*Table194[[#Headers],[30.0%]]</f>
        <v>9218.3113152000005</v>
      </c>
      <c r="AT54" s="342">
        <f>$AU$54*Table194[[#Headers],[32.0%]]</f>
        <v>9832.8654028800011</v>
      </c>
      <c r="AU54" s="344">
        <f>AU19*(1+Table194[[#This Row],[Growth]])</f>
        <v>30727.704384000004</v>
      </c>
    </row>
    <row r="55" spans="1:47" x14ac:dyDescent="0.3">
      <c r="A55" s="240">
        <f t="shared" ref="A55:A58" si="173">A47</f>
        <v>9.6600000000000005E-2</v>
      </c>
      <c r="B55" s="241">
        <f>$G$55*Table7597[[#Headers],[20.0%]]</f>
        <v>2335.7973021440002</v>
      </c>
      <c r="C55" s="241">
        <f>$G$55*Table7597[[#Headers],[25.0%]]</f>
        <v>2919.7466276800001</v>
      </c>
      <c r="D55" s="241">
        <f>$G$55*Table7597[[#Headers],[30.0%]]</f>
        <v>3503.6959532159999</v>
      </c>
      <c r="E55" s="241">
        <f>$G$55*Table7597[[#Headers],[34.2%]]</f>
        <v>3994.2133866662402</v>
      </c>
      <c r="F55" s="241">
        <f>$G$55*Table7597[[#Headers],[40.0%]]</f>
        <v>4671.5946042880005</v>
      </c>
      <c r="G55" s="275">
        <f>G20*(1+Table7597[[#This Row],[Growth]])</f>
        <v>11678.98651072</v>
      </c>
      <c r="I55" s="246">
        <f t="shared" ref="I55:I58" si="174">I47</f>
        <v>8.48E-2</v>
      </c>
      <c r="J55" s="241">
        <f>$O$55*J53</f>
        <v>11553.530139795457</v>
      </c>
      <c r="K55" s="241">
        <f t="shared" ref="K55:N55" si="175">$O$55*K53</f>
        <v>14120.981281972226</v>
      </c>
      <c r="L55" s="241">
        <f t="shared" si="175"/>
        <v>16688.432424148996</v>
      </c>
      <c r="M55" s="241">
        <f t="shared" si="175"/>
        <v>20282.864023196471</v>
      </c>
      <c r="N55" s="241">
        <f t="shared" si="175"/>
        <v>21823.334708502531</v>
      </c>
      <c r="O55" s="296">
        <f t="shared" ref="O55:O58" si="176">O20*(1+I55)</f>
        <v>64186.278554419208</v>
      </c>
      <c r="Q55" s="300">
        <f t="shared" ref="Q55:Q58" si="177">Q47</f>
        <v>0.1</v>
      </c>
      <c r="R55" s="241">
        <f>$W$55*R53</f>
        <v>3084.1036600000007</v>
      </c>
      <c r="S55" s="241">
        <f t="shared" ref="S55:V55" si="178">$W$55*S53</f>
        <v>3700.9243920000004</v>
      </c>
      <c r="T55" s="241">
        <f t="shared" si="178"/>
        <v>4316.2030721700003</v>
      </c>
      <c r="U55" s="241">
        <f t="shared" si="178"/>
        <v>4934.5658560000002</v>
      </c>
      <c r="V55" s="241">
        <f t="shared" si="178"/>
        <v>5551.3865880000003</v>
      </c>
      <c r="W55" s="296">
        <f t="shared" ref="W55:W58" si="179">W20*(1+Q55)</f>
        <v>15420.518300000002</v>
      </c>
      <c r="Y55" s="300">
        <f t="shared" ref="Y55:Y58" si="180">Y47</f>
        <v>0.09</v>
      </c>
      <c r="Z55" s="241">
        <f>$AE$55*Z53</f>
        <v>8418.4631412000017</v>
      </c>
      <c r="AA55" s="241">
        <f t="shared" ref="AA55:AD55" si="181">$AE$55*AA53</f>
        <v>10021.979930000003</v>
      </c>
      <c r="AB55" s="241">
        <f t="shared" si="181"/>
        <v>11545.320879360002</v>
      </c>
      <c r="AC55" s="241">
        <f t="shared" si="181"/>
        <v>13229.013507600004</v>
      </c>
      <c r="AD55" s="241">
        <f t="shared" si="181"/>
        <v>14832.530296400004</v>
      </c>
      <c r="AE55" s="296">
        <f t="shared" ref="AE55:AE58" si="182">AE20*(1+Y55)</f>
        <v>40087.919720000013</v>
      </c>
      <c r="AG55" s="246">
        <f t="shared" ref="AG55:AG58" si="183">AG47</f>
        <v>0.04</v>
      </c>
      <c r="AH55" s="241">
        <f>$AM$55*AH53</f>
        <v>3432.2672384000007</v>
      </c>
      <c r="AI55" s="241">
        <f t="shared" ref="AI55:AL55" si="184">$AM$55*AI53</f>
        <v>3681.8866739200002</v>
      </c>
      <c r="AJ55" s="241">
        <f t="shared" si="184"/>
        <v>3925.2656235520008</v>
      </c>
      <c r="AK55" s="241">
        <f t="shared" si="184"/>
        <v>4181.1255449600012</v>
      </c>
      <c r="AL55" s="241">
        <f t="shared" si="184"/>
        <v>4430.7449804800008</v>
      </c>
      <c r="AM55" s="323">
        <f t="shared" ref="AM55:AM58" si="185">AM20*(1+AG55)</f>
        <v>12480.971776000002</v>
      </c>
      <c r="AO55" s="341">
        <f t="shared" ref="AO55:AO58" si="186">AO47</f>
        <v>0.06</v>
      </c>
      <c r="AP55" s="162">
        <f>$AU$55*Table194[[#Headers],[24.0%]]</f>
        <v>7661.016711360001</v>
      </c>
      <c r="AQ55" s="162">
        <f>$AU$55*Table194[[#Headers],[26.0%]]</f>
        <v>8299.4347706400022</v>
      </c>
      <c r="AR55" s="162">
        <f>$AU$55*Table194[[#Headers],[28.1%]]</f>
        <v>8969.7737328840012</v>
      </c>
      <c r="AS55" s="162">
        <f>$AU$55*Table194[[#Headers],[30.0%]]</f>
        <v>9576.270889200001</v>
      </c>
      <c r="AT55" s="162">
        <f>$AU$55*Table194[[#Headers],[32.0%]]</f>
        <v>10214.688948480001</v>
      </c>
      <c r="AU55" s="344">
        <f>AU20*(1+Table194[[#This Row],[Growth]])</f>
        <v>31920.902964000004</v>
      </c>
    </row>
    <row r="56" spans="1:47" x14ac:dyDescent="0.3">
      <c r="A56" s="240">
        <f t="shared" si="173"/>
        <v>0.12</v>
      </c>
      <c r="B56" s="241">
        <f>$G$56*Table7597[[#Headers],[20.0%]]</f>
        <v>2436.5465600000002</v>
      </c>
      <c r="C56" s="241">
        <f>$G$56*Table7597[[#Headers],[25.0%]]</f>
        <v>3045.6832000000004</v>
      </c>
      <c r="D56" s="241">
        <f>$G$56*Table7597[[#Headers],[30.0%]]</f>
        <v>3654.8198400000006</v>
      </c>
      <c r="E56" s="241">
        <f>$G$56*Table7597[[#Headers],[34.2%]]</f>
        <v>4166.4946176000012</v>
      </c>
      <c r="F56" s="241">
        <f>$G$56*Table7597[[#Headers],[40.0%]]</f>
        <v>4873.0931200000005</v>
      </c>
      <c r="G56" s="275">
        <f>G21*(1+Table7597[[#This Row],[Growth]])</f>
        <v>12182.732800000002</v>
      </c>
      <c r="I56" s="246">
        <f t="shared" si="174"/>
        <v>0.11</v>
      </c>
      <c r="J56" s="247">
        <f>$O$56*J53</f>
        <v>12096.543907440002</v>
      </c>
      <c r="K56" s="247">
        <f t="shared" ref="K56:N56" si="187">$O$56*K53</f>
        <v>14784.664775760004</v>
      </c>
      <c r="L56" s="247">
        <f t="shared" si="187"/>
        <v>17472.785644080006</v>
      </c>
      <c r="M56" s="247">
        <f t="shared" si="187"/>
        <v>21236.154859728005</v>
      </c>
      <c r="N56" s="247">
        <f t="shared" si="187"/>
        <v>22849.027380720006</v>
      </c>
      <c r="O56" s="296">
        <f t="shared" si="176"/>
        <v>67203.021708000015</v>
      </c>
      <c r="Q56" s="300">
        <f t="shared" si="177"/>
        <v>0.12970000000000001</v>
      </c>
      <c r="R56" s="247">
        <f>$W$56*R53</f>
        <v>3252.8935692081395</v>
      </c>
      <c r="S56" s="247">
        <f t="shared" ref="S56:V56" si="188">$W$56*S53</f>
        <v>3903.4722830497667</v>
      </c>
      <c r="T56" s="247">
        <f t="shared" si="188"/>
        <v>4552.4245501067908</v>
      </c>
      <c r="U56" s="247">
        <f t="shared" si="188"/>
        <v>5204.6297107330229</v>
      </c>
      <c r="V56" s="247">
        <f t="shared" si="188"/>
        <v>5855.2084245746501</v>
      </c>
      <c r="W56" s="296">
        <f t="shared" si="179"/>
        <v>16264.467846040696</v>
      </c>
      <c r="Y56" s="300">
        <f t="shared" si="180"/>
        <v>0.109</v>
      </c>
      <c r="Z56" s="247">
        <f>$AE$56*Z53</f>
        <v>8714.5087674120005</v>
      </c>
      <c r="AA56" s="247">
        <f t="shared" ref="AA56:AD56" si="189">$AE$56*AA53</f>
        <v>10374.415199300001</v>
      </c>
      <c r="AB56" s="247">
        <f t="shared" si="189"/>
        <v>11951.3263095936</v>
      </c>
      <c r="AC56" s="247">
        <f t="shared" si="189"/>
        <v>13694.228063076003</v>
      </c>
      <c r="AD56" s="247">
        <f t="shared" si="189"/>
        <v>15354.134494964002</v>
      </c>
      <c r="AE56" s="296">
        <f t="shared" si="182"/>
        <v>41497.660797200006</v>
      </c>
      <c r="AG56" s="246">
        <f t="shared" si="183"/>
        <v>6.1600000000000002E-2</v>
      </c>
      <c r="AH56" s="251">
        <f>$AM$56*AH53</f>
        <v>3576.3188851174409</v>
      </c>
      <c r="AI56" s="251">
        <f t="shared" ref="AI56:AL56" si="190">$AM$56*AI53</f>
        <v>3836.4148040350724</v>
      </c>
      <c r="AJ56" s="251">
        <f t="shared" si="190"/>
        <v>4090.008324979764</v>
      </c>
      <c r="AK56" s="251">
        <f t="shared" si="190"/>
        <v>4356.6066418703367</v>
      </c>
      <c r="AL56" s="251">
        <f t="shared" si="190"/>
        <v>4616.7025607879687</v>
      </c>
      <c r="AM56" s="323">
        <f t="shared" si="185"/>
        <v>13004.795945881602</v>
      </c>
      <c r="AO56" s="341">
        <f t="shared" si="186"/>
        <v>8.43E-2</v>
      </c>
      <c r="AP56" s="323">
        <f>$AU$56*Table194[[#Headers],[24.0%]]</f>
        <v>8016.2932249416253</v>
      </c>
      <c r="AQ56" s="323">
        <f>$AU$56*Table194[[#Headers],[26.0%]]</f>
        <v>8684.3176603534284</v>
      </c>
      <c r="AR56" s="323">
        <f>$AU$56*Table194[[#Headers],[28.1%]]</f>
        <v>9385.7433175358201</v>
      </c>
      <c r="AS56" s="323">
        <f>$AU$56*Table194[[#Headers],[30.0%]]</f>
        <v>10020.366531177031</v>
      </c>
      <c r="AT56" s="323">
        <f>$AU$56*Table194[[#Headers],[32.0%]]</f>
        <v>10688.390966588833</v>
      </c>
      <c r="AU56" s="344">
        <f>AU21*(1+Table194[[#This Row],[Growth]])</f>
        <v>33401.221770590106</v>
      </c>
    </row>
    <row r="57" spans="1:47" x14ac:dyDescent="0.3">
      <c r="A57" s="240">
        <f t="shared" si="173"/>
        <v>0.14000000000000001</v>
      </c>
      <c r="B57" s="241">
        <f>$G$57*Table7597[[#Headers],[20.0%]]</f>
        <v>2524.3430400000011</v>
      </c>
      <c r="C57" s="241">
        <f>$G$57*Table7597[[#Headers],[25.0%]]</f>
        <v>3155.428800000001</v>
      </c>
      <c r="D57" s="241">
        <f>$G$57*Table7597[[#Headers],[30.0%]]</f>
        <v>3786.514560000001</v>
      </c>
      <c r="E57" s="241">
        <f>$G$57*Table7597[[#Headers],[34.2%]]</f>
        <v>4316.626598400002</v>
      </c>
      <c r="F57" s="241">
        <f>$G$57*Table7597[[#Headers],[40.0%]]</f>
        <v>5048.6860800000022</v>
      </c>
      <c r="G57" s="275">
        <f>G22*(1+Table7597[[#This Row],[Growth]])</f>
        <v>12621.715200000004</v>
      </c>
      <c r="I57" s="246">
        <f t="shared" si="174"/>
        <v>0.13500000000000001</v>
      </c>
      <c r="J57" s="241">
        <f>$O$57*J53</f>
        <v>12647.56941414</v>
      </c>
      <c r="K57" s="241">
        <f t="shared" ref="K57:N57" si="191">$O$57*K53</f>
        <v>15458.14039506</v>
      </c>
      <c r="L57" s="241">
        <f t="shared" si="191"/>
        <v>18268.711375980001</v>
      </c>
      <c r="M57" s="241">
        <f t="shared" si="191"/>
        <v>22203.510749268</v>
      </c>
      <c r="N57" s="241">
        <f t="shared" si="191"/>
        <v>23889.853337820001</v>
      </c>
      <c r="O57" s="296">
        <f t="shared" si="176"/>
        <v>70264.274523</v>
      </c>
      <c r="Q57" s="300">
        <f t="shared" si="177"/>
        <v>0.16</v>
      </c>
      <c r="R57" s="241">
        <f>$W$57*R53</f>
        <v>3429.7271775999998</v>
      </c>
      <c r="S57" s="241">
        <f t="shared" ref="S57:V57" si="192">$W$57*S53</f>
        <v>4115.6726131199994</v>
      </c>
      <c r="T57" s="241">
        <f t="shared" si="192"/>
        <v>4799.9031850511992</v>
      </c>
      <c r="U57" s="241">
        <f t="shared" si="192"/>
        <v>5487.5634841599995</v>
      </c>
      <c r="V57" s="241">
        <f t="shared" si="192"/>
        <v>6173.5089196799991</v>
      </c>
      <c r="W57" s="296">
        <f t="shared" si="179"/>
        <v>17148.635887999997</v>
      </c>
      <c r="Y57" s="300">
        <f t="shared" si="180"/>
        <v>0.13</v>
      </c>
      <c r="Z57" s="241">
        <f>$AE$57*Z53</f>
        <v>9047.6690387999988</v>
      </c>
      <c r="AA57" s="241">
        <f t="shared" ref="AA57:AD57" si="193">$AE$57*AA53</f>
        <v>10771.03457</v>
      </c>
      <c r="AB57" s="241">
        <f t="shared" si="193"/>
        <v>12408.231824639999</v>
      </c>
      <c r="AC57" s="241">
        <f t="shared" si="193"/>
        <v>14217.7656324</v>
      </c>
      <c r="AD57" s="241">
        <f t="shared" si="193"/>
        <v>15941.131163599999</v>
      </c>
      <c r="AE57" s="296">
        <f t="shared" si="182"/>
        <v>43084.138279999999</v>
      </c>
      <c r="AG57" s="246">
        <f t="shared" si="183"/>
        <v>0.08</v>
      </c>
      <c r="AH57" s="241">
        <f>$AM$57*AH53</f>
        <v>3701.3651136000012</v>
      </c>
      <c r="AI57" s="241">
        <f t="shared" ref="AI57:AL57" si="194">$AM$57*AI53</f>
        <v>3970.5553036800006</v>
      </c>
      <c r="AJ57" s="241">
        <f t="shared" si="194"/>
        <v>4233.0157390080012</v>
      </c>
      <c r="AK57" s="241">
        <f t="shared" si="194"/>
        <v>4508.9356838400017</v>
      </c>
      <c r="AL57" s="241">
        <f t="shared" si="194"/>
        <v>4778.1258739200011</v>
      </c>
      <c r="AM57" s="323">
        <f t="shared" si="185"/>
        <v>13459.509504000003</v>
      </c>
      <c r="AO57" s="341">
        <f t="shared" si="186"/>
        <v>0.1</v>
      </c>
      <c r="AP57" s="162">
        <f>$AU$57*Table194[[#Headers],[24.0%]]</f>
        <v>8250.115896000003</v>
      </c>
      <c r="AQ57" s="162">
        <f>$AU$57*Table194[[#Headers],[26.0%]]</f>
        <v>8937.625554000002</v>
      </c>
      <c r="AR57" s="162">
        <f>$AU$57*Table194[[#Headers],[28.1%]]</f>
        <v>9659.5106949000037</v>
      </c>
      <c r="AS57" s="162">
        <f>$AU$57*Table194[[#Headers],[30.0%]]</f>
        <v>10312.644870000002</v>
      </c>
      <c r="AT57" s="162">
        <f>$AU$57*Table194[[#Headers],[32.0%]]</f>
        <v>11000.154528000003</v>
      </c>
      <c r="AU57" s="344">
        <f>AU22*(1+Table194[[#This Row],[Growth]])</f>
        <v>34375.48290000001</v>
      </c>
    </row>
    <row r="58" spans="1:47" x14ac:dyDescent="0.3">
      <c r="A58" s="240">
        <f t="shared" si="173"/>
        <v>0.16</v>
      </c>
      <c r="B58" s="241">
        <f>$G$58*Table7597[[#Headers],[20.0%]]</f>
        <v>2613.69344</v>
      </c>
      <c r="C58" s="241">
        <f>$G$58*Table7597[[#Headers],[25.0%]]</f>
        <v>3267.1167999999998</v>
      </c>
      <c r="D58" s="241">
        <f>$G$58*Table7597[[#Headers],[30.0%]]</f>
        <v>3920.5401599999996</v>
      </c>
      <c r="E58" s="241">
        <f>$G$58*Table7597[[#Headers],[34.2%]]</f>
        <v>4469.4157824000004</v>
      </c>
      <c r="F58" s="241">
        <f>$G$58*Table7597[[#Headers],[40.0%]]</f>
        <v>5227.38688</v>
      </c>
      <c r="G58" s="275">
        <f>G23*(1+Table7597[[#This Row],[Growth]])</f>
        <v>13068.467199999999</v>
      </c>
      <c r="I58" s="246">
        <f t="shared" si="174"/>
        <v>0.16</v>
      </c>
      <c r="J58" s="247">
        <f>$O$58*J53</f>
        <v>13210.867203839998</v>
      </c>
      <c r="K58" s="247">
        <f t="shared" ref="K58:N58" si="195">$O$58*K53</f>
        <v>16146.615471359999</v>
      </c>
      <c r="L58" s="247">
        <f t="shared" si="195"/>
        <v>19082.363738879998</v>
      </c>
      <c r="M58" s="247">
        <f t="shared" si="195"/>
        <v>23192.411313407996</v>
      </c>
      <c r="N58" s="247">
        <f t="shared" si="195"/>
        <v>24953.86027392</v>
      </c>
      <c r="O58" s="296">
        <f t="shared" si="176"/>
        <v>73393.706687999991</v>
      </c>
      <c r="Q58" s="300">
        <f t="shared" si="177"/>
        <v>0.19</v>
      </c>
      <c r="R58" s="247">
        <f>$W$58*R53</f>
        <v>3609.4208205999998</v>
      </c>
      <c r="S58" s="247">
        <f t="shared" ref="S58:V58" si="196">$W$58*S53</f>
        <v>4331.3049847199991</v>
      </c>
      <c r="T58" s="247">
        <f t="shared" si="196"/>
        <v>5051.384438429699</v>
      </c>
      <c r="U58" s="247">
        <f t="shared" si="196"/>
        <v>5775.0733129599994</v>
      </c>
      <c r="V58" s="247">
        <f t="shared" si="196"/>
        <v>6496.9574770799991</v>
      </c>
      <c r="W58" s="296">
        <f t="shared" si="179"/>
        <v>18047.104102999998</v>
      </c>
      <c r="Y58" s="300">
        <f t="shared" si="180"/>
        <v>0.15</v>
      </c>
      <c r="Z58" s="247">
        <f>$AE$58*Z53</f>
        <v>9370.77477</v>
      </c>
      <c r="AA58" s="247">
        <f t="shared" ref="AA58:AD58" si="197">$AE$58*AA53</f>
        <v>11155.68425</v>
      </c>
      <c r="AB58" s="247">
        <f t="shared" si="197"/>
        <v>12851.348255999999</v>
      </c>
      <c r="AC58" s="247">
        <f t="shared" si="197"/>
        <v>14725.503210000001</v>
      </c>
      <c r="AD58" s="247">
        <f t="shared" si="197"/>
        <v>16510.412690000001</v>
      </c>
      <c r="AE58" s="296">
        <f t="shared" si="182"/>
        <v>44622.737000000001</v>
      </c>
      <c r="AG58" s="246">
        <f t="shared" si="183"/>
        <v>0.1</v>
      </c>
      <c r="AH58" s="251">
        <f>$AM$58*AH53</f>
        <v>3839.722040000001</v>
      </c>
      <c r="AI58" s="251">
        <f t="shared" ref="AI58:AL58" si="198">$AM$58*AI53</f>
        <v>4118.9745520000006</v>
      </c>
      <c r="AJ58" s="251">
        <f t="shared" si="198"/>
        <v>4391.245751200001</v>
      </c>
      <c r="AK58" s="251">
        <f t="shared" si="198"/>
        <v>4677.4795760000015</v>
      </c>
      <c r="AL58" s="251">
        <f t="shared" si="198"/>
        <v>4956.7320880000007</v>
      </c>
      <c r="AM58" s="323">
        <f t="shared" si="185"/>
        <v>13962.625600000003</v>
      </c>
      <c r="AO58" s="341">
        <f t="shared" si="186"/>
        <v>0.12</v>
      </c>
      <c r="AP58" s="340">
        <f>$AU$58*Table194[[#Headers],[24.0%]]</f>
        <v>8552.8474214400012</v>
      </c>
      <c r="AQ58" s="340">
        <f>$AU$58*Table194[[#Headers],[26.0%]]</f>
        <v>9265.5847065600028</v>
      </c>
      <c r="AR58" s="340">
        <f>$AU$58*Table194[[#Headers],[28.1%]]</f>
        <v>10013.958855936004</v>
      </c>
      <c r="AS58" s="340">
        <f>$AU$58*Table194[[#Headers],[30.0%]]</f>
        <v>10691.059276800002</v>
      </c>
      <c r="AT58" s="340">
        <f>$AU$58*Table194[[#Headers],[32.0%]]</f>
        <v>11403.796561920002</v>
      </c>
      <c r="AU58" s="344">
        <f>AU23*(1+Table194[[#This Row],[Growth]])</f>
        <v>35636.864256000008</v>
      </c>
    </row>
    <row r="59" spans="1:47" x14ac:dyDescent="0.3">
      <c r="A59" s="238"/>
      <c r="I59" s="1"/>
      <c r="Q59" s="1"/>
    </row>
    <row r="60" spans="1:47" ht="18" x14ac:dyDescent="0.3">
      <c r="A60" s="408" t="s">
        <v>529</v>
      </c>
      <c r="B60" s="408"/>
      <c r="C60" s="408"/>
      <c r="D60" s="408"/>
      <c r="E60" s="408"/>
      <c r="F60" s="255" t="e" vm="4">
        <v>#VALUE!</v>
      </c>
      <c r="I60" s="409" t="s">
        <v>529</v>
      </c>
      <c r="J60" s="410"/>
      <c r="K60" s="410"/>
      <c r="L60" s="410"/>
      <c r="M60" s="411"/>
      <c r="N60" s="250" t="e" vm="6">
        <v>#VALUE!</v>
      </c>
      <c r="O60" s="49"/>
      <c r="Q60" s="401" t="s">
        <v>529</v>
      </c>
      <c r="R60" s="402"/>
      <c r="S60" s="402"/>
      <c r="T60" s="402"/>
      <c r="U60" s="412"/>
      <c r="V60" s="250" t="e" vm="5">
        <v>#VALUE!</v>
      </c>
      <c r="W60" s="49"/>
      <c r="Y60" s="403" t="s">
        <v>529</v>
      </c>
      <c r="Z60" s="404"/>
      <c r="AA60" s="404"/>
      <c r="AB60" s="404"/>
      <c r="AC60" s="413"/>
      <c r="AD60" s="250" t="e" vm="3">
        <v>#VALUE!</v>
      </c>
      <c r="AE60" s="49"/>
      <c r="AG60" s="414" t="s">
        <v>529</v>
      </c>
      <c r="AH60" s="415"/>
      <c r="AI60" s="415"/>
      <c r="AJ60" s="415"/>
      <c r="AK60" s="416"/>
      <c r="AL60" s="250" t="e" vm="1">
        <v>#VALUE!</v>
      </c>
      <c r="AM60" s="49"/>
      <c r="AO60" s="387" t="s">
        <v>529</v>
      </c>
      <c r="AP60" s="387"/>
      <c r="AQ60" s="387"/>
      <c r="AR60" s="387"/>
      <c r="AS60" s="387"/>
      <c r="AT60" s="250" t="e" vm="2">
        <v>#VALUE!</v>
      </c>
    </row>
    <row r="61" spans="1:47" x14ac:dyDescent="0.3">
      <c r="A61" s="242" t="s">
        <v>578</v>
      </c>
      <c r="B61" s="256" t="s">
        <v>579</v>
      </c>
      <c r="C61" s="256" t="s">
        <v>580</v>
      </c>
      <c r="D61" s="256" t="s">
        <v>581</v>
      </c>
      <c r="E61" s="256" t="s">
        <v>582</v>
      </c>
      <c r="F61" s="256" t="s">
        <v>583</v>
      </c>
      <c r="G61" s="278"/>
      <c r="I61" s="108" t="s">
        <v>578</v>
      </c>
      <c r="J61" s="239" t="s">
        <v>573</v>
      </c>
      <c r="K61" s="239" t="s">
        <v>574</v>
      </c>
      <c r="L61" s="239" t="s">
        <v>575</v>
      </c>
      <c r="M61" s="239" t="s">
        <v>576</v>
      </c>
      <c r="N61" s="239" t="s">
        <v>577</v>
      </c>
      <c r="O61" s="239"/>
      <c r="P61" s="108"/>
      <c r="Q61" s="259" t="s">
        <v>578</v>
      </c>
      <c r="R61" s="263" t="s">
        <v>568</v>
      </c>
      <c r="S61" s="261" t="s">
        <v>584</v>
      </c>
      <c r="T61" s="261" t="s">
        <v>585</v>
      </c>
      <c r="U61" s="261" t="s">
        <v>586</v>
      </c>
      <c r="V61" s="262" t="s">
        <v>587</v>
      </c>
      <c r="W61" s="279"/>
      <c r="X61" s="252"/>
      <c r="Y61" s="264" t="s">
        <v>578</v>
      </c>
      <c r="Z61" s="265" t="s">
        <v>588</v>
      </c>
      <c r="AA61" s="265" t="s">
        <v>580</v>
      </c>
      <c r="AB61" s="265" t="s">
        <v>589</v>
      </c>
      <c r="AC61" s="265" t="s">
        <v>590</v>
      </c>
      <c r="AD61" s="266" t="s">
        <v>591</v>
      </c>
      <c r="AE61" s="319"/>
      <c r="AF61" s="252"/>
      <c r="AG61" s="267" t="s">
        <v>578</v>
      </c>
      <c r="AH61" s="267" t="s">
        <v>585</v>
      </c>
      <c r="AI61" s="267" t="s">
        <v>581</v>
      </c>
      <c r="AJ61" s="267" t="s">
        <v>586</v>
      </c>
      <c r="AK61" s="267" t="s">
        <v>582</v>
      </c>
      <c r="AL61" s="267" t="s">
        <v>587</v>
      </c>
      <c r="AM61" s="325"/>
      <c r="AN61" s="252"/>
      <c r="AO61" s="268" t="s">
        <v>578</v>
      </c>
      <c r="AP61" s="268" t="s">
        <v>584</v>
      </c>
      <c r="AQ61" s="268" t="s">
        <v>592</v>
      </c>
      <c r="AR61" s="268" t="s">
        <v>585</v>
      </c>
      <c r="AS61" s="268" t="s">
        <v>581</v>
      </c>
      <c r="AT61" s="268" t="s">
        <v>586</v>
      </c>
    </row>
    <row r="62" spans="1:47" x14ac:dyDescent="0.3">
      <c r="A62" s="257">
        <v>0.25</v>
      </c>
      <c r="B62" s="258">
        <f>B54*(1-$A$62)</f>
        <v>1699.2115200000005</v>
      </c>
      <c r="C62" s="258">
        <f t="shared" ref="C62:F62" si="199">C54*(1-$A$62)</f>
        <v>2124.0144000000005</v>
      </c>
      <c r="D62" s="258">
        <f t="shared" si="199"/>
        <v>2548.8172800000002</v>
      </c>
      <c r="E62" s="258">
        <f t="shared" si="199"/>
        <v>2905.6516992000011</v>
      </c>
      <c r="F62" s="258">
        <f t="shared" si="199"/>
        <v>3398.423040000001</v>
      </c>
      <c r="G62" s="83"/>
      <c r="I62" s="257">
        <v>0.25</v>
      </c>
      <c r="J62" s="258">
        <f>J54*(1-$I$62)</f>
        <v>8273.4823072800009</v>
      </c>
      <c r="K62" s="258">
        <f t="shared" ref="K62:N62" si="200">K54*(1-$I$62)</f>
        <v>10112.033931120002</v>
      </c>
      <c r="L62" s="258">
        <f t="shared" si="200"/>
        <v>11950.585554960002</v>
      </c>
      <c r="M62" s="258">
        <f t="shared" si="200"/>
        <v>14524.557828336001</v>
      </c>
      <c r="N62" s="258">
        <f t="shared" si="200"/>
        <v>15627.688802640005</v>
      </c>
      <c r="O62" s="83"/>
      <c r="Q62" s="257">
        <v>0.25</v>
      </c>
      <c r="R62" s="258">
        <f>R54*(1-$Q$62)</f>
        <v>2188.6303390500002</v>
      </c>
      <c r="S62" s="258">
        <f t="shared" ref="S62:V62" si="201">S54*(1-$Q$62)</f>
        <v>2626.3564068599999</v>
      </c>
      <c r="T62" s="258">
        <f t="shared" si="201"/>
        <v>3062.9881595004754</v>
      </c>
      <c r="U62" s="258">
        <f t="shared" si="201"/>
        <v>3501.8085424800006</v>
      </c>
      <c r="V62" s="258">
        <f t="shared" si="201"/>
        <v>3939.5346102900003</v>
      </c>
      <c r="W62" s="83"/>
      <c r="Y62" s="240">
        <v>0.25</v>
      </c>
      <c r="Z62" s="258">
        <f>Z54*(1-$Y$62)</f>
        <v>6084.2722311000016</v>
      </c>
      <c r="AA62" s="258">
        <f t="shared" ref="AA62:AD62" si="202">AA54*(1-$Y$62)</f>
        <v>7243.1812275000029</v>
      </c>
      <c r="AB62" s="258">
        <f t="shared" si="202"/>
        <v>8344.1447740800013</v>
      </c>
      <c r="AC62" s="258">
        <f t="shared" si="202"/>
        <v>9560.9992203000038</v>
      </c>
      <c r="AD62" s="258">
        <f t="shared" si="202"/>
        <v>10719.908216700003</v>
      </c>
      <c r="AE62" s="83"/>
      <c r="AG62" s="257">
        <v>0.25</v>
      </c>
      <c r="AH62" s="258">
        <f>AH54*(1-$AG$62)</f>
        <v>2476.1447172000003</v>
      </c>
      <c r="AI62" s="258">
        <f t="shared" ref="AI62:AL62" si="203">AI54*(1-$AG$62)</f>
        <v>2656.2279693599999</v>
      </c>
      <c r="AJ62" s="258">
        <f t="shared" si="203"/>
        <v>2831.8091402159998</v>
      </c>
      <c r="AK62" s="258">
        <f t="shared" si="203"/>
        <v>3016.3944736800004</v>
      </c>
      <c r="AL62" s="258">
        <f t="shared" si="203"/>
        <v>3196.4777258399999</v>
      </c>
      <c r="AM62" s="83"/>
      <c r="AO62" s="257">
        <v>0.25</v>
      </c>
      <c r="AP62" s="258">
        <f>AP54*(1-$AO$62)</f>
        <v>5530.986789120001</v>
      </c>
      <c r="AQ62" s="258">
        <f t="shared" ref="AQ62:AT62" si="204">AQ54*(1-$AO$62)</f>
        <v>5991.9023548800014</v>
      </c>
      <c r="AR62" s="258">
        <f t="shared" si="204"/>
        <v>6475.8636989280021</v>
      </c>
      <c r="AS62" s="258">
        <f t="shared" si="204"/>
        <v>6913.7334864000004</v>
      </c>
      <c r="AT62" s="258">
        <f t="shared" si="204"/>
        <v>7374.6490521600008</v>
      </c>
    </row>
    <row r="63" spans="1:47" x14ac:dyDescent="0.3">
      <c r="A63" s="257"/>
      <c r="B63" s="258">
        <f t="shared" ref="B63:F63" si="205">B55*(1-$A$62)</f>
        <v>1751.8479766080002</v>
      </c>
      <c r="C63" s="258">
        <f t="shared" si="205"/>
        <v>2189.8099707599999</v>
      </c>
      <c r="D63" s="258">
        <f t="shared" si="205"/>
        <v>2627.7719649119999</v>
      </c>
      <c r="E63" s="258">
        <f t="shared" si="205"/>
        <v>2995.6600399996801</v>
      </c>
      <c r="F63" s="258">
        <f t="shared" si="205"/>
        <v>3503.6959532160004</v>
      </c>
      <c r="G63" s="83"/>
      <c r="I63" s="257"/>
      <c r="J63" s="258">
        <f t="shared" ref="J63:N63" si="206">J55*(1-$I$62)</f>
        <v>8665.147604846592</v>
      </c>
      <c r="K63" s="258">
        <f t="shared" si="206"/>
        <v>10590.735961479169</v>
      </c>
      <c r="L63" s="258">
        <f t="shared" si="206"/>
        <v>12516.324318111747</v>
      </c>
      <c r="M63" s="258">
        <f t="shared" si="206"/>
        <v>15212.148017397354</v>
      </c>
      <c r="N63" s="258">
        <f t="shared" si="206"/>
        <v>16367.501031376898</v>
      </c>
      <c r="O63" s="83"/>
      <c r="Q63" s="257"/>
      <c r="R63" s="258">
        <f t="shared" ref="R63:V63" si="207">R55*(1-$Q$62)</f>
        <v>2313.0777450000005</v>
      </c>
      <c r="S63" s="258">
        <f t="shared" si="207"/>
        <v>2775.6932940000002</v>
      </c>
      <c r="T63" s="258">
        <f t="shared" si="207"/>
        <v>3237.1523041275004</v>
      </c>
      <c r="U63" s="258">
        <f t="shared" si="207"/>
        <v>3700.9243919999999</v>
      </c>
      <c r="V63" s="258">
        <f t="shared" si="207"/>
        <v>4163.539941</v>
      </c>
      <c r="W63" s="83"/>
      <c r="Y63" s="240"/>
      <c r="Z63" s="258">
        <f t="shared" ref="Z63:AD63" si="208">Z55*(1-$Y$62)</f>
        <v>6313.8473559000013</v>
      </c>
      <c r="AA63" s="258">
        <f t="shared" si="208"/>
        <v>7516.4849475000028</v>
      </c>
      <c r="AB63" s="258">
        <f t="shared" si="208"/>
        <v>8658.9906595200009</v>
      </c>
      <c r="AC63" s="258">
        <f t="shared" si="208"/>
        <v>9921.7601307000041</v>
      </c>
      <c r="AD63" s="258">
        <f t="shared" si="208"/>
        <v>11124.397722300004</v>
      </c>
      <c r="AE63" s="83"/>
      <c r="AG63" s="257"/>
      <c r="AH63" s="258">
        <f t="shared" ref="AH63:AL63" si="209">AH55*(1-$AG$62)</f>
        <v>2574.2004288000007</v>
      </c>
      <c r="AI63" s="258">
        <f t="shared" si="209"/>
        <v>2761.4150054400002</v>
      </c>
      <c r="AJ63" s="258">
        <f t="shared" si="209"/>
        <v>2943.9492176640006</v>
      </c>
      <c r="AK63" s="258">
        <f t="shared" si="209"/>
        <v>3135.8441587200009</v>
      </c>
      <c r="AL63" s="258">
        <f t="shared" si="209"/>
        <v>3323.0587353600004</v>
      </c>
      <c r="AM63" s="83"/>
      <c r="AO63" s="257"/>
      <c r="AP63" s="258">
        <f t="shared" ref="AP63:AT63" si="210">AP55*(1-$AO$62)</f>
        <v>5745.7625335200009</v>
      </c>
      <c r="AQ63" s="258">
        <f t="shared" si="210"/>
        <v>6224.5760779800021</v>
      </c>
      <c r="AR63" s="258">
        <f t="shared" si="210"/>
        <v>6727.3302996630009</v>
      </c>
      <c r="AS63" s="258">
        <f t="shared" si="210"/>
        <v>7182.2031669000007</v>
      </c>
      <c r="AT63" s="258">
        <f t="shared" si="210"/>
        <v>7661.016711360001</v>
      </c>
    </row>
    <row r="64" spans="1:47" x14ac:dyDescent="0.3">
      <c r="A64" s="257"/>
      <c r="B64" s="258">
        <f t="shared" ref="B64:F64" si="211">B56*(1-$A$62)</f>
        <v>1827.4099200000001</v>
      </c>
      <c r="C64" s="258">
        <f t="shared" si="211"/>
        <v>2284.2624000000005</v>
      </c>
      <c r="D64" s="258">
        <f t="shared" si="211"/>
        <v>2741.1148800000005</v>
      </c>
      <c r="E64" s="258">
        <f t="shared" si="211"/>
        <v>3124.8709632000009</v>
      </c>
      <c r="F64" s="258">
        <f t="shared" si="211"/>
        <v>3654.8198400000001</v>
      </c>
      <c r="G64" s="83"/>
      <c r="I64" s="257"/>
      <c r="J64" s="258">
        <f t="shared" ref="J64:N64" si="212">J56*(1-$I$62)</f>
        <v>9072.4079305800005</v>
      </c>
      <c r="K64" s="258">
        <f t="shared" si="212"/>
        <v>11088.498581820004</v>
      </c>
      <c r="L64" s="258">
        <f t="shared" si="212"/>
        <v>13104.589233060004</v>
      </c>
      <c r="M64" s="258">
        <f t="shared" si="212"/>
        <v>15927.116144796004</v>
      </c>
      <c r="N64" s="258">
        <f t="shared" si="212"/>
        <v>17136.770535540003</v>
      </c>
      <c r="O64" s="83"/>
      <c r="Q64" s="257"/>
      <c r="R64" s="258">
        <f t="shared" ref="R64:V64" si="213">R56*(1-$Q$62)</f>
        <v>2439.6701769061046</v>
      </c>
      <c r="S64" s="258">
        <f t="shared" si="213"/>
        <v>2927.604212287325</v>
      </c>
      <c r="T64" s="258">
        <f t="shared" si="213"/>
        <v>3414.3184125800931</v>
      </c>
      <c r="U64" s="258">
        <f t="shared" si="213"/>
        <v>3903.4722830497672</v>
      </c>
      <c r="V64" s="258">
        <f t="shared" si="213"/>
        <v>4391.4063184309871</v>
      </c>
      <c r="W64" s="83"/>
      <c r="Y64" s="240"/>
      <c r="Z64" s="258">
        <f t="shared" ref="Z64:AD64" si="214">Z56*(1-$Y$62)</f>
        <v>6535.8815755590003</v>
      </c>
      <c r="AA64" s="258">
        <f t="shared" si="214"/>
        <v>7780.8113994750011</v>
      </c>
      <c r="AB64" s="258">
        <f t="shared" si="214"/>
        <v>8963.4947321952004</v>
      </c>
      <c r="AC64" s="258">
        <f t="shared" si="214"/>
        <v>10270.671047307002</v>
      </c>
      <c r="AD64" s="258">
        <f t="shared" si="214"/>
        <v>11515.600871223001</v>
      </c>
      <c r="AE64" s="83"/>
      <c r="AG64" s="257"/>
      <c r="AH64" s="258">
        <f t="shared" ref="AH64:AL64" si="215">AH56*(1-$AG$62)</f>
        <v>2682.2391638380805</v>
      </c>
      <c r="AI64" s="258">
        <f t="shared" si="215"/>
        <v>2877.3111030263044</v>
      </c>
      <c r="AJ64" s="258">
        <f t="shared" si="215"/>
        <v>3067.5062437348229</v>
      </c>
      <c r="AK64" s="258">
        <f t="shared" si="215"/>
        <v>3267.4549814027523</v>
      </c>
      <c r="AL64" s="258">
        <f t="shared" si="215"/>
        <v>3462.5269205909763</v>
      </c>
      <c r="AM64" s="83"/>
      <c r="AO64" s="257"/>
      <c r="AP64" s="258">
        <f t="shared" ref="AP64:AT64" si="216">AP56*(1-$AO$62)</f>
        <v>6012.2199187062188</v>
      </c>
      <c r="AQ64" s="258">
        <f t="shared" si="216"/>
        <v>6513.2382452650709</v>
      </c>
      <c r="AR64" s="258">
        <f t="shared" si="216"/>
        <v>7039.3074881518651</v>
      </c>
      <c r="AS64" s="258">
        <f t="shared" si="216"/>
        <v>7515.2748983827732</v>
      </c>
      <c r="AT64" s="258">
        <f t="shared" si="216"/>
        <v>8016.2932249416244</v>
      </c>
    </row>
    <row r="65" spans="1:46" x14ac:dyDescent="0.3">
      <c r="A65" s="257"/>
      <c r="B65" s="258">
        <f t="shared" ref="B65:F65" si="217">B57*(1-$A$62)</f>
        <v>1893.2572800000007</v>
      </c>
      <c r="C65" s="258">
        <f t="shared" si="217"/>
        <v>2366.5716000000007</v>
      </c>
      <c r="D65" s="258">
        <f t="shared" si="217"/>
        <v>2839.8859200000006</v>
      </c>
      <c r="E65" s="258">
        <f t="shared" si="217"/>
        <v>3237.4699488000015</v>
      </c>
      <c r="F65" s="258">
        <f t="shared" si="217"/>
        <v>3786.5145600000014</v>
      </c>
      <c r="G65" s="83"/>
      <c r="I65" s="257"/>
      <c r="J65" s="258">
        <f t="shared" ref="J65:N65" si="218">J57*(1-$I$62)</f>
        <v>9485.6770606049995</v>
      </c>
      <c r="K65" s="258">
        <f t="shared" si="218"/>
        <v>11593.605296295</v>
      </c>
      <c r="L65" s="258">
        <f t="shared" si="218"/>
        <v>13701.533531985002</v>
      </c>
      <c r="M65" s="258">
        <f t="shared" si="218"/>
        <v>16652.633061951001</v>
      </c>
      <c r="N65" s="258">
        <f t="shared" si="218"/>
        <v>17917.390003364999</v>
      </c>
      <c r="O65" s="83"/>
      <c r="Q65" s="257"/>
      <c r="R65" s="258">
        <f t="shared" ref="R65:V65" si="219">R57*(1-$Q$62)</f>
        <v>2572.2953831999998</v>
      </c>
      <c r="S65" s="258">
        <f t="shared" si="219"/>
        <v>3086.7544598399995</v>
      </c>
      <c r="T65" s="258">
        <f t="shared" si="219"/>
        <v>3599.9273887883992</v>
      </c>
      <c r="U65" s="258">
        <f t="shared" si="219"/>
        <v>4115.6726131199994</v>
      </c>
      <c r="V65" s="258">
        <f t="shared" si="219"/>
        <v>4630.1316897599991</v>
      </c>
      <c r="W65" s="83"/>
      <c r="Y65" s="240"/>
      <c r="Z65" s="258">
        <f t="shared" ref="Z65:AD65" si="220">Z57*(1-$Y$62)</f>
        <v>6785.7517790999991</v>
      </c>
      <c r="AA65" s="258">
        <f t="shared" si="220"/>
        <v>8078.2759274999999</v>
      </c>
      <c r="AB65" s="258">
        <f t="shared" si="220"/>
        <v>9306.1738684800002</v>
      </c>
      <c r="AC65" s="258">
        <f t="shared" si="220"/>
        <v>10663.3242243</v>
      </c>
      <c r="AD65" s="258">
        <f t="shared" si="220"/>
        <v>11955.848372699998</v>
      </c>
      <c r="AE65" s="83"/>
      <c r="AG65" s="257"/>
      <c r="AH65" s="258">
        <f t="shared" ref="AH65:AL65" si="221">AH57*(1-$AG$62)</f>
        <v>2776.023835200001</v>
      </c>
      <c r="AI65" s="258">
        <f t="shared" si="221"/>
        <v>2977.9164777600004</v>
      </c>
      <c r="AJ65" s="258">
        <f t="shared" si="221"/>
        <v>3174.7618042560007</v>
      </c>
      <c r="AK65" s="258">
        <f t="shared" si="221"/>
        <v>3381.7017628800013</v>
      </c>
      <c r="AL65" s="258">
        <f t="shared" si="221"/>
        <v>3583.5944054400006</v>
      </c>
      <c r="AM65" s="83"/>
      <c r="AO65" s="257"/>
      <c r="AP65" s="258">
        <f t="shared" ref="AP65:AT65" si="222">AP57*(1-$AO$62)</f>
        <v>6187.5869220000022</v>
      </c>
      <c r="AQ65" s="258">
        <f t="shared" si="222"/>
        <v>6703.2191655000015</v>
      </c>
      <c r="AR65" s="258">
        <f t="shared" si="222"/>
        <v>7244.6330211750028</v>
      </c>
      <c r="AS65" s="258">
        <f t="shared" si="222"/>
        <v>7734.483652500001</v>
      </c>
      <c r="AT65" s="258">
        <f t="shared" si="222"/>
        <v>8250.115896000003</v>
      </c>
    </row>
    <row r="66" spans="1:46" x14ac:dyDescent="0.3">
      <c r="A66" s="257"/>
      <c r="B66" s="258">
        <f t="shared" ref="B66:F66" si="223">B58*(1-$A$62)</f>
        <v>1960.27008</v>
      </c>
      <c r="C66" s="258">
        <f t="shared" si="223"/>
        <v>2450.3375999999998</v>
      </c>
      <c r="D66" s="258">
        <f t="shared" si="223"/>
        <v>2940.4051199999994</v>
      </c>
      <c r="E66" s="258">
        <f t="shared" si="223"/>
        <v>3352.0618368000005</v>
      </c>
      <c r="F66" s="258">
        <f t="shared" si="223"/>
        <v>3920.54016</v>
      </c>
      <c r="G66" s="83"/>
      <c r="I66" s="257"/>
      <c r="J66" s="258">
        <f t="shared" ref="J66:N66" si="224">J58*(1-$I$62)</f>
        <v>9908.1504028799991</v>
      </c>
      <c r="K66" s="258">
        <f t="shared" si="224"/>
        <v>12109.96160352</v>
      </c>
      <c r="L66" s="258">
        <f t="shared" si="224"/>
        <v>14311.772804159998</v>
      </c>
      <c r="M66" s="258">
        <f t="shared" si="224"/>
        <v>17394.308485055997</v>
      </c>
      <c r="N66" s="258">
        <f t="shared" si="224"/>
        <v>18715.39520544</v>
      </c>
      <c r="O66" s="83"/>
      <c r="Q66" s="257"/>
      <c r="R66" s="258">
        <f t="shared" ref="R66:V66" si="225">R58*(1-$Q$62)</f>
        <v>2707.0656154499998</v>
      </c>
      <c r="S66" s="258">
        <f t="shared" si="225"/>
        <v>3248.4787385399995</v>
      </c>
      <c r="T66" s="258">
        <f t="shared" si="225"/>
        <v>3788.5383288222743</v>
      </c>
      <c r="U66" s="258">
        <f t="shared" si="225"/>
        <v>4331.30498472</v>
      </c>
      <c r="V66" s="258">
        <f t="shared" si="225"/>
        <v>4872.7181078099993</v>
      </c>
      <c r="W66" s="83"/>
      <c r="Y66" s="240"/>
      <c r="Z66" s="258">
        <f t="shared" ref="Z66:AD66" si="226">Z58*(1-$Y$62)</f>
        <v>7028.0810775</v>
      </c>
      <c r="AA66" s="258">
        <f t="shared" si="226"/>
        <v>8366.7631875000006</v>
      </c>
      <c r="AB66" s="258">
        <f t="shared" si="226"/>
        <v>9638.5111919999999</v>
      </c>
      <c r="AC66" s="258">
        <f t="shared" si="226"/>
        <v>11044.1274075</v>
      </c>
      <c r="AD66" s="258">
        <f t="shared" si="226"/>
        <v>12382.809517500002</v>
      </c>
      <c r="AE66" s="83"/>
      <c r="AG66" s="257"/>
      <c r="AH66" s="258">
        <f t="shared" ref="AH66:AL66" si="227">AH58*(1-$AG$62)</f>
        <v>2879.7915300000009</v>
      </c>
      <c r="AI66" s="258">
        <f t="shared" si="227"/>
        <v>3089.2309140000007</v>
      </c>
      <c r="AJ66" s="258">
        <f t="shared" si="227"/>
        <v>3293.434313400001</v>
      </c>
      <c r="AK66" s="258">
        <f t="shared" si="227"/>
        <v>3508.1096820000012</v>
      </c>
      <c r="AL66" s="258">
        <f t="shared" si="227"/>
        <v>3717.5490660000005</v>
      </c>
      <c r="AM66" s="83"/>
      <c r="AO66" s="257"/>
      <c r="AP66" s="258">
        <f t="shared" ref="AP66:AT66" si="228">AP58*(1-$AO$62)</f>
        <v>6414.6355660800009</v>
      </c>
      <c r="AQ66" s="258">
        <f t="shared" si="228"/>
        <v>6949.1885299200021</v>
      </c>
      <c r="AR66" s="258">
        <f t="shared" si="228"/>
        <v>7510.4691419520022</v>
      </c>
      <c r="AS66" s="258">
        <f t="shared" si="228"/>
        <v>8018.2944576000018</v>
      </c>
      <c r="AT66" s="258">
        <f t="shared" si="228"/>
        <v>8552.8474214400012</v>
      </c>
    </row>
    <row r="68" spans="1:46" x14ac:dyDescent="0.3">
      <c r="A68" s="242" t="s">
        <v>479</v>
      </c>
      <c r="B68" s="242" t="s">
        <v>295</v>
      </c>
      <c r="C68" s="242" t="s">
        <v>593</v>
      </c>
      <c r="D68" s="242" t="s">
        <v>517</v>
      </c>
      <c r="E68" s="242" t="s">
        <v>599</v>
      </c>
      <c r="F68" s="108"/>
      <c r="G68" s="108"/>
      <c r="H68" s="108"/>
      <c r="I68" s="269" t="s">
        <v>479</v>
      </c>
      <c r="J68" s="269" t="s">
        <v>295</v>
      </c>
      <c r="K68" s="269" t="s">
        <v>593</v>
      </c>
      <c r="L68" s="269" t="s">
        <v>517</v>
      </c>
      <c r="M68" s="269" t="s">
        <v>599</v>
      </c>
      <c r="N68" s="108"/>
      <c r="O68" s="108"/>
      <c r="P68" s="108"/>
      <c r="Q68" s="198" t="s">
        <v>479</v>
      </c>
      <c r="R68" s="198" t="s">
        <v>295</v>
      </c>
      <c r="S68" s="198" t="s">
        <v>593</v>
      </c>
      <c r="T68" s="198" t="s">
        <v>517</v>
      </c>
      <c r="U68" s="198" t="s">
        <v>599</v>
      </c>
      <c r="V68" s="108"/>
      <c r="W68" s="108"/>
      <c r="X68" s="108"/>
      <c r="Y68" s="40" t="s">
        <v>479</v>
      </c>
      <c r="Z68" s="40" t="s">
        <v>295</v>
      </c>
      <c r="AA68" s="40" t="s">
        <v>593</v>
      </c>
      <c r="AB68" s="40" t="s">
        <v>517</v>
      </c>
      <c r="AC68" s="40" t="s">
        <v>599</v>
      </c>
      <c r="AD68" s="108"/>
      <c r="AE68" s="108"/>
      <c r="AF68" s="108"/>
      <c r="AG68" s="15" t="s">
        <v>479</v>
      </c>
      <c r="AH68" s="15" t="s">
        <v>295</v>
      </c>
      <c r="AI68" s="15" t="s">
        <v>593</v>
      </c>
      <c r="AJ68" s="15" t="s">
        <v>517</v>
      </c>
      <c r="AK68" s="15" t="s">
        <v>599</v>
      </c>
      <c r="AL68" s="108"/>
      <c r="AM68" s="108"/>
      <c r="AN68" s="108"/>
      <c r="AO68" s="115" t="s">
        <v>479</v>
      </c>
      <c r="AP68" s="115" t="s">
        <v>295</v>
      </c>
      <c r="AQ68" s="115" t="s">
        <v>593</v>
      </c>
      <c r="AR68" s="115" t="s">
        <v>517</v>
      </c>
      <c r="AS68" s="115" t="s">
        <v>600</v>
      </c>
      <c r="AT68" s="108"/>
    </row>
    <row r="69" spans="1:46" x14ac:dyDescent="0.3">
      <c r="A69" s="273">
        <f>DCF!C6</f>
        <v>462.1582750392397</v>
      </c>
      <c r="B69" s="270">
        <f>DCF!C7</f>
        <v>1458.8885144180697</v>
      </c>
      <c r="C69" s="270">
        <f>DCF!C8</f>
        <v>-130.22708729461374</v>
      </c>
      <c r="D69" s="274">
        <f ca="1">WACC!B16</f>
        <v>0.12615995275816408</v>
      </c>
      <c r="E69" s="274">
        <f ca="1">DCF!C10</f>
        <v>0.78849662948737231</v>
      </c>
      <c r="I69" s="272">
        <f>DCF!J6</f>
        <v>3084.7833590041432</v>
      </c>
      <c r="J69" s="270">
        <f>DCF!J7</f>
        <v>2652.5201432780277</v>
      </c>
      <c r="K69" s="270">
        <f>DCF!J8</f>
        <v>3163.5386662223682</v>
      </c>
      <c r="L69" s="274">
        <f ca="1">WACC!C16</f>
        <v>0.13662009740538331</v>
      </c>
      <c r="M69" s="274">
        <f ca="1">DCF!J10</f>
        <v>0.77405057625628826</v>
      </c>
      <c r="Q69" s="271">
        <f>DCF!Q6</f>
        <v>768.14579892760617</v>
      </c>
      <c r="R69" s="270">
        <f>DCF!Q7</f>
        <v>824.51786104288738</v>
      </c>
      <c r="S69" s="270">
        <f>DCF!Q8</f>
        <v>187.99209394904256</v>
      </c>
      <c r="T69" s="274">
        <f ca="1">T34</f>
        <v>0.11157627328319973</v>
      </c>
      <c r="U69" s="274">
        <f ca="1">DCF!Q10</f>
        <v>0.80932221920806646</v>
      </c>
      <c r="Y69" s="270">
        <f>DCF!X6</f>
        <v>2788.009645213584</v>
      </c>
      <c r="Z69" s="270">
        <f>DCF!X7</f>
        <v>2403.8020658236032</v>
      </c>
      <c r="AA69" s="270">
        <f>DCF!X8</f>
        <v>307.47527446740605</v>
      </c>
      <c r="AB69" s="274">
        <f ca="1">AB34</f>
        <v>0.10494483587854667</v>
      </c>
      <c r="AC69" s="274">
        <f ca="1">DCF!X10</f>
        <v>0.81906582751451984</v>
      </c>
      <c r="AG69" s="270">
        <f>DCF!AE6</f>
        <v>793.18053116800752</v>
      </c>
      <c r="AH69" s="270">
        <f>DCF!AE7</f>
        <v>605.71935308957097</v>
      </c>
      <c r="AI69" s="270">
        <f>DCF!AE8</f>
        <v>-15.066396524389347</v>
      </c>
      <c r="AJ69" s="274">
        <f ca="1">AJ34</f>
        <v>0.12169732572390064</v>
      </c>
      <c r="AK69" s="274">
        <f ca="1">DCF!AE10</f>
        <v>0.79478311324467721</v>
      </c>
      <c r="AO69" s="270">
        <f>DCF!AL6</f>
        <v>1647.745840660564</v>
      </c>
      <c r="AP69" s="270">
        <f>DCF!AL7</f>
        <v>1160.0191059022723</v>
      </c>
      <c r="AQ69" s="270">
        <f>DCF!AL8</f>
        <v>151.00536044968612</v>
      </c>
      <c r="AR69" s="274">
        <f ca="1">AR34</f>
        <v>0.10831590439870661</v>
      </c>
      <c r="AS69" s="274">
        <f ca="1">DCF!AL10</f>
        <v>0.81409084181661295</v>
      </c>
    </row>
    <row r="71" spans="1:46" ht="18" x14ac:dyDescent="0.3">
      <c r="A71" s="408" t="s">
        <v>532</v>
      </c>
      <c r="B71" s="408"/>
      <c r="C71" s="408"/>
      <c r="D71" s="408"/>
      <c r="E71" s="408"/>
      <c r="F71" s="255" t="e" vm="4">
        <v>#VALUE!</v>
      </c>
      <c r="I71" s="409" t="s">
        <v>532</v>
      </c>
      <c r="J71" s="410"/>
      <c r="K71" s="410"/>
      <c r="L71" s="410"/>
      <c r="M71" s="411"/>
      <c r="N71" s="250" t="e" vm="6">
        <v>#VALUE!</v>
      </c>
      <c r="O71" s="49"/>
      <c r="Q71" s="401" t="s">
        <v>532</v>
      </c>
      <c r="R71" s="402"/>
      <c r="S71" s="402"/>
      <c r="T71" s="402"/>
      <c r="U71" s="412"/>
      <c r="V71" s="250" t="e" vm="5">
        <v>#VALUE!</v>
      </c>
      <c r="W71" s="49"/>
      <c r="Y71" s="403" t="s">
        <v>532</v>
      </c>
      <c r="Z71" s="404"/>
      <c r="AA71" s="404"/>
      <c r="AB71" s="404"/>
      <c r="AC71" s="413"/>
      <c r="AD71" s="250" t="e" vm="3">
        <v>#VALUE!</v>
      </c>
      <c r="AE71" s="49"/>
      <c r="AG71" s="414" t="s">
        <v>532</v>
      </c>
      <c r="AH71" s="415"/>
      <c r="AI71" s="415"/>
      <c r="AJ71" s="415"/>
      <c r="AK71" s="416"/>
      <c r="AL71" s="250" t="e" vm="1">
        <v>#VALUE!</v>
      </c>
      <c r="AM71" s="49"/>
      <c r="AO71" s="387" t="s">
        <v>532</v>
      </c>
      <c r="AP71" s="387"/>
      <c r="AQ71" s="387"/>
      <c r="AR71" s="387"/>
      <c r="AS71" s="387"/>
      <c r="AT71" s="250" t="e" vm="2">
        <v>#VALUE!</v>
      </c>
    </row>
    <row r="72" spans="1:46" x14ac:dyDescent="0.3">
      <c r="A72" s="242" t="s">
        <v>594</v>
      </c>
      <c r="B72" s="256" t="s">
        <v>579</v>
      </c>
      <c r="C72" s="256" t="s">
        <v>580</v>
      </c>
      <c r="D72" s="256" t="s">
        <v>581</v>
      </c>
      <c r="E72" s="256" t="s">
        <v>582</v>
      </c>
      <c r="F72" s="256" t="s">
        <v>583</v>
      </c>
      <c r="G72" s="278"/>
      <c r="I72" s="108" t="s">
        <v>594</v>
      </c>
      <c r="J72" s="239" t="s">
        <v>573</v>
      </c>
      <c r="K72" s="239" t="s">
        <v>574</v>
      </c>
      <c r="L72" s="239" t="s">
        <v>575</v>
      </c>
      <c r="M72" s="239" t="s">
        <v>576</v>
      </c>
      <c r="N72" s="239" t="s">
        <v>577</v>
      </c>
      <c r="O72" s="239"/>
      <c r="P72" s="108"/>
      <c r="Q72" s="259" t="s">
        <v>594</v>
      </c>
      <c r="R72" s="263" t="s">
        <v>579</v>
      </c>
      <c r="S72" s="260" t="s">
        <v>595</v>
      </c>
      <c r="T72" s="261" t="s">
        <v>596</v>
      </c>
      <c r="U72" s="261" t="s">
        <v>597</v>
      </c>
      <c r="V72" s="262" t="s">
        <v>598</v>
      </c>
      <c r="W72" s="279"/>
      <c r="X72" s="252"/>
      <c r="Y72" s="264" t="s">
        <v>594</v>
      </c>
      <c r="Z72" s="265" t="s">
        <v>588</v>
      </c>
      <c r="AA72" s="265" t="s">
        <v>580</v>
      </c>
      <c r="AB72" s="265" t="s">
        <v>589</v>
      </c>
      <c r="AC72" s="265" t="s">
        <v>590</v>
      </c>
      <c r="AD72" s="266" t="s">
        <v>591</v>
      </c>
      <c r="AE72" s="319"/>
      <c r="AF72" s="252"/>
      <c r="AG72" s="267" t="s">
        <v>594</v>
      </c>
      <c r="AH72" s="267" t="s">
        <v>585</v>
      </c>
      <c r="AI72" s="267" t="s">
        <v>581</v>
      </c>
      <c r="AJ72" s="267" t="s">
        <v>586</v>
      </c>
      <c r="AK72" s="267" t="s">
        <v>582</v>
      </c>
      <c r="AL72" s="267" t="s">
        <v>587</v>
      </c>
      <c r="AM72" s="325"/>
      <c r="AN72" s="252"/>
      <c r="AO72" s="268" t="s">
        <v>594</v>
      </c>
      <c r="AP72" s="268" t="s">
        <v>584</v>
      </c>
      <c r="AQ72" s="268" t="s">
        <v>592</v>
      </c>
      <c r="AR72" s="268" t="s">
        <v>585</v>
      </c>
      <c r="AS72" s="268" t="s">
        <v>581</v>
      </c>
      <c r="AT72" s="268" t="s">
        <v>586</v>
      </c>
    </row>
    <row r="73" spans="1:46" x14ac:dyDescent="0.3">
      <c r="A73" s="257">
        <f>A54</f>
        <v>0.08</v>
      </c>
      <c r="B73" s="258">
        <f>(B62+$A$69-$B$69-$C$69)</f>
        <v>832.70836791578427</v>
      </c>
      <c r="C73" s="258">
        <f t="shared" ref="C73:F73" si="229">(C62+$A$69-$B$69-$C$69)</f>
        <v>1257.511247915784</v>
      </c>
      <c r="D73" s="258">
        <f t="shared" si="229"/>
        <v>1682.3141279157842</v>
      </c>
      <c r="E73" s="258">
        <f t="shared" si="229"/>
        <v>2039.1485471157846</v>
      </c>
      <c r="F73" s="258">
        <f t="shared" si="229"/>
        <v>2531.9198879157848</v>
      </c>
      <c r="G73" s="83"/>
      <c r="I73" s="257">
        <f>I54</f>
        <v>0.06</v>
      </c>
      <c r="J73" s="258">
        <f>(J62+$I$69-$J$69-$K$69)</f>
        <v>5542.2068567837487</v>
      </c>
      <c r="K73" s="258">
        <f t="shared" ref="K73:N73" si="230">(K62+$I$69-$J$69-$K$69)</f>
        <v>7380.7584806237501</v>
      </c>
      <c r="L73" s="258">
        <f t="shared" si="230"/>
        <v>9219.3101044637478</v>
      </c>
      <c r="M73" s="258">
        <f t="shared" si="230"/>
        <v>11793.282377839751</v>
      </c>
      <c r="N73" s="258">
        <f t="shared" si="230"/>
        <v>12896.413352143754</v>
      </c>
      <c r="O73" s="83"/>
      <c r="Q73" s="257">
        <f>Q54</f>
        <v>7.0000000000000007E-2</v>
      </c>
      <c r="R73" s="258">
        <f>(R62+$Q$69-$R$69-$S$69)</f>
        <v>1944.2661829856766</v>
      </c>
      <c r="S73" s="258">
        <f t="shared" ref="S73:V73" si="231">(S62+$Q$69-$R$69-$S$69)</f>
        <v>2381.9922507956758</v>
      </c>
      <c r="T73" s="258">
        <f t="shared" si="231"/>
        <v>2818.6240034361513</v>
      </c>
      <c r="U73" s="258">
        <f t="shared" si="231"/>
        <v>3257.4443864156769</v>
      </c>
      <c r="V73" s="258">
        <f t="shared" si="231"/>
        <v>3695.1704542256762</v>
      </c>
      <c r="W73" s="83"/>
      <c r="Y73" s="240">
        <f>Y54</f>
        <v>7.0000000000000007E-2</v>
      </c>
      <c r="Z73" s="258">
        <f>(Z62+$Y$69-$Z$69-$AA$69)</f>
        <v>6161.0045360225758</v>
      </c>
      <c r="AA73" s="258">
        <f t="shared" ref="AA73:AD73" si="232">(AA62+$Y$69-$Z$69-$AA$69)</f>
        <v>7319.9135324225772</v>
      </c>
      <c r="AB73" s="258">
        <f t="shared" si="232"/>
        <v>8420.8770790025756</v>
      </c>
      <c r="AC73" s="258">
        <f t="shared" si="232"/>
        <v>9637.7315252225781</v>
      </c>
      <c r="AD73" s="258">
        <f t="shared" si="232"/>
        <v>10796.640521622578</v>
      </c>
      <c r="AE73" s="83"/>
      <c r="AG73" s="257">
        <f>AG54</f>
        <v>0.02</v>
      </c>
      <c r="AH73" s="258">
        <f>(AH62+$AG$69-$AH$69-$AI$69)</f>
        <v>2678.6722918028263</v>
      </c>
      <c r="AI73" s="258">
        <f t="shared" ref="AI73:AL73" si="233">(AI62+$AG$69-$AH$69-$AI$69)</f>
        <v>2858.7555439628259</v>
      </c>
      <c r="AJ73" s="258">
        <f t="shared" si="233"/>
        <v>3034.3367148188254</v>
      </c>
      <c r="AK73" s="258">
        <f t="shared" si="233"/>
        <v>3218.9220482828259</v>
      </c>
      <c r="AL73" s="258">
        <f t="shared" si="233"/>
        <v>3399.0053004428255</v>
      </c>
      <c r="AM73" s="83"/>
      <c r="AO73" s="257">
        <f>AO54</f>
        <v>0.04</v>
      </c>
      <c r="AP73" s="258">
        <f>(AP62+$AO$69-$AP$69-$AQ$69)</f>
        <v>5867.708163428606</v>
      </c>
      <c r="AQ73" s="258">
        <f t="shared" ref="AQ73:AT73" si="234">(AQ62+$AO$69-$AP$69-$AQ$69)</f>
        <v>6328.6237291886064</v>
      </c>
      <c r="AR73" s="258">
        <f t="shared" si="234"/>
        <v>6812.5850732366071</v>
      </c>
      <c r="AS73" s="258">
        <f t="shared" si="234"/>
        <v>7250.4548607086053</v>
      </c>
      <c r="AT73" s="258">
        <f t="shared" si="234"/>
        <v>7711.3704264686057</v>
      </c>
    </row>
    <row r="74" spans="1:46" x14ac:dyDescent="0.3">
      <c r="A74" s="257">
        <f t="shared" ref="A74:A77" si="235">A55</f>
        <v>9.6600000000000005E-2</v>
      </c>
      <c r="B74" s="258">
        <f t="shared" ref="B74:F74" si="236">(B63+$A$69-$B$69-$C$69)</f>
        <v>885.34482452378393</v>
      </c>
      <c r="C74" s="258">
        <f t="shared" si="236"/>
        <v>1323.3068186757835</v>
      </c>
      <c r="D74" s="258">
        <f t="shared" si="236"/>
        <v>1761.2688128277839</v>
      </c>
      <c r="E74" s="258">
        <f t="shared" si="236"/>
        <v>2129.1568879154638</v>
      </c>
      <c r="F74" s="258">
        <f t="shared" si="236"/>
        <v>2637.1928011317841</v>
      </c>
      <c r="G74" s="83"/>
      <c r="I74" s="257">
        <f t="shared" ref="I74:I77" si="237">I55</f>
        <v>8.48E-2</v>
      </c>
      <c r="J74" s="258">
        <f t="shared" ref="J74:N74" si="238">(J63+$I$69-$J$69-$K$69)</f>
        <v>5933.872154350338</v>
      </c>
      <c r="K74" s="258">
        <f t="shared" si="238"/>
        <v>7859.4605109829172</v>
      </c>
      <c r="L74" s="258">
        <f t="shared" si="238"/>
        <v>9785.0488676154928</v>
      </c>
      <c r="M74" s="258">
        <f t="shared" si="238"/>
        <v>12480.872566901104</v>
      </c>
      <c r="N74" s="258">
        <f t="shared" si="238"/>
        <v>13636.225580880648</v>
      </c>
      <c r="O74" s="83"/>
      <c r="Q74" s="257">
        <f t="shared" ref="Q74:Q77" si="239">Q55</f>
        <v>0.1</v>
      </c>
      <c r="R74" s="258">
        <f t="shared" ref="R74:V74" si="240">(R63+$Q$69-$R$69-$S$69)</f>
        <v>2068.7135889356764</v>
      </c>
      <c r="S74" s="258">
        <f t="shared" si="240"/>
        <v>2531.3291379356765</v>
      </c>
      <c r="T74" s="258">
        <f t="shared" si="240"/>
        <v>2992.7881480631763</v>
      </c>
      <c r="U74" s="258">
        <f t="shared" si="240"/>
        <v>3456.5602359356758</v>
      </c>
      <c r="V74" s="258">
        <f t="shared" si="240"/>
        <v>3919.1757849356759</v>
      </c>
      <c r="W74" s="83"/>
      <c r="Y74" s="240">
        <f t="shared" ref="Y74:Y77" si="241">Y55</f>
        <v>0.09</v>
      </c>
      <c r="Z74" s="258">
        <f t="shared" ref="Z74:AD74" si="242">(Z63+$Y$69-$Z$69-$AA$69)</f>
        <v>6390.5796608225755</v>
      </c>
      <c r="AA74" s="258">
        <f t="shared" si="242"/>
        <v>7593.2172524225771</v>
      </c>
      <c r="AB74" s="258">
        <f t="shared" si="242"/>
        <v>8735.7229644425752</v>
      </c>
      <c r="AC74" s="258">
        <f t="shared" si="242"/>
        <v>9998.4924356225783</v>
      </c>
      <c r="AD74" s="258">
        <f t="shared" si="242"/>
        <v>11201.130027222578</v>
      </c>
      <c r="AE74" s="83"/>
      <c r="AG74" s="257">
        <f t="shared" ref="AG74:AG77" si="243">AG55</f>
        <v>0.04</v>
      </c>
      <c r="AH74" s="258">
        <f t="shared" ref="AH74:AL74" si="244">(AH63+$AG$69-$AH$69-$AI$69)</f>
        <v>2776.7280034028263</v>
      </c>
      <c r="AI74" s="258">
        <f t="shared" si="244"/>
        <v>2963.9425800428262</v>
      </c>
      <c r="AJ74" s="258">
        <f t="shared" si="244"/>
        <v>3146.4767922668261</v>
      </c>
      <c r="AK74" s="258">
        <f t="shared" si="244"/>
        <v>3338.3717333228269</v>
      </c>
      <c r="AL74" s="258">
        <f t="shared" si="244"/>
        <v>3525.5863099628259</v>
      </c>
      <c r="AM74" s="83"/>
      <c r="AO74" s="257">
        <f t="shared" ref="AO74:AO77" si="245">AO55</f>
        <v>0.06</v>
      </c>
      <c r="AP74" s="258">
        <f t="shared" ref="AP74:AT74" si="246">(AP63+$AO$69-$AP$69-$AQ$69)</f>
        <v>6082.4839078286059</v>
      </c>
      <c r="AQ74" s="258">
        <f t="shared" si="246"/>
        <v>6561.297452288607</v>
      </c>
      <c r="AR74" s="258">
        <f t="shared" si="246"/>
        <v>7064.0516739716059</v>
      </c>
      <c r="AS74" s="258">
        <f t="shared" si="246"/>
        <v>7518.9245412086057</v>
      </c>
      <c r="AT74" s="258">
        <f t="shared" si="246"/>
        <v>7997.7380856686068</v>
      </c>
    </row>
    <row r="75" spans="1:46" x14ac:dyDescent="0.3">
      <c r="A75" s="257">
        <f t="shared" si="235"/>
        <v>0.12</v>
      </c>
      <c r="B75" s="258">
        <f t="shared" ref="B75:F75" si="247">(B64+$A$69-$B$69-$C$69)</f>
        <v>960.90676791578403</v>
      </c>
      <c r="C75" s="258">
        <f t="shared" si="247"/>
        <v>1417.7592479157845</v>
      </c>
      <c r="D75" s="258">
        <f t="shared" si="247"/>
        <v>1874.6117279157841</v>
      </c>
      <c r="E75" s="258">
        <f t="shared" si="247"/>
        <v>2258.3678111157851</v>
      </c>
      <c r="F75" s="258">
        <f t="shared" si="247"/>
        <v>2788.3166879157843</v>
      </c>
      <c r="G75" s="83"/>
      <c r="I75" s="257">
        <f t="shared" si="237"/>
        <v>0.11</v>
      </c>
      <c r="J75" s="258">
        <f t="shared" ref="J75:N75" si="248">(J64+$I$69-$J$69-$K$69)</f>
        <v>6341.1324800837465</v>
      </c>
      <c r="K75" s="258">
        <f t="shared" si="248"/>
        <v>8357.2231313237498</v>
      </c>
      <c r="L75" s="258">
        <f t="shared" si="248"/>
        <v>10373.31378256375</v>
      </c>
      <c r="M75" s="258">
        <f t="shared" si="248"/>
        <v>13195.840694299754</v>
      </c>
      <c r="N75" s="258">
        <f t="shared" si="248"/>
        <v>14405.495085043753</v>
      </c>
      <c r="O75" s="83"/>
      <c r="Q75" s="257">
        <f t="shared" si="239"/>
        <v>0.12970000000000001</v>
      </c>
      <c r="R75" s="258">
        <f t="shared" ref="R75:V75" si="249">(R64+$Q$69-$R$69-$S$69)</f>
        <v>2195.3060208417805</v>
      </c>
      <c r="S75" s="258">
        <f t="shared" si="249"/>
        <v>2683.2400562230009</v>
      </c>
      <c r="T75" s="258">
        <f t="shared" si="249"/>
        <v>3169.9542565157694</v>
      </c>
      <c r="U75" s="258">
        <f t="shared" si="249"/>
        <v>3659.1081269854435</v>
      </c>
      <c r="V75" s="258">
        <f t="shared" si="249"/>
        <v>4147.0421623666625</v>
      </c>
      <c r="W75" s="83"/>
      <c r="Y75" s="240">
        <f t="shared" si="241"/>
        <v>0.109</v>
      </c>
      <c r="Z75" s="258">
        <f t="shared" ref="Z75:AD75" si="250">(Z64+$Y$69-$Z$69-$AA$69)</f>
        <v>6612.6138804815746</v>
      </c>
      <c r="AA75" s="258">
        <f t="shared" si="250"/>
        <v>7857.5437043975762</v>
      </c>
      <c r="AB75" s="258">
        <f t="shared" si="250"/>
        <v>9040.2270371177747</v>
      </c>
      <c r="AC75" s="258">
        <f t="shared" si="250"/>
        <v>10347.403352229576</v>
      </c>
      <c r="AD75" s="258">
        <f t="shared" si="250"/>
        <v>11592.333176145576</v>
      </c>
      <c r="AE75" s="83"/>
      <c r="AG75" s="257">
        <f t="shared" si="243"/>
        <v>6.1600000000000002E-2</v>
      </c>
      <c r="AH75" s="258">
        <f t="shared" ref="AH75:AL75" si="251">(AH64+$AG$69-$AH$69-$AI$69)</f>
        <v>2884.766738440906</v>
      </c>
      <c r="AI75" s="258">
        <f t="shared" si="251"/>
        <v>3079.83867762913</v>
      </c>
      <c r="AJ75" s="258">
        <f t="shared" si="251"/>
        <v>3270.0338183376489</v>
      </c>
      <c r="AK75" s="258">
        <f t="shared" si="251"/>
        <v>3469.9825560055779</v>
      </c>
      <c r="AL75" s="258">
        <f t="shared" si="251"/>
        <v>3665.0544951938018</v>
      </c>
      <c r="AM75" s="83"/>
      <c r="AO75" s="257">
        <f t="shared" si="245"/>
        <v>8.43E-2</v>
      </c>
      <c r="AP75" s="258">
        <f t="shared" ref="AP75:AT75" si="252">(AP64+$AO$69-$AP$69-$AQ$69)</f>
        <v>6348.9412930148246</v>
      </c>
      <c r="AQ75" s="258">
        <f t="shared" si="252"/>
        <v>6849.9596195736758</v>
      </c>
      <c r="AR75" s="258">
        <f t="shared" si="252"/>
        <v>7376.0288624604709</v>
      </c>
      <c r="AS75" s="258">
        <f t="shared" si="252"/>
        <v>7851.9962726913782</v>
      </c>
      <c r="AT75" s="258">
        <f t="shared" si="252"/>
        <v>8353.0145992502294</v>
      </c>
    </row>
    <row r="76" spans="1:46" x14ac:dyDescent="0.3">
      <c r="A76" s="257">
        <f t="shared" si="235"/>
        <v>0.14000000000000001</v>
      </c>
      <c r="B76" s="258">
        <f t="shared" ref="B76:F76" si="253">(B65+$A$69-$B$69-$C$69)</f>
        <v>1026.7541279157847</v>
      </c>
      <c r="C76" s="258">
        <f t="shared" si="253"/>
        <v>1500.0684479157842</v>
      </c>
      <c r="D76" s="258">
        <f t="shared" si="253"/>
        <v>1973.3827679157846</v>
      </c>
      <c r="E76" s="258">
        <f t="shared" si="253"/>
        <v>2370.9667967157857</v>
      </c>
      <c r="F76" s="258">
        <f t="shared" si="253"/>
        <v>2920.0114079157856</v>
      </c>
      <c r="G76" s="83"/>
      <c r="I76" s="257">
        <f t="shared" si="237"/>
        <v>0.13500000000000001</v>
      </c>
      <c r="J76" s="258">
        <f t="shared" ref="J76:N76" si="254">(J65+$I$69-$J$69-$K$69)</f>
        <v>6754.4016101087473</v>
      </c>
      <c r="K76" s="258">
        <f t="shared" si="254"/>
        <v>8862.3298457987476</v>
      </c>
      <c r="L76" s="258">
        <f t="shared" si="254"/>
        <v>10970.258081488751</v>
      </c>
      <c r="M76" s="258">
        <f t="shared" si="254"/>
        <v>13921.35761145475</v>
      </c>
      <c r="N76" s="258">
        <f t="shared" si="254"/>
        <v>15186.114552868748</v>
      </c>
      <c r="O76" s="83"/>
      <c r="Q76" s="257">
        <f t="shared" si="239"/>
        <v>0.16</v>
      </c>
      <c r="R76" s="258">
        <f t="shared" ref="R76:V76" si="255">(R65+$Q$69-$R$69-$S$69)</f>
        <v>2327.9312271356762</v>
      </c>
      <c r="S76" s="258">
        <f t="shared" si="255"/>
        <v>2842.3903037756759</v>
      </c>
      <c r="T76" s="258">
        <f t="shared" si="255"/>
        <v>3355.5632327240751</v>
      </c>
      <c r="U76" s="258">
        <f t="shared" si="255"/>
        <v>3871.3084570556753</v>
      </c>
      <c r="V76" s="258">
        <f t="shared" si="255"/>
        <v>4385.7675336956745</v>
      </c>
      <c r="W76" s="83"/>
      <c r="Y76" s="240">
        <f t="shared" si="241"/>
        <v>0.13</v>
      </c>
      <c r="Z76" s="258">
        <f t="shared" ref="Z76:AD76" si="256">(Z65+$Y$69-$Z$69-$AA$69)</f>
        <v>6862.4840840225734</v>
      </c>
      <c r="AA76" s="258">
        <f t="shared" si="256"/>
        <v>8155.0082324225732</v>
      </c>
      <c r="AB76" s="258">
        <f t="shared" si="256"/>
        <v>9382.9061734025745</v>
      </c>
      <c r="AC76" s="258">
        <f t="shared" si="256"/>
        <v>10740.056529222575</v>
      </c>
      <c r="AD76" s="258">
        <f t="shared" si="256"/>
        <v>12032.580677622573</v>
      </c>
      <c r="AE76" s="83"/>
      <c r="AG76" s="257">
        <f t="shared" si="243"/>
        <v>0.08</v>
      </c>
      <c r="AH76" s="258">
        <f t="shared" ref="AH76:AL76" si="257">(AH65+$AG$69-$AH$69-$AI$69)</f>
        <v>2978.551409802827</v>
      </c>
      <c r="AI76" s="258">
        <f t="shared" si="257"/>
        <v>3180.4440523628264</v>
      </c>
      <c r="AJ76" s="258">
        <f t="shared" si="257"/>
        <v>3377.2893788588262</v>
      </c>
      <c r="AK76" s="258">
        <f t="shared" si="257"/>
        <v>3584.2293374828268</v>
      </c>
      <c r="AL76" s="258">
        <f t="shared" si="257"/>
        <v>3786.1219800428262</v>
      </c>
      <c r="AM76" s="83"/>
      <c r="AO76" s="257">
        <f t="shared" si="245"/>
        <v>0.1</v>
      </c>
      <c r="AP76" s="258">
        <f t="shared" ref="AP76:AT76" si="258">(AP65+$AO$69-$AP$69-$AQ$69)</f>
        <v>6524.3082963086072</v>
      </c>
      <c r="AQ76" s="258">
        <f t="shared" si="258"/>
        <v>7039.9405398086074</v>
      </c>
      <c r="AR76" s="258">
        <f t="shared" si="258"/>
        <v>7581.3543954836077</v>
      </c>
      <c r="AS76" s="258">
        <f t="shared" si="258"/>
        <v>8071.2050268086059</v>
      </c>
      <c r="AT76" s="258">
        <f t="shared" si="258"/>
        <v>8586.8372703086079</v>
      </c>
    </row>
    <row r="77" spans="1:46" x14ac:dyDescent="0.3">
      <c r="A77" s="257">
        <f t="shared" si="235"/>
        <v>0.16</v>
      </c>
      <c r="B77" s="258">
        <f t="shared" ref="B77:F77" si="259">(B66+$A$69-$B$69-$C$69)</f>
        <v>1093.7669279157838</v>
      </c>
      <c r="C77" s="258">
        <f t="shared" si="259"/>
        <v>1583.8344479157838</v>
      </c>
      <c r="D77" s="258">
        <f t="shared" si="259"/>
        <v>2073.9019679157836</v>
      </c>
      <c r="E77" s="258">
        <f t="shared" si="259"/>
        <v>2485.5586847157847</v>
      </c>
      <c r="F77" s="258">
        <f t="shared" si="259"/>
        <v>3054.0370079157838</v>
      </c>
      <c r="G77" s="83"/>
      <c r="I77" s="257">
        <f t="shared" si="237"/>
        <v>0.16</v>
      </c>
      <c r="J77" s="258">
        <f t="shared" ref="J77:N77" si="260">(J66+$I$69-$J$69-$K$69)</f>
        <v>7176.8749523837469</v>
      </c>
      <c r="K77" s="258">
        <f t="shared" si="260"/>
        <v>9378.6861530237475</v>
      </c>
      <c r="L77" s="258">
        <f t="shared" si="260"/>
        <v>11580.497353663748</v>
      </c>
      <c r="M77" s="258">
        <f t="shared" si="260"/>
        <v>14663.033034559747</v>
      </c>
      <c r="N77" s="258">
        <f t="shared" si="260"/>
        <v>15984.119754943749</v>
      </c>
      <c r="O77" s="83"/>
      <c r="Q77" s="257">
        <f t="shared" si="239"/>
        <v>0.19</v>
      </c>
      <c r="R77" s="258">
        <f t="shared" ref="R77:V77" si="261">(R66+$Q$69-$R$69-$S$69)</f>
        <v>2462.7014593856761</v>
      </c>
      <c r="S77" s="258">
        <f t="shared" si="261"/>
        <v>3004.1145824756754</v>
      </c>
      <c r="T77" s="258">
        <f t="shared" si="261"/>
        <v>3544.1741727579506</v>
      </c>
      <c r="U77" s="258">
        <f t="shared" si="261"/>
        <v>4086.9408286556759</v>
      </c>
      <c r="V77" s="258">
        <f t="shared" si="261"/>
        <v>4628.3539517456757</v>
      </c>
      <c r="W77" s="83"/>
      <c r="Y77" s="240">
        <f t="shared" si="241"/>
        <v>0.15</v>
      </c>
      <c r="Z77" s="258">
        <f t="shared" ref="Z77:AD77" si="262">(Z66+$Y$69-$Z$69-$AA$69)</f>
        <v>7104.8133824225733</v>
      </c>
      <c r="AA77" s="258">
        <f t="shared" si="262"/>
        <v>8443.4954924225749</v>
      </c>
      <c r="AB77" s="258">
        <f t="shared" si="262"/>
        <v>9715.2434969225742</v>
      </c>
      <c r="AC77" s="258">
        <f t="shared" si="262"/>
        <v>11120.859712422574</v>
      </c>
      <c r="AD77" s="258">
        <f t="shared" si="262"/>
        <v>12459.541822422576</v>
      </c>
      <c r="AE77" s="83"/>
      <c r="AG77" s="257">
        <f t="shared" si="243"/>
        <v>0.1</v>
      </c>
      <c r="AH77" s="258">
        <f t="shared" ref="AH77:AL77" si="263">(AH66+$AG$69-$AH$69-$AI$69)</f>
        <v>3082.3191046028269</v>
      </c>
      <c r="AI77" s="258">
        <f t="shared" si="263"/>
        <v>3291.7584886028262</v>
      </c>
      <c r="AJ77" s="258">
        <f t="shared" si="263"/>
        <v>3495.9618880028265</v>
      </c>
      <c r="AK77" s="258">
        <f t="shared" si="263"/>
        <v>3710.6372566028267</v>
      </c>
      <c r="AL77" s="258">
        <f t="shared" si="263"/>
        <v>3920.076640602826</v>
      </c>
      <c r="AM77" s="83"/>
      <c r="AO77" s="257">
        <f t="shared" si="245"/>
        <v>0.12</v>
      </c>
      <c r="AP77" s="258">
        <f t="shared" ref="AP77:AT77" si="264">(AP66+$AO$69-$AP$69-$AQ$69)</f>
        <v>6751.3569403886067</v>
      </c>
      <c r="AQ77" s="258">
        <f t="shared" si="264"/>
        <v>7285.909904228607</v>
      </c>
      <c r="AR77" s="258">
        <f t="shared" si="264"/>
        <v>7847.1905162606072</v>
      </c>
      <c r="AS77" s="258">
        <f t="shared" si="264"/>
        <v>8355.0158319086077</v>
      </c>
      <c r="AT77" s="258">
        <f t="shared" si="264"/>
        <v>8889.5687957486061</v>
      </c>
    </row>
    <row r="79" spans="1:46" ht="18" x14ac:dyDescent="0.3">
      <c r="A79" s="408" t="s">
        <v>534</v>
      </c>
      <c r="B79" s="408"/>
      <c r="C79" s="408"/>
      <c r="D79" s="408"/>
      <c r="E79" s="408"/>
      <c r="F79" s="250" t="e" vm="4">
        <v>#VALUE!</v>
      </c>
      <c r="G79" s="49"/>
      <c r="I79" s="409" t="s">
        <v>534</v>
      </c>
      <c r="J79" s="410"/>
      <c r="K79" s="410"/>
      <c r="L79" s="410"/>
      <c r="M79" s="411"/>
      <c r="N79" s="250" t="e" vm="6">
        <v>#VALUE!</v>
      </c>
      <c r="O79" s="49"/>
      <c r="Q79" s="401" t="s">
        <v>534</v>
      </c>
      <c r="R79" s="402"/>
      <c r="S79" s="402"/>
      <c r="T79" s="402"/>
      <c r="U79" s="412"/>
      <c r="V79" s="250" t="e" vm="5">
        <v>#VALUE!</v>
      </c>
      <c r="W79" s="49"/>
      <c r="Y79" s="403" t="s">
        <v>534</v>
      </c>
      <c r="Z79" s="404"/>
      <c r="AA79" s="404"/>
      <c r="AB79" s="404"/>
      <c r="AC79" s="413"/>
      <c r="AD79" s="250" t="e" vm="3">
        <v>#VALUE!</v>
      </c>
      <c r="AE79" s="49"/>
      <c r="AG79" s="414" t="s">
        <v>534</v>
      </c>
      <c r="AH79" s="415"/>
      <c r="AI79" s="415"/>
      <c r="AJ79" s="415"/>
      <c r="AK79" s="416"/>
      <c r="AL79" s="250" t="e" vm="1">
        <v>#VALUE!</v>
      </c>
      <c r="AM79" s="49"/>
      <c r="AO79" s="387" t="s">
        <v>534</v>
      </c>
      <c r="AP79" s="387"/>
      <c r="AQ79" s="387"/>
      <c r="AR79" s="387"/>
      <c r="AS79" s="387"/>
      <c r="AT79" s="250" t="e" vm="2">
        <v>#VALUE!</v>
      </c>
    </row>
    <row r="80" spans="1:46" x14ac:dyDescent="0.3">
      <c r="A80" s="242" t="s">
        <v>594</v>
      </c>
      <c r="B80" s="256" t="s">
        <v>579</v>
      </c>
      <c r="C80" s="256" t="s">
        <v>580</v>
      </c>
      <c r="D80" s="256" t="s">
        <v>581</v>
      </c>
      <c r="E80" s="256" t="s">
        <v>582</v>
      </c>
      <c r="F80" s="256" t="s">
        <v>583</v>
      </c>
      <c r="G80" s="278"/>
      <c r="I80" s="108" t="s">
        <v>594</v>
      </c>
      <c r="J80" s="239" t="s">
        <v>573</v>
      </c>
      <c r="K80" s="239" t="s">
        <v>574</v>
      </c>
      <c r="L80" s="239" t="s">
        <v>575</v>
      </c>
      <c r="M80" s="239" t="s">
        <v>576</v>
      </c>
      <c r="N80" s="239" t="s">
        <v>577</v>
      </c>
      <c r="O80" s="239"/>
      <c r="P80" s="108"/>
      <c r="Q80" s="259" t="s">
        <v>594</v>
      </c>
      <c r="R80" s="263" t="s">
        <v>579</v>
      </c>
      <c r="S80" s="260" t="s">
        <v>595</v>
      </c>
      <c r="T80" s="261" t="s">
        <v>596</v>
      </c>
      <c r="U80" s="261" t="s">
        <v>597</v>
      </c>
      <c r="V80" s="262" t="s">
        <v>598</v>
      </c>
      <c r="W80" s="279"/>
      <c r="X80" s="252"/>
      <c r="Y80" s="264" t="s">
        <v>594</v>
      </c>
      <c r="Z80" s="265" t="s">
        <v>588</v>
      </c>
      <c r="AA80" s="265" t="s">
        <v>580</v>
      </c>
      <c r="AB80" s="265" t="s">
        <v>589</v>
      </c>
      <c r="AC80" s="265" t="s">
        <v>590</v>
      </c>
      <c r="AD80" s="266" t="s">
        <v>591</v>
      </c>
      <c r="AE80" s="319"/>
      <c r="AF80" s="252"/>
      <c r="AG80" s="267" t="s">
        <v>594</v>
      </c>
      <c r="AH80" s="267" t="s">
        <v>585</v>
      </c>
      <c r="AI80" s="267" t="s">
        <v>581</v>
      </c>
      <c r="AJ80" s="267" t="s">
        <v>586</v>
      </c>
      <c r="AK80" s="267" t="s">
        <v>582</v>
      </c>
      <c r="AL80" s="267" t="s">
        <v>587</v>
      </c>
      <c r="AM80" s="325"/>
      <c r="AN80" s="252"/>
      <c r="AO80" s="268" t="s">
        <v>594</v>
      </c>
      <c r="AP80" s="268" t="s">
        <v>584</v>
      </c>
      <c r="AQ80" s="268" t="s">
        <v>592</v>
      </c>
      <c r="AR80" s="268" t="s">
        <v>585</v>
      </c>
      <c r="AS80" s="268" t="s">
        <v>581</v>
      </c>
      <c r="AT80" s="268" t="s">
        <v>586</v>
      </c>
    </row>
    <row r="81" spans="1:47" x14ac:dyDescent="0.3">
      <c r="A81" s="257">
        <f>A73</f>
        <v>0.08</v>
      </c>
      <c r="B81" s="258">
        <f ca="1">B73*$E$69</f>
        <v>656.5877414475267</v>
      </c>
      <c r="C81" s="258">
        <f t="shared" ref="C81:F81" ca="1" si="265">C73*$E$69</f>
        <v>991.54338052405512</v>
      </c>
      <c r="D81" s="258">
        <f t="shared" ca="1" si="265"/>
        <v>1326.499019600584</v>
      </c>
      <c r="E81" s="258">
        <f t="shared" ca="1" si="265"/>
        <v>1607.8617564248684</v>
      </c>
      <c r="F81" s="258">
        <f t="shared" ca="1" si="265"/>
        <v>1996.4102977536418</v>
      </c>
      <c r="G81" s="83"/>
      <c r="I81" s="257">
        <f>I73</f>
        <v>0.06</v>
      </c>
      <c r="J81" s="258">
        <f ca="1">J73*$M$69</f>
        <v>4289.9484112250129</v>
      </c>
      <c r="K81" s="258">
        <f t="shared" ref="K81:N81" ca="1" si="266">K73*$M$69</f>
        <v>5713.0803551353001</v>
      </c>
      <c r="L81" s="258">
        <f t="shared" ca="1" si="266"/>
        <v>7136.2122990455855</v>
      </c>
      <c r="M81" s="258">
        <f t="shared" ca="1" si="266"/>
        <v>9128.5970205199883</v>
      </c>
      <c r="N81" s="258">
        <f t="shared" ca="1" si="266"/>
        <v>9982.4761868661626</v>
      </c>
      <c r="O81" s="83"/>
      <c r="Q81" s="257">
        <f>Q73</f>
        <v>7.0000000000000007E-2</v>
      </c>
      <c r="R81" s="258">
        <f ca="1">R73*$U$69</f>
        <v>1573.5378219451643</v>
      </c>
      <c r="S81" s="258">
        <f t="shared" ref="S81:V81" ca="1" si="267">S73*$U$69</f>
        <v>1927.7992545503735</v>
      </c>
      <c r="T81" s="258">
        <f t="shared" ca="1" si="267"/>
        <v>2281.1750335740708</v>
      </c>
      <c r="U81" s="258">
        <f t="shared" ca="1" si="267"/>
        <v>2636.3221197607941</v>
      </c>
      <c r="V81" s="258">
        <f t="shared" ca="1" si="267"/>
        <v>2990.583552366003</v>
      </c>
      <c r="W81" s="83"/>
      <c r="Y81" s="240">
        <f>Y73</f>
        <v>7.0000000000000007E-2</v>
      </c>
      <c r="Z81" s="258">
        <f ca="1">Z73*$AC$69</f>
        <v>5046.2682786180412</v>
      </c>
      <c r="AA81" s="258">
        <f t="shared" ref="AA81:AD81" ca="1" si="268">AA73*$AC$69</f>
        <v>5995.4910347684299</v>
      </c>
      <c r="AB81" s="258">
        <f t="shared" ca="1" si="268"/>
        <v>6897.2526531112971</v>
      </c>
      <c r="AC81" s="258">
        <f t="shared" ca="1" si="268"/>
        <v>7893.9365470692064</v>
      </c>
      <c r="AD81" s="258">
        <f t="shared" ca="1" si="268"/>
        <v>8843.1593032195942</v>
      </c>
      <c r="AE81" s="83"/>
      <c r="AG81" s="257">
        <f>AG73</f>
        <v>0.02</v>
      </c>
      <c r="AH81" s="258">
        <f ca="1">AH73*$AK$69</f>
        <v>2128.9635034413045</v>
      </c>
      <c r="AI81" s="258">
        <f t="shared" ref="AI81:AL81" ca="1" si="269">AI73*$AK$69</f>
        <v>2272.0906312362554</v>
      </c>
      <c r="AJ81" s="258">
        <f t="shared" ca="1" si="269"/>
        <v>2411.6395808363322</v>
      </c>
      <c r="AK81" s="258">
        <f t="shared" ca="1" si="269"/>
        <v>2558.3448868261576</v>
      </c>
      <c r="AL81" s="258">
        <f t="shared" ca="1" si="269"/>
        <v>2701.4720146211084</v>
      </c>
      <c r="AM81" s="83"/>
      <c r="AO81" s="257">
        <f>AO73</f>
        <v>0.04</v>
      </c>
      <c r="AP81" s="258">
        <f ca="1">AP73*$AS$69</f>
        <v>4776.8474782998055</v>
      </c>
      <c r="AQ81" s="258">
        <f t="shared" ref="AQ81:AT81" ca="1" si="270">AQ73*$AS$69</f>
        <v>5152.0746192357446</v>
      </c>
      <c r="AR81" s="258">
        <f t="shared" ca="1" si="270"/>
        <v>5546.0631172184812</v>
      </c>
      <c r="AS81" s="258">
        <f t="shared" ca="1" si="270"/>
        <v>5902.528901107622</v>
      </c>
      <c r="AT81" s="258">
        <f t="shared" ca="1" si="270"/>
        <v>6277.7560420435611</v>
      </c>
    </row>
    <row r="82" spans="1:47" x14ac:dyDescent="0.3">
      <c r="A82" s="257">
        <f t="shared" ref="A82:A85" si="271">A74</f>
        <v>9.6600000000000005E-2</v>
      </c>
      <c r="B82" s="258">
        <f t="shared" ref="B82:F82" ca="1" si="272">B74*$E$69</f>
        <v>698.0914100710927</v>
      </c>
      <c r="C82" s="258">
        <f t="shared" ca="1" si="272"/>
        <v>1043.4229663035126</v>
      </c>
      <c r="D82" s="258">
        <f t="shared" ca="1" si="272"/>
        <v>1388.7545225359331</v>
      </c>
      <c r="E82" s="258">
        <f t="shared" ca="1" si="272"/>
        <v>1678.8330297711661</v>
      </c>
      <c r="F82" s="258">
        <f t="shared" ca="1" si="272"/>
        <v>2079.4176350007738</v>
      </c>
      <c r="G82" s="83"/>
      <c r="I82" s="257">
        <f t="shared" ref="I82:I85" si="273">I74</f>
        <v>8.48E-2</v>
      </c>
      <c r="J82" s="258">
        <f t="shared" ref="J82:N82" ca="1" si="274">J74*$M$69</f>
        <v>4593.1171605060217</v>
      </c>
      <c r="K82" s="258">
        <f t="shared" ca="1" si="274"/>
        <v>6083.6199375898686</v>
      </c>
      <c r="L82" s="258">
        <f t="shared" ca="1" si="274"/>
        <v>7574.1227146737128</v>
      </c>
      <c r="M82" s="258">
        <f t="shared" ca="1" si="274"/>
        <v>9660.8266025910998</v>
      </c>
      <c r="N82" s="258">
        <f t="shared" ca="1" si="274"/>
        <v>10555.128268841405</v>
      </c>
      <c r="O82" s="83"/>
      <c r="Q82" s="257">
        <f t="shared" ref="Q82:Q85" si="275">Q74</f>
        <v>0.1</v>
      </c>
      <c r="R82" s="258">
        <f t="shared" ref="R82:V82" ca="1" si="276">R74*$U$69</f>
        <v>1674.2558727033054</v>
      </c>
      <c r="S82" s="258">
        <f t="shared" ca="1" si="276"/>
        <v>2048.6609154601433</v>
      </c>
      <c r="T82" s="258">
        <f t="shared" ca="1" si="276"/>
        <v>2422.1299456100892</v>
      </c>
      <c r="U82" s="258">
        <f t="shared" ca="1" si="276"/>
        <v>2797.4710009738187</v>
      </c>
      <c r="V82" s="258">
        <f t="shared" ca="1" si="276"/>
        <v>3171.8760437306569</v>
      </c>
      <c r="W82" s="83"/>
      <c r="Y82" s="240">
        <f t="shared" ref="Y82:Y85" si="277">Y74</f>
        <v>0.09</v>
      </c>
      <c r="Z82" s="258">
        <f t="shared" ref="Z82:AD82" ca="1" si="278">Z74*$AC$69</f>
        <v>5234.3054181891021</v>
      </c>
      <c r="AA82" s="258">
        <f t="shared" ca="1" si="278"/>
        <v>6219.3447723530271</v>
      </c>
      <c r="AB82" s="258">
        <f t="shared" ca="1" si="278"/>
        <v>7155.1321588087521</v>
      </c>
      <c r="AC82" s="258">
        <f t="shared" ca="1" si="278"/>
        <v>8189.4234806808745</v>
      </c>
      <c r="AD82" s="258">
        <f t="shared" ca="1" si="278"/>
        <v>9174.4628348447968</v>
      </c>
      <c r="AE82" s="83"/>
      <c r="AG82" s="257">
        <f t="shared" ref="AG82:AG85" si="279">AG74</f>
        <v>0.04</v>
      </c>
      <c r="AH82" s="258">
        <f t="shared" ref="AH82:AL82" ca="1" si="280">AH74*$AK$69</f>
        <v>2206.8965271781749</v>
      </c>
      <c r="AI82" s="258">
        <f t="shared" ca="1" si="280"/>
        <v>2355.6915112448983</v>
      </c>
      <c r="AJ82" s="258">
        <f t="shared" ca="1" si="280"/>
        <v>2500.7666207099537</v>
      </c>
      <c r="AK82" s="258">
        <f t="shared" ca="1" si="280"/>
        <v>2653.2814793783455</v>
      </c>
      <c r="AL82" s="258">
        <f t="shared" ca="1" si="280"/>
        <v>2802.0764634450684</v>
      </c>
      <c r="AM82" s="83"/>
      <c r="AO82" s="257">
        <f t="shared" ref="AO82:AO85" si="281">AO74</f>
        <v>0.06</v>
      </c>
      <c r="AP82" s="258">
        <f t="shared" ref="AP82:AT82" ca="1" si="282">AP74*$AS$69</f>
        <v>4951.6944448601917</v>
      </c>
      <c r="AQ82" s="258">
        <f t="shared" ca="1" si="282"/>
        <v>5341.4921663428304</v>
      </c>
      <c r="AR82" s="258">
        <f t="shared" ca="1" si="282"/>
        <v>5750.7797738995987</v>
      </c>
      <c r="AS82" s="258">
        <f t="shared" ca="1" si="282"/>
        <v>6121.0876093081042</v>
      </c>
      <c r="AT82" s="258">
        <f t="shared" ca="1" si="282"/>
        <v>6510.885330790743</v>
      </c>
    </row>
    <row r="83" spans="1:47" x14ac:dyDescent="0.3">
      <c r="A83" s="257">
        <f t="shared" si="271"/>
        <v>0.12</v>
      </c>
      <c r="B83" s="258">
        <f t="shared" ref="B83:F83" ca="1" si="283">B75*$E$69</f>
        <v>757.67174775320041</v>
      </c>
      <c r="C83" s="258">
        <f t="shared" ca="1" si="283"/>
        <v>1117.8983884061479</v>
      </c>
      <c r="D83" s="258">
        <f t="shared" ca="1" si="283"/>
        <v>1478.1250290590947</v>
      </c>
      <c r="E83" s="258">
        <f t="shared" ca="1" si="283"/>
        <v>1780.7154072075712</v>
      </c>
      <c r="F83" s="258">
        <f t="shared" ca="1" si="283"/>
        <v>2198.5783103649892</v>
      </c>
      <c r="G83" s="83"/>
      <c r="I83" s="257">
        <f t="shared" si="273"/>
        <v>0.11</v>
      </c>
      <c r="J83" s="258">
        <f t="shared" ref="J83:N83" ca="1" si="284">J75*$M$69</f>
        <v>4908.3572503262903</v>
      </c>
      <c r="K83" s="258">
        <f t="shared" ca="1" si="284"/>
        <v>6468.9133807035305</v>
      </c>
      <c r="L83" s="258">
        <f t="shared" ca="1" si="284"/>
        <v>8029.4695110807679</v>
      </c>
      <c r="M83" s="258">
        <f t="shared" ca="1" si="284"/>
        <v>10214.248093608903</v>
      </c>
      <c r="N83" s="258">
        <f t="shared" ca="1" si="284"/>
        <v>11150.581771835245</v>
      </c>
      <c r="O83" s="83"/>
      <c r="Q83" s="257">
        <f t="shared" si="275"/>
        <v>0.12970000000000001</v>
      </c>
      <c r="R83" s="258">
        <f t="shared" ref="R83:V83" ca="1" si="285">R75*$U$69</f>
        <v>1776.7099406284997</v>
      </c>
      <c r="S83" s="258">
        <f t="shared" ca="1" si="285"/>
        <v>2171.6057969703761</v>
      </c>
      <c r="T83" s="258">
        <f t="shared" ca="1" si="285"/>
        <v>2565.5144136713989</v>
      </c>
      <c r="U83" s="258">
        <f t="shared" ca="1" si="285"/>
        <v>2961.3975096541308</v>
      </c>
      <c r="V83" s="258">
        <f t="shared" ca="1" si="285"/>
        <v>3356.2933659960058</v>
      </c>
      <c r="W83" s="83"/>
      <c r="Y83" s="240">
        <f t="shared" si="277"/>
        <v>0.109</v>
      </c>
      <c r="Z83" s="258">
        <f t="shared" ref="Z83:AD83" ca="1" si="286">Z75*$AC$69</f>
        <v>5416.1660600506411</v>
      </c>
      <c r="AA83" s="258">
        <f t="shared" ca="1" si="286"/>
        <v>6435.8455364739066</v>
      </c>
      <c r="AB83" s="258">
        <f t="shared" ca="1" si="286"/>
        <v>7404.5410390760062</v>
      </c>
      <c r="AC83" s="258">
        <f t="shared" ca="1" si="286"/>
        <v>8475.2044893204347</v>
      </c>
      <c r="AD83" s="258">
        <f t="shared" ca="1" si="286"/>
        <v>9494.8839657436984</v>
      </c>
      <c r="AE83" s="83"/>
      <c r="AG83" s="257">
        <f t="shared" si="279"/>
        <v>6.1600000000000002E-2</v>
      </c>
      <c r="AH83" s="258">
        <f t="shared" ref="AH83:AL83" ca="1" si="287">AH75*$AK$69</f>
        <v>2292.7638893627568</v>
      </c>
      <c r="AI83" s="258">
        <f t="shared" ca="1" si="287"/>
        <v>2447.8037724974497</v>
      </c>
      <c r="AJ83" s="258">
        <f t="shared" ca="1" si="287"/>
        <v>2598.9676585537759</v>
      </c>
      <c r="AK83" s="258">
        <f t="shared" ca="1" si="287"/>
        <v>2757.8835387668355</v>
      </c>
      <c r="AL83" s="258">
        <f t="shared" ca="1" si="287"/>
        <v>2912.9234219015289</v>
      </c>
      <c r="AM83" s="83"/>
      <c r="AO83" s="257">
        <f t="shared" si="281"/>
        <v>8.43E-2</v>
      </c>
      <c r="AP83" s="258">
        <f t="shared" ref="AP83:AT83" ca="1" si="288">AP75*$AS$69</f>
        <v>5168.614961874694</v>
      </c>
      <c r="AQ83" s="258">
        <f t="shared" ca="1" si="288"/>
        <v>5576.4893931085398</v>
      </c>
      <c r="AR83" s="258">
        <f t="shared" ca="1" si="288"/>
        <v>6004.7575459040791</v>
      </c>
      <c r="AS83" s="258">
        <f t="shared" ca="1" si="288"/>
        <v>6392.2382555762315</v>
      </c>
      <c r="AT83" s="258">
        <f t="shared" ca="1" si="288"/>
        <v>6800.1126868100773</v>
      </c>
    </row>
    <row r="84" spans="1:47" x14ac:dyDescent="0.3">
      <c r="A84" s="257">
        <f t="shared" si="271"/>
        <v>0.14000000000000001</v>
      </c>
      <c r="B84" s="258">
        <f t="shared" ref="B84:F84" ca="1" si="289">B76*$E$69</f>
        <v>809.59216917384254</v>
      </c>
      <c r="C84" s="258">
        <f t="shared" ca="1" si="289"/>
        <v>1182.7989151819497</v>
      </c>
      <c r="D84" s="258">
        <f t="shared" ca="1" si="289"/>
        <v>1556.0056611900577</v>
      </c>
      <c r="E84" s="258">
        <f t="shared" ca="1" si="289"/>
        <v>1869.4993278368688</v>
      </c>
      <c r="F84" s="258">
        <f t="shared" ca="1" si="289"/>
        <v>2302.4191532062737</v>
      </c>
      <c r="G84" s="83"/>
      <c r="I84" s="257">
        <f t="shared" si="273"/>
        <v>0.13500000000000001</v>
      </c>
      <c r="J84" s="258">
        <f t="shared" ref="J84:N84" ca="1" si="290">J76*$M$69</f>
        <v>5228.2484585710772</v>
      </c>
      <c r="K84" s="258">
        <f t="shared" ca="1" si="290"/>
        <v>6859.8915241138229</v>
      </c>
      <c r="L84" s="258">
        <f t="shared" ca="1" si="290"/>
        <v>8491.5345896565705</v>
      </c>
      <c r="M84" s="258">
        <f t="shared" ca="1" si="290"/>
        <v>10775.834881416415</v>
      </c>
      <c r="N84" s="258">
        <f t="shared" ca="1" si="290"/>
        <v>11754.82072074206</v>
      </c>
      <c r="O84" s="83"/>
      <c r="Q84" s="257">
        <f t="shared" si="275"/>
        <v>0.16</v>
      </c>
      <c r="R84" s="258">
        <f t="shared" ref="R84:V84" ca="1" si="291">R76*$U$69</f>
        <v>1884.0464669092028</v>
      </c>
      <c r="S84" s="258">
        <f t="shared" ca="1" si="291"/>
        <v>2300.4096285072201</v>
      </c>
      <c r="T84" s="258">
        <f t="shared" ca="1" si="291"/>
        <v>2715.7318822012421</v>
      </c>
      <c r="U84" s="258">
        <f t="shared" ca="1" si="291"/>
        <v>3133.1359517032547</v>
      </c>
      <c r="V84" s="258">
        <f t="shared" ca="1" si="291"/>
        <v>3549.4991133012718</v>
      </c>
      <c r="W84" s="83"/>
      <c r="Y84" s="240">
        <f t="shared" si="277"/>
        <v>0.13</v>
      </c>
      <c r="Z84" s="258">
        <f t="shared" ref="Z84:AD84" ca="1" si="292">Z76*$AC$69</f>
        <v>5620.8262050851708</v>
      </c>
      <c r="AA84" s="258">
        <f t="shared" ca="1" si="292"/>
        <v>6679.4885662769166</v>
      </c>
      <c r="AB84" s="258">
        <f t="shared" ca="1" si="292"/>
        <v>7685.2178094090768</v>
      </c>
      <c r="AC84" s="258">
        <f t="shared" ca="1" si="292"/>
        <v>8796.8132886604108</v>
      </c>
      <c r="AD84" s="258">
        <f t="shared" ca="1" si="292"/>
        <v>9855.4756498521547</v>
      </c>
      <c r="AE84" s="83"/>
      <c r="AG84" s="257">
        <f t="shared" si="279"/>
        <v>0.08</v>
      </c>
      <c r="AH84" s="258">
        <f t="shared" ref="AH84:AL84" ca="1" si="293">AH76*$AK$69</f>
        <v>2367.3023624424131</v>
      </c>
      <c r="AI84" s="258">
        <f t="shared" ca="1" si="293"/>
        <v>2527.7632254374444</v>
      </c>
      <c r="AJ84" s="258">
        <f t="shared" ca="1" si="293"/>
        <v>2684.2125668576</v>
      </c>
      <c r="AK84" s="258">
        <f t="shared" ca="1" si="293"/>
        <v>2848.6849514275077</v>
      </c>
      <c r="AL84" s="258">
        <f t="shared" ca="1" si="293"/>
        <v>3009.1458144225389</v>
      </c>
      <c r="AM84" s="83"/>
      <c r="AO84" s="257">
        <f t="shared" si="281"/>
        <v>0.1</v>
      </c>
      <c r="AP84" s="258">
        <f t="shared" ref="AP84:AT84" ca="1" si="294">AP76*$AS$69</f>
        <v>5311.3796332129859</v>
      </c>
      <c r="AQ84" s="258">
        <f t="shared" ca="1" si="294"/>
        <v>5731.1511203916898</v>
      </c>
      <c r="AR84" s="258">
        <f t="shared" ca="1" si="294"/>
        <v>6171.9111819293294</v>
      </c>
      <c r="AS84" s="258">
        <f t="shared" ca="1" si="294"/>
        <v>6570.6940947490957</v>
      </c>
      <c r="AT84" s="258">
        <f t="shared" ca="1" si="294"/>
        <v>6990.4655819278014</v>
      </c>
    </row>
    <row r="85" spans="1:47" x14ac:dyDescent="0.3">
      <c r="A85" s="257">
        <f t="shared" si="271"/>
        <v>0.16</v>
      </c>
      <c r="B85" s="258">
        <f t="shared" ref="B85:F85" ca="1" si="295">B77*$E$69</f>
        <v>862.43153610635318</v>
      </c>
      <c r="C85" s="258">
        <f t="shared" ca="1" si="295"/>
        <v>1248.8481238475886</v>
      </c>
      <c r="D85" s="258">
        <f t="shared" ca="1" si="295"/>
        <v>1635.264711588824</v>
      </c>
      <c r="E85" s="258">
        <f t="shared" ca="1" si="295"/>
        <v>1959.8546452914625</v>
      </c>
      <c r="F85" s="258">
        <f t="shared" ca="1" si="295"/>
        <v>2408.0978870712947</v>
      </c>
      <c r="G85" s="83"/>
      <c r="I85" s="257">
        <f t="shared" si="273"/>
        <v>0.16</v>
      </c>
      <c r="J85" s="258">
        <f t="shared" ref="J85:N85" ca="1" si="296">J77*$M$69</f>
        <v>5555.2641926119604</v>
      </c>
      <c r="K85" s="258">
        <f t="shared" ca="1" si="296"/>
        <v>7259.5774212749029</v>
      </c>
      <c r="L85" s="258">
        <f t="shared" ca="1" si="296"/>
        <v>8963.8906499378445</v>
      </c>
      <c r="M85" s="258">
        <f t="shared" ca="1" si="296"/>
        <v>11349.929170065963</v>
      </c>
      <c r="N85" s="258">
        <f t="shared" ca="1" si="296"/>
        <v>12372.517107263729</v>
      </c>
      <c r="O85" s="83"/>
      <c r="Q85" s="257">
        <f t="shared" si="275"/>
        <v>0.19</v>
      </c>
      <c r="R85" s="258">
        <f t="shared" ref="R85:V85" ca="1" si="297">R77*$U$69</f>
        <v>1993.1190103569593</v>
      </c>
      <c r="S85" s="258">
        <f t="shared" ca="1" si="297"/>
        <v>2431.2966806445274</v>
      </c>
      <c r="T85" s="258">
        <f t="shared" ca="1" si="297"/>
        <v>2868.3789067563775</v>
      </c>
      <c r="U85" s="258">
        <f t="shared" ca="1" si="297"/>
        <v>3307.6520212196656</v>
      </c>
      <c r="V85" s="258">
        <f t="shared" ca="1" si="297"/>
        <v>3745.8296915072342</v>
      </c>
      <c r="W85" s="83"/>
      <c r="Y85" s="240">
        <f t="shared" si="277"/>
        <v>0.15</v>
      </c>
      <c r="Z85" s="258">
        <f t="shared" ref="Z85:AD85" ca="1" si="298">Z77*$AC$69</f>
        <v>5819.3098524101797</v>
      </c>
      <c r="AA85" s="258">
        <f t="shared" ca="1" si="298"/>
        <v>6915.7786226162143</v>
      </c>
      <c r="AB85" s="258">
        <f t="shared" ca="1" si="298"/>
        <v>7957.4239543119456</v>
      </c>
      <c r="AC85" s="258">
        <f t="shared" ca="1" si="298"/>
        <v>9108.7161630282808</v>
      </c>
      <c r="AD85" s="258">
        <f t="shared" ca="1" si="298"/>
        <v>10205.184933234315</v>
      </c>
      <c r="AE85" s="83"/>
      <c r="AG85" s="257">
        <f t="shared" si="279"/>
        <v>0.1</v>
      </c>
      <c r="AH85" s="258">
        <f t="shared" ref="AH85:AL85" ca="1" si="299">AH77*$AK$69</f>
        <v>2449.7751739697806</v>
      </c>
      <c r="AI85" s="258">
        <f t="shared" ca="1" si="299"/>
        <v>2616.2340596213476</v>
      </c>
      <c r="AJ85" s="258">
        <f t="shared" ca="1" si="299"/>
        <v>2778.5314731316262</v>
      </c>
      <c r="AK85" s="258">
        <f t="shared" ca="1" si="299"/>
        <v>2949.151830924483</v>
      </c>
      <c r="AL85" s="258">
        <f t="shared" ca="1" si="299"/>
        <v>3115.6107165760495</v>
      </c>
      <c r="AM85" s="83"/>
      <c r="AO85" s="257">
        <f t="shared" si="281"/>
        <v>0.12</v>
      </c>
      <c r="AP85" s="258">
        <f t="shared" ref="AP85:AT85" ca="1" si="300">AP77*$AS$69</f>
        <v>5496.2178550053932</v>
      </c>
      <c r="AQ85" s="258">
        <f t="shared" ca="1" si="300"/>
        <v>5931.3925273334644</v>
      </c>
      <c r="AR85" s="258">
        <f t="shared" ca="1" si="300"/>
        <v>6388.3259332779389</v>
      </c>
      <c r="AS85" s="258">
        <f t="shared" ca="1" si="300"/>
        <v>6801.7418719896068</v>
      </c>
      <c r="AT85" s="258">
        <f t="shared" ca="1" si="300"/>
        <v>7236.9165443176771</v>
      </c>
    </row>
    <row r="87" spans="1:47" ht="18" x14ac:dyDescent="0.3">
      <c r="A87" s="397" t="s">
        <v>415</v>
      </c>
      <c r="B87" s="397"/>
      <c r="C87" s="397"/>
      <c r="D87" s="397"/>
      <c r="E87" s="397"/>
      <c r="F87" s="405" t="e" vm="4">
        <v>#VALUE!</v>
      </c>
      <c r="G87" s="406"/>
      <c r="I87" s="409" t="s">
        <v>415</v>
      </c>
      <c r="J87" s="410"/>
      <c r="K87" s="410"/>
      <c r="L87" s="410"/>
      <c r="M87" s="410"/>
      <c r="N87" s="384" t="e" vm="6">
        <v>#VALUE!</v>
      </c>
      <c r="O87" s="385"/>
      <c r="Q87" s="401" t="s">
        <v>415</v>
      </c>
      <c r="R87" s="402"/>
      <c r="S87" s="402"/>
      <c r="T87" s="402"/>
      <c r="U87" s="412"/>
      <c r="V87" s="417" t="e" vm="5">
        <v>#VALUE!</v>
      </c>
      <c r="W87" s="381"/>
      <c r="Y87" s="403" t="s">
        <v>415</v>
      </c>
      <c r="Z87" s="404"/>
      <c r="AA87" s="404"/>
      <c r="AB87" s="404"/>
      <c r="AC87" s="404"/>
      <c r="AD87" s="392" t="e" vm="3">
        <v>#VALUE!</v>
      </c>
      <c r="AE87" s="393"/>
      <c r="AG87" s="388" t="s">
        <v>415</v>
      </c>
      <c r="AH87" s="389"/>
      <c r="AI87" s="389"/>
      <c r="AJ87" s="389"/>
      <c r="AK87" s="389"/>
      <c r="AL87" s="392" t="e" vm="1">
        <v>#VALUE!</v>
      </c>
      <c r="AM87" s="393"/>
      <c r="AO87" s="390" t="s">
        <v>415</v>
      </c>
      <c r="AP87" s="391"/>
      <c r="AQ87" s="391"/>
      <c r="AR87" s="391"/>
      <c r="AS87" s="391"/>
      <c r="AT87" s="384" t="e" vm="2">
        <v>#VALUE!</v>
      </c>
      <c r="AU87" s="385"/>
    </row>
    <row r="88" spans="1:47" x14ac:dyDescent="0.3">
      <c r="A88" s="242" t="s">
        <v>567</v>
      </c>
      <c r="B88" s="243" t="s">
        <v>568</v>
      </c>
      <c r="C88" s="243" t="s">
        <v>569</v>
      </c>
      <c r="D88" s="243" t="s">
        <v>570</v>
      </c>
      <c r="E88" s="243" t="s">
        <v>571</v>
      </c>
      <c r="F88" s="277" t="s">
        <v>572</v>
      </c>
      <c r="G88" s="276" t="s">
        <v>483</v>
      </c>
      <c r="I88" s="303" t="s">
        <v>567</v>
      </c>
      <c r="J88" s="304" t="s">
        <v>573</v>
      </c>
      <c r="K88" s="304" t="s">
        <v>574</v>
      </c>
      <c r="L88" s="304" t="s">
        <v>575</v>
      </c>
      <c r="M88" s="304" t="s">
        <v>576</v>
      </c>
      <c r="N88" s="304" t="s">
        <v>577</v>
      </c>
      <c r="O88" s="305" t="s">
        <v>483</v>
      </c>
      <c r="Q88" s="311" t="s">
        <v>567</v>
      </c>
      <c r="R88" s="312">
        <v>0.2</v>
      </c>
      <c r="S88" s="312">
        <v>0.24</v>
      </c>
      <c r="T88" s="312">
        <v>0.27989999999999998</v>
      </c>
      <c r="U88" s="312">
        <v>0.32</v>
      </c>
      <c r="V88" s="312">
        <v>0.36</v>
      </c>
      <c r="W88" s="313" t="s">
        <v>483</v>
      </c>
      <c r="Y88" s="316" t="s">
        <v>567</v>
      </c>
      <c r="Z88" s="317">
        <v>0.21</v>
      </c>
      <c r="AA88" s="317">
        <v>0.25</v>
      </c>
      <c r="AB88" s="317">
        <v>0.28799999999999998</v>
      </c>
      <c r="AC88" s="317">
        <v>0.33</v>
      </c>
      <c r="AD88" s="317">
        <v>0.37</v>
      </c>
      <c r="AE88" s="318" t="s">
        <v>483</v>
      </c>
      <c r="AG88" s="248" t="s">
        <v>567</v>
      </c>
      <c r="AH88" s="249">
        <v>0.27500000000000002</v>
      </c>
      <c r="AI88" s="249">
        <v>0.29499999999999998</v>
      </c>
      <c r="AJ88" s="249">
        <v>0.3145</v>
      </c>
      <c r="AK88" s="249">
        <v>0.33500000000000002</v>
      </c>
      <c r="AL88" s="249">
        <v>0.35499999999999998</v>
      </c>
      <c r="AM88" s="322" t="s">
        <v>483</v>
      </c>
      <c r="AO88" s="336" t="s">
        <v>567</v>
      </c>
      <c r="AP88" s="337" t="s">
        <v>595</v>
      </c>
      <c r="AQ88" s="337" t="s">
        <v>575</v>
      </c>
      <c r="AR88" s="337" t="s">
        <v>611</v>
      </c>
      <c r="AS88" s="337" t="s">
        <v>570</v>
      </c>
      <c r="AT88" s="337" t="s">
        <v>612</v>
      </c>
      <c r="AU88" s="120" t="s">
        <v>483</v>
      </c>
    </row>
    <row r="89" spans="1:47" x14ac:dyDescent="0.3">
      <c r="A89" s="240">
        <f>A81</f>
        <v>0.08</v>
      </c>
      <c r="B89" s="241">
        <f>$G$89*Table75116[[#Headers],[20.0%]]</f>
        <v>2446.8645888000005</v>
      </c>
      <c r="C89" s="241">
        <f>$G$89*Table75116[[#Headers],[25.0%]]</f>
        <v>3058.5807360000008</v>
      </c>
      <c r="D89" s="241">
        <f>$G$89*Table75116[[#Headers],[30.0%]]</f>
        <v>3670.296883200001</v>
      </c>
      <c r="E89" s="241">
        <f>$G$89*Table75116[[#Headers],[34.2%]]</f>
        <v>4184.138446848001</v>
      </c>
      <c r="F89" s="241">
        <f>$G$89*Table75116[[#Headers],[40.0%]]</f>
        <v>4893.7291776000011</v>
      </c>
      <c r="G89" s="275">
        <f>G54*(1+Table75116[[#This Row],[Growth]])</f>
        <v>12234.322944000003</v>
      </c>
      <c r="I89" s="300">
        <f>I81</f>
        <v>0.06</v>
      </c>
      <c r="J89" s="301">
        <f>$O$89*J88</f>
        <v>11693.188327622402</v>
      </c>
      <c r="K89" s="301">
        <f t="shared" ref="K89:N89" si="301">$O$89*K88</f>
        <v>14291.674622649603</v>
      </c>
      <c r="L89" s="301">
        <f t="shared" si="301"/>
        <v>16890.160917676803</v>
      </c>
      <c r="M89" s="301">
        <f t="shared" si="301"/>
        <v>20528.041730714885</v>
      </c>
      <c r="N89" s="301">
        <f t="shared" si="301"/>
        <v>22087.133507731207</v>
      </c>
      <c r="O89" s="299">
        <f>O54*(1+I89)</f>
        <v>64962.157375680014</v>
      </c>
      <c r="Q89" s="300">
        <f>Q81</f>
        <v>7.0000000000000007E-2</v>
      </c>
      <c r="R89" s="301">
        <f>$W$89*R88</f>
        <v>3122.4459503780008</v>
      </c>
      <c r="S89" s="301">
        <f t="shared" ref="S89:V89" si="302">$W$89*S88</f>
        <v>3746.9351404536005</v>
      </c>
      <c r="T89" s="301">
        <f t="shared" si="302"/>
        <v>4369.8631075540115</v>
      </c>
      <c r="U89" s="301">
        <f t="shared" si="302"/>
        <v>4995.9135206048013</v>
      </c>
      <c r="V89" s="301">
        <f t="shared" si="302"/>
        <v>5620.4027106804006</v>
      </c>
      <c r="W89" s="299">
        <f>W54*(1+Q89)</f>
        <v>15612.229751890003</v>
      </c>
      <c r="Y89" s="300">
        <f>Y81</f>
        <v>7.0000000000000007E-2</v>
      </c>
      <c r="Z89" s="301">
        <f>$AE$89*Z88</f>
        <v>8680.2283830360029</v>
      </c>
      <c r="AA89" s="301">
        <f t="shared" ref="AA89:AD89" si="303">$AE$89*AA88</f>
        <v>10333.605217900003</v>
      </c>
      <c r="AB89" s="301">
        <f t="shared" si="303"/>
        <v>11904.313211020803</v>
      </c>
      <c r="AC89" s="301">
        <f t="shared" si="303"/>
        <v>13640.358887628005</v>
      </c>
      <c r="AD89" s="301">
        <f t="shared" si="303"/>
        <v>15293.735722492005</v>
      </c>
      <c r="AE89" s="296">
        <f>AE54*(1+Y89)</f>
        <v>41334.420871600014</v>
      </c>
      <c r="AG89" s="246">
        <f>AG73</f>
        <v>0.02</v>
      </c>
      <c r="AH89" s="251">
        <f>$AM$89*AH88</f>
        <v>3367.5568153920003</v>
      </c>
      <c r="AI89" s="251">
        <f t="shared" ref="AI89:AL89" si="304">$AM$89*AI88</f>
        <v>3612.4700383295999</v>
      </c>
      <c r="AJ89" s="251">
        <f t="shared" si="304"/>
        <v>3851.2604306937601</v>
      </c>
      <c r="AK89" s="251">
        <f t="shared" si="304"/>
        <v>4102.2964842048004</v>
      </c>
      <c r="AL89" s="251">
        <f t="shared" si="304"/>
        <v>4347.2097071423996</v>
      </c>
      <c r="AM89" s="323">
        <f>AM54*(1+AG89)</f>
        <v>12245.66114688</v>
      </c>
      <c r="AO89" s="343">
        <f>AO81</f>
        <v>0.04</v>
      </c>
      <c r="AP89" s="323">
        <f>$AU$89*Table195[[#Headers],[24.0%]]</f>
        <v>7669.6350142464007</v>
      </c>
      <c r="AQ89" s="323">
        <f>$AU$89*Table195[[#Headers],[26.0%]]</f>
        <v>8308.771265433601</v>
      </c>
      <c r="AR89" s="323">
        <f>$AU$89*Table195[[#Headers],[28.1%]]</f>
        <v>8979.8643291801618</v>
      </c>
      <c r="AS89" s="323">
        <f>$AU$89*Table195[[#Headers],[30.0%]]</f>
        <v>9587.0437678080016</v>
      </c>
      <c r="AT89" s="323">
        <f>$AU$89*Table195[[#Headers],[32.0%]]</f>
        <v>10226.180018995203</v>
      </c>
      <c r="AU89" s="84">
        <f>AU54*(1+Table195[[#This Row],[Growth]])</f>
        <v>31956.812559360005</v>
      </c>
    </row>
    <row r="90" spans="1:47" x14ac:dyDescent="0.3">
      <c r="A90" s="240">
        <f t="shared" ref="A90:A93" si="305">A82</f>
        <v>9.6600000000000005E-2</v>
      </c>
      <c r="B90" s="241">
        <f>$G$90*Table75116[[#Headers],[20.0%]]</f>
        <v>2561.4353215311107</v>
      </c>
      <c r="C90" s="241">
        <f>$G$90*Table75116[[#Headers],[25.0%]]</f>
        <v>3201.7941519138881</v>
      </c>
      <c r="D90" s="241">
        <f>$G$90*Table75116[[#Headers],[30.0%]]</f>
        <v>3842.1529822966654</v>
      </c>
      <c r="E90" s="241">
        <f>$G$90*Table75116[[#Headers],[34.2%]]</f>
        <v>4380.0543998181993</v>
      </c>
      <c r="F90" s="241">
        <f>$G$90*Table75116[[#Headers],[40.0%]]</f>
        <v>5122.8706430622215</v>
      </c>
      <c r="G90" s="275">
        <f>G55*(1+Table75116[[#This Row],[Growth]])</f>
        <v>12807.176607655552</v>
      </c>
      <c r="I90" s="246">
        <f t="shared" ref="I90:I93" si="306">I82</f>
        <v>8.48E-2</v>
      </c>
      <c r="J90" s="301">
        <f>$O$90*J88</f>
        <v>12533.269495650113</v>
      </c>
      <c r="K90" s="301">
        <f t="shared" ref="K90:N90" si="307">$O$90*K88</f>
        <v>15318.440494683471</v>
      </c>
      <c r="L90" s="301">
        <f t="shared" si="307"/>
        <v>18103.611493716831</v>
      </c>
      <c r="M90" s="301">
        <f t="shared" si="307"/>
        <v>22002.850892363531</v>
      </c>
      <c r="N90" s="301">
        <f t="shared" si="307"/>
        <v>23673.953491783548</v>
      </c>
      <c r="O90" s="299">
        <f t="shared" ref="O90:O93" si="308">O55*(1+I90)</f>
        <v>69629.274975833963</v>
      </c>
      <c r="Q90" s="300">
        <f t="shared" ref="Q90:Q93" si="309">Q82</f>
        <v>0.1</v>
      </c>
      <c r="R90" s="301">
        <f>$W$90*R88</f>
        <v>3392.5140260000007</v>
      </c>
      <c r="S90" s="301">
        <f t="shared" ref="S90:V90" si="310">$W$90*S88</f>
        <v>4071.0168312000005</v>
      </c>
      <c r="T90" s="301">
        <f t="shared" si="310"/>
        <v>4747.8233793870004</v>
      </c>
      <c r="U90" s="301">
        <f t="shared" si="310"/>
        <v>5428.022441600001</v>
      </c>
      <c r="V90" s="301">
        <f t="shared" si="310"/>
        <v>6106.5252468000008</v>
      </c>
      <c r="W90" s="299">
        <f t="shared" ref="W90:W93" si="311">W55*(1+Q90)</f>
        <v>16962.570130000004</v>
      </c>
      <c r="Y90" s="300">
        <f t="shared" ref="Y90:Y93" si="312">Y82</f>
        <v>0.09</v>
      </c>
      <c r="Z90" s="241">
        <f>$AE$90*Z88</f>
        <v>9176.1248239080032</v>
      </c>
      <c r="AA90" s="241">
        <f t="shared" ref="AA90:AD90" si="313">$AE$90*AA88</f>
        <v>10923.958123700004</v>
      </c>
      <c r="AB90" s="241">
        <f t="shared" si="313"/>
        <v>12584.399758502403</v>
      </c>
      <c r="AC90" s="241">
        <f t="shared" si="313"/>
        <v>14419.624723284005</v>
      </c>
      <c r="AD90" s="241">
        <f t="shared" si="313"/>
        <v>16167.458023076006</v>
      </c>
      <c r="AE90" s="296">
        <f t="shared" ref="AE90:AE93" si="314">AE55*(1+Y90)</f>
        <v>43695.832494800015</v>
      </c>
      <c r="AG90" s="246">
        <f t="shared" ref="AG90:AG93" si="315">AG74</f>
        <v>0.04</v>
      </c>
      <c r="AH90" s="241">
        <f>$AM$90*AH88</f>
        <v>3569.5579279360013</v>
      </c>
      <c r="AI90" s="241">
        <f t="shared" ref="AI90:AL90" si="316">$AM$90*AI88</f>
        <v>3829.1621408768005</v>
      </c>
      <c r="AJ90" s="241">
        <f t="shared" si="316"/>
        <v>4082.2762484940808</v>
      </c>
      <c r="AK90" s="241">
        <f t="shared" si="316"/>
        <v>4348.3705667584009</v>
      </c>
      <c r="AL90" s="241">
        <f t="shared" si="316"/>
        <v>4607.9747796992006</v>
      </c>
      <c r="AM90" s="323">
        <f t="shared" ref="AM90:AM93" si="317">AM55*(1+AG90)</f>
        <v>12980.210647040003</v>
      </c>
      <c r="AO90" s="343">
        <f t="shared" ref="AO90:AO93" si="318">AO82</f>
        <v>0.06</v>
      </c>
      <c r="AP90" s="162">
        <f>$AU$90*Table195[[#Headers],[24.0%]]</f>
        <v>8120.6777140416007</v>
      </c>
      <c r="AQ90" s="162">
        <f>$AU$90*Table195[[#Headers],[26.0%]]</f>
        <v>8797.4008568784011</v>
      </c>
      <c r="AR90" s="162">
        <f>$AU$90*Table195[[#Headers],[28.1%]]</f>
        <v>9507.9601568570433</v>
      </c>
      <c r="AS90" s="162">
        <f>$AU$90*Table195[[#Headers],[30.0%]]</f>
        <v>10150.847142552002</v>
      </c>
      <c r="AT90" s="162">
        <f>$AU$90*Table195[[#Headers],[32.0%]]</f>
        <v>10827.570285388801</v>
      </c>
      <c r="AU90" s="84">
        <f>AU55*(1+Table195[[#This Row],[Growth]])</f>
        <v>33836.157141840005</v>
      </c>
    </row>
    <row r="91" spans="1:47" x14ac:dyDescent="0.3">
      <c r="A91" s="240">
        <f t="shared" si="305"/>
        <v>0.12</v>
      </c>
      <c r="B91" s="241">
        <f>$G$91*Table75116[[#Headers],[20.0%]]</f>
        <v>2728.9321472000011</v>
      </c>
      <c r="C91" s="241">
        <f>$G$91*Table75116[[#Headers],[25.0%]]</f>
        <v>3411.1651840000009</v>
      </c>
      <c r="D91" s="241">
        <f>$G$91*Table75116[[#Headers],[30.0%]]</f>
        <v>4093.3982208000007</v>
      </c>
      <c r="E91" s="241">
        <f>$G$91*Table75116[[#Headers],[34.2%]]</f>
        <v>4666.4739717120019</v>
      </c>
      <c r="F91" s="241">
        <f>$G$91*Table75116[[#Headers],[40.0%]]</f>
        <v>5457.8642944000021</v>
      </c>
      <c r="G91" s="275">
        <f>G56*(1+Table75116[[#This Row],[Growth]])</f>
        <v>13644.660736000003</v>
      </c>
      <c r="I91" s="246">
        <f t="shared" si="306"/>
        <v>0.11</v>
      </c>
      <c r="J91" s="301">
        <f>$O$91*J88</f>
        <v>13427.163737258405</v>
      </c>
      <c r="K91" s="301">
        <f t="shared" ref="K91:N91" si="319">$O$91*K88</f>
        <v>16410.977901093607</v>
      </c>
      <c r="L91" s="301">
        <f t="shared" si="319"/>
        <v>19394.79206492881</v>
      </c>
      <c r="M91" s="301">
        <f t="shared" si="319"/>
        <v>23572.131894298091</v>
      </c>
      <c r="N91" s="301">
        <f t="shared" si="319"/>
        <v>25362.420392599211</v>
      </c>
      <c r="O91" s="299">
        <f t="shared" si="308"/>
        <v>74595.354095880029</v>
      </c>
      <c r="Q91" s="300">
        <f t="shared" si="309"/>
        <v>0.12970000000000001</v>
      </c>
      <c r="R91" s="301">
        <f>$W$91*R88</f>
        <v>3674.7938651344348</v>
      </c>
      <c r="S91" s="301">
        <f t="shared" ref="S91:V91" si="320">$W$91*S88</f>
        <v>4409.7526381613216</v>
      </c>
      <c r="T91" s="301">
        <f t="shared" si="320"/>
        <v>5142.8740142556408</v>
      </c>
      <c r="U91" s="301">
        <f t="shared" si="320"/>
        <v>5879.6701842150951</v>
      </c>
      <c r="V91" s="301">
        <f t="shared" si="320"/>
        <v>6614.6289572419819</v>
      </c>
      <c r="W91" s="299">
        <f t="shared" si="311"/>
        <v>18373.969325672173</v>
      </c>
      <c r="Y91" s="300">
        <f t="shared" si="312"/>
        <v>0.109</v>
      </c>
      <c r="Z91" s="247">
        <f>$AE$91*Z88</f>
        <v>9664.3902230599087</v>
      </c>
      <c r="AA91" s="247">
        <f t="shared" ref="AA91:AD91" si="321">$AE$91*AA88</f>
        <v>11505.226456023702</v>
      </c>
      <c r="AB91" s="247">
        <f t="shared" si="321"/>
        <v>13254.020877339304</v>
      </c>
      <c r="AC91" s="247">
        <f t="shared" si="321"/>
        <v>15186.898921951288</v>
      </c>
      <c r="AD91" s="247">
        <f t="shared" si="321"/>
        <v>17027.735154915077</v>
      </c>
      <c r="AE91" s="296">
        <f t="shared" si="314"/>
        <v>46020.905824094807</v>
      </c>
      <c r="AG91" s="246">
        <f t="shared" si="315"/>
        <v>6.1600000000000002E-2</v>
      </c>
      <c r="AH91" s="251">
        <f>$AM$91*AH88</f>
        <v>3796.6201284406757</v>
      </c>
      <c r="AI91" s="251">
        <f t="shared" ref="AI91:AL91" si="322">$AM$91*AI88</f>
        <v>4072.7379559636333</v>
      </c>
      <c r="AJ91" s="251">
        <f t="shared" si="322"/>
        <v>4341.952837798518</v>
      </c>
      <c r="AK91" s="251">
        <f t="shared" si="322"/>
        <v>4624.97361100955</v>
      </c>
      <c r="AL91" s="251">
        <f t="shared" si="322"/>
        <v>4901.0914385325077</v>
      </c>
      <c r="AM91" s="323">
        <f t="shared" si="317"/>
        <v>13805.891376147911</v>
      </c>
      <c r="AO91" s="343">
        <f t="shared" si="318"/>
        <v>8.43E-2</v>
      </c>
      <c r="AP91" s="323">
        <f>$AU$91*Table195[[#Headers],[24.0%]]</f>
        <v>8692.0667438042037</v>
      </c>
      <c r="AQ91" s="323">
        <f>$AU$91*Table195[[#Headers],[26.0%]]</f>
        <v>9416.4056391212216</v>
      </c>
      <c r="AR91" s="323">
        <f>$AU$91*Table195[[#Headers],[28.1%]]</f>
        <v>10176.96147920409</v>
      </c>
      <c r="AS91" s="323">
        <f>$AU$91*Table195[[#Headers],[30.0%]]</f>
        <v>10865.083429755256</v>
      </c>
      <c r="AT91" s="323">
        <f>$AU$91*Table195[[#Headers],[32.0%]]</f>
        <v>11589.422325072272</v>
      </c>
      <c r="AU91" s="84">
        <f>AU56*(1+Table195[[#This Row],[Growth]])</f>
        <v>36216.944765850851</v>
      </c>
    </row>
    <row r="92" spans="1:47" x14ac:dyDescent="0.3">
      <c r="A92" s="240">
        <f t="shared" si="305"/>
        <v>0.14000000000000001</v>
      </c>
      <c r="B92" s="241">
        <f>$G$92*Table75116[[#Headers],[20.0%]]</f>
        <v>2877.7510656000013</v>
      </c>
      <c r="C92" s="241">
        <f>$G$92*Table75116[[#Headers],[25.0%]]</f>
        <v>3597.1888320000016</v>
      </c>
      <c r="D92" s="241">
        <f>$G$92*Table75116[[#Headers],[30.0%]]</f>
        <v>4316.626598400002</v>
      </c>
      <c r="E92" s="241">
        <f>$G$92*Table75116[[#Headers],[34.2%]]</f>
        <v>4920.9543221760023</v>
      </c>
      <c r="F92" s="241">
        <f>$G$92*Table75116[[#Headers],[40.0%]]</f>
        <v>5755.5021312000026</v>
      </c>
      <c r="G92" s="275">
        <f>G57*(1+Table75116[[#This Row],[Growth]])</f>
        <v>14388.755328000007</v>
      </c>
      <c r="I92" s="246">
        <f t="shared" si="306"/>
        <v>0.13500000000000001</v>
      </c>
      <c r="J92" s="301">
        <f>$O$92*J88</f>
        <v>14354.9912850489</v>
      </c>
      <c r="K92" s="301">
        <f t="shared" ref="K92:N92" si="323">$O$92*K88</f>
        <v>17544.989348393101</v>
      </c>
      <c r="L92" s="301">
        <f t="shared" si="323"/>
        <v>20734.9874117373</v>
      </c>
      <c r="M92" s="301">
        <f t="shared" si="323"/>
        <v>25200.98470041918</v>
      </c>
      <c r="N92" s="301">
        <f t="shared" si="323"/>
        <v>27114.983538425702</v>
      </c>
      <c r="O92" s="299">
        <f t="shared" si="308"/>
        <v>79749.951583604998</v>
      </c>
      <c r="Q92" s="300">
        <f t="shared" si="309"/>
        <v>0.16</v>
      </c>
      <c r="R92" s="301">
        <f>$W$92*R88</f>
        <v>3978.4835260159994</v>
      </c>
      <c r="S92" s="301">
        <f t="shared" ref="S92:V92" si="324">$W$92*S88</f>
        <v>4774.1802312191985</v>
      </c>
      <c r="T92" s="301">
        <f t="shared" si="324"/>
        <v>5567.88769465939</v>
      </c>
      <c r="U92" s="301">
        <f t="shared" si="324"/>
        <v>6365.5736416255986</v>
      </c>
      <c r="V92" s="301">
        <f t="shared" si="324"/>
        <v>7161.2703468287982</v>
      </c>
      <c r="W92" s="299">
        <f t="shared" si="311"/>
        <v>19892.417630079995</v>
      </c>
      <c r="Y92" s="300">
        <f t="shared" si="312"/>
        <v>0.13</v>
      </c>
      <c r="Z92" s="241">
        <f>$AE$92*Z88</f>
        <v>10223.866013843999</v>
      </c>
      <c r="AA92" s="241">
        <f t="shared" ref="AA92:AD92" si="325">$AE$92*AA88</f>
        <v>12171.269064099999</v>
      </c>
      <c r="AB92" s="241">
        <f t="shared" si="325"/>
        <v>14021.301961843197</v>
      </c>
      <c r="AC92" s="241">
        <f t="shared" si="325"/>
        <v>16066.075164611999</v>
      </c>
      <c r="AD92" s="241">
        <f t="shared" si="325"/>
        <v>18013.478214867999</v>
      </c>
      <c r="AE92" s="296">
        <f t="shared" si="314"/>
        <v>48685.076256399996</v>
      </c>
      <c r="AG92" s="246">
        <f t="shared" si="315"/>
        <v>0.08</v>
      </c>
      <c r="AH92" s="241">
        <f>$AM$92*AH88</f>
        <v>3997.4743226880014</v>
      </c>
      <c r="AI92" s="241">
        <f t="shared" ref="AI92:AL92" si="326">$AM$92*AI88</f>
        <v>4288.199727974401</v>
      </c>
      <c r="AJ92" s="241">
        <f t="shared" si="326"/>
        <v>4571.6569981286411</v>
      </c>
      <c r="AK92" s="241">
        <f t="shared" si="326"/>
        <v>4869.6505385472019</v>
      </c>
      <c r="AL92" s="241">
        <f t="shared" si="326"/>
        <v>5160.375943833601</v>
      </c>
      <c r="AM92" s="323">
        <f t="shared" si="317"/>
        <v>14536.270264320005</v>
      </c>
      <c r="AO92" s="343">
        <f t="shared" si="318"/>
        <v>0.1</v>
      </c>
      <c r="AP92" s="162">
        <f>$AU$92*Table195[[#Headers],[24.0%]]</f>
        <v>9075.1274856000036</v>
      </c>
      <c r="AQ92" s="162">
        <f>$AU$92*Table195[[#Headers],[26.0%]]</f>
        <v>9831.3881094000044</v>
      </c>
      <c r="AR92" s="162">
        <f>$AU$92*Table195[[#Headers],[28.1%]]</f>
        <v>10625.461764390006</v>
      </c>
      <c r="AS92" s="162">
        <f>$AU$92*Table195[[#Headers],[30.0%]]</f>
        <v>11343.909357000004</v>
      </c>
      <c r="AT92" s="162">
        <f>$AU$92*Table195[[#Headers],[32.0%]]</f>
        <v>12100.169980800005</v>
      </c>
      <c r="AU92" s="84">
        <f>AU57*(1+Table195[[#This Row],[Growth]])</f>
        <v>37813.031190000016</v>
      </c>
    </row>
    <row r="93" spans="1:47" x14ac:dyDescent="0.3">
      <c r="A93" s="240">
        <f t="shared" si="305"/>
        <v>0.16</v>
      </c>
      <c r="B93" s="241">
        <f>$G$93*Table75116[[#Headers],[20.0%]]</f>
        <v>3031.8843904</v>
      </c>
      <c r="C93" s="241">
        <f>$G$93*Table75116[[#Headers],[25.0%]]</f>
        <v>3789.8554879999997</v>
      </c>
      <c r="D93" s="241">
        <f>$G$93*Table75116[[#Headers],[30.0%]]</f>
        <v>4547.8265855999998</v>
      </c>
      <c r="E93" s="241">
        <f>$G$93*Table75116[[#Headers],[34.2%]]</f>
        <v>5184.5223075840004</v>
      </c>
      <c r="F93" s="241">
        <f>$G$93*Table75116[[#Headers],[40.0%]]</f>
        <v>6063.7687808000001</v>
      </c>
      <c r="G93" s="275">
        <f>G58*(1+Table75116[[#This Row],[Growth]])</f>
        <v>15159.421951999999</v>
      </c>
      <c r="I93" s="246">
        <f t="shared" si="306"/>
        <v>0.16</v>
      </c>
      <c r="J93" s="301">
        <f>$O$93*J88</f>
        <v>15324.605956454396</v>
      </c>
      <c r="K93" s="301">
        <f t="shared" ref="K93:N93" si="327">$O$93*K88</f>
        <v>18730.073946777597</v>
      </c>
      <c r="L93" s="301">
        <f t="shared" si="327"/>
        <v>22135.541937100796</v>
      </c>
      <c r="M93" s="301">
        <f t="shared" si="327"/>
        <v>26903.197123553273</v>
      </c>
      <c r="N93" s="301">
        <f t="shared" si="327"/>
        <v>28946.477917747194</v>
      </c>
      <c r="O93" s="299">
        <f t="shared" si="308"/>
        <v>85136.69975807998</v>
      </c>
      <c r="Q93" s="300">
        <f t="shared" si="309"/>
        <v>0.19</v>
      </c>
      <c r="R93" s="301">
        <f>$W$93*R88</f>
        <v>4295.210776513999</v>
      </c>
      <c r="S93" s="301">
        <f t="shared" ref="S93:V93" si="328">$W$93*S88</f>
        <v>5154.252931816799</v>
      </c>
      <c r="T93" s="301">
        <f t="shared" si="328"/>
        <v>6011.147481731341</v>
      </c>
      <c r="U93" s="301">
        <f t="shared" si="328"/>
        <v>6872.337242422399</v>
      </c>
      <c r="V93" s="301">
        <f t="shared" si="328"/>
        <v>7731.379397725198</v>
      </c>
      <c r="W93" s="299">
        <f t="shared" si="311"/>
        <v>21476.053882569995</v>
      </c>
      <c r="Y93" s="300">
        <f t="shared" si="312"/>
        <v>0.15</v>
      </c>
      <c r="Z93" s="247">
        <f>$AE$93*Z88</f>
        <v>10776.390985499998</v>
      </c>
      <c r="AA93" s="247">
        <f t="shared" ref="AA93:AD93" si="329">$AE$93*AA88</f>
        <v>12829.036887499999</v>
      </c>
      <c r="AB93" s="247">
        <f t="shared" si="329"/>
        <v>14779.050494399997</v>
      </c>
      <c r="AC93" s="247">
        <f t="shared" si="329"/>
        <v>16934.328691499999</v>
      </c>
      <c r="AD93" s="247">
        <f t="shared" si="329"/>
        <v>18986.974593499999</v>
      </c>
      <c r="AE93" s="296">
        <f t="shared" si="314"/>
        <v>51316.147549999994</v>
      </c>
      <c r="AG93" s="246">
        <f t="shared" si="315"/>
        <v>0.1</v>
      </c>
      <c r="AH93" s="251">
        <f>$AM$93*AH88</f>
        <v>4223.6942440000012</v>
      </c>
      <c r="AI93" s="251">
        <f t="shared" ref="AI93:AL93" si="330">$AM$93*AI88</f>
        <v>4530.8720072000006</v>
      </c>
      <c r="AJ93" s="251">
        <f t="shared" si="330"/>
        <v>4830.3703263200014</v>
      </c>
      <c r="AK93" s="251">
        <f t="shared" si="330"/>
        <v>5145.2275336000021</v>
      </c>
      <c r="AL93" s="251">
        <f t="shared" si="330"/>
        <v>5452.4052968000015</v>
      </c>
      <c r="AM93" s="323">
        <f t="shared" si="317"/>
        <v>15358.888160000004</v>
      </c>
      <c r="AO93" s="343">
        <f t="shared" si="318"/>
        <v>0.12</v>
      </c>
      <c r="AP93" s="323">
        <f>$AU$93*Table195[[#Headers],[24.0%]]</f>
        <v>9579.1891120128021</v>
      </c>
      <c r="AQ93" s="323">
        <f>$AU$93*Table195[[#Headers],[26.0%]]</f>
        <v>10377.454871347203</v>
      </c>
      <c r="AR93" s="323">
        <f>$AU$93*Table195[[#Headers],[28.1%]]</f>
        <v>11215.633918648324</v>
      </c>
      <c r="AS93" s="323">
        <f>$AU$93*Table195[[#Headers],[30.0%]]</f>
        <v>11973.986390016003</v>
      </c>
      <c r="AT93" s="323">
        <f>$AU$93*Table195[[#Headers],[32.0%]]</f>
        <v>12772.252149350403</v>
      </c>
      <c r="AU93" s="84">
        <f>AU58*(1+Table195[[#This Row],[Growth]])</f>
        <v>39913.28796672001</v>
      </c>
    </row>
    <row r="94" spans="1:47" x14ac:dyDescent="0.3">
      <c r="A94" s="238"/>
      <c r="I94" s="1"/>
      <c r="Q94" s="1"/>
    </row>
    <row r="95" spans="1:47" ht="18" x14ac:dyDescent="0.3">
      <c r="A95" s="408" t="s">
        <v>529</v>
      </c>
      <c r="B95" s="408"/>
      <c r="C95" s="408"/>
      <c r="D95" s="408"/>
      <c r="E95" s="408"/>
      <c r="F95" s="255" t="e" vm="4">
        <v>#VALUE!</v>
      </c>
      <c r="I95" s="409" t="s">
        <v>529</v>
      </c>
      <c r="J95" s="410"/>
      <c r="K95" s="410"/>
      <c r="L95" s="410"/>
      <c r="M95" s="411"/>
      <c r="N95" s="250" t="e" vm="6">
        <v>#VALUE!</v>
      </c>
      <c r="O95" s="49"/>
      <c r="Q95" s="401" t="s">
        <v>529</v>
      </c>
      <c r="R95" s="402"/>
      <c r="S95" s="402"/>
      <c r="T95" s="402"/>
      <c r="U95" s="412"/>
      <c r="V95" s="250" t="e" vm="5">
        <v>#VALUE!</v>
      </c>
      <c r="W95" s="49"/>
      <c r="Y95" s="403" t="s">
        <v>529</v>
      </c>
      <c r="Z95" s="404"/>
      <c r="AA95" s="404"/>
      <c r="AB95" s="404"/>
      <c r="AC95" s="413"/>
      <c r="AD95" s="250" t="e" vm="3">
        <v>#VALUE!</v>
      </c>
      <c r="AE95" s="49"/>
      <c r="AG95" s="414" t="s">
        <v>529</v>
      </c>
      <c r="AH95" s="415"/>
      <c r="AI95" s="415"/>
      <c r="AJ95" s="415"/>
      <c r="AK95" s="416"/>
      <c r="AL95" s="250" t="e" vm="1">
        <v>#VALUE!</v>
      </c>
      <c r="AM95" s="49"/>
      <c r="AO95" s="387" t="s">
        <v>529</v>
      </c>
      <c r="AP95" s="387"/>
      <c r="AQ95" s="387"/>
      <c r="AR95" s="387"/>
      <c r="AS95" s="387"/>
      <c r="AT95" s="250" t="e" vm="2">
        <v>#VALUE!</v>
      </c>
    </row>
    <row r="96" spans="1:47" x14ac:dyDescent="0.3">
      <c r="A96" s="242" t="s">
        <v>578</v>
      </c>
      <c r="B96" s="256" t="s">
        <v>579</v>
      </c>
      <c r="C96" s="256" t="s">
        <v>580</v>
      </c>
      <c r="D96" s="256" t="s">
        <v>581</v>
      </c>
      <c r="E96" s="256" t="s">
        <v>582</v>
      </c>
      <c r="F96" s="256" t="s">
        <v>583</v>
      </c>
      <c r="G96" s="278"/>
      <c r="I96" s="108" t="s">
        <v>578</v>
      </c>
      <c r="J96" s="239" t="s">
        <v>573</v>
      </c>
      <c r="K96" s="239" t="s">
        <v>574</v>
      </c>
      <c r="L96" s="239" t="s">
        <v>575</v>
      </c>
      <c r="M96" s="239" t="s">
        <v>576</v>
      </c>
      <c r="N96" s="239" t="s">
        <v>577</v>
      </c>
      <c r="O96" s="239"/>
      <c r="P96" s="108"/>
      <c r="Q96" s="259" t="s">
        <v>578</v>
      </c>
      <c r="R96" s="263" t="s">
        <v>568</v>
      </c>
      <c r="S96" s="261" t="s">
        <v>584</v>
      </c>
      <c r="T96" s="261" t="s">
        <v>585</v>
      </c>
      <c r="U96" s="261" t="s">
        <v>586</v>
      </c>
      <c r="V96" s="262" t="s">
        <v>587</v>
      </c>
      <c r="W96" s="279"/>
      <c r="X96" s="252"/>
      <c r="Y96" s="264" t="s">
        <v>578</v>
      </c>
      <c r="Z96" s="265" t="s">
        <v>588</v>
      </c>
      <c r="AA96" s="265" t="s">
        <v>580</v>
      </c>
      <c r="AB96" s="265" t="s">
        <v>589</v>
      </c>
      <c r="AC96" s="265" t="s">
        <v>590</v>
      </c>
      <c r="AD96" s="266" t="s">
        <v>591</v>
      </c>
      <c r="AE96" s="319"/>
      <c r="AF96" s="252"/>
      <c r="AG96" s="267" t="s">
        <v>578</v>
      </c>
      <c r="AH96" s="267" t="s">
        <v>585</v>
      </c>
      <c r="AI96" s="267" t="s">
        <v>581</v>
      </c>
      <c r="AJ96" s="267" t="s">
        <v>586</v>
      </c>
      <c r="AK96" s="267" t="s">
        <v>582</v>
      </c>
      <c r="AL96" s="267" t="s">
        <v>587</v>
      </c>
      <c r="AM96" s="325"/>
      <c r="AN96" s="252"/>
      <c r="AO96" s="268" t="s">
        <v>578</v>
      </c>
      <c r="AP96" s="268" t="s">
        <v>584</v>
      </c>
      <c r="AQ96" s="268" t="s">
        <v>592</v>
      </c>
      <c r="AR96" s="268" t="s">
        <v>585</v>
      </c>
      <c r="AS96" s="268" t="s">
        <v>581</v>
      </c>
      <c r="AT96" s="268" t="s">
        <v>586</v>
      </c>
    </row>
    <row r="97" spans="1:47" x14ac:dyDescent="0.3">
      <c r="A97" s="257">
        <v>0.25</v>
      </c>
      <c r="B97" s="258">
        <f>B89*(1-$A$97)</f>
        <v>1835.1484416000003</v>
      </c>
      <c r="C97" s="258">
        <f t="shared" ref="C97:F97" si="331">C89*(1-$A$97)</f>
        <v>2293.9355520000008</v>
      </c>
      <c r="D97" s="258">
        <f t="shared" si="331"/>
        <v>2752.7226624000009</v>
      </c>
      <c r="E97" s="258">
        <f t="shared" si="331"/>
        <v>3138.1038351360007</v>
      </c>
      <c r="F97" s="258">
        <f t="shared" si="331"/>
        <v>3670.2968832000006</v>
      </c>
      <c r="G97" s="83"/>
      <c r="I97" s="257">
        <v>0.25</v>
      </c>
      <c r="J97" s="258">
        <f>J89*(1-$I$97)</f>
        <v>8769.8912457168008</v>
      </c>
      <c r="K97" s="258">
        <f t="shared" ref="K97:N97" si="332">K89*(1-$I$97)</f>
        <v>10718.755966987203</v>
      </c>
      <c r="L97" s="258">
        <f t="shared" si="332"/>
        <v>12667.620688257603</v>
      </c>
      <c r="M97" s="258">
        <f t="shared" si="332"/>
        <v>15396.031298036163</v>
      </c>
      <c r="N97" s="258">
        <f t="shared" si="332"/>
        <v>16565.350130798404</v>
      </c>
      <c r="O97" s="83"/>
      <c r="Q97" s="257">
        <v>0.25</v>
      </c>
      <c r="R97" s="258">
        <f>R89*(1-$Q$97)</f>
        <v>2341.8344627835004</v>
      </c>
      <c r="S97" s="258">
        <f t="shared" ref="S97:V97" si="333">S89*(1-$Q$97)</f>
        <v>2810.2013553402003</v>
      </c>
      <c r="T97" s="258">
        <f t="shared" si="333"/>
        <v>3277.3973306655089</v>
      </c>
      <c r="U97" s="258">
        <f t="shared" si="333"/>
        <v>3746.935140453601</v>
      </c>
      <c r="V97" s="258">
        <f t="shared" si="333"/>
        <v>4215.3020330103009</v>
      </c>
      <c r="W97" s="83"/>
      <c r="Y97" s="240">
        <v>0.25</v>
      </c>
      <c r="Z97" s="258">
        <f>Z89*(1-$Y$97)</f>
        <v>6510.1712872770022</v>
      </c>
      <c r="AA97" s="258">
        <f t="shared" ref="AA97:AD97" si="334">AA89*(1-$Y$97)</f>
        <v>7750.2039134250026</v>
      </c>
      <c r="AB97" s="258">
        <f t="shared" si="334"/>
        <v>8928.2349082656019</v>
      </c>
      <c r="AC97" s="258">
        <f t="shared" si="334"/>
        <v>10230.269165721003</v>
      </c>
      <c r="AD97" s="258">
        <f t="shared" si="334"/>
        <v>11470.301791869004</v>
      </c>
      <c r="AE97" s="83"/>
      <c r="AG97" s="257">
        <v>0.25</v>
      </c>
      <c r="AH97" s="258">
        <f>AH89*(1-$AG$97)</f>
        <v>2525.6676115440005</v>
      </c>
      <c r="AI97" s="258">
        <f t="shared" ref="AI97:AL97" si="335">AI89*(1-$AG$97)</f>
        <v>2709.3525287471998</v>
      </c>
      <c r="AJ97" s="258">
        <f t="shared" si="335"/>
        <v>2888.4453230203198</v>
      </c>
      <c r="AK97" s="258">
        <f t="shared" si="335"/>
        <v>3076.7223631536003</v>
      </c>
      <c r="AL97" s="258">
        <f t="shared" si="335"/>
        <v>3260.4072803567997</v>
      </c>
      <c r="AM97" s="83"/>
      <c r="AO97" s="257">
        <v>0.25</v>
      </c>
      <c r="AP97" s="258">
        <f>AP89*(1-$AO$97)</f>
        <v>5752.2262606848008</v>
      </c>
      <c r="AQ97" s="258">
        <f t="shared" ref="AQ97:AT97" si="336">AQ89*(1-$AO$97)</f>
        <v>6231.5784490752012</v>
      </c>
      <c r="AR97" s="258">
        <f t="shared" si="336"/>
        <v>6734.8982468851209</v>
      </c>
      <c r="AS97" s="258">
        <f t="shared" si="336"/>
        <v>7190.2828258560012</v>
      </c>
      <c r="AT97" s="258">
        <f t="shared" si="336"/>
        <v>7669.6350142464016</v>
      </c>
    </row>
    <row r="98" spans="1:47" x14ac:dyDescent="0.3">
      <c r="A98" s="257"/>
      <c r="B98" s="258">
        <f t="shared" ref="B98:F98" si="337">B90*(1-$A$97)</f>
        <v>1921.0764911483329</v>
      </c>
      <c r="C98" s="258">
        <f t="shared" si="337"/>
        <v>2401.3456139354162</v>
      </c>
      <c r="D98" s="258">
        <f t="shared" si="337"/>
        <v>2881.6147367224989</v>
      </c>
      <c r="E98" s="258">
        <f t="shared" si="337"/>
        <v>3285.0407998636492</v>
      </c>
      <c r="F98" s="258">
        <f t="shared" si="337"/>
        <v>3842.1529822966659</v>
      </c>
      <c r="G98" s="83"/>
      <c r="I98" s="257"/>
      <c r="J98" s="258">
        <f t="shared" ref="J98:N98" si="338">J90*(1-$I$97)</f>
        <v>9399.9521217375841</v>
      </c>
      <c r="K98" s="258">
        <f t="shared" si="338"/>
        <v>11488.830371012604</v>
      </c>
      <c r="L98" s="258">
        <f t="shared" si="338"/>
        <v>13577.708620287623</v>
      </c>
      <c r="M98" s="258">
        <f t="shared" si="338"/>
        <v>16502.13816927265</v>
      </c>
      <c r="N98" s="258">
        <f t="shared" si="338"/>
        <v>17755.465118837659</v>
      </c>
      <c r="O98" s="83"/>
      <c r="Q98" s="257"/>
      <c r="R98" s="258">
        <f t="shared" ref="R98:V98" si="339">R90*(1-$Q$97)</f>
        <v>2544.3855195000006</v>
      </c>
      <c r="S98" s="258">
        <f t="shared" si="339"/>
        <v>3053.2626234000004</v>
      </c>
      <c r="T98" s="258">
        <f t="shared" si="339"/>
        <v>3560.8675345402503</v>
      </c>
      <c r="U98" s="258">
        <f t="shared" si="339"/>
        <v>4071.0168312000005</v>
      </c>
      <c r="V98" s="258">
        <f t="shared" si="339"/>
        <v>4579.8939351000008</v>
      </c>
      <c r="W98" s="83"/>
      <c r="Y98" s="240"/>
      <c r="Z98" s="258">
        <f t="shared" ref="Z98:AD98" si="340">Z90*(1-$Y$97)</f>
        <v>6882.0936179310029</v>
      </c>
      <c r="AA98" s="258">
        <f t="shared" si="340"/>
        <v>8192.9685927750033</v>
      </c>
      <c r="AB98" s="258">
        <f t="shared" si="340"/>
        <v>9438.2998188768015</v>
      </c>
      <c r="AC98" s="258">
        <f t="shared" si="340"/>
        <v>10814.718542463004</v>
      </c>
      <c r="AD98" s="258">
        <f t="shared" si="340"/>
        <v>12125.593517307005</v>
      </c>
      <c r="AE98" s="83"/>
      <c r="AG98" s="257"/>
      <c r="AH98" s="258">
        <f t="shared" ref="AH98:AL98" si="341">AH90*(1-$AG$97)</f>
        <v>2677.1684459520011</v>
      </c>
      <c r="AI98" s="258">
        <f t="shared" si="341"/>
        <v>2871.8716056576004</v>
      </c>
      <c r="AJ98" s="258">
        <f t="shared" si="341"/>
        <v>3061.7071863705605</v>
      </c>
      <c r="AK98" s="258">
        <f t="shared" si="341"/>
        <v>3261.2779250688009</v>
      </c>
      <c r="AL98" s="258">
        <f t="shared" si="341"/>
        <v>3455.9810847744002</v>
      </c>
      <c r="AM98" s="83"/>
      <c r="AO98" s="257"/>
      <c r="AP98" s="258">
        <f t="shared" ref="AP98:AT98" si="342">AP90*(1-$AO$97)</f>
        <v>6090.5082855312003</v>
      </c>
      <c r="AQ98" s="258">
        <f t="shared" si="342"/>
        <v>6598.0506426588008</v>
      </c>
      <c r="AR98" s="258">
        <f t="shared" si="342"/>
        <v>7130.9701176427825</v>
      </c>
      <c r="AS98" s="258">
        <f t="shared" si="342"/>
        <v>7613.135356914001</v>
      </c>
      <c r="AT98" s="258">
        <f t="shared" si="342"/>
        <v>8120.6777140416016</v>
      </c>
    </row>
    <row r="99" spans="1:47" x14ac:dyDescent="0.3">
      <c r="A99" s="257"/>
      <c r="B99" s="258">
        <f t="shared" ref="B99:F99" si="343">B91*(1-$A$97)</f>
        <v>2046.6991104000008</v>
      </c>
      <c r="C99" s="258">
        <f t="shared" si="343"/>
        <v>2558.3738880000005</v>
      </c>
      <c r="D99" s="258">
        <f t="shared" si="343"/>
        <v>3070.0486656000003</v>
      </c>
      <c r="E99" s="258">
        <f t="shared" si="343"/>
        <v>3499.8554787840012</v>
      </c>
      <c r="F99" s="258">
        <f t="shared" si="343"/>
        <v>4093.3982208000016</v>
      </c>
      <c r="G99" s="83"/>
      <c r="I99" s="257"/>
      <c r="J99" s="258">
        <f t="shared" ref="J99:N99" si="344">J91*(1-$I$97)</f>
        <v>10070.372802943803</v>
      </c>
      <c r="K99" s="258">
        <f t="shared" si="344"/>
        <v>12308.233425820206</v>
      </c>
      <c r="L99" s="258">
        <f t="shared" si="344"/>
        <v>14546.094048696606</v>
      </c>
      <c r="M99" s="258">
        <f t="shared" si="344"/>
        <v>17679.098920723569</v>
      </c>
      <c r="N99" s="258">
        <f t="shared" si="344"/>
        <v>19021.815294449407</v>
      </c>
      <c r="O99" s="83"/>
      <c r="Q99" s="257"/>
      <c r="R99" s="258">
        <f t="shared" ref="R99:V99" si="345">R91*(1-$Q$97)</f>
        <v>2756.0953988508263</v>
      </c>
      <c r="S99" s="258">
        <f t="shared" si="345"/>
        <v>3307.3144786209914</v>
      </c>
      <c r="T99" s="258">
        <f t="shared" si="345"/>
        <v>3857.1555106917303</v>
      </c>
      <c r="U99" s="258">
        <f t="shared" si="345"/>
        <v>4409.7526381613216</v>
      </c>
      <c r="V99" s="258">
        <f t="shared" si="345"/>
        <v>4960.9717179314866</v>
      </c>
      <c r="W99" s="83"/>
      <c r="Y99" s="240"/>
      <c r="Z99" s="258">
        <f t="shared" ref="Z99:AD99" si="346">Z91*(1-$Y$97)</f>
        <v>7248.2926672949316</v>
      </c>
      <c r="AA99" s="258">
        <f t="shared" si="346"/>
        <v>8628.9198420177763</v>
      </c>
      <c r="AB99" s="258">
        <f t="shared" si="346"/>
        <v>9940.5156580044786</v>
      </c>
      <c r="AC99" s="258">
        <f t="shared" si="346"/>
        <v>11390.174191463466</v>
      </c>
      <c r="AD99" s="258">
        <f t="shared" si="346"/>
        <v>12770.801366186308</v>
      </c>
      <c r="AE99" s="83"/>
      <c r="AG99" s="257"/>
      <c r="AH99" s="258">
        <f t="shared" ref="AH99:AL99" si="347">AH91*(1-$AG$97)</f>
        <v>2847.4650963305066</v>
      </c>
      <c r="AI99" s="258">
        <f t="shared" si="347"/>
        <v>3054.5534669727249</v>
      </c>
      <c r="AJ99" s="258">
        <f t="shared" si="347"/>
        <v>3256.4646283488883</v>
      </c>
      <c r="AK99" s="258">
        <f t="shared" si="347"/>
        <v>3468.7302082571623</v>
      </c>
      <c r="AL99" s="258">
        <f t="shared" si="347"/>
        <v>3675.8185788993806</v>
      </c>
      <c r="AM99" s="83"/>
      <c r="AO99" s="257"/>
      <c r="AP99" s="258">
        <f t="shared" ref="AP99:AT99" si="348">AP91*(1-$AO$97)</f>
        <v>6519.0500578531528</v>
      </c>
      <c r="AQ99" s="258">
        <f t="shared" si="348"/>
        <v>7062.3042293409162</v>
      </c>
      <c r="AR99" s="258">
        <f t="shared" si="348"/>
        <v>7632.7211094030681</v>
      </c>
      <c r="AS99" s="258">
        <f t="shared" si="348"/>
        <v>8148.8125723164412</v>
      </c>
      <c r="AT99" s="258">
        <f t="shared" si="348"/>
        <v>8692.0667438042037</v>
      </c>
    </row>
    <row r="100" spans="1:47" x14ac:dyDescent="0.3">
      <c r="A100" s="257"/>
      <c r="B100" s="258">
        <f t="shared" ref="B100:F100" si="349">B92*(1-$A$97)</f>
        <v>2158.313299200001</v>
      </c>
      <c r="C100" s="258">
        <f t="shared" si="349"/>
        <v>2697.8916240000012</v>
      </c>
      <c r="D100" s="258">
        <f t="shared" si="349"/>
        <v>3237.4699488000015</v>
      </c>
      <c r="E100" s="258">
        <f t="shared" si="349"/>
        <v>3690.7157416320015</v>
      </c>
      <c r="F100" s="258">
        <f t="shared" si="349"/>
        <v>4316.626598400002</v>
      </c>
      <c r="G100" s="83"/>
      <c r="I100" s="257"/>
      <c r="J100" s="258">
        <f t="shared" ref="J100:N100" si="350">J92*(1-$I$97)</f>
        <v>10766.243463786675</v>
      </c>
      <c r="K100" s="258">
        <f t="shared" si="350"/>
        <v>13158.742011294826</v>
      </c>
      <c r="L100" s="258">
        <f t="shared" si="350"/>
        <v>15551.240558802976</v>
      </c>
      <c r="M100" s="258">
        <f t="shared" si="350"/>
        <v>18900.738525314384</v>
      </c>
      <c r="N100" s="258">
        <f t="shared" si="350"/>
        <v>20336.237653819277</v>
      </c>
      <c r="O100" s="83"/>
      <c r="Q100" s="257"/>
      <c r="R100" s="258">
        <f t="shared" ref="R100:V100" si="351">R92*(1-$Q$97)</f>
        <v>2983.8626445119994</v>
      </c>
      <c r="S100" s="258">
        <f t="shared" si="351"/>
        <v>3580.6351734143991</v>
      </c>
      <c r="T100" s="258">
        <f t="shared" si="351"/>
        <v>4175.915770994543</v>
      </c>
      <c r="U100" s="258">
        <f t="shared" si="351"/>
        <v>4774.1802312191994</v>
      </c>
      <c r="V100" s="258">
        <f t="shared" si="351"/>
        <v>5370.9527601215987</v>
      </c>
      <c r="W100" s="83"/>
      <c r="Y100" s="240"/>
      <c r="Z100" s="258">
        <f t="shared" ref="Z100:AD100" si="352">Z92*(1-$Y$97)</f>
        <v>7667.8995103829993</v>
      </c>
      <c r="AA100" s="258">
        <f t="shared" si="352"/>
        <v>9128.4517980749988</v>
      </c>
      <c r="AB100" s="258">
        <f t="shared" si="352"/>
        <v>10515.976471382397</v>
      </c>
      <c r="AC100" s="258">
        <f t="shared" si="352"/>
        <v>12049.556373459</v>
      </c>
      <c r="AD100" s="258">
        <f t="shared" si="352"/>
        <v>13510.108661151</v>
      </c>
      <c r="AE100" s="83"/>
      <c r="AG100" s="257"/>
      <c r="AH100" s="258">
        <f t="shared" ref="AH100:AL100" si="353">AH92*(1-$AG$97)</f>
        <v>2998.1057420160009</v>
      </c>
      <c r="AI100" s="258">
        <f t="shared" si="353"/>
        <v>3216.1497959808007</v>
      </c>
      <c r="AJ100" s="258">
        <f t="shared" si="353"/>
        <v>3428.7427485964809</v>
      </c>
      <c r="AK100" s="258">
        <f t="shared" si="353"/>
        <v>3652.2379039104017</v>
      </c>
      <c r="AL100" s="258">
        <f t="shared" si="353"/>
        <v>3870.2819578752005</v>
      </c>
      <c r="AM100" s="83"/>
      <c r="AO100" s="257"/>
      <c r="AP100" s="258">
        <f t="shared" ref="AP100:AT100" si="354">AP92*(1-$AO$97)</f>
        <v>6806.3456142000032</v>
      </c>
      <c r="AQ100" s="258">
        <f t="shared" si="354"/>
        <v>7373.5410820500038</v>
      </c>
      <c r="AR100" s="258">
        <f t="shared" si="354"/>
        <v>7969.0963232925042</v>
      </c>
      <c r="AS100" s="258">
        <f t="shared" si="354"/>
        <v>8507.9320177500031</v>
      </c>
      <c r="AT100" s="258">
        <f t="shared" si="354"/>
        <v>9075.1274856000036</v>
      </c>
    </row>
    <row r="101" spans="1:47" x14ac:dyDescent="0.3">
      <c r="A101" s="257"/>
      <c r="B101" s="258">
        <f t="shared" ref="B101:F101" si="355">B93*(1-$A$97)</f>
        <v>2273.9132927999999</v>
      </c>
      <c r="C101" s="258">
        <f t="shared" si="355"/>
        <v>2842.3916159999999</v>
      </c>
      <c r="D101" s="258">
        <f t="shared" si="355"/>
        <v>3410.8699391999999</v>
      </c>
      <c r="E101" s="258">
        <f t="shared" si="355"/>
        <v>3888.3917306880003</v>
      </c>
      <c r="F101" s="258">
        <f t="shared" si="355"/>
        <v>4547.8265855999998</v>
      </c>
      <c r="G101" s="83"/>
      <c r="I101" s="257"/>
      <c r="J101" s="258">
        <f t="shared" ref="J101:N101" si="356">J93*(1-$I$97)</f>
        <v>11493.454467340796</v>
      </c>
      <c r="K101" s="258">
        <f t="shared" si="356"/>
        <v>14047.555460083197</v>
      </c>
      <c r="L101" s="258">
        <f t="shared" si="356"/>
        <v>16601.656452825599</v>
      </c>
      <c r="M101" s="258">
        <f t="shared" si="356"/>
        <v>20177.397842664956</v>
      </c>
      <c r="N101" s="258">
        <f t="shared" si="356"/>
        <v>21709.858438310395</v>
      </c>
      <c r="O101" s="83"/>
      <c r="Q101" s="257"/>
      <c r="R101" s="258">
        <f t="shared" ref="R101:V101" si="357">R93*(1-$Q$97)</f>
        <v>3221.4080823854993</v>
      </c>
      <c r="S101" s="258">
        <f t="shared" si="357"/>
        <v>3865.6896988625995</v>
      </c>
      <c r="T101" s="258">
        <f t="shared" si="357"/>
        <v>4508.3606112985053</v>
      </c>
      <c r="U101" s="258">
        <f t="shared" si="357"/>
        <v>5154.252931816799</v>
      </c>
      <c r="V101" s="258">
        <f t="shared" si="357"/>
        <v>5798.5345482938983</v>
      </c>
      <c r="W101" s="83"/>
      <c r="Y101" s="240"/>
      <c r="Z101" s="258">
        <f t="shared" ref="Z101:AD101" si="358">Z93*(1-$Y$97)</f>
        <v>8082.2932391249988</v>
      </c>
      <c r="AA101" s="258">
        <f t="shared" si="358"/>
        <v>9621.7776656249989</v>
      </c>
      <c r="AB101" s="258">
        <f t="shared" si="358"/>
        <v>11084.287870799997</v>
      </c>
      <c r="AC101" s="258">
        <f t="shared" si="358"/>
        <v>12700.746518624999</v>
      </c>
      <c r="AD101" s="258">
        <f t="shared" si="358"/>
        <v>14240.230945125</v>
      </c>
      <c r="AE101" s="83"/>
      <c r="AG101" s="257"/>
      <c r="AH101" s="258">
        <f t="shared" ref="AH101:AL101" si="359">AH93*(1-$AG$97)</f>
        <v>3167.7706830000006</v>
      </c>
      <c r="AI101" s="258">
        <f t="shared" si="359"/>
        <v>3398.1540054000006</v>
      </c>
      <c r="AJ101" s="258">
        <f t="shared" si="359"/>
        <v>3622.7777447400013</v>
      </c>
      <c r="AK101" s="258">
        <f t="shared" si="359"/>
        <v>3858.9206502000015</v>
      </c>
      <c r="AL101" s="258">
        <f t="shared" si="359"/>
        <v>4089.3039726000011</v>
      </c>
      <c r="AM101" s="83"/>
      <c r="AO101" s="257"/>
      <c r="AP101" s="258">
        <f t="shared" ref="AP101:AT101" si="360">AP93*(1-$AO$97)</f>
        <v>7184.3918340096016</v>
      </c>
      <c r="AQ101" s="258">
        <f t="shared" si="360"/>
        <v>7783.0911535104024</v>
      </c>
      <c r="AR101" s="258">
        <f t="shared" si="360"/>
        <v>8411.7254389862428</v>
      </c>
      <c r="AS101" s="258">
        <f t="shared" si="360"/>
        <v>8980.4897925120022</v>
      </c>
      <c r="AT101" s="258">
        <f t="shared" si="360"/>
        <v>9579.1891120128021</v>
      </c>
    </row>
    <row r="103" spans="1:47" x14ac:dyDescent="0.3">
      <c r="A103" s="242" t="s">
        <v>479</v>
      </c>
      <c r="B103" s="242" t="s">
        <v>295</v>
      </c>
      <c r="C103" s="242" t="s">
        <v>593</v>
      </c>
      <c r="D103" s="242" t="s">
        <v>517</v>
      </c>
      <c r="E103" s="242" t="s">
        <v>599</v>
      </c>
      <c r="F103" s="242" t="s">
        <v>601</v>
      </c>
      <c r="G103" s="254" t="s">
        <v>519</v>
      </c>
      <c r="H103" s="108"/>
      <c r="I103" s="269" t="s">
        <v>479</v>
      </c>
      <c r="J103" s="269" t="s">
        <v>295</v>
      </c>
      <c r="K103" s="269" t="s">
        <v>593</v>
      </c>
      <c r="L103" s="269" t="s">
        <v>517</v>
      </c>
      <c r="M103" s="269" t="s">
        <v>599</v>
      </c>
      <c r="N103" s="269" t="s">
        <v>601</v>
      </c>
      <c r="O103" s="269" t="s">
        <v>519</v>
      </c>
      <c r="P103" s="108"/>
      <c r="Q103" s="198" t="s">
        <v>479</v>
      </c>
      <c r="R103" s="198" t="s">
        <v>295</v>
      </c>
      <c r="S103" s="198" t="s">
        <v>593</v>
      </c>
      <c r="T103" s="198" t="s">
        <v>517</v>
      </c>
      <c r="U103" s="198" t="s">
        <v>599</v>
      </c>
      <c r="V103" s="198" t="s">
        <v>601</v>
      </c>
      <c r="W103" s="198" t="s">
        <v>519</v>
      </c>
      <c r="X103" s="108"/>
      <c r="Y103" s="40" t="s">
        <v>479</v>
      </c>
      <c r="Z103" s="40" t="s">
        <v>295</v>
      </c>
      <c r="AA103" s="40" t="s">
        <v>593</v>
      </c>
      <c r="AB103" s="40" t="s">
        <v>517</v>
      </c>
      <c r="AC103" s="40" t="s">
        <v>599</v>
      </c>
      <c r="AD103" s="40" t="s">
        <v>601</v>
      </c>
      <c r="AE103" s="40" t="s">
        <v>519</v>
      </c>
      <c r="AF103" s="108"/>
      <c r="AG103" s="15" t="s">
        <v>479</v>
      </c>
      <c r="AH103" s="15" t="s">
        <v>295</v>
      </c>
      <c r="AI103" s="15" t="s">
        <v>593</v>
      </c>
      <c r="AJ103" s="15" t="s">
        <v>517</v>
      </c>
      <c r="AK103" s="15" t="s">
        <v>599</v>
      </c>
      <c r="AL103" s="15" t="s">
        <v>601</v>
      </c>
      <c r="AM103" s="15" t="s">
        <v>519</v>
      </c>
      <c r="AN103" s="108"/>
      <c r="AO103" s="115" t="s">
        <v>479</v>
      </c>
      <c r="AP103" s="115" t="s">
        <v>295</v>
      </c>
      <c r="AQ103" s="115" t="s">
        <v>593</v>
      </c>
      <c r="AR103" s="115" t="s">
        <v>517</v>
      </c>
      <c r="AS103" s="115" t="s">
        <v>600</v>
      </c>
      <c r="AT103" s="115" t="s">
        <v>601</v>
      </c>
      <c r="AU103" s="114" t="s">
        <v>519</v>
      </c>
    </row>
    <row r="104" spans="1:47" x14ac:dyDescent="0.3">
      <c r="A104" s="273">
        <f>DCF!D6</f>
        <v>534.44505553660065</v>
      </c>
      <c r="B104" s="270">
        <f>DCF!D7</f>
        <v>1600.5060891523974</v>
      </c>
      <c r="C104" s="270">
        <f>DCF!D8</f>
        <v>-158.71485560231849</v>
      </c>
      <c r="D104" s="274">
        <f ca="1">D69</f>
        <v>0.12615995275816408</v>
      </c>
      <c r="E104" s="274">
        <f ca="1">DCF!D10</f>
        <v>0.70016397542481001</v>
      </c>
      <c r="F104" s="274">
        <v>0.04</v>
      </c>
      <c r="G104" s="270">
        <f>DCF!B18</f>
        <v>-411</v>
      </c>
      <c r="I104" s="272">
        <f>DCF!K6</f>
        <v>3717.6066339968993</v>
      </c>
      <c r="J104" s="270">
        <f>DCF!K7</f>
        <v>2877.3919240181503</v>
      </c>
      <c r="K104" s="270">
        <f>DCF!K8</f>
        <v>3431.7328871471254</v>
      </c>
      <c r="L104" s="274">
        <f ca="1">WACC!C16</f>
        <v>0.13662009740538331</v>
      </c>
      <c r="M104" s="274">
        <f ca="1">DCF!K10</f>
        <v>0.68101081269216546</v>
      </c>
      <c r="N104" s="274">
        <f>WACC!C17</f>
        <v>0.04</v>
      </c>
      <c r="O104" s="270">
        <f>WACC!C19</f>
        <v>-7797.2800000000007</v>
      </c>
      <c r="Q104" s="271">
        <f>DCF!R6</f>
        <v>809.97028377205288</v>
      </c>
      <c r="R104" s="270">
        <f>DCF!R7</f>
        <v>940.07538942789131</v>
      </c>
      <c r="S104" s="270">
        <f>DCF!R8</f>
        <v>212.38033337766728</v>
      </c>
      <c r="T104" s="274">
        <f ca="1">WACC!D16</f>
        <v>0.11157627328319973</v>
      </c>
      <c r="U104" s="274">
        <f ca="1">DCF!R10</f>
        <v>0.72808518736876005</v>
      </c>
      <c r="V104" s="274">
        <f>N104</f>
        <v>0.04</v>
      </c>
      <c r="W104" s="270">
        <f>WACC!D19</f>
        <v>8104.0899999999992</v>
      </c>
      <c r="Y104" s="270">
        <f>DCF!Y6</f>
        <v>3194.3562945912627</v>
      </c>
      <c r="Z104" s="270">
        <f>DCF!Y7</f>
        <v>2666.5869877789282</v>
      </c>
      <c r="AA104" s="270">
        <f>DCF!Y8</f>
        <v>372.05121462098396</v>
      </c>
      <c r="AB104" s="274">
        <f ca="1">AB69</f>
        <v>0.10494483587854667</v>
      </c>
      <c r="AC104" s="274">
        <f ca="1">DCF!Y10</f>
        <v>0.74127304904165359</v>
      </c>
      <c r="AD104" s="274">
        <f>V104</f>
        <v>0.04</v>
      </c>
      <c r="AE104" s="270">
        <f>WACC!E19</f>
        <v>3211.1999999999994</v>
      </c>
      <c r="AG104" s="270">
        <f>DCF!AF6</f>
        <v>843.93200230488833</v>
      </c>
      <c r="AH104" s="270">
        <f>DCF!AF7</f>
        <v>643.04359787678595</v>
      </c>
      <c r="AI104" s="270">
        <f>DCF!AF8</f>
        <v>-15.790462446893798</v>
      </c>
      <c r="AJ104" s="274">
        <f ca="1">AJ69</f>
        <v>0.12169732572390064</v>
      </c>
      <c r="AK104" s="274">
        <f ca="1">DCF!AF10</f>
        <v>0.70855398779858414</v>
      </c>
      <c r="AL104" s="274">
        <f>AD104</f>
        <v>0.04</v>
      </c>
      <c r="AM104" s="270">
        <f>WACC!F19</f>
        <v>2628.8399999999997</v>
      </c>
      <c r="AO104" s="270">
        <f>DCF!AM6</f>
        <v>2129.3535776722028</v>
      </c>
      <c r="AP104" s="270">
        <f>DCF!AM7</f>
        <v>1257.8220463521109</v>
      </c>
      <c r="AQ104" s="270">
        <f>DCF!AM8</f>
        <v>1476.7790368835449</v>
      </c>
      <c r="AR104" s="274">
        <f ca="1">AR69</f>
        <v>0.10831590439870661</v>
      </c>
      <c r="AS104" s="274">
        <f ca="1">DCF!AM10</f>
        <v>0.73452960350531182</v>
      </c>
      <c r="AT104" s="274">
        <f>AL104</f>
        <v>0.04</v>
      </c>
      <c r="AU104" s="270">
        <f>WACC!G19</f>
        <v>-150.5</v>
      </c>
    </row>
    <row r="106" spans="1:47" ht="18" x14ac:dyDescent="0.3">
      <c r="A106" s="408" t="s">
        <v>532</v>
      </c>
      <c r="B106" s="408"/>
      <c r="C106" s="408"/>
      <c r="D106" s="408"/>
      <c r="E106" s="408"/>
      <c r="F106" s="255" t="e" vm="4">
        <v>#VALUE!</v>
      </c>
      <c r="I106" s="409" t="s">
        <v>532</v>
      </c>
      <c r="J106" s="410"/>
      <c r="K106" s="410"/>
      <c r="L106" s="410"/>
      <c r="M106" s="411"/>
      <c r="N106" s="250" t="e" vm="6">
        <v>#VALUE!</v>
      </c>
      <c r="O106" s="49"/>
      <c r="Q106" s="401" t="s">
        <v>532</v>
      </c>
      <c r="R106" s="402"/>
      <c r="S106" s="402"/>
      <c r="T106" s="402"/>
      <c r="U106" s="412"/>
      <c r="V106" s="250" t="e" vm="5">
        <v>#VALUE!</v>
      </c>
      <c r="W106" s="49"/>
      <c r="Y106" s="403" t="s">
        <v>532</v>
      </c>
      <c r="Z106" s="404"/>
      <c r="AA106" s="404"/>
      <c r="AB106" s="404"/>
      <c r="AC106" s="413"/>
      <c r="AD106" s="250" t="e" vm="3">
        <v>#VALUE!</v>
      </c>
      <c r="AE106" s="49"/>
      <c r="AG106" s="414" t="s">
        <v>532</v>
      </c>
      <c r="AH106" s="415"/>
      <c r="AI106" s="415"/>
      <c r="AJ106" s="415"/>
      <c r="AK106" s="416"/>
      <c r="AL106" s="250" t="e" vm="1">
        <v>#VALUE!</v>
      </c>
      <c r="AM106" s="49"/>
      <c r="AO106" s="387" t="s">
        <v>532</v>
      </c>
      <c r="AP106" s="387"/>
      <c r="AQ106" s="387"/>
      <c r="AR106" s="387"/>
      <c r="AS106" s="387"/>
      <c r="AT106" s="250" t="e" vm="2">
        <v>#VALUE!</v>
      </c>
    </row>
    <row r="107" spans="1:47" x14ac:dyDescent="0.3">
      <c r="A107" s="242" t="s">
        <v>594</v>
      </c>
      <c r="B107" s="256" t="s">
        <v>579</v>
      </c>
      <c r="C107" s="256" t="s">
        <v>580</v>
      </c>
      <c r="D107" s="256" t="s">
        <v>581</v>
      </c>
      <c r="E107" s="256" t="s">
        <v>582</v>
      </c>
      <c r="F107" s="256" t="s">
        <v>583</v>
      </c>
      <c r="G107" s="278"/>
      <c r="I107" s="108" t="s">
        <v>594</v>
      </c>
      <c r="J107" s="239" t="s">
        <v>573</v>
      </c>
      <c r="K107" s="239" t="s">
        <v>574</v>
      </c>
      <c r="L107" s="239" t="s">
        <v>575</v>
      </c>
      <c r="M107" s="239" t="s">
        <v>576</v>
      </c>
      <c r="N107" s="239" t="s">
        <v>577</v>
      </c>
      <c r="O107" s="239"/>
      <c r="P107" s="108"/>
      <c r="Q107" s="259" t="s">
        <v>594</v>
      </c>
      <c r="R107" s="263" t="s">
        <v>579</v>
      </c>
      <c r="S107" s="260" t="s">
        <v>595</v>
      </c>
      <c r="T107" s="263" t="s">
        <v>596</v>
      </c>
      <c r="U107" s="261" t="s">
        <v>597</v>
      </c>
      <c r="V107" s="262" t="s">
        <v>598</v>
      </c>
      <c r="W107" s="279"/>
      <c r="X107" s="252"/>
      <c r="Y107" s="264" t="s">
        <v>594</v>
      </c>
      <c r="Z107" s="265" t="s">
        <v>588</v>
      </c>
      <c r="AA107" s="265" t="s">
        <v>580</v>
      </c>
      <c r="AB107" s="265" t="s">
        <v>589</v>
      </c>
      <c r="AC107" s="265" t="s">
        <v>590</v>
      </c>
      <c r="AD107" s="266" t="s">
        <v>591</v>
      </c>
      <c r="AE107" s="319"/>
      <c r="AF107" s="252"/>
      <c r="AG107" s="267" t="s">
        <v>594</v>
      </c>
      <c r="AH107" s="267" t="s">
        <v>585</v>
      </c>
      <c r="AI107" s="267" t="s">
        <v>581</v>
      </c>
      <c r="AJ107" s="267" t="s">
        <v>586</v>
      </c>
      <c r="AK107" s="267" t="s">
        <v>582</v>
      </c>
      <c r="AL107" s="267" t="s">
        <v>587</v>
      </c>
      <c r="AM107" s="325"/>
      <c r="AN107" s="252"/>
      <c r="AO107" s="268" t="s">
        <v>594</v>
      </c>
      <c r="AP107" s="268" t="s">
        <v>584</v>
      </c>
      <c r="AQ107" s="268" t="s">
        <v>592</v>
      </c>
      <c r="AR107" s="268" t="s">
        <v>585</v>
      </c>
      <c r="AS107" s="268" t="s">
        <v>581</v>
      </c>
      <c r="AT107" s="268" t="s">
        <v>586</v>
      </c>
    </row>
    <row r="108" spans="1:47" x14ac:dyDescent="0.3">
      <c r="A108" s="257">
        <f>A89</f>
        <v>0.08</v>
      </c>
      <c r="B108" s="258">
        <f>(B97+$A$104-$B$104-$C$104)</f>
        <v>927.80226358652203</v>
      </c>
      <c r="C108" s="258">
        <f t="shared" ref="C108:F108" si="361">(C97+$A$104-$B$104-$C$104)</f>
        <v>1386.5893739865226</v>
      </c>
      <c r="D108" s="258">
        <f t="shared" si="361"/>
        <v>1845.3764843865226</v>
      </c>
      <c r="E108" s="258">
        <f t="shared" si="361"/>
        <v>2230.7576571225227</v>
      </c>
      <c r="F108" s="258">
        <f t="shared" si="361"/>
        <v>2762.9507051865221</v>
      </c>
      <c r="G108" s="83"/>
      <c r="I108" s="257">
        <f>I89</f>
        <v>0.06</v>
      </c>
      <c r="J108" s="258">
        <f>(J97+$I$104-$J$104-$K$104)</f>
        <v>6178.3730685484261</v>
      </c>
      <c r="K108" s="258">
        <f t="shared" ref="K108:N108" si="362">(K97+$I$104-$J$104-$K$104)</f>
        <v>8127.2377898188279</v>
      </c>
      <c r="L108" s="258">
        <f t="shared" si="362"/>
        <v>10076.102511089226</v>
      </c>
      <c r="M108" s="258">
        <f t="shared" si="362"/>
        <v>12804.513120867789</v>
      </c>
      <c r="N108" s="258">
        <f t="shared" si="362"/>
        <v>13973.83195363003</v>
      </c>
      <c r="O108" s="83"/>
      <c r="Q108" s="257">
        <f>Q89</f>
        <v>7.0000000000000007E-2</v>
      </c>
      <c r="R108" s="258">
        <f>(R97+$Q$104-$R$104-$S$104)</f>
        <v>1999.3490237499946</v>
      </c>
      <c r="S108" s="258">
        <f t="shared" ref="S108:V108" si="363">(S97+$Q$104-$R$104-$S$104)</f>
        <v>2467.7159163066945</v>
      </c>
      <c r="T108" s="258">
        <f t="shared" si="363"/>
        <v>2934.9118916320031</v>
      </c>
      <c r="U108" s="258">
        <f t="shared" si="363"/>
        <v>3404.4497014200947</v>
      </c>
      <c r="V108" s="258">
        <f t="shared" si="363"/>
        <v>3872.8165939767946</v>
      </c>
      <c r="W108" s="83"/>
      <c r="Y108" s="240">
        <f>Y89</f>
        <v>7.0000000000000007E-2</v>
      </c>
      <c r="Z108" s="258">
        <f>(Z97+$Y$104-$Z$104-$AA$104)</f>
        <v>6665.8893794683518</v>
      </c>
      <c r="AA108" s="258">
        <f t="shared" ref="AA108:AD108" si="364">(AA97+$Y$104-$Z$104-$AA$104)</f>
        <v>7905.9220056163522</v>
      </c>
      <c r="AB108" s="258">
        <f t="shared" si="364"/>
        <v>9083.9530004569515</v>
      </c>
      <c r="AC108" s="258">
        <f t="shared" si="364"/>
        <v>10385.987257912353</v>
      </c>
      <c r="AD108" s="258">
        <f t="shared" si="364"/>
        <v>11626.019884060353</v>
      </c>
      <c r="AE108" s="83"/>
      <c r="AG108" s="257">
        <f>AG89</f>
        <v>0.02</v>
      </c>
      <c r="AH108" s="258">
        <f>(AH97+$AG$104-$AH$104-$AI$104)</f>
        <v>2742.3464784189969</v>
      </c>
      <c r="AI108" s="258">
        <f t="shared" ref="AI108:AL108" si="365">(AI97+$AG$104-$AH$104-$AI$104)</f>
        <v>2926.0313956221958</v>
      </c>
      <c r="AJ108" s="258">
        <f t="shared" si="365"/>
        <v>3105.1241898953162</v>
      </c>
      <c r="AK108" s="258">
        <f t="shared" si="365"/>
        <v>3293.4012300285963</v>
      </c>
      <c r="AL108" s="258">
        <f t="shared" si="365"/>
        <v>3477.0861472317961</v>
      </c>
      <c r="AM108" s="83"/>
      <c r="AO108" s="257">
        <f>AO89</f>
        <v>0.04</v>
      </c>
      <c r="AP108" s="258">
        <f>(AP97+$AO$104-$AP$104-$AQ$104)</f>
        <v>5146.9787551213476</v>
      </c>
      <c r="AQ108" s="258">
        <f t="shared" ref="AQ108:AT108" si="366">(AQ97+$AO$104-$AP$104-$AQ$104)</f>
        <v>5626.3309435117471</v>
      </c>
      <c r="AR108" s="258">
        <f t="shared" si="366"/>
        <v>6129.6507413216668</v>
      </c>
      <c r="AS108" s="258">
        <f t="shared" si="366"/>
        <v>6585.035320292548</v>
      </c>
      <c r="AT108" s="258">
        <f t="shared" si="366"/>
        <v>7064.3875086829503</v>
      </c>
    </row>
    <row r="109" spans="1:47" x14ac:dyDescent="0.3">
      <c r="A109" s="257">
        <f t="shared" ref="A109:A112" si="367">A90</f>
        <v>9.6600000000000005E-2</v>
      </c>
      <c r="B109" s="258">
        <f t="shared" ref="B109:F109" si="368">(B98+$A$104-$B$104-$C$104)</f>
        <v>1013.7303131348547</v>
      </c>
      <c r="C109" s="258">
        <f t="shared" si="368"/>
        <v>1493.9994359219379</v>
      </c>
      <c r="D109" s="258">
        <f t="shared" si="368"/>
        <v>1974.2685587090207</v>
      </c>
      <c r="E109" s="258">
        <f t="shared" si="368"/>
        <v>2377.6946218501707</v>
      </c>
      <c r="F109" s="258">
        <f t="shared" si="368"/>
        <v>2934.8068042831874</v>
      </c>
      <c r="G109" s="83"/>
      <c r="I109" s="257">
        <f t="shared" ref="I109:I112" si="369">I90</f>
        <v>8.48E-2</v>
      </c>
      <c r="J109" s="258">
        <f t="shared" ref="J109:N109" si="370">(J98+$I$104-$J$104-$K$104)</f>
        <v>6808.4339445692094</v>
      </c>
      <c r="K109" s="258">
        <f t="shared" si="370"/>
        <v>8897.3121938442273</v>
      </c>
      <c r="L109" s="258">
        <f t="shared" si="370"/>
        <v>10986.190443119249</v>
      </c>
      <c r="M109" s="258">
        <f t="shared" si="370"/>
        <v>13910.619992104275</v>
      </c>
      <c r="N109" s="258">
        <f t="shared" si="370"/>
        <v>15163.946941669285</v>
      </c>
      <c r="O109" s="83"/>
      <c r="Q109" s="257">
        <f t="shared" ref="Q109:Q112" si="371">Q90</f>
        <v>0.1</v>
      </c>
      <c r="R109" s="258">
        <f t="shared" ref="R109:V109" si="372">(R98+$Q$104-$R$104-$S$104)</f>
        <v>2201.9000804664947</v>
      </c>
      <c r="S109" s="258">
        <f t="shared" si="372"/>
        <v>2710.7771843664946</v>
      </c>
      <c r="T109" s="258">
        <f t="shared" si="372"/>
        <v>3218.3820955067445</v>
      </c>
      <c r="U109" s="258">
        <f t="shared" si="372"/>
        <v>3728.5313921664942</v>
      </c>
      <c r="V109" s="258">
        <f t="shared" si="372"/>
        <v>4237.408496066495</v>
      </c>
      <c r="W109" s="83"/>
      <c r="Y109" s="240">
        <f t="shared" ref="Y109:Y112" si="373">Y90</f>
        <v>0.09</v>
      </c>
      <c r="Z109" s="258">
        <f t="shared" ref="Z109:AD109" si="374">(Z98+$Y$104-$Z$104-$AA$104)</f>
        <v>7037.8117101223525</v>
      </c>
      <c r="AA109" s="258">
        <f t="shared" si="374"/>
        <v>8348.6866849663547</v>
      </c>
      <c r="AB109" s="258">
        <f t="shared" si="374"/>
        <v>9594.0179110681511</v>
      </c>
      <c r="AC109" s="258">
        <f t="shared" si="374"/>
        <v>10970.436634654356</v>
      </c>
      <c r="AD109" s="258">
        <f t="shared" si="374"/>
        <v>12281.311609498354</v>
      </c>
      <c r="AE109" s="83"/>
      <c r="AG109" s="257">
        <f t="shared" ref="AG109:AG112" si="375">AG90</f>
        <v>0.04</v>
      </c>
      <c r="AH109" s="258">
        <f t="shared" ref="AH109:AL109" si="376">(AH98+$AG$104-$AH$104-$AI$104)</f>
        <v>2893.8473128269975</v>
      </c>
      <c r="AI109" s="258">
        <f t="shared" si="376"/>
        <v>3088.5504725325968</v>
      </c>
      <c r="AJ109" s="258">
        <f t="shared" si="376"/>
        <v>3278.3860532455569</v>
      </c>
      <c r="AK109" s="258">
        <f t="shared" si="376"/>
        <v>3477.9567919437973</v>
      </c>
      <c r="AL109" s="258">
        <f t="shared" si="376"/>
        <v>3672.6599516493966</v>
      </c>
      <c r="AM109" s="83"/>
      <c r="AO109" s="257">
        <f t="shared" ref="AO109:AO112" si="377">AO90</f>
        <v>0.06</v>
      </c>
      <c r="AP109" s="258">
        <f t="shared" ref="AP109:AT109" si="378">(AP98+$AO$104-$AP$104-$AQ$104)</f>
        <v>5485.2607799677471</v>
      </c>
      <c r="AQ109" s="258">
        <f t="shared" si="378"/>
        <v>5992.8031370953477</v>
      </c>
      <c r="AR109" s="258">
        <f t="shared" si="378"/>
        <v>6525.7226120793302</v>
      </c>
      <c r="AS109" s="258">
        <f t="shared" si="378"/>
        <v>7007.8878513505479</v>
      </c>
      <c r="AT109" s="258">
        <f t="shared" si="378"/>
        <v>7515.4302084781484</v>
      </c>
    </row>
    <row r="110" spans="1:47" x14ac:dyDescent="0.3">
      <c r="A110" s="257">
        <f t="shared" si="367"/>
        <v>0.12</v>
      </c>
      <c r="B110" s="258">
        <f t="shared" ref="B110:F110" si="379">(B99+$A$104-$B$104-$C$104)</f>
        <v>1139.3529323865225</v>
      </c>
      <c r="C110" s="258">
        <f t="shared" si="379"/>
        <v>1651.0277099865223</v>
      </c>
      <c r="D110" s="258">
        <f t="shared" si="379"/>
        <v>2162.7024875865218</v>
      </c>
      <c r="E110" s="258">
        <f t="shared" si="379"/>
        <v>2592.5093007705227</v>
      </c>
      <c r="F110" s="258">
        <f t="shared" si="379"/>
        <v>3186.0520427865231</v>
      </c>
      <c r="G110" s="83"/>
      <c r="I110" s="257">
        <f t="shared" si="369"/>
        <v>0.11</v>
      </c>
      <c r="J110" s="258">
        <f t="shared" ref="J110:N110" si="380">(J99+$I$104-$J$104-$K$104)</f>
        <v>7478.8546257754278</v>
      </c>
      <c r="K110" s="258">
        <f t="shared" si="380"/>
        <v>9716.7152486518316</v>
      </c>
      <c r="L110" s="258">
        <f t="shared" si="380"/>
        <v>11954.575871528232</v>
      </c>
      <c r="M110" s="258">
        <f t="shared" si="380"/>
        <v>15087.580743555194</v>
      </c>
      <c r="N110" s="258">
        <f t="shared" si="380"/>
        <v>16430.297117281032</v>
      </c>
      <c r="O110" s="83"/>
      <c r="Q110" s="257">
        <f t="shared" si="371"/>
        <v>0.12970000000000001</v>
      </c>
      <c r="R110" s="258">
        <f t="shared" ref="R110:V110" si="381">(R99+$Q$104-$R$104-$S$104)</f>
        <v>2413.6099598173205</v>
      </c>
      <c r="S110" s="258">
        <f t="shared" si="381"/>
        <v>2964.829039587486</v>
      </c>
      <c r="T110" s="258">
        <f t="shared" si="381"/>
        <v>3514.670071658225</v>
      </c>
      <c r="U110" s="258">
        <f t="shared" si="381"/>
        <v>4067.2671991278162</v>
      </c>
      <c r="V110" s="258">
        <f t="shared" si="381"/>
        <v>4618.4862788979808</v>
      </c>
      <c r="W110" s="83"/>
      <c r="Y110" s="240">
        <f t="shared" si="373"/>
        <v>0.109</v>
      </c>
      <c r="Z110" s="258">
        <f t="shared" ref="Z110:AD110" si="382">(Z99+$Y$104-$Z$104-$AA$104)</f>
        <v>7404.010759486282</v>
      </c>
      <c r="AA110" s="258">
        <f t="shared" si="382"/>
        <v>8784.6379342091259</v>
      </c>
      <c r="AB110" s="258">
        <f t="shared" si="382"/>
        <v>10096.23375019583</v>
      </c>
      <c r="AC110" s="258">
        <f t="shared" si="382"/>
        <v>11545.892283654817</v>
      </c>
      <c r="AD110" s="258">
        <f t="shared" si="382"/>
        <v>12926.519458377659</v>
      </c>
      <c r="AE110" s="83"/>
      <c r="AG110" s="257">
        <f t="shared" si="375"/>
        <v>6.1600000000000002E-2</v>
      </c>
      <c r="AH110" s="258">
        <f t="shared" ref="AH110:AL110" si="383">(AH99+$AG$104-$AH$104-$AI$104)</f>
        <v>3064.143963205503</v>
      </c>
      <c r="AI110" s="258">
        <f t="shared" si="383"/>
        <v>3271.2323338477213</v>
      </c>
      <c r="AJ110" s="258">
        <f t="shared" si="383"/>
        <v>3473.1434952238847</v>
      </c>
      <c r="AK110" s="258">
        <f t="shared" si="383"/>
        <v>3685.4090751321587</v>
      </c>
      <c r="AL110" s="258">
        <f t="shared" si="383"/>
        <v>3892.497445774377</v>
      </c>
      <c r="AM110" s="83"/>
      <c r="AO110" s="257">
        <f t="shared" si="377"/>
        <v>8.43E-2</v>
      </c>
      <c r="AP110" s="258">
        <f t="shared" ref="AP110:AT110" si="384">(AP99+$AO$104-$AP$104-$AQ$104)</f>
        <v>5913.8025522896996</v>
      </c>
      <c r="AQ110" s="258">
        <f t="shared" si="384"/>
        <v>6457.0567237774621</v>
      </c>
      <c r="AR110" s="258">
        <f t="shared" si="384"/>
        <v>7027.473603839615</v>
      </c>
      <c r="AS110" s="258">
        <f t="shared" si="384"/>
        <v>7543.5650667529881</v>
      </c>
      <c r="AT110" s="258">
        <f t="shared" si="384"/>
        <v>8086.8192382407506</v>
      </c>
    </row>
    <row r="111" spans="1:47" x14ac:dyDescent="0.3">
      <c r="A111" s="257">
        <f t="shared" si="367"/>
        <v>0.14000000000000001</v>
      </c>
      <c r="B111" s="258">
        <f t="shared" ref="B111:F111" si="385">(B100+$A$104-$B$104-$C$104)</f>
        <v>1250.9671211865227</v>
      </c>
      <c r="C111" s="258">
        <f t="shared" si="385"/>
        <v>1790.545445986523</v>
      </c>
      <c r="D111" s="258">
        <f t="shared" si="385"/>
        <v>2330.123770786523</v>
      </c>
      <c r="E111" s="258">
        <f t="shared" si="385"/>
        <v>2783.3695636185239</v>
      </c>
      <c r="F111" s="258">
        <f t="shared" si="385"/>
        <v>3409.2804203865235</v>
      </c>
      <c r="G111" s="83"/>
      <c r="I111" s="257">
        <f t="shared" si="369"/>
        <v>0.13500000000000001</v>
      </c>
      <c r="J111" s="258">
        <f t="shared" ref="J111:N111" si="386">(J100+$I$104-$J$104-$K$104)</f>
        <v>8174.7252866183007</v>
      </c>
      <c r="K111" s="258">
        <f t="shared" si="386"/>
        <v>10567.223834126449</v>
      </c>
      <c r="L111" s="258">
        <f t="shared" si="386"/>
        <v>12959.722381634601</v>
      </c>
      <c r="M111" s="258">
        <f t="shared" si="386"/>
        <v>16309.220348146009</v>
      </c>
      <c r="N111" s="258">
        <f t="shared" si="386"/>
        <v>17744.719476650902</v>
      </c>
      <c r="O111" s="83"/>
      <c r="Q111" s="257">
        <f t="shared" si="371"/>
        <v>0.16</v>
      </c>
      <c r="R111" s="258">
        <f t="shared" ref="R111:V111" si="387">(R100+$Q$104-$R$104-$S$104)</f>
        <v>2641.3772054784936</v>
      </c>
      <c r="S111" s="258">
        <f t="shared" si="387"/>
        <v>3238.1497343808928</v>
      </c>
      <c r="T111" s="258">
        <f t="shared" si="387"/>
        <v>3833.4303319610367</v>
      </c>
      <c r="U111" s="258">
        <f t="shared" si="387"/>
        <v>4431.6947921856936</v>
      </c>
      <c r="V111" s="258">
        <f t="shared" si="387"/>
        <v>5028.4673210880937</v>
      </c>
      <c r="W111" s="83"/>
      <c r="Y111" s="240">
        <f t="shared" si="373"/>
        <v>0.13</v>
      </c>
      <c r="Z111" s="258">
        <f t="shared" ref="Z111:AD111" si="388">(Z100+$Y$104-$Z$104-$AA$104)</f>
        <v>7823.6176025743498</v>
      </c>
      <c r="AA111" s="258">
        <f t="shared" si="388"/>
        <v>9284.1698902663502</v>
      </c>
      <c r="AB111" s="258">
        <f t="shared" si="388"/>
        <v>10671.694563573748</v>
      </c>
      <c r="AC111" s="258">
        <f t="shared" si="388"/>
        <v>12205.274465650351</v>
      </c>
      <c r="AD111" s="258">
        <f t="shared" si="388"/>
        <v>13665.826753342351</v>
      </c>
      <c r="AE111" s="83"/>
      <c r="AG111" s="257">
        <f t="shared" si="375"/>
        <v>0.08</v>
      </c>
      <c r="AH111" s="258">
        <f t="shared" ref="AH111:AL111" si="389">(AH100+$AG$104-$AH$104-$AI$104)</f>
        <v>3214.7846088909969</v>
      </c>
      <c r="AI111" s="258">
        <f t="shared" si="389"/>
        <v>3432.8286628557967</v>
      </c>
      <c r="AJ111" s="258">
        <f t="shared" si="389"/>
        <v>3645.4216154714773</v>
      </c>
      <c r="AK111" s="258">
        <f t="shared" si="389"/>
        <v>3868.9167707853981</v>
      </c>
      <c r="AL111" s="258">
        <f t="shared" si="389"/>
        <v>4086.9608247501969</v>
      </c>
      <c r="AM111" s="83"/>
      <c r="AO111" s="257">
        <f t="shared" si="377"/>
        <v>0.1</v>
      </c>
      <c r="AP111" s="258">
        <f t="shared" ref="AP111:AT111" si="390">(AP100+$AO$104-$AP$104-$AQ$104)</f>
        <v>6201.0981086365491</v>
      </c>
      <c r="AQ111" s="258">
        <f t="shared" si="390"/>
        <v>6768.2935764865506</v>
      </c>
      <c r="AR111" s="258">
        <f t="shared" si="390"/>
        <v>7363.8488177290528</v>
      </c>
      <c r="AS111" s="258">
        <f t="shared" si="390"/>
        <v>7902.6845121865517</v>
      </c>
      <c r="AT111" s="258">
        <f t="shared" si="390"/>
        <v>8469.8799800365523</v>
      </c>
    </row>
    <row r="112" spans="1:47" x14ac:dyDescent="0.3">
      <c r="A112" s="257">
        <f t="shared" si="367"/>
        <v>0.16</v>
      </c>
      <c r="B112" s="258">
        <f t="shared" ref="B112:F112" si="391">(B101+$A$104-$B$104-$C$104)</f>
        <v>1366.5671147865216</v>
      </c>
      <c r="C112" s="258">
        <f t="shared" si="391"/>
        <v>1935.0454379865216</v>
      </c>
      <c r="D112" s="258">
        <f t="shared" si="391"/>
        <v>2503.5237611865214</v>
      </c>
      <c r="E112" s="258">
        <f t="shared" si="391"/>
        <v>2981.0455526745227</v>
      </c>
      <c r="F112" s="258">
        <f t="shared" si="391"/>
        <v>3640.4804075865213</v>
      </c>
      <c r="G112" s="83"/>
      <c r="I112" s="257">
        <f t="shared" si="369"/>
        <v>0.16</v>
      </c>
      <c r="J112" s="258">
        <f t="shared" ref="J112:N112" si="392">(J101+$I$104-$J$104-$K$104)</f>
        <v>8901.9362901724198</v>
      </c>
      <c r="K112" s="258">
        <f t="shared" si="392"/>
        <v>11456.037282914822</v>
      </c>
      <c r="L112" s="258">
        <f t="shared" si="392"/>
        <v>14010.138275657224</v>
      </c>
      <c r="M112" s="258">
        <f t="shared" si="392"/>
        <v>17585.879665496581</v>
      </c>
      <c r="N112" s="258">
        <f t="shared" si="392"/>
        <v>19118.340261142021</v>
      </c>
      <c r="O112" s="83"/>
      <c r="Q112" s="257">
        <f t="shared" si="371"/>
        <v>0.19</v>
      </c>
      <c r="R112" s="258">
        <f t="shared" ref="R112:V112" si="393">(R101+$Q$104-$R$104-$S$104)</f>
        <v>2878.9226433519934</v>
      </c>
      <c r="S112" s="258">
        <f t="shared" si="393"/>
        <v>3523.2042598290932</v>
      </c>
      <c r="T112" s="258">
        <f t="shared" si="393"/>
        <v>4165.8751722649995</v>
      </c>
      <c r="U112" s="258">
        <f t="shared" si="393"/>
        <v>4811.7674927832941</v>
      </c>
      <c r="V112" s="258">
        <f t="shared" si="393"/>
        <v>5456.0491092603934</v>
      </c>
      <c r="W112" s="83"/>
      <c r="Y112" s="240">
        <f t="shared" si="373"/>
        <v>0.15</v>
      </c>
      <c r="Z112" s="258">
        <f t="shared" ref="Z112:AD112" si="394">(Z101+$Y$104-$Z$104-$AA$104)</f>
        <v>8238.0113313163492</v>
      </c>
      <c r="AA112" s="258">
        <f t="shared" si="394"/>
        <v>9777.4957578163503</v>
      </c>
      <c r="AB112" s="258">
        <f t="shared" si="394"/>
        <v>11240.005962991347</v>
      </c>
      <c r="AC112" s="258">
        <f t="shared" si="394"/>
        <v>12856.464610816349</v>
      </c>
      <c r="AD112" s="258">
        <f t="shared" si="394"/>
        <v>14395.949037316352</v>
      </c>
      <c r="AE112" s="83"/>
      <c r="AG112" s="257">
        <f t="shared" si="375"/>
        <v>0.1</v>
      </c>
      <c r="AH112" s="258">
        <f t="shared" ref="AH112:AL112" si="395">(AH101+$AG$104-$AH$104-$AI$104)</f>
        <v>3384.449549874997</v>
      </c>
      <c r="AI112" s="258">
        <f t="shared" si="395"/>
        <v>3614.832872274997</v>
      </c>
      <c r="AJ112" s="258">
        <f t="shared" si="395"/>
        <v>3839.4566116149977</v>
      </c>
      <c r="AK112" s="258">
        <f t="shared" si="395"/>
        <v>4075.5995170749979</v>
      </c>
      <c r="AL112" s="258">
        <f t="shared" si="395"/>
        <v>4305.9828394749966</v>
      </c>
      <c r="AM112" s="83"/>
      <c r="AO112" s="257">
        <f t="shared" si="377"/>
        <v>0.12</v>
      </c>
      <c r="AP112" s="258">
        <f t="shared" ref="AP112:AT112" si="396">(AP101+$AO$104-$AP$104-$AQ$104)</f>
        <v>6579.1443284461484</v>
      </c>
      <c r="AQ112" s="258">
        <f t="shared" si="396"/>
        <v>7177.8436479469492</v>
      </c>
      <c r="AR112" s="258">
        <f t="shared" si="396"/>
        <v>7806.4779334227896</v>
      </c>
      <c r="AS112" s="258">
        <f t="shared" si="396"/>
        <v>8375.242286948549</v>
      </c>
      <c r="AT112" s="258">
        <f t="shared" si="396"/>
        <v>8973.9416064493489</v>
      </c>
    </row>
    <row r="114" spans="1:46" ht="18" x14ac:dyDescent="0.3">
      <c r="A114" s="408" t="s">
        <v>534</v>
      </c>
      <c r="B114" s="408"/>
      <c r="C114" s="408"/>
      <c r="D114" s="408"/>
      <c r="E114" s="408"/>
      <c r="F114" s="250" t="e" vm="4">
        <v>#VALUE!</v>
      </c>
      <c r="G114" s="49"/>
      <c r="I114" s="409" t="s">
        <v>534</v>
      </c>
      <c r="J114" s="410"/>
      <c r="K114" s="410"/>
      <c r="L114" s="410"/>
      <c r="M114" s="411"/>
      <c r="N114" s="250" t="e" vm="6">
        <v>#VALUE!</v>
      </c>
      <c r="O114" s="49"/>
      <c r="Q114" s="401" t="s">
        <v>534</v>
      </c>
      <c r="R114" s="402"/>
      <c r="S114" s="402"/>
      <c r="T114" s="402"/>
      <c r="U114" s="412"/>
      <c r="V114" s="250" t="e" vm="5">
        <v>#VALUE!</v>
      </c>
      <c r="W114" s="49"/>
      <c r="Y114" s="403" t="s">
        <v>534</v>
      </c>
      <c r="Z114" s="404"/>
      <c r="AA114" s="404"/>
      <c r="AB114" s="404"/>
      <c r="AC114" s="413"/>
      <c r="AD114" s="250" t="e" vm="3">
        <v>#VALUE!</v>
      </c>
      <c r="AE114" s="49"/>
      <c r="AG114" s="414" t="s">
        <v>534</v>
      </c>
      <c r="AH114" s="415"/>
      <c r="AI114" s="415"/>
      <c r="AJ114" s="415"/>
      <c r="AK114" s="416"/>
      <c r="AL114" s="250" t="e" vm="1">
        <v>#VALUE!</v>
      </c>
      <c r="AM114" s="49"/>
      <c r="AO114" s="387" t="s">
        <v>534</v>
      </c>
      <c r="AP114" s="387"/>
      <c r="AQ114" s="387"/>
      <c r="AR114" s="387"/>
      <c r="AS114" s="387"/>
      <c r="AT114" s="250" t="e" vm="2">
        <v>#VALUE!</v>
      </c>
    </row>
    <row r="115" spans="1:46" x14ac:dyDescent="0.3">
      <c r="A115" s="242" t="s">
        <v>594</v>
      </c>
      <c r="B115" s="256" t="s">
        <v>579</v>
      </c>
      <c r="C115" s="256" t="s">
        <v>580</v>
      </c>
      <c r="D115" s="256" t="s">
        <v>581</v>
      </c>
      <c r="E115" s="256" t="s">
        <v>582</v>
      </c>
      <c r="F115" s="256" t="s">
        <v>583</v>
      </c>
      <c r="G115" s="278"/>
      <c r="I115" s="108" t="s">
        <v>594</v>
      </c>
      <c r="J115" s="239" t="s">
        <v>573</v>
      </c>
      <c r="K115" s="239" t="s">
        <v>574</v>
      </c>
      <c r="L115" s="239" t="s">
        <v>575</v>
      </c>
      <c r="M115" s="239" t="s">
        <v>576</v>
      </c>
      <c r="N115" s="239" t="s">
        <v>577</v>
      </c>
      <c r="O115" s="239"/>
      <c r="P115" s="108"/>
      <c r="Q115" s="259" t="s">
        <v>594</v>
      </c>
      <c r="R115" s="263" t="s">
        <v>579</v>
      </c>
      <c r="S115" s="260" t="s">
        <v>595</v>
      </c>
      <c r="T115" s="261" t="s">
        <v>596</v>
      </c>
      <c r="U115" s="261" t="s">
        <v>597</v>
      </c>
      <c r="V115" s="262" t="s">
        <v>598</v>
      </c>
      <c r="W115" s="279"/>
      <c r="X115" s="252"/>
      <c r="Y115" s="264" t="s">
        <v>594</v>
      </c>
      <c r="Z115" s="265" t="s">
        <v>588</v>
      </c>
      <c r="AA115" s="265" t="s">
        <v>580</v>
      </c>
      <c r="AB115" s="265" t="s">
        <v>589</v>
      </c>
      <c r="AC115" s="265" t="s">
        <v>590</v>
      </c>
      <c r="AD115" s="266" t="s">
        <v>591</v>
      </c>
      <c r="AE115" s="319"/>
      <c r="AF115" s="252"/>
      <c r="AG115" s="267" t="s">
        <v>594</v>
      </c>
      <c r="AH115" s="267" t="s">
        <v>585</v>
      </c>
      <c r="AI115" s="267" t="s">
        <v>581</v>
      </c>
      <c r="AJ115" s="267" t="s">
        <v>586</v>
      </c>
      <c r="AK115" s="267" t="s">
        <v>582</v>
      </c>
      <c r="AL115" s="267" t="s">
        <v>587</v>
      </c>
      <c r="AM115" s="325"/>
      <c r="AN115" s="252"/>
      <c r="AO115" s="268" t="s">
        <v>594</v>
      </c>
      <c r="AP115" s="268" t="s">
        <v>584</v>
      </c>
      <c r="AQ115" s="268" t="s">
        <v>592</v>
      </c>
      <c r="AR115" s="268" t="s">
        <v>585</v>
      </c>
      <c r="AS115" s="268" t="s">
        <v>581</v>
      </c>
      <c r="AT115" s="268" t="s">
        <v>586</v>
      </c>
    </row>
    <row r="116" spans="1:46" x14ac:dyDescent="0.3">
      <c r="A116" s="257">
        <f>A108</f>
        <v>0.08</v>
      </c>
      <c r="B116" s="258">
        <f ca="1">B108*$E$104</f>
        <v>649.61372128087669</v>
      </c>
      <c r="C116" s="258">
        <f t="shared" ref="C116:F116" ca="1" si="397">C108*$E$104</f>
        <v>970.83992837220228</v>
      </c>
      <c r="D116" s="258">
        <f t="shared" ca="1" si="397"/>
        <v>1292.0661354635276</v>
      </c>
      <c r="E116" s="258">
        <f t="shared" ca="1" si="397"/>
        <v>1561.8961494202408</v>
      </c>
      <c r="F116" s="258">
        <f t="shared" ca="1" si="397"/>
        <v>1934.5185496461775</v>
      </c>
      <c r="G116" s="83"/>
      <c r="I116" s="257">
        <f>I108</f>
        <v>0.06</v>
      </c>
      <c r="J116" s="258">
        <f ca="1">J108*$M$104</f>
        <v>4207.5388645275516</v>
      </c>
      <c r="K116" s="258">
        <f t="shared" ref="K116:N116" ca="1" si="398">K108*$M$104</f>
        <v>5534.7368121869986</v>
      </c>
      <c r="L116" s="258">
        <f t="shared" ca="1" si="398"/>
        <v>6861.9347598464428</v>
      </c>
      <c r="M116" s="258">
        <f t="shared" ca="1" si="398"/>
        <v>8720.0118865696677</v>
      </c>
      <c r="N116" s="258">
        <f t="shared" ca="1" si="398"/>
        <v>9516.3306551653368</v>
      </c>
      <c r="O116" s="83"/>
      <c r="Q116" s="257">
        <f>Q108</f>
        <v>7.0000000000000007E-2</v>
      </c>
      <c r="R116" s="258">
        <f ca="1">R108*$U$104</f>
        <v>1455.6964085725622</v>
      </c>
      <c r="S116" s="258">
        <f t="shared" ref="S116:V116" ca="1" si="399">S108*$U$104</f>
        <v>1796.7074052970311</v>
      </c>
      <c r="T116" s="258">
        <f t="shared" ca="1" si="399"/>
        <v>2136.8658745296889</v>
      </c>
      <c r="U116" s="258">
        <f t="shared" ca="1" si="399"/>
        <v>2478.7293987459689</v>
      </c>
      <c r="V116" s="258">
        <f t="shared" ca="1" si="399"/>
        <v>2819.7403954704378</v>
      </c>
      <c r="W116" s="83"/>
      <c r="Y116" s="240">
        <f>Y108</f>
        <v>7.0000000000000007E-2</v>
      </c>
      <c r="Z116" s="258">
        <f ca="1">Z108*$AC$104</f>
        <v>4941.2441448928812</v>
      </c>
      <c r="AA116" s="258">
        <f t="shared" ref="AA116:AD116" ca="1" si="400">AA108*$AC$104</f>
        <v>5860.4469105887383</v>
      </c>
      <c r="AB116" s="258">
        <f t="shared" ca="1" si="400"/>
        <v>6733.6895379998023</v>
      </c>
      <c r="AC116" s="258">
        <f t="shared" ca="1" si="400"/>
        <v>7698.8524419804526</v>
      </c>
      <c r="AD116" s="258">
        <f t="shared" ca="1" si="400"/>
        <v>8618.0552076763106</v>
      </c>
      <c r="AE116" s="83"/>
      <c r="AG116" s="257">
        <f>AG108</f>
        <v>0.02</v>
      </c>
      <c r="AH116" s="258">
        <f ca="1">AH108*$AK$104</f>
        <v>1943.1005332091841</v>
      </c>
      <c r="AI116" s="258">
        <f t="shared" ref="AI116:AL116" ca="1" si="401">AI108*$AK$104</f>
        <v>2073.2512137919634</v>
      </c>
      <c r="AJ116" s="258">
        <f t="shared" ca="1" si="401"/>
        <v>2200.1481273601744</v>
      </c>
      <c r="AK116" s="258">
        <f t="shared" ca="1" si="401"/>
        <v>2333.552574957524</v>
      </c>
      <c r="AL116" s="258">
        <f t="shared" ca="1" si="401"/>
        <v>2463.7032555403039</v>
      </c>
      <c r="AM116" s="83"/>
      <c r="AO116" s="257">
        <f>AO108</f>
        <v>0.04</v>
      </c>
      <c r="AP116" s="258">
        <f ca="1">AP108*$AS$104</f>
        <v>3780.6082642495467</v>
      </c>
      <c r="AQ116" s="258">
        <f t="shared" ref="AQ116:AT116" ca="1" si="402">AQ108*$AS$104</f>
        <v>4132.7066371273504</v>
      </c>
      <c r="AR116" s="258">
        <f t="shared" ca="1" si="402"/>
        <v>4502.4099286490446</v>
      </c>
      <c r="AS116" s="258">
        <f t="shared" ca="1" si="402"/>
        <v>4836.9033828829597</v>
      </c>
      <c r="AT116" s="258">
        <f t="shared" ca="1" si="402"/>
        <v>5189.0017557607653</v>
      </c>
    </row>
    <row r="117" spans="1:46" x14ac:dyDescent="0.3">
      <c r="A117" s="257">
        <f t="shared" ref="A117:A120" si="403">A109</f>
        <v>9.6600000000000005E-2</v>
      </c>
      <c r="B117" s="258">
        <f t="shared" ref="B117:F117" ca="1" si="404">B109*$E$104</f>
        <v>709.7774460531374</v>
      </c>
      <c r="C117" s="258">
        <f t="shared" ca="1" si="404"/>
        <v>1046.0445843375278</v>
      </c>
      <c r="D117" s="258">
        <f t="shared" ca="1" si="404"/>
        <v>1382.3117226219179</v>
      </c>
      <c r="E117" s="258">
        <f t="shared" ca="1" si="404"/>
        <v>1664.776118780806</v>
      </c>
      <c r="F117" s="258">
        <f t="shared" ca="1" si="404"/>
        <v>2054.8459991906989</v>
      </c>
      <c r="G117" s="83"/>
      <c r="I117" s="257">
        <f t="shared" ref="I117:I120" si="405">I109</f>
        <v>8.48E-2</v>
      </c>
      <c r="J117" s="258">
        <f t="shared" ref="J117:N117" ca="1" si="406">J109*$M$104</f>
        <v>4636.6171337520027</v>
      </c>
      <c r="K117" s="258">
        <f t="shared" ca="1" si="406"/>
        <v>6059.1658079057706</v>
      </c>
      <c r="L117" s="258">
        <f t="shared" ca="1" si="406"/>
        <v>7481.7144820595413</v>
      </c>
      <c r="M117" s="258">
        <f t="shared" ca="1" si="406"/>
        <v>9473.2826258748173</v>
      </c>
      <c r="N117" s="258">
        <f t="shared" ca="1" si="406"/>
        <v>10326.811830367076</v>
      </c>
      <c r="O117" s="83"/>
      <c r="Q117" s="257">
        <f t="shared" ref="Q117:Q120" si="407">Q109</f>
        <v>0.1</v>
      </c>
      <c r="R117" s="258">
        <f t="shared" ref="R117:V117" ca="1" si="408">R109*$U$104</f>
        <v>1603.1708326537357</v>
      </c>
      <c r="S117" s="258">
        <f t="shared" ca="1" si="408"/>
        <v>1973.676714194439</v>
      </c>
      <c r="T117" s="258">
        <f t="shared" ca="1" si="408"/>
        <v>2343.2563310312908</v>
      </c>
      <c r="U117" s="258">
        <f t="shared" ca="1" si="408"/>
        <v>2714.6884772758458</v>
      </c>
      <c r="V117" s="258">
        <f t="shared" ca="1" si="408"/>
        <v>3085.1943588165495</v>
      </c>
      <c r="W117" s="83"/>
      <c r="Y117" s="240">
        <f t="shared" ref="Y117:Y120" si="409">Y109</f>
        <v>0.09</v>
      </c>
      <c r="Z117" s="258">
        <f t="shared" ref="Z117:AD117" ca="1" si="410">Z109*$AC$104</f>
        <v>5216.9401449434508</v>
      </c>
      <c r="AA117" s="258">
        <f t="shared" ca="1" si="410"/>
        <v>6188.6564344584649</v>
      </c>
      <c r="AB117" s="258">
        <f t="shared" ca="1" si="410"/>
        <v>7111.7869094977241</v>
      </c>
      <c r="AC117" s="258">
        <f t="shared" ca="1" si="410"/>
        <v>8132.0890134884912</v>
      </c>
      <c r="AD117" s="258">
        <f t="shared" ca="1" si="410"/>
        <v>9103.8053030035026</v>
      </c>
      <c r="AE117" s="83"/>
      <c r="AG117" s="257">
        <f t="shared" ref="AG117:AG120" si="411">AG109</f>
        <v>0.04</v>
      </c>
      <c r="AH117" s="258">
        <f t="shared" ref="AH117:AL117" ca="1" si="412">AH109*$AK$104</f>
        <v>2050.4470535837859</v>
      </c>
      <c r="AI117" s="258">
        <f t="shared" ca="1" si="412"/>
        <v>2188.4047538301729</v>
      </c>
      <c r="AJ117" s="258">
        <f t="shared" ca="1" si="412"/>
        <v>2322.9135115704007</v>
      </c>
      <c r="AK117" s="258">
        <f t="shared" ca="1" si="412"/>
        <v>2464.3201543229484</v>
      </c>
      <c r="AL117" s="258">
        <f t="shared" ca="1" si="412"/>
        <v>2602.277854569335</v>
      </c>
      <c r="AM117" s="83"/>
      <c r="AO117" s="257">
        <f t="shared" ref="AO117:AO120" si="413">AO109</f>
        <v>0.06</v>
      </c>
      <c r="AP117" s="258">
        <f t="shared" ref="AP117:AT117" ca="1" si="414">AP109*$AS$104</f>
        <v>4029.0864258329466</v>
      </c>
      <c r="AQ117" s="258">
        <f t="shared" ca="1" si="414"/>
        <v>4401.8913121760343</v>
      </c>
      <c r="AR117" s="258">
        <f t="shared" ca="1" si="414"/>
        <v>4793.3364428362784</v>
      </c>
      <c r="AS117" s="258">
        <f t="shared" ca="1" si="414"/>
        <v>5147.5010848622096</v>
      </c>
      <c r="AT117" s="258">
        <f t="shared" ca="1" si="414"/>
        <v>5520.3059712052973</v>
      </c>
    </row>
    <row r="118" spans="1:46" x14ac:dyDescent="0.3">
      <c r="A118" s="257">
        <f t="shared" si="403"/>
        <v>0.12</v>
      </c>
      <c r="B118" s="258">
        <f t="shared" ref="B118:F118" ca="1" si="415">B110*$E$104</f>
        <v>797.73387855166243</v>
      </c>
      <c r="C118" s="258">
        <f t="shared" ca="1" si="415"/>
        <v>1155.9901249606837</v>
      </c>
      <c r="D118" s="258">
        <f t="shared" ca="1" si="415"/>
        <v>1514.246371369705</v>
      </c>
      <c r="E118" s="258">
        <f t="shared" ca="1" si="415"/>
        <v>1815.1816183532837</v>
      </c>
      <c r="F118" s="258">
        <f t="shared" ca="1" si="415"/>
        <v>2230.7588641877487</v>
      </c>
      <c r="G118" s="83"/>
      <c r="I118" s="257">
        <f t="shared" si="405"/>
        <v>0.11</v>
      </c>
      <c r="J118" s="258">
        <f t="shared" ref="J118:N118" ca="1" si="416">J110*$M$104</f>
        <v>5093.1808667058849</v>
      </c>
      <c r="K118" s="258">
        <f t="shared" ca="1" si="416"/>
        <v>6617.1881481827404</v>
      </c>
      <c r="L118" s="258">
        <f t="shared" ca="1" si="416"/>
        <v>8141.1954296595932</v>
      </c>
      <c r="M118" s="258">
        <f t="shared" ca="1" si="416"/>
        <v>10274.805623727189</v>
      </c>
      <c r="N118" s="258">
        <f t="shared" ca="1" si="416"/>
        <v>11189.2099926133</v>
      </c>
      <c r="O118" s="83"/>
      <c r="Q118" s="257">
        <f t="shared" si="407"/>
        <v>0.12970000000000001</v>
      </c>
      <c r="R118" s="258">
        <f t="shared" ref="R118:V118" ca="1" si="417">R110*$U$104</f>
        <v>1757.3136598286992</v>
      </c>
      <c r="S118" s="258">
        <f t="shared" ca="1" si="417"/>
        <v>2158.6481068043959</v>
      </c>
      <c r="T118" s="258">
        <f t="shared" ca="1" si="417"/>
        <v>2558.979217662652</v>
      </c>
      <c r="U118" s="258">
        <f t="shared" ca="1" si="417"/>
        <v>2961.3170007557878</v>
      </c>
      <c r="V118" s="258">
        <f t="shared" ca="1" si="417"/>
        <v>3362.6514477314836</v>
      </c>
      <c r="W118" s="83"/>
      <c r="Y118" s="240">
        <f t="shared" si="409"/>
        <v>0.109</v>
      </c>
      <c r="Z118" s="258">
        <f t="shared" ref="Z118:AD118" ca="1" si="418">Z110*$AC$104</f>
        <v>5488.3936308216053</v>
      </c>
      <c r="AA118" s="258">
        <f t="shared" ca="1" si="418"/>
        <v>6511.8153462181717</v>
      </c>
      <c r="AB118" s="258">
        <f t="shared" ca="1" si="418"/>
        <v>7484.0659758449119</v>
      </c>
      <c r="AC118" s="258">
        <f t="shared" ca="1" si="418"/>
        <v>8558.6587770113074</v>
      </c>
      <c r="AD118" s="258">
        <f t="shared" ca="1" si="418"/>
        <v>9582.0804924078711</v>
      </c>
      <c r="AE118" s="83"/>
      <c r="AG118" s="257">
        <f t="shared" si="411"/>
        <v>6.1600000000000002E-2</v>
      </c>
      <c r="AH118" s="258">
        <f t="shared" ref="AH118:AL118" ca="1" si="419">AH110*$AK$104</f>
        <v>2171.1114243182174</v>
      </c>
      <c r="AI118" s="258">
        <f t="shared" ca="1" si="419"/>
        <v>2317.8447151634723</v>
      </c>
      <c r="AJ118" s="258">
        <f t="shared" ca="1" si="419"/>
        <v>2460.9096737375962</v>
      </c>
      <c r="AK118" s="258">
        <f t="shared" ca="1" si="419"/>
        <v>2611.3112968539826</v>
      </c>
      <c r="AL118" s="258">
        <f t="shared" ca="1" si="419"/>
        <v>2758.044587699238</v>
      </c>
      <c r="AM118" s="83"/>
      <c r="AO118" s="257">
        <f t="shared" si="413"/>
        <v>8.43E-2</v>
      </c>
      <c r="AP118" s="258">
        <f t="shared" ref="AP118:AT118" ca="1" si="420">AP110*$AS$104</f>
        <v>4343.863043942054</v>
      </c>
      <c r="AQ118" s="258">
        <f t="shared" ca="1" si="420"/>
        <v>4742.8993151275672</v>
      </c>
      <c r="AR118" s="258">
        <f t="shared" ca="1" si="420"/>
        <v>5161.8873998723575</v>
      </c>
      <c r="AS118" s="258">
        <f t="shared" ca="1" si="420"/>
        <v>5540.9718574985936</v>
      </c>
      <c r="AT118" s="258">
        <f t="shared" ca="1" si="420"/>
        <v>5940.0081286841059</v>
      </c>
    </row>
    <row r="119" spans="1:46" x14ac:dyDescent="0.3">
      <c r="A119" s="257">
        <f t="shared" si="403"/>
        <v>0.14000000000000001</v>
      </c>
      <c r="B119" s="258">
        <f t="shared" ref="B119:F119" ca="1" si="421">B111*$E$104</f>
        <v>875.88211269568581</v>
      </c>
      <c r="C119" s="258">
        <f t="shared" ca="1" si="421"/>
        <v>1253.6754176407132</v>
      </c>
      <c r="D119" s="258">
        <f t="shared" ca="1" si="421"/>
        <v>1631.4687225857408</v>
      </c>
      <c r="E119" s="258">
        <f t="shared" ca="1" si="421"/>
        <v>1948.8150987395643</v>
      </c>
      <c r="F119" s="258">
        <f t="shared" ca="1" si="421"/>
        <v>2387.0553324757957</v>
      </c>
      <c r="G119" s="83"/>
      <c r="I119" s="257">
        <f t="shared" si="405"/>
        <v>0.13500000000000001</v>
      </c>
      <c r="J119" s="258">
        <f t="shared" ref="J119:N119" ca="1" si="422">J111*$M$104</f>
        <v>5567.0763109751242</v>
      </c>
      <c r="K119" s="258">
        <f t="shared" ca="1" si="422"/>
        <v>7196.393691178474</v>
      </c>
      <c r="L119" s="258">
        <f t="shared" ca="1" si="422"/>
        <v>8825.7110713818256</v>
      </c>
      <c r="M119" s="258">
        <f t="shared" ca="1" si="422"/>
        <v>11106.755403666515</v>
      </c>
      <c r="N119" s="258">
        <f t="shared" ca="1" si="422"/>
        <v>12084.345831788527</v>
      </c>
      <c r="O119" s="83"/>
      <c r="Q119" s="257">
        <f t="shared" si="407"/>
        <v>0.16</v>
      </c>
      <c r="R119" s="258">
        <f t="shared" ref="R119:V119" ca="1" si="423">R111*$U$104</f>
        <v>1923.1476175623809</v>
      </c>
      <c r="S119" s="258">
        <f t="shared" ca="1" si="423"/>
        <v>2357.6488560848129</v>
      </c>
      <c r="T119" s="258">
        <f t="shared" ca="1" si="423"/>
        <v>2791.0638415109393</v>
      </c>
      <c r="U119" s="258">
        <f t="shared" ca="1" si="423"/>
        <v>3226.6513331296787</v>
      </c>
      <c r="V119" s="258">
        <f t="shared" ca="1" si="423"/>
        <v>3661.1525716521114</v>
      </c>
      <c r="W119" s="83"/>
      <c r="Y119" s="240">
        <f t="shared" si="409"/>
        <v>0.13</v>
      </c>
      <c r="Z119" s="258">
        <f t="shared" ref="Z119:AD119" ca="1" si="424">Z111*$AC$104</f>
        <v>5799.4368747962399</v>
      </c>
      <c r="AA119" s="258">
        <f t="shared" ca="1" si="424"/>
        <v>6882.1049223784521</v>
      </c>
      <c r="AB119" s="258">
        <f t="shared" ca="1" si="424"/>
        <v>7910.6395675815511</v>
      </c>
      <c r="AC119" s="258">
        <f t="shared" ca="1" si="424"/>
        <v>9047.4410175428748</v>
      </c>
      <c r="AD119" s="258">
        <f t="shared" ca="1" si="424"/>
        <v>10130.109065125087</v>
      </c>
      <c r="AE119" s="83"/>
      <c r="AG119" s="257">
        <f t="shared" si="411"/>
        <v>0.08</v>
      </c>
      <c r="AH119" s="258">
        <f t="shared" ref="AH119:AL119" ca="1" si="425">AH111*$AK$104</f>
        <v>2277.8484545432275</v>
      </c>
      <c r="AI119" s="258">
        <f t="shared" ca="1" si="425"/>
        <v>2432.3444384957561</v>
      </c>
      <c r="AJ119" s="258">
        <f t="shared" ca="1" si="425"/>
        <v>2582.9780228494719</v>
      </c>
      <c r="AK119" s="258">
        <f t="shared" ca="1" si="425"/>
        <v>2741.3364064008147</v>
      </c>
      <c r="AL119" s="258">
        <f t="shared" ca="1" si="425"/>
        <v>2895.8323903533424</v>
      </c>
      <c r="AM119" s="83"/>
      <c r="AO119" s="257">
        <f t="shared" si="413"/>
        <v>0.1</v>
      </c>
      <c r="AP119" s="258">
        <f t="shared" ref="AP119:AT119" ca="1" si="426">AP111*$AS$104</f>
        <v>4554.8901350343431</v>
      </c>
      <c r="AQ119" s="258">
        <f t="shared" ca="1" si="426"/>
        <v>4971.5119971442145</v>
      </c>
      <c r="AR119" s="258">
        <f t="shared" ca="1" si="426"/>
        <v>5408.9649523595808</v>
      </c>
      <c r="AS119" s="258">
        <f t="shared" ca="1" si="426"/>
        <v>5804.7557213639566</v>
      </c>
      <c r="AT119" s="258">
        <f t="shared" ca="1" si="426"/>
        <v>6221.3775834738271</v>
      </c>
    </row>
    <row r="120" spans="1:46" x14ac:dyDescent="0.3">
      <c r="A120" s="257">
        <f t="shared" si="403"/>
        <v>0.16</v>
      </c>
      <c r="B120" s="258">
        <f t="shared" ref="B120:F120" ca="1" si="427">B112*$E$104</f>
        <v>956.82106377374362</v>
      </c>
      <c r="C120" s="258">
        <f t="shared" ca="1" si="427"/>
        <v>1354.8491064882855</v>
      </c>
      <c r="D120" s="258">
        <f t="shared" ca="1" si="427"/>
        <v>1752.8771492028275</v>
      </c>
      <c r="E120" s="258">
        <f t="shared" ca="1" si="427"/>
        <v>2087.2207050830439</v>
      </c>
      <c r="F120" s="258">
        <f t="shared" ca="1" si="427"/>
        <v>2548.9332346319115</v>
      </c>
      <c r="G120" s="83"/>
      <c r="I120" s="257">
        <f t="shared" si="405"/>
        <v>0.16</v>
      </c>
      <c r="J120" s="258">
        <f t="shared" ref="J120:N120" ca="1" si="428">J112*$M$104</f>
        <v>6062.3148675042003</v>
      </c>
      <c r="K120" s="258">
        <f t="shared" ca="1" si="428"/>
        <v>7801.6852602695699</v>
      </c>
      <c r="L120" s="258">
        <f t="shared" ca="1" si="428"/>
        <v>9541.0556530349404</v>
      </c>
      <c r="M120" s="258">
        <f t="shared" ca="1" si="428"/>
        <v>11976.174202906454</v>
      </c>
      <c r="N120" s="258">
        <f t="shared" ca="1" si="428"/>
        <v>13019.796438565674</v>
      </c>
      <c r="O120" s="83"/>
      <c r="Q120" s="257">
        <f t="shared" si="407"/>
        <v>0.19</v>
      </c>
      <c r="R120" s="258">
        <f t="shared" ref="R120:V120" ca="1" si="429">R112*$U$104</f>
        <v>2096.1009322051023</v>
      </c>
      <c r="S120" s="258">
        <f t="shared" ca="1" si="429"/>
        <v>2565.1928336560791</v>
      </c>
      <c r="T120" s="258">
        <f t="shared" ca="1" si="429"/>
        <v>3033.1120053534278</v>
      </c>
      <c r="U120" s="258">
        <f t="shared" ca="1" si="429"/>
        <v>3503.3766365580336</v>
      </c>
      <c r="V120" s="258">
        <f t="shared" ca="1" si="429"/>
        <v>3972.46853800901</v>
      </c>
      <c r="W120" s="83"/>
      <c r="Y120" s="240">
        <f t="shared" si="409"/>
        <v>0.15</v>
      </c>
      <c r="Z120" s="258">
        <f t="shared" ref="Z120:AD120" ca="1" si="430">Z112*$AC$104</f>
        <v>6106.615777604562</v>
      </c>
      <c r="AA120" s="258">
        <f t="shared" ca="1" si="430"/>
        <v>7247.7940923883598</v>
      </c>
      <c r="AB120" s="258">
        <f t="shared" ca="1" si="430"/>
        <v>8331.9134914329625</v>
      </c>
      <c r="AC120" s="258">
        <f t="shared" ca="1" si="430"/>
        <v>9530.1507219559517</v>
      </c>
      <c r="AD120" s="258">
        <f t="shared" ca="1" si="430"/>
        <v>10671.329036739749</v>
      </c>
      <c r="AE120" s="83"/>
      <c r="AG120" s="257">
        <f t="shared" si="411"/>
        <v>0.1</v>
      </c>
      <c r="AH120" s="258">
        <f t="shared" ref="AH120:AL120" ca="1" si="431">AH112*$AK$104</f>
        <v>2398.0652250670523</v>
      </c>
      <c r="AI120" s="258">
        <f t="shared" ca="1" si="431"/>
        <v>2561.304246875859</v>
      </c>
      <c r="AJ120" s="258">
        <f t="shared" ca="1" si="431"/>
        <v>2720.462293139446</v>
      </c>
      <c r="AK120" s="258">
        <f t="shared" ca="1" si="431"/>
        <v>2887.7822904934733</v>
      </c>
      <c r="AL120" s="258">
        <f t="shared" ca="1" si="431"/>
        <v>3051.0213123022795</v>
      </c>
      <c r="AM120" s="83"/>
      <c r="AO120" s="257">
        <f t="shared" si="413"/>
        <v>0.12</v>
      </c>
      <c r="AP120" s="258">
        <f t="shared" ref="AP120:AT120" ca="1" si="432">AP112*$AS$104</f>
        <v>4832.5762749777705</v>
      </c>
      <c r="AQ120" s="258">
        <f t="shared" ca="1" si="432"/>
        <v>5272.3386487495936</v>
      </c>
      <c r="AR120" s="258">
        <f t="shared" ca="1" si="432"/>
        <v>5734.0891412100073</v>
      </c>
      <c r="AS120" s="258">
        <f t="shared" ca="1" si="432"/>
        <v>6151.863396293239</v>
      </c>
      <c r="AT120" s="258">
        <f t="shared" ca="1" si="432"/>
        <v>6591.6257700650613</v>
      </c>
    </row>
    <row r="122" spans="1:46" ht="18" x14ac:dyDescent="0.3">
      <c r="A122" s="408" t="s">
        <v>602</v>
      </c>
      <c r="B122" s="408"/>
      <c r="C122" s="408"/>
      <c r="D122" s="408"/>
      <c r="E122" s="408"/>
      <c r="F122" s="250" t="e" vm="4">
        <v>#VALUE!</v>
      </c>
      <c r="I122" s="418" t="s">
        <v>602</v>
      </c>
      <c r="J122" s="418"/>
      <c r="K122" s="418"/>
      <c r="L122" s="418"/>
      <c r="M122" s="418"/>
      <c r="N122" s="250" t="e" vm="6">
        <v>#VALUE!</v>
      </c>
      <c r="Q122" s="396" t="s">
        <v>602</v>
      </c>
      <c r="R122" s="396"/>
      <c r="S122" s="396"/>
      <c r="T122" s="396"/>
      <c r="U122" s="396"/>
      <c r="V122" s="250" t="e" vm="5">
        <v>#VALUE!</v>
      </c>
      <c r="Y122" s="395" t="s">
        <v>602</v>
      </c>
      <c r="Z122" s="395"/>
      <c r="AA122" s="395"/>
      <c r="AB122" s="395"/>
      <c r="AC122" s="395"/>
      <c r="AD122" s="250" t="e" vm="3">
        <v>#VALUE!</v>
      </c>
      <c r="AG122" s="386" t="s">
        <v>602</v>
      </c>
      <c r="AH122" s="386"/>
      <c r="AI122" s="386"/>
      <c r="AJ122" s="386"/>
      <c r="AK122" s="386"/>
      <c r="AL122" s="250" t="e" vm="1">
        <v>#VALUE!</v>
      </c>
      <c r="AO122" s="387" t="s">
        <v>602</v>
      </c>
      <c r="AP122" s="387"/>
      <c r="AQ122" s="387"/>
      <c r="AR122" s="387"/>
      <c r="AS122" s="387"/>
      <c r="AT122" s="250" t="e" vm="5">
        <v>#VALUE!</v>
      </c>
    </row>
    <row r="123" spans="1:46" x14ac:dyDescent="0.3">
      <c r="A123" s="242" t="s">
        <v>517</v>
      </c>
      <c r="B123" s="281" t="s">
        <v>603</v>
      </c>
      <c r="C123" s="281" t="s">
        <v>604</v>
      </c>
      <c r="D123" s="281" t="s">
        <v>605</v>
      </c>
      <c r="E123" s="281" t="s">
        <v>606</v>
      </c>
      <c r="F123" s="281" t="s">
        <v>607</v>
      </c>
      <c r="I123" s="269" t="s">
        <v>517</v>
      </c>
      <c r="J123" s="290" t="s">
        <v>603</v>
      </c>
      <c r="K123" s="290" t="s">
        <v>604</v>
      </c>
      <c r="L123" s="290" t="s">
        <v>605</v>
      </c>
      <c r="M123" s="290" t="s">
        <v>606</v>
      </c>
      <c r="N123" s="290" t="s">
        <v>607</v>
      </c>
      <c r="Q123" s="198" t="s">
        <v>517</v>
      </c>
      <c r="R123" s="314" t="s">
        <v>603</v>
      </c>
      <c r="S123" s="314" t="s">
        <v>604</v>
      </c>
      <c r="T123" s="314" t="s">
        <v>605</v>
      </c>
      <c r="U123" s="314" t="s">
        <v>606</v>
      </c>
      <c r="V123" s="314" t="s">
        <v>607</v>
      </c>
      <c r="Y123" s="40" t="s">
        <v>517</v>
      </c>
      <c r="Z123" s="328" t="s">
        <v>603</v>
      </c>
      <c r="AA123" s="328" t="s">
        <v>604</v>
      </c>
      <c r="AB123" s="328" t="s">
        <v>605</v>
      </c>
      <c r="AC123" s="328" t="s">
        <v>606</v>
      </c>
      <c r="AD123" s="328" t="s">
        <v>607</v>
      </c>
      <c r="AG123" s="15" t="s">
        <v>517</v>
      </c>
      <c r="AH123" s="326" t="s">
        <v>603</v>
      </c>
      <c r="AI123" s="326" t="s">
        <v>604</v>
      </c>
      <c r="AJ123" s="326" t="s">
        <v>605</v>
      </c>
      <c r="AK123" s="326" t="s">
        <v>606</v>
      </c>
      <c r="AL123" s="326" t="s">
        <v>607</v>
      </c>
      <c r="AO123" s="115" t="s">
        <v>517</v>
      </c>
      <c r="AP123" s="320" t="s">
        <v>603</v>
      </c>
      <c r="AQ123" s="320" t="s">
        <v>604</v>
      </c>
      <c r="AR123" s="320" t="s">
        <v>605</v>
      </c>
      <c r="AS123" s="320" t="s">
        <v>606</v>
      </c>
      <c r="AT123" s="320" t="s">
        <v>607</v>
      </c>
    </row>
    <row r="124" spans="1:46" x14ac:dyDescent="0.3">
      <c r="A124" s="257">
        <v>0.04</v>
      </c>
      <c r="B124" s="258">
        <f ca="1">B46+B81+B116</f>
        <v>1616.2405727005457</v>
      </c>
      <c r="C124" s="258">
        <f t="shared" ref="C124:F124" ca="1" si="433">C46+C81+C116</f>
        <v>2621.6942954225706</v>
      </c>
      <c r="D124" s="258">
        <f t="shared" ca="1" si="433"/>
        <v>3627.148018144595</v>
      </c>
      <c r="E124" s="258">
        <f t="shared" ca="1" si="433"/>
        <v>4471.7291452310965</v>
      </c>
      <c r="F124" s="258">
        <f t="shared" ca="1" si="433"/>
        <v>5638.0554635886438</v>
      </c>
      <c r="I124" s="257">
        <v>0.04</v>
      </c>
      <c r="J124" s="258">
        <f ca="1">J46+J81+J116</f>
        <v>12779.973947582152</v>
      </c>
      <c r="K124" s="258">
        <f t="shared" ref="K124:N124" ca="1" si="434">K46+K81+K116</f>
        <v>17056.304186989644</v>
      </c>
      <c r="L124" s="258">
        <f t="shared" ca="1" si="434"/>
        <v>21332.634426397133</v>
      </c>
      <c r="M124" s="258">
        <f t="shared" ca="1" si="434"/>
        <v>27319.496761567618</v>
      </c>
      <c r="N124" s="258">
        <f t="shared" ca="1" si="434"/>
        <v>29885.294905212118</v>
      </c>
      <c r="Q124" s="257">
        <v>0.04</v>
      </c>
      <c r="R124" s="258">
        <f ca="1">R46+R81+R116</f>
        <v>4779.8267441826902</v>
      </c>
      <c r="S124" s="258">
        <f t="shared" ref="S124:V124" ca="1" si="435">S46+S81+S116</f>
        <v>5843.1259053098138</v>
      </c>
      <c r="T124" s="258">
        <f t="shared" ca="1" si="435"/>
        <v>6903.7668185341208</v>
      </c>
      <c r="U124" s="258">
        <f t="shared" ca="1" si="435"/>
        <v>7969.7242275640629</v>
      </c>
      <c r="V124" s="258">
        <f t="shared" ca="1" si="435"/>
        <v>9033.0233886911847</v>
      </c>
      <c r="Y124" s="257">
        <v>0.04</v>
      </c>
      <c r="Z124" s="258">
        <f ca="1">Z46+Z81+Z116</f>
        <v>14358.925601459607</v>
      </c>
      <c r="AA124" s="258">
        <f t="shared" ref="AA124:AD124" ca="1" si="436">AA46+AA81+AA116</f>
        <v>17207.574284527138</v>
      </c>
      <c r="AB124" s="258">
        <f t="shared" ca="1" si="436"/>
        <v>19913.790533441286</v>
      </c>
      <c r="AC124" s="258">
        <f t="shared" ca="1" si="436"/>
        <v>22904.871650662193</v>
      </c>
      <c r="AD124" s="258">
        <f t="shared" ca="1" si="436"/>
        <v>25753.520333729721</v>
      </c>
      <c r="AG124" s="257">
        <v>0.04</v>
      </c>
      <c r="AH124" s="258">
        <f ca="1">AH46+AH81+AH116</f>
        <v>6698.3063630658398</v>
      </c>
      <c r="AI124" s="258">
        <f t="shared" ref="AI124:AL124" ca="1" si="437">AI46+AI81+AI116</f>
        <v>7128.9815405476274</v>
      </c>
      <c r="AJ124" s="258">
        <f t="shared" ca="1" si="437"/>
        <v>7548.8898385923731</v>
      </c>
      <c r="AK124" s="258">
        <f t="shared" ca="1" si="437"/>
        <v>7990.3318955112081</v>
      </c>
      <c r="AL124" s="258">
        <f t="shared" ca="1" si="437"/>
        <v>8421.0070729929957</v>
      </c>
      <c r="AO124" s="257">
        <v>0.04</v>
      </c>
      <c r="AP124" s="258">
        <f ca="1">AP46+AP81+AP116</f>
        <v>13680.212477812584</v>
      </c>
      <c r="AQ124" s="258">
        <f t="shared" ref="AQ124:AT124" ca="1" si="438">AQ46+AQ81+AQ116</f>
        <v>14799.72328399188</v>
      </c>
      <c r="AR124" s="258">
        <f t="shared" ca="1" si="438"/>
        <v>15975.209630480142</v>
      </c>
      <c r="AS124" s="258">
        <f t="shared" ca="1" si="438"/>
        <v>17038.744896350476</v>
      </c>
      <c r="AT124" s="258">
        <f t="shared" ca="1" si="438"/>
        <v>18158.255702529772</v>
      </c>
    </row>
    <row r="125" spans="1:46" x14ac:dyDescent="0.3">
      <c r="A125" s="257">
        <v>0.04</v>
      </c>
      <c r="B125" s="258">
        <f t="shared" ref="B125:F125" ca="1" si="439">B47+B82+B117</f>
        <v>1739.3817185067396</v>
      </c>
      <c r="C125" s="258">
        <f t="shared" ca="1" si="439"/>
        <v>2775.6207276803125</v>
      </c>
      <c r="D125" s="258">
        <f t="shared" ca="1" si="439"/>
        <v>3811.8597368538854</v>
      </c>
      <c r="E125" s="258">
        <f t="shared" ca="1" si="439"/>
        <v>4682.3005045596874</v>
      </c>
      <c r="F125" s="258">
        <f t="shared" ca="1" si="439"/>
        <v>5884.3377552010315</v>
      </c>
      <c r="I125" s="257">
        <v>0.04</v>
      </c>
      <c r="J125" s="258">
        <f t="shared" ref="J125:N125" ca="1" si="440">J47+J82+J117</f>
        <v>13672.882889501474</v>
      </c>
      <c r="K125" s="258">
        <f t="shared" ca="1" si="440"/>
        <v>18147.637338224369</v>
      </c>
      <c r="L125" s="258">
        <f t="shared" ca="1" si="440"/>
        <v>22622.391786947268</v>
      </c>
      <c r="M125" s="258">
        <f t="shared" ca="1" si="440"/>
        <v>28887.048015159329</v>
      </c>
      <c r="N125" s="258">
        <f t="shared" ca="1" si="440"/>
        <v>31571.900684393062</v>
      </c>
      <c r="Q125" s="257">
        <v>0.04</v>
      </c>
      <c r="R125" s="258">
        <f t="shared" ref="R125:V125" ca="1" si="441">R47+R82+R117</f>
        <v>5079.6117515169735</v>
      </c>
      <c r="S125" s="258">
        <f t="shared" ca="1" si="441"/>
        <v>6202.8679141109542</v>
      </c>
      <c r="T125" s="258">
        <f t="shared" ca="1" si="441"/>
        <v>7323.3159362984497</v>
      </c>
      <c r="U125" s="258">
        <f t="shared" ca="1" si="441"/>
        <v>8449.3802392989146</v>
      </c>
      <c r="V125" s="258">
        <f t="shared" ca="1" si="441"/>
        <v>9572.6364018928962</v>
      </c>
      <c r="Y125" s="257">
        <v>0.04</v>
      </c>
      <c r="Z125" s="258">
        <f t="shared" ref="Z125:AD125" ca="1" si="442">Z47+Z82+Z117</f>
        <v>14918.848864378655</v>
      </c>
      <c r="AA125" s="258">
        <f t="shared" ca="1" si="442"/>
        <v>17874.149597526004</v>
      </c>
      <c r="AB125" s="258">
        <f t="shared" ca="1" si="442"/>
        <v>20681.685294015977</v>
      </c>
      <c r="AC125" s="258">
        <f t="shared" ca="1" si="442"/>
        <v>23784.751063820695</v>
      </c>
      <c r="AD125" s="258">
        <f t="shared" ca="1" si="442"/>
        <v>26740.051796968037</v>
      </c>
      <c r="AG125" s="257">
        <v>0.04</v>
      </c>
      <c r="AH125" s="258">
        <f t="shared" ref="AH125:AL125" ca="1" si="443">AH47+AH82+AH117</f>
        <v>6926.021472376935</v>
      </c>
      <c r="AI125" s="258">
        <f t="shared" ca="1" si="443"/>
        <v>7373.2577487177123</v>
      </c>
      <c r="AJ125" s="258">
        <f t="shared" ca="1" si="443"/>
        <v>7809.3131181499721</v>
      </c>
      <c r="AK125" s="258">
        <f t="shared" ca="1" si="443"/>
        <v>8267.7303013992696</v>
      </c>
      <c r="AL125" s="258">
        <f t="shared" ca="1" si="443"/>
        <v>8714.966577740046</v>
      </c>
      <c r="AO125" s="257">
        <v>0.04</v>
      </c>
      <c r="AP125" s="258">
        <f t="shared" ref="AP125:AT125" ca="1" si="444">AP47+AP82+AP117</f>
        <v>14195.816498277676</v>
      </c>
      <c r="AQ125" s="258">
        <f t="shared" ca="1" si="444"/>
        <v>15358.294306162399</v>
      </c>
      <c r="AR125" s="258">
        <f t="shared" ca="1" si="444"/>
        <v>16578.896004441354</v>
      </c>
      <c r="AS125" s="258">
        <f t="shared" ca="1" si="444"/>
        <v>17683.249921931842</v>
      </c>
      <c r="AT125" s="258">
        <f t="shared" ca="1" si="444"/>
        <v>18845.727729816561</v>
      </c>
    </row>
    <row r="126" spans="1:46" x14ac:dyDescent="0.3">
      <c r="A126" s="257">
        <v>0.04</v>
      </c>
      <c r="B126" s="258">
        <f t="shared" ref="B126:F126" ca="1" si="445">B48+B83+B118</f>
        <v>1917.1887179887342</v>
      </c>
      <c r="C126" s="258">
        <f t="shared" ca="1" si="445"/>
        <v>2997.8794770328054</v>
      </c>
      <c r="D126" s="258">
        <f t="shared" ca="1" si="445"/>
        <v>4078.5702360768764</v>
      </c>
      <c r="E126" s="258">
        <f t="shared" ca="1" si="445"/>
        <v>4986.3504736738978</v>
      </c>
      <c r="F126" s="258">
        <f t="shared" ca="1" si="445"/>
        <v>6239.9517541650202</v>
      </c>
      <c r="I126" s="257">
        <v>0.04</v>
      </c>
      <c r="J126" s="258">
        <f t="shared" ref="J126:N126" ca="1" si="446">J48+J83+J118</f>
        <v>14607.939957034874</v>
      </c>
      <c r="K126" s="258">
        <f t="shared" ca="1" si="446"/>
        <v>19290.484865209641</v>
      </c>
      <c r="L126" s="258">
        <f t="shared" ca="1" si="446"/>
        <v>23973.029773384402</v>
      </c>
      <c r="M126" s="258">
        <f t="shared" ca="1" si="446"/>
        <v>30528.59264482907</v>
      </c>
      <c r="N126" s="258">
        <f t="shared" ca="1" si="446"/>
        <v>33338.119589733928</v>
      </c>
      <c r="Q126" s="257">
        <v>0.04</v>
      </c>
      <c r="R126" s="258">
        <f t="shared" ref="R126:V126" ca="1" si="447">R48+R83+R118</f>
        <v>5387.2852537871504</v>
      </c>
      <c r="S126" s="258">
        <f t="shared" ca="1" si="447"/>
        <v>6572.0761168351664</v>
      </c>
      <c r="T126" s="258">
        <f t="shared" ca="1" si="447"/>
        <v>7753.9050027255635</v>
      </c>
      <c r="U126" s="258">
        <f t="shared" ca="1" si="447"/>
        <v>8941.6578429311994</v>
      </c>
      <c r="V126" s="258">
        <f t="shared" ca="1" si="447"/>
        <v>10126.448705979214</v>
      </c>
      <c r="Y126" s="257">
        <v>0.04</v>
      </c>
      <c r="Z126" s="258">
        <f t="shared" ref="Z126:AD126" ca="1" si="448">Z48+Z83+Z118</f>
        <v>15463.543609250892</v>
      </c>
      <c r="AA126" s="258">
        <f t="shared" ca="1" si="448"/>
        <v>18522.595722373902</v>
      </c>
      <c r="AB126" s="258">
        <f t="shared" ca="1" si="448"/>
        <v>21428.695229840763</v>
      </c>
      <c r="AC126" s="258">
        <f t="shared" ca="1" si="448"/>
        <v>24640.699948619927</v>
      </c>
      <c r="AD126" s="258">
        <f t="shared" ca="1" si="448"/>
        <v>27699.752061742933</v>
      </c>
      <c r="AG126" s="257">
        <v>0.04</v>
      </c>
      <c r="AH126" s="258">
        <f t="shared" ref="AH126:AL126" ca="1" si="449">AH48+AH83+AH118</f>
        <v>7178.3836157115411</v>
      </c>
      <c r="AI126" s="258">
        <f t="shared" ca="1" si="449"/>
        <v>7643.9735024766542</v>
      </c>
      <c r="AJ126" s="258">
        <f t="shared" ca="1" si="449"/>
        <v>8097.9236420726411</v>
      </c>
      <c r="AK126" s="258">
        <f t="shared" ca="1" si="449"/>
        <v>8575.1532760068803</v>
      </c>
      <c r="AL126" s="258">
        <f t="shared" ca="1" si="449"/>
        <v>9040.7431627719943</v>
      </c>
      <c r="AO126" s="257">
        <v>0.04</v>
      </c>
      <c r="AP126" s="258">
        <f t="shared" ref="AP126:AT126" ca="1" si="450">AP48+AP83+AP118</f>
        <v>14827.174837108298</v>
      </c>
      <c r="AQ126" s="258">
        <f t="shared" ca="1" si="450"/>
        <v>16042.265839895572</v>
      </c>
      <c r="AR126" s="258">
        <f t="shared" ca="1" si="450"/>
        <v>17318.111392822211</v>
      </c>
      <c r="AS126" s="258">
        <f t="shared" ca="1" si="450"/>
        <v>18472.447845470113</v>
      </c>
      <c r="AT126" s="258">
        <f t="shared" ca="1" si="450"/>
        <v>19687.538848257387</v>
      </c>
    </row>
    <row r="127" spans="1:46" x14ac:dyDescent="0.3">
      <c r="A127" s="257">
        <v>0.04</v>
      </c>
      <c r="B127" s="258">
        <f t="shared" ref="B127:F127" ca="1" si="451">B49+B84+B119</f>
        <v>2073.1293644092643</v>
      </c>
      <c r="C127" s="258">
        <f t="shared" ca="1" si="451"/>
        <v>3192.8052850584681</v>
      </c>
      <c r="D127" s="258">
        <f t="shared" ca="1" si="451"/>
        <v>4312.4812057076715</v>
      </c>
      <c r="E127" s="258">
        <f t="shared" ca="1" si="451"/>
        <v>5253.0089790530055</v>
      </c>
      <c r="F127" s="258">
        <f t="shared" ca="1" si="451"/>
        <v>6551.8330470060819</v>
      </c>
      <c r="I127" s="257">
        <v>0.04</v>
      </c>
      <c r="J127" s="258">
        <f t="shared" ref="J127:N127" ca="1" si="452">J49+J84+J119</f>
        <v>15563.684193635452</v>
      </c>
      <c r="K127" s="258">
        <f t="shared" ca="1" si="452"/>
        <v>20458.616709943675</v>
      </c>
      <c r="L127" s="258">
        <f t="shared" ca="1" si="452"/>
        <v>25353.5492262519</v>
      </c>
      <c r="M127" s="258">
        <f t="shared" ca="1" si="452"/>
        <v>32206.454749083416</v>
      </c>
      <c r="N127" s="258">
        <f t="shared" ca="1" si="452"/>
        <v>35143.414258868346</v>
      </c>
      <c r="Q127" s="257">
        <v>0.04</v>
      </c>
      <c r="R127" s="258">
        <f t="shared" ref="R127:V127" ca="1" si="453">R49+R84+R119</f>
        <v>5712.564195621454</v>
      </c>
      <c r="S127" s="258">
        <f t="shared" ca="1" si="453"/>
        <v>6962.4108470363308</v>
      </c>
      <c r="T127" s="258">
        <f t="shared" ca="1" si="453"/>
        <v>8209.1328818226684</v>
      </c>
      <c r="U127" s="258">
        <f t="shared" ca="1" si="453"/>
        <v>9462.1041498660852</v>
      </c>
      <c r="V127" s="258">
        <f t="shared" ca="1" si="453"/>
        <v>10711.95080128096</v>
      </c>
      <c r="Y127" s="257">
        <v>0.04</v>
      </c>
      <c r="Z127" s="258">
        <f t="shared" ref="Z127:AD127" ca="1" si="454">Z49+Z84+Z119</f>
        <v>16080.246627722341</v>
      </c>
      <c r="AA127" s="258">
        <f t="shared" ca="1" si="454"/>
        <v>19256.765982458965</v>
      </c>
      <c r="AB127" s="258">
        <f t="shared" ca="1" si="454"/>
        <v>22274.459369458753</v>
      </c>
      <c r="AC127" s="258">
        <f t="shared" ca="1" si="454"/>
        <v>25609.804691932204</v>
      </c>
      <c r="AD127" s="258">
        <f t="shared" ca="1" si="454"/>
        <v>28786.324046668822</v>
      </c>
      <c r="AG127" s="257">
        <v>0.04</v>
      </c>
      <c r="AH127" s="258">
        <f t="shared" ref="AH127:AL127" ca="1" si="455">AH49+AH84+AH119</f>
        <v>7398.6998389998616</v>
      </c>
      <c r="AI127" s="258">
        <f t="shared" ca="1" si="455"/>
        <v>7880.3127238223078</v>
      </c>
      <c r="AJ127" s="258">
        <f t="shared" ca="1" si="455"/>
        <v>8349.8852865241915</v>
      </c>
      <c r="AK127" s="258">
        <f t="shared" ca="1" si="455"/>
        <v>8843.5384934672002</v>
      </c>
      <c r="AL127" s="258">
        <f t="shared" ca="1" si="455"/>
        <v>9325.1513782896436</v>
      </c>
      <c r="AO127" s="257">
        <v>0.04</v>
      </c>
      <c r="AP127" s="258">
        <f t="shared" ref="AP127:AT127" ca="1" si="456">AP49+AP84+AP119</f>
        <v>15265.86318047448</v>
      </c>
      <c r="AQ127" s="258">
        <f t="shared" ca="1" si="456"/>
        <v>16517.511545208938</v>
      </c>
      <c r="AR127" s="258">
        <f t="shared" ca="1" si="456"/>
        <v>17831.742328180117</v>
      </c>
      <c r="AS127" s="258">
        <f t="shared" ca="1" si="456"/>
        <v>19020.808274677845</v>
      </c>
      <c r="AT127" s="258">
        <f t="shared" ca="1" si="456"/>
        <v>20272.456639412303</v>
      </c>
    </row>
    <row r="128" spans="1:46" x14ac:dyDescent="0.3">
      <c r="A128" s="257">
        <v>0.04</v>
      </c>
      <c r="B128" s="258">
        <f t="shared" ref="B128:F128" ca="1" si="457">B50+B85+B120</f>
        <v>2232.779673275697</v>
      </c>
      <c r="C128" s="258">
        <f t="shared" ca="1" si="457"/>
        <v>3392.3681711415093</v>
      </c>
      <c r="D128" s="258">
        <f t="shared" ca="1" si="457"/>
        <v>4551.9566690073216</v>
      </c>
      <c r="E128" s="258">
        <f t="shared" ca="1" si="457"/>
        <v>5526.0110072146063</v>
      </c>
      <c r="F128" s="258">
        <f t="shared" ca="1" si="457"/>
        <v>6871.1336647389471</v>
      </c>
      <c r="I128" s="257">
        <v>0.04</v>
      </c>
      <c r="J128" s="258">
        <f t="shared" ref="J128:N128" ca="1" si="458">J50+J85+J120</f>
        <v>16547.896068291964</v>
      </c>
      <c r="K128" s="258">
        <f t="shared" ca="1" si="458"/>
        <v>21661.54233452386</v>
      </c>
      <c r="L128" s="258">
        <f t="shared" ca="1" si="458"/>
        <v>26775.188600755755</v>
      </c>
      <c r="M128" s="258">
        <f t="shared" ca="1" si="458"/>
        <v>33934.293373480403</v>
      </c>
      <c r="N128" s="258">
        <f t="shared" ca="1" si="458"/>
        <v>37002.481133219539</v>
      </c>
      <c r="Q128" s="257">
        <v>0.04</v>
      </c>
      <c r="R128" s="258">
        <f t="shared" ref="R128:V128" ca="1" si="459">R50+R85+R120</f>
        <v>6046.1825862069009</v>
      </c>
      <c r="S128" s="258">
        <f t="shared" ca="1" si="459"/>
        <v>7362.7529157388672</v>
      </c>
      <c r="T128" s="258">
        <f t="shared" ca="1" si="459"/>
        <v>8676.0318194470019</v>
      </c>
      <c r="U128" s="258">
        <f t="shared" ca="1" si="459"/>
        <v>9995.8935748027998</v>
      </c>
      <c r="V128" s="258">
        <f t="shared" ca="1" si="459"/>
        <v>11312.463904334765</v>
      </c>
      <c r="Y128" s="257">
        <v>0.04</v>
      </c>
      <c r="Z128" s="258">
        <f t="shared" ref="Z128:AD128" ca="1" si="460">Z50+Z85+Z120</f>
        <v>16682.099301153088</v>
      </c>
      <c r="AA128" s="258">
        <f t="shared" ca="1" si="460"/>
        <v>19973.257260352708</v>
      </c>
      <c r="AB128" s="258">
        <f t="shared" ca="1" si="460"/>
        <v>23099.857321592346</v>
      </c>
      <c r="AC128" s="258">
        <f t="shared" ca="1" si="460"/>
        <v>26555.573178751947</v>
      </c>
      <c r="AD128" s="258">
        <f t="shared" ca="1" si="460"/>
        <v>29846.731137951567</v>
      </c>
      <c r="AG128" s="257">
        <v>0.04</v>
      </c>
      <c r="AH128" s="258">
        <f t="shared" ref="AH128:AL128" ca="1" si="461">AH50+AH85+AH120</f>
        <v>7643.8249862506782</v>
      </c>
      <c r="AI128" s="258">
        <f t="shared" ca="1" si="461"/>
        <v>8143.2651545095468</v>
      </c>
      <c r="AJ128" s="258">
        <f t="shared" ca="1" si="461"/>
        <v>8630.2193185619435</v>
      </c>
      <c r="AK128" s="258">
        <f t="shared" ca="1" si="461"/>
        <v>9142.1454910272842</v>
      </c>
      <c r="AL128" s="258">
        <f t="shared" ca="1" si="461"/>
        <v>9641.585659286151</v>
      </c>
      <c r="AO128" s="257">
        <v>0.04</v>
      </c>
      <c r="AP128" s="258">
        <f t="shared" ref="AP128:AT128" ca="1" si="462">AP50+AP85+AP120</f>
        <v>15820.666434531624</v>
      </c>
      <c r="AQ128" s="258">
        <f t="shared" ca="1" si="462"/>
        <v>17118.548403770837</v>
      </c>
      <c r="AR128" s="258">
        <f t="shared" ca="1" si="462"/>
        <v>18481.324471472017</v>
      </c>
      <c r="AS128" s="258">
        <f t="shared" ca="1" si="462"/>
        <v>19714.312342249272</v>
      </c>
      <c r="AT128" s="258">
        <f t="shared" ca="1" si="462"/>
        <v>21012.194311488489</v>
      </c>
    </row>
    <row r="129" spans="1:46" x14ac:dyDescent="0.3">
      <c r="I129" s="108"/>
      <c r="Q129" s="108"/>
      <c r="Y129" s="108"/>
      <c r="AG129" s="108"/>
      <c r="AO129" s="108"/>
    </row>
    <row r="130" spans="1:46" ht="18" x14ac:dyDescent="0.3">
      <c r="A130" s="408" t="s">
        <v>537</v>
      </c>
      <c r="B130" s="408"/>
      <c r="C130" s="408"/>
      <c r="D130" s="408"/>
      <c r="E130" s="408"/>
      <c r="F130" s="250" t="e" vm="4">
        <v>#VALUE!</v>
      </c>
      <c r="I130" s="418" t="s">
        <v>537</v>
      </c>
      <c r="J130" s="418"/>
      <c r="K130" s="418"/>
      <c r="L130" s="418"/>
      <c r="M130" s="418"/>
      <c r="N130" s="250" t="e" vm="6">
        <v>#VALUE!</v>
      </c>
      <c r="Q130" s="396" t="s">
        <v>537</v>
      </c>
      <c r="R130" s="396"/>
      <c r="S130" s="396"/>
      <c r="T130" s="396"/>
      <c r="U130" s="396"/>
      <c r="V130" s="250" t="e" vm="5">
        <v>#VALUE!</v>
      </c>
      <c r="Y130" s="395" t="s">
        <v>537</v>
      </c>
      <c r="Z130" s="395"/>
      <c r="AA130" s="395"/>
      <c r="AB130" s="395"/>
      <c r="AC130" s="395"/>
      <c r="AD130" s="250" t="e" vm="3">
        <v>#VALUE!</v>
      </c>
      <c r="AG130" s="386" t="s">
        <v>537</v>
      </c>
      <c r="AH130" s="386"/>
      <c r="AI130" s="386"/>
      <c r="AJ130" s="386"/>
      <c r="AK130" s="386"/>
      <c r="AL130" s="250" t="e" vm="1">
        <v>#VALUE!</v>
      </c>
      <c r="AO130" s="387" t="s">
        <v>537</v>
      </c>
      <c r="AP130" s="387"/>
      <c r="AQ130" s="387"/>
      <c r="AR130" s="387"/>
      <c r="AS130" s="387"/>
      <c r="AT130" s="250" t="e" vm="5">
        <v>#VALUE!</v>
      </c>
    </row>
    <row r="131" spans="1:46" x14ac:dyDescent="0.3">
      <c r="A131" s="242" t="s">
        <v>517</v>
      </c>
      <c r="B131" s="281" t="s">
        <v>603</v>
      </c>
      <c r="C131" s="281" t="s">
        <v>604</v>
      </c>
      <c r="D131" s="281" t="s">
        <v>605</v>
      </c>
      <c r="E131" s="281" t="s">
        <v>606</v>
      </c>
      <c r="F131" s="281" t="s">
        <v>607</v>
      </c>
      <c r="I131" s="269" t="s">
        <v>517</v>
      </c>
      <c r="J131" s="290" t="s">
        <v>603</v>
      </c>
      <c r="K131" s="290" t="s">
        <v>604</v>
      </c>
      <c r="L131" s="290" t="s">
        <v>605</v>
      </c>
      <c r="M131" s="290" t="s">
        <v>606</v>
      </c>
      <c r="N131" s="290" t="s">
        <v>607</v>
      </c>
      <c r="Q131" s="198" t="s">
        <v>517</v>
      </c>
      <c r="R131" s="314" t="s">
        <v>603</v>
      </c>
      <c r="S131" s="314" t="s">
        <v>604</v>
      </c>
      <c r="T131" s="314" t="s">
        <v>605</v>
      </c>
      <c r="U131" s="314" t="s">
        <v>606</v>
      </c>
      <c r="V131" s="314" t="s">
        <v>607</v>
      </c>
      <c r="Y131" s="40" t="s">
        <v>517</v>
      </c>
      <c r="Z131" s="328" t="s">
        <v>603</v>
      </c>
      <c r="AA131" s="328" t="s">
        <v>604</v>
      </c>
      <c r="AB131" s="328" t="s">
        <v>605</v>
      </c>
      <c r="AC131" s="328" t="s">
        <v>606</v>
      </c>
      <c r="AD131" s="328" t="s">
        <v>607</v>
      </c>
      <c r="AG131" s="15" t="s">
        <v>517</v>
      </c>
      <c r="AH131" s="326" t="s">
        <v>603</v>
      </c>
      <c r="AI131" s="326" t="s">
        <v>604</v>
      </c>
      <c r="AJ131" s="326" t="s">
        <v>605</v>
      </c>
      <c r="AK131" s="326" t="s">
        <v>606</v>
      </c>
      <c r="AL131" s="326" t="s">
        <v>607</v>
      </c>
      <c r="AO131" s="115" t="s">
        <v>517</v>
      </c>
      <c r="AP131" s="320" t="s">
        <v>603</v>
      </c>
      <c r="AQ131" s="320" t="s">
        <v>604</v>
      </c>
      <c r="AR131" s="320" t="s">
        <v>605</v>
      </c>
      <c r="AS131" s="320" t="s">
        <v>606</v>
      </c>
      <c r="AT131" s="320" t="s">
        <v>607</v>
      </c>
    </row>
    <row r="132" spans="1:46" x14ac:dyDescent="0.3">
      <c r="A132" s="257">
        <v>0.04</v>
      </c>
      <c r="B132" s="258">
        <f ca="1">B108/($D$104-$F$104)</f>
        <v>10768.370152090274</v>
      </c>
      <c r="C132" s="258">
        <f t="shared" ref="C132:F132" ca="1" si="463">C108/($D$104-$F$104)</f>
        <v>16093.200258343184</v>
      </c>
      <c r="D132" s="258">
        <f t="shared" ca="1" si="463"/>
        <v>21418.030364596088</v>
      </c>
      <c r="E132" s="258">
        <f t="shared" ca="1" si="463"/>
        <v>25890.887653848531</v>
      </c>
      <c r="F132" s="258">
        <f t="shared" ca="1" si="463"/>
        <v>32067.69057710189</v>
      </c>
      <c r="I132" s="257">
        <v>0.04</v>
      </c>
      <c r="J132" s="258">
        <f ca="1">J108/($L$104-$N$104)</f>
        <v>63945.009728423138</v>
      </c>
      <c r="K132" s="258">
        <f t="shared" ref="K132:N132" ca="1" si="464">K108/($L$104-$N$104)</f>
        <v>84115.396362310115</v>
      </c>
      <c r="L132" s="258">
        <f t="shared" ca="1" si="464"/>
        <v>104285.78299619707</v>
      </c>
      <c r="M132" s="258">
        <f t="shared" ca="1" si="464"/>
        <v>132524.32428363885</v>
      </c>
      <c r="N132" s="258">
        <f t="shared" ca="1" si="464"/>
        <v>144626.55626397103</v>
      </c>
      <c r="Q132" s="257">
        <v>0.04</v>
      </c>
      <c r="R132" s="258">
        <f ca="1">R108/($T$104-$V$104)</f>
        <v>27933.125490333099</v>
      </c>
      <c r="S132" s="258">
        <f t="shared" ref="S132:V132" ca="1" si="465">S108/($T$104-$V$104)</f>
        <v>34476.730948856377</v>
      </c>
      <c r="T132" s="258">
        <f t="shared" ca="1" si="465"/>
        <v>41003.977393733359</v>
      </c>
      <c r="U132" s="258">
        <f t="shared" ca="1" si="465"/>
        <v>47563.941865902947</v>
      </c>
      <c r="V132" s="258">
        <f t="shared" ca="1" si="465"/>
        <v>54107.547324426232</v>
      </c>
      <c r="Y132" s="257">
        <v>0.04</v>
      </c>
      <c r="Z132" s="258">
        <f ca="1">Z108/($AB$104-$AD$104)</f>
        <v>102639.2520559176</v>
      </c>
      <c r="AA132" s="258">
        <f t="shared" ref="AA132:AD132" ca="1" si="466">AA108/($AB$104-$AD$104)</f>
        <v>121732.88143188502</v>
      </c>
      <c r="AB132" s="258">
        <f t="shared" ca="1" si="466"/>
        <v>139871.82933905403</v>
      </c>
      <c r="AC132" s="258">
        <f t="shared" ca="1" si="466"/>
        <v>159920.14018381984</v>
      </c>
      <c r="AD132" s="258">
        <f t="shared" ca="1" si="466"/>
        <v>179013.76955978724</v>
      </c>
      <c r="AG132" s="257">
        <v>0.04</v>
      </c>
      <c r="AH132" s="258">
        <f ca="1">AH108/($AJ$104-$AL$104)</f>
        <v>33567.151116878238</v>
      </c>
      <c r="AI132" s="258">
        <f t="shared" ref="AI132:AL132" ca="1" si="467">AI108/($AJ$104-$AL$104)</f>
        <v>35815.51011242198</v>
      </c>
      <c r="AJ132" s="258">
        <f t="shared" ca="1" si="467"/>
        <v>38007.660133077137</v>
      </c>
      <c r="AK132" s="258">
        <f t="shared" ca="1" si="467"/>
        <v>40312.228103509486</v>
      </c>
      <c r="AL132" s="258">
        <f t="shared" ca="1" si="467"/>
        <v>42560.587099053235</v>
      </c>
      <c r="AO132" s="257">
        <v>0.04</v>
      </c>
      <c r="AP132" s="345">
        <f ca="1">AP108/($AR$104-$AT$104)</f>
        <v>75340.856575394952</v>
      </c>
      <c r="AQ132" s="345">
        <f t="shared" ref="AQ132:AT132" ca="1" si="468">AQ108/($AR$104-$AT$104)</f>
        <v>82357.556311854496</v>
      </c>
      <c r="AR132" s="345">
        <f t="shared" ca="1" si="468"/>
        <v>89725.091035137011</v>
      </c>
      <c r="AS132" s="345">
        <f t="shared" ca="1" si="468"/>
        <v>96390.955784773585</v>
      </c>
      <c r="AT132" s="345">
        <f t="shared" ca="1" si="468"/>
        <v>103407.65552123316</v>
      </c>
    </row>
    <row r="133" spans="1:46" x14ac:dyDescent="0.3">
      <c r="A133" s="257">
        <v>0.04</v>
      </c>
      <c r="B133" s="258">
        <f t="shared" ref="B133:F133" ca="1" si="469">B109/($D$104-$F$104)</f>
        <v>11765.678609181907</v>
      </c>
      <c r="C133" s="258">
        <f t="shared" ca="1" si="469"/>
        <v>17339.835829707721</v>
      </c>
      <c r="D133" s="258">
        <f t="shared" ca="1" si="469"/>
        <v>22913.99305023353</v>
      </c>
      <c r="E133" s="258">
        <f t="shared" ca="1" si="469"/>
        <v>27596.285115475213</v>
      </c>
      <c r="F133" s="258">
        <f t="shared" ca="1" si="469"/>
        <v>34062.307491285159</v>
      </c>
      <c r="I133" s="257">
        <v>0.04</v>
      </c>
      <c r="J133" s="258">
        <f t="shared" ref="J133:N133" ca="1" si="470">J109/($L$104-$N$104)</f>
        <v>70466.02236389248</v>
      </c>
      <c r="K133" s="258">
        <f t="shared" ca="1" si="470"/>
        <v>92085.522916772636</v>
      </c>
      <c r="L133" s="258">
        <f t="shared" ca="1" si="470"/>
        <v>113705.02346965281</v>
      </c>
      <c r="M133" s="258">
        <f t="shared" ca="1" si="470"/>
        <v>143972.32424368503</v>
      </c>
      <c r="N133" s="258">
        <f t="shared" ca="1" si="470"/>
        <v>156944.02457541312</v>
      </c>
      <c r="Q133" s="257">
        <v>0.04</v>
      </c>
      <c r="R133" s="258">
        <f t="shared" ref="R133:V133" ca="1" si="471">R109/($T$104-$V$104)</f>
        <v>30762.988619907948</v>
      </c>
      <c r="S133" s="258">
        <f t="shared" ca="1" si="471"/>
        <v>37872.566704346194</v>
      </c>
      <c r="T133" s="258">
        <f t="shared" ca="1" si="471"/>
        <v>44964.37084357335</v>
      </c>
      <c r="U133" s="258">
        <f t="shared" ca="1" si="471"/>
        <v>52091.722873222694</v>
      </c>
      <c r="V133" s="258">
        <f t="shared" ca="1" si="471"/>
        <v>59201.300957660955</v>
      </c>
      <c r="Y133" s="257">
        <v>0.04</v>
      </c>
      <c r="Z133" s="258">
        <f t="shared" ref="Z133:AD133" ca="1" si="472">Z109/($AB$104-$AD$104)</f>
        <v>108365.99423060771</v>
      </c>
      <c r="AA133" s="258">
        <f t="shared" ca="1" si="472"/>
        <v>128550.43163984946</v>
      </c>
      <c r="AB133" s="258">
        <f t="shared" ca="1" si="472"/>
        <v>147725.64717862903</v>
      </c>
      <c r="AC133" s="258">
        <f t="shared" ca="1" si="472"/>
        <v>168919.3064583329</v>
      </c>
      <c r="AD133" s="258">
        <f t="shared" ca="1" si="472"/>
        <v>189103.74386757458</v>
      </c>
      <c r="AG133" s="257">
        <v>0.04</v>
      </c>
      <c r="AH133" s="258">
        <f t="shared" ref="AH133:AL133" ca="1" si="473">AH109/($AJ$104-$AL$104)</f>
        <v>35421.56719556365</v>
      </c>
      <c r="AI133" s="258">
        <f t="shared" ca="1" si="473"/>
        <v>37804.792815011788</v>
      </c>
      <c r="AJ133" s="258">
        <f t="shared" ca="1" si="473"/>
        <v>40128.437793973731</v>
      </c>
      <c r="AK133" s="258">
        <f t="shared" ca="1" si="473"/>
        <v>42571.244053908085</v>
      </c>
      <c r="AL133" s="258">
        <f t="shared" ca="1" si="473"/>
        <v>44954.469673356216</v>
      </c>
      <c r="AO133" s="257">
        <v>0.04</v>
      </c>
      <c r="AP133" s="345">
        <f t="shared" ref="AP133:AT133" ca="1" si="474">AP109/($AR$104-$AT$104)</f>
        <v>80292.588208370362</v>
      </c>
      <c r="AQ133" s="345">
        <f t="shared" ca="1" si="474"/>
        <v>87721.932247577861</v>
      </c>
      <c r="AR133" s="345">
        <f t="shared" ca="1" si="474"/>
        <v>95522.743488745778</v>
      </c>
      <c r="AS133" s="345">
        <f t="shared" ca="1" si="474"/>
        <v>102580.62032599286</v>
      </c>
      <c r="AT133" s="345">
        <f t="shared" ca="1" si="474"/>
        <v>110009.96436520036</v>
      </c>
    </row>
    <row r="134" spans="1:46" x14ac:dyDescent="0.3">
      <c r="A134" s="257">
        <v>0.04</v>
      </c>
      <c r="B134" s="258">
        <f t="shared" ref="B134:F134" ca="1" si="475">B110/($D$104-$F$104)</f>
        <v>13223.69495239264</v>
      </c>
      <c r="C134" s="258">
        <f t="shared" ca="1" si="475"/>
        <v>19162.356258721131</v>
      </c>
      <c r="D134" s="258">
        <f t="shared" ca="1" si="475"/>
        <v>25101.01756504962</v>
      </c>
      <c r="E134" s="258">
        <f t="shared" ca="1" si="475"/>
        <v>30089.493062365567</v>
      </c>
      <c r="F134" s="258">
        <f t="shared" ca="1" si="475"/>
        <v>36978.340177706625</v>
      </c>
      <c r="I134" s="257">
        <v>0.04</v>
      </c>
      <c r="J134" s="258">
        <f t="shared" ref="J134:N134" ca="1" si="476">J110/($L$104-$N$104)</f>
        <v>77404.751460732179</v>
      </c>
      <c r="K134" s="258">
        <f t="shared" ca="1" si="476"/>
        <v>100566.19181291007</v>
      </c>
      <c r="L134" s="258">
        <f t="shared" ca="1" si="476"/>
        <v>123727.63216508794</v>
      </c>
      <c r="M134" s="258">
        <f t="shared" ca="1" si="476"/>
        <v>156153.64865813695</v>
      </c>
      <c r="N134" s="258">
        <f t="shared" ca="1" si="476"/>
        <v>170050.51286944366</v>
      </c>
      <c r="Q134" s="257">
        <v>0.04</v>
      </c>
      <c r="R134" s="258">
        <f t="shared" ref="R134:V134" ca="1" si="477">R110/($T$104-$V$104)</f>
        <v>33720.810669585939</v>
      </c>
      <c r="S134" s="258">
        <f t="shared" ca="1" si="477"/>
        <v>41421.953163959792</v>
      </c>
      <c r="T134" s="258">
        <f t="shared" ca="1" si="477"/>
        <v>49103.842802097693</v>
      </c>
      <c r="U134" s="258">
        <f t="shared" ca="1" si="477"/>
        <v>56824.23815270749</v>
      </c>
      <c r="V134" s="258">
        <f t="shared" ca="1" si="477"/>
        <v>64525.380647081329</v>
      </c>
      <c r="Y134" s="257">
        <v>0.04</v>
      </c>
      <c r="Z134" s="258">
        <f t="shared" ref="Z134:AD134" ca="1" si="478">Z110/($AB$104-$AD$104)</f>
        <v>114004.61113386325</v>
      </c>
      <c r="AA134" s="258">
        <f t="shared" ca="1" si="478"/>
        <v>135263.07081039171</v>
      </c>
      <c r="AB134" s="258">
        <f t="shared" ca="1" si="478"/>
        <v>155458.60750309381</v>
      </c>
      <c r="AC134" s="258">
        <f t="shared" ca="1" si="478"/>
        <v>177779.99016344873</v>
      </c>
      <c r="AD134" s="258">
        <f t="shared" ca="1" si="478"/>
        <v>199038.44983997717</v>
      </c>
      <c r="AG134" s="257">
        <v>0.04</v>
      </c>
      <c r="AH134" s="258">
        <f t="shared" ref="AH134:AL134" ca="1" si="479">AH110/($AJ$104-$AL$104)</f>
        <v>37506.049751994316</v>
      </c>
      <c r="AI134" s="258">
        <f t="shared" ca="1" si="479"/>
        <v>40040.874102819238</v>
      </c>
      <c r="AJ134" s="258">
        <f t="shared" ca="1" si="479"/>
        <v>42512.327844873536</v>
      </c>
      <c r="AK134" s="258">
        <f t="shared" ca="1" si="479"/>
        <v>45110.522804469081</v>
      </c>
      <c r="AL134" s="258">
        <f t="shared" ca="1" si="479"/>
        <v>47645.347155293995</v>
      </c>
      <c r="AO134" s="257">
        <v>0.04</v>
      </c>
      <c r="AP134" s="345">
        <f t="shared" ref="AP134:AT134" ca="1" si="480">AP110/($AR$104-$AT$104)</f>
        <v>86565.531179613026</v>
      </c>
      <c r="AQ134" s="345">
        <f t="shared" ca="1" si="480"/>
        <v>94517.620466424079</v>
      </c>
      <c r="AR134" s="345">
        <f t="shared" ca="1" si="480"/>
        <v>102867.31421757571</v>
      </c>
      <c r="AS134" s="345">
        <f t="shared" ca="1" si="480"/>
        <v>110421.79904004619</v>
      </c>
      <c r="AT134" s="345">
        <f t="shared" ca="1" si="480"/>
        <v>118373.88832685724</v>
      </c>
    </row>
    <row r="135" spans="1:46" x14ac:dyDescent="0.3">
      <c r="A135" s="257">
        <v>0.04</v>
      </c>
      <c r="B135" s="258">
        <f t="shared" ref="B135:F135" ca="1" si="481">B111/($D$104-$F$104)</f>
        <v>14519.124966302717</v>
      </c>
      <c r="C135" s="258">
        <f t="shared" ca="1" si="481"/>
        <v>20781.643776108733</v>
      </c>
      <c r="D135" s="258">
        <f t="shared" ca="1" si="481"/>
        <v>27044.16258591475</v>
      </c>
      <c r="E135" s="258">
        <f t="shared" ca="1" si="481"/>
        <v>32304.678386151809</v>
      </c>
      <c r="F135" s="258">
        <f t="shared" ca="1" si="481"/>
        <v>39569.20020552678</v>
      </c>
      <c r="I135" s="257">
        <v>0.04</v>
      </c>
      <c r="J135" s="258">
        <f t="shared" ref="J135:N135" ca="1" si="482">J111/($L$104-$N$104)</f>
        <v>84606.883103419808</v>
      </c>
      <c r="K135" s="258">
        <f t="shared" ca="1" si="482"/>
        <v>109368.79715397269</v>
      </c>
      <c r="L135" s="258">
        <f t="shared" ca="1" si="482"/>
        <v>134130.71120452561</v>
      </c>
      <c r="M135" s="258">
        <f t="shared" ca="1" si="482"/>
        <v>168797.39087529964</v>
      </c>
      <c r="N135" s="258">
        <f t="shared" ca="1" si="482"/>
        <v>183654.53930563139</v>
      </c>
      <c r="Q135" s="257">
        <v>0.04</v>
      </c>
      <c r="R135" s="258">
        <f t="shared" ref="R135:V135" ca="1" si="483">R111/($T$104-$V$104)</f>
        <v>36902.971953116103</v>
      </c>
      <c r="S135" s="258">
        <f t="shared" ca="1" si="483"/>
        <v>45240.546704195986</v>
      </c>
      <c r="T135" s="258">
        <f t="shared" ca="1" si="483"/>
        <v>53557.277518398165</v>
      </c>
      <c r="U135" s="258">
        <f t="shared" ca="1" si="483"/>
        <v>61915.696206355766</v>
      </c>
      <c r="V135" s="258">
        <f t="shared" ca="1" si="483"/>
        <v>70253.270957435656</v>
      </c>
      <c r="Y135" s="257">
        <v>0.04</v>
      </c>
      <c r="Z135" s="258">
        <f t="shared" ref="Z135:AD135" ca="1" si="484">Z111/($AB$104-$AD$104)</f>
        <v>120465.58431844061</v>
      </c>
      <c r="AA135" s="258">
        <f t="shared" ca="1" si="484"/>
        <v>142954.70555393622</v>
      </c>
      <c r="AB135" s="258">
        <f t="shared" ca="1" si="484"/>
        <v>164319.37072765702</v>
      </c>
      <c r="AC135" s="258">
        <f t="shared" ca="1" si="484"/>
        <v>187932.94802492743</v>
      </c>
      <c r="AD135" s="258">
        <f t="shared" ca="1" si="484"/>
        <v>210422.06926042301</v>
      </c>
      <c r="AG135" s="257">
        <v>0.04</v>
      </c>
      <c r="AH135" s="258">
        <f t="shared" ref="AH135:AL135" ca="1" si="485">AH111/($AJ$104-$AL$104)</f>
        <v>39349.936860301757</v>
      </c>
      <c r="AI135" s="258">
        <f t="shared" ca="1" si="485"/>
        <v>42018.862091730851</v>
      </c>
      <c r="AJ135" s="258">
        <f t="shared" ca="1" si="485"/>
        <v>44621.06419237423</v>
      </c>
      <c r="AK135" s="258">
        <f t="shared" ca="1" si="485"/>
        <v>47356.712554589067</v>
      </c>
      <c r="AL135" s="258">
        <f t="shared" ca="1" si="485"/>
        <v>50025.637786018153</v>
      </c>
      <c r="AO135" s="257">
        <v>0.04</v>
      </c>
      <c r="AP135" s="345">
        <f t="shared" ref="AP135:AT135" ca="1" si="486">AP111/($AR$104-$AT$104)</f>
        <v>90770.929013038898</v>
      </c>
      <c r="AQ135" s="345">
        <f t="shared" ca="1" si="486"/>
        <v>99073.468119302124</v>
      </c>
      <c r="AR135" s="345">
        <f t="shared" ca="1" si="486"/>
        <v>107791.13418087852</v>
      </c>
      <c r="AS135" s="345">
        <f t="shared" ca="1" si="486"/>
        <v>115678.54633182855</v>
      </c>
      <c r="AT135" s="345">
        <f t="shared" ca="1" si="486"/>
        <v>123981.08543809176</v>
      </c>
    </row>
    <row r="136" spans="1:46" x14ac:dyDescent="0.3">
      <c r="A136" s="257">
        <v>0.04</v>
      </c>
      <c r="B136" s="258">
        <f t="shared" ref="B136:F136" ca="1" si="487">B112/($D$104-$F$104)</f>
        <v>15860.815506970352</v>
      </c>
      <c r="C136" s="258">
        <f t="shared" ca="1" si="487"/>
        <v>22458.756951943276</v>
      </c>
      <c r="D136" s="258">
        <f t="shared" ca="1" si="487"/>
        <v>29056.698396916199</v>
      </c>
      <c r="E136" s="258">
        <f t="shared" ca="1" si="487"/>
        <v>34598.969210693474</v>
      </c>
      <c r="F136" s="258">
        <f t="shared" ca="1" si="487"/>
        <v>42252.581286862049</v>
      </c>
      <c r="I136" s="257">
        <v>0.04</v>
      </c>
      <c r="J136" s="258">
        <f t="shared" ref="J136:N136" ca="1" si="488">J112/($L$104-$N$104)</f>
        <v>92133.381451925947</v>
      </c>
      <c r="K136" s="258">
        <f t="shared" ca="1" si="488"/>
        <v>118567.8506910358</v>
      </c>
      <c r="L136" s="258">
        <f t="shared" ca="1" si="488"/>
        <v>145002.31993014563</v>
      </c>
      <c r="M136" s="258">
        <f t="shared" ca="1" si="488"/>
        <v>182010.57686489937</v>
      </c>
      <c r="N136" s="258">
        <f t="shared" ca="1" si="488"/>
        <v>197871.25840836528</v>
      </c>
      <c r="Q136" s="257">
        <v>0.04</v>
      </c>
      <c r="R136" s="258">
        <f t="shared" ref="R136:V136" ca="1" si="489">R112/($T$104-$V$104)</f>
        <v>40221.745437363097</v>
      </c>
      <c r="S136" s="258">
        <f t="shared" ca="1" si="489"/>
        <v>49223.074885292386</v>
      </c>
      <c r="T136" s="258">
        <f t="shared" ca="1" si="489"/>
        <v>58201.901009601832</v>
      </c>
      <c r="U136" s="258">
        <f t="shared" ca="1" si="489"/>
        <v>67225.733781150964</v>
      </c>
      <c r="V136" s="258">
        <f t="shared" ca="1" si="489"/>
        <v>76227.063229080246</v>
      </c>
      <c r="Y136" s="257">
        <v>0.04</v>
      </c>
      <c r="Z136" s="258">
        <f t="shared" ref="Z136:AD136" ca="1" si="490">Z112/($AB$104-$AD$104)</f>
        <v>126846.28762050081</v>
      </c>
      <c r="AA136" s="258">
        <f t="shared" ca="1" si="490"/>
        <v>150550.78091353169</v>
      </c>
      <c r="AB136" s="258">
        <f t="shared" ca="1" si="490"/>
        <v>173070.04954191096</v>
      </c>
      <c r="AC136" s="258">
        <f t="shared" ca="1" si="490"/>
        <v>197959.76749959341</v>
      </c>
      <c r="AD136" s="258">
        <f t="shared" ca="1" si="490"/>
        <v>221664.26079262432</v>
      </c>
      <c r="AG136" s="257">
        <v>0.04</v>
      </c>
      <c r="AH136" s="258">
        <f t="shared" ref="AH136:AL136" ca="1" si="491">AH112/($AJ$104-$AL$104)</f>
        <v>41426.687102499272</v>
      </c>
      <c r="AI136" s="258">
        <f t="shared" ca="1" si="491"/>
        <v>44246.648715179101</v>
      </c>
      <c r="AJ136" s="258">
        <f t="shared" ca="1" si="491"/>
        <v>46996.111287541935</v>
      </c>
      <c r="AK136" s="258">
        <f t="shared" ca="1" si="491"/>
        <v>49886.571940538764</v>
      </c>
      <c r="AL136" s="258">
        <f t="shared" ca="1" si="491"/>
        <v>52706.533553218578</v>
      </c>
      <c r="AO136" s="257">
        <v>0.04</v>
      </c>
      <c r="AP136" s="345">
        <f t="shared" ref="AP136:AT136" ca="1" si="492">AP112/($AR$104-$AT$104)</f>
        <v>96304.724153965944</v>
      </c>
      <c r="AQ136" s="345">
        <f t="shared" ca="1" si="492"/>
        <v>105068.41285530641</v>
      </c>
      <c r="AR136" s="345">
        <f t="shared" ca="1" si="492"/>
        <v>114270.2859917139</v>
      </c>
      <c r="AS136" s="345">
        <f t="shared" ca="1" si="492"/>
        <v>122595.79025798733</v>
      </c>
      <c r="AT136" s="345">
        <f t="shared" ca="1" si="492"/>
        <v>131359.4789593278</v>
      </c>
    </row>
    <row r="137" spans="1:46" x14ac:dyDescent="0.3">
      <c r="I137" s="108"/>
      <c r="Q137" s="108"/>
      <c r="Y137" s="108"/>
      <c r="AG137" s="108"/>
      <c r="AO137" s="108"/>
    </row>
    <row r="138" spans="1:46" ht="18" x14ac:dyDescent="0.3">
      <c r="A138" s="408" t="s">
        <v>608</v>
      </c>
      <c r="B138" s="408"/>
      <c r="C138" s="408"/>
      <c r="D138" s="408"/>
      <c r="E138" s="408"/>
      <c r="F138" s="250" t="e" vm="4">
        <v>#VALUE!</v>
      </c>
      <c r="I138" s="418" t="s">
        <v>608</v>
      </c>
      <c r="J138" s="418"/>
      <c r="K138" s="418"/>
      <c r="L138" s="418"/>
      <c r="M138" s="418"/>
      <c r="N138" s="250" t="e" vm="6">
        <v>#VALUE!</v>
      </c>
      <c r="Q138" s="396" t="s">
        <v>608</v>
      </c>
      <c r="R138" s="396"/>
      <c r="S138" s="396"/>
      <c r="T138" s="396"/>
      <c r="U138" s="396"/>
      <c r="V138" s="250" t="e" vm="5">
        <v>#VALUE!</v>
      </c>
      <c r="Y138" s="395" t="s">
        <v>608</v>
      </c>
      <c r="Z138" s="395"/>
      <c r="AA138" s="395"/>
      <c r="AB138" s="395"/>
      <c r="AC138" s="395"/>
      <c r="AD138" s="250" t="e" vm="3">
        <v>#VALUE!</v>
      </c>
      <c r="AG138" s="386" t="s">
        <v>608</v>
      </c>
      <c r="AH138" s="386"/>
      <c r="AI138" s="386"/>
      <c r="AJ138" s="386"/>
      <c r="AK138" s="386"/>
      <c r="AL138" s="250" t="e" vm="1">
        <v>#VALUE!</v>
      </c>
      <c r="AO138" s="387" t="s">
        <v>608</v>
      </c>
      <c r="AP138" s="387"/>
      <c r="AQ138" s="387"/>
      <c r="AR138" s="387"/>
      <c r="AS138" s="387"/>
      <c r="AT138" s="250" t="e" vm="5">
        <v>#VALUE!</v>
      </c>
    </row>
    <row r="139" spans="1:46" x14ac:dyDescent="0.3">
      <c r="A139" s="242" t="s">
        <v>517</v>
      </c>
      <c r="B139" s="281" t="s">
        <v>603</v>
      </c>
      <c r="C139" s="281" t="s">
        <v>604</v>
      </c>
      <c r="D139" s="281" t="s">
        <v>605</v>
      </c>
      <c r="E139" s="281" t="s">
        <v>606</v>
      </c>
      <c r="F139" s="281" t="s">
        <v>607</v>
      </c>
      <c r="I139" s="269" t="s">
        <v>517</v>
      </c>
      <c r="J139" s="290" t="s">
        <v>603</v>
      </c>
      <c r="K139" s="290" t="s">
        <v>604</v>
      </c>
      <c r="L139" s="290" t="s">
        <v>605</v>
      </c>
      <c r="M139" s="290" t="s">
        <v>606</v>
      </c>
      <c r="N139" s="290" t="s">
        <v>607</v>
      </c>
      <c r="Q139" s="198" t="s">
        <v>517</v>
      </c>
      <c r="R139" s="314" t="s">
        <v>603</v>
      </c>
      <c r="S139" s="314" t="s">
        <v>604</v>
      </c>
      <c r="T139" s="314" t="s">
        <v>605</v>
      </c>
      <c r="U139" s="314" t="s">
        <v>606</v>
      </c>
      <c r="V139" s="314" t="s">
        <v>607</v>
      </c>
      <c r="Y139" s="40" t="s">
        <v>517</v>
      </c>
      <c r="Z139" s="328" t="s">
        <v>603</v>
      </c>
      <c r="AA139" s="328" t="s">
        <v>604</v>
      </c>
      <c r="AB139" s="328" t="s">
        <v>605</v>
      </c>
      <c r="AC139" s="328" t="s">
        <v>606</v>
      </c>
      <c r="AD139" s="328" t="s">
        <v>607</v>
      </c>
      <c r="AG139" s="15" t="s">
        <v>517</v>
      </c>
      <c r="AH139" s="326" t="s">
        <v>603</v>
      </c>
      <c r="AI139" s="326" t="s">
        <v>604</v>
      </c>
      <c r="AJ139" s="326" t="s">
        <v>605</v>
      </c>
      <c r="AK139" s="326" t="s">
        <v>606</v>
      </c>
      <c r="AL139" s="326" t="s">
        <v>607</v>
      </c>
      <c r="AO139" s="115" t="s">
        <v>517</v>
      </c>
      <c r="AP139" s="320" t="s">
        <v>603</v>
      </c>
      <c r="AQ139" s="320" t="s">
        <v>604</v>
      </c>
      <c r="AR139" s="320" t="s">
        <v>605</v>
      </c>
      <c r="AS139" s="320" t="s">
        <v>606</v>
      </c>
      <c r="AT139" s="320" t="s">
        <v>607</v>
      </c>
    </row>
    <row r="140" spans="1:46" x14ac:dyDescent="0.3">
      <c r="A140" s="257">
        <v>0.04</v>
      </c>
      <c r="B140" s="258">
        <f ca="1">B132*$E$104</f>
        <v>7539.624854533392</v>
      </c>
      <c r="C140" s="258">
        <f t="shared" ref="C140:F140" ca="1" si="493">C132*$E$104</f>
        <v>11267.879070189143</v>
      </c>
      <c r="D140" s="258">
        <f t="shared" ca="1" si="493"/>
        <v>14996.13328584489</v>
      </c>
      <c r="E140" s="258">
        <f t="shared" ca="1" si="493"/>
        <v>18127.86682699572</v>
      </c>
      <c r="F140" s="258">
        <f t="shared" ca="1" si="493"/>
        <v>22452.641717156381</v>
      </c>
      <c r="I140" s="257">
        <v>0.04</v>
      </c>
      <c r="J140" s="258">
        <f ca="1">J132*$M$104</f>
        <v>43547.243042761867</v>
      </c>
      <c r="K140" s="258">
        <f t="shared" ref="K140:N140" ca="1" si="494">K132*$M$104</f>
        <v>57283.494436620429</v>
      </c>
      <c r="L140" s="258">
        <f t="shared" ca="1" si="494"/>
        <v>71019.745830478976</v>
      </c>
      <c r="M140" s="258">
        <f t="shared" ca="1" si="494"/>
        <v>90250.497781880971</v>
      </c>
      <c r="N140" s="258">
        <f t="shared" ca="1" si="494"/>
        <v>98492.248618196099</v>
      </c>
      <c r="Q140" s="257">
        <v>0.04</v>
      </c>
      <c r="R140" s="258">
        <f ca="1">R132*$U$104</f>
        <v>20337.694906424262</v>
      </c>
      <c r="S140" s="258">
        <f t="shared" ref="S140:V140" ca="1" si="495">S132*$U$104</f>
        <v>25101.997112760422</v>
      </c>
      <c r="T140" s="258">
        <f t="shared" ca="1" si="495"/>
        <v>29854.388563580753</v>
      </c>
      <c r="U140" s="258">
        <f t="shared" ca="1" si="495"/>
        <v>34630.601525432758</v>
      </c>
      <c r="V140" s="258">
        <f t="shared" ca="1" si="495"/>
        <v>39394.903731768922</v>
      </c>
      <c r="Y140" s="257">
        <v>0.04</v>
      </c>
      <c r="Z140" s="258">
        <f ca="1">Z132*$AC$104</f>
        <v>76083.711322844858</v>
      </c>
      <c r="AA140" s="258">
        <f t="shared" ref="AA140:AD140" ca="1" si="496">AA132*$AC$104</f>
        <v>90237.3041876395</v>
      </c>
      <c r="AB140" s="258">
        <f t="shared" ca="1" si="496"/>
        <v>103683.2174091944</v>
      </c>
      <c r="AC140" s="258">
        <f t="shared" ca="1" si="496"/>
        <v>118544.4899172288</v>
      </c>
      <c r="AD140" s="258">
        <f t="shared" ca="1" si="496"/>
        <v>132698.08278202344</v>
      </c>
      <c r="AG140" s="257">
        <v>0.04</v>
      </c>
      <c r="AH140" s="258">
        <f ca="1">AH132*$AK$104</f>
        <v>23784.138782901773</v>
      </c>
      <c r="AI140" s="258">
        <f t="shared" ref="AI140:AL140" ca="1" si="497">AI132*$AK$104</f>
        <v>25377.222515197111</v>
      </c>
      <c r="AJ140" s="258">
        <f t="shared" ca="1" si="497"/>
        <v>26930.479154185072</v>
      </c>
      <c r="AK140" s="258">
        <f t="shared" ca="1" si="497"/>
        <v>28563.3899797878</v>
      </c>
      <c r="AL140" s="258">
        <f t="shared" ca="1" si="497"/>
        <v>30156.473712083145</v>
      </c>
      <c r="AO140" s="257">
        <v>0.04</v>
      </c>
      <c r="AP140" s="258">
        <f ca="1">AP132*$AS$104</f>
        <v>55340.08950807542</v>
      </c>
      <c r="AQ140" s="258">
        <f t="shared" ref="AQ140:AT140" ca="1" si="498">AQ132*$AS$104</f>
        <v>60494.063183412873</v>
      </c>
      <c r="AR140" s="258">
        <f t="shared" ca="1" si="498"/>
        <v>65905.735542517199</v>
      </c>
      <c r="AS140" s="258">
        <f t="shared" ca="1" si="498"/>
        <v>70802.010534087778</v>
      </c>
      <c r="AT140" s="258">
        <f t="shared" ca="1" si="498"/>
        <v>75955.984209425267</v>
      </c>
    </row>
    <row r="141" spans="1:46" x14ac:dyDescent="0.3">
      <c r="A141" s="257">
        <v>0.04</v>
      </c>
      <c r="B141" s="258">
        <f t="shared" ref="B141:F141" ca="1" si="499">B133*$E$104</f>
        <v>8237.9043085754529</v>
      </c>
      <c r="C141" s="258">
        <f t="shared" ca="1" si="499"/>
        <v>12140.728387741718</v>
      </c>
      <c r="D141" s="258">
        <f t="shared" ca="1" si="499"/>
        <v>16043.552466907977</v>
      </c>
      <c r="E141" s="258">
        <f t="shared" ca="1" si="499"/>
        <v>19321.924693407636</v>
      </c>
      <c r="F141" s="258">
        <f t="shared" ca="1" si="499"/>
        <v>23849.200625240504</v>
      </c>
      <c r="I141" s="257">
        <v>0.04</v>
      </c>
      <c r="J141" s="258">
        <f t="shared" ref="J141:N141" ca="1" si="500">J133*$M$104</f>
        <v>47988.123157218724</v>
      </c>
      <c r="K141" s="258">
        <f t="shared" ca="1" si="500"/>
        <v>62711.23679873436</v>
      </c>
      <c r="L141" s="258">
        <f t="shared" ca="1" si="500"/>
        <v>77434.350440250011</v>
      </c>
      <c r="M141" s="258">
        <f t="shared" ca="1" si="500"/>
        <v>98046.709538371899</v>
      </c>
      <c r="N141" s="258">
        <f t="shared" ca="1" si="500"/>
        <v>106880.57772328127</v>
      </c>
      <c r="Q141" s="257">
        <v>0.04</v>
      </c>
      <c r="R141" s="258">
        <f t="shared" ref="R141:V141" ca="1" si="501">R133*$U$104</f>
        <v>22398.076333348712</v>
      </c>
      <c r="S141" s="258">
        <f t="shared" ca="1" si="501"/>
        <v>27574.454825069763</v>
      </c>
      <c r="T141" s="258">
        <f t="shared" ca="1" si="501"/>
        <v>32737.892370561513</v>
      </c>
      <c r="U141" s="258">
        <f t="shared" ca="1" si="501"/>
        <v>37927.211808511871</v>
      </c>
      <c r="V141" s="258">
        <f t="shared" ca="1" si="501"/>
        <v>43103.590300232929</v>
      </c>
      <c r="Y141" s="257">
        <v>0.04</v>
      </c>
      <c r="Z141" s="258">
        <f t="shared" ref="Z141:AD141" ca="1" si="502">Z133*$AC$104</f>
        <v>80328.790955752818</v>
      </c>
      <c r="AA141" s="258">
        <f t="shared" ca="1" si="502"/>
        <v>95290.970417291857</v>
      </c>
      <c r="AB141" s="258">
        <f t="shared" ca="1" si="502"/>
        <v>109505.04090575389</v>
      </c>
      <c r="AC141" s="258">
        <f t="shared" ca="1" si="502"/>
        <v>125215.32934036991</v>
      </c>
      <c r="AD141" s="258">
        <f t="shared" ca="1" si="502"/>
        <v>140177.5088019089</v>
      </c>
      <c r="AG141" s="257">
        <v>0.04</v>
      </c>
      <c r="AH141" s="258">
        <f t="shared" ref="AH141:AL141" ca="1" si="503">AH133*$AK$104</f>
        <v>25098.092690492136</v>
      </c>
      <c r="AI141" s="258">
        <f t="shared" ca="1" si="503"/>
        <v>26786.736706975862</v>
      </c>
      <c r="AJ141" s="258">
        <f t="shared" ca="1" si="503"/>
        <v>28433.164623047505</v>
      </c>
      <c r="AK141" s="258">
        <f t="shared" ca="1" si="503"/>
        <v>30164.024739943336</v>
      </c>
      <c r="AL141" s="258">
        <f t="shared" ca="1" si="503"/>
        <v>31852.668756427061</v>
      </c>
      <c r="AO141" s="257">
        <v>0.04</v>
      </c>
      <c r="AP141" s="258">
        <f t="shared" ref="AP141:AT141" ca="1" si="504">AP133*$AS$104</f>
        <v>58977.282981109558</v>
      </c>
      <c r="AQ141" s="258">
        <f t="shared" ca="1" si="504"/>
        <v>64434.356112533191</v>
      </c>
      <c r="AR141" s="258">
        <f t="shared" ca="1" si="504"/>
        <v>70164.282900528036</v>
      </c>
      <c r="AS141" s="258">
        <f t="shared" ca="1" si="504"/>
        <v>75348.502375380471</v>
      </c>
      <c r="AT141" s="258">
        <f t="shared" ca="1" si="504"/>
        <v>80805.575506804103</v>
      </c>
    </row>
    <row r="142" spans="1:46" x14ac:dyDescent="0.3">
      <c r="A142" s="257">
        <v>0.04</v>
      </c>
      <c r="B142" s="258">
        <f t="shared" ref="B142:F142" ca="1" si="505">B134*$E$104</f>
        <v>9258.7548276722246</v>
      </c>
      <c r="C142" s="258">
        <f t="shared" ca="1" si="505"/>
        <v>13416.791536612676</v>
      </c>
      <c r="D142" s="258">
        <f t="shared" ca="1" si="505"/>
        <v>17574.828245553126</v>
      </c>
      <c r="E142" s="258">
        <f t="shared" ca="1" si="505"/>
        <v>21067.579081063115</v>
      </c>
      <c r="F142" s="258">
        <f t="shared" ca="1" si="505"/>
        <v>25890.901663434044</v>
      </c>
      <c r="I142" s="257">
        <v>0.04</v>
      </c>
      <c r="J142" s="258">
        <f t="shared" ref="J142:N142" ca="1" si="506">J134*$M$104</f>
        <v>52713.472698508303</v>
      </c>
      <c r="K142" s="258">
        <f t="shared" ca="1" si="506"/>
        <v>68486.664015866074</v>
      </c>
      <c r="L142" s="258">
        <f t="shared" ca="1" si="506"/>
        <v>84259.855333223852</v>
      </c>
      <c r="M142" s="258">
        <f t="shared" ca="1" si="506"/>
        <v>106342.32317752473</v>
      </c>
      <c r="N142" s="258">
        <f t="shared" ca="1" si="506"/>
        <v>115806.23796793936</v>
      </c>
      <c r="Q142" s="257">
        <v>0.04</v>
      </c>
      <c r="R142" s="258">
        <f t="shared" ref="R142:V142" ca="1" si="507">R134*$U$104</f>
        <v>24551.622754591961</v>
      </c>
      <c r="S142" s="258">
        <f t="shared" ca="1" si="507"/>
        <v>30158.710530561668</v>
      </c>
      <c r="T142" s="258">
        <f t="shared" ca="1" si="507"/>
        <v>35751.780587091438</v>
      </c>
      <c r="U142" s="258">
        <f t="shared" ca="1" si="507"/>
        <v>41372.886082501078</v>
      </c>
      <c r="V142" s="258">
        <f t="shared" ca="1" si="507"/>
        <v>46979.973858470774</v>
      </c>
      <c r="Y142" s="257">
        <v>0.04</v>
      </c>
      <c r="Z142" s="258">
        <f t="shared" ref="Z142:AD142" ca="1" si="508">Z134*$AC$104</f>
        <v>84508.545700006856</v>
      </c>
      <c r="AA142" s="258">
        <f t="shared" ca="1" si="508"/>
        <v>100266.86892235615</v>
      </c>
      <c r="AB142" s="258">
        <f t="shared" ca="1" si="508"/>
        <v>115237.27598358803</v>
      </c>
      <c r="AC142" s="258">
        <f t="shared" ca="1" si="508"/>
        <v>131783.51536705482</v>
      </c>
      <c r="AD142" s="258">
        <f t="shared" ca="1" si="508"/>
        <v>147541.8385894041</v>
      </c>
      <c r="AG142" s="257">
        <v>0.04</v>
      </c>
      <c r="AH142" s="258">
        <f t="shared" ref="AH142:AL142" ca="1" si="509">AH134*$AK$104</f>
        <v>26575.061118347672</v>
      </c>
      <c r="AI142" s="258">
        <f t="shared" ca="1" si="509"/>
        <v>28371.121020493625</v>
      </c>
      <c r="AJ142" s="258">
        <f t="shared" ca="1" si="509"/>
        <v>30122.279425085933</v>
      </c>
      <c r="AK142" s="258">
        <f t="shared" ca="1" si="509"/>
        <v>31963.240824785538</v>
      </c>
      <c r="AL142" s="258">
        <f t="shared" ca="1" si="509"/>
        <v>33759.300726931484</v>
      </c>
      <c r="AO142" s="257">
        <v>0.04</v>
      </c>
      <c r="AP142" s="258">
        <f t="shared" ref="AP142:AT142" ca="1" si="510">AP134*$AS$104</f>
        <v>63584.945294587866</v>
      </c>
      <c r="AQ142" s="258">
        <f t="shared" ca="1" si="510"/>
        <v>69425.990285468026</v>
      </c>
      <c r="AR142" s="258">
        <f t="shared" ca="1" si="510"/>
        <v>75559.087525892217</v>
      </c>
      <c r="AS142" s="258">
        <f t="shared" ca="1" si="510"/>
        <v>81108.080267228346</v>
      </c>
      <c r="AT142" s="258">
        <f t="shared" ca="1" si="510"/>
        <v>86949.125258108514</v>
      </c>
    </row>
    <row r="143" spans="1:46" x14ac:dyDescent="0.3">
      <c r="A143" s="257">
        <v>0.04</v>
      </c>
      <c r="B143" s="258">
        <f t="shared" ref="B143:F143" ca="1" si="511">B135*$E$104</f>
        <v>10165.768256096122</v>
      </c>
      <c r="C143" s="258">
        <f t="shared" ca="1" si="511"/>
        <v>14550.558322142551</v>
      </c>
      <c r="D143" s="258">
        <f t="shared" ca="1" si="511"/>
        <v>18935.348388188981</v>
      </c>
      <c r="E143" s="258">
        <f t="shared" ca="1" si="511"/>
        <v>22618.572043667988</v>
      </c>
      <c r="F143" s="258">
        <f t="shared" ca="1" si="511"/>
        <v>27704.928520281839</v>
      </c>
      <c r="I143" s="257">
        <v>0.04</v>
      </c>
      <c r="J143" s="258">
        <f t="shared" ref="J143:N143" ca="1" si="512">J135*$M$104</f>
        <v>57618.202221610969</v>
      </c>
      <c r="K143" s="258">
        <f t="shared" ca="1" si="512"/>
        <v>74481.333432991538</v>
      </c>
      <c r="L143" s="258">
        <f t="shared" ca="1" si="512"/>
        <v>91344.464644372129</v>
      </c>
      <c r="M143" s="258">
        <f t="shared" ca="1" si="512"/>
        <v>114952.84834030492</v>
      </c>
      <c r="N143" s="258">
        <f t="shared" ca="1" si="512"/>
        <v>125070.72706713328</v>
      </c>
      <c r="Q143" s="257">
        <v>0.04</v>
      </c>
      <c r="R143" s="258">
        <f t="shared" ref="R143:V143" ca="1" si="513">R135*$U$104</f>
        <v>26868.507248948634</v>
      </c>
      <c r="S143" s="258">
        <f t="shared" ca="1" si="513"/>
        <v>32938.971923789672</v>
      </c>
      <c r="T143" s="258">
        <f t="shared" ca="1" si="513"/>
        <v>38994.260436943609</v>
      </c>
      <c r="U143" s="258">
        <f t="shared" ca="1" si="513"/>
        <v>45079.901273471762</v>
      </c>
      <c r="V143" s="258">
        <f t="shared" ca="1" si="513"/>
        <v>51150.365948312807</v>
      </c>
      <c r="Y143" s="257">
        <v>0.04</v>
      </c>
      <c r="Z143" s="258">
        <f t="shared" ref="Z143:AD143" ca="1" si="514">Z135*$AC$104</f>
        <v>89297.890992314889</v>
      </c>
      <c r="AA143" s="258">
        <f t="shared" ca="1" si="514"/>
        <v>105968.47046081811</v>
      </c>
      <c r="AB143" s="258">
        <f t="shared" ca="1" si="514"/>
        <v>121805.52095589617</v>
      </c>
      <c r="AC143" s="258">
        <f t="shared" ca="1" si="514"/>
        <v>139309.62939782458</v>
      </c>
      <c r="AD143" s="258">
        <f t="shared" ca="1" si="514"/>
        <v>155980.20886632777</v>
      </c>
      <c r="AG143" s="257">
        <v>0.04</v>
      </c>
      <c r="AH143" s="258">
        <f t="shared" ref="AH143:AL143" ca="1" si="515">AH135*$AK$104</f>
        <v>27881.554681989306</v>
      </c>
      <c r="AI143" s="258">
        <f t="shared" ca="1" si="515"/>
        <v>29772.632297854652</v>
      </c>
      <c r="AJ143" s="258">
        <f t="shared" ca="1" si="515"/>
        <v>31616.432973323368</v>
      </c>
      <c r="AK143" s="258">
        <f t="shared" ca="1" si="515"/>
        <v>33554.787529585359</v>
      </c>
      <c r="AL143" s="258">
        <f t="shared" ca="1" si="515"/>
        <v>35445.865145450698</v>
      </c>
      <c r="AO143" s="257">
        <v>0.04</v>
      </c>
      <c r="AP143" s="258">
        <f t="shared" ref="AP143:AT143" ca="1" si="516">AP135*$AS$104</f>
        <v>66673.934497756272</v>
      </c>
      <c r="AQ143" s="258">
        <f t="shared" ca="1" si="516"/>
        <v>72772.395255567142</v>
      </c>
      <c r="AR143" s="258">
        <f t="shared" ca="1" si="516"/>
        <v>79175.779051268561</v>
      </c>
      <c r="AS143" s="258">
        <f t="shared" ca="1" si="516"/>
        <v>84969.316771188867</v>
      </c>
      <c r="AT143" s="258">
        <f t="shared" ca="1" si="516"/>
        <v>91067.777528999723</v>
      </c>
    </row>
    <row r="144" spans="1:46" x14ac:dyDescent="0.3">
      <c r="A144" s="257">
        <v>0.04</v>
      </c>
      <c r="B144" s="258">
        <f t="shared" ref="B144:F144" ca="1" si="517">B136*$E$104</f>
        <v>11105.171638839834</v>
      </c>
      <c r="C144" s="258">
        <f t="shared" ca="1" si="517"/>
        <v>15724.812550572193</v>
      </c>
      <c r="D144" s="258">
        <f t="shared" ca="1" si="517"/>
        <v>20344.453462304551</v>
      </c>
      <c r="E144" s="258">
        <f t="shared" ca="1" si="517"/>
        <v>24224.951828159745</v>
      </c>
      <c r="F144" s="258">
        <f t="shared" ca="1" si="517"/>
        <v>29583.735285769268</v>
      </c>
      <c r="I144" s="257">
        <v>0.04</v>
      </c>
      <c r="J144" s="258">
        <f t="shared" ref="J144:N144" ca="1" si="518">J136*$M$104</f>
        <v>62743.828978653371</v>
      </c>
      <c r="K144" s="258">
        <f t="shared" ca="1" si="518"/>
        <v>80745.988358265618</v>
      </c>
      <c r="L144" s="258">
        <f t="shared" ca="1" si="518"/>
        <v>98748.147737877851</v>
      </c>
      <c r="M144" s="258">
        <f t="shared" ca="1" si="518"/>
        <v>123951.17086933496</v>
      </c>
      <c r="N144" s="258">
        <f t="shared" ca="1" si="518"/>
        <v>134752.46649710232</v>
      </c>
      <c r="Q144" s="257">
        <v>0.04</v>
      </c>
      <c r="R144" s="258">
        <f t="shared" ref="R144:V144" ca="1" si="519">R136*$U$104</f>
        <v>29284.857063061081</v>
      </c>
      <c r="S144" s="258">
        <f t="shared" ca="1" si="519"/>
        <v>35838.591700724617</v>
      </c>
      <c r="T144" s="258">
        <f t="shared" ca="1" si="519"/>
        <v>42375.942001793977</v>
      </c>
      <c r="U144" s="258">
        <f t="shared" ca="1" si="519"/>
        <v>48946.060976051682</v>
      </c>
      <c r="V144" s="258">
        <f t="shared" ca="1" si="519"/>
        <v>55499.795613715207</v>
      </c>
      <c r="Y144" s="257">
        <v>0.04</v>
      </c>
      <c r="Z144" s="258">
        <f t="shared" ref="Z144:AD144" ca="1" si="520">Z136*$AC$104</f>
        <v>94027.734384063195</v>
      </c>
      <c r="AA144" s="258">
        <f t="shared" ca="1" si="520"/>
        <v>111599.23640337562</v>
      </c>
      <c r="AB144" s="258">
        <f t="shared" ca="1" si="520"/>
        <v>128292.16332172239</v>
      </c>
      <c r="AC144" s="258">
        <f t="shared" ca="1" si="520"/>
        <v>146742.24044200045</v>
      </c>
      <c r="AD144" s="258">
        <f t="shared" ca="1" si="520"/>
        <v>164313.74246131291</v>
      </c>
      <c r="AG144" s="257">
        <v>0.04</v>
      </c>
      <c r="AH144" s="258">
        <f t="shared" ref="AH144:AL144" ca="1" si="521">AH136*$AK$104</f>
        <v>29353.044347760031</v>
      </c>
      <c r="AI144" s="258">
        <f t="shared" ca="1" si="521"/>
        <v>31351.13939386325</v>
      </c>
      <c r="AJ144" s="258">
        <f t="shared" ca="1" si="521"/>
        <v>33299.282063813887</v>
      </c>
      <c r="AK144" s="258">
        <f t="shared" ca="1" si="521"/>
        <v>35347.329486069691</v>
      </c>
      <c r="AL144" s="258">
        <f t="shared" ca="1" si="521"/>
        <v>37345.424532172903</v>
      </c>
      <c r="AO144" s="257">
        <v>0.04</v>
      </c>
      <c r="AP144" s="258">
        <f t="shared" ref="AP144:AT144" ca="1" si="522">AP136*$AS$104</f>
        <v>70738.670848501031</v>
      </c>
      <c r="AQ144" s="258">
        <f t="shared" ca="1" si="522"/>
        <v>77175.859635540619</v>
      </c>
      <c r="AR144" s="258">
        <f t="shared" ca="1" si="522"/>
        <v>83934.907861932195</v>
      </c>
      <c r="AS144" s="258">
        <f t="shared" ca="1" si="522"/>
        <v>90050.237209619809</v>
      </c>
      <c r="AT144" s="258">
        <f t="shared" ca="1" si="522"/>
        <v>96487.425996659396</v>
      </c>
    </row>
    <row r="145" spans="1:46" x14ac:dyDescent="0.3">
      <c r="I145" s="108"/>
      <c r="Q145" s="108"/>
      <c r="Y145" s="108"/>
      <c r="AG145" s="108"/>
      <c r="AO145" s="108"/>
    </row>
    <row r="146" spans="1:46" ht="18" x14ac:dyDescent="0.3">
      <c r="A146" s="408" t="s">
        <v>539</v>
      </c>
      <c r="B146" s="408"/>
      <c r="C146" s="408"/>
      <c r="D146" s="408"/>
      <c r="E146" s="408"/>
      <c r="F146" s="250" t="e" vm="4">
        <v>#VALUE!</v>
      </c>
      <c r="I146" s="418" t="s">
        <v>539</v>
      </c>
      <c r="J146" s="418"/>
      <c r="K146" s="418"/>
      <c r="L146" s="418"/>
      <c r="M146" s="418"/>
      <c r="N146" s="250" t="e" vm="6">
        <v>#VALUE!</v>
      </c>
      <c r="Q146" s="396" t="s">
        <v>539</v>
      </c>
      <c r="R146" s="396"/>
      <c r="S146" s="396"/>
      <c r="T146" s="396"/>
      <c r="U146" s="396"/>
      <c r="V146" s="250" t="e" vm="5">
        <v>#VALUE!</v>
      </c>
      <c r="Y146" s="395" t="s">
        <v>539</v>
      </c>
      <c r="Z146" s="395"/>
      <c r="AA146" s="395"/>
      <c r="AB146" s="395"/>
      <c r="AC146" s="395"/>
      <c r="AD146" s="250" t="e" vm="3">
        <v>#VALUE!</v>
      </c>
      <c r="AG146" s="386" t="s">
        <v>539</v>
      </c>
      <c r="AH146" s="386"/>
      <c r="AI146" s="386"/>
      <c r="AJ146" s="386"/>
      <c r="AK146" s="386"/>
      <c r="AL146" s="250" t="e" vm="1">
        <v>#VALUE!</v>
      </c>
      <c r="AO146" s="387" t="s">
        <v>539</v>
      </c>
      <c r="AP146" s="387"/>
      <c r="AQ146" s="387"/>
      <c r="AR146" s="387"/>
      <c r="AS146" s="387"/>
      <c r="AT146" s="250" t="e" vm="5">
        <v>#VALUE!</v>
      </c>
    </row>
    <row r="147" spans="1:46" x14ac:dyDescent="0.3">
      <c r="A147" s="242" t="s">
        <v>517</v>
      </c>
      <c r="B147" s="281" t="s">
        <v>603</v>
      </c>
      <c r="C147" s="281" t="s">
        <v>604</v>
      </c>
      <c r="D147" s="281" t="s">
        <v>605</v>
      </c>
      <c r="E147" s="281" t="s">
        <v>606</v>
      </c>
      <c r="F147" s="281" t="s">
        <v>607</v>
      </c>
      <c r="I147" s="269" t="s">
        <v>517</v>
      </c>
      <c r="J147" s="290" t="s">
        <v>603</v>
      </c>
      <c r="K147" s="290" t="s">
        <v>604</v>
      </c>
      <c r="L147" s="290" t="s">
        <v>605</v>
      </c>
      <c r="M147" s="290" t="s">
        <v>606</v>
      </c>
      <c r="N147" s="290" t="s">
        <v>607</v>
      </c>
      <c r="Q147" s="198" t="s">
        <v>517</v>
      </c>
      <c r="R147" s="314" t="s">
        <v>603</v>
      </c>
      <c r="S147" s="314" t="s">
        <v>604</v>
      </c>
      <c r="T147" s="314" t="s">
        <v>605</v>
      </c>
      <c r="U147" s="314" t="s">
        <v>606</v>
      </c>
      <c r="V147" s="314" t="s">
        <v>607</v>
      </c>
      <c r="Y147" s="40" t="s">
        <v>517</v>
      </c>
      <c r="Z147" s="328" t="s">
        <v>603</v>
      </c>
      <c r="AA147" s="328" t="s">
        <v>604</v>
      </c>
      <c r="AB147" s="328" t="s">
        <v>605</v>
      </c>
      <c r="AC147" s="328" t="s">
        <v>606</v>
      </c>
      <c r="AD147" s="328" t="s">
        <v>607</v>
      </c>
      <c r="AG147" s="15" t="s">
        <v>517</v>
      </c>
      <c r="AH147" s="326" t="s">
        <v>603</v>
      </c>
      <c r="AI147" s="326" t="s">
        <v>604</v>
      </c>
      <c r="AJ147" s="326" t="s">
        <v>605</v>
      </c>
      <c r="AK147" s="326" t="s">
        <v>606</v>
      </c>
      <c r="AL147" s="326" t="s">
        <v>607</v>
      </c>
      <c r="AO147" s="115" t="s">
        <v>517</v>
      </c>
      <c r="AP147" s="320" t="s">
        <v>603</v>
      </c>
      <c r="AQ147" s="320" t="s">
        <v>604</v>
      </c>
      <c r="AR147" s="320" t="s">
        <v>605</v>
      </c>
      <c r="AS147" s="320" t="s">
        <v>606</v>
      </c>
      <c r="AT147" s="320" t="s">
        <v>607</v>
      </c>
    </row>
    <row r="148" spans="1:46" x14ac:dyDescent="0.3">
      <c r="A148" s="257">
        <v>0.04</v>
      </c>
      <c r="B148" s="258">
        <f ca="1">B124+B140</f>
        <v>9155.8654272339372</v>
      </c>
      <c r="C148" s="258">
        <f t="shared" ref="C148:F148" ca="1" si="523">C124+C140</f>
        <v>13889.573365611714</v>
      </c>
      <c r="D148" s="258">
        <f t="shared" ca="1" si="523"/>
        <v>18623.281303989483</v>
      </c>
      <c r="E148" s="258">
        <f t="shared" ca="1" si="523"/>
        <v>22599.595972226816</v>
      </c>
      <c r="F148" s="258">
        <f t="shared" ca="1" si="523"/>
        <v>28090.697180745025</v>
      </c>
      <c r="I148" s="257">
        <v>0.04</v>
      </c>
      <c r="J148" s="258">
        <f ca="1">J124+J140</f>
        <v>56327.216990344023</v>
      </c>
      <c r="K148" s="258">
        <f t="shared" ref="K148:N148" ca="1" si="524">K124+K140</f>
        <v>74339.79862361007</v>
      </c>
      <c r="L148" s="258">
        <f t="shared" ca="1" si="524"/>
        <v>92352.380256876117</v>
      </c>
      <c r="M148" s="258">
        <f t="shared" ca="1" si="524"/>
        <v>117569.99454344859</v>
      </c>
      <c r="N148" s="258">
        <f t="shared" ca="1" si="524"/>
        <v>128377.54352340821</v>
      </c>
      <c r="Q148" s="257">
        <v>0.04</v>
      </c>
      <c r="R148" s="258">
        <f ca="1">R124+R140</f>
        <v>25117.521650606952</v>
      </c>
      <c r="S148" s="258">
        <f t="shared" ref="S148:V148" ca="1" si="525">S124+S140</f>
        <v>30945.123018070237</v>
      </c>
      <c r="T148" s="258">
        <f t="shared" ca="1" si="525"/>
        <v>36758.15538211487</v>
      </c>
      <c r="U148" s="258">
        <f t="shared" ca="1" si="525"/>
        <v>42600.325752996818</v>
      </c>
      <c r="V148" s="258">
        <f t="shared" ca="1" si="525"/>
        <v>48427.92712046011</v>
      </c>
      <c r="Y148" s="257">
        <v>0.04</v>
      </c>
      <c r="Z148" s="258">
        <f ca="1">Z124+Z140</f>
        <v>90442.636924304461</v>
      </c>
      <c r="AA148" s="258">
        <f t="shared" ref="AA148:AD148" ca="1" si="526">AA124+AA140</f>
        <v>107444.87847216663</v>
      </c>
      <c r="AB148" s="258">
        <f t="shared" ca="1" si="526"/>
        <v>123597.00794263568</v>
      </c>
      <c r="AC148" s="258">
        <f t="shared" ca="1" si="526"/>
        <v>141449.361567891</v>
      </c>
      <c r="AD148" s="258">
        <f t="shared" ca="1" si="526"/>
        <v>158451.60311575315</v>
      </c>
      <c r="AG148" s="257">
        <v>0.04</v>
      </c>
      <c r="AH148" s="258">
        <f ca="1">AH140+AH124</f>
        <v>30482.445145967613</v>
      </c>
      <c r="AI148" s="258">
        <f t="shared" ref="AI148:AL148" ca="1" si="527">AI140+AI124</f>
        <v>32506.20405574474</v>
      </c>
      <c r="AJ148" s="258">
        <f t="shared" ca="1" si="527"/>
        <v>34479.368992777447</v>
      </c>
      <c r="AK148" s="258">
        <f t="shared" ca="1" si="527"/>
        <v>36553.721875299008</v>
      </c>
      <c r="AL148" s="258">
        <f t="shared" ca="1" si="527"/>
        <v>38577.480785076143</v>
      </c>
      <c r="AO148" s="257">
        <v>0.04</v>
      </c>
      <c r="AP148" s="258">
        <f ca="1">AP124+AP140</f>
        <v>69020.301985888</v>
      </c>
      <c r="AQ148" s="258">
        <f t="shared" ref="AQ148:AT148" ca="1" si="528">AQ124+AQ140</f>
        <v>75293.786467404745</v>
      </c>
      <c r="AR148" s="258">
        <f t="shared" ca="1" si="528"/>
        <v>81880.945172997337</v>
      </c>
      <c r="AS148" s="258">
        <f t="shared" ca="1" si="528"/>
        <v>87840.75543043825</v>
      </c>
      <c r="AT148" s="258">
        <f t="shared" ca="1" si="528"/>
        <v>94114.239911955039</v>
      </c>
    </row>
    <row r="149" spans="1:46" x14ac:dyDescent="0.3">
      <c r="A149" s="257">
        <v>0.04</v>
      </c>
      <c r="B149" s="258">
        <f t="shared" ref="B149:F149" ca="1" si="529">B125+B141</f>
        <v>9977.286027082193</v>
      </c>
      <c r="C149" s="258">
        <f t="shared" ca="1" si="529"/>
        <v>14916.34911542203</v>
      </c>
      <c r="D149" s="258">
        <f t="shared" ca="1" si="529"/>
        <v>19855.412203761862</v>
      </c>
      <c r="E149" s="258">
        <f t="shared" ca="1" si="529"/>
        <v>24004.225197967324</v>
      </c>
      <c r="F149" s="258">
        <f t="shared" ca="1" si="529"/>
        <v>29733.538380441536</v>
      </c>
      <c r="I149" s="257">
        <v>0.04</v>
      </c>
      <c r="J149" s="258">
        <f t="shared" ref="J149:N149" ca="1" si="530">J125+J141</f>
        <v>61661.006046720198</v>
      </c>
      <c r="K149" s="258">
        <f t="shared" ca="1" si="530"/>
        <v>80858.874136958737</v>
      </c>
      <c r="L149" s="258">
        <f t="shared" ca="1" si="530"/>
        <v>100056.74222719728</v>
      </c>
      <c r="M149" s="258">
        <f t="shared" ca="1" si="530"/>
        <v>126933.75755353124</v>
      </c>
      <c r="N149" s="258">
        <f t="shared" ca="1" si="530"/>
        <v>138452.47840767432</v>
      </c>
      <c r="Q149" s="257">
        <v>0.04</v>
      </c>
      <c r="R149" s="258">
        <f t="shared" ref="R149:V149" ca="1" si="531">R125+R141</f>
        <v>27477.688084865687</v>
      </c>
      <c r="S149" s="258">
        <f t="shared" ca="1" si="531"/>
        <v>33777.322739180716</v>
      </c>
      <c r="T149" s="258">
        <f t="shared" ca="1" si="531"/>
        <v>40061.20830685996</v>
      </c>
      <c r="U149" s="258">
        <f t="shared" ca="1" si="531"/>
        <v>46376.592047810787</v>
      </c>
      <c r="V149" s="258">
        <f t="shared" ca="1" si="531"/>
        <v>52676.226702125823</v>
      </c>
      <c r="Y149" s="257">
        <v>0.04</v>
      </c>
      <c r="Z149" s="258">
        <f t="shared" ref="Z149:AD149" ca="1" si="532">Z125+Z141</f>
        <v>95247.639820131473</v>
      </c>
      <c r="AA149" s="258">
        <f t="shared" ca="1" si="532"/>
        <v>113165.12001481786</v>
      </c>
      <c r="AB149" s="258">
        <f t="shared" ca="1" si="532"/>
        <v>130186.72619976987</v>
      </c>
      <c r="AC149" s="258">
        <f t="shared" ca="1" si="532"/>
        <v>149000.08040419061</v>
      </c>
      <c r="AD149" s="258">
        <f t="shared" ca="1" si="532"/>
        <v>166917.56059887694</v>
      </c>
      <c r="AG149" s="257">
        <v>0.04</v>
      </c>
      <c r="AH149" s="258">
        <f t="shared" ref="AH149:AL149" ca="1" si="533">AH141+AH125</f>
        <v>32024.114162869071</v>
      </c>
      <c r="AI149" s="258">
        <f t="shared" ca="1" si="533"/>
        <v>34159.994455693573</v>
      </c>
      <c r="AJ149" s="258">
        <f t="shared" ca="1" si="533"/>
        <v>36242.477741197479</v>
      </c>
      <c r="AK149" s="258">
        <f t="shared" ca="1" si="533"/>
        <v>38431.755041342607</v>
      </c>
      <c r="AL149" s="258">
        <f t="shared" ca="1" si="533"/>
        <v>40567.635334167106</v>
      </c>
      <c r="AO149" s="257">
        <v>0.04</v>
      </c>
      <c r="AP149" s="258">
        <f t="shared" ref="AP149:AT149" ca="1" si="534">AP125+AP141</f>
        <v>73173.099479387238</v>
      </c>
      <c r="AQ149" s="258">
        <f t="shared" ca="1" si="534"/>
        <v>79792.650418695586</v>
      </c>
      <c r="AR149" s="258">
        <f t="shared" ca="1" si="534"/>
        <v>86743.178904969391</v>
      </c>
      <c r="AS149" s="258">
        <f t="shared" ca="1" si="534"/>
        <v>93031.752297312312</v>
      </c>
      <c r="AT149" s="258">
        <f t="shared" ca="1" si="534"/>
        <v>99651.303236620661</v>
      </c>
    </row>
    <row r="150" spans="1:46" x14ac:dyDescent="0.3">
      <c r="A150" s="257">
        <v>0.04</v>
      </c>
      <c r="B150" s="258">
        <f t="shared" ref="B150:F150" ca="1" si="535">B126+B142</f>
        <v>11175.943545660959</v>
      </c>
      <c r="C150" s="258">
        <f t="shared" ca="1" si="535"/>
        <v>16414.671013645482</v>
      </c>
      <c r="D150" s="258">
        <f t="shared" ca="1" si="535"/>
        <v>21653.398481630004</v>
      </c>
      <c r="E150" s="258">
        <f t="shared" ca="1" si="535"/>
        <v>26053.929554737013</v>
      </c>
      <c r="F150" s="258">
        <f t="shared" ca="1" si="535"/>
        <v>32130.853417599064</v>
      </c>
      <c r="I150" s="257">
        <v>0.04</v>
      </c>
      <c r="J150" s="258">
        <f t="shared" ref="J150:N150" ca="1" si="536">J126+J142</f>
        <v>67321.412655543172</v>
      </c>
      <c r="K150" s="258">
        <f t="shared" ca="1" si="536"/>
        <v>87777.148881075715</v>
      </c>
      <c r="L150" s="258">
        <f t="shared" ca="1" si="536"/>
        <v>108232.88510660826</v>
      </c>
      <c r="M150" s="258">
        <f t="shared" ca="1" si="536"/>
        <v>136870.9158223538</v>
      </c>
      <c r="N150" s="258">
        <f t="shared" ca="1" si="536"/>
        <v>149144.3575576733</v>
      </c>
      <c r="Q150" s="257">
        <v>0.04</v>
      </c>
      <c r="R150" s="258">
        <f t="shared" ref="R150:V150" ca="1" si="537">R126+R142</f>
        <v>29938.908008379112</v>
      </c>
      <c r="S150" s="258">
        <f t="shared" ca="1" si="537"/>
        <v>36730.786647396832</v>
      </c>
      <c r="T150" s="258">
        <f t="shared" ca="1" si="537"/>
        <v>43505.685589817003</v>
      </c>
      <c r="U150" s="258">
        <f t="shared" ca="1" si="537"/>
        <v>50314.543925432277</v>
      </c>
      <c r="V150" s="258">
        <f t="shared" ca="1" si="537"/>
        <v>57106.422564449989</v>
      </c>
      <c r="Y150" s="257">
        <v>0.04</v>
      </c>
      <c r="Z150" s="258">
        <f t="shared" ref="Z150:AD150" ca="1" si="538">Z126+Z142</f>
        <v>99972.089309257746</v>
      </c>
      <c r="AA150" s="258">
        <f t="shared" ca="1" si="538"/>
        <v>118789.46464473006</v>
      </c>
      <c r="AB150" s="258">
        <f t="shared" ca="1" si="538"/>
        <v>136665.9712134288</v>
      </c>
      <c r="AC150" s="258">
        <f t="shared" ca="1" si="538"/>
        <v>156424.21531567475</v>
      </c>
      <c r="AD150" s="258">
        <f t="shared" ca="1" si="538"/>
        <v>175241.59065114704</v>
      </c>
      <c r="AG150" s="257">
        <v>0.04</v>
      </c>
      <c r="AH150" s="258">
        <f t="shared" ref="AH150:AL150" ca="1" si="539">AH142+AH126</f>
        <v>33753.444734059216</v>
      </c>
      <c r="AI150" s="258">
        <f t="shared" ca="1" si="539"/>
        <v>36015.094522970277</v>
      </c>
      <c r="AJ150" s="258">
        <f t="shared" ca="1" si="539"/>
        <v>38220.203067158574</v>
      </c>
      <c r="AK150" s="258">
        <f t="shared" ca="1" si="539"/>
        <v>40538.394100792415</v>
      </c>
      <c r="AL150" s="258">
        <f t="shared" ca="1" si="539"/>
        <v>42800.043889703476</v>
      </c>
      <c r="AO150" s="257">
        <v>0.04</v>
      </c>
      <c r="AP150" s="258">
        <f t="shared" ref="AP150:AT150" ca="1" si="540">AP126+AP142</f>
        <v>78412.120131696167</v>
      </c>
      <c r="AQ150" s="258">
        <f t="shared" ca="1" si="540"/>
        <v>85468.256125363594</v>
      </c>
      <c r="AR150" s="258">
        <f t="shared" ca="1" si="540"/>
        <v>92877.198918714421</v>
      </c>
      <c r="AS150" s="258">
        <f t="shared" ca="1" si="540"/>
        <v>99580.528112698463</v>
      </c>
      <c r="AT150" s="258">
        <f t="shared" ca="1" si="540"/>
        <v>106636.6641063659</v>
      </c>
    </row>
    <row r="151" spans="1:46" x14ac:dyDescent="0.3">
      <c r="A151" s="257">
        <v>0.04</v>
      </c>
      <c r="B151" s="258">
        <f t="shared" ref="B151:F151" ca="1" si="541">B127+B143</f>
        <v>12238.897620505386</v>
      </c>
      <c r="C151" s="258">
        <f t="shared" ca="1" si="541"/>
        <v>17743.363607201019</v>
      </c>
      <c r="D151" s="258">
        <f t="shared" ca="1" si="541"/>
        <v>23247.829593896651</v>
      </c>
      <c r="E151" s="258">
        <f t="shared" ca="1" si="541"/>
        <v>27871.581022720995</v>
      </c>
      <c r="F151" s="258">
        <f t="shared" ca="1" si="541"/>
        <v>34256.761567287918</v>
      </c>
      <c r="I151" s="257">
        <v>0.04</v>
      </c>
      <c r="J151" s="258">
        <f t="shared" ref="J151:N151" ca="1" si="542">J127+J143</f>
        <v>73181.886415246423</v>
      </c>
      <c r="K151" s="258">
        <f t="shared" ca="1" si="542"/>
        <v>94939.950142935209</v>
      </c>
      <c r="L151" s="258">
        <f t="shared" ca="1" si="542"/>
        <v>116698.01387062403</v>
      </c>
      <c r="M151" s="258">
        <f t="shared" ca="1" si="542"/>
        <v>147159.30308938833</v>
      </c>
      <c r="N151" s="258">
        <f t="shared" ca="1" si="542"/>
        <v>160214.14132600161</v>
      </c>
      <c r="Q151" s="257">
        <v>0.04</v>
      </c>
      <c r="R151" s="258">
        <f t="shared" ref="R151:V151" ca="1" si="543">R127+R143</f>
        <v>32581.071444570087</v>
      </c>
      <c r="S151" s="258">
        <f t="shared" ca="1" si="543"/>
        <v>39901.382770826</v>
      </c>
      <c r="T151" s="258">
        <f t="shared" ca="1" si="543"/>
        <v>47203.393318766277</v>
      </c>
      <c r="U151" s="258">
        <f t="shared" ca="1" si="543"/>
        <v>54542.005423337847</v>
      </c>
      <c r="V151" s="258">
        <f t="shared" ca="1" si="543"/>
        <v>61862.316749593767</v>
      </c>
      <c r="Y151" s="257">
        <v>0.04</v>
      </c>
      <c r="Z151" s="258">
        <f t="shared" ref="Z151:AD151" ca="1" si="544">Z127+Z143</f>
        <v>105378.13762003723</v>
      </c>
      <c r="AA151" s="258">
        <f t="shared" ca="1" si="544"/>
        <v>125225.23644327707</v>
      </c>
      <c r="AB151" s="258">
        <f t="shared" ca="1" si="544"/>
        <v>144079.9803253549</v>
      </c>
      <c r="AC151" s="258">
        <f t="shared" ca="1" si="544"/>
        <v>164919.43408975677</v>
      </c>
      <c r="AD151" s="258">
        <f t="shared" ca="1" si="544"/>
        <v>184766.5329129966</v>
      </c>
      <c r="AG151" s="257">
        <v>0.04</v>
      </c>
      <c r="AH151" s="258">
        <f t="shared" ref="AH151:AL151" ca="1" si="545">AH143+AH127</f>
        <v>35280.254520989169</v>
      </c>
      <c r="AI151" s="258">
        <f t="shared" ca="1" si="545"/>
        <v>37652.945021676962</v>
      </c>
      <c r="AJ151" s="258">
        <f t="shared" ca="1" si="545"/>
        <v>39966.318259847561</v>
      </c>
      <c r="AK151" s="258">
        <f t="shared" ca="1" si="545"/>
        <v>42398.326023052563</v>
      </c>
      <c r="AL151" s="258">
        <f t="shared" ca="1" si="545"/>
        <v>44771.016523740342</v>
      </c>
      <c r="AO151" s="257">
        <v>0.04</v>
      </c>
      <c r="AP151" s="258">
        <f t="shared" ref="AP151:AT151" ca="1" si="546">AP127+AP143</f>
        <v>81939.797678230752</v>
      </c>
      <c r="AQ151" s="258">
        <f t="shared" ca="1" si="546"/>
        <v>89289.90680077608</v>
      </c>
      <c r="AR151" s="258">
        <f t="shared" ca="1" si="546"/>
        <v>97007.521379448677</v>
      </c>
      <c r="AS151" s="258">
        <f t="shared" ca="1" si="546"/>
        <v>103990.12504586671</v>
      </c>
      <c r="AT151" s="258">
        <f t="shared" ca="1" si="546"/>
        <v>111340.23416841202</v>
      </c>
    </row>
    <row r="152" spans="1:46" x14ac:dyDescent="0.3">
      <c r="A152" s="257">
        <v>0.04</v>
      </c>
      <c r="B152" s="258">
        <f t="shared" ref="B152:F152" ca="1" si="547">B128+B144</f>
        <v>13337.951312115532</v>
      </c>
      <c r="C152" s="258">
        <f t="shared" ca="1" si="547"/>
        <v>19117.180721713703</v>
      </c>
      <c r="D152" s="258">
        <f t="shared" ca="1" si="547"/>
        <v>24896.410131311874</v>
      </c>
      <c r="E152" s="258">
        <f t="shared" ca="1" si="547"/>
        <v>29750.96283537435</v>
      </c>
      <c r="F152" s="258">
        <f t="shared" ca="1" si="547"/>
        <v>36454.868950508215</v>
      </c>
      <c r="I152" s="257">
        <v>0.04</v>
      </c>
      <c r="J152" s="258">
        <f t="shared" ref="J152:N152" ca="1" si="548">J128+J144</f>
        <v>79291.725046945328</v>
      </c>
      <c r="K152" s="258">
        <f t="shared" ca="1" si="548"/>
        <v>102407.53069278947</v>
      </c>
      <c r="L152" s="258">
        <f t="shared" ca="1" si="548"/>
        <v>125523.33633863361</v>
      </c>
      <c r="M152" s="258">
        <f t="shared" ca="1" si="548"/>
        <v>157885.46424281536</v>
      </c>
      <c r="N152" s="258">
        <f t="shared" ca="1" si="548"/>
        <v>171754.94763032184</v>
      </c>
      <c r="Q152" s="257">
        <v>0.04</v>
      </c>
      <c r="R152" s="258">
        <f t="shared" ref="R152:V152" ca="1" si="549">R128+R144</f>
        <v>35331.039649267979</v>
      </c>
      <c r="S152" s="258">
        <f t="shared" ca="1" si="549"/>
        <v>43201.344616463481</v>
      </c>
      <c r="T152" s="258">
        <f t="shared" ca="1" si="549"/>
        <v>51051.973821240979</v>
      </c>
      <c r="U152" s="258">
        <f t="shared" ca="1" si="549"/>
        <v>58941.954550854483</v>
      </c>
      <c r="V152" s="258">
        <f t="shared" ca="1" si="549"/>
        <v>66812.259518049977</v>
      </c>
      <c r="Y152" s="257">
        <v>0.04</v>
      </c>
      <c r="Z152" s="258">
        <f t="shared" ref="Z152:AD152" ca="1" si="550">Z128+Z144</f>
        <v>110709.83368521629</v>
      </c>
      <c r="AA152" s="258">
        <f t="shared" ca="1" si="550"/>
        <v>131572.49366372832</v>
      </c>
      <c r="AB152" s="258">
        <f t="shared" ca="1" si="550"/>
        <v>151392.02064331473</v>
      </c>
      <c r="AC152" s="258">
        <f t="shared" ca="1" si="550"/>
        <v>173297.81362075239</v>
      </c>
      <c r="AD152" s="258">
        <f t="shared" ca="1" si="550"/>
        <v>194160.47359926449</v>
      </c>
      <c r="AG152" s="257">
        <v>0.04</v>
      </c>
      <c r="AH152" s="258">
        <f t="shared" ref="AH152:AL152" ca="1" si="551">AH144+AH128</f>
        <v>36996.869334010713</v>
      </c>
      <c r="AI152" s="258">
        <f t="shared" ca="1" si="551"/>
        <v>39494.404548372797</v>
      </c>
      <c r="AJ152" s="258">
        <f t="shared" ca="1" si="551"/>
        <v>41929.501382375835</v>
      </c>
      <c r="AK152" s="258">
        <f t="shared" ca="1" si="551"/>
        <v>44489.474977096979</v>
      </c>
      <c r="AL152" s="258">
        <f t="shared" ca="1" si="551"/>
        <v>46987.010191459056</v>
      </c>
      <c r="AO152" s="257">
        <v>0.04</v>
      </c>
      <c r="AP152" s="258">
        <f t="shared" ref="AP152:AT152" ca="1" si="552">AP128+AP144</f>
        <v>86559.337283032655</v>
      </c>
      <c r="AQ152" s="258">
        <f t="shared" ca="1" si="552"/>
        <v>94294.408039311456</v>
      </c>
      <c r="AR152" s="258">
        <f t="shared" ca="1" si="552"/>
        <v>102416.23233340422</v>
      </c>
      <c r="AS152" s="258">
        <f t="shared" ca="1" si="552"/>
        <v>109764.54955186907</v>
      </c>
      <c r="AT152" s="258">
        <f t="shared" ca="1" si="552"/>
        <v>117499.62030814789</v>
      </c>
    </row>
    <row r="153" spans="1:46" x14ac:dyDescent="0.3">
      <c r="I153" s="108"/>
      <c r="Q153" s="108"/>
      <c r="Y153" s="108"/>
      <c r="AG153" s="108"/>
      <c r="AO153" s="108"/>
    </row>
    <row r="154" spans="1:46" ht="18" x14ac:dyDescent="0.3">
      <c r="A154" s="408" t="s">
        <v>540</v>
      </c>
      <c r="B154" s="408"/>
      <c r="C154" s="408"/>
      <c r="D154" s="408"/>
      <c r="E154" s="408"/>
      <c r="F154" s="250" t="e" vm="4">
        <v>#VALUE!</v>
      </c>
      <c r="I154" s="418" t="s">
        <v>540</v>
      </c>
      <c r="J154" s="418"/>
      <c r="K154" s="418"/>
      <c r="L154" s="418"/>
      <c r="M154" s="418"/>
      <c r="N154" s="250" t="e" vm="6">
        <v>#VALUE!</v>
      </c>
      <c r="Q154" s="396" t="s">
        <v>540</v>
      </c>
      <c r="R154" s="396"/>
      <c r="S154" s="396"/>
      <c r="T154" s="396"/>
      <c r="U154" s="396"/>
      <c r="V154" s="250" t="e" vm="5">
        <v>#VALUE!</v>
      </c>
      <c r="Y154" s="395" t="s">
        <v>540</v>
      </c>
      <c r="Z154" s="395"/>
      <c r="AA154" s="395"/>
      <c r="AB154" s="395"/>
      <c r="AC154" s="395"/>
      <c r="AD154" s="250" t="e" vm="3">
        <v>#VALUE!</v>
      </c>
      <c r="AG154" s="386" t="s">
        <v>540</v>
      </c>
      <c r="AH154" s="386"/>
      <c r="AI154" s="386"/>
      <c r="AJ154" s="386"/>
      <c r="AK154" s="386"/>
      <c r="AL154" s="250" t="e" vm="1">
        <v>#VALUE!</v>
      </c>
      <c r="AO154" s="387" t="s">
        <v>540</v>
      </c>
      <c r="AP154" s="387"/>
      <c r="AQ154" s="387"/>
      <c r="AR154" s="387"/>
      <c r="AS154" s="387"/>
      <c r="AT154" s="250" t="e" vm="5">
        <v>#VALUE!</v>
      </c>
    </row>
    <row r="155" spans="1:46" x14ac:dyDescent="0.3">
      <c r="A155" s="242" t="s">
        <v>517</v>
      </c>
      <c r="B155" s="281" t="s">
        <v>603</v>
      </c>
      <c r="C155" s="281" t="s">
        <v>604</v>
      </c>
      <c r="D155" s="281" t="s">
        <v>605</v>
      </c>
      <c r="E155" s="281" t="s">
        <v>606</v>
      </c>
      <c r="F155" s="281" t="s">
        <v>607</v>
      </c>
      <c r="I155" s="269" t="s">
        <v>517</v>
      </c>
      <c r="J155" s="290" t="s">
        <v>603</v>
      </c>
      <c r="K155" s="290" t="s">
        <v>604</v>
      </c>
      <c r="L155" s="290" t="s">
        <v>605</v>
      </c>
      <c r="M155" s="290" t="s">
        <v>606</v>
      </c>
      <c r="N155" s="290" t="s">
        <v>607</v>
      </c>
      <c r="Q155" s="198" t="s">
        <v>517</v>
      </c>
      <c r="R155" s="314" t="s">
        <v>603</v>
      </c>
      <c r="S155" s="314" t="s">
        <v>604</v>
      </c>
      <c r="T155" s="314" t="s">
        <v>605</v>
      </c>
      <c r="U155" s="314" t="s">
        <v>606</v>
      </c>
      <c r="V155" s="314" t="s">
        <v>607</v>
      </c>
      <c r="Y155" s="40" t="s">
        <v>517</v>
      </c>
      <c r="Z155" s="328" t="s">
        <v>603</v>
      </c>
      <c r="AA155" s="328" t="s">
        <v>604</v>
      </c>
      <c r="AB155" s="328" t="s">
        <v>605</v>
      </c>
      <c r="AC155" s="328" t="s">
        <v>606</v>
      </c>
      <c r="AD155" s="328" t="s">
        <v>607</v>
      </c>
      <c r="AG155" s="15" t="s">
        <v>517</v>
      </c>
      <c r="AH155" s="326" t="s">
        <v>603</v>
      </c>
      <c r="AI155" s="326" t="s">
        <v>604</v>
      </c>
      <c r="AJ155" s="326" t="s">
        <v>605</v>
      </c>
      <c r="AK155" s="326" t="s">
        <v>606</v>
      </c>
      <c r="AL155" s="326" t="s">
        <v>607</v>
      </c>
      <c r="AO155" s="115" t="s">
        <v>517</v>
      </c>
      <c r="AP155" s="320" t="s">
        <v>603</v>
      </c>
      <c r="AQ155" s="320" t="s">
        <v>604</v>
      </c>
      <c r="AR155" s="320" t="s">
        <v>605</v>
      </c>
      <c r="AS155" s="320" t="s">
        <v>606</v>
      </c>
      <c r="AT155" s="320" t="s">
        <v>607</v>
      </c>
    </row>
    <row r="156" spans="1:46" x14ac:dyDescent="0.3">
      <c r="A156" s="257">
        <v>0.04</v>
      </c>
      <c r="B156" s="258">
        <f ca="1">B148-$G$104</f>
        <v>9566.8654272339372</v>
      </c>
      <c r="C156" s="258">
        <f t="shared" ref="C156:F156" ca="1" si="553">C148-$G$104</f>
        <v>14300.573365611714</v>
      </c>
      <c r="D156" s="258">
        <f t="shared" ca="1" si="553"/>
        <v>19034.281303989483</v>
      </c>
      <c r="E156" s="258">
        <f t="shared" ca="1" si="553"/>
        <v>23010.595972226816</v>
      </c>
      <c r="F156" s="258">
        <f t="shared" ca="1" si="553"/>
        <v>28501.697180745025</v>
      </c>
      <c r="I156" s="257">
        <v>0.04</v>
      </c>
      <c r="J156" s="258">
        <f ca="1">J148-$O$104</f>
        <v>64124.496990344021</v>
      </c>
      <c r="K156" s="258">
        <f t="shared" ref="K156:N156" ca="1" si="554">K148-$O$104</f>
        <v>82137.078623610068</v>
      </c>
      <c r="L156" s="258">
        <f t="shared" ca="1" si="554"/>
        <v>100149.66025687612</v>
      </c>
      <c r="M156" s="258">
        <f t="shared" ca="1" si="554"/>
        <v>125367.27454344858</v>
      </c>
      <c r="N156" s="258">
        <f t="shared" ca="1" si="554"/>
        <v>136174.82352340821</v>
      </c>
      <c r="Q156" s="257">
        <v>0.04</v>
      </c>
      <c r="R156" s="258">
        <f ca="1">R148-$W$104</f>
        <v>17013.431650606952</v>
      </c>
      <c r="S156" s="258">
        <f t="shared" ref="S156:V156" ca="1" si="555">S148-$W$104</f>
        <v>22841.033018070237</v>
      </c>
      <c r="T156" s="258">
        <f t="shared" ca="1" si="555"/>
        <v>28654.06538211487</v>
      </c>
      <c r="U156" s="258">
        <f t="shared" ca="1" si="555"/>
        <v>34496.235752996821</v>
      </c>
      <c r="V156" s="258">
        <f t="shared" ca="1" si="555"/>
        <v>40323.837120460114</v>
      </c>
      <c r="Y156" s="257">
        <v>0.04</v>
      </c>
      <c r="Z156" s="258">
        <f ca="1">Z148-$AE$104</f>
        <v>87231.436924304464</v>
      </c>
      <c r="AA156" s="258">
        <f t="shared" ref="AA156:AD156" ca="1" si="556">AA148-$AE$104</f>
        <v>104233.67847216663</v>
      </c>
      <c r="AB156" s="258">
        <f t="shared" ca="1" si="556"/>
        <v>120385.80794263569</v>
      </c>
      <c r="AC156" s="258">
        <f t="shared" ca="1" si="556"/>
        <v>138238.16156789099</v>
      </c>
      <c r="AD156" s="258">
        <f t="shared" ca="1" si="556"/>
        <v>155240.40311575314</v>
      </c>
      <c r="AG156" s="257">
        <v>0.04</v>
      </c>
      <c r="AH156" s="258">
        <f ca="1">AH148-$AM$104</f>
        <v>27853.605145967613</v>
      </c>
      <c r="AI156" s="258">
        <f t="shared" ref="AI156:AL156" ca="1" si="557">AI148-$AM$104</f>
        <v>29877.36405574474</v>
      </c>
      <c r="AJ156" s="258">
        <f t="shared" ca="1" si="557"/>
        <v>31850.528992777447</v>
      </c>
      <c r="AK156" s="258">
        <f t="shared" ca="1" si="557"/>
        <v>33924.881875299012</v>
      </c>
      <c r="AL156" s="258">
        <f t="shared" ca="1" si="557"/>
        <v>35948.640785076146</v>
      </c>
      <c r="AO156" s="257">
        <v>0.04</v>
      </c>
      <c r="AP156" s="258">
        <f ca="1">AP148-$AU$104</f>
        <v>69170.801985888</v>
      </c>
      <c r="AQ156" s="258">
        <f t="shared" ref="AQ156:AT156" ca="1" si="558">AQ148-$AU$104</f>
        <v>75444.286467404745</v>
      </c>
      <c r="AR156" s="258">
        <f t="shared" ca="1" si="558"/>
        <v>82031.445172997337</v>
      </c>
      <c r="AS156" s="258">
        <f t="shared" ca="1" si="558"/>
        <v>87991.25543043825</v>
      </c>
      <c r="AT156" s="258">
        <f t="shared" ca="1" si="558"/>
        <v>94264.739911955039</v>
      </c>
    </row>
    <row r="157" spans="1:46" x14ac:dyDescent="0.3">
      <c r="A157" s="257">
        <v>0.04</v>
      </c>
      <c r="B157" s="258">
        <f t="shared" ref="B157:F157" ca="1" si="559">B149-$G$104</f>
        <v>10388.286027082193</v>
      </c>
      <c r="C157" s="258">
        <f t="shared" ca="1" si="559"/>
        <v>15327.34911542203</v>
      </c>
      <c r="D157" s="258">
        <f t="shared" ca="1" si="559"/>
        <v>20266.412203761862</v>
      </c>
      <c r="E157" s="258">
        <f t="shared" ca="1" si="559"/>
        <v>24415.225197967324</v>
      </c>
      <c r="F157" s="258">
        <f t="shared" ca="1" si="559"/>
        <v>30144.538380441536</v>
      </c>
      <c r="I157" s="257">
        <v>0.04</v>
      </c>
      <c r="J157" s="258">
        <f t="shared" ref="J157:N157" ca="1" si="560">J149-$O$104</f>
        <v>69458.286046720197</v>
      </c>
      <c r="K157" s="258">
        <f t="shared" ca="1" si="560"/>
        <v>88656.154136958736</v>
      </c>
      <c r="L157" s="258">
        <f t="shared" ca="1" si="560"/>
        <v>107854.02222719727</v>
      </c>
      <c r="M157" s="258">
        <f t="shared" ca="1" si="560"/>
        <v>134731.03755353123</v>
      </c>
      <c r="N157" s="258">
        <f t="shared" ca="1" si="560"/>
        <v>146249.75840767432</v>
      </c>
      <c r="Q157" s="257">
        <v>0.04</v>
      </c>
      <c r="R157" s="258">
        <f t="shared" ref="R157:V157" ca="1" si="561">R149-$W$104</f>
        <v>19373.598084865687</v>
      </c>
      <c r="S157" s="258">
        <f t="shared" ca="1" si="561"/>
        <v>25673.232739180716</v>
      </c>
      <c r="T157" s="258">
        <f t="shared" ca="1" si="561"/>
        <v>31957.11830685996</v>
      </c>
      <c r="U157" s="258">
        <f t="shared" ca="1" si="561"/>
        <v>38272.502047810791</v>
      </c>
      <c r="V157" s="258">
        <f t="shared" ca="1" si="561"/>
        <v>44572.136702125827</v>
      </c>
      <c r="Y157" s="257">
        <v>0.04</v>
      </c>
      <c r="Z157" s="258">
        <f t="shared" ref="Z157:AD157" ca="1" si="562">Z149-$AE$104</f>
        <v>92036.439820131476</v>
      </c>
      <c r="AA157" s="258">
        <f t="shared" ca="1" si="562"/>
        <v>109953.92001481786</v>
      </c>
      <c r="AB157" s="258">
        <f t="shared" ca="1" si="562"/>
        <v>126975.52619976987</v>
      </c>
      <c r="AC157" s="258">
        <f t="shared" ca="1" si="562"/>
        <v>145788.8804041906</v>
      </c>
      <c r="AD157" s="258">
        <f t="shared" ca="1" si="562"/>
        <v>163706.36059887693</v>
      </c>
      <c r="AG157" s="257">
        <v>0.04</v>
      </c>
      <c r="AH157" s="258">
        <f t="shared" ref="AH157:AL157" ca="1" si="563">AH149-$AM$104</f>
        <v>29395.274162869071</v>
      </c>
      <c r="AI157" s="258">
        <f t="shared" ca="1" si="563"/>
        <v>31531.154455693573</v>
      </c>
      <c r="AJ157" s="258">
        <f t="shared" ca="1" si="563"/>
        <v>33613.637741197483</v>
      </c>
      <c r="AK157" s="258">
        <f t="shared" ca="1" si="563"/>
        <v>35802.91504134261</v>
      </c>
      <c r="AL157" s="258">
        <f t="shared" ca="1" si="563"/>
        <v>37938.795334167109</v>
      </c>
      <c r="AO157" s="257">
        <v>0.04</v>
      </c>
      <c r="AP157" s="258">
        <f t="shared" ref="AP157:AT157" ca="1" si="564">AP149-$AU$104</f>
        <v>73323.599479387238</v>
      </c>
      <c r="AQ157" s="258">
        <f t="shared" ca="1" si="564"/>
        <v>79943.150418695586</v>
      </c>
      <c r="AR157" s="258">
        <f t="shared" ca="1" si="564"/>
        <v>86893.678904969391</v>
      </c>
      <c r="AS157" s="258">
        <f t="shared" ca="1" si="564"/>
        <v>93182.252297312312</v>
      </c>
      <c r="AT157" s="258">
        <f t="shared" ca="1" si="564"/>
        <v>99801.803236620661</v>
      </c>
    </row>
    <row r="158" spans="1:46" x14ac:dyDescent="0.3">
      <c r="A158" s="257">
        <v>0.04</v>
      </c>
      <c r="B158" s="258">
        <f t="shared" ref="B158:F158" ca="1" si="565">B150-$G$104</f>
        <v>11586.943545660959</v>
      </c>
      <c r="C158" s="258">
        <f t="shared" ca="1" si="565"/>
        <v>16825.671013645482</v>
      </c>
      <c r="D158" s="258">
        <f t="shared" ca="1" si="565"/>
        <v>22064.398481630004</v>
      </c>
      <c r="E158" s="258">
        <f t="shared" ca="1" si="565"/>
        <v>26464.929554737013</v>
      </c>
      <c r="F158" s="258">
        <f t="shared" ca="1" si="565"/>
        <v>32541.853417599064</v>
      </c>
      <c r="I158" s="257">
        <v>0.04</v>
      </c>
      <c r="J158" s="258">
        <f t="shared" ref="J158:N158" ca="1" si="566">J150-$O$104</f>
        <v>75118.692655543171</v>
      </c>
      <c r="K158" s="258">
        <f t="shared" ca="1" si="566"/>
        <v>95574.428881075713</v>
      </c>
      <c r="L158" s="258">
        <f t="shared" ca="1" si="566"/>
        <v>116030.16510660826</v>
      </c>
      <c r="M158" s="258">
        <f t="shared" ca="1" si="566"/>
        <v>144668.19582235379</v>
      </c>
      <c r="N158" s="258">
        <f t="shared" ca="1" si="566"/>
        <v>156941.6375576733</v>
      </c>
      <c r="Q158" s="257">
        <v>0.04</v>
      </c>
      <c r="R158" s="258">
        <f t="shared" ref="R158:V158" ca="1" si="567">R150-$W$104</f>
        <v>21834.818008379112</v>
      </c>
      <c r="S158" s="258">
        <f t="shared" ca="1" si="567"/>
        <v>28626.696647396831</v>
      </c>
      <c r="T158" s="258">
        <f t="shared" ca="1" si="567"/>
        <v>35401.595589817007</v>
      </c>
      <c r="U158" s="258">
        <f t="shared" ca="1" si="567"/>
        <v>42210.453925432281</v>
      </c>
      <c r="V158" s="258">
        <f t="shared" ca="1" si="567"/>
        <v>49002.332564449993</v>
      </c>
      <c r="Y158" s="257">
        <v>0.04</v>
      </c>
      <c r="Z158" s="258">
        <f t="shared" ref="Z158:AD158" ca="1" si="568">Z150-$AE$104</f>
        <v>96760.889309257749</v>
      </c>
      <c r="AA158" s="258">
        <f t="shared" ca="1" si="568"/>
        <v>115578.26464473006</v>
      </c>
      <c r="AB158" s="258">
        <f t="shared" ca="1" si="568"/>
        <v>133454.77121342879</v>
      </c>
      <c r="AC158" s="258">
        <f t="shared" ca="1" si="568"/>
        <v>153213.01531567474</v>
      </c>
      <c r="AD158" s="258">
        <f t="shared" ca="1" si="568"/>
        <v>172030.39065114703</v>
      </c>
      <c r="AG158" s="257">
        <v>0.04</v>
      </c>
      <c r="AH158" s="258">
        <f t="shared" ref="AH158:AL158" ca="1" si="569">AH150-$AM$104</f>
        <v>31124.604734059216</v>
      </c>
      <c r="AI158" s="258">
        <f t="shared" ca="1" si="569"/>
        <v>33386.254522970281</v>
      </c>
      <c r="AJ158" s="258">
        <f t="shared" ca="1" si="569"/>
        <v>35591.363067158578</v>
      </c>
      <c r="AK158" s="258">
        <f t="shared" ca="1" si="569"/>
        <v>37909.554100792418</v>
      </c>
      <c r="AL158" s="258">
        <f t="shared" ca="1" si="569"/>
        <v>40171.20388970348</v>
      </c>
      <c r="AO158" s="257">
        <v>0.04</v>
      </c>
      <c r="AP158" s="258">
        <f t="shared" ref="AP158:AT158" ca="1" si="570">AP150-$AU$104</f>
        <v>78562.620131696167</v>
      </c>
      <c r="AQ158" s="258">
        <f t="shared" ca="1" si="570"/>
        <v>85618.756125363594</v>
      </c>
      <c r="AR158" s="258">
        <f t="shared" ca="1" si="570"/>
        <v>93027.698918714421</v>
      </c>
      <c r="AS158" s="258">
        <f t="shared" ca="1" si="570"/>
        <v>99731.028112698463</v>
      </c>
      <c r="AT158" s="258">
        <f t="shared" ca="1" si="570"/>
        <v>106787.1641063659</v>
      </c>
    </row>
    <row r="159" spans="1:46" x14ac:dyDescent="0.3">
      <c r="A159" s="257">
        <v>0.04</v>
      </c>
      <c r="B159" s="258">
        <f t="shared" ref="B159:F159" ca="1" si="571">B151-$G$104</f>
        <v>12649.897620505386</v>
      </c>
      <c r="C159" s="258">
        <f t="shared" ca="1" si="571"/>
        <v>18154.363607201019</v>
      </c>
      <c r="D159" s="258">
        <f t="shared" ca="1" si="571"/>
        <v>23658.829593896651</v>
      </c>
      <c r="E159" s="258">
        <f t="shared" ca="1" si="571"/>
        <v>28282.581022720995</v>
      </c>
      <c r="F159" s="258">
        <f t="shared" ca="1" si="571"/>
        <v>34667.761567287918</v>
      </c>
      <c r="I159" s="257">
        <v>0.04</v>
      </c>
      <c r="J159" s="258">
        <f t="shared" ref="J159:N159" ca="1" si="572">J151-$O$104</f>
        <v>80979.166415246422</v>
      </c>
      <c r="K159" s="258">
        <f t="shared" ca="1" si="572"/>
        <v>102737.23014293521</v>
      </c>
      <c r="L159" s="258">
        <f t="shared" ca="1" si="572"/>
        <v>124495.29387062402</v>
      </c>
      <c r="M159" s="258">
        <f t="shared" ca="1" si="572"/>
        <v>154956.58308938832</v>
      </c>
      <c r="N159" s="258">
        <f t="shared" ca="1" si="572"/>
        <v>168011.42132600161</v>
      </c>
      <c r="Q159" s="257">
        <v>0.04</v>
      </c>
      <c r="R159" s="258">
        <f t="shared" ref="R159:V159" ca="1" si="573">R151-$W$104</f>
        <v>24476.981444570087</v>
      </c>
      <c r="S159" s="258">
        <f t="shared" ca="1" si="573"/>
        <v>31797.292770825999</v>
      </c>
      <c r="T159" s="258">
        <f t="shared" ca="1" si="573"/>
        <v>39099.30331876628</v>
      </c>
      <c r="U159" s="258">
        <f t="shared" ca="1" si="573"/>
        <v>46437.91542333785</v>
      </c>
      <c r="V159" s="258">
        <f t="shared" ca="1" si="573"/>
        <v>53758.22674959377</v>
      </c>
      <c r="Y159" s="257">
        <v>0.04</v>
      </c>
      <c r="Z159" s="258">
        <f t="shared" ref="Z159:AD159" ca="1" si="574">Z151-$AE$104</f>
        <v>102166.93762003724</v>
      </c>
      <c r="AA159" s="258">
        <f t="shared" ca="1" si="574"/>
        <v>122014.03644327707</v>
      </c>
      <c r="AB159" s="258">
        <f t="shared" ca="1" si="574"/>
        <v>140868.78032535489</v>
      </c>
      <c r="AC159" s="258">
        <f t="shared" ca="1" si="574"/>
        <v>161708.23408975676</v>
      </c>
      <c r="AD159" s="258">
        <f t="shared" ca="1" si="574"/>
        <v>181555.33291299659</v>
      </c>
      <c r="AG159" s="257">
        <v>0.04</v>
      </c>
      <c r="AH159" s="258">
        <f t="shared" ref="AH159:AL159" ca="1" si="575">AH151-$AM$104</f>
        <v>32651.414520989169</v>
      </c>
      <c r="AI159" s="258">
        <f t="shared" ca="1" si="575"/>
        <v>35024.105021676965</v>
      </c>
      <c r="AJ159" s="258">
        <f t="shared" ca="1" si="575"/>
        <v>37337.478259847565</v>
      </c>
      <c r="AK159" s="258">
        <f t="shared" ca="1" si="575"/>
        <v>39769.486023052566</v>
      </c>
      <c r="AL159" s="258">
        <f t="shared" ca="1" si="575"/>
        <v>42142.176523740345</v>
      </c>
      <c r="AO159" s="257">
        <v>0.04</v>
      </c>
      <c r="AP159" s="258">
        <f t="shared" ref="AP159:AT159" ca="1" si="576">AP151-$AU$104</f>
        <v>82090.297678230752</v>
      </c>
      <c r="AQ159" s="258">
        <f t="shared" ca="1" si="576"/>
        <v>89440.40680077608</v>
      </c>
      <c r="AR159" s="258">
        <f t="shared" ca="1" si="576"/>
        <v>97158.021379448677</v>
      </c>
      <c r="AS159" s="258">
        <f t="shared" ca="1" si="576"/>
        <v>104140.62504586671</v>
      </c>
      <c r="AT159" s="258">
        <f t="shared" ca="1" si="576"/>
        <v>111490.73416841202</v>
      </c>
    </row>
    <row r="160" spans="1:46" x14ac:dyDescent="0.3">
      <c r="A160" s="257">
        <v>0.04</v>
      </c>
      <c r="B160" s="258">
        <f t="shared" ref="B160:F160" ca="1" si="577">B152-$G$104</f>
        <v>13748.951312115532</v>
      </c>
      <c r="C160" s="258">
        <f t="shared" ca="1" si="577"/>
        <v>19528.180721713703</v>
      </c>
      <c r="D160" s="258">
        <f t="shared" ca="1" si="577"/>
        <v>25307.410131311874</v>
      </c>
      <c r="E160" s="258">
        <f t="shared" ca="1" si="577"/>
        <v>30161.96283537435</v>
      </c>
      <c r="F160" s="258">
        <f t="shared" ca="1" si="577"/>
        <v>36865.868950508215</v>
      </c>
      <c r="I160" s="257">
        <v>0.04</v>
      </c>
      <c r="J160" s="258">
        <f t="shared" ref="J160:N160" ca="1" si="578">J152-$O$104</f>
        <v>87089.005046945327</v>
      </c>
      <c r="K160" s="258">
        <f t="shared" ca="1" si="578"/>
        <v>110204.81069278947</v>
      </c>
      <c r="L160" s="258">
        <f t="shared" ca="1" si="578"/>
        <v>133320.61633863361</v>
      </c>
      <c r="M160" s="258">
        <f t="shared" ca="1" si="578"/>
        <v>165682.74424281536</v>
      </c>
      <c r="N160" s="258">
        <f t="shared" ca="1" si="578"/>
        <v>179552.22763032184</v>
      </c>
      <c r="Q160" s="257">
        <v>0.04</v>
      </c>
      <c r="R160" s="258">
        <f t="shared" ref="R160:V160" ca="1" si="579">R152-$W$104</f>
        <v>27226.949649267979</v>
      </c>
      <c r="S160" s="258">
        <f t="shared" ca="1" si="579"/>
        <v>35097.254616463484</v>
      </c>
      <c r="T160" s="258">
        <f t="shared" ca="1" si="579"/>
        <v>42947.883821240983</v>
      </c>
      <c r="U160" s="258">
        <f t="shared" ca="1" si="579"/>
        <v>50837.864550854487</v>
      </c>
      <c r="V160" s="258">
        <f t="shared" ca="1" si="579"/>
        <v>58708.169518049981</v>
      </c>
      <c r="Y160" s="257">
        <v>0.04</v>
      </c>
      <c r="Z160" s="258">
        <f t="shared" ref="Z160:AD160" ca="1" si="580">Z152-$AE$104</f>
        <v>107498.63368521629</v>
      </c>
      <c r="AA160" s="258">
        <f t="shared" ca="1" si="580"/>
        <v>128361.29366372833</v>
      </c>
      <c r="AB160" s="258">
        <f t="shared" ca="1" si="580"/>
        <v>148180.82064331471</v>
      </c>
      <c r="AC160" s="258">
        <f t="shared" ca="1" si="580"/>
        <v>170086.61362075238</v>
      </c>
      <c r="AD160" s="258">
        <f t="shared" ca="1" si="580"/>
        <v>190949.27359926447</v>
      </c>
      <c r="AG160" s="257">
        <v>0.04</v>
      </c>
      <c r="AH160" s="258">
        <f t="shared" ref="AH160:AL160" ca="1" si="581">AH152-$AM$104</f>
        <v>34368.029334010716</v>
      </c>
      <c r="AI160" s="258">
        <f t="shared" ca="1" si="581"/>
        <v>36865.5645483728</v>
      </c>
      <c r="AJ160" s="258">
        <f t="shared" ca="1" si="581"/>
        <v>39300.661382375838</v>
      </c>
      <c r="AK160" s="258">
        <f t="shared" ca="1" si="581"/>
        <v>41860.634977096983</v>
      </c>
      <c r="AL160" s="258">
        <f t="shared" ca="1" si="581"/>
        <v>44358.170191459059</v>
      </c>
      <c r="AO160" s="257">
        <v>0.04</v>
      </c>
      <c r="AP160" s="258">
        <f t="shared" ref="AP160:AT160" ca="1" si="582">AP152-$AU$104</f>
        <v>86709.837283032655</v>
      </c>
      <c r="AQ160" s="258">
        <f t="shared" ca="1" si="582"/>
        <v>94444.908039311456</v>
      </c>
      <c r="AR160" s="258">
        <f t="shared" ca="1" si="582"/>
        <v>102566.73233340422</v>
      </c>
      <c r="AS160" s="258">
        <f t="shared" ca="1" si="582"/>
        <v>109915.04955186907</v>
      </c>
      <c r="AT160" s="258">
        <f t="shared" ca="1" si="582"/>
        <v>117650.12030814789</v>
      </c>
    </row>
    <row r="161" spans="1:46" x14ac:dyDescent="0.3">
      <c r="I161" s="108"/>
      <c r="Q161" s="108"/>
      <c r="Y161" s="108"/>
      <c r="AG161" s="108"/>
      <c r="AO161" s="108"/>
    </row>
    <row r="162" spans="1:46" ht="28.8" x14ac:dyDescent="0.3">
      <c r="A162" s="282" t="s">
        <v>542</v>
      </c>
      <c r="I162" s="291" t="s">
        <v>542</v>
      </c>
      <c r="Q162" s="315" t="s">
        <v>610</v>
      </c>
      <c r="Y162" s="329" t="s">
        <v>610</v>
      </c>
      <c r="AG162" s="327" t="s">
        <v>610</v>
      </c>
      <c r="AO162" s="324" t="s">
        <v>610</v>
      </c>
    </row>
    <row r="163" spans="1:46" x14ac:dyDescent="0.3">
      <c r="A163" s="283">
        <f ca="1">DCF!B20</f>
        <v>26.546859999999999</v>
      </c>
      <c r="I163" s="283">
        <f ca="1">'Relative Valuation'!C11</f>
        <v>239.93350000000001</v>
      </c>
      <c r="Q163" s="283">
        <f ca="1">'Relative Valuation'!D11</f>
        <v>41.275849999999998</v>
      </c>
      <c r="Y163" s="283">
        <f ca="1">'Relative Valuation'!E11</f>
        <v>83.251530000000002</v>
      </c>
      <c r="AG163" s="283">
        <f ca="1">'Relative Valuation'!F11</f>
        <v>33.844540000000002</v>
      </c>
      <c r="AO163" s="283">
        <f ca="1">'Relative Valuation'!G11</f>
        <v>80.777119999999996</v>
      </c>
    </row>
    <row r="164" spans="1:46" x14ac:dyDescent="0.3">
      <c r="I164" s="108"/>
      <c r="Q164" s="108"/>
      <c r="Y164" s="108"/>
      <c r="AG164" s="108"/>
      <c r="AO164" s="108"/>
    </row>
    <row r="165" spans="1:46" ht="18" x14ac:dyDescent="0.3">
      <c r="A165" s="408" t="s">
        <v>609</v>
      </c>
      <c r="B165" s="408"/>
      <c r="C165" s="408"/>
      <c r="D165" s="408"/>
      <c r="E165" s="408"/>
      <c r="F165" s="250" t="e" vm="4">
        <v>#VALUE!</v>
      </c>
      <c r="I165" s="418" t="s">
        <v>609</v>
      </c>
      <c r="J165" s="418"/>
      <c r="K165" s="418"/>
      <c r="L165" s="418"/>
      <c r="M165" s="418"/>
      <c r="N165" s="250" t="e" vm="6">
        <v>#VALUE!</v>
      </c>
      <c r="Q165" s="396" t="s">
        <v>609</v>
      </c>
      <c r="R165" s="396"/>
      <c r="S165" s="396"/>
      <c r="T165" s="396"/>
      <c r="U165" s="396"/>
      <c r="V165" s="250" t="e" vm="5">
        <v>#VALUE!</v>
      </c>
      <c r="Y165" s="395" t="s">
        <v>609</v>
      </c>
      <c r="Z165" s="395"/>
      <c r="AA165" s="395"/>
      <c r="AB165" s="395"/>
      <c r="AC165" s="395"/>
      <c r="AD165" s="250" t="e" vm="3">
        <v>#VALUE!</v>
      </c>
      <c r="AG165" s="386" t="s">
        <v>609</v>
      </c>
      <c r="AH165" s="386"/>
      <c r="AI165" s="386"/>
      <c r="AJ165" s="386"/>
      <c r="AK165" s="386"/>
      <c r="AL165" s="250" t="e" vm="1">
        <v>#VALUE!</v>
      </c>
      <c r="AO165" s="387" t="s">
        <v>609</v>
      </c>
      <c r="AP165" s="387"/>
      <c r="AQ165" s="387"/>
      <c r="AR165" s="387"/>
      <c r="AS165" s="387"/>
      <c r="AT165" s="250" t="e" vm="5">
        <v>#VALUE!</v>
      </c>
    </row>
    <row r="166" spans="1:46" x14ac:dyDescent="0.3">
      <c r="A166" s="242" t="s">
        <v>517</v>
      </c>
      <c r="B166" s="281" t="s">
        <v>603</v>
      </c>
      <c r="C166" s="281" t="s">
        <v>604</v>
      </c>
      <c r="D166" s="281" t="s">
        <v>605</v>
      </c>
      <c r="E166" s="281" t="s">
        <v>606</v>
      </c>
      <c r="F166" s="281" t="s">
        <v>607</v>
      </c>
      <c r="I166" s="269" t="s">
        <v>517</v>
      </c>
      <c r="J166" s="290" t="s">
        <v>603</v>
      </c>
      <c r="K166" s="290" t="s">
        <v>604</v>
      </c>
      <c r="L166" s="290" t="s">
        <v>605</v>
      </c>
      <c r="M166" s="290" t="s">
        <v>606</v>
      </c>
      <c r="N166" s="290" t="s">
        <v>607</v>
      </c>
      <c r="Q166" s="198" t="s">
        <v>517</v>
      </c>
      <c r="R166" s="314" t="s">
        <v>603</v>
      </c>
      <c r="S166" s="314" t="s">
        <v>604</v>
      </c>
      <c r="T166" s="314" t="s">
        <v>605</v>
      </c>
      <c r="U166" s="314" t="s">
        <v>606</v>
      </c>
      <c r="V166" s="314" t="s">
        <v>607</v>
      </c>
      <c r="Y166" s="40" t="s">
        <v>517</v>
      </c>
      <c r="Z166" s="328" t="s">
        <v>603</v>
      </c>
      <c r="AA166" s="328" t="s">
        <v>604</v>
      </c>
      <c r="AB166" s="328" t="s">
        <v>605</v>
      </c>
      <c r="AC166" s="328" t="s">
        <v>606</v>
      </c>
      <c r="AD166" s="328" t="s">
        <v>607</v>
      </c>
      <c r="AG166" s="15" t="s">
        <v>517</v>
      </c>
      <c r="AH166" s="326" t="s">
        <v>603</v>
      </c>
      <c r="AI166" s="326" t="s">
        <v>604</v>
      </c>
      <c r="AJ166" s="326" t="s">
        <v>605</v>
      </c>
      <c r="AK166" s="326" t="s">
        <v>606</v>
      </c>
      <c r="AL166" s="326" t="s">
        <v>607</v>
      </c>
      <c r="AO166" s="115" t="s">
        <v>517</v>
      </c>
      <c r="AP166" s="320" t="s">
        <v>603</v>
      </c>
      <c r="AQ166" s="320" t="s">
        <v>604</v>
      </c>
      <c r="AR166" s="320" t="s">
        <v>605</v>
      </c>
      <c r="AS166" s="320" t="s">
        <v>606</v>
      </c>
      <c r="AT166" s="320" t="s">
        <v>607</v>
      </c>
    </row>
    <row r="167" spans="1:46" x14ac:dyDescent="0.3">
      <c r="A167" s="257">
        <v>0.04</v>
      </c>
      <c r="B167" s="258">
        <f ca="1">B156/$A$163</f>
        <v>360.37653519979153</v>
      </c>
      <c r="C167" s="258">
        <f t="shared" ref="C167:F167" ca="1" si="583">C156/$A$163</f>
        <v>538.6917083832783</v>
      </c>
      <c r="D167" s="258">
        <f t="shared" ca="1" si="583"/>
        <v>717.00688156676472</v>
      </c>
      <c r="E167" s="258">
        <f t="shared" ca="1" si="583"/>
        <v>866.79162704089367</v>
      </c>
      <c r="F167" s="258">
        <f t="shared" ca="1" si="583"/>
        <v>1073.6372279337377</v>
      </c>
      <c r="I167" s="257">
        <v>0.04</v>
      </c>
      <c r="J167" s="258">
        <f ca="1">J156/$I$163</f>
        <v>267.25945726771801</v>
      </c>
      <c r="K167" s="258">
        <f t="shared" ref="K167:N167" ca="1" si="584">K156/$I$163</f>
        <v>342.33268227909008</v>
      </c>
      <c r="L167" s="258">
        <f t="shared" ca="1" si="584"/>
        <v>417.40590729046221</v>
      </c>
      <c r="M167" s="258">
        <f t="shared" ca="1" si="584"/>
        <v>522.50842230638318</v>
      </c>
      <c r="N167" s="258">
        <f t="shared" ca="1" si="584"/>
        <v>567.55235731320636</v>
      </c>
      <c r="Q167" s="257">
        <v>0.04</v>
      </c>
      <c r="R167" s="258">
        <f ca="1">R156/$Q$163</f>
        <v>412.18852308570149</v>
      </c>
      <c r="S167" s="258">
        <f t="shared" ref="S167:V167" ca="1" si="585">S156/$Q$163</f>
        <v>553.3752307480097</v>
      </c>
      <c r="T167" s="258">
        <f t="shared" ca="1" si="585"/>
        <v>694.20897164116241</v>
      </c>
      <c r="U167" s="258">
        <f t="shared" ca="1" si="585"/>
        <v>835.74864607262657</v>
      </c>
      <c r="V167" s="258">
        <f t="shared" ca="1" si="585"/>
        <v>976.93535373493501</v>
      </c>
      <c r="Y167" s="257">
        <v>0.04</v>
      </c>
      <c r="Z167" s="258">
        <f ca="1">Z156/$Y$163</f>
        <v>1047.8058111881483</v>
      </c>
      <c r="AA167" s="258">
        <f t="shared" ref="AA167:AD167" ca="1" si="586">AA156/$Y$163</f>
        <v>1252.0331875242009</v>
      </c>
      <c r="AB167" s="258">
        <f t="shared" ca="1" si="586"/>
        <v>1446.0491950434507</v>
      </c>
      <c r="AC167" s="258">
        <f t="shared" ca="1" si="586"/>
        <v>1660.487940196306</v>
      </c>
      <c r="AD167" s="258">
        <f t="shared" ca="1" si="586"/>
        <v>1864.7153165323584</v>
      </c>
      <c r="AG167" s="257">
        <v>0.04</v>
      </c>
      <c r="AH167" s="258">
        <f ca="1">AH156/$AG$163</f>
        <v>822.98666626781187</v>
      </c>
      <c r="AI167" s="258">
        <f t="shared" ref="AI167:AL167" ca="1" si="587">AI156/$AG$163</f>
        <v>882.78239431662348</v>
      </c>
      <c r="AJ167" s="258">
        <f t="shared" ca="1" si="587"/>
        <v>941.08322916421514</v>
      </c>
      <c r="AK167" s="258">
        <f t="shared" ca="1" si="587"/>
        <v>1002.3738504142473</v>
      </c>
      <c r="AL167" s="258">
        <f t="shared" ca="1" si="587"/>
        <v>1062.1695784630592</v>
      </c>
      <c r="AO167" s="257">
        <v>0.04</v>
      </c>
      <c r="AP167" s="258">
        <f ca="1">AP156/$AO$163</f>
        <v>856.31676378023883</v>
      </c>
      <c r="AQ167" s="258">
        <f t="shared" ref="AQ167:AT167" ca="1" si="588">AQ156/$AO$163</f>
        <v>933.98089047250937</v>
      </c>
      <c r="AR167" s="258">
        <f t="shared" ca="1" si="588"/>
        <v>1015.5282234993937</v>
      </c>
      <c r="AS167" s="258">
        <f t="shared" ca="1" si="588"/>
        <v>1089.3091438570507</v>
      </c>
      <c r="AT167" s="258">
        <f t="shared" ca="1" si="588"/>
        <v>1166.973270549322</v>
      </c>
    </row>
    <row r="168" spans="1:46" x14ac:dyDescent="0.3">
      <c r="A168" s="257">
        <v>0.04</v>
      </c>
      <c r="B168" s="258">
        <f t="shared" ref="B168:F168" ca="1" si="589">B157/$A$163</f>
        <v>391.31882366058335</v>
      </c>
      <c r="C168" s="258">
        <f t="shared" ca="1" si="589"/>
        <v>577.36956895926789</v>
      </c>
      <c r="D168" s="258">
        <f t="shared" ca="1" si="589"/>
        <v>763.42031425795221</v>
      </c>
      <c r="E168" s="258">
        <f t="shared" ca="1" si="589"/>
        <v>919.70294030884725</v>
      </c>
      <c r="F168" s="258">
        <f t="shared" ca="1" si="589"/>
        <v>1135.5218048553213</v>
      </c>
      <c r="I168" s="257">
        <v>0.04</v>
      </c>
      <c r="J168" s="258">
        <f t="shared" ref="J168:N168" ca="1" si="590">J157/$I$163</f>
        <v>289.48973797623171</v>
      </c>
      <c r="K168" s="258">
        <f t="shared" ca="1" si="590"/>
        <v>369.50302536727355</v>
      </c>
      <c r="L168" s="258">
        <f t="shared" ca="1" si="590"/>
        <v>449.51631275831539</v>
      </c>
      <c r="M168" s="258">
        <f t="shared" ca="1" si="590"/>
        <v>561.53491510577396</v>
      </c>
      <c r="N168" s="258">
        <f t="shared" ca="1" si="590"/>
        <v>609.54288754039897</v>
      </c>
      <c r="Q168" s="257">
        <v>0.04</v>
      </c>
      <c r="R168" s="258">
        <f t="shared" ref="R168:V168" ca="1" si="591">R157/$Q$163</f>
        <v>469.3688460653309</v>
      </c>
      <c r="S168" s="258">
        <f t="shared" ca="1" si="591"/>
        <v>621.99161832356492</v>
      </c>
      <c r="T168" s="258">
        <f t="shared" ca="1" si="591"/>
        <v>774.23283365115344</v>
      </c>
      <c r="U168" s="258">
        <f t="shared" ca="1" si="591"/>
        <v>927.23716284003342</v>
      </c>
      <c r="V168" s="258">
        <f t="shared" ca="1" si="591"/>
        <v>1079.8599350982677</v>
      </c>
      <c r="Y168" s="257">
        <v>0.04</v>
      </c>
      <c r="Z168" s="258">
        <f t="shared" ref="Z168:AD168" ca="1" si="592">Z157/$Y$163</f>
        <v>1105.5225029513749</v>
      </c>
      <c r="AA168" s="258">
        <f t="shared" ca="1" si="592"/>
        <v>1320.7435348613756</v>
      </c>
      <c r="AB168" s="258">
        <f t="shared" ca="1" si="592"/>
        <v>1525.2035151758757</v>
      </c>
      <c r="AC168" s="258">
        <f t="shared" ca="1" si="592"/>
        <v>1751.1855986813766</v>
      </c>
      <c r="AD168" s="258">
        <f t="shared" ca="1" si="592"/>
        <v>1966.4066305913768</v>
      </c>
      <c r="AG168" s="257">
        <v>0.04</v>
      </c>
      <c r="AH168" s="258">
        <f t="shared" ref="AH168:AL168" ca="1" si="593">AH157/$AG$163</f>
        <v>868.53815010837991</v>
      </c>
      <c r="AI168" s="258">
        <f t="shared" ca="1" si="593"/>
        <v>931.64671334559637</v>
      </c>
      <c r="AJ168" s="258">
        <f t="shared" ca="1" si="593"/>
        <v>993.17756250188302</v>
      </c>
      <c r="AK168" s="258">
        <f t="shared" ca="1" si="593"/>
        <v>1057.8638398200303</v>
      </c>
      <c r="AL168" s="258">
        <f t="shared" ca="1" si="593"/>
        <v>1120.9724030572468</v>
      </c>
      <c r="AO168" s="257">
        <v>0.04</v>
      </c>
      <c r="AP168" s="258">
        <f t="shared" ref="AP168:AT168" ca="1" si="594">AP157/$AO$163</f>
        <v>907.72733020671251</v>
      </c>
      <c r="AQ168" s="258">
        <f t="shared" ca="1" si="594"/>
        <v>989.67567076785588</v>
      </c>
      <c r="AR168" s="258">
        <f t="shared" ca="1" si="594"/>
        <v>1075.721428357057</v>
      </c>
      <c r="AS168" s="258">
        <f t="shared" ca="1" si="594"/>
        <v>1153.5723518901432</v>
      </c>
      <c r="AT168" s="258">
        <f t="shared" ca="1" si="594"/>
        <v>1235.5206924512865</v>
      </c>
    </row>
    <row r="169" spans="1:46" x14ac:dyDescent="0.3">
      <c r="A169" s="257">
        <v>0.04</v>
      </c>
      <c r="B169" s="258">
        <f t="shared" ref="B169:F169" ca="1" si="595">B158/$A$163</f>
        <v>436.47133957315327</v>
      </c>
      <c r="C169" s="258">
        <f t="shared" ca="1" si="595"/>
        <v>633.81021384998007</v>
      </c>
      <c r="D169" s="258">
        <f t="shared" ca="1" si="595"/>
        <v>831.14908812680687</v>
      </c>
      <c r="E169" s="258">
        <f t="shared" ca="1" si="595"/>
        <v>996.91374251934178</v>
      </c>
      <c r="F169" s="258">
        <f t="shared" ca="1" si="595"/>
        <v>1225.8268366804612</v>
      </c>
      <c r="I169" s="257">
        <v>0.04</v>
      </c>
      <c r="J169" s="258">
        <f t="shared" ref="J169:N169" ca="1" si="596">J158/$I$163</f>
        <v>313.08130234228719</v>
      </c>
      <c r="K169" s="258">
        <f t="shared" ca="1" si="596"/>
        <v>398.33715959245251</v>
      </c>
      <c r="L169" s="258">
        <f t="shared" ca="1" si="596"/>
        <v>483.59301684261783</v>
      </c>
      <c r="M169" s="258">
        <f t="shared" ca="1" si="596"/>
        <v>602.95121699284925</v>
      </c>
      <c r="N169" s="258">
        <f t="shared" ca="1" si="596"/>
        <v>654.1047313429483</v>
      </c>
      <c r="Q169" s="257">
        <v>0.04</v>
      </c>
      <c r="R169" s="258">
        <f t="shared" ref="R169:V169" ca="1" si="597">R158/$Q$163</f>
        <v>528.99741636766078</v>
      </c>
      <c r="S169" s="258">
        <f t="shared" ca="1" si="597"/>
        <v>693.54590268636093</v>
      </c>
      <c r="T169" s="258">
        <f t="shared" ca="1" si="597"/>
        <v>857.68301778926434</v>
      </c>
      <c r="U169" s="258">
        <f t="shared" ca="1" si="597"/>
        <v>1022.6428753237616</v>
      </c>
      <c r="V169" s="258">
        <f t="shared" ca="1" si="597"/>
        <v>1187.1913616424615</v>
      </c>
      <c r="Y169" s="257">
        <v>0.04</v>
      </c>
      <c r="Z169" s="258">
        <f t="shared" ref="Z169:AD169" ca="1" si="598">Z158/$Y$163</f>
        <v>1162.2716040084517</v>
      </c>
      <c r="AA169" s="258">
        <f t="shared" ca="1" si="598"/>
        <v>1388.3019885007527</v>
      </c>
      <c r="AB169" s="258">
        <f t="shared" ca="1" si="598"/>
        <v>1603.0308537684386</v>
      </c>
      <c r="AC169" s="258">
        <f t="shared" ca="1" si="598"/>
        <v>1840.3627574853547</v>
      </c>
      <c r="AD169" s="258">
        <f t="shared" ca="1" si="598"/>
        <v>2066.3931419776554</v>
      </c>
      <c r="AG169" s="257">
        <v>0.04</v>
      </c>
      <c r="AH169" s="258">
        <f t="shared" ref="AH169:AL169" ca="1" si="599">AH158/$AG$163</f>
        <v>919.63444425775072</v>
      </c>
      <c r="AI169" s="258">
        <f t="shared" ca="1" si="599"/>
        <v>986.45910161492156</v>
      </c>
      <c r="AJ169" s="258">
        <f t="shared" ca="1" si="599"/>
        <v>1051.6131425381634</v>
      </c>
      <c r="AK169" s="258">
        <f t="shared" ca="1" si="599"/>
        <v>1120.1084163292637</v>
      </c>
      <c r="AL169" s="258">
        <f t="shared" ca="1" si="599"/>
        <v>1186.9330736864345</v>
      </c>
      <c r="AO169" s="257">
        <v>0.04</v>
      </c>
      <c r="AP169" s="258">
        <f t="shared" ref="AP169:AT169" ca="1" si="600">AP158/$AO$163</f>
        <v>972.58506036977019</v>
      </c>
      <c r="AQ169" s="258">
        <f t="shared" ca="1" si="600"/>
        <v>1059.938211777835</v>
      </c>
      <c r="AR169" s="258">
        <f t="shared" ca="1" si="600"/>
        <v>1151.6590207563036</v>
      </c>
      <c r="AS169" s="258">
        <f t="shared" ca="1" si="600"/>
        <v>1234.6445145939651</v>
      </c>
      <c r="AT169" s="258">
        <f t="shared" ca="1" si="600"/>
        <v>1321.9976660020302</v>
      </c>
    </row>
    <row r="170" spans="1:46" x14ac:dyDescent="0.3">
      <c r="A170" s="257">
        <v>0.04</v>
      </c>
      <c r="B170" s="258">
        <f t="shared" ref="B170:F170" ca="1" si="601">B159/$A$163</f>
        <v>476.51201010233927</v>
      </c>
      <c r="C170" s="258">
        <f t="shared" ca="1" si="601"/>
        <v>683.86105201146279</v>
      </c>
      <c r="D170" s="258">
        <f t="shared" ca="1" si="601"/>
        <v>891.21009392058613</v>
      </c>
      <c r="E170" s="258">
        <f t="shared" ca="1" si="601"/>
        <v>1065.3832891242503</v>
      </c>
      <c r="F170" s="258">
        <f t="shared" ca="1" si="601"/>
        <v>1305.908177738833</v>
      </c>
      <c r="I170" s="257">
        <v>0.04</v>
      </c>
      <c r="J170" s="258">
        <f t="shared" ref="J170:N170" ca="1" si="602">J159/$I$163</f>
        <v>337.50671088133345</v>
      </c>
      <c r="K170" s="258">
        <f t="shared" ca="1" si="602"/>
        <v>428.19043669573114</v>
      </c>
      <c r="L170" s="258">
        <f t="shared" ca="1" si="602"/>
        <v>518.87416251012894</v>
      </c>
      <c r="M170" s="258">
        <f t="shared" ca="1" si="602"/>
        <v>645.83137865028573</v>
      </c>
      <c r="N170" s="258">
        <f t="shared" ca="1" si="602"/>
        <v>700.24161413892432</v>
      </c>
      <c r="Q170" s="257">
        <v>0.04</v>
      </c>
      <c r="R170" s="258">
        <f t="shared" ref="R170:V170" ca="1" si="603">R159/$Q$163</f>
        <v>593.00974891056364</v>
      </c>
      <c r="S170" s="258">
        <f t="shared" ca="1" si="603"/>
        <v>770.36070173784435</v>
      </c>
      <c r="T170" s="258">
        <f t="shared" ca="1" si="603"/>
        <v>947.26827718305697</v>
      </c>
      <c r="U170" s="258">
        <f t="shared" ca="1" si="603"/>
        <v>1125.0626073924063</v>
      </c>
      <c r="V170" s="258">
        <f t="shared" ca="1" si="603"/>
        <v>1302.413560219687</v>
      </c>
      <c r="Y170" s="257">
        <v>0.04</v>
      </c>
      <c r="Z170" s="258">
        <f t="shared" ref="Z170:AD170" ca="1" si="604">Z159/$Y$163</f>
        <v>1227.2079278307226</v>
      </c>
      <c r="AA170" s="258">
        <f t="shared" ca="1" si="604"/>
        <v>1465.6071359082177</v>
      </c>
      <c r="AB170" s="258">
        <f t="shared" ca="1" si="604"/>
        <v>1692.0863835818379</v>
      </c>
      <c r="AC170" s="258">
        <f t="shared" ca="1" si="604"/>
        <v>1942.4055520632085</v>
      </c>
      <c r="AD170" s="258">
        <f t="shared" ca="1" si="604"/>
        <v>2180.8047601407034</v>
      </c>
      <c r="AG170" s="257">
        <v>0.04</v>
      </c>
      <c r="AH170" s="258">
        <f t="shared" ref="AH170:AL170" ca="1" si="605">AH159/$AG$163</f>
        <v>964.74688446021628</v>
      </c>
      <c r="AI170" s="258">
        <f t="shared" ca="1" si="605"/>
        <v>1034.8524465593848</v>
      </c>
      <c r="AJ170" s="258">
        <f t="shared" ca="1" si="605"/>
        <v>1103.2053696060741</v>
      </c>
      <c r="AK170" s="258">
        <f t="shared" ca="1" si="605"/>
        <v>1175.0635707577223</v>
      </c>
      <c r="AL170" s="258">
        <f t="shared" ca="1" si="605"/>
        <v>1245.1691328568904</v>
      </c>
      <c r="AO170" s="257">
        <v>0.04</v>
      </c>
      <c r="AP170" s="258">
        <f t="shared" ref="AP170:AT170" ca="1" si="606">AP159/$AO$163</f>
        <v>1016.2568023993769</v>
      </c>
      <c r="AQ170" s="258">
        <f t="shared" ca="1" si="606"/>
        <v>1107.2492656432426</v>
      </c>
      <c r="AR170" s="258">
        <f t="shared" ca="1" si="606"/>
        <v>1202.7913520493016</v>
      </c>
      <c r="AS170" s="258">
        <f t="shared" ca="1" si="606"/>
        <v>1289.2341921309735</v>
      </c>
      <c r="AT170" s="258">
        <f t="shared" ca="1" si="606"/>
        <v>1380.2266553748391</v>
      </c>
    </row>
    <row r="171" spans="1:46" x14ac:dyDescent="0.3">
      <c r="A171" s="257">
        <v>0.04</v>
      </c>
      <c r="B171" s="258">
        <f t="shared" ref="B171:F171" ca="1" si="607">B160/$A$163</f>
        <v>517.91252570418999</v>
      </c>
      <c r="C171" s="258">
        <f t="shared" ca="1" si="607"/>
        <v>735.61169651377611</v>
      </c>
      <c r="D171" s="258">
        <f t="shared" ca="1" si="607"/>
        <v>953.31086732336234</v>
      </c>
      <c r="E171" s="258">
        <f t="shared" ca="1" si="607"/>
        <v>1136.1781708034152</v>
      </c>
      <c r="F171" s="258">
        <f t="shared" ca="1" si="607"/>
        <v>1388.7092089425346</v>
      </c>
      <c r="I171" s="257">
        <v>0.04</v>
      </c>
      <c r="J171" s="258">
        <f t="shared" ref="J171:N171" ca="1" si="608">J160/$I$163</f>
        <v>362.97142769536276</v>
      </c>
      <c r="K171" s="258">
        <f t="shared" ca="1" si="608"/>
        <v>459.31397946843384</v>
      </c>
      <c r="L171" s="258">
        <f t="shared" ca="1" si="608"/>
        <v>555.65653124150481</v>
      </c>
      <c r="M171" s="258">
        <f t="shared" ca="1" si="608"/>
        <v>690.5361037238041</v>
      </c>
      <c r="N171" s="258">
        <f t="shared" ca="1" si="608"/>
        <v>748.34163478764674</v>
      </c>
      <c r="Q171" s="257">
        <v>0.04</v>
      </c>
      <c r="R171" s="258">
        <f t="shared" ref="R171:V171" ca="1" si="609">R160/$Q$163</f>
        <v>659.63389365132343</v>
      </c>
      <c r="S171" s="258">
        <f t="shared" ca="1" si="609"/>
        <v>850.30967542675648</v>
      </c>
      <c r="T171" s="258">
        <f t="shared" ca="1" si="609"/>
        <v>1040.5087677477504</v>
      </c>
      <c r="U171" s="258">
        <f t="shared" ca="1" si="609"/>
        <v>1231.6612389776221</v>
      </c>
      <c r="V171" s="258">
        <f t="shared" ca="1" si="609"/>
        <v>1422.337020753055</v>
      </c>
      <c r="Y171" s="257">
        <v>0.04</v>
      </c>
      <c r="Z171" s="258">
        <f t="shared" ref="Z171:AD171" ca="1" si="610">Z160/$Y$163</f>
        <v>1291.2511479995178</v>
      </c>
      <c r="AA171" s="258">
        <f t="shared" ca="1" si="610"/>
        <v>1541.8490646805928</v>
      </c>
      <c r="AB171" s="258">
        <f t="shared" ca="1" si="610"/>
        <v>1779.9170855276138</v>
      </c>
      <c r="AC171" s="258">
        <f t="shared" ca="1" si="610"/>
        <v>2043.0448980427432</v>
      </c>
      <c r="AD171" s="258">
        <f t="shared" ca="1" si="610"/>
        <v>2293.6428147238189</v>
      </c>
      <c r="AG171" s="257">
        <v>0.04</v>
      </c>
      <c r="AH171" s="258">
        <f t="shared" ref="AH171:AL171" ca="1" si="611">AH160/$AG$163</f>
        <v>1015.4674678400331</v>
      </c>
      <c r="AI171" s="258">
        <f t="shared" ca="1" si="611"/>
        <v>1089.2617996395518</v>
      </c>
      <c r="AJ171" s="258">
        <f t="shared" ca="1" si="611"/>
        <v>1161.2112731440827</v>
      </c>
      <c r="AK171" s="258">
        <f t="shared" ca="1" si="611"/>
        <v>1236.8504632385898</v>
      </c>
      <c r="AL171" s="258">
        <f t="shared" ca="1" si="611"/>
        <v>1310.6447950381082</v>
      </c>
      <c r="AO171" s="257">
        <v>0.04</v>
      </c>
      <c r="AP171" s="258">
        <f t="shared" ref="AP171:AT171" ca="1" si="612">AP160/$AO$163</f>
        <v>1073.4455162926415</v>
      </c>
      <c r="AQ171" s="258">
        <f t="shared" ca="1" si="612"/>
        <v>1169.2037056942791</v>
      </c>
      <c r="AR171" s="258">
        <f t="shared" ca="1" si="612"/>
        <v>1269.7498045659986</v>
      </c>
      <c r="AS171" s="258">
        <f t="shared" ca="1" si="612"/>
        <v>1360.7200844975541</v>
      </c>
      <c r="AT171" s="258">
        <f t="shared" ca="1" si="612"/>
        <v>1456.4782738991919</v>
      </c>
    </row>
  </sheetData>
  <mergeCells count="132">
    <mergeCell ref="A165:E165"/>
    <mergeCell ref="A114:E114"/>
    <mergeCell ref="I114:M114"/>
    <mergeCell ref="Q114:U114"/>
    <mergeCell ref="Y114:AC114"/>
    <mergeCell ref="I122:M122"/>
    <mergeCell ref="I130:M130"/>
    <mergeCell ref="I138:M138"/>
    <mergeCell ref="I146:M146"/>
    <mergeCell ref="I154:M154"/>
    <mergeCell ref="I165:M165"/>
    <mergeCell ref="Q122:U122"/>
    <mergeCell ref="Q130:U130"/>
    <mergeCell ref="Q138:U138"/>
    <mergeCell ref="Q146:U146"/>
    <mergeCell ref="Q154:U154"/>
    <mergeCell ref="A122:E122"/>
    <mergeCell ref="A130:E130"/>
    <mergeCell ref="A138:E138"/>
    <mergeCell ref="A146:E146"/>
    <mergeCell ref="A154:E154"/>
    <mergeCell ref="A95:E95"/>
    <mergeCell ref="I95:M95"/>
    <mergeCell ref="Q95:U95"/>
    <mergeCell ref="Y95:AC95"/>
    <mergeCell ref="AG95:AK95"/>
    <mergeCell ref="AG114:AK114"/>
    <mergeCell ref="AO114:AS114"/>
    <mergeCell ref="A106:E106"/>
    <mergeCell ref="I106:M106"/>
    <mergeCell ref="Q106:U106"/>
    <mergeCell ref="Y106:AC106"/>
    <mergeCell ref="AG106:AK106"/>
    <mergeCell ref="AO106:AS106"/>
    <mergeCell ref="A87:E87"/>
    <mergeCell ref="I87:M87"/>
    <mergeCell ref="Q87:U87"/>
    <mergeCell ref="Y87:AC87"/>
    <mergeCell ref="AG87:AK87"/>
    <mergeCell ref="AO87:AS87"/>
    <mergeCell ref="F87:G87"/>
    <mergeCell ref="N87:O87"/>
    <mergeCell ref="V87:W87"/>
    <mergeCell ref="AL87:AM87"/>
    <mergeCell ref="A60:E60"/>
    <mergeCell ref="I60:M60"/>
    <mergeCell ref="Q60:U60"/>
    <mergeCell ref="Y60:AC60"/>
    <mergeCell ref="AG60:AK60"/>
    <mergeCell ref="AO79:AS79"/>
    <mergeCell ref="A71:E71"/>
    <mergeCell ref="I71:M71"/>
    <mergeCell ref="Q71:U71"/>
    <mergeCell ref="Y71:AC71"/>
    <mergeCell ref="AG71:AK71"/>
    <mergeCell ref="AO71:AS71"/>
    <mergeCell ref="A79:E79"/>
    <mergeCell ref="I79:M79"/>
    <mergeCell ref="Q79:U79"/>
    <mergeCell ref="Y79:AC79"/>
    <mergeCell ref="AG79:AK79"/>
    <mergeCell ref="A52:E52"/>
    <mergeCell ref="I52:M52"/>
    <mergeCell ref="Q52:U52"/>
    <mergeCell ref="Y52:AC52"/>
    <mergeCell ref="AG52:AK52"/>
    <mergeCell ref="AO52:AS52"/>
    <mergeCell ref="F52:G52"/>
    <mergeCell ref="N52:O52"/>
    <mergeCell ref="V52:W52"/>
    <mergeCell ref="AL52:AM52"/>
    <mergeCell ref="Y25:AC25"/>
    <mergeCell ref="AG25:AK25"/>
    <mergeCell ref="AO44:AS44"/>
    <mergeCell ref="A36:E36"/>
    <mergeCell ref="I36:M36"/>
    <mergeCell ref="Q36:U36"/>
    <mergeCell ref="Y36:AC36"/>
    <mergeCell ref="AG36:AK36"/>
    <mergeCell ref="AO36:AS36"/>
    <mergeCell ref="A44:E44"/>
    <mergeCell ref="I44:M44"/>
    <mergeCell ref="Q44:U44"/>
    <mergeCell ref="Y44:AC44"/>
    <mergeCell ref="AG44:AK44"/>
    <mergeCell ref="D1:H1"/>
    <mergeCell ref="K1:O1"/>
    <mergeCell ref="R1:V1"/>
    <mergeCell ref="Y1:AC1"/>
    <mergeCell ref="Y122:AC122"/>
    <mergeCell ref="Q165:U165"/>
    <mergeCell ref="AD17:AE17"/>
    <mergeCell ref="AD52:AE52"/>
    <mergeCell ref="AD87:AE87"/>
    <mergeCell ref="Y130:AC130"/>
    <mergeCell ref="Y138:AC138"/>
    <mergeCell ref="Y146:AC146"/>
    <mergeCell ref="Y154:AC154"/>
    <mergeCell ref="Y165:AC165"/>
    <mergeCell ref="A17:E17"/>
    <mergeCell ref="I17:M17"/>
    <mergeCell ref="Q17:U17"/>
    <mergeCell ref="Y17:AC17"/>
    <mergeCell ref="F17:G17"/>
    <mergeCell ref="N17:O17"/>
    <mergeCell ref="V17:W17"/>
    <mergeCell ref="A25:E25"/>
    <mergeCell ref="I25:M25"/>
    <mergeCell ref="Q25:U25"/>
    <mergeCell ref="AF1:AJ1"/>
    <mergeCell ref="AM1:AQ1"/>
    <mergeCell ref="AT17:AU17"/>
    <mergeCell ref="AT52:AU52"/>
    <mergeCell ref="AT87:AU87"/>
    <mergeCell ref="AG165:AK165"/>
    <mergeCell ref="AO122:AS122"/>
    <mergeCell ref="AO130:AS130"/>
    <mergeCell ref="AO138:AS138"/>
    <mergeCell ref="AO146:AS146"/>
    <mergeCell ref="AO154:AS154"/>
    <mergeCell ref="AO165:AS165"/>
    <mergeCell ref="AG122:AK122"/>
    <mergeCell ref="AG130:AK130"/>
    <mergeCell ref="AG138:AK138"/>
    <mergeCell ref="AG146:AK146"/>
    <mergeCell ref="AG154:AK154"/>
    <mergeCell ref="AO25:AS25"/>
    <mergeCell ref="AG17:AK17"/>
    <mergeCell ref="AO17:AS17"/>
    <mergeCell ref="AL17:AM17"/>
    <mergeCell ref="AO60:AS60"/>
    <mergeCell ref="AO95:AS95"/>
  </mergeCells>
  <conditionalFormatting sqref="E3:I7">
    <cfRule type="colorScale" priority="12">
      <colorScale>
        <cfvo type="min"/>
        <cfvo type="percentile" val="50"/>
        <cfvo type="num" val="$I$1"/>
        <color rgb="FFF8696B"/>
        <color rgb="FFFFEB84"/>
        <color rgb="FF63BE7B"/>
      </colorScale>
    </cfRule>
  </conditionalFormatting>
  <conditionalFormatting sqref="E10:I14">
    <cfRule type="colorScale" priority="10">
      <colorScale>
        <cfvo type="min"/>
        <cfvo type="percentile" val="50"/>
        <cfvo type="num" val="1"/>
        <color rgb="FFF8696B"/>
        <color rgb="FFFFEB84"/>
        <color rgb="FF63BE7B"/>
      </colorScale>
    </cfRule>
  </conditionalFormatting>
  <conditionalFormatting sqref="L3:P7">
    <cfRule type="colorScale" priority="11">
      <colorScale>
        <cfvo type="min"/>
        <cfvo type="percentile" val="50"/>
        <cfvo type="num" val="$P$1"/>
        <color rgb="FFF8696B"/>
        <color rgb="FFFFEB84"/>
        <color rgb="FF63BE7B"/>
      </colorScale>
    </cfRule>
  </conditionalFormatting>
  <conditionalFormatting sqref="L10:P14">
    <cfRule type="colorScale" priority="9">
      <colorScale>
        <cfvo type="min"/>
        <cfvo type="percentile" val="50"/>
        <cfvo type="num" val="1"/>
        <color rgb="FFF8696B"/>
        <color rgb="FFFFEB84"/>
        <color rgb="FF63BE7B"/>
      </colorScale>
    </cfRule>
  </conditionalFormatting>
  <conditionalFormatting sqref="S3:W7">
    <cfRule type="colorScale" priority="8">
      <colorScale>
        <cfvo type="min"/>
        <cfvo type="percentile" val="50"/>
        <cfvo type="num" val="$W$1"/>
        <color rgb="FFF8696B"/>
        <color rgb="FFFFEB84"/>
        <color rgb="FF63BE7B"/>
      </colorScale>
    </cfRule>
  </conditionalFormatting>
  <conditionalFormatting sqref="S10:W14">
    <cfRule type="colorScale" priority="7">
      <colorScale>
        <cfvo type="min"/>
        <cfvo type="percentile" val="50"/>
        <cfvo type="num" val="1"/>
        <color rgb="FFF8696B"/>
        <color rgb="FFFFEB84"/>
        <color rgb="FF63BE7B"/>
      </colorScale>
    </cfRule>
  </conditionalFormatting>
  <conditionalFormatting sqref="Z3:AD7">
    <cfRule type="colorScale" priority="6">
      <colorScale>
        <cfvo type="min"/>
        <cfvo type="percentile" val="50"/>
        <cfvo type="num" val="$AD$1"/>
        <color rgb="FFF8696B"/>
        <color rgb="FFFFEB84"/>
        <color rgb="FF63BE7B"/>
      </colorScale>
    </cfRule>
  </conditionalFormatting>
  <conditionalFormatting sqref="Z10:AD14">
    <cfRule type="colorScale" priority="5">
      <colorScale>
        <cfvo type="min"/>
        <cfvo type="percentile" val="50"/>
        <cfvo type="num" val="1"/>
        <color rgb="FFF8696B"/>
        <color rgb="FFFFEB84"/>
        <color rgb="FF63BE7B"/>
      </colorScale>
    </cfRule>
  </conditionalFormatting>
  <conditionalFormatting sqref="AG3:AK7">
    <cfRule type="colorScale" priority="4">
      <colorScale>
        <cfvo type="min"/>
        <cfvo type="percentile" val="50"/>
        <cfvo type="num" val="$AK$1"/>
        <color rgb="FFF8696B"/>
        <color rgb="FFFFEB84"/>
        <color rgb="FF63BE7B"/>
      </colorScale>
    </cfRule>
  </conditionalFormatting>
  <conditionalFormatting sqref="AG10:AK14">
    <cfRule type="colorScale" priority="3">
      <colorScale>
        <cfvo type="min"/>
        <cfvo type="percentile" val="50"/>
        <cfvo type="num" val="1"/>
        <color rgb="FFF8696B"/>
        <color rgb="FFFFEB84"/>
        <color rgb="FF63BE7B"/>
      </colorScale>
    </cfRule>
  </conditionalFormatting>
  <conditionalFormatting sqref="AN3:AR7">
    <cfRule type="colorScale" priority="2">
      <colorScale>
        <cfvo type="min"/>
        <cfvo type="percentile" val="50"/>
        <cfvo type="num" val="$AR$1"/>
        <color rgb="FFF8696B"/>
        <color rgb="FFFFEB84"/>
        <color rgb="FF63BE7B"/>
      </colorScale>
    </cfRule>
  </conditionalFormatting>
  <conditionalFormatting sqref="AN10:AR14">
    <cfRule type="colorScale" priority="1">
      <colorScale>
        <cfvo type="min"/>
        <cfvo type="percentile" val="50"/>
        <cfvo type="num" val="1"/>
        <color rgb="FFF8696B"/>
        <color rgb="FFFFEB84"/>
        <color rgb="FF63BE7B"/>
      </colorScale>
    </cfRule>
  </conditionalFormatting>
  <pageMargins left="0.7" right="0.7" top="0.75" bottom="0.75" header="0.3" footer="0.3"/>
  <tableParts count="10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Company Profile</vt:lpstr>
      <vt:lpstr>Balance Sheet</vt:lpstr>
      <vt:lpstr>Balance Sheet Forecast</vt:lpstr>
      <vt:lpstr>Income Statement</vt:lpstr>
      <vt:lpstr>Cash Flow Statement</vt:lpstr>
      <vt:lpstr>Cash Flow Statement Forecast</vt:lpstr>
      <vt:lpstr>Ratio Analysis</vt:lpstr>
      <vt:lpstr>WACC</vt:lpstr>
      <vt:lpstr>Income Statement Forecast</vt:lpstr>
      <vt:lpstr>Calc</vt:lpstr>
      <vt:lpstr>DCF</vt:lpstr>
      <vt:lpstr>Relative Valuation</vt:lpstr>
      <vt:lpstr>Senstivity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 Gupta</dc:creator>
  <cp:lastModifiedBy>Akshat Gupta</cp:lastModifiedBy>
  <dcterms:created xsi:type="dcterms:W3CDTF">2015-06-05T18:17:20Z</dcterms:created>
  <dcterms:modified xsi:type="dcterms:W3CDTF">2025-11-11T00:12:06Z</dcterms:modified>
</cp:coreProperties>
</file>
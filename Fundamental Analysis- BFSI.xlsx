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Music\Job &amp; Future\Fundamental Analysis Project-Flagship\Fundamental Analysis-India\"/>
    </mc:Choice>
  </mc:AlternateContent>
  <xr:revisionPtr revIDLastSave="0" documentId="13_ncr:1_{B19DD833-2917-4C33-8F52-6CA8F77D0A22}" xr6:coauthVersionLast="47" xr6:coauthVersionMax="47" xr10:uidLastSave="{00000000-0000-0000-0000-000000000000}"/>
  <bookViews>
    <workbookView xWindow="13728" yWindow="0" windowWidth="9408" windowHeight="12336" tabRatio="882" firstSheet="1" activeTab="1" xr2:uid="{00000000-000D-0000-FFFF-FFFF00000000}"/>
  </bookViews>
  <sheets>
    <sheet name="Company Profile" sheetId="1" r:id="rId1"/>
    <sheet name="Balance Sheet-Banks" sheetId="2" r:id="rId2"/>
    <sheet name="Balance Sheet-NBFCs" sheetId="6" r:id="rId3"/>
    <sheet name="Income Statement-Banks" sheetId="3" r:id="rId4"/>
    <sheet name="Income Statement-NBFCs" sheetId="7" r:id="rId5"/>
    <sheet name="Cash Flow Statement-Banks" sheetId="4" r:id="rId6"/>
    <sheet name="Cash Flow Statement-NBFCs" sheetId="8" r:id="rId7"/>
    <sheet name="Financial Ratios-Banks" sheetId="5" r:id="rId8"/>
    <sheet name="Financial Ratios-NBFCs" sheetId="9" r:id="rId9"/>
    <sheet name="Dupont Analysis" sheetId="37" r:id="rId10"/>
    <sheet name="Input &amp; Assumptions-Banks" sheetId="10" r:id="rId11"/>
    <sheet name="Financial Projections" sheetId="12" r:id="rId12"/>
    <sheet name="Calc" sheetId="38" r:id="rId13"/>
    <sheet name="WACC" sheetId="13" r:id="rId14"/>
    <sheet name="DCF-DDM-RIM" sheetId="14" r:id="rId15"/>
    <sheet name="Intrinsic Value" sheetId="15" r:id="rId16"/>
    <sheet name="Senstivity Analysis-Intrinsic " sheetId="17" r:id="rId17"/>
    <sheet name="Senstivity Analysis" sheetId="16" r:id="rId18"/>
    <sheet name="Data" sheetId="18" r:id="rId19"/>
    <sheet name="Axis" sheetId="34" r:id="rId20"/>
    <sheet name="HDFC" sheetId="35" r:id="rId21"/>
    <sheet name="ICICI" sheetId="36" r:id="rId22"/>
    <sheet name="BankData" sheetId="30" r:id="rId23"/>
    <sheet name="ChartData" sheetId="31" r:id="rId24"/>
    <sheet name="Holdings" sheetId="32" r:id="rId25"/>
    <sheet name="Transactions" sheetId="33" r:id="rId26"/>
    <sheet name="DashBoard" sheetId="19" r:id="rId27"/>
  </sheets>
  <definedNames>
    <definedName name="Select_Bank" localSheetId="18">DashBoard!#REF!</definedName>
  </definedNames>
  <calcPr calcId="191029"/>
  <pivotCaches>
    <pivotCache cacheId="24" r:id="rId2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12" l="1"/>
  <c r="U42" i="5"/>
  <c r="V42" i="5"/>
  <c r="W42" i="5"/>
  <c r="X42" i="5"/>
  <c r="U43" i="5"/>
  <c r="V43" i="5"/>
  <c r="W43" i="5"/>
  <c r="X43" i="5"/>
  <c r="U44" i="5"/>
  <c r="V44" i="5"/>
  <c r="W44" i="5"/>
  <c r="X44" i="5"/>
  <c r="U45" i="5"/>
  <c r="V45" i="5"/>
  <c r="W45" i="5"/>
  <c r="X45" i="5"/>
  <c r="T45" i="5"/>
  <c r="T44" i="5"/>
  <c r="T43" i="5"/>
  <c r="T42" i="5"/>
  <c r="O42" i="5"/>
  <c r="P42" i="5"/>
  <c r="Q42" i="5"/>
  <c r="R42" i="5"/>
  <c r="O43" i="5"/>
  <c r="P43" i="5"/>
  <c r="Q43" i="5"/>
  <c r="R43" i="5"/>
  <c r="O44" i="5"/>
  <c r="P44" i="5"/>
  <c r="Q44" i="5"/>
  <c r="R44" i="5"/>
  <c r="O45" i="5"/>
  <c r="P45" i="5"/>
  <c r="Q45" i="5"/>
  <c r="R45" i="5"/>
  <c r="N45" i="5"/>
  <c r="N44" i="5"/>
  <c r="N43" i="5"/>
  <c r="N42" i="5"/>
  <c r="I44" i="5"/>
  <c r="J44" i="5"/>
  <c r="K44" i="5"/>
  <c r="L44" i="5"/>
  <c r="I45" i="5"/>
  <c r="J45" i="5"/>
  <c r="K45" i="5"/>
  <c r="L45" i="5"/>
  <c r="H45" i="5"/>
  <c r="H44" i="5"/>
  <c r="I43" i="5"/>
  <c r="J43" i="5"/>
  <c r="K43" i="5"/>
  <c r="L43" i="5"/>
  <c r="H43" i="5"/>
  <c r="I42" i="5"/>
  <c r="J42" i="5"/>
  <c r="K42" i="5"/>
  <c r="L42" i="5"/>
  <c r="H42" i="5"/>
  <c r="C45" i="5"/>
  <c r="D45" i="5"/>
  <c r="E45" i="5"/>
  <c r="F45" i="5"/>
  <c r="B45" i="5"/>
  <c r="C44" i="5"/>
  <c r="D44" i="5"/>
  <c r="E44" i="5"/>
  <c r="F44" i="5"/>
  <c r="B44" i="5"/>
  <c r="C43" i="5"/>
  <c r="D43" i="5"/>
  <c r="E43" i="5"/>
  <c r="F43" i="5"/>
  <c r="B43" i="5"/>
  <c r="C42" i="5"/>
  <c r="D42" i="5"/>
  <c r="E42" i="5"/>
  <c r="F42" i="5"/>
  <c r="B42" i="5"/>
  <c r="D25" i="38" l="1"/>
  <c r="D24" i="38"/>
  <c r="D23" i="38"/>
  <c r="D22" i="38"/>
  <c r="D21" i="38"/>
  <c r="D20" i="38"/>
  <c r="D19" i="38"/>
  <c r="D18" i="38"/>
  <c r="A25" i="38"/>
  <c r="C25" i="38"/>
  <c r="A19" i="38"/>
  <c r="C19" i="38"/>
  <c r="A20" i="38"/>
  <c r="C20" i="38"/>
  <c r="A21" i="38"/>
  <c r="C21" i="38"/>
  <c r="A22" i="38"/>
  <c r="C22" i="38"/>
  <c r="A23" i="38"/>
  <c r="C23" i="38"/>
  <c r="A24" i="38"/>
  <c r="C24" i="38"/>
  <c r="C18" i="38"/>
  <c r="A18" i="38"/>
  <c r="L8" i="38"/>
  <c r="L7" i="38"/>
  <c r="L6" i="38"/>
  <c r="L5" i="38"/>
  <c r="M5" i="38" s="1"/>
  <c r="L4" i="38"/>
  <c r="M4" i="38" s="1"/>
  <c r="L3" i="38"/>
  <c r="M3" i="38" s="1"/>
  <c r="M2" i="38"/>
  <c r="L2" i="38"/>
  <c r="K8" i="38"/>
  <c r="K7" i="38"/>
  <c r="K6" i="38"/>
  <c r="K5" i="38"/>
  <c r="H8" i="38"/>
  <c r="H7" i="38"/>
  <c r="J7" i="38" s="1"/>
  <c r="H6" i="38"/>
  <c r="J6" i="38" s="1"/>
  <c r="H5" i="38"/>
  <c r="H4" i="38"/>
  <c r="H3" i="38"/>
  <c r="H2" i="38"/>
  <c r="K4" i="38"/>
  <c r="K3" i="38"/>
  <c r="K2" i="38"/>
  <c r="I8" i="38"/>
  <c r="I7" i="38"/>
  <c r="I6" i="38"/>
  <c r="I5" i="38"/>
  <c r="I4" i="38"/>
  <c r="I3" i="38"/>
  <c r="I2" i="38"/>
  <c r="J3" i="38"/>
  <c r="D8" i="38"/>
  <c r="D7" i="38"/>
  <c r="D6" i="38"/>
  <c r="D5" i="38"/>
  <c r="D4" i="38"/>
  <c r="D3" i="38"/>
  <c r="D2" i="38"/>
  <c r="C11" i="38"/>
  <c r="C12" i="38"/>
  <c r="C13" i="38"/>
  <c r="C14" i="38"/>
  <c r="C15" i="38"/>
  <c r="C16" i="38"/>
  <c r="C17" i="38"/>
  <c r="C10" i="38"/>
  <c r="C17" i="13"/>
  <c r="C16" i="13"/>
  <c r="C15" i="13"/>
  <c r="C13" i="13"/>
  <c r="I11" i="13"/>
  <c r="H11" i="13"/>
  <c r="G11" i="13"/>
  <c r="F11" i="13"/>
  <c r="E11" i="13"/>
  <c r="D11" i="13"/>
  <c r="C11" i="13"/>
  <c r="I10" i="13"/>
  <c r="H10" i="13"/>
  <c r="G10" i="13"/>
  <c r="F10" i="13"/>
  <c r="E10" i="13"/>
  <c r="D10" i="13"/>
  <c r="C10" i="13"/>
  <c r="C10" i="9"/>
  <c r="D10" i="9"/>
  <c r="E10" i="9"/>
  <c r="F10" i="9"/>
  <c r="G10" i="9"/>
  <c r="H10" i="9"/>
  <c r="I10" i="9"/>
  <c r="J10" i="9"/>
  <c r="K10" i="9"/>
  <c r="L10" i="9"/>
  <c r="M10" i="9"/>
  <c r="N10" i="9"/>
  <c r="O10" i="9"/>
  <c r="P10" i="9"/>
  <c r="B10" i="9"/>
  <c r="Y10" i="5"/>
  <c r="U10" i="5"/>
  <c r="V10" i="5"/>
  <c r="W10" i="5"/>
  <c r="X10" i="5"/>
  <c r="T10" i="5"/>
  <c r="S10" i="5"/>
  <c r="M10" i="5"/>
  <c r="O10" i="5"/>
  <c r="P10" i="5"/>
  <c r="Q10" i="5"/>
  <c r="R10" i="5"/>
  <c r="N10" i="5"/>
  <c r="I10" i="5"/>
  <c r="J10" i="5"/>
  <c r="K10" i="5"/>
  <c r="L10" i="5"/>
  <c r="H10" i="5"/>
  <c r="G10" i="5"/>
  <c r="C10" i="5"/>
  <c r="D10" i="5"/>
  <c r="E10" i="5"/>
  <c r="F10" i="5"/>
  <c r="B10" i="5"/>
  <c r="I9" i="13"/>
  <c r="H9" i="13"/>
  <c r="G9" i="13"/>
  <c r="F9" i="13"/>
  <c r="E9" i="13"/>
  <c r="D9" i="13"/>
  <c r="C9" i="13"/>
  <c r="BL36" i="14"/>
  <c r="M12" i="37"/>
  <c r="N12" i="37"/>
  <c r="O12" i="37"/>
  <c r="P12" i="37"/>
  <c r="AV9" i="12"/>
  <c r="L12" i="37"/>
  <c r="J8" i="38" l="1"/>
  <c r="M6" i="38"/>
  <c r="M9" i="38" s="1"/>
  <c r="M7" i="38"/>
  <c r="M8" i="38"/>
  <c r="J5" i="38"/>
  <c r="J2" i="38"/>
  <c r="J4" i="38"/>
  <c r="D9" i="38"/>
  <c r="G44" i="9"/>
  <c r="H44" i="9"/>
  <c r="I44" i="9"/>
  <c r="J44" i="9"/>
  <c r="K44" i="9"/>
  <c r="L44" i="9"/>
  <c r="M44" i="9"/>
  <c r="N44" i="9"/>
  <c r="O44" i="9"/>
  <c r="P44" i="9"/>
  <c r="C44" i="9"/>
  <c r="D44" i="9"/>
  <c r="E44" i="9"/>
  <c r="B44" i="9"/>
  <c r="AU25" i="12"/>
  <c r="AC23" i="12"/>
  <c r="R89" i="2"/>
  <c r="S89" i="2"/>
  <c r="T89" i="2"/>
  <c r="U89" i="2"/>
  <c r="Q89" i="2"/>
  <c r="L40" i="7"/>
  <c r="M40" i="7"/>
  <c r="N40" i="7"/>
  <c r="O40" i="7"/>
  <c r="P40" i="7"/>
  <c r="K32" i="3"/>
  <c r="C34" i="3"/>
  <c r="D34" i="3"/>
  <c r="E34" i="3"/>
  <c r="F34" i="3"/>
  <c r="G34" i="3"/>
  <c r="H34" i="3"/>
  <c r="I34" i="3"/>
  <c r="J34" i="3"/>
  <c r="L34" i="3"/>
  <c r="M34" i="3"/>
  <c r="N34" i="3"/>
  <c r="O34" i="3"/>
  <c r="P34" i="3"/>
  <c r="Q34" i="3"/>
  <c r="R34" i="3"/>
  <c r="S34" i="3"/>
  <c r="T34" i="3"/>
  <c r="U34" i="3"/>
  <c r="B34" i="3"/>
  <c r="D32" i="3"/>
  <c r="E32" i="3"/>
  <c r="F32" i="3"/>
  <c r="L39" i="7"/>
  <c r="L38" i="7"/>
  <c r="G38" i="7"/>
  <c r="H38" i="7"/>
  <c r="I38" i="7"/>
  <c r="J38" i="7"/>
  <c r="K38" i="7"/>
  <c r="AU9" i="12" s="1"/>
  <c r="M38" i="7"/>
  <c r="N38" i="7"/>
  <c r="BE9" i="12" s="1"/>
  <c r="O38" i="7"/>
  <c r="P38" i="7"/>
  <c r="C38" i="7"/>
  <c r="D38" i="7"/>
  <c r="E38" i="7"/>
  <c r="F38" i="7"/>
  <c r="AL9" i="12" s="1"/>
  <c r="B38" i="7"/>
  <c r="AM13" i="12"/>
  <c r="AV13" i="12"/>
  <c r="BE7" i="12"/>
  <c r="BD7" i="12"/>
  <c r="C39" i="7"/>
  <c r="D39" i="7"/>
  <c r="E39" i="7"/>
  <c r="F39" i="7"/>
  <c r="AM7" i="12" s="1"/>
  <c r="G39" i="7"/>
  <c r="H39" i="7"/>
  <c r="I39" i="7"/>
  <c r="J39" i="7"/>
  <c r="K39" i="7"/>
  <c r="AV7" i="12" s="1"/>
  <c r="M39" i="7"/>
  <c r="N39" i="7"/>
  <c r="O39" i="7"/>
  <c r="P39" i="7"/>
  <c r="B39" i="7"/>
  <c r="AC11" i="12"/>
  <c r="AC6" i="12"/>
  <c r="V5" i="3"/>
  <c r="AD6" i="12"/>
  <c r="AE6" i="12" s="1"/>
  <c r="AF6" i="12" s="1"/>
  <c r="AG6" i="12" s="1"/>
  <c r="AH6" i="12" s="1"/>
  <c r="AI6" i="12" s="1"/>
  <c r="AJ6" i="12" s="1"/>
  <c r="U6" i="12"/>
  <c r="V6" i="12" s="1"/>
  <c r="W6" i="12" s="1"/>
  <c r="X6" i="12" s="1"/>
  <c r="Y6" i="12" s="1"/>
  <c r="Z6" i="12" s="1"/>
  <c r="AA6" i="12" s="1"/>
  <c r="O6" i="12"/>
  <c r="P6" i="12" s="1"/>
  <c r="Q6" i="12" s="1"/>
  <c r="R6" i="12" s="1"/>
  <c r="N6" i="12"/>
  <c r="M6" i="12"/>
  <c r="L6" i="12"/>
  <c r="F6" i="12"/>
  <c r="G6" i="12" s="1"/>
  <c r="H6" i="12" s="1"/>
  <c r="I6" i="12" s="1"/>
  <c r="E6" i="12"/>
  <c r="D6" i="12"/>
  <c r="C6" i="12"/>
  <c r="N33" i="3"/>
  <c r="O33" i="3"/>
  <c r="P33" i="3"/>
  <c r="Q33" i="3"/>
  <c r="R33" i="3"/>
  <c r="S33" i="3"/>
  <c r="T33" i="3"/>
  <c r="U33" i="3"/>
  <c r="G33" i="3"/>
  <c r="H33" i="3"/>
  <c r="I33" i="3"/>
  <c r="J33" i="3"/>
  <c r="K33" i="3"/>
  <c r="L33" i="3"/>
  <c r="M33" i="3"/>
  <c r="C33" i="3"/>
  <c r="D33" i="3"/>
  <c r="E33" i="3"/>
  <c r="F33" i="3"/>
  <c r="B33" i="3"/>
  <c r="B5" i="5"/>
  <c r="C5" i="5"/>
  <c r="D5" i="5"/>
  <c r="E5" i="5"/>
  <c r="F5" i="5"/>
  <c r="H37" i="37"/>
  <c r="M20" i="37"/>
  <c r="N20" i="37"/>
  <c r="O20" i="37"/>
  <c r="P20" i="37"/>
  <c r="L20" i="37"/>
  <c r="L24" i="37" s="1"/>
  <c r="M19" i="37"/>
  <c r="N19" i="37"/>
  <c r="O19" i="37"/>
  <c r="P19" i="37"/>
  <c r="L19" i="37"/>
  <c r="Q19" i="37" s="1"/>
  <c r="P22" i="37"/>
  <c r="P21" i="37"/>
  <c r="O22" i="37"/>
  <c r="O21" i="37"/>
  <c r="N22" i="37"/>
  <c r="N21" i="37"/>
  <c r="N24" i="37" s="1"/>
  <c r="M22" i="37"/>
  <c r="M21" i="37"/>
  <c r="L22" i="37"/>
  <c r="L21" i="37"/>
  <c r="P14" i="37"/>
  <c r="P17" i="37" s="1"/>
  <c r="P13" i="37"/>
  <c r="O14" i="37"/>
  <c r="O13" i="37"/>
  <c r="N14" i="37"/>
  <c r="N13" i="37"/>
  <c r="M14" i="37"/>
  <c r="M13" i="37"/>
  <c r="L14" i="37"/>
  <c r="L13" i="37"/>
  <c r="P6" i="37"/>
  <c r="P5" i="37"/>
  <c r="O6" i="37"/>
  <c r="O5" i="37"/>
  <c r="N6" i="37"/>
  <c r="N5" i="37"/>
  <c r="M6" i="37"/>
  <c r="M5" i="37"/>
  <c r="L6" i="37"/>
  <c r="L5" i="37"/>
  <c r="G30" i="37"/>
  <c r="F30" i="37"/>
  <c r="E30" i="37"/>
  <c r="D30" i="37"/>
  <c r="D33" i="37" s="1"/>
  <c r="G29" i="37"/>
  <c r="G33" i="37" s="1"/>
  <c r="F29" i="37"/>
  <c r="E29" i="37"/>
  <c r="E32" i="37" s="1"/>
  <c r="D29" i="37"/>
  <c r="D32" i="37" s="1"/>
  <c r="D28" i="37"/>
  <c r="E28" i="37"/>
  <c r="F28" i="37"/>
  <c r="G28" i="37"/>
  <c r="C28" i="37"/>
  <c r="C30" i="37"/>
  <c r="C29" i="37"/>
  <c r="D27" i="37"/>
  <c r="E27" i="37"/>
  <c r="F27" i="37"/>
  <c r="G27" i="37"/>
  <c r="G32" i="37"/>
  <c r="C27" i="37"/>
  <c r="G22" i="37"/>
  <c r="F22" i="37"/>
  <c r="E22" i="37"/>
  <c r="D22" i="37"/>
  <c r="G21" i="37"/>
  <c r="H21" i="37" s="1"/>
  <c r="F21" i="37"/>
  <c r="F24" i="37" s="1"/>
  <c r="E21" i="37"/>
  <c r="D21" i="37"/>
  <c r="D20" i="37"/>
  <c r="E20" i="37"/>
  <c r="F20" i="37"/>
  <c r="G20" i="37"/>
  <c r="C22" i="37"/>
  <c r="C21" i="37"/>
  <c r="C20" i="37"/>
  <c r="D19" i="37"/>
  <c r="E19" i="37"/>
  <c r="F19" i="37"/>
  <c r="G19" i="37"/>
  <c r="C19" i="37"/>
  <c r="M23" i="37"/>
  <c r="N23" i="37"/>
  <c r="O23" i="37"/>
  <c r="P23" i="37"/>
  <c r="M24" i="37"/>
  <c r="O24" i="37"/>
  <c r="P24" i="37"/>
  <c r="O25" i="37"/>
  <c r="L23" i="37"/>
  <c r="Q23" i="37" s="1"/>
  <c r="Q20" i="37"/>
  <c r="Q21" i="37"/>
  <c r="Q22" i="37"/>
  <c r="Q5" i="37"/>
  <c r="Q6" i="37"/>
  <c r="N17" i="37"/>
  <c r="M9" i="37"/>
  <c r="P9" i="37"/>
  <c r="L9" i="37"/>
  <c r="H28" i="37"/>
  <c r="H29" i="37"/>
  <c r="H30" i="37"/>
  <c r="H27" i="37"/>
  <c r="D31" i="37"/>
  <c r="E31" i="37"/>
  <c r="C33" i="37"/>
  <c r="C32" i="37"/>
  <c r="C31" i="37"/>
  <c r="H20" i="37"/>
  <c r="H22" i="37"/>
  <c r="H19" i="37"/>
  <c r="D23" i="37"/>
  <c r="E23" i="37"/>
  <c r="F23" i="37"/>
  <c r="G23" i="37"/>
  <c r="D24" i="37"/>
  <c r="E24" i="37"/>
  <c r="G24" i="37"/>
  <c r="C25" i="37"/>
  <c r="G14" i="37"/>
  <c r="H14" i="37" s="1"/>
  <c r="F14" i="37"/>
  <c r="E14" i="37"/>
  <c r="D14" i="37"/>
  <c r="C14" i="37"/>
  <c r="G13" i="37"/>
  <c r="F13" i="37"/>
  <c r="F17" i="37" s="1"/>
  <c r="E13" i="37"/>
  <c r="E17" i="37" s="1"/>
  <c r="D17" i="37"/>
  <c r="E15" i="37"/>
  <c r="D13" i="37"/>
  <c r="C13" i="37"/>
  <c r="C17" i="37" s="1"/>
  <c r="D12" i="37"/>
  <c r="D16" i="37" s="1"/>
  <c r="E12" i="37"/>
  <c r="E16" i="37" s="1"/>
  <c r="F12" i="37"/>
  <c r="F16" i="37" s="1"/>
  <c r="G12" i="37"/>
  <c r="H12" i="37" s="1"/>
  <c r="C12" i="37"/>
  <c r="C16" i="37" s="1"/>
  <c r="H13" i="37"/>
  <c r="D11" i="37"/>
  <c r="D15" i="37" s="1"/>
  <c r="E11" i="37"/>
  <c r="F11" i="37"/>
  <c r="F15" i="37" s="1"/>
  <c r="G11" i="37"/>
  <c r="G15" i="37" s="1"/>
  <c r="C11" i="37"/>
  <c r="C15" i="37" s="1"/>
  <c r="H6" i="37"/>
  <c r="G6" i="37"/>
  <c r="F6" i="37"/>
  <c r="E6" i="37"/>
  <c r="D6" i="37"/>
  <c r="C6" i="37"/>
  <c r="G5" i="37"/>
  <c r="H5" i="37" s="1"/>
  <c r="F5" i="37"/>
  <c r="F8" i="37" s="1"/>
  <c r="E5" i="37"/>
  <c r="E8" i="37" s="1"/>
  <c r="D5" i="37"/>
  <c r="C5" i="37"/>
  <c r="D4" i="37"/>
  <c r="E4" i="37"/>
  <c r="F4" i="37"/>
  <c r="G4" i="37"/>
  <c r="H4" i="37" s="1"/>
  <c r="C4" i="37"/>
  <c r="C7" i="37" s="1"/>
  <c r="D3" i="37"/>
  <c r="E3" i="37"/>
  <c r="F3" i="37"/>
  <c r="G3" i="37"/>
  <c r="H3" i="37" s="1"/>
  <c r="C3" i="37"/>
  <c r="G9" i="37"/>
  <c r="C8" i="37"/>
  <c r="E7" i="37"/>
  <c r="F7" i="37"/>
  <c r="O36" i="30"/>
  <c r="P36" i="30"/>
  <c r="Q36" i="30"/>
  <c r="R36" i="30"/>
  <c r="N36" i="30"/>
  <c r="O35" i="30"/>
  <c r="P35" i="30"/>
  <c r="Q35" i="30"/>
  <c r="R35" i="30"/>
  <c r="N35" i="30"/>
  <c r="O33" i="30"/>
  <c r="P33" i="30"/>
  <c r="Q33" i="30"/>
  <c r="R33" i="30"/>
  <c r="O34" i="30"/>
  <c r="P34" i="30"/>
  <c r="Q34" i="30"/>
  <c r="R34" i="30"/>
  <c r="N34" i="30"/>
  <c r="N33" i="30"/>
  <c r="O31" i="30"/>
  <c r="P31" i="30"/>
  <c r="Q31" i="30"/>
  <c r="R31" i="30"/>
  <c r="N31" i="30"/>
  <c r="O28" i="30"/>
  <c r="P28" i="30"/>
  <c r="Q28" i="30"/>
  <c r="R28" i="30"/>
  <c r="N28" i="30"/>
  <c r="O26" i="30"/>
  <c r="P26" i="30"/>
  <c r="Q26" i="30"/>
  <c r="R26" i="30"/>
  <c r="N26" i="30"/>
  <c r="AL6" i="12"/>
  <c r="O23" i="30"/>
  <c r="P23" i="30"/>
  <c r="Q23" i="30"/>
  <c r="R23" i="30"/>
  <c r="N23" i="30"/>
  <c r="O21" i="30"/>
  <c r="P21" i="30"/>
  <c r="Q21" i="30"/>
  <c r="R21" i="30"/>
  <c r="N21" i="30"/>
  <c r="O20" i="30"/>
  <c r="P20" i="30"/>
  <c r="Q20" i="30"/>
  <c r="R20" i="30"/>
  <c r="N20" i="30"/>
  <c r="O19" i="30"/>
  <c r="P19" i="30"/>
  <c r="Q19" i="30"/>
  <c r="R19" i="30"/>
  <c r="N19" i="30"/>
  <c r="O18" i="30"/>
  <c r="P18" i="30"/>
  <c r="Q18" i="30"/>
  <c r="R18" i="30"/>
  <c r="N18" i="30"/>
  <c r="O16" i="30"/>
  <c r="P16" i="30"/>
  <c r="Q16" i="30"/>
  <c r="R16" i="30"/>
  <c r="N16" i="30"/>
  <c r="O15" i="30"/>
  <c r="P15" i="30"/>
  <c r="Q15" i="30"/>
  <c r="R15" i="30"/>
  <c r="N15" i="30"/>
  <c r="O14" i="30"/>
  <c r="P14" i="30"/>
  <c r="Q14" i="30"/>
  <c r="R14" i="30"/>
  <c r="N14" i="30"/>
  <c r="O13" i="30"/>
  <c r="P13" i="30"/>
  <c r="Q13" i="30"/>
  <c r="R13" i="30"/>
  <c r="N13" i="30"/>
  <c r="O11" i="30"/>
  <c r="P11" i="30"/>
  <c r="Q11" i="30"/>
  <c r="R11" i="30"/>
  <c r="N11" i="30"/>
  <c r="O10" i="30"/>
  <c r="P10" i="30"/>
  <c r="Q10" i="30"/>
  <c r="R10" i="30"/>
  <c r="N10" i="30"/>
  <c r="O9" i="30"/>
  <c r="P9" i="30"/>
  <c r="Q9" i="30"/>
  <c r="R9" i="30"/>
  <c r="N9" i="30"/>
  <c r="O8" i="30"/>
  <c r="P8" i="30"/>
  <c r="Q8" i="30"/>
  <c r="R8" i="30"/>
  <c r="N8" i="30"/>
  <c r="O6" i="30"/>
  <c r="P6" i="30"/>
  <c r="Q6" i="30"/>
  <c r="R6" i="30"/>
  <c r="N6" i="30"/>
  <c r="O5" i="30"/>
  <c r="P5" i="30"/>
  <c r="Q5" i="30"/>
  <c r="R5" i="30"/>
  <c r="N5" i="30"/>
  <c r="O4" i="30"/>
  <c r="P4" i="30"/>
  <c r="Q4" i="30"/>
  <c r="R4" i="30"/>
  <c r="N4" i="30"/>
  <c r="O3" i="30"/>
  <c r="P3" i="30"/>
  <c r="Q3" i="30"/>
  <c r="R3" i="30"/>
  <c r="N3" i="30"/>
  <c r="O4" i="33"/>
  <c r="O5" i="33"/>
  <c r="O6" i="33"/>
  <c r="O7" i="33"/>
  <c r="O8" i="33"/>
  <c r="O11" i="33"/>
  <c r="O13" i="33"/>
  <c r="O15" i="33"/>
  <c r="O16" i="33"/>
  <c r="O18" i="33"/>
  <c r="O19" i="33"/>
  <c r="O20" i="33"/>
  <c r="O23" i="33"/>
  <c r="O25" i="33"/>
  <c r="O26" i="33"/>
  <c r="O27" i="33"/>
  <c r="O28" i="33"/>
  <c r="O31" i="33"/>
  <c r="O32" i="33"/>
  <c r="O33" i="33"/>
  <c r="O34" i="33"/>
  <c r="O3" i="33"/>
  <c r="J6" i="33"/>
  <c r="K6" i="33" s="1"/>
  <c r="J27" i="33"/>
  <c r="J24" i="33"/>
  <c r="Q24" i="33" s="1"/>
  <c r="J23" i="33"/>
  <c r="Q23" i="33" s="1"/>
  <c r="J22" i="33"/>
  <c r="J21" i="33"/>
  <c r="I21" i="33"/>
  <c r="O21" i="33" s="1"/>
  <c r="G21" i="33"/>
  <c r="H21" i="33" s="1"/>
  <c r="G19" i="33"/>
  <c r="Q19" i="33" s="1"/>
  <c r="G18" i="33"/>
  <c r="Q18" i="33" s="1"/>
  <c r="J17" i="33"/>
  <c r="Q17" i="33" s="1"/>
  <c r="G17" i="33"/>
  <c r="G16" i="33"/>
  <c r="Q16" i="33" s="1"/>
  <c r="G15" i="33"/>
  <c r="Q15" i="33" s="1"/>
  <c r="Q4" i="33"/>
  <c r="Q5" i="33"/>
  <c r="Q7" i="33"/>
  <c r="Q8" i="33"/>
  <c r="Q13" i="33"/>
  <c r="Q14" i="33"/>
  <c r="Q20" i="33"/>
  <c r="Q25" i="33"/>
  <c r="Q26" i="33"/>
  <c r="Q28" i="33"/>
  <c r="Q29" i="33"/>
  <c r="Q30" i="33"/>
  <c r="Q31" i="33"/>
  <c r="Q32" i="33"/>
  <c r="Q33" i="33"/>
  <c r="Q34" i="33"/>
  <c r="Q3" i="33"/>
  <c r="J12" i="33"/>
  <c r="I12" i="33"/>
  <c r="M12" i="33" s="1"/>
  <c r="M4" i="33"/>
  <c r="M5" i="33"/>
  <c r="M6" i="33"/>
  <c r="M7" i="33"/>
  <c r="M8" i="33"/>
  <c r="M9" i="33"/>
  <c r="M11" i="33"/>
  <c r="M13" i="33"/>
  <c r="M15" i="33"/>
  <c r="M16" i="33"/>
  <c r="M18" i="33"/>
  <c r="M19" i="33"/>
  <c r="M20" i="33"/>
  <c r="M21" i="33"/>
  <c r="M23" i="33"/>
  <c r="M25" i="33"/>
  <c r="M26" i="33"/>
  <c r="M27" i="33"/>
  <c r="M28" i="33"/>
  <c r="M31" i="33"/>
  <c r="M32" i="33"/>
  <c r="M33" i="33"/>
  <c r="M34" i="33"/>
  <c r="M3" i="33"/>
  <c r="J10" i="33"/>
  <c r="I10" i="33"/>
  <c r="M10" i="33" s="1"/>
  <c r="K4" i="33"/>
  <c r="K5" i="33"/>
  <c r="K7" i="33"/>
  <c r="K8" i="33"/>
  <c r="K9" i="33"/>
  <c r="K11" i="33"/>
  <c r="K12" i="33"/>
  <c r="K13" i="33"/>
  <c r="K14" i="33"/>
  <c r="K15" i="33"/>
  <c r="K16" i="33"/>
  <c r="K18" i="33"/>
  <c r="K19" i="33"/>
  <c r="K20" i="33"/>
  <c r="K21" i="33"/>
  <c r="K22" i="33"/>
  <c r="K23" i="33"/>
  <c r="K24" i="33"/>
  <c r="K25" i="33"/>
  <c r="K26" i="33"/>
  <c r="K27" i="33"/>
  <c r="K28" i="33"/>
  <c r="K29" i="33"/>
  <c r="K30" i="33"/>
  <c r="K31" i="33"/>
  <c r="K32" i="33"/>
  <c r="K33" i="33"/>
  <c r="K34" i="33"/>
  <c r="K3" i="33"/>
  <c r="H4" i="33"/>
  <c r="H5" i="33"/>
  <c r="H7" i="33"/>
  <c r="H8" i="33"/>
  <c r="H13" i="33"/>
  <c r="H20" i="33"/>
  <c r="H23" i="33"/>
  <c r="H25" i="33"/>
  <c r="H26" i="33"/>
  <c r="H31" i="33"/>
  <c r="H32" i="33"/>
  <c r="H33" i="33"/>
  <c r="H34" i="33"/>
  <c r="H3" i="33"/>
  <c r="N3" i="33" a="1"/>
  <c r="N3" i="33" s="1"/>
  <c r="P3" i="33" s="1"/>
  <c r="N4" i="33" a="1"/>
  <c r="N4" i="33" s="1"/>
  <c r="P4" i="33" s="1"/>
  <c r="N5" i="33" a="1"/>
  <c r="N5" i="33" s="1"/>
  <c r="P5" i="33" s="1"/>
  <c r="N6" i="33" a="1"/>
  <c r="N6" i="33" s="1"/>
  <c r="L6" i="33" s="1"/>
  <c r="N7" i="33" a="1"/>
  <c r="N7" i="33" s="1"/>
  <c r="P7" i="33" s="1"/>
  <c r="N8" i="33" a="1"/>
  <c r="N8" i="33" s="1"/>
  <c r="P8" i="33" s="1"/>
  <c r="N9" i="33" a="1"/>
  <c r="N9" i="33" s="1"/>
  <c r="N10" i="33" a="1"/>
  <c r="N10" i="33" s="1"/>
  <c r="N11" i="33" a="1"/>
  <c r="N11" i="33" s="1"/>
  <c r="N12" i="33" a="1"/>
  <c r="N12" i="33" s="1"/>
  <c r="N13" i="33" a="1"/>
  <c r="N13" i="33" s="1"/>
  <c r="P13" i="33" s="1"/>
  <c r="N14" i="33" a="1"/>
  <c r="N14" i="33" s="1"/>
  <c r="L14" i="33" s="1"/>
  <c r="N15" i="33" a="1"/>
  <c r="N15" i="33" s="1"/>
  <c r="L15" i="33" s="1"/>
  <c r="N16" i="33" a="1"/>
  <c r="N16" i="33" s="1"/>
  <c r="L16" i="33" s="1"/>
  <c r="N17" i="33" a="1"/>
  <c r="N17" i="33" s="1"/>
  <c r="N18" i="33" a="1"/>
  <c r="N18" i="33" s="1"/>
  <c r="L18" i="33" s="1"/>
  <c r="N19" i="33" a="1"/>
  <c r="N19" i="33" s="1"/>
  <c r="L19" i="33" s="1"/>
  <c r="N20" i="33" a="1"/>
  <c r="N20" i="33" s="1"/>
  <c r="P20" i="33" s="1"/>
  <c r="N21" i="33" a="1"/>
  <c r="N21" i="33" s="1"/>
  <c r="L21" i="33" s="1"/>
  <c r="N22" i="33" a="1"/>
  <c r="N22" i="33" s="1"/>
  <c r="L22" i="33" s="1"/>
  <c r="N23" i="33" a="1"/>
  <c r="N23" i="33" s="1"/>
  <c r="P23" i="33" s="1"/>
  <c r="N24" i="33" a="1"/>
  <c r="N24" i="33" s="1"/>
  <c r="N25" i="33" a="1"/>
  <c r="N25" i="33" s="1"/>
  <c r="P25" i="33" s="1"/>
  <c r="N26" i="33" a="1"/>
  <c r="N26" i="33" s="1"/>
  <c r="P26" i="33" s="1"/>
  <c r="N27" i="33" a="1"/>
  <c r="N27" i="33" s="1"/>
  <c r="L27" i="33" s="1"/>
  <c r="N28" i="33" a="1"/>
  <c r="N28" i="33" s="1"/>
  <c r="L28" i="33" s="1"/>
  <c r="N29" i="33" a="1"/>
  <c r="N29" i="33" s="1"/>
  <c r="N30" i="33" a="1"/>
  <c r="N30" i="33" s="1"/>
  <c r="L30" i="33" s="1"/>
  <c r="N31" i="33" a="1"/>
  <c r="N31" i="33" s="1"/>
  <c r="P31" i="33" s="1"/>
  <c r="N32" i="33" a="1"/>
  <c r="N32" i="33" s="1"/>
  <c r="P32" i="33" s="1"/>
  <c r="N33" i="33" a="1"/>
  <c r="N33" i="33" s="1"/>
  <c r="P33" i="33" s="1"/>
  <c r="N34" i="33" a="1"/>
  <c r="N34" i="33" s="1"/>
  <c r="P34" i="33" s="1"/>
  <c r="G29" i="33"/>
  <c r="G27" i="33"/>
  <c r="Q27" i="33" s="1"/>
  <c r="G22" i="33"/>
  <c r="H19" i="33"/>
  <c r="H18" i="33"/>
  <c r="G14" i="33"/>
  <c r="G12" i="33"/>
  <c r="G11" i="33"/>
  <c r="Q11" i="33" s="1"/>
  <c r="G10" i="33"/>
  <c r="H10" i="33" s="1"/>
  <c r="G9" i="33"/>
  <c r="Q9" i="33" s="1"/>
  <c r="G6" i="33"/>
  <c r="F27" i="33"/>
  <c r="F17" i="33"/>
  <c r="O17" i="33" s="1"/>
  <c r="F12" i="33"/>
  <c r="H12" i="33" s="1"/>
  <c r="F30" i="33"/>
  <c r="H30" i="33" s="1"/>
  <c r="F11" i="33"/>
  <c r="H11" i="33" s="1"/>
  <c r="F22" i="33"/>
  <c r="F29" i="33"/>
  <c r="H29" i="33" s="1"/>
  <c r="F28" i="33"/>
  <c r="H28" i="33" s="1"/>
  <c r="F24" i="33"/>
  <c r="H24" i="33" s="1"/>
  <c r="F14" i="33"/>
  <c r="O14" i="33" s="1"/>
  <c r="F9" i="33"/>
  <c r="O9" i="33" s="1"/>
  <c r="C4" i="33" a="1"/>
  <c r="C4" i="33" s="1"/>
  <c r="D4" i="33" a="1"/>
  <c r="D4" i="33" s="1"/>
  <c r="E4" i="33" a="1"/>
  <c r="E4" i="33" s="1"/>
  <c r="C5" i="33" a="1"/>
  <c r="C5" i="33" s="1"/>
  <c r="D5" i="33" a="1"/>
  <c r="D5" i="33" s="1"/>
  <c r="E5" i="33" a="1"/>
  <c r="E5" i="33" s="1"/>
  <c r="C6" i="33" a="1"/>
  <c r="C6" i="33" s="1"/>
  <c r="D6" i="33" a="1"/>
  <c r="D6" i="33" s="1"/>
  <c r="E6" i="33" a="1"/>
  <c r="E6" i="33" s="1"/>
  <c r="C7" i="33" a="1"/>
  <c r="C7" i="33" s="1"/>
  <c r="D7" i="33" a="1"/>
  <c r="D7" i="33" s="1"/>
  <c r="E7" i="33" a="1"/>
  <c r="E7" i="33" s="1"/>
  <c r="C8" i="33" a="1"/>
  <c r="C8" i="33" s="1"/>
  <c r="D8" i="33" a="1"/>
  <c r="D8" i="33" s="1"/>
  <c r="E8" i="33" a="1"/>
  <c r="E8" i="33" s="1"/>
  <c r="C9" i="33" a="1"/>
  <c r="C9" i="33" s="1"/>
  <c r="D9" i="33" a="1"/>
  <c r="D9" i="33" s="1"/>
  <c r="E9" i="33" a="1"/>
  <c r="E9" i="33" s="1"/>
  <c r="C10" i="33" a="1"/>
  <c r="C10" i="33" s="1"/>
  <c r="D10" i="33" a="1"/>
  <c r="D10" i="33" s="1"/>
  <c r="E10" i="33" a="1"/>
  <c r="E10" i="33" s="1"/>
  <c r="C11" i="33" a="1"/>
  <c r="C11" i="33" s="1"/>
  <c r="D11" i="33" a="1"/>
  <c r="D11" i="33" s="1"/>
  <c r="E11" i="33" a="1"/>
  <c r="E11" i="33" s="1"/>
  <c r="C12" i="33" a="1"/>
  <c r="C12" i="33" s="1"/>
  <c r="D12" i="33" a="1"/>
  <c r="D12" i="33" s="1"/>
  <c r="E12" i="33" a="1"/>
  <c r="E12" i="33" s="1"/>
  <c r="C13" i="33" a="1"/>
  <c r="C13" i="33" s="1"/>
  <c r="D13" i="33" a="1"/>
  <c r="D13" i="33" s="1"/>
  <c r="E13" i="33" a="1"/>
  <c r="E13" i="33" s="1"/>
  <c r="C14" i="33" a="1"/>
  <c r="C14" i="33" s="1"/>
  <c r="D14" i="33" a="1"/>
  <c r="D14" i="33" s="1"/>
  <c r="E14" i="33" a="1"/>
  <c r="E14" i="33" s="1"/>
  <c r="C15" i="33" a="1"/>
  <c r="C15" i="33" s="1"/>
  <c r="D15" i="33" a="1"/>
  <c r="D15" i="33" s="1"/>
  <c r="E15" i="33" a="1"/>
  <c r="E15" i="33" s="1"/>
  <c r="C16" i="33" a="1"/>
  <c r="C16" i="33" s="1"/>
  <c r="D16" i="33" a="1"/>
  <c r="D16" i="33" s="1"/>
  <c r="E16" i="33" a="1"/>
  <c r="E16" i="33" s="1"/>
  <c r="C17" i="33" a="1"/>
  <c r="C17" i="33" s="1"/>
  <c r="D17" i="33" a="1"/>
  <c r="D17" i="33" s="1"/>
  <c r="E17" i="33" a="1"/>
  <c r="E17" i="33" s="1"/>
  <c r="C18" i="33" a="1"/>
  <c r="C18" i="33" s="1"/>
  <c r="D18" i="33" a="1"/>
  <c r="D18" i="33" s="1"/>
  <c r="E18" i="33" a="1"/>
  <c r="E18" i="33" s="1"/>
  <c r="C19" i="33" a="1"/>
  <c r="C19" i="33" s="1"/>
  <c r="D19" i="33" a="1"/>
  <c r="D19" i="33" s="1"/>
  <c r="E19" i="33" a="1"/>
  <c r="E19" i="33" s="1"/>
  <c r="C20" i="33" a="1"/>
  <c r="C20" i="33" s="1"/>
  <c r="D20" i="33" a="1"/>
  <c r="D20" i="33" s="1"/>
  <c r="E20" i="33" a="1"/>
  <c r="E20" i="33" s="1"/>
  <c r="C21" i="33" a="1"/>
  <c r="C21" i="33" s="1"/>
  <c r="D21" i="33" a="1"/>
  <c r="D21" i="33" s="1"/>
  <c r="E21" i="33" a="1"/>
  <c r="E21" i="33" s="1"/>
  <c r="C22" i="33" a="1"/>
  <c r="C22" i="33" s="1"/>
  <c r="D22" i="33" a="1"/>
  <c r="D22" i="33" s="1"/>
  <c r="E22" i="33" a="1"/>
  <c r="E22" i="33" s="1"/>
  <c r="C23" i="33" a="1"/>
  <c r="C23" i="33" s="1"/>
  <c r="D23" i="33" a="1"/>
  <c r="D23" i="33" s="1"/>
  <c r="E23" i="33" a="1"/>
  <c r="E23" i="33" s="1"/>
  <c r="C24" i="33" a="1"/>
  <c r="C24" i="33" s="1"/>
  <c r="D24" i="33" a="1"/>
  <c r="D24" i="33" s="1"/>
  <c r="E24" i="33" a="1"/>
  <c r="E24" i="33" s="1"/>
  <c r="C25" i="33" a="1"/>
  <c r="C25" i="33" s="1"/>
  <c r="D25" i="33" a="1"/>
  <c r="D25" i="33" s="1"/>
  <c r="E25" i="33" a="1"/>
  <c r="E25" i="33" s="1"/>
  <c r="C26" i="33" a="1"/>
  <c r="C26" i="33" s="1"/>
  <c r="D26" i="33" a="1"/>
  <c r="D26" i="33" s="1"/>
  <c r="E26" i="33" a="1"/>
  <c r="E26" i="33" s="1"/>
  <c r="C27" i="33" a="1"/>
  <c r="C27" i="33" s="1"/>
  <c r="D27" i="33" a="1"/>
  <c r="D27" i="33" s="1"/>
  <c r="E27" i="33" a="1"/>
  <c r="E27" i="33" s="1"/>
  <c r="C28" i="33" a="1"/>
  <c r="C28" i="33" s="1"/>
  <c r="D28" i="33" a="1"/>
  <c r="D28" i="33" s="1"/>
  <c r="E28" i="33" a="1"/>
  <c r="E28" i="33" s="1"/>
  <c r="C29" i="33" a="1"/>
  <c r="C29" i="33" s="1"/>
  <c r="D29" i="33" a="1"/>
  <c r="D29" i="33" s="1"/>
  <c r="E29" i="33" a="1"/>
  <c r="E29" i="33" s="1"/>
  <c r="C30" i="33" a="1"/>
  <c r="C30" i="33" s="1"/>
  <c r="D30" i="33" a="1"/>
  <c r="D30" i="33" s="1"/>
  <c r="E30" i="33" a="1"/>
  <c r="E30" i="33" s="1"/>
  <c r="C31" i="33" a="1"/>
  <c r="C31" i="33" s="1"/>
  <c r="D31" i="33" a="1"/>
  <c r="D31" i="33" s="1"/>
  <c r="E31" i="33" a="1"/>
  <c r="E31" i="33" s="1"/>
  <c r="C32" i="33" a="1"/>
  <c r="C32" i="33" s="1"/>
  <c r="D32" i="33" a="1"/>
  <c r="D32" i="33" s="1"/>
  <c r="E32" i="33" a="1"/>
  <c r="E32" i="33" s="1"/>
  <c r="C33" i="33" a="1"/>
  <c r="C33" i="33" s="1"/>
  <c r="D33" i="33" a="1"/>
  <c r="D33" i="33" s="1"/>
  <c r="E33" i="33" a="1"/>
  <c r="E33" i="33" s="1"/>
  <c r="C34" i="33" a="1"/>
  <c r="C34" i="33" s="1"/>
  <c r="D34" i="33" a="1"/>
  <c r="D34" i="33" s="1"/>
  <c r="E34" i="33" a="1"/>
  <c r="E34" i="33" s="1"/>
  <c r="E3" i="33" a="1"/>
  <c r="E3" i="33" s="1"/>
  <c r="D3" i="33" a="1"/>
  <c r="D3" i="33" s="1"/>
  <c r="C3" i="33" a="1"/>
  <c r="C3" i="33" s="1"/>
  <c r="B16" i="1" a="1"/>
  <c r="B16" i="1" s="1"/>
  <c r="C16" i="1" a="1"/>
  <c r="C16" i="1" s="1"/>
  <c r="D16" i="1" a="1"/>
  <c r="D16" i="1" s="1"/>
  <c r="E16" i="1" a="1"/>
  <c r="E16" i="1" s="1"/>
  <c r="F16" i="1" a="1"/>
  <c r="F16" i="1" s="1"/>
  <c r="G16" i="1" a="1"/>
  <c r="G16" i="1" s="1"/>
  <c r="H16" i="1" a="1"/>
  <c r="H16" i="1" s="1"/>
  <c r="K4" i="19"/>
  <c r="I4" i="19"/>
  <c r="G4" i="19"/>
  <c r="S3" i="19" a="1"/>
  <c r="S3" i="19" s="1"/>
  <c r="Q3" i="19" a="1"/>
  <c r="Q3" i="19" s="1"/>
  <c r="O3" i="19" a="1"/>
  <c r="O3" i="19" s="1"/>
  <c r="E4" i="19"/>
  <c r="Q4" i="19" a="1"/>
  <c r="Q4" i="19" s="1"/>
  <c r="S4" i="19" a="1"/>
  <c r="S4" i="19" s="1"/>
  <c r="O4" i="19" a="1"/>
  <c r="O4" i="19" s="1"/>
  <c r="G8" i="19"/>
  <c r="A3" i="31" a="1"/>
  <c r="A3" i="31" s="1"/>
  <c r="I12" i="19"/>
  <c r="S2" i="19" a="1"/>
  <c r="S2" i="19" s="1"/>
  <c r="Q2" i="19" a="1"/>
  <c r="Q2" i="19" s="1"/>
  <c r="O2" i="19" a="1"/>
  <c r="O2" i="19" s="1"/>
  <c r="E13" i="17"/>
  <c r="U3" i="17"/>
  <c r="H63" i="16"/>
  <c r="G63" i="16"/>
  <c r="F63" i="16"/>
  <c r="E63" i="16"/>
  <c r="D63" i="16"/>
  <c r="C63" i="16"/>
  <c r="B63" i="16"/>
  <c r="C52" i="16"/>
  <c r="D52" i="16"/>
  <c r="E52" i="16"/>
  <c r="F52" i="16"/>
  <c r="G52" i="16"/>
  <c r="H52" i="16"/>
  <c r="C53" i="16"/>
  <c r="D53" i="16"/>
  <c r="E53" i="16"/>
  <c r="F53" i="16"/>
  <c r="G53" i="16"/>
  <c r="H53" i="16"/>
  <c r="C54" i="16"/>
  <c r="D54" i="16"/>
  <c r="E54" i="16"/>
  <c r="F54" i="16"/>
  <c r="G54" i="16"/>
  <c r="H54" i="16"/>
  <c r="C60" i="16"/>
  <c r="D60" i="16"/>
  <c r="E60" i="16"/>
  <c r="F60" i="16"/>
  <c r="G60" i="16"/>
  <c r="H60" i="16"/>
  <c r="C61" i="16"/>
  <c r="D61" i="16"/>
  <c r="E61" i="16"/>
  <c r="F61" i="16"/>
  <c r="G61" i="16"/>
  <c r="H61" i="16"/>
  <c r="C62" i="16"/>
  <c r="D62" i="16"/>
  <c r="E62" i="16"/>
  <c r="F62" i="16"/>
  <c r="G62" i="16"/>
  <c r="H62" i="16"/>
  <c r="B54" i="16"/>
  <c r="B53" i="16"/>
  <c r="B52" i="16"/>
  <c r="F41" i="16"/>
  <c r="E43" i="16"/>
  <c r="F43" i="16"/>
  <c r="H45" i="16"/>
  <c r="G45" i="16"/>
  <c r="F45" i="16"/>
  <c r="E45" i="16"/>
  <c r="D45" i="16"/>
  <c r="C45" i="16"/>
  <c r="B45" i="16"/>
  <c r="B43" i="16"/>
  <c r="B42" i="16"/>
  <c r="C34" i="16"/>
  <c r="E35" i="16"/>
  <c r="F35" i="16"/>
  <c r="E37" i="16"/>
  <c r="F37" i="16"/>
  <c r="H37" i="16"/>
  <c r="H29" i="16"/>
  <c r="H44" i="16" s="1"/>
  <c r="H28" i="16"/>
  <c r="G29" i="16"/>
  <c r="G44" i="16" s="1"/>
  <c r="G28" i="16"/>
  <c r="F29" i="16"/>
  <c r="F44" i="16" s="1"/>
  <c r="F28" i="16"/>
  <c r="E29" i="16"/>
  <c r="E28" i="16"/>
  <c r="D29" i="16"/>
  <c r="D28" i="16"/>
  <c r="C29" i="16"/>
  <c r="C28" i="16"/>
  <c r="H26" i="16"/>
  <c r="H42" i="16" s="1"/>
  <c r="H25" i="16"/>
  <c r="G26" i="16"/>
  <c r="G25" i="16"/>
  <c r="G41" i="16" s="1"/>
  <c r="G70" i="16" s="1"/>
  <c r="F26" i="16"/>
  <c r="F25" i="16"/>
  <c r="E26" i="16"/>
  <c r="E25" i="16"/>
  <c r="D26" i="16"/>
  <c r="D42" i="16" s="1"/>
  <c r="D25" i="16"/>
  <c r="C26" i="16"/>
  <c r="C25" i="16"/>
  <c r="B29" i="16"/>
  <c r="B28" i="16"/>
  <c r="B26" i="16"/>
  <c r="B25" i="16"/>
  <c r="H24" i="16"/>
  <c r="G24" i="16"/>
  <c r="F24" i="16"/>
  <c r="E24" i="16"/>
  <c r="D24" i="16"/>
  <c r="C24" i="16"/>
  <c r="B24" i="16"/>
  <c r="H20" i="16"/>
  <c r="G20" i="16"/>
  <c r="F20" i="16"/>
  <c r="E20" i="16"/>
  <c r="D20" i="16"/>
  <c r="C20" i="16"/>
  <c r="H18" i="16"/>
  <c r="G18" i="16"/>
  <c r="F18" i="16"/>
  <c r="E18" i="16"/>
  <c r="D18" i="16"/>
  <c r="C18" i="16"/>
  <c r="H17" i="16"/>
  <c r="G17" i="16"/>
  <c r="G35" i="16" s="1"/>
  <c r="F17" i="16"/>
  <c r="E17" i="16"/>
  <c r="D17" i="16"/>
  <c r="C17" i="16"/>
  <c r="C35" i="16" s="1"/>
  <c r="B20" i="16"/>
  <c r="B18" i="16"/>
  <c r="B17" i="16"/>
  <c r="H16" i="16"/>
  <c r="G16" i="16"/>
  <c r="F16" i="16"/>
  <c r="E16" i="16"/>
  <c r="D16" i="16"/>
  <c r="C16" i="16"/>
  <c r="B16" i="16"/>
  <c r="B34" i="16" s="1"/>
  <c r="H15" i="16"/>
  <c r="G15" i="16"/>
  <c r="G33" i="16" s="1"/>
  <c r="F15" i="16"/>
  <c r="E15" i="16"/>
  <c r="D15" i="16"/>
  <c r="C15" i="16"/>
  <c r="B15" i="16"/>
  <c r="BJ14" i="14"/>
  <c r="U7" i="15" a="1"/>
  <c r="U7" i="15" s="1"/>
  <c r="F23" i="17" s="1"/>
  <c r="Q7" i="15" a="1"/>
  <c r="Q7" i="15" s="1"/>
  <c r="V13" i="17" s="1"/>
  <c r="O7" i="15" a="1"/>
  <c r="O7" i="15" s="1"/>
  <c r="N13" i="17" s="1"/>
  <c r="L7" i="15" a="1"/>
  <c r="L7" i="15" s="1"/>
  <c r="F13" i="17" s="1"/>
  <c r="I7" i="15" a="1"/>
  <c r="I7" i="15" s="1"/>
  <c r="V3" i="17" s="1"/>
  <c r="F7" i="15" a="1"/>
  <c r="F7" i="15" s="1"/>
  <c r="N3" i="17" s="1"/>
  <c r="C7" i="15" a="1"/>
  <c r="C7" i="15" s="1"/>
  <c r="F3" i="17" s="1"/>
  <c r="M5" i="15"/>
  <c r="J5" i="15"/>
  <c r="O4" i="15"/>
  <c r="AZ14" i="14"/>
  <c r="AP14" i="14"/>
  <c r="AD26" i="12"/>
  <c r="AD18" i="12"/>
  <c r="AC18" i="12"/>
  <c r="AD9" i="12"/>
  <c r="C9" i="12"/>
  <c r="AC9" i="12"/>
  <c r="AD7" i="12"/>
  <c r="AC7" i="12"/>
  <c r="T5" i="5"/>
  <c r="U5" i="5"/>
  <c r="V5" i="5"/>
  <c r="W5" i="5"/>
  <c r="X5" i="5"/>
  <c r="AD5" i="12"/>
  <c r="AC5" i="12"/>
  <c r="AF14" i="14"/>
  <c r="V14" i="14"/>
  <c r="C27" i="12"/>
  <c r="B19" i="12"/>
  <c r="B20" i="12" s="1"/>
  <c r="B24" i="12" s="1"/>
  <c r="C18" i="12"/>
  <c r="B18" i="12"/>
  <c r="C13" i="12"/>
  <c r="B9" i="12"/>
  <c r="D9" i="12" s="1"/>
  <c r="E9" i="12" s="1"/>
  <c r="F9" i="12" s="1"/>
  <c r="G9" i="12" s="1"/>
  <c r="H9" i="12" s="1"/>
  <c r="I9" i="12" s="1"/>
  <c r="C7" i="12"/>
  <c r="B7" i="12"/>
  <c r="AL29" i="12"/>
  <c r="AM29" i="12" s="1"/>
  <c r="AU29" i="12"/>
  <c r="AV29" i="12" s="1"/>
  <c r="BD29" i="12"/>
  <c r="BE29" i="12"/>
  <c r="N14" i="14"/>
  <c r="M14" i="14"/>
  <c r="L14" i="14"/>
  <c r="C14" i="14"/>
  <c r="D14" i="14" s="1"/>
  <c r="B14" i="14"/>
  <c r="D6" i="13"/>
  <c r="D7" i="13" s="1"/>
  <c r="C5" i="13"/>
  <c r="BD9" i="12"/>
  <c r="BD6" i="12"/>
  <c r="BD5" i="12"/>
  <c r="BE24" i="12"/>
  <c r="BE23" i="12"/>
  <c r="BD19" i="12"/>
  <c r="BK36" i="14" s="1"/>
  <c r="BD18" i="12"/>
  <c r="BE18" i="12"/>
  <c r="BE13" i="12"/>
  <c r="BE16" i="12"/>
  <c r="BD16" i="12" s="1"/>
  <c r="BE5" i="12"/>
  <c r="AU19" i="12"/>
  <c r="AU20" i="12" s="1"/>
  <c r="AU24" i="12" s="1"/>
  <c r="AU18" i="12"/>
  <c r="AU6" i="12"/>
  <c r="AU5" i="12"/>
  <c r="AV18" i="12"/>
  <c r="AV16" i="12"/>
  <c r="AV5" i="12"/>
  <c r="AL19" i="12"/>
  <c r="AM18" i="12"/>
  <c r="AL18" i="12"/>
  <c r="C18" i="9"/>
  <c r="D18" i="9"/>
  <c r="E18" i="9"/>
  <c r="F18" i="9"/>
  <c r="G18" i="9"/>
  <c r="H18" i="9"/>
  <c r="I18" i="9"/>
  <c r="J18" i="9"/>
  <c r="K18" i="9"/>
  <c r="B18" i="9"/>
  <c r="M46" i="6"/>
  <c r="N46" i="6"/>
  <c r="O46" i="6"/>
  <c r="P46" i="6"/>
  <c r="L46" i="6"/>
  <c r="AM16" i="12"/>
  <c r="AM5" i="12"/>
  <c r="AL5" i="12"/>
  <c r="U24" i="12"/>
  <c r="U23" i="12"/>
  <c r="T19" i="12"/>
  <c r="T20" i="12" s="1"/>
  <c r="T24" i="12" s="1"/>
  <c r="T18" i="12"/>
  <c r="U18" i="12"/>
  <c r="U13" i="12"/>
  <c r="T11" i="12"/>
  <c r="U9" i="12"/>
  <c r="T9" i="12"/>
  <c r="U7" i="12"/>
  <c r="T7" i="12"/>
  <c r="T6" i="12"/>
  <c r="U5" i="12"/>
  <c r="T5" i="12"/>
  <c r="L24" i="12"/>
  <c r="L23" i="12"/>
  <c r="K19" i="12"/>
  <c r="K20" i="12" s="1"/>
  <c r="L18" i="12"/>
  <c r="K18" i="12"/>
  <c r="L13" i="12"/>
  <c r="L9" i="12"/>
  <c r="K9" i="12"/>
  <c r="M9" i="12" s="1"/>
  <c r="N9" i="12" s="1"/>
  <c r="O9" i="12" s="1"/>
  <c r="P9" i="12" s="1"/>
  <c r="Q9" i="12" s="1"/>
  <c r="R9" i="12" s="1"/>
  <c r="K7" i="12"/>
  <c r="L7" i="12" s="1"/>
  <c r="K6" i="12"/>
  <c r="L5" i="12"/>
  <c r="K5" i="12"/>
  <c r="B6" i="12"/>
  <c r="B5" i="12"/>
  <c r="C5" i="12"/>
  <c r="Y22" i="5"/>
  <c r="Y13" i="5"/>
  <c r="S13" i="5"/>
  <c r="Y12" i="5"/>
  <c r="AD16" i="12" s="1"/>
  <c r="S12" i="5"/>
  <c r="U16" i="12" s="1"/>
  <c r="M13" i="5"/>
  <c r="M12" i="5"/>
  <c r="L16" i="12" s="1"/>
  <c r="G13" i="5"/>
  <c r="G12" i="5"/>
  <c r="C16" i="12" s="1"/>
  <c r="H12" i="10"/>
  <c r="BE26" i="12" s="1"/>
  <c r="E12" i="10"/>
  <c r="D12" i="10"/>
  <c r="C12" i="10"/>
  <c r="L26" i="12" s="1"/>
  <c r="B12" i="10"/>
  <c r="C26" i="12" s="1"/>
  <c r="E10" i="10"/>
  <c r="F6" i="13" s="1"/>
  <c r="F7" i="13" s="1"/>
  <c r="D10" i="10"/>
  <c r="E6" i="13" s="1"/>
  <c r="E7" i="13" s="1"/>
  <c r="C10" i="10"/>
  <c r="B10" i="10"/>
  <c r="C6" i="13" s="1"/>
  <c r="C7" i="13" s="1"/>
  <c r="H8" i="10"/>
  <c r="I5" i="13" s="1"/>
  <c r="G8" i="10"/>
  <c r="H5" i="13" s="1"/>
  <c r="F8" i="10"/>
  <c r="G5" i="13" s="1"/>
  <c r="E8" i="10"/>
  <c r="F5" i="13" s="1"/>
  <c r="D8" i="10"/>
  <c r="E5" i="13" s="1"/>
  <c r="C8" i="10"/>
  <c r="D5" i="13" s="1"/>
  <c r="B8" i="10"/>
  <c r="P30" i="9"/>
  <c r="O30" i="9"/>
  <c r="N30" i="9"/>
  <c r="M30" i="9"/>
  <c r="K30" i="9"/>
  <c r="J30" i="9"/>
  <c r="I30" i="9"/>
  <c r="H30" i="9"/>
  <c r="F30" i="9"/>
  <c r="E30" i="9"/>
  <c r="D30" i="9"/>
  <c r="C30" i="9"/>
  <c r="P29" i="9"/>
  <c r="O29" i="9"/>
  <c r="N29" i="9"/>
  <c r="M29" i="9"/>
  <c r="K29" i="9"/>
  <c r="J29" i="9"/>
  <c r="I29" i="9"/>
  <c r="H29" i="9"/>
  <c r="F29" i="9"/>
  <c r="E29" i="9"/>
  <c r="D29" i="9"/>
  <c r="C29" i="9"/>
  <c r="D28" i="9"/>
  <c r="G28" i="9"/>
  <c r="L28" i="9"/>
  <c r="M28" i="9"/>
  <c r="N28" i="9"/>
  <c r="O28" i="9"/>
  <c r="P28" i="9"/>
  <c r="B28" i="9"/>
  <c r="C41" i="9"/>
  <c r="C28" i="9" s="1"/>
  <c r="D41" i="9"/>
  <c r="E41" i="9"/>
  <c r="E28" i="9" s="1"/>
  <c r="F41" i="9"/>
  <c r="F28" i="9" s="1"/>
  <c r="H41" i="9"/>
  <c r="H28" i="9" s="1"/>
  <c r="I41" i="9"/>
  <c r="I28" i="9" s="1"/>
  <c r="J41" i="9"/>
  <c r="J28" i="9" s="1"/>
  <c r="K41" i="9"/>
  <c r="K28" i="9" s="1"/>
  <c r="L27" i="9"/>
  <c r="M27" i="9"/>
  <c r="N27" i="9"/>
  <c r="O27" i="9"/>
  <c r="P27" i="9"/>
  <c r="L25" i="9"/>
  <c r="M25" i="9"/>
  <c r="N25" i="9"/>
  <c r="O25" i="9"/>
  <c r="P25" i="9"/>
  <c r="C24" i="9"/>
  <c r="D24" i="9"/>
  <c r="E24" i="9"/>
  <c r="F24" i="9"/>
  <c r="G24" i="9"/>
  <c r="H24" i="9"/>
  <c r="I24" i="9"/>
  <c r="J24" i="9"/>
  <c r="K24" i="9"/>
  <c r="L24" i="9"/>
  <c r="M24" i="9"/>
  <c r="N24" i="9"/>
  <c r="O24" i="9"/>
  <c r="P24" i="9"/>
  <c r="B24" i="9"/>
  <c r="E22" i="9"/>
  <c r="F22" i="9"/>
  <c r="H22" i="9"/>
  <c r="I22" i="9"/>
  <c r="J22" i="9"/>
  <c r="K22" i="9"/>
  <c r="L22" i="9"/>
  <c r="M22" i="9"/>
  <c r="N22" i="9"/>
  <c r="O22" i="9"/>
  <c r="P22" i="9"/>
  <c r="D22" i="9"/>
  <c r="C21" i="9"/>
  <c r="D21" i="9"/>
  <c r="E21" i="9"/>
  <c r="F21" i="9"/>
  <c r="G21" i="9"/>
  <c r="H21" i="9"/>
  <c r="I21" i="9"/>
  <c r="J21" i="9"/>
  <c r="K21" i="9"/>
  <c r="L21" i="9"/>
  <c r="M21" i="9"/>
  <c r="N21" i="9"/>
  <c r="O21" i="9"/>
  <c r="P21" i="9"/>
  <c r="B21" i="9"/>
  <c r="C20" i="9"/>
  <c r="D20" i="9"/>
  <c r="E20" i="9"/>
  <c r="F20" i="9"/>
  <c r="G20" i="9"/>
  <c r="H20" i="9"/>
  <c r="I20" i="9"/>
  <c r="J20" i="9"/>
  <c r="K20" i="9"/>
  <c r="L20" i="9"/>
  <c r="M20" i="9"/>
  <c r="N20" i="9"/>
  <c r="O20" i="9"/>
  <c r="P20" i="9"/>
  <c r="B20" i="9"/>
  <c r="M18" i="9"/>
  <c r="N18" i="9"/>
  <c r="O18" i="9"/>
  <c r="P18" i="9"/>
  <c r="L18" i="9"/>
  <c r="BE19" i="12" s="1"/>
  <c r="C17" i="9"/>
  <c r="D17" i="9"/>
  <c r="E17" i="9"/>
  <c r="F17" i="9"/>
  <c r="G17" i="9"/>
  <c r="AV19" i="12" s="1"/>
  <c r="H17" i="9"/>
  <c r="I17" i="9"/>
  <c r="J17" i="9"/>
  <c r="K17" i="9"/>
  <c r="L17" i="9"/>
  <c r="M17" i="9"/>
  <c r="N17" i="9"/>
  <c r="O17" i="9"/>
  <c r="P17" i="9"/>
  <c r="B17" i="9"/>
  <c r="AM19" i="12" s="1"/>
  <c r="C16" i="9"/>
  <c r="D16" i="9"/>
  <c r="E16" i="9"/>
  <c r="F16" i="9"/>
  <c r="G16" i="9"/>
  <c r="H16" i="9"/>
  <c r="I16" i="9"/>
  <c r="J16" i="9"/>
  <c r="K16" i="9"/>
  <c r="L16" i="9"/>
  <c r="M16" i="9"/>
  <c r="N16" i="9"/>
  <c r="O16" i="9"/>
  <c r="P16" i="9"/>
  <c r="B16" i="9"/>
  <c r="G34" i="9"/>
  <c r="G14" i="9" s="1"/>
  <c r="B34" i="9"/>
  <c r="B14" i="9" s="1"/>
  <c r="C37" i="9"/>
  <c r="C35" i="9" s="1"/>
  <c r="D37" i="9"/>
  <c r="D34" i="9" s="1"/>
  <c r="D14" i="9" s="1"/>
  <c r="E37" i="9"/>
  <c r="E34" i="9" s="1"/>
  <c r="E14" i="9" s="1"/>
  <c r="F37" i="9"/>
  <c r="F35" i="9" s="1"/>
  <c r="G37" i="9"/>
  <c r="G35" i="9" s="1"/>
  <c r="H37" i="9"/>
  <c r="H35" i="9" s="1"/>
  <c r="I37" i="9"/>
  <c r="I35" i="9" s="1"/>
  <c r="J37" i="9"/>
  <c r="J35" i="9" s="1"/>
  <c r="K37" i="9"/>
  <c r="K35" i="9" s="1"/>
  <c r="L37" i="9"/>
  <c r="L34" i="9" s="1"/>
  <c r="L14" i="9" s="1"/>
  <c r="M37" i="9"/>
  <c r="M34" i="9" s="1"/>
  <c r="M14" i="9" s="1"/>
  <c r="N37" i="9"/>
  <c r="N35" i="9" s="1"/>
  <c r="O37" i="9"/>
  <c r="O35" i="9" s="1"/>
  <c r="P37" i="9"/>
  <c r="P35" i="9" s="1"/>
  <c r="B37" i="9"/>
  <c r="B35" i="9" s="1"/>
  <c r="L9" i="9"/>
  <c r="M9" i="9"/>
  <c r="N9" i="9"/>
  <c r="O9" i="9"/>
  <c r="P9" i="9"/>
  <c r="L8" i="9"/>
  <c r="M8" i="9"/>
  <c r="N8" i="9"/>
  <c r="O8" i="9"/>
  <c r="P8" i="9"/>
  <c r="L7" i="9"/>
  <c r="BJ33" i="14" s="1"/>
  <c r="M7" i="9"/>
  <c r="N7" i="9"/>
  <c r="O7" i="9"/>
  <c r="P7" i="9"/>
  <c r="L6" i="9"/>
  <c r="M6" i="9"/>
  <c r="N6" i="9"/>
  <c r="O6" i="9"/>
  <c r="P6" i="9"/>
  <c r="L5" i="9"/>
  <c r="BE6" i="12" s="1"/>
  <c r="BF6" i="12" s="1"/>
  <c r="M5" i="9"/>
  <c r="N5" i="9"/>
  <c r="O5" i="9"/>
  <c r="P5" i="9"/>
  <c r="H5" i="9"/>
  <c r="I5" i="9"/>
  <c r="J5" i="9"/>
  <c r="K5" i="9"/>
  <c r="G5" i="9"/>
  <c r="C5" i="9"/>
  <c r="D5" i="9"/>
  <c r="E5" i="9"/>
  <c r="F5" i="9"/>
  <c r="B5" i="9"/>
  <c r="X30" i="5"/>
  <c r="W30" i="5"/>
  <c r="V30" i="5"/>
  <c r="U30" i="5"/>
  <c r="R30" i="5"/>
  <c r="Q30" i="5"/>
  <c r="P30" i="5"/>
  <c r="O30" i="5"/>
  <c r="L30" i="5"/>
  <c r="K30" i="5"/>
  <c r="J30" i="5"/>
  <c r="I30" i="5"/>
  <c r="F30" i="5"/>
  <c r="E30" i="5"/>
  <c r="D30" i="5"/>
  <c r="C30" i="5"/>
  <c r="X29" i="5"/>
  <c r="W29" i="5"/>
  <c r="V29" i="5"/>
  <c r="U29" i="5"/>
  <c r="R29" i="5"/>
  <c r="Q29" i="5"/>
  <c r="P29" i="5"/>
  <c r="O29" i="5"/>
  <c r="L29" i="5"/>
  <c r="K29" i="5"/>
  <c r="J29" i="5"/>
  <c r="I29" i="5"/>
  <c r="F29" i="5"/>
  <c r="E29" i="5"/>
  <c r="D29" i="5"/>
  <c r="C29" i="5"/>
  <c r="C28" i="5"/>
  <c r="D28" i="5"/>
  <c r="E28" i="5"/>
  <c r="F28" i="5"/>
  <c r="H28" i="5"/>
  <c r="I28" i="5"/>
  <c r="J28" i="5"/>
  <c r="K28" i="5"/>
  <c r="L28" i="5"/>
  <c r="N28" i="5"/>
  <c r="P28" i="5"/>
  <c r="Q28" i="5"/>
  <c r="R28" i="5"/>
  <c r="T28" i="5"/>
  <c r="U28" i="5"/>
  <c r="V28" i="5"/>
  <c r="W28" i="5"/>
  <c r="X28" i="5"/>
  <c r="B28" i="5"/>
  <c r="O40" i="5"/>
  <c r="O28" i="5" s="1"/>
  <c r="T27" i="5"/>
  <c r="U27" i="5"/>
  <c r="V27" i="5"/>
  <c r="W27" i="5"/>
  <c r="X27" i="5"/>
  <c r="N27" i="5"/>
  <c r="O27" i="5"/>
  <c r="P27" i="5"/>
  <c r="Q27" i="5"/>
  <c r="R27" i="5"/>
  <c r="H27" i="5"/>
  <c r="I27" i="5"/>
  <c r="J27" i="5"/>
  <c r="K27" i="5"/>
  <c r="L27" i="5"/>
  <c r="C27" i="5"/>
  <c r="D27" i="5"/>
  <c r="E27" i="5"/>
  <c r="F27" i="5"/>
  <c r="B27" i="5"/>
  <c r="C25" i="5"/>
  <c r="D25" i="5"/>
  <c r="E25" i="5"/>
  <c r="F25" i="5"/>
  <c r="H25" i="5"/>
  <c r="I25" i="5"/>
  <c r="J25" i="5"/>
  <c r="K25" i="5"/>
  <c r="L25" i="5"/>
  <c r="N25" i="5"/>
  <c r="O25" i="5"/>
  <c r="P25" i="5"/>
  <c r="Q25" i="5"/>
  <c r="R25" i="5"/>
  <c r="T25" i="5"/>
  <c r="U25" i="5"/>
  <c r="V25" i="5"/>
  <c r="W25" i="5"/>
  <c r="X25" i="5"/>
  <c r="B25" i="5"/>
  <c r="G25" i="5" s="1"/>
  <c r="C24" i="5"/>
  <c r="D24" i="5"/>
  <c r="E24" i="5"/>
  <c r="F24" i="5"/>
  <c r="H24" i="5"/>
  <c r="I24" i="5"/>
  <c r="J24" i="5"/>
  <c r="K24" i="5"/>
  <c r="L24" i="5"/>
  <c r="N24" i="5"/>
  <c r="O24" i="5"/>
  <c r="P24" i="5"/>
  <c r="Q24" i="5"/>
  <c r="R24" i="5"/>
  <c r="T24" i="5"/>
  <c r="U24" i="5"/>
  <c r="V24" i="5"/>
  <c r="W24" i="5"/>
  <c r="X24" i="5"/>
  <c r="B24" i="5"/>
  <c r="C22" i="5"/>
  <c r="D22" i="5"/>
  <c r="E22" i="5"/>
  <c r="F22" i="5"/>
  <c r="H22" i="5"/>
  <c r="I22" i="5"/>
  <c r="J22" i="5"/>
  <c r="K22" i="5"/>
  <c r="L22" i="5"/>
  <c r="O22" i="5"/>
  <c r="P22" i="5"/>
  <c r="B22" i="5"/>
  <c r="C21" i="5"/>
  <c r="D21" i="5"/>
  <c r="E21" i="5"/>
  <c r="F21" i="5"/>
  <c r="H21" i="5"/>
  <c r="I21" i="5"/>
  <c r="J21" i="5"/>
  <c r="K21" i="5"/>
  <c r="L21" i="5"/>
  <c r="N21" i="5"/>
  <c r="O21" i="5"/>
  <c r="P21" i="5"/>
  <c r="Q21" i="5"/>
  <c r="R21" i="5"/>
  <c r="T21" i="5"/>
  <c r="U21" i="5"/>
  <c r="V21" i="5"/>
  <c r="W21" i="5"/>
  <c r="X21" i="5"/>
  <c r="B21" i="5"/>
  <c r="C20" i="5"/>
  <c r="D20" i="5"/>
  <c r="E20" i="5"/>
  <c r="F20" i="5"/>
  <c r="H20" i="5"/>
  <c r="I20" i="5"/>
  <c r="J20" i="5"/>
  <c r="K20" i="5"/>
  <c r="L20" i="5"/>
  <c r="N20" i="5"/>
  <c r="O20" i="5"/>
  <c r="P20" i="5"/>
  <c r="Q20" i="5"/>
  <c r="R20" i="5"/>
  <c r="T20" i="5"/>
  <c r="U20" i="5"/>
  <c r="V20" i="5"/>
  <c r="W20" i="5"/>
  <c r="X20" i="5"/>
  <c r="B20" i="5"/>
  <c r="C18" i="5"/>
  <c r="D18" i="5"/>
  <c r="E18" i="5"/>
  <c r="F18" i="5"/>
  <c r="H18" i="5"/>
  <c r="I18" i="5"/>
  <c r="J18" i="5"/>
  <c r="K18" i="5"/>
  <c r="L18" i="5"/>
  <c r="N18" i="5"/>
  <c r="O18" i="5"/>
  <c r="P18" i="5"/>
  <c r="Q18" i="5"/>
  <c r="R18" i="5"/>
  <c r="T18" i="5"/>
  <c r="U18" i="5"/>
  <c r="V18" i="5"/>
  <c r="W18" i="5"/>
  <c r="X18" i="5"/>
  <c r="B18" i="5"/>
  <c r="C17" i="5"/>
  <c r="D17" i="5"/>
  <c r="E17" i="5"/>
  <c r="F17" i="5"/>
  <c r="H17" i="5"/>
  <c r="I17" i="5"/>
  <c r="J17" i="5"/>
  <c r="K17" i="5"/>
  <c r="L17" i="5"/>
  <c r="O17" i="5"/>
  <c r="P17" i="5"/>
  <c r="T17" i="5"/>
  <c r="Y17" i="5" s="1"/>
  <c r="B17" i="5"/>
  <c r="T16" i="5"/>
  <c r="Y16" i="5" s="1"/>
  <c r="P16" i="5"/>
  <c r="O16" i="5"/>
  <c r="C16" i="5"/>
  <c r="D16" i="5"/>
  <c r="E16" i="5"/>
  <c r="F16" i="5"/>
  <c r="H16" i="5"/>
  <c r="I16" i="5"/>
  <c r="J16" i="5"/>
  <c r="K16" i="5"/>
  <c r="L16" i="5"/>
  <c r="B16" i="5"/>
  <c r="C87" i="2"/>
  <c r="D87" i="2"/>
  <c r="E87" i="2"/>
  <c r="F87" i="2"/>
  <c r="G87" i="2"/>
  <c r="H87" i="2"/>
  <c r="I87" i="2"/>
  <c r="J87" i="2"/>
  <c r="K87" i="2"/>
  <c r="B87" i="2"/>
  <c r="N86" i="2"/>
  <c r="M86" i="2"/>
  <c r="N85" i="2"/>
  <c r="M85" i="2"/>
  <c r="C36" i="5"/>
  <c r="D36" i="5"/>
  <c r="E36" i="5"/>
  <c r="F36" i="5"/>
  <c r="H36" i="5"/>
  <c r="I36" i="5"/>
  <c r="J36" i="5"/>
  <c r="K36" i="5"/>
  <c r="L36" i="5"/>
  <c r="N36" i="5"/>
  <c r="O36" i="5"/>
  <c r="P36" i="5"/>
  <c r="Q36" i="5"/>
  <c r="R36" i="5"/>
  <c r="T36" i="5"/>
  <c r="U36" i="5"/>
  <c r="V36" i="5"/>
  <c r="W36" i="5"/>
  <c r="X36" i="5"/>
  <c r="B36" i="5"/>
  <c r="U82" i="2"/>
  <c r="T82" i="2"/>
  <c r="S82" i="2"/>
  <c r="R82" i="2"/>
  <c r="Q82" i="2"/>
  <c r="P82" i="2"/>
  <c r="O82" i="2"/>
  <c r="N82" i="2"/>
  <c r="M82" i="2"/>
  <c r="L82" i="2"/>
  <c r="F82" i="2"/>
  <c r="E82" i="2"/>
  <c r="D82" i="2"/>
  <c r="C82" i="2"/>
  <c r="B82" i="2"/>
  <c r="C37" i="5"/>
  <c r="C34" i="5" s="1"/>
  <c r="C14" i="5" s="1"/>
  <c r="D37" i="5"/>
  <c r="D35" i="5" s="1"/>
  <c r="E37" i="5"/>
  <c r="E35" i="5" s="1"/>
  <c r="F37" i="5"/>
  <c r="F35" i="5" s="1"/>
  <c r="H37" i="5"/>
  <c r="H35" i="5" s="1"/>
  <c r="I37" i="5"/>
  <c r="I35" i="5" s="1"/>
  <c r="J37" i="5"/>
  <c r="J34" i="5" s="1"/>
  <c r="J14" i="5" s="1"/>
  <c r="K37" i="5"/>
  <c r="K34" i="5" s="1"/>
  <c r="K14" i="5" s="1"/>
  <c r="L37" i="5"/>
  <c r="L34" i="5" s="1"/>
  <c r="L14" i="5" s="1"/>
  <c r="N37" i="5"/>
  <c r="N35" i="5" s="1"/>
  <c r="O37" i="5"/>
  <c r="O35" i="5" s="1"/>
  <c r="P37" i="5"/>
  <c r="P35" i="5" s="1"/>
  <c r="Q37" i="5"/>
  <c r="Q35" i="5" s="1"/>
  <c r="R37" i="5"/>
  <c r="R35" i="5" s="1"/>
  <c r="T37" i="5"/>
  <c r="T34" i="5" s="1"/>
  <c r="T14" i="5" s="1"/>
  <c r="U37" i="5"/>
  <c r="U34" i="5" s="1"/>
  <c r="U14" i="5" s="1"/>
  <c r="V37" i="5"/>
  <c r="V34" i="5" s="1"/>
  <c r="V14" i="5" s="1"/>
  <c r="W37" i="5"/>
  <c r="W35" i="5" s="1"/>
  <c r="X37" i="5"/>
  <c r="X35" i="5" s="1"/>
  <c r="B37" i="5"/>
  <c r="B35" i="5" s="1"/>
  <c r="C9" i="5"/>
  <c r="D9" i="5"/>
  <c r="E9" i="5"/>
  <c r="F9" i="5"/>
  <c r="H9" i="5"/>
  <c r="I9" i="5"/>
  <c r="J9" i="5"/>
  <c r="K9" i="5"/>
  <c r="L9" i="5"/>
  <c r="N9" i="5"/>
  <c r="O9" i="5"/>
  <c r="P9" i="5"/>
  <c r="Q9" i="5"/>
  <c r="R9" i="5"/>
  <c r="T9" i="5"/>
  <c r="U9" i="5"/>
  <c r="V9" i="5"/>
  <c r="W9" i="5"/>
  <c r="X9" i="5"/>
  <c r="B9" i="5"/>
  <c r="H8" i="5"/>
  <c r="I8" i="5"/>
  <c r="J8" i="5"/>
  <c r="K8" i="5"/>
  <c r="L8" i="5"/>
  <c r="N8" i="5"/>
  <c r="O8" i="5"/>
  <c r="P8" i="5"/>
  <c r="Q8" i="5"/>
  <c r="R8" i="5"/>
  <c r="T8" i="5"/>
  <c r="U8" i="5"/>
  <c r="V8" i="5"/>
  <c r="W8" i="5"/>
  <c r="X8" i="5"/>
  <c r="C8" i="5"/>
  <c r="D8" i="5"/>
  <c r="E8" i="5"/>
  <c r="F8" i="5"/>
  <c r="B8" i="5"/>
  <c r="C7" i="5"/>
  <c r="D7" i="5"/>
  <c r="E7" i="5"/>
  <c r="F7" i="5"/>
  <c r="H7" i="5"/>
  <c r="I7" i="5"/>
  <c r="J7" i="5"/>
  <c r="K7" i="5"/>
  <c r="L7" i="5"/>
  <c r="N7" i="5"/>
  <c r="O7" i="5"/>
  <c r="P7" i="5"/>
  <c r="Q7" i="5"/>
  <c r="R7" i="5"/>
  <c r="T7" i="5"/>
  <c r="U7" i="5"/>
  <c r="V7" i="5"/>
  <c r="W7" i="5"/>
  <c r="X7" i="5"/>
  <c r="B7" i="5"/>
  <c r="X6" i="5"/>
  <c r="W6" i="5"/>
  <c r="C6" i="5"/>
  <c r="D6" i="5"/>
  <c r="E6" i="5"/>
  <c r="F6" i="5"/>
  <c r="H6" i="5"/>
  <c r="I6" i="5"/>
  <c r="J6" i="5"/>
  <c r="K6" i="5"/>
  <c r="L6" i="5"/>
  <c r="N6" i="5"/>
  <c r="O6" i="5"/>
  <c r="P6" i="5"/>
  <c r="Q6" i="5"/>
  <c r="R6" i="5"/>
  <c r="T6" i="5"/>
  <c r="Y6" i="5" s="1"/>
  <c r="U6" i="5"/>
  <c r="V6" i="5"/>
  <c r="B6" i="5"/>
  <c r="N5" i="5"/>
  <c r="O5" i="5"/>
  <c r="P5" i="5"/>
  <c r="Q5" i="5"/>
  <c r="R5" i="5"/>
  <c r="I5" i="5"/>
  <c r="J5" i="5"/>
  <c r="K5" i="5"/>
  <c r="L5" i="5"/>
  <c r="H5" i="5"/>
  <c r="C88" i="8"/>
  <c r="D88" i="8"/>
  <c r="E88" i="8"/>
  <c r="F88" i="8"/>
  <c r="G88" i="8"/>
  <c r="H88" i="8"/>
  <c r="I88" i="8"/>
  <c r="J88" i="8"/>
  <c r="K88" i="8"/>
  <c r="L88" i="8"/>
  <c r="M88" i="8"/>
  <c r="N88" i="8"/>
  <c r="O88" i="8"/>
  <c r="P88" i="8"/>
  <c r="B88" i="8"/>
  <c r="C70" i="8"/>
  <c r="D70" i="8"/>
  <c r="E70" i="8"/>
  <c r="F70" i="8"/>
  <c r="G70" i="8"/>
  <c r="H70" i="8"/>
  <c r="I70" i="8"/>
  <c r="J70" i="8"/>
  <c r="K70" i="8"/>
  <c r="L70" i="8"/>
  <c r="M70" i="8"/>
  <c r="N70" i="8"/>
  <c r="O70" i="8"/>
  <c r="P70" i="8"/>
  <c r="B70" i="8"/>
  <c r="C30" i="8"/>
  <c r="C45" i="8" s="1"/>
  <c r="C48" i="8" s="1"/>
  <c r="D30" i="8"/>
  <c r="D45" i="8" s="1"/>
  <c r="D48" i="8" s="1"/>
  <c r="E30" i="8"/>
  <c r="E45" i="8" s="1"/>
  <c r="E48" i="8" s="1"/>
  <c r="F30" i="8"/>
  <c r="F45" i="8" s="1"/>
  <c r="F48" i="8" s="1"/>
  <c r="G30" i="8"/>
  <c r="G45" i="8" s="1"/>
  <c r="G48" i="8" s="1"/>
  <c r="H30" i="8"/>
  <c r="H45" i="8" s="1"/>
  <c r="H48" i="8" s="1"/>
  <c r="I30" i="8"/>
  <c r="I45" i="8" s="1"/>
  <c r="I48" i="8" s="1"/>
  <c r="J30" i="8"/>
  <c r="J45" i="8" s="1"/>
  <c r="J48" i="8" s="1"/>
  <c r="K30" i="8"/>
  <c r="K45" i="8" s="1"/>
  <c r="K48" i="8" s="1"/>
  <c r="L30" i="8"/>
  <c r="L45" i="8" s="1"/>
  <c r="L48" i="8" s="1"/>
  <c r="M30" i="8"/>
  <c r="M45" i="8" s="1"/>
  <c r="M48" i="8" s="1"/>
  <c r="N30" i="8"/>
  <c r="N45" i="8" s="1"/>
  <c r="N48" i="8" s="1"/>
  <c r="O30" i="8"/>
  <c r="O45" i="8" s="1"/>
  <c r="P30" i="8"/>
  <c r="P45" i="8" s="1"/>
  <c r="P48" i="8" s="1"/>
  <c r="B30" i="8"/>
  <c r="B45" i="8" s="1"/>
  <c r="B48" i="8" s="1"/>
  <c r="U45" i="4"/>
  <c r="T45" i="4"/>
  <c r="U41" i="4"/>
  <c r="U47" i="4" s="1"/>
  <c r="T41" i="4"/>
  <c r="T47" i="4" s="1"/>
  <c r="U18" i="4"/>
  <c r="T18" i="4"/>
  <c r="U10" i="4"/>
  <c r="T10" i="4"/>
  <c r="S45" i="4"/>
  <c r="S41" i="4"/>
  <c r="R41" i="4"/>
  <c r="R36" i="4"/>
  <c r="R38" i="4" s="1"/>
  <c r="S31" i="4"/>
  <c r="S38" i="4" s="1"/>
  <c r="R31" i="4"/>
  <c r="S18" i="4"/>
  <c r="R18" i="4"/>
  <c r="S10" i="4"/>
  <c r="R10" i="4"/>
  <c r="S14" i="4"/>
  <c r="S28" i="4" s="1"/>
  <c r="R14" i="4"/>
  <c r="Q41" i="4"/>
  <c r="Q47" i="4" s="1"/>
  <c r="Q38" i="4"/>
  <c r="T38" i="4"/>
  <c r="U38" i="4"/>
  <c r="Q18" i="4"/>
  <c r="P42" i="4"/>
  <c r="P47" i="4" s="1"/>
  <c r="O42" i="4"/>
  <c r="O47" i="4" s="1"/>
  <c r="N42" i="4"/>
  <c r="M42" i="4"/>
  <c r="M38" i="4"/>
  <c r="N38" i="4"/>
  <c r="O38" i="4"/>
  <c r="P38" i="4"/>
  <c r="L42" i="4"/>
  <c r="L38" i="4"/>
  <c r="K41" i="4"/>
  <c r="K38" i="4"/>
  <c r="K28" i="4"/>
  <c r="J41" i="4"/>
  <c r="J47" i="4" s="1"/>
  <c r="I41" i="4"/>
  <c r="I47" i="4" s="1"/>
  <c r="J38" i="4"/>
  <c r="I38" i="4"/>
  <c r="H41" i="4"/>
  <c r="H47" i="4" s="1"/>
  <c r="H38" i="4"/>
  <c r="G38" i="4"/>
  <c r="E41" i="4"/>
  <c r="D38" i="4"/>
  <c r="C38" i="4"/>
  <c r="B38" i="4"/>
  <c r="F38" i="4"/>
  <c r="E38" i="4"/>
  <c r="E28" i="4"/>
  <c r="F28" i="4"/>
  <c r="G28" i="4"/>
  <c r="H28" i="4"/>
  <c r="I28" i="4"/>
  <c r="J28" i="4"/>
  <c r="L28" i="4"/>
  <c r="M28" i="4"/>
  <c r="N28" i="4"/>
  <c r="O28" i="4"/>
  <c r="P28" i="4"/>
  <c r="Q28" i="4"/>
  <c r="T28" i="4"/>
  <c r="U28" i="4"/>
  <c r="D28" i="4"/>
  <c r="C47" i="4"/>
  <c r="D47" i="4"/>
  <c r="E47" i="4"/>
  <c r="F47" i="4"/>
  <c r="G47" i="4"/>
  <c r="K47" i="4"/>
  <c r="L47" i="4"/>
  <c r="M47" i="4"/>
  <c r="N47" i="4"/>
  <c r="R47" i="4"/>
  <c r="S47" i="4"/>
  <c r="B47" i="4"/>
  <c r="C28" i="4"/>
  <c r="B28" i="4"/>
  <c r="M31" i="7"/>
  <c r="N31" i="7"/>
  <c r="O31" i="7"/>
  <c r="P31" i="7"/>
  <c r="L31" i="7"/>
  <c r="L25" i="7"/>
  <c r="L23" i="7"/>
  <c r="M23" i="7"/>
  <c r="N23" i="7"/>
  <c r="O23" i="7"/>
  <c r="P23" i="7"/>
  <c r="L14" i="7"/>
  <c r="L12" i="7"/>
  <c r="M12" i="7"/>
  <c r="M14" i="7" s="1"/>
  <c r="N12" i="7"/>
  <c r="N14" i="7" s="1"/>
  <c r="O12" i="7"/>
  <c r="O14" i="7" s="1"/>
  <c r="P12" i="7"/>
  <c r="P14" i="7" s="1"/>
  <c r="B23" i="7"/>
  <c r="C23" i="7"/>
  <c r="D23" i="7"/>
  <c r="E23" i="7"/>
  <c r="F23" i="7"/>
  <c r="G23" i="7"/>
  <c r="H23" i="7"/>
  <c r="I23" i="7"/>
  <c r="J23" i="7"/>
  <c r="K23" i="7"/>
  <c r="G31" i="7"/>
  <c r="H31" i="7"/>
  <c r="I31" i="7"/>
  <c r="J31" i="7"/>
  <c r="K31" i="7"/>
  <c r="G12" i="7"/>
  <c r="G14" i="7" s="1"/>
  <c r="H12" i="7"/>
  <c r="H14" i="7" s="1"/>
  <c r="I12" i="7"/>
  <c r="I14" i="7" s="1"/>
  <c r="I25" i="9" s="1"/>
  <c r="J12" i="7"/>
  <c r="J14" i="7" s="1"/>
  <c r="Q29" i="30" s="1"/>
  <c r="K12" i="7"/>
  <c r="K14" i="7" s="1"/>
  <c r="K25" i="9" s="1"/>
  <c r="C31" i="7"/>
  <c r="D31" i="7"/>
  <c r="E31" i="7"/>
  <c r="F31" i="7"/>
  <c r="B31" i="7"/>
  <c r="C12" i="7"/>
  <c r="C14" i="7" s="1"/>
  <c r="D12" i="7"/>
  <c r="D14" i="7" s="1"/>
  <c r="D25" i="9" s="1"/>
  <c r="E12" i="7"/>
  <c r="E14" i="7" s="1"/>
  <c r="F12" i="7"/>
  <c r="F14" i="7" s="1"/>
  <c r="B12" i="7"/>
  <c r="B14" i="7" s="1"/>
  <c r="U29" i="3"/>
  <c r="T29" i="3"/>
  <c r="U14" i="3"/>
  <c r="T14" i="3"/>
  <c r="S29" i="3"/>
  <c r="R29" i="3"/>
  <c r="Q29" i="3"/>
  <c r="S14" i="3"/>
  <c r="R14" i="3"/>
  <c r="Q14" i="3"/>
  <c r="P29" i="3"/>
  <c r="O29" i="3"/>
  <c r="P14" i="3"/>
  <c r="O14" i="3"/>
  <c r="N29" i="3"/>
  <c r="M29" i="3"/>
  <c r="L29" i="3"/>
  <c r="K16" i="3"/>
  <c r="H14" i="3"/>
  <c r="F14" i="3"/>
  <c r="E14" i="3"/>
  <c r="D14" i="3"/>
  <c r="C29" i="3"/>
  <c r="D29" i="3"/>
  <c r="E29" i="3"/>
  <c r="F29" i="3"/>
  <c r="G29" i="3"/>
  <c r="H29" i="3"/>
  <c r="I29" i="3"/>
  <c r="J29" i="3"/>
  <c r="K29" i="3"/>
  <c r="B29" i="3"/>
  <c r="C12" i="3"/>
  <c r="D12" i="3"/>
  <c r="E12" i="3"/>
  <c r="F12" i="3"/>
  <c r="G12" i="3"/>
  <c r="H12" i="3"/>
  <c r="I12" i="3"/>
  <c r="J12" i="3"/>
  <c r="K12" i="3"/>
  <c r="L12" i="3"/>
  <c r="M12" i="3"/>
  <c r="N12" i="3"/>
  <c r="O12" i="3"/>
  <c r="P12" i="3"/>
  <c r="Q12" i="3"/>
  <c r="R12" i="3"/>
  <c r="S12" i="3"/>
  <c r="T12" i="3"/>
  <c r="U12" i="3"/>
  <c r="B12" i="3"/>
  <c r="C7" i="3"/>
  <c r="D7" i="3"/>
  <c r="E7" i="3"/>
  <c r="F7" i="3"/>
  <c r="G7" i="3"/>
  <c r="H7" i="3"/>
  <c r="I7" i="3"/>
  <c r="J7" i="3"/>
  <c r="K7" i="3"/>
  <c r="L7" i="3"/>
  <c r="M7" i="3"/>
  <c r="N7" i="3"/>
  <c r="O7" i="3"/>
  <c r="P7" i="3"/>
  <c r="Q7" i="3"/>
  <c r="R7" i="3"/>
  <c r="S7" i="3"/>
  <c r="T7" i="3"/>
  <c r="U7" i="3"/>
  <c r="U13" i="3" s="1"/>
  <c r="U15" i="3" s="1"/>
  <c r="U17" i="3" s="1"/>
  <c r="B7" i="3"/>
  <c r="P33" i="6"/>
  <c r="O33" i="6"/>
  <c r="P15" i="6"/>
  <c r="O15" i="6"/>
  <c r="P11" i="6"/>
  <c r="P20" i="6" s="1"/>
  <c r="O11" i="6"/>
  <c r="O20" i="6" s="1"/>
  <c r="N33" i="6"/>
  <c r="N37" i="6"/>
  <c r="N28" i="6"/>
  <c r="M28" i="6"/>
  <c r="M37" i="6" s="1"/>
  <c r="M33" i="6"/>
  <c r="N15" i="6"/>
  <c r="M15" i="6"/>
  <c r="N11" i="6"/>
  <c r="M11" i="6"/>
  <c r="L28" i="6"/>
  <c r="L33" i="6"/>
  <c r="L15" i="6"/>
  <c r="K33" i="6"/>
  <c r="J33" i="6"/>
  <c r="K15" i="6"/>
  <c r="J15" i="6"/>
  <c r="K11" i="6"/>
  <c r="J11" i="6"/>
  <c r="I33" i="6"/>
  <c r="H33" i="6"/>
  <c r="H37" i="6" s="1"/>
  <c r="I15" i="6"/>
  <c r="H15" i="6"/>
  <c r="I11" i="6"/>
  <c r="H11" i="6"/>
  <c r="G36" i="6"/>
  <c r="I20" i="6"/>
  <c r="L20" i="6"/>
  <c r="M20" i="6"/>
  <c r="G15" i="6"/>
  <c r="G20" i="6" s="1"/>
  <c r="G11" i="6"/>
  <c r="F33" i="6"/>
  <c r="F37" i="6" s="1"/>
  <c r="E33" i="6"/>
  <c r="E26" i="6"/>
  <c r="E37" i="6" s="1"/>
  <c r="F11" i="6"/>
  <c r="F20" i="6" s="1"/>
  <c r="E11" i="6"/>
  <c r="D33" i="6"/>
  <c r="C33" i="6"/>
  <c r="C37" i="6" s="1"/>
  <c r="D11" i="6"/>
  <c r="D20" i="6" s="1"/>
  <c r="C11" i="6"/>
  <c r="C20" i="6" s="1"/>
  <c r="P37" i="6"/>
  <c r="O37" i="6"/>
  <c r="L37" i="6"/>
  <c r="K37" i="6"/>
  <c r="J37" i="6"/>
  <c r="I37" i="6"/>
  <c r="G37" i="6"/>
  <c r="D37" i="6"/>
  <c r="B37" i="6"/>
  <c r="E20" i="6"/>
  <c r="B11" i="6"/>
  <c r="B20" i="6" s="1"/>
  <c r="P9" i="6"/>
  <c r="O9" i="6"/>
  <c r="N9" i="6"/>
  <c r="M9" i="6"/>
  <c r="L9" i="6"/>
  <c r="K9" i="6"/>
  <c r="J9" i="6"/>
  <c r="I9" i="6"/>
  <c r="H9" i="6"/>
  <c r="G9" i="6"/>
  <c r="F9" i="6"/>
  <c r="E9" i="6"/>
  <c r="D9" i="6"/>
  <c r="C9" i="6"/>
  <c r="B9" i="6"/>
  <c r="U29" i="2"/>
  <c r="T29" i="2"/>
  <c r="U23" i="2"/>
  <c r="T23" i="2"/>
  <c r="S29" i="2"/>
  <c r="R29" i="2"/>
  <c r="S23" i="2"/>
  <c r="R23" i="2"/>
  <c r="Q29" i="2"/>
  <c r="Q27" i="2"/>
  <c r="Q23" i="2"/>
  <c r="P54" i="2"/>
  <c r="O54" i="2"/>
  <c r="P27" i="2"/>
  <c r="P30" i="2" s="1"/>
  <c r="O27" i="2"/>
  <c r="P19" i="2"/>
  <c r="P21" i="2" s="1"/>
  <c r="O19" i="2"/>
  <c r="O18" i="2"/>
  <c r="N18" i="2"/>
  <c r="N21" i="2" s="1"/>
  <c r="M18" i="2"/>
  <c r="M9" i="2"/>
  <c r="N9" i="2"/>
  <c r="O9" i="2"/>
  <c r="P9" i="2"/>
  <c r="L21" i="2"/>
  <c r="L13" i="2"/>
  <c r="M13" i="2"/>
  <c r="N13" i="2"/>
  <c r="O13" i="2"/>
  <c r="P13" i="2"/>
  <c r="L9" i="2"/>
  <c r="K60" i="2"/>
  <c r="K54" i="2"/>
  <c r="K56" i="2" s="1"/>
  <c r="J60" i="2"/>
  <c r="I60" i="2"/>
  <c r="I61" i="2" s="1"/>
  <c r="H60" i="2"/>
  <c r="H61" i="2" s="1"/>
  <c r="G60" i="2"/>
  <c r="H47" i="2"/>
  <c r="H21" i="2"/>
  <c r="I21" i="2"/>
  <c r="J21" i="2"/>
  <c r="K21" i="2"/>
  <c r="M21" i="2"/>
  <c r="Q21" i="2"/>
  <c r="R21" i="2"/>
  <c r="S21" i="2"/>
  <c r="T21" i="2"/>
  <c r="U21" i="2"/>
  <c r="G21" i="2"/>
  <c r="E9" i="2"/>
  <c r="F9" i="2"/>
  <c r="G9" i="2"/>
  <c r="H9" i="2"/>
  <c r="I9" i="2"/>
  <c r="J9" i="2"/>
  <c r="K9" i="2"/>
  <c r="Q9" i="2"/>
  <c r="R9" i="2"/>
  <c r="S9" i="2"/>
  <c r="T9" i="2"/>
  <c r="U9" i="2"/>
  <c r="D9" i="2"/>
  <c r="C5" i="2"/>
  <c r="C9" i="2" s="1"/>
  <c r="C35" i="2"/>
  <c r="D35" i="2"/>
  <c r="E35" i="2"/>
  <c r="F35" i="2"/>
  <c r="G35" i="2"/>
  <c r="H35" i="2"/>
  <c r="I35" i="2"/>
  <c r="J35" i="2"/>
  <c r="K35" i="2"/>
  <c r="L35" i="2"/>
  <c r="M35" i="2"/>
  <c r="N35" i="2"/>
  <c r="O35" i="2"/>
  <c r="P35" i="2"/>
  <c r="Q35" i="2"/>
  <c r="R35" i="2"/>
  <c r="S35" i="2"/>
  <c r="T35" i="2"/>
  <c r="U35" i="2"/>
  <c r="B35" i="2"/>
  <c r="C21" i="2"/>
  <c r="D21" i="2"/>
  <c r="E21" i="2"/>
  <c r="F21" i="2"/>
  <c r="B21" i="2"/>
  <c r="C13" i="2"/>
  <c r="D13" i="2"/>
  <c r="E13" i="2"/>
  <c r="F13" i="2"/>
  <c r="G13" i="2"/>
  <c r="H13" i="2"/>
  <c r="I13" i="2"/>
  <c r="J13" i="2"/>
  <c r="K13" i="2"/>
  <c r="Q13" i="2"/>
  <c r="R13" i="2"/>
  <c r="S13" i="2"/>
  <c r="T13" i="2"/>
  <c r="U13" i="2"/>
  <c r="B13" i="2"/>
  <c r="C74" i="2"/>
  <c r="D74" i="2"/>
  <c r="E74" i="2"/>
  <c r="F74" i="2"/>
  <c r="G74" i="2"/>
  <c r="H74" i="2"/>
  <c r="I74" i="2"/>
  <c r="J74" i="2"/>
  <c r="K74" i="2"/>
  <c r="L74" i="2"/>
  <c r="M74" i="2"/>
  <c r="N74" i="2"/>
  <c r="O74" i="2"/>
  <c r="P74" i="2"/>
  <c r="Q74" i="2"/>
  <c r="R74" i="2"/>
  <c r="S74" i="2"/>
  <c r="T74" i="2"/>
  <c r="U74" i="2"/>
  <c r="B74" i="2"/>
  <c r="C68" i="2"/>
  <c r="D68" i="2"/>
  <c r="E68" i="2"/>
  <c r="F68" i="2"/>
  <c r="G68" i="2"/>
  <c r="H68" i="2"/>
  <c r="I68" i="2"/>
  <c r="J68" i="2"/>
  <c r="K68" i="2"/>
  <c r="L68" i="2"/>
  <c r="M68" i="2"/>
  <c r="N68" i="2"/>
  <c r="O68" i="2"/>
  <c r="P68" i="2"/>
  <c r="Q68" i="2"/>
  <c r="R68" i="2"/>
  <c r="S68" i="2"/>
  <c r="T68" i="2"/>
  <c r="U68" i="2"/>
  <c r="B68" i="2"/>
  <c r="C61" i="2"/>
  <c r="D61" i="2"/>
  <c r="E61" i="2"/>
  <c r="F61" i="2"/>
  <c r="G61" i="2"/>
  <c r="J61" i="2"/>
  <c r="K61" i="2"/>
  <c r="L61" i="2"/>
  <c r="M61" i="2"/>
  <c r="N61" i="2"/>
  <c r="O61" i="2"/>
  <c r="P61" i="2"/>
  <c r="Q61" i="2"/>
  <c r="R61" i="2"/>
  <c r="S61" i="2"/>
  <c r="T61" i="2"/>
  <c r="U61" i="2"/>
  <c r="B61" i="2"/>
  <c r="C56" i="2"/>
  <c r="D56" i="2"/>
  <c r="E56" i="2"/>
  <c r="F56" i="2"/>
  <c r="G56" i="2"/>
  <c r="H56" i="2"/>
  <c r="I56" i="2"/>
  <c r="J56" i="2"/>
  <c r="L56" i="2"/>
  <c r="M56" i="2"/>
  <c r="N56" i="2"/>
  <c r="O56" i="2"/>
  <c r="P56" i="2"/>
  <c r="Q56" i="2"/>
  <c r="R56" i="2"/>
  <c r="S56" i="2"/>
  <c r="T56" i="2"/>
  <c r="U56" i="2"/>
  <c r="B56" i="2"/>
  <c r="C47" i="2"/>
  <c r="D47" i="2"/>
  <c r="E47" i="2"/>
  <c r="F47" i="2"/>
  <c r="G47" i="2"/>
  <c r="I47" i="2"/>
  <c r="J47" i="2"/>
  <c r="K47" i="2"/>
  <c r="L47" i="2"/>
  <c r="M47" i="2"/>
  <c r="N47" i="2"/>
  <c r="O47" i="2"/>
  <c r="P47" i="2"/>
  <c r="Q47" i="2"/>
  <c r="R47" i="2"/>
  <c r="S47" i="2"/>
  <c r="T47" i="2"/>
  <c r="U47" i="2"/>
  <c r="B47" i="2"/>
  <c r="C42" i="2"/>
  <c r="D42" i="2"/>
  <c r="E42" i="2"/>
  <c r="F42" i="2"/>
  <c r="G42" i="2"/>
  <c r="H42" i="2"/>
  <c r="I42" i="2"/>
  <c r="J42" i="2"/>
  <c r="K42" i="2"/>
  <c r="L42" i="2"/>
  <c r="M42" i="2"/>
  <c r="N42" i="2"/>
  <c r="O42" i="2"/>
  <c r="P42" i="2"/>
  <c r="Q42" i="2"/>
  <c r="R42" i="2"/>
  <c r="S42" i="2"/>
  <c r="T42" i="2"/>
  <c r="U42" i="2"/>
  <c r="B42" i="2"/>
  <c r="B9" i="2"/>
  <c r="C10" i="1" a="1"/>
  <c r="C10" i="1" s="1"/>
  <c r="D10" i="1" a="1"/>
  <c r="D10" i="1" s="1"/>
  <c r="E10" i="1" a="1"/>
  <c r="E10" i="1" s="1"/>
  <c r="F10" i="1" a="1"/>
  <c r="F10" i="1" s="1"/>
  <c r="G10" i="1" a="1"/>
  <c r="G10" i="1" s="1"/>
  <c r="H10" i="1" a="1"/>
  <c r="H10" i="1" s="1"/>
  <c r="B10" i="1" a="1"/>
  <c r="B10" i="1" s="1"/>
  <c r="C11" i="1" a="1"/>
  <c r="C11" i="1" s="1"/>
  <c r="D11" i="1" a="1"/>
  <c r="D11" i="1" s="1"/>
  <c r="E11" i="1" a="1"/>
  <c r="E11" i="1" s="1"/>
  <c r="F11" i="1" a="1"/>
  <c r="F11" i="1" s="1"/>
  <c r="G11" i="1" a="1"/>
  <c r="G11" i="1" s="1"/>
  <c r="H11" i="1" a="1"/>
  <c r="H11" i="1" s="1"/>
  <c r="C13" i="1" a="1"/>
  <c r="C13" i="1" s="1"/>
  <c r="C14" i="1" s="1"/>
  <c r="D13" i="1" a="1"/>
  <c r="D13" i="1" s="1"/>
  <c r="D14" i="1" s="1"/>
  <c r="E13" i="1" a="1"/>
  <c r="E13" i="1" s="1"/>
  <c r="E14" i="1" s="1"/>
  <c r="F13" i="1" a="1"/>
  <c r="F13" i="1" s="1"/>
  <c r="F14" i="1" s="1"/>
  <c r="G13" i="1" a="1"/>
  <c r="G13" i="1" s="1"/>
  <c r="G14" i="1" s="1"/>
  <c r="F43" i="9" s="1"/>
  <c r="F44" i="9" s="1"/>
  <c r="H13" i="1" a="1"/>
  <c r="H13" i="1" s="1"/>
  <c r="H14" i="1" s="1"/>
  <c r="C15" i="1" a="1"/>
  <c r="C15" i="1" s="1"/>
  <c r="D15" i="1" a="1"/>
  <c r="D15" i="1" s="1"/>
  <c r="E15" i="1" a="1"/>
  <c r="E15" i="1" s="1"/>
  <c r="F15" i="1" a="1"/>
  <c r="F15" i="1" s="1"/>
  <c r="G15" i="1" a="1"/>
  <c r="G15" i="1" s="1"/>
  <c r="H15" i="1" a="1"/>
  <c r="H15" i="1" s="1"/>
  <c r="B15" i="1" a="1"/>
  <c r="B15" i="1" s="1"/>
  <c r="B13" i="1" a="1"/>
  <c r="B13" i="1" s="1"/>
  <c r="B14" i="1" s="1"/>
  <c r="B11" i="1" a="1"/>
  <c r="B11" i="1" s="1"/>
  <c r="C8" i="1" a="1"/>
  <c r="C8" i="1" s="1"/>
  <c r="D8" i="1" a="1"/>
  <c r="D8" i="1" s="1"/>
  <c r="E8" i="1" a="1"/>
  <c r="E8" i="1" s="1"/>
  <c r="F8" i="1" a="1"/>
  <c r="F8" i="1" s="1"/>
  <c r="G8" i="1" a="1"/>
  <c r="G8" i="1" s="1"/>
  <c r="H8" i="1" a="1"/>
  <c r="H8" i="1" s="1"/>
  <c r="B8" i="1" a="1"/>
  <c r="B8" i="1" s="1"/>
  <c r="C7" i="1" a="1"/>
  <c r="C7" i="1" s="1"/>
  <c r="D7" i="1" a="1"/>
  <c r="D7" i="1" s="1"/>
  <c r="E7" i="1" a="1"/>
  <c r="E7" i="1" s="1"/>
  <c r="F7" i="1" a="1"/>
  <c r="F7" i="1" s="1"/>
  <c r="G7" i="1" a="1"/>
  <c r="G7" i="1" s="1"/>
  <c r="H7" i="1" a="1"/>
  <c r="H7" i="1" s="1"/>
  <c r="B7" i="1" a="1"/>
  <c r="B7" i="1" s="1"/>
  <c r="C5" i="1" a="1"/>
  <c r="C5" i="1" s="1"/>
  <c r="D5" i="1" a="1"/>
  <c r="D5" i="1" s="1"/>
  <c r="E5" i="1" a="1"/>
  <c r="E5" i="1" s="1"/>
  <c r="F5" i="1" a="1"/>
  <c r="F5" i="1" s="1"/>
  <c r="G5" i="1" a="1"/>
  <c r="G5" i="1" s="1"/>
  <c r="H5" i="1" a="1"/>
  <c r="H5" i="1" s="1"/>
  <c r="B5" i="1" a="1"/>
  <c r="B5" i="1" s="1"/>
  <c r="C6" i="1" a="1"/>
  <c r="C6" i="1" s="1"/>
  <c r="D6" i="1" a="1"/>
  <c r="D6" i="1" s="1"/>
  <c r="E6" i="1" a="1"/>
  <c r="E6" i="1" s="1"/>
  <c r="F6" i="1" a="1"/>
  <c r="F6" i="1" s="1"/>
  <c r="G6" i="1" a="1"/>
  <c r="G6" i="1" s="1"/>
  <c r="H6" i="1" a="1"/>
  <c r="H6" i="1" s="1"/>
  <c r="B6" i="1" a="1"/>
  <c r="B6" i="1" s="1"/>
  <c r="G12" i="1" l="1"/>
  <c r="G18" i="1"/>
  <c r="G19" i="1" s="1"/>
  <c r="H12" i="1"/>
  <c r="H18" i="1"/>
  <c r="H19" i="1" s="1"/>
  <c r="F12" i="1"/>
  <c r="F18" i="1"/>
  <c r="F19" i="1" s="1"/>
  <c r="E12" i="1"/>
  <c r="E18" i="1"/>
  <c r="E19" i="1" s="1"/>
  <c r="D12" i="1"/>
  <c r="D18" i="1"/>
  <c r="D19" i="1" s="1"/>
  <c r="C12" i="1"/>
  <c r="C18" i="1"/>
  <c r="C19" i="1" s="1"/>
  <c r="E6" i="10"/>
  <c r="F4" i="13" s="1"/>
  <c r="AF15" i="14" s="1"/>
  <c r="D6" i="10"/>
  <c r="E4" i="13" s="1"/>
  <c r="E8" i="13" s="1"/>
  <c r="B6" i="10"/>
  <c r="C4" i="13" s="1"/>
  <c r="C4" i="14" s="1"/>
  <c r="B19" i="16" s="1"/>
  <c r="C6" i="10"/>
  <c r="D4" i="13" s="1"/>
  <c r="N15" i="14" s="1"/>
  <c r="G6" i="10"/>
  <c r="H4" i="13" s="1"/>
  <c r="H8" i="13" s="1"/>
  <c r="H6" i="10"/>
  <c r="I4" i="13" s="1"/>
  <c r="I8" i="13" s="1"/>
  <c r="F6" i="10"/>
  <c r="G4" i="13" s="1"/>
  <c r="AP15" i="14" s="1"/>
  <c r="B12" i="1"/>
  <c r="B18" i="1"/>
  <c r="B19" i="1" s="1"/>
  <c r="J9" i="38"/>
  <c r="D17" i="38"/>
  <c r="P34" i="9"/>
  <c r="P14" i="9" s="1"/>
  <c r="BE11" i="12" s="1"/>
  <c r="BD11" i="12" s="1"/>
  <c r="F34" i="9"/>
  <c r="F10" i="10"/>
  <c r="G6" i="13" s="1"/>
  <c r="G7" i="13" s="1"/>
  <c r="O34" i="9"/>
  <c r="C34" i="9"/>
  <c r="C14" i="9" s="1"/>
  <c r="G10" i="10"/>
  <c r="H6" i="13" s="1"/>
  <c r="H7" i="13" s="1"/>
  <c r="N34" i="9"/>
  <c r="H10" i="10"/>
  <c r="I6" i="13" s="1"/>
  <c r="I7" i="13" s="1"/>
  <c r="K34" i="9"/>
  <c r="J34" i="9"/>
  <c r="J14" i="9" s="1"/>
  <c r="I34" i="9"/>
  <c r="I14" i="9" s="1"/>
  <c r="H34" i="9"/>
  <c r="H14" i="9" s="1"/>
  <c r="M35" i="9"/>
  <c r="G5" i="5"/>
  <c r="AL20" i="12"/>
  <c r="AL24" i="12" s="1"/>
  <c r="AQ36" i="14"/>
  <c r="AR36" i="14" s="1"/>
  <c r="F25" i="7"/>
  <c r="F9" i="9" s="1"/>
  <c r="E25" i="7"/>
  <c r="E9" i="9" s="1"/>
  <c r="AM6" i="12"/>
  <c r="AL7" i="12"/>
  <c r="Q24" i="30"/>
  <c r="R24" i="30"/>
  <c r="F25" i="9"/>
  <c r="F8" i="9"/>
  <c r="P4" i="37"/>
  <c r="E25" i="9"/>
  <c r="E8" i="9"/>
  <c r="O4" i="37"/>
  <c r="O8" i="37" s="1"/>
  <c r="C25" i="7"/>
  <c r="C9" i="9" s="1"/>
  <c r="D25" i="7"/>
  <c r="D9" i="9" s="1"/>
  <c r="P24" i="30"/>
  <c r="D8" i="9"/>
  <c r="N4" i="37"/>
  <c r="N8" i="37" s="1"/>
  <c r="C8" i="9"/>
  <c r="AM9" i="12"/>
  <c r="O24" i="30"/>
  <c r="C25" i="9"/>
  <c r="M4" i="37"/>
  <c r="M8" i="37" s="1"/>
  <c r="B8" i="9"/>
  <c r="B25" i="9"/>
  <c r="B25" i="7"/>
  <c r="B9" i="9" s="1"/>
  <c r="N24" i="30"/>
  <c r="L4" i="37"/>
  <c r="R29" i="30"/>
  <c r="AU7" i="12"/>
  <c r="K8" i="9"/>
  <c r="J8" i="9"/>
  <c r="J25" i="9"/>
  <c r="O16" i="37"/>
  <c r="P29" i="30"/>
  <c r="I8" i="9"/>
  <c r="N16" i="37"/>
  <c r="O29" i="30"/>
  <c r="AV6" i="12"/>
  <c r="H8" i="9"/>
  <c r="H25" i="9"/>
  <c r="M16" i="37"/>
  <c r="G25" i="7"/>
  <c r="G33" i="7" s="1"/>
  <c r="G6" i="9" s="1"/>
  <c r="L16" i="37"/>
  <c r="L11" i="37"/>
  <c r="G25" i="9"/>
  <c r="Q12" i="37"/>
  <c r="G9" i="9"/>
  <c r="G8" i="9"/>
  <c r="N29" i="30"/>
  <c r="G7" i="9"/>
  <c r="C36" i="3"/>
  <c r="G35" i="3"/>
  <c r="P35" i="3"/>
  <c r="B5" i="15"/>
  <c r="C5" i="15" s="1"/>
  <c r="D5" i="15" s="1"/>
  <c r="D36" i="3"/>
  <c r="H35" i="3"/>
  <c r="Q35" i="3"/>
  <c r="E36" i="3"/>
  <c r="I35" i="3"/>
  <c r="R35" i="3"/>
  <c r="F36" i="3"/>
  <c r="J35" i="3"/>
  <c r="S35" i="3"/>
  <c r="B36" i="3"/>
  <c r="C35" i="3"/>
  <c r="L35" i="3"/>
  <c r="T35" i="3"/>
  <c r="F35" i="3"/>
  <c r="O35" i="3"/>
  <c r="D35" i="3"/>
  <c r="M35" i="3"/>
  <c r="U35" i="3"/>
  <c r="E35" i="3"/>
  <c r="N35" i="3"/>
  <c r="B35" i="3"/>
  <c r="M36" i="3"/>
  <c r="N36" i="3"/>
  <c r="O36" i="3"/>
  <c r="P36" i="3"/>
  <c r="L36" i="3"/>
  <c r="H5" i="15"/>
  <c r="R36" i="3"/>
  <c r="S36" i="3"/>
  <c r="Q36" i="3"/>
  <c r="T36" i="3"/>
  <c r="K5" i="15"/>
  <c r="U36" i="3"/>
  <c r="H36" i="3"/>
  <c r="E5" i="15"/>
  <c r="F5" i="15" s="1"/>
  <c r="G5" i="15" s="1"/>
  <c r="G36" i="3"/>
  <c r="J36" i="3"/>
  <c r="K36" i="3"/>
  <c r="O42" i="7"/>
  <c r="O41" i="7"/>
  <c r="P42" i="7"/>
  <c r="P41" i="7"/>
  <c r="L42" i="7"/>
  <c r="L41" i="7"/>
  <c r="T5" i="15"/>
  <c r="E23" i="17" s="1"/>
  <c r="N42" i="7"/>
  <c r="N41" i="7"/>
  <c r="M42" i="7"/>
  <c r="M41" i="7"/>
  <c r="D42" i="7"/>
  <c r="C42" i="7"/>
  <c r="C41" i="7"/>
  <c r="E42" i="7"/>
  <c r="D41" i="7"/>
  <c r="G40" i="7"/>
  <c r="F42" i="7"/>
  <c r="E41" i="7"/>
  <c r="F41" i="7"/>
  <c r="B41" i="7"/>
  <c r="N5" i="15"/>
  <c r="P5" i="15" s="1"/>
  <c r="C40" i="7"/>
  <c r="H42" i="7"/>
  <c r="H41" i="7"/>
  <c r="Q5" i="15"/>
  <c r="R5" i="15" s="1"/>
  <c r="U13" i="17" s="1"/>
  <c r="I42" i="7"/>
  <c r="I41" i="7"/>
  <c r="G42" i="7"/>
  <c r="G41" i="7"/>
  <c r="J42" i="7"/>
  <c r="J41" i="7"/>
  <c r="K42" i="7"/>
  <c r="K41" i="7"/>
  <c r="K35" i="3"/>
  <c r="B42" i="7"/>
  <c r="I36" i="3"/>
  <c r="M6" i="5"/>
  <c r="S8" i="5"/>
  <c r="S17" i="5"/>
  <c r="S22" i="5"/>
  <c r="S27" i="5"/>
  <c r="S28" i="5"/>
  <c r="Y29" i="5"/>
  <c r="M30" i="5"/>
  <c r="S5" i="5"/>
  <c r="S9" i="5"/>
  <c r="G9" i="5"/>
  <c r="M18" i="5"/>
  <c r="L19" i="12" s="1"/>
  <c r="L25" i="12" s="1"/>
  <c r="M24" i="5"/>
  <c r="AC19" i="12"/>
  <c r="AG36" i="14" s="1"/>
  <c r="M17" i="5"/>
  <c r="G16" i="5"/>
  <c r="M5" i="5"/>
  <c r="S7" i="5"/>
  <c r="V33" i="14" s="1"/>
  <c r="M21" i="5"/>
  <c r="G18" i="5"/>
  <c r="C19" i="12" s="1"/>
  <c r="G21" i="5"/>
  <c r="S29" i="5"/>
  <c r="G6" i="5"/>
  <c r="S6" i="5"/>
  <c r="G8" i="5"/>
  <c r="S16" i="5"/>
  <c r="S18" i="5"/>
  <c r="U19" i="12" s="1"/>
  <c r="Y20" i="5"/>
  <c r="S21" i="5"/>
  <c r="G24" i="5"/>
  <c r="Y25" i="5"/>
  <c r="G27" i="5"/>
  <c r="M27" i="5"/>
  <c r="Y27" i="5"/>
  <c r="G29" i="5"/>
  <c r="G30" i="5"/>
  <c r="S30" i="5"/>
  <c r="M20" i="5"/>
  <c r="M28" i="5"/>
  <c r="M9" i="5"/>
  <c r="M16" i="5"/>
  <c r="M25" i="5"/>
  <c r="M7" i="5"/>
  <c r="L33" i="14" s="1"/>
  <c r="G22" i="5"/>
  <c r="M29" i="5"/>
  <c r="Y30" i="5"/>
  <c r="Y7" i="5"/>
  <c r="AF33" i="14" s="1"/>
  <c r="Y8" i="5"/>
  <c r="Y9" i="5"/>
  <c r="S24" i="5"/>
  <c r="S25" i="5"/>
  <c r="Y28" i="5"/>
  <c r="G17" i="5"/>
  <c r="S20" i="5"/>
  <c r="Y21" i="5"/>
  <c r="M22" i="5"/>
  <c r="M8" i="5"/>
  <c r="G20" i="5"/>
  <c r="G7" i="5"/>
  <c r="Y18" i="5"/>
  <c r="AD19" i="12" s="1"/>
  <c r="Y24" i="5"/>
  <c r="G28" i="5"/>
  <c r="K34" i="3"/>
  <c r="X34" i="5"/>
  <c r="AC16" i="12" s="1"/>
  <c r="K16" i="12"/>
  <c r="M5" i="12"/>
  <c r="AC8" i="12"/>
  <c r="AC10" i="12" s="1"/>
  <c r="K8" i="12"/>
  <c r="AN7" i="12"/>
  <c r="AO7" i="12" s="1"/>
  <c r="AP7" i="12" s="1"/>
  <c r="AQ7" i="12" s="1"/>
  <c r="AR7" i="12" s="1"/>
  <c r="AS7" i="12" s="1"/>
  <c r="S8" i="30"/>
  <c r="N5" i="12"/>
  <c r="O5" i="12" s="1"/>
  <c r="P5" i="12" s="1"/>
  <c r="Q5" i="12" s="1"/>
  <c r="R5" i="12" s="1"/>
  <c r="V9" i="12"/>
  <c r="W9" i="12" s="1"/>
  <c r="X9" i="12" s="1"/>
  <c r="Y9" i="12" s="1"/>
  <c r="Z9" i="12" s="1"/>
  <c r="AA9" i="12" s="1"/>
  <c r="BA36" i="14"/>
  <c r="BF29" i="12"/>
  <c r="BG29" i="12" s="1"/>
  <c r="AE7" i="12"/>
  <c r="AF7" i="12" s="1"/>
  <c r="AG7" i="12" s="1"/>
  <c r="AH7" i="12" s="1"/>
  <c r="AI7" i="12" s="1"/>
  <c r="AJ7" i="12" s="1"/>
  <c r="AH9" i="12"/>
  <c r="AI9" i="12" s="1"/>
  <c r="O26" i="37"/>
  <c r="P25" i="37"/>
  <c r="P26" i="37" s="1"/>
  <c r="N25" i="37"/>
  <c r="N26" i="37" s="1"/>
  <c r="M25" i="37"/>
  <c r="M26" i="37" s="1"/>
  <c r="L25" i="37"/>
  <c r="Q25" i="37" s="1"/>
  <c r="Q24" i="37"/>
  <c r="P16" i="37"/>
  <c r="L15" i="37"/>
  <c r="Q14" i="37"/>
  <c r="Q13" i="37"/>
  <c r="O17" i="37"/>
  <c r="M17" i="37"/>
  <c r="L17" i="37"/>
  <c r="O9" i="37"/>
  <c r="Q9" i="37" s="1"/>
  <c r="N9" i="37"/>
  <c r="P8" i="37"/>
  <c r="F33" i="37"/>
  <c r="F32" i="37"/>
  <c r="E33" i="37"/>
  <c r="E34" i="37" s="1"/>
  <c r="H32" i="37"/>
  <c r="H33" i="37"/>
  <c r="D34" i="37"/>
  <c r="G31" i="37"/>
  <c r="G34" i="37" s="1"/>
  <c r="H31" i="37"/>
  <c r="F31" i="37"/>
  <c r="F34" i="37" s="1"/>
  <c r="C34" i="37"/>
  <c r="E25" i="37"/>
  <c r="E26" i="37" s="1"/>
  <c r="D25" i="37"/>
  <c r="D26" i="37" s="1"/>
  <c r="G25" i="37"/>
  <c r="G26" i="37" s="1"/>
  <c r="F25" i="37"/>
  <c r="F26" i="37" s="1"/>
  <c r="C24" i="37"/>
  <c r="H24" i="37" s="1"/>
  <c r="C23" i="37"/>
  <c r="H23" i="37" s="1"/>
  <c r="D18" i="37"/>
  <c r="H15" i="37"/>
  <c r="H8" i="37"/>
  <c r="G8" i="37"/>
  <c r="G16" i="37"/>
  <c r="C9" i="37"/>
  <c r="H11" i="37"/>
  <c r="G7" i="37"/>
  <c r="H7" i="37" s="1"/>
  <c r="D7" i="37"/>
  <c r="D8" i="37"/>
  <c r="F18" i="37"/>
  <c r="E18" i="37"/>
  <c r="G17" i="37"/>
  <c r="H16" i="37"/>
  <c r="C18" i="37"/>
  <c r="F9" i="37"/>
  <c r="F10" i="37" s="1"/>
  <c r="E9" i="37"/>
  <c r="E10" i="37" s="1"/>
  <c r="D9" i="37"/>
  <c r="C10" i="37"/>
  <c r="L11" i="33"/>
  <c r="M29" i="33"/>
  <c r="H22" i="33"/>
  <c r="Q12" i="33"/>
  <c r="O10" i="33"/>
  <c r="L10" i="33"/>
  <c r="Q10" i="33"/>
  <c r="Q36" i="33" s="1"/>
  <c r="Q22" i="33"/>
  <c r="O24" i="33"/>
  <c r="L17" i="33"/>
  <c r="P9" i="33"/>
  <c r="M24" i="33"/>
  <c r="Q21" i="33"/>
  <c r="L29" i="33"/>
  <c r="H15" i="33"/>
  <c r="L24" i="33"/>
  <c r="M14" i="33"/>
  <c r="O30" i="33"/>
  <c r="O22" i="33"/>
  <c r="Q6" i="33"/>
  <c r="O12" i="33"/>
  <c r="L12" i="33"/>
  <c r="H27" i="33"/>
  <c r="M30" i="33"/>
  <c r="M22" i="33"/>
  <c r="O29" i="33"/>
  <c r="K17" i="33"/>
  <c r="M17" i="33"/>
  <c r="P11" i="33"/>
  <c r="P18" i="33"/>
  <c r="P10" i="33"/>
  <c r="P17" i="33"/>
  <c r="P24" i="33"/>
  <c r="P16" i="33"/>
  <c r="P15" i="33"/>
  <c r="P19" i="33"/>
  <c r="P30" i="33"/>
  <c r="P22" i="33"/>
  <c r="P14" i="33"/>
  <c r="P6" i="33"/>
  <c r="P27" i="33"/>
  <c r="P29" i="33"/>
  <c r="P21" i="33"/>
  <c r="P28" i="33"/>
  <c r="P12" i="33"/>
  <c r="L3" i="33"/>
  <c r="L34" i="33"/>
  <c r="L26" i="33"/>
  <c r="L33" i="33"/>
  <c r="L25" i="33"/>
  <c r="L9" i="33"/>
  <c r="L32" i="33"/>
  <c r="L8" i="33"/>
  <c r="L31" i="33"/>
  <c r="L23" i="33"/>
  <c r="L7" i="33"/>
  <c r="L13" i="33"/>
  <c r="L5" i="33"/>
  <c r="L20" i="33"/>
  <c r="L4" i="33"/>
  <c r="K10" i="33"/>
  <c r="H9" i="33"/>
  <c r="H14" i="33"/>
  <c r="H6" i="33"/>
  <c r="H17" i="33"/>
  <c r="H16" i="33"/>
  <c r="G51" i="16"/>
  <c r="G68" i="16"/>
  <c r="B50" i="16"/>
  <c r="D72" i="16"/>
  <c r="H72" i="16"/>
  <c r="C51" i="16"/>
  <c r="E41" i="16"/>
  <c r="D34" i="16"/>
  <c r="G43" i="16"/>
  <c r="E42" i="16"/>
  <c r="G37" i="16"/>
  <c r="E51" i="16"/>
  <c r="C50" i="16"/>
  <c r="B72" i="16"/>
  <c r="D35" i="16"/>
  <c r="H33" i="16"/>
  <c r="B44" i="16"/>
  <c r="F42" i="16"/>
  <c r="D43" i="16"/>
  <c r="C41" i="16"/>
  <c r="B33" i="16"/>
  <c r="D37" i="16"/>
  <c r="H34" i="16"/>
  <c r="F33" i="16"/>
  <c r="F70" i="16"/>
  <c r="E44" i="16"/>
  <c r="C37" i="16"/>
  <c r="G34" i="16"/>
  <c r="E33" i="16"/>
  <c r="D44" i="16"/>
  <c r="G42" i="16"/>
  <c r="F51" i="16"/>
  <c r="B60" i="16"/>
  <c r="D41" i="16"/>
  <c r="H41" i="16"/>
  <c r="B35" i="16"/>
  <c r="H35" i="16"/>
  <c r="F34" i="16"/>
  <c r="D33" i="16"/>
  <c r="C44" i="16"/>
  <c r="C43" i="16"/>
  <c r="B37" i="16"/>
  <c r="E34" i="16"/>
  <c r="C33" i="16"/>
  <c r="B41" i="16"/>
  <c r="H43" i="16"/>
  <c r="C42" i="16"/>
  <c r="B61" i="16"/>
  <c r="B62" i="16"/>
  <c r="AJ9" i="12"/>
  <c r="T8" i="12"/>
  <c r="T10" i="12" s="1"/>
  <c r="T12" i="12" s="1"/>
  <c r="AW29" i="12"/>
  <c r="AX29" i="12" s="1"/>
  <c r="AE5" i="12"/>
  <c r="AE9" i="12"/>
  <c r="AF9" i="12"/>
  <c r="AG9" i="12" s="1"/>
  <c r="AN29" i="12"/>
  <c r="AO29" i="12" s="1"/>
  <c r="M36" i="14"/>
  <c r="D7" i="12"/>
  <c r="E7" i="12" s="1"/>
  <c r="K10" i="12"/>
  <c r="V5" i="12"/>
  <c r="W36" i="14"/>
  <c r="Y5" i="5"/>
  <c r="B8" i="12"/>
  <c r="B10" i="12" s="1"/>
  <c r="BF5" i="12"/>
  <c r="BF18" i="12" s="1"/>
  <c r="BF19" i="12" s="1"/>
  <c r="M7" i="12"/>
  <c r="N7" i="12" s="1"/>
  <c r="O7" i="12" s="1"/>
  <c r="P7" i="12" s="1"/>
  <c r="Q7" i="12" s="1"/>
  <c r="R7" i="12" s="1"/>
  <c r="AW7" i="12"/>
  <c r="AX7" i="12" s="1"/>
  <c r="AY7" i="12" s="1"/>
  <c r="AZ7" i="12" s="1"/>
  <c r="BA7" i="12" s="1"/>
  <c r="BB7" i="12" s="1"/>
  <c r="D5" i="12"/>
  <c r="BF7" i="12"/>
  <c r="BG7" i="12" s="1"/>
  <c r="BH7" i="12" s="1"/>
  <c r="BI7" i="12" s="1"/>
  <c r="V16" i="12"/>
  <c r="V18" i="12"/>
  <c r="W5" i="12"/>
  <c r="M18" i="12"/>
  <c r="M19" i="12" s="1"/>
  <c r="T13" i="12"/>
  <c r="T14" i="12" s="1"/>
  <c r="T23" i="12" s="1"/>
  <c r="AN5" i="12"/>
  <c r="AL8" i="12"/>
  <c r="M8" i="12"/>
  <c r="M16" i="12"/>
  <c r="V7" i="12"/>
  <c r="W7" i="12" s="1"/>
  <c r="X7" i="12" s="1"/>
  <c r="Y7" i="12" s="1"/>
  <c r="Z7" i="12" s="1"/>
  <c r="AA7" i="12" s="1"/>
  <c r="AW5" i="12"/>
  <c r="BD8" i="12"/>
  <c r="BD10" i="12" s="1"/>
  <c r="BD20" i="12"/>
  <c r="BD24" i="12" s="1"/>
  <c r="AU8" i="12"/>
  <c r="AU10" i="12" s="1"/>
  <c r="E35" i="9"/>
  <c r="L35" i="9"/>
  <c r="D35" i="9"/>
  <c r="O34" i="5"/>
  <c r="O14" i="5" s="1"/>
  <c r="I34" i="5"/>
  <c r="I14" i="5" s="1"/>
  <c r="H34" i="5"/>
  <c r="H14" i="5" s="1"/>
  <c r="B34" i="5"/>
  <c r="B14" i="5" s="1"/>
  <c r="F34" i="5"/>
  <c r="E34" i="5"/>
  <c r="E14" i="5" s="1"/>
  <c r="R34" i="5"/>
  <c r="Q34" i="5"/>
  <c r="Q14" i="5" s="1"/>
  <c r="P34" i="5"/>
  <c r="P14" i="5" s="1"/>
  <c r="V35" i="5"/>
  <c r="L35" i="5"/>
  <c r="C35" i="5"/>
  <c r="U35" i="5"/>
  <c r="K35" i="5"/>
  <c r="J35" i="5"/>
  <c r="W34" i="5"/>
  <c r="W14" i="5" s="1"/>
  <c r="N34" i="5"/>
  <c r="N14" i="5" s="1"/>
  <c r="D34" i="5"/>
  <c r="D14" i="5" s="1"/>
  <c r="T35" i="5"/>
  <c r="O48" i="8"/>
  <c r="O90" i="8" s="1"/>
  <c r="N90" i="8"/>
  <c r="M90" i="8"/>
  <c r="L90" i="8"/>
  <c r="G90" i="8"/>
  <c r="G94" i="8" s="1"/>
  <c r="H93" i="8" s="1"/>
  <c r="P90" i="8"/>
  <c r="H90" i="8"/>
  <c r="F90" i="8"/>
  <c r="E90" i="8"/>
  <c r="D90" i="8"/>
  <c r="J90" i="8"/>
  <c r="K90" i="8"/>
  <c r="C90" i="8"/>
  <c r="I90" i="8"/>
  <c r="B90" i="8"/>
  <c r="B94" i="8" s="1"/>
  <c r="C93" i="8" s="1"/>
  <c r="R28" i="4"/>
  <c r="C50" i="4"/>
  <c r="P50" i="4"/>
  <c r="U50" i="4"/>
  <c r="B50" i="4"/>
  <c r="M50" i="4"/>
  <c r="R50" i="4"/>
  <c r="Q50" i="4"/>
  <c r="O50" i="4"/>
  <c r="D50" i="4"/>
  <c r="N50" i="4"/>
  <c r="T50" i="4"/>
  <c r="L50" i="4"/>
  <c r="K50" i="4"/>
  <c r="S50" i="4"/>
  <c r="J50" i="4"/>
  <c r="I50" i="4"/>
  <c r="G50" i="4"/>
  <c r="G53" i="4" s="1"/>
  <c r="H52" i="4" s="1"/>
  <c r="H50" i="4"/>
  <c r="F50" i="4"/>
  <c r="E50" i="4"/>
  <c r="B53" i="4"/>
  <c r="C52" i="4" s="1"/>
  <c r="O25" i="7"/>
  <c r="O33" i="7" s="1"/>
  <c r="P25" i="7"/>
  <c r="P33" i="7" s="1"/>
  <c r="M25" i="7"/>
  <c r="M33" i="7" s="1"/>
  <c r="N25" i="7"/>
  <c r="N33" i="7" s="1"/>
  <c r="L33" i="7"/>
  <c r="K25" i="7"/>
  <c r="I25" i="7"/>
  <c r="H25" i="7"/>
  <c r="J25" i="7"/>
  <c r="F33" i="7"/>
  <c r="F40" i="7" s="1"/>
  <c r="E33" i="7"/>
  <c r="C33" i="7"/>
  <c r="B33" i="7"/>
  <c r="B40" i="7" s="1"/>
  <c r="T13" i="3"/>
  <c r="T15" i="3" s="1"/>
  <c r="T17" i="3" s="1"/>
  <c r="S13" i="3"/>
  <c r="S15" i="3" s="1"/>
  <c r="S17" i="3" s="1"/>
  <c r="R13" i="3"/>
  <c r="R15" i="3" s="1"/>
  <c r="R17" i="3" s="1"/>
  <c r="Q13" i="3"/>
  <c r="Q15" i="3" s="1"/>
  <c r="Q17" i="3" s="1"/>
  <c r="P13" i="3"/>
  <c r="P15" i="3" s="1"/>
  <c r="P17" i="3" s="1"/>
  <c r="O13" i="3"/>
  <c r="O15" i="3" s="1"/>
  <c r="O17" i="3" s="1"/>
  <c r="N13" i="3"/>
  <c r="N15" i="3" s="1"/>
  <c r="N17" i="3" s="1"/>
  <c r="M13" i="3"/>
  <c r="M15" i="3" s="1"/>
  <c r="M17" i="3" s="1"/>
  <c r="L13" i="3"/>
  <c r="L15" i="3" s="1"/>
  <c r="L17" i="3" s="1"/>
  <c r="K13" i="3"/>
  <c r="K15" i="3" s="1"/>
  <c r="K17" i="3" s="1"/>
  <c r="J13" i="3"/>
  <c r="J15" i="3" s="1"/>
  <c r="J17" i="3" s="1"/>
  <c r="I13" i="3"/>
  <c r="I15" i="3" s="1"/>
  <c r="I17" i="3" s="1"/>
  <c r="H13" i="3"/>
  <c r="H15" i="3" s="1"/>
  <c r="H17" i="3" s="1"/>
  <c r="G13" i="3"/>
  <c r="G15" i="3" s="1"/>
  <c r="G17" i="3" s="1"/>
  <c r="F13" i="3"/>
  <c r="F15" i="3" s="1"/>
  <c r="F17" i="3" s="1"/>
  <c r="E13" i="3"/>
  <c r="E15" i="3" s="1"/>
  <c r="E17" i="3" s="1"/>
  <c r="D13" i="3"/>
  <c r="D15" i="3" s="1"/>
  <c r="D17" i="3" s="1"/>
  <c r="C13" i="3"/>
  <c r="C15" i="3" s="1"/>
  <c r="C17" i="3" s="1"/>
  <c r="B13" i="3"/>
  <c r="B15" i="3" s="1"/>
  <c r="B17" i="3" s="1"/>
  <c r="P21" i="6"/>
  <c r="N20" i="6"/>
  <c r="N21" i="6" s="1"/>
  <c r="L21" i="6"/>
  <c r="K20" i="6"/>
  <c r="J20" i="6"/>
  <c r="J21" i="6" s="1"/>
  <c r="K21" i="6"/>
  <c r="H20" i="6"/>
  <c r="G21" i="6"/>
  <c r="O21" i="6"/>
  <c r="M21" i="6"/>
  <c r="I21" i="6"/>
  <c r="H21" i="6"/>
  <c r="F21" i="6"/>
  <c r="E21" i="6"/>
  <c r="D21" i="6"/>
  <c r="B21" i="6"/>
  <c r="C21" i="6"/>
  <c r="D62" i="2"/>
  <c r="L30" i="2"/>
  <c r="T62" i="2"/>
  <c r="S62" i="2"/>
  <c r="S30" i="2"/>
  <c r="R30" i="2"/>
  <c r="Q30" i="2"/>
  <c r="O48" i="2"/>
  <c r="O21" i="2"/>
  <c r="O30" i="2" s="1"/>
  <c r="N48" i="2"/>
  <c r="M30" i="2"/>
  <c r="N30" i="2"/>
  <c r="L62" i="2"/>
  <c r="O62" i="2"/>
  <c r="G75" i="2"/>
  <c r="U62" i="2"/>
  <c r="M62" i="2"/>
  <c r="G48" i="2"/>
  <c r="K62" i="2"/>
  <c r="Q62" i="2"/>
  <c r="I62" i="2"/>
  <c r="G62" i="2"/>
  <c r="R48" i="2"/>
  <c r="J48" i="2"/>
  <c r="P62" i="2"/>
  <c r="H62" i="2"/>
  <c r="P48" i="2"/>
  <c r="H48" i="2"/>
  <c r="N62" i="2"/>
  <c r="F62" i="2"/>
  <c r="E62" i="2"/>
  <c r="F48" i="2"/>
  <c r="T48" i="2"/>
  <c r="L48" i="2"/>
  <c r="D48" i="2"/>
  <c r="R62" i="2"/>
  <c r="J62" i="2"/>
  <c r="B48" i="2"/>
  <c r="U48" i="2"/>
  <c r="M48" i="2"/>
  <c r="E48" i="2"/>
  <c r="S48" i="2"/>
  <c r="K48" i="2"/>
  <c r="C48" i="2"/>
  <c r="Q48" i="2"/>
  <c r="I48" i="2"/>
  <c r="N75" i="2"/>
  <c r="F75" i="2"/>
  <c r="H30" i="2"/>
  <c r="O75" i="2"/>
  <c r="J30" i="2"/>
  <c r="F30" i="2"/>
  <c r="E30" i="2"/>
  <c r="D30" i="2"/>
  <c r="K30" i="2"/>
  <c r="C30" i="2"/>
  <c r="B30" i="2"/>
  <c r="T30" i="2"/>
  <c r="S75" i="2"/>
  <c r="K75" i="2"/>
  <c r="C75" i="2"/>
  <c r="I30" i="2"/>
  <c r="U30" i="2"/>
  <c r="C62" i="2"/>
  <c r="Q75" i="2"/>
  <c r="I75" i="2"/>
  <c r="G30" i="2"/>
  <c r="R75" i="2"/>
  <c r="J75" i="2"/>
  <c r="H75" i="2"/>
  <c r="B62" i="2"/>
  <c r="B75" i="2"/>
  <c r="U75" i="2"/>
  <c r="M75" i="2"/>
  <c r="E75" i="2"/>
  <c r="P75" i="2"/>
  <c r="T75" i="2"/>
  <c r="L75" i="2"/>
  <c r="L79" i="2" s="1"/>
  <c r="D75" i="2"/>
  <c r="F7" i="10" l="1"/>
  <c r="B7" i="10"/>
  <c r="V15" i="14"/>
  <c r="W8" i="14" s="1"/>
  <c r="F36" i="16" s="1"/>
  <c r="D8" i="13"/>
  <c r="M15" i="14"/>
  <c r="N36" i="14" s="1"/>
  <c r="C7" i="10"/>
  <c r="L15" i="14"/>
  <c r="M10" i="14" s="1"/>
  <c r="H27" i="16" s="1"/>
  <c r="AZ15" i="14"/>
  <c r="BA9" i="14" s="1"/>
  <c r="G64" i="16" s="1"/>
  <c r="M4" i="14"/>
  <c r="M25" i="14" s="1"/>
  <c r="P36" i="14" s="1"/>
  <c r="F8" i="13"/>
  <c r="E7" i="10"/>
  <c r="G7" i="10"/>
  <c r="BJ15" i="14"/>
  <c r="BK4" i="14" s="1"/>
  <c r="B69" i="16" s="1"/>
  <c r="D7" i="10"/>
  <c r="H7" i="10"/>
  <c r="C6" i="14"/>
  <c r="D19" i="16" s="1"/>
  <c r="C15" i="14"/>
  <c r="D15" i="14" s="1"/>
  <c r="C9" i="14"/>
  <c r="G19" i="16" s="1"/>
  <c r="C8" i="13"/>
  <c r="C5" i="14"/>
  <c r="C19" i="16" s="1"/>
  <c r="C8" i="14"/>
  <c r="F19" i="16" s="1"/>
  <c r="C7" i="14"/>
  <c r="E19" i="16" s="1"/>
  <c r="B15" i="14"/>
  <c r="C10" i="14"/>
  <c r="H19" i="16" s="1"/>
  <c r="AL16" i="12"/>
  <c r="F14" i="9"/>
  <c r="AM11" i="12" s="1"/>
  <c r="AU16" i="12"/>
  <c r="K14" i="9"/>
  <c r="AV11" i="12" s="1"/>
  <c r="G8" i="13"/>
  <c r="BD12" i="12"/>
  <c r="BD13" i="12" s="1"/>
  <c r="BD14" i="12" s="1"/>
  <c r="BD23" i="12" s="1"/>
  <c r="B33" i="14"/>
  <c r="V36" i="14"/>
  <c r="P3" i="37"/>
  <c r="P7" i="37" s="1"/>
  <c r="P10" i="37" s="1"/>
  <c r="F27" i="9"/>
  <c r="F7" i="9"/>
  <c r="R25" i="30"/>
  <c r="F6" i="9"/>
  <c r="O3" i="37"/>
  <c r="O7" i="37" s="1"/>
  <c r="O10" i="37" s="1"/>
  <c r="E27" i="9"/>
  <c r="E7" i="9"/>
  <c r="Q25" i="30"/>
  <c r="E6" i="9"/>
  <c r="E40" i="7"/>
  <c r="D33" i="7"/>
  <c r="D40" i="7" s="1"/>
  <c r="P25" i="30"/>
  <c r="D27" i="9"/>
  <c r="D7" i="9"/>
  <c r="D6" i="9"/>
  <c r="C27" i="9"/>
  <c r="M3" i="37"/>
  <c r="M7" i="37" s="1"/>
  <c r="M10" i="37" s="1"/>
  <c r="C7" i="9"/>
  <c r="C6" i="9"/>
  <c r="O25" i="30"/>
  <c r="L8" i="37"/>
  <c r="Q8" i="37" s="1"/>
  <c r="Q4" i="37"/>
  <c r="B27" i="9"/>
  <c r="B7" i="9"/>
  <c r="B6" i="9"/>
  <c r="N25" i="30"/>
  <c r="L3" i="37"/>
  <c r="Q16" i="37"/>
  <c r="K33" i="7"/>
  <c r="K9" i="9"/>
  <c r="J33" i="7"/>
  <c r="J9" i="9"/>
  <c r="I33" i="7"/>
  <c r="I9" i="9"/>
  <c r="H33" i="7"/>
  <c r="H9" i="9"/>
  <c r="N30" i="30"/>
  <c r="G27" i="9"/>
  <c r="E3" i="17"/>
  <c r="M13" i="17"/>
  <c r="M3" i="17"/>
  <c r="S5" i="15"/>
  <c r="AC20" i="12"/>
  <c r="AC24" i="12" s="1"/>
  <c r="X14" i="5"/>
  <c r="AF36" i="14"/>
  <c r="AC26" i="12" s="1"/>
  <c r="AF25" i="14" s="1"/>
  <c r="V19" i="12"/>
  <c r="W37" i="14" s="1"/>
  <c r="V37" i="14" s="1"/>
  <c r="S15" i="30" s="1"/>
  <c r="R14" i="5"/>
  <c r="S14" i="5" s="1"/>
  <c r="U11" i="12" s="1"/>
  <c r="T16" i="12"/>
  <c r="F14" i="5"/>
  <c r="G14" i="5" s="1"/>
  <c r="C11" i="12" s="1"/>
  <c r="B16" i="12"/>
  <c r="B11" i="12" s="1"/>
  <c r="B12" i="12" s="1"/>
  <c r="B13" i="12" s="1"/>
  <c r="B14" i="12" s="1"/>
  <c r="B23" i="12" s="1"/>
  <c r="M14" i="5"/>
  <c r="L11" i="12" s="1"/>
  <c r="K11" i="12" s="1"/>
  <c r="K12" i="12" s="1"/>
  <c r="K13" i="12" s="1"/>
  <c r="K14" i="12" s="1"/>
  <c r="K23" i="12" s="1"/>
  <c r="Y14" i="5"/>
  <c r="AD11" i="12" s="1"/>
  <c r="AC12" i="12" s="1"/>
  <c r="AC13" i="12" s="1"/>
  <c r="AC14" i="12" s="1"/>
  <c r="BF16" i="12"/>
  <c r="BG5" i="12"/>
  <c r="S33" i="30"/>
  <c r="AE8" i="12"/>
  <c r="AE10" i="12" s="1"/>
  <c r="BB36" i="14"/>
  <c r="S13" i="30"/>
  <c r="BJ36" i="14"/>
  <c r="BM36" i="14" s="1"/>
  <c r="S23" i="30"/>
  <c r="S28" i="30"/>
  <c r="T13" i="30"/>
  <c r="BF20" i="12"/>
  <c r="BF24" i="12" s="1"/>
  <c r="BK37" i="14"/>
  <c r="BL37" i="14" s="1"/>
  <c r="S18" i="30"/>
  <c r="S3" i="30"/>
  <c r="AE18" i="12"/>
  <c r="AE19" i="12" s="1"/>
  <c r="AC21" i="12"/>
  <c r="T8" i="30"/>
  <c r="M10" i="12"/>
  <c r="S9" i="30"/>
  <c r="L26" i="37"/>
  <c r="Q26" i="37" s="1"/>
  <c r="Q17" i="37"/>
  <c r="L18" i="37"/>
  <c r="H34" i="37"/>
  <c r="H25" i="37"/>
  <c r="C26" i="37"/>
  <c r="H26" i="37" s="1"/>
  <c r="G18" i="37"/>
  <c r="G10" i="37"/>
  <c r="D10" i="37"/>
  <c r="H10" i="37" s="1"/>
  <c r="H9" i="37"/>
  <c r="H17" i="37"/>
  <c r="H18" i="37"/>
  <c r="AL10" i="12"/>
  <c r="K36" i="33"/>
  <c r="L36" i="33"/>
  <c r="H36" i="33"/>
  <c r="P36" i="33"/>
  <c r="D50" i="16"/>
  <c r="H50" i="16"/>
  <c r="F59" i="16"/>
  <c r="G72" i="16"/>
  <c r="D51" i="16"/>
  <c r="E70" i="16"/>
  <c r="B71" i="16"/>
  <c r="C72" i="16"/>
  <c r="H70" i="16"/>
  <c r="B68" i="16"/>
  <c r="F72" i="16"/>
  <c r="E72" i="16"/>
  <c r="C59" i="16"/>
  <c r="D70" i="16"/>
  <c r="G59" i="16"/>
  <c r="B51" i="16"/>
  <c r="F68" i="16"/>
  <c r="E59" i="16"/>
  <c r="D68" i="16"/>
  <c r="C70" i="16"/>
  <c r="H68" i="16"/>
  <c r="B70" i="16"/>
  <c r="F50" i="16"/>
  <c r="E68" i="16"/>
  <c r="C71" i="16"/>
  <c r="E50" i="16"/>
  <c r="C68" i="16"/>
  <c r="H51" i="16"/>
  <c r="G50" i="16"/>
  <c r="AQ8" i="14"/>
  <c r="F55" i="16" s="1"/>
  <c r="AQ7" i="14"/>
  <c r="E55" i="16" s="1"/>
  <c r="AQ10" i="14"/>
  <c r="H55" i="16" s="1"/>
  <c r="AQ9" i="14"/>
  <c r="G55" i="16" s="1"/>
  <c r="AQ6" i="14"/>
  <c r="D55" i="16" s="1"/>
  <c r="AQ5" i="14"/>
  <c r="C55" i="16" s="1"/>
  <c r="AQ4" i="14"/>
  <c r="B55" i="16" s="1"/>
  <c r="AY29" i="12"/>
  <c r="AY25" i="12" s="1"/>
  <c r="AX25" i="12"/>
  <c r="BF11" i="12"/>
  <c r="AW25" i="12"/>
  <c r="D8" i="12"/>
  <c r="D18" i="12"/>
  <c r="D19" i="12" s="1"/>
  <c r="D20" i="12" s="1"/>
  <c r="D24" i="12" s="1"/>
  <c r="M37" i="14"/>
  <c r="M20" i="12"/>
  <c r="M24" i="12" s="1"/>
  <c r="AE16" i="12"/>
  <c r="AF5" i="12"/>
  <c r="AG15" i="14"/>
  <c r="F7" i="12"/>
  <c r="C36" i="14"/>
  <c r="B36" i="14" s="1"/>
  <c r="BH29" i="12"/>
  <c r="BF8" i="12"/>
  <c r="BF9" i="12" s="1"/>
  <c r="E5" i="12"/>
  <c r="E8" i="12" s="1"/>
  <c r="V8" i="12"/>
  <c r="AP29" i="12"/>
  <c r="AZ29" i="12"/>
  <c r="T26" i="12"/>
  <c r="W8" i="12"/>
  <c r="X5" i="12"/>
  <c r="W18" i="12"/>
  <c r="W19" i="12" s="1"/>
  <c r="W38" i="14" s="1"/>
  <c r="V38" i="14" s="1"/>
  <c r="T15" i="30" s="1"/>
  <c r="W16" i="12"/>
  <c r="V20" i="12"/>
  <c r="V24" i="12" s="1"/>
  <c r="AX5" i="12"/>
  <c r="AW16" i="12"/>
  <c r="AW6" i="12"/>
  <c r="AW8" i="12" s="1"/>
  <c r="AW9" i="12" s="1"/>
  <c r="AW18" i="12"/>
  <c r="AW19" i="12" s="1"/>
  <c r="AN16" i="12"/>
  <c r="AN18" i="12"/>
  <c r="AN19" i="12" s="1"/>
  <c r="AO5" i="12"/>
  <c r="AN6" i="12"/>
  <c r="AN8" i="12" s="1"/>
  <c r="AN9" i="12" s="1"/>
  <c r="N8" i="12"/>
  <c r="N18" i="12"/>
  <c r="N19" i="12" s="1"/>
  <c r="N16" i="12"/>
  <c r="BG18" i="12"/>
  <c r="BG19" i="12" s="1"/>
  <c r="BG16" i="12"/>
  <c r="BG6" i="12"/>
  <c r="BG8" i="12" s="1"/>
  <c r="BH5" i="12"/>
  <c r="BG11" i="12"/>
  <c r="C25" i="14"/>
  <c r="BJ7" i="12"/>
  <c r="BK7" i="12" s="1"/>
  <c r="BD26" i="12"/>
  <c r="BD21" i="12" s="1"/>
  <c r="BD25" i="12" s="1"/>
  <c r="L94" i="8"/>
  <c r="M93" i="8" s="1"/>
  <c r="M94" i="8" s="1"/>
  <c r="N93" i="8" s="1"/>
  <c r="H94" i="8"/>
  <c r="I93" i="8" s="1"/>
  <c r="I94" i="8" s="1"/>
  <c r="J93" i="8" s="1"/>
  <c r="J94" i="8" s="1"/>
  <c r="K93" i="8" s="1"/>
  <c r="K94" i="8" s="1"/>
  <c r="C94" i="8"/>
  <c r="D93" i="8" s="1"/>
  <c r="D94" i="8" s="1"/>
  <c r="E93" i="8" s="1"/>
  <c r="E94" i="8" s="1"/>
  <c r="F93" i="8" s="1"/>
  <c r="F94" i="8" s="1"/>
  <c r="C53" i="4"/>
  <c r="D52" i="4" s="1"/>
  <c r="D53" i="4" s="1"/>
  <c r="E52" i="4" s="1"/>
  <c r="E53" i="4" s="1"/>
  <c r="F52" i="4" s="1"/>
  <c r="F53" i="4" s="1"/>
  <c r="Q53" i="4"/>
  <c r="R52" i="4" s="1"/>
  <c r="R53" i="4" s="1"/>
  <c r="S52" i="4" s="1"/>
  <c r="S53" i="4" s="1"/>
  <c r="T52" i="4" s="1"/>
  <c r="L53" i="4"/>
  <c r="M53" i="4" s="1"/>
  <c r="H53" i="4"/>
  <c r="I52" i="4" s="1"/>
  <c r="I53" i="4" s="1"/>
  <c r="J52" i="4" s="1"/>
  <c r="J53" i="4" s="1"/>
  <c r="K52" i="4" s="1"/>
  <c r="K53" i="4" s="1"/>
  <c r="S79" i="2"/>
  <c r="B79" i="2"/>
  <c r="Q79" i="2"/>
  <c r="D79" i="2"/>
  <c r="M79" i="2"/>
  <c r="U79" i="2"/>
  <c r="O79" i="2"/>
  <c r="K79" i="2"/>
  <c r="I79" i="2"/>
  <c r="P79" i="2"/>
  <c r="G79" i="2"/>
  <c r="N79" i="2"/>
  <c r="H79" i="2"/>
  <c r="J79" i="2"/>
  <c r="T79" i="2"/>
  <c r="C79" i="2"/>
  <c r="F79" i="2"/>
  <c r="E79" i="2"/>
  <c r="R79" i="2"/>
  <c r="N37" i="14" l="1"/>
  <c r="W9" i="14"/>
  <c r="G36" i="16" s="1"/>
  <c r="W10" i="14"/>
  <c r="H36" i="16" s="1"/>
  <c r="W15" i="14"/>
  <c r="X37" i="14" s="1"/>
  <c r="Y37" i="14" s="1"/>
  <c r="W5" i="14"/>
  <c r="C36" i="16" s="1"/>
  <c r="W6" i="14"/>
  <c r="D36" i="16" s="1"/>
  <c r="W7" i="14"/>
  <c r="E36" i="16" s="1"/>
  <c r="W4" i="14"/>
  <c r="B36" i="16" s="1"/>
  <c r="M31" i="14"/>
  <c r="P42" i="14" s="1"/>
  <c r="M9" i="14"/>
  <c r="M30" i="14" s="1"/>
  <c r="P41" i="14" s="1"/>
  <c r="M5" i="14"/>
  <c r="M26" i="14" s="1"/>
  <c r="P37" i="14" s="1"/>
  <c r="M6" i="14"/>
  <c r="M27" i="14" s="1"/>
  <c r="P38" i="14" s="1"/>
  <c r="M7" i="14"/>
  <c r="M28" i="14" s="1"/>
  <c r="P39" i="14" s="1"/>
  <c r="M8" i="14"/>
  <c r="M29" i="14" s="1"/>
  <c r="P40" i="14" s="1"/>
  <c r="BA4" i="14"/>
  <c r="BD36" i="14" s="1"/>
  <c r="BA10" i="14"/>
  <c r="H64" i="16" s="1"/>
  <c r="BA5" i="14"/>
  <c r="C64" i="16" s="1"/>
  <c r="BA6" i="14"/>
  <c r="D64" i="16" s="1"/>
  <c r="BA7" i="14"/>
  <c r="E64" i="16" s="1"/>
  <c r="BA8" i="14"/>
  <c r="F64" i="16" s="1"/>
  <c r="B27" i="16"/>
  <c r="BK8" i="14"/>
  <c r="F69" i="16" s="1"/>
  <c r="BK9" i="14"/>
  <c r="G69" i="16" s="1"/>
  <c r="BK5" i="14"/>
  <c r="C69" i="16" s="1"/>
  <c r="BK6" i="14"/>
  <c r="D69" i="16" s="1"/>
  <c r="BK10" i="14"/>
  <c r="H69" i="16" s="1"/>
  <c r="BK7" i="14"/>
  <c r="E69" i="16" s="1"/>
  <c r="C30" i="14"/>
  <c r="F41" i="14" s="1"/>
  <c r="C27" i="14"/>
  <c r="F38" i="14" s="1"/>
  <c r="C26" i="14"/>
  <c r="F37" i="14" s="1"/>
  <c r="C29" i="14"/>
  <c r="F40" i="14" s="1"/>
  <c r="C28" i="14"/>
  <c r="F39" i="14" s="1"/>
  <c r="C31" i="14"/>
  <c r="F42" i="14" s="1"/>
  <c r="AU11" i="12"/>
  <c r="AU12" i="12" s="1"/>
  <c r="AU13" i="12" s="1"/>
  <c r="AU14" i="12" s="1"/>
  <c r="AU23" i="12" s="1"/>
  <c r="AW11" i="12"/>
  <c r="AL11" i="12"/>
  <c r="AN11" i="12"/>
  <c r="AL12" i="12"/>
  <c r="AL13" i="12" s="1"/>
  <c r="AL14" i="12" s="1"/>
  <c r="AL23" i="12" s="1"/>
  <c r="AE11" i="12"/>
  <c r="N11" i="12"/>
  <c r="N3" i="37"/>
  <c r="N7" i="37" s="1"/>
  <c r="N10" i="37" s="1"/>
  <c r="AP33" i="14"/>
  <c r="Q3" i="37"/>
  <c r="L7" i="37"/>
  <c r="K7" i="9"/>
  <c r="P11" i="37"/>
  <c r="K6" i="9"/>
  <c r="R30" i="30"/>
  <c r="K27" i="9"/>
  <c r="K40" i="7"/>
  <c r="O11" i="37"/>
  <c r="O15" i="37" s="1"/>
  <c r="O18" i="37" s="1"/>
  <c r="Q30" i="30"/>
  <c r="J27" i="9"/>
  <c r="J7" i="9"/>
  <c r="J6" i="9"/>
  <c r="J40" i="7"/>
  <c r="N11" i="37"/>
  <c r="N15" i="37" s="1"/>
  <c r="N18" i="37" s="1"/>
  <c r="I6" i="9"/>
  <c r="I27" i="9"/>
  <c r="I7" i="9"/>
  <c r="P30" i="30"/>
  <c r="I40" i="7"/>
  <c r="M11" i="37"/>
  <c r="M15" i="37" s="1"/>
  <c r="O30" i="30"/>
  <c r="H6" i="9"/>
  <c r="H27" i="9"/>
  <c r="H7" i="9"/>
  <c r="G12" i="10"/>
  <c r="AV26" i="12" s="1"/>
  <c r="AU26" i="12" s="1"/>
  <c r="H40" i="7"/>
  <c r="V11" i="12"/>
  <c r="AE24" i="12"/>
  <c r="AE20" i="12"/>
  <c r="L36" i="14"/>
  <c r="K26" i="12"/>
  <c r="K21" i="12" s="1"/>
  <c r="K25" i="12" s="1"/>
  <c r="D11" i="12"/>
  <c r="O36" i="14"/>
  <c r="Q36" i="14" s="1"/>
  <c r="W11" i="12"/>
  <c r="M11" i="12"/>
  <c r="M12" i="12" s="1"/>
  <c r="M13" i="12" s="1"/>
  <c r="M14" i="12" s="1"/>
  <c r="AG37" i="14"/>
  <c r="AF37" i="14" s="1"/>
  <c r="AE12" i="12"/>
  <c r="AE13" i="12" s="1"/>
  <c r="AE14" i="12" s="1"/>
  <c r="AE23" i="12" s="1"/>
  <c r="S19" i="30"/>
  <c r="BK38" i="14"/>
  <c r="BL38" i="14" s="1"/>
  <c r="T34" i="30"/>
  <c r="BG9" i="12"/>
  <c r="BG10" i="12" s="1"/>
  <c r="BG12" i="12" s="1"/>
  <c r="BG13" i="12" s="1"/>
  <c r="BG14" i="12" s="1"/>
  <c r="T28" i="30"/>
  <c r="AW20" i="12"/>
  <c r="AW24" i="12" s="1"/>
  <c r="BA37" i="14"/>
  <c r="U13" i="30"/>
  <c r="T3" i="30"/>
  <c r="AW10" i="12"/>
  <c r="AW12" i="12" s="1"/>
  <c r="S29" i="30"/>
  <c r="BF10" i="12"/>
  <c r="BF12" i="12" s="1"/>
  <c r="BF13" i="12" s="1"/>
  <c r="BF14" i="12" s="1"/>
  <c r="S34" i="30"/>
  <c r="AQ37" i="14"/>
  <c r="AR37" i="14" s="1"/>
  <c r="S24" i="30"/>
  <c r="AN10" i="12"/>
  <c r="BD27" i="12"/>
  <c r="BJ4" i="14" s="1"/>
  <c r="B11" i="16" s="1"/>
  <c r="J72" i="16" s="1"/>
  <c r="BJ25" i="14"/>
  <c r="U33" i="30"/>
  <c r="T23" i="30"/>
  <c r="T18" i="30"/>
  <c r="AF18" i="12"/>
  <c r="AF19" i="12" s="1"/>
  <c r="T33" i="30"/>
  <c r="V10" i="12"/>
  <c r="V12" i="12" s="1"/>
  <c r="V13" i="12" s="1"/>
  <c r="V14" i="12" s="1"/>
  <c r="V23" i="12" s="1"/>
  <c r="V26" i="12" s="1"/>
  <c r="V26" i="14" s="1"/>
  <c r="S14" i="30"/>
  <c r="AC25" i="12"/>
  <c r="AC27" i="12" s="1"/>
  <c r="AF4" i="14" s="1"/>
  <c r="B8" i="16" s="1"/>
  <c r="W10" i="12"/>
  <c r="T14" i="30"/>
  <c r="D10" i="12"/>
  <c r="S4" i="30"/>
  <c r="E10" i="12"/>
  <c r="T4" i="30"/>
  <c r="U8" i="30"/>
  <c r="N10" i="12"/>
  <c r="N12" i="12" s="1"/>
  <c r="N13" i="12" s="1"/>
  <c r="T9" i="30"/>
  <c r="AL21" i="12"/>
  <c r="AL25" i="12" s="1"/>
  <c r="AP36" i="14"/>
  <c r="AS36" i="14" s="1"/>
  <c r="P37" i="33"/>
  <c r="D59" i="16"/>
  <c r="D71" i="16"/>
  <c r="E71" i="16"/>
  <c r="E73" i="16"/>
  <c r="C73" i="16"/>
  <c r="G71" i="16"/>
  <c r="F71" i="16"/>
  <c r="B59" i="16"/>
  <c r="F73" i="16"/>
  <c r="H71" i="16"/>
  <c r="H59" i="16"/>
  <c r="G73" i="16"/>
  <c r="BK25" i="14"/>
  <c r="BA30" i="14"/>
  <c r="BD41" i="14"/>
  <c r="AT37" i="14"/>
  <c r="AT36" i="14"/>
  <c r="AT41" i="14"/>
  <c r="AT38" i="14"/>
  <c r="AT42" i="14"/>
  <c r="AT39" i="14"/>
  <c r="AT40" i="14"/>
  <c r="AG10" i="14"/>
  <c r="H46" i="16" s="1"/>
  <c r="V25" i="14"/>
  <c r="AG5" i="12"/>
  <c r="AF16" i="12"/>
  <c r="AF11" i="12" s="1"/>
  <c r="AF8" i="12"/>
  <c r="T21" i="12"/>
  <c r="E16" i="12"/>
  <c r="E11" i="12" s="1"/>
  <c r="E18" i="12"/>
  <c r="E19" i="12" s="1"/>
  <c r="E20" i="12" s="1"/>
  <c r="E24" i="12" s="1"/>
  <c r="F5" i="12"/>
  <c r="M38" i="14"/>
  <c r="N38" i="14" s="1"/>
  <c r="N20" i="12"/>
  <c r="N24" i="12" s="1"/>
  <c r="K24" i="12"/>
  <c r="AG4" i="14"/>
  <c r="AG5" i="14"/>
  <c r="C46" i="16" s="1"/>
  <c r="AG6" i="14"/>
  <c r="D46" i="16" s="1"/>
  <c r="AG7" i="14"/>
  <c r="E46" i="16" s="1"/>
  <c r="AG8" i="14"/>
  <c r="F46" i="16" s="1"/>
  <c r="AG9" i="14"/>
  <c r="G46" i="16" s="1"/>
  <c r="AH15" i="14"/>
  <c r="D36" i="14"/>
  <c r="E36" i="14" s="1"/>
  <c r="W29" i="14"/>
  <c r="B26" i="12"/>
  <c r="B21" i="12" s="1"/>
  <c r="G7" i="12"/>
  <c r="AQ29" i="12"/>
  <c r="BI29" i="12"/>
  <c r="AZ25" i="12"/>
  <c r="BA29" i="12"/>
  <c r="AL26" i="12"/>
  <c r="BI5" i="12"/>
  <c r="BH18" i="12"/>
  <c r="BH19" i="12" s="1"/>
  <c r="BH16" i="12"/>
  <c r="BH6" i="12"/>
  <c r="BH8" i="12" s="1"/>
  <c r="BH11" i="12"/>
  <c r="O18" i="12"/>
  <c r="O19" i="12" s="1"/>
  <c r="O16" i="12"/>
  <c r="O11" i="12" s="1"/>
  <c r="O8" i="12"/>
  <c r="AO6" i="12"/>
  <c r="AO8" i="12" s="1"/>
  <c r="AO9" i="12" s="1"/>
  <c r="AO11" i="12"/>
  <c r="AO18" i="12"/>
  <c r="AO19" i="12" s="1"/>
  <c r="AO16" i="12"/>
  <c r="AP5" i="12"/>
  <c r="AN20" i="12"/>
  <c r="AN24" i="12" s="1"/>
  <c r="X16" i="12"/>
  <c r="X11" i="12" s="1"/>
  <c r="X18" i="12"/>
  <c r="X19" i="12" s="1"/>
  <c r="Y5" i="12"/>
  <c r="X8" i="12"/>
  <c r="BG20" i="12"/>
  <c r="BG24" i="12" s="1"/>
  <c r="AX18" i="12"/>
  <c r="AX19" i="12" s="1"/>
  <c r="AX11" i="12"/>
  <c r="AX16" i="12"/>
  <c r="AX6" i="12"/>
  <c r="AX8" i="12" s="1"/>
  <c r="AX9" i="12" s="1"/>
  <c r="AY5" i="12"/>
  <c r="W20" i="12"/>
  <c r="W24" i="12" s="1"/>
  <c r="F36" i="14"/>
  <c r="F8" i="12"/>
  <c r="G5" i="12"/>
  <c r="N94" i="8"/>
  <c r="O93" i="8" s="1"/>
  <c r="T53" i="4"/>
  <c r="U52" i="4" s="1"/>
  <c r="U53" i="4" s="1"/>
  <c r="N53" i="4"/>
  <c r="W30" i="14" l="1"/>
  <c r="X38" i="14"/>
  <c r="Y38" i="14" s="1"/>
  <c r="X36" i="14"/>
  <c r="Y36" i="14" s="1"/>
  <c r="X15" i="14"/>
  <c r="W31" i="14"/>
  <c r="Z42" i="14" s="1"/>
  <c r="W26" i="14"/>
  <c r="Z37" i="14" s="1"/>
  <c r="AA37" i="14" s="1"/>
  <c r="C27" i="16"/>
  <c r="BD39" i="14"/>
  <c r="W25" i="14"/>
  <c r="Z36" i="14" s="1"/>
  <c r="G27" i="16"/>
  <c r="W28" i="14"/>
  <c r="Z39" i="14" s="1"/>
  <c r="BD37" i="14"/>
  <c r="W27" i="14"/>
  <c r="Z38" i="14" s="1"/>
  <c r="D27" i="16"/>
  <c r="BK30" i="14"/>
  <c r="BN41" i="14" s="1"/>
  <c r="BD42" i="14"/>
  <c r="E27" i="16"/>
  <c r="F27" i="16"/>
  <c r="B64" i="16"/>
  <c r="BA31" i="14"/>
  <c r="BA25" i="14"/>
  <c r="BA27" i="14"/>
  <c r="BD38" i="14"/>
  <c r="BA26" i="14"/>
  <c r="BD40" i="14"/>
  <c r="BA29" i="14"/>
  <c r="BA28" i="14"/>
  <c r="BK29" i="14"/>
  <c r="BN40" i="14" s="1"/>
  <c r="BK28" i="14"/>
  <c r="BN39" i="14" s="1"/>
  <c r="BK31" i="14"/>
  <c r="BN42" i="14" s="1"/>
  <c r="BK27" i="14"/>
  <c r="BN38" i="14" s="1"/>
  <c r="BK26" i="14"/>
  <c r="BN37" i="14" s="1"/>
  <c r="AN12" i="12"/>
  <c r="AN13" i="12" s="1"/>
  <c r="AN14" i="12" s="1"/>
  <c r="AE26" i="12"/>
  <c r="AF26" i="14" s="1"/>
  <c r="AE21" i="12"/>
  <c r="S20" i="30"/>
  <c r="Q7" i="37"/>
  <c r="L10" i="37"/>
  <c r="Q10" i="37" s="1"/>
  <c r="P15" i="37"/>
  <c r="P18" i="37" s="1"/>
  <c r="Q11" i="37"/>
  <c r="AZ33" i="14"/>
  <c r="AZ36" i="14" s="1"/>
  <c r="BC36" i="14" s="1"/>
  <c r="BE36" i="14" s="1"/>
  <c r="M18" i="37"/>
  <c r="Q18" i="37" s="1"/>
  <c r="Q15" i="37"/>
  <c r="E12" i="12"/>
  <c r="E13" i="12" s="1"/>
  <c r="E14" i="12" s="1"/>
  <c r="E23" i="12" s="1"/>
  <c r="E26" i="12" s="1"/>
  <c r="L25" i="14"/>
  <c r="N25" i="14" s="1"/>
  <c r="D12" i="12"/>
  <c r="D13" i="12" s="1"/>
  <c r="D14" i="12" s="1"/>
  <c r="D23" i="12" s="1"/>
  <c r="D26" i="12" s="1"/>
  <c r="B25" i="12"/>
  <c r="B27" i="12" s="1"/>
  <c r="B4" i="14" s="1"/>
  <c r="T25" i="12"/>
  <c r="T27" i="12" s="1"/>
  <c r="V4" i="14" s="1"/>
  <c r="BL4" i="14"/>
  <c r="J69" i="16"/>
  <c r="J71" i="16"/>
  <c r="AU36" i="14"/>
  <c r="AL27" i="12"/>
  <c r="AP4" i="14" s="1"/>
  <c r="AR4" i="14" s="1"/>
  <c r="M23" i="12"/>
  <c r="M26" i="12" s="1"/>
  <c r="S10" i="30"/>
  <c r="W12" i="12"/>
  <c r="W13" i="12" s="1"/>
  <c r="W14" i="12" s="1"/>
  <c r="W23" i="12" s="1"/>
  <c r="W26" i="12" s="1"/>
  <c r="V27" i="14" s="1"/>
  <c r="BG23" i="12"/>
  <c r="T35" i="30"/>
  <c r="AN23" i="12"/>
  <c r="S25" i="30"/>
  <c r="V13" i="30"/>
  <c r="U28" i="30"/>
  <c r="BK39" i="14"/>
  <c r="BL39" i="14" s="1"/>
  <c r="U3" i="30"/>
  <c r="T24" i="30"/>
  <c r="AO10" i="12"/>
  <c r="AO12" i="12" s="1"/>
  <c r="AO13" i="12" s="1"/>
  <c r="BF23" i="12"/>
  <c r="S35" i="30"/>
  <c r="AQ38" i="14"/>
  <c r="AR38" i="14" s="1"/>
  <c r="V33" i="30"/>
  <c r="BB37" i="14"/>
  <c r="U23" i="30"/>
  <c r="AU27" i="12"/>
  <c r="AZ4" i="14" s="1"/>
  <c r="AZ25" i="14"/>
  <c r="AX10" i="12"/>
  <c r="AX12" i="12" s="1"/>
  <c r="AX13" i="12" s="1"/>
  <c r="AX14" i="12" s="1"/>
  <c r="T29" i="30"/>
  <c r="V3" i="30"/>
  <c r="AX20" i="12"/>
  <c r="AX24" i="12" s="1"/>
  <c r="BA38" i="14"/>
  <c r="AG38" i="14"/>
  <c r="AF38" i="14" s="1"/>
  <c r="AF24" i="12"/>
  <c r="AF20" i="12"/>
  <c r="J68" i="16"/>
  <c r="J70" i="16"/>
  <c r="BH9" i="12"/>
  <c r="BH10" i="12" s="1"/>
  <c r="BH12" i="12" s="1"/>
  <c r="BH13" i="12" s="1"/>
  <c r="BH14" i="12" s="1"/>
  <c r="U34" i="30"/>
  <c r="U18" i="30"/>
  <c r="AG18" i="12"/>
  <c r="AG19" i="12" s="1"/>
  <c r="AU21" i="12"/>
  <c r="X10" i="12"/>
  <c r="X12" i="12" s="1"/>
  <c r="X13" i="12" s="1"/>
  <c r="X14" i="12" s="1"/>
  <c r="X23" i="12" s="1"/>
  <c r="U14" i="30"/>
  <c r="J45" i="16"/>
  <c r="J42" i="16"/>
  <c r="J44" i="16"/>
  <c r="J43" i="16"/>
  <c r="J41" i="16"/>
  <c r="AF10" i="12"/>
  <c r="AF12" i="12" s="1"/>
  <c r="AF13" i="12" s="1"/>
  <c r="AF14" i="12" s="1"/>
  <c r="AF23" i="12" s="1"/>
  <c r="T19" i="30"/>
  <c r="F10" i="12"/>
  <c r="U4" i="30"/>
  <c r="V8" i="30"/>
  <c r="O10" i="12"/>
  <c r="O12" i="12" s="1"/>
  <c r="U9" i="30"/>
  <c r="AJ36" i="14"/>
  <c r="B46" i="16"/>
  <c r="J46" i="16" s="1"/>
  <c r="B73" i="16"/>
  <c r="J73" i="16" s="1"/>
  <c r="D73" i="16"/>
  <c r="H73" i="16"/>
  <c r="BN36" i="14"/>
  <c r="BO36" i="14" s="1"/>
  <c r="BL25" i="14"/>
  <c r="AG30" i="14"/>
  <c r="AJ41" i="14"/>
  <c r="AG29" i="14"/>
  <c r="AJ40" i="14"/>
  <c r="AH36" i="14"/>
  <c r="AI36" i="14" s="1"/>
  <c r="AH37" i="14"/>
  <c r="AI37" i="14" s="1"/>
  <c r="AG28" i="14"/>
  <c r="AJ39" i="14"/>
  <c r="AG27" i="14"/>
  <c r="AJ38" i="14"/>
  <c r="AG26" i="14"/>
  <c r="AH26" i="14" s="1"/>
  <c r="AJ37" i="14"/>
  <c r="AG31" i="14"/>
  <c r="AJ42" i="14"/>
  <c r="AH4" i="14"/>
  <c r="AG25" i="14"/>
  <c r="AH25" i="14" s="1"/>
  <c r="N14" i="12"/>
  <c r="B25" i="14"/>
  <c r="D25" i="14" s="1"/>
  <c r="K27" i="12"/>
  <c r="L4" i="14" s="1"/>
  <c r="G16" i="12"/>
  <c r="G18" i="12"/>
  <c r="G19" i="12" s="1"/>
  <c r="M39" i="14"/>
  <c r="N39" i="14" s="1"/>
  <c r="O20" i="12"/>
  <c r="O24" i="12" s="1"/>
  <c r="X20" i="12"/>
  <c r="X24" i="12" s="1"/>
  <c r="W39" i="14"/>
  <c r="AG16" i="12"/>
  <c r="AG11" i="12" s="1"/>
  <c r="AH5" i="12"/>
  <c r="AG8" i="12"/>
  <c r="F18" i="12"/>
  <c r="F19" i="12" s="1"/>
  <c r="F20" i="12" s="1"/>
  <c r="F24" i="12" s="1"/>
  <c r="F16" i="12"/>
  <c r="F11" i="12" s="1"/>
  <c r="V21" i="12"/>
  <c r="V25" i="12" s="1"/>
  <c r="G36" i="14"/>
  <c r="Z41" i="14"/>
  <c r="Z40" i="14"/>
  <c r="D21" i="12"/>
  <c r="D25" i="12" s="1"/>
  <c r="H7" i="12"/>
  <c r="BJ29" i="12"/>
  <c r="BB29" i="12"/>
  <c r="BB25" i="12" s="1"/>
  <c r="BA25" i="12"/>
  <c r="AR29" i="12"/>
  <c r="AY16" i="12"/>
  <c r="AY18" i="12"/>
  <c r="AY19" i="12" s="1"/>
  <c r="BA39" i="14" s="1"/>
  <c r="AY11" i="12"/>
  <c r="AZ5" i="12"/>
  <c r="AY6" i="12"/>
  <c r="AY8" i="12" s="1"/>
  <c r="AY9" i="12" s="1"/>
  <c r="P18" i="12"/>
  <c r="P19" i="12" s="1"/>
  <c r="P16" i="12"/>
  <c r="P11" i="12" s="1"/>
  <c r="P8" i="12"/>
  <c r="AW13" i="12"/>
  <c r="AW14" i="12" s="1"/>
  <c r="AO20" i="12"/>
  <c r="AO24" i="12" s="1"/>
  <c r="BH20" i="12"/>
  <c r="BH24" i="12" s="1"/>
  <c r="Y8" i="12"/>
  <c r="Z5" i="12"/>
  <c r="Y16" i="12"/>
  <c r="Y11" i="12" s="1"/>
  <c r="Y18" i="12"/>
  <c r="Y19" i="12" s="1"/>
  <c r="W40" i="14" s="1"/>
  <c r="AP18" i="12"/>
  <c r="AP19" i="12" s="1"/>
  <c r="AP6" i="12"/>
  <c r="AP8" i="12" s="1"/>
  <c r="AP9" i="12" s="1"/>
  <c r="AQ5" i="12"/>
  <c r="AP16" i="12"/>
  <c r="AP11" i="12"/>
  <c r="BI18" i="12"/>
  <c r="BI19" i="12" s="1"/>
  <c r="BI16" i="12"/>
  <c r="BI6" i="12"/>
  <c r="BI8" i="12" s="1"/>
  <c r="BI11" i="12"/>
  <c r="BJ5" i="12"/>
  <c r="H5" i="12"/>
  <c r="G8" i="12"/>
  <c r="O94" i="8"/>
  <c r="P93" i="8" s="1"/>
  <c r="P94" i="8" s="1"/>
  <c r="O53" i="4"/>
  <c r="P52" i="4" s="1"/>
  <c r="P53" i="4" s="1"/>
  <c r="AA38" i="14" l="1"/>
  <c r="AA36" i="14"/>
  <c r="X26" i="14"/>
  <c r="X25" i="14"/>
  <c r="X27" i="14"/>
  <c r="BB25" i="14"/>
  <c r="AP37" i="14"/>
  <c r="AS37" i="14" s="1"/>
  <c r="AU37" i="14" s="1"/>
  <c r="AZ37" i="14"/>
  <c r="AH38" i="14"/>
  <c r="AI38" i="14" s="1"/>
  <c r="AK38" i="14" s="1"/>
  <c r="X4" i="14"/>
  <c r="B7" i="16"/>
  <c r="J36" i="16" s="1"/>
  <c r="B5" i="16"/>
  <c r="J20" i="16" s="1"/>
  <c r="D4" i="14"/>
  <c r="B9" i="16"/>
  <c r="J54" i="16" s="1"/>
  <c r="AN26" i="12"/>
  <c r="AN21" i="12" s="1"/>
  <c r="L37" i="14"/>
  <c r="O37" i="14" s="1"/>
  <c r="Q37" i="14" s="1"/>
  <c r="V28" i="30"/>
  <c r="BK40" i="14"/>
  <c r="BL40" i="14" s="1"/>
  <c r="BB39" i="14"/>
  <c r="AZ39" i="14"/>
  <c r="AQ39" i="14"/>
  <c r="AR39" i="14" s="1"/>
  <c r="AX23" i="12"/>
  <c r="AX26" i="12" s="1"/>
  <c r="T30" i="30"/>
  <c r="W13" i="30"/>
  <c r="AW23" i="12"/>
  <c r="AW26" i="12" s="1"/>
  <c r="S30" i="30"/>
  <c r="AF26" i="12"/>
  <c r="AF27" i="14" s="1"/>
  <c r="AH27" i="14" s="1"/>
  <c r="T20" i="30"/>
  <c r="B10" i="16"/>
  <c r="BB4" i="14"/>
  <c r="AY10" i="12"/>
  <c r="AY12" i="12" s="1"/>
  <c r="U29" i="30"/>
  <c r="AG39" i="14"/>
  <c r="AG20" i="12"/>
  <c r="AG24" i="12"/>
  <c r="V18" i="30"/>
  <c r="AH18" i="12"/>
  <c r="AH19" i="12" s="1"/>
  <c r="BH23" i="12"/>
  <c r="BJ39" i="14" s="1"/>
  <c r="BM39" i="14" s="1"/>
  <c r="BO39" i="14" s="1"/>
  <c r="U35" i="30"/>
  <c r="BF26" i="12"/>
  <c r="BF21" i="12" s="1"/>
  <c r="BF25" i="12" s="1"/>
  <c r="BJ37" i="14"/>
  <c r="BM37" i="14" s="1"/>
  <c r="BO37" i="14" s="1"/>
  <c r="W3" i="30"/>
  <c r="V23" i="30"/>
  <c r="V34" i="30"/>
  <c r="BI9" i="12"/>
  <c r="BI10" i="12" s="1"/>
  <c r="BI12" i="12" s="1"/>
  <c r="BI13" i="12" s="1"/>
  <c r="BI14" i="12" s="1"/>
  <c r="F12" i="12"/>
  <c r="F13" i="12" s="1"/>
  <c r="F14" i="12" s="1"/>
  <c r="F23" i="12" s="1"/>
  <c r="F26" i="12" s="1"/>
  <c r="W33" i="30"/>
  <c r="U24" i="30"/>
  <c r="AP10" i="12"/>
  <c r="AP12" i="12" s="1"/>
  <c r="BB38" i="14"/>
  <c r="AZ38" i="14"/>
  <c r="BC37" i="14"/>
  <c r="BE37" i="14" s="1"/>
  <c r="BG26" i="12"/>
  <c r="BJ38" i="14"/>
  <c r="BM38" i="14" s="1"/>
  <c r="BO38" i="14" s="1"/>
  <c r="S16" i="30"/>
  <c r="S21" i="30"/>
  <c r="AE25" i="12"/>
  <c r="AE27" i="12" s="1"/>
  <c r="Y10" i="12"/>
  <c r="Y12" i="12" s="1"/>
  <c r="Y13" i="12" s="1"/>
  <c r="Y14" i="12" s="1"/>
  <c r="Y23" i="12" s="1"/>
  <c r="V14" i="30"/>
  <c r="AG10" i="12"/>
  <c r="AG12" i="12" s="1"/>
  <c r="AG13" i="12" s="1"/>
  <c r="AG14" i="12" s="1"/>
  <c r="AG23" i="12" s="1"/>
  <c r="U19" i="30"/>
  <c r="D27" i="12"/>
  <c r="S6" i="30"/>
  <c r="G10" i="12"/>
  <c r="V4" i="30"/>
  <c r="N23" i="12"/>
  <c r="T10" i="30"/>
  <c r="W8" i="30"/>
  <c r="P10" i="12"/>
  <c r="P12" i="12" s="1"/>
  <c r="P13" i="12" s="1"/>
  <c r="P14" i="12" s="1"/>
  <c r="V9" i="30"/>
  <c r="N4" i="14"/>
  <c r="B6" i="16"/>
  <c r="J34" i="16"/>
  <c r="J37" i="16"/>
  <c r="J35" i="16"/>
  <c r="J33" i="16"/>
  <c r="AK36" i="14"/>
  <c r="AK37" i="14"/>
  <c r="V40" i="14"/>
  <c r="V15" i="30" s="1"/>
  <c r="X40" i="14"/>
  <c r="AI5" i="12"/>
  <c r="AH16" i="12"/>
  <c r="AH11" i="12" s="1"/>
  <c r="AH8" i="12"/>
  <c r="G20" i="12"/>
  <c r="G24" i="12" s="1"/>
  <c r="H16" i="12"/>
  <c r="H11" i="12" s="1"/>
  <c r="H18" i="12"/>
  <c r="H19" i="12" s="1"/>
  <c r="H20" i="12" s="1"/>
  <c r="H24" i="12" s="1"/>
  <c r="V39" i="14"/>
  <c r="U15" i="30" s="1"/>
  <c r="X39" i="14"/>
  <c r="G11" i="12"/>
  <c r="P20" i="12"/>
  <c r="P24" i="12" s="1"/>
  <c r="M40" i="14"/>
  <c r="N40" i="14" s="1"/>
  <c r="V27" i="12"/>
  <c r="W21" i="12"/>
  <c r="W25" i="12" s="1"/>
  <c r="E21" i="12"/>
  <c r="E25" i="12" s="1"/>
  <c r="I7" i="12"/>
  <c r="B26" i="14"/>
  <c r="D26" i="14" s="1"/>
  <c r="AS29" i="12"/>
  <c r="BK29" i="12"/>
  <c r="Z18" i="12"/>
  <c r="Z19" i="12" s="1"/>
  <c r="AA5" i="12"/>
  <c r="Z8" i="12"/>
  <c r="Z16" i="12"/>
  <c r="Z11" i="12" s="1"/>
  <c r="AY20" i="12"/>
  <c r="AY24" i="12" s="1"/>
  <c r="AQ18" i="12"/>
  <c r="AQ19" i="12" s="1"/>
  <c r="AR5" i="12"/>
  <c r="AQ6" i="12"/>
  <c r="AQ8" i="12" s="1"/>
  <c r="AQ9" i="12" s="1"/>
  <c r="AQ16" i="12"/>
  <c r="AQ11" i="12"/>
  <c r="BJ18" i="12"/>
  <c r="BJ19" i="12" s="1"/>
  <c r="BJ16" i="12"/>
  <c r="BJ11" i="12"/>
  <c r="BK5" i="12"/>
  <c r="BJ6" i="12"/>
  <c r="BJ8" i="12" s="1"/>
  <c r="AP20" i="12"/>
  <c r="AP24" i="12" s="1"/>
  <c r="Y20" i="12"/>
  <c r="Y24" i="12" s="1"/>
  <c r="X26" i="12"/>
  <c r="V28" i="14" s="1"/>
  <c r="X28" i="14" s="1"/>
  <c r="BI20" i="12"/>
  <c r="BI24" i="12" s="1"/>
  <c r="O13" i="12"/>
  <c r="O14" i="12" s="1"/>
  <c r="B27" i="14"/>
  <c r="D27" i="14" s="1"/>
  <c r="AO14" i="12"/>
  <c r="C37" i="14"/>
  <c r="Q18" i="12"/>
  <c r="Q19" i="12" s="1"/>
  <c r="Q16" i="12"/>
  <c r="Q11" i="12" s="1"/>
  <c r="Q8" i="12"/>
  <c r="AZ11" i="12"/>
  <c r="AZ16" i="12"/>
  <c r="AZ18" i="12"/>
  <c r="AZ19" i="12" s="1"/>
  <c r="BA40" i="14" s="1"/>
  <c r="AZ6" i="12"/>
  <c r="AZ8" i="12" s="1"/>
  <c r="AZ9" i="12" s="1"/>
  <c r="BA5" i="12"/>
  <c r="I5" i="12"/>
  <c r="H8" i="12"/>
  <c r="J16" i="16" l="1"/>
  <c r="J17" i="16"/>
  <c r="J19" i="16"/>
  <c r="J18" i="16"/>
  <c r="J15" i="16"/>
  <c r="L38" i="14"/>
  <c r="O38" i="14" s="1"/>
  <c r="Q38" i="14" s="1"/>
  <c r="N26" i="12"/>
  <c r="L27" i="14" s="1"/>
  <c r="N27" i="14" s="1"/>
  <c r="J51" i="16"/>
  <c r="J55" i="16"/>
  <c r="J52" i="16"/>
  <c r="J53" i="16"/>
  <c r="J50" i="16"/>
  <c r="M21" i="12"/>
  <c r="L26" i="14"/>
  <c r="N26" i="14" s="1"/>
  <c r="G12" i="12"/>
  <c r="G13" i="12" s="1"/>
  <c r="G14" i="12" s="1"/>
  <c r="G23" i="12" s="1"/>
  <c r="G26" i="12" s="1"/>
  <c r="BC38" i="14"/>
  <c r="BE38" i="14" s="1"/>
  <c r="AW21" i="12"/>
  <c r="S31" i="30" s="1"/>
  <c r="AX21" i="12"/>
  <c r="T31" i="30" s="1"/>
  <c r="AZ27" i="14"/>
  <c r="BB27" i="14" s="1"/>
  <c r="BI23" i="12"/>
  <c r="BJ40" i="14" s="1"/>
  <c r="BM40" i="14" s="1"/>
  <c r="BO40" i="14" s="1"/>
  <c r="V35" i="30"/>
  <c r="W34" i="30"/>
  <c r="BJ9" i="12"/>
  <c r="BJ10" i="12" s="1"/>
  <c r="BJ12" i="12" s="1"/>
  <c r="BJ13" i="12" s="1"/>
  <c r="BJ14" i="12" s="1"/>
  <c r="X33" i="30"/>
  <c r="Y33" i="30" s="1"/>
  <c r="AF39" i="14"/>
  <c r="AH39" i="14"/>
  <c r="W28" i="30"/>
  <c r="AZ40" i="14"/>
  <c r="BB40" i="14"/>
  <c r="AG40" i="14"/>
  <c r="AH24" i="12"/>
  <c r="AH20" i="12"/>
  <c r="AZ10" i="12"/>
  <c r="AZ12" i="12" s="1"/>
  <c r="AZ13" i="12" s="1"/>
  <c r="AZ14" i="12" s="1"/>
  <c r="V29" i="30"/>
  <c r="W23" i="30"/>
  <c r="S26" i="30"/>
  <c r="AN25" i="12"/>
  <c r="AN27" i="12" s="1"/>
  <c r="AQ40" i="14"/>
  <c r="AR40" i="14" s="1"/>
  <c r="AF21" i="12"/>
  <c r="T21" i="30" s="1"/>
  <c r="S36" i="30"/>
  <c r="BF27" i="12"/>
  <c r="X13" i="30"/>
  <c r="Y13" i="30" s="1"/>
  <c r="V24" i="30"/>
  <c r="AQ10" i="12"/>
  <c r="AQ12" i="12" s="1"/>
  <c r="AQ13" i="12" s="1"/>
  <c r="AQ14" i="12" s="1"/>
  <c r="BJ27" i="14"/>
  <c r="BL27" i="14" s="1"/>
  <c r="BG21" i="12"/>
  <c r="BG25" i="12" s="1"/>
  <c r="AW27" i="12"/>
  <c r="AZ26" i="14"/>
  <c r="BB26" i="14" s="1"/>
  <c r="J63" i="16"/>
  <c r="J61" i="16"/>
  <c r="J60" i="16"/>
  <c r="J62" i="16"/>
  <c r="J64" i="16"/>
  <c r="J59" i="16"/>
  <c r="AO23" i="12"/>
  <c r="T25" i="30"/>
  <c r="BK41" i="14"/>
  <c r="BL41" i="14" s="1"/>
  <c r="BH26" i="12"/>
  <c r="BH21" i="12" s="1"/>
  <c r="BH25" i="12" s="1"/>
  <c r="X3" i="30"/>
  <c r="Y3" i="30" s="1"/>
  <c r="W18" i="30"/>
  <c r="AI18" i="12"/>
  <c r="AI19" i="12" s="1"/>
  <c r="BJ26" i="14"/>
  <c r="BL26" i="14" s="1"/>
  <c r="BC39" i="14"/>
  <c r="BE39" i="14" s="1"/>
  <c r="S22" i="30"/>
  <c r="AF5" i="14"/>
  <c r="Z10" i="12"/>
  <c r="Z12" i="12" s="1"/>
  <c r="Z13" i="12" s="1"/>
  <c r="Z14" i="12" s="1"/>
  <c r="Z23" i="12" s="1"/>
  <c r="W14" i="30"/>
  <c r="AH10" i="12"/>
  <c r="AH12" i="12" s="1"/>
  <c r="AH13" i="12" s="1"/>
  <c r="AH14" i="12" s="1"/>
  <c r="AH23" i="12" s="1"/>
  <c r="V19" i="30"/>
  <c r="T16" i="30"/>
  <c r="W27" i="12"/>
  <c r="V5" i="14"/>
  <c r="C7" i="16" s="1"/>
  <c r="S17" i="30"/>
  <c r="H10" i="12"/>
  <c r="H12" i="12" s="1"/>
  <c r="H13" i="12" s="1"/>
  <c r="H14" i="12" s="1"/>
  <c r="H23" i="12" s="1"/>
  <c r="H26" i="12" s="1"/>
  <c r="W4" i="30"/>
  <c r="B5" i="14"/>
  <c r="C5" i="16" s="1"/>
  <c r="K16" i="16" s="1"/>
  <c r="S7" i="30"/>
  <c r="E27" i="12"/>
  <c r="T7" i="30" s="1"/>
  <c r="T6" i="30"/>
  <c r="P23" i="12"/>
  <c r="V10" i="30"/>
  <c r="X8" i="30"/>
  <c r="Y8" i="30" s="1"/>
  <c r="O23" i="12"/>
  <c r="O26" i="12" s="1"/>
  <c r="U10" i="30"/>
  <c r="Q10" i="12"/>
  <c r="Q12" i="12" s="1"/>
  <c r="Q13" i="12" s="1"/>
  <c r="Q14" i="12" s="1"/>
  <c r="W9" i="30"/>
  <c r="J28" i="16"/>
  <c r="J25" i="16"/>
  <c r="J24" i="16"/>
  <c r="J29" i="16"/>
  <c r="J26" i="16"/>
  <c r="J27" i="16"/>
  <c r="Y40" i="14"/>
  <c r="AA40" i="14" s="1"/>
  <c r="Y39" i="14"/>
  <c r="AA39" i="14" s="1"/>
  <c r="AJ5" i="12"/>
  <c r="AI16" i="12"/>
  <c r="AI11" i="12" s="1"/>
  <c r="AI8" i="12"/>
  <c r="Q20" i="12"/>
  <c r="Q24" i="12" s="1"/>
  <c r="M41" i="14"/>
  <c r="N41" i="14" s="1"/>
  <c r="I18" i="12"/>
  <c r="I19" i="12" s="1"/>
  <c r="I20" i="12" s="1"/>
  <c r="I24" i="12" s="1"/>
  <c r="I16" i="12"/>
  <c r="I11" i="12" s="1"/>
  <c r="Z20" i="12"/>
  <c r="Z24" i="12" s="1"/>
  <c r="W41" i="14"/>
  <c r="X21" i="12"/>
  <c r="X25" i="12" s="1"/>
  <c r="F21" i="12"/>
  <c r="F25" i="12" s="1"/>
  <c r="AX27" i="12"/>
  <c r="AY13" i="12"/>
  <c r="AY14" i="12" s="1"/>
  <c r="B28" i="14"/>
  <c r="D28" i="14" s="1"/>
  <c r="Y26" i="12"/>
  <c r="V29" i="14" s="1"/>
  <c r="X29" i="14" s="1"/>
  <c r="R18" i="12"/>
  <c r="R19" i="12" s="1"/>
  <c r="R16" i="12"/>
  <c r="R11" i="12" s="1"/>
  <c r="R8" i="12"/>
  <c r="AR11" i="12"/>
  <c r="AS5" i="12"/>
  <c r="AR18" i="12"/>
  <c r="AR19" i="12" s="1"/>
  <c r="AR16" i="12"/>
  <c r="AR6" i="12"/>
  <c r="AR8" i="12" s="1"/>
  <c r="AR9" i="12" s="1"/>
  <c r="AQ20" i="12"/>
  <c r="AQ24" i="12" s="1"/>
  <c r="BK18" i="12"/>
  <c r="BK19" i="12" s="1"/>
  <c r="BK6" i="12"/>
  <c r="BK8" i="12" s="1"/>
  <c r="BK16" i="12"/>
  <c r="BK11" i="12"/>
  <c r="AA8" i="12"/>
  <c r="AA18" i="12"/>
  <c r="AA19" i="12" s="1"/>
  <c r="AA16" i="12"/>
  <c r="AA11" i="12" s="1"/>
  <c r="BA11" i="12"/>
  <c r="BA16" i="12"/>
  <c r="BA18" i="12"/>
  <c r="BA19" i="12" s="1"/>
  <c r="BA41" i="14" s="1"/>
  <c r="BA6" i="12"/>
  <c r="BA8" i="12" s="1"/>
  <c r="BA9" i="12" s="1"/>
  <c r="BB5" i="12"/>
  <c r="B37" i="14"/>
  <c r="S5" i="30" s="1"/>
  <c r="D37" i="14"/>
  <c r="BJ20" i="12"/>
  <c r="BJ24" i="12" s="1"/>
  <c r="AP13" i="12"/>
  <c r="AP14" i="12" s="1"/>
  <c r="AZ20" i="12"/>
  <c r="AZ24" i="12" s="1"/>
  <c r="I8" i="12"/>
  <c r="AP38" i="14" l="1"/>
  <c r="AS38" i="14" s="1"/>
  <c r="AU38" i="14" s="1"/>
  <c r="AI39" i="14"/>
  <c r="AK39" i="14" s="1"/>
  <c r="N21" i="12"/>
  <c r="N25" i="12" s="1"/>
  <c r="M25" i="12"/>
  <c r="M27" i="12" s="1"/>
  <c r="P26" i="12"/>
  <c r="L29" i="14" s="1"/>
  <c r="N29" i="14" s="1"/>
  <c r="AO26" i="12"/>
  <c r="X5" i="14"/>
  <c r="L40" i="14"/>
  <c r="O40" i="14" s="1"/>
  <c r="Q40" i="14" s="1"/>
  <c r="S11" i="30"/>
  <c r="BI26" i="12"/>
  <c r="BI21" i="12" s="1"/>
  <c r="BI25" i="12" s="1"/>
  <c r="BJ23" i="12"/>
  <c r="W35" i="30"/>
  <c r="AQ23" i="12"/>
  <c r="V25" i="30"/>
  <c r="BJ5" i="14"/>
  <c r="S37" i="30"/>
  <c r="T36" i="30"/>
  <c r="BG27" i="12"/>
  <c r="AP23" i="12"/>
  <c r="U25" i="30"/>
  <c r="BC40" i="14"/>
  <c r="BE40" i="14" s="1"/>
  <c r="AZ23" i="12"/>
  <c r="AZ26" i="12" s="1"/>
  <c r="AZ21" i="12" s="1"/>
  <c r="V31" i="30" s="1"/>
  <c r="V30" i="30"/>
  <c r="BJ28" i="14"/>
  <c r="BL28" i="14" s="1"/>
  <c r="AQ41" i="14"/>
  <c r="AR41" i="14" s="1"/>
  <c r="AZ6" i="14"/>
  <c r="T32" i="30"/>
  <c r="AF25" i="12"/>
  <c r="AF27" i="12" s="1"/>
  <c r="AF6" i="14" s="1"/>
  <c r="AY23" i="12"/>
  <c r="AY26" i="12" s="1"/>
  <c r="U30" i="30"/>
  <c r="X23" i="30"/>
  <c r="Y23" i="30" s="1"/>
  <c r="U36" i="30"/>
  <c r="BH27" i="12"/>
  <c r="X28" i="30"/>
  <c r="Y28" i="30" s="1"/>
  <c r="AG26" i="12"/>
  <c r="AF28" i="14" s="1"/>
  <c r="U20" i="30"/>
  <c r="AI20" i="12"/>
  <c r="AI24" i="12"/>
  <c r="AG41" i="14"/>
  <c r="AP5" i="14"/>
  <c r="S27" i="30"/>
  <c r="BK10" i="12"/>
  <c r="BK12" i="12" s="1"/>
  <c r="BK13" i="12" s="1"/>
  <c r="BK14" i="12" s="1"/>
  <c r="X34" i="30"/>
  <c r="Y34" i="30" s="1"/>
  <c r="BK9" i="12"/>
  <c r="BK20" i="12"/>
  <c r="BK24" i="12" s="1"/>
  <c r="BK42" i="14"/>
  <c r="BL42" i="14" s="1"/>
  <c r="BA10" i="12"/>
  <c r="BA12" i="12" s="1"/>
  <c r="W29" i="30"/>
  <c r="BJ29" i="14"/>
  <c r="BL29" i="14" s="1"/>
  <c r="W24" i="30"/>
  <c r="AR10" i="12"/>
  <c r="AR12" i="12" s="1"/>
  <c r="X18" i="30"/>
  <c r="Y18" i="30" s="1"/>
  <c r="AJ18" i="12"/>
  <c r="AJ19" i="12" s="1"/>
  <c r="BB41" i="14"/>
  <c r="AZ41" i="14"/>
  <c r="BC41" i="14" s="1"/>
  <c r="BE41" i="14" s="1"/>
  <c r="S32" i="30"/>
  <c r="AZ5" i="14"/>
  <c r="AF40" i="14"/>
  <c r="AH40" i="14"/>
  <c r="AI40" i="14" s="1"/>
  <c r="AK40" i="14" s="1"/>
  <c r="K18" i="16"/>
  <c r="K20" i="16"/>
  <c r="D5" i="14"/>
  <c r="K19" i="16"/>
  <c r="AA10" i="12"/>
  <c r="AA12" i="12" s="1"/>
  <c r="X14" i="30"/>
  <c r="Y14" i="30" s="1"/>
  <c r="X27" i="12"/>
  <c r="U16" i="30"/>
  <c r="K17" i="16"/>
  <c r="V6" i="14"/>
  <c r="D7" i="16" s="1"/>
  <c r="T17" i="30"/>
  <c r="K15" i="16"/>
  <c r="C8" i="16"/>
  <c r="AH5" i="14"/>
  <c r="AI10" i="12"/>
  <c r="AI12" i="12" s="1"/>
  <c r="AI13" i="12" s="1"/>
  <c r="AI14" i="12" s="1"/>
  <c r="AI23" i="12" s="1"/>
  <c r="W19" i="30"/>
  <c r="I10" i="12"/>
  <c r="I12" i="12" s="1"/>
  <c r="I13" i="12" s="1"/>
  <c r="I14" i="12" s="1"/>
  <c r="I23" i="12" s="1"/>
  <c r="I26" i="12" s="1"/>
  <c r="X4" i="30"/>
  <c r="Y4" i="30" s="1"/>
  <c r="F27" i="12"/>
  <c r="U7" i="30" s="1"/>
  <c r="U6" i="30"/>
  <c r="L28" i="14"/>
  <c r="N28" i="14" s="1"/>
  <c r="R10" i="12"/>
  <c r="X9" i="30"/>
  <c r="Y9" i="30" s="1"/>
  <c r="L39" i="14"/>
  <c r="O39" i="14" s="1"/>
  <c r="Q39" i="14" s="1"/>
  <c r="N27" i="12"/>
  <c r="T11" i="30"/>
  <c r="Q23" i="12"/>
  <c r="W10" i="30"/>
  <c r="K35" i="16"/>
  <c r="K34" i="16"/>
  <c r="K37" i="16"/>
  <c r="K33" i="16"/>
  <c r="K36" i="16"/>
  <c r="V41" i="14"/>
  <c r="W15" i="30" s="1"/>
  <c r="X41" i="14"/>
  <c r="AA20" i="12"/>
  <c r="AA24" i="12" s="1"/>
  <c r="W42" i="14"/>
  <c r="AJ16" i="12"/>
  <c r="AJ11" i="12" s="1"/>
  <c r="AJ8" i="12"/>
  <c r="R20" i="12"/>
  <c r="R24" i="12" s="1"/>
  <c r="M42" i="14"/>
  <c r="N42" i="14" s="1"/>
  <c r="Y21" i="12"/>
  <c r="Y25" i="12" s="1"/>
  <c r="G21" i="12"/>
  <c r="G25" i="12" s="1"/>
  <c r="E37" i="14"/>
  <c r="G37" i="14" s="1"/>
  <c r="Z26" i="12"/>
  <c r="V30" i="14" s="1"/>
  <c r="X30" i="14" s="1"/>
  <c r="AS11" i="12"/>
  <c r="AS18" i="12"/>
  <c r="AS19" i="12" s="1"/>
  <c r="AS6" i="12"/>
  <c r="AS8" i="12" s="1"/>
  <c r="AS9" i="12" s="1"/>
  <c r="AS16" i="12"/>
  <c r="R12" i="12"/>
  <c r="B29" i="14"/>
  <c r="D29" i="14" s="1"/>
  <c r="C38" i="14"/>
  <c r="BA20" i="12"/>
  <c r="BA24" i="12" s="1"/>
  <c r="BB6" i="12"/>
  <c r="BB8" i="12" s="1"/>
  <c r="BB9" i="12" s="1"/>
  <c r="BB11" i="12"/>
  <c r="BB16" i="12"/>
  <c r="BB18" i="12"/>
  <c r="BB19" i="12" s="1"/>
  <c r="BA42" i="14" s="1"/>
  <c r="AR20" i="12"/>
  <c r="AR24" i="12" s="1"/>
  <c r="O21" i="12" l="1"/>
  <c r="AP40" i="14"/>
  <c r="AS40" i="14" s="1"/>
  <c r="AU40" i="14" s="1"/>
  <c r="AP39" i="14"/>
  <c r="AS39" i="14" s="1"/>
  <c r="AU39" i="14" s="1"/>
  <c r="AO21" i="12"/>
  <c r="T26" i="30" s="1"/>
  <c r="Q26" i="12"/>
  <c r="L30" i="14" s="1"/>
  <c r="N30" i="14" s="1"/>
  <c r="U11" i="30"/>
  <c r="O25" i="12"/>
  <c r="O27" i="12" s="1"/>
  <c r="AG21" i="12"/>
  <c r="AG25" i="12" s="1"/>
  <c r="AG27" i="12" s="1"/>
  <c r="U22" i="30" s="1"/>
  <c r="T22" i="30"/>
  <c r="AP26" i="12"/>
  <c r="AP21" i="12" s="1"/>
  <c r="AQ26" i="12"/>
  <c r="X6" i="14"/>
  <c r="L5" i="14"/>
  <c r="L16" i="14" s="1"/>
  <c r="S12" i="30"/>
  <c r="AY21" i="12"/>
  <c r="U31" i="30" s="1"/>
  <c r="AZ28" i="14"/>
  <c r="BB28" i="14" s="1"/>
  <c r="BJ7" i="14"/>
  <c r="U37" i="30"/>
  <c r="V20" i="30"/>
  <c r="AH26" i="12"/>
  <c r="AF41" i="14"/>
  <c r="AH41" i="14"/>
  <c r="AI41" i="14" s="1"/>
  <c r="AK41" i="14" s="1"/>
  <c r="AS20" i="12"/>
  <c r="AS24" i="12" s="1"/>
  <c r="AQ42" i="14"/>
  <c r="AR42" i="14" s="1"/>
  <c r="BB10" i="12"/>
  <c r="BB12" i="12" s="1"/>
  <c r="BB13" i="12" s="1"/>
  <c r="BB14" i="12" s="1"/>
  <c r="X29" i="30"/>
  <c r="Y29" i="30" s="1"/>
  <c r="AZ42" i="14"/>
  <c r="BC42" i="14" s="1"/>
  <c r="BE42" i="14" s="1"/>
  <c r="BB19" i="14" s="1"/>
  <c r="BB20" i="14" s="1"/>
  <c r="S4" i="15" s="1"/>
  <c r="S6" i="15" s="1"/>
  <c r="S8" i="15" s="1"/>
  <c r="BB42" i="14"/>
  <c r="AY27" i="12"/>
  <c r="BK23" i="12"/>
  <c r="BJ42" i="14" s="1"/>
  <c r="BM42" i="14" s="1"/>
  <c r="X35" i="30"/>
  <c r="Y35" i="30" s="1"/>
  <c r="AH28" i="14"/>
  <c r="BJ6" i="14"/>
  <c r="T37" i="30"/>
  <c r="X24" i="30"/>
  <c r="Y24" i="30" s="1"/>
  <c r="AS10" i="12"/>
  <c r="AS12" i="12" s="1"/>
  <c r="AS13" i="12" s="1"/>
  <c r="AS14" i="12" s="1"/>
  <c r="AR5" i="14"/>
  <c r="C9" i="16"/>
  <c r="V36" i="30"/>
  <c r="BI27" i="12"/>
  <c r="BL5" i="14"/>
  <c r="C11" i="16"/>
  <c r="C10" i="16"/>
  <c r="BB5" i="14"/>
  <c r="AZ27" i="12"/>
  <c r="AZ29" i="14"/>
  <c r="BB29" i="14" s="1"/>
  <c r="BB20" i="12"/>
  <c r="BB24" i="12" s="1"/>
  <c r="AG42" i="14"/>
  <c r="AJ24" i="12"/>
  <c r="AJ20" i="12"/>
  <c r="D10" i="16"/>
  <c r="BB6" i="14"/>
  <c r="BJ26" i="12"/>
  <c r="BJ41" i="14"/>
  <c r="BM41" i="14" s="1"/>
  <c r="BO41" i="14" s="1"/>
  <c r="V7" i="14"/>
  <c r="E7" i="16" s="1"/>
  <c r="M35" i="16" s="1"/>
  <c r="U17" i="30"/>
  <c r="K42" i="16"/>
  <c r="K44" i="16"/>
  <c r="K46" i="16"/>
  <c r="K45" i="16"/>
  <c r="K43" i="16"/>
  <c r="K41" i="16"/>
  <c r="AH6" i="14"/>
  <c r="D8" i="16"/>
  <c r="Y27" i="12"/>
  <c r="V16" i="30"/>
  <c r="P21" i="12"/>
  <c r="AJ10" i="12"/>
  <c r="AJ12" i="12" s="1"/>
  <c r="X19" i="30"/>
  <c r="Y19" i="30" s="1"/>
  <c r="G27" i="12"/>
  <c r="V7" i="30" s="1"/>
  <c r="V6" i="30"/>
  <c r="L6" i="14"/>
  <c r="T12" i="30"/>
  <c r="L41" i="14"/>
  <c r="O41" i="14" s="1"/>
  <c r="Q41" i="14" s="1"/>
  <c r="Y41" i="14"/>
  <c r="AA41" i="14" s="1"/>
  <c r="L33" i="16"/>
  <c r="L37" i="16"/>
  <c r="L35" i="16"/>
  <c r="L34" i="16"/>
  <c r="L36" i="16"/>
  <c r="V42" i="14"/>
  <c r="X15" i="30" s="1"/>
  <c r="Y15" i="30" s="1"/>
  <c r="X42" i="14"/>
  <c r="Z21" i="12"/>
  <c r="Z25" i="12" s="1"/>
  <c r="H21" i="12"/>
  <c r="H25" i="12" s="1"/>
  <c r="B6" i="14"/>
  <c r="BA13" i="12"/>
  <c r="BA14" i="12" s="1"/>
  <c r="B38" i="14"/>
  <c r="T5" i="30" s="1"/>
  <c r="D38" i="14"/>
  <c r="AR13" i="12"/>
  <c r="AR14" i="12" s="1"/>
  <c r="R13" i="12"/>
  <c r="R14" i="12" s="1"/>
  <c r="B7" i="14"/>
  <c r="C39" i="14"/>
  <c r="AA13" i="12"/>
  <c r="AA14" i="12" s="1"/>
  <c r="AA23" i="12" s="1"/>
  <c r="AO25" i="12" l="1"/>
  <c r="AO27" i="12" s="1"/>
  <c r="AP6" i="14" s="1"/>
  <c r="D9" i="16" s="1"/>
  <c r="AQ21" i="12"/>
  <c r="V26" i="30" s="1"/>
  <c r="AJ13" i="12"/>
  <c r="AJ14" i="12" s="1"/>
  <c r="AJ23" i="12" s="1"/>
  <c r="T27" i="30"/>
  <c r="V11" i="30"/>
  <c r="P25" i="12"/>
  <c r="P27" i="12" s="1"/>
  <c r="AF7" i="14"/>
  <c r="AH7" i="14" s="1"/>
  <c r="U21" i="30"/>
  <c r="BK26" i="12"/>
  <c r="BK21" i="12" s="1"/>
  <c r="BK25" i="12" s="1"/>
  <c r="AQ25" i="12"/>
  <c r="AQ27" i="12" s="1"/>
  <c r="AP8" i="14" s="1"/>
  <c r="AR8" i="14" s="1"/>
  <c r="AR6" i="14"/>
  <c r="N5" i="14"/>
  <c r="C6" i="16"/>
  <c r="M36" i="16"/>
  <c r="BB23" i="12"/>
  <c r="BB26" i="12" s="1"/>
  <c r="AZ31" i="14" s="1"/>
  <c r="X30" i="30"/>
  <c r="Y30" i="30" s="1"/>
  <c r="AF42" i="14"/>
  <c r="AH42" i="14"/>
  <c r="K60" i="16"/>
  <c r="K61" i="16"/>
  <c r="K63" i="16"/>
  <c r="K62" i="16"/>
  <c r="K59" i="16"/>
  <c r="K64" i="16"/>
  <c r="BL16" i="14"/>
  <c r="BL17" i="14" s="1"/>
  <c r="BL18" i="14" s="1"/>
  <c r="BO42" i="14"/>
  <c r="BL19" i="14" s="1"/>
  <c r="AF29" i="14"/>
  <c r="AH21" i="12"/>
  <c r="K68" i="16"/>
  <c r="K69" i="16"/>
  <c r="K71" i="16"/>
  <c r="K70" i="16"/>
  <c r="K73" i="16"/>
  <c r="K72" i="16"/>
  <c r="BL7" i="14"/>
  <c r="E11" i="16"/>
  <c r="X7" i="14"/>
  <c r="M33" i="16"/>
  <c r="AS23" i="12"/>
  <c r="X25" i="30"/>
  <c r="Y25" i="30" s="1"/>
  <c r="BA23" i="12"/>
  <c r="BA26" i="12" s="1"/>
  <c r="W30" i="30"/>
  <c r="BJ30" i="14"/>
  <c r="BL30" i="14" s="1"/>
  <c r="BJ21" i="12"/>
  <c r="BJ25" i="12" s="1"/>
  <c r="Q21" i="12"/>
  <c r="U26" i="30"/>
  <c r="AP25" i="12"/>
  <c r="AP27" i="12" s="1"/>
  <c r="M37" i="16"/>
  <c r="BJ8" i="14"/>
  <c r="V37" i="30"/>
  <c r="BL6" i="14"/>
  <c r="D11" i="16"/>
  <c r="AZ7" i="14"/>
  <c r="U32" i="30"/>
  <c r="M34" i="16"/>
  <c r="L63" i="16"/>
  <c r="L61" i="16"/>
  <c r="L60" i="16"/>
  <c r="L62" i="16"/>
  <c r="L64" i="16"/>
  <c r="L59" i="16"/>
  <c r="AR23" i="12"/>
  <c r="W25" i="30"/>
  <c r="V32" i="30"/>
  <c r="AZ8" i="14"/>
  <c r="K55" i="16"/>
  <c r="K50" i="16"/>
  <c r="K54" i="16"/>
  <c r="K53" i="16"/>
  <c r="K51" i="16"/>
  <c r="K52" i="16"/>
  <c r="AI26" i="12"/>
  <c r="AF30" i="14" s="1"/>
  <c r="AH30" i="14" s="1"/>
  <c r="W20" i="30"/>
  <c r="L46" i="16"/>
  <c r="L45" i="16"/>
  <c r="L42" i="16"/>
  <c r="L41" i="16"/>
  <c r="L44" i="16"/>
  <c r="L43" i="16"/>
  <c r="V8" i="14"/>
  <c r="X8" i="14" s="1"/>
  <c r="V17" i="30"/>
  <c r="Z27" i="12"/>
  <c r="W16" i="30"/>
  <c r="H27" i="12"/>
  <c r="W7" i="30" s="1"/>
  <c r="W6" i="30"/>
  <c r="L7" i="14"/>
  <c r="E6" i="16" s="1"/>
  <c r="M28" i="16" s="1"/>
  <c r="U12" i="30"/>
  <c r="R23" i="12"/>
  <c r="X10" i="30"/>
  <c r="Y10" i="30" s="1"/>
  <c r="D6" i="16"/>
  <c r="N6" i="14"/>
  <c r="D6" i="14"/>
  <c r="D5" i="16"/>
  <c r="Y42" i="14"/>
  <c r="X16" i="14" s="1"/>
  <c r="X17" i="14" s="1"/>
  <c r="X18" i="14" s="1"/>
  <c r="D7" i="14"/>
  <c r="E5" i="16"/>
  <c r="L54" i="16"/>
  <c r="L53" i="16"/>
  <c r="L52" i="16"/>
  <c r="L51" i="16"/>
  <c r="L50" i="16"/>
  <c r="L55" i="16"/>
  <c r="E38" i="14"/>
  <c r="G38" i="14" s="1"/>
  <c r="I21" i="12"/>
  <c r="B30" i="14"/>
  <c r="B39" i="14"/>
  <c r="U5" i="30" s="1"/>
  <c r="D39" i="14"/>
  <c r="AA26" i="12"/>
  <c r="V31" i="14" s="1"/>
  <c r="C40" i="14"/>
  <c r="BJ31" i="14" l="1"/>
  <c r="AP42" i="14"/>
  <c r="AS42" i="14" s="1"/>
  <c r="AP41" i="14"/>
  <c r="AS41" i="14" s="1"/>
  <c r="AU41" i="14" s="1"/>
  <c r="E8" i="16"/>
  <c r="M44" i="16" s="1"/>
  <c r="V27" i="30"/>
  <c r="X6" i="30"/>
  <c r="Y6" i="30" s="1"/>
  <c r="I25" i="12"/>
  <c r="I27" i="12" s="1"/>
  <c r="X7" i="30" s="1"/>
  <c r="Y7" i="30" s="1"/>
  <c r="W11" i="30"/>
  <c r="Q25" i="12"/>
  <c r="Q27" i="12" s="1"/>
  <c r="L42" i="14"/>
  <c r="O42" i="14" s="1"/>
  <c r="N16" i="14" s="1"/>
  <c r="N17" i="14" s="1"/>
  <c r="N18" i="14" s="1"/>
  <c r="R26" i="12"/>
  <c r="R21" i="12" s="1"/>
  <c r="R25" i="12" s="1"/>
  <c r="BL20" i="14"/>
  <c r="V4" i="15" s="1"/>
  <c r="V6" i="15" s="1"/>
  <c r="V8" i="15" s="1"/>
  <c r="BB21" i="12"/>
  <c r="X31" i="30" s="1"/>
  <c r="Y31" i="30" s="1"/>
  <c r="AS26" i="12"/>
  <c r="AS21" i="12" s="1"/>
  <c r="AR26" i="12"/>
  <c r="AR21" i="12" s="1"/>
  <c r="F9" i="16"/>
  <c r="N51" i="16" s="1"/>
  <c r="K28" i="16"/>
  <c r="K29" i="16"/>
  <c r="K24" i="16"/>
  <c r="K26" i="16"/>
  <c r="K25" i="16"/>
  <c r="K27" i="16"/>
  <c r="AI42" i="14"/>
  <c r="AK42" i="14" s="1"/>
  <c r="AH19" i="14" s="1"/>
  <c r="F7" i="16"/>
  <c r="N37" i="16" s="1"/>
  <c r="M29" i="16"/>
  <c r="BA27" i="12"/>
  <c r="AZ30" i="14"/>
  <c r="BB30" i="14" s="1"/>
  <c r="AP7" i="14"/>
  <c r="U27" i="30"/>
  <c r="X20" i="30"/>
  <c r="Y20" i="30" s="1"/>
  <c r="AJ26" i="12"/>
  <c r="AF31" i="14" s="1"/>
  <c r="BB27" i="12"/>
  <c r="BK16" i="14"/>
  <c r="BK17" i="14" s="1"/>
  <c r="BK18" i="14" s="1"/>
  <c r="BL31" i="14"/>
  <c r="BK19" i="14" s="1"/>
  <c r="AH29" i="14"/>
  <c r="F10" i="16"/>
  <c r="BB8" i="14"/>
  <c r="AR16" i="14"/>
  <c r="AR17" i="14" s="1"/>
  <c r="AR18" i="14" s="1"/>
  <c r="AU42" i="14"/>
  <c r="E10" i="16"/>
  <c r="BB7" i="14"/>
  <c r="L73" i="16"/>
  <c r="L72" i="16"/>
  <c r="L70" i="16"/>
  <c r="L69" i="16"/>
  <c r="L71" i="16"/>
  <c r="L68" i="16"/>
  <c r="W36" i="30"/>
  <c r="BJ27" i="12"/>
  <c r="F11" i="16"/>
  <c r="BL8" i="14"/>
  <c r="BA16" i="14"/>
  <c r="BA17" i="14" s="1"/>
  <c r="BA18" i="14" s="1"/>
  <c r="BB31" i="14"/>
  <c r="X36" i="30"/>
  <c r="Y36" i="30" s="1"/>
  <c r="BK27" i="12"/>
  <c r="M25" i="16"/>
  <c r="M68" i="16"/>
  <c r="M71" i="16"/>
  <c r="M73" i="16"/>
  <c r="M70" i="16"/>
  <c r="M72" i="16"/>
  <c r="M69" i="16"/>
  <c r="V21" i="30"/>
  <c r="AI21" i="12"/>
  <c r="AH25" i="12"/>
  <c r="AH27" i="12" s="1"/>
  <c r="V9" i="14"/>
  <c r="X9" i="14" s="1"/>
  <c r="W17" i="30"/>
  <c r="M43" i="16"/>
  <c r="M42" i="16"/>
  <c r="M46" i="16"/>
  <c r="M45" i="16"/>
  <c r="M27" i="16"/>
  <c r="N7" i="14"/>
  <c r="M24" i="16"/>
  <c r="M26" i="16"/>
  <c r="L26" i="16"/>
  <c r="L24" i="16"/>
  <c r="L29" i="16"/>
  <c r="L28" i="16"/>
  <c r="L27" i="16"/>
  <c r="L25" i="16"/>
  <c r="L8" i="14"/>
  <c r="F6" i="16" s="1"/>
  <c r="V12" i="30"/>
  <c r="L15" i="16"/>
  <c r="L20" i="16"/>
  <c r="L16" i="16"/>
  <c r="L17" i="16"/>
  <c r="L18" i="16"/>
  <c r="L19" i="16"/>
  <c r="AA42" i="14"/>
  <c r="X19" i="14" s="1"/>
  <c r="X20" i="14" s="1"/>
  <c r="J4" i="15" s="1"/>
  <c r="J6" i="15" s="1"/>
  <c r="J8" i="15" s="1"/>
  <c r="M20" i="16"/>
  <c r="M17" i="16"/>
  <c r="M15" i="16"/>
  <c r="M16" i="16"/>
  <c r="M18" i="16"/>
  <c r="M19" i="16"/>
  <c r="W16" i="14"/>
  <c r="W17" i="14" s="1"/>
  <c r="W18" i="14" s="1"/>
  <c r="X31" i="14"/>
  <c r="W19" i="14" s="1"/>
  <c r="AA21" i="12"/>
  <c r="AA25" i="12" s="1"/>
  <c r="D30" i="14"/>
  <c r="C16" i="14"/>
  <c r="C17" i="14" s="1"/>
  <c r="C18" i="14" s="1"/>
  <c r="B31" i="14"/>
  <c r="D31" i="14" s="1"/>
  <c r="BA21" i="12"/>
  <c r="W31" i="30" s="1"/>
  <c r="E39" i="14"/>
  <c r="G39" i="14" s="1"/>
  <c r="B9" i="14"/>
  <c r="C41" i="14"/>
  <c r="B8" i="14"/>
  <c r="B40" i="14"/>
  <c r="V5" i="30" s="1"/>
  <c r="D40" i="14"/>
  <c r="AR19" i="14" l="1"/>
  <c r="AR20" i="14" s="1"/>
  <c r="P4" i="15" s="1"/>
  <c r="P6" i="15" s="1"/>
  <c r="P8" i="15" s="1"/>
  <c r="M41" i="16"/>
  <c r="AR25" i="12"/>
  <c r="AR27" i="12" s="1"/>
  <c r="Q42" i="14"/>
  <c r="N19" i="14" s="1"/>
  <c r="N20" i="14" s="1"/>
  <c r="G4" i="15" s="1"/>
  <c r="G6" i="15" s="1"/>
  <c r="G8" i="15" s="1"/>
  <c r="X26" i="16"/>
  <c r="T26" i="16"/>
  <c r="U26" i="16"/>
  <c r="V26" i="16"/>
  <c r="S26" i="16"/>
  <c r="W26" i="16"/>
  <c r="U24" i="16"/>
  <c r="V24" i="16"/>
  <c r="W24" i="16"/>
  <c r="S24" i="16"/>
  <c r="Z24" i="16" s="1"/>
  <c r="AG24" i="16" s="1"/>
  <c r="X24" i="16"/>
  <c r="T24" i="16"/>
  <c r="S29" i="16"/>
  <c r="U29" i="16"/>
  <c r="V29" i="16"/>
  <c r="W29" i="16"/>
  <c r="X29" i="16"/>
  <c r="T29" i="16"/>
  <c r="U28" i="16"/>
  <c r="V28" i="16"/>
  <c r="T28" i="16"/>
  <c r="W28" i="16"/>
  <c r="X28" i="16"/>
  <c r="S28" i="16"/>
  <c r="W25" i="16"/>
  <c r="X25" i="16"/>
  <c r="U25" i="16"/>
  <c r="V25" i="16"/>
  <c r="T25" i="16"/>
  <c r="S25" i="16"/>
  <c r="S27" i="16"/>
  <c r="U27" i="16"/>
  <c r="V27" i="16"/>
  <c r="W27" i="16"/>
  <c r="X27" i="16"/>
  <c r="T27" i="16"/>
  <c r="BK20" i="14"/>
  <c r="U4" i="15" s="1"/>
  <c r="U6" i="15" s="1"/>
  <c r="U8" i="15" s="1"/>
  <c r="W26" i="30"/>
  <c r="N53" i="16"/>
  <c r="N54" i="16"/>
  <c r="N52" i="16"/>
  <c r="N55" i="16"/>
  <c r="N50" i="16"/>
  <c r="BA19" i="14"/>
  <c r="BA20" i="14" s="1"/>
  <c r="R4" i="15" s="1"/>
  <c r="R6" i="15" s="1"/>
  <c r="R8" i="15" s="1"/>
  <c r="L31" i="14"/>
  <c r="M16" i="14" s="1"/>
  <c r="M17" i="14" s="1"/>
  <c r="M18" i="14" s="1"/>
  <c r="AH16" i="14"/>
  <c r="AH17" i="14" s="1"/>
  <c r="AH18" i="14" s="1"/>
  <c r="AH20" i="14" s="1"/>
  <c r="M4" i="15" s="1"/>
  <c r="M6" i="15" s="1"/>
  <c r="M8" i="15" s="1"/>
  <c r="N36" i="16"/>
  <c r="N33" i="16"/>
  <c r="N34" i="16"/>
  <c r="N35" i="16"/>
  <c r="W21" i="30"/>
  <c r="AI25" i="12"/>
  <c r="AI27" i="12" s="1"/>
  <c r="AJ21" i="12"/>
  <c r="AG16" i="14"/>
  <c r="AG17" i="14" s="1"/>
  <c r="AG18" i="14" s="1"/>
  <c r="AH31" i="14"/>
  <c r="G7" i="16"/>
  <c r="O35" i="16" s="1"/>
  <c r="N60" i="16"/>
  <c r="N62" i="16"/>
  <c r="N61" i="16"/>
  <c r="N63" i="16"/>
  <c r="N64" i="16"/>
  <c r="N59" i="16"/>
  <c r="E9" i="16"/>
  <c r="AR7" i="14"/>
  <c r="BJ9" i="14"/>
  <c r="W37" i="30"/>
  <c r="BJ10" i="14"/>
  <c r="BJ16" i="14" s="1"/>
  <c r="BJ17" i="14" s="1"/>
  <c r="BJ18" i="14" s="1"/>
  <c r="X37" i="30"/>
  <c r="V16" i="14"/>
  <c r="V17" i="14" s="1"/>
  <c r="V18" i="14" s="1"/>
  <c r="AG19" i="14"/>
  <c r="N70" i="16"/>
  <c r="N68" i="16"/>
  <c r="N72" i="16"/>
  <c r="N69" i="16"/>
  <c r="N71" i="16"/>
  <c r="N73" i="16"/>
  <c r="X26" i="30"/>
  <c r="Y26" i="30" s="1"/>
  <c r="AS25" i="12"/>
  <c r="AS27" i="12" s="1"/>
  <c r="AP9" i="14"/>
  <c r="AR9" i="14" s="1"/>
  <c r="W27" i="30"/>
  <c r="V22" i="30"/>
  <c r="AF8" i="14"/>
  <c r="M62" i="16"/>
  <c r="M60" i="16"/>
  <c r="M63" i="16"/>
  <c r="M61" i="16"/>
  <c r="M64" i="16"/>
  <c r="M59" i="16"/>
  <c r="AZ10" i="14"/>
  <c r="X32" i="30"/>
  <c r="Y32" i="30" s="1"/>
  <c r="W32" i="30"/>
  <c r="AZ9" i="14"/>
  <c r="AA27" i="12"/>
  <c r="X16" i="30"/>
  <c r="Y16" i="30" s="1"/>
  <c r="N8" i="14"/>
  <c r="R27" i="12"/>
  <c r="X11" i="30"/>
  <c r="Y11" i="30" s="1"/>
  <c r="L9" i="14"/>
  <c r="N9" i="14" s="1"/>
  <c r="W12" i="30"/>
  <c r="D9" i="14"/>
  <c r="G5" i="16"/>
  <c r="D8" i="14"/>
  <c r="F5" i="16"/>
  <c r="N26" i="16"/>
  <c r="N24" i="16"/>
  <c r="N28" i="16"/>
  <c r="N29" i="16"/>
  <c r="N25" i="16"/>
  <c r="N27" i="16"/>
  <c r="W20" i="14"/>
  <c r="I4" i="15" s="1"/>
  <c r="I6" i="15" s="1"/>
  <c r="I8" i="15" s="1"/>
  <c r="E40" i="14"/>
  <c r="G40" i="14" s="1"/>
  <c r="C19" i="14"/>
  <c r="C20" i="14" s="1"/>
  <c r="C4" i="15" s="1"/>
  <c r="C6" i="15" s="1"/>
  <c r="C8" i="15" s="1"/>
  <c r="B41" i="14"/>
  <c r="W5" i="30" s="1"/>
  <c r="D41" i="14"/>
  <c r="C42" i="14"/>
  <c r="B10" i="14"/>
  <c r="H5" i="16" s="1"/>
  <c r="N31" i="14" l="1"/>
  <c r="M19" i="14" s="1"/>
  <c r="M20" i="14" s="1"/>
  <c r="F4" i="15" s="1"/>
  <c r="F6" i="15" s="1"/>
  <c r="F8" i="15" s="1"/>
  <c r="G9" i="16"/>
  <c r="O54" i="16" s="1"/>
  <c r="M50" i="16"/>
  <c r="M52" i="16"/>
  <c r="M53" i="16"/>
  <c r="M55" i="16"/>
  <c r="M54" i="16"/>
  <c r="M51" i="16"/>
  <c r="O36" i="16"/>
  <c r="V36" i="16" s="1"/>
  <c r="AC36" i="16" s="1"/>
  <c r="AJ36" i="16" s="1"/>
  <c r="O37" i="16"/>
  <c r="F8" i="16"/>
  <c r="AH8" i="14"/>
  <c r="AG20" i="14"/>
  <c r="L4" i="15" s="1"/>
  <c r="L6" i="15" s="1"/>
  <c r="L8" i="15" s="1"/>
  <c r="H11" i="16"/>
  <c r="BL10" i="14"/>
  <c r="AJ25" i="12"/>
  <c r="AJ27" i="12" s="1"/>
  <c r="X21" i="30"/>
  <c r="Y21" i="30" s="1"/>
  <c r="G10" i="16"/>
  <c r="BB9" i="14"/>
  <c r="AZ16" i="14"/>
  <c r="AZ17" i="14" s="1"/>
  <c r="AZ18" i="14" s="1"/>
  <c r="H10" i="16"/>
  <c r="BB10" i="14"/>
  <c r="O33" i="16"/>
  <c r="W33" i="16" s="1"/>
  <c r="AD33" i="16" s="1"/>
  <c r="AK33" i="16" s="1"/>
  <c r="W22" i="30"/>
  <c r="AF9" i="14"/>
  <c r="AP10" i="14"/>
  <c r="X27" i="30"/>
  <c r="Y27" i="30" s="1"/>
  <c r="O34" i="16"/>
  <c r="W34" i="16" s="1"/>
  <c r="AD34" i="16" s="1"/>
  <c r="AK34" i="16" s="1"/>
  <c r="G11" i="16"/>
  <c r="BL9" i="14"/>
  <c r="V10" i="14"/>
  <c r="X17" i="30"/>
  <c r="G6" i="16"/>
  <c r="O25" i="16" s="1"/>
  <c r="L10" i="14"/>
  <c r="X12" i="30"/>
  <c r="Y12" i="30" s="1"/>
  <c r="N20" i="16"/>
  <c r="N16" i="16"/>
  <c r="N15" i="16"/>
  <c r="N17" i="16"/>
  <c r="N18" i="16"/>
  <c r="N19" i="16"/>
  <c r="O20" i="16"/>
  <c r="O15" i="16"/>
  <c r="O17" i="16"/>
  <c r="O18" i="16"/>
  <c r="O16" i="16"/>
  <c r="O19" i="16"/>
  <c r="U35" i="16"/>
  <c r="AB35" i="16" s="1"/>
  <c r="AI35" i="16" s="1"/>
  <c r="T35" i="16"/>
  <c r="AA35" i="16" s="1"/>
  <c r="AH35" i="16" s="1"/>
  <c r="V35" i="16"/>
  <c r="AC35" i="16" s="1"/>
  <c r="AJ35" i="16" s="1"/>
  <c r="W35" i="16"/>
  <c r="AD35" i="16" s="1"/>
  <c r="AK35" i="16" s="1"/>
  <c r="X35" i="16"/>
  <c r="AE35" i="16" s="1"/>
  <c r="AL35" i="16" s="1"/>
  <c r="S35" i="16"/>
  <c r="Z35" i="16" s="1"/>
  <c r="AG35" i="16" s="1"/>
  <c r="P17" i="16"/>
  <c r="P15" i="16"/>
  <c r="P18" i="16"/>
  <c r="P20" i="16"/>
  <c r="P16" i="16"/>
  <c r="P19" i="16"/>
  <c r="U37" i="16"/>
  <c r="AB37" i="16" s="1"/>
  <c r="AI37" i="16" s="1"/>
  <c r="V37" i="16"/>
  <c r="AC37" i="16" s="1"/>
  <c r="AJ37" i="16" s="1"/>
  <c r="W37" i="16"/>
  <c r="AD37" i="16" s="1"/>
  <c r="AK37" i="16" s="1"/>
  <c r="X37" i="16"/>
  <c r="AE37" i="16" s="1"/>
  <c r="AL37" i="16" s="1"/>
  <c r="S37" i="16"/>
  <c r="Z37" i="16" s="1"/>
  <c r="AG37" i="16" s="1"/>
  <c r="T37" i="16"/>
  <c r="AA37" i="16" s="1"/>
  <c r="AH37" i="16" s="1"/>
  <c r="D10" i="14"/>
  <c r="B19" i="14" s="1"/>
  <c r="B16" i="14"/>
  <c r="B17" i="14" s="1"/>
  <c r="B18" i="14" s="1"/>
  <c r="B42" i="14"/>
  <c r="X5" i="30" s="1"/>
  <c r="Y5" i="30" s="1"/>
  <c r="D42" i="14"/>
  <c r="E41" i="14"/>
  <c r="G41" i="14" s="1"/>
  <c r="X34" i="16" l="1"/>
  <c r="AE34" i="16" s="1"/>
  <c r="AL34" i="16" s="1"/>
  <c r="U34" i="16"/>
  <c r="AB34" i="16" s="1"/>
  <c r="AI34" i="16" s="1"/>
  <c r="O55" i="16"/>
  <c r="O50" i="16"/>
  <c r="O52" i="16"/>
  <c r="T34" i="16"/>
  <c r="AA34" i="16" s="1"/>
  <c r="AH34" i="16" s="1"/>
  <c r="V34" i="16"/>
  <c r="AC34" i="16" s="1"/>
  <c r="AJ34" i="16" s="1"/>
  <c r="O51" i="16"/>
  <c r="O53" i="16"/>
  <c r="X33" i="16"/>
  <c r="AE33" i="16" s="1"/>
  <c r="AL33" i="16" s="1"/>
  <c r="V33" i="16"/>
  <c r="AC33" i="16" s="1"/>
  <c r="AJ33" i="16" s="1"/>
  <c r="U33" i="16"/>
  <c r="AB33" i="16" s="1"/>
  <c r="AI33" i="16" s="1"/>
  <c r="S34" i="16"/>
  <c r="Z34" i="16" s="1"/>
  <c r="AG34" i="16" s="1"/>
  <c r="T33" i="16"/>
  <c r="AA33" i="16" s="1"/>
  <c r="AH33" i="16" s="1"/>
  <c r="S33" i="16"/>
  <c r="Z33" i="16" s="1"/>
  <c r="AG33" i="16" s="1"/>
  <c r="T36" i="16"/>
  <c r="AA36" i="16" s="1"/>
  <c r="AH36" i="16" s="1"/>
  <c r="S36" i="16"/>
  <c r="Z36" i="16" s="1"/>
  <c r="AG36" i="16" s="1"/>
  <c r="X36" i="16"/>
  <c r="AE36" i="16" s="1"/>
  <c r="AL36" i="16" s="1"/>
  <c r="U36" i="16"/>
  <c r="AB36" i="16" s="1"/>
  <c r="AI36" i="16" s="1"/>
  <c r="W36" i="16"/>
  <c r="AD36" i="16" s="1"/>
  <c r="AK36" i="16" s="1"/>
  <c r="H9" i="16"/>
  <c r="AP16" i="14"/>
  <c r="AP17" i="14" s="1"/>
  <c r="AP18" i="14" s="1"/>
  <c r="AR10" i="14"/>
  <c r="AP19" i="14" s="1"/>
  <c r="O61" i="16"/>
  <c r="O63" i="16"/>
  <c r="O62" i="16"/>
  <c r="O60" i="16"/>
  <c r="O64" i="16"/>
  <c r="O59" i="16"/>
  <c r="N41" i="16"/>
  <c r="N42" i="16"/>
  <c r="N46" i="16"/>
  <c r="N45" i="16"/>
  <c r="N43" i="16"/>
  <c r="N44" i="16"/>
  <c r="AH9" i="14"/>
  <c r="G8" i="16"/>
  <c r="O68" i="16"/>
  <c r="O70" i="16"/>
  <c r="O72" i="16"/>
  <c r="O69" i="16"/>
  <c r="O71" i="16"/>
  <c r="O73" i="16"/>
  <c r="X22" i="30"/>
  <c r="AF10" i="14"/>
  <c r="AZ19" i="14"/>
  <c r="AZ20" i="14" s="1"/>
  <c r="Q4" i="15" s="1"/>
  <c r="Q6" i="15" s="1"/>
  <c r="Q8" i="15" s="1"/>
  <c r="BJ19" i="14"/>
  <c r="BJ20" i="14" s="1"/>
  <c r="T4" i="15" s="1"/>
  <c r="T6" i="15" s="1"/>
  <c r="T8" i="15" s="1"/>
  <c r="P61" i="16"/>
  <c r="P63" i="16"/>
  <c r="P62" i="16"/>
  <c r="P60" i="16"/>
  <c r="P64" i="16"/>
  <c r="P59" i="16"/>
  <c r="P69" i="16"/>
  <c r="P70" i="16"/>
  <c r="P68" i="16"/>
  <c r="P72" i="16"/>
  <c r="P71" i="16"/>
  <c r="P73" i="16"/>
  <c r="H7" i="16"/>
  <c r="X10" i="14"/>
  <c r="V19" i="14" s="1"/>
  <c r="V20" i="14" s="1"/>
  <c r="H4" i="15" s="1"/>
  <c r="H6" i="15" s="1"/>
  <c r="H8" i="15" s="1"/>
  <c r="O26" i="16"/>
  <c r="O28" i="16"/>
  <c r="O29" i="16"/>
  <c r="O24" i="16"/>
  <c r="O27" i="16"/>
  <c r="N10" i="14"/>
  <c r="L19" i="14" s="1"/>
  <c r="L17" i="14"/>
  <c r="L18" i="14" s="1"/>
  <c r="H6" i="16"/>
  <c r="W19" i="16"/>
  <c r="AD19" i="16" s="1"/>
  <c r="AK19" i="16" s="1"/>
  <c r="S19" i="16"/>
  <c r="Z19" i="16" s="1"/>
  <c r="AG19" i="16" s="1"/>
  <c r="T19" i="16"/>
  <c r="AA19" i="16" s="1"/>
  <c r="AH19" i="16" s="1"/>
  <c r="U19" i="16"/>
  <c r="AB19" i="16" s="1"/>
  <c r="AI19" i="16" s="1"/>
  <c r="V19" i="16"/>
  <c r="AC19" i="16" s="1"/>
  <c r="AJ19" i="16" s="1"/>
  <c r="X19" i="16"/>
  <c r="AE19" i="16" s="1"/>
  <c r="AL19" i="16" s="1"/>
  <c r="Q19" i="16"/>
  <c r="X16" i="16"/>
  <c r="AE16" i="16" s="1"/>
  <c r="AL16" i="16" s="1"/>
  <c r="T16" i="16"/>
  <c r="AA16" i="16" s="1"/>
  <c r="AH16" i="16" s="1"/>
  <c r="U16" i="16"/>
  <c r="AB16" i="16" s="1"/>
  <c r="AI16" i="16" s="1"/>
  <c r="V16" i="16"/>
  <c r="AC16" i="16" s="1"/>
  <c r="AJ16" i="16" s="1"/>
  <c r="W16" i="16"/>
  <c r="AD16" i="16" s="1"/>
  <c r="AK16" i="16" s="1"/>
  <c r="S16" i="16"/>
  <c r="Z16" i="16" s="1"/>
  <c r="AG16" i="16" s="1"/>
  <c r="Q16" i="16"/>
  <c r="S20" i="16"/>
  <c r="Z20" i="16" s="1"/>
  <c r="AG20" i="16" s="1"/>
  <c r="V20" i="16"/>
  <c r="AC20" i="16" s="1"/>
  <c r="AJ20" i="16" s="1"/>
  <c r="W20" i="16"/>
  <c r="AD20" i="16" s="1"/>
  <c r="AK20" i="16" s="1"/>
  <c r="X20" i="16"/>
  <c r="AE20" i="16" s="1"/>
  <c r="AL20" i="16" s="1"/>
  <c r="T20" i="16"/>
  <c r="AA20" i="16" s="1"/>
  <c r="AH20" i="16" s="1"/>
  <c r="U20" i="16"/>
  <c r="AB20" i="16" s="1"/>
  <c r="AI20" i="16" s="1"/>
  <c r="Q20" i="16"/>
  <c r="V18" i="16"/>
  <c r="AC18" i="16" s="1"/>
  <c r="AJ18" i="16" s="1"/>
  <c r="S18" i="16"/>
  <c r="Z18" i="16" s="1"/>
  <c r="AG18" i="16" s="1"/>
  <c r="W18" i="16"/>
  <c r="AD18" i="16" s="1"/>
  <c r="AK18" i="16" s="1"/>
  <c r="X18" i="16"/>
  <c r="AE18" i="16" s="1"/>
  <c r="AL18" i="16" s="1"/>
  <c r="T18" i="16"/>
  <c r="AA18" i="16" s="1"/>
  <c r="AH18" i="16" s="1"/>
  <c r="U18" i="16"/>
  <c r="AB18" i="16" s="1"/>
  <c r="AI18" i="16" s="1"/>
  <c r="Q18" i="16"/>
  <c r="T15" i="16"/>
  <c r="AA15" i="16" s="1"/>
  <c r="AH15" i="16" s="1"/>
  <c r="S15" i="16"/>
  <c r="Z15" i="16" s="1"/>
  <c r="AG15" i="16" s="1"/>
  <c r="W15" i="16"/>
  <c r="AD15" i="16" s="1"/>
  <c r="AK15" i="16" s="1"/>
  <c r="X15" i="16"/>
  <c r="AE15" i="16" s="1"/>
  <c r="AL15" i="16" s="1"/>
  <c r="V15" i="16"/>
  <c r="AC15" i="16" s="1"/>
  <c r="AJ15" i="16" s="1"/>
  <c r="U15" i="16"/>
  <c r="AB15" i="16" s="1"/>
  <c r="AI15" i="16" s="1"/>
  <c r="W17" i="16"/>
  <c r="AD17" i="16" s="1"/>
  <c r="AK17" i="16" s="1"/>
  <c r="X17" i="16"/>
  <c r="AE17" i="16" s="1"/>
  <c r="AL17" i="16" s="1"/>
  <c r="T17" i="16"/>
  <c r="AA17" i="16" s="1"/>
  <c r="AH17" i="16" s="1"/>
  <c r="U17" i="16"/>
  <c r="AB17" i="16" s="1"/>
  <c r="AI17" i="16" s="1"/>
  <c r="V17" i="16"/>
  <c r="AC17" i="16" s="1"/>
  <c r="AJ17" i="16" s="1"/>
  <c r="S17" i="16"/>
  <c r="Z17" i="16" s="1"/>
  <c r="AG17" i="16" s="1"/>
  <c r="Q17" i="16"/>
  <c r="Q15" i="16"/>
  <c r="B20" i="14"/>
  <c r="B4" i="15" s="1"/>
  <c r="B6" i="15" s="1"/>
  <c r="B8" i="15" s="1"/>
  <c r="E42" i="14"/>
  <c r="D16" i="14" s="1"/>
  <c r="D17" i="14" s="1"/>
  <c r="D18" i="14" s="1"/>
  <c r="V70" i="16" l="1"/>
  <c r="AC70" i="16" s="1"/>
  <c r="AJ70" i="16" s="1"/>
  <c r="S70" i="16"/>
  <c r="Z70" i="16" s="1"/>
  <c r="AG70" i="16" s="1"/>
  <c r="W70" i="16"/>
  <c r="AD70" i="16" s="1"/>
  <c r="AK70" i="16" s="1"/>
  <c r="X70" i="16"/>
  <c r="AE70" i="16" s="1"/>
  <c r="AL70" i="16" s="1"/>
  <c r="T70" i="16"/>
  <c r="AA70" i="16" s="1"/>
  <c r="AH70" i="16" s="1"/>
  <c r="U70" i="16"/>
  <c r="AB70" i="16" s="1"/>
  <c r="AI70" i="16" s="1"/>
  <c r="Q73" i="16"/>
  <c r="U73" i="16"/>
  <c r="AB73" i="16" s="1"/>
  <c r="AI73" i="16" s="1"/>
  <c r="S73" i="16"/>
  <c r="Z73" i="16" s="1"/>
  <c r="AG73" i="16" s="1"/>
  <c r="V73" i="16"/>
  <c r="AC73" i="16" s="1"/>
  <c r="AJ73" i="16" s="1"/>
  <c r="W73" i="16"/>
  <c r="AD73" i="16" s="1"/>
  <c r="AK73" i="16" s="1"/>
  <c r="X73" i="16"/>
  <c r="AE73" i="16" s="1"/>
  <c r="AL73" i="16" s="1"/>
  <c r="T73" i="16"/>
  <c r="AA73" i="16" s="1"/>
  <c r="AH73" i="16" s="1"/>
  <c r="S71" i="16"/>
  <c r="Z71" i="16" s="1"/>
  <c r="AG71" i="16" s="1"/>
  <c r="U71" i="16"/>
  <c r="AB71" i="16" s="1"/>
  <c r="AI71" i="16" s="1"/>
  <c r="V71" i="16"/>
  <c r="AC71" i="16" s="1"/>
  <c r="AJ71" i="16" s="1"/>
  <c r="T71" i="16"/>
  <c r="AA71" i="16" s="1"/>
  <c r="AH71" i="16" s="1"/>
  <c r="W71" i="16"/>
  <c r="AD71" i="16" s="1"/>
  <c r="AK71" i="16" s="1"/>
  <c r="X71" i="16"/>
  <c r="AE71" i="16" s="1"/>
  <c r="AL71" i="16" s="1"/>
  <c r="V72" i="16"/>
  <c r="AC72" i="16" s="1"/>
  <c r="AJ72" i="16" s="1"/>
  <c r="W72" i="16"/>
  <c r="AD72" i="16" s="1"/>
  <c r="AK72" i="16" s="1"/>
  <c r="U72" i="16"/>
  <c r="AB72" i="16" s="1"/>
  <c r="AI72" i="16" s="1"/>
  <c r="X72" i="16"/>
  <c r="AE72" i="16" s="1"/>
  <c r="AL72" i="16" s="1"/>
  <c r="S72" i="16"/>
  <c r="Z72" i="16" s="1"/>
  <c r="AG72" i="16" s="1"/>
  <c r="T72" i="16"/>
  <c r="AA72" i="16" s="1"/>
  <c r="AH72" i="16" s="1"/>
  <c r="W68" i="16"/>
  <c r="AD68" i="16" s="1"/>
  <c r="AK68" i="16" s="1"/>
  <c r="V68" i="16"/>
  <c r="AC68" i="16" s="1"/>
  <c r="AJ68" i="16" s="1"/>
  <c r="U68" i="16"/>
  <c r="AB68" i="16" s="1"/>
  <c r="AI68" i="16" s="1"/>
  <c r="S68" i="16"/>
  <c r="Z68" i="16" s="1"/>
  <c r="AG68" i="16" s="1"/>
  <c r="T68" i="16"/>
  <c r="AA68" i="16" s="1"/>
  <c r="AH68" i="16" s="1"/>
  <c r="X68" i="16"/>
  <c r="AE68" i="16" s="1"/>
  <c r="AL68" i="16" s="1"/>
  <c r="U69" i="16"/>
  <c r="AB69" i="16" s="1"/>
  <c r="AI69" i="16" s="1"/>
  <c r="T69" i="16"/>
  <c r="AA69" i="16" s="1"/>
  <c r="AH69" i="16" s="1"/>
  <c r="V69" i="16"/>
  <c r="AC69" i="16" s="1"/>
  <c r="AJ69" i="16" s="1"/>
  <c r="W69" i="16"/>
  <c r="AD69" i="16" s="1"/>
  <c r="AK69" i="16" s="1"/>
  <c r="X69" i="16"/>
  <c r="AE69" i="16" s="1"/>
  <c r="AL69" i="16" s="1"/>
  <c r="S69" i="16"/>
  <c r="Z69" i="16" s="1"/>
  <c r="AG69" i="16" s="1"/>
  <c r="Q72" i="16"/>
  <c r="Q68" i="16"/>
  <c r="BI6" i="16" s="1"/>
  <c r="D26" i="17" s="1"/>
  <c r="Q71" i="16"/>
  <c r="AP20" i="14"/>
  <c r="N4" i="15" s="1"/>
  <c r="N6" i="15" s="1"/>
  <c r="N8" i="15" s="1"/>
  <c r="S59" i="16"/>
  <c r="Z59" i="16" s="1"/>
  <c r="AG59" i="16" s="1"/>
  <c r="X59" i="16"/>
  <c r="AE59" i="16" s="1"/>
  <c r="AL59" i="16" s="1"/>
  <c r="V59" i="16"/>
  <c r="AC59" i="16" s="1"/>
  <c r="AJ59" i="16" s="1"/>
  <c r="W59" i="16"/>
  <c r="AD59" i="16" s="1"/>
  <c r="AK59" i="16" s="1"/>
  <c r="U59" i="16"/>
  <c r="AB59" i="16" s="1"/>
  <c r="AI59" i="16" s="1"/>
  <c r="T59" i="16"/>
  <c r="AA59" i="16" s="1"/>
  <c r="AH59" i="16" s="1"/>
  <c r="Q59" i="16"/>
  <c r="Q69" i="16"/>
  <c r="X60" i="16"/>
  <c r="AE60" i="16" s="1"/>
  <c r="AL60" i="16" s="1"/>
  <c r="U60" i="16"/>
  <c r="AB60" i="16" s="1"/>
  <c r="AI60" i="16" s="1"/>
  <c r="T60" i="16"/>
  <c r="AA60" i="16" s="1"/>
  <c r="AH60" i="16" s="1"/>
  <c r="V60" i="16"/>
  <c r="AC60" i="16" s="1"/>
  <c r="AJ60" i="16" s="1"/>
  <c r="W60" i="16"/>
  <c r="AD60" i="16" s="1"/>
  <c r="AK60" i="16" s="1"/>
  <c r="S60" i="16"/>
  <c r="Z60" i="16" s="1"/>
  <c r="AG60" i="16" s="1"/>
  <c r="Q60" i="16"/>
  <c r="U62" i="16"/>
  <c r="AB62" i="16" s="1"/>
  <c r="AI62" i="16" s="1"/>
  <c r="S62" i="16"/>
  <c r="Z62" i="16" s="1"/>
  <c r="AG62" i="16" s="1"/>
  <c r="W62" i="16"/>
  <c r="AD62" i="16" s="1"/>
  <c r="AK62" i="16" s="1"/>
  <c r="T62" i="16"/>
  <c r="AA62" i="16" s="1"/>
  <c r="AH62" i="16" s="1"/>
  <c r="V62" i="16"/>
  <c r="AC62" i="16" s="1"/>
  <c r="AJ62" i="16" s="1"/>
  <c r="X62" i="16"/>
  <c r="AE62" i="16" s="1"/>
  <c r="AL62" i="16" s="1"/>
  <c r="Q62" i="16"/>
  <c r="BL9" i="16"/>
  <c r="G29" i="17" s="1"/>
  <c r="V64" i="16"/>
  <c r="AC64" i="16" s="1"/>
  <c r="AJ64" i="16" s="1"/>
  <c r="T64" i="16"/>
  <c r="AA64" i="16" s="1"/>
  <c r="AH64" i="16" s="1"/>
  <c r="W64" i="16"/>
  <c r="AD64" i="16" s="1"/>
  <c r="AK64" i="16" s="1"/>
  <c r="S64" i="16"/>
  <c r="Z64" i="16" s="1"/>
  <c r="AG64" i="16" s="1"/>
  <c r="X64" i="16"/>
  <c r="AE64" i="16" s="1"/>
  <c r="AL64" i="16" s="1"/>
  <c r="U64" i="16"/>
  <c r="AB64" i="16" s="1"/>
  <c r="AI64" i="16" s="1"/>
  <c r="Q64" i="16"/>
  <c r="X63" i="16"/>
  <c r="AE63" i="16" s="1"/>
  <c r="AL63" i="16" s="1"/>
  <c r="W63" i="16"/>
  <c r="AD63" i="16" s="1"/>
  <c r="AK63" i="16" s="1"/>
  <c r="S63" i="16"/>
  <c r="Z63" i="16" s="1"/>
  <c r="AG63" i="16" s="1"/>
  <c r="T63" i="16"/>
  <c r="AA63" i="16" s="1"/>
  <c r="AH63" i="16" s="1"/>
  <c r="V63" i="16"/>
  <c r="AC63" i="16" s="1"/>
  <c r="AJ63" i="16" s="1"/>
  <c r="U63" i="16"/>
  <c r="AB63" i="16" s="1"/>
  <c r="AI63" i="16" s="1"/>
  <c r="Q63" i="16"/>
  <c r="AF16" i="14"/>
  <c r="AF17" i="14" s="1"/>
  <c r="AF18" i="14" s="1"/>
  <c r="H8" i="16"/>
  <c r="AH10" i="14"/>
  <c r="AF19" i="14" s="1"/>
  <c r="O45" i="16"/>
  <c r="O42" i="16"/>
  <c r="O44" i="16"/>
  <c r="O41" i="16"/>
  <c r="O46" i="16"/>
  <c r="O43" i="16"/>
  <c r="P54" i="16"/>
  <c r="P52" i="16"/>
  <c r="P50" i="16"/>
  <c r="P53" i="16"/>
  <c r="P51" i="16"/>
  <c r="P55" i="16"/>
  <c r="W61" i="16"/>
  <c r="AD61" i="16" s="1"/>
  <c r="AK61" i="16" s="1"/>
  <c r="S61" i="16"/>
  <c r="Z61" i="16" s="1"/>
  <c r="AG61" i="16" s="1"/>
  <c r="X61" i="16"/>
  <c r="AE61" i="16" s="1"/>
  <c r="AL61" i="16" s="1"/>
  <c r="T61" i="16"/>
  <c r="AA61" i="16" s="1"/>
  <c r="AH61" i="16" s="1"/>
  <c r="U61" i="16"/>
  <c r="AB61" i="16" s="1"/>
  <c r="AI61" i="16" s="1"/>
  <c r="V61" i="16"/>
  <c r="AC61" i="16" s="1"/>
  <c r="AJ61" i="16" s="1"/>
  <c r="Q61" i="16"/>
  <c r="Q70" i="16"/>
  <c r="P34" i="16"/>
  <c r="Q34" i="16" s="1"/>
  <c r="P35" i="16"/>
  <c r="Q35" i="16" s="1"/>
  <c r="P36" i="16"/>
  <c r="Q36" i="16" s="1"/>
  <c r="P37" i="16"/>
  <c r="Q37" i="16" s="1"/>
  <c r="P33" i="16"/>
  <c r="Q33" i="16" s="1"/>
  <c r="K10" i="16"/>
  <c r="B10" i="17" s="1"/>
  <c r="O10" i="16"/>
  <c r="F10" i="17" s="1"/>
  <c r="P27" i="16"/>
  <c r="P29" i="16"/>
  <c r="P26" i="16"/>
  <c r="P25" i="16"/>
  <c r="P28" i="16"/>
  <c r="P24" i="16"/>
  <c r="L20" i="14"/>
  <c r="E4" i="15" s="1"/>
  <c r="E6" i="15" s="1"/>
  <c r="E8" i="15" s="1"/>
  <c r="P10" i="16"/>
  <c r="G10" i="17" s="1"/>
  <c r="N7" i="16"/>
  <c r="E7" i="17" s="1"/>
  <c r="L9" i="16"/>
  <c r="C9" i="17" s="1"/>
  <c r="O11" i="16"/>
  <c r="F11" i="17" s="1"/>
  <c r="N6" i="16"/>
  <c r="E6" i="17" s="1"/>
  <c r="O7" i="16"/>
  <c r="F7" i="17" s="1"/>
  <c r="M9" i="16"/>
  <c r="D9" i="17" s="1"/>
  <c r="P11" i="16"/>
  <c r="G11" i="17" s="1"/>
  <c r="O6" i="16"/>
  <c r="F6" i="17" s="1"/>
  <c r="P7" i="16"/>
  <c r="G7" i="17" s="1"/>
  <c r="N9" i="16"/>
  <c r="E9" i="17" s="1"/>
  <c r="K7" i="16"/>
  <c r="B7" i="17" s="1"/>
  <c r="P6" i="16"/>
  <c r="G6" i="17" s="1"/>
  <c r="L8" i="16"/>
  <c r="C8" i="17" s="1"/>
  <c r="O9" i="16"/>
  <c r="F9" i="17" s="1"/>
  <c r="K8" i="16"/>
  <c r="B8" i="17" s="1"/>
  <c r="K6" i="16"/>
  <c r="B6" i="17" s="1"/>
  <c r="L7" i="16"/>
  <c r="C7" i="17" s="1"/>
  <c r="O8" i="16"/>
  <c r="F8" i="17" s="1"/>
  <c r="M11" i="16"/>
  <c r="D11" i="17" s="1"/>
  <c r="L6" i="16"/>
  <c r="C6" i="17" s="1"/>
  <c r="M8" i="16"/>
  <c r="D8" i="17" s="1"/>
  <c r="M6" i="16"/>
  <c r="D6" i="17" s="1"/>
  <c r="N8" i="16"/>
  <c r="E8" i="17" s="1"/>
  <c r="P8" i="16"/>
  <c r="G8" i="17" s="1"/>
  <c r="P9" i="16"/>
  <c r="G9" i="17" s="1"/>
  <c r="L11" i="16"/>
  <c r="C11" i="17" s="1"/>
  <c r="K9" i="16"/>
  <c r="B9" i="17" s="1"/>
  <c r="M7" i="16"/>
  <c r="D7" i="17" s="1"/>
  <c r="K11" i="16"/>
  <c r="B11" i="17" s="1"/>
  <c r="N11" i="16"/>
  <c r="E11" i="17" s="1"/>
  <c r="N10" i="16"/>
  <c r="E10" i="17" s="1"/>
  <c r="M10" i="16"/>
  <c r="D10" i="17" s="1"/>
  <c r="L10" i="16"/>
  <c r="C10" i="17" s="1"/>
  <c r="G42" i="14"/>
  <c r="D19" i="14" s="1"/>
  <c r="D20" i="14" s="1"/>
  <c r="D4" i="15" s="1"/>
  <c r="D6" i="15" s="1"/>
  <c r="D8" i="15" s="1"/>
  <c r="BI11" i="16" l="1"/>
  <c r="D31" i="17" s="1"/>
  <c r="BL10" i="16"/>
  <c r="G30" i="17" s="1"/>
  <c r="BJ10" i="16"/>
  <c r="E30" i="17" s="1"/>
  <c r="BG6" i="16"/>
  <c r="B26" i="17" s="1"/>
  <c r="BJ8" i="16"/>
  <c r="E28" i="17" s="1"/>
  <c r="BI9" i="16"/>
  <c r="D29" i="17" s="1"/>
  <c r="BL7" i="16"/>
  <c r="G27" i="17" s="1"/>
  <c r="BG10" i="16"/>
  <c r="B30" i="17" s="1"/>
  <c r="BJ9" i="16"/>
  <c r="E29" i="17" s="1"/>
  <c r="BL8" i="16"/>
  <c r="G28" i="17" s="1"/>
  <c r="BK7" i="16"/>
  <c r="F27" i="17" s="1"/>
  <c r="BH9" i="16"/>
  <c r="C29" i="17" s="1"/>
  <c r="BH6" i="16"/>
  <c r="C26" i="17" s="1"/>
  <c r="BK6" i="16"/>
  <c r="F26" i="17" s="1"/>
  <c r="BI10" i="16"/>
  <c r="D30" i="17" s="1"/>
  <c r="BJ11" i="16"/>
  <c r="E31" i="17" s="1"/>
  <c r="BL11" i="16"/>
  <c r="G31" i="17" s="1"/>
  <c r="BJ7" i="16"/>
  <c r="E27" i="17" s="1"/>
  <c r="BH8" i="16"/>
  <c r="C28" i="17" s="1"/>
  <c r="BG7" i="16"/>
  <c r="B27" i="17" s="1"/>
  <c r="BH11" i="16"/>
  <c r="C31" i="17" s="1"/>
  <c r="BK10" i="16"/>
  <c r="F30" i="17" s="1"/>
  <c r="BK9" i="16"/>
  <c r="F29" i="17" s="1"/>
  <c r="BG11" i="16"/>
  <c r="B31" i="17" s="1"/>
  <c r="BI8" i="16"/>
  <c r="D28" i="17" s="1"/>
  <c r="BK8" i="16"/>
  <c r="F28" i="17" s="1"/>
  <c r="BI7" i="16"/>
  <c r="D27" i="17" s="1"/>
  <c r="BG8" i="16"/>
  <c r="B28" i="17" s="1"/>
  <c r="BG9" i="16"/>
  <c r="B29" i="17" s="1"/>
  <c r="BK11" i="16"/>
  <c r="F31" i="17" s="1"/>
  <c r="BJ6" i="16"/>
  <c r="E26" i="17" s="1"/>
  <c r="BH7" i="16"/>
  <c r="C27" i="17" s="1"/>
  <c r="BH10" i="16"/>
  <c r="C30" i="17" s="1"/>
  <c r="BL6" i="16"/>
  <c r="G26" i="17" s="1"/>
  <c r="W55" i="16"/>
  <c r="AD55" i="16" s="1"/>
  <c r="AK55" i="16" s="1"/>
  <c r="X55" i="16"/>
  <c r="AE55" i="16" s="1"/>
  <c r="AL55" i="16" s="1"/>
  <c r="V55" i="16"/>
  <c r="AC55" i="16" s="1"/>
  <c r="AJ55" i="16" s="1"/>
  <c r="S55" i="16"/>
  <c r="Z55" i="16" s="1"/>
  <c r="AG55" i="16" s="1"/>
  <c r="T55" i="16"/>
  <c r="AA55" i="16" s="1"/>
  <c r="AH55" i="16" s="1"/>
  <c r="U55" i="16"/>
  <c r="AB55" i="16" s="1"/>
  <c r="AI55" i="16" s="1"/>
  <c r="Q55" i="16"/>
  <c r="BB8" i="16"/>
  <c r="U18" i="17" s="1"/>
  <c r="BD8" i="16"/>
  <c r="W18" i="17" s="1"/>
  <c r="AY8" i="16"/>
  <c r="R18" i="17" s="1"/>
  <c r="AZ6" i="16"/>
  <c r="S16" i="17" s="1"/>
  <c r="BA11" i="16"/>
  <c r="T21" i="17" s="1"/>
  <c r="BB10" i="16"/>
  <c r="U20" i="17" s="1"/>
  <c r="BB6" i="16"/>
  <c r="U16" i="17" s="1"/>
  <c r="AZ11" i="16"/>
  <c r="S21" i="17" s="1"/>
  <c r="AZ10" i="16"/>
  <c r="S20" i="17" s="1"/>
  <c r="BC6" i="16"/>
  <c r="V16" i="17" s="1"/>
  <c r="BD9" i="16"/>
  <c r="W19" i="17" s="1"/>
  <c r="AY11" i="16"/>
  <c r="R21" i="17" s="1"/>
  <c r="BD7" i="16"/>
  <c r="W17" i="17" s="1"/>
  <c r="BD6" i="16"/>
  <c r="W16" i="17" s="1"/>
  <c r="AY10" i="16"/>
  <c r="R20" i="17" s="1"/>
  <c r="BB7" i="16"/>
  <c r="U17" i="17" s="1"/>
  <c r="AY7" i="16"/>
  <c r="R17" i="17" s="1"/>
  <c r="BA6" i="16"/>
  <c r="T16" i="17" s="1"/>
  <c r="BD11" i="16"/>
  <c r="W21" i="17" s="1"/>
  <c r="BA10" i="16"/>
  <c r="T20" i="17" s="1"/>
  <c r="AY6" i="16"/>
  <c r="R16" i="17" s="1"/>
  <c r="BC9" i="16"/>
  <c r="V19" i="17" s="1"/>
  <c r="AZ7" i="16"/>
  <c r="S17" i="17" s="1"/>
  <c r="AZ9" i="16"/>
  <c r="S19" i="17" s="1"/>
  <c r="BC7" i="16"/>
  <c r="V17" i="17" s="1"/>
  <c r="BD10" i="16"/>
  <c r="W20" i="17" s="1"/>
  <c r="AZ8" i="16"/>
  <c r="S18" i="17" s="1"/>
  <c r="BA8" i="16"/>
  <c r="T18" i="17" s="1"/>
  <c r="BC11" i="16"/>
  <c r="V21" i="17" s="1"/>
  <c r="BA7" i="16"/>
  <c r="T17" i="17" s="1"/>
  <c r="BC8" i="16"/>
  <c r="V18" i="17" s="1"/>
  <c r="BC10" i="16"/>
  <c r="V20" i="17" s="1"/>
  <c r="AY9" i="16"/>
  <c r="R19" i="17" s="1"/>
  <c r="BB9" i="16"/>
  <c r="U19" i="17" s="1"/>
  <c r="BB11" i="16"/>
  <c r="U21" i="17" s="1"/>
  <c r="BA9" i="16"/>
  <c r="T19" i="17" s="1"/>
  <c r="X53" i="16"/>
  <c r="AE53" i="16" s="1"/>
  <c r="AL53" i="16" s="1"/>
  <c r="S53" i="16"/>
  <c r="Z53" i="16" s="1"/>
  <c r="AG53" i="16" s="1"/>
  <c r="W53" i="16"/>
  <c r="AD53" i="16" s="1"/>
  <c r="AK53" i="16" s="1"/>
  <c r="T53" i="16"/>
  <c r="AA53" i="16" s="1"/>
  <c r="AH53" i="16" s="1"/>
  <c r="V53" i="16"/>
  <c r="AC53" i="16" s="1"/>
  <c r="AJ53" i="16" s="1"/>
  <c r="U53" i="16"/>
  <c r="AB53" i="16" s="1"/>
  <c r="AI53" i="16" s="1"/>
  <c r="Q53" i="16"/>
  <c r="S50" i="16"/>
  <c r="Z50" i="16" s="1"/>
  <c r="AG50" i="16" s="1"/>
  <c r="V50" i="16"/>
  <c r="AC50" i="16" s="1"/>
  <c r="AJ50" i="16" s="1"/>
  <c r="X50" i="16"/>
  <c r="AE50" i="16" s="1"/>
  <c r="AL50" i="16" s="1"/>
  <c r="W50" i="16"/>
  <c r="AD50" i="16" s="1"/>
  <c r="AK50" i="16" s="1"/>
  <c r="U50" i="16"/>
  <c r="AB50" i="16" s="1"/>
  <c r="AI50" i="16" s="1"/>
  <c r="T50" i="16"/>
  <c r="AA50" i="16" s="1"/>
  <c r="AH50" i="16" s="1"/>
  <c r="Q50" i="16"/>
  <c r="V51" i="16"/>
  <c r="AC51" i="16" s="1"/>
  <c r="AJ51" i="16" s="1"/>
  <c r="W51" i="16"/>
  <c r="AD51" i="16" s="1"/>
  <c r="AK51" i="16" s="1"/>
  <c r="S51" i="16"/>
  <c r="Z51" i="16" s="1"/>
  <c r="AG51" i="16" s="1"/>
  <c r="X51" i="16"/>
  <c r="AE51" i="16" s="1"/>
  <c r="AL51" i="16" s="1"/>
  <c r="U51" i="16"/>
  <c r="AB51" i="16" s="1"/>
  <c r="AI51" i="16" s="1"/>
  <c r="T51" i="16"/>
  <c r="AA51" i="16" s="1"/>
  <c r="AH51" i="16" s="1"/>
  <c r="Q51" i="16"/>
  <c r="W52" i="16"/>
  <c r="AD52" i="16" s="1"/>
  <c r="AK52" i="16" s="1"/>
  <c r="X52" i="16"/>
  <c r="AE52" i="16" s="1"/>
  <c r="AL52" i="16" s="1"/>
  <c r="U52" i="16"/>
  <c r="AB52" i="16" s="1"/>
  <c r="AI52" i="16" s="1"/>
  <c r="V52" i="16"/>
  <c r="AC52" i="16" s="1"/>
  <c r="AJ52" i="16" s="1"/>
  <c r="T52" i="16"/>
  <c r="AA52" i="16" s="1"/>
  <c r="AH52" i="16" s="1"/>
  <c r="S52" i="16"/>
  <c r="Z52" i="16" s="1"/>
  <c r="AG52" i="16" s="1"/>
  <c r="Q52" i="16"/>
  <c r="U54" i="16"/>
  <c r="AB54" i="16" s="1"/>
  <c r="AI54" i="16" s="1"/>
  <c r="V54" i="16"/>
  <c r="AC54" i="16" s="1"/>
  <c r="AJ54" i="16" s="1"/>
  <c r="W54" i="16"/>
  <c r="AD54" i="16" s="1"/>
  <c r="AK54" i="16" s="1"/>
  <c r="S54" i="16"/>
  <c r="Z54" i="16" s="1"/>
  <c r="AG54" i="16" s="1"/>
  <c r="X54" i="16"/>
  <c r="AE54" i="16" s="1"/>
  <c r="AL54" i="16" s="1"/>
  <c r="T54" i="16"/>
  <c r="AA54" i="16" s="1"/>
  <c r="AH54" i="16" s="1"/>
  <c r="Q54" i="16"/>
  <c r="P44" i="16"/>
  <c r="Q44" i="16" s="1"/>
  <c r="P45" i="16"/>
  <c r="P43" i="16"/>
  <c r="Q43" i="16" s="1"/>
  <c r="P41" i="16"/>
  <c r="P42" i="16"/>
  <c r="P46" i="16"/>
  <c r="Q46" i="16" s="1"/>
  <c r="AF20" i="14"/>
  <c r="K4" i="15" s="1"/>
  <c r="K6" i="15" s="1"/>
  <c r="K8" i="15" s="1"/>
  <c r="AE10" i="16"/>
  <c r="V10" i="17" s="1"/>
  <c r="AC6" i="16"/>
  <c r="T6" i="17" s="1"/>
  <c r="AF10" i="16"/>
  <c r="W10" i="17" s="1"/>
  <c r="AA8" i="16"/>
  <c r="R8" i="17" s="1"/>
  <c r="AF8" i="16"/>
  <c r="W8" i="17" s="1"/>
  <c r="AD8" i="16"/>
  <c r="U8" i="17" s="1"/>
  <c r="AF9" i="16"/>
  <c r="W9" i="17" s="1"/>
  <c r="AC7" i="16"/>
  <c r="T7" i="17" s="1"/>
  <c r="AF6" i="16"/>
  <c r="W6" i="17" s="1"/>
  <c r="AA6" i="16"/>
  <c r="R6" i="17" s="1"/>
  <c r="AC8" i="16"/>
  <c r="T8" i="17" s="1"/>
  <c r="AE6" i="16"/>
  <c r="V6" i="17" s="1"/>
  <c r="AA10" i="16"/>
  <c r="R10" i="17" s="1"/>
  <c r="AA7" i="16"/>
  <c r="R7" i="17" s="1"/>
  <c r="AD6" i="16"/>
  <c r="U6" i="17" s="1"/>
  <c r="AC10" i="16"/>
  <c r="T10" i="17" s="1"/>
  <c r="AE9" i="16"/>
  <c r="V9" i="17" s="1"/>
  <c r="AD10" i="16"/>
  <c r="U10" i="17" s="1"/>
  <c r="AA9" i="16"/>
  <c r="R9" i="17" s="1"/>
  <c r="AF7" i="16"/>
  <c r="W7" i="17" s="1"/>
  <c r="AD9" i="16"/>
  <c r="U9" i="17" s="1"/>
  <c r="AB8" i="16"/>
  <c r="S8" i="17" s="1"/>
  <c r="AB10" i="16"/>
  <c r="S10" i="17" s="1"/>
  <c r="AB7" i="16"/>
  <c r="S7" i="17" s="1"/>
  <c r="AE8" i="16"/>
  <c r="V8" i="17" s="1"/>
  <c r="AC9" i="16"/>
  <c r="T9" i="17" s="1"/>
  <c r="AE7" i="16"/>
  <c r="V7" i="17" s="1"/>
  <c r="AD7" i="16"/>
  <c r="U7" i="17" s="1"/>
  <c r="AB9" i="16"/>
  <c r="S9" i="17" s="1"/>
  <c r="AB6" i="16"/>
  <c r="S6" i="17" s="1"/>
  <c r="Q25" i="16"/>
  <c r="AC25" i="16"/>
  <c r="AJ25" i="16" s="1"/>
  <c r="AB25" i="16"/>
  <c r="AI25" i="16" s="1"/>
  <c r="AD25" i="16"/>
  <c r="AK25" i="16" s="1"/>
  <c r="AE25" i="16"/>
  <c r="AL25" i="16" s="1"/>
  <c r="Z25" i="16"/>
  <c r="AG25" i="16" s="1"/>
  <c r="AA25" i="16"/>
  <c r="AH25" i="16" s="1"/>
  <c r="Q24" i="16"/>
  <c r="S6" i="16" s="1"/>
  <c r="AC24" i="16"/>
  <c r="AJ24" i="16" s="1"/>
  <c r="AE24" i="16"/>
  <c r="AL24" i="16" s="1"/>
  <c r="AA24" i="16"/>
  <c r="AH24" i="16" s="1"/>
  <c r="AB24" i="16"/>
  <c r="AI24" i="16" s="1"/>
  <c r="AD24" i="16"/>
  <c r="AK24" i="16" s="1"/>
  <c r="AA28" i="16"/>
  <c r="AH28" i="16" s="1"/>
  <c r="AB28" i="16"/>
  <c r="AI28" i="16" s="1"/>
  <c r="AD28" i="16"/>
  <c r="AK28" i="16" s="1"/>
  <c r="AC28" i="16"/>
  <c r="AJ28" i="16" s="1"/>
  <c r="AE28" i="16"/>
  <c r="AL28" i="16" s="1"/>
  <c r="Q28" i="16"/>
  <c r="Z28" i="16"/>
  <c r="AG28" i="16" s="1"/>
  <c r="AC26" i="16"/>
  <c r="AJ26" i="16" s="1"/>
  <c r="AE26" i="16"/>
  <c r="AL26" i="16" s="1"/>
  <c r="Q26" i="16"/>
  <c r="AB26" i="16"/>
  <c r="AI26" i="16" s="1"/>
  <c r="AA26" i="16"/>
  <c r="AH26" i="16" s="1"/>
  <c r="AD26" i="16"/>
  <c r="AK26" i="16" s="1"/>
  <c r="Z26" i="16"/>
  <c r="AG26" i="16" s="1"/>
  <c r="Q29" i="16"/>
  <c r="AD29" i="16"/>
  <c r="AK29" i="16" s="1"/>
  <c r="AE29" i="16"/>
  <c r="AL29" i="16" s="1"/>
  <c r="Z29" i="16"/>
  <c r="AG29" i="16" s="1"/>
  <c r="AC29" i="16"/>
  <c r="AJ29" i="16" s="1"/>
  <c r="AA29" i="16"/>
  <c r="AH29" i="16" s="1"/>
  <c r="AB29" i="16"/>
  <c r="AI29" i="16" s="1"/>
  <c r="Z27" i="16"/>
  <c r="AG27" i="16" s="1"/>
  <c r="AC27" i="16"/>
  <c r="AJ27" i="16" s="1"/>
  <c r="AB27" i="16"/>
  <c r="AI27" i="16" s="1"/>
  <c r="AE27" i="16"/>
  <c r="AL27" i="16" s="1"/>
  <c r="AA27" i="16"/>
  <c r="AH27" i="16" s="1"/>
  <c r="Q27" i="16"/>
  <c r="AD27" i="16"/>
  <c r="AK27" i="16" s="1"/>
  <c r="T42" i="16" l="1"/>
  <c r="AA42" i="16" s="1"/>
  <c r="AH42" i="16" s="1"/>
  <c r="V42" i="16"/>
  <c r="AC42" i="16" s="1"/>
  <c r="AJ42" i="16" s="1"/>
  <c r="W42" i="16"/>
  <c r="AD42" i="16" s="1"/>
  <c r="AK42" i="16" s="1"/>
  <c r="U42" i="16"/>
  <c r="AB42" i="16" s="1"/>
  <c r="AI42" i="16" s="1"/>
  <c r="Q42" i="16"/>
  <c r="S42" i="16"/>
  <c r="Z42" i="16" s="1"/>
  <c r="AG42" i="16" s="1"/>
  <c r="X42" i="16"/>
  <c r="AE42" i="16" s="1"/>
  <c r="AL42" i="16" s="1"/>
  <c r="W41" i="16"/>
  <c r="AD41" i="16" s="1"/>
  <c r="AK41" i="16" s="1"/>
  <c r="T41" i="16"/>
  <c r="AA41" i="16" s="1"/>
  <c r="AH41" i="16" s="1"/>
  <c r="U41" i="16"/>
  <c r="AB41" i="16" s="1"/>
  <c r="AI41" i="16" s="1"/>
  <c r="S41" i="16"/>
  <c r="Z41" i="16" s="1"/>
  <c r="AG41" i="16" s="1"/>
  <c r="V41" i="16"/>
  <c r="AC41" i="16" s="1"/>
  <c r="AJ41" i="16" s="1"/>
  <c r="Q41" i="16"/>
  <c r="X41" i="16"/>
  <c r="AE41" i="16" s="1"/>
  <c r="AL41" i="16" s="1"/>
  <c r="X46" i="16"/>
  <c r="AE46" i="16" s="1"/>
  <c r="AL46" i="16" s="1"/>
  <c r="U46" i="16"/>
  <c r="AB46" i="16" s="1"/>
  <c r="AI46" i="16" s="1"/>
  <c r="V46" i="16"/>
  <c r="AC46" i="16" s="1"/>
  <c r="AJ46" i="16" s="1"/>
  <c r="T46" i="16"/>
  <c r="AA46" i="16" s="1"/>
  <c r="AH46" i="16" s="1"/>
  <c r="S46" i="16"/>
  <c r="Z46" i="16" s="1"/>
  <c r="AG46" i="16" s="1"/>
  <c r="W46" i="16"/>
  <c r="AD46" i="16" s="1"/>
  <c r="AK46" i="16" s="1"/>
  <c r="S43" i="16"/>
  <c r="Z43" i="16" s="1"/>
  <c r="AG43" i="16" s="1"/>
  <c r="V43" i="16"/>
  <c r="AC43" i="16" s="1"/>
  <c r="AJ43" i="16" s="1"/>
  <c r="U43" i="16"/>
  <c r="AB43" i="16" s="1"/>
  <c r="AI43" i="16" s="1"/>
  <c r="X43" i="16"/>
  <c r="AE43" i="16" s="1"/>
  <c r="AL43" i="16" s="1"/>
  <c r="W43" i="16"/>
  <c r="AD43" i="16" s="1"/>
  <c r="AK43" i="16" s="1"/>
  <c r="T43" i="16"/>
  <c r="AA43" i="16" s="1"/>
  <c r="AH43" i="16" s="1"/>
  <c r="AT11" i="16"/>
  <c r="M21" i="17" s="1"/>
  <c r="AS7" i="16"/>
  <c r="L17" i="17" s="1"/>
  <c r="AS9" i="16"/>
  <c r="L19" i="17" s="1"/>
  <c r="AR10" i="16"/>
  <c r="K20" i="17" s="1"/>
  <c r="AR7" i="16"/>
  <c r="K17" i="17" s="1"/>
  <c r="AQ7" i="16"/>
  <c r="J17" i="17" s="1"/>
  <c r="AV6" i="16"/>
  <c r="O16" i="17" s="1"/>
  <c r="AQ11" i="16"/>
  <c r="J21" i="17" s="1"/>
  <c r="AV8" i="16"/>
  <c r="O18" i="17" s="1"/>
  <c r="AV10" i="16"/>
  <c r="O20" i="17" s="1"/>
  <c r="AQ10" i="16"/>
  <c r="J20" i="17" s="1"/>
  <c r="AQ9" i="16"/>
  <c r="J19" i="17" s="1"/>
  <c r="AU7" i="16"/>
  <c r="N17" i="17" s="1"/>
  <c r="AT10" i="16"/>
  <c r="M20" i="17" s="1"/>
  <c r="AS6" i="16"/>
  <c r="L16" i="17" s="1"/>
  <c r="AU9" i="16"/>
  <c r="N19" i="17" s="1"/>
  <c r="AS8" i="16"/>
  <c r="L18" i="17" s="1"/>
  <c r="AR11" i="16"/>
  <c r="K21" i="17" s="1"/>
  <c r="AU11" i="16"/>
  <c r="N21" i="17" s="1"/>
  <c r="AT7" i="16"/>
  <c r="M17" i="17" s="1"/>
  <c r="AV7" i="16"/>
  <c r="O17" i="17" s="1"/>
  <c r="AV9" i="16"/>
  <c r="O19" i="17" s="1"/>
  <c r="AU8" i="16"/>
  <c r="N18" i="17" s="1"/>
  <c r="AS11" i="16"/>
  <c r="L21" i="17" s="1"/>
  <c r="AV11" i="16"/>
  <c r="O21" i="17" s="1"/>
  <c r="AU10" i="16"/>
  <c r="N20" i="17" s="1"/>
  <c r="AS10" i="16"/>
  <c r="L20" i="17" s="1"/>
  <c r="AR9" i="16"/>
  <c r="K19" i="17" s="1"/>
  <c r="AT9" i="16"/>
  <c r="M19" i="17" s="1"/>
  <c r="AT6" i="16"/>
  <c r="M16" i="17" s="1"/>
  <c r="AR8" i="16"/>
  <c r="K18" i="17" s="1"/>
  <c r="AQ6" i="16"/>
  <c r="J16" i="17" s="1"/>
  <c r="AR6" i="16"/>
  <c r="K16" i="17" s="1"/>
  <c r="AU6" i="16"/>
  <c r="N16" i="17" s="1"/>
  <c r="AT8" i="16"/>
  <c r="M18" i="17" s="1"/>
  <c r="AQ8" i="16"/>
  <c r="J18" i="17" s="1"/>
  <c r="U45" i="16"/>
  <c r="AB45" i="16" s="1"/>
  <c r="AI45" i="16" s="1"/>
  <c r="S45" i="16"/>
  <c r="Z45" i="16" s="1"/>
  <c r="AG45" i="16" s="1"/>
  <c r="X45" i="16"/>
  <c r="AE45" i="16" s="1"/>
  <c r="AL45" i="16" s="1"/>
  <c r="W45" i="16"/>
  <c r="AD45" i="16" s="1"/>
  <c r="AK45" i="16" s="1"/>
  <c r="Q45" i="16"/>
  <c r="T45" i="16"/>
  <c r="AA45" i="16" s="1"/>
  <c r="AH45" i="16" s="1"/>
  <c r="V45" i="16"/>
  <c r="AC45" i="16" s="1"/>
  <c r="AJ45" i="16" s="1"/>
  <c r="T44" i="16"/>
  <c r="AA44" i="16" s="1"/>
  <c r="AH44" i="16" s="1"/>
  <c r="W44" i="16"/>
  <c r="AD44" i="16" s="1"/>
  <c r="AK44" i="16" s="1"/>
  <c r="U44" i="16"/>
  <c r="AB44" i="16" s="1"/>
  <c r="AI44" i="16" s="1"/>
  <c r="S44" i="16"/>
  <c r="Z44" i="16" s="1"/>
  <c r="AG44" i="16" s="1"/>
  <c r="V44" i="16"/>
  <c r="AC44" i="16" s="1"/>
  <c r="AJ44" i="16" s="1"/>
  <c r="X44" i="16"/>
  <c r="AE44" i="16" s="1"/>
  <c r="AL44" i="16" s="1"/>
  <c r="S11" i="16"/>
  <c r="J11" i="17" s="1"/>
  <c r="X8" i="16"/>
  <c r="O8" i="17" s="1"/>
  <c r="U9" i="16"/>
  <c r="L9" i="17" s="1"/>
  <c r="W11" i="16"/>
  <c r="N11" i="17" s="1"/>
  <c r="V8" i="16"/>
  <c r="M8" i="17" s="1"/>
  <c r="V9" i="16"/>
  <c r="M9" i="17" s="1"/>
  <c r="U6" i="16"/>
  <c r="L6" i="17" s="1"/>
  <c r="X7" i="16"/>
  <c r="O7" i="17" s="1"/>
  <c r="T8" i="16"/>
  <c r="K8" i="17" s="1"/>
  <c r="W6" i="16"/>
  <c r="N6" i="17" s="1"/>
  <c r="J6" i="17"/>
  <c r="S10" i="16"/>
  <c r="J10" i="17" s="1"/>
  <c r="V10" i="16"/>
  <c r="M10" i="17" s="1"/>
  <c r="V11" i="16"/>
  <c r="M11" i="17" s="1"/>
  <c r="S7" i="16"/>
  <c r="J7" i="17" s="1"/>
  <c r="T10" i="16"/>
  <c r="K10" i="17" s="1"/>
  <c r="X11" i="16"/>
  <c r="O11" i="17" s="1"/>
  <c r="W7" i="16"/>
  <c r="N7" i="17" s="1"/>
  <c r="X10" i="16"/>
  <c r="O10" i="17" s="1"/>
  <c r="U7" i="16"/>
  <c r="L7" i="17" s="1"/>
  <c r="T9" i="16"/>
  <c r="K9" i="17" s="1"/>
  <c r="X9" i="16"/>
  <c r="O9" i="17" s="1"/>
  <c r="S8" i="16"/>
  <c r="J8" i="17" s="1"/>
  <c r="U11" i="16"/>
  <c r="L11" i="17" s="1"/>
  <c r="W9" i="16"/>
  <c r="N9" i="17" s="1"/>
  <c r="T11" i="16"/>
  <c r="K11" i="17" s="1"/>
  <c r="X6" i="16"/>
  <c r="O6" i="17" s="1"/>
  <c r="V7" i="16"/>
  <c r="M7" i="17" s="1"/>
  <c r="U10" i="16"/>
  <c r="L10" i="17" s="1"/>
  <c r="T7" i="16"/>
  <c r="K7" i="17" s="1"/>
  <c r="S9" i="16"/>
  <c r="J9" i="17" s="1"/>
  <c r="T6" i="16"/>
  <c r="K6" i="17" s="1"/>
  <c r="W8" i="16"/>
  <c r="N8" i="17" s="1"/>
  <c r="U8" i="16"/>
  <c r="L8" i="17" s="1"/>
  <c r="W10" i="16"/>
  <c r="N10" i="17" s="1"/>
  <c r="V6" i="16"/>
  <c r="M6" i="17" s="1"/>
  <c r="AN11" i="16" l="1"/>
  <c r="G21" i="17" s="1"/>
  <c r="AI6" i="16"/>
  <c r="AI11" i="16"/>
  <c r="B21" i="17" s="1"/>
  <c r="AN8" i="16"/>
  <c r="G18" i="17" s="1"/>
  <c r="AK11" i="16"/>
  <c r="D21" i="17" s="1"/>
  <c r="AJ7" i="16"/>
  <c r="C17" i="17" s="1"/>
  <c r="AI7" i="16"/>
  <c r="B17" i="17" s="1"/>
  <c r="AN10" i="16"/>
  <c r="G20" i="17" s="1"/>
  <c r="AL8" i="16"/>
  <c r="E18" i="17" s="1"/>
  <c r="AN6" i="16"/>
  <c r="G16" i="17" s="1"/>
  <c r="AK9" i="16"/>
  <c r="D19" i="17" s="1"/>
  <c r="AM8" i="16"/>
  <c r="F18" i="17" s="1"/>
  <c r="AJ9" i="16"/>
  <c r="C19" i="17" s="1"/>
  <c r="AI10" i="16"/>
  <c r="B20" i="17" s="1"/>
  <c r="AN9" i="16"/>
  <c r="G19" i="17" s="1"/>
  <c r="AM10" i="16"/>
  <c r="F20" i="17" s="1"/>
  <c r="AM9" i="16"/>
  <c r="F19" i="17" s="1"/>
  <c r="AM6" i="16"/>
  <c r="F16" i="17" s="1"/>
  <c r="AJ6" i="16"/>
  <c r="C16" i="17" s="1"/>
  <c r="AK6" i="16"/>
  <c r="D16" i="17" s="1"/>
  <c r="AL10" i="16"/>
  <c r="E20" i="17" s="1"/>
  <c r="AN7" i="16"/>
  <c r="G17" i="17" s="1"/>
  <c r="AL6" i="16"/>
  <c r="E16" i="17" s="1"/>
  <c r="AJ10" i="16"/>
  <c r="C20" i="17" s="1"/>
  <c r="AL7" i="16"/>
  <c r="E17" i="17" s="1"/>
  <c r="B16" i="17"/>
  <c r="AI9" i="16"/>
  <c r="B19" i="17" s="1"/>
  <c r="AK8" i="16"/>
  <c r="D18" i="17" s="1"/>
  <c r="AK7" i="16"/>
  <c r="D17" i="17" s="1"/>
  <c r="AJ8" i="16"/>
  <c r="C18" i="17" s="1"/>
  <c r="AM11" i="16"/>
  <c r="F21" i="17" s="1"/>
  <c r="AM7" i="16"/>
  <c r="F17" i="17" s="1"/>
  <c r="AK10" i="16"/>
  <c r="D20" i="17" s="1"/>
  <c r="AI8" i="16"/>
  <c r="B18" i="17" s="1"/>
  <c r="AL9" i="16"/>
  <c r="E19" i="17" s="1"/>
  <c r="AL11" i="16"/>
  <c r="E21" i="17" s="1"/>
  <c r="AJ11" i="16"/>
  <c r="C21" i="17"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9"/>
        </ext>
      </extLst>
    </bk>
    <bk>
      <extLst>
        <ext uri="{3e2802c4-a4d2-4d8b-9148-e3be6c30e623}">
          <xlrd:rvb i="16"/>
        </ext>
      </extLst>
    </bk>
    <bk>
      <extLst>
        <ext uri="{3e2802c4-a4d2-4d8b-9148-e3be6c30e623}">
          <xlrd:rvb i="19"/>
        </ext>
      </extLst>
    </bk>
    <bk>
      <extLst>
        <ext uri="{3e2802c4-a4d2-4d8b-9148-e3be6c30e623}">
          <xlrd:rvb i="21"/>
        </ext>
      </extLst>
    </bk>
    <bk>
      <extLst>
        <ext uri="{3e2802c4-a4d2-4d8b-9148-e3be6c30e623}">
          <xlrd:rvb i="24"/>
        </ext>
      </extLst>
    </bk>
    <bk>
      <extLst>
        <ext uri="{3e2802c4-a4d2-4d8b-9148-e3be6c30e623}">
          <xlrd:rvb i="26"/>
        </ext>
      </extLst>
    </bk>
    <bk>
      <extLst>
        <ext uri="{3e2802c4-a4d2-4d8b-9148-e3be6c30e623}">
          <xlrd:rvb i="29"/>
        </ext>
      </extLst>
    </bk>
    <bk>
      <extLst>
        <ext uri="{3e2802c4-a4d2-4d8b-9148-e3be6c30e623}">
          <xlrd:rvb i="31"/>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0"/>
        </ext>
      </extLst>
    </bk>
    <bk>
      <extLst>
        <ext uri="{3e2802c4-a4d2-4d8b-9148-e3be6c30e623}">
          <xlrd:rvb i="43"/>
        </ext>
      </extLst>
    </bk>
    <bk>
      <extLst>
        <ext uri="{3e2802c4-a4d2-4d8b-9148-e3be6c30e623}">
          <xlrd:rvb i="46"/>
        </ext>
      </extLst>
    </bk>
    <bk>
      <extLst>
        <ext uri="{3e2802c4-a4d2-4d8b-9148-e3be6c30e623}">
          <xlrd:rvb i="49"/>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2"/>
        </ext>
      </extLst>
    </bk>
    <bk>
      <extLst>
        <ext uri="{3e2802c4-a4d2-4d8b-9148-e3be6c30e623}">
          <xlrd:rvb i="65"/>
        </ext>
      </extLst>
    </bk>
    <bk>
      <extLst>
        <ext uri="{3e2802c4-a4d2-4d8b-9148-e3be6c30e623}">
          <xlrd:rvb i="68"/>
        </ext>
      </extLst>
    </bk>
    <bk>
      <extLst>
        <ext uri="{3e2802c4-a4d2-4d8b-9148-e3be6c30e623}">
          <xlrd:rvb i="71"/>
        </ext>
      </extLst>
    </bk>
    <bk>
      <extLst>
        <ext uri="{3e2802c4-a4d2-4d8b-9148-e3be6c30e623}">
          <xlrd:rvb i="74"/>
        </ext>
      </extLst>
    </bk>
    <bk>
      <extLst>
        <ext uri="{3e2802c4-a4d2-4d8b-9148-e3be6c30e623}">
          <xlrd:rvb i="77"/>
        </ext>
      </extLst>
    </bk>
    <bk>
      <extLst>
        <ext uri="{3e2802c4-a4d2-4d8b-9148-e3be6c30e623}">
          <xlrd:rvb i="80"/>
        </ext>
      </extLst>
    </bk>
    <bk>
      <extLst>
        <ext uri="{3e2802c4-a4d2-4d8b-9148-e3be6c30e623}">
          <xlrd:rvb i="83"/>
        </ext>
      </extLst>
    </bk>
    <bk>
      <extLst>
        <ext uri="{3e2802c4-a4d2-4d8b-9148-e3be6c30e623}">
          <xlrd:rvb i="86"/>
        </ext>
      </extLst>
    </bk>
    <bk>
      <extLst>
        <ext uri="{3e2802c4-a4d2-4d8b-9148-e3be6c30e623}">
          <xlrd:rvb i="89"/>
        </ext>
      </extLst>
    </bk>
    <bk>
      <extLst>
        <ext uri="{3e2802c4-a4d2-4d8b-9148-e3be6c30e623}">
          <xlrd:rvb i="95"/>
        </ext>
      </extLst>
    </bk>
    <bk>
      <extLst>
        <ext uri="{3e2802c4-a4d2-4d8b-9148-e3be6c30e623}">
          <xlrd:rvb i="98"/>
        </ext>
      </extLst>
    </bk>
    <bk>
      <extLst>
        <ext uri="{3e2802c4-a4d2-4d8b-9148-e3be6c30e623}">
          <xlrd:rvb i="101"/>
        </ext>
      </extLst>
    </bk>
    <bk>
      <extLst>
        <ext uri="{3e2802c4-a4d2-4d8b-9148-e3be6c30e623}">
          <xlrd:rvb i="104"/>
        </ext>
      </extLst>
    </bk>
    <bk>
      <extLst>
        <ext uri="{3e2802c4-a4d2-4d8b-9148-e3be6c30e623}">
          <xlrd:rvb i="107"/>
        </ext>
      </extLst>
    </bk>
    <bk>
      <extLst>
        <ext uri="{3e2802c4-a4d2-4d8b-9148-e3be6c30e623}">
          <xlrd:rvb i="110"/>
        </ext>
      </extLst>
    </bk>
    <bk>
      <extLst>
        <ext uri="{3e2802c4-a4d2-4d8b-9148-e3be6c30e623}">
          <xlrd:rvb i="113"/>
        </ext>
      </extLst>
    </bk>
    <bk>
      <extLst>
        <ext uri="{3e2802c4-a4d2-4d8b-9148-e3be6c30e623}">
          <xlrd:rvb i="116"/>
        </ext>
      </extLst>
    </bk>
    <bk>
      <extLst>
        <ext uri="{3e2802c4-a4d2-4d8b-9148-e3be6c30e623}">
          <xlrd:rvb i="119"/>
        </ext>
      </extLst>
    </bk>
    <bk>
      <extLst>
        <ext uri="{3e2802c4-a4d2-4d8b-9148-e3be6c30e623}">
          <xlrd:rvb i="122"/>
        </ext>
      </extLst>
    </bk>
    <bk>
      <extLst>
        <ext uri="{3e2802c4-a4d2-4d8b-9148-e3be6c30e623}">
          <xlrd:rvb i="125"/>
        </ext>
      </extLst>
    </bk>
    <bk>
      <extLst>
        <ext uri="{3e2802c4-a4d2-4d8b-9148-e3be6c30e623}">
          <xlrd:rvb i="128"/>
        </ext>
      </extLst>
    </bk>
    <bk>
      <extLst>
        <ext uri="{3e2802c4-a4d2-4d8b-9148-e3be6c30e623}">
          <xlrd:rvb i="131"/>
        </ext>
      </extLst>
    </bk>
    <bk>
      <extLst>
        <ext uri="{3e2802c4-a4d2-4d8b-9148-e3be6c30e623}">
          <xlrd:rvb i="134"/>
        </ext>
      </extLst>
    </bk>
    <bk>
      <extLst>
        <ext uri="{3e2802c4-a4d2-4d8b-9148-e3be6c30e623}">
          <xlrd:rvb i="137"/>
        </ext>
      </extLst>
    </bk>
    <bk>
      <extLst>
        <ext uri="{3e2802c4-a4d2-4d8b-9148-e3be6c30e623}">
          <xlrd:rvb i="140"/>
        </ext>
      </extLst>
    </bk>
  </futureMetadata>
  <cellMetadata count="1">
    <bk>
      <rc t="1" v="0"/>
    </bk>
  </cellMetadata>
  <valueMetadata count="5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valueMetadata>
</metadata>
</file>

<file path=xl/sharedStrings.xml><?xml version="1.0" encoding="utf-8"?>
<sst xmlns="http://schemas.openxmlformats.org/spreadsheetml/2006/main" count="1543" uniqueCount="552">
  <si>
    <t>Company Profile</t>
  </si>
  <si>
    <t>Logo</t>
  </si>
  <si>
    <t>Company Name</t>
  </si>
  <si>
    <t>HDFC Bank</t>
  </si>
  <si>
    <t>ICICI Bank</t>
  </si>
  <si>
    <t>Axis Bank</t>
  </si>
  <si>
    <t>SBI</t>
  </si>
  <si>
    <t>Bajaj Housing Finance</t>
  </si>
  <si>
    <t>Muthoot Finance</t>
  </si>
  <si>
    <t>Company name as per Exchange</t>
  </si>
  <si>
    <t>Current Market Price</t>
  </si>
  <si>
    <t>Industry</t>
  </si>
  <si>
    <t>Beta</t>
  </si>
  <si>
    <t>P/E (Current)</t>
  </si>
  <si>
    <t>Market Cap</t>
  </si>
  <si>
    <t>INR/USD</t>
  </si>
  <si>
    <t>Conversion</t>
  </si>
  <si>
    <t>Shares Outstanding</t>
  </si>
  <si>
    <t>Change (%)</t>
  </si>
  <si>
    <t>Balance Sheet</t>
  </si>
  <si>
    <t>Particulars</t>
  </si>
  <si>
    <t>Equity Share Capital</t>
  </si>
  <si>
    <t>Reserves and Surplus</t>
  </si>
  <si>
    <t>Minority Interest</t>
  </si>
  <si>
    <t>Borrowings in India</t>
  </si>
  <si>
    <t>Borrowings outside India</t>
  </si>
  <si>
    <t>Total Borrowings</t>
  </si>
  <si>
    <t>Total Deposits</t>
  </si>
  <si>
    <t>Shareholder's Equity</t>
  </si>
  <si>
    <t>Total Equity</t>
  </si>
  <si>
    <t>Liabilities</t>
  </si>
  <si>
    <t>Bills Payable</t>
  </si>
  <si>
    <t>Inter office adjustments (net)</t>
  </si>
  <si>
    <t>Interest accrued</t>
  </si>
  <si>
    <t>Proposed Dividend</t>
  </si>
  <si>
    <t>Provisions</t>
  </si>
  <si>
    <t>Total Liabilities</t>
  </si>
  <si>
    <t>ASSETS</t>
  </si>
  <si>
    <t>Cash and Cash Equivalents</t>
  </si>
  <si>
    <t xml:space="preserve">Total Balances </t>
  </si>
  <si>
    <t>Balance in Current Accounts</t>
  </si>
  <si>
    <t>Balance in other accounts</t>
  </si>
  <si>
    <t>Balance with Banks in India</t>
  </si>
  <si>
    <t>In current Accounts</t>
  </si>
  <si>
    <t>In other deposit accounts</t>
  </si>
  <si>
    <t>Money at call and short notice</t>
  </si>
  <si>
    <t>With banks</t>
  </si>
  <si>
    <t>With other institutions</t>
  </si>
  <si>
    <t>Total Balances with Banks</t>
  </si>
  <si>
    <t>Balance with Banks outside India</t>
  </si>
  <si>
    <t>Government Securities</t>
  </si>
  <si>
    <t>Other approved securities</t>
  </si>
  <si>
    <t>Shares</t>
  </si>
  <si>
    <t>Debentures and Bonds</t>
  </si>
  <si>
    <t>Investments in Joint ventures</t>
  </si>
  <si>
    <t xml:space="preserve">Others </t>
  </si>
  <si>
    <t>Total Investments in India</t>
  </si>
  <si>
    <t>Investments in India</t>
  </si>
  <si>
    <t>Investments outside India</t>
  </si>
  <si>
    <t>Subsidiaries and/or Joint ventures abroad</t>
  </si>
  <si>
    <t>Equity shares and Bonds</t>
  </si>
  <si>
    <t>Total Investments outside India</t>
  </si>
  <si>
    <t>Total Investments</t>
  </si>
  <si>
    <t>Advances in India</t>
  </si>
  <si>
    <t>Priority sector</t>
  </si>
  <si>
    <t>Public sector</t>
  </si>
  <si>
    <t>Banks</t>
  </si>
  <si>
    <t>Total advances in India</t>
  </si>
  <si>
    <t>Advances outside India</t>
  </si>
  <si>
    <t>Due from banks</t>
  </si>
  <si>
    <t>Bills purchased and discounted</t>
  </si>
  <si>
    <t>Syndicated loans</t>
  </si>
  <si>
    <t>Total advances outside India</t>
  </si>
  <si>
    <t>Total advances</t>
  </si>
  <si>
    <t>Fixed Assets</t>
  </si>
  <si>
    <t>Total Assets</t>
  </si>
  <si>
    <t>Other Assets</t>
  </si>
  <si>
    <t>Deposits of branches in India</t>
  </si>
  <si>
    <t>Deposits of branches outside India</t>
  </si>
  <si>
    <t>RBI</t>
  </si>
  <si>
    <t>Other Banks</t>
  </si>
  <si>
    <t>Other institutions &amp; agencies</t>
  </si>
  <si>
    <t>Total Balances</t>
  </si>
  <si>
    <t>Goodwill on consolidation</t>
  </si>
  <si>
    <t>Employees Stock options outstanding</t>
  </si>
  <si>
    <t>Upper and lower capital debts</t>
  </si>
  <si>
    <t>Bonds and debentures</t>
  </si>
  <si>
    <t>Sundry Creditors</t>
  </si>
  <si>
    <t>Liabilities on policies in force</t>
  </si>
  <si>
    <t>Other Liabilities</t>
  </si>
  <si>
    <t>Equity</t>
  </si>
  <si>
    <t>Equity share capital</t>
  </si>
  <si>
    <t>Other Equity</t>
  </si>
  <si>
    <t>Payables</t>
  </si>
  <si>
    <t>Debt securities</t>
  </si>
  <si>
    <t>Borrowings</t>
  </si>
  <si>
    <t>Other financial liabilities</t>
  </si>
  <si>
    <t>Current tax liabilities (net)</t>
  </si>
  <si>
    <t>Deferred tax liabilities (net)</t>
  </si>
  <si>
    <t>Other non financial liabilities</t>
  </si>
  <si>
    <t>Total Equity and liabilities</t>
  </si>
  <si>
    <t>Cash and Cash equivalents</t>
  </si>
  <si>
    <t>Receivables</t>
  </si>
  <si>
    <t>Loans</t>
  </si>
  <si>
    <t>Investments</t>
  </si>
  <si>
    <t>Other Financial assets</t>
  </si>
  <si>
    <t>Current tax assets (net)</t>
  </si>
  <si>
    <t>Deferred tax assets (net)</t>
  </si>
  <si>
    <t>Property, Plant and Equipments</t>
  </si>
  <si>
    <t>Intangible assets</t>
  </si>
  <si>
    <t>Other non financial assets</t>
  </si>
  <si>
    <t>Deposits</t>
  </si>
  <si>
    <t>Bank Balances other than cash</t>
  </si>
  <si>
    <t>Derivative Financial Instruments</t>
  </si>
  <si>
    <t>Capital work in progress</t>
  </si>
  <si>
    <t>Goodwill</t>
  </si>
  <si>
    <t>Non-controlling interest</t>
  </si>
  <si>
    <t>INCOME STATEMENT</t>
  </si>
  <si>
    <t>INCOME</t>
  </si>
  <si>
    <t>Interest earned</t>
  </si>
  <si>
    <t>Other income</t>
  </si>
  <si>
    <t>Total Income</t>
  </si>
  <si>
    <t>EXPENDITURE</t>
  </si>
  <si>
    <t>Interest expended</t>
  </si>
  <si>
    <t>Operating expenses</t>
  </si>
  <si>
    <t>Provisions and contingencies</t>
  </si>
  <si>
    <t>Total Expenses</t>
  </si>
  <si>
    <t>Net Profit for the year</t>
  </si>
  <si>
    <t xml:space="preserve">Consolidated Net Profit </t>
  </si>
  <si>
    <t>Balance in P&amp;L b/d from Previous year</t>
  </si>
  <si>
    <t>Amount available for appropriation</t>
  </si>
  <si>
    <t>Tranfer to statutory reserve</t>
  </si>
  <si>
    <t>Appropriations:</t>
  </si>
  <si>
    <t>Transfer to reserve fund</t>
  </si>
  <si>
    <t>Transfer to Investment reserve</t>
  </si>
  <si>
    <t>Transfer to capital reserve</t>
  </si>
  <si>
    <t>Transfer to general reserve</t>
  </si>
  <si>
    <t>Transfer to Investment fluctuation reserve</t>
  </si>
  <si>
    <t>Transfer to/from reserve fund</t>
  </si>
  <si>
    <t>Dividend paid</t>
  </si>
  <si>
    <t>Balance in P&amp;L c/d</t>
  </si>
  <si>
    <t>Total of Appropriations</t>
  </si>
  <si>
    <t>Earnings Per equity share</t>
  </si>
  <si>
    <t>Basic</t>
  </si>
  <si>
    <t>Corporate dividend tax paid</t>
  </si>
  <si>
    <t>Revenue from Operations</t>
  </si>
  <si>
    <t>Interest Income</t>
  </si>
  <si>
    <t>Fees and commission income</t>
  </si>
  <si>
    <t>Net gain on fair value changes</t>
  </si>
  <si>
    <t>Sale of services</t>
  </si>
  <si>
    <t>Other operating income</t>
  </si>
  <si>
    <t>Total revenue from operations</t>
  </si>
  <si>
    <t>Other Income</t>
  </si>
  <si>
    <t>Total income</t>
  </si>
  <si>
    <t>EXPENSES</t>
  </si>
  <si>
    <t>Finance costs</t>
  </si>
  <si>
    <t>Fees and commission expense</t>
  </si>
  <si>
    <t>Impairment on financial instruments</t>
  </si>
  <si>
    <t>Employee benefit expense</t>
  </si>
  <si>
    <t>Depreciation and ammortization expense</t>
  </si>
  <si>
    <t>Other expenses</t>
  </si>
  <si>
    <t>Total expenses</t>
  </si>
  <si>
    <t>Tax expense</t>
  </si>
  <si>
    <t>Current tax</t>
  </si>
  <si>
    <t>Deferred tax</t>
  </si>
  <si>
    <t>Total tax expense</t>
  </si>
  <si>
    <t>Profit after tax</t>
  </si>
  <si>
    <t>Income on assigned. Derecongnised loans</t>
  </si>
  <si>
    <t>Share of profit/loss from associates</t>
  </si>
  <si>
    <t>Profit before tax and exceptional items</t>
  </si>
  <si>
    <t>Exceptional items</t>
  </si>
  <si>
    <t>Earnings Per Share</t>
  </si>
  <si>
    <t>Tax relating to prior years</t>
  </si>
  <si>
    <t>Cash flow from Operating activities</t>
  </si>
  <si>
    <t>Net profit before taxes</t>
  </si>
  <si>
    <t>CASH FLOW STATEMENT</t>
  </si>
  <si>
    <t>Adjustments for:</t>
  </si>
  <si>
    <t>Depreciation on fixed assets</t>
  </si>
  <si>
    <t>Depreciation on investments</t>
  </si>
  <si>
    <t>Ammortisation of premium on held to maturity</t>
  </si>
  <si>
    <t>Provision for Non performing assets</t>
  </si>
  <si>
    <t>Provision on standard assets</t>
  </si>
  <si>
    <t>Profit/Loss on sale of land, buildings and other assets</t>
  </si>
  <si>
    <t>Provision for restructured assets/ strategic debt restructuring</t>
  </si>
  <si>
    <t>Provision on unhedged foreign currency exposure</t>
  </si>
  <si>
    <t>Provision for other contingencies</t>
  </si>
  <si>
    <t>Increase/Decrease in investments</t>
  </si>
  <si>
    <t>Increase/decrease in advances</t>
  </si>
  <si>
    <t>increase/decrease in deposits</t>
  </si>
  <si>
    <t>Increase/decrease in other assets</t>
  </si>
  <si>
    <t>Increase/decrease in other liabilities &amp; provisions</t>
  </si>
  <si>
    <t>Direct taxes paid</t>
  </si>
  <si>
    <t>Net cash flow from operating activities</t>
  </si>
  <si>
    <t>Cash flow from Investing activities</t>
  </si>
  <si>
    <t>Purchase of fixed assets</t>
  </si>
  <si>
    <t>Increase/decrease in held to maturity investments</t>
  </si>
  <si>
    <t>Proceeds from sale of fixed assets</t>
  </si>
  <si>
    <t>Cash flow from Financing activities</t>
  </si>
  <si>
    <t>Proceeds/repayment from issue of subordinated debt, perpetual debt &amp; upper tier II instruments</t>
  </si>
  <si>
    <t>Increase/decrease in borrowings (net)</t>
  </si>
  <si>
    <t>Proceeds from issue of share capital</t>
  </si>
  <si>
    <t>Proceeds from share premium</t>
  </si>
  <si>
    <t>Payment of dividend</t>
  </si>
  <si>
    <t>Increase in minority interest</t>
  </si>
  <si>
    <t>Net cash generated from/to financing activities</t>
  </si>
  <si>
    <t>Net cash generated from/to investing activities</t>
  </si>
  <si>
    <t>Effect of exchange fluctuation translation reserve</t>
  </si>
  <si>
    <t>Net increase in cash and cash equivalents</t>
  </si>
  <si>
    <t>Cash and cash equivalents at the beginning of the year</t>
  </si>
  <si>
    <t>Cash and cash equivalents at the end of the year</t>
  </si>
  <si>
    <t>Employee stock exchange expense</t>
  </si>
  <si>
    <t xml:space="preserve">Purchase consideration for acquisition </t>
  </si>
  <si>
    <t>Increase in policy holder's funds</t>
  </si>
  <si>
    <t>Proceeds from sale of investment in subsidiaries</t>
  </si>
  <si>
    <t>Cash and cash equivalents acquired on amalgamation</t>
  </si>
  <si>
    <t>Income from subsidiaries, joint ventures and entities</t>
  </si>
  <si>
    <t>Increase/Decrease in borrowings other than capital instruments</t>
  </si>
  <si>
    <t>Dividend from associates</t>
  </si>
  <si>
    <t>Profit/Loss on revaluation of investments</t>
  </si>
  <si>
    <t>CASH FLOW FROM OPERATING ACTIVITIES</t>
  </si>
  <si>
    <t>Profit before tax</t>
  </si>
  <si>
    <t>Interest income</t>
  </si>
  <si>
    <t>Depreciation and ammortization</t>
  </si>
  <si>
    <t>Service fees for management of assigned portfolio of loans</t>
  </si>
  <si>
    <t>Income on derecognised (assigned) loans</t>
  </si>
  <si>
    <t>Cash inflow from interest on loans</t>
  </si>
  <si>
    <t>Cash inflow form receivables on assignment of loans</t>
  </si>
  <si>
    <t>Cash outflow towards finance cost</t>
  </si>
  <si>
    <t>Working capital changes</t>
  </si>
  <si>
    <t>Increase/decrease in bank balances other than cash</t>
  </si>
  <si>
    <t>Increase/decrease in trade receivables</t>
  </si>
  <si>
    <t>Increase/decrease in other receivables</t>
  </si>
  <si>
    <t>Increase in loans</t>
  </si>
  <si>
    <t>Decrease in other financial assets</t>
  </si>
  <si>
    <t>Increase in trade payables</t>
  </si>
  <si>
    <t>Increase in other payables</t>
  </si>
  <si>
    <t>Increase in other financial liabilities</t>
  </si>
  <si>
    <t>Increase in provisions</t>
  </si>
  <si>
    <t>Increase/decrease in other non financial liabilities</t>
  </si>
  <si>
    <t>Income tax paid</t>
  </si>
  <si>
    <t>CASH FLOW FROM INVESTING ACTIVITIES</t>
  </si>
  <si>
    <t>Purchase of property, plant and equipment (fixed assets)</t>
  </si>
  <si>
    <t>Sale of PPE (Fixed assets)</t>
  </si>
  <si>
    <t>Purchase of intangible assets and intangibles assets under development</t>
  </si>
  <si>
    <t>Purchase of investments measured under FVTPL</t>
  </si>
  <si>
    <t>Sale of investments measured under FVTPL</t>
  </si>
  <si>
    <t>Purchase of investments measured under ammortized cost</t>
  </si>
  <si>
    <t>Sale of investments measured under ammortized cost</t>
  </si>
  <si>
    <t>Purchase of investments measured under FVOCI</t>
  </si>
  <si>
    <t>Interest received on investments</t>
  </si>
  <si>
    <t>Net cash generated from/used in investing activities</t>
  </si>
  <si>
    <t>Net cash generated from/used in operating activities</t>
  </si>
  <si>
    <t>Cash generated from/used operations before working capital changes</t>
  </si>
  <si>
    <t>CASH FLOW FROM FINANCING ACTIVITIES</t>
  </si>
  <si>
    <t>Issue of equity share capital (including securities premium)</t>
  </si>
  <si>
    <t>Proceeds from long term borrowings</t>
  </si>
  <si>
    <t>Repayments towards long term borrowings</t>
  </si>
  <si>
    <t>Short term borrowings (net)</t>
  </si>
  <si>
    <t>Deposits (other than public deposits) (net)</t>
  </si>
  <si>
    <t>Payment of lease liability</t>
  </si>
  <si>
    <t>Net cash generated from/used financial activities</t>
  </si>
  <si>
    <t>Net increase/decrease in cash and cash equivalents</t>
  </si>
  <si>
    <t>Profit/loss on disposal of PPE (Fixed assets)</t>
  </si>
  <si>
    <t>Share based payments to employees</t>
  </si>
  <si>
    <t>Gain/loss on sale of investment in subsidiary</t>
  </si>
  <si>
    <t>Cash inflow from service cost</t>
  </si>
  <si>
    <t>Net gain/loss on fair value changes</t>
  </si>
  <si>
    <t>Debt securities issued (net)</t>
  </si>
  <si>
    <t>Borrowings othe than debt securities issued (net)</t>
  </si>
  <si>
    <t>Provision no longer required written back</t>
  </si>
  <si>
    <t>Increase/decrease in other non financial assets</t>
  </si>
  <si>
    <t>Payment to holding on account of recharge liability</t>
  </si>
  <si>
    <t>Dividend income</t>
  </si>
  <si>
    <t>Dividend received</t>
  </si>
  <si>
    <t>Purchase of equity investments designated under FVOCI</t>
  </si>
  <si>
    <t>Proceeds from sale of investments under FVOCI</t>
  </si>
  <si>
    <t>Dividend distribution tax</t>
  </si>
  <si>
    <t>Share issue expense</t>
  </si>
  <si>
    <t>Increase/decrease in derivative financial instruments (net)</t>
  </si>
  <si>
    <t>Investment in associates</t>
  </si>
  <si>
    <t>Issue of share warrants</t>
  </si>
  <si>
    <t>Provision for gratuity</t>
  </si>
  <si>
    <t>Provision for compensated absences</t>
  </si>
  <si>
    <t>Profit/Loss on sale of mutual funds</t>
  </si>
  <si>
    <t>Unrealised gain on investments</t>
  </si>
  <si>
    <t>Finance cost paid</t>
  </si>
  <si>
    <t>Increase/decrease in investment property</t>
  </si>
  <si>
    <t>Increase/decrease in investment in mutual funds (net)</t>
  </si>
  <si>
    <t>Investments in quoted equity shares</t>
  </si>
  <si>
    <t>Investments in unquoted equity shares</t>
  </si>
  <si>
    <t>Acquisition of shares in subsidiaries</t>
  </si>
  <si>
    <t>Proceeds from issue of subsidiary shares to non controlling interest</t>
  </si>
  <si>
    <t>Increase/decrease in subordinated liabilities</t>
  </si>
  <si>
    <t>Net foreign exchange difference</t>
  </si>
  <si>
    <t>Cash and cash equivalents acquired on acquisition of subsidiary</t>
  </si>
  <si>
    <t>Provision for unspent expenditure on CSR</t>
  </si>
  <si>
    <t>Provision for refund of interest</t>
  </si>
  <si>
    <t>Increase/decrease in investments in secuirty reciepts (net)</t>
  </si>
  <si>
    <t>FINANCIAL RATIOS</t>
  </si>
  <si>
    <t>Profitability Ratios</t>
  </si>
  <si>
    <t>Net Interest Margin</t>
  </si>
  <si>
    <t>Return on Assets</t>
  </si>
  <si>
    <t>Return on Equity</t>
  </si>
  <si>
    <t>Cost to Income ratio</t>
  </si>
  <si>
    <t>Operating profit margin</t>
  </si>
  <si>
    <t>Asset Quality Ratios</t>
  </si>
  <si>
    <t>Gross NPA ratio</t>
  </si>
  <si>
    <t>Net NPA Ratio</t>
  </si>
  <si>
    <t>Provision Coverage ratio</t>
  </si>
  <si>
    <t>Capital Adequacy ratios</t>
  </si>
  <si>
    <t>Capital Adequacy ratio (CAR)</t>
  </si>
  <si>
    <t>Tier 1 capital ratio</t>
  </si>
  <si>
    <t>CET 1 Ratio</t>
  </si>
  <si>
    <t>Liquidity &amp; Funding ratios</t>
  </si>
  <si>
    <t>Credit to Deposit ratio</t>
  </si>
  <si>
    <t>CASA Ratio</t>
  </si>
  <si>
    <t>Liquidity Coverage ratio</t>
  </si>
  <si>
    <t>Efficiency Ratios</t>
  </si>
  <si>
    <t>Operating expense ratio</t>
  </si>
  <si>
    <t>Non-interest income ratio</t>
  </si>
  <si>
    <t>Cash Flow Ratios</t>
  </si>
  <si>
    <t>Operating cash flow/Net Profit</t>
  </si>
  <si>
    <t>Cash flow coverage ratio</t>
  </si>
  <si>
    <t>Loan Growth rate</t>
  </si>
  <si>
    <t>Deposit Growth rate</t>
  </si>
  <si>
    <t>Gross NPA</t>
  </si>
  <si>
    <t>Net NPA</t>
  </si>
  <si>
    <t>CASA</t>
  </si>
  <si>
    <t>Advances</t>
  </si>
  <si>
    <t>Savings Account deposits</t>
  </si>
  <si>
    <t>Demand Deposits</t>
  </si>
  <si>
    <t>2020</t>
  </si>
  <si>
    <t>2021</t>
  </si>
  <si>
    <t>2022</t>
  </si>
  <si>
    <t>2023</t>
  </si>
  <si>
    <t>2024</t>
  </si>
  <si>
    <t>Risk weighted assets</t>
  </si>
  <si>
    <t>Tier 1 Capital</t>
  </si>
  <si>
    <t>Tier 2 Capital</t>
  </si>
  <si>
    <t>Common Equity tier 1</t>
  </si>
  <si>
    <t>CET Ratio</t>
  </si>
  <si>
    <t>Average Total Net cash outflows</t>
  </si>
  <si>
    <t>Average Total High quality liquid assets (HQLAs)</t>
  </si>
  <si>
    <t>Repayment of Borrowings</t>
  </si>
  <si>
    <t>~</t>
  </si>
  <si>
    <t>Cash flow ratios</t>
  </si>
  <si>
    <t>Liquidity &amp; funding ratios</t>
  </si>
  <si>
    <t>Provision towards NPA</t>
  </si>
  <si>
    <t>Debt to AUM ratio</t>
  </si>
  <si>
    <t>Debt to Equity Ratio</t>
  </si>
  <si>
    <t>Borrowings Growth rate</t>
  </si>
  <si>
    <t>Key Assumptions &amp; Inputs</t>
  </si>
  <si>
    <t>Risk Free rate</t>
  </si>
  <si>
    <t>Equity risk premium</t>
  </si>
  <si>
    <t>Cost of Debt</t>
  </si>
  <si>
    <t>Tax rate</t>
  </si>
  <si>
    <t>Long-term growth rate</t>
  </si>
  <si>
    <t>Dividend Payout ratio</t>
  </si>
  <si>
    <t>Target CET 1/CRAR Ratio</t>
  </si>
  <si>
    <t>Average</t>
  </si>
  <si>
    <t>Income Statement Projections</t>
  </si>
  <si>
    <t>Net Interest Income</t>
  </si>
  <si>
    <t>Operating Expenses</t>
  </si>
  <si>
    <t>Pre-Provision Operating Profit</t>
  </si>
  <si>
    <t>Profit Before Tax (PBT)</t>
  </si>
  <si>
    <t>Tax Expense</t>
  </si>
  <si>
    <t>Profit After Tax (PAT)</t>
  </si>
  <si>
    <t>Asset Quality &amp; Provisions</t>
  </si>
  <si>
    <t>Capital &amp; Equity</t>
  </si>
  <si>
    <t>Total Risk-weighted assets</t>
  </si>
  <si>
    <t>Change in Required equity capital</t>
  </si>
  <si>
    <t>Free Cash Flow to Equity</t>
  </si>
  <si>
    <t>Net Income (PAT)</t>
  </si>
  <si>
    <t>Less: Change in required equity capital</t>
  </si>
  <si>
    <t>Less: Dividends paid</t>
  </si>
  <si>
    <t>FCFE</t>
  </si>
  <si>
    <t>FINANCIAL PROJECTIONS</t>
  </si>
  <si>
    <t>Total Advances/Loans (AUM)</t>
  </si>
  <si>
    <t>Parameter</t>
  </si>
  <si>
    <t>Formula</t>
  </si>
  <si>
    <t>Cost of Equity</t>
  </si>
  <si>
    <t>Debt Value</t>
  </si>
  <si>
    <t>WACC</t>
  </si>
  <si>
    <t>Equity Value</t>
  </si>
  <si>
    <t>Rf+Beta*ERP</t>
  </si>
  <si>
    <t>Kd*(1-Tax rate)</t>
  </si>
  <si>
    <t>Target Cap ratio</t>
  </si>
  <si>
    <t>1-E/V</t>
  </si>
  <si>
    <t>E/V x Ke + D/V x Kd</t>
  </si>
  <si>
    <t>Cost of Debt (Post tax)</t>
  </si>
  <si>
    <t>WACC CALCULATION SHEET</t>
  </si>
  <si>
    <t>Year</t>
  </si>
  <si>
    <t>Terminal</t>
  </si>
  <si>
    <t>Discount Factor</t>
  </si>
  <si>
    <t>PV of FCFE</t>
  </si>
  <si>
    <t>Growth rate</t>
  </si>
  <si>
    <t>Ke</t>
  </si>
  <si>
    <t>Total EV</t>
  </si>
  <si>
    <t>Valuation Sheet</t>
  </si>
  <si>
    <t>Dividend</t>
  </si>
  <si>
    <t>PV of Dividend</t>
  </si>
  <si>
    <t>Net Income</t>
  </si>
  <si>
    <t>Equity Charge</t>
  </si>
  <si>
    <t>Residual Income</t>
  </si>
  <si>
    <t>PV of Residual Income</t>
  </si>
  <si>
    <t>Equity Capital</t>
  </si>
  <si>
    <t>ROE</t>
  </si>
  <si>
    <t>Equity Value Calculations</t>
  </si>
  <si>
    <t>RIM Valuation</t>
  </si>
  <si>
    <t>Parameters</t>
  </si>
  <si>
    <t>DDM</t>
  </si>
  <si>
    <t>RIM</t>
  </si>
  <si>
    <t>TV of FCFE/DDM/RIM</t>
  </si>
  <si>
    <t>PV Terminal of FCFE/DDM/RIM</t>
  </si>
  <si>
    <t>PV of FCFE/DDM/RIM</t>
  </si>
  <si>
    <t>DDM Valuation</t>
  </si>
  <si>
    <t>PV of Residual</t>
  </si>
  <si>
    <t xml:space="preserve">Terminal </t>
  </si>
  <si>
    <t>Equity Value calculations</t>
  </si>
  <si>
    <t>Discount factor</t>
  </si>
  <si>
    <t>Required Equity Capital</t>
  </si>
  <si>
    <t>Outstanding Shares</t>
  </si>
  <si>
    <t>Intrinsic Value per share</t>
  </si>
  <si>
    <t>Upside/Downside</t>
  </si>
  <si>
    <t>In Crores</t>
  </si>
  <si>
    <t>Company Names</t>
  </si>
  <si>
    <t>Add: Net Equity</t>
  </si>
  <si>
    <t>Company</t>
  </si>
  <si>
    <t>FCFE Projections</t>
  </si>
  <si>
    <t>Growth Rate</t>
  </si>
  <si>
    <t>Cost of equity</t>
  </si>
  <si>
    <t>Senstivity Table</t>
  </si>
  <si>
    <t>2025</t>
  </si>
  <si>
    <t>2026</t>
  </si>
  <si>
    <t>2027</t>
  </si>
  <si>
    <t>2028</t>
  </si>
  <si>
    <t>2029</t>
  </si>
  <si>
    <t>2030</t>
  </si>
  <si>
    <t>Sum</t>
  </si>
  <si>
    <t>Terminal Value at different growth rates</t>
  </si>
  <si>
    <t>Present Value at Different Cost of equity(Ke)</t>
  </si>
  <si>
    <t>Sensitivity Table</t>
  </si>
  <si>
    <t>SENSTIVITY ANALYSIS</t>
  </si>
  <si>
    <t>Senstivity Analysis (Intrinsic Value/Share)</t>
  </si>
  <si>
    <t>SENSTIVITY ANALYSIS - INTRINSIC VALUE/SHARE</t>
  </si>
  <si>
    <t>INTRINSIC VALUE/SHARE</t>
  </si>
  <si>
    <t>Terminal Value of FCFE at different Ke-g</t>
  </si>
  <si>
    <t xml:space="preserve">Present Value of TV of FCFE </t>
  </si>
  <si>
    <t>State Bank of India</t>
  </si>
  <si>
    <t>Select Bank</t>
  </si>
  <si>
    <t>Advances (AUM)</t>
  </si>
  <si>
    <t xml:space="preserve">HDFC </t>
  </si>
  <si>
    <t>State Bank Of India</t>
  </si>
  <si>
    <t>Bajaj Housing Finance Limited</t>
  </si>
  <si>
    <t>Bajaj Finserv Limited</t>
  </si>
  <si>
    <t>Muthoot Finance Limited</t>
  </si>
  <si>
    <t>Select Metric</t>
  </si>
  <si>
    <t>PAT</t>
  </si>
  <si>
    <t>Select Financials</t>
  </si>
  <si>
    <t>Balance Sheet-Banks</t>
  </si>
  <si>
    <t>Balance Sheet-NBFCs</t>
  </si>
  <si>
    <t>Income Statement-Banks</t>
  </si>
  <si>
    <t>Income Statement-NBFCs</t>
  </si>
  <si>
    <t>Cash Flow Statement-Banks</t>
  </si>
  <si>
    <t>Cash Flow Statement-NBFCs</t>
  </si>
  <si>
    <t>Financial Ratios-Banks</t>
  </si>
  <si>
    <t>Financial Ratios-NBFCs</t>
  </si>
  <si>
    <t>Projections</t>
  </si>
  <si>
    <t>Financial Projections</t>
  </si>
  <si>
    <t>Senstivity Analysis</t>
  </si>
  <si>
    <t>Valuation</t>
  </si>
  <si>
    <t>DCF-DDM-RIM</t>
  </si>
  <si>
    <t>Intrinsic Value</t>
  </si>
  <si>
    <t>Senstivity Analysis-Intrinsic</t>
  </si>
  <si>
    <t>Holdings</t>
  </si>
  <si>
    <t>Change (Rs)</t>
  </si>
  <si>
    <t>Ticker Symbol</t>
  </si>
  <si>
    <t>Buy/Sell</t>
  </si>
  <si>
    <t>Profit/Loss</t>
  </si>
  <si>
    <t>Average Price (Buy)</t>
  </si>
  <si>
    <t>Average Price (Sell)</t>
  </si>
  <si>
    <t>Quantity (Sell)</t>
  </si>
  <si>
    <t>Quantity (Buy)</t>
  </si>
  <si>
    <t>Equity Sold</t>
  </si>
  <si>
    <t>Overall P/L</t>
  </si>
  <si>
    <t>Total Amount</t>
  </si>
  <si>
    <t>Current Holdings</t>
  </si>
  <si>
    <t>Quantity (Net)</t>
  </si>
  <si>
    <t>Transactions</t>
  </si>
  <si>
    <t>Sno</t>
  </si>
  <si>
    <t>Metrics</t>
  </si>
  <si>
    <t>AUM</t>
  </si>
  <si>
    <t>BHFL</t>
  </si>
  <si>
    <t>MFL</t>
  </si>
  <si>
    <t>CAGR</t>
  </si>
  <si>
    <t>Row Labels</t>
  </si>
  <si>
    <t>Sum of 2020</t>
  </si>
  <si>
    <t>Sum of 2021</t>
  </si>
  <si>
    <t>Sum of 2022</t>
  </si>
  <si>
    <t>Sum of 2023</t>
  </si>
  <si>
    <t>Sum of 2024</t>
  </si>
  <si>
    <t>Sum of 2025</t>
  </si>
  <si>
    <t>Sum of 2026</t>
  </si>
  <si>
    <t>Sum of 2027</t>
  </si>
  <si>
    <t>Sum of 2028</t>
  </si>
  <si>
    <t>Sum of 2029</t>
  </si>
  <si>
    <t>Sum of 2030</t>
  </si>
  <si>
    <t>HDFC</t>
  </si>
  <si>
    <t>ICICI</t>
  </si>
  <si>
    <t>Net Profit Margin</t>
  </si>
  <si>
    <t>Metric</t>
  </si>
  <si>
    <t>Asset Turnover</t>
  </si>
  <si>
    <t>Equity multiplier</t>
  </si>
  <si>
    <t xml:space="preserve">Revenue </t>
  </si>
  <si>
    <t>Average total assets</t>
  </si>
  <si>
    <t>Average Shareholder's Equity</t>
  </si>
  <si>
    <t>BFS</t>
  </si>
  <si>
    <t>Operating Income</t>
  </si>
  <si>
    <t>P/E</t>
  </si>
  <si>
    <t>P/B</t>
  </si>
  <si>
    <t>Market prices</t>
  </si>
  <si>
    <t>Market price</t>
  </si>
  <si>
    <t>Market cap</t>
  </si>
  <si>
    <t>Market Price</t>
  </si>
  <si>
    <t>Bajaj Finance</t>
  </si>
  <si>
    <t>Revenue CAGR</t>
  </si>
  <si>
    <t>(R1/R0)^(1/N)-1</t>
  </si>
  <si>
    <t>Net Profit margin</t>
  </si>
  <si>
    <t>Earnings growth</t>
  </si>
  <si>
    <t>25-30 Revenue CAGR</t>
  </si>
  <si>
    <t>GDP growth</t>
  </si>
  <si>
    <t>Change</t>
  </si>
  <si>
    <t>Senstivity (Earnings)</t>
  </si>
  <si>
    <t>Average Revenue CAGR</t>
  </si>
  <si>
    <t>Institution</t>
  </si>
  <si>
    <t>Raw ROCE</t>
  </si>
  <si>
    <t>Amount</t>
  </si>
  <si>
    <t>2020-24</t>
  </si>
  <si>
    <t>2025-30</t>
  </si>
  <si>
    <t>Average Capex</t>
  </si>
  <si>
    <t>Bajaj Housing</t>
  </si>
  <si>
    <t>Change in PBT</t>
  </si>
  <si>
    <t>Change in PBT-F</t>
  </si>
  <si>
    <t>Shareholder's equity-F</t>
  </si>
  <si>
    <t>Raw ROCE-F</t>
  </si>
  <si>
    <t>Earnings CAGR</t>
  </si>
  <si>
    <t>Mcap ($)</t>
  </si>
  <si>
    <t>In Millions</t>
  </si>
  <si>
    <t>Total Assets/Equity</t>
  </si>
  <si>
    <t>Deposits/NII</t>
  </si>
  <si>
    <t>RWA/Equity</t>
  </si>
  <si>
    <t>Cost of deposits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</si>
</sst>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 &quot;₹&quot;\ * #,##0.00_ ;_ &quot;₹&quot;\ * \-#,##0.00_ ;_ &quot;₹&quot;\ * &quot;-&quot;??_ ;_ @_ "/>
    <numFmt numFmtId="43" formatCode="_ * #,##0.00_ ;_ * \-#,##0.00_ ;_ * &quot;-&quot;??_ ;_ @_ "/>
    <numFmt numFmtId="164" formatCode="_ [$₹-4009]\ * #,##0.00_ ;_ [$₹-4009]\ * \-#,##0.00_ ;_ [$₹-4009]\ * &quot;-&quot;??_ ;_ @_ "/>
    <numFmt numFmtId="165" formatCode="#,##0.0000"/>
    <numFmt numFmtId="166" formatCode="_ * #,##0_ ;_ * \-#,##0_ ;_ * &quot;-&quot;??_ ;_ @_ "/>
    <numFmt numFmtId="167" formatCode="0.0%"/>
    <numFmt numFmtId="168" formatCode="0.00000000%"/>
    <numFmt numFmtId="169" formatCode="_ * #,##0.0000_ ;_ * \-#,##0.0000_ ;_ * &quot;-&quot;????_ ;_ @_ "/>
  </numFmts>
  <fonts count="40" x14ac:knownFonts="1">
    <font>
      <sz val="11"/>
      <color theme="1"/>
      <name val="Calibri"/>
      <family val="2"/>
      <scheme val="minor"/>
    </font>
    <font>
      <sz val="11"/>
      <color theme="1"/>
      <name val="Calibri"/>
      <family val="2"/>
      <scheme val="minor"/>
    </font>
    <font>
      <b/>
      <sz val="11"/>
      <color theme="1"/>
      <name val="Calibri"/>
      <family val="2"/>
      <scheme val="minor"/>
    </font>
    <font>
      <b/>
      <sz val="22"/>
      <color theme="0"/>
      <name val="Calibri"/>
      <family val="2"/>
      <scheme val="minor"/>
    </font>
    <font>
      <b/>
      <sz val="26"/>
      <color theme="0"/>
      <name val="Calibri"/>
      <family val="2"/>
      <scheme val="minor"/>
    </font>
    <font>
      <b/>
      <sz val="14"/>
      <color theme="1"/>
      <name val="Calibri"/>
      <family val="2"/>
      <scheme val="minor"/>
    </font>
    <font>
      <sz val="14"/>
      <color theme="1"/>
      <name val="Calibri"/>
      <family val="2"/>
      <scheme val="minor"/>
    </font>
    <font>
      <b/>
      <sz val="16"/>
      <color theme="1"/>
      <name val="Aptos"/>
      <family val="2"/>
    </font>
    <font>
      <sz val="16"/>
      <color theme="1"/>
      <name val="Aptos"/>
      <family val="2"/>
    </font>
    <font>
      <b/>
      <sz val="16"/>
      <color theme="1"/>
      <name val="Calibri"/>
      <family val="2"/>
      <scheme val="minor"/>
    </font>
    <font>
      <b/>
      <sz val="14"/>
      <color theme="1"/>
      <name val="Aptos"/>
      <family val="2"/>
    </font>
    <font>
      <sz val="14"/>
      <color theme="0"/>
      <name val="Calibri"/>
      <family val="2"/>
      <scheme val="minor"/>
    </font>
    <font>
      <sz val="14"/>
      <name val="Calibri"/>
      <family val="2"/>
      <scheme val="minor"/>
    </font>
    <font>
      <b/>
      <sz val="16"/>
      <color theme="0"/>
      <name val="Calibri"/>
      <family val="2"/>
      <scheme val="minor"/>
    </font>
    <font>
      <b/>
      <sz val="20"/>
      <color theme="0"/>
      <name val="Calibri"/>
      <family val="2"/>
      <scheme val="minor"/>
    </font>
    <font>
      <sz val="16"/>
      <color theme="1"/>
      <name val="Calibri"/>
      <family val="2"/>
      <scheme val="minor"/>
    </font>
    <font>
      <sz val="18"/>
      <color theme="1"/>
      <name val="Calibri"/>
      <family val="2"/>
      <scheme val="minor"/>
    </font>
    <font>
      <sz val="11"/>
      <color theme="0"/>
      <name val="Calibri"/>
      <family val="2"/>
      <scheme val="minor"/>
    </font>
    <font>
      <sz val="11"/>
      <name val="Calibri"/>
      <family val="2"/>
      <scheme val="minor"/>
    </font>
    <font>
      <b/>
      <sz val="14"/>
      <color theme="0"/>
      <name val="Calibri"/>
      <family val="2"/>
      <scheme val="minor"/>
    </font>
    <font>
      <b/>
      <sz val="12"/>
      <color theme="0"/>
      <name val="Calibri"/>
      <family val="2"/>
      <scheme val="minor"/>
    </font>
    <font>
      <sz val="8"/>
      <name val="Calibri"/>
      <family val="2"/>
      <scheme val="minor"/>
    </font>
    <font>
      <sz val="16"/>
      <color theme="0"/>
      <name val="Calibri"/>
      <family val="2"/>
      <scheme val="minor"/>
    </font>
    <font>
      <b/>
      <sz val="12"/>
      <color theme="1"/>
      <name val="Calibri"/>
      <family val="2"/>
      <scheme val="minor"/>
    </font>
    <font>
      <b/>
      <sz val="24"/>
      <color theme="0"/>
      <name val="Calibri"/>
      <family val="2"/>
      <scheme val="minor"/>
    </font>
    <font>
      <sz val="12"/>
      <name val="Calibri"/>
      <family val="2"/>
      <scheme val="minor"/>
    </font>
    <font>
      <b/>
      <sz val="10"/>
      <color theme="1"/>
      <name val="Calibri"/>
      <family val="2"/>
      <scheme val="minor"/>
    </font>
    <font>
      <sz val="10"/>
      <color theme="1"/>
      <name val="Calibri"/>
      <family val="2"/>
      <scheme val="minor"/>
    </font>
    <font>
      <b/>
      <sz val="9"/>
      <color theme="1"/>
      <name val="Calibri"/>
      <family val="2"/>
      <scheme val="minor"/>
    </font>
    <font>
      <b/>
      <sz val="10"/>
      <color theme="0"/>
      <name val="Calibri"/>
      <family val="2"/>
      <scheme val="minor"/>
    </font>
    <font>
      <sz val="18"/>
      <color theme="0"/>
      <name val="Calibri"/>
      <family val="2"/>
      <scheme val="minor"/>
    </font>
    <font>
      <sz val="22"/>
      <color theme="0"/>
      <name val="Calibri"/>
      <family val="2"/>
      <scheme val="minor"/>
    </font>
    <font>
      <b/>
      <sz val="16"/>
      <name val="Calibri"/>
      <family val="2"/>
      <scheme val="minor"/>
    </font>
    <font>
      <b/>
      <sz val="14"/>
      <name val="Calibri"/>
      <family val="2"/>
      <scheme val="minor"/>
    </font>
    <font>
      <u/>
      <sz val="11"/>
      <color theme="10"/>
      <name val="Calibri"/>
      <family val="2"/>
      <scheme val="minor"/>
    </font>
    <font>
      <u/>
      <sz val="11"/>
      <color theme="0"/>
      <name val="Calibri"/>
      <family val="2"/>
      <scheme val="minor"/>
    </font>
    <font>
      <sz val="12"/>
      <color theme="1"/>
      <name val="Calibri"/>
      <family val="2"/>
      <scheme val="minor"/>
    </font>
    <font>
      <sz val="12"/>
      <color theme="0"/>
      <name val="Calibri"/>
      <family val="2"/>
      <scheme val="minor"/>
    </font>
    <font>
      <sz val="11"/>
      <color rgb="FF00B050"/>
      <name val="Calibri"/>
      <family val="2"/>
      <scheme val="minor"/>
    </font>
    <font>
      <b/>
      <sz val="11"/>
      <color theme="0"/>
      <name val="Calibri"/>
      <family val="2"/>
      <scheme val="minor"/>
    </font>
  </fonts>
  <fills count="15">
    <fill>
      <patternFill patternType="none"/>
    </fill>
    <fill>
      <patternFill patternType="gray125"/>
    </fill>
    <fill>
      <patternFill patternType="solid">
        <fgColor rgb="FF0070C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2"/>
        <bgColor indexed="64"/>
      </patternFill>
    </fill>
    <fill>
      <patternFill patternType="solid">
        <fgColor theme="0" tint="-4.9989318521683403E-2"/>
        <bgColor indexed="64"/>
      </patternFill>
    </fill>
    <fill>
      <patternFill patternType="solid">
        <fgColor rgb="FF002060"/>
        <bgColor indexed="64"/>
      </patternFill>
    </fill>
    <fill>
      <patternFill patternType="solid">
        <fgColor theme="4" tint="-0.249977111117893"/>
        <bgColor indexed="64"/>
      </patternFill>
    </fill>
    <fill>
      <patternFill patternType="solid">
        <fgColor theme="0"/>
        <bgColor indexed="64"/>
      </patternFill>
    </fill>
    <fill>
      <patternFill patternType="solid">
        <fgColor rgb="FF660066"/>
        <bgColor indexed="64"/>
      </patternFill>
    </fill>
    <fill>
      <patternFill patternType="solid">
        <fgColor theme="1"/>
        <bgColor indexed="64"/>
      </patternFill>
    </fill>
    <fill>
      <patternFill patternType="solid">
        <fgColor theme="0" tint="-0.249977111117893"/>
        <bgColor indexed="64"/>
      </patternFill>
    </fill>
    <fill>
      <patternFill patternType="solid">
        <fgColor theme="4" tint="0.79998168889431442"/>
        <bgColor theme="4" tint="0.79998168889431442"/>
      </patternFill>
    </fill>
    <fill>
      <patternFill patternType="solid">
        <fgColor theme="4"/>
        <bgColor theme="4"/>
      </patternFill>
    </fill>
  </fills>
  <borders count="7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right style="medium">
        <color indexed="64"/>
      </right>
      <top/>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top/>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right/>
      <top style="thin">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medium">
        <color indexed="64"/>
      </left>
      <right/>
      <top/>
      <bottom style="medium">
        <color indexed="64"/>
      </bottom>
      <diagonal/>
    </border>
    <border>
      <left/>
      <right style="medium">
        <color indexed="64"/>
      </right>
      <top style="medium">
        <color indexed="64"/>
      </top>
      <bottom style="thin">
        <color theme="4" tint="0.39997558519241921"/>
      </bottom>
      <diagonal/>
    </border>
    <border>
      <left/>
      <right style="medium">
        <color indexed="64"/>
      </right>
      <top style="thin">
        <color theme="4" tint="0.39997558519241921"/>
      </top>
      <bottom style="thin">
        <color theme="4" tint="0.39997558519241921"/>
      </bottom>
      <diagonal/>
    </border>
    <border>
      <left/>
      <right style="medium">
        <color indexed="64"/>
      </right>
      <top style="thin">
        <color theme="4" tint="0.39997558519241921"/>
      </top>
      <bottom style="medium">
        <color indexed="64"/>
      </bottom>
      <diagonal/>
    </border>
    <border>
      <left style="medium">
        <color indexed="64"/>
      </left>
      <right style="medium">
        <color indexed="64"/>
      </right>
      <top/>
      <bottom/>
      <diagonal/>
    </border>
    <border>
      <left/>
      <right style="medium">
        <color indexed="64"/>
      </right>
      <top style="thin">
        <color theme="4" tint="0.39997558519241921"/>
      </top>
      <bottom/>
      <diagonal/>
    </border>
    <border>
      <left style="medium">
        <color indexed="64"/>
      </left>
      <right style="thin">
        <color indexed="64"/>
      </right>
      <top/>
      <bottom/>
      <diagonal/>
    </border>
    <border>
      <left style="thin">
        <color indexed="64"/>
      </left>
      <right style="medium">
        <color indexed="64"/>
      </right>
      <top/>
      <bottom style="medium">
        <color indexed="6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0" fontId="34" fillId="0" borderId="0" applyNumberFormat="0" applyFill="0" applyBorder="0" applyAlignment="0" applyProtection="0"/>
  </cellStyleXfs>
  <cellXfs count="650">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2" fillId="0" borderId="0" xfId="0" applyFont="1" applyAlignment="1">
      <alignment vertical="center" wrapText="1"/>
    </xf>
    <xf numFmtId="0" fontId="2"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2" fillId="3" borderId="1" xfId="0" applyFont="1" applyFill="1" applyBorder="1" applyAlignment="1">
      <alignment vertical="center" wrapText="1"/>
    </xf>
    <xf numFmtId="0" fontId="0" fillId="3" borderId="1" xfId="0" applyFill="1" applyBorder="1" applyAlignment="1">
      <alignment vertical="center" wrapText="1"/>
    </xf>
    <xf numFmtId="164" fontId="0" fillId="3" borderId="1" xfId="0" applyNumberFormat="1" applyFill="1" applyBorder="1" applyAlignment="1">
      <alignment vertical="center" wrapText="1"/>
    </xf>
    <xf numFmtId="4" fontId="0" fillId="3" borderId="1" xfId="0" applyNumberFormat="1" applyFill="1" applyBorder="1" applyAlignment="1">
      <alignment vertical="center" wrapText="1"/>
    </xf>
    <xf numFmtId="165" fontId="0" fillId="3" borderId="1" xfId="0" applyNumberFormat="1" applyFill="1" applyBorder="1" applyAlignment="1">
      <alignment vertical="center" wrapText="1"/>
    </xf>
    <xf numFmtId="3" fontId="0" fillId="3" borderId="1" xfId="0" applyNumberFormat="1" applyFill="1" applyBorder="1" applyAlignment="1">
      <alignment vertical="center" wrapText="1"/>
    </xf>
    <xf numFmtId="10" fontId="0" fillId="3" borderId="1" xfId="0" applyNumberFormat="1" applyFill="1" applyBorder="1" applyAlignment="1">
      <alignment vertical="center" wrapText="1"/>
    </xf>
    <xf numFmtId="49" fontId="2" fillId="0" borderId="1" xfId="1" applyNumberFormat="1" applyFont="1" applyBorder="1" applyAlignment="1">
      <alignment horizontal="right" vertical="center"/>
    </xf>
    <xf numFmtId="49" fontId="2" fillId="0" borderId="0" xfId="1" applyNumberFormat="1" applyFont="1" applyAlignment="1">
      <alignment horizontal="right" vertical="center"/>
    </xf>
    <xf numFmtId="166" fontId="0" fillId="0" borderId="0" xfId="1" applyNumberFormat="1" applyFont="1"/>
    <xf numFmtId="166" fontId="0" fillId="0" borderId="0" xfId="1" applyNumberFormat="1" applyFont="1" applyAlignment="1">
      <alignment horizontal="left" vertical="center"/>
    </xf>
    <xf numFmtId="43" fontId="0" fillId="0" borderId="1" xfId="1" applyFont="1" applyBorder="1"/>
    <xf numFmtId="43" fontId="2" fillId="0" borderId="1" xfId="1" applyFont="1" applyBorder="1"/>
    <xf numFmtId="43" fontId="1" fillId="0" borderId="1" xfId="1" applyFont="1" applyBorder="1"/>
    <xf numFmtId="166" fontId="1" fillId="0" borderId="0" xfId="1" applyNumberFormat="1" applyFont="1"/>
    <xf numFmtId="166" fontId="2" fillId="0" borderId="0" xfId="1" applyNumberFormat="1" applyFont="1"/>
    <xf numFmtId="43" fontId="2" fillId="0" borderId="1" xfId="1" applyFont="1" applyBorder="1" applyAlignment="1">
      <alignment vertical="center"/>
    </xf>
    <xf numFmtId="43" fontId="1" fillId="0" borderId="1" xfId="1" applyFont="1" applyBorder="1" applyAlignment="1">
      <alignment vertical="center"/>
    </xf>
    <xf numFmtId="166" fontId="4" fillId="0" borderId="0" xfId="1" applyNumberFormat="1" applyFont="1" applyFill="1" applyBorder="1" applyAlignment="1">
      <alignment vertical="center"/>
    </xf>
    <xf numFmtId="166" fontId="0" fillId="0" borderId="0" xfId="1" applyNumberFormat="1" applyFont="1" applyFill="1" applyBorder="1"/>
    <xf numFmtId="49" fontId="2" fillId="0" borderId="9" xfId="1" applyNumberFormat="1" applyFont="1" applyBorder="1" applyAlignment="1">
      <alignment horizontal="right" vertical="center"/>
    </xf>
    <xf numFmtId="43" fontId="0" fillId="0" borderId="8" xfId="1" applyFont="1" applyBorder="1" applyAlignment="1">
      <alignment horizontal="left" vertical="center"/>
    </xf>
    <xf numFmtId="43" fontId="0" fillId="0" borderId="9" xfId="1" applyFont="1" applyBorder="1"/>
    <xf numFmtId="43" fontId="0" fillId="0" borderId="0" xfId="1" applyFont="1" applyBorder="1"/>
    <xf numFmtId="43" fontId="2" fillId="0" borderId="8" xfId="1" applyFont="1" applyBorder="1" applyAlignment="1">
      <alignment horizontal="left" vertical="center"/>
    </xf>
    <xf numFmtId="43" fontId="2" fillId="0" borderId="9" xfId="1" applyFont="1" applyBorder="1"/>
    <xf numFmtId="43" fontId="1" fillId="0" borderId="8" xfId="1" applyFont="1" applyBorder="1" applyAlignment="1">
      <alignment horizontal="left" vertical="center"/>
    </xf>
    <xf numFmtId="43" fontId="1" fillId="0" borderId="9" xfId="1" applyFont="1" applyBorder="1"/>
    <xf numFmtId="43" fontId="2" fillId="0" borderId="8" xfId="1" applyFont="1" applyBorder="1" applyAlignment="1">
      <alignment vertical="center"/>
    </xf>
    <xf numFmtId="43" fontId="2" fillId="0" borderId="9" xfId="1" applyFont="1" applyBorder="1" applyAlignment="1">
      <alignment vertical="center"/>
    </xf>
    <xf numFmtId="43" fontId="2" fillId="0" borderId="12" xfId="1" applyFont="1" applyBorder="1" applyAlignment="1">
      <alignment horizontal="left" vertical="center"/>
    </xf>
    <xf numFmtId="43" fontId="2" fillId="0" borderId="13" xfId="1" applyFont="1" applyBorder="1"/>
    <xf numFmtId="43" fontId="2" fillId="0" borderId="14" xfId="1" applyFont="1" applyBorder="1"/>
    <xf numFmtId="43" fontId="2" fillId="0" borderId="0" xfId="1" applyFont="1" applyBorder="1"/>
    <xf numFmtId="43" fontId="2" fillId="0" borderId="0" xfId="1" applyFont="1" applyBorder="1" applyAlignment="1">
      <alignment vertical="center"/>
    </xf>
    <xf numFmtId="166" fontId="0" fillId="0" borderId="0" xfId="1" applyNumberFormat="1" applyFont="1" applyFill="1" applyBorder="1" applyAlignment="1">
      <alignment vertical="center"/>
    </xf>
    <xf numFmtId="166" fontId="0" fillId="0" borderId="0" xfId="1" applyNumberFormat="1" applyFont="1" applyAlignment="1">
      <alignment vertical="center"/>
    </xf>
    <xf numFmtId="0" fontId="0" fillId="0" borderId="0" xfId="0" applyAlignment="1">
      <alignment vertical="center"/>
    </xf>
    <xf numFmtId="43" fontId="0" fillId="0" borderId="0" xfId="1" applyFont="1" applyAlignment="1">
      <alignment vertical="center"/>
    </xf>
    <xf numFmtId="0" fontId="2" fillId="0" borderId="0" xfId="0" applyFont="1" applyAlignment="1">
      <alignment vertical="center"/>
    </xf>
    <xf numFmtId="0" fontId="0" fillId="0" borderId="1" xfId="0" applyBorder="1" applyAlignment="1">
      <alignment vertical="center"/>
    </xf>
    <xf numFmtId="43" fontId="0" fillId="0" borderId="1" xfId="1" applyFont="1" applyBorder="1" applyAlignment="1">
      <alignment vertical="center"/>
    </xf>
    <xf numFmtId="0" fontId="2" fillId="0" borderId="1" xfId="0" applyFont="1" applyBorder="1" applyAlignment="1">
      <alignment vertical="center"/>
    </xf>
    <xf numFmtId="2" fontId="0" fillId="0" borderId="1" xfId="0" applyNumberFormat="1" applyBorder="1" applyAlignment="1">
      <alignment vertical="center"/>
    </xf>
    <xf numFmtId="2" fontId="2" fillId="0" borderId="1" xfId="1" applyNumberFormat="1" applyFont="1" applyBorder="1" applyAlignment="1">
      <alignment vertical="center"/>
    </xf>
    <xf numFmtId="43" fontId="2" fillId="0" borderId="0" xfId="1" applyFont="1" applyAlignment="1">
      <alignment vertical="center"/>
    </xf>
    <xf numFmtId="43" fontId="1" fillId="0" borderId="0" xfId="1" applyFont="1" applyAlignment="1">
      <alignment vertical="center"/>
    </xf>
    <xf numFmtId="166" fontId="2" fillId="0" borderId="8" xfId="1" applyNumberFormat="1" applyFont="1" applyBorder="1" applyAlignment="1">
      <alignment horizontal="left" vertical="center"/>
    </xf>
    <xf numFmtId="0" fontId="0" fillId="0" borderId="0" xfId="0" applyAlignment="1">
      <alignment horizontal="center" vertical="center"/>
    </xf>
    <xf numFmtId="43" fontId="2" fillId="0" borderId="16" xfId="1" applyFont="1" applyBorder="1" applyAlignment="1">
      <alignment vertical="center"/>
    </xf>
    <xf numFmtId="43" fontId="2" fillId="0" borderId="17" xfId="1" applyFont="1" applyBorder="1" applyAlignment="1">
      <alignment vertical="center"/>
    </xf>
    <xf numFmtId="43" fontId="2" fillId="0" borderId="19" xfId="1" applyFont="1" applyBorder="1" applyAlignment="1">
      <alignment vertical="center"/>
    </xf>
    <xf numFmtId="43" fontId="2" fillId="0" borderId="20" xfId="1" applyFont="1" applyBorder="1" applyAlignment="1">
      <alignment vertical="center"/>
    </xf>
    <xf numFmtId="43" fontId="2" fillId="0" borderId="21" xfId="1" applyFont="1" applyBorder="1" applyAlignment="1">
      <alignment vertical="center"/>
    </xf>
    <xf numFmtId="43" fontId="0" fillId="0" borderId="16" xfId="1" applyFont="1" applyBorder="1" applyAlignment="1">
      <alignment vertical="center"/>
    </xf>
    <xf numFmtId="43" fontId="0" fillId="0" borderId="17" xfId="1" applyFont="1" applyBorder="1" applyAlignment="1">
      <alignment vertical="center"/>
    </xf>
    <xf numFmtId="43" fontId="0" fillId="0" borderId="5" xfId="1" applyFont="1" applyBorder="1" applyAlignment="1">
      <alignment vertical="center"/>
    </xf>
    <xf numFmtId="43" fontId="0" fillId="0" borderId="6" xfId="1" applyFont="1" applyBorder="1" applyAlignment="1">
      <alignment vertical="center"/>
    </xf>
    <xf numFmtId="43" fontId="0" fillId="0" borderId="7" xfId="1" applyFont="1" applyBorder="1" applyAlignment="1">
      <alignment vertical="center"/>
    </xf>
    <xf numFmtId="43" fontId="0" fillId="0" borderId="8" xfId="1" applyFont="1" applyBorder="1" applyAlignment="1">
      <alignment vertical="center"/>
    </xf>
    <xf numFmtId="43" fontId="0" fillId="0" borderId="9" xfId="1" applyFont="1" applyBorder="1" applyAlignment="1">
      <alignment vertical="center"/>
    </xf>
    <xf numFmtId="43" fontId="0" fillId="0" borderId="12" xfId="1" applyFont="1" applyBorder="1" applyAlignment="1">
      <alignment vertical="center"/>
    </xf>
    <xf numFmtId="43" fontId="0" fillId="0" borderId="13" xfId="1" applyFont="1" applyBorder="1" applyAlignment="1">
      <alignment vertical="center"/>
    </xf>
    <xf numFmtId="43" fontId="0" fillId="0" borderId="14" xfId="1" applyFont="1" applyBorder="1" applyAlignment="1">
      <alignment vertical="center"/>
    </xf>
    <xf numFmtId="43" fontId="1" fillId="0" borderId="16" xfId="1" applyFont="1" applyBorder="1" applyAlignment="1">
      <alignment vertical="center"/>
    </xf>
    <xf numFmtId="43" fontId="1" fillId="0" borderId="8" xfId="1" applyFont="1" applyBorder="1" applyAlignment="1">
      <alignment vertical="center"/>
    </xf>
    <xf numFmtId="43" fontId="1" fillId="0" borderId="9" xfId="1" applyFont="1" applyBorder="1" applyAlignment="1">
      <alignment vertical="center"/>
    </xf>
    <xf numFmtId="43" fontId="2" fillId="0" borderId="12" xfId="1" applyFont="1" applyBorder="1" applyAlignment="1">
      <alignment vertical="center"/>
    </xf>
    <xf numFmtId="43" fontId="2" fillId="0" borderId="13" xfId="1" applyFont="1" applyBorder="1" applyAlignment="1">
      <alignment vertical="center"/>
    </xf>
    <xf numFmtId="43" fontId="2" fillId="0" borderId="14" xfId="1" applyFont="1" applyBorder="1" applyAlignment="1">
      <alignment vertical="center"/>
    </xf>
    <xf numFmtId="49" fontId="2" fillId="0" borderId="19" xfId="1" applyNumberFormat="1" applyFont="1" applyBorder="1" applyAlignment="1">
      <alignment horizontal="right" vertical="center"/>
    </xf>
    <xf numFmtId="49" fontId="2" fillId="0" borderId="20" xfId="1" applyNumberFormat="1" applyFont="1" applyBorder="1" applyAlignment="1">
      <alignment horizontal="right" vertical="center"/>
    </xf>
    <xf numFmtId="49" fontId="2" fillId="0" borderId="21" xfId="1" applyNumberFormat="1" applyFont="1" applyBorder="1" applyAlignment="1">
      <alignment horizontal="right" vertical="center"/>
    </xf>
    <xf numFmtId="43" fontId="2" fillId="0" borderId="10" xfId="1" applyFont="1" applyBorder="1" applyAlignment="1">
      <alignment vertical="center"/>
    </xf>
    <xf numFmtId="43" fontId="0" fillId="0" borderId="10" xfId="1" applyFont="1" applyBorder="1" applyAlignment="1">
      <alignment vertical="center"/>
    </xf>
    <xf numFmtId="43" fontId="0" fillId="0" borderId="10" xfId="1" applyFont="1" applyBorder="1" applyAlignment="1">
      <alignment vertical="center" wrapText="1"/>
    </xf>
    <xf numFmtId="43" fontId="1" fillId="0" borderId="10" xfId="1" applyFont="1" applyBorder="1" applyAlignment="1">
      <alignment vertical="center"/>
    </xf>
    <xf numFmtId="43" fontId="2" fillId="0" borderId="29" xfId="1" applyFont="1" applyBorder="1" applyAlignment="1">
      <alignment vertical="center"/>
    </xf>
    <xf numFmtId="43" fontId="2" fillId="0" borderId="10" xfId="1" applyFont="1" applyBorder="1" applyAlignment="1">
      <alignment vertical="center" wrapText="1"/>
    </xf>
    <xf numFmtId="43" fontId="0" fillId="0" borderId="27" xfId="1" applyFont="1" applyBorder="1" applyAlignment="1">
      <alignment vertical="center"/>
    </xf>
    <xf numFmtId="43" fontId="0" fillId="0" borderId="3" xfId="1" applyFont="1" applyBorder="1" applyAlignment="1">
      <alignment vertical="center"/>
    </xf>
    <xf numFmtId="43" fontId="0" fillId="0" borderId="31" xfId="1" applyFont="1" applyBorder="1" applyAlignment="1">
      <alignment vertical="center"/>
    </xf>
    <xf numFmtId="43" fontId="0" fillId="0" borderId="32" xfId="1" applyFont="1" applyBorder="1" applyAlignment="1">
      <alignment vertical="center"/>
    </xf>
    <xf numFmtId="43" fontId="0" fillId="0" borderId="33" xfId="1" applyFont="1" applyBorder="1" applyAlignment="1">
      <alignment vertical="center"/>
    </xf>
    <xf numFmtId="43" fontId="2" fillId="0" borderId="34" xfId="1" applyFont="1" applyBorder="1" applyAlignment="1">
      <alignment vertical="center"/>
    </xf>
    <xf numFmtId="43" fontId="0" fillId="0" borderId="35" xfId="1" applyFont="1" applyBorder="1" applyAlignment="1">
      <alignment vertical="center"/>
    </xf>
    <xf numFmtId="43" fontId="0" fillId="0" borderId="36" xfId="1" applyFont="1" applyBorder="1" applyAlignment="1">
      <alignment vertical="center"/>
    </xf>
    <xf numFmtId="0" fontId="6" fillId="4" borderId="10" xfId="0" applyFont="1" applyFill="1" applyBorder="1" applyAlignment="1">
      <alignment vertical="center"/>
    </xf>
    <xf numFmtId="0" fontId="6" fillId="4" borderId="29" xfId="0" applyFont="1" applyFill="1" applyBorder="1" applyAlignment="1">
      <alignment vertical="center"/>
    </xf>
    <xf numFmtId="0" fontId="8" fillId="0" borderId="0" xfId="0" applyFont="1" applyAlignment="1">
      <alignment vertical="center"/>
    </xf>
    <xf numFmtId="49" fontId="5" fillId="0" borderId="0" xfId="1" applyNumberFormat="1" applyFont="1" applyAlignment="1">
      <alignment horizontal="right" vertical="center"/>
    </xf>
    <xf numFmtId="167" fontId="6" fillId="5" borderId="5" xfId="2" applyNumberFormat="1" applyFont="1" applyFill="1" applyBorder="1" applyAlignment="1">
      <alignment horizontal="center" vertical="center"/>
    </xf>
    <xf numFmtId="167" fontId="6" fillId="5" borderId="6" xfId="2" applyNumberFormat="1" applyFont="1" applyFill="1" applyBorder="1" applyAlignment="1">
      <alignment horizontal="center" vertical="center"/>
    </xf>
    <xf numFmtId="167" fontId="6" fillId="5" borderId="7" xfId="2" applyNumberFormat="1" applyFont="1" applyFill="1" applyBorder="1" applyAlignment="1">
      <alignment horizontal="center" vertical="center"/>
    </xf>
    <xf numFmtId="167" fontId="6" fillId="5" borderId="32" xfId="2" applyNumberFormat="1" applyFont="1" applyFill="1" applyBorder="1" applyAlignment="1">
      <alignment horizontal="center" vertical="center"/>
    </xf>
    <xf numFmtId="167" fontId="6" fillId="5" borderId="8" xfId="2" applyNumberFormat="1" applyFont="1" applyFill="1" applyBorder="1" applyAlignment="1">
      <alignment horizontal="center" vertical="center"/>
    </xf>
    <xf numFmtId="167" fontId="6" fillId="5" borderId="12" xfId="2" applyNumberFormat="1" applyFont="1" applyFill="1" applyBorder="1" applyAlignment="1">
      <alignment horizontal="center" vertical="center"/>
    </xf>
    <xf numFmtId="167" fontId="6" fillId="5" borderId="1" xfId="2" applyNumberFormat="1" applyFont="1" applyFill="1" applyBorder="1" applyAlignment="1">
      <alignment horizontal="center" vertical="center"/>
    </xf>
    <xf numFmtId="167" fontId="6" fillId="5" borderId="9" xfId="2" applyNumberFormat="1" applyFont="1" applyFill="1" applyBorder="1" applyAlignment="1">
      <alignment horizontal="center" vertical="center"/>
    </xf>
    <xf numFmtId="167" fontId="6" fillId="5" borderId="13" xfId="2" applyNumberFormat="1" applyFont="1" applyFill="1" applyBorder="1" applyAlignment="1">
      <alignment horizontal="center" vertical="center"/>
    </xf>
    <xf numFmtId="167" fontId="6" fillId="5" borderId="14" xfId="2" applyNumberFormat="1" applyFont="1" applyFill="1" applyBorder="1" applyAlignment="1">
      <alignment horizontal="center" vertical="center"/>
    </xf>
    <xf numFmtId="167" fontId="6" fillId="5" borderId="35" xfId="2" applyNumberFormat="1" applyFont="1" applyFill="1" applyBorder="1" applyAlignment="1">
      <alignment horizontal="center" vertical="center"/>
    </xf>
    <xf numFmtId="167" fontId="6" fillId="5" borderId="16" xfId="2" applyNumberFormat="1" applyFont="1" applyFill="1" applyBorder="1" applyAlignment="1">
      <alignment horizontal="center" vertical="center"/>
    </xf>
    <xf numFmtId="167" fontId="6" fillId="5" borderId="34" xfId="2" applyNumberFormat="1" applyFont="1" applyFill="1" applyBorder="1" applyAlignment="1">
      <alignment horizontal="center" vertical="center"/>
    </xf>
    <xf numFmtId="167" fontId="6" fillId="5" borderId="17" xfId="2" applyNumberFormat="1" applyFont="1" applyFill="1" applyBorder="1" applyAlignment="1">
      <alignment horizontal="center" vertical="center"/>
    </xf>
    <xf numFmtId="167" fontId="6" fillId="5" borderId="33" xfId="2" applyNumberFormat="1" applyFont="1" applyFill="1" applyBorder="1" applyAlignment="1">
      <alignment horizontal="center" vertical="center"/>
    </xf>
    <xf numFmtId="43" fontId="6" fillId="5" borderId="5" xfId="1" applyFont="1" applyFill="1" applyBorder="1" applyAlignment="1">
      <alignment horizontal="center" vertical="center"/>
    </xf>
    <xf numFmtId="43" fontId="6" fillId="5" borderId="8" xfId="1" applyFont="1" applyFill="1" applyBorder="1" applyAlignment="1">
      <alignment horizontal="center" vertical="center"/>
    </xf>
    <xf numFmtId="49" fontId="6" fillId="4" borderId="10" xfId="1" applyNumberFormat="1" applyFont="1" applyFill="1" applyBorder="1" applyAlignment="1">
      <alignment horizontal="left" vertical="center"/>
    </xf>
    <xf numFmtId="10" fontId="6" fillId="5" borderId="5" xfId="2" applyNumberFormat="1" applyFont="1" applyFill="1" applyBorder="1" applyAlignment="1">
      <alignment horizontal="center" vertical="center"/>
    </xf>
    <xf numFmtId="10" fontId="6" fillId="5" borderId="6" xfId="2" applyNumberFormat="1" applyFont="1" applyFill="1" applyBorder="1" applyAlignment="1">
      <alignment horizontal="center" vertical="center"/>
    </xf>
    <xf numFmtId="10" fontId="6" fillId="5" borderId="7" xfId="2" applyNumberFormat="1" applyFont="1" applyFill="1" applyBorder="1" applyAlignment="1">
      <alignment horizontal="center" vertical="center"/>
    </xf>
    <xf numFmtId="10" fontId="6" fillId="5" borderId="32" xfId="2" applyNumberFormat="1" applyFont="1" applyFill="1" applyBorder="1" applyAlignment="1">
      <alignment horizontal="center" vertical="center"/>
    </xf>
    <xf numFmtId="10" fontId="6" fillId="5" borderId="35" xfId="2" applyNumberFormat="1" applyFont="1" applyFill="1" applyBorder="1" applyAlignment="1">
      <alignment horizontal="center" vertical="center"/>
    </xf>
    <xf numFmtId="10" fontId="6" fillId="5" borderId="8" xfId="2" applyNumberFormat="1" applyFont="1" applyFill="1" applyBorder="1" applyAlignment="1">
      <alignment horizontal="center" vertical="center"/>
    </xf>
    <xf numFmtId="10" fontId="6" fillId="5" borderId="1" xfId="2" applyNumberFormat="1" applyFont="1" applyFill="1" applyBorder="1" applyAlignment="1">
      <alignment horizontal="center" vertical="center"/>
    </xf>
    <xf numFmtId="10" fontId="6" fillId="5" borderId="9" xfId="2" applyNumberFormat="1" applyFont="1" applyFill="1" applyBorder="1" applyAlignment="1">
      <alignment horizontal="center" vertical="center"/>
    </xf>
    <xf numFmtId="10" fontId="6" fillId="5" borderId="17" xfId="2" applyNumberFormat="1" applyFont="1" applyFill="1" applyBorder="1" applyAlignment="1">
      <alignment horizontal="center" vertical="center"/>
    </xf>
    <xf numFmtId="10" fontId="6" fillId="5" borderId="16" xfId="2" applyNumberFormat="1" applyFont="1" applyFill="1" applyBorder="1" applyAlignment="1">
      <alignment horizontal="center" vertical="center"/>
    </xf>
    <xf numFmtId="10" fontId="6" fillId="5" borderId="12" xfId="2" applyNumberFormat="1" applyFont="1" applyFill="1" applyBorder="1" applyAlignment="1">
      <alignment horizontal="center" vertical="center"/>
    </xf>
    <xf numFmtId="10" fontId="6" fillId="5" borderId="13" xfId="2" applyNumberFormat="1" applyFont="1" applyFill="1" applyBorder="1" applyAlignment="1">
      <alignment horizontal="center" vertical="center"/>
    </xf>
    <xf numFmtId="10" fontId="6" fillId="5" borderId="14" xfId="2" applyNumberFormat="1" applyFont="1" applyFill="1" applyBorder="1" applyAlignment="1">
      <alignment horizontal="center" vertical="center"/>
    </xf>
    <xf numFmtId="10" fontId="6" fillId="5" borderId="33" xfId="2" applyNumberFormat="1" applyFont="1" applyFill="1" applyBorder="1" applyAlignment="1">
      <alignment horizontal="center" vertical="center"/>
    </xf>
    <xf numFmtId="10" fontId="6" fillId="5" borderId="34" xfId="2" applyNumberFormat="1" applyFont="1" applyFill="1" applyBorder="1" applyAlignment="1">
      <alignment horizontal="center" vertical="center"/>
    </xf>
    <xf numFmtId="10" fontId="0" fillId="0" borderId="0" xfId="2" applyNumberFormat="1" applyFont="1" applyBorder="1"/>
    <xf numFmtId="10" fontId="0" fillId="0" borderId="1" xfId="2" applyNumberFormat="1" applyFont="1" applyBorder="1"/>
    <xf numFmtId="43" fontId="0" fillId="0" borderId="16" xfId="1" applyFont="1" applyBorder="1"/>
    <xf numFmtId="49" fontId="2" fillId="0" borderId="5" xfId="1" applyNumberFormat="1" applyFont="1" applyBorder="1" applyAlignment="1">
      <alignment horizontal="left" vertical="center"/>
    </xf>
    <xf numFmtId="10" fontId="0" fillId="0" borderId="9" xfId="2" applyNumberFormat="1" applyFont="1" applyBorder="1"/>
    <xf numFmtId="10" fontId="0" fillId="0" borderId="13" xfId="2" applyNumberFormat="1" applyFont="1" applyBorder="1"/>
    <xf numFmtId="10" fontId="0" fillId="0" borderId="14" xfId="2" applyNumberFormat="1" applyFont="1" applyBorder="1"/>
    <xf numFmtId="10" fontId="0" fillId="0" borderId="34" xfId="2" applyNumberFormat="1" applyFont="1" applyBorder="1"/>
    <xf numFmtId="43" fontId="0" fillId="0" borderId="17" xfId="1" applyFont="1" applyBorder="1"/>
    <xf numFmtId="10" fontId="0" fillId="0" borderId="33" xfId="2" applyNumberFormat="1" applyFont="1" applyBorder="1"/>
    <xf numFmtId="43" fontId="0" fillId="0" borderId="8" xfId="1" applyFont="1" applyBorder="1"/>
    <xf numFmtId="10" fontId="0" fillId="0" borderId="12" xfId="2" applyNumberFormat="1" applyFont="1" applyBorder="1"/>
    <xf numFmtId="10" fontId="6" fillId="5" borderId="12" xfId="0" applyNumberFormat="1" applyFont="1" applyFill="1" applyBorder="1" applyAlignment="1">
      <alignment horizontal="center" vertical="center"/>
    </xf>
    <xf numFmtId="10" fontId="6" fillId="5" borderId="33" xfId="0" applyNumberFormat="1" applyFont="1" applyFill="1" applyBorder="1" applyAlignment="1">
      <alignment horizontal="center" vertical="center"/>
    </xf>
    <xf numFmtId="10" fontId="6" fillId="5" borderId="13" xfId="0" applyNumberFormat="1" applyFont="1" applyFill="1" applyBorder="1" applyAlignment="1">
      <alignment horizontal="center" vertical="center"/>
    </xf>
    <xf numFmtId="10" fontId="6" fillId="5" borderId="14" xfId="0" applyNumberFormat="1" applyFont="1" applyFill="1" applyBorder="1" applyAlignment="1">
      <alignment horizontal="center" vertical="center"/>
    </xf>
    <xf numFmtId="0" fontId="5" fillId="0" borderId="39" xfId="0" applyFont="1" applyBorder="1" applyAlignment="1">
      <alignment horizontal="center" vertical="center"/>
    </xf>
    <xf numFmtId="0" fontId="5" fillId="0" borderId="20" xfId="0" applyFont="1" applyBorder="1" applyAlignment="1">
      <alignment horizontal="center" vertical="center"/>
    </xf>
    <xf numFmtId="0" fontId="5" fillId="0" borderId="40" xfId="0" applyFont="1" applyBorder="1" applyAlignment="1">
      <alignment horizontal="center" vertical="center"/>
    </xf>
    <xf numFmtId="0" fontId="5" fillId="0" borderId="19" xfId="0" applyFont="1" applyBorder="1" applyAlignment="1">
      <alignment horizontal="center" vertical="center"/>
    </xf>
    <xf numFmtId="0" fontId="5" fillId="0" borderId="21" xfId="0" applyFont="1" applyBorder="1" applyAlignment="1">
      <alignment horizontal="center" vertical="center"/>
    </xf>
    <xf numFmtId="43" fontId="6" fillId="0" borderId="45" xfId="0" applyNumberFormat="1" applyFont="1" applyBorder="1" applyAlignment="1">
      <alignment horizontal="center" vertical="center"/>
    </xf>
    <xf numFmtId="43" fontId="6" fillId="0" borderId="3" xfId="0" applyNumberFormat="1" applyFont="1" applyBorder="1" applyAlignment="1">
      <alignment horizontal="center" vertical="center"/>
    </xf>
    <xf numFmtId="43" fontId="6" fillId="0" borderId="36" xfId="0" applyNumberFormat="1" applyFont="1" applyBorder="1" applyAlignment="1">
      <alignment horizontal="center" vertical="center"/>
    </xf>
    <xf numFmtId="43" fontId="6" fillId="0" borderId="27" xfId="0" applyNumberFormat="1" applyFont="1" applyBorder="1" applyAlignment="1">
      <alignment horizontal="center" vertical="center"/>
    </xf>
    <xf numFmtId="43" fontId="6" fillId="0" borderId="31" xfId="0" applyNumberFormat="1" applyFont="1" applyBorder="1" applyAlignment="1">
      <alignment horizontal="center" vertical="center"/>
    </xf>
    <xf numFmtId="43" fontId="6" fillId="0" borderId="17" xfId="0" applyNumberFormat="1" applyFont="1" applyBorder="1" applyAlignment="1">
      <alignment horizontal="center" vertical="center"/>
    </xf>
    <xf numFmtId="43" fontId="6" fillId="0" borderId="1" xfId="0" applyNumberFormat="1" applyFont="1" applyBorder="1" applyAlignment="1">
      <alignment horizontal="center" vertical="center"/>
    </xf>
    <xf numFmtId="43" fontId="6" fillId="0" borderId="16" xfId="0" applyNumberFormat="1" applyFont="1" applyBorder="1" applyAlignment="1">
      <alignment horizontal="center" vertical="center"/>
    </xf>
    <xf numFmtId="43" fontId="6" fillId="0" borderId="8" xfId="0" applyNumberFormat="1" applyFont="1" applyBorder="1" applyAlignment="1">
      <alignment horizontal="center" vertical="center"/>
    </xf>
    <xf numFmtId="43" fontId="6" fillId="0" borderId="9" xfId="0" applyNumberFormat="1" applyFont="1" applyBorder="1" applyAlignment="1">
      <alignment horizontal="center" vertical="center"/>
    </xf>
    <xf numFmtId="43" fontId="6" fillId="0" borderId="49" xfId="0" applyNumberFormat="1" applyFont="1" applyBorder="1" applyAlignment="1">
      <alignment horizontal="center" vertical="center"/>
    </xf>
    <xf numFmtId="43" fontId="6" fillId="0" borderId="2" xfId="0" applyNumberFormat="1" applyFont="1" applyBorder="1" applyAlignment="1">
      <alignment horizontal="center" vertical="center"/>
    </xf>
    <xf numFmtId="43" fontId="6" fillId="0" borderId="47" xfId="0" applyNumberFormat="1" applyFont="1" applyBorder="1" applyAlignment="1">
      <alignment horizontal="center" vertical="center"/>
    </xf>
    <xf numFmtId="43" fontId="6" fillId="0" borderId="46" xfId="0" applyNumberFormat="1" applyFont="1" applyBorder="1" applyAlignment="1">
      <alignment horizontal="center" vertical="center"/>
    </xf>
    <xf numFmtId="43" fontId="6" fillId="0" borderId="48" xfId="0" applyNumberFormat="1" applyFont="1" applyBorder="1" applyAlignment="1">
      <alignment horizontal="center" vertical="center"/>
    </xf>
    <xf numFmtId="43" fontId="6" fillId="0" borderId="17" xfId="1" applyFont="1" applyBorder="1" applyAlignment="1">
      <alignment horizontal="center" vertical="center"/>
    </xf>
    <xf numFmtId="43" fontId="6" fillId="0" borderId="1" xfId="1" applyFont="1" applyBorder="1" applyAlignment="1">
      <alignment horizontal="center" vertical="center"/>
    </xf>
    <xf numFmtId="43" fontId="6" fillId="0" borderId="16" xfId="1" applyFont="1" applyBorder="1" applyAlignment="1">
      <alignment horizontal="center" vertical="center"/>
    </xf>
    <xf numFmtId="43" fontId="6" fillId="0" borderId="8" xfId="1" applyFont="1" applyBorder="1" applyAlignment="1">
      <alignment horizontal="center" vertical="center"/>
    </xf>
    <xf numFmtId="43" fontId="6" fillId="0" borderId="9" xfId="1" applyFont="1" applyBorder="1" applyAlignment="1">
      <alignment horizontal="center" vertical="center"/>
    </xf>
    <xf numFmtId="43" fontId="6" fillId="0" borderId="33" xfId="1" applyFont="1" applyBorder="1" applyAlignment="1">
      <alignment horizontal="center" vertical="center"/>
    </xf>
    <xf numFmtId="43" fontId="6" fillId="0" borderId="13" xfId="1" applyFont="1" applyBorder="1" applyAlignment="1">
      <alignment horizontal="center" vertical="center"/>
    </xf>
    <xf numFmtId="43" fontId="6" fillId="0" borderId="34" xfId="1" applyFont="1" applyBorder="1" applyAlignment="1">
      <alignment horizontal="center" vertical="center"/>
    </xf>
    <xf numFmtId="43" fontId="6" fillId="0" borderId="12" xfId="1" applyFont="1" applyBorder="1" applyAlignment="1">
      <alignment horizontal="center" vertical="center"/>
    </xf>
    <xf numFmtId="43" fontId="6" fillId="0" borderId="14" xfId="1" applyFont="1" applyBorder="1" applyAlignment="1">
      <alignment horizontal="center" vertical="center"/>
    </xf>
    <xf numFmtId="0" fontId="6" fillId="0" borderId="0" xfId="0" applyFont="1" applyAlignment="1">
      <alignment vertical="center"/>
    </xf>
    <xf numFmtId="43" fontId="6" fillId="0" borderId="0" xfId="1" applyFont="1" applyAlignment="1">
      <alignment horizontal="center" vertical="center"/>
    </xf>
    <xf numFmtId="0" fontId="6" fillId="0" borderId="0" xfId="0" applyFont="1" applyAlignment="1">
      <alignment horizontal="center" vertical="center"/>
    </xf>
    <xf numFmtId="43" fontId="6" fillId="0" borderId="49" xfId="1" applyFont="1" applyBorder="1" applyAlignment="1">
      <alignment horizontal="center" vertical="center"/>
    </xf>
    <xf numFmtId="43" fontId="6" fillId="0" borderId="2" xfId="1" applyFont="1" applyBorder="1" applyAlignment="1">
      <alignment horizontal="center" vertical="center"/>
    </xf>
    <xf numFmtId="43" fontId="6" fillId="0" borderId="47" xfId="1" applyFont="1" applyBorder="1" applyAlignment="1">
      <alignment horizontal="center" vertical="center"/>
    </xf>
    <xf numFmtId="43" fontId="6" fillId="0" borderId="46" xfId="1" applyFont="1" applyBorder="1" applyAlignment="1">
      <alignment horizontal="center" vertical="center"/>
    </xf>
    <xf numFmtId="43" fontId="6" fillId="0" borderId="48" xfId="1" applyFont="1" applyBorder="1" applyAlignment="1">
      <alignment horizontal="center" vertical="center"/>
    </xf>
    <xf numFmtId="0" fontId="5" fillId="0" borderId="43" xfId="0" applyFont="1" applyBorder="1" applyAlignment="1">
      <alignment vertical="center"/>
    </xf>
    <xf numFmtId="0" fontId="5" fillId="0" borderId="41" xfId="0" applyFont="1" applyBorder="1" applyAlignment="1">
      <alignment vertical="center"/>
    </xf>
    <xf numFmtId="0" fontId="5" fillId="0" borderId="10" xfId="0" applyFont="1" applyBorder="1" applyAlignment="1">
      <alignment vertical="center"/>
    </xf>
    <xf numFmtId="0" fontId="5" fillId="0" borderId="50" xfId="0" applyFont="1" applyBorder="1" applyAlignment="1">
      <alignment vertical="center"/>
    </xf>
    <xf numFmtId="0" fontId="7" fillId="0" borderId="0" xfId="0" applyFont="1" applyAlignment="1">
      <alignment vertical="center"/>
    </xf>
    <xf numFmtId="167" fontId="6" fillId="0" borderId="0" xfId="2" applyNumberFormat="1" applyFont="1" applyFill="1" applyBorder="1" applyAlignment="1">
      <alignment horizontal="center" vertical="center"/>
    </xf>
    <xf numFmtId="10" fontId="6" fillId="0" borderId="0" xfId="2" applyNumberFormat="1" applyFont="1" applyFill="1" applyBorder="1" applyAlignment="1">
      <alignment horizontal="center" vertical="center"/>
    </xf>
    <xf numFmtId="10" fontId="6" fillId="0" borderId="0" xfId="0" applyNumberFormat="1" applyFont="1" applyAlignment="1">
      <alignment horizontal="center" vertical="center"/>
    </xf>
    <xf numFmtId="43" fontId="6" fillId="0" borderId="0" xfId="1" applyFont="1" applyFill="1" applyBorder="1" applyAlignment="1">
      <alignment horizontal="center" vertical="center"/>
    </xf>
    <xf numFmtId="0" fontId="5" fillId="0" borderId="0" xfId="0" applyFont="1" applyAlignment="1">
      <alignment horizontal="center" vertical="center"/>
    </xf>
    <xf numFmtId="43" fontId="6" fillId="0" borderId="0" xfId="0" applyNumberFormat="1" applyFont="1" applyAlignment="1">
      <alignment horizontal="center" vertical="center"/>
    </xf>
    <xf numFmtId="0" fontId="5" fillId="0" borderId="10" xfId="0" applyFont="1" applyBorder="1" applyAlignment="1">
      <alignment vertical="center" wrapText="1"/>
    </xf>
    <xf numFmtId="0" fontId="5" fillId="0" borderId="29" xfId="0" applyFont="1" applyBorder="1" applyAlignment="1">
      <alignment vertical="center"/>
    </xf>
    <xf numFmtId="49" fontId="2" fillId="0" borderId="6" xfId="2" applyNumberFormat="1" applyFont="1" applyBorder="1" applyAlignment="1">
      <alignment horizontal="right" vertical="center"/>
    </xf>
    <xf numFmtId="49" fontId="2" fillId="0" borderId="35" xfId="2" applyNumberFormat="1" applyFont="1" applyBorder="1" applyAlignment="1">
      <alignment horizontal="right" vertical="center"/>
    </xf>
    <xf numFmtId="49" fontId="2" fillId="0" borderId="5" xfId="2" applyNumberFormat="1" applyFont="1" applyBorder="1" applyAlignment="1">
      <alignment horizontal="right" vertical="center"/>
    </xf>
    <xf numFmtId="49" fontId="2" fillId="0" borderId="7" xfId="2" applyNumberFormat="1" applyFont="1" applyBorder="1" applyAlignment="1">
      <alignment horizontal="right" vertical="center"/>
    </xf>
    <xf numFmtId="49" fontId="2" fillId="0" borderId="32" xfId="2" applyNumberFormat="1" applyFont="1" applyBorder="1" applyAlignment="1">
      <alignment horizontal="right" vertical="center"/>
    </xf>
    <xf numFmtId="166" fontId="2" fillId="0" borderId="12" xfId="1" applyNumberFormat="1" applyFont="1" applyBorder="1" applyAlignment="1">
      <alignment horizontal="left" vertical="center"/>
    </xf>
    <xf numFmtId="0" fontId="5" fillId="0" borderId="50" xfId="0" applyFont="1" applyBorder="1" applyAlignment="1">
      <alignment vertical="center" wrapText="1"/>
    </xf>
    <xf numFmtId="49" fontId="2" fillId="0" borderId="0" xfId="2" applyNumberFormat="1" applyFont="1" applyBorder="1" applyAlignment="1">
      <alignment horizontal="right" vertical="center"/>
    </xf>
    <xf numFmtId="167" fontId="11" fillId="5" borderId="5" xfId="2" applyNumberFormat="1" applyFont="1" applyFill="1" applyBorder="1" applyAlignment="1">
      <alignment horizontal="center" vertical="center"/>
    </xf>
    <xf numFmtId="167" fontId="11" fillId="5" borderId="12" xfId="2" applyNumberFormat="1" applyFont="1" applyFill="1" applyBorder="1" applyAlignment="1">
      <alignment horizontal="center" vertical="center"/>
    </xf>
    <xf numFmtId="167" fontId="11" fillId="5" borderId="13" xfId="2" applyNumberFormat="1" applyFont="1" applyFill="1" applyBorder="1" applyAlignment="1">
      <alignment horizontal="center" vertical="center"/>
    </xf>
    <xf numFmtId="167" fontId="11" fillId="5" borderId="6" xfId="2" applyNumberFormat="1" applyFont="1" applyFill="1" applyBorder="1" applyAlignment="1">
      <alignment horizontal="center" vertical="center"/>
    </xf>
    <xf numFmtId="167" fontId="11" fillId="5" borderId="14" xfId="2" applyNumberFormat="1" applyFont="1" applyFill="1" applyBorder="1" applyAlignment="1">
      <alignment horizontal="center" vertical="center"/>
    </xf>
    <xf numFmtId="167" fontId="11" fillId="5" borderId="35" xfId="2" applyNumberFormat="1" applyFont="1" applyFill="1" applyBorder="1" applyAlignment="1">
      <alignment horizontal="center" vertical="center"/>
    </xf>
    <xf numFmtId="167" fontId="11" fillId="5" borderId="34" xfId="2" applyNumberFormat="1" applyFont="1" applyFill="1" applyBorder="1" applyAlignment="1">
      <alignment horizontal="center" vertical="center"/>
    </xf>
    <xf numFmtId="167" fontId="11" fillId="5" borderId="7" xfId="2" applyNumberFormat="1" applyFont="1" applyFill="1" applyBorder="1" applyAlignment="1">
      <alignment horizontal="center" vertical="center"/>
    </xf>
    <xf numFmtId="167" fontId="12" fillId="5" borderId="5" xfId="2" applyNumberFormat="1" applyFont="1" applyFill="1" applyBorder="1" applyAlignment="1">
      <alignment horizontal="center" vertical="center"/>
    </xf>
    <xf numFmtId="2" fontId="6" fillId="5" borderId="8" xfId="1" applyNumberFormat="1" applyFont="1" applyFill="1" applyBorder="1" applyAlignment="1">
      <alignment horizontal="center" vertical="center"/>
    </xf>
    <xf numFmtId="2" fontId="6" fillId="5" borderId="1" xfId="1" applyNumberFormat="1" applyFont="1" applyFill="1" applyBorder="1" applyAlignment="1">
      <alignment horizontal="center" vertical="center"/>
    </xf>
    <xf numFmtId="2" fontId="6" fillId="5" borderId="16" xfId="1" applyNumberFormat="1" applyFont="1" applyFill="1" applyBorder="1" applyAlignment="1">
      <alignment horizontal="center" vertical="center"/>
    </xf>
    <xf numFmtId="2" fontId="11" fillId="5" borderId="8" xfId="1" applyNumberFormat="1" applyFont="1" applyFill="1" applyBorder="1" applyAlignment="1">
      <alignment horizontal="center" vertical="center"/>
    </xf>
    <xf numFmtId="2" fontId="11" fillId="5" borderId="1" xfId="1" applyNumberFormat="1" applyFont="1" applyFill="1" applyBorder="1" applyAlignment="1">
      <alignment horizontal="center" vertical="center"/>
    </xf>
    <xf numFmtId="2" fontId="11" fillId="5" borderId="9" xfId="1" applyNumberFormat="1" applyFont="1" applyFill="1" applyBorder="1" applyAlignment="1">
      <alignment horizontal="center" vertical="center"/>
    </xf>
    <xf numFmtId="2" fontId="11" fillId="5" borderId="17" xfId="1" applyNumberFormat="1" applyFont="1" applyFill="1" applyBorder="1" applyAlignment="1">
      <alignment horizontal="center" vertical="center"/>
    </xf>
    <xf numFmtId="0" fontId="5" fillId="0" borderId="24" xfId="0" applyFont="1" applyBorder="1" applyAlignment="1">
      <alignment horizontal="center" vertical="center"/>
    </xf>
    <xf numFmtId="0" fontId="5" fillId="0" borderId="25" xfId="0" applyFont="1" applyBorder="1" applyAlignment="1">
      <alignment horizontal="center" vertical="center"/>
    </xf>
    <xf numFmtId="0" fontId="5" fillId="0" borderId="26" xfId="0" applyFont="1" applyBorder="1" applyAlignment="1">
      <alignment horizontal="center" vertical="center"/>
    </xf>
    <xf numFmtId="43" fontId="6" fillId="0" borderId="5" xfId="0" applyNumberFormat="1" applyFont="1" applyBorder="1" applyAlignment="1">
      <alignment horizontal="center" vertical="center"/>
    </xf>
    <xf numFmtId="43" fontId="6" fillId="0" borderId="6" xfId="0" applyNumberFormat="1" applyFont="1" applyBorder="1" applyAlignment="1">
      <alignment horizontal="center" vertical="center"/>
    </xf>
    <xf numFmtId="43" fontId="6" fillId="0" borderId="7" xfId="0" applyNumberFormat="1" applyFont="1" applyBorder="1" applyAlignment="1">
      <alignment horizontal="center" vertical="center"/>
    </xf>
    <xf numFmtId="43" fontId="6" fillId="0" borderId="35" xfId="0" applyNumberFormat="1" applyFont="1" applyBorder="1" applyAlignment="1">
      <alignment horizontal="center" vertical="center"/>
    </xf>
    <xf numFmtId="43" fontId="6" fillId="0" borderId="32" xfId="0" applyNumberFormat="1" applyFont="1" applyBorder="1" applyAlignment="1">
      <alignment horizontal="center" vertical="center"/>
    </xf>
    <xf numFmtId="0" fontId="6" fillId="0" borderId="0" xfId="0" applyFont="1"/>
    <xf numFmtId="10" fontId="6" fillId="0" borderId="1" xfId="2" applyNumberFormat="1" applyFont="1" applyBorder="1"/>
    <xf numFmtId="2" fontId="6" fillId="0" borderId="1" xfId="0" applyNumberFormat="1" applyFont="1" applyBorder="1"/>
    <xf numFmtId="0" fontId="6" fillId="0" borderId="8" xfId="0" applyFont="1" applyBorder="1"/>
    <xf numFmtId="10" fontId="6" fillId="0" borderId="9" xfId="2" applyNumberFormat="1" applyFont="1" applyBorder="1"/>
    <xf numFmtId="2" fontId="6" fillId="0" borderId="9" xfId="0" applyNumberFormat="1" applyFont="1" applyBorder="1"/>
    <xf numFmtId="0" fontId="6" fillId="0" borderId="12" xfId="0" applyFont="1" applyBorder="1"/>
    <xf numFmtId="10" fontId="6" fillId="0" borderId="13" xfId="2" applyNumberFormat="1" applyFont="1" applyBorder="1"/>
    <xf numFmtId="43" fontId="6" fillId="0" borderId="13" xfId="2" applyNumberFormat="1" applyFont="1" applyBorder="1"/>
    <xf numFmtId="10" fontId="6" fillId="0" borderId="14" xfId="2" applyNumberFormat="1" applyFont="1" applyBorder="1"/>
    <xf numFmtId="0" fontId="5" fillId="0" borderId="55" xfId="0" applyFont="1" applyBorder="1" applyAlignment="1">
      <alignment horizontal="center" vertical="center"/>
    </xf>
    <xf numFmtId="43" fontId="6" fillId="0" borderId="15" xfId="0" applyNumberFormat="1" applyFont="1" applyBorder="1" applyAlignment="1">
      <alignment horizontal="center" vertical="center"/>
    </xf>
    <xf numFmtId="43" fontId="6" fillId="0" borderId="4" xfId="0" applyNumberFormat="1" applyFont="1" applyBorder="1" applyAlignment="1">
      <alignment horizontal="center" vertical="center"/>
    </xf>
    <xf numFmtId="43" fontId="6" fillId="0" borderId="56" xfId="0" applyNumberFormat="1" applyFont="1" applyBorder="1" applyAlignment="1">
      <alignment horizontal="center" vertical="center"/>
    </xf>
    <xf numFmtId="43" fontId="6" fillId="0" borderId="4" xfId="1" applyFont="1" applyBorder="1" applyAlignment="1">
      <alignment horizontal="center" vertical="center"/>
    </xf>
    <xf numFmtId="43" fontId="6" fillId="0" borderId="56" xfId="1" applyFont="1" applyBorder="1" applyAlignment="1">
      <alignment horizontal="center" vertical="center"/>
    </xf>
    <xf numFmtId="43" fontId="6" fillId="0" borderId="51" xfId="1" applyFont="1" applyBorder="1" applyAlignment="1">
      <alignment horizontal="center" vertical="center"/>
    </xf>
    <xf numFmtId="43" fontId="6" fillId="5" borderId="17" xfId="1" applyFont="1" applyFill="1" applyBorder="1" applyAlignment="1">
      <alignment horizontal="center" vertical="center"/>
    </xf>
    <xf numFmtId="43" fontId="6" fillId="5" borderId="1" xfId="1" applyFont="1" applyFill="1" applyBorder="1" applyAlignment="1">
      <alignment horizontal="center" vertical="center"/>
    </xf>
    <xf numFmtId="43" fontId="6" fillId="5" borderId="35" xfId="1" applyFont="1" applyFill="1" applyBorder="1" applyAlignment="1">
      <alignment horizontal="center" vertical="center"/>
    </xf>
    <xf numFmtId="43" fontId="6" fillId="5" borderId="16" xfId="1" applyFont="1" applyFill="1" applyBorder="1" applyAlignment="1">
      <alignment horizontal="center" vertical="center"/>
    </xf>
    <xf numFmtId="43" fontId="6" fillId="5" borderId="6" xfId="1" applyFont="1" applyFill="1" applyBorder="1" applyAlignment="1">
      <alignment horizontal="center" vertical="center"/>
    </xf>
    <xf numFmtId="0" fontId="8" fillId="0" borderId="0" xfId="0" applyFont="1" applyAlignment="1">
      <alignment horizontal="left" vertical="center"/>
    </xf>
    <xf numFmtId="0" fontId="6" fillId="4" borderId="50" xfId="0" applyFont="1" applyFill="1" applyBorder="1" applyAlignment="1">
      <alignment vertical="center"/>
    </xf>
    <xf numFmtId="167" fontId="6" fillId="5" borderId="46" xfId="2" applyNumberFormat="1" applyFont="1" applyFill="1" applyBorder="1" applyAlignment="1">
      <alignment horizontal="center" vertical="center"/>
    </xf>
    <xf numFmtId="167" fontId="6" fillId="5" borderId="47" xfId="2" applyNumberFormat="1" applyFont="1" applyFill="1" applyBorder="1" applyAlignment="1">
      <alignment horizontal="center" vertical="center"/>
    </xf>
    <xf numFmtId="167" fontId="6" fillId="5" borderId="2" xfId="2" applyNumberFormat="1" applyFont="1" applyFill="1" applyBorder="1" applyAlignment="1">
      <alignment horizontal="center" vertical="center"/>
    </xf>
    <xf numFmtId="167" fontId="6" fillId="5" borderId="49" xfId="2" applyNumberFormat="1" applyFont="1" applyFill="1" applyBorder="1" applyAlignment="1">
      <alignment horizontal="center" vertical="center"/>
    </xf>
    <xf numFmtId="0" fontId="6" fillId="4" borderId="41" xfId="0" applyFont="1" applyFill="1" applyBorder="1" applyAlignment="1">
      <alignment vertical="center"/>
    </xf>
    <xf numFmtId="43" fontId="6" fillId="5" borderId="27" xfId="1" applyFont="1" applyFill="1" applyBorder="1" applyAlignment="1">
      <alignment horizontal="center" vertical="center"/>
    </xf>
    <xf numFmtId="43" fontId="6" fillId="5" borderId="36" xfId="1" applyFont="1" applyFill="1" applyBorder="1" applyAlignment="1">
      <alignment horizontal="center" vertical="center"/>
    </xf>
    <xf numFmtId="43" fontId="6" fillId="5" borderId="3" xfId="1" applyFont="1" applyFill="1" applyBorder="1" applyAlignment="1">
      <alignment horizontal="center" vertical="center"/>
    </xf>
    <xf numFmtId="43" fontId="6" fillId="5" borderId="45" xfId="1" applyFont="1" applyFill="1" applyBorder="1" applyAlignment="1">
      <alignment horizontal="center" vertical="center"/>
    </xf>
    <xf numFmtId="167" fontId="6" fillId="5" borderId="27" xfId="2" applyNumberFormat="1" applyFont="1" applyFill="1" applyBorder="1" applyAlignment="1">
      <alignment horizontal="center" vertical="center"/>
    </xf>
    <xf numFmtId="167" fontId="6" fillId="5" borderId="36" xfId="2" applyNumberFormat="1" applyFont="1" applyFill="1" applyBorder="1" applyAlignment="1">
      <alignment horizontal="center" vertical="center"/>
    </xf>
    <xf numFmtId="167" fontId="6" fillId="5" borderId="3" xfId="2" applyNumberFormat="1" applyFont="1" applyFill="1" applyBorder="1" applyAlignment="1">
      <alignment horizontal="center" vertical="center"/>
    </xf>
    <xf numFmtId="167" fontId="6" fillId="5" borderId="45" xfId="2" applyNumberFormat="1" applyFont="1" applyFill="1" applyBorder="1" applyAlignment="1">
      <alignment horizontal="center" vertical="center"/>
    </xf>
    <xf numFmtId="49" fontId="5" fillId="0" borderId="24" xfId="1" applyNumberFormat="1" applyFont="1" applyBorder="1" applyAlignment="1">
      <alignment horizontal="center" vertical="center"/>
    </xf>
    <xf numFmtId="49" fontId="5" fillId="0" borderId="25" xfId="1" applyNumberFormat="1" applyFont="1" applyBorder="1" applyAlignment="1">
      <alignment horizontal="center" vertical="center"/>
    </xf>
    <xf numFmtId="49" fontId="5" fillId="0" borderId="26" xfId="1" applyNumberFormat="1" applyFont="1" applyBorder="1" applyAlignment="1">
      <alignment horizontal="center" vertical="center"/>
    </xf>
    <xf numFmtId="49" fontId="5" fillId="0" borderId="58" xfId="1" applyNumberFormat="1" applyFont="1" applyBorder="1" applyAlignment="1">
      <alignment horizontal="center" vertical="center"/>
    </xf>
    <xf numFmtId="49" fontId="5" fillId="0" borderId="37" xfId="1" applyNumberFormat="1" applyFont="1" applyBorder="1" applyAlignment="1">
      <alignment horizontal="center" vertical="center"/>
    </xf>
    <xf numFmtId="49" fontId="5" fillId="0" borderId="38" xfId="1" applyNumberFormat="1" applyFont="1" applyBorder="1" applyAlignment="1">
      <alignment horizontal="center" vertical="center"/>
    </xf>
    <xf numFmtId="10" fontId="6" fillId="5" borderId="27" xfId="2" applyNumberFormat="1" applyFont="1" applyFill="1" applyBorder="1" applyAlignment="1">
      <alignment horizontal="center" vertical="center"/>
    </xf>
    <xf numFmtId="10" fontId="6" fillId="5" borderId="3" xfId="2" applyNumberFormat="1" applyFont="1" applyFill="1" applyBorder="1" applyAlignment="1">
      <alignment horizontal="center" vertical="center"/>
    </xf>
    <xf numFmtId="10" fontId="6" fillId="5" borderId="36" xfId="2" applyNumberFormat="1" applyFont="1" applyFill="1" applyBorder="1" applyAlignment="1">
      <alignment horizontal="center" vertical="center"/>
    </xf>
    <xf numFmtId="10" fontId="6" fillId="5" borderId="45" xfId="2" applyNumberFormat="1" applyFont="1" applyFill="1" applyBorder="1" applyAlignment="1">
      <alignment horizontal="center" vertical="center"/>
    </xf>
    <xf numFmtId="10" fontId="6" fillId="5" borderId="46" xfId="2" applyNumberFormat="1" applyFont="1" applyFill="1" applyBorder="1" applyAlignment="1">
      <alignment horizontal="center" vertical="center"/>
    </xf>
    <xf numFmtId="10" fontId="6" fillId="5" borderId="2" xfId="2" applyNumberFormat="1" applyFont="1" applyFill="1" applyBorder="1" applyAlignment="1">
      <alignment horizontal="center" vertical="center"/>
    </xf>
    <xf numFmtId="10" fontId="6" fillId="5" borderId="47" xfId="2" applyNumberFormat="1" applyFont="1" applyFill="1" applyBorder="1" applyAlignment="1">
      <alignment horizontal="center" vertical="center"/>
    </xf>
    <xf numFmtId="10" fontId="6" fillId="5" borderId="49" xfId="2" applyNumberFormat="1" applyFont="1" applyFill="1" applyBorder="1" applyAlignment="1">
      <alignment horizontal="center" vertical="center"/>
    </xf>
    <xf numFmtId="10" fontId="6" fillId="5" borderId="46" xfId="0" applyNumberFormat="1" applyFont="1" applyFill="1" applyBorder="1" applyAlignment="1">
      <alignment horizontal="center" vertical="center"/>
    </xf>
    <xf numFmtId="10" fontId="6" fillId="5" borderId="2" xfId="0" applyNumberFormat="1" applyFont="1" applyFill="1" applyBorder="1" applyAlignment="1">
      <alignment horizontal="center" vertical="center"/>
    </xf>
    <xf numFmtId="10" fontId="6" fillId="5" borderId="47" xfId="0" applyNumberFormat="1" applyFont="1" applyFill="1" applyBorder="1" applyAlignment="1">
      <alignment horizontal="center" vertical="center"/>
    </xf>
    <xf numFmtId="10" fontId="6" fillId="5" borderId="49" xfId="0" applyNumberFormat="1" applyFont="1" applyFill="1" applyBorder="1" applyAlignment="1">
      <alignment horizontal="center" vertical="center"/>
    </xf>
    <xf numFmtId="0" fontId="6" fillId="4" borderId="59" xfId="0" applyFont="1" applyFill="1" applyBorder="1" applyAlignment="1">
      <alignment vertical="center"/>
    </xf>
    <xf numFmtId="0" fontId="6" fillId="4" borderId="60" xfId="0" applyFont="1" applyFill="1" applyBorder="1" applyAlignment="1">
      <alignment vertical="center"/>
    </xf>
    <xf numFmtId="0" fontId="6" fillId="4" borderId="61" xfId="0" applyFont="1" applyFill="1" applyBorder="1" applyAlignment="1">
      <alignment vertical="center"/>
    </xf>
    <xf numFmtId="167" fontId="6" fillId="6" borderId="22" xfId="2" applyNumberFormat="1" applyFont="1" applyFill="1" applyBorder="1" applyAlignment="1">
      <alignment horizontal="center" vertical="center"/>
    </xf>
    <xf numFmtId="167" fontId="6" fillId="6" borderId="61" xfId="2" applyNumberFormat="1" applyFont="1" applyFill="1" applyBorder="1" applyAlignment="1">
      <alignment horizontal="center" vertical="center"/>
    </xf>
    <xf numFmtId="10" fontId="6" fillId="5" borderId="22" xfId="2" applyNumberFormat="1" applyFont="1" applyFill="1" applyBorder="1" applyAlignment="1">
      <alignment horizontal="center" vertical="center"/>
    </xf>
    <xf numFmtId="10" fontId="6" fillId="5" borderId="61" xfId="2" applyNumberFormat="1" applyFont="1" applyFill="1" applyBorder="1" applyAlignment="1">
      <alignment horizontal="center" vertical="center"/>
    </xf>
    <xf numFmtId="10" fontId="6" fillId="5" borderId="62" xfId="2" applyNumberFormat="1" applyFont="1" applyFill="1" applyBorder="1" applyAlignment="1">
      <alignment horizontal="center" vertical="center"/>
    </xf>
    <xf numFmtId="167" fontId="6" fillId="5" borderId="22" xfId="2" applyNumberFormat="1" applyFont="1" applyFill="1" applyBorder="1" applyAlignment="1">
      <alignment horizontal="center" vertical="center"/>
    </xf>
    <xf numFmtId="167" fontId="6" fillId="5" borderId="61" xfId="2" applyNumberFormat="1" applyFont="1" applyFill="1" applyBorder="1" applyAlignment="1">
      <alignment horizontal="center" vertical="center"/>
    </xf>
    <xf numFmtId="167" fontId="6" fillId="5" borderId="62" xfId="2" applyNumberFormat="1" applyFont="1" applyFill="1" applyBorder="1" applyAlignment="1">
      <alignment horizontal="center" vertical="center"/>
    </xf>
    <xf numFmtId="43" fontId="6" fillId="5" borderId="22" xfId="1" applyFont="1" applyFill="1" applyBorder="1" applyAlignment="1">
      <alignment horizontal="center" vertical="center"/>
    </xf>
    <xf numFmtId="43" fontId="6" fillId="5" borderId="61" xfId="1" applyFont="1" applyFill="1" applyBorder="1" applyAlignment="1">
      <alignment horizontal="center" vertical="center"/>
    </xf>
    <xf numFmtId="167" fontId="6" fillId="6" borderId="22" xfId="0" applyNumberFormat="1" applyFont="1" applyFill="1" applyBorder="1" applyAlignment="1">
      <alignment horizontal="center" vertical="center"/>
    </xf>
    <xf numFmtId="10" fontId="6" fillId="6" borderId="22" xfId="1" applyNumberFormat="1" applyFont="1" applyFill="1" applyBorder="1" applyAlignment="1">
      <alignment horizontal="center" vertical="center"/>
    </xf>
    <xf numFmtId="2" fontId="6" fillId="6" borderId="22" xfId="0" applyNumberFormat="1" applyFont="1" applyFill="1" applyBorder="1" applyAlignment="1">
      <alignment horizontal="center" vertical="center"/>
    </xf>
    <xf numFmtId="0" fontId="2" fillId="0" borderId="1" xfId="0" applyFont="1" applyBorder="1" applyAlignment="1">
      <alignment horizontal="center" vertical="center"/>
    </xf>
    <xf numFmtId="0" fontId="0" fillId="0" borderId="8" xfId="0" applyBorder="1" applyAlignment="1">
      <alignment vertical="center"/>
    </xf>
    <xf numFmtId="43" fontId="0" fillId="0" borderId="1" xfId="0" applyNumberFormat="1" applyBorder="1" applyAlignment="1">
      <alignment vertical="center"/>
    </xf>
    <xf numFmtId="43" fontId="0" fillId="0" borderId="0" xfId="0" applyNumberFormat="1" applyAlignment="1">
      <alignment vertical="center"/>
    </xf>
    <xf numFmtId="43" fontId="2" fillId="0" borderId="1" xfId="0" applyNumberFormat="1" applyFont="1" applyBorder="1" applyAlignment="1">
      <alignment vertical="center"/>
    </xf>
    <xf numFmtId="10" fontId="0" fillId="0" borderId="0" xfId="2" applyNumberFormat="1" applyFont="1" applyAlignment="1">
      <alignment horizontal="center" vertical="center"/>
    </xf>
    <xf numFmtId="10" fontId="2" fillId="0" borderId="1" xfId="2" applyNumberFormat="1" applyFont="1" applyBorder="1" applyAlignment="1">
      <alignment horizontal="center" vertical="center"/>
    </xf>
    <xf numFmtId="10" fontId="0" fillId="0" borderId="1" xfId="2" applyNumberFormat="1" applyFont="1" applyBorder="1" applyAlignment="1">
      <alignment horizontal="center" vertical="center"/>
    </xf>
    <xf numFmtId="0" fontId="0" fillId="0" borderId="1" xfId="0" applyBorder="1" applyAlignment="1">
      <alignment horizontal="center" vertical="center"/>
    </xf>
    <xf numFmtId="43" fontId="0" fillId="0" borderId="1" xfId="1" applyFont="1" applyBorder="1" applyAlignment="1">
      <alignment horizontal="center" vertical="center"/>
    </xf>
    <xf numFmtId="49" fontId="2" fillId="0" borderId="1" xfId="1" applyNumberFormat="1" applyFont="1" applyBorder="1" applyAlignment="1">
      <alignment horizontal="center" vertical="center"/>
    </xf>
    <xf numFmtId="10" fontId="0" fillId="0" borderId="1" xfId="2" applyNumberFormat="1" applyFont="1" applyBorder="1" applyAlignment="1">
      <alignment vertical="center"/>
    </xf>
    <xf numFmtId="10" fontId="2" fillId="0" borderId="1" xfId="0" applyNumberFormat="1" applyFont="1" applyBorder="1" applyAlignment="1">
      <alignment horizontal="center" vertical="center"/>
    </xf>
    <xf numFmtId="10" fontId="0" fillId="0" borderId="1" xfId="0" applyNumberFormat="1" applyBorder="1" applyAlignment="1">
      <alignment vertical="center"/>
    </xf>
    <xf numFmtId="10" fontId="0" fillId="0" borderId="1" xfId="0" applyNumberFormat="1" applyBorder="1" applyAlignment="1">
      <alignment horizontal="center" vertical="center"/>
    </xf>
    <xf numFmtId="43" fontId="2" fillId="0" borderId="1" xfId="1" applyFont="1" applyBorder="1" applyAlignment="1">
      <alignment horizontal="center" vertical="center"/>
    </xf>
    <xf numFmtId="3" fontId="0" fillId="0" borderId="0" xfId="0" applyNumberFormat="1" applyAlignment="1">
      <alignment vertical="center"/>
    </xf>
    <xf numFmtId="164" fontId="0" fillId="0" borderId="0" xfId="0" applyNumberFormat="1" applyAlignment="1">
      <alignment vertical="center"/>
    </xf>
    <xf numFmtId="10" fontId="0" fillId="0" borderId="9" xfId="0" applyNumberFormat="1" applyBorder="1" applyAlignment="1">
      <alignment vertical="center"/>
    </xf>
    <xf numFmtId="0" fontId="0" fillId="0" borderId="1" xfId="0" applyBorder="1" applyAlignment="1">
      <alignment vertical="center" wrapText="1"/>
    </xf>
    <xf numFmtId="43" fontId="0" fillId="0" borderId="1" xfId="0" applyNumberFormat="1" applyBorder="1" applyAlignment="1">
      <alignment vertical="center" wrapText="1"/>
    </xf>
    <xf numFmtId="0" fontId="3" fillId="0" borderId="0" xfId="0" applyFont="1" applyAlignment="1">
      <alignment vertical="center"/>
    </xf>
    <xf numFmtId="0" fontId="3" fillId="0" borderId="0" xfId="0" applyFont="1" applyAlignment="1">
      <alignment vertical="center" wrapText="1"/>
    </xf>
    <xf numFmtId="0" fontId="2" fillId="0" borderId="1" xfId="0" applyFont="1" applyBorder="1" applyAlignment="1">
      <alignment horizontal="right" vertical="center"/>
    </xf>
    <xf numFmtId="0" fontId="2" fillId="0" borderId="0" xfId="0" applyFont="1" applyAlignment="1">
      <alignment horizontal="right" vertical="center"/>
    </xf>
    <xf numFmtId="0" fontId="3" fillId="0" borderId="0" xfId="0" applyFont="1" applyAlignment="1">
      <alignment horizontal="right" vertical="center"/>
    </xf>
    <xf numFmtId="0" fontId="0" fillId="0" borderId="1" xfId="0" applyBorder="1" applyAlignment="1">
      <alignment horizontal="right" vertical="center" wrapText="1"/>
    </xf>
    <xf numFmtId="0" fontId="0" fillId="0" borderId="0" xfId="0" applyAlignment="1">
      <alignment horizontal="right" vertical="center"/>
    </xf>
    <xf numFmtId="0" fontId="0" fillId="0" borderId="1" xfId="0" applyBorder="1" applyAlignment="1">
      <alignment horizontal="right" vertical="center"/>
    </xf>
    <xf numFmtId="0" fontId="0" fillId="0" borderId="0" xfId="0" applyAlignment="1">
      <alignment horizontal="right" vertical="center" wrapText="1"/>
    </xf>
    <xf numFmtId="9" fontId="0" fillId="0" borderId="0" xfId="2" applyFont="1" applyAlignment="1">
      <alignment vertical="center"/>
    </xf>
    <xf numFmtId="0" fontId="3" fillId="0" borderId="0" xfId="0" applyFont="1" applyAlignment="1">
      <alignment horizontal="right" vertical="center" wrapText="1"/>
    </xf>
    <xf numFmtId="0" fontId="2" fillId="0" borderId="1" xfId="0" applyFont="1" applyBorder="1" applyAlignment="1">
      <alignment horizontal="right" vertical="center" wrapText="1"/>
    </xf>
    <xf numFmtId="9" fontId="0" fillId="0" borderId="1" xfId="2" applyFont="1" applyBorder="1" applyAlignment="1">
      <alignment vertical="center"/>
    </xf>
    <xf numFmtId="167" fontId="0" fillId="0" borderId="1" xfId="2" applyNumberFormat="1" applyFont="1" applyBorder="1" applyAlignment="1">
      <alignment vertical="center"/>
    </xf>
    <xf numFmtId="9" fontId="0" fillId="0" borderId="1" xfId="2" applyFont="1" applyBorder="1" applyAlignment="1">
      <alignment horizontal="right" vertical="center"/>
    </xf>
    <xf numFmtId="9" fontId="3" fillId="0" borderId="0" xfId="2" applyFont="1" applyAlignment="1">
      <alignment vertical="center"/>
    </xf>
    <xf numFmtId="2" fontId="2" fillId="0" borderId="0" xfId="0" applyNumberFormat="1" applyFont="1" applyAlignment="1">
      <alignment vertical="center"/>
    </xf>
    <xf numFmtId="10" fontId="1" fillId="0" borderId="1" xfId="2" applyNumberFormat="1" applyFont="1" applyBorder="1" applyAlignment="1">
      <alignment horizontal="center" vertical="center"/>
    </xf>
    <xf numFmtId="10" fontId="0" fillId="0" borderId="1" xfId="1" applyNumberFormat="1" applyFont="1" applyBorder="1" applyAlignment="1">
      <alignment horizontal="center" vertical="center"/>
    </xf>
    <xf numFmtId="43" fontId="0" fillId="0" borderId="1" xfId="0" applyNumberFormat="1" applyBorder="1" applyAlignment="1">
      <alignment horizontal="right" vertical="center"/>
    </xf>
    <xf numFmtId="43" fontId="0" fillId="0" borderId="1" xfId="0" applyNumberFormat="1" applyBorder="1" applyAlignment="1">
      <alignment horizontal="right" vertical="center" wrapText="1"/>
    </xf>
    <xf numFmtId="4" fontId="0" fillId="0" borderId="1" xfId="0" applyNumberFormat="1" applyBorder="1" applyAlignment="1">
      <alignment vertical="center"/>
    </xf>
    <xf numFmtId="164" fontId="0" fillId="0" borderId="1" xfId="0" applyNumberFormat="1" applyBorder="1" applyAlignment="1">
      <alignment vertical="center"/>
    </xf>
    <xf numFmtId="164" fontId="0" fillId="0" borderId="1" xfId="1" applyNumberFormat="1" applyFont="1" applyBorder="1" applyAlignment="1">
      <alignment vertical="center"/>
    </xf>
    <xf numFmtId="167" fontId="17" fillId="0" borderId="1" xfId="2" applyNumberFormat="1" applyFont="1" applyBorder="1" applyAlignment="1">
      <alignment vertical="center"/>
    </xf>
    <xf numFmtId="0" fontId="17" fillId="0" borderId="0" xfId="0" applyFont="1" applyAlignment="1">
      <alignment vertical="center"/>
    </xf>
    <xf numFmtId="0" fontId="2" fillId="0" borderId="0" xfId="0" applyFont="1" applyAlignment="1">
      <alignment horizontal="center" vertical="center"/>
    </xf>
    <xf numFmtId="167" fontId="18" fillId="0" borderId="1" xfId="2" applyNumberFormat="1" applyFont="1" applyBorder="1" applyAlignment="1">
      <alignment vertical="center"/>
    </xf>
    <xf numFmtId="168" fontId="6" fillId="0" borderId="0" xfId="0" applyNumberFormat="1" applyFont="1"/>
    <xf numFmtId="166" fontId="0" fillId="3" borderId="1" xfId="1" applyNumberFormat="1" applyFont="1" applyFill="1" applyBorder="1" applyAlignment="1">
      <alignment vertical="center" wrapText="1"/>
    </xf>
    <xf numFmtId="43" fontId="0" fillId="0" borderId="1" xfId="0" applyNumberFormat="1" applyBorder="1" applyAlignment="1">
      <alignment horizontal="center" vertical="center"/>
    </xf>
    <xf numFmtId="9" fontId="0" fillId="0" borderId="1" xfId="2" applyFont="1" applyBorder="1" applyAlignment="1">
      <alignment horizontal="center" vertical="center"/>
    </xf>
    <xf numFmtId="0" fontId="2" fillId="0" borderId="1" xfId="0" applyFont="1" applyBorder="1" applyAlignment="1">
      <alignment horizontal="center" vertical="center" wrapText="1"/>
    </xf>
    <xf numFmtId="49" fontId="2" fillId="0" borderId="1" xfId="2" applyNumberFormat="1" applyFont="1" applyBorder="1" applyAlignment="1">
      <alignment horizontal="center" vertical="center"/>
    </xf>
    <xf numFmtId="9" fontId="0" fillId="0" borderId="0" xfId="2" applyFont="1" applyBorder="1" applyAlignment="1">
      <alignment horizontal="center" vertical="center"/>
    </xf>
    <xf numFmtId="43" fontId="0" fillId="0" borderId="0" xfId="0" applyNumberFormat="1" applyAlignment="1">
      <alignment horizontal="center" vertical="center"/>
    </xf>
    <xf numFmtId="43" fontId="2" fillId="0" borderId="1" xfId="0" applyNumberFormat="1" applyFont="1" applyBorder="1" applyAlignment="1">
      <alignment horizontal="center" vertical="center"/>
    </xf>
    <xf numFmtId="167" fontId="2" fillId="0" borderId="1" xfId="2" applyNumberFormat="1" applyFont="1" applyBorder="1" applyAlignment="1">
      <alignment horizontal="center" vertical="center" wrapText="1"/>
    </xf>
    <xf numFmtId="167" fontId="2" fillId="0" borderId="1" xfId="2" applyNumberFormat="1" applyFont="1" applyBorder="1" applyAlignment="1">
      <alignment horizontal="center" vertical="center"/>
    </xf>
    <xf numFmtId="0" fontId="27" fillId="0" borderId="0" xfId="0" applyFont="1"/>
    <xf numFmtId="0" fontId="28" fillId="0" borderId="1" xfId="0" applyFont="1" applyBorder="1" applyAlignment="1">
      <alignment horizontal="center" vertical="center" wrapText="1"/>
    </xf>
    <xf numFmtId="0" fontId="27" fillId="0" borderId="1" xfId="0" applyFont="1" applyBorder="1" applyAlignment="1">
      <alignment horizontal="center" vertical="center"/>
    </xf>
    <xf numFmtId="0" fontId="27" fillId="0" borderId="0" xfId="0" applyFont="1" applyAlignment="1">
      <alignment horizontal="center"/>
    </xf>
    <xf numFmtId="43" fontId="25" fillId="9" borderId="1" xfId="1" applyFont="1" applyFill="1" applyBorder="1" applyAlignment="1">
      <alignment horizontal="center" vertical="center"/>
    </xf>
    <xf numFmtId="43" fontId="1" fillId="0" borderId="0" xfId="1" applyFont="1" applyAlignment="1">
      <alignment horizontal="center"/>
    </xf>
    <xf numFmtId="164" fontId="25" fillId="9" borderId="1" xfId="3" applyNumberFormat="1" applyFont="1" applyFill="1" applyBorder="1" applyAlignment="1">
      <alignment horizontal="center" vertical="center"/>
    </xf>
    <xf numFmtId="164" fontId="25" fillId="9" borderId="1" xfId="1" applyNumberFormat="1" applyFont="1" applyFill="1" applyBorder="1" applyAlignment="1">
      <alignment horizontal="center" vertical="center"/>
    </xf>
    <xf numFmtId="166" fontId="2" fillId="0" borderId="10" xfId="1" applyNumberFormat="1" applyFont="1" applyBorder="1" applyAlignment="1">
      <alignment vertical="center"/>
    </xf>
    <xf numFmtId="49" fontId="2" fillId="0" borderId="2" xfId="1" applyNumberFormat="1" applyFont="1" applyBorder="1" applyAlignment="1">
      <alignment horizontal="right" vertical="center"/>
    </xf>
    <xf numFmtId="43" fontId="0" fillId="0" borderId="3" xfId="1" applyFont="1" applyBorder="1"/>
    <xf numFmtId="43" fontId="2" fillId="0" borderId="4" xfId="1" applyFont="1" applyBorder="1" applyAlignment="1">
      <alignment vertical="center"/>
    </xf>
    <xf numFmtId="43" fontId="2" fillId="0" borderId="11" xfId="1" applyFont="1" applyBorder="1" applyAlignment="1">
      <alignment vertical="center"/>
    </xf>
    <xf numFmtId="0" fontId="2" fillId="0" borderId="0" xfId="0" applyFont="1"/>
    <xf numFmtId="0" fontId="17" fillId="10" borderId="0" xfId="0" applyFont="1" applyFill="1" applyAlignment="1">
      <alignment horizontal="center" vertical="center"/>
    </xf>
    <xf numFmtId="2" fontId="31" fillId="10" borderId="0" xfId="0" applyNumberFormat="1" applyFont="1" applyFill="1" applyAlignment="1">
      <alignment horizontal="center" vertical="center"/>
    </xf>
    <xf numFmtId="10" fontId="6" fillId="10" borderId="0" xfId="0" applyNumberFormat="1" applyFont="1" applyFill="1" applyAlignment="1">
      <alignment horizontal="center" vertical="center"/>
    </xf>
    <xf numFmtId="0" fontId="0" fillId="0" borderId="0" xfId="0" applyAlignment="1">
      <alignment horizontal="left" vertical="center"/>
    </xf>
    <xf numFmtId="43" fontId="0" fillId="0" borderId="0" xfId="1" applyFont="1" applyAlignment="1">
      <alignment horizontal="right" vertical="center"/>
    </xf>
    <xf numFmtId="43" fontId="0" fillId="0" borderId="0" xfId="0" applyNumberFormat="1"/>
    <xf numFmtId="0" fontId="18" fillId="11" borderId="0" xfId="0" applyFont="1" applyFill="1" applyAlignment="1">
      <alignment vertical="center"/>
    </xf>
    <xf numFmtId="0" fontId="32" fillId="12" borderId="0" xfId="0" applyFont="1" applyFill="1" applyAlignment="1">
      <alignment horizontal="center" vertical="center"/>
    </xf>
    <xf numFmtId="0" fontId="33" fillId="12" borderId="0" xfId="0" applyFont="1" applyFill="1" applyAlignment="1">
      <alignment horizontal="center" vertical="center"/>
    </xf>
    <xf numFmtId="43" fontId="2" fillId="0" borderId="0" xfId="0" applyNumberFormat="1" applyFont="1"/>
    <xf numFmtId="10" fontId="0" fillId="10" borderId="0" xfId="0" applyNumberFormat="1" applyFill="1" applyAlignment="1">
      <alignment vertical="center"/>
    </xf>
    <xf numFmtId="0" fontId="35" fillId="10" borderId="0" xfId="4" applyFont="1" applyFill="1" applyAlignment="1">
      <alignment horizontal="center" vertical="center"/>
    </xf>
    <xf numFmtId="0" fontId="17" fillId="10" borderId="0" xfId="4" applyFont="1" applyFill="1" applyAlignment="1">
      <alignment horizontal="center" vertical="center"/>
    </xf>
    <xf numFmtId="0" fontId="17" fillId="10" borderId="0" xfId="0" applyFont="1" applyFill="1" applyAlignment="1">
      <alignment vertical="center"/>
    </xf>
    <xf numFmtId="2" fontId="11" fillId="10" borderId="0" xfId="0" applyNumberFormat="1" applyFont="1" applyFill="1" applyAlignment="1">
      <alignment horizontal="center" vertical="center"/>
    </xf>
    <xf numFmtId="0" fontId="20" fillId="10" borderId="0" xfId="0" applyFont="1" applyFill="1" applyAlignment="1">
      <alignment horizontal="center" vertical="center"/>
    </xf>
    <xf numFmtId="164" fontId="37" fillId="10" borderId="0" xfId="0" applyNumberFormat="1" applyFont="1" applyFill="1" applyAlignment="1">
      <alignment horizontal="center" vertical="center"/>
    </xf>
    <xf numFmtId="0" fontId="0" fillId="10" borderId="0" xfId="0" applyFill="1" applyAlignment="1">
      <alignment vertical="center"/>
    </xf>
    <xf numFmtId="0" fontId="35" fillId="10" borderId="0" xfId="4" applyFont="1" applyFill="1" applyAlignment="1">
      <alignment vertical="center"/>
    </xf>
    <xf numFmtId="0" fontId="0" fillId="11" borderId="0" xfId="0" applyFill="1" applyAlignment="1">
      <alignment vertical="center"/>
    </xf>
    <xf numFmtId="0" fontId="36" fillId="10" borderId="0" xfId="0" applyFont="1" applyFill="1" applyAlignment="1">
      <alignment vertical="center"/>
    </xf>
    <xf numFmtId="0" fontId="9" fillId="11" borderId="0" xfId="0" applyFont="1" applyFill="1" applyAlignment="1">
      <alignment vertical="center"/>
    </xf>
    <xf numFmtId="0" fontId="17" fillId="11" borderId="0" xfId="0" applyFont="1" applyFill="1" applyAlignment="1">
      <alignment vertical="center"/>
    </xf>
    <xf numFmtId="0" fontId="0" fillId="0" borderId="63" xfId="0" applyBorder="1" applyAlignment="1">
      <alignment horizontal="center" vertical="center"/>
    </xf>
    <xf numFmtId="1" fontId="0" fillId="0" borderId="0" xfId="0" applyNumberFormat="1" applyAlignment="1">
      <alignment vertical="center"/>
    </xf>
    <xf numFmtId="0" fontId="0" fillId="0" borderId="1" xfId="0" applyBorder="1" applyAlignment="1">
      <alignment horizontal="center" vertical="center" wrapText="1"/>
    </xf>
    <xf numFmtId="1" fontId="0" fillId="0" borderId="1" xfId="1" applyNumberFormat="1" applyFont="1" applyBorder="1" applyAlignment="1">
      <alignment vertical="center"/>
    </xf>
    <xf numFmtId="166" fontId="0" fillId="0" borderId="1" xfId="1" applyNumberFormat="1" applyFont="1" applyBorder="1" applyAlignment="1">
      <alignment vertical="center"/>
    </xf>
    <xf numFmtId="0" fontId="38" fillId="0" borderId="1" xfId="0" applyFont="1" applyBorder="1" applyAlignment="1">
      <alignment horizontal="center" vertical="center"/>
    </xf>
    <xf numFmtId="0" fontId="0" fillId="0" borderId="61" xfId="0" applyBorder="1" applyAlignment="1">
      <alignment horizontal="left" vertical="center"/>
    </xf>
    <xf numFmtId="0" fontId="0" fillId="0" borderId="59" xfId="0" applyBorder="1" applyAlignment="1">
      <alignment horizontal="left" vertical="center"/>
    </xf>
    <xf numFmtId="0" fontId="0" fillId="0" borderId="23" xfId="0" applyBorder="1" applyAlignment="1">
      <alignment horizontal="left" vertical="center"/>
    </xf>
    <xf numFmtId="0" fontId="0" fillId="0" borderId="22" xfId="0" applyBorder="1" applyAlignment="1">
      <alignment horizontal="left" vertical="center"/>
    </xf>
    <xf numFmtId="0" fontId="0" fillId="0" borderId="15" xfId="0" applyBorder="1" applyAlignment="1">
      <alignment horizontal="center" vertical="center"/>
    </xf>
    <xf numFmtId="0" fontId="2" fillId="0" borderId="64" xfId="0" applyFont="1" applyBorder="1" applyAlignment="1">
      <alignment horizontal="left" vertical="center"/>
    </xf>
    <xf numFmtId="0" fontId="2" fillId="0" borderId="62" xfId="0" applyFont="1" applyBorder="1" applyAlignment="1">
      <alignment horizontal="left" vertical="center"/>
    </xf>
    <xf numFmtId="0" fontId="2" fillId="0" borderId="65" xfId="0" applyFont="1" applyBorder="1" applyAlignment="1">
      <alignment horizontal="center" vertical="center"/>
    </xf>
    <xf numFmtId="0" fontId="2" fillId="0" borderId="66" xfId="0" applyFont="1" applyBorder="1" applyAlignment="1">
      <alignment horizontal="center" vertical="center"/>
    </xf>
    <xf numFmtId="0" fontId="2" fillId="0" borderId="67" xfId="0" applyFont="1" applyBorder="1" applyAlignment="1">
      <alignment horizontal="center" vertical="center"/>
    </xf>
    <xf numFmtId="0" fontId="2" fillId="0" borderId="68" xfId="0" applyFont="1" applyBorder="1" applyAlignment="1">
      <alignment horizontal="center" vertical="center"/>
    </xf>
    <xf numFmtId="0" fontId="0" fillId="0" borderId="60" xfId="0" applyBorder="1" applyAlignment="1">
      <alignment horizontal="left" vertical="center"/>
    </xf>
    <xf numFmtId="43" fontId="0" fillId="0" borderId="33" xfId="1" applyFont="1" applyBorder="1" applyAlignment="1">
      <alignment horizontal="center" vertical="center"/>
    </xf>
    <xf numFmtId="43" fontId="0" fillId="0" borderId="13" xfId="1" applyFont="1" applyBorder="1" applyAlignment="1">
      <alignment horizontal="center" vertical="center"/>
    </xf>
    <xf numFmtId="43" fontId="0" fillId="0" borderId="34" xfId="1" applyFont="1" applyBorder="1" applyAlignment="1">
      <alignment horizontal="center" vertical="center"/>
    </xf>
    <xf numFmtId="9" fontId="0" fillId="0" borderId="3" xfId="2" applyFont="1" applyBorder="1" applyAlignment="1">
      <alignment horizontal="center" vertical="center"/>
    </xf>
    <xf numFmtId="10" fontId="0" fillId="0" borderId="3" xfId="2" applyNumberFormat="1" applyFont="1" applyBorder="1" applyAlignment="1">
      <alignment horizontal="center" vertical="center"/>
    </xf>
    <xf numFmtId="43" fontId="0" fillId="0" borderId="45" xfId="1" applyFont="1" applyBorder="1" applyAlignment="1">
      <alignment horizontal="center" vertical="center"/>
    </xf>
    <xf numFmtId="43" fontId="0" fillId="0" borderId="27" xfId="1" applyFont="1" applyBorder="1" applyAlignment="1">
      <alignment horizontal="center" vertical="center"/>
    </xf>
    <xf numFmtId="43" fontId="0" fillId="0" borderId="17" xfId="1" applyFont="1" applyBorder="1" applyAlignment="1">
      <alignment horizontal="center" vertical="center"/>
    </xf>
    <xf numFmtId="43" fontId="0" fillId="0" borderId="8" xfId="1" applyFont="1" applyBorder="1" applyAlignment="1">
      <alignment horizontal="center" vertical="center"/>
    </xf>
    <xf numFmtId="43" fontId="0" fillId="0" borderId="12" xfId="1" applyFont="1" applyBorder="1" applyAlignment="1">
      <alignment horizontal="center" vertical="center"/>
    </xf>
    <xf numFmtId="43" fontId="0" fillId="0" borderId="32" xfId="1" applyFont="1" applyBorder="1" applyAlignment="1">
      <alignment horizontal="center" vertical="center"/>
    </xf>
    <xf numFmtId="43" fontId="0" fillId="0" borderId="5" xfId="1" applyFont="1" applyBorder="1" applyAlignment="1">
      <alignment horizontal="center" vertical="center"/>
    </xf>
    <xf numFmtId="43" fontId="0" fillId="0" borderId="49" xfId="1" applyFont="1" applyBorder="1" applyAlignment="1">
      <alignment horizontal="center" vertical="center"/>
    </xf>
    <xf numFmtId="43" fontId="0" fillId="0" borderId="2" xfId="1" applyFont="1" applyBorder="1" applyAlignment="1">
      <alignment horizontal="center" vertical="center"/>
    </xf>
    <xf numFmtId="43" fontId="0" fillId="0" borderId="47" xfId="1" applyFont="1" applyBorder="1" applyAlignment="1">
      <alignment horizontal="center" vertical="center"/>
    </xf>
    <xf numFmtId="43" fontId="0" fillId="0" borderId="46" xfId="1" applyFont="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pivotButton="1" applyAlignment="1">
      <alignment vertical="center"/>
    </xf>
    <xf numFmtId="0" fontId="0" fillId="0" borderId="1" xfId="0" applyBorder="1"/>
    <xf numFmtId="0" fontId="2" fillId="0" borderId="1" xfId="0" applyFont="1" applyBorder="1"/>
    <xf numFmtId="0" fontId="0" fillId="0" borderId="16" xfId="0" applyBorder="1" applyAlignment="1">
      <alignment vertical="center"/>
    </xf>
    <xf numFmtId="43" fontId="0" fillId="0" borderId="53" xfId="1" applyFont="1" applyBorder="1" applyAlignment="1">
      <alignment vertical="center"/>
    </xf>
    <xf numFmtId="43" fontId="0" fillId="0" borderId="0" xfId="1" applyFont="1" applyBorder="1" applyAlignment="1">
      <alignment vertical="center"/>
    </xf>
    <xf numFmtId="43" fontId="0" fillId="0" borderId="0" xfId="1" applyFont="1" applyBorder="1" applyAlignment="1">
      <alignment vertical="center" wrapText="1"/>
    </xf>
    <xf numFmtId="10" fontId="0" fillId="0" borderId="0" xfId="2" applyNumberFormat="1" applyFont="1" applyBorder="1" applyAlignment="1">
      <alignment vertical="center"/>
    </xf>
    <xf numFmtId="43" fontId="0" fillId="0" borderId="0" xfId="2" applyNumberFormat="1" applyFont="1" applyBorder="1" applyAlignment="1">
      <alignment vertical="center"/>
    </xf>
    <xf numFmtId="10" fontId="2" fillId="0" borderId="64" xfId="2" applyNumberFormat="1" applyFont="1" applyBorder="1" applyAlignment="1">
      <alignment vertical="center"/>
    </xf>
    <xf numFmtId="0" fontId="0" fillId="0" borderId="52" xfId="0" applyBorder="1" applyAlignment="1">
      <alignment vertical="center"/>
    </xf>
    <xf numFmtId="0" fontId="0" fillId="0" borderId="44" xfId="0" applyBorder="1" applyAlignment="1">
      <alignment vertical="center"/>
    </xf>
    <xf numFmtId="0" fontId="0" fillId="0" borderId="44" xfId="0" applyBorder="1" applyAlignment="1">
      <alignment vertical="center" wrapText="1"/>
    </xf>
    <xf numFmtId="0" fontId="0" fillId="0" borderId="69" xfId="0" applyBorder="1" applyAlignment="1">
      <alignment vertical="center"/>
    </xf>
    <xf numFmtId="10" fontId="2" fillId="0" borderId="0" xfId="2" applyNumberFormat="1" applyFont="1" applyBorder="1" applyAlignment="1">
      <alignment vertical="center"/>
    </xf>
    <xf numFmtId="0" fontId="0" fillId="0" borderId="69" xfId="0" applyBorder="1" applyAlignment="1">
      <alignment vertical="center" wrapText="1"/>
    </xf>
    <xf numFmtId="0" fontId="0" fillId="0" borderId="58" xfId="0" applyBorder="1" applyAlignment="1">
      <alignment vertical="center"/>
    </xf>
    <xf numFmtId="0" fontId="0" fillId="0" borderId="73" xfId="0" applyBorder="1" applyAlignment="1">
      <alignment vertical="center"/>
    </xf>
    <xf numFmtId="0" fontId="0" fillId="0" borderId="73" xfId="0" applyBorder="1" applyAlignment="1">
      <alignment vertical="center" wrapText="1"/>
    </xf>
    <xf numFmtId="0" fontId="2" fillId="0" borderId="62" xfId="0" applyFont="1" applyBorder="1" applyAlignment="1">
      <alignment vertical="center"/>
    </xf>
    <xf numFmtId="0" fontId="2" fillId="0" borderId="73" xfId="0" applyFont="1" applyBorder="1" applyAlignment="1">
      <alignment vertical="center"/>
    </xf>
    <xf numFmtId="0" fontId="0" fillId="0" borderId="43" xfId="0" applyBorder="1" applyAlignment="1">
      <alignment vertical="center"/>
    </xf>
    <xf numFmtId="0" fontId="0" fillId="0" borderId="55" xfId="0" applyBorder="1" applyAlignment="1">
      <alignment vertical="center"/>
    </xf>
    <xf numFmtId="0" fontId="0" fillId="0" borderId="55" xfId="0" applyBorder="1" applyAlignment="1">
      <alignment horizontal="right" vertical="center"/>
    </xf>
    <xf numFmtId="0" fontId="0" fillId="0" borderId="57" xfId="0" applyBorder="1" applyAlignment="1">
      <alignment horizontal="right" vertical="center"/>
    </xf>
    <xf numFmtId="0" fontId="39" fillId="14" borderId="64" xfId="0" applyFont="1" applyFill="1" applyBorder="1" applyAlignment="1">
      <alignment vertical="center"/>
    </xf>
    <xf numFmtId="0" fontId="39" fillId="14" borderId="64" xfId="0" applyFont="1" applyFill="1" applyBorder="1" applyAlignment="1">
      <alignment horizontal="right" vertical="center"/>
    </xf>
    <xf numFmtId="10" fontId="0" fillId="0" borderId="58" xfId="2" applyNumberFormat="1" applyFont="1" applyBorder="1" applyAlignment="1">
      <alignment vertical="center"/>
    </xf>
    <xf numFmtId="10" fontId="0" fillId="0" borderId="73" xfId="2" applyNumberFormat="1" applyFont="1" applyBorder="1" applyAlignment="1">
      <alignment vertical="center"/>
    </xf>
    <xf numFmtId="43" fontId="0" fillId="0" borderId="73" xfId="1" applyFont="1" applyBorder="1" applyAlignment="1">
      <alignment vertical="center"/>
    </xf>
    <xf numFmtId="10" fontId="2" fillId="0" borderId="62" xfId="2" applyNumberFormat="1" applyFont="1" applyBorder="1" applyAlignment="1">
      <alignment vertical="center"/>
    </xf>
    <xf numFmtId="10" fontId="2" fillId="0" borderId="73" xfId="2" applyNumberFormat="1" applyFont="1" applyBorder="1" applyAlignment="1">
      <alignment vertical="center"/>
    </xf>
    <xf numFmtId="0" fontId="0" fillId="0" borderId="62" xfId="0" applyBorder="1" applyAlignment="1">
      <alignment vertical="center"/>
    </xf>
    <xf numFmtId="0" fontId="0" fillId="13" borderId="70" xfId="0" applyFill="1" applyBorder="1" applyAlignment="1">
      <alignment vertical="center"/>
    </xf>
    <xf numFmtId="0" fontId="0" fillId="0" borderId="71" xfId="0" applyBorder="1" applyAlignment="1">
      <alignment vertical="center"/>
    </xf>
    <xf numFmtId="0" fontId="0" fillId="13" borderId="71" xfId="0" applyFill="1" applyBorder="1" applyAlignment="1">
      <alignment vertical="center"/>
    </xf>
    <xf numFmtId="0" fontId="0" fillId="0" borderId="71" xfId="0" applyBorder="1" applyAlignment="1">
      <alignment vertical="center" wrapText="1"/>
    </xf>
    <xf numFmtId="0" fontId="2" fillId="0" borderId="72" xfId="0" applyFont="1" applyBorder="1" applyAlignment="1">
      <alignment vertical="center"/>
    </xf>
    <xf numFmtId="0" fontId="39" fillId="14" borderId="0" xfId="0" applyFont="1" applyFill="1" applyAlignment="1">
      <alignment vertical="center"/>
    </xf>
    <xf numFmtId="0" fontId="2" fillId="0" borderId="74" xfId="0" applyFont="1" applyBorder="1" applyAlignment="1">
      <alignment vertical="center"/>
    </xf>
    <xf numFmtId="0" fontId="39" fillId="14" borderId="0" xfId="0" applyFont="1" applyFill="1" applyAlignment="1">
      <alignment horizontal="right" vertical="center"/>
    </xf>
    <xf numFmtId="10" fontId="0" fillId="0" borderId="58" xfId="2" applyNumberFormat="1" applyFont="1" applyBorder="1" applyAlignment="1">
      <alignment horizontal="right" vertical="center"/>
    </xf>
    <xf numFmtId="10" fontId="0" fillId="0" borderId="73" xfId="2" applyNumberFormat="1" applyFont="1" applyBorder="1" applyAlignment="1">
      <alignment horizontal="right" vertical="center"/>
    </xf>
    <xf numFmtId="9" fontId="0" fillId="0" borderId="0" xfId="2" applyFont="1" applyBorder="1" applyAlignment="1">
      <alignment vertical="center"/>
    </xf>
    <xf numFmtId="43" fontId="0" fillId="0" borderId="73" xfId="1" applyFont="1" applyBorder="1" applyAlignment="1">
      <alignment horizontal="right" vertical="center"/>
    </xf>
    <xf numFmtId="9" fontId="0" fillId="0" borderId="73" xfId="2" applyFont="1" applyBorder="1" applyAlignment="1">
      <alignment vertical="center"/>
    </xf>
    <xf numFmtId="9" fontId="0" fillId="0" borderId="58" xfId="2" applyFont="1" applyBorder="1" applyAlignment="1">
      <alignment vertical="center"/>
    </xf>
    <xf numFmtId="9" fontId="2" fillId="0" borderId="0" xfId="2" applyFont="1" applyBorder="1" applyAlignment="1">
      <alignment vertical="center"/>
    </xf>
    <xf numFmtId="9" fontId="2" fillId="0" borderId="64" xfId="2" applyFont="1" applyBorder="1" applyAlignment="1">
      <alignment vertical="center"/>
    </xf>
    <xf numFmtId="10" fontId="2" fillId="0" borderId="73" xfId="2" applyNumberFormat="1" applyFont="1" applyBorder="1" applyAlignment="1">
      <alignment horizontal="right" vertical="center"/>
    </xf>
    <xf numFmtId="10" fontId="2" fillId="0" borderId="62" xfId="2" applyNumberFormat="1" applyFont="1" applyBorder="1" applyAlignment="1">
      <alignment horizontal="right" vertical="center"/>
    </xf>
    <xf numFmtId="9" fontId="2" fillId="0" borderId="73" xfId="2" applyFont="1" applyBorder="1" applyAlignment="1">
      <alignment vertical="center"/>
    </xf>
    <xf numFmtId="9" fontId="2" fillId="0" borderId="62" xfId="2" applyFont="1" applyBorder="1" applyAlignment="1">
      <alignment vertical="center"/>
    </xf>
    <xf numFmtId="10" fontId="0" fillId="0" borderId="0" xfId="0" applyNumberFormat="1" applyAlignment="1">
      <alignment vertical="center"/>
    </xf>
    <xf numFmtId="43" fontId="0" fillId="3" borderId="1" xfId="1" applyFont="1" applyFill="1" applyBorder="1" applyAlignment="1">
      <alignment vertical="center" wrapText="1"/>
    </xf>
    <xf numFmtId="0" fontId="5" fillId="0" borderId="8" xfId="0" applyFont="1" applyBorder="1"/>
    <xf numFmtId="167" fontId="5" fillId="0" borderId="1" xfId="2" applyNumberFormat="1" applyFont="1" applyBorder="1"/>
    <xf numFmtId="0" fontId="5" fillId="0" borderId="0" xfId="0" applyFont="1"/>
    <xf numFmtId="0" fontId="5" fillId="0" borderId="44" xfId="0" applyFont="1" applyBorder="1" applyAlignment="1">
      <alignment vertical="center"/>
    </xf>
    <xf numFmtId="43" fontId="0" fillId="0" borderId="0" xfId="1" applyFont="1"/>
    <xf numFmtId="0" fontId="10" fillId="3" borderId="44" xfId="0" applyFont="1" applyFill="1" applyBorder="1" applyAlignment="1">
      <alignment vertical="center"/>
    </xf>
    <xf numFmtId="0" fontId="10" fillId="3" borderId="0" xfId="0" applyFont="1" applyFill="1" applyAlignment="1">
      <alignment vertical="center"/>
    </xf>
    <xf numFmtId="0" fontId="10" fillId="3" borderId="30" xfId="0" applyFont="1" applyFill="1" applyBorder="1" applyAlignment="1">
      <alignment vertical="center"/>
    </xf>
    <xf numFmtId="0" fontId="10" fillId="3" borderId="50" xfId="0" applyFont="1" applyFill="1" applyBorder="1" applyAlignment="1">
      <alignment vertical="center"/>
    </xf>
    <xf numFmtId="0" fontId="4" fillId="2" borderId="0" xfId="0" applyFont="1" applyFill="1" applyAlignment="1">
      <alignment vertical="center"/>
    </xf>
    <xf numFmtId="0" fontId="0" fillId="0" borderId="2" xfId="0" applyBorder="1" applyAlignment="1">
      <alignment vertical="center"/>
    </xf>
    <xf numFmtId="167" fontId="6" fillId="6" borderId="73" xfId="2" applyNumberFormat="1" applyFont="1" applyFill="1" applyBorder="1" applyAlignment="1">
      <alignment horizontal="center" vertical="center"/>
    </xf>
    <xf numFmtId="167" fontId="6" fillId="5" borderId="58" xfId="2" applyNumberFormat="1" applyFont="1" applyFill="1" applyBorder="1" applyAlignment="1">
      <alignment horizontal="center" vertical="center"/>
    </xf>
    <xf numFmtId="167" fontId="6" fillId="6" borderId="58" xfId="0" applyNumberFormat="1" applyFont="1" applyFill="1" applyBorder="1" applyAlignment="1">
      <alignment horizontal="center" vertical="center"/>
    </xf>
    <xf numFmtId="0" fontId="6" fillId="4" borderId="1" xfId="0" applyFont="1" applyFill="1" applyBorder="1" applyAlignment="1">
      <alignment vertical="center"/>
    </xf>
    <xf numFmtId="167" fontId="6" fillId="6" borderId="1" xfId="2" applyNumberFormat="1" applyFont="1" applyFill="1" applyBorder="1" applyAlignment="1">
      <alignment horizontal="center" vertical="center"/>
    </xf>
    <xf numFmtId="167" fontId="6" fillId="5" borderId="48" xfId="2" applyNumberFormat="1" applyFont="1" applyFill="1" applyBorder="1" applyAlignment="1">
      <alignment horizontal="center" vertical="center"/>
    </xf>
    <xf numFmtId="43" fontId="6" fillId="5" borderId="73" xfId="1" applyFont="1" applyFill="1" applyBorder="1" applyAlignment="1">
      <alignment horizontal="center" vertical="center"/>
    </xf>
    <xf numFmtId="43" fontId="6" fillId="5" borderId="58" xfId="1" applyFont="1" applyFill="1" applyBorder="1" applyAlignment="1">
      <alignment horizontal="center" vertical="center"/>
    </xf>
    <xf numFmtId="167" fontId="6" fillId="6" borderId="58" xfId="2" applyNumberFormat="1" applyFont="1" applyFill="1" applyBorder="1" applyAlignment="1">
      <alignment horizontal="center" vertical="center"/>
    </xf>
    <xf numFmtId="0" fontId="6" fillId="0" borderId="1" xfId="0" applyFont="1" applyBorder="1" applyAlignment="1">
      <alignment horizontal="center" vertical="center"/>
    </xf>
    <xf numFmtId="0" fontId="0" fillId="0" borderId="46" xfId="0" applyBorder="1" applyAlignment="1">
      <alignment vertical="center"/>
    </xf>
    <xf numFmtId="0" fontId="0" fillId="0" borderId="2" xfId="0" applyBorder="1" applyAlignment="1">
      <alignment horizontal="center" vertical="center"/>
    </xf>
    <xf numFmtId="10" fontId="0" fillId="0" borderId="2" xfId="2" applyNumberFormat="1" applyFont="1" applyBorder="1" applyAlignment="1">
      <alignment vertical="center"/>
    </xf>
    <xf numFmtId="10" fontId="0" fillId="0" borderId="48" xfId="2" applyNumberFormat="1" applyFont="1" applyBorder="1" applyAlignment="1">
      <alignment vertical="center"/>
    </xf>
    <xf numFmtId="2" fontId="2" fillId="0" borderId="1" xfId="1" applyNumberFormat="1" applyFont="1" applyBorder="1" applyAlignment="1">
      <alignment horizontal="center" vertical="center"/>
    </xf>
    <xf numFmtId="0" fontId="2" fillId="0" borderId="2" xfId="0" applyFont="1" applyBorder="1" applyAlignment="1">
      <alignment vertical="center"/>
    </xf>
    <xf numFmtId="43" fontId="2" fillId="0" borderId="2" xfId="1" applyFont="1" applyBorder="1" applyAlignment="1">
      <alignment vertical="center"/>
    </xf>
    <xf numFmtId="43" fontId="0" fillId="0" borderId="1" xfId="2" applyNumberFormat="1" applyFont="1" applyBorder="1" applyAlignment="1">
      <alignment horizontal="center" vertical="center"/>
    </xf>
    <xf numFmtId="169" fontId="0" fillId="0" borderId="0" xfId="0" applyNumberFormat="1" applyAlignment="1">
      <alignment vertical="center" wrapText="1"/>
    </xf>
    <xf numFmtId="43" fontId="0" fillId="0" borderId="0" xfId="0" applyNumberFormat="1" applyAlignment="1">
      <alignment vertical="center" wrapText="1"/>
    </xf>
    <xf numFmtId="10" fontId="5" fillId="0" borderId="1" xfId="2" applyNumberFormat="1" applyFont="1" applyBorder="1"/>
    <xf numFmtId="10" fontId="5" fillId="0" borderId="9" xfId="2" applyNumberFormat="1" applyFont="1" applyBorder="1"/>
    <xf numFmtId="10" fontId="6" fillId="0" borderId="0" xfId="2" applyNumberFormat="1" applyFont="1" applyAlignment="1">
      <alignment horizontal="right" vertical="center"/>
    </xf>
    <xf numFmtId="10" fontId="0" fillId="0" borderId="0" xfId="2" applyNumberFormat="1" applyFont="1" applyAlignment="1">
      <alignment horizontal="right" vertical="center"/>
    </xf>
    <xf numFmtId="0" fontId="3"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43" fontId="2" fillId="0" borderId="16" xfId="1" applyFont="1" applyBorder="1" applyAlignment="1">
      <alignment horizontal="center" vertical="center"/>
    </xf>
    <xf numFmtId="43" fontId="2" fillId="0" borderId="4" xfId="1" applyFont="1" applyBorder="1" applyAlignment="1">
      <alignment horizontal="center" vertical="center"/>
    </xf>
    <xf numFmtId="43" fontId="2" fillId="0" borderId="17" xfId="1" applyFont="1" applyBorder="1" applyAlignment="1">
      <alignment horizontal="center" vertical="center"/>
    </xf>
    <xf numFmtId="166" fontId="2" fillId="0" borderId="16" xfId="1" applyNumberFormat="1" applyFont="1" applyBorder="1" applyAlignment="1">
      <alignment horizontal="center" vertical="center"/>
    </xf>
    <xf numFmtId="166" fontId="2" fillId="0" borderId="4" xfId="1" applyNumberFormat="1" applyFont="1" applyBorder="1" applyAlignment="1">
      <alignment horizontal="center" vertical="center"/>
    </xf>
    <xf numFmtId="166" fontId="2" fillId="0" borderId="17" xfId="1" applyNumberFormat="1" applyFont="1" applyBorder="1" applyAlignment="1">
      <alignment horizontal="center" vertical="center"/>
    </xf>
    <xf numFmtId="166" fontId="4" fillId="2" borderId="5" xfId="1" applyNumberFormat="1" applyFont="1" applyFill="1" applyBorder="1" applyAlignment="1">
      <alignment horizontal="center" vertical="center"/>
    </xf>
    <xf numFmtId="166" fontId="4" fillId="2" borderId="6" xfId="1" applyNumberFormat="1" applyFont="1" applyFill="1" applyBorder="1" applyAlignment="1">
      <alignment horizontal="center" vertical="center"/>
    </xf>
    <xf numFmtId="166" fontId="4" fillId="2" borderId="7" xfId="1" applyNumberFormat="1" applyFont="1" applyFill="1" applyBorder="1" applyAlignment="1">
      <alignment horizontal="center" vertical="center"/>
    </xf>
    <xf numFmtId="166" fontId="2" fillId="0" borderId="8" xfId="1" applyNumberFormat="1" applyFont="1" applyBorder="1" applyAlignment="1">
      <alignment horizontal="left" vertical="center"/>
    </xf>
    <xf numFmtId="166" fontId="0" fillId="0" borderId="1" xfId="1" applyNumberFormat="1" applyFont="1" applyBorder="1" applyAlignment="1">
      <alignment horizontal="center"/>
    </xf>
    <xf numFmtId="166" fontId="0" fillId="0" borderId="9" xfId="1" applyNumberFormat="1" applyFont="1" applyBorder="1" applyAlignment="1">
      <alignment horizontal="center"/>
    </xf>
    <xf numFmtId="0" fontId="4" fillId="2" borderId="15" xfId="0" applyFont="1" applyFill="1" applyBorder="1" applyAlignment="1">
      <alignment horizontal="center" vertical="center"/>
    </xf>
    <xf numFmtId="166" fontId="2" fillId="0" borderId="16" xfId="1" applyNumberFormat="1" applyFont="1" applyBorder="1" applyAlignment="1">
      <alignment horizontal="left" vertical="center"/>
    </xf>
    <xf numFmtId="166" fontId="2" fillId="0" borderId="4" xfId="1" applyNumberFormat="1" applyFont="1" applyBorder="1" applyAlignment="1">
      <alignment horizontal="left" vertical="center"/>
    </xf>
    <xf numFmtId="166" fontId="2" fillId="0" borderId="17" xfId="1" applyNumberFormat="1" applyFont="1" applyBorder="1" applyAlignment="1">
      <alignment horizontal="left" vertical="center"/>
    </xf>
    <xf numFmtId="43" fontId="2" fillId="0" borderId="16" xfId="1" applyFont="1" applyBorder="1" applyAlignment="1">
      <alignment horizontal="left" vertical="center"/>
    </xf>
    <xf numFmtId="43" fontId="2" fillId="0" borderId="4" xfId="1" applyFont="1" applyBorder="1" applyAlignment="1">
      <alignment horizontal="left" vertical="center"/>
    </xf>
    <xf numFmtId="43" fontId="2" fillId="0" borderId="17" xfId="1" applyFont="1" applyBorder="1" applyAlignment="1">
      <alignment horizontal="left" vertical="center"/>
    </xf>
    <xf numFmtId="166" fontId="2" fillId="0" borderId="2" xfId="1" applyNumberFormat="1" applyFont="1" applyBorder="1" applyAlignment="1">
      <alignment horizontal="left" vertical="center"/>
    </xf>
    <xf numFmtId="166" fontId="2" fillId="0" borderId="3" xfId="1" applyNumberFormat="1" applyFont="1" applyBorder="1" applyAlignment="1">
      <alignment horizontal="left" vertical="center"/>
    </xf>
    <xf numFmtId="0" fontId="2" fillId="0" borderId="1" xfId="0" applyFont="1" applyBorder="1" applyAlignment="1">
      <alignment horizontal="left" vertical="center"/>
    </xf>
    <xf numFmtId="166" fontId="4" fillId="2" borderId="1" xfId="1" applyNumberFormat="1" applyFont="1" applyFill="1" applyBorder="1" applyAlignment="1">
      <alignment horizontal="center" vertical="center"/>
    </xf>
    <xf numFmtId="166" fontId="2" fillId="0" borderId="1" xfId="1" applyNumberFormat="1" applyFont="1" applyBorder="1" applyAlignment="1">
      <alignment horizontal="left" vertical="center"/>
    </xf>
    <xf numFmtId="166" fontId="0" fillId="0" borderId="1" xfId="1" applyNumberFormat="1" applyFont="1" applyBorder="1" applyAlignment="1">
      <alignment horizontal="center" vertical="center"/>
    </xf>
    <xf numFmtId="0" fontId="4" fillId="2" borderId="1" xfId="0" applyFont="1" applyFill="1" applyBorder="1" applyAlignment="1">
      <alignment horizontal="center" vertical="center"/>
    </xf>
    <xf numFmtId="166" fontId="4" fillId="2" borderId="24" xfId="1" applyNumberFormat="1" applyFont="1" applyFill="1" applyBorder="1" applyAlignment="1">
      <alignment horizontal="center" vertical="center"/>
    </xf>
    <xf numFmtId="166" fontId="4" fillId="2" borderId="25" xfId="1" applyNumberFormat="1" applyFont="1" applyFill="1" applyBorder="1" applyAlignment="1">
      <alignment horizontal="center" vertical="center"/>
    </xf>
    <xf numFmtId="166" fontId="4" fillId="2" borderId="26" xfId="1" applyNumberFormat="1" applyFont="1" applyFill="1" applyBorder="1" applyAlignment="1">
      <alignment horizontal="center" vertical="center"/>
    </xf>
    <xf numFmtId="166" fontId="2" fillId="0" borderId="22" xfId="1" applyNumberFormat="1" applyFont="1" applyBorder="1" applyAlignment="1">
      <alignment horizontal="left" vertical="center"/>
    </xf>
    <xf numFmtId="166" fontId="2" fillId="0" borderId="23" xfId="1" applyNumberFormat="1" applyFont="1" applyBorder="1" applyAlignment="1">
      <alignment horizontal="left" vertical="center"/>
    </xf>
    <xf numFmtId="166" fontId="0" fillId="0" borderId="24" xfId="1" applyNumberFormat="1" applyFont="1" applyBorder="1" applyAlignment="1">
      <alignment horizontal="center" vertical="center"/>
    </xf>
    <xf numFmtId="166" fontId="0" fillId="0" borderId="25" xfId="1" applyNumberFormat="1" applyFont="1" applyBorder="1" applyAlignment="1">
      <alignment horizontal="center" vertical="center"/>
    </xf>
    <xf numFmtId="166" fontId="0" fillId="0" borderId="26" xfId="1" applyNumberFormat="1" applyFont="1" applyBorder="1" applyAlignment="1">
      <alignment horizontal="center" vertical="center"/>
    </xf>
    <xf numFmtId="0" fontId="2" fillId="0" borderId="27" xfId="0" applyFont="1" applyBorder="1" applyAlignment="1">
      <alignment horizontal="left" vertical="center"/>
    </xf>
    <xf numFmtId="0" fontId="2" fillId="0" borderId="18" xfId="0" applyFont="1" applyBorder="1" applyAlignment="1">
      <alignment horizontal="left" vertical="center"/>
    </xf>
    <xf numFmtId="0" fontId="2" fillId="0" borderId="28" xfId="0" applyFont="1" applyBorder="1" applyAlignment="1">
      <alignment horizontal="left" vertical="center"/>
    </xf>
    <xf numFmtId="43" fontId="2" fillId="0" borderId="8" xfId="1" applyFont="1" applyBorder="1" applyAlignment="1">
      <alignment horizontal="left" vertical="center"/>
    </xf>
    <xf numFmtId="43" fontId="2" fillId="0" borderId="18" xfId="1" applyFont="1" applyBorder="1" applyAlignment="1">
      <alignment horizontal="left" vertical="center"/>
    </xf>
    <xf numFmtId="43" fontId="2" fillId="0" borderId="28" xfId="1" applyFont="1" applyBorder="1" applyAlignment="1">
      <alignment horizontal="left" vertical="center"/>
    </xf>
    <xf numFmtId="0" fontId="4" fillId="2" borderId="5" xfId="0" applyFont="1" applyFill="1" applyBorder="1" applyAlignment="1">
      <alignment horizontal="center" vertical="center"/>
    </xf>
    <xf numFmtId="0" fontId="4" fillId="2" borderId="25" xfId="0" applyFont="1" applyFill="1" applyBorder="1" applyAlignment="1">
      <alignment horizontal="center" vertical="center"/>
    </xf>
    <xf numFmtId="0" fontId="4" fillId="2" borderId="26" xfId="0" applyFont="1" applyFill="1" applyBorder="1" applyAlignment="1">
      <alignment horizontal="center" vertical="center"/>
    </xf>
    <xf numFmtId="166" fontId="2" fillId="0" borderId="10" xfId="1" applyNumberFormat="1" applyFont="1" applyBorder="1" applyAlignment="1">
      <alignment horizontal="left" vertical="center"/>
    </xf>
    <xf numFmtId="0" fontId="2" fillId="0" borderId="8" xfId="0" applyFont="1" applyBorder="1" applyAlignment="1">
      <alignment horizontal="left" vertical="center"/>
    </xf>
    <xf numFmtId="0" fontId="7" fillId="3" borderId="19" xfId="0" applyFont="1" applyFill="1" applyBorder="1" applyAlignment="1">
      <alignment horizontal="left" vertical="center"/>
    </xf>
    <xf numFmtId="0" fontId="7" fillId="3" borderId="20" xfId="0" applyFont="1" applyFill="1" applyBorder="1" applyAlignment="1">
      <alignment horizontal="left" vertical="center"/>
    </xf>
    <xf numFmtId="0" fontId="7" fillId="3" borderId="18" xfId="0" applyFont="1" applyFill="1" applyBorder="1" applyAlignment="1">
      <alignment horizontal="left" vertical="center"/>
    </xf>
    <xf numFmtId="0" fontId="7" fillId="3" borderId="28" xfId="0" applyFont="1" applyFill="1" applyBorder="1" applyAlignment="1">
      <alignment horizontal="left" vertical="center"/>
    </xf>
    <xf numFmtId="166" fontId="4" fillId="2" borderId="52" xfId="1" applyNumberFormat="1" applyFont="1" applyFill="1" applyBorder="1" applyAlignment="1">
      <alignment horizontal="center" vertical="center"/>
    </xf>
    <xf numFmtId="166" fontId="4" fillId="2" borderId="53" xfId="1" applyNumberFormat="1" applyFont="1" applyFill="1" applyBorder="1" applyAlignment="1">
      <alignment horizontal="center" vertical="center"/>
    </xf>
    <xf numFmtId="166" fontId="4" fillId="2" borderId="54" xfId="1" applyNumberFormat="1" applyFont="1" applyFill="1" applyBorder="1" applyAlignment="1">
      <alignment horizontal="center" vertical="center"/>
    </xf>
    <xf numFmtId="0" fontId="7" fillId="3" borderId="21" xfId="0" applyFont="1" applyFill="1" applyBorder="1" applyAlignment="1">
      <alignment horizontal="left" vertical="center"/>
    </xf>
    <xf numFmtId="0" fontId="7" fillId="3" borderId="68" xfId="0" applyFont="1" applyFill="1" applyBorder="1" applyAlignment="1">
      <alignment horizontal="left" vertical="center"/>
    </xf>
    <xf numFmtId="0" fontId="7" fillId="3" borderId="66" xfId="0" applyFont="1" applyFill="1" applyBorder="1" applyAlignment="1">
      <alignment horizontal="left" vertical="center"/>
    </xf>
    <xf numFmtId="0" fontId="7" fillId="3" borderId="76" xfId="0" applyFont="1" applyFill="1" applyBorder="1" applyAlignment="1">
      <alignment horizontal="left" vertical="center"/>
    </xf>
    <xf numFmtId="0" fontId="7" fillId="3" borderId="25" xfId="0" applyFont="1" applyFill="1" applyBorder="1" applyAlignment="1">
      <alignment horizontal="left" vertical="center"/>
    </xf>
    <xf numFmtId="0" fontId="7" fillId="3" borderId="26" xfId="0" applyFont="1" applyFill="1" applyBorder="1" applyAlignment="1">
      <alignment horizontal="left" vertical="center"/>
    </xf>
    <xf numFmtId="166" fontId="2" fillId="0" borderId="42" xfId="1" applyNumberFormat="1" applyFont="1" applyBorder="1" applyAlignment="1">
      <alignment horizontal="left" vertical="center"/>
    </xf>
    <xf numFmtId="166" fontId="2" fillId="0" borderId="50" xfId="1" applyNumberFormat="1" applyFont="1" applyBorder="1" applyAlignment="1">
      <alignment horizontal="left" vertical="center"/>
    </xf>
    <xf numFmtId="166" fontId="0" fillId="0" borderId="55" xfId="1" applyNumberFormat="1" applyFont="1" applyBorder="1" applyAlignment="1">
      <alignment horizontal="center" vertical="center"/>
    </xf>
    <xf numFmtId="166" fontId="0" fillId="0" borderId="57" xfId="1" applyNumberFormat="1" applyFont="1" applyBorder="1" applyAlignment="1">
      <alignment horizontal="center" vertical="center"/>
    </xf>
    <xf numFmtId="166" fontId="0" fillId="0" borderId="43" xfId="1" applyNumberFormat="1" applyFont="1" applyBorder="1" applyAlignment="1">
      <alignment horizontal="center" vertical="center"/>
    </xf>
    <xf numFmtId="166" fontId="9" fillId="0" borderId="10" xfId="1" applyNumberFormat="1" applyFont="1" applyBorder="1" applyAlignment="1">
      <alignment horizontal="left" vertical="center"/>
    </xf>
    <xf numFmtId="166" fontId="0" fillId="0" borderId="75" xfId="1" applyNumberFormat="1" applyFont="1" applyBorder="1" applyAlignment="1">
      <alignment horizontal="center" vertical="center"/>
    </xf>
    <xf numFmtId="166" fontId="0" fillId="0" borderId="18" xfId="1" applyNumberFormat="1" applyFont="1" applyBorder="1" applyAlignment="1">
      <alignment horizontal="center" vertical="center"/>
    </xf>
    <xf numFmtId="166" fontId="0" fillId="0" borderId="28" xfId="1" applyNumberFormat="1" applyFont="1" applyBorder="1" applyAlignment="1">
      <alignment horizontal="center" vertical="center"/>
    </xf>
    <xf numFmtId="0" fontId="0" fillId="0" borderId="9" xfId="0" applyBorder="1" applyAlignment="1">
      <alignment horizontal="center"/>
    </xf>
    <xf numFmtId="166" fontId="9" fillId="0" borderId="8" xfId="1" applyNumberFormat="1" applyFont="1" applyBorder="1" applyAlignment="1">
      <alignment horizontal="left" vertical="center"/>
    </xf>
    <xf numFmtId="49" fontId="5" fillId="0" borderId="1" xfId="1" applyNumberFormat="1" applyFont="1" applyBorder="1" applyAlignment="1">
      <alignment horizontal="center" vertical="center"/>
    </xf>
    <xf numFmtId="0" fontId="0" fillId="0" borderId="1" xfId="0" applyBorder="1" applyAlignment="1">
      <alignment horizontal="center" vertical="center"/>
    </xf>
    <xf numFmtId="43" fontId="0" fillId="0" borderId="1" xfId="1" applyFont="1" applyBorder="1" applyAlignment="1">
      <alignment horizontal="center" vertical="center"/>
    </xf>
    <xf numFmtId="0" fontId="13" fillId="2" borderId="44" xfId="0" applyFont="1" applyFill="1" applyBorder="1" applyAlignment="1">
      <alignment horizontal="center" vertical="center"/>
    </xf>
    <xf numFmtId="0" fontId="13" fillId="2" borderId="0" xfId="0" applyFont="1" applyFill="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48" xfId="0" applyFont="1" applyBorder="1" applyAlignment="1">
      <alignment horizontal="center" vertical="center"/>
    </xf>
    <xf numFmtId="0" fontId="2" fillId="0" borderId="6" xfId="0" applyFont="1" applyBorder="1" applyAlignment="1">
      <alignment horizontal="center" vertical="center"/>
    </xf>
    <xf numFmtId="0" fontId="2" fillId="0" borderId="2" xfId="0" applyFont="1" applyBorder="1" applyAlignment="1">
      <alignment horizontal="center" vertical="center"/>
    </xf>
    <xf numFmtId="0" fontId="2" fillId="0" borderId="5" xfId="0" applyFont="1" applyBorder="1" applyAlignment="1">
      <alignment horizontal="left" vertical="center"/>
    </xf>
    <xf numFmtId="0" fontId="2" fillId="0" borderId="46" xfId="0" applyFont="1" applyBorder="1" applyAlignment="1">
      <alignment horizontal="left" vertical="center"/>
    </xf>
    <xf numFmtId="0" fontId="14" fillId="2" borderId="19" xfId="0" applyFont="1" applyFill="1" applyBorder="1" applyAlignment="1">
      <alignment horizontal="center" vertical="center"/>
    </xf>
    <xf numFmtId="0" fontId="14" fillId="2" borderId="20" xfId="0" applyFont="1" applyFill="1" applyBorder="1" applyAlignment="1">
      <alignment horizontal="center" vertical="center"/>
    </xf>
    <xf numFmtId="0" fontId="14" fillId="2" borderId="21" xfId="0" applyFont="1" applyFill="1" applyBorder="1" applyAlignment="1">
      <alignment horizontal="center" vertical="center"/>
    </xf>
    <xf numFmtId="0" fontId="0" fillId="0" borderId="0" xfId="0" applyAlignment="1">
      <alignment horizontal="center" vertical="center"/>
    </xf>
    <xf numFmtId="0" fontId="16" fillId="0" borderId="1" xfId="0" applyFont="1" applyBorder="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2" borderId="43" xfId="0" applyFont="1" applyFill="1" applyBorder="1" applyAlignment="1">
      <alignment horizontal="center" vertical="center"/>
    </xf>
    <xf numFmtId="0" fontId="3" fillId="2" borderId="55" xfId="0" applyFont="1" applyFill="1" applyBorder="1" applyAlignment="1">
      <alignment horizontal="center" vertical="center"/>
    </xf>
    <xf numFmtId="0" fontId="3" fillId="2" borderId="57" xfId="0" applyFont="1" applyFill="1" applyBorder="1" applyAlignment="1">
      <alignment horizontal="center" vertical="center"/>
    </xf>
    <xf numFmtId="0" fontId="15" fillId="0" borderId="16" xfId="0" applyFont="1" applyBorder="1" applyAlignment="1">
      <alignment horizontal="center" vertical="center"/>
    </xf>
    <xf numFmtId="0" fontId="15" fillId="0" borderId="4" xfId="0" applyFont="1" applyBorder="1" applyAlignment="1">
      <alignment horizontal="center" vertical="center"/>
    </xf>
    <xf numFmtId="0" fontId="15" fillId="0" borderId="17" xfId="0" applyFont="1" applyBorder="1" applyAlignment="1">
      <alignment horizontal="center" vertical="center"/>
    </xf>
    <xf numFmtId="0" fontId="2" fillId="0" borderId="16" xfId="0" applyFont="1" applyBorder="1" applyAlignment="1">
      <alignment horizontal="center" vertical="center"/>
    </xf>
    <xf numFmtId="0" fontId="2" fillId="0" borderId="4" xfId="0" applyFont="1" applyBorder="1" applyAlignment="1">
      <alignment horizontal="center" vertical="center"/>
    </xf>
    <xf numFmtId="0" fontId="2" fillId="0" borderId="17" xfId="0" applyFont="1" applyBorder="1" applyAlignment="1">
      <alignment horizontal="center" vertical="center"/>
    </xf>
    <xf numFmtId="0" fontId="0" fillId="0" borderId="35" xfId="0" applyBorder="1" applyAlignment="1">
      <alignment horizontal="center" vertical="center"/>
    </xf>
    <xf numFmtId="0" fontId="0" fillId="0" borderId="63" xfId="0" applyBorder="1" applyAlignment="1">
      <alignment horizontal="center" vertical="center"/>
    </xf>
    <xf numFmtId="0" fontId="0" fillId="0" borderId="32" xfId="0" applyBorder="1" applyAlignment="1">
      <alignment horizontal="center" vertical="center"/>
    </xf>
    <xf numFmtId="0" fontId="16" fillId="0" borderId="47" xfId="0" applyFont="1" applyBorder="1" applyAlignment="1">
      <alignment horizontal="center" vertical="center"/>
    </xf>
    <xf numFmtId="0" fontId="16" fillId="0" borderId="56" xfId="0" applyFont="1" applyBorder="1" applyAlignment="1">
      <alignment horizontal="center" vertical="center"/>
    </xf>
    <xf numFmtId="0" fontId="16" fillId="0" borderId="49" xfId="0" applyFont="1" applyBorder="1" applyAlignment="1">
      <alignment horizontal="center" vertical="center"/>
    </xf>
    <xf numFmtId="0" fontId="16" fillId="0" borderId="36" xfId="0" applyFont="1" applyBorder="1" applyAlignment="1">
      <alignment horizontal="center" vertical="center"/>
    </xf>
    <xf numFmtId="0" fontId="16" fillId="0" borderId="15" xfId="0" applyFont="1" applyBorder="1" applyAlignment="1">
      <alignment horizontal="center" vertical="center"/>
    </xf>
    <xf numFmtId="0" fontId="16" fillId="0" borderId="45" xfId="0" applyFont="1" applyBorder="1" applyAlignment="1">
      <alignment horizontal="center" vertical="center"/>
    </xf>
    <xf numFmtId="0" fontId="29" fillId="7" borderId="36" xfId="0" applyFont="1" applyFill="1" applyBorder="1" applyAlignment="1">
      <alignment horizontal="center" vertical="center"/>
    </xf>
    <xf numFmtId="0" fontId="29" fillId="7" borderId="15" xfId="0" applyFont="1" applyFill="1" applyBorder="1" applyAlignment="1">
      <alignment horizontal="center" vertical="center"/>
    </xf>
    <xf numFmtId="0" fontId="19" fillId="8" borderId="0" xfId="0" applyFont="1" applyFill="1" applyAlignment="1">
      <alignment horizontal="center" vertical="center"/>
    </xf>
    <xf numFmtId="9" fontId="26" fillId="0" borderId="1" xfId="2" applyFont="1" applyBorder="1" applyAlignment="1">
      <alignment horizontal="center" vertical="center"/>
    </xf>
    <xf numFmtId="167" fontId="26" fillId="0" borderId="1" xfId="2" applyNumberFormat="1" applyFont="1" applyBorder="1" applyAlignment="1">
      <alignment horizontal="center" vertical="center"/>
    </xf>
    <xf numFmtId="9" fontId="23" fillId="0" borderId="1" xfId="2" applyFont="1" applyBorder="1" applyAlignment="1">
      <alignment horizontal="center" vertical="center"/>
    </xf>
    <xf numFmtId="0" fontId="24" fillId="8" borderId="0" xfId="0" applyFont="1" applyFill="1" applyAlignment="1">
      <alignment horizontal="center" vertical="center"/>
    </xf>
    <xf numFmtId="0" fontId="30" fillId="7" borderId="1" xfId="0" applyFont="1" applyFill="1" applyBorder="1" applyAlignment="1">
      <alignment horizontal="center" vertical="center"/>
    </xf>
    <xf numFmtId="0" fontId="20" fillId="7" borderId="1" xfId="0" applyFont="1" applyFill="1" applyBorder="1" applyAlignment="1">
      <alignment horizontal="center" vertical="center"/>
    </xf>
    <xf numFmtId="167" fontId="23" fillId="0" borderId="1" xfId="2" applyNumberFormat="1" applyFont="1" applyBorder="1" applyAlignment="1">
      <alignment horizontal="center" vertical="center"/>
    </xf>
    <xf numFmtId="0" fontId="20" fillId="7" borderId="15" xfId="0" applyFont="1" applyFill="1" applyBorder="1" applyAlignment="1">
      <alignment horizontal="center" vertical="center"/>
    </xf>
    <xf numFmtId="0" fontId="20" fillId="7" borderId="0" xfId="0" applyFont="1" applyFill="1" applyAlignment="1">
      <alignment horizontal="center" vertical="center"/>
    </xf>
    <xf numFmtId="0" fontId="22" fillId="7" borderId="1" xfId="0" applyFont="1" applyFill="1" applyBorder="1" applyAlignment="1">
      <alignment horizontal="center" vertical="center"/>
    </xf>
    <xf numFmtId="0" fontId="20" fillId="7" borderId="36" xfId="0" applyFont="1" applyFill="1" applyBorder="1" applyAlignment="1">
      <alignment horizontal="center" vertical="center"/>
    </xf>
    <xf numFmtId="0" fontId="20" fillId="7" borderId="45" xfId="0" applyFont="1" applyFill="1" applyBorder="1" applyAlignment="1">
      <alignment horizontal="center" vertical="center"/>
    </xf>
    <xf numFmtId="0" fontId="19" fillId="7" borderId="1" xfId="0" applyFont="1" applyFill="1" applyBorder="1" applyAlignment="1">
      <alignment horizontal="center" vertical="center"/>
    </xf>
    <xf numFmtId="0" fontId="9" fillId="0" borderId="0" xfId="0" applyFont="1" applyAlignment="1">
      <alignment horizontal="center" vertical="center"/>
    </xf>
    <xf numFmtId="0" fontId="19" fillId="11" borderId="0" xfId="0" applyFont="1" applyFill="1" applyAlignment="1">
      <alignment horizontal="center" vertical="center"/>
    </xf>
  </cellXfs>
  <cellStyles count="5">
    <cellStyle name="Comma" xfId="1" builtinId="3"/>
    <cellStyle name="Currency" xfId="3" builtinId="4"/>
    <cellStyle name="Hyperlink" xfId="4" builtinId="8"/>
    <cellStyle name="Normal" xfId="0" builtinId="0"/>
    <cellStyle name="Percent" xfId="2" builtinId="5"/>
  </cellStyles>
  <dxfs count="101">
    <dxf>
      <font>
        <color rgb="FF00C057"/>
      </font>
    </dxf>
    <dxf>
      <font>
        <color rgb="FF00C057"/>
      </font>
    </dxf>
    <dxf>
      <font>
        <color rgb="FFFF2F2F"/>
      </font>
    </dxf>
    <dxf>
      <font>
        <color rgb="FF00C057"/>
      </font>
    </dxf>
    <dxf>
      <font>
        <color rgb="FF9C0006"/>
      </font>
    </dxf>
    <dxf>
      <font>
        <color rgb="FF00C057"/>
      </font>
      <numFmt numFmtId="4" formatCode="#,##0.00"/>
    </dxf>
    <dxf>
      <font>
        <color rgb="FFFF2F2F"/>
      </font>
    </dxf>
    <dxf>
      <font>
        <color rgb="FF00C057"/>
      </font>
    </dxf>
    <dxf>
      <font>
        <color rgb="FFFF2F2F"/>
      </font>
    </dxf>
    <dxf>
      <font>
        <color rgb="FF9C0006"/>
      </font>
      <fill>
        <patternFill>
          <bgColor rgb="FFFFC7CE"/>
        </patternFill>
      </fill>
    </dxf>
    <dxf>
      <font>
        <color rgb="FF006100"/>
      </font>
      <fill>
        <patternFill>
          <bgColor rgb="FFC6EFCE"/>
        </patternFill>
      </fill>
    </dxf>
    <dxf>
      <font>
        <color theme="1"/>
      </font>
      <fill>
        <patternFill>
          <bgColor theme="6" tint="0.79998168889431442"/>
        </patternFill>
      </fill>
      <border>
        <vertical/>
        <horizontal/>
      </border>
    </dxf>
    <dxf>
      <font>
        <color rgb="FF00C057"/>
      </font>
    </dxf>
    <dxf>
      <font>
        <color rgb="FFFF0000"/>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medium">
          <color indexed="64"/>
        </left>
        <right style="medium">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right" vertical="center" textRotation="0" wrapText="0" indent="0" justifyLastLine="0" shrinkToFit="0" readingOrder="0"/>
    </dxf>
    <dxf>
      <alignment horizontal="center" vertical="center" textRotation="0" wrapText="0" indent="0" justifyLastLine="0" shrinkToFit="0" readingOrder="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numFmt numFmtId="35" formatCode="_ * #,##0.00_ ;_ * \-#,##0.00_ ;_ * &quot;-&quot;??_ ;_ @_ "/>
    </dxf>
    <dxf>
      <numFmt numFmtId="35" formatCode="_ * #,##0.00_ ;_ * \-#,##0.00_ ;_ * &quot;-&quot;??_ ;_ @_ "/>
    </dxf>
    <dxf>
      <alignment vertical="center" indent="0"/>
    </dxf>
    <dxf>
      <alignment vertical="center" indent="0"/>
    </dxf>
    <dxf>
      <alignment vertical="center" indent="0"/>
    </dxf>
    <dxf>
      <alignment vertical="center" indent="0"/>
    </dxf>
    <dxf>
      <alignment vertical="center" indent="0"/>
    </dxf>
    <dxf>
      <alignment vertical="center" indent="0"/>
    </dxf>
    <dxf>
      <alignment horizontal="general" vertical="center" textRotation="0" wrapText="0" indent="0" justifyLastLine="0" shrinkToFit="0" readingOrder="0"/>
      <border diagonalUp="0" diagonalDown="0">
        <left style="medium">
          <color indexed="64"/>
        </left>
        <right style="medium">
          <color indexed="64"/>
        </right>
        <vertical/>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outline="0">
        <left style="medium">
          <color indexed="64"/>
        </left>
        <right style="medium">
          <color indexed="64"/>
        </right>
        <top style="medium">
          <color indexed="64"/>
        </top>
        <bottom style="medium">
          <color indexed="64"/>
        </bottom>
      </border>
    </dxf>
    <dxf>
      <alignment horizontal="general"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medium">
          <color indexed="64"/>
        </left>
        <right style="medium">
          <color indexed="64"/>
        </right>
        <vertic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left style="medium">
          <color indexed="64"/>
        </left>
        <right style="medium">
          <color indexed="64"/>
        </right>
        <vertical/>
      </border>
    </dxf>
    <dxf>
      <font>
        <b val="0"/>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bottom style="medium">
          <color indexed="64"/>
        </bottom>
      </border>
    </dxf>
    <dxf>
      <alignment horizontal="general" vertical="center" textRotation="0" wrapText="0" indent="0" justifyLastLine="0" shrinkToFit="0" readingOrder="0"/>
      <border diagonalUp="0" diagonalDown="0">
        <left/>
        <right/>
        <top/>
        <bottom/>
        <vertical/>
        <horizontal/>
      </border>
    </dxf>
  </dxfs>
  <tableStyles count="0" defaultTableStyle="TableStyleMedium2" defaultPivotStyle="PivotStyleLight16"/>
  <colors>
    <mruColors>
      <color rgb="FF00C057"/>
      <color rgb="FF660066"/>
      <color rgb="FFFF2F2F"/>
      <color rgb="FFCC00FF"/>
      <color rgb="FFEA0000"/>
      <color rgb="FFFFFF66"/>
      <color rgb="FFF0904E"/>
      <color rgb="FFCCFF33"/>
      <color rgb="FFFDCE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22/10/relationships/richValueRel" Target="richData/richValueRel.xml"/><Relationship Id="rId38" Type="http://schemas.microsoft.com/office/2017/06/relationships/rdSupportingPropertyBag" Target="richData/rdsupportingpropertybag.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37" Type="http://schemas.microsoft.com/office/2017/06/relationships/rdSupportingPropertyBagStructure" Target="richData/rdsupportingpropertybagstructure.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microsoft.com/office/2017/06/relationships/richStyles" Target="richData/rich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a:t>AUM</a:t>
            </a:r>
            <a:r>
              <a:rPr lang="en-IN" sz="1400" baseline="0"/>
              <a:t>-total income</a:t>
            </a:r>
            <a:endParaRPr lang="en-IN" sz="1400"/>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stacked"/>
        <c:varyColors val="0"/>
        <c:ser>
          <c:idx val="0"/>
          <c:order val="0"/>
          <c:tx>
            <c:strRef>
              <c:f>Axis!$A$10</c:f>
              <c:strCache>
                <c:ptCount val="1"/>
                <c:pt idx="0">
                  <c:v>AUM</c:v>
                </c:pt>
              </c:strCache>
            </c:strRef>
          </c:tx>
          <c:spPr>
            <a:solidFill>
              <a:schemeClr val="accent1">
                <a:alpha val="70000"/>
              </a:schemeClr>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Axis!$B$9:$L$9</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Axis!$B$10:$L$10</c:f>
              <c:numCache>
                <c:formatCode>_(* #,##0.00_);_(* \(#,##0.00\);_(* "-"??_);_(@_)</c:formatCode>
                <c:ptCount val="11"/>
                <c:pt idx="0">
                  <c:v>582958.80000000005</c:v>
                </c:pt>
                <c:pt idx="1">
                  <c:v>625749.9</c:v>
                </c:pt>
                <c:pt idx="2">
                  <c:v>725125.5</c:v>
                </c:pt>
                <c:pt idx="3">
                  <c:v>868387.54</c:v>
                </c:pt>
                <c:pt idx="4">
                  <c:v>999333.47999999986</c:v>
                </c:pt>
                <c:pt idx="5">
                  <c:v>1113076.3431270414</c:v>
                </c:pt>
                <c:pt idx="6">
                  <c:v>1239765.2739794801</c:v>
                </c:pt>
                <c:pt idx="7">
                  <c:v>1380873.7774871453</c:v>
                </c:pt>
                <c:pt idx="8">
                  <c:v>1538043.0710331206</c:v>
                </c:pt>
                <c:pt idx="9">
                  <c:v>1713101.1732714393</c:v>
                </c:pt>
                <c:pt idx="10">
                  <c:v>1908084.1656096801</c:v>
                </c:pt>
              </c:numCache>
            </c:numRef>
          </c:val>
          <c:extLst>
            <c:ext xmlns:c16="http://schemas.microsoft.com/office/drawing/2014/chart" uri="{C3380CC4-5D6E-409C-BE32-E72D297353CC}">
              <c16:uniqueId val="{00000000-2301-4E5A-A8D7-BCE8A6F64030}"/>
            </c:ext>
          </c:extLst>
        </c:ser>
        <c:ser>
          <c:idx val="1"/>
          <c:order val="1"/>
          <c:tx>
            <c:strRef>
              <c:f>Axis!$A$11</c:f>
              <c:strCache>
                <c:ptCount val="1"/>
                <c:pt idx="0">
                  <c:v>Total Income</c:v>
                </c:pt>
              </c:strCache>
            </c:strRef>
          </c:tx>
          <c:spPr>
            <a:solidFill>
              <a:schemeClr val="accent2">
                <a:alpha val="70000"/>
              </a:schemeClr>
            </a:solidFill>
            <a:ln>
              <a:noFill/>
            </a:ln>
            <a:effectLst/>
          </c:spPr>
          <c:invertIfNegative val="0"/>
          <c:dLbls>
            <c:dLbl>
              <c:idx val="10"/>
              <c:layout>
                <c:manualLayout>
                  <c:x val="-1.0185067526415994E-16"/>
                  <c:y val="-4.826151939340915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01-4E5A-A8D7-BCE8A6F64030}"/>
                </c:ext>
              </c:extLst>
            </c:dLbl>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Axis!$B$9:$L$9</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Axis!$B$11:$L$11</c:f>
              <c:numCache>
                <c:formatCode>_(* #,##0.00_);_(* \(#,##0.00\);_(* "-"??_);_(@_)</c:formatCode>
                <c:ptCount val="11"/>
                <c:pt idx="0">
                  <c:v>42061.729999999996</c:v>
                </c:pt>
                <c:pt idx="1">
                  <c:v>43346.9</c:v>
                </c:pt>
                <c:pt idx="2">
                  <c:v>51191.53</c:v>
                </c:pt>
                <c:pt idx="3">
                  <c:v>62408.149999999994</c:v>
                </c:pt>
                <c:pt idx="4">
                  <c:v>76598.62000000001</c:v>
                </c:pt>
                <c:pt idx="5">
                  <c:v>67684.541955165128</c:v>
                </c:pt>
                <c:pt idx="6">
                  <c:v>74753.345341497246</c:v>
                </c:pt>
                <c:pt idx="7">
                  <c:v>82569.090553064743</c:v>
                </c:pt>
                <c:pt idx="8">
                  <c:v>91211.564753060316</c:v>
                </c:pt>
                <c:pt idx="9">
                  <c:v>100769.16188622237</c:v>
                </c:pt>
                <c:pt idx="10">
                  <c:v>111339.81923363809</c:v>
                </c:pt>
              </c:numCache>
            </c:numRef>
          </c:val>
          <c:extLst>
            <c:ext xmlns:c16="http://schemas.microsoft.com/office/drawing/2014/chart" uri="{C3380CC4-5D6E-409C-BE32-E72D297353CC}">
              <c16:uniqueId val="{00000001-2301-4E5A-A8D7-BCE8A6F64030}"/>
            </c:ext>
          </c:extLst>
        </c:ser>
        <c:dLbls>
          <c:dLblPos val="inBase"/>
          <c:showLegendKey val="0"/>
          <c:showVal val="1"/>
          <c:showCatName val="0"/>
          <c:showSerName val="0"/>
          <c:showPercent val="0"/>
          <c:showBubbleSize val="0"/>
        </c:dLbls>
        <c:gapWidth val="50"/>
        <c:overlap val="100"/>
        <c:axId val="649990464"/>
        <c:axId val="649983624"/>
      </c:barChart>
      <c:catAx>
        <c:axId val="64999046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983624"/>
        <c:crosses val="autoZero"/>
        <c:auto val="1"/>
        <c:lblAlgn val="ctr"/>
        <c:lblOffset val="100"/>
        <c:noMultiLvlLbl val="0"/>
      </c:catAx>
      <c:valAx>
        <c:axId val="649983624"/>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990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FCFE-PAT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Axis!$A$23</c:f>
              <c:strCache>
                <c:ptCount val="1"/>
                <c:pt idx="0">
                  <c:v>FCFE</c:v>
                </c:pt>
              </c:strCache>
            </c:strRef>
          </c:tx>
          <c:spPr>
            <a:solidFill>
              <a:schemeClr val="accent1"/>
            </a:solidFill>
            <a:ln>
              <a:noFill/>
            </a:ln>
            <a:effectLst/>
          </c:spPr>
          <c:cat>
            <c:numRef>
              <c:f>Axis!$B$22:$L$22</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Axis!$B$23:$L$23</c:f>
              <c:numCache>
                <c:formatCode>_(* #,##0.00_);_(* \(#,##0.00\);_(* "-"??_);_(@_)</c:formatCode>
                <c:ptCount val="11"/>
                <c:pt idx="0">
                  <c:v>0</c:v>
                </c:pt>
                <c:pt idx="1">
                  <c:v>0</c:v>
                </c:pt>
                <c:pt idx="2">
                  <c:v>0</c:v>
                </c:pt>
                <c:pt idx="3">
                  <c:v>0</c:v>
                </c:pt>
                <c:pt idx="5">
                  <c:v>17172.437581347654</c:v>
                </c:pt>
                <c:pt idx="6">
                  <c:v>15702.244713918093</c:v>
                </c:pt>
                <c:pt idx="7">
                  <c:v>13401.801772928187</c:v>
                </c:pt>
                <c:pt idx="8">
                  <c:v>10269.421014281012</c:v>
                </c:pt>
                <c:pt idx="9">
                  <c:v>6127.6719396075296</c:v>
                </c:pt>
                <c:pt idx="10">
                  <c:v>766.59388601469425</c:v>
                </c:pt>
              </c:numCache>
            </c:numRef>
          </c:val>
          <c:extLst>
            <c:ext xmlns:c16="http://schemas.microsoft.com/office/drawing/2014/chart" uri="{C3380CC4-5D6E-409C-BE32-E72D297353CC}">
              <c16:uniqueId val="{00000000-6AF0-4CE8-BCAE-8522E729F65A}"/>
            </c:ext>
          </c:extLst>
        </c:ser>
        <c:ser>
          <c:idx val="1"/>
          <c:order val="1"/>
          <c:tx>
            <c:strRef>
              <c:f>Axis!$A$24</c:f>
              <c:strCache>
                <c:ptCount val="1"/>
                <c:pt idx="0">
                  <c:v>PAT</c:v>
                </c:pt>
              </c:strCache>
            </c:strRef>
          </c:tx>
          <c:spPr>
            <a:solidFill>
              <a:schemeClr val="accent2"/>
            </a:solidFill>
            <a:ln>
              <a:noFill/>
            </a:ln>
            <a:effectLst/>
          </c:spPr>
          <c:cat>
            <c:numRef>
              <c:f>Axis!$B$22:$L$22</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Axis!$B$24:$L$24</c:f>
              <c:numCache>
                <c:formatCode>_(* #,##0.00_);_(* \(#,##0.00\);_(* "-"??_);_(@_)</c:formatCode>
                <c:ptCount val="11"/>
                <c:pt idx="0">
                  <c:v>1386.6825871499952</c:v>
                </c:pt>
                <c:pt idx="1">
                  <c:v>5384.3926499999998</c:v>
                </c:pt>
                <c:pt idx="2">
                  <c:v>10565.464707000005</c:v>
                </c:pt>
                <c:pt idx="3">
                  <c:v>8095.4461349999929</c:v>
                </c:pt>
                <c:pt idx="4">
                  <c:v>19744.793460000008</c:v>
                </c:pt>
                <c:pt idx="5">
                  <c:v>18374.533351807931</c:v>
                </c:pt>
                <c:pt idx="6">
                  <c:v>19966.82939338858</c:v>
                </c:pt>
                <c:pt idx="7">
                  <c:v>21551.409269919608</c:v>
                </c:pt>
                <c:pt idx="8">
                  <c:v>23101.04200787262</c:v>
                </c:pt>
                <c:pt idx="9">
                  <c:v>24581.572614036297</c:v>
                </c:pt>
                <c:pt idx="10">
                  <c:v>25950.563802857516</c:v>
                </c:pt>
              </c:numCache>
            </c:numRef>
          </c:val>
          <c:extLst>
            <c:ext xmlns:c16="http://schemas.microsoft.com/office/drawing/2014/chart" uri="{C3380CC4-5D6E-409C-BE32-E72D297353CC}">
              <c16:uniqueId val="{00000001-6AF0-4CE8-BCAE-8522E729F65A}"/>
            </c:ext>
          </c:extLst>
        </c:ser>
        <c:dLbls>
          <c:showLegendKey val="0"/>
          <c:showVal val="0"/>
          <c:showCatName val="0"/>
          <c:showSerName val="0"/>
          <c:showPercent val="0"/>
          <c:showBubbleSize val="0"/>
        </c:dLbls>
        <c:axId val="740968784"/>
        <c:axId val="740970944"/>
      </c:areaChart>
      <c:catAx>
        <c:axId val="740968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970944"/>
        <c:crosses val="autoZero"/>
        <c:auto val="1"/>
        <c:lblAlgn val="ctr"/>
        <c:lblOffset val="100"/>
        <c:noMultiLvlLbl val="0"/>
      </c:catAx>
      <c:valAx>
        <c:axId val="740970944"/>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9687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Axis!$A$27</c:f>
              <c:strCache>
                <c:ptCount val="1"/>
                <c:pt idx="0">
                  <c:v>Shareholder's Equity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4"/>
              <c:layout>
                <c:manualLayout>
                  <c:x val="-2.0928224543149222E-2"/>
                  <c:y val="4.86442798414954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4E-4C69-93DE-AC4B644B0377}"/>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Axis!$B$26:$L$26</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Axis!$B$27:$L$27</c:f>
              <c:numCache>
                <c:formatCode>_(* #,##0.00_);_(* \(#,##0.00\);_(* "-"??_);_(@_)</c:formatCode>
                <c:ptCount val="11"/>
                <c:pt idx="0">
                  <c:v>86453.97</c:v>
                </c:pt>
                <c:pt idx="1">
                  <c:v>103767.45</c:v>
                </c:pt>
                <c:pt idx="2">
                  <c:v>118522.01000000001</c:v>
                </c:pt>
                <c:pt idx="3">
                  <c:v>130175.09999999999</c:v>
                </c:pt>
                <c:pt idx="4">
                  <c:v>157522.96</c:v>
                </c:pt>
                <c:pt idx="5">
                  <c:v>198753.6265176537</c:v>
                </c:pt>
                <c:pt idx="6">
                  <c:v>215977.17210079741</c:v>
                </c:pt>
                <c:pt idx="7">
                  <c:v>233117.25348068454</c:v>
                </c:pt>
                <c:pt idx="8">
                  <c:v>249879.31870115103</c:v>
                </c:pt>
                <c:pt idx="9">
                  <c:v>265893.92007966485</c:v>
                </c:pt>
                <c:pt idx="10">
                  <c:v>280702.02204553923</c:v>
                </c:pt>
              </c:numCache>
            </c:numRef>
          </c:val>
          <c:smooth val="0"/>
          <c:extLst>
            <c:ext xmlns:c16="http://schemas.microsoft.com/office/drawing/2014/chart" uri="{C3380CC4-5D6E-409C-BE32-E72D297353CC}">
              <c16:uniqueId val="{00000000-814E-4C69-93DE-AC4B644B0377}"/>
            </c:ext>
          </c:extLst>
        </c:ser>
        <c:dLbls>
          <c:dLblPos val="t"/>
          <c:showLegendKey val="0"/>
          <c:showVal val="1"/>
          <c:showCatName val="0"/>
          <c:showSerName val="0"/>
          <c:showPercent val="0"/>
          <c:showBubbleSize val="0"/>
        </c:dLbls>
        <c:marker val="1"/>
        <c:smooth val="0"/>
        <c:axId val="740997944"/>
        <c:axId val="740990744"/>
      </c:lineChart>
      <c:catAx>
        <c:axId val="740997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990744"/>
        <c:crosses val="autoZero"/>
        <c:auto val="1"/>
        <c:lblAlgn val="ctr"/>
        <c:lblOffset val="100"/>
        <c:noMultiLvlLbl val="0"/>
      </c:catAx>
      <c:valAx>
        <c:axId val="740990744"/>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9979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AUM-Income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HDFC!$A$18</c:f>
              <c:strCache>
                <c:ptCount val="1"/>
                <c:pt idx="0">
                  <c:v>AUM</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numRef>
              <c:f>HDFC!$B$17:$L$17</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HDFC!$B$18:$L$18</c:f>
              <c:numCache>
                <c:formatCode>_(* #,##0.00_);_(* \(#,##0.00\);_(* "-"??_);_(@_)</c:formatCode>
                <c:ptCount val="11"/>
                <c:pt idx="0">
                  <c:v>1043670.83</c:v>
                </c:pt>
                <c:pt idx="1">
                  <c:v>1185283.4889999998</c:v>
                </c:pt>
                <c:pt idx="2">
                  <c:v>1420942.2800000003</c:v>
                </c:pt>
                <c:pt idx="3">
                  <c:v>1661949.29</c:v>
                </c:pt>
                <c:pt idx="4">
                  <c:v>2565891.4</c:v>
                </c:pt>
                <c:pt idx="5">
                  <c:v>3071660.5237216875</c:v>
                </c:pt>
                <c:pt idx="6">
                  <c:v>3677123.0352890976</c:v>
                </c:pt>
                <c:pt idx="7">
                  <c:v>4401929.741985647</c:v>
                </c:pt>
                <c:pt idx="8">
                  <c:v>5269604.8697359934</c:v>
                </c:pt>
                <c:pt idx="9">
                  <c:v>6308309.5621192763</c:v>
                </c:pt>
                <c:pt idx="10">
                  <c:v>7551755.8745385045</c:v>
                </c:pt>
              </c:numCache>
            </c:numRef>
          </c:val>
          <c:smooth val="0"/>
          <c:extLst>
            <c:ext xmlns:c16="http://schemas.microsoft.com/office/drawing/2014/chart" uri="{C3380CC4-5D6E-409C-BE32-E72D297353CC}">
              <c16:uniqueId val="{00000000-93C2-4165-8F16-BDDF3239EBA6}"/>
            </c:ext>
          </c:extLst>
        </c:ser>
        <c:ser>
          <c:idx val="1"/>
          <c:order val="1"/>
          <c:tx>
            <c:strRef>
              <c:f>HDFC!$A$19</c:f>
              <c:strCache>
                <c:ptCount val="1"/>
                <c:pt idx="0">
                  <c:v>Total Income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elete val="1"/>
          </c:dLbls>
          <c:cat>
            <c:numRef>
              <c:f>HDFC!$B$17:$L$17</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HDFC!$B$19:$L$19</c:f>
              <c:numCache>
                <c:formatCode>_(* #,##0.00_);_(* \(#,##0.00\);_(* "-"??_);_(@_)</c:formatCode>
                <c:ptCount val="11"/>
                <c:pt idx="0">
                  <c:v>84930.844700000001</c:v>
                </c:pt>
                <c:pt idx="1">
                  <c:v>96637.693700000003</c:v>
                </c:pt>
                <c:pt idx="2">
                  <c:v>109111.07</c:v>
                </c:pt>
                <c:pt idx="3">
                  <c:v>126886.15999999999</c:v>
                </c:pt>
                <c:pt idx="4">
                  <c:v>253856.22000000003</c:v>
                </c:pt>
                <c:pt idx="5">
                  <c:v>297474.0668794458</c:v>
                </c:pt>
                <c:pt idx="6">
                  <c:v>387419.18772593222</c:v>
                </c:pt>
                <c:pt idx="7">
                  <c:v>506979.2612862112</c:v>
                </c:pt>
                <c:pt idx="8">
                  <c:v>666503.80175757501</c:v>
                </c:pt>
                <c:pt idx="9">
                  <c:v>880095.20445936837</c:v>
                </c:pt>
                <c:pt idx="10">
                  <c:v>1166998.7236385085</c:v>
                </c:pt>
              </c:numCache>
            </c:numRef>
          </c:val>
          <c:smooth val="0"/>
          <c:extLst>
            <c:ext xmlns:c16="http://schemas.microsoft.com/office/drawing/2014/chart" uri="{C3380CC4-5D6E-409C-BE32-E72D297353CC}">
              <c16:uniqueId val="{00000001-93C2-4165-8F16-BDDF3239EBA6}"/>
            </c:ext>
          </c:extLst>
        </c:ser>
        <c:dLbls>
          <c:dLblPos val="t"/>
          <c:showLegendKey val="0"/>
          <c:showVal val="1"/>
          <c:showCatName val="0"/>
          <c:showSerName val="0"/>
          <c:showPercent val="0"/>
          <c:showBubbleSize val="0"/>
        </c:dLbls>
        <c:marker val="1"/>
        <c:smooth val="0"/>
        <c:axId val="740995424"/>
        <c:axId val="740997584"/>
      </c:lineChart>
      <c:catAx>
        <c:axId val="74099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997584"/>
        <c:crosses val="autoZero"/>
        <c:auto val="1"/>
        <c:lblAlgn val="ctr"/>
        <c:lblOffset val="100"/>
        <c:noMultiLvlLbl val="0"/>
      </c:catAx>
      <c:valAx>
        <c:axId val="740997584"/>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995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HDFC!$A$22</c:f>
              <c:strCache>
                <c:ptCount val="1"/>
                <c:pt idx="0">
                  <c:v>PAT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HDFC!$B$21:$L$21</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HDFC!$B$22:$L$22</c:f>
              <c:numCache>
                <c:formatCode>_(* #,##0.00_);_(* \(#,##0.00\);_(* "-"??_);_(@_)</c:formatCode>
                <c:ptCount val="11"/>
                <c:pt idx="0">
                  <c:v>20394.131233980013</c:v>
                </c:pt>
                <c:pt idx="1">
                  <c:v>23820.79036952999</c:v>
                </c:pt>
                <c:pt idx="2">
                  <c:v>28474.872824999984</c:v>
                </c:pt>
                <c:pt idx="3">
                  <c:v>34419.637412999989</c:v>
                </c:pt>
                <c:pt idx="4">
                  <c:v>47937.624532000002</c:v>
                </c:pt>
                <c:pt idx="5">
                  <c:v>63842.60494251304</c:v>
                </c:pt>
                <c:pt idx="6">
                  <c:v>75923.427605343139</c:v>
                </c:pt>
                <c:pt idx="7">
                  <c:v>89546.402732524424</c:v>
                </c:pt>
                <c:pt idx="8">
                  <c:v>106091.27808272428</c:v>
                </c:pt>
                <c:pt idx="9">
                  <c:v>126490.58901251497</c:v>
                </c:pt>
                <c:pt idx="10">
                  <c:v>152091.40861884438</c:v>
                </c:pt>
              </c:numCache>
            </c:numRef>
          </c:val>
          <c:smooth val="0"/>
          <c:extLst>
            <c:ext xmlns:c16="http://schemas.microsoft.com/office/drawing/2014/chart" uri="{C3380CC4-5D6E-409C-BE32-E72D297353CC}">
              <c16:uniqueId val="{00000001-EDF7-4925-B77F-3F6658A36540}"/>
            </c:ext>
          </c:extLst>
        </c:ser>
        <c:dLbls>
          <c:showLegendKey val="0"/>
          <c:showVal val="0"/>
          <c:showCatName val="0"/>
          <c:showSerName val="0"/>
          <c:showPercent val="0"/>
          <c:showBubbleSize val="0"/>
        </c:dLbls>
        <c:marker val="1"/>
        <c:smooth val="0"/>
        <c:axId val="740982464"/>
        <c:axId val="740988584"/>
      </c:lineChart>
      <c:catAx>
        <c:axId val="74098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988584"/>
        <c:crosses val="autoZero"/>
        <c:auto val="1"/>
        <c:lblAlgn val="ctr"/>
        <c:lblOffset val="100"/>
        <c:noMultiLvlLbl val="0"/>
      </c:catAx>
      <c:valAx>
        <c:axId val="740988584"/>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982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HDFC!$A$25</c:f>
              <c:strCache>
                <c:ptCount val="1"/>
                <c:pt idx="0">
                  <c:v>Shareholder's Equity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HDFC!$B$24:$L$24</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HDFC!$B$25:$L$25</c:f>
              <c:numCache>
                <c:formatCode>_(* #,##0.00_);_(* \(#,##0.00\);_(* "-"??_);_(@_)</c:formatCode>
                <c:ptCount val="11"/>
                <c:pt idx="0">
                  <c:v>176935.33000000002</c:v>
                </c:pt>
                <c:pt idx="1">
                  <c:v>210442.94</c:v>
                </c:pt>
                <c:pt idx="2">
                  <c:v>248046.58</c:v>
                </c:pt>
                <c:pt idx="3">
                  <c:v>290297.76</c:v>
                </c:pt>
                <c:pt idx="4">
                  <c:v>469778.65</c:v>
                </c:pt>
                <c:pt idx="5">
                  <c:v>588435.9592200811</c:v>
                </c:pt>
                <c:pt idx="6">
                  <c:v>655837.55912775197</c:v>
                </c:pt>
                <c:pt idx="7">
                  <c:v>735333.0587451061</c:v>
                </c:pt>
                <c:pt idx="8">
                  <c:v>829516.39720283914</c:v>
                </c:pt>
                <c:pt idx="9">
                  <c:v>941809.37898211752</c:v>
                </c:pt>
                <c:pt idx="10">
                  <c:v>1076829.6829442638</c:v>
                </c:pt>
              </c:numCache>
            </c:numRef>
          </c:val>
          <c:smooth val="0"/>
          <c:extLst>
            <c:ext xmlns:c16="http://schemas.microsoft.com/office/drawing/2014/chart" uri="{C3380CC4-5D6E-409C-BE32-E72D297353CC}">
              <c16:uniqueId val="{00000000-3F95-4967-9641-B09FBFB4AB45}"/>
            </c:ext>
          </c:extLst>
        </c:ser>
        <c:dLbls>
          <c:showLegendKey val="0"/>
          <c:showVal val="0"/>
          <c:showCatName val="0"/>
          <c:showSerName val="0"/>
          <c:showPercent val="0"/>
          <c:showBubbleSize val="0"/>
        </c:dLbls>
        <c:marker val="1"/>
        <c:smooth val="0"/>
        <c:axId val="740998304"/>
        <c:axId val="740998664"/>
      </c:lineChart>
      <c:catAx>
        <c:axId val="74099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998664"/>
        <c:crosses val="autoZero"/>
        <c:auto val="1"/>
        <c:lblAlgn val="ctr"/>
        <c:lblOffset val="100"/>
        <c:noMultiLvlLbl val="0"/>
      </c:catAx>
      <c:valAx>
        <c:axId val="740998664"/>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998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HDFC!$A$28</c:f>
              <c:strCache>
                <c:ptCount val="1"/>
                <c:pt idx="0">
                  <c:v>FCFE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HDFC!$B$27:$L$27</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HDFC!$B$28:$L$28</c:f>
              <c:numCache>
                <c:formatCode>_(* #,##0.00_);_(* \(#,##0.00\);_(* "-"??_);_(@_)</c:formatCode>
                <c:ptCount val="11"/>
                <c:pt idx="0">
                  <c:v>0</c:v>
                </c:pt>
                <c:pt idx="1">
                  <c:v>0</c:v>
                </c:pt>
                <c:pt idx="2">
                  <c:v>0</c:v>
                </c:pt>
                <c:pt idx="3">
                  <c:v>0</c:v>
                </c:pt>
                <c:pt idx="4">
                  <c:v>0</c:v>
                </c:pt>
                <c:pt idx="5">
                  <c:v>97539.49535676169</c:v>
                </c:pt>
                <c:pt idx="6">
                  <c:v>39086.842028926359</c:v>
                </c:pt>
                <c:pt idx="7">
                  <c:v>44407.756277912558</c:v>
                </c:pt>
                <c:pt idx="8">
                  <c:v>51197.650950298441</c:v>
                </c:pt>
                <c:pt idx="9">
                  <c:v>60379.215706889721</c:v>
                </c:pt>
                <c:pt idx="10">
                  <c:v>73466.666757223938</c:v>
                </c:pt>
              </c:numCache>
            </c:numRef>
          </c:val>
          <c:smooth val="0"/>
          <c:extLst>
            <c:ext xmlns:c16="http://schemas.microsoft.com/office/drawing/2014/chart" uri="{C3380CC4-5D6E-409C-BE32-E72D297353CC}">
              <c16:uniqueId val="{00000000-2EE8-4DCE-B33A-709191438E3E}"/>
            </c:ext>
          </c:extLst>
        </c:ser>
        <c:dLbls>
          <c:showLegendKey val="0"/>
          <c:showVal val="0"/>
          <c:showCatName val="0"/>
          <c:showSerName val="0"/>
          <c:showPercent val="0"/>
          <c:showBubbleSize val="0"/>
        </c:dLbls>
        <c:marker val="1"/>
        <c:smooth val="0"/>
        <c:axId val="740990384"/>
        <c:axId val="740991464"/>
      </c:lineChart>
      <c:catAx>
        <c:axId val="74099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991464"/>
        <c:crosses val="autoZero"/>
        <c:auto val="1"/>
        <c:lblAlgn val="ctr"/>
        <c:lblOffset val="100"/>
        <c:noMultiLvlLbl val="0"/>
      </c:catAx>
      <c:valAx>
        <c:axId val="740991464"/>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990384"/>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AUM-Total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ICICI!$A$21</c:f>
              <c:strCache>
                <c:ptCount val="1"/>
                <c:pt idx="0">
                  <c:v>AUM</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ICICI!$B$20:$L$20</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ICICI!$B$21:$L$21</c:f>
              <c:numCache>
                <c:formatCode>_(* #,##0.00_);_(* \(#,##0.00\);_(* "-"??_);_(@_)</c:formatCode>
                <c:ptCount val="11"/>
                <c:pt idx="0">
                  <c:v>706246.08569999994</c:v>
                </c:pt>
                <c:pt idx="1">
                  <c:v>733729.03999999992</c:v>
                </c:pt>
                <c:pt idx="2">
                  <c:v>859020.4</c:v>
                </c:pt>
                <c:pt idx="3">
                  <c:v>1083866.26</c:v>
                </c:pt>
                <c:pt idx="4">
                  <c:v>1260776.17</c:v>
                </c:pt>
                <c:pt idx="5">
                  <c:v>1415710.2588467074</c:v>
                </c:pt>
                <c:pt idx="6">
                  <c:v>1589683.8667277566</c:v>
                </c:pt>
                <c:pt idx="7">
                  <c:v>1785036.7194436956</c:v>
                </c:pt>
                <c:pt idx="8">
                  <c:v>2004396.0666979549</c:v>
                </c:pt>
                <c:pt idx="9">
                  <c:v>2250712.0152947404</c:v>
                </c:pt>
                <c:pt idx="10">
                  <c:v>2527297.2043580995</c:v>
                </c:pt>
              </c:numCache>
            </c:numRef>
          </c:val>
          <c:smooth val="0"/>
          <c:extLst>
            <c:ext xmlns:c16="http://schemas.microsoft.com/office/drawing/2014/chart" uri="{C3380CC4-5D6E-409C-BE32-E72D297353CC}">
              <c16:uniqueId val="{00000000-4D89-44DD-A8E0-512B3229FE0F}"/>
            </c:ext>
          </c:extLst>
        </c:ser>
        <c:ser>
          <c:idx val="1"/>
          <c:order val="1"/>
          <c:tx>
            <c:strRef>
              <c:f>ICICI!$A$22</c:f>
              <c:strCache>
                <c:ptCount val="1"/>
                <c:pt idx="0">
                  <c:v>Total Income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ICICI!$B$20:$L$20</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ICICI!$B$22:$L$22</c:f>
              <c:numCache>
                <c:formatCode>_(* #,##0.00_);_(* \(#,##0.00\);_(* "-"??_);_(@_)</c:formatCode>
                <c:ptCount val="11"/>
                <c:pt idx="0">
                  <c:v>105120.5809</c:v>
                </c:pt>
                <c:pt idx="1">
                  <c:v>57957.960999999996</c:v>
                </c:pt>
                <c:pt idx="2">
                  <c:v>65983.624400000001</c:v>
                </c:pt>
                <c:pt idx="3">
                  <c:v>135635.41310000001</c:v>
                </c:pt>
                <c:pt idx="4">
                  <c:v>161929.56449999998</c:v>
                </c:pt>
                <c:pt idx="5">
                  <c:v>134504.08798454667</c:v>
                </c:pt>
                <c:pt idx="6">
                  <c:v>143951.76081516943</c:v>
                </c:pt>
                <c:pt idx="7">
                  <c:v>154324.39090447914</c:v>
                </c:pt>
                <c:pt idx="8">
                  <c:v>165727.7758545026</c:v>
                </c:pt>
                <c:pt idx="9">
                  <c:v>178280.45222173282</c:v>
                </c:pt>
                <c:pt idx="10">
                  <c:v>192115.25223692169</c:v>
                </c:pt>
              </c:numCache>
            </c:numRef>
          </c:val>
          <c:smooth val="0"/>
          <c:extLst>
            <c:ext xmlns:c16="http://schemas.microsoft.com/office/drawing/2014/chart" uri="{C3380CC4-5D6E-409C-BE32-E72D297353CC}">
              <c16:uniqueId val="{00000001-4D89-44DD-A8E0-512B3229FE0F}"/>
            </c:ext>
          </c:extLst>
        </c:ser>
        <c:dLbls>
          <c:showLegendKey val="0"/>
          <c:showVal val="0"/>
          <c:showCatName val="0"/>
          <c:showSerName val="0"/>
          <c:showPercent val="0"/>
          <c:showBubbleSize val="0"/>
        </c:dLbls>
        <c:marker val="1"/>
        <c:smooth val="0"/>
        <c:axId val="650004144"/>
        <c:axId val="650010984"/>
      </c:lineChart>
      <c:catAx>
        <c:axId val="65000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10984"/>
        <c:crosses val="autoZero"/>
        <c:auto val="1"/>
        <c:lblAlgn val="ctr"/>
        <c:lblOffset val="100"/>
        <c:noMultiLvlLbl val="0"/>
      </c:catAx>
      <c:valAx>
        <c:axId val="650010984"/>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04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ICICI!$A$25</c:f>
              <c:strCache>
                <c:ptCount val="1"/>
                <c:pt idx="0">
                  <c:v>FCFE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ICICI!$B$24:$G$24</c:f>
              <c:numCache>
                <c:formatCode>General</c:formatCode>
                <c:ptCount val="6"/>
                <c:pt idx="0">
                  <c:v>2025</c:v>
                </c:pt>
                <c:pt idx="1">
                  <c:v>2026</c:v>
                </c:pt>
                <c:pt idx="2">
                  <c:v>2027</c:v>
                </c:pt>
                <c:pt idx="3">
                  <c:v>2028</c:v>
                </c:pt>
                <c:pt idx="4">
                  <c:v>2029</c:v>
                </c:pt>
                <c:pt idx="5">
                  <c:v>2030</c:v>
                </c:pt>
              </c:numCache>
            </c:numRef>
          </c:cat>
          <c:val>
            <c:numRef>
              <c:f>ICICI!$B$25:$G$25</c:f>
              <c:numCache>
                <c:formatCode>_(* #,##0.00_);_(* \(#,##0.00\);_(* "-"??_);_(@_)</c:formatCode>
                <c:ptCount val="6"/>
                <c:pt idx="0">
                  <c:v>108915.07775247309</c:v>
                </c:pt>
                <c:pt idx="1">
                  <c:v>57357.293030604997</c:v>
                </c:pt>
                <c:pt idx="2">
                  <c:v>44526.152473808899</c:v>
                </c:pt>
                <c:pt idx="3">
                  <c:v>29771.382113915806</c:v>
                </c:pt>
                <c:pt idx="4">
                  <c:v>13001.012016122873</c:v>
                </c:pt>
                <c:pt idx="5">
                  <c:v>-5873.3456138131696</c:v>
                </c:pt>
              </c:numCache>
            </c:numRef>
          </c:val>
          <c:smooth val="0"/>
          <c:extLst>
            <c:ext xmlns:c16="http://schemas.microsoft.com/office/drawing/2014/chart" uri="{C3380CC4-5D6E-409C-BE32-E72D297353CC}">
              <c16:uniqueId val="{00000000-0AA6-49DC-95EF-36AAF5FD356C}"/>
            </c:ext>
          </c:extLst>
        </c:ser>
        <c:dLbls>
          <c:showLegendKey val="0"/>
          <c:showVal val="0"/>
          <c:showCatName val="0"/>
          <c:showSerName val="0"/>
          <c:showPercent val="0"/>
          <c:showBubbleSize val="0"/>
        </c:dLbls>
        <c:marker val="1"/>
        <c:smooth val="0"/>
        <c:axId val="649993344"/>
        <c:axId val="649991904"/>
      </c:lineChart>
      <c:catAx>
        <c:axId val="64999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991904"/>
        <c:crosses val="autoZero"/>
        <c:auto val="1"/>
        <c:lblAlgn val="ctr"/>
        <c:lblOffset val="100"/>
        <c:noMultiLvlLbl val="0"/>
      </c:catAx>
      <c:valAx>
        <c:axId val="649991904"/>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9933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ICICI!$A$28</c:f>
              <c:strCache>
                <c:ptCount val="1"/>
                <c:pt idx="0">
                  <c:v>PAT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ICICI!$B$27:$L$27</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ICICI!$B$28:$L$28</c:f>
              <c:numCache>
                <c:formatCode>General</c:formatCode>
                <c:ptCount val="11"/>
                <c:pt idx="0">
                  <c:v>7158.4681267399956</c:v>
                </c:pt>
                <c:pt idx="1">
                  <c:v>12116.985512030011</c:v>
                </c:pt>
                <c:pt idx="2">
                  <c:v>17464.940890809987</c:v>
                </c:pt>
                <c:pt idx="3">
                  <c:v>25469.618310640002</c:v>
                </c:pt>
                <c:pt idx="4">
                  <c:v>33117.044290049984</c:v>
                </c:pt>
                <c:pt idx="5">
                  <c:v>33458.824459696363</c:v>
                </c:pt>
                <c:pt idx="6">
                  <c:v>37570.507885268242</c:v>
                </c:pt>
                <c:pt idx="7">
                  <c:v>42187.467299017371</c:v>
                </c:pt>
                <c:pt idx="8">
                  <c:v>47371.794987193403</c:v>
                </c:pt>
                <c:pt idx="9">
                  <c:v>53193.213624391981</c:v>
                </c:pt>
                <c:pt idx="10">
                  <c:v>59730.013955670009</c:v>
                </c:pt>
              </c:numCache>
            </c:numRef>
          </c:val>
          <c:smooth val="0"/>
          <c:extLst>
            <c:ext xmlns:c16="http://schemas.microsoft.com/office/drawing/2014/chart" uri="{C3380CC4-5D6E-409C-BE32-E72D297353CC}">
              <c16:uniqueId val="{00000000-F26C-4547-B334-FF170AD61AE1}"/>
            </c:ext>
          </c:extLst>
        </c:ser>
        <c:dLbls>
          <c:showLegendKey val="0"/>
          <c:showVal val="0"/>
          <c:showCatName val="0"/>
          <c:showSerName val="0"/>
          <c:showPercent val="0"/>
          <c:showBubbleSize val="0"/>
        </c:dLbls>
        <c:marker val="1"/>
        <c:smooth val="0"/>
        <c:axId val="650002344"/>
        <c:axId val="649997304"/>
      </c:lineChart>
      <c:catAx>
        <c:axId val="650002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997304"/>
        <c:crosses val="autoZero"/>
        <c:auto val="1"/>
        <c:lblAlgn val="ctr"/>
        <c:lblOffset val="100"/>
        <c:noMultiLvlLbl val="0"/>
      </c:catAx>
      <c:valAx>
        <c:axId val="649997304"/>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02344"/>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ICICI!$A$31</c:f>
              <c:strCache>
                <c:ptCount val="1"/>
                <c:pt idx="0">
                  <c:v>Shareholder's Equity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ICICI!$B$30:$L$30</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ICICI!$B$31:$L$31</c:f>
              <c:numCache>
                <c:formatCode>General</c:formatCode>
                <c:ptCount val="11"/>
                <c:pt idx="0">
                  <c:v>129754.79999999999</c:v>
                </c:pt>
                <c:pt idx="1">
                  <c:v>147509.18000000002</c:v>
                </c:pt>
                <c:pt idx="2">
                  <c:v>170511.96</c:v>
                </c:pt>
                <c:pt idx="3">
                  <c:v>221184.52</c:v>
                </c:pt>
                <c:pt idx="4">
                  <c:v>270032.21999999997</c:v>
                </c:pt>
                <c:pt idx="5">
                  <c:v>331239.10831576458</c:v>
                </c:pt>
                <c:pt idx="6">
                  <c:v>353233.08429782762</c:v>
                </c:pt>
                <c:pt idx="7">
                  <c:v>377345.67016407667</c:v>
                </c:pt>
                <c:pt idx="8">
                  <c:v>403955.88958087366</c:v>
                </c:pt>
                <c:pt idx="9">
                  <c:v>433502.21792006277</c:v>
                </c:pt>
                <c:pt idx="10">
                  <c:v>466490.89306801977</c:v>
                </c:pt>
              </c:numCache>
            </c:numRef>
          </c:val>
          <c:smooth val="0"/>
          <c:extLst>
            <c:ext xmlns:c16="http://schemas.microsoft.com/office/drawing/2014/chart" uri="{C3380CC4-5D6E-409C-BE32-E72D297353CC}">
              <c16:uniqueId val="{00000000-2C51-4986-91B8-680FA7668517}"/>
            </c:ext>
          </c:extLst>
        </c:ser>
        <c:dLbls>
          <c:showLegendKey val="0"/>
          <c:showVal val="0"/>
          <c:showCatName val="0"/>
          <c:showSerName val="0"/>
          <c:showPercent val="0"/>
          <c:showBubbleSize val="0"/>
        </c:dLbls>
        <c:marker val="1"/>
        <c:smooth val="0"/>
        <c:axId val="650011704"/>
        <c:axId val="650009904"/>
      </c:lineChart>
      <c:catAx>
        <c:axId val="650011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09904"/>
        <c:crosses val="autoZero"/>
        <c:auto val="1"/>
        <c:lblAlgn val="ctr"/>
        <c:lblOffset val="100"/>
        <c:noMultiLvlLbl val="0"/>
      </c:catAx>
      <c:valAx>
        <c:axId val="650009904"/>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11704"/>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numRef>
              <c:f>ChartData!$A$3:$A$8</c:f>
              <c:numCache>
                <c:formatCode>General</c:formatCode>
                <c:ptCount val="6"/>
                <c:pt idx="0">
                  <c:v>2025</c:v>
                </c:pt>
                <c:pt idx="1">
                  <c:v>2026</c:v>
                </c:pt>
                <c:pt idx="2">
                  <c:v>2027</c:v>
                </c:pt>
                <c:pt idx="3">
                  <c:v>2028</c:v>
                </c:pt>
                <c:pt idx="4">
                  <c:v>2029</c:v>
                </c:pt>
                <c:pt idx="5">
                  <c:v>2030</c:v>
                </c:pt>
              </c:numCache>
            </c:numRef>
          </c:xVal>
          <c:yVal>
            <c:numRef>
              <c:f>ChartData!$B$3:$B$8</c:f>
              <c:numCache>
                <c:formatCode>General</c:formatCode>
                <c:ptCount val="6"/>
                <c:pt idx="0">
                  <c:v>37347.370000000003</c:v>
                </c:pt>
                <c:pt idx="1">
                  <c:v>45997.440000000002</c:v>
                </c:pt>
                <c:pt idx="2">
                  <c:v>56651.55</c:v>
                </c:pt>
                <c:pt idx="3">
                  <c:v>69774.009999999995</c:v>
                </c:pt>
                <c:pt idx="4">
                  <c:v>85936.72</c:v>
                </c:pt>
                <c:pt idx="5">
                  <c:v>105844.06</c:v>
                </c:pt>
              </c:numCache>
            </c:numRef>
          </c:yVal>
          <c:smooth val="0"/>
          <c:extLst>
            <c:ext xmlns:c16="http://schemas.microsoft.com/office/drawing/2014/chart" uri="{C3380CC4-5D6E-409C-BE32-E72D297353CC}">
              <c16:uniqueId val="{00000000-A4D8-4833-80B3-6B9FF011BE50}"/>
            </c:ext>
          </c:extLst>
        </c:ser>
        <c:dLbls>
          <c:dLblPos val="t"/>
          <c:showLegendKey val="0"/>
          <c:showVal val="1"/>
          <c:showCatName val="0"/>
          <c:showSerName val="0"/>
          <c:showPercent val="0"/>
          <c:showBubbleSize val="0"/>
        </c:dLbls>
        <c:axId val="697077152"/>
        <c:axId val="697076432"/>
      </c:scatterChart>
      <c:valAx>
        <c:axId val="6970771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7076432"/>
        <c:crosses val="autoZero"/>
        <c:crossBetween val="midCat"/>
      </c:valAx>
      <c:valAx>
        <c:axId val="697076432"/>
        <c:scaling>
          <c:orientation val="minMax"/>
        </c:scaling>
        <c:delete val="0"/>
        <c:axPos val="l"/>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7077152"/>
        <c:crosses val="autoZero"/>
        <c:crossBetween val="midCat"/>
      </c:valAx>
      <c:spPr>
        <a:noFill/>
        <a:ln>
          <a:noFill/>
        </a:ln>
        <a:effectLst/>
      </c:spPr>
    </c:plotArea>
    <c:plotVisOnly val="1"/>
    <c:dispBlanksAs val="gap"/>
    <c:showDLblsOverMax val="0"/>
  </c:chart>
  <c:spPr>
    <a:solidFill>
      <a:schemeClr val="tx1">
        <a:lumMod val="95000"/>
        <a:lumOff val="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8" Type="http://schemas.openxmlformats.org/officeDocument/2006/relationships/image" Target="../media/image16.sv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svg"/><Relationship Id="rId1" Type="http://schemas.openxmlformats.org/officeDocument/2006/relationships/image" Target="../media/image9.png"/><Relationship Id="rId6" Type="http://schemas.openxmlformats.org/officeDocument/2006/relationships/image" Target="../media/image14.svg"/><Relationship Id="rId5" Type="http://schemas.openxmlformats.org/officeDocument/2006/relationships/image" Target="../media/image13.png"/><Relationship Id="rId4" Type="http://schemas.openxmlformats.org/officeDocument/2006/relationships/image" Target="../media/image12.svg"/><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12</xdr:col>
      <xdr:colOff>205740</xdr:colOff>
      <xdr:row>1</xdr:row>
      <xdr:rowOff>11430</xdr:rowOff>
    </xdr:from>
    <xdr:to>
      <xdr:col>19</xdr:col>
      <xdr:colOff>289560</xdr:colOff>
      <xdr:row>16</xdr:row>
      <xdr:rowOff>11430</xdr:rowOff>
    </xdr:to>
    <xdr:graphicFrame macro="">
      <xdr:nvGraphicFramePr>
        <xdr:cNvPr id="2" name="Chart 1">
          <a:extLst>
            <a:ext uri="{FF2B5EF4-FFF2-40B4-BE49-F238E27FC236}">
              <a16:creationId xmlns:a16="http://schemas.microsoft.com/office/drawing/2014/main" id="{787EAEE7-F0A5-F19D-36F3-A5F60F36D2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190500</xdr:colOff>
      <xdr:row>16</xdr:row>
      <xdr:rowOff>138113</xdr:rowOff>
    </xdr:from>
    <xdr:to>
      <xdr:col>19</xdr:col>
      <xdr:colOff>152400</xdr:colOff>
      <xdr:row>31</xdr:row>
      <xdr:rowOff>166688</xdr:rowOff>
    </xdr:to>
    <xdr:graphicFrame macro="">
      <xdr:nvGraphicFramePr>
        <xdr:cNvPr id="3" name="Chart 2">
          <a:extLst>
            <a:ext uri="{FF2B5EF4-FFF2-40B4-BE49-F238E27FC236}">
              <a16:creationId xmlns:a16="http://schemas.microsoft.com/office/drawing/2014/main" id="{5F52F00B-BF18-71D4-A3A3-ACF9E160AF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400050</xdr:colOff>
      <xdr:row>0</xdr:row>
      <xdr:rowOff>157163</xdr:rowOff>
    </xdr:from>
    <xdr:to>
      <xdr:col>27</xdr:col>
      <xdr:colOff>95250</xdr:colOff>
      <xdr:row>16</xdr:row>
      <xdr:rowOff>4763</xdr:rowOff>
    </xdr:to>
    <xdr:graphicFrame macro="">
      <xdr:nvGraphicFramePr>
        <xdr:cNvPr id="4" name="Chart 3">
          <a:extLst>
            <a:ext uri="{FF2B5EF4-FFF2-40B4-BE49-F238E27FC236}">
              <a16:creationId xmlns:a16="http://schemas.microsoft.com/office/drawing/2014/main" id="{21ABF979-FFE7-6E03-EE0E-D4B52C9DF8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137160</xdr:colOff>
      <xdr:row>1</xdr:row>
      <xdr:rowOff>148590</xdr:rowOff>
    </xdr:from>
    <xdr:to>
      <xdr:col>19</xdr:col>
      <xdr:colOff>441960</xdr:colOff>
      <xdr:row>16</xdr:row>
      <xdr:rowOff>148590</xdr:rowOff>
    </xdr:to>
    <xdr:graphicFrame macro="">
      <xdr:nvGraphicFramePr>
        <xdr:cNvPr id="2" name="Chart 1">
          <a:extLst>
            <a:ext uri="{FF2B5EF4-FFF2-40B4-BE49-F238E27FC236}">
              <a16:creationId xmlns:a16="http://schemas.microsoft.com/office/drawing/2014/main" id="{F7DB1F59-E807-1FF8-C730-E50CA85DEA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129540</xdr:colOff>
      <xdr:row>17</xdr:row>
      <xdr:rowOff>72390</xdr:rowOff>
    </xdr:from>
    <xdr:to>
      <xdr:col>19</xdr:col>
      <xdr:colOff>434340</xdr:colOff>
      <xdr:row>31</xdr:row>
      <xdr:rowOff>72390</xdr:rowOff>
    </xdr:to>
    <xdr:graphicFrame macro="">
      <xdr:nvGraphicFramePr>
        <xdr:cNvPr id="3" name="Chart 2">
          <a:extLst>
            <a:ext uri="{FF2B5EF4-FFF2-40B4-BE49-F238E27FC236}">
              <a16:creationId xmlns:a16="http://schemas.microsoft.com/office/drawing/2014/main" id="{918B47A5-550F-E16D-CFAC-65534471E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556260</xdr:colOff>
      <xdr:row>28</xdr:row>
      <xdr:rowOff>179070</xdr:rowOff>
    </xdr:from>
    <xdr:to>
      <xdr:col>12</xdr:col>
      <xdr:colOff>7620</xdr:colOff>
      <xdr:row>43</xdr:row>
      <xdr:rowOff>179070</xdr:rowOff>
    </xdr:to>
    <xdr:graphicFrame macro="">
      <xdr:nvGraphicFramePr>
        <xdr:cNvPr id="4" name="Chart 3">
          <a:extLst>
            <a:ext uri="{FF2B5EF4-FFF2-40B4-BE49-F238E27FC236}">
              <a16:creationId xmlns:a16="http://schemas.microsoft.com/office/drawing/2014/main" id="{3973643A-AF86-947D-0EAF-BE21EA19A5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1234440</xdr:colOff>
      <xdr:row>29</xdr:row>
      <xdr:rowOff>11430</xdr:rowOff>
    </xdr:from>
    <xdr:to>
      <xdr:col>6</xdr:col>
      <xdr:colOff>60960</xdr:colOff>
      <xdr:row>44</xdr:row>
      <xdr:rowOff>11430</xdr:rowOff>
    </xdr:to>
    <xdr:graphicFrame macro="">
      <xdr:nvGraphicFramePr>
        <xdr:cNvPr id="5" name="Chart 4">
          <a:extLst>
            <a:ext uri="{FF2B5EF4-FFF2-40B4-BE49-F238E27FC236}">
              <a16:creationId xmlns:a16="http://schemas.microsoft.com/office/drawing/2014/main" id="{8807D34F-958A-0752-0AF9-1664FBB1B3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68580</xdr:colOff>
      <xdr:row>0</xdr:row>
      <xdr:rowOff>41910</xdr:rowOff>
    </xdr:from>
    <xdr:to>
      <xdr:col>19</xdr:col>
      <xdr:colOff>373380</xdr:colOff>
      <xdr:row>15</xdr:row>
      <xdr:rowOff>41910</xdr:rowOff>
    </xdr:to>
    <xdr:graphicFrame macro="">
      <xdr:nvGraphicFramePr>
        <xdr:cNvPr id="2" name="Chart 1">
          <a:extLst>
            <a:ext uri="{FF2B5EF4-FFF2-40B4-BE49-F238E27FC236}">
              <a16:creationId xmlns:a16="http://schemas.microsoft.com/office/drawing/2014/main" id="{24C4C390-5433-5B9D-3044-4405B91318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15</xdr:row>
      <xdr:rowOff>87630</xdr:rowOff>
    </xdr:from>
    <xdr:to>
      <xdr:col>19</xdr:col>
      <xdr:colOff>381000</xdr:colOff>
      <xdr:row>30</xdr:row>
      <xdr:rowOff>87630</xdr:rowOff>
    </xdr:to>
    <xdr:graphicFrame macro="">
      <xdr:nvGraphicFramePr>
        <xdr:cNvPr id="3" name="Chart 2">
          <a:extLst>
            <a:ext uri="{FF2B5EF4-FFF2-40B4-BE49-F238E27FC236}">
              <a16:creationId xmlns:a16="http://schemas.microsoft.com/office/drawing/2014/main" id="{4C200C23-D9FF-A85C-0641-1F7E5EB8C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579120</xdr:colOff>
      <xdr:row>31</xdr:row>
      <xdr:rowOff>140970</xdr:rowOff>
    </xdr:from>
    <xdr:to>
      <xdr:col>12</xdr:col>
      <xdr:colOff>30480</xdr:colOff>
      <xdr:row>46</xdr:row>
      <xdr:rowOff>140970</xdr:rowOff>
    </xdr:to>
    <xdr:graphicFrame macro="">
      <xdr:nvGraphicFramePr>
        <xdr:cNvPr id="4" name="Chart 3">
          <a:extLst>
            <a:ext uri="{FF2B5EF4-FFF2-40B4-BE49-F238E27FC236}">
              <a16:creationId xmlns:a16="http://schemas.microsoft.com/office/drawing/2014/main" id="{C8E34572-76BA-263F-DA98-41FECC44F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1173480</xdr:colOff>
      <xdr:row>31</xdr:row>
      <xdr:rowOff>140970</xdr:rowOff>
    </xdr:from>
    <xdr:to>
      <xdr:col>6</xdr:col>
      <xdr:colOff>266700</xdr:colOff>
      <xdr:row>46</xdr:row>
      <xdr:rowOff>140970</xdr:rowOff>
    </xdr:to>
    <xdr:graphicFrame macro="">
      <xdr:nvGraphicFramePr>
        <xdr:cNvPr id="5" name="Chart 4">
          <a:extLst>
            <a:ext uri="{FF2B5EF4-FFF2-40B4-BE49-F238E27FC236}">
              <a16:creationId xmlns:a16="http://schemas.microsoft.com/office/drawing/2014/main" id="{E9047C83-5A81-4CAD-B3DF-0D96BCCDB3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53340</xdr:rowOff>
    </xdr:from>
    <xdr:to>
      <xdr:col>1</xdr:col>
      <xdr:colOff>431800</xdr:colOff>
      <xdr:row>4</xdr:row>
      <xdr:rowOff>68580</xdr:rowOff>
    </xdr:to>
    <xdr:sp macro="" textlink="">
      <xdr:nvSpPr>
        <xdr:cNvPr id="6" name="TextBox 5">
          <a:extLst>
            <a:ext uri="{FF2B5EF4-FFF2-40B4-BE49-F238E27FC236}">
              <a16:creationId xmlns:a16="http://schemas.microsoft.com/office/drawing/2014/main" id="{C3F7C4D7-D78B-21B7-2C6C-D26B050BC114}"/>
            </a:ext>
          </a:extLst>
        </xdr:cNvPr>
        <xdr:cNvSpPr txBox="1"/>
      </xdr:nvSpPr>
      <xdr:spPr>
        <a:xfrm>
          <a:off x="114300" y="239607"/>
          <a:ext cx="2341033" cy="96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0</xdr:col>
      <xdr:colOff>99060</xdr:colOff>
      <xdr:row>1</xdr:row>
      <xdr:rowOff>0</xdr:rowOff>
    </xdr:from>
    <xdr:to>
      <xdr:col>0</xdr:col>
      <xdr:colOff>1013460</xdr:colOff>
      <xdr:row>3</xdr:row>
      <xdr:rowOff>152400</xdr:rowOff>
    </xdr:to>
    <xdr:pic>
      <xdr:nvPicPr>
        <xdr:cNvPr id="4" name="Graphic 3" descr="Coins with solid fill">
          <a:extLst>
            <a:ext uri="{FF2B5EF4-FFF2-40B4-BE49-F238E27FC236}">
              <a16:creationId xmlns:a16="http://schemas.microsoft.com/office/drawing/2014/main" id="{10F4D9FA-4BCC-1A3F-12E7-3ADDC24D071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99060" y="182880"/>
          <a:ext cx="914400" cy="914400"/>
        </a:xfrm>
        <a:prstGeom prst="rect">
          <a:avLst/>
        </a:prstGeom>
      </xdr:spPr>
    </xdr:pic>
    <xdr:clientData/>
  </xdr:twoCellAnchor>
  <xdr:oneCellAnchor>
    <xdr:from>
      <xdr:col>0</xdr:col>
      <xdr:colOff>967740</xdr:colOff>
      <xdr:row>1</xdr:row>
      <xdr:rowOff>246451</xdr:rowOff>
    </xdr:from>
    <xdr:ext cx="1584960" cy="497700"/>
    <xdr:sp macro="" textlink="">
      <xdr:nvSpPr>
        <xdr:cNvPr id="5" name="TextBox 4">
          <a:extLst>
            <a:ext uri="{FF2B5EF4-FFF2-40B4-BE49-F238E27FC236}">
              <a16:creationId xmlns:a16="http://schemas.microsoft.com/office/drawing/2014/main" id="{61E7223D-33FE-7DD4-019C-CB07135B5A62}"/>
            </a:ext>
          </a:extLst>
        </xdr:cNvPr>
        <xdr:cNvSpPr txBox="1"/>
      </xdr:nvSpPr>
      <xdr:spPr>
        <a:xfrm>
          <a:off x="967740" y="429331"/>
          <a:ext cx="1584960" cy="497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1600" b="1">
              <a:solidFill>
                <a:schemeClr val="bg1">
                  <a:lumMod val="95000"/>
                </a:schemeClr>
              </a:solidFill>
              <a:latin typeface="Aharoni" panose="02010803020104030203" pitchFamily="2" charset="-79"/>
              <a:cs typeface="Aharoni" panose="02010803020104030203" pitchFamily="2" charset="-79"/>
            </a:rPr>
            <a:t>INVESTMENT TRACKE</a:t>
          </a:r>
        </a:p>
      </xdr:txBody>
    </xdr:sp>
    <xdr:clientData/>
  </xdr:oneCellAnchor>
  <xdr:twoCellAnchor editAs="oneCell">
    <xdr:from>
      <xdr:col>0</xdr:col>
      <xdr:colOff>1770961</xdr:colOff>
      <xdr:row>1</xdr:row>
      <xdr:rowOff>486207</xdr:rowOff>
    </xdr:from>
    <xdr:to>
      <xdr:col>0</xdr:col>
      <xdr:colOff>2016978</xdr:colOff>
      <xdr:row>2</xdr:row>
      <xdr:rowOff>198824</xdr:rowOff>
    </xdr:to>
    <xdr:pic>
      <xdr:nvPicPr>
        <xdr:cNvPr id="7" name="Graphic 6" descr="Rupee with solid fill">
          <a:extLst>
            <a:ext uri="{FF2B5EF4-FFF2-40B4-BE49-F238E27FC236}">
              <a16:creationId xmlns:a16="http://schemas.microsoft.com/office/drawing/2014/main" id="{ABA5D008-B99D-850C-4325-8F0CE32D702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70961" y="672474"/>
          <a:ext cx="246017" cy="246017"/>
        </a:xfrm>
        <a:prstGeom prst="rect">
          <a:avLst/>
        </a:prstGeom>
      </xdr:spPr>
    </xdr:pic>
    <xdr:clientData/>
  </xdr:twoCellAnchor>
  <xdr:twoCellAnchor editAs="oneCell">
    <xdr:from>
      <xdr:col>1</xdr:col>
      <xdr:colOff>10993</xdr:colOff>
      <xdr:row>5</xdr:row>
      <xdr:rowOff>160867</xdr:rowOff>
    </xdr:from>
    <xdr:to>
      <xdr:col>1</xdr:col>
      <xdr:colOff>483231</xdr:colOff>
      <xdr:row>7</xdr:row>
      <xdr:rowOff>17952</xdr:rowOff>
    </xdr:to>
    <xdr:pic>
      <xdr:nvPicPr>
        <xdr:cNvPr id="3" name="Graphic 2" descr="Bank with solid fill">
          <a:extLst>
            <a:ext uri="{FF2B5EF4-FFF2-40B4-BE49-F238E27FC236}">
              <a16:creationId xmlns:a16="http://schemas.microsoft.com/office/drawing/2014/main" id="{CF5C540F-6BF4-656B-A2C7-F882A6F4B54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26060" y="1481667"/>
          <a:ext cx="472238" cy="466685"/>
        </a:xfrm>
        <a:prstGeom prst="rect">
          <a:avLst/>
        </a:prstGeom>
      </xdr:spPr>
    </xdr:pic>
    <xdr:clientData/>
  </xdr:twoCellAnchor>
  <xdr:twoCellAnchor editAs="oneCell">
    <xdr:from>
      <xdr:col>1</xdr:col>
      <xdr:colOff>13648</xdr:colOff>
      <xdr:row>7</xdr:row>
      <xdr:rowOff>218237</xdr:rowOff>
    </xdr:from>
    <xdr:to>
      <xdr:col>1</xdr:col>
      <xdr:colOff>485886</xdr:colOff>
      <xdr:row>9</xdr:row>
      <xdr:rowOff>33487</xdr:rowOff>
    </xdr:to>
    <xdr:pic>
      <xdr:nvPicPr>
        <xdr:cNvPr id="9" name="Graphic 8" descr="Checklist with solid fill">
          <a:extLst>
            <a:ext uri="{FF2B5EF4-FFF2-40B4-BE49-F238E27FC236}">
              <a16:creationId xmlns:a16="http://schemas.microsoft.com/office/drawing/2014/main" id="{55FB09BD-83D6-93F6-98D2-ECB3A067427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28715" y="2148637"/>
          <a:ext cx="472238" cy="475650"/>
        </a:xfrm>
        <a:prstGeom prst="rect">
          <a:avLst/>
        </a:prstGeom>
      </xdr:spPr>
    </xdr:pic>
    <xdr:clientData/>
  </xdr:twoCellAnchor>
  <xdr:twoCellAnchor>
    <xdr:from>
      <xdr:col>3</xdr:col>
      <xdr:colOff>558801</xdr:colOff>
      <xdr:row>8</xdr:row>
      <xdr:rowOff>101601</xdr:rowOff>
    </xdr:from>
    <xdr:to>
      <xdr:col>12</xdr:col>
      <xdr:colOff>152401</xdr:colOff>
      <xdr:row>21</xdr:row>
      <xdr:rowOff>135467</xdr:rowOff>
    </xdr:to>
    <xdr:graphicFrame macro="">
      <xdr:nvGraphicFramePr>
        <xdr:cNvPr id="12" name="Chart 11">
          <a:extLst>
            <a:ext uri="{FF2B5EF4-FFF2-40B4-BE49-F238E27FC236}">
              <a16:creationId xmlns:a16="http://schemas.microsoft.com/office/drawing/2014/main" id="{1AD474E9-B405-802C-2508-0909EA478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t Gupta" refreshedDate="45854.131459259261" createdVersion="8" refreshedVersion="8" minRefreshableVersion="3" recordCount="35" xr:uid="{7D8D6907-8FAC-42DB-8432-71BEA97694BE}">
  <cacheSource type="worksheet">
    <worksheetSource name="Financials"/>
  </cacheSource>
  <cacheFields count="14">
    <cacheField name="Company" numFmtId="0">
      <sharedItems count="7">
        <s v="Axis Bank"/>
        <s v="HDFC Bank"/>
        <s v="ICICI Bank"/>
        <s v="SBI"/>
        <s v="BHFL"/>
        <s v="BFL"/>
        <s v="MFL"/>
      </sharedItems>
    </cacheField>
    <cacheField name="Metrics" numFmtId="0">
      <sharedItems count="5">
        <s v="AUM"/>
        <s v="Total Income"/>
        <s v="PAT"/>
        <s v="Shareholder's Equity"/>
        <s v="FCFE"/>
      </sharedItems>
    </cacheField>
    <cacheField name="2020" numFmtId="43">
      <sharedItems containsSemiMixedTypes="0" containsString="0" containsNumber="1" minValue="0" maxValue="2374311.1500000004"/>
    </cacheField>
    <cacheField name="2021" numFmtId="43">
      <sharedItems containsSemiMixedTypes="0" containsString="0" containsNumber="1" minValue="0" maxValue="2500598.9677999998"/>
    </cacheField>
    <cacheField name="2022" numFmtId="43">
      <sharedItems containsSemiMixedTypes="0" containsString="0" containsNumber="1" minValue="0" maxValue="2794075.9758000001"/>
    </cacheField>
    <cacheField name="2023" numFmtId="43">
      <sharedItems containsSemiMixedTypes="0" containsString="0" containsNumber="1" minValue="0" maxValue="3267902.1236"/>
    </cacheField>
    <cacheField name="2024" numFmtId="43">
      <sharedItems containsString="0" containsBlank="1" containsNumber="1" minValue="0" maxValue="3784272.6676000003"/>
    </cacheField>
    <cacheField name="2025" numFmtId="43">
      <sharedItems containsSemiMixedTypes="0" containsString="0" containsNumber="1" minValue="-14367.903507313578" maxValue="4154046.7403928745"/>
    </cacheField>
    <cacheField name="2026" numFmtId="43">
      <sharedItems containsSemiMixedTypes="0" containsString="0" containsNumber="1" minValue="-3279.1361948927688" maxValue="4559952.6876356276"/>
    </cacheField>
    <cacheField name="2027" numFmtId="43">
      <sharedItems containsSemiMixedTypes="0" containsString="0" containsNumber="1" minValue="-3695.7976239805776" maxValue="5005521.0769026736"/>
    </cacheField>
    <cacheField name="2028" numFmtId="43">
      <sharedItems containsSemiMixedTypes="0" containsString="0" containsNumber="1" minValue="-4160.6709075026884" maxValue="5494627.4594590692"/>
    </cacheField>
    <cacheField name="2029" numFmtId="43">
      <sharedItems containsSemiMixedTypes="0" containsString="0" containsNumber="1" minValue="-4677.6345346770031" maxValue="6308309.5621192763"/>
    </cacheField>
    <cacheField name="2030" numFmtId="43">
      <sharedItems containsSemiMixedTypes="0" containsString="0" containsNumber="1" minValue="-5873.3456138131696" maxValue="7551755.8745385045"/>
    </cacheField>
    <cacheField name="CAGR" numFmtId="0">
      <sharedItems containsString="0" containsBlank="1" containsNumber="1" minValue="-0.24621326362343887" maxValue="0.3267328585946542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x v="0"/>
    <n v="582958.80000000005"/>
    <n v="625749.9"/>
    <n v="725125.5"/>
    <n v="868387.54"/>
    <n v="999333.47999999986"/>
    <n v="1113076.3431270414"/>
    <n v="1239765.2739794801"/>
    <n v="1380873.7774871453"/>
    <n v="1538043.0710331206"/>
    <n v="1713101.1732714393"/>
    <n v="1908084.1656096801"/>
    <n v="0.11381872558401773"/>
  </r>
  <r>
    <x v="0"/>
    <x v="1"/>
    <n v="42061.729999999996"/>
    <n v="43346.9"/>
    <n v="51191.53"/>
    <n v="62408.149999999994"/>
    <n v="76598.62000000001"/>
    <n v="67684.541955165128"/>
    <n v="74753.345341497246"/>
    <n v="82569.090553064743"/>
    <n v="91211.564753060316"/>
    <n v="100769.16188622237"/>
    <n v="111339.81923363809"/>
    <n v="9.2529153273982701E-2"/>
  </r>
  <r>
    <x v="0"/>
    <x v="2"/>
    <n v="1386.6825871499952"/>
    <n v="5384.3926499999998"/>
    <n v="10565.464707000005"/>
    <n v="8095.4461349999929"/>
    <n v="19744.793460000008"/>
    <n v="18374.533351807931"/>
    <n v="19966.82939338858"/>
    <n v="21551.409269919608"/>
    <n v="23101.04200787262"/>
    <n v="24581.572614036297"/>
    <n v="25950.563802857516"/>
    <n v="0.30512405453415159"/>
  </r>
  <r>
    <x v="0"/>
    <x v="3"/>
    <n v="86453.97"/>
    <n v="103767.45"/>
    <n v="118522.01000000001"/>
    <n v="130175.09999999999"/>
    <n v="157522.96"/>
    <n v="198753.6265176537"/>
    <n v="215977.17210079741"/>
    <n v="233117.25348068454"/>
    <n v="249879.31870115103"/>
    <n v="265893.92007966485"/>
    <n v="280702.02204553923"/>
    <n v="0.11300321334928731"/>
  </r>
  <r>
    <x v="0"/>
    <x v="4"/>
    <n v="0"/>
    <n v="0"/>
    <n v="0"/>
    <n v="0"/>
    <m/>
    <n v="17172.437581347654"/>
    <n v="15702.244713918093"/>
    <n v="13401.801772928187"/>
    <n v="10269.421014281012"/>
    <n v="6127.6719396075296"/>
    <n v="766.59388601469425"/>
    <n v="-0.24621326362343887"/>
  </r>
  <r>
    <x v="1"/>
    <x v="0"/>
    <n v="1043670.83"/>
    <n v="1185283.4889999998"/>
    <n v="1420942.2800000003"/>
    <n v="1661949.29"/>
    <n v="2565891.4"/>
    <n v="3071660.5237216875"/>
    <n v="3677123.0352890976"/>
    <n v="4401929.741985647"/>
    <n v="5269604.8697359934"/>
    <n v="6308309.5621192763"/>
    <n v="7551755.8745385045"/>
    <n v="0.32673285859465429"/>
  </r>
  <r>
    <x v="1"/>
    <x v="1"/>
    <n v="84930.844700000001"/>
    <n v="96637.693700000003"/>
    <n v="109111.07"/>
    <n v="126886.15999999999"/>
    <n v="253856.22000000003"/>
    <n v="297474.0668794458"/>
    <n v="387419.18772593222"/>
    <n v="506979.2612862112"/>
    <n v="666503.80175757501"/>
    <n v="880095.20445936837"/>
    <n v="1166998.7236385085"/>
    <n v="0.26898063393177618"/>
  </r>
  <r>
    <x v="1"/>
    <x v="2"/>
    <n v="20394.131233980013"/>
    <n v="23820.79036952999"/>
    <n v="28474.872824999984"/>
    <n v="34419.637412999989"/>
    <n v="47937.624532000002"/>
    <n v="63842.60494251304"/>
    <n v="75923.427605343139"/>
    <n v="89546.402732524424"/>
    <n v="106091.27808272428"/>
    <n v="126490.58901251497"/>
    <n v="152091.40861884438"/>
    <n v="0.200403421942563"/>
  </r>
  <r>
    <x v="1"/>
    <x v="3"/>
    <n v="176935.33000000002"/>
    <n v="210442.94"/>
    <n v="248046.58"/>
    <n v="290297.76"/>
    <n v="469778.65"/>
    <n v="588435.9592200811"/>
    <n v="655837.55912775197"/>
    <n v="735333.0587451061"/>
    <n v="829516.39720283914"/>
    <n v="941809.37898211752"/>
    <n v="1076829.6829442638"/>
    <n v="0.17842772250601735"/>
  </r>
  <r>
    <x v="1"/>
    <x v="4"/>
    <n v="0"/>
    <n v="0"/>
    <n v="0"/>
    <n v="0"/>
    <n v="0"/>
    <n v="97539.49535676169"/>
    <n v="39086.842028926359"/>
    <n v="44407.756277912558"/>
    <n v="51197.650950298441"/>
    <n v="60379.215706889721"/>
    <n v="73466.666757223938"/>
    <n v="-3.968062689789309E-2"/>
  </r>
  <r>
    <x v="2"/>
    <x v="0"/>
    <n v="706246.08569999994"/>
    <n v="733729.03999999992"/>
    <n v="859020.4"/>
    <n v="1083866.26"/>
    <n v="1260776.17"/>
    <n v="1415710.2588467074"/>
    <n v="1589683.8667277566"/>
    <n v="1785036.7194436956"/>
    <n v="2004396.0666979549"/>
    <n v="2250712.0152947404"/>
    <n v="2527297.2043580995"/>
    <n v="0.12288786267804186"/>
  </r>
  <r>
    <x v="2"/>
    <x v="1"/>
    <n v="105120.5809"/>
    <n v="57957.960999999996"/>
    <n v="65983.624400000001"/>
    <n v="135635.41310000001"/>
    <n v="161929.56449999998"/>
    <n v="134504.08798454667"/>
    <n v="143951.76081516943"/>
    <n v="154324.39090447914"/>
    <n v="165727.7758545026"/>
    <n v="178280.45222173282"/>
    <n v="192115.25223692169"/>
    <n v="5.6347322234142627E-2"/>
  </r>
  <r>
    <x v="2"/>
    <x v="2"/>
    <n v="7158.4681267399956"/>
    <n v="12116.985512030011"/>
    <n v="17464.940890809987"/>
    <n v="25469.618310640002"/>
    <n v="33117.044290049984"/>
    <n v="33458.824459696363"/>
    <n v="37570.507885268242"/>
    <n v="42187.467299017371"/>
    <n v="47371.794987193403"/>
    <n v="53193.213624391981"/>
    <n v="59730.013955670009"/>
    <n v="0.21272167065759473"/>
  </r>
  <r>
    <x v="2"/>
    <x v="3"/>
    <n v="129754.79999999999"/>
    <n v="147509.18000000002"/>
    <n v="170511.96"/>
    <n v="221184.52"/>
    <n v="270032.21999999997"/>
    <n v="331239.10831576458"/>
    <n v="353233.08429782762"/>
    <n v="377345.67016407667"/>
    <n v="403955.88958087366"/>
    <n v="433502.21792006277"/>
    <n v="466490.89306801977"/>
    <n v="0.12336263944304937"/>
  </r>
  <r>
    <x v="2"/>
    <x v="4"/>
    <n v="0"/>
    <n v="0"/>
    <n v="0"/>
    <n v="0"/>
    <n v="0"/>
    <n v="108915.07775247309"/>
    <n v="57357.293030604997"/>
    <n v="44526.152473808899"/>
    <n v="29771.382113915806"/>
    <n v="13001.012016122873"/>
    <n v="-5873.3456138131696"/>
    <m/>
  </r>
  <r>
    <x v="3"/>
    <x v="0"/>
    <n v="2374311.1500000004"/>
    <n v="2500598.9677999998"/>
    <n v="2794075.9758000001"/>
    <n v="3267902.1236"/>
    <n v="3784272.6676000003"/>
    <n v="4154046.7403928745"/>
    <n v="4559952.6876356276"/>
    <n v="5005521.0769026736"/>
    <n v="5494627.4594590692"/>
    <n v="6031526.0797829321"/>
    <n v="6620886.8789592348"/>
    <n v="9.7713379894315944E-2"/>
  </r>
  <r>
    <x v="3"/>
    <x v="1"/>
    <n v="206886.84140000003"/>
    <n v="229327.72340000002"/>
    <n v="250778.74559999999"/>
    <n v="283397.32450000005"/>
    <n v="334838.85639999999"/>
    <n v="295585.16948174423"/>
    <n v="324212.92673160275"/>
    <n v="355613.47616811562"/>
    <n v="390055.39718083234"/>
    <n v="427833.28593428002"/>
    <n v="469270.27571129426"/>
    <n v="7.7297050092941966E-2"/>
  </r>
  <r>
    <x v="3"/>
    <x v="2"/>
    <n v="14792.241746799999"/>
    <n v="16766.003922079959"/>
    <n v="26470.274254340038"/>
    <n v="41641.527706240035"/>
    <n v="50199.45564262991"/>
    <n v="47483.517934278563"/>
    <n v="52123.292960909283"/>
    <n v="57216.436087341332"/>
    <n v="62807.247442942542"/>
    <n v="68944.35587245108"/>
    <n v="75681.141909384809"/>
    <n v="0.15997955464814373"/>
  </r>
  <r>
    <x v="3"/>
    <x v="3"/>
    <n v="270032.21999999997"/>
    <n v="259003.94"/>
    <n v="285187.46000000002"/>
    <n v="316795.46000000002"/>
    <n v="371767.92"/>
    <n v="446392.14931570296"/>
    <n v="490264.23147461418"/>
    <n v="538423.20306427369"/>
    <n v="591287.95054019324"/>
    <n v="649318.29116924433"/>
    <n v="713018.97251757851"/>
    <n v="9.2282675338764442E-2"/>
  </r>
  <r>
    <x v="3"/>
    <x v="4"/>
    <n v="0"/>
    <n v="0"/>
    <n v="0"/>
    <n v="0"/>
    <n v="0"/>
    <n v="-14367.903507313578"/>
    <n v="3906.2511737886616"/>
    <n v="4287.9441786956249"/>
    <n v="4706.9336971941975"/>
    <n v="5166.8640976855295"/>
    <n v="5671.7358521247788"/>
    <m/>
  </r>
  <r>
    <x v="4"/>
    <x v="0"/>
    <n v="27975.41"/>
    <n v="33418.9"/>
    <n v="46482.07"/>
    <n v="62113.89"/>
    <n v="79300.75"/>
    <n v="97673.659974016409"/>
    <n v="120303.32440386471"/>
    <n v="148175.97565681121"/>
    <n v="182506.34278517554"/>
    <n v="224790.59111421416"/>
    <n v="276871.52721566829"/>
    <n v="0.23168645913205621"/>
  </r>
  <r>
    <x v="4"/>
    <x v="1"/>
    <n v="26385.630000000005"/>
    <n v="26683.050000000003"/>
    <n v="31640.41"/>
    <n v="41418.259999999995"/>
    <n v="54982.509999999995"/>
    <n v="37347.373274422949"/>
    <n v="45997.435877516888"/>
    <n v="56651.546314058076"/>
    <n v="69774.014274869114"/>
    <n v="85936.723698548623"/>
    <n v="105844.05626763677"/>
    <n v="0.13460675344886264"/>
  </r>
  <r>
    <x v="4"/>
    <x v="2"/>
    <n v="5263.7500000000027"/>
    <n v="4419.8200000000052"/>
    <n v="7028.2300000000032"/>
    <n v="11507.689999999995"/>
    <n v="14451.169999999991"/>
    <n v="8495.5062175418916"/>
    <n v="10463.155891943767"/>
    <n v="12886.670886374885"/>
    <n v="15871.66878140362"/>
    <n v="19548.237316192659"/>
    <n v="24076.603792807742"/>
    <n v="0.14822571842627719"/>
  </r>
  <r>
    <x v="4"/>
    <x v="3"/>
    <n v="5585.13"/>
    <n v="6032.22"/>
    <n v="6741.36"/>
    <n v="10503.19"/>
    <n v="12233.5"/>
    <n v="24253.815691277094"/>
    <n v="29872.452289555811"/>
    <n v="36792.838440594234"/>
    <n v="45316.571647677702"/>
    <n v="55815.125467041114"/>
    <n v="68746.038843064598"/>
    <n v="0.2563492919961492"/>
  </r>
  <r>
    <x v="4"/>
    <x v="4"/>
    <n v="0"/>
    <n v="0"/>
    <n v="0"/>
    <n v="0"/>
    <n v="0"/>
    <n v="4970.6967438066913"/>
    <n v="6812.1689680669224"/>
    <n v="8389.7997297675774"/>
    <n v="10332.933469348889"/>
    <n v="12726.252031618285"/>
    <n v="15674.056893399342"/>
    <n v="0.21095319793608702"/>
  </r>
  <r>
    <x v="5"/>
    <x v="0"/>
    <n v="141376.04999999999"/>
    <n v="146686.87"/>
    <n v="191423.25"/>
    <n v="242268.93"/>
    <n v="326293.32"/>
    <n v="385704.45108491846"/>
    <n v="455933.09598467493"/>
    <n v="538948.89579172654"/>
    <n v="637080.12169593538"/>
    <n v="753078.97396074119"/>
    <n v="890198.77046554699"/>
    <n v="0.18207890705491137"/>
  </r>
  <r>
    <x v="5"/>
    <x v="1"/>
    <n v="2307.81"/>
    <n v="3155.2799999999997"/>
    <n v="3767.1299999999997"/>
    <n v="5665.4400000000005"/>
    <n v="6987.1499999999978"/>
    <n v="2403.362426852671"/>
    <n v="2840.94376655015"/>
    <n v="3358.196651106085"/>
    <n v="3969.6272049665886"/>
    <n v="4692.3827591330219"/>
    <n v="5546.73275191226"/>
    <n v="8.2982808983700362E-2"/>
  </r>
  <r>
    <x v="5"/>
    <x v="2"/>
    <n v="421.33000000000027"/>
    <n v="453.18999999999983"/>
    <n v="709.61999999999921"/>
    <n v="1257.8000000000004"/>
    <n v="1731.219999999998"/>
    <n v="1155.7737542358009"/>
    <n v="1392.6728442412364"/>
    <n v="1676.2128421136458"/>
    <n v="2015.3508299666996"/>
    <n v="2420.7363836802633"/>
    <n v="2905.0279044080435"/>
    <n v="0.19187253273192195"/>
  </r>
  <r>
    <x v="5"/>
    <x v="3"/>
    <n v="32327.63"/>
    <n v="36918.409999999996"/>
    <n v="43712.69"/>
    <n v="54371.979999999996"/>
    <n v="76695.350000000006"/>
    <n v="79777.248762005023"/>
    <n v="94303.020785286513"/>
    <n v="111473.63185669227"/>
    <n v="131770.65169143584"/>
    <n v="155763.33373349888"/>
    <n v="184124.58051861241"/>
    <n v="0.17134617568401866"/>
  </r>
  <r>
    <x v="5"/>
    <x v="4"/>
    <n v="0"/>
    <n v="0"/>
    <n v="0"/>
    <n v="0"/>
    <n v="0"/>
    <n v="14032.510432953859"/>
    <n v="5211.8715929077198"/>
    <n v="5593.2030996930034"/>
    <n v="5956.9376838062853"/>
    <n v="6286.5281816706674"/>
    <n v="6560.3688032463779"/>
    <n v="-0.11902115426816506"/>
  </r>
  <r>
    <x v="6"/>
    <x v="0"/>
    <n v="470677.41"/>
    <n v="588085.17000000004"/>
    <n v="645276.41"/>
    <n v="705543.84"/>
    <n v="881871.71"/>
    <n v="999866.04930453282"/>
    <n v="1133648.0184309967"/>
    <n v="1285330.0005400025"/>
    <n v="1457307.0154303117"/>
    <n v="1652294.5362904153"/>
    <n v="1873371.3663273796"/>
    <n v="0.1337998917150125"/>
  </r>
  <r>
    <x v="6"/>
    <x v="1"/>
    <n v="97072.67"/>
    <n v="115701.95999999999"/>
    <n v="122374.63"/>
    <n v="119750.05"/>
    <n v="151627.42000000001"/>
    <n v="115069.87470131919"/>
    <n v="130531.0112542579"/>
    <n v="148082.9601086037"/>
    <n v="168013.01842851852"/>
    <n v="190649.49913476864"/>
    <n v="216368.09771200095"/>
    <n v="7.5585933250874371E-2"/>
  </r>
  <r>
    <x v="6"/>
    <x v="2"/>
    <n v="31686.809999999998"/>
    <n v="38188.69999999999"/>
    <n v="40313.240000000005"/>
    <n v="36697.660000000003"/>
    <n v="44675.94000000001"/>
    <n v="36040.592395998239"/>
    <n v="40883.357069363796"/>
    <n v="46381.091800594149"/>
    <n v="52623.823326843849"/>
    <n v="59714.440195783565"/>
    <n v="67770.69222967216"/>
    <n v="7.1555956387207686E-2"/>
  </r>
  <r>
    <x v="6"/>
    <x v="3"/>
    <n v="120013.51999999999"/>
    <n v="157596"/>
    <n v="191378.96000000002"/>
    <n v="221528.04"/>
    <n v="257540.4"/>
    <n v="298403.24459735781"/>
    <n v="338346.03343112068"/>
    <n v="383638.78270511614"/>
    <n v="434999.23432710697"/>
    <n v="493241.81846589857"/>
    <n v="559290.81377850112"/>
    <n v="0.15017604794296502"/>
  </r>
  <r>
    <x v="6"/>
    <x v="4"/>
    <n v="0"/>
    <n v="0"/>
    <n v="0"/>
    <n v="0"/>
    <n v="0"/>
    <n v="16932.555937177374"/>
    <n v="-3279.1361948927688"/>
    <n v="-3695.7976239805776"/>
    <n v="-4160.6709075026884"/>
    <n v="-4677.6345346770031"/>
    <n v="-5250.208116349691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C50314-A71D-494A-9A09-363C262A3033}" name="PivotTable8"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3:L16" firstHeaderRow="0" firstDataRow="1" firstDataCol="1"/>
  <pivotFields count="14">
    <pivotField axis="axisRow" showAll="0" defaultSubtotal="0">
      <items count="7">
        <item x="0"/>
        <item h="1" x="5"/>
        <item h="1" x="4"/>
        <item h="1" x="1"/>
        <item h="1" x="2"/>
        <item h="1" x="6"/>
        <item h="1" x="3"/>
      </items>
    </pivotField>
    <pivotField axis="axisRow" showAll="0" defaultSubtotal="0">
      <items count="5">
        <item h="1" x="0"/>
        <item x="4"/>
        <item x="2"/>
        <item h="1" x="3"/>
        <item h="1" x="1"/>
      </items>
    </pivotField>
    <pivotField dataField="1" numFmtId="43" showAll="0" defaultSubtotal="0"/>
    <pivotField dataField="1" numFmtId="43" showAll="0" defaultSubtotal="0"/>
    <pivotField dataField="1" numFmtId="43" showAll="0" defaultSubtotal="0"/>
    <pivotField dataField="1" numFmtId="43" showAll="0" defaultSubtotal="0"/>
    <pivotField dataField="1" showAll="0" defaultSubtotal="0"/>
    <pivotField dataField="1" numFmtId="43" showAll="0" defaultSubtotal="0"/>
    <pivotField dataField="1" numFmtId="43" showAll="0" defaultSubtotal="0"/>
    <pivotField dataField="1" numFmtId="43" showAll="0" defaultSubtotal="0"/>
    <pivotField dataField="1" numFmtId="43" showAll="0" defaultSubtotal="0"/>
    <pivotField dataField="1" numFmtId="43" showAll="0" defaultSubtotal="0"/>
    <pivotField dataField="1" numFmtId="43" showAll="0" defaultSubtotal="0"/>
    <pivotField showAll="0" defaultSubtotal="0"/>
  </pivotFields>
  <rowFields count="2">
    <field x="0"/>
    <field x="1"/>
  </rowFields>
  <rowItems count="3">
    <i>
      <x/>
    </i>
    <i r="1">
      <x v="1"/>
    </i>
    <i r="1">
      <x v="2"/>
    </i>
  </rowItems>
  <colFields count="1">
    <field x="-2"/>
  </colFields>
  <colItems count="11">
    <i>
      <x/>
    </i>
    <i i="1">
      <x v="1"/>
    </i>
    <i i="2">
      <x v="2"/>
    </i>
    <i i="3">
      <x v="3"/>
    </i>
    <i i="4">
      <x v="4"/>
    </i>
    <i i="5">
      <x v="5"/>
    </i>
    <i i="6">
      <x v="6"/>
    </i>
    <i i="7">
      <x v="7"/>
    </i>
    <i i="8">
      <x v="8"/>
    </i>
    <i i="9">
      <x v="9"/>
    </i>
    <i i="10">
      <x v="10"/>
    </i>
  </colItems>
  <dataFields count="11">
    <dataField name="Sum of 2020" fld="2" baseField="0" baseItem="0" numFmtId="43"/>
    <dataField name="Sum of 2021" fld="3" baseField="0" baseItem="0" numFmtId="43"/>
    <dataField name="Sum of 2022" fld="4" baseField="0" baseItem="0" numFmtId="43"/>
    <dataField name="Sum of 2023" fld="5" baseField="0" baseItem="0" numFmtId="43"/>
    <dataField name="Sum of 2024" fld="6" baseField="0" baseItem="0"/>
    <dataField name="Sum of 2025" fld="7" baseField="0" baseItem="0" numFmtId="43"/>
    <dataField name="Sum of 2026" fld="8" baseField="0" baseItem="0" numFmtId="43"/>
    <dataField name="Sum of 2027" fld="9" baseField="0" baseItem="0" numFmtId="43"/>
    <dataField name="Sum of 2028" fld="10" baseField="0" baseItem="0" numFmtId="43"/>
    <dataField name="Sum of 2029" fld="11" baseField="0" baseItem="0" numFmtId="43"/>
    <dataField name="Sum of 2030" fld="12"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926D12-CDD9-4C1A-88F5-BA604D97D951}" name="PivotTable1"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articulars">
  <location ref="A3:L6" firstHeaderRow="0" firstDataRow="1" firstDataCol="1"/>
  <pivotFields count="14">
    <pivotField axis="axisRow" showAll="0" defaultSubtotal="0">
      <items count="7">
        <item x="0"/>
        <item h="1" x="5"/>
        <item h="1" x="4"/>
        <item h="1" x="1"/>
        <item h="1" x="2"/>
        <item h="1" x="6"/>
        <item h="1" x="3"/>
      </items>
    </pivotField>
    <pivotField axis="axisRow" showAll="0" sortType="ascending" defaultSubtotal="0">
      <items count="5">
        <item x="0"/>
        <item h="1" x="4"/>
        <item h="1" x="2"/>
        <item h="1" x="3"/>
        <item x="1"/>
      </items>
    </pivotField>
    <pivotField dataField="1" numFmtId="43" showAll="0" defaultSubtotal="0"/>
    <pivotField dataField="1" numFmtId="43" showAll="0" defaultSubtotal="0"/>
    <pivotField dataField="1" numFmtId="43" showAll="0" defaultSubtotal="0"/>
    <pivotField dataField="1" numFmtId="43" showAll="0" defaultSubtotal="0"/>
    <pivotField dataField="1" showAll="0" defaultSubtotal="0"/>
    <pivotField dataField="1" numFmtId="43" showAll="0" defaultSubtotal="0"/>
    <pivotField dataField="1" numFmtId="43" showAll="0" defaultSubtotal="0"/>
    <pivotField dataField="1" numFmtId="43" showAll="0" defaultSubtotal="0"/>
    <pivotField dataField="1" numFmtId="43" showAll="0" defaultSubtotal="0"/>
    <pivotField dataField="1" numFmtId="43" showAll="0" defaultSubtotal="0"/>
    <pivotField dataField="1" numFmtId="43" showAll="0" defaultSubtotal="0"/>
    <pivotField showAll="0" defaultSubtotal="0"/>
  </pivotFields>
  <rowFields count="2">
    <field x="0"/>
    <field x="1"/>
  </rowFields>
  <rowItems count="3">
    <i>
      <x/>
    </i>
    <i r="1">
      <x/>
    </i>
    <i r="1">
      <x v="4"/>
    </i>
  </rowItems>
  <colFields count="1">
    <field x="-2"/>
  </colFields>
  <colItems count="11">
    <i>
      <x/>
    </i>
    <i i="1">
      <x v="1"/>
    </i>
    <i i="2">
      <x v="2"/>
    </i>
    <i i="3">
      <x v="3"/>
    </i>
    <i i="4">
      <x v="4"/>
    </i>
    <i i="5">
      <x v="5"/>
    </i>
    <i i="6">
      <x v="6"/>
    </i>
    <i i="7">
      <x v="7"/>
    </i>
    <i i="8">
      <x v="8"/>
    </i>
    <i i="9">
      <x v="9"/>
    </i>
    <i i="10">
      <x v="10"/>
    </i>
  </colItems>
  <dataFields count="11">
    <dataField name="Sum of 2020" fld="2" baseField="0" baseItem="0" numFmtId="43"/>
    <dataField name="Sum of 2021" fld="3" baseField="0" baseItem="0" numFmtId="43"/>
    <dataField name="Sum of 2022" fld="4" baseField="0" baseItem="0" numFmtId="43"/>
    <dataField name="Sum of 2023" fld="5" baseField="0" baseItem="0" numFmtId="43"/>
    <dataField name="Sum of 2024" fld="6" baseField="0" baseItem="0"/>
    <dataField name="Sum of 2025" fld="7" baseField="0" baseItem="0" numFmtId="43"/>
    <dataField name="Sum of 2026" fld="8" baseField="0" baseItem="0" numFmtId="43"/>
    <dataField name="Sum of 2027" fld="9" baseField="0" baseItem="0" numFmtId="43"/>
    <dataField name="Sum of 2028" fld="10" baseField="0" baseItem="0" numFmtId="43"/>
    <dataField name="Sum of 2029" fld="11" baseField="0" baseItem="0" numFmtId="43"/>
    <dataField name="Sum of 2030" fld="12" baseField="0" baseItem="0" numFmtId="43"/>
  </dataFields>
  <formats count="7">
    <format dxfId="78">
      <pivotArea type="all" dataOnly="0" outline="0" fieldPosition="0"/>
    </format>
    <format dxfId="77">
      <pivotArea outline="0" collapsedLevelsAreSubtotals="1" fieldPosition="0"/>
    </format>
    <format dxfId="76">
      <pivotArea field="0" type="button" dataOnly="0" labelOnly="1" outline="0" axis="axisRow" fieldPosition="0"/>
    </format>
    <format dxfId="75">
      <pivotArea dataOnly="0" labelOnly="1" fieldPosition="0">
        <references count="1">
          <reference field="0" count="0"/>
        </references>
      </pivotArea>
    </format>
    <format dxfId="74">
      <pivotArea dataOnly="0" labelOnly="1" fieldPosition="0">
        <references count="2">
          <reference field="0" count="0" selected="0"/>
          <reference field="1" count="0"/>
        </references>
      </pivotArea>
    </format>
    <format dxfId="73">
      <pivotArea dataOnly="0" labelOnly="1" outline="0" fieldPosition="0">
        <references count="1">
          <reference field="4294967294" count="11">
            <x v="0"/>
            <x v="1"/>
            <x v="2"/>
            <x v="3"/>
            <x v="4"/>
            <x v="5"/>
            <x v="6"/>
            <x v="7"/>
            <x v="8"/>
            <x v="9"/>
            <x v="10"/>
          </reference>
        </references>
      </pivotArea>
    </format>
    <format dxfId="72">
      <pivotArea collapsedLevelsAreSubtotals="1" fieldPosition="0">
        <references count="2">
          <reference field="0" count="0" selected="0"/>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87BDE7-68BB-4F61-B911-560EA52CD8A5}" name="PivotTable9"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8:L20" firstHeaderRow="0" firstDataRow="1" firstDataCol="1"/>
  <pivotFields count="14">
    <pivotField axis="axisRow" showAll="0" defaultSubtotal="0">
      <items count="7">
        <item x="0"/>
        <item h="1" x="5"/>
        <item h="1" x="4"/>
        <item h="1" x="1"/>
        <item h="1" x="2"/>
        <item h="1" x="6"/>
        <item h="1" x="3"/>
      </items>
    </pivotField>
    <pivotField axis="axisRow" showAll="0" defaultSubtotal="0">
      <items count="5">
        <item h="1" x="0"/>
        <item h="1" x="4"/>
        <item h="1" x="2"/>
        <item x="3"/>
        <item h="1" x="1"/>
      </items>
    </pivotField>
    <pivotField dataField="1" numFmtId="43" showAll="0" defaultSubtotal="0"/>
    <pivotField dataField="1" numFmtId="43" showAll="0" defaultSubtotal="0"/>
    <pivotField dataField="1" numFmtId="43" showAll="0" defaultSubtotal="0"/>
    <pivotField dataField="1" numFmtId="43" showAll="0" defaultSubtotal="0"/>
    <pivotField dataField="1" showAll="0" defaultSubtotal="0"/>
    <pivotField dataField="1" numFmtId="43" showAll="0" defaultSubtotal="0"/>
    <pivotField dataField="1" numFmtId="43" showAll="0" defaultSubtotal="0"/>
    <pivotField dataField="1" numFmtId="43" showAll="0" defaultSubtotal="0"/>
    <pivotField dataField="1" numFmtId="43" showAll="0" defaultSubtotal="0"/>
    <pivotField dataField="1" numFmtId="43" showAll="0" defaultSubtotal="0"/>
    <pivotField dataField="1" numFmtId="43" showAll="0" defaultSubtotal="0"/>
    <pivotField showAll="0" defaultSubtotal="0"/>
  </pivotFields>
  <rowFields count="2">
    <field x="0"/>
    <field x="1"/>
  </rowFields>
  <rowItems count="2">
    <i>
      <x/>
    </i>
    <i r="1">
      <x v="3"/>
    </i>
  </rowItems>
  <colFields count="1">
    <field x="-2"/>
  </colFields>
  <colItems count="11">
    <i>
      <x/>
    </i>
    <i i="1">
      <x v="1"/>
    </i>
    <i i="2">
      <x v="2"/>
    </i>
    <i i="3">
      <x v="3"/>
    </i>
    <i i="4">
      <x v="4"/>
    </i>
    <i i="5">
      <x v="5"/>
    </i>
    <i i="6">
      <x v="6"/>
    </i>
    <i i="7">
      <x v="7"/>
    </i>
    <i i="8">
      <x v="8"/>
    </i>
    <i i="9">
      <x v="9"/>
    </i>
    <i i="10">
      <x v="10"/>
    </i>
  </colItems>
  <dataFields count="11">
    <dataField name="Sum of 2020" fld="2" baseField="0" baseItem="0" numFmtId="43"/>
    <dataField name="Sum of 2021" fld="3" baseField="0" baseItem="0" numFmtId="43"/>
    <dataField name="Sum of 2022" fld="4" baseField="0" baseItem="0" numFmtId="43"/>
    <dataField name="Sum of 2023" fld="5" baseField="0" baseItem="0" numFmtId="43"/>
    <dataField name="Sum of 2024" fld="6" baseField="0" baseItem="0"/>
    <dataField name="Sum of 2025" fld="7" baseField="0" baseItem="0" numFmtId="43"/>
    <dataField name="Sum of 2026" fld="8" baseField="0" baseItem="0" numFmtId="43"/>
    <dataField name="Sum of 2027" fld="9" baseField="0" baseItem="0" numFmtId="43"/>
    <dataField name="Sum of 2028" fld="10" baseField="0" baseItem="0" numFmtId="43"/>
    <dataField name="Sum of 2029" fld="11" baseField="0" baseItem="0" numFmtId="43"/>
    <dataField name="Sum of 2030" fld="12"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A19922-E528-4F96-9CF0-C50857D9E4D4}" name="PivotTable15"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8:L11" firstHeaderRow="0" firstDataRow="1" firstDataCol="1"/>
  <pivotFields count="14">
    <pivotField axis="axisRow" showAll="0" defaultSubtotal="0">
      <items count="7">
        <item h="1" x="0"/>
        <item h="1" x="5"/>
        <item h="1" x="4"/>
        <item x="1"/>
        <item h="1" x="2"/>
        <item h="1" x="6"/>
        <item h="1" x="3"/>
      </items>
    </pivotField>
    <pivotField axis="axisRow" showAll="0" defaultSubtotal="0">
      <items count="5">
        <item h="1" x="0"/>
        <item x="4"/>
        <item x="2"/>
        <item h="1" x="3"/>
        <item h="1" x="1"/>
      </items>
    </pivotField>
    <pivotField dataField="1" numFmtId="43" showAll="0" defaultSubtotal="0"/>
    <pivotField dataField="1" numFmtId="43" showAll="0" defaultSubtotal="0"/>
    <pivotField dataField="1" numFmtId="43" showAll="0" defaultSubtotal="0"/>
    <pivotField dataField="1" numFmtId="43" showAll="0" defaultSubtotal="0"/>
    <pivotField dataField="1" showAll="0" defaultSubtotal="0"/>
    <pivotField dataField="1" numFmtId="43" showAll="0" defaultSubtotal="0"/>
    <pivotField dataField="1" numFmtId="43" showAll="0" defaultSubtotal="0"/>
    <pivotField dataField="1" numFmtId="43" showAll="0" defaultSubtotal="0"/>
    <pivotField dataField="1" numFmtId="43" showAll="0" defaultSubtotal="0"/>
    <pivotField dataField="1" numFmtId="43" showAll="0" defaultSubtotal="0"/>
    <pivotField dataField="1" numFmtId="43" showAll="0" defaultSubtotal="0"/>
    <pivotField showAll="0" defaultSubtotal="0"/>
  </pivotFields>
  <rowFields count="2">
    <field x="0"/>
    <field x="1"/>
  </rowFields>
  <rowItems count="3">
    <i>
      <x v="3"/>
    </i>
    <i r="1">
      <x v="1"/>
    </i>
    <i r="1">
      <x v="2"/>
    </i>
  </rowItems>
  <colFields count="1">
    <field x="-2"/>
  </colFields>
  <colItems count="11">
    <i>
      <x/>
    </i>
    <i i="1">
      <x v="1"/>
    </i>
    <i i="2">
      <x v="2"/>
    </i>
    <i i="3">
      <x v="3"/>
    </i>
    <i i="4">
      <x v="4"/>
    </i>
    <i i="5">
      <x v="5"/>
    </i>
    <i i="6">
      <x v="6"/>
    </i>
    <i i="7">
      <x v="7"/>
    </i>
    <i i="8">
      <x v="8"/>
    </i>
    <i i="9">
      <x v="9"/>
    </i>
    <i i="10">
      <x v="10"/>
    </i>
  </colItems>
  <dataFields count="11">
    <dataField name="Sum of 2020" fld="2" baseField="0" baseItem="0" numFmtId="43"/>
    <dataField name="Sum of 2021" fld="3" baseField="0" baseItem="0" numFmtId="43"/>
    <dataField name="Sum of 2022" fld="4" baseField="0" baseItem="0" numFmtId="43"/>
    <dataField name="Sum of 2023" fld="5" baseField="0" baseItem="0" numFmtId="43"/>
    <dataField name="Sum of 2024" fld="6" baseField="0" baseItem="0"/>
    <dataField name="Sum of 2025" fld="7" baseField="0" baseItem="0" numFmtId="43"/>
    <dataField name="Sum of 2026" fld="8" baseField="0" baseItem="0" numFmtId="43"/>
    <dataField name="Sum of 2027" fld="9" baseField="0" baseItem="0" numFmtId="43"/>
    <dataField name="Sum of 2028" fld="10" baseField="0" baseItem="0" numFmtId="43"/>
    <dataField name="Sum of 2029" fld="11" baseField="0" baseItem="0" numFmtId="43"/>
    <dataField name="Sum of 2030" fld="12"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30AE44-0D42-426A-AA46-4AFFBF072F01}" name="PivotTable14"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L6" firstHeaderRow="0" firstDataRow="1" firstDataCol="1"/>
  <pivotFields count="14">
    <pivotField axis="axisRow" showAll="0" defaultSubtotal="0">
      <items count="7">
        <item h="1" x="0"/>
        <item h="1" x="5"/>
        <item h="1" x="4"/>
        <item x="1"/>
        <item h="1" x="2"/>
        <item h="1" x="6"/>
        <item h="1" x="3"/>
      </items>
    </pivotField>
    <pivotField axis="axisRow" showAll="0" defaultSubtotal="0">
      <items count="5">
        <item x="0"/>
        <item h="1" x="4"/>
        <item h="1" x="2"/>
        <item h="1" x="3"/>
        <item x="1"/>
      </items>
    </pivotField>
    <pivotField dataField="1" numFmtId="43" showAll="0" defaultSubtotal="0"/>
    <pivotField dataField="1" numFmtId="43" showAll="0" defaultSubtotal="0"/>
    <pivotField dataField="1" numFmtId="43" showAll="0" defaultSubtotal="0"/>
    <pivotField dataField="1" numFmtId="43" showAll="0" defaultSubtotal="0"/>
    <pivotField dataField="1" showAll="0" defaultSubtotal="0"/>
    <pivotField dataField="1" numFmtId="43" showAll="0" defaultSubtotal="0"/>
    <pivotField dataField="1" numFmtId="43" showAll="0" defaultSubtotal="0"/>
    <pivotField dataField="1" numFmtId="43" showAll="0" defaultSubtotal="0"/>
    <pivotField dataField="1" numFmtId="43" showAll="0" defaultSubtotal="0"/>
    <pivotField dataField="1" numFmtId="43" showAll="0" defaultSubtotal="0"/>
    <pivotField dataField="1" numFmtId="43" showAll="0" defaultSubtotal="0"/>
    <pivotField showAll="0" defaultSubtotal="0"/>
  </pivotFields>
  <rowFields count="2">
    <field x="0"/>
    <field x="1"/>
  </rowFields>
  <rowItems count="3">
    <i>
      <x v="3"/>
    </i>
    <i r="1">
      <x/>
    </i>
    <i r="1">
      <x v="4"/>
    </i>
  </rowItems>
  <colFields count="1">
    <field x="-2"/>
  </colFields>
  <colItems count="11">
    <i>
      <x/>
    </i>
    <i i="1">
      <x v="1"/>
    </i>
    <i i="2">
      <x v="2"/>
    </i>
    <i i="3">
      <x v="3"/>
    </i>
    <i i="4">
      <x v="4"/>
    </i>
    <i i="5">
      <x v="5"/>
    </i>
    <i i="6">
      <x v="6"/>
    </i>
    <i i="7">
      <x v="7"/>
    </i>
    <i i="8">
      <x v="8"/>
    </i>
    <i i="9">
      <x v="9"/>
    </i>
    <i i="10">
      <x v="10"/>
    </i>
  </colItems>
  <dataFields count="11">
    <dataField name="Sum of 2020" fld="2" baseField="0" baseItem="0" numFmtId="43"/>
    <dataField name="Sum of 2021" fld="3" baseField="0" baseItem="0" numFmtId="43"/>
    <dataField name="Sum of 2022" fld="4" baseField="0" baseItem="0" numFmtId="43"/>
    <dataField name="Sum of 2023" fld="5" baseField="0" baseItem="0" numFmtId="43"/>
    <dataField name="Sum of 2024" fld="6" baseField="0" baseItem="0"/>
    <dataField name="Sum of 2025" fld="7" baseField="0" baseItem="0" numFmtId="43"/>
    <dataField name="Sum of 2026" fld="8" baseField="0" baseItem="0" numFmtId="43"/>
    <dataField name="Sum of 2027" fld="9" baseField="0" baseItem="0" numFmtId="43"/>
    <dataField name="Sum of 2028" fld="10" baseField="0" baseItem="0" numFmtId="43"/>
    <dataField name="Sum of 2029" fld="11" baseField="0" baseItem="0" numFmtId="43"/>
    <dataField name="Sum of 2030" fld="12"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63A1A6-249F-457E-AC59-7D5E3870B075}" name="PivotTable16"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3:L15" firstHeaderRow="0" firstDataRow="1" firstDataCol="1"/>
  <pivotFields count="14">
    <pivotField axis="axisRow" showAll="0" defaultSubtotal="0">
      <items count="7">
        <item h="1" x="0"/>
        <item h="1" x="5"/>
        <item h="1" x="4"/>
        <item x="1"/>
        <item h="1" x="2"/>
        <item h="1" x="6"/>
        <item h="1" x="3"/>
      </items>
    </pivotField>
    <pivotField axis="axisRow" showAll="0" defaultSubtotal="0">
      <items count="5">
        <item h="1" x="0"/>
        <item h="1" x="4"/>
        <item h="1" x="2"/>
        <item x="3"/>
        <item h="1" x="1"/>
      </items>
    </pivotField>
    <pivotField dataField="1" numFmtId="43" showAll="0" defaultSubtotal="0"/>
    <pivotField dataField="1" numFmtId="43" showAll="0" defaultSubtotal="0"/>
    <pivotField dataField="1" numFmtId="43" showAll="0" defaultSubtotal="0"/>
    <pivotField dataField="1" numFmtId="43" showAll="0" defaultSubtotal="0"/>
    <pivotField dataField="1" showAll="0" defaultSubtotal="0"/>
    <pivotField dataField="1" numFmtId="43" showAll="0" defaultSubtotal="0"/>
    <pivotField dataField="1" numFmtId="43" showAll="0" defaultSubtotal="0"/>
    <pivotField dataField="1" numFmtId="43" showAll="0" defaultSubtotal="0"/>
    <pivotField dataField="1" numFmtId="43" showAll="0" defaultSubtotal="0"/>
    <pivotField dataField="1" numFmtId="43" showAll="0" defaultSubtotal="0"/>
    <pivotField dataField="1" numFmtId="43" showAll="0" defaultSubtotal="0"/>
    <pivotField showAll="0" defaultSubtotal="0"/>
  </pivotFields>
  <rowFields count="2">
    <field x="0"/>
    <field x="1"/>
  </rowFields>
  <rowItems count="2">
    <i>
      <x v="3"/>
    </i>
    <i r="1">
      <x v="3"/>
    </i>
  </rowItems>
  <colFields count="1">
    <field x="-2"/>
  </colFields>
  <colItems count="11">
    <i>
      <x/>
    </i>
    <i i="1">
      <x v="1"/>
    </i>
    <i i="2">
      <x v="2"/>
    </i>
    <i i="3">
      <x v="3"/>
    </i>
    <i i="4">
      <x v="4"/>
    </i>
    <i i="5">
      <x v="5"/>
    </i>
    <i i="6">
      <x v="6"/>
    </i>
    <i i="7">
      <x v="7"/>
    </i>
    <i i="8">
      <x v="8"/>
    </i>
    <i i="9">
      <x v="9"/>
    </i>
    <i i="10">
      <x v="10"/>
    </i>
  </colItems>
  <dataFields count="11">
    <dataField name="Sum of 2020" fld="2" baseField="0" baseItem="0" numFmtId="43"/>
    <dataField name="Sum of 2021" fld="3" baseField="0" baseItem="0" numFmtId="43"/>
    <dataField name="Sum of 2022" fld="4" baseField="0" baseItem="0" numFmtId="43"/>
    <dataField name="Sum of 2023" fld="5" baseField="0" baseItem="0" numFmtId="43"/>
    <dataField name="Sum of 2024" fld="6" baseField="0" baseItem="0"/>
    <dataField name="Sum of 2025" fld="7" baseField="0" baseItem="0" numFmtId="43"/>
    <dataField name="Sum of 2026" fld="8" baseField="0" baseItem="0" numFmtId="43"/>
    <dataField name="Sum of 2027" fld="9" baseField="0" baseItem="0" numFmtId="43"/>
    <dataField name="Sum of 2028" fld="10" baseField="0" baseItem="0" numFmtId="43"/>
    <dataField name="Sum of 2029" fld="11" baseField="0" baseItem="0" numFmtId="43"/>
    <dataField name="Sum of 2030" fld="12"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130317-8F9D-41F5-9347-6460F710BFAA}" name="PivotTable25"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L6" firstHeaderRow="0" firstDataRow="1" firstDataCol="1"/>
  <pivotFields count="14">
    <pivotField axis="axisRow" showAll="0" defaultSubtotal="0">
      <items count="7">
        <item h="1" x="0"/>
        <item h="1" x="5"/>
        <item h="1" x="4"/>
        <item h="1" x="1"/>
        <item x="2"/>
        <item h="1" x="6"/>
        <item h="1" x="3"/>
      </items>
    </pivotField>
    <pivotField axis="axisRow" showAll="0" defaultSubtotal="0">
      <items count="5">
        <item x="0"/>
        <item h="1" x="4"/>
        <item h="1" x="2"/>
        <item h="1" x="3"/>
        <item x="1"/>
      </items>
    </pivotField>
    <pivotField dataField="1" numFmtId="43" showAll="0" defaultSubtotal="0"/>
    <pivotField dataField="1" numFmtId="43" showAll="0" defaultSubtotal="0"/>
    <pivotField dataField="1" numFmtId="43" showAll="0" defaultSubtotal="0"/>
    <pivotField dataField="1" numFmtId="43" showAll="0" defaultSubtotal="0"/>
    <pivotField dataField="1" showAll="0" defaultSubtotal="0"/>
    <pivotField dataField="1" numFmtId="43" showAll="0" defaultSubtotal="0"/>
    <pivotField dataField="1" numFmtId="43" showAll="0" defaultSubtotal="0"/>
    <pivotField dataField="1" numFmtId="43" showAll="0" defaultSubtotal="0"/>
    <pivotField dataField="1" numFmtId="43" showAll="0" defaultSubtotal="0"/>
    <pivotField dataField="1" numFmtId="43" showAll="0" defaultSubtotal="0"/>
    <pivotField dataField="1" numFmtId="43" showAll="0" defaultSubtotal="0"/>
    <pivotField showAll="0" defaultSubtotal="0"/>
  </pivotFields>
  <rowFields count="2">
    <field x="0"/>
    <field x="1"/>
  </rowFields>
  <rowItems count="3">
    <i>
      <x v="4"/>
    </i>
    <i r="1">
      <x/>
    </i>
    <i r="1">
      <x v="4"/>
    </i>
  </rowItems>
  <colFields count="1">
    <field x="-2"/>
  </colFields>
  <colItems count="11">
    <i>
      <x/>
    </i>
    <i i="1">
      <x v="1"/>
    </i>
    <i i="2">
      <x v="2"/>
    </i>
    <i i="3">
      <x v="3"/>
    </i>
    <i i="4">
      <x v="4"/>
    </i>
    <i i="5">
      <x v="5"/>
    </i>
    <i i="6">
      <x v="6"/>
    </i>
    <i i="7">
      <x v="7"/>
    </i>
    <i i="8">
      <x v="8"/>
    </i>
    <i i="9">
      <x v="9"/>
    </i>
    <i i="10">
      <x v="10"/>
    </i>
  </colItems>
  <dataFields count="11">
    <dataField name="Sum of 2020" fld="2" baseField="0" baseItem="0" numFmtId="43"/>
    <dataField name="Sum of 2021" fld="3" baseField="0" baseItem="0" numFmtId="43"/>
    <dataField name="Sum of 2022" fld="4" baseField="0" baseItem="0" numFmtId="43"/>
    <dataField name="Sum of 2023" fld="5" baseField="0" baseItem="0" numFmtId="43"/>
    <dataField name="Sum of 2024" fld="6" baseField="0" baseItem="0"/>
    <dataField name="Sum of 2025" fld="7" baseField="0" baseItem="0" numFmtId="43"/>
    <dataField name="Sum of 2026" fld="8" baseField="0" baseItem="0" numFmtId="43"/>
    <dataField name="Sum of 2027" fld="9" baseField="0" baseItem="0" numFmtId="43"/>
    <dataField name="Sum of 2028" fld="10" baseField="0" baseItem="0" numFmtId="43"/>
    <dataField name="Sum of 2029" fld="11" baseField="0" baseItem="0" numFmtId="43"/>
    <dataField name="Sum of 2030" fld="12" baseField="0" baseItem="0" numFmtId="43"/>
  </dataFields>
  <formats count="6">
    <format dxfId="52">
      <pivotArea type="all" dataOnly="0" outline="0" fieldPosition="0"/>
    </format>
    <format dxfId="51">
      <pivotArea outline="0" collapsedLevelsAreSubtotals="1" fieldPosition="0"/>
    </format>
    <format dxfId="50">
      <pivotArea field="0" type="button" dataOnly="0" labelOnly="1" outline="0" axis="axisRow" fieldPosition="0"/>
    </format>
    <format dxfId="49">
      <pivotArea dataOnly="0" labelOnly="1" fieldPosition="0">
        <references count="1">
          <reference field="0" count="0"/>
        </references>
      </pivotArea>
    </format>
    <format dxfId="48">
      <pivotArea dataOnly="0" labelOnly="1" fieldPosition="0">
        <references count="2">
          <reference field="0" count="0" selected="0"/>
          <reference field="1" count="0"/>
        </references>
      </pivotArea>
    </format>
    <format dxfId="47">
      <pivotArea dataOnly="0" labelOnly="1" outline="0" fieldPosition="0">
        <references count="1">
          <reference field="4294967294" count="11">
            <x v="0"/>
            <x v="1"/>
            <x v="2"/>
            <x v="3"/>
            <x v="4"/>
            <x v="5"/>
            <x v="6"/>
            <x v="7"/>
            <x v="8"/>
            <x v="9"/>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7EB123-0825-444B-9ADF-3AA604A12441}" name="PivotTable28"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6:L18" firstHeaderRow="0" firstDataRow="1" firstDataCol="1"/>
  <pivotFields count="14">
    <pivotField axis="axisRow" showAll="0" defaultSubtotal="0">
      <items count="7">
        <item h="1" x="0"/>
        <item h="1" x="5"/>
        <item h="1" x="4"/>
        <item h="1" x="1"/>
        <item x="2"/>
        <item h="1" x="6"/>
        <item h="1" x="3"/>
      </items>
    </pivotField>
    <pivotField axis="axisRow" showAll="0" defaultSubtotal="0">
      <items count="5">
        <item h="1" x="0"/>
        <item h="1" x="4"/>
        <item h="1" x="2"/>
        <item x="3"/>
        <item h="1" x="1"/>
      </items>
    </pivotField>
    <pivotField dataField="1" numFmtId="43" showAll="0" defaultSubtotal="0"/>
    <pivotField dataField="1" numFmtId="43" showAll="0" defaultSubtotal="0"/>
    <pivotField dataField="1" numFmtId="43" showAll="0" defaultSubtotal="0"/>
    <pivotField dataField="1" numFmtId="43" showAll="0" defaultSubtotal="0"/>
    <pivotField dataField="1" showAll="0" defaultSubtotal="0"/>
    <pivotField dataField="1" numFmtId="43" showAll="0" defaultSubtotal="0"/>
    <pivotField dataField="1" numFmtId="43" showAll="0" defaultSubtotal="0"/>
    <pivotField dataField="1" numFmtId="43" showAll="0" defaultSubtotal="0"/>
    <pivotField dataField="1" numFmtId="43" showAll="0" defaultSubtotal="0"/>
    <pivotField dataField="1" numFmtId="43" showAll="0" defaultSubtotal="0"/>
    <pivotField dataField="1" numFmtId="43" showAll="0" defaultSubtotal="0"/>
    <pivotField showAll="0" defaultSubtotal="0"/>
  </pivotFields>
  <rowFields count="2">
    <field x="1"/>
    <field x="0"/>
  </rowFields>
  <rowItems count="2">
    <i>
      <x v="3"/>
    </i>
    <i r="1">
      <x v="4"/>
    </i>
  </rowItems>
  <colFields count="1">
    <field x="-2"/>
  </colFields>
  <colItems count="11">
    <i>
      <x/>
    </i>
    <i i="1">
      <x v="1"/>
    </i>
    <i i="2">
      <x v="2"/>
    </i>
    <i i="3">
      <x v="3"/>
    </i>
    <i i="4">
      <x v="4"/>
    </i>
    <i i="5">
      <x v="5"/>
    </i>
    <i i="6">
      <x v="6"/>
    </i>
    <i i="7">
      <x v="7"/>
    </i>
    <i i="8">
      <x v="8"/>
    </i>
    <i i="9">
      <x v="9"/>
    </i>
    <i i="10">
      <x v="10"/>
    </i>
  </colItems>
  <dataFields count="11">
    <dataField name="Sum of 2020" fld="2" baseField="0" baseItem="0" numFmtId="43"/>
    <dataField name="Sum of 2021" fld="3" baseField="0" baseItem="0" numFmtId="43"/>
    <dataField name="Sum of 2022" fld="4" baseField="0" baseItem="0" numFmtId="43"/>
    <dataField name="Sum of 2023" fld="5" baseField="0" baseItem="0" numFmtId="43"/>
    <dataField name="Sum of 2024" fld="6" baseField="0" baseItem="0"/>
    <dataField name="Sum of 2025" fld="7" baseField="0" baseItem="0" numFmtId="43"/>
    <dataField name="Sum of 2026" fld="8" baseField="0" baseItem="0" numFmtId="43"/>
    <dataField name="Sum of 2027" fld="9" baseField="0" baseItem="0" numFmtId="43"/>
    <dataField name="Sum of 2028" fld="10" baseField="0" baseItem="0" numFmtId="43"/>
    <dataField name="Sum of 2029" fld="11" baseField="0" baseItem="0" numFmtId="43"/>
    <dataField name="Sum of 2030" fld="12" baseField="0" baseItem="0" numFmtId="43"/>
  </dataFields>
  <formats count="6">
    <format dxfId="58">
      <pivotArea type="all" dataOnly="0" outline="0" fieldPosition="0"/>
    </format>
    <format dxfId="57">
      <pivotArea outline="0" collapsedLevelsAreSubtotals="1" fieldPosition="0"/>
    </format>
    <format dxfId="56">
      <pivotArea field="1" type="button" dataOnly="0" labelOnly="1" outline="0" axis="axisRow" fieldPosition="0"/>
    </format>
    <format dxfId="55">
      <pivotArea dataOnly="0" labelOnly="1" fieldPosition="0">
        <references count="1">
          <reference field="1" count="0"/>
        </references>
      </pivotArea>
    </format>
    <format dxfId="54">
      <pivotArea dataOnly="0" labelOnly="1" fieldPosition="0">
        <references count="2">
          <reference field="0" count="0"/>
          <reference field="1" count="0" selected="0"/>
        </references>
      </pivotArea>
    </format>
    <format dxfId="53">
      <pivotArea dataOnly="0" labelOnly="1" outline="0" fieldPosition="0">
        <references count="1">
          <reference field="4294967294" count="11">
            <x v="0"/>
            <x v="1"/>
            <x v="2"/>
            <x v="3"/>
            <x v="4"/>
            <x v="5"/>
            <x v="6"/>
            <x v="7"/>
            <x v="8"/>
            <x v="9"/>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9990C3-C17E-41F5-8226-1D519C695C25}" name="PivotTable27"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2:L14" firstHeaderRow="0" firstDataRow="1" firstDataCol="1"/>
  <pivotFields count="14">
    <pivotField axis="axisRow" showAll="0" defaultSubtotal="0">
      <items count="7">
        <item h="1" x="0"/>
        <item h="1" x="5"/>
        <item h="1" x="4"/>
        <item h="1" x="1"/>
        <item x="2"/>
        <item h="1" x="6"/>
        <item h="1" x="3"/>
      </items>
    </pivotField>
    <pivotField axis="axisRow" showAll="0" defaultSubtotal="0">
      <items count="5">
        <item h="1" x="0"/>
        <item h="1" x="4"/>
        <item x="2"/>
        <item h="1" x="3"/>
        <item h="1" x="1"/>
      </items>
    </pivotField>
    <pivotField dataField="1" numFmtId="43" showAll="0" defaultSubtotal="0"/>
    <pivotField dataField="1" numFmtId="43" showAll="0" defaultSubtotal="0"/>
    <pivotField dataField="1" numFmtId="43" showAll="0" defaultSubtotal="0"/>
    <pivotField dataField="1" numFmtId="43" showAll="0" defaultSubtotal="0"/>
    <pivotField dataField="1" showAll="0" defaultSubtotal="0"/>
    <pivotField dataField="1" numFmtId="43" showAll="0" defaultSubtotal="0"/>
    <pivotField dataField="1" numFmtId="43" showAll="0" defaultSubtotal="0"/>
    <pivotField dataField="1" numFmtId="43" showAll="0" defaultSubtotal="0"/>
    <pivotField dataField="1" numFmtId="43" showAll="0" defaultSubtotal="0"/>
    <pivotField dataField="1" numFmtId="43" showAll="0" defaultSubtotal="0"/>
    <pivotField dataField="1" numFmtId="43" showAll="0" defaultSubtotal="0"/>
    <pivotField showAll="0" defaultSubtotal="0"/>
  </pivotFields>
  <rowFields count="2">
    <field x="0"/>
    <field x="1"/>
  </rowFields>
  <rowItems count="2">
    <i>
      <x v="4"/>
    </i>
    <i r="1">
      <x v="2"/>
    </i>
  </rowItems>
  <colFields count="1">
    <field x="-2"/>
  </colFields>
  <colItems count="11">
    <i>
      <x/>
    </i>
    <i i="1">
      <x v="1"/>
    </i>
    <i i="2">
      <x v="2"/>
    </i>
    <i i="3">
      <x v="3"/>
    </i>
    <i i="4">
      <x v="4"/>
    </i>
    <i i="5">
      <x v="5"/>
    </i>
    <i i="6">
      <x v="6"/>
    </i>
    <i i="7">
      <x v="7"/>
    </i>
    <i i="8">
      <x v="8"/>
    </i>
    <i i="9">
      <x v="9"/>
    </i>
    <i i="10">
      <x v="10"/>
    </i>
  </colItems>
  <dataFields count="11">
    <dataField name="Sum of 2020" fld="2" baseField="0" baseItem="0" numFmtId="43"/>
    <dataField name="Sum of 2021" fld="3" baseField="0" baseItem="0" numFmtId="43"/>
    <dataField name="Sum of 2022" fld="4" baseField="0" baseItem="0" numFmtId="43"/>
    <dataField name="Sum of 2023" fld="5" baseField="0" baseItem="0" numFmtId="43"/>
    <dataField name="Sum of 2024" fld="6" baseField="0" baseItem="0"/>
    <dataField name="Sum of 2025" fld="7" baseField="0" baseItem="0" numFmtId="43"/>
    <dataField name="Sum of 2026" fld="8" baseField="0" baseItem="0" numFmtId="43"/>
    <dataField name="Sum of 2027" fld="9" baseField="0" baseItem="0" numFmtId="43"/>
    <dataField name="Sum of 2028" fld="10" baseField="0" baseItem="0" numFmtId="43"/>
    <dataField name="Sum of 2029" fld="11" baseField="0" baseItem="0" numFmtId="43"/>
    <dataField name="Sum of 2030" fld="12" baseField="0" baseItem="0" numFmtId="43"/>
  </dataFields>
  <formats count="6">
    <format dxfId="64">
      <pivotArea type="all" dataOnly="0" outline="0" fieldPosition="0"/>
    </format>
    <format dxfId="63">
      <pivotArea outline="0" collapsedLevelsAreSubtotals="1" fieldPosition="0"/>
    </format>
    <format dxfId="62">
      <pivotArea field="0" type="button" dataOnly="0" labelOnly="1" outline="0" axis="axisRow" fieldPosition="0"/>
    </format>
    <format dxfId="61">
      <pivotArea dataOnly="0" labelOnly="1" fieldPosition="0">
        <references count="1">
          <reference field="0" count="0"/>
        </references>
      </pivotArea>
    </format>
    <format dxfId="60">
      <pivotArea dataOnly="0" labelOnly="1" fieldPosition="0">
        <references count="2">
          <reference field="0" count="0" selected="0"/>
          <reference field="1" count="0"/>
        </references>
      </pivotArea>
    </format>
    <format dxfId="59">
      <pivotArea dataOnly="0" labelOnly="1" outline="0" fieldPosition="0">
        <references count="1">
          <reference field="4294967294" count="11">
            <x v="0"/>
            <x v="1"/>
            <x v="2"/>
            <x v="3"/>
            <x v="4"/>
            <x v="5"/>
            <x v="6"/>
            <x v="7"/>
            <x v="8"/>
            <x v="9"/>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0B36B5-B8F7-4E06-97D3-B5A735183D1B}" name="PivotTable26"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8:L10" firstHeaderRow="0" firstDataRow="1" firstDataCol="1"/>
  <pivotFields count="14">
    <pivotField axis="axisRow" showAll="0" defaultSubtotal="0">
      <items count="7">
        <item h="1" x="0"/>
        <item h="1" x="5"/>
        <item h="1" x="4"/>
        <item h="1" x="1"/>
        <item x="2"/>
        <item h="1" x="6"/>
        <item h="1" x="3"/>
      </items>
    </pivotField>
    <pivotField axis="axisRow" showAll="0" defaultSubtotal="0">
      <items count="5">
        <item h="1" x="0"/>
        <item x="4"/>
        <item h="1" x="2"/>
        <item h="1" x="3"/>
        <item h="1" x="1"/>
      </items>
    </pivotField>
    <pivotField dataField="1" numFmtId="43" showAll="0" defaultSubtotal="0"/>
    <pivotField dataField="1" numFmtId="43" showAll="0" defaultSubtotal="0"/>
    <pivotField dataField="1" numFmtId="43" showAll="0" defaultSubtotal="0"/>
    <pivotField dataField="1" numFmtId="43" showAll="0" defaultSubtotal="0"/>
    <pivotField dataField="1" showAll="0" defaultSubtotal="0"/>
    <pivotField dataField="1" numFmtId="43" showAll="0" defaultSubtotal="0"/>
    <pivotField dataField="1" numFmtId="43" showAll="0" defaultSubtotal="0"/>
    <pivotField dataField="1" numFmtId="43" showAll="0" defaultSubtotal="0"/>
    <pivotField dataField="1" numFmtId="43" showAll="0" defaultSubtotal="0"/>
    <pivotField dataField="1" numFmtId="43" showAll="0" defaultSubtotal="0"/>
    <pivotField dataField="1" numFmtId="43" showAll="0" defaultSubtotal="0"/>
    <pivotField showAll="0" defaultSubtotal="0"/>
  </pivotFields>
  <rowFields count="2">
    <field x="0"/>
    <field x="1"/>
  </rowFields>
  <rowItems count="2">
    <i>
      <x v="4"/>
    </i>
    <i r="1">
      <x v="1"/>
    </i>
  </rowItems>
  <colFields count="1">
    <field x="-2"/>
  </colFields>
  <colItems count="11">
    <i>
      <x/>
    </i>
    <i i="1">
      <x v="1"/>
    </i>
    <i i="2">
      <x v="2"/>
    </i>
    <i i="3">
      <x v="3"/>
    </i>
    <i i="4">
      <x v="4"/>
    </i>
    <i i="5">
      <x v="5"/>
    </i>
    <i i="6">
      <x v="6"/>
    </i>
    <i i="7">
      <x v="7"/>
    </i>
    <i i="8">
      <x v="8"/>
    </i>
    <i i="9">
      <x v="9"/>
    </i>
    <i i="10">
      <x v="10"/>
    </i>
  </colItems>
  <dataFields count="11">
    <dataField name="Sum of 2020" fld="2" baseField="0" baseItem="0" numFmtId="43"/>
    <dataField name="Sum of 2021" fld="3" baseField="0" baseItem="0" numFmtId="43"/>
    <dataField name="Sum of 2022" fld="4" baseField="0" baseItem="0" numFmtId="43"/>
    <dataField name="Sum of 2023" fld="5" baseField="0" baseItem="0" numFmtId="43"/>
    <dataField name="Sum of 2024" fld="6" baseField="0" baseItem="0"/>
    <dataField name="Sum of 2025" fld="7" baseField="0" baseItem="0" numFmtId="43"/>
    <dataField name="Sum of 2026" fld="8" baseField="0" baseItem="0" numFmtId="43"/>
    <dataField name="Sum of 2027" fld="9" baseField="0" baseItem="0" numFmtId="43"/>
    <dataField name="Sum of 2028" fld="10" baseField="0" baseItem="0" numFmtId="43"/>
    <dataField name="Sum of 2029" fld="11" baseField="0" baseItem="0" numFmtId="43"/>
    <dataField name="Sum of 2030" fld="12" baseField="0" baseItem="0" numFmtId="43"/>
  </dataFields>
  <formats count="7">
    <format dxfId="71">
      <pivotArea collapsedLevelsAreSubtotals="1" fieldPosition="0">
        <references count="3">
          <reference field="4294967294" count="5" selected="0">
            <x v="0"/>
            <x v="1"/>
            <x v="2"/>
            <x v="3"/>
            <x v="4"/>
          </reference>
          <reference field="0" count="0" selected="0"/>
          <reference field="1" count="0"/>
        </references>
      </pivotArea>
    </format>
    <format dxfId="70">
      <pivotArea type="all" dataOnly="0" outline="0" fieldPosition="0"/>
    </format>
    <format dxfId="69">
      <pivotArea outline="0" collapsedLevelsAreSubtotals="1" fieldPosition="0"/>
    </format>
    <format dxfId="68">
      <pivotArea field="0" type="button" dataOnly="0" labelOnly="1" outline="0" axis="axisRow" fieldPosition="0"/>
    </format>
    <format dxfId="67">
      <pivotArea dataOnly="0" labelOnly="1" fieldPosition="0">
        <references count="1">
          <reference field="0" count="0"/>
        </references>
      </pivotArea>
    </format>
    <format dxfId="66">
      <pivotArea dataOnly="0" labelOnly="1" fieldPosition="0">
        <references count="2">
          <reference field="0" count="0" selected="0"/>
          <reference field="1" count="0"/>
        </references>
      </pivotArea>
    </format>
    <format dxfId="65">
      <pivotArea dataOnly="0" labelOnly="1" outline="0" fieldPosition="0">
        <references count="1">
          <reference field="4294967294" count="11">
            <x v="0"/>
            <x v="1"/>
            <x v="2"/>
            <x v="3"/>
            <x v="4"/>
            <x v="5"/>
            <x v="6"/>
            <x v="7"/>
            <x v="8"/>
            <x v="9"/>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41">
  <rv s="0">
    <v>0</v>
    <v>5</v>
  </rv>
  <rv s="0">
    <v>1</v>
    <v>5</v>
  </rv>
  <rv s="0">
    <v>2</v>
    <v>5</v>
  </rv>
  <rv s="0">
    <v>3</v>
    <v>5</v>
  </rv>
  <rv s="0">
    <v>4</v>
    <v>5</v>
  </rv>
  <rv s="0">
    <v>5</v>
    <v>5</v>
  </rv>
  <rv s="0">
    <v>6</v>
    <v>5</v>
  </rv>
  <rv s="1">
    <v>https://www.bing.com/financeapi/forcetrigger?t=ahi3jc&amp;q=XNSE%3aHDFCBANK&amp;form=skydnc</v>
    <v>Learn more on Bing</v>
  </rv>
  <rv s="2">
    <v>en-IN</v>
    <v>ahi3jc</v>
    <v>268435456</v>
    <v>1</v>
    <v>Powered by Refinitiv</v>
    <v>0</v>
    <v>HDFC BANK LIMITED (XNSE:HDFCBANK)</v>
    <v>2</v>
    <v>3</v>
    <v>Finance</v>
    <v>4</v>
    <v>1020.5</v>
    <v>810.13</v>
    <v>0.87929999999999997</v>
    <v>-2.35</v>
    <v>-2.3869999999999998E-3</v>
    <v>INR</v>
    <v>HDFC Bank Limited (the Bank) is a private bank. The Bank, together with its subsidiaries, is engaged in providing a range of banking and financial services, including retail banking, wholesale banking, treasury operations, insurance, asset management, stockbroking and other financial services businesses. Its segment includes treasury, retail banking, wholesale banking, and other banking operations. The treasury segment consists of net interest earnings from the Bank’s investment portfolio, money market borrowing and lending, and gains or losses on investment operations. The retail banking segment consists of digital banking and other retail banking. The wholesale banking segment provides loans, non-fund facilities and transaction services to corporates, emerging corporates, public sector units, government bodies, and others. The other banking operations segment includes parabanking activities such as credit cards, debit cards, third-party product distribution, and others.</v>
    <v>220339</v>
    <v>National Stock Exchange of India</v>
    <v>XNSE</v>
    <v>XNSE</v>
    <v>'Hdfc Bank House', Senapati Bapat Road, Lower Parel (West), Mumbai India, MUMBAI, MAHARASHTRA, 400013 IN</v>
    <v>984.9</v>
    <v>Banking Services</v>
    <v>Stock</v>
    <v>45968.49287037037</v>
    <v>7</v>
    <v>974.75</v>
    <v>15104490000000</v>
    <v>HDFC BANK LIMITED</v>
    <v>HDFC BANK LIMITED</v>
    <v>980</v>
    <v>20.83</v>
    <v>984.65</v>
    <v>982.3</v>
    <v>15376650000</v>
    <v>HDFCBANK</v>
    <v>HDFC BANK LIMITED (XNSE:HDFCBANK)</v>
    <v>15004568</v>
    <v>20218240</v>
    <v>1994</v>
  </rv>
  <rv s="3">
    <v>8</v>
  </rv>
  <rv s="1">
    <v>http://en.wikipedia.org/wiki/Public_domain</v>
    <v>Public domain</v>
  </rv>
  <rv s="1">
    <v>http://zh.wikipedia.org/wiki/ICICI银行</v>
    <v>Wikipedia</v>
  </rv>
  <rv s="4">
    <v>10</v>
    <v>11</v>
  </rv>
  <rv s="5">
    <v>9</v>
    <v>https://www.bing.com/th?id=AMMS_7a55564cbcf9b185c2bd50f7f3a85b23&amp;qlt=95</v>
    <v>12</v>
    <v>0</v>
    <v>https://www.bing.com/images/search?form=xlimg&amp;q=icici+bank</v>
    <v>Image of ICICI BANK LIMITED</v>
  </rv>
  <rv s="1">
    <v>https://www.bing.com/financeapi/forcetrigger?t=ahi877&amp;q=XNSE%3aICICIBANK&amp;form=skydnc</v>
    <v>Learn more on Bing</v>
  </rv>
  <rv s="6">
    <v>en-IN</v>
    <v>ahi877</v>
    <v>268435456</v>
    <v>1</v>
    <v>Powered by Refinitiv</v>
    <v>5</v>
    <v>ICICI BANK LIMITED (XNSE:ICICIBANK)</v>
    <v>7</v>
    <v>8</v>
    <v>Finance</v>
    <v>4</v>
    <v>1500</v>
    <v>1186</v>
    <v>0.99909999999999999</v>
    <v>22.6</v>
    <v>1.7115999999999999E-2</v>
    <v>INR</v>
    <v>ICICI Bank Limited is a diversified financial services company offering a range of banking and financial services to corporate and retail customers through a variety of delivery channels. The Company offers life and general insurance, asset management, securities broking and private equity products and services through specialized subsidiaries. Its segments include Retail Banking, Wholesale Banking, Treasury, Other Banking, Life Insurance, General Insurance, and Others. Its commercial banking operations for retail customers consist of retail lending, deposit taking, distribution of insurance and investment products and other fee-based products and services. It provides a range of commercial banking products and services, including loan products, fee and commission-based products and services, deposit products and foreign exchange and derivatives products to large corporations, middle market companies and small and medium enterprises. It offers agricultural and rural banking products.</v>
    <v>130957</v>
    <v>National Stock Exchange of India</v>
    <v>XNSE</v>
    <v>XNSE</v>
    <v>ICICI Bank Towers, Bandra-Kurla Complex, MUMBAI, MAHARASHTRA, 400051 IN</v>
    <v>1344.3</v>
    <v>13</v>
    <v>Banking Services</v>
    <v>Stock</v>
    <v>45968.49287037037</v>
    <v>14</v>
    <v>1318.6</v>
    <v>9592768000000</v>
    <v>ICICI BANK LIMITED</v>
    <v>ICICI BANK LIMITED</v>
    <v>1320.4</v>
    <v>17.579999999999998</v>
    <v>1320.4</v>
    <v>1343</v>
    <v>7142791000</v>
    <v>ICICIBANK</v>
    <v>ICICI BANK LIMITED (XNSE:ICICIBANK)</v>
    <v>7719245</v>
    <v>14815230</v>
    <v>1994</v>
  </rv>
  <rv s="3">
    <v>15</v>
  </rv>
  <rv s="1">
    <v>https://www.bing.com/financeapi/forcetrigger?t=ahh2gh&amp;q=XNSE%3aAXISBANK&amp;form=skydnc</v>
    <v>Learn more on Bing</v>
  </rv>
  <rv s="2">
    <v>en-IN</v>
    <v>ahh2gh</v>
    <v>268435456</v>
    <v>1</v>
    <v>Powered by Refinitiv</v>
    <v>0</v>
    <v>Axis Bank Limited (XNSE:AXISBANK)</v>
    <v>2</v>
    <v>3</v>
    <v>Finance</v>
    <v>4</v>
    <v>1276.0999999999999</v>
    <v>933.5</v>
    <v>1.0905</v>
    <v>-5.7</v>
    <v>-4.64E-3</v>
    <v>INR</v>
    <v>Axis Bank Limited (the Bank) is a private sector bank. The Bank’s segments include Treasury, Retail Banking, Corporate/Wholesale Banking and Other Banking Business. Treasury operations include investments in sovereign and corporate debt, equity and mutual funds, trading operations, derivative trading and foreign exchange operations on the proprietary account and for customers. Retail Banking constitutes lending activities, along with liability products, card services, Internet banking, mobile banking, automated teller machine (ATM) services, depository, financial advisory services and non-resident Indian (NRI) services. Corporate/Wholesale Banking includes corporate relationships, advisory services, placements and syndication, project appraisals, capital market related services and cash management services. The other Banking Business includes para banking activities like third party product distribution and other banking transactions not covered under any of the above three segments.</v>
    <v>104453</v>
    <v>National Stock Exchange of India</v>
    <v>XNSE</v>
    <v>XNSE</v>
    <v>Axis House, C-2 Wadia International Centre, Pandurang Budhkar Marg, Worli, MUMBAI, MAHARASHTRA, 400025 IN</v>
    <v>1228.8</v>
    <v>Banking Services</v>
    <v>Stock</v>
    <v>45968.492858796293</v>
    <v>17</v>
    <v>1217</v>
    <v>3794774000000</v>
    <v>Axis Bank Limited</v>
    <v>Axis Bank Limited</v>
    <v>1227</v>
    <v>14.64</v>
    <v>1228.5</v>
    <v>1222.8</v>
    <v>3103348000</v>
    <v>AXISBANK</v>
    <v>Axis Bank Limited (XNSE:AXISBANK)</v>
    <v>3461466</v>
    <v>4853030</v>
    <v>1993</v>
  </rv>
  <rv s="3">
    <v>18</v>
  </rv>
  <rv s="7">
    <v>en-IN</v>
    <v>ccstcw</v>
    <v>268435456</v>
    <v>1</v>
    <v>Powered by Refinitiv</v>
    <v>10</v>
    <v>State Bank of India (XBOM:100112)</v>
    <v>11</v>
    <v>12</v>
    <v>Finance</v>
    <v>13</v>
    <v>925</v>
    <v>793</v>
    <v>1.2655000000000001</v>
    <v>38.1</v>
    <v>4.2958999999999997E-2</v>
    <v>INR</v>
    <v>State Bank of India is an India-based banking and financial services provider. The Company is engaged in providing a wide range of products and services to individuals, commercial enterprises, corporates, public bodies and institutional customers. Its segments include Treasury, Corporate/Wholesale Banking, Retail Banking, Insurance Business and Other Banking Business. The Treasury segment includes investment portfolios and trading in foreign exchange contracts and derivative contracts. The Corporate/Wholesale Banking segment comprises the lending activities of the corporate accounts group, the commercial client’s group and the stressed assets resolution group. These include providing loans and transaction services to corporate and institutional clients and further include non-treasury operations of foreign offices/entities. The Retail Banking Segment is engaged in personal banking activities including lending activities to corporate customers having banking relations with its branches.</v>
    <v>236226</v>
    <v>Bombay Stock Exchange</v>
    <v>XBOM</v>
    <v>XBOM</v>
    <v>Corporate Centre,14th Floor, State Bank Bhavan, Madame Cama Marg, MUMBAI, MAHARASHTRA, 400021 IN</v>
    <v>925</v>
    <v>Banking Services</v>
    <v>Stock</v>
    <v>45958.731261574074</v>
    <v>920</v>
    <v>8517552000000</v>
    <v>State Bank of India</v>
    <v>State Bank of India</v>
    <v>920</v>
    <v>10.38</v>
    <v>886.9</v>
    <v>925</v>
    <v>9230617000</v>
    <v>100112</v>
    <v>State Bank of India (XBOM:100112)</v>
    <v>2</v>
    <v>14132590</v>
  </rv>
  <rv s="3">
    <v>20</v>
  </rv>
  <rv s="1">
    <v>https://www.bing.com/financeapi/forcetrigger?t=ahh3im&amp;q=XNSE%3aBAJFINANCE&amp;form=skydnc</v>
    <v>Learn more on Bing</v>
  </rv>
  <rv s="2">
    <v>en-IN</v>
    <v>ahh3im</v>
    <v>268435456</v>
    <v>1</v>
    <v>Powered by Refinitiv</v>
    <v>0</v>
    <v>BAJAJ FINANCE LIMITED (XNSE:BAJFINANCE)</v>
    <v>2</v>
    <v>3</v>
    <v>Finance</v>
    <v>4</v>
    <v>1102.5</v>
    <v>644.22</v>
    <v>1.1682999999999999</v>
    <v>24.7</v>
    <v>2.3706999999999999E-2</v>
    <v>INR</v>
    <v>Bajaj Finance Ltd. is an India-based non-banking financial company (NBFC). The Company is mainly engaged in the business of lending and accepting deposits. It has a diversified lending portfolio across retail, small and medium-sized enterprises (SMEs) and commercial customers with a presence in both urban and rural India. It also accepts public and corporate deposits and offers a variety of financial service products to its customers. Its products include Consumer Finance, Commercial Lending, SME Finance, Investment, Corporate Finance, and Financial Institutions Lending. Its Consumer Finance includes Digital Product Finance, Lifestyle Finance, Durable Finance, Personal Loan, Home Loan, Retailer Finance, and others. Its commercial lending includes Vendor Financing, Large Value Lease Rental Discounting, Loans against Securities, and others. Its investments include fixed deposit and mutual funds. Its subsidiaries include Bajaj Housing Finance Ltd. and Bajaj Financial Securities Ltd.</v>
    <v>64092</v>
    <v>National Stock Exchange of India</v>
    <v>XNSE</v>
    <v>XNSE</v>
    <v>6th Floor Bajaj Finserv Corporate Office, Off Pune-Ahmednagar Road, Viman Nagar, PUNE, MAHARASHTRA, 411014 IN</v>
    <v>1076.9000000000001</v>
    <v>Banking Services</v>
    <v>Stock</v>
    <v>45968.492858796293</v>
    <v>22</v>
    <v>1034.2</v>
    <v>6629063000000</v>
    <v>BAJAJ FINANCE LIMITED</v>
    <v>BAJAJ FINANCE LIMITED</v>
    <v>1039</v>
    <v>48.19</v>
    <v>1041.9000000000001</v>
    <v>1066.5999999999999</v>
    <v>6215135000</v>
    <v>BAJFINANCE</v>
    <v>BAJAJ FINANCE LIMITED (XNSE:BAJFINANCE)</v>
    <v>6940923</v>
    <v>6416050</v>
    <v>1987</v>
  </rv>
  <rv s="3">
    <v>23</v>
  </rv>
  <rv s="8">
    <v>en-IN</v>
    <v>cemm3m</v>
    <v>268435456</v>
    <v>1</v>
    <v>Powered by Refinitiv</v>
    <v>14</v>
    <v>BAJAJ HOUSING FINANCE LIMITED (XNSE:BAJAJHFL)</v>
    <v>11</v>
    <v>3</v>
    <v>Finance</v>
    <v>4</v>
    <v>147.69999999999999</v>
    <v>103.1</v>
    <v>1.4219999999999999</v>
    <v>0.12</v>
    <v>1.0970000000000001E-3</v>
    <v>INR</v>
    <v>Bajaj Housing Finance Limited is an India-based non-deposit-taking housing finance company. The Company offers a range of products, such as home loan, home loan balance transfer, loans against property (LAP), lease rental discounting, and developer finance. It offers finance to individuals as well as corporate entities for the purchase and renovation of homes, or commercial spaces. It also provides loans against property for business or personal needs as well as working capital for business expansion purposes. It also offers finance to developers engaged in the construction of residential and commercial properties as well as lease rental discounting to developers and high-net-worth individuals. Under its Lease Rental Discounting, the loans are extended for commercial office spaces, industrial spaces, and local warehouses. It also offers life insurance, general insurance, health insurance, online primary healthcare assistance services and other financial services products to customers.</v>
    <v>1977</v>
    <v>National Stock Exchange of India</v>
    <v>XNSE</v>
    <v>XNSE</v>
    <v>5th Floor, B2 Building, Cerebrum IT Park, Kumar City, Kalyani Nagar, PUNE, MAHARASHTRA, 411014 IN</v>
    <v>110.5</v>
    <v>Banking Services</v>
    <v>Stock</v>
    <v>45968.492858796293</v>
    <v>108.41</v>
    <v>911982700000</v>
    <v>BAJAJ HOUSING FINANCE LIMITED</v>
    <v>BAJAJ HOUSING FINANCE LIMITED</v>
    <v>110</v>
    <v>38.630000000000003</v>
    <v>109.38</v>
    <v>109.5</v>
    <v>8328608000</v>
    <v>BAJAJHFL</v>
    <v>BAJAJ HOUSING FINANCE LIMITED (XNSE:BAJAJHFL)</v>
    <v>7680492</v>
    <v>3473750</v>
    <v>2008</v>
  </rv>
  <rv s="3">
    <v>25</v>
  </rv>
  <rv s="1">
    <v>https://www.bing.com/financeapi/forcetrigger?t=ahj3bh&amp;q=XNSE%3aMUTHOOTFIN&amp;form=skydnc</v>
    <v>Learn more on Bing</v>
  </rv>
  <rv s="2">
    <v>en-IN</v>
    <v>ahj3bh</v>
    <v>268435456</v>
    <v>1</v>
    <v>Powered by Refinitiv</v>
    <v>0</v>
    <v>MUTHOOT FINANCE LIMITED (XNSE:MUTHOOTFIN)</v>
    <v>2</v>
    <v>3</v>
    <v>Finance</v>
    <v>4</v>
    <v>3377.9</v>
    <v>1756.05</v>
    <v>0.97209999999999996</v>
    <v>46.2</v>
    <v>1.4511000000000001E-2</v>
    <v>INR</v>
    <v>Muthoot Finance Limited is an India-based Non-Banking Financial Company (NBFC), which is engaged in the business of financing. The Company provides business loans secured by gold jewelry or gold loans. It also provides collection services, loan against property, and money transfer services. Its gold loan schemes include Muthoot One Percent Loan, Muthoot Ultimate Loan, Muthoot Delight Loan, Muthoot Mudra Loan, Muthoot Advantage Loan, Muthoot High Value Plus Loan, Muthoot High Value Loan, Muthoot Big Business Loans, Best Value Loan, and High Value Retention. The Company’s services include gold loan, loan at home, housing finance, personal loan, small business loan, insurance, small and medium-sized enterprises (SME) loans, corporate business loan, vehicle loan, mutual funds, non-convertible debentures (NCD), custom offers, pan card, micro finance, digital and cashless, milligram rewards, and national pension system (NPS).</v>
    <v>29221</v>
    <v>National Stock Exchange of India</v>
    <v>XNSE</v>
    <v>XNSE</v>
    <v>2Nd Floor Muthoot Chambers Opp Saritha Theatre Complex, ERNAKULAM, KERALA, 682018 IN</v>
    <v>3238.4</v>
    <v>Banking Services</v>
    <v>Stock</v>
    <v>45968.492881944447</v>
    <v>27</v>
    <v>3145.2</v>
    <v>1296743000000</v>
    <v>MUTHOOT FINANCE LIMITED</v>
    <v>MUTHOOT FINANCE LIMITED</v>
    <v>3161</v>
    <v>20.67</v>
    <v>3183.8</v>
    <v>3230</v>
    <v>401468500</v>
    <v>MUTHOOTFIN</v>
    <v>MUTHOOT FINANCE LIMITED (XNSE:MUTHOOTFIN)</v>
    <v>397869</v>
    <v>529740</v>
    <v>1997</v>
  </rv>
  <rv s="3">
    <v>28</v>
  </rv>
  <rv s="9">
    <v>en-IN</v>
    <v>avcpf2</v>
    <v>268435456</v>
    <v>1</v>
    <v>Powered by Refinitiv</v>
    <v>15</v>
    <v>INR/USD</v>
    <v>16</v>
    <v>17</v>
    <v>Finance</v>
    <v>18</v>
    <v>1.1939999999999999E-2</v>
    <v>1.124E-2</v>
    <v>0</v>
    <v>0</v>
    <v>USD</v>
    <v>INR</v>
    <v>Currency Pair</v>
    <v>45968.90730324074</v>
    <v>Indian Rupee/US Dollar FX Cross Rate</v>
    <v>1.128E-2</v>
    <v>1.128E-2</v>
    <v>INRUSD</v>
    <v>INR/USD</v>
  </rv>
  <rv s="3">
    <v>30</v>
  </rv>
  <rv s="0">
    <v>7</v>
    <v>5</v>
  </rv>
  <rv s="1">
    <v>https://www.bing.com/financeapi/forcetrigger?t=ahju6h&amp;q=XNSE%3aSBIN&amp;form=skydnc</v>
    <v>Learn more on Bing</v>
  </rv>
  <rv s="10">
    <v>en-IN</v>
    <v>ahju6h</v>
    <v>268435456</v>
    <v>1</v>
    <v>Powered by Refinitiv</v>
    <v>19</v>
    <v>State Bank of India (XNSE:SBIN)</v>
    <v>2</v>
    <v>12</v>
    <v>Finance</v>
    <v>4</v>
    <v>971.4</v>
    <v>680</v>
    <v>1.2655000000000001</v>
    <v>-4.9000000000000004</v>
    <v>-5.1000000000000004E-3</v>
    <v>INR</v>
    <v>State Bank of India is an India-based banking and financial services provider. The Company is engaged in providing a wide range of products and services to individuals, commercial enterprises, corporates, public bodies and institutional customers. Its segments include Treasury, Corporate/Wholesale Banking, Retail Banking, Insurance Business and Other Banking Business. The Treasury segment includes investment portfolios and trading in foreign exchange contracts and derivative contracts. The Corporate/Wholesale Banking segment comprises the lending activities of the corporate accounts group, the commercial client’s group and the stressed assets resolution group. These include providing loans and transaction services to corporate and institutional clients and further include non-treasury operations of foreign offices/entities. The Retail Banking Segment is engaged in personal banking activities including lending activities to corporate customers having banking relations with its branches.</v>
    <v>236226</v>
    <v>National Stock Exchange of India</v>
    <v>XNSE</v>
    <v>XNSE</v>
    <v>Corporate Centre,14th Floor, State Bank Bhavan, Madame Cama Marg, MUMBAI, MAHARASHTRA, 400021 IN</v>
    <v>964.85</v>
    <v>Banking Services</v>
    <v>Stock</v>
    <v>45968.492893518516</v>
    <v>33</v>
    <v>944</v>
    <v>8823086000000</v>
    <v>State Bank of India</v>
    <v>State Bank of India</v>
    <v>958.75</v>
    <v>10.72</v>
    <v>960.75</v>
    <v>955.85</v>
    <v>9230617000</v>
    <v>SBIN</v>
    <v>State Bank of India (XNSE:SBIN)</v>
    <v>13371323</v>
    <v>14132590</v>
  </rv>
  <rv s="3">
    <v>34</v>
  </rv>
  <rv s="1">
    <v>https://www.bing.com/financeapi/forcetrigger?t=axoau2&amp;q=XBOM%3a535730&amp;form=skydnc</v>
    <v>Learn more on Bing</v>
  </rv>
  <rv s="11">
    <v>en-IN</v>
    <v>axoau2</v>
    <v>268435456</v>
    <v>1</v>
    <v>Powered by Refinitiv</v>
    <v>20</v>
    <v>KHOOBSURAT LTD (XBOM:535730)</v>
    <v>2</v>
    <v>21</v>
    <v>Finance</v>
    <v>13</v>
    <v>0.86</v>
    <v>0.43</v>
    <v>-0.20399999999999999</v>
    <v>0.01</v>
    <v>1.6949000000000002E-2</v>
    <v>INR</v>
    <v>Khoobsurat Limited is an India-based company, which is primarily engaged in the business of investing in shares and securities, listed and unlisted, as well as doing financing activities, serving both individuals and corporate entities. The Company operates through the Finance &amp; Investments segment.</v>
    <v>29</v>
    <v>Bombay Stock Exchange</v>
    <v>XBOM</v>
    <v>XBOM</v>
    <v>7A, Bentinck Street,, 3rd Floor,, KOLKATA, WEST BENGAL, 700001 IN</v>
    <v>0.61</v>
    <v>Investment Banking &amp; Investment Services</v>
    <v>Stock</v>
    <v>45968.687696759262</v>
    <v>36</v>
    <v>0.59</v>
    <v>282163900</v>
    <v>KHOOBSURAT LTD</v>
    <v>KHOOBSURAT LTD</v>
    <v>0.59</v>
    <v>0.59</v>
    <v>0.6</v>
    <v>470273300</v>
    <v>535730</v>
    <v>KHOOBSURAT LTD (XBOM:535730)</v>
    <v>485527</v>
    <v>684470</v>
    <v>1982</v>
  </rv>
  <rv s="3">
    <v>37</v>
  </rv>
  <rv s="8">
    <v>en-IN</v>
    <v>cf57cw</v>
    <v>268435456</v>
    <v>1</v>
    <v>Powered by Refinitiv</v>
    <v>14</v>
    <v>SAGILITY LIMITED (XNSE:SAGILITY)</v>
    <v>11</v>
    <v>3</v>
    <v>Finance</v>
    <v>4</v>
    <v>57.89</v>
    <v>27.02</v>
    <v>1.95</v>
    <v>1.17</v>
    <v>2.3099999999999999E-2</v>
    <v>INR</v>
    <v>Sagility Ltd, formerly Sagility India Limited, is a provider of technology-enabled business solutions and services to clients in the United States healthcare industry. Its clients include payers (United States health insurance companies, which finance and reimburse the cost of health services) and providers (primarily hospitals, physicians, and diagnostic and medical devices companies). Its services to payers cater to various aspects of their operations, including core benefits administration functions such as claims management, enrollment and benefits plan building, and clinical functions such as utilization management and care management. Its services to providers include revenue cycle management functions such as financial clearance, medical coding, billing, and accounts receivable follow-up services. It also provides some of the services that it provides to Payers to pharmacy benefit managers that manage prescription drugs for members (insured persons) under health insurance plans.</v>
    <v>39409</v>
    <v>National Stock Exchange of India</v>
    <v>XNSE</v>
    <v>XNSE</v>
    <v>AMR Tech Park,Building 2A,, Third Floor,Hongasandara Village, Off Hosur Road,Bommanahalli, BANGALORE, KARNATAKA, 560068 IN</v>
    <v>52.34</v>
    <v>Professional &amp; Commercial Services</v>
    <v>Stock</v>
    <v>45968.492893518516</v>
    <v>49.87</v>
    <v>242586400000</v>
    <v>SAGILITY LIMITED</v>
    <v>SAGILITY LIMITED</v>
    <v>50.6</v>
    <v>29.35</v>
    <v>50.65</v>
    <v>51.82</v>
    <v>4681329000</v>
    <v>SAGILITY</v>
    <v>SAGILITY LIMITED (XNSE:SAGILITY)</v>
    <v>54489936</v>
    <v>117694950</v>
    <v>2021</v>
  </rv>
  <rv s="3">
    <v>39</v>
  </rv>
  <rv s="1">
    <v>https://www.bing.com/financeapi/forcetrigger?t=c3ltyc&amp;q=XNSE%3aPARAS&amp;form=skydnc</v>
    <v>Learn more on Bing</v>
  </rv>
  <rv s="2">
    <v>en-IN</v>
    <v>c3ltyc</v>
    <v>268435456</v>
    <v>1</v>
    <v>Powered by Refinitiv</v>
    <v>0</v>
    <v>PARAS DEFENCE AND SPACE TECHNOLOGIES LIMITED (XNSE:PARAS)</v>
    <v>2</v>
    <v>3</v>
    <v>Finance</v>
    <v>4</v>
    <v>972.5</v>
    <v>404.7</v>
    <v>1.8213999999999999</v>
    <v>6.5</v>
    <v>9.7000000000000003E-3</v>
    <v>INR</v>
    <v>Paras Defence and Space Technologies Limited is an India-based defense engineering Company. The Company is engaged in offering a range of products and solutions for defense and space application. It operates through two segments: Optics &amp; Optronic Systems and Defense Engineering. Optics &amp; Optronic Systems segment include optical components and sub-systems, such as space optics/gratings/mirrors, infra-red lenses for night vision devices, opto-mechanical assemblies and precision diamond turned components and opto-electronic systems comprising of submarine periscope, hyperspectral camera. Defense Engineering segment include defense electronics compromising of defense automation and control systems, rugged command and control consoles, and avionic suite; heavy engineering comprising of flow formed rockets/ missile motor tubes, electromechanical assemblies, remote controlled border defense system and turnkey projects, and electromagnetic pulse protection solutions.</v>
    <v>537</v>
    <v>National Stock Exchange of India</v>
    <v>XNSE</v>
    <v>XNSE</v>
    <v>D-112, TTC Industrial Area, Nerul, NAVI MUMBAI, MAHARASHTRA, 400706 IN</v>
    <v>679.35</v>
    <v>Aerospace &amp; Defense</v>
    <v>Stock</v>
    <v>45968.492881944447</v>
    <v>41</v>
    <v>646.25</v>
    <v>54525390000</v>
    <v>PARAS DEFENCE AND SPACE TECHNOLOGIES LIMITED</v>
    <v>PARAS DEFENCE AND SPACE TECHNOLOGIES LIMITED</v>
    <v>665</v>
    <v>84.4</v>
    <v>670.1</v>
    <v>676.6</v>
    <v>80587330</v>
    <v>PARAS</v>
    <v>PARAS DEFENCE AND SPACE TECHNOLOGIES LIMITED (XNSE:PARAS)</v>
    <v>487524</v>
    <v>749480</v>
    <v>2009</v>
  </rv>
  <rv s="3">
    <v>42</v>
  </rv>
  <rv s="1">
    <v>https://www.bing.com/financeapi/forcetrigger?t=ah7pa2&amp;q=XBOM%3a500049&amp;form=skydnc</v>
    <v>Learn more on Bing</v>
  </rv>
  <rv s="2">
    <v>en-IN</v>
    <v>ah7pa2</v>
    <v>268435456</v>
    <v>1</v>
    <v>Powered by Refinitiv</v>
    <v>0</v>
    <v>BHARAT ELECTRONICS LIMITED (XBOM:500049)</v>
    <v>2</v>
    <v>3</v>
    <v>Finance</v>
    <v>13</v>
    <v>435.95</v>
    <v>240.15</v>
    <v>1.0960000000000001</v>
    <v>5.7</v>
    <v>1.3951999999999999E-2</v>
    <v>INR</v>
    <v>Bharat Electronics Limited is an India-based company, which manufactures and supplies electronic equipment and systems for the defense sector as well as for non-defense markets. It manufactures electronic products and systems for the army, navy, and the air force. Its defense products include radar and fire control systems, weapon systems, communication, network centric systems (c4i), electronic warfare systems, avionics, anti-submarine warfare systems &amp; sonars, electro-optics, tank electronics, gun upgrades, strategic components, and others. Its non-defense products include electronic voting machines, software solutions / services, healthcare solutions, civil aviation and solar cells/power plants, railway / metro / airport solutions, space electronics and systems, alternate energy solutions, secure communication solutions. It also offers software, electronic manufacturing services and cybersecurity. Its subsidiaries include BEL Optronic Devices Ltd. and BEL-THALES Systems Ltd.</v>
    <v>8844</v>
    <v>Bombay Stock Exchange</v>
    <v>XBOM</v>
    <v>XBOM</v>
    <v>Outer Ring Road, Nagavara, BANGALORE, KARNATAKA, 560045 IN</v>
    <v>415.9</v>
    <v>Aerospace &amp; Defense</v>
    <v>Stock</v>
    <v>45968.687685185185</v>
    <v>44</v>
    <v>405.15</v>
    <v>3028076000000</v>
    <v>BHARAT ELECTRONICS LIMITED</v>
    <v>BHARAT ELECTRONICS LIMITED</v>
    <v>408.15</v>
    <v>52.39</v>
    <v>408.55</v>
    <v>414.25</v>
    <v>7309779000</v>
    <v>500049</v>
    <v>BHARAT ELECTRONICS LIMITED (XBOM:500049)</v>
    <v>305393</v>
    <v>18312240</v>
    <v>1954</v>
  </rv>
  <rv s="3">
    <v>45</v>
  </rv>
  <rv s="1">
    <v>https://www.bing.com/financeapi/forcetrigger?t=ahikzr&amp;q=XNSE%3aKEC&amp;form=skydnc</v>
    <v>Learn more on Bing</v>
  </rv>
  <rv s="2">
    <v>en-IN</v>
    <v>ahikzr</v>
    <v>268435456</v>
    <v>1</v>
    <v>Powered by Refinitiv</v>
    <v>0</v>
    <v>KEC INTERNATIONAL LIMITED (XNSE:KEC)</v>
    <v>2</v>
    <v>3</v>
    <v>Finance</v>
    <v>4</v>
    <v>1313.25</v>
    <v>627.45000000000005</v>
    <v>0.67630000000000001</v>
    <v>-27.65</v>
    <v>-3.5132999999999998E-2</v>
    <v>INR</v>
    <v>KEC International Limited is an India-based global infrastructure engineering, procurement and construction (EPC) company. Its segments include EPC and others. Its EPC comprises infrastructure-related projects, systems, products and related activities for power transmission and distribution, railway track-laying, electrification, civil, urban infrastructure, and oil and gas pipelines laying. Its Others segment comprises the sale of cables. Its power transmission and distribution vertical offer integrated solutions ranging from design, manufacturing, supply, installation, and commissioning of transmission lines, substations and underground cabling in both domestic and international markets. The Company's civil vertical is focused on projects, in segments such as buildings and factories, public spaces, water projects, data centers, and metro projects. Its railways vertical offers end-to-end EPC services for railway track-laying, over-head electrification (OHE), and civil infrastructure.</v>
    <v>7692</v>
    <v>National Stock Exchange of India</v>
    <v>XNSE</v>
    <v>XNSE</v>
    <v>RPG House, 463, Dr. Annie Besant Road, Worli, MUMBAI, MAHARASHTRA, 400030 IN</v>
    <v>787</v>
    <v>Construction &amp; Engineering</v>
    <v>Stock</v>
    <v>45968.492881944447</v>
    <v>47</v>
    <v>757.6</v>
    <v>202139000000</v>
    <v>KEC INTERNATIONAL LIMITED</v>
    <v>KEC INTERNATIONAL LIMITED</v>
    <v>787</v>
    <v>34.28</v>
    <v>787</v>
    <v>759.35</v>
    <v>266200000</v>
    <v>KEC</v>
    <v>KEC INTERNATIONAL LIMITED (XNSE:KEC)</v>
    <v>1289302</v>
    <v>380410</v>
    <v>2005</v>
  </rv>
  <rv s="3">
    <v>48</v>
  </rv>
  <rv s="8">
    <v>en-IN</v>
    <v>c8gy3m</v>
    <v>268435456</v>
    <v>1</v>
    <v>Powered by Refinitiv</v>
    <v>14</v>
    <v>KFIN TECHNOLOGIES LIMITED (XNSE:KFINTECH)</v>
    <v>11</v>
    <v>3</v>
    <v>Finance</v>
    <v>4</v>
    <v>1641.35</v>
    <v>784.15</v>
    <v>1.4390000000000001</v>
    <v>48.9</v>
    <v>4.6040999999999999E-2</v>
    <v>INR</v>
    <v>KFin Technologies Limited is engaged in providing service of registrar to the public issue of securities, registrar to the securities transfers, and back-office operations to mutual fund houses and data processing activities. Its business segments include Domestic mutual fund investor solutions, Issuer solutions, International and other investor solutions and Global business services. It is an investor solutions provider to asset management firms and issuer solutions provider to both listed and unlisted corporations in India, in terms of the number of clients served. It also offers investor solutions and fund administration to asset managers in GIFT City (India), Malaysia, the Philippines, Singapore, Hong Kong, Thailand, and Canada. It offers platform-as-a-service and software-as-a-service based solutions, such as digital onboarding for investors, transfer agency, fund accounting, fund administration, transaction management and other diverse digital services to global asset managers.</v>
    <v>6371</v>
    <v>National Stock Exchange of India</v>
    <v>XNSE</v>
    <v>XNSE</v>
    <v>Selenium Building, Tower-B, Plot No 31 &amp; 32, Financial District, Nanakramguda, Serilingampally, Rangareddi, HYDERABAD, TELANGANA, 500032 IN</v>
    <v>1116.8</v>
    <v>Financial Technology (Fintech) &amp; Infrastructure</v>
    <v>Stock</v>
    <v>45968.492881944447</v>
    <v>1051</v>
    <v>191421800000</v>
    <v>KFIN TECHNOLOGIES LIMITED</v>
    <v>KFIN TECHNOLOGIES LIMITED</v>
    <v>1062.0999999999999</v>
    <v>52.83</v>
    <v>1062.0999999999999</v>
    <v>1111</v>
    <v>172296800</v>
    <v>KFINTECH</v>
    <v>KFIN TECHNOLOGIES LIMITED (XNSE:KFINTECH)</v>
    <v>1132039</v>
    <v>1197620</v>
    <v>2017</v>
  </rv>
  <rv s="3">
    <v>50</v>
  </rv>
  <rv s="1">
    <v>https://www.bing.com/financeapi/forcetrigger?t=ahjqtc&amp;q=XNSE%3aRTNPOWER&amp;form=skydnc</v>
    <v>Learn more on Bing</v>
  </rv>
  <rv s="2">
    <v>en-IN</v>
    <v>ahjqtc</v>
    <v>268435456</v>
    <v>1</v>
    <v>Powered by Refinitiv</v>
    <v>0</v>
    <v>RattanIndia Power Limited (XNSE:RTNPOWER)</v>
    <v>2</v>
    <v>3</v>
    <v>Finance</v>
    <v>4</v>
    <v>16.920000000000002</v>
    <v>8.44</v>
    <v>0.77049999999999996</v>
    <v>-0.12</v>
    <v>-1.1429E-2</v>
    <v>INR</v>
    <v>RattanIndia Power Limited is an India-based power generation company. The Company is principally engaged in the business of dealing in power generation, distribution, trading and transmission, and other ancillary and incidental activities. The Company’s thermal power projects include Amravati Thermal Power Project and Nasik Thermal Power Project. Its Amravati Thermal Power Project is a coal-based thermal power plant spread over an area of approximately 1,350 acres at Nandgaonpeth, 13 kilometers from Amravati city, Maharashtra in India. The Amravati Plant comprises approximately five units of over 270 megawatts with a total installed capacity of 1,350 megawatts. Amravati Thermal Power Plant also comprises a residential township for its personnel. The Nashik Thermal Power Project is situated near Sinnar, approximately 40 kilometers from Nashik city in Maharashtra, India. The plant, spread over an area of approximately 1,040 acres, has an installed capacity of over 1,350 megawatts.</v>
    <v>548</v>
    <v>National Stock Exchange of India</v>
    <v>XNSE</v>
    <v>XNSE</v>
    <v>A-49, Ground Floor, Road No. 4, Mahipalpur, NEW DELHI, DELHI, 110037 IN</v>
    <v>10.49</v>
    <v>Electrical Utilities &amp; IPPs</v>
    <v>Stock</v>
    <v>45968.492893518516</v>
    <v>52</v>
    <v>10.24</v>
    <v>55741700000</v>
    <v>RattanIndia Power Limited</v>
    <v>RattanIndia Power Limited</v>
    <v>10.45</v>
    <v>64.58</v>
    <v>10.5</v>
    <v>10.38</v>
    <v>5370106000</v>
    <v>RTNPOWER</v>
    <v>RattanIndia Power Limited (XNSE:RTNPOWER)</v>
    <v>14315831</v>
    <v>16499010</v>
    <v>2007</v>
  </rv>
  <rv s="3">
    <v>53</v>
  </rv>
  <rv s="1">
    <v>https://www.bing.com/financeapi/forcetrigger?t=ahk7tc&amp;q=XNSE%3aSUZLON&amp;form=skydnc</v>
    <v>Learn more on Bing</v>
  </rv>
  <rv s="2">
    <v>en-IN</v>
    <v>ahk7tc</v>
    <v>268435456</v>
    <v>1</v>
    <v>Powered by Refinitiv</v>
    <v>0</v>
    <v>SUZLON ENERGY LIMITED (XNSE:SUZLON)</v>
    <v>2</v>
    <v>3</v>
    <v>Finance</v>
    <v>4</v>
    <v>74.3</v>
    <v>46.15</v>
    <v>1.8552</v>
    <v>-2.23</v>
    <v>-3.7409999999999999E-2</v>
    <v>INR</v>
    <v>Suzlon Energy Limited is a renewable energy solutions provider. The Company specializes in the design, development, manufacturing, installation and maintenance of wind turbines and related renewable energy components. It manufactures wind turbine generators (WTGs) and related components of various capacities. Its products include S144 Wind Turbine Generator, S133 Wind Turbine Generator and S120 Wind Turbine Generator. The S144 is extendable depending on the site’s wind conditions. These products offer hub heights up to 160 meters (m). The fleet delivers 40-43% higher generation over the S120. 10-12% higher generation over S133. The S133 is extendable up to 3.0 megawatts (MW) depending on the site's wind conditions. The S120 2.1 MW is available in three variants with towers up to 140 m hub height. Its services include operations and maintenance services, leadership, optimization and digitalization, value-added services and products, and multi-brand operation and maintenance services.</v>
    <v>6662</v>
    <v>National Stock Exchange of India</v>
    <v>XNSE</v>
    <v>XNSE</v>
    <v>One Earth, Hadapsar, PUNE, MAHARASHTRA, 411028 IN</v>
    <v>59.5</v>
    <v>Renewable Energy</v>
    <v>Stock</v>
    <v>45968.492893518516</v>
    <v>55</v>
    <v>56.93</v>
    <v>786669200000</v>
    <v>SUZLON ENERGY LIMITED</v>
    <v>SUZLON ENERGY LIMITED</v>
    <v>59.5</v>
    <v>25.69</v>
    <v>59.61</v>
    <v>57.38</v>
    <v>13718450000</v>
    <v>SUZLON</v>
    <v>SUZLON ENERGY LIMITED (XNSE:SUZLON)</v>
    <v>122840652</v>
    <v>121233620</v>
    <v>1995</v>
  </rv>
  <rv s="3">
    <v>56</v>
  </rv>
  <rv s="1">
    <v>https://www.bing.com/financeapi/forcetrigger?t=ayp73m&amp;q=XBOM%3a540879&amp;form=skydnc</v>
    <v>Learn more on Bing</v>
  </rv>
  <rv s="2">
    <v>en-IN</v>
    <v>ayp73m</v>
    <v>268435456</v>
    <v>1</v>
    <v>Powered by Refinitiv</v>
    <v>0</v>
    <v>APOLLO MICRO SYSTEMS LIMITED (XBOM:540879)</v>
    <v>2</v>
    <v>3</v>
    <v>Finance</v>
    <v>13</v>
    <v>354.65</v>
    <v>90.4</v>
    <v>0.3992</v>
    <v>2.5</v>
    <v>9.3830000000000007E-3</v>
    <v>INR</v>
    <v>Apollo Micro Systems Limited is an electronic, electromechanical, and engineering design, manufacturing, and supplies company. It specializes in the design, development, and sale of high-performance solutions that are critical for missions and time-sensitive operations. Its portfolio comprises products catering to the needs of a wide range of customers across various industries. It offers a wide range of products and services, including electronic manufacturing, PCB fabrication, embedded software and hardware design, printed circuit board assembly, concept-to-product development, host interface development, and custom-built electronic systems. Its product-based solutions include avionics systems, aerospace, ground defense, space, transportation, embedded solutions, and homeland security. Its service-based solutions include electronic manufacturing services, electronic-CAD design, mechanical engineering services, information technology and software services, and hardware designing.</v>
    <v>405</v>
    <v>Bombay Stock Exchange</v>
    <v>XBOM</v>
    <v>XBOM</v>
    <v>Plot No 128/A, Road No. 12, BEL Road, IDA Mallapur, Uppal Mandal, HYDERABAD, TELANGANA, 500076 IN</v>
    <v>273.35000000000002</v>
    <v>Aerospace &amp; Defense</v>
    <v>Stock</v>
    <v>45968.687696759262</v>
    <v>58</v>
    <v>257.3</v>
    <v>90102330000</v>
    <v>APOLLO MICRO SYSTEMS LIMITED</v>
    <v>APOLLO MICRO SYSTEMS LIMITED</v>
    <v>265.2</v>
    <v>125.09</v>
    <v>266.45</v>
    <v>268.95</v>
    <v>335639200</v>
    <v>540879</v>
    <v>APOLLO MICRO SYSTEMS LIMITED (XBOM:540879)</v>
    <v>915892</v>
    <v>4101460</v>
    <v>1997</v>
  </rv>
  <rv s="3">
    <v>59</v>
  </rv>
  <rv s="8">
    <v>en-IN</v>
    <v>cemlww</v>
    <v>268435456</v>
    <v>1</v>
    <v>Powered by Refinitiv</v>
    <v>14</v>
    <v>BAJAJ HOUSING FINANCE LIMITED (XBOM:544252)</v>
    <v>11</v>
    <v>3</v>
    <v>Finance</v>
    <v>13</v>
    <v>147.69999999999999</v>
    <v>103</v>
    <v>1.4219999999999999</v>
    <v>0.1</v>
    <v>9.1450000000000006E-4</v>
    <v>INR</v>
    <v>Bajaj Housing Finance Limited is an India-based non-deposit-taking housing finance company. The Company offers a range of products, such as home loan, home loan balance transfer, loans against property (LAP), lease rental discounting, and developer finance. It offers finance to individuals as well as corporate entities for the purchase and renovation of homes, or commercial spaces. It also provides loans against property for business or personal needs as well as working capital for business expansion purposes. It also offers finance to developers engaged in the construction of residential and commercial properties as well as lease rental discounting to developers and high-net-worth individuals. Under its Lease Rental Discounting, the loans are extended for commercial office spaces, industrial spaces, and local warehouses. It also offers life insurance, general insurance, health insurance, online primary healthcare assistance services and other financial services products to customers.</v>
    <v>1977</v>
    <v>Bombay Stock Exchange</v>
    <v>XBOM</v>
    <v>XBOM</v>
    <v>5th Floor, B2 Building, Cerebrum IT Park, Kumar City, Kalyani Nagar, PUNE, MAHARASHTRA, 411014 IN</v>
    <v>110.65</v>
    <v>Banking Services</v>
    <v>Stock</v>
    <v>45968.687696759262</v>
    <v>108.45</v>
    <v>911982700000</v>
    <v>BAJAJ HOUSING FINANCE LIMITED</v>
    <v>BAJAJ HOUSING FINANCE LIMITED</v>
    <v>110.65</v>
    <v>38.619999999999997</v>
    <v>109.35</v>
    <v>109.45</v>
    <v>8328608000</v>
    <v>544252</v>
    <v>BAJAJ HOUSING FINANCE LIMITED (XBOM:544252)</v>
    <v>501399</v>
    <v>3473750</v>
    <v>2008</v>
  </rv>
  <rv s="3">
    <v>61</v>
  </rv>
  <rv s="1">
    <v>https://www.bing.com/financeapi/forcetrigger?t=ahi68m&amp;q=XNSE%3aHIRECT&amp;form=skydnc</v>
    <v>Learn more on Bing</v>
  </rv>
  <rv s="2">
    <v>en-IN</v>
    <v>ahi68m</v>
    <v>268435456</v>
    <v>1</v>
    <v>Powered by Refinitiv</v>
    <v>0</v>
    <v>HIND RECTIFIERS LIMITED (XNSE:HIRECT)</v>
    <v>2</v>
    <v>3</v>
    <v>Finance</v>
    <v>4</v>
    <v>2108.5</v>
    <v>799</v>
    <v>0.13370000000000001</v>
    <v>-92</v>
    <v>-4.9966999999999998E-2</v>
    <v>INR</v>
    <v>Hind Rectifiers Limited is an India-based company, which is engaged in developing, designing, manufacturing, and marketing power semiconductors, power electronic equipment and railway transportation equipment. The Company is engaged in designing, manufacturing, and marketing of electronic, electrical, electromechanical equipment such as transformers, converters, rectifiers, motors, panels, heating ventilation and air conditioning (HVAC), power supplies, &amp; battery chargers, for railway and general industries like power-plant, steel, cement, and others. The Company's products include traction &amp; aux transformers, insulated-gate bipolar transistor (IGBT) propulsion systems, auxiliary converters &amp; battery chargers, on-board DC rectifiers, traction motor, electrical switch boards, safety &amp; protection electronics, rolling stock HVAC systems, electrostatic precipitator, high current rectifiers, power quality improvement, and special rectifiers.</v>
    <v>539</v>
    <v>National Stock Exchange of India</v>
    <v>XNSE</v>
    <v>XNSE</v>
    <v>Lake Road, Bhandup West, MUMBAI, MAHARASHTRA, 400078 IN</v>
    <v>1784.1</v>
    <v>Machinery, Equipment &amp; Components</v>
    <v>Stock</v>
    <v>45968.49287037037</v>
    <v>63</v>
    <v>1749.2</v>
    <v>30057920000</v>
    <v>HIND RECTIFIERS LIMITED</v>
    <v>HIND RECTIFIERS LIMITED</v>
    <v>1784.1</v>
    <v>73.5</v>
    <v>1841.2</v>
    <v>1749.2</v>
    <v>17183810</v>
    <v>HIRECT</v>
    <v>HIND RECTIFIERS LIMITED (XNSE:HIRECT)</v>
    <v>30281</v>
    <v>63190</v>
    <v>1958</v>
  </rv>
  <rv s="3">
    <v>64</v>
  </rv>
  <rv s="1">
    <v>https://www.bing.com/financeapi/forcetrigger?t=ah9c3m&amp;q=XBOM%3a509563&amp;form=skydnc</v>
    <v>Learn more on Bing</v>
  </rv>
  <rv s="2">
    <v>en-IN</v>
    <v>ah9c3m</v>
    <v>268435456</v>
    <v>1</v>
    <v>Powered by Refinitiv</v>
    <v>0</v>
    <v>GARWARE MARINE INDUSTRIES LIMITED (XBOM:509563)</v>
    <v>2</v>
    <v>3</v>
    <v>Finance</v>
    <v>13</v>
    <v>41.66</v>
    <v>20.329999999999998</v>
    <v>1.5915999999999999</v>
    <v>-1.57</v>
    <v>-4.9889000000000003E-2</v>
    <v>INR</v>
    <v>Garware Marine Industries Limited is an India-based company, which is engaged in providing repair services to ships. The Company's primary activity entails the repair of different type of seagoing vessels. Its ship repairing services include pump overhauls, engine overhaul/repairs, hydraulic repairs, gear box repair, pipeline and other marine fabrication jobs. It also assists original equipment manufacturer (OEM) engineers in carrying out major day dockings, shaft removal and renewal, propeller hub overhaul, bow thruster, and stern thruster overhauls.</v>
    <v>152</v>
    <v>Bombay Stock Exchange</v>
    <v>XBOM</v>
    <v>XBOM</v>
    <v>03rd Floor, Prospect Chambers,, D. N. Road,Fort, MUMBAI, MAHARASHTRA, 400001 IN</v>
    <v>29.9</v>
    <v>Machinery, Equipment &amp; Components</v>
    <v>Stock</v>
    <v>45968.687685185185</v>
    <v>66</v>
    <v>29.9</v>
    <v>172408900</v>
    <v>GARWARE MARINE INDUSTRIES LIMITED</v>
    <v>GARWARE MARINE INDUSTRIES LIMITED</v>
    <v>29.9</v>
    <v>61.9</v>
    <v>31.47</v>
    <v>29.9</v>
    <v>5766180</v>
    <v>509563</v>
    <v>GARWARE MARINE INDUSTRIES LIMITED (XBOM:509563)</v>
    <v>3982</v>
    <v>26390</v>
    <v>1975</v>
  </rv>
  <rv s="3">
    <v>67</v>
  </rv>
  <rv s="1">
    <v>https://www.bing.com/financeapi/forcetrigger?t=ah8azr&amp;q=XBOM%3a500800&amp;form=skydnc</v>
    <v>Learn more on Bing</v>
  </rv>
  <rv s="2">
    <v>en-IN</v>
    <v>ah8azr</v>
    <v>268435456</v>
    <v>1</v>
    <v>Powered by Refinitiv</v>
    <v>0</v>
    <v>TATA CONSUMER PRODUCTS LIMITED (XBOM:500800)</v>
    <v>2</v>
    <v>3</v>
    <v>Finance</v>
    <v>13</v>
    <v>1202.75</v>
    <v>884</v>
    <v>1.1442000000000001</v>
    <v>-23.4</v>
    <v>-1.9696000000000002E-2</v>
    <v>INR</v>
    <v>Tata Consumer Products Limited is an India-based company engaged in trading, production and distribution of consumer products. The Company operates through two segments: Branded and Non-Branded. Branded segment is sub-categorized as India Business and International Business. Its India Business is engaged in the sale of branded tea, coffee and water, and sale of food products in various value-added forms. Its International Business is engaged in the sale of branded tea, coffee and water, and the sale of food products in various value-added forms. Its portfolio spans tea, coffee, water, ready-to-drink, salt, pulses, spices, ready-to-cook and ready-to-eat offerings, breakfast cereals, snacks and mini-meals. Its key beverage brands include Tata Tea, Tetley, Organic India, Eight O’Clock Coffee, Tata Coffee Grand, Himalayan Natural Mineral Water, Tata Copper+ and Tata Gluco+. Its food portfolio includes brands, such as Tata Salt, Tata Sampann, Tata Soulfull, Ching’s Secret and Smith &amp; Jones.</v>
    <v>4079</v>
    <v>Bombay Stock Exchange</v>
    <v>XBOM</v>
    <v>XBOM</v>
    <v>11/13, Botawala Building, 1st floor, Office #2-6 Horniman Circle Fort, MUMBAI, MAHARASHTRA, 400001 IN</v>
    <v>1192</v>
    <v>Food &amp; Tobacco</v>
    <v>Stock</v>
    <v>45968.687685185185</v>
    <v>69</v>
    <v>1155.8</v>
    <v>1154996000000</v>
    <v>TATA CONSUMER PRODUCTS LIMITED</v>
    <v>TATA CONSUMER PRODUCTS LIMITED</v>
    <v>1192</v>
    <v>85.9</v>
    <v>1188.05</v>
    <v>1164.6500000000001</v>
    <v>989544300</v>
    <v>500800</v>
    <v>TATA CONSUMER PRODUCTS LIMITED (XBOM:500800)</v>
    <v>49143</v>
    <v>1472230</v>
    <v>1962</v>
  </rv>
  <rv s="3">
    <v>70</v>
  </rv>
  <rv s="1">
    <v>https://www.bing.com/financeapi/forcetrigger?t=ahdba2&amp;q=XBOM%3a532281&amp;form=skydnc</v>
    <v>Learn more on Bing</v>
  </rv>
  <rv s="2">
    <v>en-IN</v>
    <v>ahdba2</v>
    <v>268435456</v>
    <v>1</v>
    <v>Powered by Refinitiv</v>
    <v>0</v>
    <v>HCL TECHNOLOGIES LIMITED (XBOM:532281)</v>
    <v>2</v>
    <v>3</v>
    <v>Finance</v>
    <v>13</v>
    <v>2004.27</v>
    <v>1304</v>
    <v>1.0407999999999999</v>
    <v>-14</v>
    <v>-9.1719999999999996E-3</v>
    <v>INR</v>
    <v>HCL Technologies Limited is a technology company. It is engaged in providing a range of information technology (IT) and business services, engineering and research and development (R&amp;D) services and software products and IP-led offerings. Its segments include IT and Business services, Engineering and R&amp;D services, and HCL Software. IT and Business Services segment provide a comprehensive portfolio of IT and Business Services, such as application, infrastructure and digital process operations) and digital transformation services enabled by digital and analytics, IoTWoRKs, Cloud native and Cybersecurity solutions including products developed within these businesses. Engineering and R&amp;D Services provides engineering services and solutions across software, embedded, mechanical, VLSI and platform engineering that support the end-to-end lifecycle of products both hardware and software across diverse industries. HCL Software segment provides modernized software products and IP-led offerings.</v>
    <v>226640</v>
    <v>Bombay Stock Exchange</v>
    <v>XBOM</v>
    <v>XBOM</v>
    <v>Technology Hub, SEZ, Plot No. 3A, Sector 126, NOIDA, UTTAR PRADESH, 201304 IN</v>
    <v>1519</v>
    <v>Software &amp; IT Services</v>
    <v>Stock</v>
    <v>45968.687696759262</v>
    <v>72</v>
    <v>1489.6</v>
    <v>4091814000000</v>
    <v>HCL TECHNOLOGIES LIMITED</v>
    <v>HCL TECHNOLOGIES LIMITED</v>
    <v>1519</v>
    <v>24.37</v>
    <v>1526.35</v>
    <v>1512.35</v>
    <v>2705510000</v>
    <v>532281</v>
    <v>HCL TECHNOLOGIES LIMITED (XBOM:532281)</v>
    <v>94726</v>
    <v>1995850</v>
    <v>1991</v>
  </rv>
  <rv s="3">
    <v>73</v>
  </rv>
  <rv s="1">
    <v>https://www.bing.com/financeapi/forcetrigger?t=ahh7cw&amp;q=XNSE%3aBHEL&amp;form=skydnc</v>
    <v>Learn more on Bing</v>
  </rv>
  <rv s="2">
    <v>en-IN</v>
    <v>ahh7cw</v>
    <v>268435456</v>
    <v>1</v>
    <v>Powered by Refinitiv</v>
    <v>0</v>
    <v>BHARAT HEAVY ELECTRICALS LIMITED (XNSE:BHEL)</v>
    <v>2</v>
    <v>3</v>
    <v>Finance</v>
    <v>4</v>
    <v>272.10000000000002</v>
    <v>176</v>
    <v>2.1393</v>
    <v>3.8</v>
    <v>1.4613000000000001E-2</v>
    <v>INR</v>
    <v>Bharat Heavy Electricals Limited is an engineering and manufacturing company. The Company offers comprehensive products, systems, and services in various areas, including power generation (thermal, hydro, gas, nuclear, and solar photovoltaic), transmission, transportation, defense, aerospace, oil and gas, and emerging sectors like battery energy storage systems and electric vehicle chargers. The Company operates through two business segments: Power and Industry. The Power segment comprises thermal, gas, hydro and nuclear power plant businesses, spares and services businesses, apart from new businesses of coal to chemicals, emission control equipment and spares. The Industry segment caters to major equipment supplies and engineering, procurement and construction (EPC) works for a number of industries, including transportation, transmission, defense, aerospace, captive power plants, process industries, renewables, downstream oil &amp; gas, and energy storage, among others.</v>
    <v>41132</v>
    <v>National Stock Exchange of India</v>
    <v>XNSE</v>
    <v>XNSE</v>
    <v>BHEL House, 4th Floor, Siri Fort Road, Asiad, NEW DELHI, DELHI, 110049 IN</v>
    <v>265.8</v>
    <v>Machinery, Equipment &amp; Components</v>
    <v>Stock</v>
    <v>45968.492858796293</v>
    <v>75</v>
    <v>255.3</v>
    <v>918742400000</v>
    <v>BHARAT HEAVY ELECTRICALS LIMITED</v>
    <v>BHARAT HEAVY ELECTRICALS LIMITED</v>
    <v>258</v>
    <v>136.24</v>
    <v>260.05</v>
    <v>263.85000000000002</v>
    <v>3482063000</v>
    <v>BHEL</v>
    <v>BHARAT HEAVY ELECTRICALS LIMITED (XNSE:BHEL)</v>
    <v>10052522</v>
    <v>17152590</v>
    <v>1964</v>
  </rv>
  <rv s="3">
    <v>76</v>
  </rv>
  <rv s="1">
    <v>https://www.bing.com/financeapi/forcetrigger?t=ahj8rw&amp;q=XNSE%3aNTPC&amp;form=skydnc</v>
    <v>Learn more on Bing</v>
  </rv>
  <rv s="2">
    <v>en-IN</v>
    <v>ahj8rw</v>
    <v>268435456</v>
    <v>1</v>
    <v>Powered by Refinitiv</v>
    <v>0</v>
    <v>NTPC LIMITED (XNSE:NTPC)</v>
    <v>2</v>
    <v>3</v>
    <v>Finance</v>
    <v>4</v>
    <v>414.3</v>
    <v>292.8</v>
    <v>1.101</v>
    <v>-0.55000000000000004</v>
    <v>-1.684E-3</v>
    <v>INR</v>
    <v>NTPC Limited is an India-based power generating company. The Company is primarily involved in the generation and sale of bulk power to State Power Utilities. Its segments include Generation of energy and Others. Its generation of energy segment is engaged in generation and sale of bulk power to state power utilities. Its other segment is focused on providing consultancy, project management and supervision, energy trading, oil &amp; gas exploration, and coal mining. The Company operates a total of 92 power stations across various Indian states, either independently or through its joint ventures (JVs) and subsidiaries. Its subsidiaries include NTPC Vidyut Vyapar Nigam Limited, NTPC Electric Supply Company Limited, Bhartiya Rail Bijlee Company Limited, Patratu Vidyut Utpadan Nigam Limited, NTPC Mining Limited, North Eastern Electric Power Corporation Limited, THDC India Limited, NTPC EDMC Waste Solutions Private Limited, NTPC Green Energy Limited, and Ratnagiri Gas and Power Private Limited.</v>
    <v>16646</v>
    <v>National Stock Exchange of India</v>
    <v>XNSE</v>
    <v>XNSE</v>
    <v>NTPC Bhawan, SCOPE Complex, Institutional Area, Lodhi Road, NEW DELHI, DELHI, 110003 IN</v>
    <v>327.10000000000002</v>
    <v>Electrical Utilities &amp; IPPs</v>
    <v>Stock</v>
    <v>45968.492881944447</v>
    <v>78</v>
    <v>320.85000000000002</v>
    <v>3162083000000</v>
    <v>NTPC LIMITED</v>
    <v>NTPC LIMITED</v>
    <v>324.39999999999998</v>
    <v>13.34</v>
    <v>326.64999999999998</v>
    <v>326.10000000000002</v>
    <v>9696666000</v>
    <v>NTPC</v>
    <v>NTPC LIMITED (XNSE:NTPC)</v>
    <v>8578167</v>
    <v>11061460</v>
    <v>1975</v>
  </rv>
  <rv s="3">
    <v>79</v>
  </rv>
  <rv s="1">
    <v>https://www.bing.com/financeapi/forcetrigger?t=ahheur&amp;q=XNSE%3aCOCHINSHIP&amp;form=skydnc</v>
    <v>Learn more on Bing</v>
  </rv>
  <rv s="2">
    <v>en-IN</v>
    <v>ahheur</v>
    <v>268435456</v>
    <v>1</v>
    <v>Powered by Refinitiv</v>
    <v>0</v>
    <v>COCHIN SHIPYARD LIMITED (XNSE:COCHINSHIP)</v>
    <v>2</v>
    <v>3</v>
    <v>Finance</v>
    <v>4</v>
    <v>2545</v>
    <v>1180.2</v>
    <v>1.23</v>
    <v>23.1</v>
    <v>1.3567000000000001E-2</v>
    <v>INR</v>
    <v>Cochin Shipyard Limited is an India-based company. The Company is engaged in the construction and maintenance of various types of ships. It caters to both domestic and international markets. It operates in two segments: Shipbuilding and Ship Repair. Its shipbuilding products include defense, such as aircraft carriers, next generation missile vessels, technology demonstration vessels, hydrographic survey vessels, and others; commercial, such as oil tankers, bulk carriers, dredgers, Pax vessels, marine ambulances, and others; and offshore, such as platform supply vessels, anchor handling/tug supply vessels, and multi-purpose vessels. It offers ship repair services such as maintenance and repairs of aircraft carriers and other defense vessels; oil rig upgrades, repair projects, and conversions; and repairs and maintenance of tankers, bulk carriers, and all commercial and specialized vessels. The Company’s subsidiaries are Hooghly Cochin Shipyard Limited and Udupi Cochin Shipyard Limited.</v>
    <v>2140</v>
    <v>National Stock Exchange of India</v>
    <v>XNSE</v>
    <v>XNSE</v>
    <v>Administrative Building, Cochin Shipyard Premises, Perumanoor, KOCHI, KERALA, 682015 IN</v>
    <v>1735</v>
    <v>Machinery, Equipment &amp; Components</v>
    <v>Stock</v>
    <v>45968.49287037037</v>
    <v>81</v>
    <v>1666.4</v>
    <v>454024800000</v>
    <v>COCHIN SHIPYARD LIMITED</v>
    <v>COCHIN SHIPYARD LIMITED</v>
    <v>1699</v>
    <v>53.26</v>
    <v>1702.7</v>
    <v>1725.8</v>
    <v>263080800</v>
    <v>COCHINSHIP</v>
    <v>COCHIN SHIPYARD LIMITED (XNSE:COCHINSHIP)</v>
    <v>745707</v>
    <v>811710</v>
    <v>1972</v>
  </rv>
  <rv s="3">
    <v>82</v>
  </rv>
  <rv s="1">
    <v>https://www.bing.com/financeapi/forcetrigger?t=ahgezr&amp;q=XBOM%3a540699&amp;form=skydnc</v>
    <v>Learn more on Bing</v>
  </rv>
  <rv s="2">
    <v>en-IN</v>
    <v>ahgezr</v>
    <v>268435456</v>
    <v>1</v>
    <v>Powered by Refinitiv</v>
    <v>0</v>
    <v>DIXON TECHNOLOGIES (INDIA) LIMITED (XBOM:540699)</v>
    <v>2</v>
    <v>3</v>
    <v>Finance</v>
    <v>13</v>
    <v>19149.8</v>
    <v>12326.6</v>
    <v>0.98250000000000004</v>
    <v>-245.15</v>
    <v>-1.626E-2</v>
    <v>INR</v>
    <v>Dixon Technologies (India) Limited is an India-based electronics manufacturing services (EMS) provider. The Company is engaged in manufacturing various verticals, including consumer durables, lighting solutions, home appliances, and mobile phones. It operates through a single segment, which is Electronics Goods. Its product portfolio can be categorized into consumer electronics, home appliances, lighting products, mobile phones and EMS. Its consumer electronics include light-emitting diode (LED) televisions (TVs) and refrigerators. Its home appliances include washing machines. Its lighting products include LED bulbs, outdoor lighting, smart lights, battens, and downlighters. Its mobile phones and EMS include smartphones, information technology (IT) hardware, telecommunications, hearables, and wearables. It offers reverse logistics services such as repair and refurbishment of LED TV panels.</v>
    <v>4447</v>
    <v>Bombay Stock Exchange</v>
    <v>XBOM</v>
    <v>XBOM</v>
    <v>B 14 &amp; 15, Noida Phase II, Gautam Buddha Nagar, NOIDA, UTTAR PRADESH, 201305 IN</v>
    <v>15060.6</v>
    <v>Computers, Phones &amp; Household Electronics</v>
    <v>Stock</v>
    <v>45968.687696759262</v>
    <v>84</v>
    <v>14672.55</v>
    <v>898567400000</v>
    <v>DIXON TECHNOLOGIES (INDIA) LIMITED</v>
    <v>DIXON TECHNOLOGIES (INDIA) LIMITED</v>
    <v>15060.6</v>
    <v>57.93</v>
    <v>15077.15</v>
    <v>14832</v>
    <v>60513660</v>
    <v>540699</v>
    <v>DIXON TECHNOLOGIES (INDIA) LIMITED (XBOM:540699)</v>
    <v>10462</v>
    <v>259360</v>
    <v>1993</v>
  </rv>
  <rv s="3">
    <v>85</v>
  </rv>
  <rv s="1">
    <v>https://www.bing.com/financeapi/forcetrigger?t=bwg4cw&amp;q=XNSE%3aMAZDOCK&amp;form=skydnc</v>
    <v>Learn more on Bing</v>
  </rv>
  <rv s="2">
    <v>en-IN</v>
    <v>bwg4cw</v>
    <v>268435456</v>
    <v>1</v>
    <v>Powered by Refinitiv</v>
    <v>0</v>
    <v>Mazagon Dock Shipbuilders Ltd (XNSE:MAZDOCK)</v>
    <v>2</v>
    <v>3</v>
    <v>Finance</v>
    <v>4</v>
    <v>3775</v>
    <v>1918.05</v>
    <v>1.9085000000000001</v>
    <v>39.799999999999997</v>
    <v>1.5129999999999999E-2</v>
    <v>INR</v>
    <v>Mazagon Dock Shipbuilders Limited is an India-based shipbuilding yard company, which is principally engaged in the building and repairing of ships, submarines, various types of vessels, and related engineering products for its customers. It is also engaged in the production of defense equipment. The Company's segments include Shipbuilding (New Construction and Ship Repairs) and Submarine. Its Shipbuilding segment includes the building and repair of Naval ships. Its Submarine segment includes the building, repair and refits of diesel and electric submarines for the Indian Navy. It provides cargo ships, passenger ships, supply vessels, multipurpose support vessels, water tankers, tugs, dredgers, fishing trawlers, barges, and border outposts. The Company caters to both national and international customers in the defense sector as well as civil operations. It offers supply chain management, tug support, and yard services and berth facilities for repairs and refits of commercial vessels.</v>
    <v>6039</v>
    <v>National Stock Exchange of India</v>
    <v>XNSE</v>
    <v>XNSE</v>
    <v>Dockyard Road, MUMBAI, MAHARASHTRA, 400010 IN</v>
    <v>2681.7</v>
    <v>Aerospace &amp; Defense</v>
    <v>Stock</v>
    <v>45968.492881944447</v>
    <v>87</v>
    <v>2582.8000000000002</v>
    <v>1077146000000</v>
    <v>Mazagon Dock Shipbuilders Ltd</v>
    <v>Mazagon Dock Shipbuilders Ltd</v>
    <v>2618</v>
    <v>38.57</v>
    <v>2630.5</v>
    <v>2670.3</v>
    <v>403380000</v>
    <v>MAZDOCK</v>
    <v>Mazagon Dock Shipbuilders Ltd (XNSE:MAZDOCK)</v>
    <v>985709</v>
    <v>1109240</v>
    <v>1934</v>
  </rv>
  <rv s="3">
    <v>88</v>
  </rv>
  <rv s="1">
    <v>http://en.wikipedia.org/wiki/Canara_Bank</v>
    <v>Wikipedia</v>
  </rv>
  <rv s="4">
    <v>10</v>
    <v>90</v>
  </rv>
  <rv s="5">
    <v>9</v>
    <v>https://www.bing.com/th?id=AMMS_c85087fd4a4a5af8fc014bd99fcebd02&amp;qlt=95</v>
    <v>91</v>
    <v>0</v>
    <v>https://www.bing.com/images/search?form=xlimg&amp;q=canara+bank</v>
    <v>Image of THE CANARA BANK LIMITED</v>
  </rv>
  <rv s="1">
    <v>https://www.bing.com/financeapi/forcetrigger?t=ahdkkr&amp;q=XBOM%3a532483&amp;form=skydnc</v>
    <v>Learn more on Bing</v>
  </rv>
  <rv s="6">
    <v>en-IN</v>
    <v>ahdkkr</v>
    <v>268435456</v>
    <v>1</v>
    <v>Powered by Refinitiv</v>
    <v>5</v>
    <v>THE CANARA BANK LIMITED (XBOM:532483)</v>
    <v>7</v>
    <v>8</v>
    <v>Finance</v>
    <v>13</v>
    <v>141.44999999999999</v>
    <v>78.58</v>
    <v>1.7081999999999999</v>
    <v>1.4</v>
    <v>1.0054E-2</v>
    <v>INR</v>
    <v>The Canara Bank Limited (the Bank) is an India-based bank. The Bank’s segments include Treasury Operations, Retail Banking Operations, Wholesale Banking Operations, Life Insurance Operations and Other Banking Operations. Its Retail Banking Operations include Digital Banking and Other Retail Banking. Its products and services include personal banking and corporate banking. Its personal banking includes depository services, mutual funds, technology products, retail loan products, micro, small and medium enterprise loan products and card services. Its corporate banking includes accounts and deposits, supply chain finance management, syndication services and technology upgradation fund schemes, among others. It also offers the depository services. It offers unbanked rural people with basic savings deposit accounts, PMJDY Overdraft Facilities and credit facilities under products, such as differential rate of interest scheme, Kisan Credit Card Scheme and various other credit products.</v>
    <v>81260</v>
    <v>Bombay Stock Exchange</v>
    <v>XBOM</v>
    <v>XBOM</v>
    <v>Head Office No.112, J C Road, BANGALORE, KARNATAKA, 560002 IN</v>
    <v>141.44999999999999</v>
    <v>92</v>
    <v>Banking Services</v>
    <v>Stock</v>
    <v>45968.687696759262</v>
    <v>93</v>
    <v>136.5</v>
    <v>1275969000000</v>
    <v>THE CANARA BANK LIMITED</v>
    <v>THE CANARA BANK LIMITED</v>
    <v>138.55000000000001</v>
    <v>6.59</v>
    <v>139.25</v>
    <v>140.65</v>
    <v>9070651000</v>
    <v>532483</v>
    <v>THE CANARA BANK LIMITED (XBOM:532483)</v>
    <v>1774850</v>
    <v>44611810</v>
    <v>1906</v>
  </rv>
  <rv s="3">
    <v>94</v>
  </rv>
  <rv s="1">
    <v>https://www.bing.com/financeapi/forcetrigger?t=ahkaa2&amp;q=XNSE%3aTATASTEEL&amp;form=skydnc</v>
    <v>Learn more on Bing</v>
  </rv>
  <rv s="2">
    <v>en-IN</v>
    <v>ahkaa2</v>
    <v>268435456</v>
    <v>1</v>
    <v>Powered by Refinitiv</v>
    <v>0</v>
    <v>TATA STEEL LIMITED (XNSE:TATASTEEL)</v>
    <v>2</v>
    <v>3</v>
    <v>Finance</v>
    <v>4</v>
    <v>186.94</v>
    <v>122.62</v>
    <v>1.2322</v>
    <v>4.0999999999999996</v>
    <v>2.3129E-2</v>
    <v>INR</v>
    <v>Tata Steel Limited is an India-based global steel company with an annual crude steel capacity of approximately 35 million tons per annum. The Company is primarily engaged in the business of manufacturing and distribution of steel products across the globe. The Company and its subsidiaries have a presence across the value chain of steel manufacturing, from mining and processing iron ore and coal to producing and distributing finished products. Its products include cold rolled (Non-branded), BP sheets, Galvano, HR commercial, hot rolled pickled and oiled and hot rolled skin passed pickled and oiled, high tensile steel strapping, pre-engineered buildings, projects/ tenders, construction and projects, and full hard cold rolled. The Company's brands include MagiZinc, Ymagine, Ympress, Contiflo, Strongbox, SAB Profil, Fischer Profil, Montana, Advantica, Fischertherm, Fischerfireproof, Montanatherm, Montapanel, Swiss Panel, Holorib, Serica, MagiZinc Auto, HyperForm, HILUMIN and Colorcoat.</v>
    <v>115788</v>
    <v>National Stock Exchange of India</v>
    <v>XNSE</v>
    <v>XNSE</v>
    <v>Bombay House, 24, Homi Modi Street, MUMBAI, MAHARASHTRA, 400001 IN</v>
    <v>182.25</v>
    <v>Metals &amp; Mining</v>
    <v>Stock</v>
    <v>45968.492893518516</v>
    <v>96</v>
    <v>175.01</v>
    <v>2264138000000</v>
    <v>TATA STEEL LIMITED</v>
    <v>TATA STEEL LIMITED</v>
    <v>177</v>
    <v>48.67</v>
    <v>177.27</v>
    <v>181.37</v>
    <v>12485450000</v>
    <v>TATASTEEL</v>
    <v>TATA STEEL LIMITED (XNSE:TATASTEEL)</v>
    <v>19165876</v>
    <v>27872250</v>
    <v>1907</v>
  </rv>
  <rv s="3">
    <v>97</v>
  </rv>
  <rv s="1">
    <v>https://www.bing.com/financeapi/forcetrigger?t=ahjw52&amp;q=XNSE%3aSHAKTIPUMP&amp;form=skydnc</v>
    <v>Learn more on Bing</v>
  </rv>
  <rv s="2">
    <v>en-IN</v>
    <v>ahjw52</v>
    <v>268435456</v>
    <v>1</v>
    <v>Powered by Refinitiv</v>
    <v>0</v>
    <v>SHAKTI PUMPS (INDIA) LIMITED (XNSE:SHAKTIPUMP)</v>
    <v>2</v>
    <v>3</v>
    <v>Finance</v>
    <v>4</v>
    <v>1387</v>
    <v>724.41</v>
    <v>0.71179999999999999</v>
    <v>1.55</v>
    <v>1.946E-3</v>
    <v>INR</v>
    <v>Shakti Pumps (India) Limited is an India-based company. The Company is engaged in the manufacturing of pumps, motors and their spare parts. Its products include Submersible pumps, Solar Pumps, Vertical Multistage Centrifugal Pumps, Monoblock End Suction Pumps, Pressure Booster Pumps, Wastewater Pumps, Open well Pumps, Shallow Well &amp; Slow Speed Pumps, Immersible Pump, Single shaft vertical multistage Pump-RO Series, Shakti Solar Open well-DCSOP Series and others. It offers water pumping solutions for a range of applications, such as irrigation-flood and micro irrigation, horticulture, domestic water supply, commercial and industrial applications and others. The Company’s product portfolio caters for applications, such as agriculture, irrigation, industrial applications and processes, pressure boosting in high rise buildings, rural/urban community water supply schemes, waste and sewage water treatments, firefighting. It exports a range of pumping products to over 100 countries globally.</v>
    <v>678</v>
    <v>National Stock Exchange of India</v>
    <v>XNSE</v>
    <v>XNSE</v>
    <v>Plot No. 401, 402 &amp; 413, Sector III,Industrial Area,Pithampur, DHAR, MADHYA PRADESH, 454774 IN</v>
    <v>809</v>
    <v>Machinery, Equipment &amp; Components</v>
    <v>Stock</v>
    <v>45968.492893518516</v>
    <v>99</v>
    <v>783</v>
    <v>98477740000</v>
    <v>SHAKTI PUMPS (INDIA) LIMITED</v>
    <v>SHAKTI PUMPS (INDIA) LIMITED</v>
    <v>800</v>
    <v>23.21</v>
    <v>796.5</v>
    <v>798.05</v>
    <v>123398000</v>
    <v>SHAKTIPUMP</v>
    <v>SHAKTI PUMPS (INDIA) LIMITED (XNSE:SHAKTIPUMP)</v>
    <v>345353</v>
    <v>275910</v>
    <v>1995</v>
  </rv>
  <rv s="3">
    <v>100</v>
  </rv>
  <rv s="1">
    <v>https://www.bing.com/financeapi/forcetrigger?t=ahkok2&amp;q=XNSE%3aWIPRO&amp;form=skydnc</v>
    <v>Learn more on Bing</v>
  </rv>
  <rv s="2">
    <v>en-IN</v>
    <v>ahkok2</v>
    <v>268435456</v>
    <v>1</v>
    <v>Powered by Refinitiv</v>
    <v>0</v>
    <v>WIPRO LIMITED (XNSE:WIPRO)</v>
    <v>2</v>
    <v>3</v>
    <v>Finance</v>
    <v>4</v>
    <v>324.60000000000002</v>
    <v>228</v>
    <v>0.86839999999999995</v>
    <v>-3.56</v>
    <v>-1.4830000000000001E-2</v>
    <v>INR</v>
    <v>Wipro Limited is a technology services and consulting company. The Company operates through two segments: Information Technology (IT) Services, and IT Products. IT Services segment provides a range of IT and IT enabled services which include digital strategy advisory, customer centric design, technology consulting, IT consulting, custom application design, re-engineering and maintenance, systems integration, package implementation, cloud and infrastructure services, business process services, cloud, mobility and analytics services, research and development and hardware and software design. The IT Products segment provides a range of third-party IT products, which allows it to offer IT system integration services. These products include computing, platforms and storage, networking solutions, and software products. Its services include Applications, Artificial Intelligence, Business Process, Cloud, Consulting, Data &amp; Analytics, Digital Experiences, Engineering, and Sustainability.</v>
    <v>235492</v>
    <v>National Stock Exchange of India</v>
    <v>XNSE</v>
    <v>XNSE</v>
    <v>Survey #76P &amp; #80P Doddakanahalli Villag, Varthur Hobli Sarjapur Rd, BANGALORE, KARNATAKA, 560035 IN</v>
    <v>239.25</v>
    <v>Software &amp; IT Services</v>
    <v>Stock</v>
    <v>45968.492893518516</v>
    <v>102</v>
    <v>236</v>
    <v>2476583000000</v>
    <v>WIPRO LIMITED</v>
    <v>WIPRO LIMITED</v>
    <v>238.7</v>
    <v>18.61</v>
    <v>240.05</v>
    <v>236.49</v>
    <v>10472250000</v>
    <v>WIPRO</v>
    <v>WIPRO LIMITED (XNSE:WIPRO)</v>
    <v>5520619</v>
    <v>7232930</v>
    <v>1945</v>
  </rv>
  <rv s="3">
    <v>103</v>
  </rv>
  <rv s="1">
    <v>https://www.bing.com/financeapi/forcetrigger?t=ahhknm&amp;q=XNSE%3aDLF&amp;form=skydnc</v>
    <v>Learn more on Bing</v>
  </rv>
  <rv s="2">
    <v>en-IN</v>
    <v>ahhknm</v>
    <v>268435456</v>
    <v>1</v>
    <v>Powered by Refinitiv</v>
    <v>0</v>
    <v>DLF Limited (XNSE:DLF)</v>
    <v>2</v>
    <v>3</v>
    <v>Finance</v>
    <v>4</v>
    <v>896.6</v>
    <v>601.20000000000005</v>
    <v>1.7335</v>
    <v>1.1000000000000001</v>
    <v>1.451E-3</v>
    <v>INR</v>
    <v>DLF Limited is an India-based company, which is primarily engaged in the business of colonization and real estate development. The operations of the Company include all aspects of real estate development, from the identification and acquisition of land, to planning, execution, construction, and marketing of projects. The Company is also engaged in the business of leasing, generation of power, provision of maintenance services, hospitality, and recreational activities. Its homes portfolio ranges from luxury residential complexes to smart townships. Its offices portfolio is an integrated mix of office spaces with food and beverage and leisure amenities. It has developed approximately 27.96 million square meter residential area and 4.81 million square feet retail space. The Company's subsidiaries include Aaralyn Builders &amp; Developers Private Limited, Adana Builders &amp; Developers Private Limited and Afaaf Builders &amp; Developers Private Limited, among others.</v>
    <v>3103</v>
    <v>National Stock Exchange of India</v>
    <v>XNSE</v>
    <v>XNSE</v>
    <v>DLF Gateway Tower, R Block, DLF City Phase III, GURGAON, HARYANA, 122002 IN</v>
    <v>761.65</v>
    <v>Real Estate Operations</v>
    <v>Stock</v>
    <v>45968.49287037037</v>
    <v>105</v>
    <v>745</v>
    <v>1879876000000</v>
    <v>DLF Limited</v>
    <v>DLF Limited</v>
    <v>753.6</v>
    <v>43.8</v>
    <v>758.35</v>
    <v>759.45</v>
    <v>2475312000</v>
    <v>DLF</v>
    <v>DLF Limited (XNSE:DLF)</v>
    <v>1968749</v>
    <v>2508850</v>
    <v>1963</v>
  </rv>
  <rv s="3">
    <v>106</v>
  </rv>
  <rv s="1">
    <v>https://www.bing.com/financeapi/forcetrigger?t=ahidqh&amp;q=XNSE%3aIRB&amp;form=skydnc</v>
    <v>Learn more on Bing</v>
  </rv>
  <rv s="2">
    <v>en-IN</v>
    <v>ahidqh</v>
    <v>268435456</v>
    <v>1</v>
    <v>Powered by Refinitiv</v>
    <v>0</v>
    <v>IRB INFRASTRUCTURE DEVELOPERS LIMITED (XNSE:IRB)</v>
    <v>2</v>
    <v>3</v>
    <v>Finance</v>
    <v>4</v>
    <v>61.99</v>
    <v>40.51</v>
    <v>1.1493</v>
    <v>-0.38</v>
    <v>-8.4689999999999991E-3</v>
    <v>INR</v>
    <v>IRB Infrastructure Developers Ltd. is an India-based integrated and multinational transport infrastructure developer in the roads and highways sector, with a major presence in the build-operate-transfer (BOT) space. The Company's in-house integrated project execution capabilities include engineering, procurement and construction (EPC) and operation and maintenance (O&amp;M) across all its business verticals, like BOT, toll-operate-transfer (TOT) and hybrid annuity model (HAM). Its segments include Built, Operate and Transfer (BOT)/ Toll, Operate and Transfer (TOT); InvITs &amp; Related Assets, and Construction. The BOT/TOT Projects segment includes operation and maintenance of roads. The lnvITs &amp; Related Assets segment consists of investments in units of IRB Infrastructure Trust, IRB InvlT Fund and other related assets. The Construction segment includes development and maintenance of roads. It has approximately 26 Highway Projects across 12 Indian States.</v>
    <v>3258</v>
    <v>National Stock Exchange of India</v>
    <v>XNSE</v>
    <v>XNSE</v>
    <v>IRB Complex,, Chandivali Farm,Chandivali Village,, Andheri (East),, MUMBAI, MAHARASHTRA, 400072 IN</v>
    <v>44.85</v>
    <v>Construction &amp; Engineering</v>
    <v>Stock</v>
    <v>45968.49287037037</v>
    <v>108</v>
    <v>43.66</v>
    <v>268675100000</v>
    <v>IRB INFRASTRUCTURE DEVELOPERS LIMITED</v>
    <v>IRB INFRASTRUCTURE DEVELOPERS LIMITED</v>
    <v>44.75</v>
    <v>4.1399999999999997</v>
    <v>44.87</v>
    <v>44.49</v>
    <v>6039000000</v>
    <v>IRB</v>
    <v>IRB INFRASTRUCTURE DEVELOPERS LIMITED (XNSE:IRB)</v>
    <v>6311148</v>
    <v>9392500</v>
    <v>1998</v>
  </rv>
  <rv s="3">
    <v>109</v>
  </rv>
  <rv s="1">
    <v>https://www.bing.com/financeapi/forcetrigger?t=ahgvhw&amp;q=XNSE%3aANANTRAJ&amp;form=skydnc</v>
    <v>Learn more on Bing</v>
  </rv>
  <rv s="2">
    <v>en-IN</v>
    <v>ahgvhw</v>
    <v>268435456</v>
    <v>1</v>
    <v>Powered by Refinitiv</v>
    <v>0</v>
    <v>Anant Raj Limited (XNSE:ANANTRAJ)</v>
    <v>2</v>
    <v>3</v>
    <v>Finance</v>
    <v>4</v>
    <v>947.9</v>
    <v>376.15</v>
    <v>0.98809999999999998</v>
    <v>-3.45</v>
    <v>-5.535E-3</v>
    <v>INR</v>
    <v>Anant Raj Limited is an India-based real estate and infrastructure company. The Company is engaged in the construction and development of residential townships, group housing, commercial developments, information and technology parks, malls, office complexes, affordable housing, data centers, hospitality and serviced apartments. In addition to its real estate ventures, it has expanded into high-tech infrastructure, including the development of cutting-edge data center facilities, including digital cloud services. Its residential projects include Anant Raj Estate Township, Birla Navya - JV with Birla Estates, Ashok Estate, Estate Residences, Affordable Housing and Hospitality and Commercia. Its projects include Anant Raj Aashray II, Tirupati, Andhra Pradesh; Anant Raj Center 1, Chattarpur, South Delhi; Anant Raj Center 2, NH-8, Delhi, and others. Anant Raj Estate is its flagship integrated township spread across 220 acres at Sector 63A, Golf Course Extension Road, Gurugram.</v>
    <v>213</v>
    <v>National Stock Exchange of India</v>
    <v>XNSE</v>
    <v>XNSE</v>
    <v>H-65,Connuught Circus, NEW DELHI, DELHI, 110001 IN</v>
    <v>623.29999999999995</v>
    <v>Real Estate Operations</v>
    <v>Stock</v>
    <v>45968.492858796293</v>
    <v>111</v>
    <v>601.65</v>
    <v>223069700000</v>
    <v>Anant Raj Limited</v>
    <v>Anant Raj Limited</v>
    <v>617</v>
    <v>46.35</v>
    <v>623.29999999999995</v>
    <v>619.85</v>
    <v>359876900</v>
    <v>ANANTRAJ</v>
    <v>Anant Raj Limited (XNSE:ANANTRAJ)</v>
    <v>3044621</v>
    <v>2402740</v>
    <v>1985</v>
  </rv>
  <rv s="3">
    <v>112</v>
  </rv>
  <rv s="1">
    <v>https://www.bing.com/financeapi/forcetrigger?t=c2u427&amp;q=XNSE%3aZOMATO&amp;form=skydnc</v>
    <v>Learn more on Bing</v>
  </rv>
  <rv s="2">
    <v>en-IN</v>
    <v>c2u427</v>
    <v>268435456</v>
    <v>1</v>
    <v>Powered by Refinitiv</v>
    <v>0</v>
    <v>ETERNAL LIMITED (XNSE:ETERNAL)</v>
    <v>2</v>
    <v>3</v>
    <v>Finance</v>
    <v>4</v>
    <v>368.45</v>
    <v>194.8</v>
    <v>0.80779999999999996</v>
    <v>0.45</v>
    <v>1.472E-3</v>
    <v>INR</v>
    <v>Eternal Limited, formerly Zomato Limited, operates as an Internet portal that helps in connecting the users, restaurant partners/third-party merchants and the delivery partners. It consists of four major businesses: Zomato, Blinkit, District, and Hyperpure. It also provides a platform for restaurant partners/brands to advertise themselves and supply ingredients to restaurant partners. Its India food ordering and delivery segment consists of an online marketplace platform through which it facilitates the listing and online ordering of food items and the delivery of these food items by connecting end users, restaurant partners and delivery partners. Its Hyperpure supplies (B2B business) segment offers farm-to-fork supplies for restaurants. Its quick commerce segment consists of an online marketplace platform (Marketplace), which enables listing of items sold on the Marketplace by the sellers. Its going-out segment is a combination of its dining-out and entertainment ticketing business.</v>
    <v>6903</v>
    <v>National Stock Exchange of India</v>
    <v>XNSE</v>
    <v>XNSE</v>
    <v>Pioneer Square Building, Sector 62, Golf Course Extension Road, GURGAON, HARYANA, 122098 IN</v>
    <v>309.10000000000002</v>
    <v>Software &amp; IT Services</v>
    <v>Stock</v>
    <v>45968.49287037037</v>
    <v>114</v>
    <v>301.45</v>
    <v>2785163000000</v>
    <v>ETERNAL LIMITED</v>
    <v>ETERNAL LIMITED</v>
    <v>305.95</v>
    <v>1438.35</v>
    <v>305.64999999999998</v>
    <v>306.10000000000002</v>
    <v>9098866000</v>
    <v>ETERNAL</v>
    <v>ETERNAL LIMITED (XNSE:ETERNAL)</v>
    <v>26911856</v>
    <v>30630410</v>
    <v>2010</v>
  </rv>
  <rv s="3">
    <v>115</v>
  </rv>
  <rv s="1">
    <v>https://www.bing.com/financeapi/forcetrigger?t=ahjda2&amp;q=XNSE%3aPCJEWELLER&amp;form=skydnc</v>
    <v>Learn more on Bing</v>
  </rv>
  <rv s="2">
    <v>en-IN</v>
    <v>ahjda2</v>
    <v>268435456</v>
    <v>1</v>
    <v>Powered by Refinitiv</v>
    <v>0</v>
    <v>PC JEWELLER LIMITED (XNSE:PCJEWELLER)</v>
    <v>2</v>
    <v>3</v>
    <v>Finance</v>
    <v>4</v>
    <v>19.649999999999999</v>
    <v>10.28</v>
    <v>3.4302000000000001</v>
    <v>-0.01</v>
    <v>-8.1699999999999991E-4</v>
    <v>INR</v>
    <v>PC Jeweller Limited is an India-based company. The Company is engaged in the business of trading, manufacturing and sale of gold, diamond, silver, precious stone, gold jewelry/items, diamond-studded jewelry and silver articles of various designs/specifications. It offers traditional, contemporary and combination designs across jewelry lines. The Company sells hallmarked jewelry and certified diamond jewelry. It offers various products, such as rings, earrings, pendants, gold chains, bracelets and bangles, nose pins and necklaces. Its ring type includes daily wear, engagement, solitaire, cocktail, office wear, men's, floral, hearts, round, square and triangle. The earrings type includes drop, hoops, jhumkas, sui dhaga, ear cuffs, heart, oval, round, square, triangle, and leaves and flowers. The Company's subsidiaries include PC Universal Private Limited, Luxury Products Trendsetter Private Limited, PC Jeweller Global DMCC, and PCJ Gems &amp; Jewellery Limited.</v>
    <v>723</v>
    <v>National Stock Exchange of India</v>
    <v>XNSE</v>
    <v>XNSE</v>
    <v>C-54, Preet Vihar, Vikas Marg, Preet Vihar, NEW DELHI, DELHI, 110092 IN</v>
    <v>12.45</v>
    <v>Textiles &amp; Apparel</v>
    <v>Stock</v>
    <v>45968.492881944447</v>
    <v>117</v>
    <v>11.97</v>
    <v>89606020000</v>
    <v>PC JEWELLER LIMITED</v>
    <v>PC JEWELLER LIMITED</v>
    <v>12.18</v>
    <v>11.28</v>
    <v>12.24</v>
    <v>12.23</v>
    <v>7326739000</v>
    <v>PCJEWELLER</v>
    <v>PC JEWELLER LIMITED (XNSE:PCJEWELLER)</v>
    <v>63152956</v>
    <v>47398970</v>
    <v>2005</v>
  </rv>
  <rv s="3">
    <v>118</v>
  </rv>
  <rv s="1">
    <v>https://www.bing.com/financeapi/forcetrigger?t=ahkgbh&amp;q=XNSE%3aTWL&amp;form=skydnc</v>
    <v>Learn more on Bing</v>
  </rv>
  <rv s="2">
    <v>en-IN</v>
    <v>ahkgbh</v>
    <v>268435456</v>
    <v>1</v>
    <v>Powered by Refinitiv</v>
    <v>0</v>
    <v>TITAGARH RAIL SYSTEMS LIMITED (XNSE:TITAGARH)</v>
    <v>2</v>
    <v>3</v>
    <v>Finance</v>
    <v>4</v>
    <v>1370</v>
    <v>654.54999999999995</v>
    <v>1.9343999999999999</v>
    <v>-12.6</v>
    <v>-1.4721E-2</v>
    <v>INR</v>
    <v>Titagarh Rail Systems Limited is an India-based company that offers mobility solutions through its presence in both passenger and freight rail systems, including railway wagons, components, passenger coaches (EMU/MEMU), and metro coaches. Its segments include Freight Rail Systems and Passenger Rail Systems. The Freight Rail Systems segment includes the manufacturing of wagons, loco shells, bogies, couplers and their components, designing and construction of warships, passenger vessels, tug and specialized equipment's for defense, bridge girders and others. The Passenger Rail Systems segment consists of designing and manufacturing of metro, passenger coaches, EMUs, train sets, monorail, propulsion equipment, traction motors and their components. The Company produces integral components for both Indian Railways and the global market, particularly for rail crossings. Its product range also includes electric propulsion equipment, such as traction motors and vehicle control systems.</v>
    <v>1222</v>
    <v>National Stock Exchange of India</v>
    <v>XNSE</v>
    <v>XNSE</v>
    <v>Titagarh Towers 756,, Anandapur, E.M. Bypass, KOLKATA, WEST BENGAL, 700107 IN</v>
    <v>853.2</v>
    <v>Machinery, Equipment &amp; Components</v>
    <v>Stock</v>
    <v>45968.492893518516</v>
    <v>120</v>
    <v>830.55</v>
    <v>113570400000</v>
    <v>TITAGARH RAIL SYSTEMS LIMITED</v>
    <v>TITAGARH RAIL SYSTEMS LIMITED</v>
    <v>849.95</v>
    <v>47.69</v>
    <v>855.9</v>
    <v>843.3</v>
    <v>134673800</v>
    <v>TITAGARH</v>
    <v>TITAGARH RAIL SYSTEMS LIMITED (XNSE:TITAGARH)</v>
    <v>974104</v>
    <v>872900</v>
    <v>1997</v>
  </rv>
  <rv s="3">
    <v>121</v>
  </rv>
  <rv s="1">
    <v>https://www.bing.com/financeapi/forcetrigger?t=ahj51h&amp;q=XNSE%3aNBCC&amp;form=skydnc</v>
    <v>Learn more on Bing</v>
  </rv>
  <rv s="2">
    <v>en-IN</v>
    <v>ahj51h</v>
    <v>268435456</v>
    <v>1</v>
    <v>Powered by Refinitiv</v>
    <v>0</v>
    <v>NBCC (INDIA) LIMITED (XNSE:NBCC)</v>
    <v>2</v>
    <v>3</v>
    <v>Finance</v>
    <v>4</v>
    <v>130.69999999999999</v>
    <v>70.8</v>
    <v>1.8157000000000001</v>
    <v>1.95</v>
    <v>1.7498E-2</v>
    <v>INR</v>
    <v>NBCC (India) Limited is an India-based company engaged in providing infrastructure facilities. The Company's segments include Project Management Consultancy (PMC), Real Estate, and Engineering, Procurement &amp; Construction (EPC). The PMC segment includes tasks such as geotechnical investigations, topographical surveys, resource planning, detailed engineering design, execution supervision, and other related activities. The Real Estate segment involves the sale of property, sale of additional parking slots, maintenance services, and other real related services. The EPC segment focuses on the construction, manufacturing, and development of assets on behalf of customers. This is considered a single performance obligation, as the bundle of goods and services represent the combined output for which the customer has contracted that is, construction of the project/asset. Its subsidiaries include NBCC Services Limited, HSCC (India) Limited, and Hindustan Steelworks Construction Limited.</v>
    <v>1172</v>
    <v>National Stock Exchange of India</v>
    <v>XNSE</v>
    <v>XNSE</v>
    <v>NBCC Bhawan, Lodhi Road, NEW DELHI, DELHI, 110003 IN</v>
    <v>114.07</v>
    <v>Construction &amp; Engineering</v>
    <v>Stock</v>
    <v>45968.492881944447</v>
    <v>123</v>
    <v>110.3</v>
    <v>306153000000</v>
    <v>NBCC (INDIA) LIMITED</v>
    <v>NBCC (INDIA) LIMITED</v>
    <v>110.59</v>
    <v>52.85</v>
    <v>111.44</v>
    <v>113.39</v>
    <v>2700000000</v>
    <v>NBCC</v>
    <v>NBCC (INDIA) LIMITED (XNSE:NBCC)</v>
    <v>7763252</v>
    <v>9760470</v>
    <v>1960</v>
  </rv>
  <rv s="3">
    <v>124</v>
  </rv>
  <rv s="1">
    <v>https://www.bing.com/financeapi/forcetrigger?t=ahjzmw&amp;q=XNSE%3aSJVN&amp;form=skydnc</v>
    <v>Learn more on Bing</v>
  </rv>
  <rv s="2">
    <v>en-IN</v>
    <v>ahjzmw</v>
    <v>268435456</v>
    <v>1</v>
    <v>Powered by Refinitiv</v>
    <v>0</v>
    <v>SJVN Limited (XNSE:SJVN)</v>
    <v>2</v>
    <v>3</v>
    <v>Finance</v>
    <v>4</v>
    <v>124.5</v>
    <v>80.540000000000006</v>
    <v>1.0177</v>
    <v>-1.08</v>
    <v>-1.2567999999999999E-2</v>
    <v>INR</v>
    <v>SJVN Limited is an India-based company, which is principally engaged in electricity generation and sale of electricity. It is also engaged in providing consultancy services and power transmission. It provides consultancy services to hydro electric projects and infrastructure projects like highway tunnels and railway tunnels. Its businesses include thermal power, hydro power, wind power, solar power, power transmission, consultancy, and power trading. Its wind power projects include the over 47.6 megawatts (MW) khirvire wind power projects at Khirvire and Kombhalne villages in Ahmednagar, Maharashtra and the Sadla Wind Power Project of over 50 MW capacity, situated in the village Sadla, Surendranagar, Gujarat. The Company has over eight solar projects with a total installed capacity of approximately 396.91 MW under operation. The Company has commissioned approximately 89 projects with a total installed capacity of over 56802 MW and around 340 kilometers of transmission line.</v>
    <v>1349</v>
    <v>National Stock Exchange of India</v>
    <v>XNSE</v>
    <v>XNSE</v>
    <v>Shakti Sadan, Corporate Office Complex, Shanan, SHIMLA, HIMACHAL PRADESH, 171006 IN</v>
    <v>85.89</v>
    <v>Electrical Utilities &amp; IPPs</v>
    <v>Stock</v>
    <v>45968.492893518516</v>
    <v>126</v>
    <v>84.35</v>
    <v>333443100000</v>
    <v>SJVN Limited</v>
    <v>SJVN Limited</v>
    <v>85.89</v>
    <v>48.72</v>
    <v>85.93</v>
    <v>84.85</v>
    <v>3929795000</v>
    <v>SJVN</v>
    <v>SJVN Limited (XNSE:SJVN)</v>
    <v>2376356</v>
    <v>2296340</v>
    <v>1988</v>
  </rv>
  <rv s="3">
    <v>127</v>
  </rv>
  <rv s="1">
    <v>https://www.bing.com/financeapi/forcetrigger?t=bppmsm&amp;q=XNSE%3aRVNL&amp;form=skydnc</v>
    <v>Learn more on Bing</v>
  </rv>
  <rv s="2">
    <v>en-IN</v>
    <v>bppmsm</v>
    <v>268435456</v>
    <v>1</v>
    <v>Powered by Refinitiv</v>
    <v>0</v>
    <v>RAIL VIKAS NIGAM LIMITED (XNSE:RVNL)</v>
    <v>2</v>
    <v>3</v>
    <v>Finance</v>
    <v>4</v>
    <v>501.8</v>
    <v>301.60000000000002</v>
    <v>1.4107000000000001</v>
    <v>0.2</v>
    <v>6.2929999999999995E-4</v>
    <v>INR</v>
    <v>Rail Vikas Nigam Limited (RVNL) is an India-based company, which is engaged in development of rail infrastructure. RVNL is engaged in the business of implementing various types of Rail infrastructure projects assigned by Ministry of Railway (MoR) including doubling (including 3rd/4th lines), gauge conversion, new lines, railway electrification, bridges, metro projects, workshops, and production units. It undertakes and executes the project development, financing and implementation of projects related to rail infrastructure. It works on a turnkey basis and undertakes the full cycle of project development from conceptualization to commissioning, including stages of design, preparation of estimates, calling contracts, project and contract management, among others. Its projects include Manamadurai-Rameswaram, Jakhapura- Haridaspur 3rd Line, Cuttack - Barang Doubling, Vallarpadam-Idapally, and Villipuram-Dindigul Doubling.</v>
    <v>213</v>
    <v>National Stock Exchange of India</v>
    <v>XNSE</v>
    <v>XNSE</v>
    <v>August Kranti Bhawan, Bhikaji Cama Place, R. K. Puram, Plot No. 25, First Floor, NEW DELHI, DELHI, 110066 IN</v>
    <v>319.8</v>
    <v>Construction &amp; Engineering</v>
    <v>Stock</v>
    <v>45968.492893518516</v>
    <v>129</v>
    <v>314</v>
    <v>663036400000</v>
    <v>RAIL VIKAS NIGAM LIMITED</v>
    <v>RAIL VIKAS NIGAM LIMITED</v>
    <v>317.7</v>
    <v>55.48</v>
    <v>317.8</v>
    <v>318</v>
    <v>2085020000</v>
    <v>RVNL</v>
    <v>RAIL VIKAS NIGAM LIMITED (XNSE:RVNL)</v>
    <v>3577541</v>
    <v>2977400</v>
    <v>2003</v>
  </rv>
  <rv s="3">
    <v>130</v>
  </rv>
  <rv s="1">
    <v>https://www.bing.com/financeapi/forcetrigger?t=ahkucw&amp;q=S%26P+BSE+SENSEX+IDX&amp;form=skydnc</v>
    <v>Learn more on Bing</v>
  </rv>
  <rv s="12">
    <v>en-IN</v>
    <v>ahkucw</v>
    <v>268435456</v>
    <v>1</v>
    <v>Powered by Refinitiv</v>
    <v>22</v>
    <v>BSE SENSEX INDEX</v>
    <v>23</v>
    <v>24</v>
    <v>Finance</v>
    <v>25</v>
    <v>85290.06</v>
    <v>71425.009999999995</v>
    <v>-94.73</v>
    <v>-1.137E-3</v>
    <v>IN</v>
    <v>83390.11</v>
    <v>Index</v>
    <v>132</v>
    <v>82670.95</v>
    <v>BSE SENSEX INDEX</v>
    <v>83150.149999999994</v>
    <v>83311.009999999995</v>
    <v>83216.28</v>
    <v>SENSEX</v>
    <v>BSE SENSEX INDEX</v>
  </rv>
  <rv s="3">
    <v>133</v>
  </rv>
  <rv s="1">
    <v>https://www.bing.com/financeapi/forcetrigger?t=ahkrnm&amp;q=NIFTY+BANK&amp;form=skydnc</v>
    <v>Learn more on Bing</v>
  </rv>
  <rv s="12">
    <v>en-IN</v>
    <v>ahkrnm</v>
    <v>268435456</v>
    <v>1</v>
    <v>Powered by Refinitiv</v>
    <v>22</v>
    <v>NIFTY BANK</v>
    <v>23</v>
    <v>24</v>
    <v>Finance</v>
    <v>25</v>
    <v>58577.5</v>
    <v>47702.9</v>
    <v>322.55</v>
    <v>5.6040000000000005E-3</v>
    <v>IN</v>
    <v>58001.35</v>
    <v>Index</v>
    <v>135</v>
    <v>57157.85</v>
    <v>NIFTY BANK</v>
    <v>57391.4</v>
    <v>57554.25</v>
    <v>57876.800000000003</v>
    <v>NIFTYBANK</v>
    <v>NIFTY BANK</v>
  </rv>
  <rv s="3">
    <v>136</v>
  </rv>
  <rv s="1">
    <v>https://www.bing.com/financeapi/forcetrigger?t=ahkqww&amp;q=NIFTY+50&amp;form=skydnc</v>
    <v>Learn more on Bing</v>
  </rv>
  <rv s="12">
    <v>en-IN</v>
    <v>ahkqww</v>
    <v>268435456</v>
    <v>1</v>
    <v>Powered by Refinitiv</v>
    <v>22</v>
    <v>NIFTY 50</v>
    <v>23</v>
    <v>24</v>
    <v>Finance</v>
    <v>25</v>
    <v>26104.2</v>
    <v>21743.65</v>
    <v>-17.399999999999999</v>
    <v>-6.8210000000000005E-4</v>
    <v>IN</v>
    <v>25551.25</v>
    <v>Index</v>
    <v>138</v>
    <v>25318.45</v>
    <v>NIFTY 50</v>
    <v>25433.8</v>
    <v>25509.7</v>
    <v>25492.3</v>
    <v>NIFTY</v>
    <v>NIFTY 50</v>
  </rv>
  <rv s="3">
    <v>139</v>
  </rv>
</rvData>
</file>

<file path=xl/richData/rdrichvaluestructure.xml><?xml version="1.0" encoding="utf-8"?>
<rvStructures xmlns="http://schemas.microsoft.com/office/spreadsheetml/2017/richdata" count="13">
  <s t="_localImage">
    <k n="_rvRel:LocalImageIdentifier" t="i"/>
    <k n="CalcOrigin" t="i"/>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Instrument type" t="s"/>
    <k n="Last trade time"/>
    <k n="Name" t="s"/>
    <k n="Previous close"/>
    <k n="Price"/>
    <k n="Ticker symbol" t="s"/>
    <k n="UniqueName"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ountry/region" t="s"/>
    <k n="High"/>
    <k n="Instrument type" t="s"/>
    <k n="LearnMoreOnLink" t="r"/>
    <k n="Low"/>
    <k n="Name" t="s"/>
    <k n="Open"/>
    <k n="Previous close"/>
    <k n="Price"/>
    <k n="Ticker symbol" t="s"/>
    <k n="UniqueName" t="s"/>
  </s>
</rvStructures>
</file>

<file path=xl/richData/rdsupportingpropertybag.xml><?xml version="1.0" encoding="utf-8"?>
<supportingPropertyBags xmlns="http://schemas.microsoft.com/office/spreadsheetml/2017/richdata2">
  <spbArrays count="8">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24">
      <v t="s">%EntityServiceId</v>
      <v t="s">_Format</v>
      <v t="s">%IsRefreshable</v>
      <v t="s">%EntityCulture</v>
      <v t="s">%EntityId</v>
      <v t="s">_Icon</v>
      <v t="s">_Display</v>
      <v t="s">Name</v>
      <v t="s">Price</v>
      <v t="s">_SubLabel</v>
      <v t="s">Last trade time</v>
      <v t="s">Ticker symbol</v>
      <v t="s">Change</v>
      <v t="s">Change (%)</v>
      <v t="s">Currency</v>
      <v t="s">From currency</v>
      <v t="s">Previous close</v>
      <v t="s">52 week high</v>
      <v t="s">52 week low</v>
      <v t="s">Instrument type</v>
      <v t="s">_Flags</v>
      <v t="s">UniqueName</v>
      <v t="s">_DisplayString</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spbArrays>
  <spbData count="26">
    <spb s="0">
      <v>0</v>
      <v>Name</v>
      <v>LearnMoreOnLink</v>
    </spb>
    <spb s="1">
      <v>0</v>
      <v>0</v>
      <v>0</v>
    </spb>
    <spb s="2">
      <v>1</v>
      <v>1</v>
      <v>1</v>
      <v>1</v>
    </spb>
    <spb s="3">
      <v>1</v>
      <v>2</v>
      <v>2</v>
      <v>1</v>
      <v>3</v>
      <v>1</v>
      <v>1</v>
      <v>1</v>
      <v>4</v>
      <v>4</v>
      <v>5</v>
      <v>6</v>
      <v>1</v>
      <v>1</v>
      <v>1</v>
      <v>4</v>
      <v>7</v>
      <v>8</v>
      <v>9</v>
      <v>4</v>
    </spb>
    <spb s="4">
      <v>Delayed 5 minutes</v>
      <v>from previous close</v>
      <v>from previous close</v>
      <v>GMT</v>
    </spb>
    <spb s="0">
      <v>1</v>
      <v>Name</v>
      <v>LearnMoreOnLink</v>
    </spb>
    <spb s="5">
      <v>0</v>
      <v>0</v>
    </spb>
    <spb s="6">
      <v>6</v>
      <v>1</v>
      <v>1</v>
      <v>1</v>
      <v>1</v>
    </spb>
    <spb s="7">
      <v>1</v>
      <v>2</v>
      <v>2</v>
      <v>1</v>
      <v>3</v>
      <v>1</v>
      <v>10</v>
      <v>1</v>
      <v>1</v>
      <v>4</v>
      <v>4</v>
      <v>5</v>
      <v>6</v>
      <v>1</v>
      <v>1</v>
      <v>1</v>
      <v>4</v>
      <v>7</v>
      <v>8</v>
      <v>9</v>
      <v>4</v>
    </spb>
    <spb s="8">
      <v>Powered by Refinitiv</v>
    </spb>
    <spb s="9">
      <v>2</v>
      <v>Name</v>
    </spb>
    <spb s="10">
      <v>1</v>
      <v>1</v>
      <v>1</v>
    </spb>
    <spb s="11">
      <v>1</v>
      <v>2</v>
      <v>2</v>
      <v>1</v>
      <v>3</v>
      <v>1</v>
      <v>1</v>
      <v>1</v>
      <v>4</v>
      <v>4</v>
      <v>5</v>
      <v>6</v>
      <v>1</v>
      <v>1</v>
      <v>1</v>
      <v>4</v>
      <v>7</v>
      <v>9</v>
      <v>4</v>
    </spb>
    <spb s="4">
      <v>Delayed 15 minutes</v>
      <v>from previous close</v>
      <v>from previous close</v>
      <v>GMT</v>
    </spb>
    <spb s="9">
      <v>3</v>
      <v>Name</v>
    </spb>
    <spb s="9">
      <v>4</v>
      <v>Name</v>
    </spb>
    <spb s="12">
      <v>1</v>
      <v>1</v>
    </spb>
    <spb s="13">
      <v>3</v>
      <v>11</v>
      <v>11</v>
      <v>5</v>
      <v>11</v>
      <v>11</v>
      <v>11</v>
      <v>7</v>
      <v>9</v>
    </spb>
    <spb s="14">
      <v>GMT</v>
    </spb>
    <spb s="0">
      <v>5</v>
      <v>Name</v>
      <v>LearnMoreOnLink</v>
    </spb>
    <spb s="0">
      <v>6</v>
      <v>Name</v>
      <v>LearnMoreOnLink</v>
    </spb>
    <spb s="15">
      <v>1</v>
      <v>2</v>
      <v>1</v>
      <v>3</v>
      <v>1</v>
      <v>1</v>
      <v>1</v>
      <v>4</v>
      <v>4</v>
      <v>5</v>
      <v>6</v>
      <v>1</v>
      <v>1</v>
      <v>1</v>
      <v>4</v>
      <v>7</v>
      <v>8</v>
      <v>9</v>
      <v>4</v>
    </spb>
    <spb s="0">
      <v>7</v>
      <v>Name</v>
      <v>LearnMoreOnLink</v>
    </spb>
    <spb s="16">
      <v>1</v>
      <v>1</v>
      <v>1</v>
    </spb>
    <spb s="17">
      <v>1</v>
      <v>1</v>
      <v>3</v>
      <v>1</v>
      <v>1</v>
      <v>1</v>
      <v>5</v>
      <v>1</v>
      <v>1</v>
      <v>1</v>
      <v>9</v>
    </spb>
    <spb s="18">
      <v>from previous close</v>
      <v>from previous close</v>
    </spb>
  </spbData>
</supportingPropertyBags>
</file>

<file path=xl/richData/rdsupportingpropertybagstructure.xml><?xml version="1.0" encoding="utf-8"?>
<spbStructures xmlns="http://schemas.microsoft.com/office/spreadsheetml/2017/richdata2" count="19">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Order" t="spba"/>
    <k n="TitleProperty" t="s"/>
  </s>
  <s>
    <k n="ExchangeID" t="spb"/>
    <k n="UniqueName" t="spb"/>
    <k n="`%ProviderInfo" t="spb"/>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UniqueName" t="spb"/>
    <k n="`%ProviderInfo" t="spb"/>
  </s>
  <s>
    <k n="Name" t="i"/>
    <k n="Price" t="i"/>
    <k n="Change" t="i"/>
    <k n="Change (%)" t="i"/>
    <k n="52 week low" t="i"/>
    <k n="52 week high" t="i"/>
    <k n="Previous close" t="i"/>
    <k n="Last trade time" t="i"/>
    <k n="`%EntityServiceId" t="i"/>
  </s>
  <s>
    <k n="Last trade time"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UniqueName" t="spb"/>
    <k n="`%ProviderInfo" t="spb"/>
    <k n="LearnMoreOnLink" t="spb"/>
  </s>
  <s>
    <k n="Low" t="i"/>
    <k n="High" t="i"/>
    <k n="Name" t="i"/>
    <k n="Open" t="i"/>
    <k n="Price" t="i"/>
    <k n="Change" t="i"/>
    <k n="Change (%)" t="i"/>
    <k n="52 week low" t="i"/>
    <k n="52 week high" t="i"/>
    <k n="Previous close" t="i"/>
    <k n="`%EntityServiceId" t="i"/>
  </s>
  <s>
    <k n="Change" t="s"/>
    <k n="Change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yyyy/mm/dd\ h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 xml:space="preserve">_ [$₹-en-IN] * #,##0.00_ ;_ [$₹-en-IN] * -#,##0.00_ ;_ [$₹-en-IN] * "-"??_ ;_ @_ </rpv>
    </rSty>
    <rSty dxfid="5">
      <rpv i="0">#,##0.00</rpv>
    </rSty>
    <rSty>
      <rpv i="1">1</rpv>
    </rSty>
    <rSty dxfid="4">
      <rpv i="0">#,##0</rpv>
    </rSty>
    <rSty dxfid="3"/>
    <rSty dxfid="1">
      <rpv i="0" xml:space="preserve">_ [$₹-en-IN] * #,##0_ ;_ [$₹-en-IN] * -#,##0_ ;_ [$₹-en-IN] * "-"_ ;_ @_ </rpv>
    </rSty>
    <rSty dxfid="2"/>
    <rSty dxfid="6">
      <rpv i="0">0</rpv>
    </rSty>
    <rSty dxfid="0">
      <rpv i="0">0.00</rpv>
    </rSty>
    <rSty>
      <rpv i="2">1</rpv>
    </rSty>
    <rSty dxfid="1">
      <rpv i="0">_([$$-en-US]* #,##0.00_);_([$$-en-US]* (#,##0.00);_([$$-en-US]* "-"??_);_(@_)</rpv>
    </rSty>
  </richStyles>
</richStyleSheet>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CB9B49-B549-4BA6-9E6F-1396EDC36E3F}" name="Table3" displayName="Table3" ref="A2:H34" totalsRowShown="0" headerRowDxfId="100" dataDxfId="98" headerRowBorderDxfId="99" dataCellStyle="Percent">
  <autoFilter ref="A2:H34" xr:uid="{FCCB9B49-B549-4BA6-9E6F-1396EDC36E3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867DB7A-5DC3-4408-BA56-3267A3E16027}" name="Company" dataDxfId="97"/>
    <tableColumn id="2" xr3:uid="{C4C47C55-6EA5-4F81-BF00-475F81161D8D}" name="Metric" dataDxfId="96"/>
    <tableColumn id="3" xr3:uid="{2A71B8EF-2C36-4A78-9424-B3F61C9929D1}" name="2020" dataDxfId="95" dataCellStyle="Percent"/>
    <tableColumn id="4" xr3:uid="{1DE9ED16-EDB0-44F7-8226-2E0F27AFFEAE}" name="2021" dataDxfId="94" dataCellStyle="Percent"/>
    <tableColumn id="5" xr3:uid="{5E991116-00C9-4410-BB16-E70864A2B157}" name="2022" dataDxfId="93" dataCellStyle="Percent"/>
    <tableColumn id="6" xr3:uid="{870FE4BB-009A-41E7-94CF-C17F79547B0C}" name="2023" dataDxfId="92" dataCellStyle="Percent"/>
    <tableColumn id="7" xr3:uid="{C28F5AA0-F945-4220-93E7-45327D5D4E6F}" name="2024" dataDxfId="91" dataCellStyle="Percent"/>
    <tableColumn id="8" xr3:uid="{67A3CF50-91F3-438A-8368-6B63716BD3EE}" name="CAGR" dataDxfId="90" dataCellStyle="Percent">
      <calculatedColumnFormula>AVERAGE(C3:G3)</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F050955-DBB4-4500-8061-76C47B70E525}" name="Table4" displayName="Table4" ref="J2:Q26" totalsRowShown="0" headerRowDxfId="89" dataDxfId="87" headerRowBorderDxfId="88" tableBorderDxfId="86">
  <autoFilter ref="J2:Q26" xr:uid="{2F050955-DBB4-4500-8061-76C47B70E52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DCA86D2-0F38-47B9-9B46-5D6AD5D36687}" name="Company" dataDxfId="85"/>
    <tableColumn id="2" xr3:uid="{469487F2-291B-45DA-8EA3-4CEE1D3E4A2A}" name="Metric"/>
    <tableColumn id="3" xr3:uid="{7766067B-B653-475B-9411-D29E3110F6FE}" name="2020" dataDxfId="84"/>
    <tableColumn id="4" xr3:uid="{10D12CBE-A3BE-40C0-9AB8-94E4B5EF130E}" name="2021" dataDxfId="83"/>
    <tableColumn id="5" xr3:uid="{2DAE4144-9888-43D5-BE06-55ACD2600323}" name="2022" dataDxfId="82"/>
    <tableColumn id="6" xr3:uid="{BA237462-8765-4290-B0E7-60431BDEF10B}" name="2023" dataDxfId="81"/>
    <tableColumn id="7" xr3:uid="{5E87B204-E07C-4DCA-A484-73797D7753F7}" name="2024" dataDxfId="80"/>
    <tableColumn id="8" xr3:uid="{1207A46E-2BB9-4F8E-8ADD-48CC58F37E8A}" name="CAGR" dataDxfId="7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780C43-A845-43D5-B3D1-FEBB4C05BD74}" name="BankData" displayName="BankData" ref="A2:G44" totalsRowShown="0" headerRowDxfId="46" dataDxfId="45">
  <autoFilter ref="A2:G44" xr:uid="{5F780C43-A845-43D5-B3D1-FEBB4C05BD7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14E39A9-4FE6-4F31-B7D6-540C019428F3}" name="Company" dataDxfId="44"/>
    <tableColumn id="2" xr3:uid="{DAEA2342-847B-4FE8-9061-08BE1378F330}" name="Year" dataDxfId="43"/>
    <tableColumn id="3" xr3:uid="{BB84B937-BB58-40D5-BC28-96A41ABA0128}" name="Advances (AUM)" dataDxfId="42" dataCellStyle="Comma"/>
    <tableColumn id="4" xr3:uid="{02D55553-30CC-40D4-A0EF-AF67D8F19D9C}" name="Total Income" dataDxfId="41" dataCellStyle="Comma"/>
    <tableColumn id="5" xr3:uid="{E79D4C9B-A318-4A04-8C03-1F0182943216}" name="PAT" dataDxfId="40" dataCellStyle="Comma"/>
    <tableColumn id="6" xr3:uid="{2395166B-0741-4F28-8C8D-2A953E9498CE}" name="Shareholder's Equity" dataDxfId="39" dataCellStyle="Comma"/>
    <tableColumn id="7" xr3:uid="{858DDCA2-B88E-411D-BD0C-3ADE716CFC2D}" name="FCFE" dataDxfId="38" dataCellStyle="Comma"/>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2852EF-4156-4B6E-B6A9-5D29856C7964}" name="Financials" displayName="Financials" ref="L2:Y37" totalsRowShown="0" headerRowDxfId="37" dataDxfId="35" headerRowBorderDxfId="36" tableBorderDxfId="34">
  <autoFilter ref="L2:Y37" xr:uid="{032852EF-4156-4B6E-B6A9-5D29856C796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BD962202-CADD-48CC-9331-D3CEBC04F25A}" name="Company" dataDxfId="33"/>
    <tableColumn id="2" xr3:uid="{C067F616-7DD3-4F90-9F14-6DE1D498457E}" name="Metrics" dataDxfId="32"/>
    <tableColumn id="3" xr3:uid="{2E5086AE-2838-4EB2-93F5-96BDCFEBCB77}" name="2020" dataDxfId="31" dataCellStyle="Comma"/>
    <tableColumn id="4" xr3:uid="{9B2F450B-95CD-4461-9D04-515A18DF6F91}" name="2021" dataDxfId="30" dataCellStyle="Comma"/>
    <tableColumn id="5" xr3:uid="{FE4002EF-0F47-48C8-99BB-371114464B98}" name="2022" dataDxfId="29" dataCellStyle="Comma"/>
    <tableColumn id="6" xr3:uid="{AD4821FF-D73F-479F-BCBB-5B601A7315CC}" name="2023" dataDxfId="28" dataCellStyle="Comma"/>
    <tableColumn id="7" xr3:uid="{3E6BD273-8067-4C9A-99B3-842135FA41AF}" name="2024" dataDxfId="27" dataCellStyle="Comma"/>
    <tableColumn id="8" xr3:uid="{640F7789-AF59-4802-9485-B59B1C5B1E15}" name="2025" dataDxfId="26" dataCellStyle="Comma"/>
    <tableColumn id="9" xr3:uid="{41EA0A85-5F6F-4882-9CDA-E8E4B3E6E5D7}" name="2026" dataDxfId="25" dataCellStyle="Comma"/>
    <tableColumn id="10" xr3:uid="{214E5F45-DE07-4974-821B-12215B342601}" name="2027" dataDxfId="24" dataCellStyle="Comma"/>
    <tableColumn id="11" xr3:uid="{48B474FF-AFFE-4BB0-88C9-EEE79CB09FD7}" name="2028" dataDxfId="23" dataCellStyle="Comma"/>
    <tableColumn id="12" xr3:uid="{00495E7B-6FCA-47F4-A456-46861CAAFE48}" name="2029" dataDxfId="22" dataCellStyle="Comma"/>
    <tableColumn id="13" xr3:uid="{8F36B6A0-B89C-4068-8D21-6BB8F5E1AE1F}" name="2030" dataDxfId="21" dataCellStyle="Comma"/>
    <tableColumn id="14" xr3:uid="{0558B3DF-FDB9-4815-9988-33D857365408}" name="CAGR" dataDxfId="20" dataCellStyle="Percent">
      <calculatedColumnFormula>(Financials[[#This Row],[2030]]/Financials[[#This Row],[2020]])^(1/11)-1</calculatedColumnFormula>
    </tableColumn>
  </tableColumns>
  <tableStyleInfo name="TableStyleDark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0.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1.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2.xml"/></Relationships>
</file>

<file path=xl/worksheets/_rels/sheet22.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drawing" Target="../drawings/drawing3.xml"/><Relationship Id="rId4" Type="http://schemas.openxmlformats.org/officeDocument/2006/relationships/pivotTable" Target="../pivotTables/pivotTable10.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H19"/>
  <sheetViews>
    <sheetView workbookViewId="0">
      <selection activeCell="B19" sqref="B19"/>
    </sheetView>
  </sheetViews>
  <sheetFormatPr defaultRowHeight="14.4" x14ac:dyDescent="0.3"/>
  <cols>
    <col min="1" max="1" width="14.5546875" style="3" bestFit="1" customWidth="1"/>
    <col min="2" max="2" width="23" style="1" customWidth="1"/>
    <col min="3" max="8" width="21.44140625" style="1" customWidth="1"/>
    <col min="9" max="16384" width="8.88671875" style="1"/>
  </cols>
  <sheetData>
    <row r="1" spans="1:8" ht="44.4" customHeight="1" x14ac:dyDescent="0.3">
      <c r="A1" s="524" t="s">
        <v>0</v>
      </c>
      <c r="B1" s="524"/>
      <c r="C1" s="524"/>
      <c r="D1" s="524"/>
      <c r="E1" s="524"/>
      <c r="F1" s="524"/>
      <c r="G1" s="524"/>
      <c r="H1" s="524"/>
    </row>
    <row r="2" spans="1:8" s="2" customFormat="1" ht="56.4" customHeight="1" x14ac:dyDescent="0.3">
      <c r="A2" s="4" t="s">
        <v>1</v>
      </c>
      <c r="B2" s="5" t="e" vm="1">
        <v>#VALUE!</v>
      </c>
      <c r="C2" s="5" t="e" vm="2">
        <v>#VALUE!</v>
      </c>
      <c r="D2" s="5" t="e" vm="3">
        <v>#VALUE!</v>
      </c>
      <c r="E2" s="5" t="e" vm="4">
        <v>#VALUE!</v>
      </c>
      <c r="F2" s="5" t="e" vm="5">
        <v>#VALUE!</v>
      </c>
      <c r="G2" s="5" t="e" vm="6">
        <v>#VALUE!</v>
      </c>
      <c r="H2" s="5" t="e" vm="7">
        <v>#VALUE!</v>
      </c>
    </row>
    <row r="3" spans="1:8" ht="28.8" x14ac:dyDescent="0.3">
      <c r="A3" s="6" t="s">
        <v>2</v>
      </c>
      <c r="B3" s="5" t="s">
        <v>3</v>
      </c>
      <c r="C3" s="5" t="s">
        <v>4</v>
      </c>
      <c r="D3" s="5" t="s">
        <v>5</v>
      </c>
      <c r="E3" s="5" t="s">
        <v>6</v>
      </c>
      <c r="F3" s="5" t="s">
        <v>524</v>
      </c>
      <c r="G3" s="5" t="s">
        <v>7</v>
      </c>
      <c r="H3" s="5" t="s">
        <v>8</v>
      </c>
    </row>
    <row r="4" spans="1:8" ht="43.2" x14ac:dyDescent="0.3">
      <c r="A4" s="6" t="s">
        <v>9</v>
      </c>
      <c r="B4" s="7" t="e" vm="8">
        <v>#VALUE!</v>
      </c>
      <c r="C4" s="7" t="e" vm="9">
        <v>#VALUE!</v>
      </c>
      <c r="D4" s="7" t="e" vm="10">
        <v>#VALUE!</v>
      </c>
      <c r="E4" s="7" t="e" vm="11">
        <v>#VALUE!</v>
      </c>
      <c r="F4" s="7" t="e" vm="12">
        <v>#VALUE!</v>
      </c>
      <c r="G4" s="7" t="e" vm="13">
        <v>#VALUE!</v>
      </c>
      <c r="H4" s="7" t="e" vm="14">
        <v>#VALUE!</v>
      </c>
    </row>
    <row r="5" spans="1:8" x14ac:dyDescent="0.3">
      <c r="A5" s="6" t="s">
        <v>11</v>
      </c>
      <c r="B5" s="5" t="str" cm="1">
        <f t="array" aca="1" ref="B5" ca="1">_FV(B4,"Industry")</f>
        <v>Banking Services</v>
      </c>
      <c r="C5" s="5" t="str" cm="1">
        <f t="array" aca="1" ref="C5" ca="1">_FV(C4,"Industry")</f>
        <v>Banking Services</v>
      </c>
      <c r="D5" s="5" t="str" cm="1">
        <f t="array" aca="1" ref="D5" ca="1">_FV(D4,"Industry")</f>
        <v>Banking Services</v>
      </c>
      <c r="E5" s="5" t="str" cm="1">
        <f t="array" aca="1" ref="E5" ca="1">_FV(E4,"Industry")</f>
        <v>Banking Services</v>
      </c>
      <c r="F5" s="5" t="str" cm="1">
        <f t="array" aca="1" ref="F5" ca="1">_FV(F4,"Industry")</f>
        <v>Banking Services</v>
      </c>
      <c r="G5" s="5" t="str" cm="1">
        <f t="array" aca="1" ref="G5" ca="1">_FV(G4,"Industry")</f>
        <v>Banking Services</v>
      </c>
      <c r="H5" s="5" t="str" cm="1">
        <f t="array" aca="1" ref="H5" ca="1">_FV(H4,"Industry")</f>
        <v>Banking Services</v>
      </c>
    </row>
    <row r="6" spans="1:8" ht="28.8" x14ac:dyDescent="0.3">
      <c r="A6" s="6" t="s">
        <v>10</v>
      </c>
      <c r="B6" s="8" cm="1">
        <f t="array" aca="1" ref="B6" ca="1">_FV(B4,"Price")</f>
        <v>982.3</v>
      </c>
      <c r="C6" s="8" cm="1">
        <f t="array" aca="1" ref="C6" ca="1">_FV(C4,"Price")</f>
        <v>1343</v>
      </c>
      <c r="D6" s="8" cm="1">
        <f t="array" aca="1" ref="D6" ca="1">_FV(D4,"Price")</f>
        <v>1222.8</v>
      </c>
      <c r="E6" s="8" cm="1">
        <f t="array" aca="1" ref="E6" ca="1">_FV(E4,"Price")</f>
        <v>925</v>
      </c>
      <c r="F6" s="8" cm="1">
        <f t="array" aca="1" ref="F6" ca="1">_FV(F4,"Price")</f>
        <v>1066.5999999999999</v>
      </c>
      <c r="G6" s="8" cm="1">
        <f t="array" aca="1" ref="G6" ca="1">_FV(G4,"Price")</f>
        <v>109.5</v>
      </c>
      <c r="H6" s="8" cm="1">
        <f t="array" aca="1" ref="H6" ca="1">_FV(H4,"Price")</f>
        <v>3230</v>
      </c>
    </row>
    <row r="7" spans="1:8" x14ac:dyDescent="0.3">
      <c r="A7" s="6" t="s">
        <v>12</v>
      </c>
      <c r="B7" s="9" cm="1">
        <f t="array" aca="1" ref="B7" ca="1">_FV(B4,"Beta")</f>
        <v>0.87929999999999997</v>
      </c>
      <c r="C7" s="9" cm="1">
        <f t="array" aca="1" ref="C7" ca="1">_FV(C4,"Beta")</f>
        <v>0.99909999999999999</v>
      </c>
      <c r="D7" s="9" cm="1">
        <f t="array" aca="1" ref="D7" ca="1">_FV(D4,"Beta")</f>
        <v>1.0905</v>
      </c>
      <c r="E7" s="9" cm="1">
        <f t="array" aca="1" ref="E7" ca="1">_FV(E4,"Beta")</f>
        <v>1.2655000000000001</v>
      </c>
      <c r="F7" s="9" cm="1">
        <f t="array" aca="1" ref="F7" ca="1">_FV(F4,"Beta")</f>
        <v>1.1682999999999999</v>
      </c>
      <c r="G7" s="9" cm="1">
        <f t="array" aca="1" ref="G7" ca="1">_FV(G4,"Beta")</f>
        <v>1.4219999999999999</v>
      </c>
      <c r="H7" s="9" cm="1">
        <f t="array" aca="1" ref="H7" ca="1">_FV(H4,"Beta")</f>
        <v>0.97209999999999996</v>
      </c>
    </row>
    <row r="8" spans="1:8" x14ac:dyDescent="0.3">
      <c r="A8" s="6" t="s">
        <v>13</v>
      </c>
      <c r="B8" s="9" cm="1">
        <f t="array" aca="1" ref="B8" ca="1">_FV(B4,"P/E",TRUE)</f>
        <v>20.83</v>
      </c>
      <c r="C8" s="9" cm="1">
        <f t="array" aca="1" ref="C8" ca="1">_FV(C4,"P/E",TRUE)</f>
        <v>17.579999999999998</v>
      </c>
      <c r="D8" s="9" cm="1">
        <f t="array" aca="1" ref="D8" ca="1">_FV(D4,"P/E",TRUE)</f>
        <v>14.64</v>
      </c>
      <c r="E8" s="9" cm="1">
        <f t="array" aca="1" ref="E8" ca="1">_FV(E4,"P/E",TRUE)</f>
        <v>10.38</v>
      </c>
      <c r="F8" s="9" cm="1">
        <f t="array" aca="1" ref="F8" ca="1">_FV(F4,"P/E",TRUE)</f>
        <v>48.19</v>
      </c>
      <c r="G8" s="9" cm="1">
        <f t="array" aca="1" ref="G8" ca="1">_FV(G4,"P/E",TRUE)</f>
        <v>38.630000000000003</v>
      </c>
      <c r="H8" s="9" cm="1">
        <f t="array" aca="1" ref="H8" ca="1">_FV(H4,"P/E",TRUE)</f>
        <v>20.67</v>
      </c>
    </row>
    <row r="9" spans="1:8" x14ac:dyDescent="0.3">
      <c r="A9" s="6" t="s">
        <v>15</v>
      </c>
      <c r="B9" s="9" t="e" vm="15">
        <v>#VALUE!</v>
      </c>
      <c r="C9" s="9" t="e" vm="15">
        <v>#VALUE!</v>
      </c>
      <c r="D9" s="9" t="e" vm="15">
        <v>#VALUE!</v>
      </c>
      <c r="E9" s="9" t="e" vm="15">
        <v>#VALUE!</v>
      </c>
      <c r="F9" s="9" t="e" vm="15">
        <v>#VALUE!</v>
      </c>
      <c r="G9" s="9" t="e" vm="15">
        <v>#VALUE!</v>
      </c>
      <c r="H9" s="9" t="e" vm="15">
        <v>#VALUE!</v>
      </c>
    </row>
    <row r="10" spans="1:8" x14ac:dyDescent="0.3">
      <c r="A10" s="6" t="s">
        <v>16</v>
      </c>
      <c r="B10" s="10" cm="1">
        <f t="array" aca="1" ref="B10" ca="1">_FV(B9,"Price")</f>
        <v>1.128E-2</v>
      </c>
      <c r="C10" s="10" cm="1">
        <f t="array" aca="1" ref="C10" ca="1">_FV(C9,"Price")</f>
        <v>1.128E-2</v>
      </c>
      <c r="D10" s="10" cm="1">
        <f t="array" aca="1" ref="D10" ca="1">_FV(D9,"Price")</f>
        <v>1.128E-2</v>
      </c>
      <c r="E10" s="10" cm="1">
        <f t="array" aca="1" ref="E10" ca="1">_FV(E9,"Price")</f>
        <v>1.128E-2</v>
      </c>
      <c r="F10" s="10" cm="1">
        <f t="array" aca="1" ref="F10" ca="1">_FV(F9,"Price")</f>
        <v>1.128E-2</v>
      </c>
      <c r="G10" s="10" cm="1">
        <f t="array" aca="1" ref="G10" ca="1">_FV(G9,"Price")</f>
        <v>1.128E-2</v>
      </c>
      <c r="H10" s="10" cm="1">
        <f t="array" aca="1" ref="H10" ca="1">_FV(H9,"Price")</f>
        <v>1.128E-2</v>
      </c>
    </row>
    <row r="11" spans="1:8" x14ac:dyDescent="0.3">
      <c r="A11" s="525" t="s">
        <v>14</v>
      </c>
      <c r="B11" s="350" cm="1">
        <f t="array" aca="1" ref="B11" ca="1">_FV(B4,"Market cap",TRUE)</f>
        <v>15104490000000</v>
      </c>
      <c r="C11" s="350" cm="1">
        <f t="array" aca="1" ref="C11" ca="1">_FV(C4,"Market cap",TRUE)</f>
        <v>9592768000000</v>
      </c>
      <c r="D11" s="350" cm="1">
        <f t="array" aca="1" ref="D11" ca="1">_FV(D4,"Market cap",TRUE)</f>
        <v>3794774000000</v>
      </c>
      <c r="E11" s="350" cm="1">
        <f t="array" aca="1" ref="E11" ca="1">_FV(E4,"Market cap",TRUE)</f>
        <v>8517552000000</v>
      </c>
      <c r="F11" s="350" cm="1">
        <f t="array" aca="1" ref="F11" ca="1">_FV(F4,"Market cap",TRUE)</f>
        <v>6629063000000</v>
      </c>
      <c r="G11" s="350" cm="1">
        <f t="array" aca="1" ref="G11" ca="1">_FV(G4,"Market cap",TRUE)</f>
        <v>911982700000</v>
      </c>
      <c r="H11" s="350" cm="1">
        <f t="array" aca="1" ref="H11" ca="1">_FV(H4,"Market cap",TRUE)</f>
        <v>1296743000000</v>
      </c>
    </row>
    <row r="12" spans="1:8" x14ac:dyDescent="0.3">
      <c r="A12" s="525"/>
      <c r="B12" s="488">
        <f ca="1">B11/10000000</f>
        <v>1510449</v>
      </c>
      <c r="C12" s="488">
        <f t="shared" ref="C12:H12" ca="1" si="0">C11/10000000</f>
        <v>959276.8</v>
      </c>
      <c r="D12" s="488">
        <f t="shared" ca="1" si="0"/>
        <v>379477.4</v>
      </c>
      <c r="E12" s="488">
        <f t="shared" ca="1" si="0"/>
        <v>851755.2</v>
      </c>
      <c r="F12" s="488">
        <f t="shared" ca="1" si="0"/>
        <v>662906.30000000005</v>
      </c>
      <c r="G12" s="488">
        <f t="shared" ca="1" si="0"/>
        <v>91198.27</v>
      </c>
      <c r="H12" s="488">
        <f t="shared" ca="1" si="0"/>
        <v>129674.3</v>
      </c>
    </row>
    <row r="13" spans="1:8" ht="28.8" x14ac:dyDescent="0.3">
      <c r="A13" s="6" t="s">
        <v>17</v>
      </c>
      <c r="B13" s="11" cm="1">
        <f t="array" aca="1" ref="B13" ca="1">_FV(B4,"Shares outstanding",TRUE)</f>
        <v>15376650000</v>
      </c>
      <c r="C13" s="11" cm="1">
        <f t="array" aca="1" ref="C13" ca="1">_FV(C4,"Shares outstanding",TRUE)</f>
        <v>7142791000</v>
      </c>
      <c r="D13" s="11" cm="1">
        <f t="array" aca="1" ref="D13" ca="1">_FV(D4,"Shares outstanding",TRUE)</f>
        <v>3103348000</v>
      </c>
      <c r="E13" s="11" cm="1">
        <f t="array" aca="1" ref="E13" ca="1">_FV(E4,"Shares outstanding",TRUE)</f>
        <v>9230617000</v>
      </c>
      <c r="F13" s="11" cm="1">
        <f t="array" aca="1" ref="F13" ca="1">_FV(F4,"Shares outstanding",TRUE)</f>
        <v>6215135000</v>
      </c>
      <c r="G13" s="11" cm="1">
        <f t="array" aca="1" ref="G13" ca="1">_FV(G4,"Shares outstanding",TRUE)</f>
        <v>8328608000</v>
      </c>
      <c r="H13" s="11" cm="1">
        <f t="array" aca="1" ref="H13" ca="1">_FV(H4,"Shares outstanding",TRUE)</f>
        <v>401468500</v>
      </c>
    </row>
    <row r="14" spans="1:8" x14ac:dyDescent="0.3">
      <c r="A14" s="6" t="s">
        <v>424</v>
      </c>
      <c r="B14" s="9">
        <f ca="1">B13/10000000</f>
        <v>1537.665</v>
      </c>
      <c r="C14" s="9">
        <f t="shared" ref="C14:H14" ca="1" si="1">C13/10000000</f>
        <v>714.27909999999997</v>
      </c>
      <c r="D14" s="9">
        <f t="shared" ca="1" si="1"/>
        <v>310.33479999999997</v>
      </c>
      <c r="E14" s="9">
        <f t="shared" ca="1" si="1"/>
        <v>923.06169999999997</v>
      </c>
      <c r="F14" s="9">
        <f t="shared" ca="1" si="1"/>
        <v>621.51350000000002</v>
      </c>
      <c r="G14" s="9">
        <f t="shared" ca="1" si="1"/>
        <v>832.86080000000004</v>
      </c>
      <c r="H14" s="9">
        <f t="shared" ca="1" si="1"/>
        <v>40.146850000000001</v>
      </c>
    </row>
    <row r="15" spans="1:8" x14ac:dyDescent="0.3">
      <c r="A15" s="6" t="s">
        <v>18</v>
      </c>
      <c r="B15" s="12" cm="1">
        <f t="array" aca="1" ref="B15" ca="1">_FV(B4,"Change (%)",TRUE)</f>
        <v>-2.3869999999999998E-3</v>
      </c>
      <c r="C15" s="12" cm="1">
        <f t="array" aca="1" ref="C15" ca="1">_FV(C4,"Change (%)",TRUE)</f>
        <v>1.7115999999999999E-2</v>
      </c>
      <c r="D15" s="12" cm="1">
        <f t="array" aca="1" ref="D15" ca="1">_FV(D4,"Change (%)",TRUE)</f>
        <v>-4.64E-3</v>
      </c>
      <c r="E15" s="12" cm="1">
        <f t="array" aca="1" ref="E15" ca="1">_FV(E4,"Change (%)",TRUE)</f>
        <v>4.2958999999999997E-2</v>
      </c>
      <c r="F15" s="12" cm="1">
        <f t="array" aca="1" ref="F15" ca="1">_FV(F4,"Change (%)",TRUE)</f>
        <v>2.3706999999999999E-2</v>
      </c>
      <c r="G15" s="12" cm="1">
        <f t="array" aca="1" ref="G15" ca="1">_FV(G4,"Change (%)",TRUE)</f>
        <v>1.0970000000000001E-3</v>
      </c>
      <c r="H15" s="12" cm="1">
        <f t="array" aca="1" ref="H15" ca="1">_FV(H4,"Change (%)",TRUE)</f>
        <v>1.4511000000000001E-2</v>
      </c>
    </row>
    <row r="16" spans="1:8" x14ac:dyDescent="0.3">
      <c r="A16" s="6" t="s">
        <v>475</v>
      </c>
      <c r="B16" s="8" cm="1">
        <f t="array" aca="1" ref="B16" ca="1">_FV(B4,"Change")</f>
        <v>-2.35</v>
      </c>
      <c r="C16" s="8" cm="1">
        <f t="array" aca="1" ref="C16" ca="1">_FV(C4,"Change")</f>
        <v>22.6</v>
      </c>
      <c r="D16" s="8" cm="1">
        <f t="array" aca="1" ref="D16" ca="1">_FV(D4,"Change")</f>
        <v>-5.7</v>
      </c>
      <c r="E16" s="8" cm="1">
        <f t="array" aca="1" ref="E16" ca="1">_FV(E4,"Change")</f>
        <v>38.1</v>
      </c>
      <c r="F16" s="8" cm="1">
        <f t="array" aca="1" ref="F16" ca="1">_FV(F4,"Change")</f>
        <v>24.7</v>
      </c>
      <c r="G16" s="8" cm="1">
        <f t="array" aca="1" ref="G16" ca="1">_FV(G4,"Change")</f>
        <v>0.12</v>
      </c>
      <c r="H16" s="8" cm="1">
        <f t="array" aca="1" ref="H16" ca="1">_FV(H4,"Change")</f>
        <v>46.2</v>
      </c>
    </row>
    <row r="18" spans="1:8" x14ac:dyDescent="0.3">
      <c r="A18" s="3" t="s">
        <v>546</v>
      </c>
      <c r="B18" s="518">
        <f ca="1">B11*B10</f>
        <v>170378647200</v>
      </c>
      <c r="C18" s="518">
        <f t="shared" ref="C18:H18" ca="1" si="2">C11*C10</f>
        <v>108206423040</v>
      </c>
      <c r="D18" s="518">
        <f t="shared" ca="1" si="2"/>
        <v>42805050720</v>
      </c>
      <c r="E18" s="518">
        <f t="shared" ca="1" si="2"/>
        <v>96077986560</v>
      </c>
      <c r="F18" s="518">
        <f t="shared" ca="1" si="2"/>
        <v>74775830640</v>
      </c>
      <c r="G18" s="518">
        <f t="shared" ca="1" si="2"/>
        <v>10287164856</v>
      </c>
      <c r="H18" s="518">
        <f t="shared" ca="1" si="2"/>
        <v>14627261040</v>
      </c>
    </row>
    <row r="19" spans="1:8" x14ac:dyDescent="0.3">
      <c r="A19" s="3" t="s">
        <v>547</v>
      </c>
      <c r="B19" s="519">
        <f ca="1">B18/1000000</f>
        <v>170378.64720000001</v>
      </c>
      <c r="C19" s="519">
        <f t="shared" ref="C19:H19" ca="1" si="3">C18/1000000</f>
        <v>108206.42303999999</v>
      </c>
      <c r="D19" s="519">
        <f t="shared" ca="1" si="3"/>
        <v>42805.050719999999</v>
      </c>
      <c r="E19" s="519">
        <f t="shared" ca="1" si="3"/>
        <v>96077.986560000005</v>
      </c>
      <c r="F19" s="519">
        <f t="shared" ca="1" si="3"/>
        <v>74775.83064</v>
      </c>
      <c r="G19" s="519">
        <f t="shared" ca="1" si="3"/>
        <v>10287.164855999999</v>
      </c>
      <c r="H19" s="519">
        <f t="shared" ca="1" si="3"/>
        <v>14627.261039999999</v>
      </c>
    </row>
  </sheetData>
  <mergeCells count="2">
    <mergeCell ref="A1:H1"/>
    <mergeCell ref="A11:A12"/>
  </mergeCells>
  <conditionalFormatting sqref="B15:H16">
    <cfRule type="cellIs" dxfId="19" priority="1" operator="lessThan">
      <formula>0</formula>
    </cfRule>
    <cfRule type="cellIs" dxfId="18" priority="2" operator="greater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CEE3D-150C-453C-A916-E41E19ED0399}">
  <sheetPr>
    <tabColor rgb="FF0070C0"/>
  </sheetPr>
  <dimension ref="A1:AK89"/>
  <sheetViews>
    <sheetView tabSelected="1" zoomScale="90" zoomScaleNormal="90" workbookViewId="0">
      <pane xSplit="1" topLeftCell="B1" activePane="topRight" state="frozen"/>
      <selection activeCell="A31" sqref="A31"/>
      <selection pane="topRight" activeCell="V24" sqref="V24"/>
    </sheetView>
  </sheetViews>
  <sheetFormatPr defaultRowHeight="14.4" x14ac:dyDescent="0.3"/>
  <cols>
    <col min="1" max="1" width="36" style="16" bestFit="1" customWidth="1"/>
    <col min="2" max="2" width="12.109375" style="15" bestFit="1" customWidth="1"/>
    <col min="3" max="21" width="13.6640625" style="15" bestFit="1" customWidth="1"/>
    <col min="22" max="22" width="30.33203125" style="15" customWidth="1"/>
    <col min="23" max="23" width="10" style="15" bestFit="1" customWidth="1"/>
    <col min="24" max="37" width="9.109375" style="15" bestFit="1" customWidth="1"/>
    <col min="38" max="16384" width="8.88671875" style="15"/>
  </cols>
  <sheetData>
    <row r="1" spans="1:37" s="25" customFormat="1" ht="33.6" x14ac:dyDescent="0.3">
      <c r="A1" s="532" t="s">
        <v>19</v>
      </c>
      <c r="B1" s="533"/>
      <c r="C1" s="533"/>
      <c r="D1" s="533"/>
      <c r="E1" s="533"/>
      <c r="F1" s="533"/>
      <c r="G1" s="533"/>
      <c r="H1" s="533"/>
      <c r="I1" s="533"/>
      <c r="J1" s="533"/>
      <c r="K1" s="533"/>
      <c r="L1" s="533"/>
      <c r="M1" s="533"/>
      <c r="N1" s="533"/>
      <c r="O1" s="533"/>
      <c r="P1" s="533"/>
      <c r="Q1" s="533"/>
      <c r="R1" s="533"/>
      <c r="S1" s="533"/>
      <c r="T1" s="533"/>
      <c r="U1" s="534"/>
      <c r="V1" s="24"/>
      <c r="W1" s="24"/>
      <c r="X1" s="24"/>
      <c r="Y1" s="24"/>
      <c r="Z1" s="24"/>
      <c r="AA1" s="24"/>
      <c r="AB1" s="24"/>
      <c r="AC1" s="24"/>
      <c r="AD1" s="24"/>
      <c r="AE1" s="24"/>
      <c r="AF1" s="24"/>
      <c r="AG1" s="24"/>
      <c r="AH1" s="24"/>
      <c r="AI1" s="24"/>
      <c r="AJ1" s="24"/>
      <c r="AK1" s="24"/>
    </row>
    <row r="2" spans="1:37" ht="44.4" customHeight="1" x14ac:dyDescent="0.3">
      <c r="A2" s="535" t="s">
        <v>20</v>
      </c>
      <c r="B2" s="536" t="e" vm="3">
        <v>#VALUE!</v>
      </c>
      <c r="C2" s="536"/>
      <c r="D2" s="536"/>
      <c r="E2" s="536"/>
      <c r="F2" s="536"/>
      <c r="G2" s="536" t="e" vm="1">
        <v>#VALUE!</v>
      </c>
      <c r="H2" s="536"/>
      <c r="I2" s="536"/>
      <c r="J2" s="536"/>
      <c r="K2" s="536"/>
      <c r="L2" s="536" t="e" vm="2">
        <v>#VALUE!</v>
      </c>
      <c r="M2" s="536"/>
      <c r="N2" s="536"/>
      <c r="O2" s="536"/>
      <c r="P2" s="536"/>
      <c r="Q2" s="536" t="e" vm="4">
        <v>#VALUE!</v>
      </c>
      <c r="R2" s="536"/>
      <c r="S2" s="536"/>
      <c r="T2" s="536"/>
      <c r="U2" s="537"/>
    </row>
    <row r="3" spans="1:37" s="14" customFormat="1" x14ac:dyDescent="0.3">
      <c r="A3" s="535"/>
      <c r="B3" s="369">
        <v>2020</v>
      </c>
      <c r="C3" s="369">
        <v>2021</v>
      </c>
      <c r="D3" s="369">
        <v>2022</v>
      </c>
      <c r="E3" s="369">
        <v>2023</v>
      </c>
      <c r="F3" s="369">
        <v>2024</v>
      </c>
      <c r="G3" s="13">
        <v>2020</v>
      </c>
      <c r="H3" s="13">
        <v>2021</v>
      </c>
      <c r="I3" s="13">
        <v>2022</v>
      </c>
      <c r="J3" s="13">
        <v>2023</v>
      </c>
      <c r="K3" s="13">
        <v>2024</v>
      </c>
      <c r="L3" s="13">
        <v>2020</v>
      </c>
      <c r="M3" s="13">
        <v>2021</v>
      </c>
      <c r="N3" s="13">
        <v>2022</v>
      </c>
      <c r="O3" s="13">
        <v>2023</v>
      </c>
      <c r="P3" s="13">
        <v>2024</v>
      </c>
      <c r="Q3" s="13">
        <v>2020</v>
      </c>
      <c r="R3" s="13">
        <v>2021</v>
      </c>
      <c r="S3" s="13">
        <v>2022</v>
      </c>
      <c r="T3" s="13">
        <v>2023</v>
      </c>
      <c r="U3" s="26">
        <v>2024</v>
      </c>
    </row>
    <row r="4" spans="1:37" x14ac:dyDescent="0.3">
      <c r="A4" s="368" t="s">
        <v>28</v>
      </c>
      <c r="B4" s="529"/>
      <c r="C4" s="530"/>
      <c r="D4" s="530"/>
      <c r="E4" s="530"/>
      <c r="F4" s="531"/>
      <c r="G4" s="529"/>
      <c r="H4" s="530"/>
      <c r="I4" s="530"/>
      <c r="J4" s="530"/>
      <c r="K4" s="530"/>
      <c r="L4" s="529"/>
      <c r="M4" s="530"/>
      <c r="N4" s="530"/>
      <c r="O4" s="530"/>
      <c r="P4" s="531"/>
      <c r="Q4" s="529"/>
      <c r="R4" s="530"/>
      <c r="S4" s="530"/>
      <c r="T4" s="530"/>
      <c r="U4" s="531"/>
    </row>
    <row r="5" spans="1:37" x14ac:dyDescent="0.3">
      <c r="A5" s="27" t="s">
        <v>21</v>
      </c>
      <c r="B5" s="370">
        <v>564.33000000000004</v>
      </c>
      <c r="C5" s="370">
        <f>612.75</f>
        <v>612.75</v>
      </c>
      <c r="D5" s="370">
        <v>613.95000000000005</v>
      </c>
      <c r="E5" s="370">
        <v>615.37</v>
      </c>
      <c r="F5" s="370">
        <v>617.30999999999995</v>
      </c>
      <c r="G5" s="17">
        <v>548.32000000000005</v>
      </c>
      <c r="H5" s="17">
        <v>551.27</v>
      </c>
      <c r="I5" s="17">
        <v>554.54999999999995</v>
      </c>
      <c r="J5" s="17">
        <v>557.97</v>
      </c>
      <c r="K5" s="17">
        <v>759.69</v>
      </c>
      <c r="L5" s="17">
        <v>1294.76</v>
      </c>
      <c r="M5" s="17">
        <v>1383.41</v>
      </c>
      <c r="N5" s="17">
        <v>1389.96</v>
      </c>
      <c r="O5" s="17">
        <v>1396.77</v>
      </c>
      <c r="P5" s="17">
        <v>1404.67</v>
      </c>
      <c r="Q5" s="17">
        <v>892.46</v>
      </c>
      <c r="R5" s="17">
        <v>892.46</v>
      </c>
      <c r="S5" s="17">
        <v>892.46</v>
      </c>
      <c r="T5" s="17">
        <v>892.46</v>
      </c>
      <c r="U5" s="28">
        <v>892.46</v>
      </c>
    </row>
    <row r="6" spans="1:37" x14ac:dyDescent="0.3">
      <c r="A6" s="27" t="s">
        <v>22</v>
      </c>
      <c r="B6" s="17">
        <v>85776.09</v>
      </c>
      <c r="C6" s="17">
        <v>102980.95</v>
      </c>
      <c r="D6" s="17">
        <v>117495.94</v>
      </c>
      <c r="E6" s="29">
        <v>128740.25</v>
      </c>
      <c r="F6" s="17">
        <v>155511.72</v>
      </c>
      <c r="G6" s="17">
        <v>175810.37</v>
      </c>
      <c r="H6" s="17">
        <v>209258.91</v>
      </c>
      <c r="I6" s="17">
        <v>246771.62</v>
      </c>
      <c r="J6" s="17">
        <v>288879.53000000003</v>
      </c>
      <c r="K6" s="17">
        <v>452982.84</v>
      </c>
      <c r="L6" s="17">
        <v>121661.8</v>
      </c>
      <c r="M6" s="17">
        <v>146122.67000000001</v>
      </c>
      <c r="N6" s="17">
        <v>168855.59</v>
      </c>
      <c r="O6" s="17">
        <v>212340.12</v>
      </c>
      <c r="P6" s="17">
        <v>253333.83</v>
      </c>
      <c r="Q6" s="17">
        <v>250167.66</v>
      </c>
      <c r="R6" s="17">
        <v>274669.09000000003</v>
      </c>
      <c r="S6" s="17">
        <v>304695.58</v>
      </c>
      <c r="T6" s="17">
        <v>358038.85</v>
      </c>
      <c r="U6" s="28">
        <v>414046.71</v>
      </c>
    </row>
    <row r="7" spans="1:37" x14ac:dyDescent="0.3">
      <c r="A7" s="27" t="s">
        <v>23</v>
      </c>
      <c r="B7" s="17">
        <v>113.55</v>
      </c>
      <c r="C7" s="17">
        <v>173.75</v>
      </c>
      <c r="D7" s="17">
        <v>261.35000000000002</v>
      </c>
      <c r="E7" s="17">
        <v>393.39</v>
      </c>
      <c r="F7" s="17">
        <v>499.44</v>
      </c>
      <c r="G7" s="17">
        <v>576.64</v>
      </c>
      <c r="H7" s="17">
        <v>632.76</v>
      </c>
      <c r="I7" s="17">
        <v>720.41</v>
      </c>
      <c r="J7" s="17">
        <v>860.26</v>
      </c>
      <c r="K7" s="17">
        <v>13383.4</v>
      </c>
      <c r="L7" s="17">
        <v>6794.76</v>
      </c>
      <c r="M7" s="17">
        <v>0</v>
      </c>
      <c r="N7" s="17">
        <v>0</v>
      </c>
      <c r="O7" s="17">
        <v>6686.75</v>
      </c>
      <c r="P7" s="17">
        <v>13888.41</v>
      </c>
      <c r="Q7" s="17">
        <v>7943.82</v>
      </c>
      <c r="R7" s="17">
        <v>9625.91</v>
      </c>
      <c r="S7" s="17">
        <v>11207.42</v>
      </c>
      <c r="T7" s="17">
        <v>12836.61</v>
      </c>
      <c r="U7" s="28">
        <v>15617.96</v>
      </c>
    </row>
    <row r="8" spans="1:37" x14ac:dyDescent="0.3">
      <c r="A8" s="27" t="s">
        <v>84</v>
      </c>
      <c r="B8" s="17">
        <v>0</v>
      </c>
      <c r="C8" s="17">
        <v>0</v>
      </c>
      <c r="D8" s="17">
        <v>150.77000000000001</v>
      </c>
      <c r="E8" s="17">
        <v>426.09</v>
      </c>
      <c r="F8" s="17">
        <v>894.49</v>
      </c>
      <c r="G8" s="17">
        <v>0</v>
      </c>
      <c r="H8" s="17">
        <v>0</v>
      </c>
      <c r="I8" s="17">
        <v>0</v>
      </c>
      <c r="J8" s="17">
        <v>0</v>
      </c>
      <c r="K8" s="17">
        <v>2652.72</v>
      </c>
      <c r="L8" s="17">
        <v>3.48</v>
      </c>
      <c r="M8" s="17">
        <v>3.1</v>
      </c>
      <c r="N8" s="17">
        <v>266.41000000000003</v>
      </c>
      <c r="O8" s="17">
        <v>760.88</v>
      </c>
      <c r="P8" s="17">
        <v>1405.31</v>
      </c>
      <c r="Q8" s="17">
        <v>0</v>
      </c>
      <c r="R8" s="17">
        <v>0</v>
      </c>
      <c r="S8" s="17">
        <v>0</v>
      </c>
      <c r="T8" s="17">
        <v>0</v>
      </c>
      <c r="U8" s="28">
        <v>0</v>
      </c>
    </row>
    <row r="9" spans="1:37" x14ac:dyDescent="0.3">
      <c r="A9" s="30" t="s">
        <v>29</v>
      </c>
      <c r="B9" s="18">
        <f>B5+B6+B7</f>
        <v>86453.97</v>
      </c>
      <c r="C9" s="18">
        <f>C5+C6+C7</f>
        <v>103767.45</v>
      </c>
      <c r="D9" s="18">
        <f t="shared" ref="D9:U9" si="0">D5+D6+D7+D8</f>
        <v>118522.01000000001</v>
      </c>
      <c r="E9" s="18">
        <f t="shared" si="0"/>
        <v>130175.09999999999</v>
      </c>
      <c r="F9" s="18">
        <f t="shared" si="0"/>
        <v>157522.96</v>
      </c>
      <c r="G9" s="18">
        <f t="shared" si="0"/>
        <v>176935.33000000002</v>
      </c>
      <c r="H9" s="18">
        <f t="shared" si="0"/>
        <v>210442.94</v>
      </c>
      <c r="I9" s="18">
        <f t="shared" si="0"/>
        <v>248046.58</v>
      </c>
      <c r="J9" s="18">
        <f t="shared" si="0"/>
        <v>290297.76</v>
      </c>
      <c r="K9" s="18">
        <f t="shared" si="0"/>
        <v>469778.65</v>
      </c>
      <c r="L9" s="18">
        <f t="shared" si="0"/>
        <v>129754.79999999999</v>
      </c>
      <c r="M9" s="18">
        <f t="shared" si="0"/>
        <v>147509.18000000002</v>
      </c>
      <c r="N9" s="18">
        <f t="shared" si="0"/>
        <v>170511.96</v>
      </c>
      <c r="O9" s="18">
        <f t="shared" si="0"/>
        <v>221184.52</v>
      </c>
      <c r="P9" s="18">
        <f t="shared" si="0"/>
        <v>270032.21999999997</v>
      </c>
      <c r="Q9" s="18">
        <f t="shared" si="0"/>
        <v>259003.94</v>
      </c>
      <c r="R9" s="18">
        <f t="shared" si="0"/>
        <v>285187.46000000002</v>
      </c>
      <c r="S9" s="18">
        <f t="shared" si="0"/>
        <v>316795.46000000002</v>
      </c>
      <c r="T9" s="18">
        <f t="shared" si="0"/>
        <v>371767.92</v>
      </c>
      <c r="U9" s="31">
        <f t="shared" si="0"/>
        <v>430557.13000000006</v>
      </c>
    </row>
    <row r="10" spans="1:37" x14ac:dyDescent="0.3">
      <c r="A10" s="79" t="s">
        <v>30</v>
      </c>
      <c r="B10" s="526"/>
      <c r="C10" s="527"/>
      <c r="D10" s="527"/>
      <c r="E10" s="527"/>
      <c r="F10" s="528"/>
      <c r="G10" s="371"/>
      <c r="H10" s="371"/>
      <c r="I10" s="371"/>
      <c r="J10" s="371"/>
      <c r="K10" s="371"/>
      <c r="L10" s="371"/>
      <c r="M10" s="371"/>
      <c r="N10" s="371"/>
      <c r="O10" s="371"/>
      <c r="P10" s="371"/>
      <c r="Q10" s="371"/>
      <c r="R10" s="371"/>
      <c r="S10" s="371"/>
      <c r="T10" s="371"/>
      <c r="U10" s="372"/>
    </row>
    <row r="11" spans="1:37" x14ac:dyDescent="0.3">
      <c r="A11" s="27" t="s">
        <v>77</v>
      </c>
      <c r="B11" s="17">
        <v>635203.77</v>
      </c>
      <c r="C11" s="17">
        <v>695234.99</v>
      </c>
      <c r="D11" s="17">
        <v>818308.24</v>
      </c>
      <c r="E11" s="17">
        <v>931486.13</v>
      </c>
      <c r="F11" s="17">
        <v>1052137.32</v>
      </c>
      <c r="G11" s="17">
        <v>1141364.08</v>
      </c>
      <c r="H11" s="17">
        <v>1327832.43</v>
      </c>
      <c r="I11" s="17">
        <v>1547880.73</v>
      </c>
      <c r="J11" s="17">
        <v>1865420.25</v>
      </c>
      <c r="K11" s="17">
        <v>2354694.75</v>
      </c>
      <c r="L11" s="17">
        <v>762401.07</v>
      </c>
      <c r="M11" s="17">
        <v>924888.06</v>
      </c>
      <c r="N11" s="17">
        <v>1054760.8999999999</v>
      </c>
      <c r="O11" s="17">
        <v>1163807.92</v>
      </c>
      <c r="P11" s="17">
        <v>1395478.52</v>
      </c>
      <c r="Q11" s="17">
        <v>3122567.41</v>
      </c>
      <c r="R11" s="17">
        <v>3567926.84</v>
      </c>
      <c r="S11" s="17">
        <v>3917357.59</v>
      </c>
      <c r="T11" s="17">
        <v>4248617.47</v>
      </c>
      <c r="U11" s="28">
        <v>4718596.72</v>
      </c>
    </row>
    <row r="12" spans="1:37" x14ac:dyDescent="0.3">
      <c r="A12" s="27" t="s">
        <v>78</v>
      </c>
      <c r="B12" s="17">
        <v>6953.43</v>
      </c>
      <c r="C12" s="17">
        <v>3067.64</v>
      </c>
      <c r="D12" s="17">
        <v>2605.92</v>
      </c>
      <c r="E12" s="17">
        <v>14338.59</v>
      </c>
      <c r="F12" s="17">
        <v>14965.08</v>
      </c>
      <c r="G12" s="17">
        <v>4843.05</v>
      </c>
      <c r="H12" s="17">
        <v>5888.44</v>
      </c>
      <c r="I12" s="17">
        <v>10122.299999999999</v>
      </c>
      <c r="J12" s="17">
        <v>17243</v>
      </c>
      <c r="K12" s="17">
        <v>22192.53</v>
      </c>
      <c r="L12" s="17">
        <v>38383.379999999997</v>
      </c>
      <c r="M12" s="17">
        <v>7634.09</v>
      </c>
      <c r="N12" s="17">
        <v>9810.7099999999991</v>
      </c>
      <c r="O12" s="17">
        <v>47024.22</v>
      </c>
      <c r="P12" s="17">
        <v>48101.42</v>
      </c>
      <c r="Q12" s="17">
        <v>151593.20000000001</v>
      </c>
      <c r="R12" s="17">
        <v>147404.39000000001</v>
      </c>
      <c r="S12" s="17">
        <v>170053.00719999999</v>
      </c>
      <c r="T12" s="17">
        <v>219918.02</v>
      </c>
      <c r="U12" s="28">
        <v>247940.75</v>
      </c>
    </row>
    <row r="13" spans="1:37" x14ac:dyDescent="0.3">
      <c r="A13" s="30" t="s">
        <v>27</v>
      </c>
      <c r="B13" s="18">
        <f t="shared" ref="B13:U13" si="1">B11+B12</f>
        <v>642157.20000000007</v>
      </c>
      <c r="C13" s="18">
        <f t="shared" si="1"/>
        <v>698302.63</v>
      </c>
      <c r="D13" s="18">
        <f t="shared" si="1"/>
        <v>820914.16</v>
      </c>
      <c r="E13" s="18">
        <f t="shared" si="1"/>
        <v>945824.72</v>
      </c>
      <c r="F13" s="18">
        <f t="shared" si="1"/>
        <v>1067102.4000000001</v>
      </c>
      <c r="G13" s="18">
        <f t="shared" si="1"/>
        <v>1146207.1300000001</v>
      </c>
      <c r="H13" s="18">
        <f t="shared" si="1"/>
        <v>1333720.8699999999</v>
      </c>
      <c r="I13" s="18">
        <f t="shared" si="1"/>
        <v>1558003.03</v>
      </c>
      <c r="J13" s="18">
        <f t="shared" si="1"/>
        <v>1882663.25</v>
      </c>
      <c r="K13" s="18">
        <f t="shared" si="1"/>
        <v>2376887.2799999998</v>
      </c>
      <c r="L13" s="18">
        <f t="shared" si="1"/>
        <v>800784.45</v>
      </c>
      <c r="M13" s="18">
        <f t="shared" si="1"/>
        <v>932522.15</v>
      </c>
      <c r="N13" s="18">
        <f t="shared" si="1"/>
        <v>1064571.6099999999</v>
      </c>
      <c r="O13" s="18">
        <f t="shared" si="1"/>
        <v>1210832.1399999999</v>
      </c>
      <c r="P13" s="18">
        <f t="shared" si="1"/>
        <v>1443579.94</v>
      </c>
      <c r="Q13" s="18">
        <f t="shared" si="1"/>
        <v>3274160.6100000003</v>
      </c>
      <c r="R13" s="18">
        <f t="shared" si="1"/>
        <v>3715331.23</v>
      </c>
      <c r="S13" s="18">
        <f t="shared" si="1"/>
        <v>4087410.5971999997</v>
      </c>
      <c r="T13" s="18">
        <f t="shared" si="1"/>
        <v>4468535.4899999993</v>
      </c>
      <c r="U13" s="31">
        <f t="shared" si="1"/>
        <v>4966537.47</v>
      </c>
    </row>
    <row r="14" spans="1:37" x14ac:dyDescent="0.3">
      <c r="A14" s="79" t="s">
        <v>24</v>
      </c>
      <c r="B14" s="526"/>
      <c r="C14" s="527"/>
      <c r="D14" s="527"/>
      <c r="E14" s="527"/>
      <c r="F14" s="528"/>
      <c r="G14" s="371"/>
      <c r="H14" s="371"/>
      <c r="I14" s="371"/>
      <c r="J14" s="371"/>
      <c r="K14" s="371"/>
      <c r="L14" s="371"/>
      <c r="M14" s="371"/>
      <c r="N14" s="371"/>
      <c r="O14" s="371"/>
      <c r="P14" s="371"/>
      <c r="Q14" s="371"/>
      <c r="R14" s="371"/>
      <c r="S14" s="371"/>
      <c r="T14" s="371"/>
      <c r="U14" s="372"/>
    </row>
    <row r="15" spans="1:37" x14ac:dyDescent="0.3">
      <c r="A15" s="27" t="s">
        <v>79</v>
      </c>
      <c r="B15" s="17">
        <v>11619</v>
      </c>
      <c r="C15" s="17">
        <v>18102</v>
      </c>
      <c r="D15" s="17">
        <v>18102</v>
      </c>
      <c r="E15" s="17">
        <v>7769</v>
      </c>
      <c r="F15" s="17">
        <v>0</v>
      </c>
      <c r="G15" s="17">
        <v>1726</v>
      </c>
      <c r="H15" s="17">
        <v>9020</v>
      </c>
      <c r="I15" s="17">
        <v>9020</v>
      </c>
      <c r="J15" s="17">
        <v>9020</v>
      </c>
      <c r="K15" s="17">
        <v>4556</v>
      </c>
      <c r="L15" s="17">
        <v>11832.85</v>
      </c>
      <c r="M15" s="17">
        <v>100</v>
      </c>
      <c r="N15" s="17">
        <v>0</v>
      </c>
      <c r="O15" s="17">
        <v>1889.92</v>
      </c>
      <c r="P15" s="17">
        <v>2618.69</v>
      </c>
      <c r="Q15" s="17">
        <v>34981.75</v>
      </c>
      <c r="R15" s="17">
        <v>24956</v>
      </c>
      <c r="S15" s="17">
        <v>24956</v>
      </c>
      <c r="T15" s="17">
        <v>26467.439999999999</v>
      </c>
      <c r="U15" s="28">
        <v>98806.56</v>
      </c>
    </row>
    <row r="16" spans="1:37" x14ac:dyDescent="0.3">
      <c r="A16" s="27" t="s">
        <v>80</v>
      </c>
      <c r="B16" s="17">
        <v>2358.29</v>
      </c>
      <c r="C16" s="17">
        <v>3284.48</v>
      </c>
      <c r="D16" s="17">
        <v>8518.11</v>
      </c>
      <c r="E16" s="17">
        <v>13696.28</v>
      </c>
      <c r="F16" s="17">
        <v>15891.26</v>
      </c>
      <c r="G16" s="17">
        <v>13804.08</v>
      </c>
      <c r="H16" s="17">
        <v>11504.26</v>
      </c>
      <c r="I16" s="17">
        <v>9975.09</v>
      </c>
      <c r="J16" s="17">
        <v>17538.29</v>
      </c>
      <c r="K16" s="17">
        <v>138414.6</v>
      </c>
      <c r="L16" s="17">
        <v>7719.61</v>
      </c>
      <c r="M16" s="17">
        <v>69.989999999999995</v>
      </c>
      <c r="N16" s="17">
        <v>0</v>
      </c>
      <c r="O16" s="17">
        <v>7191.11</v>
      </c>
      <c r="P16" s="17">
        <v>10471.4</v>
      </c>
      <c r="Q16" s="17">
        <v>10041.129999999999</v>
      </c>
      <c r="R16" s="17">
        <v>10678.34</v>
      </c>
      <c r="S16" s="17">
        <v>12601.43</v>
      </c>
      <c r="T16" s="17">
        <v>12929.14</v>
      </c>
      <c r="U16" s="28">
        <v>18549.189999999999</v>
      </c>
    </row>
    <row r="17" spans="1:21" x14ac:dyDescent="0.3">
      <c r="A17" s="27" t="s">
        <v>81</v>
      </c>
      <c r="B17" s="17">
        <v>84526.52</v>
      </c>
      <c r="C17" s="17">
        <v>90548.85</v>
      </c>
      <c r="D17" s="17">
        <v>118770.87</v>
      </c>
      <c r="E17" s="17">
        <v>147235.51999999999</v>
      </c>
      <c r="F17" s="17">
        <v>176230.7</v>
      </c>
      <c r="G17" s="17">
        <v>74982.429999999993</v>
      </c>
      <c r="H17" s="17">
        <v>69351.56</v>
      </c>
      <c r="I17" s="17">
        <v>88651.96</v>
      </c>
      <c r="J17" s="17">
        <v>95782.45</v>
      </c>
      <c r="K17" s="17">
        <v>148410.04</v>
      </c>
      <c r="L17" s="17">
        <v>58397.15</v>
      </c>
      <c r="M17" s="17">
        <v>21606.9</v>
      </c>
      <c r="N17" s="17">
        <v>18716.87</v>
      </c>
      <c r="O17" s="17">
        <v>60894.23</v>
      </c>
      <c r="P17" s="17">
        <v>66184.05</v>
      </c>
      <c r="Q17" s="17">
        <v>11419.94</v>
      </c>
      <c r="R17" s="17">
        <v>159271.91</v>
      </c>
      <c r="S17" s="17">
        <v>152877.62</v>
      </c>
      <c r="T17" s="17">
        <v>98387.56</v>
      </c>
      <c r="U17" s="28">
        <v>74966.149999999994</v>
      </c>
    </row>
    <row r="18" spans="1:21" x14ac:dyDescent="0.3">
      <c r="A18" s="27" t="s">
        <v>85</v>
      </c>
      <c r="B18" s="17">
        <v>0</v>
      </c>
      <c r="C18" s="17">
        <v>0</v>
      </c>
      <c r="D18" s="17">
        <v>0</v>
      </c>
      <c r="E18" s="17">
        <v>0</v>
      </c>
      <c r="F18" s="17">
        <v>0</v>
      </c>
      <c r="G18" s="17">
        <v>21875.5</v>
      </c>
      <c r="H18" s="17">
        <v>21127</v>
      </c>
      <c r="I18" s="17">
        <v>17627</v>
      </c>
      <c r="J18" s="17">
        <v>28550</v>
      </c>
      <c r="K18" s="17">
        <v>30583.32</v>
      </c>
      <c r="L18" s="17">
        <v>22342.49</v>
      </c>
      <c r="M18" s="17">
        <f>10120+7125.8998</f>
        <v>17245.899799999999</v>
      </c>
      <c r="N18" s="17">
        <f>6695+7155.6981</f>
        <v>13850.6981</v>
      </c>
      <c r="O18" s="17">
        <f>5140+5320.66</f>
        <v>10460.66</v>
      </c>
      <c r="P18" s="17">
        <v>4859.41</v>
      </c>
      <c r="Q18" s="17">
        <v>56464.75</v>
      </c>
      <c r="R18" s="17">
        <v>67465.600000000006</v>
      </c>
      <c r="S18" s="17">
        <v>73239.600000000006</v>
      </c>
      <c r="T18" s="17">
        <v>90522.6</v>
      </c>
      <c r="U18" s="28">
        <v>96310.399999999994</v>
      </c>
    </row>
    <row r="19" spans="1:21" x14ac:dyDescent="0.3">
      <c r="A19" s="27" t="s">
        <v>86</v>
      </c>
      <c r="B19" s="17">
        <v>0</v>
      </c>
      <c r="C19" s="17">
        <v>0</v>
      </c>
      <c r="D19" s="17">
        <v>0</v>
      </c>
      <c r="E19" s="17">
        <v>0</v>
      </c>
      <c r="F19" s="17">
        <v>0</v>
      </c>
      <c r="G19" s="17">
        <v>39242.410000000003</v>
      </c>
      <c r="H19" s="17">
        <v>38975.21</v>
      </c>
      <c r="I19" s="17">
        <v>43986.21</v>
      </c>
      <c r="J19" s="17">
        <v>46619.58</v>
      </c>
      <c r="K19" s="17">
        <v>299626.90999999997</v>
      </c>
      <c r="L19" s="17">
        <v>28115.02</v>
      </c>
      <c r="M19" s="17">
        <v>19786.78</v>
      </c>
      <c r="N19" s="17">
        <v>39149.5</v>
      </c>
      <c r="O19" s="17">
        <f>50678.2+9802.28+3662.44</f>
        <v>64142.92</v>
      </c>
      <c r="P19" s="17">
        <f>52530.38+17296.08+3810.6</f>
        <v>73637.06</v>
      </c>
      <c r="Q19" s="17">
        <v>2927.08</v>
      </c>
      <c r="R19" s="17">
        <v>2382.91</v>
      </c>
      <c r="S19" s="17">
        <v>164.61</v>
      </c>
      <c r="T19" s="17">
        <v>23073</v>
      </c>
      <c r="U19" s="28">
        <v>42703</v>
      </c>
    </row>
    <row r="20" spans="1:21" s="20" customFormat="1" x14ac:dyDescent="0.3">
      <c r="A20" s="32" t="s">
        <v>25</v>
      </c>
      <c r="B20" s="19">
        <v>56676.34</v>
      </c>
      <c r="C20" s="19">
        <v>40313.39</v>
      </c>
      <c r="D20" s="19">
        <v>54387.18</v>
      </c>
      <c r="E20" s="19">
        <v>37512.769999999997</v>
      </c>
      <c r="F20" s="19">
        <v>36077.589999999997</v>
      </c>
      <c r="G20" s="19">
        <v>35203.89</v>
      </c>
      <c r="H20" s="19">
        <v>27718.7</v>
      </c>
      <c r="I20" s="19">
        <v>57706.239999999998</v>
      </c>
      <c r="J20" s="19">
        <v>59038.34</v>
      </c>
      <c r="K20" s="19">
        <v>109024.59</v>
      </c>
      <c r="L20" s="19">
        <v>85444.62</v>
      </c>
      <c r="M20" s="19">
        <v>32890.660000000003</v>
      </c>
      <c r="N20" s="19">
        <v>35514.28</v>
      </c>
      <c r="O20" s="19">
        <v>44482.93</v>
      </c>
      <c r="P20" s="19">
        <v>49657.37</v>
      </c>
      <c r="Q20" s="19">
        <v>217066</v>
      </c>
      <c r="R20" s="19">
        <v>169041.42</v>
      </c>
      <c r="S20" s="19">
        <v>185320.49</v>
      </c>
      <c r="T20" s="19">
        <v>269772.20370000001</v>
      </c>
      <c r="U20" s="33">
        <v>308274.19660000002</v>
      </c>
    </row>
    <row r="21" spans="1:21" x14ac:dyDescent="0.3">
      <c r="A21" s="30" t="s">
        <v>26</v>
      </c>
      <c r="B21" s="18">
        <f>B20+B15+B16+B17</f>
        <v>155180.15</v>
      </c>
      <c r="C21" s="18">
        <f>C20+C15+C16+C17</f>
        <v>152248.72</v>
      </c>
      <c r="D21" s="18">
        <f>D20+D15+D16+D17</f>
        <v>199778.15999999997</v>
      </c>
      <c r="E21" s="18">
        <f>E20+E15+E16+E17</f>
        <v>206213.56999999998</v>
      </c>
      <c r="F21" s="18">
        <f>F20+F15+F16+F17</f>
        <v>228199.55000000002</v>
      </c>
      <c r="G21" s="18">
        <f t="shared" ref="G21:U21" si="2">G20+G15+G16+G17+G18+G19</f>
        <v>186834.31</v>
      </c>
      <c r="H21" s="18">
        <f t="shared" si="2"/>
        <v>177696.72999999998</v>
      </c>
      <c r="I21" s="18">
        <f t="shared" si="2"/>
        <v>226966.49999999997</v>
      </c>
      <c r="J21" s="18">
        <f t="shared" si="2"/>
        <v>256548.66000000003</v>
      </c>
      <c r="K21" s="18">
        <f t="shared" si="2"/>
        <v>730615.46</v>
      </c>
      <c r="L21" s="18">
        <f t="shared" si="2"/>
        <v>213851.74</v>
      </c>
      <c r="M21" s="18">
        <f t="shared" si="2"/>
        <v>91700.229800000001</v>
      </c>
      <c r="N21" s="18">
        <f t="shared" si="2"/>
        <v>107231.34809999999</v>
      </c>
      <c r="O21" s="18">
        <f t="shared" si="2"/>
        <v>189061.77000000002</v>
      </c>
      <c r="P21" s="18">
        <f t="shared" si="2"/>
        <v>207427.98</v>
      </c>
      <c r="Q21" s="18">
        <f t="shared" si="2"/>
        <v>332900.65000000002</v>
      </c>
      <c r="R21" s="18">
        <f t="shared" si="2"/>
        <v>433796.18</v>
      </c>
      <c r="S21" s="18">
        <f t="shared" si="2"/>
        <v>449159.75</v>
      </c>
      <c r="T21" s="18">
        <f t="shared" si="2"/>
        <v>521151.94370000006</v>
      </c>
      <c r="U21" s="31">
        <f t="shared" si="2"/>
        <v>639609.49660000007</v>
      </c>
    </row>
    <row r="22" spans="1:21" x14ac:dyDescent="0.3">
      <c r="A22" s="27" t="s">
        <v>31</v>
      </c>
      <c r="B22" s="17">
        <v>3689.78</v>
      </c>
      <c r="C22" s="17">
        <v>7032.65</v>
      </c>
      <c r="D22" s="17">
        <v>8499.36</v>
      </c>
      <c r="E22" s="17">
        <v>9543.81</v>
      </c>
      <c r="F22" s="17">
        <v>6713.89</v>
      </c>
      <c r="G22" s="17">
        <v>7583.72</v>
      </c>
      <c r="H22" s="17">
        <v>12424.19</v>
      </c>
      <c r="I22" s="17">
        <v>13093.74</v>
      </c>
      <c r="J22" s="17">
        <v>11790.76</v>
      </c>
      <c r="K22" s="17">
        <v>13932.56</v>
      </c>
      <c r="L22" s="17">
        <v>5714.22</v>
      </c>
      <c r="M22" s="17">
        <v>12387.06</v>
      </c>
      <c r="N22" s="17">
        <v>12949.57</v>
      </c>
      <c r="O22" s="17">
        <v>13603.7</v>
      </c>
      <c r="P22" s="17">
        <v>12819.31</v>
      </c>
      <c r="Q22" s="17">
        <v>26889.759999999998</v>
      </c>
      <c r="R22" s="17">
        <v>17728.509999999998</v>
      </c>
      <c r="S22" s="17">
        <v>33485.82</v>
      </c>
      <c r="T22" s="17">
        <v>27408.120800000001</v>
      </c>
      <c r="U22" s="28">
        <v>15700.2922</v>
      </c>
    </row>
    <row r="23" spans="1:21" x14ac:dyDescent="0.3">
      <c r="A23" s="27" t="s">
        <v>32</v>
      </c>
      <c r="B23" s="17">
        <v>0</v>
      </c>
      <c r="C23" s="17">
        <v>0</v>
      </c>
      <c r="D23" s="17">
        <v>0</v>
      </c>
      <c r="E23" s="17">
        <v>0</v>
      </c>
      <c r="F23" s="17">
        <v>0</v>
      </c>
      <c r="G23" s="17">
        <v>0</v>
      </c>
      <c r="H23" s="17">
        <v>0</v>
      </c>
      <c r="I23" s="17">
        <v>0</v>
      </c>
      <c r="J23" s="17">
        <v>0</v>
      </c>
      <c r="K23" s="17">
        <v>0</v>
      </c>
      <c r="L23" s="17">
        <v>743.95</v>
      </c>
      <c r="M23" s="17">
        <v>326.26</v>
      </c>
      <c r="N23" s="17">
        <v>441.81</v>
      </c>
      <c r="O23" s="17">
        <v>322.8</v>
      </c>
      <c r="P23" s="17">
        <v>42.09</v>
      </c>
      <c r="Q23" s="17">
        <f>85.41+10.35</f>
        <v>95.759999999999991</v>
      </c>
      <c r="R23" s="17">
        <f>49.69+1.23</f>
        <v>50.919999999999995</v>
      </c>
      <c r="S23" s="17">
        <f>37.86+2344.61</f>
        <v>2382.4700000000003</v>
      </c>
      <c r="T23" s="17">
        <f>235.5+4346.6</f>
        <v>4582.1000000000004</v>
      </c>
      <c r="U23" s="28">
        <f>491.12+1126.5956</f>
        <v>1617.7156</v>
      </c>
    </row>
    <row r="24" spans="1:21" x14ac:dyDescent="0.3">
      <c r="A24" s="27" t="s">
        <v>33</v>
      </c>
      <c r="B24" s="17">
        <v>3412.28</v>
      </c>
      <c r="C24" s="17">
        <v>3898.24</v>
      </c>
      <c r="D24" s="17">
        <v>4662.33</v>
      </c>
      <c r="E24" s="17">
        <v>4097.95</v>
      </c>
      <c r="F24" s="17">
        <v>3658.22</v>
      </c>
      <c r="G24" s="17">
        <v>8582.5499999999993</v>
      </c>
      <c r="H24" s="17">
        <v>8123.58</v>
      </c>
      <c r="I24" s="17">
        <v>8241.11</v>
      </c>
      <c r="J24" s="17">
        <v>11393.84</v>
      </c>
      <c r="K24" s="17">
        <v>23853.43</v>
      </c>
      <c r="L24" s="17">
        <v>3071.04</v>
      </c>
      <c r="M24" s="17">
        <v>2138.91</v>
      </c>
      <c r="N24" s="17">
        <v>2463.2800000000002</v>
      </c>
      <c r="O24" s="17">
        <v>3339.01</v>
      </c>
      <c r="P24" s="17">
        <v>3898.55</v>
      </c>
      <c r="Q24" s="17">
        <v>15477.09</v>
      </c>
      <c r="R24" s="17">
        <v>15309.15</v>
      </c>
      <c r="S24" s="17">
        <v>17990.61</v>
      </c>
      <c r="T24" s="17">
        <v>27495.02</v>
      </c>
      <c r="U24" s="28">
        <v>32861.614800000003</v>
      </c>
    </row>
    <row r="25" spans="1:21" x14ac:dyDescent="0.3">
      <c r="A25" s="27" t="s">
        <v>34</v>
      </c>
      <c r="B25" s="17">
        <v>0</v>
      </c>
      <c r="C25" s="17">
        <v>0</v>
      </c>
      <c r="D25" s="17">
        <v>0</v>
      </c>
      <c r="E25" s="17">
        <v>0</v>
      </c>
      <c r="F25" s="17">
        <v>0</v>
      </c>
      <c r="G25" s="17">
        <v>0</v>
      </c>
      <c r="H25" s="17">
        <v>0</v>
      </c>
      <c r="I25" s="17">
        <v>0</v>
      </c>
      <c r="J25" s="17">
        <v>0</v>
      </c>
      <c r="K25" s="17">
        <v>0</v>
      </c>
      <c r="L25" s="17">
        <v>0</v>
      </c>
      <c r="M25" s="17">
        <v>0</v>
      </c>
      <c r="N25" s="17">
        <v>0</v>
      </c>
      <c r="O25" s="17">
        <v>0</v>
      </c>
      <c r="P25" s="17">
        <v>0</v>
      </c>
      <c r="Q25" s="17">
        <v>0</v>
      </c>
      <c r="R25" s="17">
        <v>0</v>
      </c>
      <c r="S25" s="17">
        <v>0</v>
      </c>
      <c r="T25" s="17">
        <v>0</v>
      </c>
      <c r="U25" s="28">
        <v>0</v>
      </c>
    </row>
    <row r="26" spans="1:21" x14ac:dyDescent="0.3">
      <c r="A26" s="27" t="s">
        <v>87</v>
      </c>
      <c r="B26" s="17">
        <v>0</v>
      </c>
      <c r="C26" s="17">
        <v>0</v>
      </c>
      <c r="D26" s="17">
        <v>0</v>
      </c>
      <c r="E26" s="17">
        <v>0</v>
      </c>
      <c r="F26" s="17">
        <v>0</v>
      </c>
      <c r="G26" s="17">
        <v>0</v>
      </c>
      <c r="H26" s="17">
        <v>0</v>
      </c>
      <c r="I26" s="17">
        <v>0</v>
      </c>
      <c r="J26" s="17">
        <v>0</v>
      </c>
      <c r="K26" s="17">
        <v>0</v>
      </c>
      <c r="L26" s="17">
        <v>35049.339999999997</v>
      </c>
      <c r="M26" s="17">
        <v>12184.83</v>
      </c>
      <c r="N26" s="17">
        <v>14473.12</v>
      </c>
      <c r="O26" s="17">
        <v>24283.06</v>
      </c>
      <c r="P26" s="17">
        <v>63912.06</v>
      </c>
      <c r="Q26" s="17">
        <v>0</v>
      </c>
      <c r="R26" s="17">
        <v>0</v>
      </c>
      <c r="S26" s="17">
        <v>0</v>
      </c>
      <c r="T26" s="17">
        <v>0</v>
      </c>
      <c r="U26" s="28">
        <v>0</v>
      </c>
    </row>
    <row r="27" spans="1:21" x14ac:dyDescent="0.3">
      <c r="A27" s="27" t="s">
        <v>89</v>
      </c>
      <c r="B27" s="17">
        <v>4635.3100000000004</v>
      </c>
      <c r="C27" s="17">
        <v>7113.04</v>
      </c>
      <c r="D27" s="17">
        <v>7346.31</v>
      </c>
      <c r="E27" s="17">
        <v>7988.94</v>
      </c>
      <c r="F27" s="17">
        <v>5113.43</v>
      </c>
      <c r="G27" s="17">
        <v>4651.76</v>
      </c>
      <c r="H27" s="17">
        <v>5525.85</v>
      </c>
      <c r="I27" s="17">
        <v>6791.27</v>
      </c>
      <c r="J27" s="17">
        <v>7252.06</v>
      </c>
      <c r="K27" s="17">
        <v>11005.15</v>
      </c>
      <c r="L27" s="17">
        <v>6623.58</v>
      </c>
      <c r="M27" s="17">
        <v>3634.28</v>
      </c>
      <c r="N27" s="17">
        <v>4094.28</v>
      </c>
      <c r="O27" s="17">
        <f>4994.67+18376.47</f>
        <v>23371.14</v>
      </c>
      <c r="P27" s="17">
        <f>6160.2+17651.91</f>
        <v>23812.11</v>
      </c>
      <c r="Q27" s="17">
        <f>6.6</f>
        <v>6.6</v>
      </c>
      <c r="R27" s="17">
        <v>3.7</v>
      </c>
      <c r="S27" s="17">
        <v>5.68</v>
      </c>
      <c r="T27" s="17">
        <v>3.8018000000000001</v>
      </c>
      <c r="U27" s="28">
        <v>23.208400000000001</v>
      </c>
    </row>
    <row r="28" spans="1:21" x14ac:dyDescent="0.3">
      <c r="A28" s="27" t="s">
        <v>88</v>
      </c>
      <c r="B28" s="17">
        <v>0</v>
      </c>
      <c r="C28" s="17">
        <v>0</v>
      </c>
      <c r="D28" s="17">
        <v>0</v>
      </c>
      <c r="E28" s="17">
        <v>0</v>
      </c>
      <c r="F28" s="17">
        <v>0</v>
      </c>
      <c r="G28" s="17">
        <v>0</v>
      </c>
      <c r="H28" s="17">
        <v>0</v>
      </c>
      <c r="I28" s="17">
        <v>0</v>
      </c>
      <c r="J28" s="17">
        <v>0</v>
      </c>
      <c r="K28" s="17">
        <v>0</v>
      </c>
      <c r="L28" s="17">
        <v>0</v>
      </c>
      <c r="M28" s="17">
        <v>0</v>
      </c>
      <c r="N28" s="17">
        <v>0</v>
      </c>
      <c r="O28" s="17">
        <v>238867.36</v>
      </c>
      <c r="P28" s="17">
        <v>281318.33</v>
      </c>
      <c r="Q28" s="17">
        <v>159661.49</v>
      </c>
      <c r="R28" s="17">
        <v>219027.87</v>
      </c>
      <c r="S28" s="17">
        <v>264548.27</v>
      </c>
      <c r="T28" s="17">
        <v>308442.71799999999</v>
      </c>
      <c r="U28" s="28">
        <v>392280.43190000003</v>
      </c>
    </row>
    <row r="29" spans="1:21" x14ac:dyDescent="0.3">
      <c r="A29" s="27" t="s">
        <v>35</v>
      </c>
      <c r="B29" s="17">
        <v>32343.05</v>
      </c>
      <c r="C29" s="17">
        <v>28641.81</v>
      </c>
      <c r="D29" s="17">
        <v>35806.18</v>
      </c>
      <c r="E29" s="17">
        <v>40573.870000000003</v>
      </c>
      <c r="F29" s="17">
        <v>49928.08</v>
      </c>
      <c r="G29" s="17">
        <v>50035.59</v>
      </c>
      <c r="H29" s="17">
        <v>51572.43</v>
      </c>
      <c r="I29" s="17">
        <v>61792.07</v>
      </c>
      <c r="J29" s="17">
        <v>70486.11</v>
      </c>
      <c r="K29" s="17">
        <v>126040.93</v>
      </c>
      <c r="L29" s="17">
        <v>36212.75</v>
      </c>
      <c r="M29" s="17">
        <v>28099.01</v>
      </c>
      <c r="N29" s="17">
        <v>34560.699999999997</v>
      </c>
      <c r="O29" s="17">
        <v>33624.89</v>
      </c>
      <c r="P29" s="17">
        <v>57220.35</v>
      </c>
      <c r="Q29" s="17">
        <f>12444.21+116852.16</f>
        <v>129296.37</v>
      </c>
      <c r="R29" s="17">
        <f>16005.37+143178.05</f>
        <v>159183.41999999998</v>
      </c>
      <c r="S29" s="17">
        <f>20592.09+168512.69</f>
        <v>189104.78</v>
      </c>
      <c r="T29" s="17">
        <f>26332.69+198698.4492</f>
        <v>225031.13920000001</v>
      </c>
      <c r="U29" s="28">
        <f>24851.7215+229739.6833</f>
        <v>254591.40480000002</v>
      </c>
    </row>
    <row r="30" spans="1:21" x14ac:dyDescent="0.3">
      <c r="A30" s="30" t="s">
        <v>36</v>
      </c>
      <c r="B30" s="18">
        <f t="shared" ref="B30:K30" si="3">B22+B23+B24+B25+B27+B29+B13+B9+B21</f>
        <v>927871.74000000011</v>
      </c>
      <c r="C30" s="18">
        <f t="shared" si="3"/>
        <v>1001004.5399999999</v>
      </c>
      <c r="D30" s="18">
        <f t="shared" si="3"/>
        <v>1195528.51</v>
      </c>
      <c r="E30" s="18">
        <f t="shared" si="3"/>
        <v>1344417.96</v>
      </c>
      <c r="F30" s="18">
        <f t="shared" si="3"/>
        <v>1518238.5300000003</v>
      </c>
      <c r="G30" s="18">
        <f t="shared" si="3"/>
        <v>1580830.3900000001</v>
      </c>
      <c r="H30" s="18">
        <f t="shared" si="3"/>
        <v>1799506.5899999999</v>
      </c>
      <c r="I30" s="18">
        <f t="shared" si="3"/>
        <v>2122934.2999999998</v>
      </c>
      <c r="J30" s="18">
        <f t="shared" si="3"/>
        <v>2530432.4400000004</v>
      </c>
      <c r="K30" s="18">
        <f t="shared" si="3"/>
        <v>3752113.4599999995</v>
      </c>
      <c r="L30" s="18">
        <f>L22+L23+L24+L25+L27+L29+L13+L9+L21+L26</f>
        <v>1231805.8700000001</v>
      </c>
      <c r="M30" s="18">
        <f>M22+M23+M24+M25+M27+M29+M13+M9+M21+M26</f>
        <v>1230501.9098000003</v>
      </c>
      <c r="N30" s="18">
        <f>N22+N23+N24+N25+N27+N29+N13+N9+N21+N26</f>
        <v>1411297.6780999999</v>
      </c>
      <c r="O30" s="18">
        <f>O22+O23+O24+O25+O27+O29+O13+O9+O21+O26+O28</f>
        <v>1958490.3900000001</v>
      </c>
      <c r="P30" s="18">
        <f>P22+P23+P24+P25+P27+P29+P13+P9+P21+P26+P28</f>
        <v>2364062.94</v>
      </c>
      <c r="Q30" s="18">
        <f>Q22+Q23+Q24+Q25+Q27+Q29+Q13+Q9+Q21+Q26+Q28</f>
        <v>4197492.2700000005</v>
      </c>
      <c r="R30" s="18">
        <f>R22+R23+R24+R25+R27+R29+R13+R9+R21+R26+R28</f>
        <v>4845618.4400000004</v>
      </c>
      <c r="S30" s="18">
        <f>S22+S23+S24+S25+S27+S29+S13+S9+S21+S26+S28</f>
        <v>5360883.4372000005</v>
      </c>
      <c r="T30" s="18">
        <f>T22+T23+T24+T25+T27+T29+T13+T9+T21</f>
        <v>5645975.5354999993</v>
      </c>
      <c r="U30" s="31">
        <f>U22+U23+U24+U25+U27+U29+U13+U9+U21</f>
        <v>6341498.3323999997</v>
      </c>
    </row>
    <row r="31" spans="1:21" x14ac:dyDescent="0.3">
      <c r="A31" s="79" t="s">
        <v>37</v>
      </c>
      <c r="B31" s="526"/>
      <c r="C31" s="527"/>
      <c r="D31" s="527"/>
      <c r="E31" s="527"/>
      <c r="F31" s="528"/>
      <c r="G31" s="371"/>
      <c r="H31" s="371"/>
      <c r="I31" s="371"/>
      <c r="J31" s="371"/>
      <c r="K31" s="371"/>
      <c r="L31" s="371"/>
      <c r="M31" s="371"/>
      <c r="N31" s="371"/>
      <c r="O31" s="371"/>
      <c r="P31" s="371"/>
      <c r="Q31" s="371"/>
      <c r="R31" s="371"/>
      <c r="S31" s="371"/>
      <c r="T31" s="371"/>
      <c r="U31" s="372"/>
    </row>
    <row r="32" spans="1:21" x14ac:dyDescent="0.3">
      <c r="A32" s="27" t="s">
        <v>38</v>
      </c>
      <c r="B32" s="17">
        <v>7987.92</v>
      </c>
      <c r="C32" s="17">
        <v>12673.16</v>
      </c>
      <c r="D32" s="17">
        <v>9840.1</v>
      </c>
      <c r="E32" s="17">
        <v>9665.8799999999992</v>
      </c>
      <c r="F32" s="17">
        <v>9634.81</v>
      </c>
      <c r="G32" s="17">
        <v>9213.58</v>
      </c>
      <c r="H32" s="17">
        <v>10722.18</v>
      </c>
      <c r="I32" s="17">
        <v>11239.51</v>
      </c>
      <c r="J32" s="17">
        <v>13271.35</v>
      </c>
      <c r="K32" s="17">
        <v>13060.08</v>
      </c>
      <c r="L32" s="17">
        <v>9969.82</v>
      </c>
      <c r="M32" s="17">
        <v>7030.96</v>
      </c>
      <c r="N32" s="17">
        <v>7120.83</v>
      </c>
      <c r="O32" s="17">
        <v>8681.2900000000009</v>
      </c>
      <c r="P32" s="17">
        <v>8955.84</v>
      </c>
      <c r="Q32" s="17">
        <v>20334.939999999999</v>
      </c>
      <c r="R32" s="17">
        <v>23691.32</v>
      </c>
      <c r="S32" s="17">
        <v>21967.22</v>
      </c>
      <c r="T32" s="17">
        <v>21628.41</v>
      </c>
      <c r="U32" s="28">
        <v>18589.64</v>
      </c>
    </row>
    <row r="33" spans="1:37" x14ac:dyDescent="0.3">
      <c r="A33" s="27" t="s">
        <v>40</v>
      </c>
      <c r="B33" s="17">
        <v>20971.34</v>
      </c>
      <c r="C33" s="17">
        <v>23435.41</v>
      </c>
      <c r="D33" s="17">
        <v>36993.410000000003</v>
      </c>
      <c r="E33" s="17">
        <v>43003.88</v>
      </c>
      <c r="F33" s="17">
        <v>48193.68</v>
      </c>
      <c r="G33" s="17">
        <v>37797.42</v>
      </c>
      <c r="H33" s="17">
        <v>59442.17</v>
      </c>
      <c r="I33" s="17">
        <v>81777.2</v>
      </c>
      <c r="J33" s="17">
        <v>94391.93</v>
      </c>
      <c r="K33" s="17">
        <v>131892.59</v>
      </c>
      <c r="L33" s="17">
        <v>25342.11</v>
      </c>
      <c r="M33" s="17">
        <v>39000.22</v>
      </c>
      <c r="N33" s="17">
        <v>52999.98</v>
      </c>
      <c r="O33" s="17">
        <v>48025.64</v>
      </c>
      <c r="P33" s="17">
        <v>62503.17</v>
      </c>
      <c r="Q33" s="17">
        <v>146633.51</v>
      </c>
      <c r="R33" s="17">
        <v>189807.29</v>
      </c>
      <c r="S33" s="17">
        <v>236119.2</v>
      </c>
      <c r="T33" s="17">
        <v>225692.63</v>
      </c>
      <c r="U33" s="28">
        <v>206747.68</v>
      </c>
      <c r="V33" s="29"/>
      <c r="W33" s="29"/>
      <c r="X33" s="29"/>
      <c r="Y33" s="29"/>
      <c r="Z33" s="29"/>
      <c r="AA33" s="29"/>
      <c r="AB33" s="29"/>
      <c r="AC33" s="29"/>
      <c r="AD33" s="29"/>
      <c r="AE33" s="29"/>
      <c r="AF33" s="29"/>
      <c r="AG33" s="29"/>
      <c r="AH33" s="29"/>
      <c r="AI33" s="29"/>
      <c r="AJ33" s="29"/>
      <c r="AK33" s="29"/>
    </row>
    <row r="34" spans="1:37" x14ac:dyDescent="0.3">
      <c r="A34" s="27" t="s">
        <v>41</v>
      </c>
      <c r="B34" s="17">
        <v>56000</v>
      </c>
      <c r="C34" s="17">
        <v>15700</v>
      </c>
      <c r="D34" s="17">
        <v>47201</v>
      </c>
      <c r="E34" s="17">
        <v>13448</v>
      </c>
      <c r="F34" s="17">
        <v>28249</v>
      </c>
      <c r="G34" s="17">
        <v>25200</v>
      </c>
      <c r="H34" s="17">
        <v>27206</v>
      </c>
      <c r="I34" s="17">
        <v>37014</v>
      </c>
      <c r="J34" s="17">
        <v>9526</v>
      </c>
      <c r="K34" s="17">
        <v>33766</v>
      </c>
      <c r="L34" s="17">
        <v>0</v>
      </c>
      <c r="M34" s="17">
        <v>0</v>
      </c>
      <c r="N34" s="17">
        <v>0</v>
      </c>
      <c r="O34" s="17">
        <v>11942</v>
      </c>
      <c r="P34" s="17">
        <v>18484</v>
      </c>
      <c r="Q34" s="17">
        <v>0</v>
      </c>
      <c r="R34" s="17">
        <v>0</v>
      </c>
      <c r="S34" s="17">
        <v>0</v>
      </c>
      <c r="T34" s="17">
        <v>0</v>
      </c>
      <c r="U34" s="28">
        <v>19</v>
      </c>
      <c r="V34" s="29"/>
      <c r="W34" s="29"/>
      <c r="X34" s="29"/>
      <c r="Y34" s="29"/>
      <c r="Z34" s="29"/>
      <c r="AA34" s="29"/>
      <c r="AB34" s="29"/>
      <c r="AC34" s="29"/>
      <c r="AD34" s="29"/>
      <c r="AE34" s="29"/>
      <c r="AF34" s="29"/>
      <c r="AG34" s="29"/>
      <c r="AH34" s="29"/>
      <c r="AI34" s="29"/>
      <c r="AJ34" s="29"/>
      <c r="AK34" s="29"/>
    </row>
    <row r="35" spans="1:37" x14ac:dyDescent="0.3">
      <c r="A35" s="30" t="s">
        <v>39</v>
      </c>
      <c r="B35" s="18">
        <f t="shared" ref="B35:U35" si="4">B33+B34+B32</f>
        <v>84959.26</v>
      </c>
      <c r="C35" s="18">
        <f t="shared" si="4"/>
        <v>51808.570000000007</v>
      </c>
      <c r="D35" s="18">
        <f t="shared" si="4"/>
        <v>94034.510000000009</v>
      </c>
      <c r="E35" s="18">
        <f t="shared" si="4"/>
        <v>66117.759999999995</v>
      </c>
      <c r="F35" s="18">
        <f t="shared" si="4"/>
        <v>86077.489999999991</v>
      </c>
      <c r="G35" s="18">
        <f t="shared" si="4"/>
        <v>72211</v>
      </c>
      <c r="H35" s="18">
        <f t="shared" si="4"/>
        <v>97370.35</v>
      </c>
      <c r="I35" s="18">
        <f t="shared" si="4"/>
        <v>130030.70999999999</v>
      </c>
      <c r="J35" s="18">
        <f t="shared" si="4"/>
        <v>117189.28</v>
      </c>
      <c r="K35" s="18">
        <f t="shared" si="4"/>
        <v>178718.66999999998</v>
      </c>
      <c r="L35" s="18">
        <f t="shared" si="4"/>
        <v>35311.93</v>
      </c>
      <c r="M35" s="18">
        <f t="shared" si="4"/>
        <v>46031.18</v>
      </c>
      <c r="N35" s="18">
        <f t="shared" si="4"/>
        <v>60120.810000000005</v>
      </c>
      <c r="O35" s="18">
        <f t="shared" si="4"/>
        <v>68648.929999999993</v>
      </c>
      <c r="P35" s="18">
        <f t="shared" si="4"/>
        <v>89943.01</v>
      </c>
      <c r="Q35" s="18">
        <f t="shared" si="4"/>
        <v>166968.45000000001</v>
      </c>
      <c r="R35" s="18">
        <f t="shared" si="4"/>
        <v>213498.61000000002</v>
      </c>
      <c r="S35" s="18">
        <f t="shared" si="4"/>
        <v>258086.42</v>
      </c>
      <c r="T35" s="18">
        <f t="shared" si="4"/>
        <v>247321.04</v>
      </c>
      <c r="U35" s="31">
        <f t="shared" si="4"/>
        <v>225356.32</v>
      </c>
      <c r="V35" s="39"/>
      <c r="W35" s="39"/>
      <c r="X35" s="39"/>
      <c r="Y35" s="39"/>
      <c r="Z35" s="39"/>
      <c r="AA35" s="39"/>
      <c r="AB35" s="39"/>
      <c r="AC35" s="39"/>
      <c r="AD35" s="39"/>
      <c r="AE35" s="39"/>
      <c r="AF35" s="39"/>
      <c r="AG35" s="39"/>
      <c r="AH35" s="39"/>
      <c r="AI35" s="39"/>
      <c r="AJ35" s="39"/>
      <c r="AK35" s="39"/>
    </row>
    <row r="36" spans="1:37" x14ac:dyDescent="0.3">
      <c r="A36" s="34" t="s">
        <v>42</v>
      </c>
      <c r="B36" s="22"/>
      <c r="C36" s="22"/>
      <c r="D36" s="22"/>
      <c r="E36" s="22"/>
      <c r="F36" s="22"/>
      <c r="G36" s="22"/>
      <c r="H36" s="22"/>
      <c r="I36" s="22"/>
      <c r="J36" s="22"/>
      <c r="K36" s="22"/>
      <c r="L36" s="22"/>
      <c r="M36" s="22"/>
      <c r="N36" s="22"/>
      <c r="O36" s="22"/>
      <c r="P36" s="22"/>
      <c r="Q36" s="22"/>
      <c r="R36" s="22"/>
      <c r="S36" s="22"/>
      <c r="T36" s="22"/>
      <c r="U36" s="35"/>
      <c r="V36" s="40"/>
      <c r="W36" s="40"/>
      <c r="X36" s="40"/>
      <c r="Y36" s="40"/>
      <c r="Z36" s="40"/>
      <c r="AA36" s="40"/>
      <c r="AB36" s="40"/>
      <c r="AC36" s="40"/>
      <c r="AD36" s="40"/>
      <c r="AE36" s="40"/>
      <c r="AF36" s="40"/>
      <c r="AG36" s="40"/>
      <c r="AH36" s="40"/>
      <c r="AI36" s="40"/>
      <c r="AJ36" s="40"/>
      <c r="AK36" s="40"/>
    </row>
    <row r="37" spans="1:37" x14ac:dyDescent="0.3">
      <c r="A37" s="27" t="s">
        <v>43</v>
      </c>
      <c r="B37" s="17">
        <v>64.55</v>
      </c>
      <c r="C37" s="17">
        <v>286.85000000000002</v>
      </c>
      <c r="D37" s="17">
        <v>1240.04</v>
      </c>
      <c r="E37" s="17">
        <v>1517.1</v>
      </c>
      <c r="F37" s="17">
        <v>721.23</v>
      </c>
      <c r="G37" s="17">
        <v>415.54</v>
      </c>
      <c r="H37" s="17">
        <v>989.78</v>
      </c>
      <c r="I37" s="17">
        <v>627.61</v>
      </c>
      <c r="J37" s="17">
        <v>933.34</v>
      </c>
      <c r="K37" s="17">
        <v>1036.55</v>
      </c>
      <c r="L37" s="17">
        <v>364.19</v>
      </c>
      <c r="M37" s="17">
        <v>52.64</v>
      </c>
      <c r="N37" s="17">
        <v>32.409999999999997</v>
      </c>
      <c r="O37" s="17">
        <v>310.32</v>
      </c>
      <c r="P37" s="17">
        <v>355.37</v>
      </c>
      <c r="Q37" s="17">
        <v>638.49</v>
      </c>
      <c r="R37" s="17">
        <v>1067.9000000000001</v>
      </c>
      <c r="S37" s="17">
        <v>1064.57</v>
      </c>
      <c r="T37" s="17">
        <v>1262.19</v>
      </c>
      <c r="U37" s="28">
        <v>2510.86</v>
      </c>
      <c r="V37" s="29"/>
      <c r="W37" s="29"/>
      <c r="X37" s="29"/>
      <c r="Y37" s="29"/>
      <c r="Z37" s="29"/>
      <c r="AA37" s="29"/>
      <c r="AB37" s="29"/>
      <c r="AC37" s="29"/>
      <c r="AD37" s="29"/>
      <c r="AE37" s="29"/>
      <c r="AF37" s="29"/>
      <c r="AG37" s="29"/>
      <c r="AH37" s="29"/>
      <c r="AI37" s="29"/>
      <c r="AJ37" s="29"/>
      <c r="AK37" s="29"/>
    </row>
    <row r="38" spans="1:37" x14ac:dyDescent="0.3">
      <c r="A38" s="27" t="s">
        <v>44</v>
      </c>
      <c r="B38" s="17">
        <v>2890.3</v>
      </c>
      <c r="C38" s="17">
        <v>1142.08</v>
      </c>
      <c r="D38" s="17">
        <v>886.98</v>
      </c>
      <c r="E38" s="17">
        <v>4061.4</v>
      </c>
      <c r="F38" s="17">
        <v>2931.78</v>
      </c>
      <c r="G38" s="17">
        <v>1247.68</v>
      </c>
      <c r="H38" s="17">
        <v>1617.09</v>
      </c>
      <c r="I38" s="17">
        <v>2730.83</v>
      </c>
      <c r="J38" s="17">
        <v>4100.75</v>
      </c>
      <c r="K38" s="17">
        <v>5247.91</v>
      </c>
      <c r="L38" s="17">
        <v>3335.0095999999999</v>
      </c>
      <c r="M38" s="17">
        <v>1.52</v>
      </c>
      <c r="N38" s="17">
        <v>532.14</v>
      </c>
      <c r="O38" s="17">
        <v>10728.76</v>
      </c>
      <c r="P38" s="17">
        <v>12580.21</v>
      </c>
      <c r="Q38" s="17">
        <v>1429.61</v>
      </c>
      <c r="R38" s="17">
        <v>3160.05</v>
      </c>
      <c r="S38" s="17">
        <v>3727.11</v>
      </c>
      <c r="T38" s="17">
        <v>4395.41</v>
      </c>
      <c r="U38" s="28">
        <v>5211.2181</v>
      </c>
      <c r="V38" s="29"/>
      <c r="W38" s="29"/>
      <c r="X38" s="29"/>
      <c r="Y38" s="29"/>
      <c r="Z38" s="29"/>
      <c r="AA38" s="29"/>
      <c r="AB38" s="29"/>
      <c r="AC38" s="29"/>
      <c r="AD38" s="29"/>
      <c r="AE38" s="29"/>
      <c r="AF38" s="29"/>
      <c r="AG38" s="29"/>
      <c r="AH38" s="29"/>
      <c r="AI38" s="29"/>
      <c r="AJ38" s="29"/>
      <c r="AK38" s="29"/>
    </row>
    <row r="39" spans="1:37" x14ac:dyDescent="0.3">
      <c r="A39" s="79" t="s">
        <v>45</v>
      </c>
      <c r="B39" s="526"/>
      <c r="C39" s="527"/>
      <c r="D39" s="527"/>
      <c r="E39" s="527"/>
      <c r="F39" s="528"/>
      <c r="G39" s="371"/>
      <c r="H39" s="371"/>
      <c r="I39" s="371"/>
      <c r="J39" s="371"/>
      <c r="K39" s="371"/>
      <c r="L39" s="371"/>
      <c r="M39" s="371"/>
      <c r="N39" s="371"/>
      <c r="O39" s="371"/>
      <c r="P39" s="371"/>
      <c r="Q39" s="371"/>
      <c r="R39" s="371"/>
      <c r="S39" s="371"/>
      <c r="T39" s="371"/>
      <c r="U39" s="372"/>
      <c r="V39" s="40"/>
      <c r="W39" s="40"/>
      <c r="X39" s="40"/>
      <c r="Y39" s="40"/>
      <c r="Z39" s="40"/>
      <c r="AA39" s="40"/>
      <c r="AB39" s="40"/>
      <c r="AC39" s="40"/>
      <c r="AD39" s="40"/>
      <c r="AE39" s="40"/>
      <c r="AF39" s="40"/>
      <c r="AG39" s="40"/>
      <c r="AH39" s="40"/>
      <c r="AI39" s="40"/>
      <c r="AJ39" s="40"/>
      <c r="AK39" s="40"/>
    </row>
    <row r="40" spans="1:37" x14ac:dyDescent="0.3">
      <c r="A40" s="27" t="s">
        <v>46</v>
      </c>
      <c r="B40" s="17">
        <v>0</v>
      </c>
      <c r="C40" s="17">
        <v>0</v>
      </c>
      <c r="D40" s="17">
        <v>0</v>
      </c>
      <c r="E40" s="17">
        <v>200</v>
      </c>
      <c r="F40" s="17">
        <v>100</v>
      </c>
      <c r="G40" s="17">
        <v>0</v>
      </c>
      <c r="H40" s="17">
        <v>0</v>
      </c>
      <c r="I40" s="17">
        <v>0</v>
      </c>
      <c r="J40" s="17">
        <v>0</v>
      </c>
      <c r="K40" s="17">
        <v>200</v>
      </c>
      <c r="L40" s="17">
        <v>59421.279999999999</v>
      </c>
      <c r="M40" s="17">
        <v>35219</v>
      </c>
      <c r="N40" s="17">
        <v>49402</v>
      </c>
      <c r="O40" s="17">
        <v>821.7</v>
      </c>
      <c r="P40" s="17">
        <v>417.02</v>
      </c>
      <c r="Q40" s="17">
        <v>44747.71</v>
      </c>
      <c r="R40" s="17">
        <v>47369.93</v>
      </c>
      <c r="S40" s="17">
        <v>60938.22</v>
      </c>
      <c r="T40" s="17">
        <v>7770.44</v>
      </c>
      <c r="U40" s="28">
        <v>2550</v>
      </c>
      <c r="V40" s="29"/>
      <c r="W40" s="29"/>
      <c r="X40" s="29"/>
      <c r="Y40" s="29"/>
      <c r="Z40" s="29"/>
      <c r="AA40" s="29"/>
      <c r="AB40" s="29"/>
      <c r="AC40" s="29"/>
      <c r="AD40" s="29"/>
      <c r="AE40" s="29"/>
      <c r="AF40" s="29"/>
      <c r="AG40" s="29"/>
      <c r="AH40" s="29"/>
      <c r="AI40" s="29"/>
      <c r="AJ40" s="29"/>
      <c r="AK40" s="29"/>
    </row>
    <row r="41" spans="1:37" x14ac:dyDescent="0.3">
      <c r="A41" s="27" t="s">
        <v>47</v>
      </c>
      <c r="B41" s="17">
        <v>0</v>
      </c>
      <c r="C41" s="17">
        <v>0</v>
      </c>
      <c r="D41" s="17">
        <v>998.48</v>
      </c>
      <c r="E41" s="17">
        <v>11260.03</v>
      </c>
      <c r="F41" s="17">
        <v>6149.77</v>
      </c>
      <c r="G41" s="17">
        <v>0</v>
      </c>
      <c r="H41" s="17">
        <v>0</v>
      </c>
      <c r="I41" s="17">
        <v>491.33</v>
      </c>
      <c r="J41" s="17">
        <v>45527.54</v>
      </c>
      <c r="K41" s="17">
        <v>3819.32</v>
      </c>
      <c r="L41" s="17">
        <v>8192.52</v>
      </c>
      <c r="M41" s="17">
        <v>14.56</v>
      </c>
      <c r="N41" s="17">
        <v>0</v>
      </c>
      <c r="O41" s="17">
        <v>5965.23</v>
      </c>
      <c r="P41" s="17">
        <v>18019.18</v>
      </c>
      <c r="Q41" s="17">
        <v>8.69</v>
      </c>
      <c r="R41" s="17">
        <v>0</v>
      </c>
      <c r="S41" s="17">
        <v>0</v>
      </c>
      <c r="T41" s="17">
        <v>0</v>
      </c>
      <c r="U41" s="28">
        <v>26988.485799999999</v>
      </c>
      <c r="V41" s="29"/>
      <c r="W41" s="29"/>
      <c r="X41" s="29"/>
      <c r="Y41" s="29"/>
      <c r="Z41" s="29"/>
      <c r="AA41" s="29"/>
      <c r="AB41" s="29"/>
      <c r="AC41" s="29"/>
      <c r="AD41" s="29"/>
      <c r="AE41" s="29"/>
      <c r="AF41" s="29"/>
      <c r="AG41" s="29"/>
      <c r="AH41" s="29"/>
      <c r="AI41" s="29"/>
      <c r="AJ41" s="29"/>
      <c r="AK41" s="29"/>
    </row>
    <row r="42" spans="1:37" x14ac:dyDescent="0.3">
      <c r="A42" s="30" t="s">
        <v>48</v>
      </c>
      <c r="B42" s="18">
        <f>B37+B38+B40+B41</f>
        <v>2954.8500000000004</v>
      </c>
      <c r="C42" s="18">
        <f t="shared" ref="C42:U42" si="5">C37+C38+C40+C41</f>
        <v>1428.9299999999998</v>
      </c>
      <c r="D42" s="18">
        <f t="shared" si="5"/>
        <v>3125.5</v>
      </c>
      <c r="E42" s="18">
        <f t="shared" si="5"/>
        <v>17038.53</v>
      </c>
      <c r="F42" s="18">
        <f t="shared" si="5"/>
        <v>9902.7800000000007</v>
      </c>
      <c r="G42" s="18">
        <f t="shared" si="5"/>
        <v>1663.22</v>
      </c>
      <c r="H42" s="18">
        <f t="shared" si="5"/>
        <v>2606.87</v>
      </c>
      <c r="I42" s="18">
        <f t="shared" si="5"/>
        <v>3849.77</v>
      </c>
      <c r="J42" s="18">
        <f t="shared" si="5"/>
        <v>50561.630000000005</v>
      </c>
      <c r="K42" s="18">
        <f t="shared" si="5"/>
        <v>10303.780000000001</v>
      </c>
      <c r="L42" s="18">
        <f t="shared" si="5"/>
        <v>71312.999599999996</v>
      </c>
      <c r="M42" s="18">
        <f t="shared" si="5"/>
        <v>35287.72</v>
      </c>
      <c r="N42" s="18">
        <f t="shared" si="5"/>
        <v>49966.55</v>
      </c>
      <c r="O42" s="18">
        <f t="shared" si="5"/>
        <v>17826.010000000002</v>
      </c>
      <c r="P42" s="18">
        <f t="shared" si="5"/>
        <v>31371.78</v>
      </c>
      <c r="Q42" s="18">
        <f t="shared" si="5"/>
        <v>46824.5</v>
      </c>
      <c r="R42" s="18">
        <f t="shared" si="5"/>
        <v>51597.880000000005</v>
      </c>
      <c r="S42" s="18">
        <f t="shared" si="5"/>
        <v>65729.899999999994</v>
      </c>
      <c r="T42" s="18">
        <f t="shared" si="5"/>
        <v>13428.04</v>
      </c>
      <c r="U42" s="31">
        <f t="shared" si="5"/>
        <v>37260.563900000001</v>
      </c>
      <c r="V42" s="39"/>
      <c r="W42" s="39"/>
      <c r="X42" s="39"/>
      <c r="Y42" s="39"/>
      <c r="Z42" s="39"/>
      <c r="AA42" s="39"/>
      <c r="AB42" s="39"/>
      <c r="AC42" s="39"/>
      <c r="AD42" s="39"/>
      <c r="AE42" s="39"/>
      <c r="AF42" s="39"/>
      <c r="AG42" s="39"/>
      <c r="AH42" s="39"/>
      <c r="AI42" s="39"/>
      <c r="AJ42" s="39"/>
      <c r="AK42" s="39"/>
    </row>
    <row r="43" spans="1:37" x14ac:dyDescent="0.3">
      <c r="A43" s="79" t="s">
        <v>49</v>
      </c>
      <c r="B43" s="526"/>
      <c r="C43" s="527"/>
      <c r="D43" s="527"/>
      <c r="E43" s="527"/>
      <c r="F43" s="528"/>
      <c r="G43" s="371"/>
      <c r="H43" s="371"/>
      <c r="I43" s="371"/>
      <c r="J43" s="371"/>
      <c r="K43" s="371"/>
      <c r="L43" s="371"/>
      <c r="M43" s="371"/>
      <c r="N43" s="371"/>
      <c r="O43" s="371"/>
      <c r="P43" s="371"/>
      <c r="Q43" s="371"/>
      <c r="R43" s="371"/>
      <c r="S43" s="371"/>
      <c r="T43" s="371"/>
      <c r="U43" s="372"/>
      <c r="V43" s="40"/>
      <c r="W43" s="40"/>
      <c r="X43" s="40"/>
      <c r="Y43" s="40"/>
      <c r="Z43" s="40"/>
      <c r="AA43" s="40"/>
      <c r="AB43" s="40"/>
      <c r="AC43" s="40"/>
      <c r="AD43" s="40"/>
      <c r="AE43" s="40"/>
      <c r="AF43" s="40"/>
      <c r="AG43" s="40"/>
      <c r="AH43" s="40"/>
      <c r="AI43" s="40"/>
      <c r="AJ43" s="40"/>
      <c r="AK43" s="40"/>
    </row>
    <row r="44" spans="1:37" x14ac:dyDescent="0.3">
      <c r="A44" s="27" t="s">
        <v>43</v>
      </c>
      <c r="B44" s="17">
        <v>4503</v>
      </c>
      <c r="C44" s="17">
        <v>3407.13</v>
      </c>
      <c r="D44" s="17">
        <v>2722.53</v>
      </c>
      <c r="E44" s="17">
        <v>4930.2700000000004</v>
      </c>
      <c r="F44" s="17">
        <v>4182.88</v>
      </c>
      <c r="G44" s="17">
        <v>4762.8599999999997</v>
      </c>
      <c r="H44" s="17">
        <v>11034.48</v>
      </c>
      <c r="I44" s="17">
        <v>7362.22</v>
      </c>
      <c r="J44" s="17">
        <v>13552.76</v>
      </c>
      <c r="K44" s="17">
        <v>10324.23</v>
      </c>
      <c r="L44" s="17">
        <v>13909.06</v>
      </c>
      <c r="M44" s="17">
        <v>26315.93</v>
      </c>
      <c r="N44" s="17">
        <v>30260.78</v>
      </c>
      <c r="O44" s="17">
        <v>31063.57</v>
      </c>
      <c r="P44" s="17">
        <v>21888.52</v>
      </c>
      <c r="Q44" s="17">
        <v>30104.93</v>
      </c>
      <c r="R44" s="17">
        <v>64287.31</v>
      </c>
      <c r="S44" s="17">
        <v>62547.03</v>
      </c>
      <c r="T44" s="17">
        <v>44397.864800000003</v>
      </c>
      <c r="U44" s="28">
        <v>45740.695899999999</v>
      </c>
      <c r="V44" s="29"/>
      <c r="W44" s="29"/>
      <c r="X44" s="29"/>
      <c r="Y44" s="29"/>
      <c r="Z44" s="29"/>
      <c r="AA44" s="29"/>
      <c r="AB44" s="29"/>
      <c r="AC44" s="29"/>
      <c r="AD44" s="29"/>
      <c r="AE44" s="29"/>
      <c r="AF44" s="29"/>
      <c r="AG44" s="29"/>
      <c r="AH44" s="29"/>
      <c r="AI44" s="29"/>
      <c r="AJ44" s="29"/>
      <c r="AK44" s="29"/>
    </row>
    <row r="45" spans="1:37" x14ac:dyDescent="0.3">
      <c r="A45" s="27" t="s">
        <v>44</v>
      </c>
      <c r="B45" s="17">
        <v>72.510000000000005</v>
      </c>
      <c r="C45" s="17">
        <v>452.06</v>
      </c>
      <c r="D45" s="17">
        <v>5518.38</v>
      </c>
      <c r="E45" s="17">
        <v>10083.06</v>
      </c>
      <c r="F45" s="17">
        <v>9321.34</v>
      </c>
      <c r="G45" s="17">
        <v>1017.69</v>
      </c>
      <c r="H45" s="17">
        <v>390.96</v>
      </c>
      <c r="I45" s="17">
        <v>2020.43</v>
      </c>
      <c r="J45" s="17">
        <v>3890.26</v>
      </c>
      <c r="K45" s="17">
        <v>11933.99</v>
      </c>
      <c r="L45" s="17">
        <v>2542.06</v>
      </c>
      <c r="M45" s="17">
        <v>19899.03</v>
      </c>
      <c r="N45" s="17">
        <v>17963.080000000002</v>
      </c>
      <c r="O45" s="17">
        <v>2678.2</v>
      </c>
      <c r="P45" s="17">
        <v>8015.16</v>
      </c>
      <c r="Q45" s="17">
        <v>1672.52</v>
      </c>
      <c r="R45" s="17">
        <v>8587.68</v>
      </c>
      <c r="S45" s="17">
        <v>3579.7</v>
      </c>
      <c r="T45" s="17">
        <v>1816.8</v>
      </c>
      <c r="U45" s="28">
        <v>2279.8271</v>
      </c>
      <c r="V45" s="29"/>
      <c r="W45" s="29"/>
      <c r="X45" s="29"/>
      <c r="Y45" s="29"/>
      <c r="Z45" s="29"/>
      <c r="AA45" s="29"/>
      <c r="AB45" s="29"/>
      <c r="AC45" s="29"/>
      <c r="AD45" s="29"/>
      <c r="AE45" s="29"/>
      <c r="AF45" s="29"/>
      <c r="AG45" s="29"/>
      <c r="AH45" s="29"/>
      <c r="AI45" s="29"/>
      <c r="AJ45" s="29"/>
      <c r="AK45" s="29"/>
    </row>
    <row r="46" spans="1:37" x14ac:dyDescent="0.3">
      <c r="A46" s="27" t="s">
        <v>45</v>
      </c>
      <c r="B46" s="17">
        <v>5310.11</v>
      </c>
      <c r="C46" s="17">
        <v>6327.67</v>
      </c>
      <c r="D46" s="17">
        <v>6942.59</v>
      </c>
      <c r="E46" s="17">
        <v>10538.31</v>
      </c>
      <c r="F46" s="17">
        <v>7008.69</v>
      </c>
      <c r="G46" s="17">
        <v>8285.31</v>
      </c>
      <c r="H46" s="17">
        <v>9869.85</v>
      </c>
      <c r="I46" s="17">
        <v>12122.6</v>
      </c>
      <c r="J46" s="17">
        <v>11953.88</v>
      </c>
      <c r="K46" s="17">
        <v>17553.84</v>
      </c>
      <c r="L46" s="17">
        <v>4776.84</v>
      </c>
      <c r="M46" s="17">
        <v>5594.35</v>
      </c>
      <c r="N46" s="17">
        <v>9511.11</v>
      </c>
      <c r="O46" s="17">
        <v>16239.73</v>
      </c>
      <c r="P46" s="17">
        <v>11550.38</v>
      </c>
      <c r="Q46" s="17">
        <v>8744.83</v>
      </c>
      <c r="R46" s="17">
        <v>9735.5300000000007</v>
      </c>
      <c r="S46" s="17">
        <v>8962.0400000000009</v>
      </c>
      <c r="T46" s="17">
        <v>11348.142599999999</v>
      </c>
      <c r="U46" s="28">
        <v>15934.8716</v>
      </c>
      <c r="V46" s="29"/>
      <c r="W46" s="29"/>
      <c r="X46" s="29"/>
      <c r="Y46" s="29"/>
      <c r="Z46" s="29"/>
      <c r="AA46" s="29"/>
      <c r="AB46" s="29"/>
      <c r="AC46" s="29"/>
      <c r="AD46" s="29"/>
      <c r="AE46" s="29"/>
      <c r="AF46" s="29"/>
      <c r="AG46" s="29"/>
      <c r="AH46" s="29"/>
      <c r="AI46" s="29"/>
      <c r="AJ46" s="29"/>
      <c r="AK46" s="29"/>
    </row>
    <row r="47" spans="1:37" x14ac:dyDescent="0.3">
      <c r="A47" s="30" t="s">
        <v>48</v>
      </c>
      <c r="B47" s="18">
        <f>B44+B45+B46</f>
        <v>9885.619999999999</v>
      </c>
      <c r="C47" s="18">
        <f t="shared" ref="C47:U47" si="6">C44+C45+C46</f>
        <v>10186.86</v>
      </c>
      <c r="D47" s="18">
        <f t="shared" si="6"/>
        <v>15183.5</v>
      </c>
      <c r="E47" s="18">
        <f t="shared" si="6"/>
        <v>25551.64</v>
      </c>
      <c r="F47" s="18">
        <f t="shared" si="6"/>
        <v>20512.91</v>
      </c>
      <c r="G47" s="18">
        <f t="shared" si="6"/>
        <v>14065.859999999999</v>
      </c>
      <c r="H47" s="18">
        <f>H44+H45+H46</f>
        <v>21295.29</v>
      </c>
      <c r="I47" s="18">
        <f t="shared" si="6"/>
        <v>21505.25</v>
      </c>
      <c r="J47" s="18">
        <f t="shared" si="6"/>
        <v>29396.9</v>
      </c>
      <c r="K47" s="18">
        <f t="shared" si="6"/>
        <v>39812.06</v>
      </c>
      <c r="L47" s="18">
        <f t="shared" si="6"/>
        <v>21227.96</v>
      </c>
      <c r="M47" s="18">
        <f t="shared" si="6"/>
        <v>51809.31</v>
      </c>
      <c r="N47" s="18">
        <f t="shared" si="6"/>
        <v>57734.97</v>
      </c>
      <c r="O47" s="18">
        <f t="shared" si="6"/>
        <v>49981.5</v>
      </c>
      <c r="P47" s="18">
        <f t="shared" si="6"/>
        <v>41454.06</v>
      </c>
      <c r="Q47" s="18">
        <f t="shared" si="6"/>
        <v>40522.28</v>
      </c>
      <c r="R47" s="18">
        <f t="shared" si="6"/>
        <v>82610.51999999999</v>
      </c>
      <c r="S47" s="18">
        <f t="shared" si="6"/>
        <v>75088.76999999999</v>
      </c>
      <c r="T47" s="18">
        <f t="shared" si="6"/>
        <v>57562.807400000005</v>
      </c>
      <c r="U47" s="31">
        <f t="shared" si="6"/>
        <v>63955.3946</v>
      </c>
      <c r="V47" s="39"/>
      <c r="W47" s="39"/>
      <c r="X47" s="39"/>
      <c r="Y47" s="39"/>
      <c r="Z47" s="39"/>
      <c r="AA47" s="39"/>
      <c r="AB47" s="39"/>
      <c r="AC47" s="39"/>
      <c r="AD47" s="39"/>
      <c r="AE47" s="39"/>
      <c r="AF47" s="39"/>
      <c r="AG47" s="39"/>
      <c r="AH47" s="39"/>
      <c r="AI47" s="39"/>
      <c r="AJ47" s="39"/>
      <c r="AK47" s="39"/>
    </row>
    <row r="48" spans="1:37" x14ac:dyDescent="0.3">
      <c r="A48" s="30" t="s">
        <v>82</v>
      </c>
      <c r="B48" s="18">
        <f t="shared" ref="B48:U48" si="7">B42+B47</f>
        <v>12840.47</v>
      </c>
      <c r="C48" s="18">
        <f t="shared" si="7"/>
        <v>11615.79</v>
      </c>
      <c r="D48" s="18">
        <f t="shared" si="7"/>
        <v>18309</v>
      </c>
      <c r="E48" s="18">
        <f t="shared" si="7"/>
        <v>42590.17</v>
      </c>
      <c r="F48" s="18">
        <f t="shared" si="7"/>
        <v>30415.690000000002</v>
      </c>
      <c r="G48" s="18">
        <f t="shared" si="7"/>
        <v>15729.079999999998</v>
      </c>
      <c r="H48" s="18">
        <f t="shared" si="7"/>
        <v>23902.16</v>
      </c>
      <c r="I48" s="18">
        <f t="shared" si="7"/>
        <v>25355.02</v>
      </c>
      <c r="J48" s="18">
        <f t="shared" si="7"/>
        <v>79958.53</v>
      </c>
      <c r="K48" s="18">
        <f t="shared" si="7"/>
        <v>50115.839999999997</v>
      </c>
      <c r="L48" s="18">
        <f t="shared" si="7"/>
        <v>92540.959600000002</v>
      </c>
      <c r="M48" s="18">
        <f t="shared" si="7"/>
        <v>87097.03</v>
      </c>
      <c r="N48" s="18">
        <f t="shared" si="7"/>
        <v>107701.52</v>
      </c>
      <c r="O48" s="18">
        <f t="shared" si="7"/>
        <v>67807.510000000009</v>
      </c>
      <c r="P48" s="18">
        <f t="shared" si="7"/>
        <v>72825.84</v>
      </c>
      <c r="Q48" s="18">
        <f t="shared" si="7"/>
        <v>87346.78</v>
      </c>
      <c r="R48" s="18">
        <f t="shared" si="7"/>
        <v>134208.4</v>
      </c>
      <c r="S48" s="18">
        <f t="shared" si="7"/>
        <v>140818.66999999998</v>
      </c>
      <c r="T48" s="18">
        <f t="shared" si="7"/>
        <v>70990.847399999999</v>
      </c>
      <c r="U48" s="31">
        <f t="shared" si="7"/>
        <v>101215.95850000001</v>
      </c>
      <c r="V48" s="39"/>
      <c r="W48" s="39"/>
      <c r="X48" s="39"/>
      <c r="Y48" s="39"/>
      <c r="Z48" s="39"/>
      <c r="AA48" s="39"/>
      <c r="AB48" s="39"/>
      <c r="AC48" s="39"/>
      <c r="AD48" s="39"/>
      <c r="AE48" s="39"/>
      <c r="AF48" s="39"/>
      <c r="AG48" s="39"/>
      <c r="AH48" s="39"/>
      <c r="AI48" s="39"/>
      <c r="AJ48" s="39"/>
      <c r="AK48" s="39"/>
    </row>
    <row r="49" spans="1:37" x14ac:dyDescent="0.3">
      <c r="A49" s="79" t="s">
        <v>57</v>
      </c>
      <c r="B49" s="526"/>
      <c r="C49" s="527"/>
      <c r="D49" s="527"/>
      <c r="E49" s="527"/>
      <c r="F49" s="528"/>
      <c r="G49" s="371"/>
      <c r="H49" s="371"/>
      <c r="I49" s="371"/>
      <c r="J49" s="371"/>
      <c r="K49" s="371"/>
      <c r="L49" s="371"/>
      <c r="M49" s="371"/>
      <c r="N49" s="371"/>
      <c r="O49" s="371"/>
      <c r="P49" s="371"/>
      <c r="Q49" s="371"/>
      <c r="R49" s="371"/>
      <c r="S49" s="371"/>
      <c r="T49" s="371"/>
      <c r="U49" s="372"/>
      <c r="V49" s="40"/>
      <c r="W49" s="40"/>
      <c r="X49" s="40"/>
      <c r="Y49" s="40"/>
      <c r="Z49" s="40"/>
      <c r="AA49" s="40"/>
      <c r="AB49" s="40"/>
      <c r="AC49" s="40"/>
      <c r="AD49" s="40"/>
      <c r="AE49" s="40"/>
      <c r="AF49" s="40"/>
      <c r="AG49" s="40"/>
      <c r="AH49" s="40"/>
      <c r="AI49" s="40"/>
      <c r="AJ49" s="40"/>
      <c r="AK49" s="40"/>
    </row>
    <row r="50" spans="1:37" x14ac:dyDescent="0.3">
      <c r="A50" s="27" t="s">
        <v>50</v>
      </c>
      <c r="B50" s="17">
        <v>121918.07</v>
      </c>
      <c r="C50" s="17">
        <v>180702.84</v>
      </c>
      <c r="D50" s="17">
        <v>219508.11</v>
      </c>
      <c r="E50" s="17">
        <v>219706.84</v>
      </c>
      <c r="F50" s="17">
        <v>238963.72</v>
      </c>
      <c r="G50" s="17">
        <v>323039.90000000002</v>
      </c>
      <c r="H50" s="17">
        <v>352015.86</v>
      </c>
      <c r="I50" s="17">
        <v>367723.1</v>
      </c>
      <c r="J50" s="17">
        <v>438861.82</v>
      </c>
      <c r="K50" s="17">
        <v>654866.87</v>
      </c>
      <c r="L50" s="17">
        <v>242682.44</v>
      </c>
      <c r="M50" s="17">
        <v>213620.79</v>
      </c>
      <c r="N50" s="17">
        <v>256387.73</v>
      </c>
      <c r="O50" s="17">
        <v>396062.32</v>
      </c>
      <c r="P50" s="17">
        <v>505592.83</v>
      </c>
      <c r="Q50" s="17">
        <v>872769.55</v>
      </c>
      <c r="R50" s="17">
        <v>1139960.4099999999</v>
      </c>
      <c r="S50" s="17">
        <v>1261071.1200000001</v>
      </c>
      <c r="T50" s="17">
        <v>1357221.39</v>
      </c>
      <c r="U50" s="28">
        <v>1515043.86</v>
      </c>
      <c r="V50" s="29"/>
      <c r="W50" s="29"/>
      <c r="X50" s="29"/>
      <c r="Y50" s="29"/>
      <c r="Z50" s="29"/>
      <c r="AA50" s="29"/>
      <c r="AB50" s="29"/>
      <c r="AC50" s="29"/>
      <c r="AD50" s="29"/>
      <c r="AE50" s="29"/>
      <c r="AF50" s="29"/>
      <c r="AG50" s="29"/>
      <c r="AH50" s="29"/>
      <c r="AI50" s="29"/>
      <c r="AJ50" s="29"/>
      <c r="AK50" s="29"/>
    </row>
    <row r="51" spans="1:37" x14ac:dyDescent="0.3">
      <c r="A51" s="27" t="s">
        <v>51</v>
      </c>
      <c r="B51" s="17">
        <v>0</v>
      </c>
      <c r="C51" s="17">
        <v>0</v>
      </c>
      <c r="D51" s="17">
        <v>0</v>
      </c>
      <c r="E51" s="17">
        <v>0</v>
      </c>
      <c r="F51" s="17">
        <v>0</v>
      </c>
      <c r="G51" s="17">
        <v>0</v>
      </c>
      <c r="H51" s="17">
        <v>0</v>
      </c>
      <c r="I51" s="17">
        <v>0</v>
      </c>
      <c r="J51" s="17">
        <v>0</v>
      </c>
      <c r="K51" s="17">
        <v>0</v>
      </c>
      <c r="L51" s="17">
        <v>0</v>
      </c>
      <c r="M51" s="17">
        <v>0</v>
      </c>
      <c r="N51" s="17">
        <v>0</v>
      </c>
      <c r="O51" s="17">
        <v>0</v>
      </c>
      <c r="P51" s="17">
        <v>0</v>
      </c>
      <c r="Q51" s="17">
        <v>19106.169999999998</v>
      </c>
      <c r="R51" s="17">
        <v>27743.27</v>
      </c>
      <c r="S51" s="17">
        <v>35365.93</v>
      </c>
      <c r="T51" s="17">
        <v>34762.19</v>
      </c>
      <c r="U51" s="28">
        <v>37831.75</v>
      </c>
      <c r="V51" s="29"/>
      <c r="W51" s="29"/>
      <c r="X51" s="29"/>
      <c r="Y51" s="29"/>
      <c r="Z51" s="29"/>
      <c r="AA51" s="29"/>
      <c r="AB51" s="29"/>
      <c r="AC51" s="29"/>
      <c r="AD51" s="29"/>
      <c r="AE51" s="29"/>
      <c r="AF51" s="29"/>
      <c r="AG51" s="29"/>
      <c r="AH51" s="29"/>
      <c r="AI51" s="29"/>
      <c r="AJ51" s="29"/>
      <c r="AK51" s="29"/>
    </row>
    <row r="52" spans="1:37" x14ac:dyDescent="0.3">
      <c r="A52" s="27" t="s">
        <v>52</v>
      </c>
      <c r="B52" s="17">
        <v>1155.28</v>
      </c>
      <c r="C52" s="17">
        <v>1394.97</v>
      </c>
      <c r="D52" s="17">
        <v>1194.08</v>
      </c>
      <c r="E52" s="17">
        <v>1193.1199999999999</v>
      </c>
      <c r="F52" s="17">
        <v>1317.01</v>
      </c>
      <c r="G52" s="17">
        <v>418.24</v>
      </c>
      <c r="H52" s="17">
        <v>449.43</v>
      </c>
      <c r="I52" s="17">
        <v>513.89</v>
      </c>
      <c r="J52" s="17">
        <v>522.53</v>
      </c>
      <c r="K52" s="17">
        <v>5116.1000000000004</v>
      </c>
      <c r="L52" s="17">
        <v>14098.03</v>
      </c>
      <c r="M52" s="17">
        <v>2822.01</v>
      </c>
      <c r="N52" s="17">
        <v>2413.59</v>
      </c>
      <c r="O52" s="17">
        <v>12722.51</v>
      </c>
      <c r="P52" s="17">
        <v>21975.13</v>
      </c>
      <c r="Q52" s="17">
        <v>42165.97</v>
      </c>
      <c r="R52" s="17">
        <v>68972.62</v>
      </c>
      <c r="S52" s="17">
        <v>90652.83</v>
      </c>
      <c r="T52" s="17">
        <v>105133.88</v>
      </c>
      <c r="U52" s="28">
        <v>149287.03</v>
      </c>
      <c r="V52" s="29"/>
      <c r="W52" s="29"/>
      <c r="X52" s="29"/>
      <c r="Y52" s="29"/>
      <c r="Z52" s="29"/>
      <c r="AA52" s="29"/>
      <c r="AB52" s="29"/>
      <c r="AC52" s="29"/>
      <c r="AD52" s="29"/>
      <c r="AE52" s="29"/>
      <c r="AF52" s="29"/>
      <c r="AG52" s="29"/>
      <c r="AH52" s="29"/>
      <c r="AI52" s="29"/>
      <c r="AJ52" s="29"/>
      <c r="AK52" s="29"/>
    </row>
    <row r="53" spans="1:37" x14ac:dyDescent="0.3">
      <c r="A53" s="27" t="s">
        <v>53</v>
      </c>
      <c r="B53" s="17">
        <v>20643.91</v>
      </c>
      <c r="C53" s="17">
        <v>34870.39</v>
      </c>
      <c r="D53" s="17">
        <v>44737.83</v>
      </c>
      <c r="E53" s="17">
        <v>54797.65</v>
      </c>
      <c r="F53" s="17">
        <v>74702.09</v>
      </c>
      <c r="G53" s="17">
        <v>25801.19</v>
      </c>
      <c r="H53" s="17">
        <v>58674.720000000001</v>
      </c>
      <c r="I53" s="17">
        <v>59628.36</v>
      </c>
      <c r="J53" s="17">
        <v>54125.99</v>
      </c>
      <c r="K53" s="17">
        <v>20395.38</v>
      </c>
      <c r="L53" s="17">
        <v>39087.199999999997</v>
      </c>
      <c r="M53" s="17">
        <v>27001.81</v>
      </c>
      <c r="N53" s="17">
        <v>22580.34</v>
      </c>
      <c r="O53" s="17">
        <v>52653.98</v>
      </c>
      <c r="P53" s="17">
        <v>96762.77</v>
      </c>
      <c r="Q53" s="17">
        <v>145276.26999999999</v>
      </c>
      <c r="R53" s="17">
        <v>253967.00870000001</v>
      </c>
      <c r="S53" s="17">
        <v>269609.83270000003</v>
      </c>
      <c r="T53" s="17">
        <v>285134.40999999997</v>
      </c>
      <c r="U53" s="28">
        <v>258588.02</v>
      </c>
      <c r="V53" s="29"/>
      <c r="W53" s="29"/>
      <c r="X53" s="29"/>
      <c r="Y53" s="29"/>
      <c r="Z53" s="29"/>
      <c r="AA53" s="29"/>
      <c r="AB53" s="29"/>
      <c r="AC53" s="29"/>
      <c r="AD53" s="29"/>
      <c r="AE53" s="29"/>
      <c r="AF53" s="29"/>
      <c r="AG53" s="29"/>
      <c r="AH53" s="29"/>
      <c r="AI53" s="29"/>
      <c r="AJ53" s="29"/>
      <c r="AK53" s="29"/>
    </row>
    <row r="54" spans="1:37" x14ac:dyDescent="0.3">
      <c r="A54" s="27" t="s">
        <v>54</v>
      </c>
      <c r="B54" s="17">
        <v>0</v>
      </c>
      <c r="C54" s="17">
        <v>0</v>
      </c>
      <c r="D54" s="17">
        <v>797.89</v>
      </c>
      <c r="E54" s="17">
        <v>863.74</v>
      </c>
      <c r="F54" s="17">
        <v>932.45</v>
      </c>
      <c r="G54" s="17">
        <v>0</v>
      </c>
      <c r="H54" s="17">
        <v>0</v>
      </c>
      <c r="I54" s="17">
        <v>0</v>
      </c>
      <c r="J54" s="17">
        <v>0</v>
      </c>
      <c r="K54" s="17">
        <f>293986.13+200</f>
        <v>294186.13</v>
      </c>
      <c r="L54" s="17">
        <v>97084.97</v>
      </c>
      <c r="M54" s="17">
        <v>6073.88</v>
      </c>
      <c r="N54" s="17">
        <v>6626.41</v>
      </c>
      <c r="O54" s="17">
        <f>144058.05+6414.07</f>
        <v>150472.12</v>
      </c>
      <c r="P54" s="17">
        <f>164842.4+1510.23</f>
        <v>166352.63</v>
      </c>
      <c r="Q54" s="17">
        <v>12365.01</v>
      </c>
      <c r="R54" s="17">
        <v>13209.01</v>
      </c>
      <c r="S54" s="17">
        <v>14603.34</v>
      </c>
      <c r="T54" s="17">
        <v>16013.18</v>
      </c>
      <c r="U54" s="28">
        <v>17498.560000000001</v>
      </c>
      <c r="V54" s="29"/>
      <c r="W54" s="29"/>
      <c r="X54" s="29"/>
      <c r="Y54" s="29"/>
      <c r="Z54" s="29"/>
      <c r="AA54" s="29"/>
      <c r="AB54" s="29"/>
      <c r="AC54" s="29"/>
      <c r="AD54" s="29"/>
      <c r="AE54" s="29"/>
      <c r="AF54" s="29"/>
      <c r="AG54" s="29"/>
      <c r="AH54" s="29"/>
      <c r="AI54" s="29"/>
      <c r="AJ54" s="29"/>
      <c r="AK54" s="29"/>
    </row>
    <row r="55" spans="1:37" x14ac:dyDescent="0.3">
      <c r="A55" s="27" t="s">
        <v>55</v>
      </c>
      <c r="B55" s="17">
        <v>6449</v>
      </c>
      <c r="C55" s="17">
        <v>4387.57</v>
      </c>
      <c r="D55" s="17">
        <v>2435.5700000000002</v>
      </c>
      <c r="E55" s="17">
        <v>2827.25</v>
      </c>
      <c r="F55" s="17">
        <v>6769.42</v>
      </c>
      <c r="G55" s="17">
        <v>37852.82</v>
      </c>
      <c r="H55" s="17">
        <v>25314.959999999999</v>
      </c>
      <c r="I55" s="17">
        <v>18776.09</v>
      </c>
      <c r="J55" s="17">
        <v>16570.37</v>
      </c>
      <c r="K55" s="17">
        <v>29044.34</v>
      </c>
      <c r="L55" s="17">
        <v>36386.5</v>
      </c>
      <c r="M55" s="17">
        <v>11182.25</v>
      </c>
      <c r="N55" s="17">
        <v>7192.25</v>
      </c>
      <c r="O55" s="17">
        <v>12845.76</v>
      </c>
      <c r="P55" s="17">
        <v>22267.21</v>
      </c>
      <c r="Q55" s="17">
        <v>85958.98</v>
      </c>
      <c r="R55" s="17">
        <v>40219.160000000003</v>
      </c>
      <c r="S55" s="17">
        <v>47875.58</v>
      </c>
      <c r="T55" s="17">
        <v>49582.879999999997</v>
      </c>
      <c r="U55" s="28">
        <v>60206.81</v>
      </c>
      <c r="V55" s="29"/>
      <c r="W55" s="29"/>
      <c r="X55" s="29"/>
      <c r="Y55" s="29"/>
      <c r="Z55" s="29"/>
      <c r="AA55" s="29"/>
      <c r="AB55" s="29"/>
      <c r="AC55" s="29"/>
      <c r="AD55" s="29"/>
      <c r="AE55" s="29"/>
      <c r="AF55" s="29"/>
      <c r="AG55" s="29"/>
      <c r="AH55" s="29"/>
      <c r="AI55" s="29"/>
      <c r="AJ55" s="29"/>
      <c r="AK55" s="29"/>
    </row>
    <row r="56" spans="1:37" x14ac:dyDescent="0.3">
      <c r="A56" s="30" t="s">
        <v>56</v>
      </c>
      <c r="B56" s="18">
        <f>SUM(B50:B55)</f>
        <v>150166.26</v>
      </c>
      <c r="C56" s="18">
        <f t="shared" ref="C56:U56" si="8">SUM(C50:C55)</f>
        <v>221355.77000000002</v>
      </c>
      <c r="D56" s="18">
        <f t="shared" si="8"/>
        <v>268673.48</v>
      </c>
      <c r="E56" s="18">
        <f t="shared" si="8"/>
        <v>279388.59999999998</v>
      </c>
      <c r="F56" s="18">
        <f t="shared" si="8"/>
        <v>322684.69</v>
      </c>
      <c r="G56" s="18">
        <f t="shared" si="8"/>
        <v>387112.15</v>
      </c>
      <c r="H56" s="18">
        <f t="shared" si="8"/>
        <v>436454.97000000003</v>
      </c>
      <c r="I56" s="18">
        <f t="shared" si="8"/>
        <v>446641.44</v>
      </c>
      <c r="J56" s="18">
        <f t="shared" si="8"/>
        <v>510080.71</v>
      </c>
      <c r="K56" s="18">
        <f t="shared" si="8"/>
        <v>1003608.82</v>
      </c>
      <c r="L56" s="18">
        <f t="shared" si="8"/>
        <v>429339.14</v>
      </c>
      <c r="M56" s="18">
        <f t="shared" si="8"/>
        <v>260700.74000000002</v>
      </c>
      <c r="N56" s="18">
        <f t="shared" si="8"/>
        <v>295200.32</v>
      </c>
      <c r="O56" s="18">
        <f>SUM(O50:O55)</f>
        <v>624756.68999999994</v>
      </c>
      <c r="P56" s="18">
        <f>SUM(P50:P55)</f>
        <v>812950.57</v>
      </c>
      <c r="Q56" s="18">
        <f t="shared" si="8"/>
        <v>1177641.95</v>
      </c>
      <c r="R56" s="18">
        <f t="shared" si="8"/>
        <v>1544071.4786999999</v>
      </c>
      <c r="S56" s="18">
        <f t="shared" si="8"/>
        <v>1719178.6327000002</v>
      </c>
      <c r="T56" s="18">
        <f t="shared" si="8"/>
        <v>1847847.9299999997</v>
      </c>
      <c r="U56" s="31">
        <f t="shared" si="8"/>
        <v>2038456.0300000003</v>
      </c>
      <c r="V56" s="39"/>
      <c r="W56" s="39"/>
      <c r="X56" s="39"/>
      <c r="Y56" s="39"/>
      <c r="Z56" s="39"/>
      <c r="AA56" s="39"/>
      <c r="AB56" s="39"/>
      <c r="AC56" s="39"/>
      <c r="AD56" s="39"/>
      <c r="AE56" s="39"/>
      <c r="AF56" s="39"/>
      <c r="AG56" s="39"/>
      <c r="AH56" s="39"/>
      <c r="AI56" s="39"/>
      <c r="AJ56" s="39"/>
      <c r="AK56" s="39"/>
    </row>
    <row r="57" spans="1:37" x14ac:dyDescent="0.3">
      <c r="A57" s="79" t="s">
        <v>58</v>
      </c>
      <c r="B57" s="371"/>
      <c r="C57" s="371"/>
      <c r="D57" s="371"/>
      <c r="E57" s="371"/>
      <c r="F57" s="371"/>
      <c r="G57" s="371"/>
      <c r="H57" s="371"/>
      <c r="I57" s="371"/>
      <c r="J57" s="371"/>
      <c r="K57" s="371"/>
      <c r="L57" s="371"/>
      <c r="M57" s="371"/>
      <c r="N57" s="371"/>
      <c r="O57" s="371"/>
      <c r="P57" s="371"/>
      <c r="Q57" s="371"/>
      <c r="R57" s="371"/>
      <c r="S57" s="371"/>
      <c r="T57" s="371"/>
      <c r="U57" s="372"/>
      <c r="V57" s="40"/>
      <c r="W57" s="40"/>
      <c r="X57" s="40"/>
      <c r="Y57" s="40"/>
      <c r="Z57" s="40"/>
      <c r="AA57" s="40"/>
      <c r="AB57" s="40"/>
      <c r="AC57" s="40"/>
      <c r="AD57" s="40"/>
      <c r="AE57" s="40"/>
      <c r="AF57" s="40"/>
      <c r="AG57" s="40"/>
      <c r="AH57" s="40"/>
      <c r="AI57" s="40"/>
      <c r="AJ57" s="40"/>
      <c r="AK57" s="40"/>
    </row>
    <row r="58" spans="1:37" x14ac:dyDescent="0.3">
      <c r="A58" s="27" t="s">
        <v>50</v>
      </c>
      <c r="B58" s="17">
        <v>4281.9399999999996</v>
      </c>
      <c r="C58" s="17">
        <v>3487.21</v>
      </c>
      <c r="D58" s="17">
        <v>5669.76</v>
      </c>
      <c r="E58" s="17">
        <v>8487.64</v>
      </c>
      <c r="F58" s="17">
        <v>9421.86</v>
      </c>
      <c r="G58" s="17">
        <v>840.93</v>
      </c>
      <c r="H58" s="17">
        <v>593.6</v>
      </c>
      <c r="I58" s="17">
        <v>227.58</v>
      </c>
      <c r="J58" s="17">
        <v>79.72</v>
      </c>
      <c r="K58" s="17">
        <v>248.04</v>
      </c>
      <c r="L58" s="17">
        <v>7681.58</v>
      </c>
      <c r="M58" s="17">
        <v>15162.23</v>
      </c>
      <c r="N58" s="17">
        <v>10734.08</v>
      </c>
      <c r="O58" s="17">
        <v>8997.24</v>
      </c>
      <c r="P58" s="17">
        <v>7948.9</v>
      </c>
      <c r="Q58" s="17">
        <v>20791.8</v>
      </c>
      <c r="R58" s="17">
        <v>21697.01</v>
      </c>
      <c r="S58" s="17">
        <v>24165.67</v>
      </c>
      <c r="T58" s="17">
        <v>34915.980000000003</v>
      </c>
      <c r="U58" s="28">
        <v>39158.826300000001</v>
      </c>
      <c r="V58" s="29"/>
      <c r="W58" s="29"/>
      <c r="X58" s="29"/>
      <c r="Y58" s="29"/>
      <c r="Z58" s="29"/>
      <c r="AA58" s="29"/>
      <c r="AB58" s="29"/>
      <c r="AC58" s="29"/>
      <c r="AD58" s="29"/>
      <c r="AE58" s="29"/>
      <c r="AF58" s="29"/>
      <c r="AG58" s="29"/>
      <c r="AH58" s="29"/>
      <c r="AI58" s="29"/>
      <c r="AJ58" s="29"/>
      <c r="AK58" s="29"/>
    </row>
    <row r="59" spans="1:37" x14ac:dyDescent="0.3">
      <c r="A59" s="27" t="s">
        <v>59</v>
      </c>
      <c r="B59" s="17">
        <v>0</v>
      </c>
      <c r="C59" s="17">
        <v>0</v>
      </c>
      <c r="D59" s="17">
        <v>0</v>
      </c>
      <c r="E59" s="17">
        <v>0</v>
      </c>
      <c r="F59" s="17">
        <v>0</v>
      </c>
      <c r="G59" s="17">
        <v>0</v>
      </c>
      <c r="H59" s="17">
        <v>0</v>
      </c>
      <c r="I59" s="17">
        <v>0</v>
      </c>
      <c r="J59" s="17">
        <v>0</v>
      </c>
      <c r="K59" s="17">
        <v>175.76</v>
      </c>
      <c r="L59" s="17">
        <v>0</v>
      </c>
      <c r="M59" s="17">
        <v>3682.68</v>
      </c>
      <c r="N59" s="17">
        <v>1969.89</v>
      </c>
      <c r="O59" s="17">
        <v>0</v>
      </c>
      <c r="P59" s="17">
        <v>0</v>
      </c>
      <c r="Q59" s="17">
        <v>147.63999999999999</v>
      </c>
      <c r="R59" s="17">
        <v>145.62</v>
      </c>
      <c r="S59" s="17">
        <v>158.80000000000001</v>
      </c>
      <c r="T59" s="17">
        <v>176.0239</v>
      </c>
      <c r="U59" s="28">
        <v>177.01730000000001</v>
      </c>
      <c r="V59" s="29"/>
      <c r="W59" s="29"/>
      <c r="X59" s="29"/>
      <c r="Y59" s="29"/>
      <c r="Z59" s="29"/>
      <c r="AA59" s="29"/>
      <c r="AB59" s="29"/>
      <c r="AC59" s="29"/>
      <c r="AD59" s="29"/>
      <c r="AE59" s="29"/>
      <c r="AF59" s="29"/>
      <c r="AG59" s="29"/>
      <c r="AH59" s="29"/>
      <c r="AI59" s="29"/>
      <c r="AJ59" s="29"/>
      <c r="AK59" s="29"/>
    </row>
    <row r="60" spans="1:37" x14ac:dyDescent="0.3">
      <c r="A60" s="27" t="s">
        <v>60</v>
      </c>
      <c r="B60" s="17">
        <v>833.41</v>
      </c>
      <c r="C60" s="17">
        <v>492.79</v>
      </c>
      <c r="D60" s="17">
        <v>264.89</v>
      </c>
      <c r="E60" s="17">
        <v>218.59</v>
      </c>
      <c r="F60" s="17">
        <v>247.19</v>
      </c>
      <c r="G60" s="17">
        <f>3.5+1338.33</f>
        <v>1341.83</v>
      </c>
      <c r="H60" s="17">
        <f>3.5+1771.01</f>
        <v>1774.51</v>
      </c>
      <c r="I60" s="17">
        <f>2.64+2392.2</f>
        <v>2394.8399999999997</v>
      </c>
      <c r="J60" s="17">
        <f>2.64+1418.64</f>
        <v>1421.2800000000002</v>
      </c>
      <c r="K60" s="17">
        <f>21.53+1627.48</f>
        <v>1649.01</v>
      </c>
      <c r="L60" s="17">
        <v>6451.8795</v>
      </c>
      <c r="M60" s="17">
        <v>1740.86</v>
      </c>
      <c r="N60" s="17">
        <v>2336.67</v>
      </c>
      <c r="O60" s="17">
        <v>5798</v>
      </c>
      <c r="P60" s="17">
        <v>6262.99</v>
      </c>
      <c r="Q60" s="17">
        <v>29702.84</v>
      </c>
      <c r="R60" s="17">
        <v>29186.12</v>
      </c>
      <c r="S60" s="17">
        <v>32986.75</v>
      </c>
      <c r="T60" s="17">
        <v>30167.881399999998</v>
      </c>
      <c r="U60" s="28">
        <v>32756.3253</v>
      </c>
      <c r="V60" s="29"/>
      <c r="W60" s="29"/>
      <c r="X60" s="29"/>
      <c r="Y60" s="29"/>
      <c r="Z60" s="29"/>
      <c r="AA60" s="29"/>
      <c r="AB60" s="29"/>
      <c r="AC60" s="29"/>
      <c r="AD60" s="29"/>
      <c r="AE60" s="29"/>
      <c r="AF60" s="29"/>
      <c r="AG60" s="29"/>
      <c r="AH60" s="29"/>
      <c r="AI60" s="29"/>
      <c r="AJ60" s="29"/>
      <c r="AK60" s="29"/>
    </row>
    <row r="61" spans="1:37" x14ac:dyDescent="0.3">
      <c r="A61" s="30" t="s">
        <v>61</v>
      </c>
      <c r="B61" s="18">
        <f>B58+B59+B60</f>
        <v>5115.3499999999995</v>
      </c>
      <c r="C61" s="18">
        <f t="shared" ref="C61:U61" si="9">C58+C59+C60</f>
        <v>3980</v>
      </c>
      <c r="D61" s="18">
        <f t="shared" si="9"/>
        <v>5934.6500000000005</v>
      </c>
      <c r="E61" s="18">
        <f t="shared" si="9"/>
        <v>8706.23</v>
      </c>
      <c r="F61" s="18">
        <f t="shared" si="9"/>
        <v>9669.0500000000011</v>
      </c>
      <c r="G61" s="18">
        <f>G58+G59+G60</f>
        <v>2182.7599999999998</v>
      </c>
      <c r="H61" s="18">
        <f t="shared" si="9"/>
        <v>2368.11</v>
      </c>
      <c r="I61" s="18">
        <f t="shared" si="9"/>
        <v>2622.4199999999996</v>
      </c>
      <c r="J61" s="18">
        <f t="shared" si="9"/>
        <v>1501.0000000000002</v>
      </c>
      <c r="K61" s="18">
        <f t="shared" si="9"/>
        <v>2072.81</v>
      </c>
      <c r="L61" s="18">
        <f t="shared" si="9"/>
        <v>14133.459500000001</v>
      </c>
      <c r="M61" s="18">
        <f t="shared" si="9"/>
        <v>20585.77</v>
      </c>
      <c r="N61" s="18">
        <f t="shared" si="9"/>
        <v>15040.64</v>
      </c>
      <c r="O61" s="18">
        <f t="shared" si="9"/>
        <v>14795.24</v>
      </c>
      <c r="P61" s="18">
        <f t="shared" si="9"/>
        <v>14211.89</v>
      </c>
      <c r="Q61" s="18">
        <f t="shared" si="9"/>
        <v>50642.28</v>
      </c>
      <c r="R61" s="18">
        <f t="shared" si="9"/>
        <v>51028.75</v>
      </c>
      <c r="S61" s="18">
        <f t="shared" si="9"/>
        <v>57311.22</v>
      </c>
      <c r="T61" s="18">
        <f t="shared" si="9"/>
        <v>65259.885300000002</v>
      </c>
      <c r="U61" s="31">
        <f t="shared" si="9"/>
        <v>72092.168900000004</v>
      </c>
      <c r="V61" s="39"/>
      <c r="W61" s="39"/>
      <c r="X61" s="39"/>
      <c r="Y61" s="39"/>
      <c r="Z61" s="39"/>
      <c r="AA61" s="39"/>
      <c r="AB61" s="39"/>
      <c r="AC61" s="39"/>
      <c r="AD61" s="39"/>
      <c r="AE61" s="39"/>
      <c r="AF61" s="39"/>
      <c r="AG61" s="39"/>
      <c r="AH61" s="39"/>
      <c r="AI61" s="39"/>
      <c r="AJ61" s="39"/>
      <c r="AK61" s="39"/>
    </row>
    <row r="62" spans="1:37" x14ac:dyDescent="0.3">
      <c r="A62" s="30" t="s">
        <v>62</v>
      </c>
      <c r="B62" s="18">
        <f t="shared" ref="B62:U62" si="10">B56+B61</f>
        <v>155281.61000000002</v>
      </c>
      <c r="C62" s="18">
        <f t="shared" si="10"/>
        <v>225335.77000000002</v>
      </c>
      <c r="D62" s="18">
        <f t="shared" si="10"/>
        <v>274608.13</v>
      </c>
      <c r="E62" s="18">
        <f t="shared" si="10"/>
        <v>288094.82999999996</v>
      </c>
      <c r="F62" s="18">
        <f t="shared" si="10"/>
        <v>332353.74</v>
      </c>
      <c r="G62" s="18">
        <f t="shared" si="10"/>
        <v>389294.91000000003</v>
      </c>
      <c r="H62" s="18">
        <f t="shared" si="10"/>
        <v>438823.08</v>
      </c>
      <c r="I62" s="18">
        <f t="shared" si="10"/>
        <v>449263.86</v>
      </c>
      <c r="J62" s="18">
        <f t="shared" si="10"/>
        <v>511581.71</v>
      </c>
      <c r="K62" s="18">
        <f t="shared" si="10"/>
        <v>1005681.63</v>
      </c>
      <c r="L62" s="18">
        <f t="shared" si="10"/>
        <v>443472.59950000001</v>
      </c>
      <c r="M62" s="18">
        <f t="shared" si="10"/>
        <v>281286.51</v>
      </c>
      <c r="N62" s="18">
        <f t="shared" si="10"/>
        <v>310240.96000000002</v>
      </c>
      <c r="O62" s="18">
        <f t="shared" si="10"/>
        <v>639551.92999999993</v>
      </c>
      <c r="P62" s="18">
        <f t="shared" si="10"/>
        <v>827162.46</v>
      </c>
      <c r="Q62" s="18">
        <f t="shared" si="10"/>
        <v>1228284.23</v>
      </c>
      <c r="R62" s="18">
        <f t="shared" si="10"/>
        <v>1595100.2286999999</v>
      </c>
      <c r="S62" s="18">
        <f t="shared" si="10"/>
        <v>1776489.8527000002</v>
      </c>
      <c r="T62" s="18">
        <f t="shared" si="10"/>
        <v>1913107.8152999997</v>
      </c>
      <c r="U62" s="31">
        <f t="shared" si="10"/>
        <v>2110548.1989000002</v>
      </c>
      <c r="V62" s="39"/>
      <c r="W62" s="39"/>
      <c r="X62" s="39"/>
      <c r="Y62" s="39"/>
      <c r="Z62" s="39"/>
      <c r="AA62" s="39"/>
      <c r="AB62" s="39"/>
      <c r="AC62" s="39"/>
      <c r="AD62" s="39"/>
      <c r="AE62" s="39"/>
      <c r="AF62" s="39"/>
      <c r="AG62" s="39"/>
      <c r="AH62" s="39"/>
      <c r="AI62" s="39"/>
      <c r="AJ62" s="39"/>
      <c r="AK62" s="39"/>
    </row>
    <row r="63" spans="1:37" x14ac:dyDescent="0.3">
      <c r="A63" s="79" t="s">
        <v>63</v>
      </c>
      <c r="B63" s="371"/>
      <c r="C63" s="371"/>
      <c r="D63" s="371"/>
      <c r="E63" s="371"/>
      <c r="F63" s="371"/>
      <c r="G63" s="371"/>
      <c r="H63" s="371"/>
      <c r="I63" s="371"/>
      <c r="J63" s="371"/>
      <c r="K63" s="371"/>
      <c r="L63" s="371"/>
      <c r="M63" s="371"/>
      <c r="N63" s="371"/>
      <c r="O63" s="371"/>
      <c r="P63" s="371"/>
      <c r="Q63" s="371"/>
      <c r="R63" s="371"/>
      <c r="S63" s="371"/>
      <c r="T63" s="371"/>
      <c r="U63" s="372"/>
      <c r="V63" s="40"/>
      <c r="W63" s="40"/>
      <c r="X63" s="40"/>
      <c r="Y63" s="40"/>
      <c r="Z63" s="40"/>
      <c r="AA63" s="40"/>
      <c r="AB63" s="40"/>
      <c r="AC63" s="40"/>
      <c r="AD63" s="40"/>
      <c r="AE63" s="40"/>
      <c r="AF63" s="40"/>
      <c r="AG63" s="40"/>
      <c r="AH63" s="40"/>
      <c r="AI63" s="40"/>
      <c r="AJ63" s="40"/>
      <c r="AK63" s="40"/>
    </row>
    <row r="64" spans="1:37" x14ac:dyDescent="0.3">
      <c r="A64" s="27" t="s">
        <v>64</v>
      </c>
      <c r="B64" s="17">
        <v>143859.32999999999</v>
      </c>
      <c r="C64" s="17">
        <v>184171.37</v>
      </c>
      <c r="D64" s="17">
        <v>254162.74</v>
      </c>
      <c r="E64" s="17">
        <v>306850.92</v>
      </c>
      <c r="F64" s="17">
        <v>369070.11</v>
      </c>
      <c r="G64" s="17">
        <v>258281.76</v>
      </c>
      <c r="H64" s="17">
        <v>258611.15</v>
      </c>
      <c r="I64" s="17">
        <v>390181.51</v>
      </c>
      <c r="J64" s="17">
        <v>534388.31999999995</v>
      </c>
      <c r="K64" s="17">
        <v>780715.25</v>
      </c>
      <c r="L64" s="17">
        <v>190900.98740000001</v>
      </c>
      <c r="M64" s="17">
        <v>203179.74</v>
      </c>
      <c r="N64" s="17">
        <v>249168.08</v>
      </c>
      <c r="O64" s="17">
        <v>280781.25</v>
      </c>
      <c r="P64" s="17">
        <v>373906.05</v>
      </c>
      <c r="Q64" s="17">
        <v>526675.87</v>
      </c>
      <c r="R64" s="17">
        <v>564570.85919999995</v>
      </c>
      <c r="S64" s="17">
        <v>658546.87829999998</v>
      </c>
      <c r="T64" s="17">
        <v>697644.4351</v>
      </c>
      <c r="U64" s="28">
        <v>804184.20860000001</v>
      </c>
      <c r="V64" s="29"/>
      <c r="W64" s="29"/>
      <c r="X64" s="29"/>
      <c r="Y64" s="29"/>
      <c r="Z64" s="29"/>
      <c r="AA64" s="29"/>
      <c r="AB64" s="29"/>
      <c r="AC64" s="29"/>
      <c r="AD64" s="29"/>
      <c r="AE64" s="29"/>
      <c r="AF64" s="29"/>
      <c r="AG64" s="29"/>
      <c r="AH64" s="29"/>
      <c r="AI64" s="29"/>
      <c r="AJ64" s="29"/>
      <c r="AK64" s="29"/>
    </row>
    <row r="65" spans="1:37" x14ac:dyDescent="0.3">
      <c r="A65" s="27" t="s">
        <v>65</v>
      </c>
      <c r="B65" s="17">
        <v>13427.08</v>
      </c>
      <c r="C65" s="17">
        <v>32680.92</v>
      </c>
      <c r="D65" s="17">
        <v>22195.7</v>
      </c>
      <c r="E65" s="17">
        <v>17719.939999999999</v>
      </c>
      <c r="F65" s="17">
        <v>17132.939999999999</v>
      </c>
      <c r="G65" s="17">
        <v>62335.37</v>
      </c>
      <c r="H65" s="17">
        <v>119908.27</v>
      </c>
      <c r="I65" s="17">
        <v>135693.81</v>
      </c>
      <c r="J65" s="17">
        <v>135907.74</v>
      </c>
      <c r="K65" s="17">
        <v>140554.70000000001</v>
      </c>
      <c r="L65" s="17">
        <v>15954.14</v>
      </c>
      <c r="M65" s="17">
        <v>45189.75</v>
      </c>
      <c r="N65" s="17">
        <v>48378.239999999998</v>
      </c>
      <c r="O65" s="17">
        <v>51615.24</v>
      </c>
      <c r="P65" s="17">
        <v>51080.11</v>
      </c>
      <c r="Q65" s="17">
        <v>287505.82</v>
      </c>
      <c r="R65" s="17">
        <v>257246.23860000001</v>
      </c>
      <c r="S65" s="17">
        <v>167199.4075</v>
      </c>
      <c r="T65" s="17">
        <v>258922.87669999999</v>
      </c>
      <c r="U65" s="28">
        <v>252633.74040000001</v>
      </c>
      <c r="V65" s="29"/>
      <c r="W65" s="29"/>
      <c r="X65" s="29"/>
      <c r="Y65" s="29"/>
      <c r="Z65" s="29"/>
      <c r="AA65" s="29"/>
      <c r="AB65" s="29"/>
      <c r="AC65" s="29"/>
      <c r="AD65" s="29"/>
      <c r="AE65" s="29"/>
      <c r="AF65" s="29"/>
      <c r="AG65" s="29"/>
      <c r="AH65" s="29"/>
      <c r="AI65" s="29"/>
      <c r="AJ65" s="29"/>
      <c r="AK65" s="29"/>
    </row>
    <row r="66" spans="1:37" x14ac:dyDescent="0.3">
      <c r="A66" s="27" t="s">
        <v>66</v>
      </c>
      <c r="B66" s="17">
        <v>2180.9</v>
      </c>
      <c r="C66" s="17">
        <v>3131</v>
      </c>
      <c r="D66" s="17">
        <v>2446.9299999999998</v>
      </c>
      <c r="E66" s="17">
        <v>1112.52</v>
      </c>
      <c r="F66" s="17">
        <v>15646.12</v>
      </c>
      <c r="G66" s="17">
        <v>6855.04</v>
      </c>
      <c r="H66" s="17">
        <v>8538.3799999999992</v>
      </c>
      <c r="I66" s="17">
        <v>6886.3</v>
      </c>
      <c r="J66" s="17">
        <v>6403.88</v>
      </c>
      <c r="K66" s="17">
        <v>2567.12</v>
      </c>
      <c r="L66" s="17">
        <v>446.83</v>
      </c>
      <c r="M66" s="17">
        <v>26.47</v>
      </c>
      <c r="N66" s="17">
        <v>43.23</v>
      </c>
      <c r="O66" s="17">
        <v>769.81</v>
      </c>
      <c r="P66" s="17">
        <v>1635.98</v>
      </c>
      <c r="Q66" s="17">
        <v>975.1</v>
      </c>
      <c r="R66" s="17">
        <v>4833.33</v>
      </c>
      <c r="S66" s="17">
        <v>1536.43</v>
      </c>
      <c r="T66" s="17">
        <v>512.50139999999999</v>
      </c>
      <c r="U66" s="28">
        <v>592.13559999999995</v>
      </c>
      <c r="V66" s="29"/>
      <c r="W66" s="29"/>
      <c r="X66" s="29"/>
      <c r="Y66" s="29"/>
      <c r="Z66" s="29"/>
      <c r="AA66" s="29"/>
      <c r="AB66" s="29"/>
      <c r="AC66" s="29"/>
      <c r="AD66" s="29"/>
      <c r="AE66" s="29"/>
      <c r="AF66" s="29"/>
      <c r="AG66" s="29"/>
      <c r="AH66" s="29"/>
      <c r="AI66" s="29"/>
      <c r="AJ66" s="29"/>
      <c r="AK66" s="29"/>
    </row>
    <row r="67" spans="1:37" x14ac:dyDescent="0.3">
      <c r="A67" s="27" t="s">
        <v>55</v>
      </c>
      <c r="B67" s="17">
        <v>374713.7</v>
      </c>
      <c r="C67" s="17">
        <v>369341.94</v>
      </c>
      <c r="D67" s="17">
        <v>397983.15</v>
      </c>
      <c r="E67" s="17">
        <v>509024.03</v>
      </c>
      <c r="F67" s="17">
        <v>568840.18999999994</v>
      </c>
      <c r="G67" s="17">
        <v>687787.31</v>
      </c>
      <c r="H67" s="17">
        <v>766615.85</v>
      </c>
      <c r="I67" s="17">
        <v>845365.56</v>
      </c>
      <c r="J67" s="17">
        <v>943500.41</v>
      </c>
      <c r="K67" s="17">
        <v>1603405.2</v>
      </c>
      <c r="L67" s="17">
        <v>398377.26</v>
      </c>
      <c r="M67" s="17">
        <v>447742.76</v>
      </c>
      <c r="N67" s="17">
        <v>520146.07</v>
      </c>
      <c r="O67" s="17">
        <v>676949.95</v>
      </c>
      <c r="P67" s="17">
        <v>759851.86</v>
      </c>
      <c r="Q67" s="17">
        <v>1171958.8</v>
      </c>
      <c r="R67" s="17">
        <v>1285608.47</v>
      </c>
      <c r="S67" s="17">
        <v>1519580.51</v>
      </c>
      <c r="T67" s="17">
        <v>1777189.1767</v>
      </c>
      <c r="U67" s="28">
        <v>2143154.2850000001</v>
      </c>
      <c r="V67" s="29"/>
      <c r="W67" s="29"/>
      <c r="X67" s="29"/>
      <c r="Y67" s="29"/>
      <c r="Z67" s="29"/>
      <c r="AA67" s="29"/>
      <c r="AB67" s="29"/>
      <c r="AC67" s="29"/>
      <c r="AD67" s="29"/>
      <c r="AE67" s="29"/>
      <c r="AF67" s="29"/>
      <c r="AG67" s="29"/>
      <c r="AH67" s="29"/>
      <c r="AI67" s="29"/>
      <c r="AJ67" s="29"/>
      <c r="AK67" s="29"/>
    </row>
    <row r="68" spans="1:37" x14ac:dyDescent="0.3">
      <c r="A68" s="30" t="s">
        <v>67</v>
      </c>
      <c r="B68" s="18">
        <f>B64+B66+B65+B67</f>
        <v>534181.01</v>
      </c>
      <c r="C68" s="18">
        <f t="shared" ref="C68:U68" si="11">C64+C66+C65+C67</f>
        <v>589325.23</v>
      </c>
      <c r="D68" s="18">
        <f t="shared" si="11"/>
        <v>676788.52</v>
      </c>
      <c r="E68" s="18">
        <f t="shared" si="11"/>
        <v>834707.41</v>
      </c>
      <c r="F68" s="18">
        <f t="shared" si="11"/>
        <v>970689.35999999987</v>
      </c>
      <c r="G68" s="18">
        <f t="shared" si="11"/>
        <v>1015259.48</v>
      </c>
      <c r="H68" s="18">
        <f t="shared" si="11"/>
        <v>1153673.6499999999</v>
      </c>
      <c r="I68" s="18">
        <f t="shared" si="11"/>
        <v>1378127.1800000002</v>
      </c>
      <c r="J68" s="18">
        <f t="shared" si="11"/>
        <v>1620200.35</v>
      </c>
      <c r="K68" s="18">
        <f t="shared" si="11"/>
        <v>2527242.27</v>
      </c>
      <c r="L68" s="18">
        <f t="shared" si="11"/>
        <v>605679.21739999996</v>
      </c>
      <c r="M68" s="18">
        <f t="shared" si="11"/>
        <v>696138.72</v>
      </c>
      <c r="N68" s="18">
        <f t="shared" si="11"/>
        <v>817735.62</v>
      </c>
      <c r="O68" s="18">
        <f t="shared" si="11"/>
        <v>1010116.25</v>
      </c>
      <c r="P68" s="18">
        <f t="shared" si="11"/>
        <v>1186474</v>
      </c>
      <c r="Q68" s="18">
        <f t="shared" si="11"/>
        <v>1987115.59</v>
      </c>
      <c r="R68" s="18">
        <f t="shared" si="11"/>
        <v>2112258.8977999999</v>
      </c>
      <c r="S68" s="18">
        <f t="shared" si="11"/>
        <v>2346863.2258000001</v>
      </c>
      <c r="T68" s="18">
        <f t="shared" si="11"/>
        <v>2734268.9898999999</v>
      </c>
      <c r="U68" s="31">
        <f t="shared" si="11"/>
        <v>3200564.3696000003</v>
      </c>
      <c r="V68" s="39"/>
      <c r="W68" s="39"/>
      <c r="X68" s="39"/>
      <c r="Y68" s="39"/>
      <c r="Z68" s="39"/>
      <c r="AA68" s="39"/>
      <c r="AB68" s="39"/>
      <c r="AC68" s="39"/>
      <c r="AD68" s="39"/>
      <c r="AE68" s="39"/>
      <c r="AF68" s="39"/>
      <c r="AG68" s="39"/>
      <c r="AH68" s="39"/>
      <c r="AI68" s="39"/>
      <c r="AJ68" s="39"/>
      <c r="AK68" s="39"/>
    </row>
    <row r="69" spans="1:37" x14ac:dyDescent="0.3">
      <c r="A69" s="79" t="s">
        <v>68</v>
      </c>
      <c r="B69" s="371"/>
      <c r="C69" s="371"/>
      <c r="D69" s="371"/>
      <c r="E69" s="371"/>
      <c r="F69" s="371"/>
      <c r="G69" s="371"/>
      <c r="H69" s="371"/>
      <c r="I69" s="371"/>
      <c r="J69" s="371"/>
      <c r="K69" s="371"/>
      <c r="L69" s="371"/>
      <c r="M69" s="371"/>
      <c r="N69" s="371"/>
      <c r="O69" s="371"/>
      <c r="P69" s="371"/>
      <c r="Q69" s="371"/>
      <c r="R69" s="371"/>
      <c r="S69" s="371"/>
      <c r="T69" s="371"/>
      <c r="U69" s="372"/>
      <c r="V69" s="40"/>
      <c r="W69" s="40"/>
      <c r="X69" s="40"/>
      <c r="Y69" s="40"/>
      <c r="Z69" s="40"/>
      <c r="AA69" s="40"/>
      <c r="AB69" s="40"/>
      <c r="AC69" s="40"/>
      <c r="AD69" s="40"/>
      <c r="AE69" s="40"/>
      <c r="AF69" s="40"/>
      <c r="AG69" s="40"/>
      <c r="AH69" s="40"/>
      <c r="AI69" s="40"/>
      <c r="AJ69" s="40"/>
      <c r="AK69" s="40"/>
    </row>
    <row r="70" spans="1:37" x14ac:dyDescent="0.3">
      <c r="A70" s="27" t="s">
        <v>69</v>
      </c>
      <c r="B70" s="17">
        <v>2582.83</v>
      </c>
      <c r="C70" s="17">
        <v>1748.29</v>
      </c>
      <c r="D70" s="17">
        <v>560.86</v>
      </c>
      <c r="E70" s="17">
        <v>205.42</v>
      </c>
      <c r="F70" s="17">
        <v>241.87</v>
      </c>
      <c r="G70" s="17">
        <v>3325.09</v>
      </c>
      <c r="H70" s="17">
        <v>5527.65</v>
      </c>
      <c r="I70" s="17">
        <v>4909.88</v>
      </c>
      <c r="J70" s="17">
        <v>2296.29</v>
      </c>
      <c r="K70" s="17">
        <v>2756.16</v>
      </c>
      <c r="L70" s="17">
        <v>756.7</v>
      </c>
      <c r="M70" s="17">
        <v>277.37</v>
      </c>
      <c r="N70" s="17">
        <v>0</v>
      </c>
      <c r="O70" s="17">
        <v>807.64</v>
      </c>
      <c r="P70" s="17">
        <v>1442.2</v>
      </c>
      <c r="Q70" s="17">
        <v>80561.91</v>
      </c>
      <c r="R70" s="17">
        <v>80143.34</v>
      </c>
      <c r="S70" s="17">
        <v>119514.35</v>
      </c>
      <c r="T70" s="17">
        <v>152095.51999999999</v>
      </c>
      <c r="U70" s="28">
        <v>181073.38</v>
      </c>
      <c r="V70" s="29"/>
      <c r="W70" s="29"/>
      <c r="X70" s="29"/>
      <c r="Y70" s="29"/>
      <c r="Z70" s="29"/>
      <c r="AA70" s="29"/>
      <c r="AB70" s="29"/>
      <c r="AC70" s="29"/>
      <c r="AD70" s="29"/>
      <c r="AE70" s="29"/>
      <c r="AF70" s="29"/>
      <c r="AG70" s="29"/>
      <c r="AH70" s="29"/>
      <c r="AI70" s="29"/>
      <c r="AJ70" s="29"/>
      <c r="AK70" s="29"/>
    </row>
    <row r="71" spans="1:37" x14ac:dyDescent="0.3">
      <c r="A71" s="27" t="s">
        <v>70</v>
      </c>
      <c r="B71" s="17">
        <v>2828.86</v>
      </c>
      <c r="C71" s="17">
        <v>9907.9500000000007</v>
      </c>
      <c r="D71" s="17">
        <v>23888.560000000001</v>
      </c>
      <c r="E71" s="17">
        <v>6954.73</v>
      </c>
      <c r="F71" s="17">
        <v>6295.36</v>
      </c>
      <c r="G71" s="17">
        <v>5.0999999999999996</v>
      </c>
      <c r="H71" s="17">
        <v>6.3490000000000002</v>
      </c>
      <c r="I71" s="17">
        <v>254.83</v>
      </c>
      <c r="J71" s="17">
        <v>604.09</v>
      </c>
      <c r="K71" s="17">
        <v>714.86</v>
      </c>
      <c r="L71" s="17">
        <v>16922.91</v>
      </c>
      <c r="M71" s="17">
        <v>7835.19</v>
      </c>
      <c r="N71" s="17">
        <v>17317.830000000002</v>
      </c>
      <c r="O71" s="17">
        <v>15255.39</v>
      </c>
      <c r="P71" s="17">
        <v>11632.52</v>
      </c>
      <c r="Q71" s="17">
        <v>31106.22</v>
      </c>
      <c r="R71" s="17">
        <v>35004.71</v>
      </c>
      <c r="S71" s="17">
        <v>35345.800000000003</v>
      </c>
      <c r="T71" s="17">
        <v>42531.128799999999</v>
      </c>
      <c r="U71" s="28">
        <v>42424.381200000003</v>
      </c>
      <c r="V71" s="29"/>
      <c r="W71" s="29"/>
      <c r="X71" s="29"/>
      <c r="Y71" s="29"/>
      <c r="Z71" s="29"/>
      <c r="AA71" s="29"/>
      <c r="AB71" s="29"/>
      <c r="AC71" s="29"/>
      <c r="AD71" s="29"/>
      <c r="AE71" s="29"/>
      <c r="AF71" s="29"/>
      <c r="AG71" s="29"/>
      <c r="AH71" s="29"/>
      <c r="AI71" s="29"/>
      <c r="AJ71" s="29"/>
      <c r="AK71" s="29"/>
    </row>
    <row r="72" spans="1:37" x14ac:dyDescent="0.3">
      <c r="A72" s="27" t="s">
        <v>71</v>
      </c>
      <c r="B72" s="17">
        <v>3167.19</v>
      </c>
      <c r="C72" s="17">
        <v>588.13</v>
      </c>
      <c r="D72" s="17">
        <v>236.56</v>
      </c>
      <c r="E72" s="17">
        <v>150.63</v>
      </c>
      <c r="F72" s="17">
        <v>0</v>
      </c>
      <c r="G72" s="17">
        <v>1253.1099999999999</v>
      </c>
      <c r="H72" s="17">
        <v>834.79</v>
      </c>
      <c r="I72" s="17">
        <v>541.89</v>
      </c>
      <c r="J72" s="17">
        <v>1988.24</v>
      </c>
      <c r="K72" s="17">
        <v>1180.49</v>
      </c>
      <c r="L72" s="17">
        <v>57219.7</v>
      </c>
      <c r="M72" s="17">
        <v>16826.64</v>
      </c>
      <c r="N72" s="17">
        <v>8579.2999999999993</v>
      </c>
      <c r="O72" s="17">
        <v>24526.78</v>
      </c>
      <c r="P72" s="17">
        <v>25793.9</v>
      </c>
      <c r="Q72" s="17">
        <v>186697.53</v>
      </c>
      <c r="R72" s="17">
        <v>184413.38</v>
      </c>
      <c r="S72" s="17">
        <v>196311.75</v>
      </c>
      <c r="T72" s="17">
        <v>223887.33489999999</v>
      </c>
      <c r="U72" s="28">
        <v>230369.08549999999</v>
      </c>
      <c r="V72" s="29"/>
      <c r="W72" s="29"/>
      <c r="X72" s="29"/>
      <c r="Y72" s="29"/>
      <c r="Z72" s="29"/>
      <c r="AA72" s="29"/>
      <c r="AB72" s="29"/>
      <c r="AC72" s="29"/>
      <c r="AD72" s="29"/>
      <c r="AE72" s="29"/>
      <c r="AF72" s="29"/>
      <c r="AG72" s="29"/>
      <c r="AH72" s="29"/>
      <c r="AI72" s="29"/>
      <c r="AJ72" s="29"/>
      <c r="AK72" s="29"/>
    </row>
    <row r="73" spans="1:37" x14ac:dyDescent="0.3">
      <c r="A73" s="27" t="s">
        <v>55</v>
      </c>
      <c r="B73" s="17">
        <v>40198.910000000003</v>
      </c>
      <c r="C73" s="17">
        <v>24180.3</v>
      </c>
      <c r="D73" s="17">
        <v>23651</v>
      </c>
      <c r="E73" s="17">
        <v>26369.35</v>
      </c>
      <c r="F73" s="17">
        <v>22106.89</v>
      </c>
      <c r="G73" s="17">
        <v>23828.05</v>
      </c>
      <c r="H73" s="17">
        <v>25241.05</v>
      </c>
      <c r="I73" s="17">
        <v>37108.5</v>
      </c>
      <c r="J73" s="17">
        <v>36860.32</v>
      </c>
      <c r="K73" s="17">
        <v>33997.620000000003</v>
      </c>
      <c r="L73" s="17">
        <v>25667.558300000001</v>
      </c>
      <c r="M73" s="17">
        <v>12651.12</v>
      </c>
      <c r="N73" s="17">
        <v>15387.65</v>
      </c>
      <c r="O73" s="17">
        <v>33160.199999999997</v>
      </c>
      <c r="P73" s="17">
        <v>35433.550000000003</v>
      </c>
      <c r="Q73" s="17">
        <v>88829.9</v>
      </c>
      <c r="R73" s="17">
        <v>88778.64</v>
      </c>
      <c r="S73" s="17">
        <v>96040.85</v>
      </c>
      <c r="T73" s="17">
        <v>115119.15</v>
      </c>
      <c r="U73" s="28">
        <v>129841.4513</v>
      </c>
      <c r="V73" s="29"/>
      <c r="W73" s="29"/>
      <c r="X73" s="29"/>
      <c r="Y73" s="29"/>
      <c r="Z73" s="29"/>
      <c r="AA73" s="29"/>
      <c r="AB73" s="29"/>
      <c r="AC73" s="29"/>
      <c r="AD73" s="29"/>
      <c r="AE73" s="29"/>
      <c r="AF73" s="29"/>
      <c r="AG73" s="29"/>
      <c r="AH73" s="29"/>
      <c r="AI73" s="29"/>
      <c r="AJ73" s="29"/>
      <c r="AK73" s="29"/>
    </row>
    <row r="74" spans="1:37" s="21" customFormat="1" x14ac:dyDescent="0.3">
      <c r="A74" s="30" t="s">
        <v>72</v>
      </c>
      <c r="B74" s="18">
        <f>B70+B71+B72+B73</f>
        <v>48777.790000000008</v>
      </c>
      <c r="C74" s="18">
        <f t="shared" ref="C74:U74" si="12">C70+C71+C72+C73</f>
        <v>36424.67</v>
      </c>
      <c r="D74" s="18">
        <f t="shared" si="12"/>
        <v>48336.98</v>
      </c>
      <c r="E74" s="18">
        <f t="shared" si="12"/>
        <v>33680.129999999997</v>
      </c>
      <c r="F74" s="18">
        <f t="shared" si="12"/>
        <v>28644.12</v>
      </c>
      <c r="G74" s="18">
        <f t="shared" si="12"/>
        <v>28411.35</v>
      </c>
      <c r="H74" s="18">
        <f t="shared" si="12"/>
        <v>31609.839</v>
      </c>
      <c r="I74" s="18">
        <f t="shared" si="12"/>
        <v>42815.1</v>
      </c>
      <c r="J74" s="18">
        <f t="shared" si="12"/>
        <v>41748.94</v>
      </c>
      <c r="K74" s="18">
        <f t="shared" si="12"/>
        <v>38649.130000000005</v>
      </c>
      <c r="L74" s="18">
        <f t="shared" si="12"/>
        <v>100566.8683</v>
      </c>
      <c r="M74" s="18">
        <f t="shared" si="12"/>
        <v>37590.32</v>
      </c>
      <c r="N74" s="18">
        <f t="shared" si="12"/>
        <v>41284.78</v>
      </c>
      <c r="O74" s="18">
        <f t="shared" si="12"/>
        <v>73750.009999999995</v>
      </c>
      <c r="P74" s="18">
        <f t="shared" si="12"/>
        <v>74302.170000000013</v>
      </c>
      <c r="Q74" s="18">
        <f t="shared" si="12"/>
        <v>387195.56000000006</v>
      </c>
      <c r="R74" s="18">
        <f t="shared" si="12"/>
        <v>388340.07</v>
      </c>
      <c r="S74" s="18">
        <f t="shared" si="12"/>
        <v>447212.75</v>
      </c>
      <c r="T74" s="18">
        <f t="shared" si="12"/>
        <v>533633.13370000001</v>
      </c>
      <c r="U74" s="31">
        <f t="shared" si="12"/>
        <v>583708.29799999995</v>
      </c>
      <c r="V74" s="39"/>
      <c r="W74" s="39"/>
      <c r="X74" s="39"/>
      <c r="Y74" s="39"/>
      <c r="Z74" s="39"/>
      <c r="AA74" s="39"/>
      <c r="AB74" s="39"/>
      <c r="AC74" s="39"/>
      <c r="AD74" s="39"/>
      <c r="AE74" s="39"/>
      <c r="AF74" s="39"/>
      <c r="AG74" s="39"/>
      <c r="AH74" s="39"/>
      <c r="AI74" s="39"/>
      <c r="AJ74" s="39"/>
      <c r="AK74" s="39"/>
    </row>
    <row r="75" spans="1:37" x14ac:dyDescent="0.3">
      <c r="A75" s="30" t="s">
        <v>73</v>
      </c>
      <c r="B75" s="18">
        <f t="shared" ref="B75:U75" si="13">B68+B74</f>
        <v>582958.80000000005</v>
      </c>
      <c r="C75" s="18">
        <f t="shared" si="13"/>
        <v>625749.9</v>
      </c>
      <c r="D75" s="18">
        <f t="shared" si="13"/>
        <v>725125.5</v>
      </c>
      <c r="E75" s="18">
        <f t="shared" si="13"/>
        <v>868387.54</v>
      </c>
      <c r="F75" s="18">
        <f t="shared" si="13"/>
        <v>999333.47999999986</v>
      </c>
      <c r="G75" s="18">
        <f t="shared" si="13"/>
        <v>1043670.83</v>
      </c>
      <c r="H75" s="18">
        <f t="shared" si="13"/>
        <v>1185283.4889999998</v>
      </c>
      <c r="I75" s="18">
        <f t="shared" si="13"/>
        <v>1420942.2800000003</v>
      </c>
      <c r="J75" s="18">
        <f t="shared" si="13"/>
        <v>1661949.29</v>
      </c>
      <c r="K75" s="18">
        <f t="shared" si="13"/>
        <v>2565891.4</v>
      </c>
      <c r="L75" s="18">
        <f t="shared" si="13"/>
        <v>706246.08569999994</v>
      </c>
      <c r="M75" s="18">
        <f t="shared" si="13"/>
        <v>733729.03999999992</v>
      </c>
      <c r="N75" s="18">
        <f t="shared" si="13"/>
        <v>859020.4</v>
      </c>
      <c r="O75" s="18">
        <f t="shared" si="13"/>
        <v>1083866.26</v>
      </c>
      <c r="P75" s="18">
        <f t="shared" si="13"/>
        <v>1260776.17</v>
      </c>
      <c r="Q75" s="18">
        <f t="shared" si="13"/>
        <v>2374311.1500000004</v>
      </c>
      <c r="R75" s="18">
        <f t="shared" si="13"/>
        <v>2500598.9677999998</v>
      </c>
      <c r="S75" s="18">
        <f t="shared" si="13"/>
        <v>2794075.9758000001</v>
      </c>
      <c r="T75" s="18">
        <f t="shared" si="13"/>
        <v>3267902.1236</v>
      </c>
      <c r="U75" s="31">
        <f t="shared" si="13"/>
        <v>3784272.6676000003</v>
      </c>
      <c r="V75" s="39"/>
      <c r="W75" s="39"/>
      <c r="X75" s="39"/>
      <c r="Y75" s="39"/>
      <c r="Z75" s="39"/>
      <c r="AA75" s="39"/>
      <c r="AB75" s="39"/>
      <c r="AC75" s="39"/>
      <c r="AD75" s="39"/>
      <c r="AE75" s="39"/>
      <c r="AF75" s="39"/>
      <c r="AG75" s="39"/>
      <c r="AH75" s="39"/>
      <c r="AI75" s="39"/>
      <c r="AJ75" s="39"/>
      <c r="AK75" s="39"/>
    </row>
    <row r="76" spans="1:37" x14ac:dyDescent="0.3">
      <c r="A76" s="27" t="s">
        <v>74</v>
      </c>
      <c r="B76" s="17">
        <v>4394.33</v>
      </c>
      <c r="C76" s="17">
        <v>4329.6899999999996</v>
      </c>
      <c r="D76" s="17">
        <v>4679.12</v>
      </c>
      <c r="E76" s="17">
        <v>4852.58</v>
      </c>
      <c r="F76" s="17">
        <v>5837.56</v>
      </c>
      <c r="G76" s="17">
        <v>4626.8500000000004</v>
      </c>
      <c r="H76" s="17">
        <v>5099.5600000000004</v>
      </c>
      <c r="I76" s="17">
        <v>6283.28</v>
      </c>
      <c r="J76" s="17">
        <v>8282.56</v>
      </c>
      <c r="K76" s="17">
        <v>12603.76</v>
      </c>
      <c r="L76" s="17">
        <v>10408.65</v>
      </c>
      <c r="M76" s="17">
        <v>8877.58</v>
      </c>
      <c r="N76" s="17">
        <v>9373.81</v>
      </c>
      <c r="O76" s="17">
        <v>10969</v>
      </c>
      <c r="P76" s="17">
        <v>13240.27</v>
      </c>
      <c r="Q76" s="17">
        <v>40078.160000000003</v>
      </c>
      <c r="R76" s="17">
        <v>40166.78</v>
      </c>
      <c r="S76" s="17">
        <v>39510.03</v>
      </c>
      <c r="T76" s="17">
        <v>44407.38</v>
      </c>
      <c r="U76" s="28">
        <v>44708.177300000003</v>
      </c>
      <c r="V76" s="29"/>
      <c r="W76" s="29"/>
      <c r="X76" s="29"/>
      <c r="Y76" s="29"/>
      <c r="Z76" s="29"/>
      <c r="AA76" s="29"/>
      <c r="AB76" s="29"/>
      <c r="AC76" s="29"/>
      <c r="AD76" s="29"/>
      <c r="AE76" s="29"/>
      <c r="AF76" s="29"/>
      <c r="AG76" s="29"/>
      <c r="AH76" s="29"/>
      <c r="AI76" s="29"/>
      <c r="AJ76" s="29"/>
      <c r="AK76" s="29"/>
    </row>
    <row r="77" spans="1:37" x14ac:dyDescent="0.3">
      <c r="A77" s="27" t="s">
        <v>76</v>
      </c>
      <c r="B77" s="17">
        <v>87437.22</v>
      </c>
      <c r="C77" s="17">
        <v>81975.58</v>
      </c>
      <c r="D77" s="17">
        <v>78483.009999999995</v>
      </c>
      <c r="E77" s="17">
        <v>74085.84</v>
      </c>
      <c r="F77" s="17">
        <v>63931.33</v>
      </c>
      <c r="G77" s="17">
        <v>55287.64</v>
      </c>
      <c r="H77" s="17">
        <v>49027.92</v>
      </c>
      <c r="I77" s="17">
        <v>90910.36</v>
      </c>
      <c r="J77" s="17">
        <v>151322.28</v>
      </c>
      <c r="K77" s="17">
        <v>217182.95</v>
      </c>
      <c r="L77" s="17">
        <v>89311.91</v>
      </c>
      <c r="M77" s="17">
        <v>73411.210000000006</v>
      </c>
      <c r="N77" s="17">
        <v>64840.12</v>
      </c>
      <c r="O77" s="17">
        <v>87545.38</v>
      </c>
      <c r="P77" s="17">
        <v>97640.97</v>
      </c>
      <c r="Q77" s="17">
        <v>300503.45</v>
      </c>
      <c r="R77" s="17">
        <v>362045.46</v>
      </c>
      <c r="S77" s="17">
        <v>351902.47</v>
      </c>
      <c r="T77" s="17">
        <v>410689.04259999999</v>
      </c>
      <c r="U77" s="28">
        <v>467677.42249999999</v>
      </c>
      <c r="V77" s="29"/>
      <c r="W77" s="29"/>
      <c r="X77" s="29"/>
      <c r="Y77" s="29"/>
      <c r="Z77" s="29"/>
      <c r="AA77" s="29"/>
      <c r="AB77" s="29"/>
      <c r="AC77" s="29"/>
      <c r="AD77" s="29"/>
      <c r="AE77" s="29"/>
      <c r="AF77" s="29"/>
      <c r="AG77" s="29"/>
      <c r="AH77" s="29"/>
      <c r="AI77" s="29"/>
      <c r="AJ77" s="29"/>
      <c r="AK77" s="29"/>
    </row>
    <row r="78" spans="1:37" x14ac:dyDescent="0.3">
      <c r="A78" s="27" t="s">
        <v>83</v>
      </c>
      <c r="B78" s="17">
        <v>0</v>
      </c>
      <c r="C78" s="17">
        <v>289.24</v>
      </c>
      <c r="D78" s="17">
        <v>289.24</v>
      </c>
      <c r="E78" s="17">
        <v>289.24</v>
      </c>
      <c r="F78" s="17">
        <v>289.24</v>
      </c>
      <c r="G78" s="17">
        <v>0</v>
      </c>
      <c r="H78" s="17">
        <v>0</v>
      </c>
      <c r="I78" s="17">
        <v>0</v>
      </c>
      <c r="J78" s="17">
        <v>0</v>
      </c>
      <c r="K78" s="17">
        <v>0</v>
      </c>
      <c r="L78" s="17">
        <v>0</v>
      </c>
      <c r="M78" s="17">
        <v>0</v>
      </c>
      <c r="N78" s="17">
        <v>0</v>
      </c>
      <c r="O78" s="17">
        <v>101.33</v>
      </c>
      <c r="P78" s="17">
        <v>2474.16</v>
      </c>
      <c r="Q78" s="17">
        <v>0</v>
      </c>
      <c r="R78" s="17">
        <v>0</v>
      </c>
      <c r="S78" s="17">
        <v>0</v>
      </c>
      <c r="T78" s="17">
        <v>0</v>
      </c>
      <c r="U78" s="28">
        <v>0</v>
      </c>
      <c r="V78" s="29"/>
      <c r="W78" s="29"/>
      <c r="X78" s="29"/>
      <c r="Y78" s="29"/>
      <c r="Z78" s="29"/>
      <c r="AA78" s="29"/>
      <c r="AB78" s="29"/>
      <c r="AC78" s="29"/>
      <c r="AD78" s="29"/>
      <c r="AE78" s="29"/>
      <c r="AF78" s="29"/>
      <c r="AG78" s="29"/>
      <c r="AH78" s="29"/>
      <c r="AI78" s="29"/>
      <c r="AJ78" s="29"/>
      <c r="AK78" s="29"/>
    </row>
    <row r="79" spans="1:37" ht="15" thickBot="1" x14ac:dyDescent="0.35">
      <c r="A79" s="36" t="s">
        <v>75</v>
      </c>
      <c r="B79" s="37">
        <f t="shared" ref="B79:U79" si="14">B35+B62+B75+B76+B77+B48+B78</f>
        <v>927871.69</v>
      </c>
      <c r="C79" s="37">
        <f t="shared" si="14"/>
        <v>1001104.5399999999</v>
      </c>
      <c r="D79" s="37">
        <f t="shared" si="14"/>
        <v>1195528.5100000002</v>
      </c>
      <c r="E79" s="37">
        <f t="shared" si="14"/>
        <v>1344417.96</v>
      </c>
      <c r="F79" s="37">
        <f t="shared" si="14"/>
        <v>1518238.53</v>
      </c>
      <c r="G79" s="37">
        <f t="shared" si="14"/>
        <v>1580820.31</v>
      </c>
      <c r="H79" s="37">
        <f t="shared" si="14"/>
        <v>1799506.5589999997</v>
      </c>
      <c r="I79" s="37">
        <f t="shared" si="14"/>
        <v>2122785.5100000002</v>
      </c>
      <c r="J79" s="37">
        <f t="shared" si="14"/>
        <v>2530283.65</v>
      </c>
      <c r="K79" s="37">
        <f t="shared" si="14"/>
        <v>4030194.25</v>
      </c>
      <c r="L79" s="37">
        <f t="shared" si="14"/>
        <v>1377292.1347999997</v>
      </c>
      <c r="M79" s="37">
        <f t="shared" si="14"/>
        <v>1230432.55</v>
      </c>
      <c r="N79" s="37">
        <f t="shared" si="14"/>
        <v>1411297.62</v>
      </c>
      <c r="O79" s="37">
        <f t="shared" si="14"/>
        <v>1958490.34</v>
      </c>
      <c r="P79" s="37">
        <f t="shared" si="14"/>
        <v>2364062.88</v>
      </c>
      <c r="Q79" s="37">
        <f t="shared" si="14"/>
        <v>4197492.2200000007</v>
      </c>
      <c r="R79" s="37">
        <f t="shared" si="14"/>
        <v>4845618.4465000005</v>
      </c>
      <c r="S79" s="37">
        <f t="shared" si="14"/>
        <v>5360883.4185000006</v>
      </c>
      <c r="T79" s="37">
        <f t="shared" si="14"/>
        <v>5954418.2489</v>
      </c>
      <c r="U79" s="38">
        <f t="shared" si="14"/>
        <v>6733778.7447999995</v>
      </c>
      <c r="V79" s="39"/>
      <c r="W79" s="39"/>
      <c r="X79" s="39"/>
      <c r="Y79" s="39"/>
      <c r="Z79" s="39"/>
      <c r="AA79" s="39"/>
      <c r="AB79" s="39"/>
      <c r="AC79" s="39"/>
      <c r="AD79" s="39"/>
      <c r="AE79" s="39"/>
      <c r="AF79" s="39"/>
      <c r="AG79" s="39"/>
      <c r="AH79" s="39"/>
      <c r="AI79" s="39"/>
      <c r="AJ79" s="39"/>
      <c r="AK79" s="39"/>
    </row>
    <row r="80" spans="1:37" ht="15" thickBot="1" x14ac:dyDescent="0.35"/>
    <row r="81" spans="1:21" x14ac:dyDescent="0.3">
      <c r="A81" s="133" t="s">
        <v>20</v>
      </c>
      <c r="B81" s="197" t="s">
        <v>331</v>
      </c>
      <c r="C81" s="197" t="s">
        <v>332</v>
      </c>
      <c r="D81" s="197" t="s">
        <v>333</v>
      </c>
      <c r="E81" s="197" t="s">
        <v>334</v>
      </c>
      <c r="F81" s="198" t="s">
        <v>335</v>
      </c>
      <c r="G81" s="199" t="s">
        <v>331</v>
      </c>
      <c r="H81" s="197" t="s">
        <v>332</v>
      </c>
      <c r="I81" s="197" t="s">
        <v>333</v>
      </c>
      <c r="J81" s="197" t="s">
        <v>334</v>
      </c>
      <c r="K81" s="200" t="s">
        <v>335</v>
      </c>
      <c r="L81" s="201" t="s">
        <v>331</v>
      </c>
      <c r="M81" s="197" t="s">
        <v>332</v>
      </c>
      <c r="N81" s="197" t="s">
        <v>333</v>
      </c>
      <c r="O81" s="197" t="s">
        <v>334</v>
      </c>
      <c r="P81" s="198" t="s">
        <v>335</v>
      </c>
      <c r="Q81" s="199" t="s">
        <v>331</v>
      </c>
      <c r="R81" s="197" t="s">
        <v>332</v>
      </c>
      <c r="S81" s="197" t="s">
        <v>333</v>
      </c>
      <c r="T81" s="197" t="s">
        <v>334</v>
      </c>
      <c r="U81" s="200" t="s">
        <v>335</v>
      </c>
    </row>
    <row r="82" spans="1:21" x14ac:dyDescent="0.3">
      <c r="A82" s="53" t="s">
        <v>330</v>
      </c>
      <c r="B82" s="17">
        <f>3888.7703+85861.9416</f>
        <v>89750.711900000009</v>
      </c>
      <c r="C82" s="17">
        <f>5145.45+107692.01</f>
        <v>112837.45999999999</v>
      </c>
      <c r="D82" s="17">
        <f>4792.62+121903.9</f>
        <v>126696.51999999999</v>
      </c>
      <c r="E82" s="17">
        <f>4760.03+143543.86</f>
        <v>148303.88999999998</v>
      </c>
      <c r="F82" s="132">
        <f>4675.28+151659.07</f>
        <v>156334.35</v>
      </c>
      <c r="G82" s="140">
        <v>173159.00659999999</v>
      </c>
      <c r="H82" s="17">
        <v>211076.24419999999</v>
      </c>
      <c r="I82" s="17">
        <v>238205.22</v>
      </c>
      <c r="J82" s="17">
        <v>272917.63</v>
      </c>
      <c r="K82" s="28">
        <v>307776.67</v>
      </c>
      <c r="L82" s="138">
        <f>6480.2599+98508.2977</f>
        <v>104988.5576</v>
      </c>
      <c r="M82" s="17">
        <f>11479.2811+124690.846</f>
        <v>136170.12710000001</v>
      </c>
      <c r="N82" s="17">
        <f>7970.041+150509.6359</f>
        <v>158479.67689999999</v>
      </c>
      <c r="O82" s="17">
        <f>4997.8962+160834.9299</f>
        <v>165832.82609999998</v>
      </c>
      <c r="P82" s="132">
        <f>4761.3641+194057.139</f>
        <v>198818.5031</v>
      </c>
      <c r="Q82" s="140">
        <f>4750.6724+224677.6339</f>
        <v>229428.3063</v>
      </c>
      <c r="R82" s="17">
        <f>5469.1961+283808.8605</f>
        <v>289278.05660000001</v>
      </c>
      <c r="S82" s="17">
        <f>6328.021+273403.3796</f>
        <v>279731.40059999999</v>
      </c>
      <c r="T82" s="17">
        <f>3160.4031+302572.9464</f>
        <v>305733.34950000001</v>
      </c>
      <c r="U82" s="28">
        <f>5745.873+303531.705</f>
        <v>309277.57800000004</v>
      </c>
    </row>
    <row r="83" spans="1:21" x14ac:dyDescent="0.3">
      <c r="A83" s="53" t="s">
        <v>329</v>
      </c>
      <c r="B83" s="17">
        <v>173592.60320000001</v>
      </c>
      <c r="C83" s="17">
        <v>204472.56</v>
      </c>
      <c r="D83" s="17">
        <v>242449.27</v>
      </c>
      <c r="E83" s="17">
        <v>297415.99</v>
      </c>
      <c r="F83" s="132">
        <v>302132.58</v>
      </c>
      <c r="G83" s="140">
        <v>310376.94429999997</v>
      </c>
      <c r="H83" s="17">
        <v>403492.47470000002</v>
      </c>
      <c r="I83" s="17">
        <v>511737.21</v>
      </c>
      <c r="J83" s="17">
        <v>562491.14</v>
      </c>
      <c r="K83" s="28">
        <v>598743.72</v>
      </c>
      <c r="L83" s="138">
        <v>254064.97229999999</v>
      </c>
      <c r="M83" s="17">
        <v>295453.30080000003</v>
      </c>
      <c r="N83" s="17">
        <v>359956.89689999999</v>
      </c>
      <c r="O83" s="17">
        <v>384829.85639999999</v>
      </c>
      <c r="P83" s="132">
        <v>406088.72149999999</v>
      </c>
      <c r="Q83" s="140">
        <v>1216783.0049000001</v>
      </c>
      <c r="R83" s="17">
        <v>1397501.4469999999</v>
      </c>
      <c r="S83" s="17">
        <v>1539980.5743</v>
      </c>
      <c r="T83" s="17">
        <v>1600786.0896999999</v>
      </c>
      <c r="U83" s="28">
        <v>1673652.2452</v>
      </c>
    </row>
    <row r="84" spans="1:21" s="29" customFormat="1" x14ac:dyDescent="0.3">
      <c r="A84" s="53" t="s">
        <v>336</v>
      </c>
      <c r="B84" s="17">
        <v>610527</v>
      </c>
      <c r="C84" s="17">
        <v>635863</v>
      </c>
      <c r="D84" s="17">
        <v>721356</v>
      </c>
      <c r="E84" s="17">
        <v>851335</v>
      </c>
      <c r="F84" s="132">
        <v>1039313</v>
      </c>
      <c r="G84" s="140">
        <v>994715.74</v>
      </c>
      <c r="H84" s="17">
        <v>1131143.8799999999</v>
      </c>
      <c r="I84" s="17">
        <v>1353510.85</v>
      </c>
      <c r="J84" s="17">
        <v>1586634.96</v>
      </c>
      <c r="K84" s="28">
        <v>2468028.06</v>
      </c>
      <c r="L84" s="138"/>
      <c r="M84" s="17">
        <v>883591</v>
      </c>
      <c r="N84" s="17">
        <v>785400</v>
      </c>
      <c r="O84" s="17"/>
      <c r="P84" s="132"/>
      <c r="Q84" s="140">
        <v>2188803.87</v>
      </c>
      <c r="R84" s="17">
        <v>2353096.02</v>
      </c>
      <c r="S84" s="17">
        <v>2608922.9900000002</v>
      </c>
      <c r="T84" s="17">
        <v>2941677.94</v>
      </c>
      <c r="U84" s="28">
        <v>3423514.85</v>
      </c>
    </row>
    <row r="85" spans="1:21" s="29" customFormat="1" x14ac:dyDescent="0.3">
      <c r="A85" s="53" t="s">
        <v>337</v>
      </c>
      <c r="B85" s="17">
        <v>88449</v>
      </c>
      <c r="C85" s="17">
        <v>104748</v>
      </c>
      <c r="D85" s="17">
        <v>117875</v>
      </c>
      <c r="E85" s="17">
        <v>124048</v>
      </c>
      <c r="F85" s="132">
        <v>147633</v>
      </c>
      <c r="G85" s="140">
        <v>171414.44</v>
      </c>
      <c r="H85" s="17">
        <v>198587.36</v>
      </c>
      <c r="I85" s="17">
        <v>241806.75</v>
      </c>
      <c r="J85" s="17">
        <v>271823.90999999997</v>
      </c>
      <c r="K85" s="28">
        <v>414281.32</v>
      </c>
      <c r="L85" s="138"/>
      <c r="M85" s="17">
        <f>0.1806*M84</f>
        <v>159576.53460000001</v>
      </c>
      <c r="N85" s="17">
        <f>0.1835*N84</f>
        <v>144120.9</v>
      </c>
      <c r="O85" s="17"/>
      <c r="P85" s="132"/>
      <c r="Q85" s="140"/>
      <c r="R85" s="131">
        <v>0.11</v>
      </c>
      <c r="S85" s="131">
        <v>0.1144</v>
      </c>
      <c r="T85" s="131">
        <v>0.1142</v>
      </c>
      <c r="U85" s="134">
        <v>0.1193</v>
      </c>
    </row>
    <row r="86" spans="1:21" s="29" customFormat="1" x14ac:dyDescent="0.3">
      <c r="A86" s="53" t="s">
        <v>338</v>
      </c>
      <c r="B86" s="17">
        <v>18556</v>
      </c>
      <c r="C86" s="17">
        <v>16829</v>
      </c>
      <c r="D86" s="17">
        <v>15858</v>
      </c>
      <c r="E86" s="17">
        <v>26116</v>
      </c>
      <c r="F86" s="132">
        <v>25231</v>
      </c>
      <c r="G86" s="140">
        <v>12843.41</v>
      </c>
      <c r="H86" s="17">
        <v>13958.94</v>
      </c>
      <c r="I86" s="17">
        <v>13927.75</v>
      </c>
      <c r="J86" s="17">
        <v>33740.94</v>
      </c>
      <c r="K86" s="28">
        <v>49721.5</v>
      </c>
      <c r="L86" s="138"/>
      <c r="M86" s="17">
        <f>0.0106*M84</f>
        <v>9366.0645999999997</v>
      </c>
      <c r="N86" s="17">
        <f>0.0081*N84</f>
        <v>6361.74</v>
      </c>
      <c r="O86" s="17"/>
      <c r="P86" s="132"/>
      <c r="Q86" s="140"/>
      <c r="R86" s="131">
        <v>2.06E-2</v>
      </c>
      <c r="S86" s="131">
        <v>2.3E-2</v>
      </c>
      <c r="T86" s="131">
        <v>2.41E-2</v>
      </c>
      <c r="U86" s="134">
        <v>2.35E-2</v>
      </c>
    </row>
    <row r="87" spans="1:21" s="29" customFormat="1" x14ac:dyDescent="0.3">
      <c r="A87" s="53" t="s">
        <v>339</v>
      </c>
      <c r="B87" s="17">
        <f>B84*B88</f>
        <v>88465.362299999993</v>
      </c>
      <c r="C87" s="17">
        <f t="shared" ref="C87:K87" si="15">C84*C88</f>
        <v>97922.902000000002</v>
      </c>
      <c r="D87" s="17">
        <f t="shared" si="15"/>
        <v>109934.6544</v>
      </c>
      <c r="E87" s="17">
        <f t="shared" si="15"/>
        <v>119357.16699999999</v>
      </c>
      <c r="F87" s="132">
        <f t="shared" si="15"/>
        <v>142801.60619999998</v>
      </c>
      <c r="G87" s="140">
        <f t="shared" si="15"/>
        <v>163431.79608199999</v>
      </c>
      <c r="H87" s="17">
        <f t="shared" si="15"/>
        <v>190597.74377999999</v>
      </c>
      <c r="I87" s="17">
        <f t="shared" si="15"/>
        <v>225630.258695</v>
      </c>
      <c r="J87" s="17">
        <f t="shared" si="15"/>
        <v>260208.13344000001</v>
      </c>
      <c r="K87" s="28">
        <f t="shared" si="15"/>
        <v>402288.57378000004</v>
      </c>
      <c r="L87" s="138"/>
      <c r="M87" s="17"/>
      <c r="N87" s="17"/>
      <c r="O87" s="17"/>
      <c r="P87" s="132"/>
      <c r="Q87" s="140"/>
      <c r="R87" s="17"/>
      <c r="S87" s="17"/>
      <c r="T87" s="17"/>
      <c r="U87" s="28"/>
    </row>
    <row r="88" spans="1:21" s="130" customFormat="1" ht="15" thickBot="1" x14ac:dyDescent="0.35">
      <c r="A88" s="202" t="s">
        <v>340</v>
      </c>
      <c r="B88" s="135">
        <v>0.1449</v>
      </c>
      <c r="C88" s="135">
        <v>0.154</v>
      </c>
      <c r="D88" s="135">
        <v>0.15240000000000001</v>
      </c>
      <c r="E88" s="135">
        <v>0.14019999999999999</v>
      </c>
      <c r="F88" s="137">
        <v>0.13739999999999999</v>
      </c>
      <c r="G88" s="141">
        <v>0.1643</v>
      </c>
      <c r="H88" s="135">
        <v>0.16850000000000001</v>
      </c>
      <c r="I88" s="135">
        <v>0.16669999999999999</v>
      </c>
      <c r="J88" s="135">
        <v>0.16400000000000001</v>
      </c>
      <c r="K88" s="136">
        <v>0.16300000000000001</v>
      </c>
      <c r="L88" s="139"/>
      <c r="M88" s="135">
        <v>0.16800000000000001</v>
      </c>
      <c r="N88" s="135">
        <v>0.17599999999999999</v>
      </c>
      <c r="O88" s="135"/>
      <c r="P88" s="137"/>
      <c r="Q88" s="141">
        <v>0.1002</v>
      </c>
      <c r="R88" s="135">
        <v>0.1038</v>
      </c>
      <c r="S88" s="135">
        <v>0.1144</v>
      </c>
      <c r="T88" s="135">
        <v>0.1142</v>
      </c>
      <c r="U88" s="136">
        <v>0.1036</v>
      </c>
    </row>
    <row r="89" spans="1:21" x14ac:dyDescent="0.3">
      <c r="Q89" s="15">
        <f>Q84*Q88</f>
        <v>219318.14777400001</v>
      </c>
      <c r="R89" s="15">
        <f t="shared" ref="R89:U89" si="16">R84*R88</f>
        <v>244251.36687600001</v>
      </c>
      <c r="S89" s="15">
        <f t="shared" si="16"/>
        <v>298460.79005600006</v>
      </c>
      <c r="T89" s="15">
        <f t="shared" si="16"/>
        <v>335939.62074799999</v>
      </c>
      <c r="U89" s="15">
        <f t="shared" si="16"/>
        <v>354676.13845999999</v>
      </c>
    </row>
  </sheetData>
  <mergeCells count="16">
    <mergeCell ref="A1:U1"/>
    <mergeCell ref="A2:A3"/>
    <mergeCell ref="B2:F2"/>
    <mergeCell ref="G2:K2"/>
    <mergeCell ref="L2:P2"/>
    <mergeCell ref="Q2:U2"/>
    <mergeCell ref="B4:F4"/>
    <mergeCell ref="G4:K4"/>
    <mergeCell ref="L4:P4"/>
    <mergeCell ref="Q4:U4"/>
    <mergeCell ref="B10:F10"/>
    <mergeCell ref="B14:F14"/>
    <mergeCell ref="B31:F31"/>
    <mergeCell ref="B39:F39"/>
    <mergeCell ref="B43:F43"/>
    <mergeCell ref="B49:F4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3EAC2-54A7-4055-A054-7990045CF5A7}">
  <sheetPr>
    <tabColor rgb="FF0070C0"/>
  </sheetPr>
  <dimension ref="A1:U46"/>
  <sheetViews>
    <sheetView zoomScale="80" zoomScaleNormal="80" workbookViewId="0">
      <pane xSplit="1" topLeftCell="L1" activePane="topRight" state="frozen"/>
      <selection pane="topRight" activeCell="D17" sqref="D17"/>
    </sheetView>
  </sheetViews>
  <sheetFormatPr defaultRowHeight="14.4" x14ac:dyDescent="0.3"/>
  <cols>
    <col min="1" max="1" width="36" bestFit="1" customWidth="1"/>
    <col min="2" max="6" width="10" bestFit="1" customWidth="1"/>
    <col min="7" max="16" width="11" bestFit="1" customWidth="1"/>
    <col min="17" max="18" width="16.6640625" bestFit="1" customWidth="1"/>
    <col min="19" max="21" width="13.6640625" bestFit="1" customWidth="1"/>
  </cols>
  <sheetData>
    <row r="1" spans="1:16" ht="46.2" customHeight="1" x14ac:dyDescent="0.3">
      <c r="A1" s="538"/>
      <c r="B1" s="538"/>
      <c r="C1" s="538"/>
      <c r="D1" s="538"/>
      <c r="E1" s="538"/>
      <c r="F1" s="538"/>
      <c r="G1" s="538"/>
      <c r="H1" s="538"/>
      <c r="I1" s="538"/>
      <c r="J1" s="538"/>
      <c r="K1" s="538"/>
      <c r="L1" s="538"/>
      <c r="M1" s="538"/>
      <c r="N1" s="538"/>
      <c r="O1" s="538"/>
      <c r="P1" s="538"/>
    </row>
    <row r="2" spans="1:16" ht="47.4" customHeight="1" x14ac:dyDescent="0.3">
      <c r="A2" s="545" t="s">
        <v>20</v>
      </c>
      <c r="B2" s="536" t="e" vm="6">
        <v>#VALUE!</v>
      </c>
      <c r="C2" s="536"/>
      <c r="D2" s="536"/>
      <c r="E2" s="536"/>
      <c r="F2" s="536"/>
      <c r="G2" s="536" t="e" vm="5">
        <v>#VALUE!</v>
      </c>
      <c r="H2" s="536"/>
      <c r="I2" s="536"/>
      <c r="J2" s="536"/>
      <c r="K2" s="536"/>
      <c r="L2" s="536" t="e" vm="7">
        <v>#VALUE!</v>
      </c>
      <c r="M2" s="536"/>
      <c r="N2" s="536"/>
      <c r="O2" s="536"/>
      <c r="P2" s="536"/>
    </row>
    <row r="3" spans="1:16" x14ac:dyDescent="0.3">
      <c r="A3" s="546"/>
      <c r="B3" s="13">
        <v>2020</v>
      </c>
      <c r="C3" s="13">
        <v>2021</v>
      </c>
      <c r="D3" s="13">
        <v>2022</v>
      </c>
      <c r="E3" s="13">
        <v>2023</v>
      </c>
      <c r="F3" s="13">
        <v>2024</v>
      </c>
      <c r="G3" s="13">
        <v>2020</v>
      </c>
      <c r="H3" s="13">
        <v>2021</v>
      </c>
      <c r="I3" s="13">
        <v>2022</v>
      </c>
      <c r="J3" s="13">
        <v>2023</v>
      </c>
      <c r="K3" s="13">
        <v>2024</v>
      </c>
      <c r="L3" s="13">
        <v>2020</v>
      </c>
      <c r="M3" s="13">
        <v>2021</v>
      </c>
      <c r="N3" s="13">
        <v>2022</v>
      </c>
      <c r="O3" s="13">
        <v>2023</v>
      </c>
      <c r="P3" s="13">
        <v>2024</v>
      </c>
    </row>
    <row r="4" spans="1:16" x14ac:dyDescent="0.3">
      <c r="A4" s="539" t="s">
        <v>90</v>
      </c>
      <c r="B4" s="540"/>
      <c r="C4" s="540"/>
      <c r="D4" s="540"/>
      <c r="E4" s="540"/>
      <c r="F4" s="540"/>
      <c r="G4" s="540"/>
      <c r="H4" s="540"/>
      <c r="I4" s="540"/>
      <c r="J4" s="540"/>
      <c r="K4" s="540"/>
      <c r="L4" s="540"/>
      <c r="M4" s="540"/>
      <c r="N4" s="540"/>
      <c r="O4" s="540"/>
      <c r="P4" s="541"/>
    </row>
    <row r="5" spans="1:16" x14ac:dyDescent="0.3">
      <c r="A5" s="17" t="s">
        <v>91</v>
      </c>
      <c r="B5" s="17">
        <v>4883.33</v>
      </c>
      <c r="C5" s="17">
        <v>4883.33</v>
      </c>
      <c r="D5" s="17">
        <v>4883.33</v>
      </c>
      <c r="E5" s="17">
        <v>6712.16</v>
      </c>
      <c r="F5" s="17">
        <v>6712.16</v>
      </c>
      <c r="G5" s="17">
        <v>119.99</v>
      </c>
      <c r="H5" s="17">
        <v>120.32</v>
      </c>
      <c r="I5" s="17">
        <v>120.66</v>
      </c>
      <c r="J5" s="17">
        <v>120.89</v>
      </c>
      <c r="K5" s="17">
        <v>123.6</v>
      </c>
      <c r="L5" s="17">
        <v>4010.37</v>
      </c>
      <c r="M5" s="17">
        <v>4011.96</v>
      </c>
      <c r="N5" s="17">
        <v>4013.45</v>
      </c>
      <c r="O5" s="17">
        <v>4014.48</v>
      </c>
      <c r="P5" s="17">
        <v>4014.62</v>
      </c>
    </row>
    <row r="6" spans="1:16" x14ac:dyDescent="0.3">
      <c r="A6" s="17" t="s">
        <v>92</v>
      </c>
      <c r="B6" s="17">
        <v>701.8</v>
      </c>
      <c r="C6" s="17">
        <v>1148.8900000000001</v>
      </c>
      <c r="D6" s="17">
        <v>1858.03</v>
      </c>
      <c r="E6" s="17">
        <v>3791.03</v>
      </c>
      <c r="F6" s="17">
        <v>5521.34</v>
      </c>
      <c r="G6" s="17">
        <v>32207.64</v>
      </c>
      <c r="H6" s="17">
        <v>36798.089999999997</v>
      </c>
      <c r="I6" s="17">
        <v>43592.03</v>
      </c>
      <c r="J6" s="17">
        <v>54251.09</v>
      </c>
      <c r="K6" s="17">
        <v>76571.75</v>
      </c>
      <c r="L6" s="17">
        <v>114281.73</v>
      </c>
      <c r="M6" s="17">
        <v>151738.29</v>
      </c>
      <c r="N6" s="17">
        <v>183843.79</v>
      </c>
      <c r="O6" s="17">
        <v>212643.04</v>
      </c>
      <c r="P6" s="17">
        <v>247057.45</v>
      </c>
    </row>
    <row r="7" spans="1:16" x14ac:dyDescent="0.3">
      <c r="A7" s="17" t="s">
        <v>116</v>
      </c>
      <c r="B7" s="17"/>
      <c r="C7" s="17"/>
      <c r="D7" s="17"/>
      <c r="E7" s="17"/>
      <c r="F7" s="17"/>
      <c r="G7" s="17"/>
      <c r="H7" s="17"/>
      <c r="I7" s="17"/>
      <c r="J7" s="17"/>
      <c r="K7" s="17"/>
      <c r="L7" s="17">
        <v>1721.42</v>
      </c>
      <c r="M7" s="17">
        <v>1845.75</v>
      </c>
      <c r="N7" s="17">
        <v>3521.72</v>
      </c>
      <c r="O7" s="17">
        <v>4870.5200000000004</v>
      </c>
      <c r="P7" s="17">
        <v>6468.33</v>
      </c>
    </row>
    <row r="8" spans="1:16" x14ac:dyDescent="0.3">
      <c r="A8" s="17"/>
      <c r="B8" s="17"/>
      <c r="C8" s="17"/>
      <c r="D8" s="17"/>
      <c r="E8" s="17"/>
      <c r="F8" s="17"/>
      <c r="G8" s="17"/>
      <c r="H8" s="17"/>
      <c r="I8" s="17"/>
      <c r="J8" s="17"/>
      <c r="K8" s="17"/>
      <c r="L8" s="17"/>
      <c r="M8" s="17"/>
      <c r="N8" s="17"/>
      <c r="O8" s="17"/>
      <c r="P8" s="17"/>
    </row>
    <row r="9" spans="1:16" x14ac:dyDescent="0.3">
      <c r="A9" s="18" t="s">
        <v>29</v>
      </c>
      <c r="B9" s="18">
        <f t="shared" ref="B9:P9" si="0">B5+B6+B7+B8</f>
        <v>5585.13</v>
      </c>
      <c r="C9" s="18">
        <f t="shared" si="0"/>
        <v>6032.22</v>
      </c>
      <c r="D9" s="18">
        <f t="shared" si="0"/>
        <v>6741.36</v>
      </c>
      <c r="E9" s="18">
        <f t="shared" si="0"/>
        <v>10503.19</v>
      </c>
      <c r="F9" s="18">
        <f t="shared" si="0"/>
        <v>12233.5</v>
      </c>
      <c r="G9" s="18">
        <f t="shared" si="0"/>
        <v>32327.63</v>
      </c>
      <c r="H9" s="18">
        <f t="shared" si="0"/>
        <v>36918.409999999996</v>
      </c>
      <c r="I9" s="18">
        <f t="shared" si="0"/>
        <v>43712.69</v>
      </c>
      <c r="J9" s="18">
        <f t="shared" si="0"/>
        <v>54371.979999999996</v>
      </c>
      <c r="K9" s="18">
        <f t="shared" si="0"/>
        <v>76695.350000000006</v>
      </c>
      <c r="L9" s="18">
        <f t="shared" si="0"/>
        <v>120013.51999999999</v>
      </c>
      <c r="M9" s="18">
        <f t="shared" si="0"/>
        <v>157596</v>
      </c>
      <c r="N9" s="18">
        <f t="shared" si="0"/>
        <v>191378.96000000002</v>
      </c>
      <c r="O9" s="18">
        <f t="shared" si="0"/>
        <v>221528.04</v>
      </c>
      <c r="P9" s="18">
        <f t="shared" si="0"/>
        <v>257540.4</v>
      </c>
    </row>
    <row r="10" spans="1:16" x14ac:dyDescent="0.3">
      <c r="A10" s="542" t="s">
        <v>30</v>
      </c>
      <c r="B10" s="543"/>
      <c r="C10" s="543"/>
      <c r="D10" s="543"/>
      <c r="E10" s="543"/>
      <c r="F10" s="543"/>
      <c r="G10" s="543"/>
      <c r="H10" s="543"/>
      <c r="I10" s="543"/>
      <c r="J10" s="543"/>
      <c r="K10" s="543"/>
      <c r="L10" s="543"/>
      <c r="M10" s="543"/>
      <c r="N10" s="543"/>
      <c r="O10" s="543"/>
      <c r="P10" s="544"/>
    </row>
    <row r="11" spans="1:16" x14ac:dyDescent="0.3">
      <c r="A11" s="17" t="s">
        <v>93</v>
      </c>
      <c r="B11" s="17">
        <f>0.24+30.35+17.83</f>
        <v>48.42</v>
      </c>
      <c r="C11" s="17">
        <f>20.9+21.28</f>
        <v>42.18</v>
      </c>
      <c r="D11" s="17">
        <f>0.18+36.23+38.17</f>
        <v>74.58</v>
      </c>
      <c r="E11" s="17">
        <f>73.04+45.93</f>
        <v>118.97</v>
      </c>
      <c r="F11" s="17">
        <f>0.83+57.61+82.75</f>
        <v>141.19</v>
      </c>
      <c r="G11" s="17">
        <f>0.54+761.43+197.84</f>
        <v>959.81</v>
      </c>
      <c r="H11" s="17">
        <f>213.82+884.01+0.27</f>
        <v>1098.0999999999999</v>
      </c>
      <c r="I11" s="17">
        <f>0.24+1169.08+341.78</f>
        <v>1511.1</v>
      </c>
      <c r="J11" s="17">
        <f>1.86+1450.26+0.65+638.67</f>
        <v>2091.44</v>
      </c>
      <c r="K11" s="17">
        <f>0.73+2063.31+764.58</f>
        <v>2828.62</v>
      </c>
      <c r="L11" s="17">
        <v>2220.2800000000002</v>
      </c>
      <c r="M11" s="17">
        <f>2111.53+2.31</f>
        <v>2113.84</v>
      </c>
      <c r="N11" s="17">
        <f>1570.2+3.46</f>
        <v>1573.66</v>
      </c>
      <c r="O11" s="17">
        <f>7.2+871.23+1119.71</f>
        <v>1998.14</v>
      </c>
      <c r="P11" s="17">
        <f>7.68+1381.23+1280.77</f>
        <v>2669.6800000000003</v>
      </c>
    </row>
    <row r="12" spans="1:16" x14ac:dyDescent="0.3">
      <c r="A12" s="17" t="s">
        <v>94</v>
      </c>
      <c r="B12" s="17">
        <v>7823.59</v>
      </c>
      <c r="C12" s="17">
        <v>11332.08</v>
      </c>
      <c r="D12" s="17">
        <v>16489.150000000001</v>
      </c>
      <c r="E12" s="17">
        <v>19914.919999999998</v>
      </c>
      <c r="F12" s="17">
        <v>26645.33</v>
      </c>
      <c r="G12" s="17">
        <v>49537.36</v>
      </c>
      <c r="H12" s="17">
        <v>54502.14</v>
      </c>
      <c r="I12" s="17">
        <v>76223.070000000007</v>
      </c>
      <c r="J12" s="17">
        <v>86845.24</v>
      </c>
      <c r="K12" s="17">
        <v>117999.54</v>
      </c>
      <c r="L12" s="17">
        <v>102826.55</v>
      </c>
      <c r="M12" s="17">
        <v>146669.9</v>
      </c>
      <c r="N12" s="17">
        <v>131740.35</v>
      </c>
      <c r="O12" s="17">
        <v>146045.79</v>
      </c>
      <c r="P12" s="17">
        <v>174762.2</v>
      </c>
    </row>
    <row r="13" spans="1:16" x14ac:dyDescent="0.3">
      <c r="A13" s="19" t="s">
        <v>95</v>
      </c>
      <c r="B13" s="19">
        <v>17776.849999999999</v>
      </c>
      <c r="C13" s="19">
        <v>20268.52</v>
      </c>
      <c r="D13" s="19">
        <v>24493.17</v>
      </c>
      <c r="E13" s="19">
        <v>33654.699999999997</v>
      </c>
      <c r="F13" s="19">
        <v>42299.73</v>
      </c>
      <c r="G13" s="19">
        <v>54700.17</v>
      </c>
      <c r="H13" s="19">
        <v>47429.36</v>
      </c>
      <c r="I13" s="19">
        <v>54363.56</v>
      </c>
      <c r="J13" s="19">
        <v>81549.399999999994</v>
      </c>
      <c r="K13" s="19">
        <v>111617.47</v>
      </c>
      <c r="L13" s="19">
        <v>300115.44</v>
      </c>
      <c r="M13" s="19">
        <v>351009.78</v>
      </c>
      <c r="N13" s="19">
        <v>408553.24</v>
      </c>
      <c r="O13" s="19">
        <v>405974.58</v>
      </c>
      <c r="P13" s="19">
        <v>500519.53</v>
      </c>
    </row>
    <row r="14" spans="1:16" x14ac:dyDescent="0.3">
      <c r="A14" s="19" t="s">
        <v>111</v>
      </c>
      <c r="B14" s="19">
        <v>0</v>
      </c>
      <c r="C14" s="19">
        <v>0</v>
      </c>
      <c r="D14" s="19">
        <v>510</v>
      </c>
      <c r="E14" s="19">
        <v>175.77</v>
      </c>
      <c r="F14" s="19">
        <v>184.26</v>
      </c>
      <c r="G14" s="19">
        <v>21427.1</v>
      </c>
      <c r="H14" s="19">
        <v>25803.43</v>
      </c>
      <c r="I14" s="19">
        <v>30799.52</v>
      </c>
      <c r="J14" s="19">
        <v>44665.56</v>
      </c>
      <c r="K14" s="19">
        <v>60150.92</v>
      </c>
      <c r="L14" s="19">
        <v>2560.06</v>
      </c>
      <c r="M14" s="19">
        <v>2579.5300000000002</v>
      </c>
      <c r="N14" s="19">
        <v>2235.2600000000002</v>
      </c>
      <c r="O14" s="19">
        <v>3314.76</v>
      </c>
      <c r="P14" s="19">
        <v>4018.26</v>
      </c>
    </row>
    <row r="15" spans="1:16" x14ac:dyDescent="0.3">
      <c r="A15" s="23" t="s">
        <v>96</v>
      </c>
      <c r="B15" s="23">
        <v>73.59</v>
      </c>
      <c r="C15" s="23">
        <v>151.13999999999999</v>
      </c>
      <c r="D15" s="23">
        <v>174.42</v>
      </c>
      <c r="E15" s="23">
        <v>211.62</v>
      </c>
      <c r="F15" s="23">
        <v>234.14</v>
      </c>
      <c r="G15" s="23">
        <f>4141.75+745.05</f>
        <v>4886.8</v>
      </c>
      <c r="H15" s="23">
        <f>945.12+3898.61+137.87</f>
        <v>4981.6000000000004</v>
      </c>
      <c r="I15" s="23">
        <f>1110.43+3845.77+140.02</f>
        <v>5096.22</v>
      </c>
      <c r="J15" s="23">
        <f>3630.29+1309.29+4.01</f>
        <v>4943.59</v>
      </c>
      <c r="K15" s="23">
        <f>3577.9+1844.39+2.12</f>
        <v>5424.41</v>
      </c>
      <c r="L15" s="23">
        <f>11884.77+167.72+3849.85</f>
        <v>15902.34</v>
      </c>
      <c r="M15" s="23">
        <f>13598.4+3706.89+177.57+3305.19</f>
        <v>20788.05</v>
      </c>
      <c r="N15" s="23">
        <f>2997.33+159.8+13323.48+4797.97</f>
        <v>21278.58</v>
      </c>
      <c r="O15" s="23">
        <f>2546.55+155.57+12638.76+1921.73</f>
        <v>17262.61</v>
      </c>
      <c r="P15" s="23">
        <f>138.86+3309.73+125.91+16014.9</f>
        <v>19589.400000000001</v>
      </c>
    </row>
    <row r="16" spans="1:16" x14ac:dyDescent="0.3">
      <c r="A16" s="17" t="s">
        <v>97</v>
      </c>
      <c r="B16" s="19">
        <v>7.07</v>
      </c>
      <c r="C16" s="19">
        <v>7.39</v>
      </c>
      <c r="D16" s="19">
        <v>20.059999999999999</v>
      </c>
      <c r="E16" s="19">
        <v>16.170000000000002</v>
      </c>
      <c r="F16" s="19">
        <v>25.93</v>
      </c>
      <c r="G16" s="19">
        <v>59.17</v>
      </c>
      <c r="H16" s="19">
        <v>180.17</v>
      </c>
      <c r="I16" s="19">
        <v>100.06</v>
      </c>
      <c r="J16" s="19">
        <v>139.21</v>
      </c>
      <c r="K16" s="19">
        <v>108.64</v>
      </c>
      <c r="L16" s="19">
        <v>808.33</v>
      </c>
      <c r="M16" s="19">
        <v>1302.75</v>
      </c>
      <c r="N16" s="19">
        <v>1418.15</v>
      </c>
      <c r="O16" s="19">
        <v>811.92</v>
      </c>
      <c r="P16" s="19">
        <v>551.67999999999995</v>
      </c>
    </row>
    <row r="17" spans="1:16" x14ac:dyDescent="0.3">
      <c r="A17" s="17" t="s">
        <v>35</v>
      </c>
      <c r="B17" s="19">
        <v>2.2799999999999998</v>
      </c>
      <c r="C17" s="19">
        <v>2.29</v>
      </c>
      <c r="D17" s="19">
        <v>4.05</v>
      </c>
      <c r="E17" s="19">
        <v>15.63</v>
      </c>
      <c r="F17" s="19">
        <v>35.64</v>
      </c>
      <c r="G17" s="19">
        <v>81.239999999999995</v>
      </c>
      <c r="H17" s="19">
        <v>137.69</v>
      </c>
      <c r="I17" s="19">
        <v>166.9</v>
      </c>
      <c r="J17" s="19">
        <v>268.08</v>
      </c>
      <c r="K17" s="19">
        <v>421.89</v>
      </c>
      <c r="L17" s="19">
        <v>3712.33</v>
      </c>
      <c r="M17" s="19">
        <v>3695.29</v>
      </c>
      <c r="N17" s="19">
        <v>3679.83</v>
      </c>
      <c r="O17" s="19">
        <v>3618.92</v>
      </c>
      <c r="P17" s="19">
        <v>3733.27</v>
      </c>
    </row>
    <row r="18" spans="1:16" x14ac:dyDescent="0.3">
      <c r="A18" s="17" t="s">
        <v>98</v>
      </c>
      <c r="B18" s="19">
        <v>11.43</v>
      </c>
      <c r="C18" s="19">
        <v>0</v>
      </c>
      <c r="D18" s="19">
        <v>0</v>
      </c>
      <c r="E18" s="19">
        <v>28.27</v>
      </c>
      <c r="F18" s="19">
        <v>0</v>
      </c>
      <c r="G18" s="19">
        <v>0</v>
      </c>
      <c r="H18" s="19">
        <v>0</v>
      </c>
      <c r="I18" s="19">
        <v>0</v>
      </c>
      <c r="J18" s="19">
        <v>0</v>
      </c>
      <c r="K18" s="19">
        <v>0</v>
      </c>
      <c r="L18" s="19">
        <v>151.03</v>
      </c>
      <c r="M18" s="19">
        <v>142.21</v>
      </c>
      <c r="N18" s="19">
        <v>166.36</v>
      </c>
      <c r="O18" s="19">
        <v>152.86000000000001</v>
      </c>
      <c r="P18" s="19">
        <v>167.62</v>
      </c>
    </row>
    <row r="19" spans="1:16" x14ac:dyDescent="0.3">
      <c r="A19" s="17" t="s">
        <v>99</v>
      </c>
      <c r="B19" s="19">
        <v>44.06</v>
      </c>
      <c r="C19" s="19">
        <v>0</v>
      </c>
      <c r="D19" s="19">
        <v>0</v>
      </c>
      <c r="E19" s="19">
        <v>14.9</v>
      </c>
      <c r="F19" s="19">
        <v>27.37</v>
      </c>
      <c r="G19" s="19">
        <v>412.09</v>
      </c>
      <c r="H19" s="19">
        <v>419.5</v>
      </c>
      <c r="I19" s="19">
        <v>532.24</v>
      </c>
      <c r="J19" s="19">
        <v>351.81</v>
      </c>
      <c r="K19" s="19">
        <v>494.78</v>
      </c>
      <c r="L19" s="19">
        <v>507.04</v>
      </c>
      <c r="M19" s="19">
        <v>517</v>
      </c>
      <c r="N19" s="19">
        <v>1140.3599999999999</v>
      </c>
      <c r="O19" s="19">
        <v>781.58</v>
      </c>
      <c r="P19" s="19">
        <v>1142.1600000000001</v>
      </c>
    </row>
    <row r="20" spans="1:16" x14ac:dyDescent="0.3">
      <c r="A20" s="18" t="s">
        <v>36</v>
      </c>
      <c r="B20" s="18">
        <f t="shared" ref="B20:P20" si="1">SUM(B11:B19)</f>
        <v>25787.29</v>
      </c>
      <c r="C20" s="18">
        <f t="shared" si="1"/>
        <v>31803.599999999999</v>
      </c>
      <c r="D20" s="18">
        <f t="shared" si="1"/>
        <v>41765.43</v>
      </c>
      <c r="E20" s="18">
        <f t="shared" si="1"/>
        <v>54150.94999999999</v>
      </c>
      <c r="F20" s="18">
        <f t="shared" si="1"/>
        <v>69593.589999999982</v>
      </c>
      <c r="G20" s="18">
        <f t="shared" si="1"/>
        <v>132063.74</v>
      </c>
      <c r="H20" s="18">
        <f t="shared" si="1"/>
        <v>134551.99000000002</v>
      </c>
      <c r="I20" s="18">
        <f t="shared" si="1"/>
        <v>168792.66999999998</v>
      </c>
      <c r="J20" s="18">
        <f t="shared" si="1"/>
        <v>220854.33</v>
      </c>
      <c r="K20" s="18">
        <f t="shared" si="1"/>
        <v>299046.27</v>
      </c>
      <c r="L20" s="18">
        <f t="shared" si="1"/>
        <v>428803.40000000008</v>
      </c>
      <c r="M20" s="18">
        <f t="shared" si="1"/>
        <v>528818.35000000009</v>
      </c>
      <c r="N20" s="18">
        <f t="shared" si="1"/>
        <v>571785.78999999992</v>
      </c>
      <c r="O20" s="18">
        <f t="shared" si="1"/>
        <v>579961.16</v>
      </c>
      <c r="P20" s="18">
        <f t="shared" si="1"/>
        <v>707153.80000000016</v>
      </c>
    </row>
    <row r="21" spans="1:16" x14ac:dyDescent="0.3">
      <c r="A21" s="18" t="s">
        <v>100</v>
      </c>
      <c r="B21" s="18">
        <f t="shared" ref="B21:G21" si="2">B9+B20</f>
        <v>31372.420000000002</v>
      </c>
      <c r="C21" s="18">
        <f t="shared" si="2"/>
        <v>37835.82</v>
      </c>
      <c r="D21" s="18">
        <f t="shared" si="2"/>
        <v>48506.79</v>
      </c>
      <c r="E21" s="18">
        <f t="shared" si="2"/>
        <v>64654.139999999992</v>
      </c>
      <c r="F21" s="18">
        <f t="shared" si="2"/>
        <v>81827.089999999982</v>
      </c>
      <c r="G21" s="18">
        <f t="shared" si="2"/>
        <v>164391.37</v>
      </c>
      <c r="H21" s="18">
        <f t="shared" ref="H21:P21" si="3">H9+H20</f>
        <v>171470.40000000002</v>
      </c>
      <c r="I21" s="18">
        <f t="shared" si="3"/>
        <v>212505.36</v>
      </c>
      <c r="J21" s="18">
        <f t="shared" si="3"/>
        <v>275226.31</v>
      </c>
      <c r="K21" s="18">
        <f t="shared" si="3"/>
        <v>375741.62</v>
      </c>
      <c r="L21" s="18">
        <f t="shared" si="3"/>
        <v>548816.92000000004</v>
      </c>
      <c r="M21" s="18">
        <f t="shared" si="3"/>
        <v>686414.35000000009</v>
      </c>
      <c r="N21" s="18">
        <f t="shared" si="3"/>
        <v>763164.75</v>
      </c>
      <c r="O21" s="18">
        <f t="shared" si="3"/>
        <v>801489.20000000007</v>
      </c>
      <c r="P21" s="18">
        <f t="shared" si="3"/>
        <v>964694.20000000019</v>
      </c>
    </row>
    <row r="22" spans="1:16" x14ac:dyDescent="0.3">
      <c r="A22" s="18" t="s">
        <v>37</v>
      </c>
      <c r="B22" s="18"/>
      <c r="C22" s="18"/>
      <c r="D22" s="18"/>
      <c r="E22" s="18"/>
      <c r="F22" s="18"/>
      <c r="G22" s="18"/>
      <c r="H22" s="18"/>
      <c r="I22" s="18"/>
      <c r="J22" s="18"/>
      <c r="K22" s="18"/>
      <c r="L22" s="18"/>
      <c r="M22" s="18"/>
      <c r="N22" s="18"/>
      <c r="O22" s="18"/>
      <c r="P22" s="18"/>
    </row>
    <row r="23" spans="1:16" x14ac:dyDescent="0.3">
      <c r="A23" s="17" t="s">
        <v>101</v>
      </c>
      <c r="B23" s="17">
        <v>658.72</v>
      </c>
      <c r="C23" s="17">
        <v>461.78</v>
      </c>
      <c r="D23" s="17">
        <v>407.03</v>
      </c>
      <c r="E23" s="17">
        <v>93.88</v>
      </c>
      <c r="F23" s="17">
        <v>63.86</v>
      </c>
      <c r="G23" s="17">
        <v>1344.52</v>
      </c>
      <c r="H23" s="17">
        <v>1849.33</v>
      </c>
      <c r="I23" s="17">
        <v>3407.17</v>
      </c>
      <c r="J23" s="17">
        <v>1550.75</v>
      </c>
      <c r="K23" s="17">
        <v>4034.51</v>
      </c>
      <c r="L23" s="17">
        <v>58347.65</v>
      </c>
      <c r="M23" s="17">
        <v>77775.199999999997</v>
      </c>
      <c r="N23" s="17">
        <v>100358.14</v>
      </c>
      <c r="O23" s="17">
        <v>77701.83</v>
      </c>
      <c r="P23" s="17">
        <v>60373.45</v>
      </c>
    </row>
    <row r="24" spans="1:16" x14ac:dyDescent="0.3">
      <c r="A24" s="17" t="s">
        <v>112</v>
      </c>
      <c r="B24" s="17">
        <v>0</v>
      </c>
      <c r="C24" s="17">
        <v>255</v>
      </c>
      <c r="D24" s="17">
        <v>0.14000000000000001</v>
      </c>
      <c r="E24" s="17">
        <v>14.99</v>
      </c>
      <c r="F24" s="17">
        <v>0.15</v>
      </c>
      <c r="G24" s="17">
        <v>38.200000000000003</v>
      </c>
      <c r="H24" s="17">
        <v>314.99</v>
      </c>
      <c r="I24" s="17">
        <v>273.13</v>
      </c>
      <c r="J24" s="17">
        <v>2753.77</v>
      </c>
      <c r="K24" s="17">
        <v>6589.5</v>
      </c>
      <c r="L24" s="17">
        <v>2958.88</v>
      </c>
      <c r="M24" s="17">
        <v>2434.87</v>
      </c>
      <c r="N24" s="17">
        <v>2791.47</v>
      </c>
      <c r="O24" s="17">
        <v>2654.76</v>
      </c>
      <c r="P24" s="17">
        <v>2346.5700000000002</v>
      </c>
    </row>
    <row r="25" spans="1:16" x14ac:dyDescent="0.3">
      <c r="A25" s="17" t="s">
        <v>113</v>
      </c>
      <c r="B25" s="17">
        <v>0</v>
      </c>
      <c r="C25" s="17">
        <v>0</v>
      </c>
      <c r="D25" s="17">
        <v>0</v>
      </c>
      <c r="E25" s="17">
        <v>1.37</v>
      </c>
      <c r="F25" s="17">
        <v>11.66</v>
      </c>
      <c r="G25" s="17">
        <v>171.76</v>
      </c>
      <c r="H25" s="17">
        <v>0</v>
      </c>
      <c r="I25" s="17">
        <v>121.9</v>
      </c>
      <c r="J25" s="17">
        <v>148.88</v>
      </c>
      <c r="K25" s="17">
        <v>27.84</v>
      </c>
      <c r="L25" s="17">
        <v>3448.94</v>
      </c>
      <c r="M25" s="17">
        <v>153.63999999999999</v>
      </c>
      <c r="N25" s="17">
        <v>605.01</v>
      </c>
      <c r="O25" s="17">
        <v>0</v>
      </c>
      <c r="P25" s="17">
        <v>0</v>
      </c>
    </row>
    <row r="26" spans="1:16" x14ac:dyDescent="0.3">
      <c r="A26" s="17" t="s">
        <v>102</v>
      </c>
      <c r="B26" s="17">
        <v>118.4</v>
      </c>
      <c r="C26" s="17">
        <v>310.66000000000003</v>
      </c>
      <c r="D26" s="17">
        <v>237.33</v>
      </c>
      <c r="E26" s="17">
        <f>1.59+0.36</f>
        <v>1.9500000000000002</v>
      </c>
      <c r="F26" s="17">
        <v>13.36</v>
      </c>
      <c r="G26" s="17">
        <v>952.49</v>
      </c>
      <c r="H26" s="17">
        <v>1096.8599999999999</v>
      </c>
      <c r="I26" s="17">
        <v>1265.8900000000001</v>
      </c>
      <c r="J26" s="17">
        <v>1299.72</v>
      </c>
      <c r="K26" s="17">
        <v>1733.49</v>
      </c>
      <c r="L26" s="17">
        <v>89.82</v>
      </c>
      <c r="M26" s="17">
        <v>98.02</v>
      </c>
      <c r="N26" s="17">
        <v>70.09</v>
      </c>
      <c r="O26" s="17">
        <v>98.95</v>
      </c>
      <c r="P26" s="17">
        <v>178.36</v>
      </c>
    </row>
    <row r="27" spans="1:16" x14ac:dyDescent="0.3">
      <c r="A27" s="17" t="s">
        <v>103</v>
      </c>
      <c r="B27" s="17">
        <v>27975.41</v>
      </c>
      <c r="C27" s="17">
        <v>33418.9</v>
      </c>
      <c r="D27" s="17">
        <v>46482.07</v>
      </c>
      <c r="E27" s="17">
        <v>62113.89</v>
      </c>
      <c r="F27" s="17">
        <v>79300.75</v>
      </c>
      <c r="G27" s="17">
        <v>141376.04999999999</v>
      </c>
      <c r="H27" s="17">
        <v>146686.87</v>
      </c>
      <c r="I27" s="17">
        <v>191423.25</v>
      </c>
      <c r="J27" s="17">
        <v>242268.93</v>
      </c>
      <c r="K27" s="17">
        <v>326293.32</v>
      </c>
      <c r="L27" s="17">
        <v>470677.41</v>
      </c>
      <c r="M27" s="17">
        <v>588085.17000000004</v>
      </c>
      <c r="N27" s="17">
        <v>645276.41</v>
      </c>
      <c r="O27" s="17">
        <v>705543.84</v>
      </c>
      <c r="P27" s="17">
        <v>881871.71</v>
      </c>
    </row>
    <row r="28" spans="1:16" x14ac:dyDescent="0.3">
      <c r="A28" s="17" t="s">
        <v>104</v>
      </c>
      <c r="B28" s="17">
        <v>2508.02</v>
      </c>
      <c r="C28" s="17">
        <v>3266.06</v>
      </c>
      <c r="D28" s="17">
        <v>1248.27</v>
      </c>
      <c r="E28" s="17">
        <v>2000.91</v>
      </c>
      <c r="F28" s="17">
        <v>1938.57</v>
      </c>
      <c r="G28" s="17">
        <v>17543.900000000001</v>
      </c>
      <c r="H28" s="17">
        <v>18396.91</v>
      </c>
      <c r="I28" s="17">
        <v>12245.54</v>
      </c>
      <c r="J28" s="17">
        <v>22751.84</v>
      </c>
      <c r="K28" s="17">
        <v>30880.65</v>
      </c>
      <c r="L28" s="17">
        <f>6302.16+156.48</f>
        <v>6458.6399999999994</v>
      </c>
      <c r="M28" s="17">
        <f>8085.05+139.45</f>
        <v>8224.5</v>
      </c>
      <c r="N28" s="17">
        <f>5233.06+93.41</f>
        <v>5326.47</v>
      </c>
      <c r="O28" s="17">
        <v>5457.12</v>
      </c>
      <c r="P28" s="17">
        <v>7124.72</v>
      </c>
    </row>
    <row r="29" spans="1:16" x14ac:dyDescent="0.3">
      <c r="A29" s="17" t="s">
        <v>105</v>
      </c>
      <c r="B29" s="17">
        <v>8.44</v>
      </c>
      <c r="C29" s="17">
        <v>33.99</v>
      </c>
      <c r="D29" s="17">
        <v>18.48</v>
      </c>
      <c r="E29" s="17">
        <v>301.94</v>
      </c>
      <c r="F29" s="17">
        <v>284.07</v>
      </c>
      <c r="G29" s="17">
        <v>470.39</v>
      </c>
      <c r="H29" s="17">
        <v>536.98</v>
      </c>
      <c r="I29" s="17">
        <v>721.49</v>
      </c>
      <c r="J29" s="17">
        <v>817.28</v>
      </c>
      <c r="K29" s="17">
        <v>1431.88</v>
      </c>
      <c r="L29" s="17">
        <v>2448.75</v>
      </c>
      <c r="M29" s="17">
        <v>4383.41</v>
      </c>
      <c r="N29" s="17">
        <v>2807.28</v>
      </c>
      <c r="O29" s="17">
        <v>3453</v>
      </c>
      <c r="P29" s="17">
        <v>4136.12</v>
      </c>
    </row>
    <row r="30" spans="1:16" x14ac:dyDescent="0.3">
      <c r="A30" s="17" t="s">
        <v>106</v>
      </c>
      <c r="B30" s="17">
        <v>11.1</v>
      </c>
      <c r="C30" s="17">
        <v>4.46</v>
      </c>
      <c r="D30" s="17">
        <v>9.08</v>
      </c>
      <c r="E30" s="17">
        <v>3.97</v>
      </c>
      <c r="F30" s="17">
        <v>31.09</v>
      </c>
      <c r="G30" s="17">
        <v>216.72</v>
      </c>
      <c r="H30" s="17">
        <v>159.77000000000001</v>
      </c>
      <c r="I30" s="17">
        <v>168.3</v>
      </c>
      <c r="J30" s="17">
        <v>181.43</v>
      </c>
      <c r="K30" s="17">
        <v>290.92</v>
      </c>
      <c r="L30" s="17">
        <v>94.25</v>
      </c>
      <c r="M30" s="17">
        <v>93.96</v>
      </c>
      <c r="N30" s="17">
        <v>110.21</v>
      </c>
      <c r="O30" s="17">
        <v>474.57</v>
      </c>
      <c r="P30" s="17">
        <v>724.86</v>
      </c>
    </row>
    <row r="31" spans="1:16" x14ac:dyDescent="0.3">
      <c r="A31" s="17" t="s">
        <v>107</v>
      </c>
      <c r="B31" s="17">
        <v>0</v>
      </c>
      <c r="C31" s="17">
        <v>15.26</v>
      </c>
      <c r="D31" s="17">
        <v>15.58</v>
      </c>
      <c r="E31" s="17">
        <v>0</v>
      </c>
      <c r="F31" s="17">
        <v>50.94</v>
      </c>
      <c r="G31" s="17">
        <v>850.13</v>
      </c>
      <c r="H31" s="17">
        <v>945.9</v>
      </c>
      <c r="I31" s="17">
        <v>951.11</v>
      </c>
      <c r="J31" s="17">
        <v>937.09</v>
      </c>
      <c r="K31" s="17">
        <v>1017.43</v>
      </c>
      <c r="L31" s="17">
        <v>171.04</v>
      </c>
      <c r="M31" s="17">
        <v>592.75</v>
      </c>
      <c r="N31" s="17">
        <v>1089.74</v>
      </c>
      <c r="O31" s="17">
        <v>640.98</v>
      </c>
      <c r="P31" s="17">
        <v>975.78</v>
      </c>
    </row>
    <row r="32" spans="1:16" x14ac:dyDescent="0.3">
      <c r="A32" s="17" t="s">
        <v>108</v>
      </c>
      <c r="B32" s="17">
        <v>77.8</v>
      </c>
      <c r="C32" s="17">
        <v>63.32</v>
      </c>
      <c r="D32" s="17">
        <v>78.09</v>
      </c>
      <c r="E32" s="17">
        <v>84.92</v>
      </c>
      <c r="F32" s="17">
        <v>87.5</v>
      </c>
      <c r="G32" s="17">
        <v>1097.26</v>
      </c>
      <c r="H32" s="17">
        <v>1041.69</v>
      </c>
      <c r="I32" s="17">
        <v>1282.58</v>
      </c>
      <c r="J32" s="17">
        <v>1676.57</v>
      </c>
      <c r="K32" s="17">
        <v>2358.3200000000002</v>
      </c>
      <c r="L32" s="17">
        <v>2426.87</v>
      </c>
      <c r="M32" s="17">
        <v>2575.11</v>
      </c>
      <c r="N32" s="17">
        <v>2816.92</v>
      </c>
      <c r="O32" s="17">
        <v>3272.37</v>
      </c>
      <c r="P32" s="17">
        <v>4255.24</v>
      </c>
    </row>
    <row r="33" spans="1:21" x14ac:dyDescent="0.3">
      <c r="A33" s="19" t="s">
        <v>109</v>
      </c>
      <c r="B33" s="19">
        <v>7.98</v>
      </c>
      <c r="C33" s="19">
        <f>14.57</f>
        <v>14.57</v>
      </c>
      <c r="D33" s="19">
        <f>1.46+19.11</f>
        <v>20.57</v>
      </c>
      <c r="E33" s="19">
        <f>0.31+28.07</f>
        <v>28.38</v>
      </c>
      <c r="F33" s="19">
        <f>0.87+35.36</f>
        <v>36.229999999999997</v>
      </c>
      <c r="G33" s="19">
        <v>220.46</v>
      </c>
      <c r="H33" s="19">
        <f>43.99+270.74</f>
        <v>314.73</v>
      </c>
      <c r="I33" s="19">
        <f>20.87+430.45</f>
        <v>451.32</v>
      </c>
      <c r="J33" s="19">
        <f>65.24+627.78</f>
        <v>693.02</v>
      </c>
      <c r="K33" s="19">
        <f>18.11+888.31</f>
        <v>906.42</v>
      </c>
      <c r="L33" s="19">
        <f>167.56+85.37</f>
        <v>252.93</v>
      </c>
      <c r="M33" s="19">
        <f>170.01+86.31+0.55</f>
        <v>256.87</v>
      </c>
      <c r="N33" s="19">
        <f>147.8+58.74+0.49</f>
        <v>207.03000000000003</v>
      </c>
      <c r="O33" s="19">
        <f>82.02+142.23+58.85+0.44</f>
        <v>283.54000000000002</v>
      </c>
      <c r="P33" s="19">
        <f>91.07+111.11+58.35+3.65</f>
        <v>264.18</v>
      </c>
    </row>
    <row r="34" spans="1:21" x14ac:dyDescent="0.3">
      <c r="A34" s="19" t="s">
        <v>114</v>
      </c>
      <c r="B34" s="19">
        <v>0</v>
      </c>
      <c r="C34" s="19">
        <v>0</v>
      </c>
      <c r="D34" s="19">
        <v>0</v>
      </c>
      <c r="E34" s="19">
        <v>0</v>
      </c>
      <c r="F34" s="19">
        <v>0</v>
      </c>
      <c r="G34" s="19">
        <v>0</v>
      </c>
      <c r="H34" s="19">
        <v>7.07</v>
      </c>
      <c r="I34" s="19">
        <v>13.27</v>
      </c>
      <c r="J34" s="19">
        <v>14.6</v>
      </c>
      <c r="K34" s="19">
        <v>25.35</v>
      </c>
      <c r="L34" s="19">
        <v>287.36</v>
      </c>
      <c r="M34" s="19">
        <v>384.77</v>
      </c>
      <c r="N34" s="19">
        <v>523.44000000000005</v>
      </c>
      <c r="O34" s="19">
        <v>674.27</v>
      </c>
      <c r="P34" s="19">
        <v>883.16</v>
      </c>
    </row>
    <row r="35" spans="1:21" x14ac:dyDescent="0.3">
      <c r="A35" s="19" t="s">
        <v>115</v>
      </c>
      <c r="B35" s="19">
        <v>0</v>
      </c>
      <c r="C35" s="19">
        <v>0</v>
      </c>
      <c r="D35" s="19">
        <v>0</v>
      </c>
      <c r="E35" s="19">
        <v>0</v>
      </c>
      <c r="F35" s="19">
        <v>0</v>
      </c>
      <c r="G35" s="19">
        <v>0</v>
      </c>
      <c r="H35" s="19">
        <v>3.27</v>
      </c>
      <c r="I35" s="19">
        <v>3.27</v>
      </c>
      <c r="J35" s="19">
        <v>3.27</v>
      </c>
      <c r="K35" s="19">
        <v>3.27</v>
      </c>
      <c r="L35" s="19">
        <v>299.95999999999998</v>
      </c>
      <c r="M35" s="19">
        <v>299.95999999999998</v>
      </c>
      <c r="N35" s="19">
        <v>299.95999999999998</v>
      </c>
      <c r="O35" s="19">
        <v>299.95999999999998</v>
      </c>
      <c r="P35" s="19">
        <v>299.95999999999998</v>
      </c>
    </row>
    <row r="36" spans="1:21" x14ac:dyDescent="0.3">
      <c r="A36" s="23" t="s">
        <v>110</v>
      </c>
      <c r="B36" s="23">
        <v>6.55</v>
      </c>
      <c r="C36" s="23">
        <v>13.4</v>
      </c>
      <c r="D36" s="23">
        <v>10.44</v>
      </c>
      <c r="E36" s="23">
        <v>7.94</v>
      </c>
      <c r="F36" s="23">
        <v>8.91</v>
      </c>
      <c r="G36" s="23">
        <f>3.27+106.22</f>
        <v>109.49</v>
      </c>
      <c r="H36" s="23">
        <v>116.03</v>
      </c>
      <c r="I36" s="23">
        <v>177.14</v>
      </c>
      <c r="J36" s="23">
        <v>129.16</v>
      </c>
      <c r="K36" s="23">
        <v>148.72</v>
      </c>
      <c r="L36" s="23">
        <v>854.42</v>
      </c>
      <c r="M36" s="23">
        <v>1056.1199999999999</v>
      </c>
      <c r="N36" s="23">
        <v>882.57</v>
      </c>
      <c r="O36" s="23">
        <v>934.01</v>
      </c>
      <c r="P36" s="23">
        <v>1260.0899999999999</v>
      </c>
    </row>
    <row r="37" spans="1:21" x14ac:dyDescent="0.3">
      <c r="A37" s="18" t="s">
        <v>75</v>
      </c>
      <c r="B37" s="18">
        <f t="shared" ref="B37:P37" si="4">SUM(B23:B36)</f>
        <v>31372.419999999995</v>
      </c>
      <c r="C37" s="18">
        <f t="shared" si="4"/>
        <v>37857.4</v>
      </c>
      <c r="D37" s="18">
        <f t="shared" si="4"/>
        <v>48527.08</v>
      </c>
      <c r="E37" s="18">
        <f t="shared" si="4"/>
        <v>64654.140000000007</v>
      </c>
      <c r="F37" s="18">
        <f t="shared" si="4"/>
        <v>81827.090000000011</v>
      </c>
      <c r="G37" s="18">
        <f t="shared" si="4"/>
        <v>164391.37</v>
      </c>
      <c r="H37" s="18">
        <f t="shared" si="4"/>
        <v>171470.4</v>
      </c>
      <c r="I37" s="18">
        <f t="shared" si="4"/>
        <v>212505.35999999996</v>
      </c>
      <c r="J37" s="18">
        <f t="shared" si="4"/>
        <v>275226.31000000006</v>
      </c>
      <c r="K37" s="18">
        <f t="shared" si="4"/>
        <v>375741.62</v>
      </c>
      <c r="L37" s="18">
        <f t="shared" si="4"/>
        <v>548816.92000000004</v>
      </c>
      <c r="M37" s="18">
        <f t="shared" si="4"/>
        <v>686414.35</v>
      </c>
      <c r="N37" s="18">
        <f t="shared" si="4"/>
        <v>763164.73999999987</v>
      </c>
      <c r="O37" s="18">
        <f t="shared" si="4"/>
        <v>801489.2</v>
      </c>
      <c r="P37" s="18">
        <f t="shared" si="4"/>
        <v>964694.2</v>
      </c>
    </row>
    <row r="38" spans="1:21" ht="15" thickBot="1" x14ac:dyDescent="0.35"/>
    <row r="39" spans="1:21" x14ac:dyDescent="0.3">
      <c r="A39" s="133" t="s">
        <v>20</v>
      </c>
      <c r="B39" s="197" t="s">
        <v>331</v>
      </c>
      <c r="C39" s="197" t="s">
        <v>332</v>
      </c>
      <c r="D39" s="197" t="s">
        <v>333</v>
      </c>
      <c r="E39" s="197" t="s">
        <v>334</v>
      </c>
      <c r="F39" s="198" t="s">
        <v>335</v>
      </c>
      <c r="G39" s="199" t="s">
        <v>331</v>
      </c>
      <c r="H39" s="197" t="s">
        <v>332</v>
      </c>
      <c r="I39" s="197" t="s">
        <v>333</v>
      </c>
      <c r="J39" s="197" t="s">
        <v>334</v>
      </c>
      <c r="K39" s="200" t="s">
        <v>335</v>
      </c>
      <c r="L39" s="199" t="s">
        <v>331</v>
      </c>
      <c r="M39" s="197" t="s">
        <v>332</v>
      </c>
      <c r="N39" s="197" t="s">
        <v>333</v>
      </c>
      <c r="O39" s="197" t="s">
        <v>334</v>
      </c>
      <c r="P39" s="200" t="s">
        <v>335</v>
      </c>
      <c r="Q39" s="204"/>
      <c r="R39" s="204"/>
      <c r="S39" s="204"/>
      <c r="T39" s="204"/>
      <c r="U39" s="204"/>
    </row>
    <row r="40" spans="1:21" x14ac:dyDescent="0.3">
      <c r="A40" s="53" t="s">
        <v>330</v>
      </c>
      <c r="B40" s="17">
        <v>0</v>
      </c>
      <c r="C40" s="17"/>
      <c r="D40" s="17"/>
      <c r="E40" s="17"/>
      <c r="F40" s="132"/>
      <c r="G40" s="140"/>
      <c r="H40" s="17"/>
      <c r="I40" s="17"/>
      <c r="J40" s="17"/>
      <c r="K40" s="28"/>
      <c r="L40" s="140"/>
      <c r="M40" s="17"/>
      <c r="N40" s="17"/>
      <c r="O40" s="17"/>
      <c r="P40" s="28"/>
      <c r="Q40" s="29"/>
      <c r="R40" s="29"/>
      <c r="S40" s="29"/>
      <c r="T40" s="29"/>
      <c r="U40" s="29"/>
    </row>
    <row r="41" spans="1:21" x14ac:dyDescent="0.3">
      <c r="A41" s="53" t="s">
        <v>329</v>
      </c>
      <c r="B41" s="17">
        <v>0</v>
      </c>
      <c r="C41" s="17"/>
      <c r="D41" s="17"/>
      <c r="E41" s="17"/>
      <c r="F41" s="132"/>
      <c r="G41" s="140"/>
      <c r="H41" s="17"/>
      <c r="I41" s="17"/>
      <c r="J41" s="17"/>
      <c r="K41" s="28"/>
      <c r="L41" s="140"/>
      <c r="M41" s="17"/>
      <c r="N41" s="17"/>
      <c r="O41" s="17"/>
      <c r="P41" s="28"/>
      <c r="Q41" s="29"/>
      <c r="R41" s="29"/>
      <c r="S41" s="29"/>
      <c r="T41" s="29"/>
      <c r="U41" s="29"/>
    </row>
    <row r="42" spans="1:21" x14ac:dyDescent="0.3">
      <c r="A42" s="53" t="s">
        <v>336</v>
      </c>
      <c r="B42" s="17">
        <v>22450.99</v>
      </c>
      <c r="C42" s="17">
        <v>28119.67</v>
      </c>
      <c r="D42" s="17">
        <v>34126.15</v>
      </c>
      <c r="E42" s="17">
        <v>45901.75</v>
      </c>
      <c r="F42" s="132">
        <v>57351.83</v>
      </c>
      <c r="G42" s="140">
        <v>134916.74</v>
      </c>
      <c r="H42" s="17">
        <v>130767.5</v>
      </c>
      <c r="I42" s="17">
        <v>155832.47</v>
      </c>
      <c r="J42" s="17">
        <v>198890.13</v>
      </c>
      <c r="K42" s="28">
        <v>315149.84999999998</v>
      </c>
      <c r="L42" s="140">
        <v>465414.95</v>
      </c>
      <c r="M42" s="17">
        <v>577179.12</v>
      </c>
      <c r="N42" s="17">
        <v>628762.36</v>
      </c>
      <c r="O42" s="17">
        <v>673758.71</v>
      </c>
      <c r="P42" s="28">
        <v>815900.47</v>
      </c>
      <c r="Q42" s="29"/>
      <c r="R42" s="29"/>
      <c r="S42" s="29"/>
      <c r="T42" s="29"/>
      <c r="U42" s="29"/>
    </row>
    <row r="43" spans="1:21" x14ac:dyDescent="0.3">
      <c r="A43" s="53" t="s">
        <v>337</v>
      </c>
      <c r="B43" s="17">
        <v>5495.58</v>
      </c>
      <c r="C43" s="17">
        <v>5820.36</v>
      </c>
      <c r="D43" s="17">
        <v>6469.01</v>
      </c>
      <c r="E43" s="17">
        <v>10184.74</v>
      </c>
      <c r="F43" s="132">
        <v>11857.24</v>
      </c>
      <c r="G43" s="140">
        <v>28697.72</v>
      </c>
      <c r="H43" s="17">
        <v>32838.5</v>
      </c>
      <c r="I43" s="17">
        <v>38570.879999999997</v>
      </c>
      <c r="J43" s="17">
        <v>46152.01</v>
      </c>
      <c r="K43" s="28">
        <v>67796.11</v>
      </c>
      <c r="L43" s="140"/>
      <c r="M43" s="17"/>
      <c r="N43" s="17"/>
      <c r="O43" s="17"/>
      <c r="P43" s="28"/>
      <c r="Q43" s="29"/>
      <c r="R43" s="130"/>
      <c r="S43" s="130"/>
      <c r="T43" s="130"/>
      <c r="U43" s="130"/>
    </row>
    <row r="44" spans="1:21" x14ac:dyDescent="0.3">
      <c r="A44" s="53" t="s">
        <v>338</v>
      </c>
      <c r="B44" s="17">
        <v>151.25</v>
      </c>
      <c r="C44" s="17">
        <v>178.68</v>
      </c>
      <c r="D44" s="17">
        <v>259.95</v>
      </c>
      <c r="E44" s="17">
        <v>359.66</v>
      </c>
      <c r="F44" s="132">
        <v>348.45</v>
      </c>
      <c r="G44" s="140">
        <v>5043.43</v>
      </c>
      <c r="H44" s="17">
        <v>4179.83</v>
      </c>
      <c r="I44" s="17">
        <v>3850.54</v>
      </c>
      <c r="J44" s="17">
        <v>3513.81</v>
      </c>
      <c r="K44" s="28">
        <v>3166.61</v>
      </c>
      <c r="L44" s="140"/>
      <c r="M44" s="17"/>
      <c r="N44" s="17"/>
      <c r="O44" s="17"/>
      <c r="P44" s="28"/>
      <c r="Q44" s="29"/>
      <c r="R44" s="130"/>
      <c r="S44" s="130"/>
      <c r="T44" s="130"/>
      <c r="U44" s="130"/>
    </row>
    <row r="45" spans="1:21" x14ac:dyDescent="0.3">
      <c r="A45" s="53" t="s">
        <v>339</v>
      </c>
      <c r="B45" s="17"/>
      <c r="C45" s="17"/>
      <c r="D45" s="17"/>
      <c r="E45" s="17"/>
      <c r="F45" s="132"/>
      <c r="G45" s="140"/>
      <c r="H45" s="17"/>
      <c r="I45" s="17"/>
      <c r="J45" s="17"/>
      <c r="K45" s="28"/>
      <c r="L45" s="140">
        <v>113095.18</v>
      </c>
      <c r="M45" s="17">
        <v>151879.74</v>
      </c>
      <c r="N45" s="17">
        <v>182960.89</v>
      </c>
      <c r="O45" s="17">
        <v>208943.81</v>
      </c>
      <c r="P45" s="28">
        <v>241570.84</v>
      </c>
      <c r="Q45" s="29"/>
      <c r="R45" s="29"/>
      <c r="S45" s="29"/>
      <c r="T45" s="29"/>
      <c r="U45" s="29"/>
    </row>
    <row r="46" spans="1:21" ht="15" thickBot="1" x14ac:dyDescent="0.35">
      <c r="A46" s="202" t="s">
        <v>340</v>
      </c>
      <c r="B46" s="135"/>
      <c r="C46" s="135"/>
      <c r="D46" s="135"/>
      <c r="E46" s="135"/>
      <c r="F46" s="137">
        <v>0.09</v>
      </c>
      <c r="G46" s="141">
        <v>0.19600000000000001</v>
      </c>
      <c r="H46" s="135">
        <v>0.23599999999999999</v>
      </c>
      <c r="I46" s="135">
        <v>0.23799999999999999</v>
      </c>
      <c r="J46" s="135">
        <v>0.23200000000000001</v>
      </c>
      <c r="K46" s="136">
        <v>0.22700000000000001</v>
      </c>
      <c r="L46" s="141">
        <f>L45/L42</f>
        <v>0.24299859727325043</v>
      </c>
      <c r="M46" s="141">
        <f t="shared" ref="M46:P46" si="5">M45/M42</f>
        <v>0.2631414317274679</v>
      </c>
      <c r="N46" s="141">
        <f t="shared" si="5"/>
        <v>0.29098575493609385</v>
      </c>
      <c r="O46" s="141">
        <f t="shared" si="5"/>
        <v>0.31011667366793672</v>
      </c>
      <c r="P46" s="141">
        <f t="shared" si="5"/>
        <v>0.29607880971069916</v>
      </c>
      <c r="Q46" s="130"/>
      <c r="R46" s="130"/>
      <c r="S46" s="130"/>
      <c r="T46" s="130"/>
      <c r="U46" s="130"/>
    </row>
  </sheetData>
  <mergeCells count="7">
    <mergeCell ref="A1:P1"/>
    <mergeCell ref="A4:P4"/>
    <mergeCell ref="A10:P10"/>
    <mergeCell ref="L2:P2"/>
    <mergeCell ref="B2:F2"/>
    <mergeCell ref="G2:K2"/>
    <mergeCell ref="A2:A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607C7-A60F-4C84-A7BF-DE34D2F8AB6F}">
  <sheetPr>
    <tabColor rgb="FF0070C0"/>
  </sheetPr>
  <dimension ref="A1:AK343"/>
  <sheetViews>
    <sheetView workbookViewId="0">
      <pane xSplit="1" topLeftCell="S1" activePane="topRight" state="frozen"/>
      <selection pane="topRight" activeCell="B21" sqref="B21"/>
    </sheetView>
  </sheetViews>
  <sheetFormatPr defaultRowHeight="14.4" x14ac:dyDescent="0.3"/>
  <cols>
    <col min="1" max="1" width="36" style="43" bestFit="1" customWidth="1"/>
    <col min="2" max="2" width="19.88671875" style="43" bestFit="1" customWidth="1"/>
    <col min="3" max="3" width="13.5546875" style="43" bestFit="1" customWidth="1"/>
    <col min="4" max="7" width="12.5546875" style="43" bestFit="1" customWidth="1"/>
    <col min="8" max="11" width="12.33203125" style="43" bestFit="1" customWidth="1"/>
    <col min="12" max="13" width="12.5546875" style="43" bestFit="1" customWidth="1"/>
    <col min="14" max="14" width="12.33203125" style="43" bestFit="1" customWidth="1"/>
    <col min="15" max="16" width="12.5546875" style="43" bestFit="1" customWidth="1"/>
    <col min="17" max="21" width="12.33203125" style="43" bestFit="1" customWidth="1"/>
    <col min="22" max="22" width="30.33203125" style="43" customWidth="1"/>
    <col min="23" max="23" width="10" style="43" bestFit="1" customWidth="1"/>
    <col min="24" max="37" width="9.109375" style="43" bestFit="1" customWidth="1"/>
    <col min="38" max="16384" width="8.88671875" style="43"/>
  </cols>
  <sheetData>
    <row r="1" spans="1:37" s="41" customFormat="1" ht="33.6" x14ac:dyDescent="0.3">
      <c r="A1" s="548" t="s">
        <v>117</v>
      </c>
      <c r="B1" s="548"/>
      <c r="C1" s="548"/>
      <c r="D1" s="548"/>
      <c r="E1" s="548"/>
      <c r="F1" s="548"/>
      <c r="G1" s="548"/>
      <c r="H1" s="548"/>
      <c r="I1" s="548"/>
      <c r="J1" s="548"/>
      <c r="K1" s="548"/>
      <c r="L1" s="548"/>
      <c r="M1" s="548"/>
      <c r="N1" s="548"/>
      <c r="O1" s="548"/>
      <c r="P1" s="548"/>
      <c r="Q1" s="548"/>
      <c r="R1" s="548"/>
      <c r="S1" s="548"/>
      <c r="T1" s="548"/>
      <c r="U1" s="548"/>
      <c r="V1" s="24"/>
      <c r="W1" s="24"/>
      <c r="X1" s="24"/>
      <c r="Y1" s="24"/>
      <c r="Z1" s="24"/>
      <c r="AA1" s="24"/>
      <c r="AB1" s="24"/>
      <c r="AC1" s="24"/>
      <c r="AD1" s="24"/>
      <c r="AE1" s="24"/>
      <c r="AF1" s="24"/>
      <c r="AG1" s="24"/>
      <c r="AH1" s="24"/>
      <c r="AI1" s="24"/>
      <c r="AJ1" s="24"/>
      <c r="AK1" s="24"/>
    </row>
    <row r="2" spans="1:37" s="42" customFormat="1" ht="44.4" customHeight="1" x14ac:dyDescent="0.3">
      <c r="A2" s="549" t="s">
        <v>20</v>
      </c>
      <c r="B2" s="550" t="e" vm="3">
        <v>#VALUE!</v>
      </c>
      <c r="C2" s="550"/>
      <c r="D2" s="550"/>
      <c r="E2" s="550"/>
      <c r="F2" s="550"/>
      <c r="G2" s="550" t="e" vm="1">
        <v>#VALUE!</v>
      </c>
      <c r="H2" s="550"/>
      <c r="I2" s="550"/>
      <c r="J2" s="550"/>
      <c r="K2" s="550"/>
      <c r="L2" s="550" t="e" vm="2">
        <v>#VALUE!</v>
      </c>
      <c r="M2" s="550"/>
      <c r="N2" s="550"/>
      <c r="O2" s="550"/>
      <c r="P2" s="550"/>
      <c r="Q2" s="550" t="e" vm="4">
        <v>#VALUE!</v>
      </c>
      <c r="R2" s="550"/>
      <c r="S2" s="550"/>
      <c r="T2" s="550"/>
      <c r="U2" s="550"/>
    </row>
    <row r="3" spans="1:37" s="14" customFormat="1" x14ac:dyDescent="0.3">
      <c r="A3" s="549"/>
      <c r="B3" s="13">
        <v>2020</v>
      </c>
      <c r="C3" s="13">
        <v>2021</v>
      </c>
      <c r="D3" s="13">
        <v>2022</v>
      </c>
      <c r="E3" s="13">
        <v>2023</v>
      </c>
      <c r="F3" s="13">
        <v>2024</v>
      </c>
      <c r="G3" s="13">
        <v>2020</v>
      </c>
      <c r="H3" s="13">
        <v>2021</v>
      </c>
      <c r="I3" s="13">
        <v>2022</v>
      </c>
      <c r="J3" s="13">
        <v>2023</v>
      </c>
      <c r="K3" s="13">
        <v>2024</v>
      </c>
      <c r="L3" s="13">
        <v>2020</v>
      </c>
      <c r="M3" s="13">
        <v>2021</v>
      </c>
      <c r="N3" s="13">
        <v>2022</v>
      </c>
      <c r="O3" s="13">
        <v>2023</v>
      </c>
      <c r="P3" s="13">
        <v>2024</v>
      </c>
      <c r="Q3" s="13">
        <v>2020</v>
      </c>
      <c r="R3" s="13">
        <v>2021</v>
      </c>
      <c r="S3" s="13">
        <v>2022</v>
      </c>
      <c r="T3" s="13">
        <v>2023</v>
      </c>
      <c r="U3" s="13">
        <v>2024</v>
      </c>
    </row>
    <row r="4" spans="1:37" x14ac:dyDescent="0.3">
      <c r="A4" s="547" t="s">
        <v>118</v>
      </c>
      <c r="B4" s="547"/>
      <c r="C4" s="547"/>
      <c r="D4" s="547"/>
      <c r="E4" s="547"/>
      <c r="F4" s="547"/>
      <c r="G4" s="547"/>
      <c r="H4" s="547"/>
      <c r="I4" s="547"/>
      <c r="J4" s="547"/>
      <c r="K4" s="547"/>
      <c r="L4" s="547"/>
      <c r="M4" s="547"/>
      <c r="N4" s="547"/>
      <c r="O4" s="547"/>
      <c r="P4" s="547"/>
      <c r="Q4" s="547"/>
      <c r="R4" s="547"/>
      <c r="S4" s="547"/>
      <c r="T4" s="547"/>
      <c r="U4" s="547"/>
    </row>
    <row r="5" spans="1:37" x14ac:dyDescent="0.3">
      <c r="A5" s="46" t="s">
        <v>119</v>
      </c>
      <c r="B5" s="47">
        <v>63715.68</v>
      </c>
      <c r="C5" s="47">
        <v>64397.36</v>
      </c>
      <c r="D5" s="47">
        <v>68846.06</v>
      </c>
      <c r="E5" s="47">
        <v>87448.37</v>
      </c>
      <c r="F5" s="47">
        <v>112759.05</v>
      </c>
      <c r="G5" s="47">
        <v>122189.29150000001</v>
      </c>
      <c r="H5" s="47">
        <v>128552.3933</v>
      </c>
      <c r="I5" s="47">
        <v>135936.41</v>
      </c>
      <c r="J5" s="47">
        <v>170754.05</v>
      </c>
      <c r="K5" s="47">
        <v>283649.02</v>
      </c>
      <c r="L5" s="47">
        <v>84835.773000000001</v>
      </c>
      <c r="M5" s="47">
        <v>79118.270999999993</v>
      </c>
      <c r="N5" s="47">
        <v>86374.545199999993</v>
      </c>
      <c r="O5" s="47">
        <v>121066.8098</v>
      </c>
      <c r="P5" s="47">
        <v>159515.9252</v>
      </c>
      <c r="Q5" s="47">
        <v>269851.65000000002</v>
      </c>
      <c r="R5" s="47">
        <v>278115.4767</v>
      </c>
      <c r="S5" s="47">
        <v>289972.68599999999</v>
      </c>
      <c r="T5" s="47">
        <v>350844.58010000002</v>
      </c>
      <c r="U5" s="49">
        <v>439188.5123</v>
      </c>
      <c r="V5" s="303">
        <f>U5-U9</f>
        <v>179452.46419999999</v>
      </c>
    </row>
    <row r="6" spans="1:37" x14ac:dyDescent="0.3">
      <c r="A6" s="46" t="s">
        <v>120</v>
      </c>
      <c r="B6" s="47">
        <v>16341.99</v>
      </c>
      <c r="C6" s="47">
        <v>13576.92</v>
      </c>
      <c r="D6" s="47">
        <v>17268.13</v>
      </c>
      <c r="E6" s="47">
        <v>18348.93</v>
      </c>
      <c r="F6" s="47">
        <v>25230.31</v>
      </c>
      <c r="G6" s="47">
        <v>24878.9748</v>
      </c>
      <c r="H6" s="47">
        <v>27332.880300000001</v>
      </c>
      <c r="I6" s="47">
        <v>31758.99</v>
      </c>
      <c r="J6" s="47">
        <v>33912.050000000003</v>
      </c>
      <c r="K6" s="47">
        <v>124345.75</v>
      </c>
      <c r="L6" s="47">
        <v>64950.330099999999</v>
      </c>
      <c r="M6" s="47">
        <v>18968.527399999999</v>
      </c>
      <c r="N6" s="47">
        <v>18517.529900000001</v>
      </c>
      <c r="O6" s="47">
        <v>65111.991199999997</v>
      </c>
      <c r="P6" s="47">
        <v>76521.801999999996</v>
      </c>
      <c r="Q6" s="47">
        <v>98158.99</v>
      </c>
      <c r="R6" s="47">
        <v>107222.41379999999</v>
      </c>
      <c r="S6" s="47">
        <v>117000.4037</v>
      </c>
      <c r="T6" s="47">
        <v>122533.56110000001</v>
      </c>
      <c r="U6" s="47">
        <v>155386.3922</v>
      </c>
    </row>
    <row r="7" spans="1:37" s="45" customFormat="1" x14ac:dyDescent="0.3">
      <c r="A7" s="48" t="s">
        <v>121</v>
      </c>
      <c r="B7" s="22">
        <f>B5+B6</f>
        <v>80057.67</v>
      </c>
      <c r="C7" s="22">
        <f t="shared" ref="C7:U7" si="0">C5+C6</f>
        <v>77974.28</v>
      </c>
      <c r="D7" s="22">
        <f t="shared" si="0"/>
        <v>86114.19</v>
      </c>
      <c r="E7" s="22">
        <f t="shared" si="0"/>
        <v>105797.29999999999</v>
      </c>
      <c r="F7" s="22">
        <f t="shared" si="0"/>
        <v>137989.36000000002</v>
      </c>
      <c r="G7" s="22">
        <f t="shared" si="0"/>
        <v>147068.26630000002</v>
      </c>
      <c r="H7" s="22">
        <f t="shared" si="0"/>
        <v>155885.27359999999</v>
      </c>
      <c r="I7" s="22">
        <f t="shared" si="0"/>
        <v>167695.4</v>
      </c>
      <c r="J7" s="22">
        <f t="shared" si="0"/>
        <v>204666.09999999998</v>
      </c>
      <c r="K7" s="22">
        <f t="shared" si="0"/>
        <v>407994.77</v>
      </c>
      <c r="L7" s="22">
        <f t="shared" si="0"/>
        <v>149786.10310000001</v>
      </c>
      <c r="M7" s="22">
        <f t="shared" si="0"/>
        <v>98086.7984</v>
      </c>
      <c r="N7" s="22">
        <f t="shared" si="0"/>
        <v>104892.07509999999</v>
      </c>
      <c r="O7" s="22">
        <f t="shared" si="0"/>
        <v>186178.80100000001</v>
      </c>
      <c r="P7" s="22">
        <f t="shared" si="0"/>
        <v>236037.72719999999</v>
      </c>
      <c r="Q7" s="22">
        <f t="shared" si="0"/>
        <v>368010.64</v>
      </c>
      <c r="R7" s="22">
        <f t="shared" si="0"/>
        <v>385337.89049999998</v>
      </c>
      <c r="S7" s="22">
        <f t="shared" si="0"/>
        <v>406973.08970000001</v>
      </c>
      <c r="T7" s="22">
        <f t="shared" si="0"/>
        <v>473378.14120000001</v>
      </c>
      <c r="U7" s="22">
        <f t="shared" si="0"/>
        <v>594574.90449999995</v>
      </c>
      <c r="V7" s="337"/>
    </row>
    <row r="8" spans="1:37" x14ac:dyDescent="0.3">
      <c r="A8" s="547" t="s">
        <v>122</v>
      </c>
      <c r="B8" s="547"/>
      <c r="C8" s="547"/>
      <c r="D8" s="547"/>
      <c r="E8" s="547"/>
      <c r="F8" s="547"/>
      <c r="G8" s="547"/>
      <c r="H8" s="547"/>
      <c r="I8" s="547"/>
      <c r="J8" s="547"/>
      <c r="K8" s="547"/>
      <c r="L8" s="547"/>
      <c r="M8" s="547"/>
      <c r="N8" s="547"/>
      <c r="O8" s="547"/>
      <c r="P8" s="547"/>
      <c r="Q8" s="547"/>
      <c r="R8" s="547"/>
      <c r="S8" s="547"/>
      <c r="T8" s="547"/>
      <c r="U8" s="547"/>
    </row>
    <row r="9" spans="1:37" x14ac:dyDescent="0.3">
      <c r="A9" s="46" t="s">
        <v>123</v>
      </c>
      <c r="B9" s="47">
        <v>37995.94</v>
      </c>
      <c r="C9" s="47">
        <v>34627.379999999997</v>
      </c>
      <c r="D9" s="47">
        <v>34922.660000000003</v>
      </c>
      <c r="E9" s="47">
        <v>43389.15</v>
      </c>
      <c r="F9" s="47">
        <v>61390.74</v>
      </c>
      <c r="G9" s="47">
        <v>62137.421600000001</v>
      </c>
      <c r="H9" s="47">
        <v>59247.579899999997</v>
      </c>
      <c r="I9" s="47">
        <v>58584.33</v>
      </c>
      <c r="J9" s="47">
        <v>77779.94</v>
      </c>
      <c r="K9" s="47">
        <v>154138.54999999999</v>
      </c>
      <c r="L9" s="47">
        <v>44665.522199999999</v>
      </c>
      <c r="M9" s="47">
        <v>40128.837399999997</v>
      </c>
      <c r="N9" s="47">
        <v>38908.450700000001</v>
      </c>
      <c r="O9" s="47">
        <v>50543.387900000002</v>
      </c>
      <c r="P9" s="47">
        <v>74108.162700000001</v>
      </c>
      <c r="Q9" s="47">
        <v>161123.79860000001</v>
      </c>
      <c r="R9" s="47">
        <v>156010.16709999999</v>
      </c>
      <c r="S9" s="47">
        <v>156194.34409999999</v>
      </c>
      <c r="T9" s="47">
        <v>189980.8167</v>
      </c>
      <c r="U9" s="47">
        <v>259736.04810000001</v>
      </c>
    </row>
    <row r="10" spans="1:37" x14ac:dyDescent="0.3">
      <c r="A10" s="46" t="s">
        <v>124</v>
      </c>
      <c r="B10" s="47">
        <v>18065.7585</v>
      </c>
      <c r="C10" s="47">
        <v>19174.88</v>
      </c>
      <c r="D10" s="47">
        <v>24824.23</v>
      </c>
      <c r="E10" s="47">
        <v>40869.620000000003</v>
      </c>
      <c r="F10" s="47">
        <v>37242.550000000003</v>
      </c>
      <c r="G10" s="47">
        <v>33036.055500000002</v>
      </c>
      <c r="H10" s="47">
        <v>35001.256800000003</v>
      </c>
      <c r="I10" s="47">
        <v>40312.43</v>
      </c>
      <c r="J10" s="47">
        <v>51533.69</v>
      </c>
      <c r="K10" s="47">
        <v>152269.34</v>
      </c>
      <c r="L10" s="47">
        <v>71517.898799999995</v>
      </c>
      <c r="M10" s="47">
        <v>21560.833999999999</v>
      </c>
      <c r="N10" s="47">
        <v>26733.315999999999</v>
      </c>
      <c r="O10" s="47">
        <v>82439.023199999996</v>
      </c>
      <c r="P10" s="47">
        <v>97782.792199999996</v>
      </c>
      <c r="Q10" s="47">
        <v>131781.56</v>
      </c>
      <c r="R10" s="47">
        <v>150429.59529999999</v>
      </c>
      <c r="S10" s="47">
        <v>174363.4258</v>
      </c>
      <c r="T10" s="47">
        <v>189814.4859</v>
      </c>
      <c r="U10" s="47">
        <v>235893.8388</v>
      </c>
    </row>
    <row r="11" spans="1:37" x14ac:dyDescent="0.3">
      <c r="A11" s="46" t="s">
        <v>125</v>
      </c>
      <c r="B11" s="47">
        <v>22117.220099999999</v>
      </c>
      <c r="C11" s="47">
        <v>16919.63</v>
      </c>
      <c r="D11" s="47">
        <v>12202.95</v>
      </c>
      <c r="E11" s="47">
        <v>10685.87</v>
      </c>
      <c r="F11" s="47">
        <v>12932.53</v>
      </c>
      <c r="G11" s="47">
        <v>24598.5239</v>
      </c>
      <c r="H11" s="47">
        <v>29779.668799999999</v>
      </c>
      <c r="I11" s="47">
        <v>30647.74</v>
      </c>
      <c r="J11" s="47">
        <v>29203.77</v>
      </c>
      <c r="K11" s="47">
        <v>36140.379999999997</v>
      </c>
      <c r="L11" s="47">
        <v>22377.214100000001</v>
      </c>
      <c r="M11" s="47">
        <v>20204.442899999998</v>
      </c>
      <c r="N11" s="47">
        <v>15910.8177</v>
      </c>
      <c r="O11" s="47">
        <v>18733.3629</v>
      </c>
      <c r="P11" s="47">
        <v>19140.027600000001</v>
      </c>
      <c r="Q11" s="47">
        <v>56928.4591</v>
      </c>
      <c r="R11" s="47">
        <v>54618.4087</v>
      </c>
      <c r="S11" s="47">
        <v>40059.148399999998</v>
      </c>
      <c r="T11" s="47">
        <v>37024.4087</v>
      </c>
      <c r="U11" s="47">
        <v>30806.756700000002</v>
      </c>
    </row>
    <row r="12" spans="1:37" s="45" customFormat="1" x14ac:dyDescent="0.3">
      <c r="A12" s="48" t="s">
        <v>126</v>
      </c>
      <c r="B12" s="22">
        <f>B9+B10+B11</f>
        <v>78178.918600000005</v>
      </c>
      <c r="C12" s="22">
        <f t="shared" ref="C12:U12" si="1">C9+C10+C11</f>
        <v>70721.89</v>
      </c>
      <c r="D12" s="22">
        <f t="shared" si="1"/>
        <v>71949.84</v>
      </c>
      <c r="E12" s="22">
        <f t="shared" si="1"/>
        <v>94944.639999999999</v>
      </c>
      <c r="F12" s="22">
        <f t="shared" si="1"/>
        <v>111565.82</v>
      </c>
      <c r="G12" s="22">
        <f t="shared" si="1"/>
        <v>119772.001</v>
      </c>
      <c r="H12" s="22">
        <f t="shared" si="1"/>
        <v>124028.5055</v>
      </c>
      <c r="I12" s="22">
        <f t="shared" si="1"/>
        <v>129544.50000000001</v>
      </c>
      <c r="J12" s="22">
        <f t="shared" si="1"/>
        <v>158517.4</v>
      </c>
      <c r="K12" s="22">
        <f t="shared" si="1"/>
        <v>342548.27</v>
      </c>
      <c r="L12" s="22">
        <f t="shared" si="1"/>
        <v>138560.63510000001</v>
      </c>
      <c r="M12" s="22">
        <f t="shared" si="1"/>
        <v>81894.114299999987</v>
      </c>
      <c r="N12" s="22">
        <f t="shared" si="1"/>
        <v>81552.584400000007</v>
      </c>
      <c r="O12" s="22">
        <f t="shared" si="1"/>
        <v>151715.774</v>
      </c>
      <c r="P12" s="22">
        <f t="shared" si="1"/>
        <v>191030.98250000001</v>
      </c>
      <c r="Q12" s="22">
        <f t="shared" si="1"/>
        <v>349833.81770000001</v>
      </c>
      <c r="R12" s="22">
        <f t="shared" si="1"/>
        <v>361058.17110000004</v>
      </c>
      <c r="S12" s="22">
        <f t="shared" si="1"/>
        <v>370616.91829999996</v>
      </c>
      <c r="T12" s="22">
        <f t="shared" si="1"/>
        <v>416819.71129999997</v>
      </c>
      <c r="U12" s="50">
        <f t="shared" si="1"/>
        <v>526436.64360000007</v>
      </c>
    </row>
    <row r="13" spans="1:37" s="45" customFormat="1" x14ac:dyDescent="0.3">
      <c r="A13" s="48" t="s">
        <v>127</v>
      </c>
      <c r="B13" s="22">
        <f>B7-B12</f>
        <v>1878.7513999999937</v>
      </c>
      <c r="C13" s="22">
        <f t="shared" ref="C13:U13" si="2">C7-C12</f>
        <v>7252.3899999999994</v>
      </c>
      <c r="D13" s="22">
        <f t="shared" si="2"/>
        <v>14164.350000000006</v>
      </c>
      <c r="E13" s="22">
        <f t="shared" si="2"/>
        <v>10852.659999999989</v>
      </c>
      <c r="F13" s="22">
        <f t="shared" si="2"/>
        <v>26423.540000000008</v>
      </c>
      <c r="G13" s="22">
        <f t="shared" si="2"/>
        <v>27296.265300000014</v>
      </c>
      <c r="H13" s="22">
        <f t="shared" si="2"/>
        <v>31856.768099999987</v>
      </c>
      <c r="I13" s="22">
        <f t="shared" si="2"/>
        <v>38150.89999999998</v>
      </c>
      <c r="J13" s="22">
        <f t="shared" si="2"/>
        <v>46148.699999999983</v>
      </c>
      <c r="K13" s="22">
        <f t="shared" si="2"/>
        <v>65446.5</v>
      </c>
      <c r="L13" s="22">
        <f t="shared" si="2"/>
        <v>11225.467999999993</v>
      </c>
      <c r="M13" s="22">
        <f t="shared" si="2"/>
        <v>16192.684100000013</v>
      </c>
      <c r="N13" s="22">
        <f t="shared" si="2"/>
        <v>23339.49069999998</v>
      </c>
      <c r="O13" s="22">
        <f t="shared" si="2"/>
        <v>34463.027000000002</v>
      </c>
      <c r="P13" s="22">
        <f t="shared" si="2"/>
        <v>45006.744699999981</v>
      </c>
      <c r="Q13" s="22">
        <f t="shared" si="2"/>
        <v>18176.8223</v>
      </c>
      <c r="R13" s="22">
        <f t="shared" si="2"/>
        <v>24279.719399999944</v>
      </c>
      <c r="S13" s="22">
        <f t="shared" si="2"/>
        <v>36356.17140000005</v>
      </c>
      <c r="T13" s="22">
        <f t="shared" si="2"/>
        <v>56558.429900000046</v>
      </c>
      <c r="U13" s="22">
        <f t="shared" si="2"/>
        <v>68138.260899999877</v>
      </c>
    </row>
    <row r="14" spans="1:37" x14ac:dyDescent="0.3">
      <c r="A14" s="46" t="s">
        <v>23</v>
      </c>
      <c r="B14" s="47">
        <v>-25.640899999999998</v>
      </c>
      <c r="C14" s="47">
        <v>-56.89</v>
      </c>
      <c r="D14" s="47">
        <f>-87.6+42.54</f>
        <v>-45.059999999999995</v>
      </c>
      <c r="E14" s="47">
        <f>-100.06+65.85</f>
        <v>-34.210000000000008</v>
      </c>
      <c r="F14" s="47">
        <f>-106.05+68.71</f>
        <v>-37.340000000000003</v>
      </c>
      <c r="G14" s="47">
        <v>-42.314700000000002</v>
      </c>
      <c r="H14" s="47">
        <f>-23.559</f>
        <v>-23.559000000000001</v>
      </c>
      <c r="I14" s="47">
        <v>-98.15</v>
      </c>
      <c r="J14" s="47">
        <v>-151.59</v>
      </c>
      <c r="K14" s="47">
        <v>-1384.46</v>
      </c>
      <c r="L14" s="47">
        <v>-1659.1602</v>
      </c>
      <c r="M14" s="47">
        <v>0</v>
      </c>
      <c r="N14" s="47">
        <v>0</v>
      </c>
      <c r="O14" s="47">
        <f>-1424.6738+998.2876</f>
        <v>-426.38620000000003</v>
      </c>
      <c r="P14" s="47">
        <f>-1824.1392+1073.768</f>
        <v>-750.37120000000004</v>
      </c>
      <c r="Q14" s="47">
        <f>-1372.1667+2963.1404</f>
        <v>1590.9737000000002</v>
      </c>
      <c r="R14" s="47">
        <f>-1482.3573-391.9045</f>
        <v>-1874.2617999999998</v>
      </c>
      <c r="S14" s="47">
        <f>-1809.3049+827.0133</f>
        <v>-982.29160000000013</v>
      </c>
      <c r="T14" s="47">
        <f>1191.4521-2101.7092</f>
        <v>-910.25709999999981</v>
      </c>
      <c r="U14" s="49">
        <f>1405.1543-2458.7491</f>
        <v>-1053.5948000000001</v>
      </c>
    </row>
    <row r="15" spans="1:37" s="45" customFormat="1" x14ac:dyDescent="0.3">
      <c r="A15" s="48" t="s">
        <v>128</v>
      </c>
      <c r="B15" s="22">
        <f>B13+B14</f>
        <v>1853.1104999999936</v>
      </c>
      <c r="C15" s="22">
        <f t="shared" ref="C15:U15" si="3">C13+C14</f>
        <v>7195.4999999999991</v>
      </c>
      <c r="D15" s="22">
        <f t="shared" si="3"/>
        <v>14119.290000000006</v>
      </c>
      <c r="E15" s="22">
        <f t="shared" si="3"/>
        <v>10818.44999999999</v>
      </c>
      <c r="F15" s="22">
        <f t="shared" si="3"/>
        <v>26386.200000000008</v>
      </c>
      <c r="G15" s="22">
        <f t="shared" si="3"/>
        <v>27253.950600000015</v>
      </c>
      <c r="H15" s="22">
        <f t="shared" si="3"/>
        <v>31833.209099999985</v>
      </c>
      <c r="I15" s="22">
        <f t="shared" si="3"/>
        <v>38052.749999999978</v>
      </c>
      <c r="J15" s="22">
        <f t="shared" si="3"/>
        <v>45997.109999999986</v>
      </c>
      <c r="K15" s="22">
        <f t="shared" si="3"/>
        <v>64062.04</v>
      </c>
      <c r="L15" s="22">
        <f t="shared" si="3"/>
        <v>9566.3077999999932</v>
      </c>
      <c r="M15" s="22">
        <f t="shared" si="3"/>
        <v>16192.684100000013</v>
      </c>
      <c r="N15" s="22">
        <f t="shared" si="3"/>
        <v>23339.49069999998</v>
      </c>
      <c r="O15" s="22">
        <f t="shared" si="3"/>
        <v>34036.640800000001</v>
      </c>
      <c r="P15" s="22">
        <f t="shared" si="3"/>
        <v>44256.37349999998</v>
      </c>
      <c r="Q15" s="22">
        <f t="shared" si="3"/>
        <v>19767.795999999998</v>
      </c>
      <c r="R15" s="22">
        <f t="shared" si="3"/>
        <v>22405.457599999943</v>
      </c>
      <c r="S15" s="22">
        <f t="shared" si="3"/>
        <v>35373.879800000053</v>
      </c>
      <c r="T15" s="22">
        <f t="shared" si="3"/>
        <v>55648.172800000044</v>
      </c>
      <c r="U15" s="22">
        <f t="shared" si="3"/>
        <v>67084.666099999871</v>
      </c>
    </row>
    <row r="16" spans="1:37" x14ac:dyDescent="0.3">
      <c r="A16" s="46" t="s">
        <v>129</v>
      </c>
      <c r="B16" s="47">
        <v>25117.523000000001</v>
      </c>
      <c r="C16" s="47">
        <v>27125.82</v>
      </c>
      <c r="D16" s="47">
        <v>31466.92</v>
      </c>
      <c r="E16" s="47">
        <v>40604.49</v>
      </c>
      <c r="F16" s="47">
        <v>47769.25</v>
      </c>
      <c r="G16" s="47">
        <v>52849.607499999998</v>
      </c>
      <c r="H16" s="47">
        <v>61817.6878</v>
      </c>
      <c r="I16" s="47">
        <v>78594.2</v>
      </c>
      <c r="J16" s="47">
        <v>99062.77</v>
      </c>
      <c r="K16" s="47">
        <f>120369.35+3570.1</f>
        <v>123939.45000000001</v>
      </c>
      <c r="L16" s="47">
        <v>22020.1086</v>
      </c>
      <c r="M16" s="47">
        <v>21327.4679</v>
      </c>
      <c r="N16" s="47">
        <v>31009.065699999999</v>
      </c>
      <c r="O16" s="47">
        <v>50898.8514</v>
      </c>
      <c r="P16" s="47">
        <v>65638.676900000006</v>
      </c>
      <c r="Q16" s="47">
        <v>-8328.3999000000003</v>
      </c>
      <c r="R16" s="47">
        <v>-1361.7425000000001</v>
      </c>
      <c r="S16" s="47">
        <v>8096.5411999999997</v>
      </c>
      <c r="T16" s="47">
        <v>20394.3505</v>
      </c>
      <c r="U16" s="47">
        <v>41923.302799999998</v>
      </c>
    </row>
    <row r="17" spans="1:21" x14ac:dyDescent="0.3">
      <c r="A17" s="48" t="s">
        <v>130</v>
      </c>
      <c r="B17" s="22">
        <f>B15+B16</f>
        <v>26970.633499999996</v>
      </c>
      <c r="C17" s="22">
        <f t="shared" ref="C17:U17" si="4">C15+C16</f>
        <v>34321.32</v>
      </c>
      <c r="D17" s="22">
        <f t="shared" si="4"/>
        <v>45586.210000000006</v>
      </c>
      <c r="E17" s="22">
        <f t="shared" si="4"/>
        <v>51422.939999999988</v>
      </c>
      <c r="F17" s="22">
        <f t="shared" si="4"/>
        <v>74155.450000000012</v>
      </c>
      <c r="G17" s="22">
        <f t="shared" si="4"/>
        <v>80103.558100000009</v>
      </c>
      <c r="H17" s="22">
        <f t="shared" si="4"/>
        <v>93650.896899999992</v>
      </c>
      <c r="I17" s="22">
        <f t="shared" si="4"/>
        <v>116646.94999999998</v>
      </c>
      <c r="J17" s="22">
        <f t="shared" si="4"/>
        <v>145059.88</v>
      </c>
      <c r="K17" s="22">
        <f t="shared" si="4"/>
        <v>188001.49000000002</v>
      </c>
      <c r="L17" s="22">
        <f t="shared" si="4"/>
        <v>31586.416399999995</v>
      </c>
      <c r="M17" s="22">
        <f t="shared" si="4"/>
        <v>37520.152000000016</v>
      </c>
      <c r="N17" s="22">
        <f t="shared" si="4"/>
        <v>54348.556399999979</v>
      </c>
      <c r="O17" s="22">
        <f t="shared" si="4"/>
        <v>84935.492200000008</v>
      </c>
      <c r="P17" s="22">
        <f t="shared" si="4"/>
        <v>109895.05039999998</v>
      </c>
      <c r="Q17" s="22">
        <f t="shared" si="4"/>
        <v>11439.396099999998</v>
      </c>
      <c r="R17" s="22">
        <f t="shared" si="4"/>
        <v>21043.715099999943</v>
      </c>
      <c r="S17" s="22">
        <f t="shared" si="4"/>
        <v>43470.421000000053</v>
      </c>
      <c r="T17" s="22">
        <f t="shared" si="4"/>
        <v>76042.523300000044</v>
      </c>
      <c r="U17" s="22">
        <f t="shared" si="4"/>
        <v>109007.96889999986</v>
      </c>
    </row>
    <row r="18" spans="1:21" x14ac:dyDescent="0.3">
      <c r="A18" s="547" t="s">
        <v>132</v>
      </c>
      <c r="B18" s="547"/>
      <c r="C18" s="547"/>
      <c r="D18" s="547"/>
      <c r="E18" s="547"/>
      <c r="F18" s="547"/>
      <c r="G18" s="547"/>
      <c r="H18" s="547"/>
      <c r="I18" s="547"/>
      <c r="J18" s="547"/>
      <c r="K18" s="547"/>
      <c r="L18" s="547"/>
      <c r="M18" s="547"/>
      <c r="N18" s="547"/>
      <c r="O18" s="547"/>
      <c r="P18" s="547"/>
      <c r="Q18" s="547"/>
      <c r="R18" s="547"/>
      <c r="S18" s="547"/>
      <c r="T18" s="547"/>
      <c r="U18" s="547"/>
    </row>
    <row r="19" spans="1:21" x14ac:dyDescent="0.3">
      <c r="A19" s="46" t="s">
        <v>131</v>
      </c>
      <c r="B19" s="47">
        <v>406.8</v>
      </c>
      <c r="C19" s="47">
        <v>1647.13</v>
      </c>
      <c r="D19" s="47">
        <v>3256.37</v>
      </c>
      <c r="E19" s="47">
        <v>2394.92</v>
      </c>
      <c r="F19" s="47">
        <v>6215.36</v>
      </c>
      <c r="G19" s="47">
        <v>6771.7166999999999</v>
      </c>
      <c r="H19" s="47">
        <v>7879.6977999999999</v>
      </c>
      <c r="I19" s="47">
        <v>9444.3799999999992</v>
      </c>
      <c r="J19" s="47">
        <v>11445.96</v>
      </c>
      <c r="K19" s="47">
        <v>15684.72</v>
      </c>
      <c r="L19" s="47">
        <v>1982.8</v>
      </c>
      <c r="M19" s="47">
        <v>4048.2</v>
      </c>
      <c r="N19" s="47">
        <v>5834.9</v>
      </c>
      <c r="O19" s="47">
        <v>7974.2</v>
      </c>
      <c r="P19" s="47">
        <v>10222.1</v>
      </c>
      <c r="Q19" s="47">
        <v>4538.1760999999997</v>
      </c>
      <c r="R19" s="47">
        <v>6287.8379000000004</v>
      </c>
      <c r="S19" s="47">
        <v>9769.0269000000008</v>
      </c>
      <c r="T19" s="47">
        <v>15370.3997</v>
      </c>
      <c r="U19" s="47">
        <v>18716.883099999999</v>
      </c>
    </row>
    <row r="20" spans="1:21" x14ac:dyDescent="0.3">
      <c r="A20" s="46" t="s">
        <v>133</v>
      </c>
      <c r="B20" s="47">
        <v>38.65</v>
      </c>
      <c r="C20" s="47">
        <v>0</v>
      </c>
      <c r="D20" s="47">
        <v>609.19000000000005</v>
      </c>
      <c r="E20" s="47">
        <v>841</v>
      </c>
      <c r="F20" s="47">
        <v>968.13</v>
      </c>
      <c r="G20" s="47">
        <v>90.267200000000003</v>
      </c>
      <c r="H20" s="47">
        <v>0</v>
      </c>
      <c r="I20" s="47">
        <v>0</v>
      </c>
      <c r="J20" s="47">
        <v>500</v>
      </c>
      <c r="K20" s="47">
        <v>3000</v>
      </c>
      <c r="L20" s="47">
        <v>0.36699999999999999</v>
      </c>
      <c r="M20" s="47">
        <v>1090</v>
      </c>
      <c r="N20" s="47">
        <v>1500</v>
      </c>
      <c r="O20" s="47">
        <v>0</v>
      </c>
      <c r="P20" s="47">
        <v>0</v>
      </c>
      <c r="Q20" s="47">
        <v>8254.9135000000006</v>
      </c>
      <c r="R20" s="47">
        <v>0</v>
      </c>
      <c r="S20" s="47">
        <v>0</v>
      </c>
      <c r="T20" s="47"/>
      <c r="U20" s="47"/>
    </row>
    <row r="21" spans="1:21" x14ac:dyDescent="0.3">
      <c r="A21" s="46" t="s">
        <v>134</v>
      </c>
      <c r="B21" s="47">
        <v>0</v>
      </c>
      <c r="C21" s="47">
        <v>0</v>
      </c>
      <c r="D21" s="47">
        <v>148.5</v>
      </c>
      <c r="E21" s="47">
        <v>-148.5</v>
      </c>
      <c r="F21" s="47">
        <v>242.29</v>
      </c>
      <c r="G21" s="47">
        <v>4893.3585000000003</v>
      </c>
      <c r="H21" s="47">
        <v>0</v>
      </c>
      <c r="I21" s="47">
        <v>233.13</v>
      </c>
      <c r="J21" s="47">
        <v>-294.79000000000002</v>
      </c>
      <c r="K21" s="47">
        <v>529.41999999999996</v>
      </c>
      <c r="L21" s="47">
        <v>0</v>
      </c>
      <c r="M21" s="47">
        <v>0</v>
      </c>
      <c r="N21" s="47">
        <v>0</v>
      </c>
      <c r="O21" s="47">
        <v>0</v>
      </c>
      <c r="P21" s="47">
        <v>0</v>
      </c>
      <c r="Q21" s="47">
        <v>0</v>
      </c>
      <c r="R21" s="47">
        <v>0</v>
      </c>
      <c r="S21" s="47">
        <v>0</v>
      </c>
      <c r="T21" s="47"/>
      <c r="U21" s="47"/>
    </row>
    <row r="22" spans="1:21" x14ac:dyDescent="0.3">
      <c r="A22" s="46" t="s">
        <v>135</v>
      </c>
      <c r="B22" s="47">
        <v>340.52449999999999</v>
      </c>
      <c r="C22" s="47">
        <v>848.24</v>
      </c>
      <c r="D22" s="47">
        <v>441.04</v>
      </c>
      <c r="E22" s="47">
        <v>67.84</v>
      </c>
      <c r="F22" s="47">
        <v>139.55000000000001</v>
      </c>
      <c r="G22" s="47">
        <v>1646.9503999999999</v>
      </c>
      <c r="H22" s="47">
        <v>0</v>
      </c>
      <c r="I22" s="47">
        <v>666.47</v>
      </c>
      <c r="J22" s="47">
        <v>4.62</v>
      </c>
      <c r="K22" s="47">
        <v>4166.41</v>
      </c>
      <c r="L22" s="47">
        <v>395.44</v>
      </c>
      <c r="M22" s="47">
        <v>130.22999999999999</v>
      </c>
      <c r="N22" s="47">
        <v>1574.2037</v>
      </c>
      <c r="O22" s="47">
        <v>87.82</v>
      </c>
      <c r="P22" s="47">
        <v>33.25</v>
      </c>
      <c r="Q22" s="47">
        <v>0</v>
      </c>
      <c r="R22" s="47">
        <v>1465.1242</v>
      </c>
      <c r="S22" s="47">
        <v>538.15239999999994</v>
      </c>
      <c r="T22" s="47">
        <v>232.80840000000001</v>
      </c>
      <c r="U22" s="47">
        <v>326.21039999999999</v>
      </c>
    </row>
    <row r="23" spans="1:21" x14ac:dyDescent="0.3">
      <c r="A23" s="46" t="s">
        <v>136</v>
      </c>
      <c r="B23" s="47">
        <v>3.4138000000000002</v>
      </c>
      <c r="C23" s="47">
        <v>18.489999999999998</v>
      </c>
      <c r="D23" s="47">
        <v>2.3199999999999998</v>
      </c>
      <c r="E23" s="47">
        <v>2.46</v>
      </c>
      <c r="F23" s="47">
        <v>2.4700000000000002</v>
      </c>
      <c r="G23" s="47">
        <v>2625.7314999999999</v>
      </c>
      <c r="H23" s="47">
        <v>3111.6525000000001</v>
      </c>
      <c r="I23" s="47">
        <v>3696.14</v>
      </c>
      <c r="J23" s="47">
        <v>4410.87</v>
      </c>
      <c r="K23" s="47">
        <v>6081.23</v>
      </c>
      <c r="L23" s="47">
        <v>796.63</v>
      </c>
      <c r="M23" s="47">
        <v>1500</v>
      </c>
      <c r="N23" s="47">
        <v>0</v>
      </c>
      <c r="O23" s="47">
        <v>2625.4</v>
      </c>
      <c r="P23" s="47">
        <v>3135.3</v>
      </c>
      <c r="Q23" s="47">
        <v>0</v>
      </c>
      <c r="R23" s="47">
        <v>-307.48070000000001</v>
      </c>
      <c r="S23" s="47">
        <v>1783.6804</v>
      </c>
      <c r="T23" s="47">
        <v>3854.2653</v>
      </c>
      <c r="U23" s="47">
        <v>6456.9182000000001</v>
      </c>
    </row>
    <row r="24" spans="1:21" x14ac:dyDescent="0.3">
      <c r="A24" s="46" t="s">
        <v>137</v>
      </c>
      <c r="B24" s="47">
        <v>328</v>
      </c>
      <c r="C24" s="47">
        <v>326</v>
      </c>
      <c r="D24" s="47">
        <v>455</v>
      </c>
      <c r="E24" s="47">
        <v>73</v>
      </c>
      <c r="F24" s="47">
        <v>879</v>
      </c>
      <c r="G24" s="47">
        <v>1123.846</v>
      </c>
      <c r="H24" s="47">
        <v>2219.6842000000001</v>
      </c>
      <c r="I24" s="47">
        <v>0</v>
      </c>
      <c r="J24" s="47">
        <v>82</v>
      </c>
      <c r="K24" s="47">
        <v>378</v>
      </c>
      <c r="L24" s="47">
        <v>669</v>
      </c>
      <c r="M24" s="47">
        <v>-249.57990000000001</v>
      </c>
      <c r="N24" s="47">
        <v>382.87979999999999</v>
      </c>
      <c r="O24" s="47">
        <v>104.381</v>
      </c>
      <c r="P24" s="47">
        <v>992.79</v>
      </c>
      <c r="Q24" s="47">
        <v>0</v>
      </c>
      <c r="R24" s="47">
        <v>1928.1963000000001</v>
      </c>
      <c r="S24" s="47">
        <v>4647.8702000000003</v>
      </c>
      <c r="T24" s="47">
        <v>4575.4342999999999</v>
      </c>
      <c r="U24" s="47">
        <v>-749.08050000000003</v>
      </c>
    </row>
    <row r="25" spans="1:21" x14ac:dyDescent="0.3">
      <c r="A25" s="46" t="s">
        <v>138</v>
      </c>
      <c r="B25" s="47">
        <v>0.85019999999999996</v>
      </c>
      <c r="C25" s="47">
        <v>42.23</v>
      </c>
      <c r="D25" s="47">
        <v>69.3</v>
      </c>
      <c r="E25" s="47">
        <v>115.83</v>
      </c>
      <c r="F25" s="47">
        <v>119.5</v>
      </c>
      <c r="G25" s="47">
        <v>0</v>
      </c>
      <c r="H25" s="47">
        <v>61.664499999999997</v>
      </c>
      <c r="I25" s="47">
        <v>-48.34</v>
      </c>
      <c r="J25" s="47">
        <v>-62.65</v>
      </c>
      <c r="K25" s="47">
        <v>-288.27999999999997</v>
      </c>
      <c r="L25" s="47">
        <v>68.631200000000007</v>
      </c>
      <c r="M25" s="47">
        <v>-7.7637999999999998</v>
      </c>
      <c r="N25" s="47">
        <v>0</v>
      </c>
      <c r="O25" s="47">
        <v>5025.5680000000002</v>
      </c>
      <c r="P25" s="47">
        <v>87.233999999999995</v>
      </c>
      <c r="Q25" s="47">
        <v>0</v>
      </c>
      <c r="R25" s="47">
        <v>0</v>
      </c>
      <c r="S25" s="47">
        <v>0</v>
      </c>
      <c r="T25" s="47">
        <v>0</v>
      </c>
      <c r="U25" s="47">
        <v>0</v>
      </c>
    </row>
    <row r="26" spans="1:21" x14ac:dyDescent="0.3">
      <c r="A26" s="46" t="s">
        <v>139</v>
      </c>
      <c r="B26" s="47">
        <v>331.8569</v>
      </c>
      <c r="C26" s="47">
        <v>0</v>
      </c>
      <c r="D26" s="47">
        <v>0</v>
      </c>
      <c r="E26" s="47">
        <v>307.14</v>
      </c>
      <c r="F26" s="47">
        <v>307.98</v>
      </c>
      <c r="G26" s="47">
        <v>1134</v>
      </c>
      <c r="H26" s="47">
        <v>1712</v>
      </c>
      <c r="I26" s="47">
        <v>3592.4</v>
      </c>
      <c r="J26" s="47">
        <v>8604.52</v>
      </c>
      <c r="K26" s="47">
        <v>8404.42</v>
      </c>
      <c r="L26" s="47">
        <v>645.30780000000004</v>
      </c>
      <c r="M26" s="47">
        <v>0</v>
      </c>
      <c r="N26" s="47">
        <v>1385.2335</v>
      </c>
      <c r="O26" s="47">
        <v>3479.4463000000001</v>
      </c>
      <c r="P26" s="47">
        <v>5598.5964000000004</v>
      </c>
      <c r="Q26" s="47">
        <v>8.0551999999999992</v>
      </c>
      <c r="R26" s="47">
        <v>3559.8445999999999</v>
      </c>
      <c r="S26" s="47">
        <v>6336.4741999999997</v>
      </c>
      <c r="T26" s="47">
        <v>10084.8115</v>
      </c>
      <c r="U26" s="47">
        <v>12226.7183</v>
      </c>
    </row>
    <row r="27" spans="1:21" x14ac:dyDescent="0.3">
      <c r="A27" s="46" t="s">
        <v>140</v>
      </c>
      <c r="B27" s="47">
        <v>25520.537700000001</v>
      </c>
      <c r="C27" s="47">
        <v>31439.23</v>
      </c>
      <c r="D27" s="47">
        <v>40604.49</v>
      </c>
      <c r="E27" s="47">
        <v>47769.25</v>
      </c>
      <c r="F27" s="47">
        <v>65281.17</v>
      </c>
      <c r="G27" s="47">
        <v>61817.6878</v>
      </c>
      <c r="H27" s="47">
        <v>78594.197899999999</v>
      </c>
      <c r="I27" s="47">
        <v>99062.77</v>
      </c>
      <c r="J27" s="47">
        <v>120369.35</v>
      </c>
      <c r="K27" s="47">
        <v>150045.57</v>
      </c>
      <c r="L27" s="47">
        <v>26799.995800000001</v>
      </c>
      <c r="M27" s="47">
        <v>31009.065699999999</v>
      </c>
      <c r="N27" s="47">
        <v>43671.339399999997</v>
      </c>
      <c r="O27" s="47">
        <v>65638.676900000006</v>
      </c>
      <c r="P27" s="47">
        <v>89825.78</v>
      </c>
      <c r="Q27" s="47">
        <v>-1361.7425000000001</v>
      </c>
      <c r="R27" s="47">
        <v>8096.5411999999997</v>
      </c>
      <c r="S27" s="47">
        <v>20394.3505</v>
      </c>
      <c r="T27" s="47">
        <v>41923.302799999998</v>
      </c>
      <c r="U27" s="47">
        <v>72019.179300000003</v>
      </c>
    </row>
    <row r="28" spans="1:21" x14ac:dyDescent="0.3">
      <c r="A28" s="46" t="s">
        <v>144</v>
      </c>
      <c r="B28" s="47"/>
      <c r="C28" s="47"/>
      <c r="D28" s="47"/>
      <c r="E28" s="47"/>
      <c r="F28" s="47"/>
      <c r="G28" s="47"/>
      <c r="H28" s="47"/>
      <c r="I28" s="47"/>
      <c r="J28" s="47"/>
      <c r="K28" s="47"/>
      <c r="L28" s="47">
        <v>228.24459999999999</v>
      </c>
      <c r="M28" s="47">
        <v>0</v>
      </c>
      <c r="N28" s="47">
        <v>0</v>
      </c>
      <c r="O28" s="47">
        <v>0</v>
      </c>
      <c r="P28" s="47">
        <v>0</v>
      </c>
      <c r="Q28" s="47">
        <v>0</v>
      </c>
      <c r="R28" s="47">
        <v>3.6516000000000002</v>
      </c>
      <c r="S28" s="47">
        <v>0.86639999999999995</v>
      </c>
      <c r="T28" s="47">
        <v>1.5013000000000001</v>
      </c>
      <c r="U28" s="47">
        <v>11.1401</v>
      </c>
    </row>
    <row r="29" spans="1:21" s="45" customFormat="1" x14ac:dyDescent="0.3">
      <c r="A29" s="48" t="s">
        <v>141</v>
      </c>
      <c r="B29" s="22">
        <f>SUM(B19:B27)</f>
        <v>26970.633099999999</v>
      </c>
      <c r="C29" s="22">
        <f t="shared" ref="C29:K29" si="5">SUM(C19:C27)</f>
        <v>34321.32</v>
      </c>
      <c r="D29" s="22">
        <f t="shared" si="5"/>
        <v>45586.21</v>
      </c>
      <c r="E29" s="22">
        <f t="shared" si="5"/>
        <v>51422.94</v>
      </c>
      <c r="F29" s="22">
        <f t="shared" si="5"/>
        <v>74155.45</v>
      </c>
      <c r="G29" s="22">
        <f t="shared" si="5"/>
        <v>80103.558099999995</v>
      </c>
      <c r="H29" s="22">
        <f t="shared" si="5"/>
        <v>93578.896899999992</v>
      </c>
      <c r="I29" s="22">
        <f t="shared" si="5"/>
        <v>116646.95</v>
      </c>
      <c r="J29" s="22">
        <f t="shared" si="5"/>
        <v>145059.88</v>
      </c>
      <c r="K29" s="22">
        <f t="shared" si="5"/>
        <v>188001.49</v>
      </c>
      <c r="L29" s="22">
        <f t="shared" ref="L29:U29" si="6">SUM(L19:L28)</f>
        <v>31586.416400000002</v>
      </c>
      <c r="M29" s="22">
        <f t="shared" si="6"/>
        <v>37520.152000000002</v>
      </c>
      <c r="N29" s="22">
        <f t="shared" si="6"/>
        <v>54348.556400000001</v>
      </c>
      <c r="O29" s="22">
        <f t="shared" si="6"/>
        <v>84935.492200000008</v>
      </c>
      <c r="P29" s="22">
        <f t="shared" si="6"/>
        <v>109895.05040000001</v>
      </c>
      <c r="Q29" s="22">
        <f t="shared" si="6"/>
        <v>11439.4023</v>
      </c>
      <c r="R29" s="22">
        <f t="shared" si="6"/>
        <v>21033.715100000001</v>
      </c>
      <c r="S29" s="22">
        <f t="shared" si="6"/>
        <v>43470.421000000002</v>
      </c>
      <c r="T29" s="22">
        <f t="shared" si="6"/>
        <v>76042.523300000001</v>
      </c>
      <c r="U29" s="22">
        <f t="shared" si="6"/>
        <v>109007.96890000001</v>
      </c>
    </row>
    <row r="30" spans="1:21" x14ac:dyDescent="0.3">
      <c r="A30" s="547" t="s">
        <v>142</v>
      </c>
      <c r="B30" s="547"/>
      <c r="C30" s="547"/>
      <c r="D30" s="547"/>
      <c r="E30" s="547"/>
      <c r="F30" s="547"/>
      <c r="G30" s="547"/>
      <c r="H30" s="547"/>
      <c r="I30" s="547"/>
      <c r="J30" s="547"/>
      <c r="K30" s="547"/>
      <c r="L30" s="547"/>
      <c r="M30" s="547"/>
      <c r="N30" s="547"/>
      <c r="O30" s="547"/>
      <c r="P30" s="547"/>
      <c r="Q30" s="547"/>
      <c r="R30" s="547"/>
      <c r="S30" s="547"/>
      <c r="T30" s="547"/>
      <c r="U30" s="547"/>
    </row>
    <row r="31" spans="1:21" x14ac:dyDescent="0.3">
      <c r="A31" s="46" t="s">
        <v>143</v>
      </c>
      <c r="B31" s="47">
        <v>6.83</v>
      </c>
      <c r="C31" s="47">
        <v>24.19</v>
      </c>
      <c r="D31" s="47">
        <v>46.04</v>
      </c>
      <c r="E31" s="47">
        <v>35.200000000000003</v>
      </c>
      <c r="F31" s="47">
        <v>85.62</v>
      </c>
      <c r="G31" s="47">
        <v>49.84</v>
      </c>
      <c r="H31" s="47">
        <v>57.88</v>
      </c>
      <c r="I31" s="47">
        <v>68.77</v>
      </c>
      <c r="J31" s="47">
        <v>82.64</v>
      </c>
      <c r="K31" s="47">
        <v>90.42</v>
      </c>
      <c r="L31" s="47">
        <v>14.81</v>
      </c>
      <c r="M31" s="47">
        <v>24.01</v>
      </c>
      <c r="N31" s="47">
        <v>33.659999999999997</v>
      </c>
      <c r="O31" s="47">
        <v>48.86</v>
      </c>
      <c r="P31" s="47">
        <v>63.19</v>
      </c>
      <c r="Q31" s="47">
        <v>22.15</v>
      </c>
      <c r="R31" s="47">
        <v>25.11</v>
      </c>
      <c r="S31" s="47">
        <v>39.64</v>
      </c>
      <c r="T31" s="47">
        <v>62.35</v>
      </c>
      <c r="U31" s="46">
        <v>75.17</v>
      </c>
    </row>
    <row r="32" spans="1:21" x14ac:dyDescent="0.3">
      <c r="A32" s="46" t="s">
        <v>520</v>
      </c>
      <c r="B32" s="47">
        <v>495.05</v>
      </c>
      <c r="C32" s="47">
        <v>706.3</v>
      </c>
      <c r="D32" s="47">
        <f>760</f>
        <v>760</v>
      </c>
      <c r="E32" s="47">
        <f>864</f>
        <v>864</v>
      </c>
      <c r="F32" s="47">
        <f>1052.35</f>
        <v>1052.3499999999999</v>
      </c>
      <c r="G32" s="47">
        <v>1128</v>
      </c>
      <c r="H32" s="47">
        <v>1499.4</v>
      </c>
      <c r="I32" s="47">
        <v>1476.4</v>
      </c>
      <c r="J32" s="47">
        <v>1607.55</v>
      </c>
      <c r="K32" s="47">
        <f>1458</f>
        <v>1458</v>
      </c>
      <c r="L32" s="47">
        <v>394.15</v>
      </c>
      <c r="M32" s="47">
        <v>587.70000000000005</v>
      </c>
      <c r="N32" s="47">
        <v>726.4</v>
      </c>
      <c r="O32" s="47">
        <v>877.6</v>
      </c>
      <c r="P32" s="47">
        <v>1097</v>
      </c>
      <c r="Q32" s="47">
        <v>213.1</v>
      </c>
      <c r="R32" s="47">
        <v>367.7</v>
      </c>
      <c r="S32" s="47">
        <v>491</v>
      </c>
      <c r="T32" s="47">
        <v>524.75</v>
      </c>
      <c r="U32" s="46">
        <v>759.05</v>
      </c>
    </row>
    <row r="33" spans="1:21" x14ac:dyDescent="0.3">
      <c r="A33" s="45"/>
      <c r="B33" s="44">
        <f>B5-B9</f>
        <v>25719.739999999998</v>
      </c>
      <c r="C33" s="44">
        <f t="shared" ref="C33:U33" si="7">C5-C9</f>
        <v>29769.980000000003</v>
      </c>
      <c r="D33" s="44">
        <f t="shared" si="7"/>
        <v>33923.399999999994</v>
      </c>
      <c r="E33" s="44">
        <f t="shared" si="7"/>
        <v>44059.219999999994</v>
      </c>
      <c r="F33" s="44">
        <f t="shared" si="7"/>
        <v>51368.310000000005</v>
      </c>
      <c r="G33" s="44">
        <f t="shared" si="7"/>
        <v>60051.869900000005</v>
      </c>
      <c r="H33" s="44">
        <f t="shared" si="7"/>
        <v>69304.813399999999</v>
      </c>
      <c r="I33" s="44">
        <f t="shared" si="7"/>
        <v>77352.08</v>
      </c>
      <c r="J33" s="44">
        <f t="shared" si="7"/>
        <v>92974.109999999986</v>
      </c>
      <c r="K33" s="44">
        <f t="shared" si="7"/>
        <v>129510.47000000003</v>
      </c>
      <c r="L33" s="44">
        <f t="shared" si="7"/>
        <v>40170.250800000002</v>
      </c>
      <c r="M33" s="44">
        <f t="shared" si="7"/>
        <v>38989.433599999997</v>
      </c>
      <c r="N33" s="44">
        <f>N5-N9</f>
        <v>47466.094499999992</v>
      </c>
      <c r="O33" s="44">
        <f t="shared" si="7"/>
        <v>70523.421900000001</v>
      </c>
      <c r="P33" s="44">
        <f t="shared" si="7"/>
        <v>85407.762499999997</v>
      </c>
      <c r="Q33" s="44">
        <f t="shared" si="7"/>
        <v>108727.85140000001</v>
      </c>
      <c r="R33" s="44">
        <f t="shared" si="7"/>
        <v>122105.30960000001</v>
      </c>
      <c r="S33" s="44">
        <f t="shared" si="7"/>
        <v>133778.3419</v>
      </c>
      <c r="T33" s="44">
        <f t="shared" si="7"/>
        <v>160863.76340000003</v>
      </c>
      <c r="U33" s="44">
        <f t="shared" si="7"/>
        <v>179452.46419999999</v>
      </c>
    </row>
    <row r="34" spans="1:21" x14ac:dyDescent="0.3">
      <c r="A34" s="46" t="s">
        <v>518</v>
      </c>
      <c r="B34" s="47">
        <f>B32/'Income Statement-Banks'!B31</f>
        <v>72.481698389458273</v>
      </c>
      <c r="C34" s="47">
        <f>C32/'Income Statement-Banks'!C31</f>
        <v>29.198015708970647</v>
      </c>
      <c r="D34" s="47">
        <f>D32/'Income Statement-Banks'!D31</f>
        <v>16.507384882710685</v>
      </c>
      <c r="E34" s="47">
        <f>E32/'Income Statement-Banks'!E31</f>
        <v>24.545454545454543</v>
      </c>
      <c r="F34" s="47">
        <f>F32/'Income Statement-Banks'!F31</f>
        <v>12.290936697033402</v>
      </c>
      <c r="G34" s="47">
        <f>G32/'Income Statement-Banks'!G31</f>
        <v>22.632423756019261</v>
      </c>
      <c r="H34" s="47">
        <f>H32/'Income Statement-Banks'!H31</f>
        <v>25.905321354526606</v>
      </c>
      <c r="I34" s="47">
        <f>I32/'Income Statement-Banks'!I31</f>
        <v>21.468663661480299</v>
      </c>
      <c r="J34" s="47">
        <f>J32/'Income Statement-Banks'!J31</f>
        <v>19.452444336882866</v>
      </c>
      <c r="K34" s="47">
        <f>K32/'Income Statement-Banks'!K31</f>
        <v>16.124751161247513</v>
      </c>
      <c r="L34" s="47">
        <f>L32/'Income Statement-Banks'!L31</f>
        <v>26.613774476704926</v>
      </c>
      <c r="M34" s="47">
        <f>M32/'Income Statement-Banks'!M31</f>
        <v>24.477301124531447</v>
      </c>
      <c r="N34" s="47">
        <f>N32/'Income Statement-Banks'!N31</f>
        <v>21.580510992275698</v>
      </c>
      <c r="O34" s="47">
        <f>O32/'Income Statement-Banks'!O31</f>
        <v>17.961522717969711</v>
      </c>
      <c r="P34" s="47">
        <f>P32/'Income Statement-Banks'!P31</f>
        <v>17.360341826238329</v>
      </c>
      <c r="Q34" s="47">
        <f>Q32/'Income Statement-Banks'!Q31</f>
        <v>9.6207674943566595</v>
      </c>
      <c r="R34" s="47">
        <f>R32/'Income Statement-Banks'!R31</f>
        <v>14.643568299482277</v>
      </c>
      <c r="S34" s="47">
        <f>S32/'Income Statement-Banks'!S31</f>
        <v>12.386478304742685</v>
      </c>
      <c r="T34" s="47">
        <f>T32/'Income Statement-Banks'!T31</f>
        <v>8.4161988773055327</v>
      </c>
      <c r="U34" s="47">
        <f>U32/'Income Statement-Banks'!U31</f>
        <v>10.097778369030197</v>
      </c>
    </row>
    <row r="35" spans="1:21" x14ac:dyDescent="0.3">
      <c r="A35" s="46" t="s">
        <v>519</v>
      </c>
      <c r="B35" s="47">
        <f ca="1">B32/('Balance Sheet-Banks'!B9/'Company Profile'!$D$14)</f>
        <v>1.7770293572406217</v>
      </c>
      <c r="C35" s="47">
        <f ca="1">C32/('Balance Sheet-Banks'!C9/'Company Profile'!$D$14)</f>
        <v>2.1123143070394423</v>
      </c>
      <c r="D35" s="47">
        <f ca="1">D32/('Balance Sheet-Banks'!D9/'Company Profile'!$D$14)</f>
        <v>1.9899632819254411</v>
      </c>
      <c r="E35" s="47">
        <f ca="1">E32/('Balance Sheet-Banks'!E9/'Company Profile'!$D$14)</f>
        <v>2.0597584883745048</v>
      </c>
      <c r="F35" s="47">
        <f ca="1">F32/('Balance Sheet-Banks'!F9/'Company Profile'!$D$14)</f>
        <v>2.0732268285207436</v>
      </c>
      <c r="G35" s="47">
        <f ca="1">G32/('Balance Sheet-Banks'!G9/'Company Profile'!$D$14)</f>
        <v>1.9784497217147075</v>
      </c>
      <c r="H35" s="47">
        <f ca="1">H32/('Balance Sheet-Banks'!H9/'Company Profile'!$D$14)</f>
        <v>2.2111266793744662</v>
      </c>
      <c r="I35" s="47">
        <f ca="1">I32/('Balance Sheet-Banks'!I9/'Company Profile'!$D$14)</f>
        <v>1.8471462042330922</v>
      </c>
      <c r="J35" s="47">
        <f ca="1">J32/('Balance Sheet-Banks'!J9/'Company Profile'!$D$14)</f>
        <v>1.7185069142111187</v>
      </c>
      <c r="K35" s="47">
        <f ca="1">K32/('Balance Sheet-Banks'!K9/'Company Profile'!$D$14)</f>
        <v>0.9631517703071435</v>
      </c>
      <c r="L35" s="47">
        <f ca="1">L32/('Balance Sheet-Banks'!L9/'Company Profile'!$D$14)</f>
        <v>0.94268929873885199</v>
      </c>
      <c r="M35" s="47">
        <f ca="1">M32/('Balance Sheet-Banks'!M9/'Company Profile'!$D$14)</f>
        <v>1.2364231294621797</v>
      </c>
      <c r="N35" s="47">
        <f ca="1">N32/('Balance Sheet-Banks'!N9/'Company Profile'!$D$14)</f>
        <v>1.3220609200668387</v>
      </c>
      <c r="O35" s="47">
        <f ca="1">O32/('Balance Sheet-Banks'!O9/'Company Profile'!$D$14)</f>
        <v>1.2313240568553352</v>
      </c>
      <c r="P35" s="47">
        <f ca="1">P32/('Balance Sheet-Banks'!P9/'Company Profile'!$D$14)</f>
        <v>1.2607283516018941</v>
      </c>
      <c r="Q35" s="47">
        <f ca="1">Q32/('Balance Sheet-Banks'!Q9/'Company Profile'!$D$14)</f>
        <v>0.25533335855817479</v>
      </c>
      <c r="R35" s="47">
        <f ca="1">R32/('Balance Sheet-Banks'!R9/'Company Profile'!$D$14)</f>
        <v>0.40012315394232267</v>
      </c>
      <c r="S35" s="47">
        <f ca="1">S32/('Balance Sheet-Banks'!S9/'Company Profile'!$D$14)</f>
        <v>0.48098664924049095</v>
      </c>
      <c r="T35" s="47">
        <f ca="1">T32/('Balance Sheet-Banks'!T9/'Company Profile'!$D$14)</f>
        <v>0.43803722037124659</v>
      </c>
      <c r="U35" s="47">
        <f ca="1">U32/('Balance Sheet-Banks'!U9/'Company Profile'!$D$14)</f>
        <v>0.54710423664334606</v>
      </c>
    </row>
    <row r="36" spans="1:21" x14ac:dyDescent="0.3">
      <c r="A36" s="43" t="s">
        <v>14</v>
      </c>
      <c r="B36" s="44">
        <f ca="1">B32*'Company Profile'!$D$14</f>
        <v>153631.24273999999</v>
      </c>
      <c r="C36" s="44">
        <f ca="1">C32*'Company Profile'!$D$14</f>
        <v>219189.46923999998</v>
      </c>
      <c r="D36" s="44">
        <f ca="1">D32*'Company Profile'!$D$14</f>
        <v>235854.44799999997</v>
      </c>
      <c r="E36" s="44">
        <f ca="1">E32*'Company Profile'!$D$14</f>
        <v>268129.2672</v>
      </c>
      <c r="F36" s="44">
        <f ca="1">F32*'Company Profile'!$D$14</f>
        <v>326580.82677999994</v>
      </c>
      <c r="G36" s="44">
        <f ca="1">G32*'Company Profile'!$B$14</f>
        <v>1734486.1199999999</v>
      </c>
      <c r="H36" s="44">
        <f ca="1">H32*'Company Profile'!$B$14</f>
        <v>2305574.9010000001</v>
      </c>
      <c r="I36" s="44">
        <f ca="1">I32*'Company Profile'!$B$14</f>
        <v>2270208.6060000001</v>
      </c>
      <c r="J36" s="44">
        <f ca="1">J32*'Company Profile'!$B$14</f>
        <v>2471873.3707499998</v>
      </c>
      <c r="K36" s="44">
        <f ca="1">K32*'Company Profile'!$B$14</f>
        <v>2241915.5699999998</v>
      </c>
      <c r="L36" s="44">
        <f ca="1">L32*'Company Profile'!$C$14</f>
        <v>281533.107265</v>
      </c>
      <c r="M36" s="44">
        <f ca="1">M32*'Company Profile'!$C$14</f>
        <v>419781.82707</v>
      </c>
      <c r="N36" s="44">
        <f ca="1">N32*'Company Profile'!$C$14</f>
        <v>518852.33823999995</v>
      </c>
      <c r="O36" s="44">
        <f ca="1">O32*'Company Profile'!$C$14</f>
        <v>626851.33816000004</v>
      </c>
      <c r="P36" s="44">
        <f ca="1">P32*'Company Profile'!$C$14</f>
        <v>783564.1727</v>
      </c>
      <c r="Q36" s="44">
        <f ca="1">Q32*'Company Profile'!$E$14</f>
        <v>196704.44826999999</v>
      </c>
      <c r="R36" s="44">
        <f ca="1">R32*'Company Profile'!$E$14</f>
        <v>339409.78709</v>
      </c>
      <c r="S36" s="44">
        <f ca="1">S32*'Company Profile'!$E$14</f>
        <v>453223.29469999997</v>
      </c>
      <c r="T36" s="44">
        <f ca="1">T32*'Company Profile'!$E$14</f>
        <v>484376.62707499997</v>
      </c>
      <c r="U36" s="44">
        <f ca="1">U32*'Company Profile'!$E$14</f>
        <v>700649.98338499991</v>
      </c>
    </row>
    <row r="37" spans="1:21" x14ac:dyDescent="0.3">
      <c r="B37" s="44"/>
      <c r="C37" s="44"/>
      <c r="D37" s="44"/>
      <c r="E37" s="44"/>
      <c r="F37" s="44"/>
      <c r="G37" s="44"/>
      <c r="H37" s="44"/>
      <c r="I37" s="44"/>
      <c r="J37" s="44"/>
      <c r="K37" s="44"/>
      <c r="L37" s="44"/>
      <c r="M37" s="44"/>
      <c r="N37" s="44"/>
      <c r="O37" s="44"/>
      <c r="P37" s="44"/>
      <c r="Q37" s="44"/>
      <c r="R37" s="44"/>
      <c r="S37" s="44"/>
      <c r="T37" s="44"/>
    </row>
    <row r="38" spans="1:21" x14ac:dyDescent="0.3">
      <c r="B38" s="44"/>
      <c r="C38" s="44"/>
      <c r="D38" s="44"/>
      <c r="E38" s="44"/>
      <c r="F38" s="44"/>
      <c r="G38" s="44"/>
      <c r="H38" s="44"/>
      <c r="I38" s="44"/>
      <c r="J38" s="44"/>
      <c r="K38" s="44"/>
      <c r="L38" s="44"/>
      <c r="M38" s="44"/>
      <c r="N38" s="44"/>
      <c r="O38" s="44"/>
      <c r="P38" s="44"/>
      <c r="Q38" s="44"/>
      <c r="R38" s="44"/>
      <c r="S38" s="44"/>
      <c r="T38" s="44"/>
    </row>
    <row r="39" spans="1:21" x14ac:dyDescent="0.3">
      <c r="B39" s="44"/>
      <c r="C39" s="44"/>
      <c r="D39" s="44"/>
      <c r="E39" s="44"/>
      <c r="F39" s="44"/>
      <c r="G39" s="44"/>
      <c r="H39" s="44"/>
      <c r="I39" s="44"/>
      <c r="J39" s="44"/>
      <c r="K39" s="44"/>
      <c r="L39" s="44"/>
      <c r="M39" s="44"/>
      <c r="N39" s="44"/>
      <c r="O39" s="44"/>
      <c r="P39" s="44"/>
      <c r="Q39" s="44"/>
      <c r="R39" s="44"/>
      <c r="S39" s="44"/>
      <c r="T39" s="44"/>
    </row>
    <row r="40" spans="1:21" x14ac:dyDescent="0.3">
      <c r="B40" s="44"/>
      <c r="C40" s="44"/>
      <c r="D40" s="44"/>
      <c r="E40" s="44"/>
      <c r="F40" s="44"/>
      <c r="G40" s="44"/>
      <c r="H40" s="44"/>
      <c r="I40" s="44"/>
      <c r="J40" s="44"/>
      <c r="K40" s="44"/>
      <c r="L40" s="44"/>
      <c r="M40" s="44"/>
      <c r="N40" s="44"/>
      <c r="O40" s="44"/>
      <c r="P40" s="44"/>
      <c r="Q40" s="44"/>
      <c r="R40" s="44"/>
      <c r="S40" s="44"/>
      <c r="T40" s="44"/>
    </row>
    <row r="41" spans="1:21" x14ac:dyDescent="0.3">
      <c r="B41" s="44"/>
      <c r="C41" s="44"/>
      <c r="D41" s="44"/>
      <c r="E41" s="44"/>
      <c r="F41" s="44"/>
      <c r="G41" s="44"/>
      <c r="H41" s="44"/>
      <c r="I41" s="44"/>
      <c r="J41" s="44"/>
      <c r="K41" s="44"/>
      <c r="L41" s="44"/>
      <c r="M41" s="44"/>
      <c r="N41" s="44"/>
      <c r="O41" s="44"/>
      <c r="P41" s="44"/>
      <c r="Q41" s="44"/>
      <c r="R41" s="44"/>
      <c r="S41" s="44"/>
      <c r="T41" s="44"/>
    </row>
    <row r="42" spans="1:21" x14ac:dyDescent="0.3">
      <c r="B42" s="44"/>
      <c r="C42" s="44"/>
      <c r="D42" s="44"/>
      <c r="E42" s="44"/>
      <c r="F42" s="44"/>
      <c r="G42" s="44"/>
      <c r="H42" s="44"/>
      <c r="I42" s="44"/>
      <c r="J42" s="44"/>
      <c r="K42" s="44"/>
      <c r="L42" s="44"/>
      <c r="M42" s="44"/>
      <c r="N42" s="44"/>
      <c r="O42" s="44"/>
      <c r="P42" s="44"/>
      <c r="Q42" s="44"/>
      <c r="R42" s="44"/>
      <c r="S42" s="44"/>
      <c r="T42" s="44"/>
    </row>
    <row r="43" spans="1:21" x14ac:dyDescent="0.3">
      <c r="B43" s="44"/>
      <c r="C43" s="44"/>
      <c r="D43" s="44"/>
      <c r="E43" s="44"/>
      <c r="F43" s="44"/>
      <c r="G43" s="44"/>
      <c r="H43" s="44"/>
      <c r="I43" s="44"/>
      <c r="J43" s="44"/>
      <c r="K43" s="44"/>
      <c r="L43" s="44"/>
      <c r="M43" s="44"/>
      <c r="N43" s="44"/>
      <c r="O43" s="44"/>
      <c r="P43" s="44"/>
      <c r="Q43" s="44"/>
      <c r="R43" s="44"/>
      <c r="S43" s="44"/>
      <c r="T43" s="44"/>
    </row>
    <row r="44" spans="1:21" x14ac:dyDescent="0.3">
      <c r="B44" s="44"/>
      <c r="C44" s="44"/>
      <c r="D44" s="44"/>
      <c r="E44" s="44"/>
      <c r="F44" s="44"/>
      <c r="G44" s="44"/>
      <c r="H44" s="44"/>
      <c r="I44" s="44"/>
      <c r="J44" s="44"/>
      <c r="K44" s="44"/>
      <c r="L44" s="44"/>
      <c r="M44" s="44"/>
      <c r="N44" s="44"/>
      <c r="O44" s="44"/>
      <c r="P44" s="44"/>
      <c r="Q44" s="44"/>
      <c r="R44" s="44"/>
      <c r="S44" s="44"/>
      <c r="T44" s="44"/>
    </row>
    <row r="45" spans="1:21" x14ac:dyDescent="0.3">
      <c r="B45" s="44"/>
      <c r="C45" s="44"/>
      <c r="D45" s="44"/>
      <c r="E45" s="44"/>
      <c r="F45" s="44"/>
      <c r="G45" s="44"/>
      <c r="H45" s="44"/>
      <c r="I45" s="44"/>
      <c r="J45" s="44"/>
      <c r="K45" s="44"/>
      <c r="L45" s="44"/>
      <c r="M45" s="44"/>
      <c r="N45" s="44"/>
      <c r="O45" s="44"/>
      <c r="P45" s="44"/>
      <c r="Q45" s="44"/>
      <c r="R45" s="44"/>
      <c r="S45" s="44"/>
      <c r="T45" s="44"/>
    </row>
    <row r="46" spans="1:21" x14ac:dyDescent="0.3">
      <c r="B46" s="44"/>
      <c r="C46" s="44"/>
      <c r="D46" s="44"/>
      <c r="E46" s="44"/>
      <c r="F46" s="44"/>
      <c r="G46" s="44"/>
      <c r="H46" s="44"/>
      <c r="I46" s="44"/>
      <c r="J46" s="44"/>
      <c r="K46" s="44"/>
      <c r="L46" s="44"/>
      <c r="M46" s="44"/>
      <c r="N46" s="44"/>
      <c r="O46" s="44"/>
      <c r="P46" s="44"/>
      <c r="Q46" s="44"/>
      <c r="R46" s="44"/>
      <c r="S46" s="44"/>
      <c r="T46" s="44"/>
    </row>
    <row r="47" spans="1:21" x14ac:dyDescent="0.3">
      <c r="B47" s="44"/>
      <c r="C47" s="44"/>
      <c r="D47" s="44"/>
      <c r="E47" s="44"/>
      <c r="F47" s="44"/>
      <c r="G47" s="44"/>
      <c r="H47" s="44"/>
      <c r="I47" s="44"/>
      <c r="J47" s="44"/>
      <c r="K47" s="44"/>
      <c r="L47" s="44"/>
      <c r="M47" s="44"/>
      <c r="N47" s="44"/>
      <c r="O47" s="44"/>
      <c r="P47" s="44"/>
      <c r="Q47" s="44"/>
      <c r="R47" s="44"/>
      <c r="S47" s="44"/>
      <c r="T47" s="44"/>
    </row>
    <row r="48" spans="1:21" x14ac:dyDescent="0.3">
      <c r="B48" s="44"/>
      <c r="C48" s="44"/>
      <c r="D48" s="44"/>
      <c r="E48" s="44"/>
      <c r="F48" s="44"/>
      <c r="G48" s="44"/>
      <c r="H48" s="44"/>
      <c r="I48" s="44"/>
      <c r="J48" s="44"/>
      <c r="K48" s="44"/>
      <c r="L48" s="44"/>
      <c r="M48" s="44"/>
      <c r="N48" s="44"/>
      <c r="O48" s="44"/>
      <c r="P48" s="44"/>
      <c r="Q48" s="44"/>
      <c r="R48" s="44"/>
      <c r="S48" s="44"/>
      <c r="T48" s="44"/>
    </row>
    <row r="49" spans="2:20" x14ac:dyDescent="0.3">
      <c r="B49" s="44"/>
      <c r="C49" s="44"/>
      <c r="D49" s="44"/>
      <c r="E49" s="44"/>
      <c r="F49" s="44"/>
      <c r="G49" s="44"/>
      <c r="H49" s="44"/>
      <c r="I49" s="44"/>
      <c r="J49" s="44"/>
      <c r="K49" s="44"/>
      <c r="L49" s="44"/>
      <c r="M49" s="44"/>
      <c r="N49" s="44"/>
      <c r="O49" s="44"/>
      <c r="P49" s="44"/>
      <c r="Q49" s="44"/>
      <c r="R49" s="44"/>
      <c r="S49" s="44"/>
      <c r="T49" s="44"/>
    </row>
    <row r="50" spans="2:20" x14ac:dyDescent="0.3">
      <c r="B50" s="44"/>
      <c r="C50" s="44"/>
      <c r="D50" s="44"/>
      <c r="E50" s="44"/>
      <c r="F50" s="44"/>
      <c r="G50" s="44"/>
      <c r="H50" s="44"/>
      <c r="I50" s="44"/>
      <c r="J50" s="44"/>
      <c r="K50" s="44"/>
      <c r="L50" s="44"/>
      <c r="M50" s="44"/>
      <c r="N50" s="44"/>
      <c r="O50" s="44"/>
      <c r="P50" s="44"/>
      <c r="Q50" s="44"/>
      <c r="R50" s="44"/>
      <c r="S50" s="44"/>
      <c r="T50" s="44"/>
    </row>
    <row r="51" spans="2:20" x14ac:dyDescent="0.3">
      <c r="B51" s="44"/>
      <c r="C51" s="44"/>
      <c r="D51" s="44"/>
      <c r="E51" s="44"/>
      <c r="F51" s="44"/>
      <c r="G51" s="44"/>
      <c r="H51" s="44"/>
      <c r="I51" s="44"/>
      <c r="J51" s="44"/>
      <c r="K51" s="44"/>
      <c r="L51" s="44"/>
      <c r="M51" s="44"/>
      <c r="N51" s="44"/>
      <c r="O51" s="44"/>
      <c r="P51" s="44"/>
      <c r="Q51" s="44"/>
      <c r="R51" s="44"/>
      <c r="S51" s="44"/>
      <c r="T51" s="44"/>
    </row>
    <row r="52" spans="2:20" x14ac:dyDescent="0.3">
      <c r="B52" s="44"/>
      <c r="C52" s="44"/>
      <c r="D52" s="44"/>
      <c r="E52" s="44"/>
      <c r="F52" s="44"/>
      <c r="G52" s="44"/>
      <c r="H52" s="44"/>
      <c r="I52" s="44"/>
      <c r="J52" s="44"/>
      <c r="K52" s="44"/>
      <c r="L52" s="44"/>
      <c r="M52" s="44"/>
      <c r="N52" s="44"/>
      <c r="O52" s="44"/>
      <c r="P52" s="44"/>
      <c r="Q52" s="44"/>
      <c r="R52" s="44"/>
      <c r="S52" s="44"/>
      <c r="T52" s="44"/>
    </row>
    <row r="53" spans="2:20" x14ac:dyDescent="0.3">
      <c r="B53" s="44"/>
      <c r="C53" s="44"/>
      <c r="D53" s="44"/>
      <c r="E53" s="44"/>
      <c r="F53" s="44"/>
      <c r="G53" s="44"/>
      <c r="H53" s="44"/>
      <c r="I53" s="44"/>
      <c r="J53" s="44"/>
      <c r="K53" s="44"/>
      <c r="L53" s="44"/>
      <c r="M53" s="44"/>
      <c r="N53" s="44"/>
      <c r="O53" s="44"/>
      <c r="P53" s="44"/>
      <c r="Q53" s="44"/>
      <c r="R53" s="44"/>
      <c r="S53" s="44"/>
      <c r="T53" s="44"/>
    </row>
    <row r="54" spans="2:20" x14ac:dyDescent="0.3">
      <c r="B54" s="44"/>
      <c r="C54" s="44"/>
      <c r="D54" s="44"/>
      <c r="E54" s="44"/>
      <c r="F54" s="44"/>
      <c r="G54" s="44"/>
      <c r="H54" s="44"/>
      <c r="I54" s="44"/>
      <c r="J54" s="44"/>
      <c r="K54" s="44"/>
      <c r="L54" s="44"/>
      <c r="M54" s="44"/>
      <c r="N54" s="44"/>
      <c r="O54" s="44"/>
      <c r="P54" s="44"/>
      <c r="Q54" s="44"/>
      <c r="R54" s="44"/>
      <c r="S54" s="44"/>
      <c r="T54" s="44"/>
    </row>
    <row r="55" spans="2:20" x14ac:dyDescent="0.3">
      <c r="B55" s="44"/>
      <c r="C55" s="44"/>
      <c r="D55" s="44"/>
      <c r="E55" s="44"/>
      <c r="F55" s="44"/>
      <c r="G55" s="44"/>
      <c r="H55" s="44"/>
      <c r="I55" s="44"/>
      <c r="J55" s="44"/>
      <c r="K55" s="44"/>
      <c r="L55" s="44"/>
      <c r="M55" s="44"/>
      <c r="N55" s="44"/>
      <c r="O55" s="44"/>
      <c r="P55" s="44"/>
      <c r="Q55" s="44"/>
      <c r="R55" s="44"/>
      <c r="S55" s="44"/>
      <c r="T55" s="44"/>
    </row>
    <row r="56" spans="2:20" x14ac:dyDescent="0.3">
      <c r="B56" s="44"/>
      <c r="C56" s="44"/>
      <c r="D56" s="44"/>
      <c r="E56" s="44"/>
      <c r="F56" s="44"/>
      <c r="G56" s="44"/>
      <c r="H56" s="44"/>
      <c r="I56" s="44"/>
      <c r="J56" s="44"/>
      <c r="K56" s="44"/>
      <c r="L56" s="44"/>
      <c r="M56" s="44"/>
      <c r="N56" s="44"/>
      <c r="O56" s="44"/>
      <c r="P56" s="44"/>
      <c r="Q56" s="44"/>
      <c r="R56" s="44"/>
      <c r="S56" s="44"/>
      <c r="T56" s="44"/>
    </row>
    <row r="57" spans="2:20" x14ac:dyDescent="0.3">
      <c r="B57" s="44"/>
      <c r="C57" s="44"/>
      <c r="D57" s="44"/>
      <c r="E57" s="44"/>
      <c r="F57" s="44"/>
      <c r="G57" s="44"/>
      <c r="H57" s="44"/>
      <c r="I57" s="44"/>
      <c r="J57" s="44"/>
      <c r="K57" s="44"/>
      <c r="L57" s="44"/>
      <c r="M57" s="44"/>
      <c r="N57" s="44"/>
      <c r="O57" s="44"/>
      <c r="P57" s="44"/>
      <c r="Q57" s="44"/>
      <c r="R57" s="44"/>
      <c r="S57" s="44"/>
      <c r="T57" s="44"/>
    </row>
    <row r="58" spans="2:20" x14ac:dyDescent="0.3">
      <c r="B58" s="44"/>
      <c r="C58" s="44"/>
      <c r="D58" s="44"/>
      <c r="E58" s="44"/>
      <c r="F58" s="44"/>
      <c r="G58" s="44"/>
      <c r="H58" s="44"/>
      <c r="I58" s="44"/>
      <c r="J58" s="44"/>
      <c r="K58" s="44"/>
      <c r="L58" s="44"/>
      <c r="M58" s="44"/>
      <c r="N58" s="44"/>
      <c r="O58" s="44"/>
      <c r="P58" s="44"/>
      <c r="Q58" s="44"/>
      <c r="R58" s="44"/>
      <c r="S58" s="44"/>
      <c r="T58" s="44"/>
    </row>
    <row r="59" spans="2:20" x14ac:dyDescent="0.3">
      <c r="B59" s="44"/>
      <c r="C59" s="44"/>
      <c r="D59" s="44"/>
      <c r="E59" s="44"/>
      <c r="F59" s="44"/>
      <c r="G59" s="44"/>
      <c r="H59" s="44"/>
      <c r="I59" s="44"/>
      <c r="J59" s="44"/>
      <c r="K59" s="44"/>
      <c r="L59" s="44"/>
      <c r="M59" s="44"/>
      <c r="N59" s="44"/>
      <c r="O59" s="44"/>
      <c r="P59" s="44"/>
      <c r="Q59" s="44"/>
      <c r="R59" s="44"/>
      <c r="S59" s="44"/>
      <c r="T59" s="44"/>
    </row>
    <row r="60" spans="2:20" x14ac:dyDescent="0.3">
      <c r="B60" s="44"/>
      <c r="C60" s="44"/>
      <c r="D60" s="44"/>
      <c r="E60" s="44"/>
      <c r="F60" s="44"/>
      <c r="G60" s="44"/>
      <c r="H60" s="44"/>
      <c r="I60" s="44"/>
      <c r="J60" s="44"/>
      <c r="K60" s="44"/>
      <c r="L60" s="44"/>
      <c r="M60" s="44"/>
      <c r="N60" s="44"/>
      <c r="O60" s="44"/>
      <c r="P60" s="44"/>
      <c r="Q60" s="44"/>
      <c r="R60" s="44"/>
      <c r="S60" s="44"/>
      <c r="T60" s="44"/>
    </row>
    <row r="61" spans="2:20" x14ac:dyDescent="0.3">
      <c r="B61" s="44"/>
      <c r="C61" s="44"/>
      <c r="D61" s="44"/>
      <c r="E61" s="44"/>
      <c r="F61" s="44"/>
      <c r="G61" s="44"/>
      <c r="H61" s="44"/>
      <c r="I61" s="44"/>
      <c r="J61" s="44"/>
      <c r="K61" s="44"/>
      <c r="L61" s="44"/>
      <c r="M61" s="44"/>
      <c r="N61" s="44"/>
      <c r="O61" s="44"/>
      <c r="P61" s="44"/>
      <c r="Q61" s="44"/>
      <c r="R61" s="44"/>
      <c r="S61" s="44"/>
      <c r="T61" s="44"/>
    </row>
    <row r="62" spans="2:20" x14ac:dyDescent="0.3">
      <c r="B62" s="44"/>
      <c r="C62" s="44"/>
      <c r="D62" s="44"/>
      <c r="E62" s="44"/>
      <c r="F62" s="44"/>
      <c r="G62" s="44"/>
      <c r="H62" s="44"/>
      <c r="I62" s="44"/>
      <c r="J62" s="44"/>
      <c r="K62" s="44"/>
      <c r="L62" s="44"/>
      <c r="M62" s="44"/>
      <c r="N62" s="44"/>
      <c r="O62" s="44"/>
      <c r="P62" s="44"/>
      <c r="Q62" s="44"/>
      <c r="R62" s="44"/>
      <c r="S62" s="44"/>
      <c r="T62" s="44"/>
    </row>
    <row r="63" spans="2:20" x14ac:dyDescent="0.3">
      <c r="B63" s="44"/>
      <c r="C63" s="44"/>
      <c r="D63" s="44"/>
      <c r="E63" s="44"/>
      <c r="F63" s="44"/>
      <c r="G63" s="44"/>
      <c r="H63" s="44"/>
      <c r="I63" s="44"/>
      <c r="J63" s="44"/>
      <c r="K63" s="44"/>
      <c r="L63" s="44"/>
      <c r="M63" s="44"/>
      <c r="N63" s="44"/>
      <c r="O63" s="44"/>
      <c r="P63" s="44"/>
      <c r="Q63" s="44"/>
      <c r="R63" s="44"/>
      <c r="S63" s="44"/>
      <c r="T63" s="44"/>
    </row>
    <row r="64" spans="2:20" x14ac:dyDescent="0.3">
      <c r="B64" s="44"/>
      <c r="C64" s="44"/>
      <c r="D64" s="44"/>
      <c r="E64" s="44"/>
      <c r="F64" s="44"/>
      <c r="G64" s="44"/>
      <c r="H64" s="44"/>
      <c r="I64" s="44"/>
      <c r="J64" s="44"/>
      <c r="K64" s="44"/>
      <c r="L64" s="44"/>
      <c r="M64" s="44"/>
      <c r="N64" s="44"/>
      <c r="O64" s="44"/>
      <c r="P64" s="44"/>
      <c r="Q64" s="44"/>
      <c r="R64" s="44"/>
      <c r="S64" s="44"/>
      <c r="T64" s="44"/>
    </row>
    <row r="65" spans="2:20" x14ac:dyDescent="0.3">
      <c r="B65" s="44"/>
      <c r="C65" s="44"/>
      <c r="D65" s="44"/>
      <c r="E65" s="44"/>
      <c r="F65" s="44"/>
      <c r="G65" s="44"/>
      <c r="H65" s="44"/>
      <c r="I65" s="44"/>
      <c r="J65" s="44"/>
      <c r="K65" s="44"/>
      <c r="L65" s="44"/>
      <c r="M65" s="44"/>
      <c r="N65" s="44"/>
      <c r="O65" s="44"/>
      <c r="P65" s="44"/>
      <c r="Q65" s="44"/>
      <c r="R65" s="44"/>
      <c r="S65" s="44"/>
      <c r="T65" s="44"/>
    </row>
    <row r="66" spans="2:20" x14ac:dyDescent="0.3">
      <c r="B66" s="44"/>
      <c r="C66" s="44"/>
      <c r="D66" s="44"/>
      <c r="E66" s="44"/>
      <c r="F66" s="44"/>
      <c r="G66" s="44"/>
      <c r="H66" s="44"/>
      <c r="I66" s="44"/>
      <c r="J66" s="44"/>
      <c r="K66" s="44"/>
      <c r="L66" s="44"/>
      <c r="M66" s="44"/>
      <c r="N66" s="44"/>
      <c r="O66" s="44"/>
      <c r="P66" s="44"/>
      <c r="Q66" s="44"/>
      <c r="R66" s="44"/>
      <c r="S66" s="44"/>
      <c r="T66" s="44"/>
    </row>
    <row r="67" spans="2:20" x14ac:dyDescent="0.3">
      <c r="B67" s="44"/>
      <c r="C67" s="44"/>
      <c r="D67" s="44"/>
      <c r="E67" s="44"/>
      <c r="F67" s="44"/>
      <c r="G67" s="44"/>
      <c r="H67" s="44"/>
      <c r="I67" s="44"/>
      <c r="J67" s="44"/>
      <c r="K67" s="44"/>
      <c r="L67" s="44"/>
      <c r="M67" s="44"/>
      <c r="N67" s="44"/>
      <c r="O67" s="44"/>
      <c r="P67" s="44"/>
      <c r="Q67" s="44"/>
      <c r="R67" s="44"/>
      <c r="S67" s="44"/>
      <c r="T67" s="44"/>
    </row>
    <row r="68" spans="2:20" x14ac:dyDescent="0.3">
      <c r="B68" s="44"/>
      <c r="C68" s="44"/>
      <c r="D68" s="44"/>
      <c r="E68" s="44"/>
      <c r="F68" s="44"/>
      <c r="G68" s="44"/>
      <c r="H68" s="44"/>
      <c r="I68" s="44"/>
      <c r="J68" s="44"/>
      <c r="K68" s="44"/>
      <c r="L68" s="44"/>
      <c r="M68" s="44"/>
      <c r="N68" s="44"/>
      <c r="O68" s="44"/>
      <c r="P68" s="44"/>
      <c r="Q68" s="44"/>
      <c r="R68" s="44"/>
      <c r="S68" s="44"/>
      <c r="T68" s="44"/>
    </row>
    <row r="69" spans="2:20" x14ac:dyDescent="0.3">
      <c r="B69" s="44"/>
      <c r="C69" s="44"/>
      <c r="D69" s="44"/>
      <c r="E69" s="44"/>
      <c r="F69" s="44"/>
      <c r="G69" s="44"/>
      <c r="H69" s="44"/>
      <c r="I69" s="44"/>
      <c r="J69" s="44"/>
      <c r="K69" s="44"/>
      <c r="L69" s="44"/>
      <c r="M69" s="44"/>
      <c r="N69" s="44"/>
      <c r="O69" s="44"/>
      <c r="P69" s="44"/>
      <c r="Q69" s="44"/>
      <c r="R69" s="44"/>
      <c r="S69" s="44"/>
      <c r="T69" s="44"/>
    </row>
    <row r="70" spans="2:20" x14ac:dyDescent="0.3">
      <c r="B70" s="44"/>
      <c r="C70" s="44"/>
      <c r="D70" s="44"/>
      <c r="E70" s="44"/>
      <c r="F70" s="44"/>
      <c r="G70" s="44"/>
      <c r="H70" s="44"/>
      <c r="I70" s="44"/>
      <c r="J70" s="44"/>
      <c r="K70" s="44"/>
      <c r="L70" s="44"/>
      <c r="M70" s="44"/>
      <c r="N70" s="44"/>
      <c r="O70" s="44"/>
      <c r="P70" s="44"/>
      <c r="Q70" s="44"/>
      <c r="R70" s="44"/>
      <c r="S70" s="44"/>
      <c r="T70" s="44"/>
    </row>
    <row r="71" spans="2:20" x14ac:dyDescent="0.3">
      <c r="B71" s="44"/>
      <c r="C71" s="44"/>
      <c r="D71" s="44"/>
      <c r="E71" s="44"/>
      <c r="F71" s="44"/>
      <c r="G71" s="44"/>
      <c r="H71" s="44"/>
      <c r="I71" s="44"/>
      <c r="J71" s="44"/>
      <c r="K71" s="44"/>
      <c r="L71" s="44"/>
      <c r="M71" s="44"/>
      <c r="N71" s="44"/>
      <c r="O71" s="44"/>
      <c r="P71" s="44"/>
      <c r="Q71" s="44"/>
      <c r="R71" s="44"/>
      <c r="S71" s="44"/>
      <c r="T71" s="44"/>
    </row>
    <row r="72" spans="2:20" x14ac:dyDescent="0.3">
      <c r="B72" s="44"/>
      <c r="C72" s="44"/>
      <c r="D72" s="44"/>
      <c r="E72" s="44"/>
      <c r="F72" s="44"/>
      <c r="G72" s="44"/>
      <c r="H72" s="44"/>
      <c r="I72" s="44"/>
      <c r="J72" s="44"/>
      <c r="K72" s="44"/>
      <c r="L72" s="44"/>
      <c r="M72" s="44"/>
      <c r="N72" s="44"/>
      <c r="O72" s="44"/>
      <c r="P72" s="44"/>
      <c r="Q72" s="44"/>
      <c r="R72" s="44"/>
      <c r="S72" s="44"/>
      <c r="T72" s="44"/>
    </row>
    <row r="73" spans="2:20" x14ac:dyDescent="0.3">
      <c r="B73" s="44"/>
      <c r="C73" s="44"/>
      <c r="D73" s="44"/>
      <c r="E73" s="44"/>
      <c r="F73" s="44"/>
      <c r="G73" s="44"/>
      <c r="H73" s="44"/>
      <c r="I73" s="44"/>
      <c r="J73" s="44"/>
      <c r="K73" s="44"/>
      <c r="L73" s="44"/>
      <c r="M73" s="44"/>
      <c r="N73" s="44"/>
      <c r="O73" s="44"/>
      <c r="P73" s="44"/>
      <c r="Q73" s="44"/>
      <c r="R73" s="44"/>
      <c r="S73" s="44"/>
      <c r="T73" s="44"/>
    </row>
    <row r="74" spans="2:20" x14ac:dyDescent="0.3">
      <c r="B74" s="44"/>
      <c r="C74" s="44"/>
      <c r="D74" s="44"/>
      <c r="E74" s="44"/>
      <c r="F74" s="44"/>
      <c r="G74" s="44"/>
      <c r="H74" s="44"/>
      <c r="I74" s="44"/>
      <c r="J74" s="44"/>
      <c r="K74" s="44"/>
      <c r="L74" s="44"/>
      <c r="M74" s="44"/>
      <c r="N74" s="44"/>
      <c r="O74" s="44"/>
      <c r="P74" s="44"/>
      <c r="Q74" s="44"/>
      <c r="R74" s="44"/>
      <c r="S74" s="44"/>
      <c r="T74" s="44"/>
    </row>
    <row r="75" spans="2:20" x14ac:dyDescent="0.3">
      <c r="B75" s="44"/>
      <c r="C75" s="44"/>
      <c r="D75" s="44"/>
      <c r="E75" s="44"/>
      <c r="F75" s="44"/>
      <c r="G75" s="44"/>
      <c r="H75" s="44"/>
      <c r="I75" s="44"/>
      <c r="J75" s="44"/>
      <c r="K75" s="44"/>
      <c r="L75" s="44"/>
      <c r="M75" s="44"/>
      <c r="N75" s="44"/>
      <c r="O75" s="44"/>
      <c r="P75" s="44"/>
      <c r="Q75" s="44"/>
      <c r="R75" s="44"/>
      <c r="S75" s="44"/>
      <c r="T75" s="44"/>
    </row>
    <row r="76" spans="2:20" x14ac:dyDescent="0.3">
      <c r="B76" s="44"/>
      <c r="C76" s="44"/>
      <c r="D76" s="44"/>
      <c r="E76" s="44"/>
      <c r="F76" s="44"/>
      <c r="G76" s="44"/>
      <c r="H76" s="44"/>
      <c r="I76" s="44"/>
      <c r="J76" s="44"/>
      <c r="K76" s="44"/>
      <c r="L76" s="44"/>
      <c r="M76" s="44"/>
      <c r="N76" s="44"/>
      <c r="O76" s="44"/>
      <c r="P76" s="44"/>
      <c r="Q76" s="44"/>
      <c r="R76" s="44"/>
      <c r="S76" s="44"/>
      <c r="T76" s="44"/>
    </row>
    <row r="77" spans="2:20" x14ac:dyDescent="0.3">
      <c r="B77" s="44"/>
      <c r="C77" s="44"/>
      <c r="D77" s="44"/>
      <c r="E77" s="44"/>
      <c r="F77" s="44"/>
      <c r="G77" s="44"/>
      <c r="H77" s="44"/>
      <c r="I77" s="44"/>
      <c r="J77" s="44"/>
      <c r="K77" s="44"/>
      <c r="L77" s="44"/>
      <c r="M77" s="44"/>
      <c r="N77" s="44"/>
      <c r="O77" s="44"/>
      <c r="P77" s="44"/>
      <c r="Q77" s="44"/>
      <c r="R77" s="44"/>
      <c r="S77" s="44"/>
      <c r="T77" s="44"/>
    </row>
    <row r="78" spans="2:20" x14ac:dyDescent="0.3">
      <c r="B78" s="44"/>
      <c r="C78" s="44"/>
      <c r="D78" s="44"/>
      <c r="E78" s="44"/>
      <c r="F78" s="44"/>
      <c r="G78" s="44"/>
      <c r="H78" s="44"/>
      <c r="I78" s="44"/>
      <c r="J78" s="44"/>
      <c r="K78" s="44"/>
      <c r="L78" s="44"/>
      <c r="M78" s="44"/>
      <c r="N78" s="44"/>
      <c r="O78" s="44"/>
      <c r="P78" s="44"/>
      <c r="Q78" s="44"/>
      <c r="R78" s="44"/>
      <c r="S78" s="44"/>
      <c r="T78" s="44"/>
    </row>
    <row r="79" spans="2:20" x14ac:dyDescent="0.3">
      <c r="B79" s="44"/>
      <c r="C79" s="44"/>
      <c r="D79" s="44"/>
      <c r="E79" s="44"/>
      <c r="F79" s="44"/>
      <c r="G79" s="44"/>
      <c r="H79" s="44"/>
      <c r="I79" s="44"/>
      <c r="J79" s="44"/>
      <c r="K79" s="44"/>
      <c r="L79" s="44"/>
      <c r="M79" s="44"/>
      <c r="N79" s="44"/>
      <c r="O79" s="44"/>
      <c r="P79" s="44"/>
      <c r="Q79" s="44"/>
      <c r="R79" s="44"/>
      <c r="S79" s="44"/>
      <c r="T79" s="44"/>
    </row>
    <row r="80" spans="2:20" x14ac:dyDescent="0.3">
      <c r="B80" s="44"/>
      <c r="C80" s="44"/>
      <c r="D80" s="44"/>
      <c r="E80" s="44"/>
      <c r="F80" s="44"/>
      <c r="G80" s="44"/>
      <c r="H80" s="44"/>
      <c r="I80" s="44"/>
      <c r="J80" s="44"/>
      <c r="K80" s="44"/>
      <c r="L80" s="44"/>
      <c r="M80" s="44"/>
      <c r="N80" s="44"/>
      <c r="O80" s="44"/>
      <c r="P80" s="44"/>
      <c r="Q80" s="44"/>
      <c r="R80" s="44"/>
      <c r="S80" s="44"/>
      <c r="T80" s="44"/>
    </row>
    <row r="81" spans="2:20" x14ac:dyDescent="0.3">
      <c r="B81" s="44"/>
      <c r="C81" s="44"/>
      <c r="D81" s="44"/>
      <c r="E81" s="44"/>
      <c r="F81" s="44"/>
      <c r="G81" s="44"/>
      <c r="H81" s="44"/>
      <c r="I81" s="44"/>
      <c r="J81" s="44"/>
      <c r="K81" s="44"/>
      <c r="L81" s="44"/>
      <c r="M81" s="44"/>
      <c r="N81" s="44"/>
      <c r="O81" s="44"/>
      <c r="P81" s="44"/>
      <c r="Q81" s="44"/>
      <c r="R81" s="44"/>
      <c r="S81" s="44"/>
      <c r="T81" s="44"/>
    </row>
    <row r="82" spans="2:20" x14ac:dyDescent="0.3">
      <c r="B82" s="44"/>
      <c r="C82" s="44"/>
      <c r="D82" s="44"/>
      <c r="E82" s="44"/>
      <c r="F82" s="44"/>
      <c r="G82" s="44"/>
      <c r="H82" s="44"/>
      <c r="I82" s="44"/>
      <c r="J82" s="44"/>
      <c r="K82" s="44"/>
      <c r="L82" s="44"/>
      <c r="M82" s="44"/>
      <c r="N82" s="44"/>
      <c r="O82" s="44"/>
      <c r="P82" s="44"/>
      <c r="Q82" s="44"/>
      <c r="R82" s="44"/>
      <c r="S82" s="44"/>
      <c r="T82" s="44"/>
    </row>
    <row r="83" spans="2:20" x14ac:dyDescent="0.3">
      <c r="B83" s="44"/>
      <c r="C83" s="44"/>
      <c r="D83" s="44"/>
      <c r="E83" s="44"/>
      <c r="F83" s="44"/>
      <c r="G83" s="44"/>
      <c r="H83" s="44"/>
      <c r="I83" s="44"/>
      <c r="J83" s="44"/>
      <c r="K83" s="44"/>
      <c r="L83" s="44"/>
      <c r="M83" s="44"/>
      <c r="N83" s="44"/>
      <c r="O83" s="44"/>
      <c r="P83" s="44"/>
      <c r="Q83" s="44"/>
      <c r="R83" s="44"/>
      <c r="S83" s="44"/>
      <c r="T83" s="44"/>
    </row>
    <row r="84" spans="2:20" x14ac:dyDescent="0.3">
      <c r="B84" s="44"/>
      <c r="C84" s="44"/>
      <c r="D84" s="44"/>
      <c r="E84" s="44"/>
      <c r="F84" s="44"/>
      <c r="G84" s="44"/>
      <c r="H84" s="44"/>
      <c r="I84" s="44"/>
      <c r="J84" s="44"/>
      <c r="K84" s="44"/>
      <c r="L84" s="44"/>
      <c r="M84" s="44"/>
      <c r="N84" s="44"/>
      <c r="O84" s="44"/>
      <c r="P84" s="44"/>
      <c r="Q84" s="44"/>
      <c r="R84" s="44"/>
      <c r="S84" s="44"/>
      <c r="T84" s="44"/>
    </row>
    <row r="85" spans="2:20" x14ac:dyDescent="0.3">
      <c r="B85" s="44"/>
      <c r="C85" s="44"/>
      <c r="D85" s="44"/>
      <c r="E85" s="44"/>
      <c r="F85" s="44"/>
      <c r="G85" s="44"/>
      <c r="H85" s="44"/>
      <c r="I85" s="44"/>
      <c r="J85" s="44"/>
      <c r="K85" s="44"/>
      <c r="L85" s="44"/>
      <c r="M85" s="44"/>
      <c r="N85" s="44"/>
      <c r="O85" s="44"/>
      <c r="P85" s="44"/>
      <c r="Q85" s="44"/>
      <c r="R85" s="44"/>
      <c r="S85" s="44"/>
      <c r="T85" s="44"/>
    </row>
    <row r="86" spans="2:20" x14ac:dyDescent="0.3">
      <c r="B86" s="44"/>
      <c r="C86" s="44"/>
      <c r="D86" s="44"/>
      <c r="E86" s="44"/>
      <c r="F86" s="44"/>
      <c r="G86" s="44"/>
      <c r="H86" s="44"/>
      <c r="I86" s="44"/>
      <c r="J86" s="44"/>
      <c r="K86" s="44"/>
      <c r="L86" s="44"/>
      <c r="M86" s="44"/>
      <c r="N86" s="44"/>
      <c r="O86" s="44"/>
      <c r="P86" s="44"/>
      <c r="Q86" s="44"/>
      <c r="R86" s="44"/>
      <c r="S86" s="44"/>
      <c r="T86" s="44"/>
    </row>
    <row r="87" spans="2:20" x14ac:dyDescent="0.3">
      <c r="B87" s="44"/>
      <c r="C87" s="44"/>
      <c r="D87" s="44"/>
      <c r="E87" s="44"/>
      <c r="F87" s="44"/>
      <c r="G87" s="44"/>
      <c r="H87" s="44"/>
      <c r="I87" s="44"/>
      <c r="J87" s="44"/>
      <c r="K87" s="44"/>
      <c r="L87" s="44"/>
      <c r="M87" s="44"/>
      <c r="N87" s="44"/>
      <c r="O87" s="44"/>
      <c r="P87" s="44"/>
      <c r="Q87" s="44"/>
      <c r="R87" s="44"/>
      <c r="S87" s="44"/>
      <c r="T87" s="44"/>
    </row>
    <row r="88" spans="2:20" x14ac:dyDescent="0.3">
      <c r="B88" s="44"/>
      <c r="C88" s="44"/>
      <c r="D88" s="44"/>
      <c r="E88" s="44"/>
      <c r="F88" s="44"/>
      <c r="G88" s="44"/>
      <c r="H88" s="44"/>
      <c r="I88" s="44"/>
      <c r="J88" s="44"/>
      <c r="K88" s="44"/>
      <c r="L88" s="44"/>
      <c r="M88" s="44"/>
      <c r="N88" s="44"/>
      <c r="O88" s="44"/>
      <c r="P88" s="44"/>
      <c r="Q88" s="44"/>
      <c r="R88" s="44"/>
      <c r="S88" s="44"/>
      <c r="T88" s="44"/>
    </row>
    <row r="89" spans="2:20" x14ac:dyDescent="0.3">
      <c r="B89" s="44"/>
      <c r="C89" s="44"/>
      <c r="D89" s="44"/>
      <c r="E89" s="44"/>
      <c r="F89" s="44"/>
      <c r="G89" s="44"/>
      <c r="H89" s="44"/>
      <c r="I89" s="44"/>
      <c r="J89" s="44"/>
      <c r="K89" s="44"/>
      <c r="L89" s="44"/>
      <c r="M89" s="44"/>
      <c r="N89" s="44"/>
      <c r="O89" s="44"/>
      <c r="P89" s="44"/>
      <c r="Q89" s="44"/>
      <c r="R89" s="44"/>
      <c r="S89" s="44"/>
      <c r="T89" s="44"/>
    </row>
    <row r="90" spans="2:20" x14ac:dyDescent="0.3">
      <c r="B90" s="44"/>
      <c r="C90" s="44"/>
      <c r="D90" s="44"/>
      <c r="E90" s="44"/>
      <c r="F90" s="44"/>
      <c r="G90" s="44"/>
      <c r="H90" s="44"/>
      <c r="I90" s="44"/>
      <c r="J90" s="44"/>
      <c r="K90" s="44"/>
      <c r="L90" s="44"/>
      <c r="M90" s="44"/>
      <c r="N90" s="44"/>
      <c r="O90" s="44"/>
      <c r="P90" s="44"/>
      <c r="Q90" s="44"/>
      <c r="R90" s="44"/>
      <c r="S90" s="44"/>
      <c r="T90" s="44"/>
    </row>
    <row r="91" spans="2:20" x14ac:dyDescent="0.3">
      <c r="B91" s="44"/>
      <c r="C91" s="44"/>
      <c r="D91" s="44"/>
      <c r="E91" s="44"/>
      <c r="F91" s="44"/>
      <c r="G91" s="44"/>
      <c r="H91" s="44"/>
      <c r="I91" s="44"/>
      <c r="J91" s="44"/>
      <c r="K91" s="44"/>
      <c r="L91" s="44"/>
      <c r="M91" s="44"/>
      <c r="N91" s="44"/>
      <c r="O91" s="44"/>
      <c r="P91" s="44"/>
      <c r="Q91" s="44"/>
      <c r="R91" s="44"/>
      <c r="S91" s="44"/>
      <c r="T91" s="44"/>
    </row>
    <row r="92" spans="2:20" x14ac:dyDescent="0.3">
      <c r="B92" s="44"/>
      <c r="C92" s="44"/>
      <c r="D92" s="44"/>
      <c r="E92" s="44"/>
      <c r="F92" s="44"/>
      <c r="G92" s="44"/>
      <c r="H92" s="44"/>
      <c r="I92" s="44"/>
      <c r="J92" s="44"/>
      <c r="K92" s="44"/>
      <c r="L92" s="44"/>
      <c r="M92" s="44"/>
      <c r="N92" s="44"/>
      <c r="O92" s="44"/>
      <c r="P92" s="44"/>
      <c r="Q92" s="44"/>
      <c r="R92" s="44"/>
      <c r="S92" s="44"/>
      <c r="T92" s="44"/>
    </row>
    <row r="93" spans="2:20" x14ac:dyDescent="0.3">
      <c r="B93" s="44"/>
      <c r="C93" s="44"/>
      <c r="D93" s="44"/>
      <c r="E93" s="44"/>
      <c r="F93" s="44"/>
      <c r="G93" s="44"/>
      <c r="H93" s="44"/>
      <c r="I93" s="44"/>
      <c r="J93" s="44"/>
      <c r="K93" s="44"/>
      <c r="L93" s="44"/>
      <c r="M93" s="44"/>
      <c r="N93" s="44"/>
      <c r="O93" s="44"/>
      <c r="P93" s="44"/>
      <c r="Q93" s="44"/>
      <c r="R93" s="44"/>
      <c r="S93" s="44"/>
      <c r="T93" s="44"/>
    </row>
    <row r="94" spans="2:20" x14ac:dyDescent="0.3">
      <c r="B94" s="44"/>
      <c r="C94" s="44"/>
      <c r="D94" s="44"/>
      <c r="E94" s="44"/>
      <c r="F94" s="44"/>
      <c r="G94" s="44"/>
      <c r="H94" s="44"/>
      <c r="I94" s="44"/>
      <c r="J94" s="44"/>
      <c r="K94" s="44"/>
      <c r="L94" s="44"/>
      <c r="M94" s="44"/>
      <c r="N94" s="44"/>
      <c r="O94" s="44"/>
      <c r="P94" s="44"/>
      <c r="Q94" s="44"/>
      <c r="R94" s="44"/>
      <c r="S94" s="44"/>
      <c r="T94" s="44"/>
    </row>
    <row r="95" spans="2:20" x14ac:dyDescent="0.3">
      <c r="B95" s="44"/>
      <c r="C95" s="44"/>
      <c r="D95" s="44"/>
      <c r="E95" s="44"/>
      <c r="F95" s="44"/>
      <c r="G95" s="44"/>
      <c r="H95" s="44"/>
      <c r="I95" s="44"/>
      <c r="J95" s="44"/>
      <c r="K95" s="44"/>
      <c r="L95" s="44"/>
      <c r="M95" s="44"/>
      <c r="N95" s="44"/>
      <c r="O95" s="44"/>
      <c r="P95" s="44"/>
      <c r="Q95" s="44"/>
      <c r="R95" s="44"/>
      <c r="S95" s="44"/>
      <c r="T95" s="44"/>
    </row>
    <row r="96" spans="2:20" x14ac:dyDescent="0.3">
      <c r="B96" s="44"/>
      <c r="C96" s="44"/>
      <c r="D96" s="44"/>
      <c r="E96" s="44"/>
      <c r="F96" s="44"/>
      <c r="G96" s="44"/>
      <c r="H96" s="44"/>
      <c r="I96" s="44"/>
      <c r="J96" s="44"/>
      <c r="K96" s="44"/>
      <c r="L96" s="44"/>
      <c r="M96" s="44"/>
      <c r="N96" s="44"/>
      <c r="O96" s="44"/>
      <c r="P96" s="44"/>
      <c r="Q96" s="44"/>
      <c r="R96" s="44"/>
      <c r="S96" s="44"/>
      <c r="T96" s="44"/>
    </row>
    <row r="97" spans="2:20" x14ac:dyDescent="0.3">
      <c r="B97" s="44"/>
      <c r="C97" s="44"/>
      <c r="D97" s="44"/>
      <c r="E97" s="44"/>
      <c r="F97" s="44"/>
      <c r="G97" s="44"/>
      <c r="H97" s="44"/>
      <c r="I97" s="44"/>
      <c r="J97" s="44"/>
      <c r="K97" s="44"/>
      <c r="L97" s="44"/>
      <c r="M97" s="44"/>
      <c r="N97" s="44"/>
      <c r="O97" s="44"/>
      <c r="P97" s="44"/>
      <c r="Q97" s="44"/>
      <c r="R97" s="44"/>
      <c r="S97" s="44"/>
      <c r="T97" s="44"/>
    </row>
    <row r="98" spans="2:20" x14ac:dyDescent="0.3">
      <c r="B98" s="44"/>
      <c r="C98" s="44"/>
      <c r="D98" s="44"/>
      <c r="E98" s="44"/>
      <c r="F98" s="44"/>
      <c r="G98" s="44"/>
      <c r="H98" s="44"/>
      <c r="I98" s="44"/>
      <c r="J98" s="44"/>
      <c r="K98" s="44"/>
      <c r="L98" s="44"/>
      <c r="M98" s="44"/>
      <c r="N98" s="44"/>
      <c r="O98" s="44"/>
      <c r="P98" s="44"/>
      <c r="Q98" s="44"/>
      <c r="R98" s="44"/>
      <c r="S98" s="44"/>
      <c r="T98" s="44"/>
    </row>
    <row r="99" spans="2:20" x14ac:dyDescent="0.3">
      <c r="B99" s="44"/>
      <c r="C99" s="44"/>
      <c r="D99" s="44"/>
      <c r="E99" s="44"/>
      <c r="F99" s="44"/>
      <c r="G99" s="44"/>
      <c r="H99" s="44"/>
      <c r="I99" s="44"/>
      <c r="J99" s="44"/>
      <c r="K99" s="44"/>
      <c r="L99" s="44"/>
      <c r="M99" s="44"/>
      <c r="N99" s="44"/>
      <c r="O99" s="44"/>
      <c r="P99" s="44"/>
      <c r="Q99" s="44"/>
      <c r="R99" s="44"/>
      <c r="S99" s="44"/>
      <c r="T99" s="44"/>
    </row>
    <row r="100" spans="2:20" x14ac:dyDescent="0.3">
      <c r="B100" s="44"/>
      <c r="C100" s="44"/>
      <c r="D100" s="44"/>
      <c r="E100" s="44"/>
      <c r="F100" s="44"/>
      <c r="G100" s="44"/>
      <c r="H100" s="44"/>
      <c r="I100" s="44"/>
      <c r="J100" s="44"/>
      <c r="K100" s="44"/>
      <c r="L100" s="44"/>
      <c r="M100" s="44"/>
      <c r="N100" s="44"/>
      <c r="O100" s="44"/>
      <c r="P100" s="44"/>
      <c r="Q100" s="44"/>
      <c r="R100" s="44"/>
      <c r="S100" s="44"/>
      <c r="T100" s="44"/>
    </row>
    <row r="101" spans="2:20" x14ac:dyDescent="0.3">
      <c r="B101" s="44"/>
      <c r="C101" s="44"/>
      <c r="D101" s="44"/>
      <c r="E101" s="44"/>
      <c r="F101" s="44"/>
      <c r="G101" s="44"/>
      <c r="H101" s="44"/>
      <c r="I101" s="44"/>
      <c r="J101" s="44"/>
      <c r="K101" s="44"/>
      <c r="L101" s="44"/>
      <c r="M101" s="44"/>
      <c r="N101" s="44"/>
      <c r="O101" s="44"/>
      <c r="P101" s="44"/>
      <c r="Q101" s="44"/>
      <c r="R101" s="44"/>
      <c r="S101" s="44"/>
      <c r="T101" s="44"/>
    </row>
    <row r="102" spans="2:20" x14ac:dyDescent="0.3">
      <c r="B102" s="44"/>
      <c r="C102" s="44"/>
      <c r="D102" s="44"/>
      <c r="E102" s="44"/>
      <c r="F102" s="44"/>
      <c r="G102" s="44"/>
      <c r="H102" s="44"/>
      <c r="I102" s="44"/>
      <c r="J102" s="44"/>
      <c r="K102" s="44"/>
      <c r="L102" s="44"/>
      <c r="M102" s="44"/>
      <c r="N102" s="44"/>
      <c r="O102" s="44"/>
      <c r="P102" s="44"/>
      <c r="Q102" s="44"/>
      <c r="R102" s="44"/>
      <c r="S102" s="44"/>
      <c r="T102" s="44"/>
    </row>
    <row r="103" spans="2:20" x14ac:dyDescent="0.3">
      <c r="B103" s="44"/>
      <c r="C103" s="44"/>
      <c r="D103" s="44"/>
      <c r="E103" s="44"/>
      <c r="F103" s="44"/>
      <c r="G103" s="44"/>
      <c r="H103" s="44"/>
      <c r="I103" s="44"/>
      <c r="J103" s="44"/>
      <c r="K103" s="44"/>
      <c r="L103" s="44"/>
      <c r="M103" s="44"/>
      <c r="N103" s="44"/>
      <c r="O103" s="44"/>
      <c r="P103" s="44"/>
      <c r="Q103" s="44"/>
      <c r="R103" s="44"/>
      <c r="S103" s="44"/>
      <c r="T103" s="44"/>
    </row>
    <row r="104" spans="2:20" x14ac:dyDescent="0.3">
      <c r="B104" s="44"/>
      <c r="C104" s="44"/>
      <c r="D104" s="44"/>
      <c r="E104" s="44"/>
      <c r="F104" s="44"/>
      <c r="G104" s="44"/>
      <c r="H104" s="44"/>
      <c r="I104" s="44"/>
      <c r="J104" s="44"/>
      <c r="K104" s="44"/>
      <c r="L104" s="44"/>
      <c r="M104" s="44"/>
      <c r="N104" s="44"/>
      <c r="O104" s="44"/>
      <c r="P104" s="44"/>
      <c r="Q104" s="44"/>
      <c r="R104" s="44"/>
      <c r="S104" s="44"/>
      <c r="T104" s="44"/>
    </row>
    <row r="105" spans="2:20" x14ac:dyDescent="0.3">
      <c r="B105" s="44"/>
      <c r="C105" s="44"/>
      <c r="D105" s="44"/>
      <c r="E105" s="44"/>
      <c r="F105" s="44"/>
      <c r="G105" s="44"/>
      <c r="H105" s="44"/>
      <c r="I105" s="44"/>
      <c r="J105" s="44"/>
      <c r="K105" s="44"/>
      <c r="L105" s="44"/>
      <c r="M105" s="44"/>
      <c r="N105" s="44"/>
      <c r="O105" s="44"/>
      <c r="P105" s="44"/>
      <c r="Q105" s="44"/>
      <c r="R105" s="44"/>
      <c r="S105" s="44"/>
      <c r="T105" s="44"/>
    </row>
    <row r="106" spans="2:20" x14ac:dyDescent="0.3">
      <c r="B106" s="44"/>
      <c r="C106" s="44"/>
      <c r="D106" s="44"/>
      <c r="E106" s="44"/>
      <c r="F106" s="44"/>
      <c r="G106" s="44"/>
      <c r="H106" s="44"/>
      <c r="I106" s="44"/>
      <c r="J106" s="44"/>
      <c r="K106" s="44"/>
      <c r="L106" s="44"/>
      <c r="M106" s="44"/>
      <c r="N106" s="44"/>
      <c r="O106" s="44"/>
      <c r="P106" s="44"/>
      <c r="Q106" s="44"/>
      <c r="R106" s="44"/>
      <c r="S106" s="44"/>
      <c r="T106" s="44"/>
    </row>
    <row r="107" spans="2:20" x14ac:dyDescent="0.3">
      <c r="B107" s="44"/>
      <c r="C107" s="44"/>
      <c r="D107" s="44"/>
      <c r="E107" s="44"/>
      <c r="F107" s="44"/>
      <c r="G107" s="44"/>
      <c r="H107" s="44"/>
      <c r="I107" s="44"/>
      <c r="J107" s="44"/>
      <c r="K107" s="44"/>
      <c r="L107" s="44"/>
      <c r="M107" s="44"/>
      <c r="N107" s="44"/>
      <c r="O107" s="44"/>
      <c r="P107" s="44"/>
      <c r="Q107" s="44"/>
      <c r="R107" s="44"/>
      <c r="S107" s="44"/>
      <c r="T107" s="44"/>
    </row>
    <row r="108" spans="2:20" x14ac:dyDescent="0.3">
      <c r="B108" s="44"/>
      <c r="C108" s="44"/>
      <c r="D108" s="44"/>
      <c r="E108" s="44"/>
      <c r="F108" s="44"/>
      <c r="G108" s="44"/>
      <c r="H108" s="44"/>
      <c r="I108" s="44"/>
      <c r="J108" s="44"/>
      <c r="K108" s="44"/>
      <c r="L108" s="44"/>
      <c r="M108" s="44"/>
      <c r="N108" s="44"/>
      <c r="O108" s="44"/>
      <c r="P108" s="44"/>
      <c r="Q108" s="44"/>
      <c r="R108" s="44"/>
      <c r="S108" s="44"/>
      <c r="T108" s="44"/>
    </row>
    <row r="109" spans="2:20" x14ac:dyDescent="0.3">
      <c r="B109" s="44"/>
      <c r="C109" s="44"/>
      <c r="D109" s="44"/>
      <c r="E109" s="44"/>
      <c r="F109" s="44"/>
      <c r="G109" s="44"/>
      <c r="H109" s="44"/>
      <c r="I109" s="44"/>
      <c r="J109" s="44"/>
      <c r="K109" s="44"/>
      <c r="L109" s="44"/>
      <c r="M109" s="44"/>
      <c r="N109" s="44"/>
      <c r="O109" s="44"/>
      <c r="P109" s="44"/>
      <c r="Q109" s="44"/>
      <c r="R109" s="44"/>
      <c r="S109" s="44"/>
      <c r="T109" s="44"/>
    </row>
    <row r="110" spans="2:20" x14ac:dyDescent="0.3">
      <c r="B110" s="44"/>
      <c r="C110" s="44"/>
      <c r="D110" s="44"/>
      <c r="E110" s="44"/>
      <c r="F110" s="44"/>
      <c r="G110" s="44"/>
      <c r="H110" s="44"/>
      <c r="I110" s="44"/>
      <c r="J110" s="44"/>
      <c r="K110" s="44"/>
      <c r="L110" s="44"/>
      <c r="M110" s="44"/>
      <c r="N110" s="44"/>
      <c r="O110" s="44"/>
      <c r="P110" s="44"/>
      <c r="Q110" s="44"/>
      <c r="R110" s="44"/>
      <c r="S110" s="44"/>
      <c r="T110" s="44"/>
    </row>
    <row r="111" spans="2:20" x14ac:dyDescent="0.3">
      <c r="B111" s="44"/>
      <c r="C111" s="44"/>
      <c r="D111" s="44"/>
      <c r="E111" s="44"/>
      <c r="F111" s="44"/>
      <c r="G111" s="44"/>
      <c r="H111" s="44"/>
      <c r="I111" s="44"/>
      <c r="J111" s="44"/>
      <c r="K111" s="44"/>
      <c r="L111" s="44"/>
      <c r="M111" s="44"/>
      <c r="N111" s="44"/>
      <c r="O111" s="44"/>
      <c r="P111" s="44"/>
      <c r="Q111" s="44"/>
      <c r="R111" s="44"/>
      <c r="S111" s="44"/>
      <c r="T111" s="44"/>
    </row>
    <row r="112" spans="2:20" x14ac:dyDescent="0.3">
      <c r="B112" s="44"/>
      <c r="C112" s="44"/>
      <c r="D112" s="44"/>
      <c r="E112" s="44"/>
      <c r="F112" s="44"/>
      <c r="G112" s="44"/>
      <c r="H112" s="44"/>
      <c r="I112" s="44"/>
      <c r="J112" s="44"/>
      <c r="K112" s="44"/>
      <c r="L112" s="44"/>
      <c r="M112" s="44"/>
      <c r="N112" s="44"/>
      <c r="O112" s="44"/>
      <c r="P112" s="44"/>
      <c r="Q112" s="44"/>
      <c r="R112" s="44"/>
      <c r="S112" s="44"/>
      <c r="T112" s="44"/>
    </row>
    <row r="113" spans="2:20" x14ac:dyDescent="0.3">
      <c r="B113" s="44"/>
      <c r="C113" s="44"/>
      <c r="D113" s="44"/>
      <c r="E113" s="44"/>
      <c r="F113" s="44"/>
      <c r="G113" s="44"/>
      <c r="H113" s="44"/>
      <c r="I113" s="44"/>
      <c r="J113" s="44"/>
      <c r="K113" s="44"/>
      <c r="L113" s="44"/>
      <c r="M113" s="44"/>
      <c r="N113" s="44"/>
      <c r="O113" s="44"/>
      <c r="P113" s="44"/>
      <c r="Q113" s="44"/>
      <c r="R113" s="44"/>
      <c r="S113" s="44"/>
      <c r="T113" s="44"/>
    </row>
    <row r="114" spans="2:20" x14ac:dyDescent="0.3">
      <c r="B114" s="44"/>
      <c r="C114" s="44"/>
      <c r="D114" s="44"/>
      <c r="E114" s="44"/>
      <c r="F114" s="44"/>
      <c r="G114" s="44"/>
      <c r="H114" s="44"/>
      <c r="I114" s="44"/>
      <c r="J114" s="44"/>
      <c r="K114" s="44"/>
      <c r="L114" s="44"/>
      <c r="M114" s="44"/>
      <c r="N114" s="44"/>
      <c r="O114" s="44"/>
      <c r="P114" s="44"/>
      <c r="Q114" s="44"/>
      <c r="R114" s="44"/>
      <c r="S114" s="44"/>
      <c r="T114" s="44"/>
    </row>
    <row r="115" spans="2:20" x14ac:dyDescent="0.3">
      <c r="B115" s="44"/>
      <c r="C115" s="44"/>
      <c r="D115" s="44"/>
      <c r="E115" s="44"/>
      <c r="F115" s="44"/>
      <c r="G115" s="44"/>
      <c r="H115" s="44"/>
      <c r="I115" s="44"/>
      <c r="J115" s="44"/>
      <c r="K115" s="44"/>
      <c r="L115" s="44"/>
      <c r="M115" s="44"/>
      <c r="N115" s="44"/>
      <c r="O115" s="44"/>
      <c r="P115" s="44"/>
      <c r="Q115" s="44"/>
      <c r="R115" s="44"/>
      <c r="S115" s="44"/>
      <c r="T115" s="44"/>
    </row>
    <row r="116" spans="2:20" x14ac:dyDescent="0.3">
      <c r="B116" s="44"/>
      <c r="C116" s="44"/>
      <c r="D116" s="44"/>
      <c r="E116" s="44"/>
      <c r="F116" s="44"/>
      <c r="G116" s="44"/>
      <c r="H116" s="44"/>
      <c r="I116" s="44"/>
      <c r="J116" s="44"/>
      <c r="K116" s="44"/>
      <c r="L116" s="44"/>
      <c r="M116" s="44"/>
      <c r="N116" s="44"/>
      <c r="O116" s="44"/>
      <c r="P116" s="44"/>
      <c r="Q116" s="44"/>
      <c r="R116" s="44"/>
      <c r="S116" s="44"/>
      <c r="T116" s="44"/>
    </row>
    <row r="117" spans="2:20" x14ac:dyDescent="0.3">
      <c r="B117" s="44"/>
      <c r="C117" s="44"/>
      <c r="D117" s="44"/>
      <c r="E117" s="44"/>
      <c r="F117" s="44"/>
      <c r="G117" s="44"/>
      <c r="H117" s="44"/>
      <c r="I117" s="44"/>
      <c r="J117" s="44"/>
      <c r="K117" s="44"/>
      <c r="L117" s="44"/>
      <c r="M117" s="44"/>
      <c r="N117" s="44"/>
      <c r="O117" s="44"/>
      <c r="P117" s="44"/>
      <c r="Q117" s="44"/>
      <c r="R117" s="44"/>
      <c r="S117" s="44"/>
      <c r="T117" s="44"/>
    </row>
    <row r="118" spans="2:20" x14ac:dyDescent="0.3">
      <c r="B118" s="44"/>
      <c r="C118" s="44"/>
      <c r="D118" s="44"/>
      <c r="E118" s="44"/>
      <c r="F118" s="44"/>
      <c r="G118" s="44"/>
      <c r="H118" s="44"/>
      <c r="I118" s="44"/>
      <c r="J118" s="44"/>
      <c r="K118" s="44"/>
      <c r="L118" s="44"/>
      <c r="M118" s="44"/>
      <c r="N118" s="44"/>
      <c r="O118" s="44"/>
      <c r="P118" s="44"/>
      <c r="Q118" s="44"/>
      <c r="R118" s="44"/>
      <c r="S118" s="44"/>
      <c r="T118" s="44"/>
    </row>
    <row r="119" spans="2:20" x14ac:dyDescent="0.3">
      <c r="B119" s="44"/>
      <c r="C119" s="44"/>
      <c r="D119" s="44"/>
      <c r="E119" s="44"/>
      <c r="F119" s="44"/>
      <c r="G119" s="44"/>
      <c r="H119" s="44"/>
      <c r="I119" s="44"/>
      <c r="J119" s="44"/>
      <c r="K119" s="44"/>
      <c r="L119" s="44"/>
      <c r="M119" s="44"/>
      <c r="N119" s="44"/>
      <c r="O119" s="44"/>
      <c r="P119" s="44"/>
      <c r="Q119" s="44"/>
      <c r="R119" s="44"/>
      <c r="S119" s="44"/>
      <c r="T119" s="44"/>
    </row>
    <row r="120" spans="2:20" x14ac:dyDescent="0.3">
      <c r="B120" s="44"/>
      <c r="C120" s="44"/>
      <c r="D120" s="44"/>
      <c r="E120" s="44"/>
      <c r="F120" s="44"/>
      <c r="G120" s="44"/>
      <c r="H120" s="44"/>
      <c r="I120" s="44"/>
      <c r="J120" s="44"/>
      <c r="K120" s="44"/>
      <c r="L120" s="44"/>
      <c r="M120" s="44"/>
      <c r="N120" s="44"/>
      <c r="O120" s="44"/>
      <c r="P120" s="44"/>
      <c r="Q120" s="44"/>
      <c r="R120" s="44"/>
      <c r="S120" s="44"/>
      <c r="T120" s="44"/>
    </row>
    <row r="121" spans="2:20" x14ac:dyDescent="0.3">
      <c r="B121" s="44"/>
      <c r="C121" s="44"/>
      <c r="D121" s="44"/>
      <c r="E121" s="44"/>
      <c r="F121" s="44"/>
      <c r="G121" s="44"/>
      <c r="H121" s="44"/>
      <c r="I121" s="44"/>
      <c r="J121" s="44"/>
      <c r="K121" s="44"/>
      <c r="L121" s="44"/>
      <c r="M121" s="44"/>
      <c r="N121" s="44"/>
      <c r="O121" s="44"/>
      <c r="P121" s="44"/>
      <c r="Q121" s="44"/>
      <c r="R121" s="44"/>
      <c r="S121" s="44"/>
      <c r="T121" s="44"/>
    </row>
    <row r="122" spans="2:20" x14ac:dyDescent="0.3">
      <c r="B122" s="44"/>
      <c r="C122" s="44"/>
      <c r="D122" s="44"/>
      <c r="E122" s="44"/>
      <c r="F122" s="44"/>
      <c r="G122" s="44"/>
      <c r="H122" s="44"/>
      <c r="I122" s="44"/>
      <c r="J122" s="44"/>
      <c r="K122" s="44"/>
      <c r="L122" s="44"/>
      <c r="M122" s="44"/>
      <c r="N122" s="44"/>
      <c r="O122" s="44"/>
      <c r="P122" s="44"/>
      <c r="Q122" s="44"/>
      <c r="R122" s="44"/>
      <c r="S122" s="44"/>
      <c r="T122" s="44"/>
    </row>
    <row r="123" spans="2:20" x14ac:dyDescent="0.3">
      <c r="B123" s="44"/>
      <c r="C123" s="44"/>
      <c r="D123" s="44"/>
      <c r="E123" s="44"/>
      <c r="F123" s="44"/>
      <c r="G123" s="44"/>
      <c r="H123" s="44"/>
      <c r="I123" s="44"/>
      <c r="J123" s="44"/>
      <c r="K123" s="44"/>
      <c r="L123" s="44"/>
      <c r="M123" s="44"/>
      <c r="N123" s="44"/>
      <c r="O123" s="44"/>
      <c r="P123" s="44"/>
      <c r="Q123" s="44"/>
      <c r="R123" s="44"/>
      <c r="S123" s="44"/>
      <c r="T123" s="44"/>
    </row>
    <row r="124" spans="2:20" x14ac:dyDescent="0.3">
      <c r="B124" s="44"/>
      <c r="C124" s="44"/>
      <c r="D124" s="44"/>
      <c r="E124" s="44"/>
      <c r="F124" s="44"/>
      <c r="G124" s="44"/>
      <c r="H124" s="44"/>
      <c r="I124" s="44"/>
      <c r="J124" s="44"/>
      <c r="K124" s="44"/>
      <c r="L124" s="44"/>
      <c r="M124" s="44"/>
      <c r="N124" s="44"/>
      <c r="O124" s="44"/>
      <c r="P124" s="44"/>
      <c r="Q124" s="44"/>
      <c r="R124" s="44"/>
      <c r="S124" s="44"/>
      <c r="T124" s="44"/>
    </row>
    <row r="125" spans="2:20" x14ac:dyDescent="0.3">
      <c r="B125" s="44"/>
      <c r="C125" s="44"/>
      <c r="D125" s="44"/>
      <c r="E125" s="44"/>
      <c r="F125" s="44"/>
      <c r="G125" s="44"/>
      <c r="H125" s="44"/>
      <c r="I125" s="44"/>
      <c r="J125" s="44"/>
      <c r="K125" s="44"/>
      <c r="L125" s="44"/>
      <c r="M125" s="44"/>
      <c r="N125" s="44"/>
      <c r="O125" s="44"/>
      <c r="P125" s="44"/>
      <c r="Q125" s="44"/>
      <c r="R125" s="44"/>
      <c r="S125" s="44"/>
      <c r="T125" s="44"/>
    </row>
    <row r="126" spans="2:20" x14ac:dyDescent="0.3">
      <c r="B126" s="44"/>
      <c r="C126" s="44"/>
      <c r="D126" s="44"/>
      <c r="E126" s="44"/>
      <c r="F126" s="44"/>
      <c r="G126" s="44"/>
      <c r="H126" s="44"/>
      <c r="I126" s="44"/>
      <c r="J126" s="44"/>
      <c r="K126" s="44"/>
      <c r="L126" s="44"/>
      <c r="M126" s="44"/>
      <c r="N126" s="44"/>
      <c r="O126" s="44"/>
      <c r="P126" s="44"/>
      <c r="Q126" s="44"/>
      <c r="R126" s="44"/>
      <c r="S126" s="44"/>
      <c r="T126" s="44"/>
    </row>
    <row r="127" spans="2:20" x14ac:dyDescent="0.3">
      <c r="B127" s="44"/>
      <c r="C127" s="44"/>
      <c r="D127" s="44"/>
      <c r="E127" s="44"/>
      <c r="F127" s="44"/>
      <c r="G127" s="44"/>
      <c r="H127" s="44"/>
      <c r="I127" s="44"/>
      <c r="J127" s="44"/>
      <c r="K127" s="44"/>
      <c r="L127" s="44"/>
      <c r="M127" s="44"/>
      <c r="N127" s="44"/>
      <c r="O127" s="44"/>
      <c r="P127" s="44"/>
      <c r="Q127" s="44"/>
      <c r="R127" s="44"/>
      <c r="S127" s="44"/>
      <c r="T127" s="44"/>
    </row>
    <row r="128" spans="2:20" x14ac:dyDescent="0.3">
      <c r="B128" s="44"/>
      <c r="C128" s="44"/>
      <c r="D128" s="44"/>
      <c r="E128" s="44"/>
      <c r="F128" s="44"/>
      <c r="G128" s="44"/>
      <c r="H128" s="44"/>
      <c r="I128" s="44"/>
      <c r="J128" s="44"/>
      <c r="K128" s="44"/>
      <c r="L128" s="44"/>
      <c r="M128" s="44"/>
      <c r="N128" s="44"/>
      <c r="O128" s="44"/>
      <c r="P128" s="44"/>
      <c r="Q128" s="44"/>
      <c r="R128" s="44"/>
      <c r="S128" s="44"/>
      <c r="T128" s="44"/>
    </row>
    <row r="129" spans="2:20" x14ac:dyDescent="0.3">
      <c r="B129" s="44"/>
      <c r="C129" s="44"/>
      <c r="D129" s="44"/>
      <c r="E129" s="44"/>
      <c r="F129" s="44"/>
      <c r="G129" s="44"/>
      <c r="H129" s="44"/>
      <c r="I129" s="44"/>
      <c r="J129" s="44"/>
      <c r="K129" s="44"/>
      <c r="L129" s="44"/>
      <c r="M129" s="44"/>
      <c r="N129" s="44"/>
      <c r="O129" s="44"/>
      <c r="P129" s="44"/>
      <c r="Q129" s="44"/>
      <c r="R129" s="44"/>
      <c r="S129" s="44"/>
      <c r="T129" s="44"/>
    </row>
    <row r="130" spans="2:20" x14ac:dyDescent="0.3">
      <c r="B130" s="44"/>
      <c r="C130" s="44"/>
      <c r="D130" s="44"/>
      <c r="E130" s="44"/>
      <c r="F130" s="44"/>
      <c r="G130" s="44"/>
      <c r="H130" s="44"/>
      <c r="I130" s="44"/>
      <c r="J130" s="44"/>
      <c r="K130" s="44"/>
      <c r="L130" s="44"/>
      <c r="M130" s="44"/>
      <c r="N130" s="44"/>
      <c r="O130" s="44"/>
      <c r="P130" s="44"/>
      <c r="Q130" s="44"/>
      <c r="R130" s="44"/>
      <c r="S130" s="44"/>
      <c r="T130" s="44"/>
    </row>
    <row r="131" spans="2:20" x14ac:dyDescent="0.3">
      <c r="B131" s="44"/>
      <c r="C131" s="44"/>
      <c r="D131" s="44"/>
      <c r="E131" s="44"/>
      <c r="F131" s="44"/>
      <c r="G131" s="44"/>
      <c r="H131" s="44"/>
      <c r="I131" s="44"/>
      <c r="J131" s="44"/>
      <c r="K131" s="44"/>
      <c r="L131" s="44"/>
      <c r="M131" s="44"/>
      <c r="N131" s="44"/>
      <c r="O131" s="44"/>
      <c r="P131" s="44"/>
      <c r="Q131" s="44"/>
      <c r="R131" s="44"/>
      <c r="S131" s="44"/>
      <c r="T131" s="44"/>
    </row>
    <row r="132" spans="2:20" x14ac:dyDescent="0.3">
      <c r="B132" s="44"/>
      <c r="C132" s="44"/>
      <c r="D132" s="44"/>
      <c r="E132" s="44"/>
      <c r="F132" s="44"/>
      <c r="G132" s="44"/>
      <c r="H132" s="44"/>
      <c r="I132" s="44"/>
      <c r="J132" s="44"/>
      <c r="K132" s="44"/>
      <c r="L132" s="44"/>
      <c r="M132" s="44"/>
      <c r="N132" s="44"/>
      <c r="O132" s="44"/>
      <c r="P132" s="44"/>
      <c r="Q132" s="44"/>
      <c r="R132" s="44"/>
      <c r="S132" s="44"/>
      <c r="T132" s="44"/>
    </row>
    <row r="133" spans="2:20" x14ac:dyDescent="0.3">
      <c r="B133" s="44"/>
      <c r="C133" s="44"/>
      <c r="D133" s="44"/>
      <c r="E133" s="44"/>
      <c r="F133" s="44"/>
      <c r="G133" s="44"/>
      <c r="H133" s="44"/>
      <c r="I133" s="44"/>
      <c r="J133" s="44"/>
      <c r="K133" s="44"/>
      <c r="L133" s="44"/>
      <c r="M133" s="44"/>
      <c r="N133" s="44"/>
      <c r="O133" s="44"/>
      <c r="P133" s="44"/>
      <c r="Q133" s="44"/>
      <c r="R133" s="44"/>
      <c r="S133" s="44"/>
      <c r="T133" s="44"/>
    </row>
    <row r="134" spans="2:20" x14ac:dyDescent="0.3">
      <c r="B134" s="44"/>
      <c r="C134" s="44"/>
      <c r="D134" s="44"/>
      <c r="E134" s="44"/>
      <c r="F134" s="44"/>
      <c r="G134" s="44"/>
      <c r="H134" s="44"/>
      <c r="I134" s="44"/>
      <c r="J134" s="44"/>
      <c r="K134" s="44"/>
      <c r="L134" s="44"/>
      <c r="M134" s="44"/>
      <c r="N134" s="44"/>
      <c r="O134" s="44"/>
      <c r="P134" s="44"/>
      <c r="Q134" s="44"/>
      <c r="R134" s="44"/>
      <c r="S134" s="44"/>
      <c r="T134" s="44"/>
    </row>
    <row r="135" spans="2:20" x14ac:dyDescent="0.3">
      <c r="B135" s="44"/>
      <c r="C135" s="44"/>
      <c r="D135" s="44"/>
      <c r="E135" s="44"/>
      <c r="F135" s="44"/>
      <c r="G135" s="44"/>
      <c r="H135" s="44"/>
      <c r="I135" s="44"/>
      <c r="J135" s="44"/>
      <c r="K135" s="44"/>
      <c r="L135" s="44"/>
      <c r="M135" s="44"/>
      <c r="N135" s="44"/>
      <c r="O135" s="44"/>
      <c r="P135" s="44"/>
      <c r="Q135" s="44"/>
      <c r="R135" s="44"/>
      <c r="S135" s="44"/>
      <c r="T135" s="44"/>
    </row>
    <row r="136" spans="2:20" x14ac:dyDescent="0.3">
      <c r="B136" s="44"/>
      <c r="C136" s="44"/>
      <c r="D136" s="44"/>
      <c r="E136" s="44"/>
      <c r="F136" s="44"/>
      <c r="G136" s="44"/>
      <c r="H136" s="44"/>
      <c r="I136" s="44"/>
      <c r="J136" s="44"/>
      <c r="K136" s="44"/>
      <c r="L136" s="44"/>
      <c r="M136" s="44"/>
      <c r="N136" s="44"/>
      <c r="O136" s="44"/>
      <c r="P136" s="44"/>
      <c r="Q136" s="44"/>
      <c r="R136" s="44"/>
      <c r="S136" s="44"/>
      <c r="T136" s="44"/>
    </row>
    <row r="137" spans="2:20" x14ac:dyDescent="0.3">
      <c r="B137" s="44"/>
      <c r="C137" s="44"/>
      <c r="D137" s="44"/>
      <c r="E137" s="44"/>
      <c r="F137" s="44"/>
      <c r="G137" s="44"/>
      <c r="H137" s="44"/>
      <c r="I137" s="44"/>
      <c r="J137" s="44"/>
      <c r="K137" s="44"/>
      <c r="L137" s="44"/>
      <c r="M137" s="44"/>
      <c r="N137" s="44"/>
      <c r="O137" s="44"/>
      <c r="P137" s="44"/>
      <c r="Q137" s="44"/>
      <c r="R137" s="44"/>
      <c r="S137" s="44"/>
      <c r="T137" s="44"/>
    </row>
    <row r="138" spans="2:20" x14ac:dyDescent="0.3">
      <c r="B138" s="44"/>
      <c r="C138" s="44"/>
      <c r="D138" s="44"/>
      <c r="E138" s="44"/>
      <c r="F138" s="44"/>
      <c r="G138" s="44"/>
      <c r="H138" s="44"/>
      <c r="I138" s="44"/>
      <c r="J138" s="44"/>
      <c r="K138" s="44"/>
      <c r="L138" s="44"/>
      <c r="M138" s="44"/>
      <c r="N138" s="44"/>
      <c r="O138" s="44"/>
      <c r="P138" s="44"/>
      <c r="Q138" s="44"/>
      <c r="R138" s="44"/>
      <c r="S138" s="44"/>
      <c r="T138" s="44"/>
    </row>
    <row r="139" spans="2:20" x14ac:dyDescent="0.3">
      <c r="B139" s="44"/>
      <c r="C139" s="44"/>
      <c r="D139" s="44"/>
      <c r="E139" s="44"/>
      <c r="F139" s="44"/>
      <c r="G139" s="44"/>
      <c r="H139" s="44"/>
      <c r="I139" s="44"/>
      <c r="J139" s="44"/>
      <c r="K139" s="44"/>
      <c r="L139" s="44"/>
      <c r="M139" s="44"/>
      <c r="N139" s="44"/>
      <c r="O139" s="44"/>
      <c r="P139" s="44"/>
      <c r="Q139" s="44"/>
      <c r="R139" s="44"/>
      <c r="S139" s="44"/>
      <c r="T139" s="44"/>
    </row>
    <row r="140" spans="2:20" x14ac:dyDescent="0.3">
      <c r="B140" s="44"/>
      <c r="C140" s="44"/>
      <c r="D140" s="44"/>
      <c r="E140" s="44"/>
      <c r="F140" s="44"/>
      <c r="G140" s="44"/>
      <c r="H140" s="44"/>
      <c r="I140" s="44"/>
      <c r="J140" s="44"/>
      <c r="K140" s="44"/>
      <c r="L140" s="44"/>
      <c r="M140" s="44"/>
      <c r="N140" s="44"/>
      <c r="O140" s="44"/>
      <c r="P140" s="44"/>
      <c r="Q140" s="44"/>
      <c r="R140" s="44"/>
      <c r="S140" s="44"/>
      <c r="T140" s="44"/>
    </row>
    <row r="141" spans="2:20" x14ac:dyDescent="0.3">
      <c r="B141" s="44"/>
      <c r="C141" s="44"/>
      <c r="D141" s="44"/>
      <c r="E141" s="44"/>
      <c r="F141" s="44"/>
      <c r="G141" s="44"/>
      <c r="H141" s="44"/>
      <c r="I141" s="44"/>
      <c r="J141" s="44"/>
      <c r="K141" s="44"/>
      <c r="L141" s="44"/>
      <c r="M141" s="44"/>
      <c r="N141" s="44"/>
      <c r="O141" s="44"/>
      <c r="P141" s="44"/>
      <c r="Q141" s="44"/>
      <c r="R141" s="44"/>
      <c r="S141" s="44"/>
      <c r="T141" s="44"/>
    </row>
    <row r="142" spans="2:20" x14ac:dyDescent="0.3">
      <c r="B142" s="44"/>
      <c r="C142" s="44"/>
      <c r="D142" s="44"/>
      <c r="E142" s="44"/>
      <c r="F142" s="44"/>
      <c r="G142" s="44"/>
      <c r="H142" s="44"/>
      <c r="I142" s="44"/>
      <c r="J142" s="44"/>
      <c r="K142" s="44"/>
      <c r="L142" s="44"/>
      <c r="M142" s="44"/>
      <c r="N142" s="44"/>
      <c r="O142" s="44"/>
      <c r="P142" s="44"/>
      <c r="Q142" s="44"/>
      <c r="R142" s="44"/>
      <c r="S142" s="44"/>
      <c r="T142" s="44"/>
    </row>
    <row r="143" spans="2:20" x14ac:dyDescent="0.3">
      <c r="B143" s="44"/>
      <c r="C143" s="44"/>
      <c r="D143" s="44"/>
      <c r="E143" s="44"/>
      <c r="F143" s="44"/>
      <c r="G143" s="44"/>
      <c r="H143" s="44"/>
      <c r="I143" s="44"/>
      <c r="J143" s="44"/>
      <c r="K143" s="44"/>
      <c r="L143" s="44"/>
      <c r="M143" s="44"/>
      <c r="N143" s="44"/>
      <c r="O143" s="44"/>
      <c r="P143" s="44"/>
      <c r="Q143" s="44"/>
      <c r="R143" s="44"/>
      <c r="S143" s="44"/>
      <c r="T143" s="44"/>
    </row>
    <row r="144" spans="2:20" x14ac:dyDescent="0.3">
      <c r="B144" s="44"/>
      <c r="C144" s="44"/>
      <c r="D144" s="44"/>
      <c r="E144" s="44"/>
      <c r="F144" s="44"/>
      <c r="G144" s="44"/>
      <c r="H144" s="44"/>
      <c r="I144" s="44"/>
      <c r="J144" s="44"/>
      <c r="K144" s="44"/>
      <c r="L144" s="44"/>
      <c r="M144" s="44"/>
      <c r="N144" s="44"/>
      <c r="O144" s="44"/>
      <c r="P144" s="44"/>
      <c r="Q144" s="44"/>
      <c r="R144" s="44"/>
      <c r="S144" s="44"/>
      <c r="T144" s="44"/>
    </row>
    <row r="145" spans="2:20" x14ac:dyDescent="0.3">
      <c r="B145" s="44"/>
      <c r="C145" s="44"/>
      <c r="D145" s="44"/>
      <c r="E145" s="44"/>
      <c r="F145" s="44"/>
      <c r="G145" s="44"/>
      <c r="H145" s="44"/>
      <c r="I145" s="44"/>
      <c r="J145" s="44"/>
      <c r="K145" s="44"/>
      <c r="L145" s="44"/>
      <c r="M145" s="44"/>
      <c r="N145" s="44"/>
      <c r="O145" s="44"/>
      <c r="P145" s="44"/>
      <c r="Q145" s="44"/>
      <c r="R145" s="44"/>
      <c r="S145" s="44"/>
      <c r="T145" s="44"/>
    </row>
    <row r="146" spans="2:20" x14ac:dyDescent="0.3">
      <c r="B146" s="44"/>
      <c r="C146" s="44"/>
      <c r="D146" s="44"/>
      <c r="E146" s="44"/>
      <c r="F146" s="44"/>
      <c r="G146" s="44"/>
      <c r="H146" s="44"/>
      <c r="I146" s="44"/>
      <c r="J146" s="44"/>
      <c r="K146" s="44"/>
      <c r="L146" s="44"/>
      <c r="M146" s="44"/>
      <c r="N146" s="44"/>
      <c r="O146" s="44"/>
      <c r="P146" s="44"/>
      <c r="Q146" s="44"/>
      <c r="R146" s="44"/>
      <c r="S146" s="44"/>
      <c r="T146" s="44"/>
    </row>
    <row r="147" spans="2:20" x14ac:dyDescent="0.3">
      <c r="B147" s="44"/>
      <c r="C147" s="44"/>
      <c r="D147" s="44"/>
      <c r="E147" s="44"/>
      <c r="F147" s="44"/>
      <c r="G147" s="44"/>
      <c r="H147" s="44"/>
      <c r="I147" s="44"/>
      <c r="J147" s="44"/>
      <c r="K147" s="44"/>
      <c r="L147" s="44"/>
      <c r="M147" s="44"/>
      <c r="N147" s="44"/>
      <c r="O147" s="44"/>
      <c r="P147" s="44"/>
      <c r="Q147" s="44"/>
      <c r="R147" s="44"/>
      <c r="S147" s="44"/>
      <c r="T147" s="44"/>
    </row>
    <row r="148" spans="2:20" x14ac:dyDescent="0.3">
      <c r="B148" s="44"/>
      <c r="C148" s="44"/>
      <c r="D148" s="44"/>
      <c r="E148" s="44"/>
      <c r="F148" s="44"/>
      <c r="G148" s="44"/>
      <c r="H148" s="44"/>
      <c r="I148" s="44"/>
      <c r="J148" s="44"/>
      <c r="K148" s="44"/>
      <c r="L148" s="44"/>
      <c r="M148" s="44"/>
      <c r="N148" s="44"/>
      <c r="O148" s="44"/>
      <c r="P148" s="44"/>
      <c r="Q148" s="44"/>
      <c r="R148" s="44"/>
      <c r="S148" s="44"/>
      <c r="T148" s="44"/>
    </row>
    <row r="149" spans="2:20" x14ac:dyDescent="0.3">
      <c r="B149" s="44"/>
      <c r="C149" s="44"/>
      <c r="D149" s="44"/>
      <c r="E149" s="44"/>
      <c r="F149" s="44"/>
      <c r="G149" s="44"/>
      <c r="H149" s="44"/>
      <c r="I149" s="44"/>
      <c r="J149" s="44"/>
      <c r="K149" s="44"/>
      <c r="L149" s="44"/>
      <c r="M149" s="44"/>
      <c r="N149" s="44"/>
      <c r="O149" s="44"/>
      <c r="P149" s="44"/>
      <c r="Q149" s="44"/>
      <c r="R149" s="44"/>
      <c r="S149" s="44"/>
      <c r="T149" s="44"/>
    </row>
    <row r="150" spans="2:20" x14ac:dyDescent="0.3">
      <c r="B150" s="44"/>
      <c r="C150" s="44"/>
      <c r="D150" s="44"/>
      <c r="E150" s="44"/>
      <c r="F150" s="44"/>
      <c r="G150" s="44"/>
      <c r="H150" s="44"/>
      <c r="I150" s="44"/>
      <c r="J150" s="44"/>
      <c r="K150" s="44"/>
      <c r="L150" s="44"/>
      <c r="M150" s="44"/>
      <c r="N150" s="44"/>
      <c r="O150" s="44"/>
      <c r="P150" s="44"/>
      <c r="Q150" s="44"/>
      <c r="R150" s="44"/>
      <c r="S150" s="44"/>
      <c r="T150" s="44"/>
    </row>
    <row r="151" spans="2:20" x14ac:dyDescent="0.3">
      <c r="B151" s="44"/>
      <c r="C151" s="44"/>
      <c r="D151" s="44"/>
      <c r="E151" s="44"/>
      <c r="F151" s="44"/>
      <c r="G151" s="44"/>
      <c r="H151" s="44"/>
      <c r="I151" s="44"/>
      <c r="J151" s="44"/>
      <c r="K151" s="44"/>
      <c r="L151" s="44"/>
      <c r="M151" s="44"/>
      <c r="N151" s="44"/>
      <c r="O151" s="44"/>
      <c r="P151" s="44"/>
      <c r="Q151" s="44"/>
      <c r="R151" s="44"/>
      <c r="S151" s="44"/>
      <c r="T151" s="44"/>
    </row>
    <row r="152" spans="2:20" x14ac:dyDescent="0.3">
      <c r="B152" s="44"/>
      <c r="C152" s="44"/>
      <c r="D152" s="44"/>
      <c r="E152" s="44"/>
      <c r="F152" s="44"/>
      <c r="G152" s="44"/>
      <c r="H152" s="44"/>
      <c r="I152" s="44"/>
      <c r="J152" s="44"/>
      <c r="K152" s="44"/>
      <c r="L152" s="44"/>
      <c r="M152" s="44"/>
      <c r="N152" s="44"/>
      <c r="O152" s="44"/>
      <c r="P152" s="44"/>
      <c r="Q152" s="44"/>
      <c r="R152" s="44"/>
      <c r="S152" s="44"/>
      <c r="T152" s="44"/>
    </row>
    <row r="153" spans="2:20" x14ac:dyDescent="0.3">
      <c r="B153" s="44"/>
      <c r="C153" s="44"/>
      <c r="D153" s="44"/>
      <c r="E153" s="44"/>
      <c r="F153" s="44"/>
      <c r="G153" s="44"/>
      <c r="H153" s="44"/>
      <c r="I153" s="44"/>
      <c r="J153" s="44"/>
      <c r="K153" s="44"/>
      <c r="L153" s="44"/>
      <c r="M153" s="44"/>
      <c r="N153" s="44"/>
      <c r="O153" s="44"/>
      <c r="P153" s="44"/>
      <c r="Q153" s="44"/>
      <c r="R153" s="44"/>
      <c r="S153" s="44"/>
      <c r="T153" s="44"/>
    </row>
    <row r="154" spans="2:20" x14ac:dyDescent="0.3">
      <c r="B154" s="44"/>
      <c r="C154" s="44"/>
      <c r="D154" s="44"/>
      <c r="E154" s="44"/>
      <c r="F154" s="44"/>
      <c r="G154" s="44"/>
      <c r="H154" s="44"/>
      <c r="I154" s="44"/>
      <c r="J154" s="44"/>
      <c r="K154" s="44"/>
      <c r="L154" s="44"/>
      <c r="M154" s="44"/>
      <c r="N154" s="44"/>
      <c r="O154" s="44"/>
      <c r="P154" s="44"/>
      <c r="Q154" s="44"/>
      <c r="R154" s="44"/>
      <c r="S154" s="44"/>
      <c r="T154" s="44"/>
    </row>
    <row r="155" spans="2:20" x14ac:dyDescent="0.3">
      <c r="B155" s="44"/>
      <c r="C155" s="44"/>
      <c r="D155" s="44"/>
      <c r="E155" s="44"/>
      <c r="F155" s="44"/>
      <c r="G155" s="44"/>
      <c r="H155" s="44"/>
      <c r="I155" s="44"/>
      <c r="J155" s="44"/>
      <c r="K155" s="44"/>
      <c r="L155" s="44"/>
      <c r="M155" s="44"/>
      <c r="N155" s="44"/>
      <c r="O155" s="44"/>
      <c r="P155" s="44"/>
      <c r="Q155" s="44"/>
      <c r="R155" s="44"/>
      <c r="S155" s="44"/>
      <c r="T155" s="44"/>
    </row>
    <row r="156" spans="2:20" x14ac:dyDescent="0.3">
      <c r="B156" s="44"/>
      <c r="C156" s="44"/>
      <c r="D156" s="44"/>
      <c r="E156" s="44"/>
      <c r="F156" s="44"/>
      <c r="G156" s="44"/>
      <c r="H156" s="44"/>
      <c r="I156" s="44"/>
      <c r="J156" s="44"/>
      <c r="K156" s="44"/>
      <c r="L156" s="44"/>
      <c r="M156" s="44"/>
      <c r="N156" s="44"/>
      <c r="O156" s="44"/>
      <c r="P156" s="44"/>
      <c r="Q156" s="44"/>
      <c r="R156" s="44"/>
      <c r="S156" s="44"/>
      <c r="T156" s="44"/>
    </row>
    <row r="157" spans="2:20" x14ac:dyDescent="0.3">
      <c r="B157" s="44"/>
      <c r="C157" s="44"/>
      <c r="D157" s="44"/>
      <c r="E157" s="44"/>
      <c r="F157" s="44"/>
      <c r="G157" s="44"/>
      <c r="H157" s="44"/>
      <c r="I157" s="44"/>
      <c r="J157" s="44"/>
      <c r="K157" s="44"/>
      <c r="L157" s="44"/>
      <c r="M157" s="44"/>
      <c r="N157" s="44"/>
      <c r="O157" s="44"/>
      <c r="P157" s="44"/>
      <c r="Q157" s="44"/>
      <c r="R157" s="44"/>
      <c r="S157" s="44"/>
      <c r="T157" s="44"/>
    </row>
    <row r="158" spans="2:20" x14ac:dyDescent="0.3">
      <c r="B158" s="44"/>
      <c r="C158" s="44"/>
      <c r="D158" s="44"/>
      <c r="E158" s="44"/>
      <c r="F158" s="44"/>
      <c r="G158" s="44"/>
      <c r="H158" s="44"/>
      <c r="I158" s="44"/>
      <c r="J158" s="44"/>
      <c r="K158" s="44"/>
      <c r="L158" s="44"/>
      <c r="M158" s="44"/>
      <c r="N158" s="44"/>
      <c r="O158" s="44"/>
      <c r="P158" s="44"/>
      <c r="Q158" s="44"/>
      <c r="R158" s="44"/>
      <c r="S158" s="44"/>
      <c r="T158" s="44"/>
    </row>
    <row r="159" spans="2:20" x14ac:dyDescent="0.3">
      <c r="B159" s="44"/>
      <c r="C159" s="44"/>
      <c r="D159" s="44"/>
      <c r="E159" s="44"/>
      <c r="F159" s="44"/>
      <c r="G159" s="44"/>
      <c r="H159" s="44"/>
      <c r="I159" s="44"/>
      <c r="J159" s="44"/>
      <c r="K159" s="44"/>
      <c r="L159" s="44"/>
      <c r="M159" s="44"/>
      <c r="N159" s="44"/>
      <c r="O159" s="44"/>
      <c r="P159" s="44"/>
      <c r="Q159" s="44"/>
      <c r="R159" s="44"/>
      <c r="S159" s="44"/>
      <c r="T159" s="44"/>
    </row>
    <row r="160" spans="2:20" x14ac:dyDescent="0.3">
      <c r="B160" s="44"/>
      <c r="C160" s="44"/>
      <c r="D160" s="44"/>
      <c r="E160" s="44"/>
      <c r="F160" s="44"/>
      <c r="G160" s="44"/>
      <c r="H160" s="44"/>
      <c r="I160" s="44"/>
      <c r="J160" s="44"/>
      <c r="K160" s="44"/>
      <c r="L160" s="44"/>
      <c r="M160" s="44"/>
      <c r="N160" s="44"/>
      <c r="O160" s="44"/>
      <c r="P160" s="44"/>
      <c r="Q160" s="44"/>
      <c r="R160" s="44"/>
      <c r="S160" s="44"/>
      <c r="T160" s="44"/>
    </row>
    <row r="161" spans="2:20" x14ac:dyDescent="0.3">
      <c r="B161" s="44"/>
      <c r="C161" s="44"/>
      <c r="D161" s="44"/>
      <c r="E161" s="44"/>
      <c r="F161" s="44"/>
      <c r="G161" s="44"/>
      <c r="H161" s="44"/>
      <c r="I161" s="44"/>
      <c r="J161" s="44"/>
      <c r="K161" s="44"/>
      <c r="L161" s="44"/>
      <c r="M161" s="44"/>
      <c r="N161" s="44"/>
      <c r="O161" s="44"/>
      <c r="P161" s="44"/>
      <c r="Q161" s="44"/>
      <c r="R161" s="44"/>
      <c r="S161" s="44"/>
      <c r="T161" s="44"/>
    </row>
    <row r="162" spans="2:20" x14ac:dyDescent="0.3">
      <c r="B162" s="44"/>
      <c r="C162" s="44"/>
      <c r="D162" s="44"/>
      <c r="E162" s="44"/>
      <c r="F162" s="44"/>
      <c r="G162" s="44"/>
      <c r="H162" s="44"/>
      <c r="I162" s="44"/>
      <c r="J162" s="44"/>
      <c r="K162" s="44"/>
      <c r="L162" s="44"/>
      <c r="M162" s="44"/>
      <c r="N162" s="44"/>
      <c r="O162" s="44"/>
      <c r="P162" s="44"/>
      <c r="Q162" s="44"/>
      <c r="R162" s="44"/>
      <c r="S162" s="44"/>
      <c r="T162" s="44"/>
    </row>
    <row r="163" spans="2:20" x14ac:dyDescent="0.3">
      <c r="B163" s="44"/>
      <c r="C163" s="44"/>
      <c r="D163" s="44"/>
      <c r="E163" s="44"/>
      <c r="F163" s="44"/>
      <c r="G163" s="44"/>
      <c r="H163" s="44"/>
      <c r="I163" s="44"/>
      <c r="J163" s="44"/>
      <c r="K163" s="44"/>
      <c r="L163" s="44"/>
      <c r="M163" s="44"/>
      <c r="N163" s="44"/>
      <c r="O163" s="44"/>
      <c r="P163" s="44"/>
      <c r="Q163" s="44"/>
      <c r="R163" s="44"/>
      <c r="S163" s="44"/>
      <c r="T163" s="44"/>
    </row>
    <row r="164" spans="2:20" x14ac:dyDescent="0.3">
      <c r="B164" s="44"/>
      <c r="C164" s="44"/>
      <c r="D164" s="44"/>
      <c r="E164" s="44"/>
      <c r="F164" s="44"/>
      <c r="G164" s="44"/>
      <c r="H164" s="44"/>
      <c r="I164" s="44"/>
      <c r="J164" s="44"/>
      <c r="K164" s="44"/>
      <c r="L164" s="44"/>
      <c r="M164" s="44"/>
      <c r="N164" s="44"/>
      <c r="O164" s="44"/>
      <c r="P164" s="44"/>
      <c r="Q164" s="44"/>
      <c r="R164" s="44"/>
      <c r="S164" s="44"/>
      <c r="T164" s="44"/>
    </row>
    <row r="165" spans="2:20" x14ac:dyDescent="0.3">
      <c r="B165" s="44"/>
      <c r="C165" s="44"/>
      <c r="D165" s="44"/>
      <c r="E165" s="44"/>
      <c r="F165" s="44"/>
      <c r="G165" s="44"/>
      <c r="H165" s="44"/>
      <c r="I165" s="44"/>
      <c r="J165" s="44"/>
      <c r="K165" s="44"/>
      <c r="L165" s="44"/>
      <c r="M165" s="44"/>
      <c r="N165" s="44"/>
      <c r="O165" s="44"/>
      <c r="P165" s="44"/>
      <c r="Q165" s="44"/>
      <c r="R165" s="44"/>
      <c r="S165" s="44"/>
      <c r="T165" s="44"/>
    </row>
    <row r="166" spans="2:20" x14ac:dyDescent="0.3">
      <c r="B166" s="44"/>
      <c r="C166" s="44"/>
      <c r="D166" s="44"/>
      <c r="E166" s="44"/>
      <c r="F166" s="44"/>
      <c r="G166" s="44"/>
      <c r="H166" s="44"/>
      <c r="I166" s="44"/>
      <c r="J166" s="44"/>
      <c r="K166" s="44"/>
      <c r="L166" s="44"/>
      <c r="M166" s="44"/>
      <c r="N166" s="44"/>
      <c r="O166" s="44"/>
      <c r="P166" s="44"/>
      <c r="Q166" s="44"/>
      <c r="R166" s="44"/>
      <c r="S166" s="44"/>
      <c r="T166" s="44"/>
    </row>
    <row r="167" spans="2:20" x14ac:dyDescent="0.3">
      <c r="B167" s="44"/>
      <c r="C167" s="44"/>
      <c r="D167" s="44"/>
      <c r="E167" s="44"/>
      <c r="F167" s="44"/>
      <c r="G167" s="44"/>
      <c r="H167" s="44"/>
      <c r="I167" s="44"/>
      <c r="J167" s="44"/>
      <c r="K167" s="44"/>
      <c r="L167" s="44"/>
      <c r="M167" s="44"/>
      <c r="N167" s="44"/>
      <c r="O167" s="44"/>
      <c r="P167" s="44"/>
      <c r="Q167" s="44"/>
      <c r="R167" s="44"/>
      <c r="S167" s="44"/>
      <c r="T167" s="44"/>
    </row>
    <row r="168" spans="2:20" x14ac:dyDescent="0.3">
      <c r="B168" s="44"/>
      <c r="C168" s="44"/>
      <c r="D168" s="44"/>
      <c r="E168" s="44"/>
      <c r="F168" s="44"/>
      <c r="G168" s="44"/>
      <c r="H168" s="44"/>
      <c r="I168" s="44"/>
      <c r="J168" s="44"/>
      <c r="K168" s="44"/>
      <c r="L168" s="44"/>
      <c r="M168" s="44"/>
      <c r="N168" s="44"/>
      <c r="O168" s="44"/>
      <c r="P168" s="44"/>
      <c r="Q168" s="44"/>
      <c r="R168" s="44"/>
      <c r="S168" s="44"/>
      <c r="T168" s="44"/>
    </row>
    <row r="169" spans="2:20" x14ac:dyDescent="0.3">
      <c r="B169" s="44"/>
      <c r="C169" s="44"/>
      <c r="D169" s="44"/>
      <c r="E169" s="44"/>
      <c r="F169" s="44"/>
      <c r="G169" s="44"/>
      <c r="H169" s="44"/>
      <c r="I169" s="44"/>
      <c r="J169" s="44"/>
      <c r="K169" s="44"/>
      <c r="L169" s="44"/>
      <c r="M169" s="44"/>
      <c r="N169" s="44"/>
      <c r="O169" s="44"/>
      <c r="P169" s="44"/>
      <c r="Q169" s="44"/>
      <c r="R169" s="44"/>
      <c r="S169" s="44"/>
      <c r="T169" s="44"/>
    </row>
    <row r="170" spans="2:20" x14ac:dyDescent="0.3">
      <c r="B170" s="44"/>
      <c r="C170" s="44"/>
      <c r="D170" s="44"/>
      <c r="E170" s="44"/>
      <c r="F170" s="44"/>
      <c r="G170" s="44"/>
      <c r="H170" s="44"/>
      <c r="I170" s="44"/>
      <c r="J170" s="44"/>
      <c r="K170" s="44"/>
      <c r="L170" s="44"/>
      <c r="M170" s="44"/>
      <c r="N170" s="44"/>
      <c r="O170" s="44"/>
      <c r="P170" s="44"/>
      <c r="Q170" s="44"/>
      <c r="R170" s="44"/>
      <c r="S170" s="44"/>
      <c r="T170" s="44"/>
    </row>
    <row r="171" spans="2:20" x14ac:dyDescent="0.3">
      <c r="B171" s="44"/>
      <c r="C171" s="44"/>
      <c r="D171" s="44"/>
      <c r="E171" s="44"/>
      <c r="F171" s="44"/>
      <c r="G171" s="44"/>
      <c r="H171" s="44"/>
      <c r="I171" s="44"/>
      <c r="J171" s="44"/>
      <c r="K171" s="44"/>
      <c r="L171" s="44"/>
      <c r="M171" s="44"/>
      <c r="N171" s="44"/>
      <c r="O171" s="44"/>
      <c r="P171" s="44"/>
      <c r="Q171" s="44"/>
      <c r="R171" s="44"/>
      <c r="S171" s="44"/>
      <c r="T171" s="44"/>
    </row>
    <row r="172" spans="2:20" x14ac:dyDescent="0.3">
      <c r="B172" s="44"/>
      <c r="C172" s="44"/>
      <c r="D172" s="44"/>
      <c r="E172" s="44"/>
      <c r="F172" s="44"/>
      <c r="G172" s="44"/>
      <c r="H172" s="44"/>
      <c r="I172" s="44"/>
      <c r="J172" s="44"/>
      <c r="K172" s="44"/>
      <c r="L172" s="44"/>
      <c r="M172" s="44"/>
      <c r="N172" s="44"/>
      <c r="O172" s="44"/>
      <c r="P172" s="44"/>
      <c r="Q172" s="44"/>
      <c r="R172" s="44"/>
      <c r="S172" s="44"/>
      <c r="T172" s="44"/>
    </row>
    <row r="173" spans="2:20" x14ac:dyDescent="0.3">
      <c r="B173" s="44"/>
      <c r="C173" s="44"/>
      <c r="D173" s="44"/>
      <c r="E173" s="44"/>
      <c r="F173" s="44"/>
      <c r="G173" s="44"/>
      <c r="H173" s="44"/>
      <c r="I173" s="44"/>
      <c r="J173" s="44"/>
      <c r="K173" s="44"/>
      <c r="L173" s="44"/>
      <c r="M173" s="44"/>
      <c r="N173" s="44"/>
      <c r="O173" s="44"/>
      <c r="P173" s="44"/>
      <c r="Q173" s="44"/>
      <c r="R173" s="44"/>
      <c r="S173" s="44"/>
      <c r="T173" s="44"/>
    </row>
    <row r="174" spans="2:20" x14ac:dyDescent="0.3">
      <c r="B174" s="44"/>
      <c r="C174" s="44"/>
      <c r="D174" s="44"/>
      <c r="E174" s="44"/>
      <c r="F174" s="44"/>
      <c r="G174" s="44"/>
      <c r="H174" s="44"/>
      <c r="I174" s="44"/>
      <c r="J174" s="44"/>
      <c r="K174" s="44"/>
      <c r="L174" s="44"/>
      <c r="M174" s="44"/>
      <c r="N174" s="44"/>
      <c r="O174" s="44"/>
      <c r="P174" s="44"/>
      <c r="Q174" s="44"/>
      <c r="R174" s="44"/>
      <c r="S174" s="44"/>
      <c r="T174" s="44"/>
    </row>
    <row r="175" spans="2:20" x14ac:dyDescent="0.3">
      <c r="B175" s="44"/>
      <c r="C175" s="44"/>
      <c r="D175" s="44"/>
      <c r="E175" s="44"/>
      <c r="F175" s="44"/>
      <c r="G175" s="44"/>
      <c r="H175" s="44"/>
      <c r="I175" s="44"/>
      <c r="J175" s="44"/>
      <c r="K175" s="44"/>
      <c r="L175" s="44"/>
      <c r="M175" s="44"/>
      <c r="N175" s="44"/>
      <c r="O175" s="44"/>
      <c r="P175" s="44"/>
      <c r="Q175" s="44"/>
      <c r="R175" s="44"/>
      <c r="S175" s="44"/>
      <c r="T175" s="44"/>
    </row>
    <row r="176" spans="2:20" x14ac:dyDescent="0.3">
      <c r="B176" s="44"/>
      <c r="C176" s="44"/>
      <c r="D176" s="44"/>
      <c r="E176" s="44"/>
      <c r="F176" s="44"/>
      <c r="G176" s="44"/>
      <c r="H176" s="44"/>
      <c r="I176" s="44"/>
      <c r="J176" s="44"/>
      <c r="K176" s="44"/>
      <c r="L176" s="44"/>
      <c r="M176" s="44"/>
      <c r="N176" s="44"/>
      <c r="O176" s="44"/>
      <c r="P176" s="44"/>
      <c r="Q176" s="44"/>
      <c r="R176" s="44"/>
      <c r="S176" s="44"/>
      <c r="T176" s="44"/>
    </row>
    <row r="177" spans="2:20" x14ac:dyDescent="0.3">
      <c r="B177" s="44"/>
      <c r="C177" s="44"/>
      <c r="D177" s="44"/>
      <c r="E177" s="44"/>
      <c r="F177" s="44"/>
      <c r="G177" s="44"/>
      <c r="H177" s="44"/>
      <c r="I177" s="44"/>
      <c r="J177" s="44"/>
      <c r="K177" s="44"/>
      <c r="L177" s="44"/>
      <c r="M177" s="44"/>
      <c r="N177" s="44"/>
      <c r="O177" s="44"/>
      <c r="P177" s="44"/>
      <c r="Q177" s="44"/>
      <c r="R177" s="44"/>
      <c r="S177" s="44"/>
      <c r="T177" s="44"/>
    </row>
    <row r="178" spans="2:20" x14ac:dyDescent="0.3">
      <c r="B178" s="44"/>
      <c r="C178" s="44"/>
      <c r="D178" s="44"/>
      <c r="E178" s="44"/>
      <c r="F178" s="44"/>
      <c r="G178" s="44"/>
      <c r="H178" s="44"/>
      <c r="I178" s="44"/>
      <c r="J178" s="44"/>
      <c r="K178" s="44"/>
      <c r="L178" s="44"/>
      <c r="M178" s="44"/>
      <c r="N178" s="44"/>
      <c r="O178" s="44"/>
      <c r="P178" s="44"/>
      <c r="Q178" s="44"/>
      <c r="R178" s="44"/>
      <c r="S178" s="44"/>
      <c r="T178" s="44"/>
    </row>
    <row r="179" spans="2:20" x14ac:dyDescent="0.3">
      <c r="B179" s="44"/>
      <c r="C179" s="44"/>
      <c r="D179" s="44"/>
      <c r="E179" s="44"/>
      <c r="F179" s="44"/>
      <c r="G179" s="44"/>
      <c r="H179" s="44"/>
      <c r="I179" s="44"/>
      <c r="J179" s="44"/>
      <c r="K179" s="44"/>
      <c r="L179" s="44"/>
      <c r="M179" s="44"/>
      <c r="N179" s="44"/>
      <c r="O179" s="44"/>
      <c r="P179" s="44"/>
      <c r="Q179" s="44"/>
      <c r="R179" s="44"/>
      <c r="S179" s="44"/>
      <c r="T179" s="44"/>
    </row>
    <row r="180" spans="2:20" x14ac:dyDescent="0.3">
      <c r="B180" s="44"/>
      <c r="C180" s="44"/>
      <c r="D180" s="44"/>
      <c r="E180" s="44"/>
      <c r="F180" s="44"/>
      <c r="G180" s="44"/>
      <c r="H180" s="44"/>
      <c r="I180" s="44"/>
      <c r="J180" s="44"/>
      <c r="K180" s="44"/>
      <c r="L180" s="44"/>
      <c r="M180" s="44"/>
      <c r="N180" s="44"/>
      <c r="O180" s="44"/>
      <c r="P180" s="44"/>
      <c r="Q180" s="44"/>
      <c r="R180" s="44"/>
      <c r="S180" s="44"/>
      <c r="T180" s="44"/>
    </row>
    <row r="181" spans="2:20" x14ac:dyDescent="0.3">
      <c r="B181" s="44"/>
      <c r="C181" s="44"/>
      <c r="D181" s="44"/>
      <c r="E181" s="44"/>
      <c r="F181" s="44"/>
      <c r="G181" s="44"/>
      <c r="H181" s="44"/>
      <c r="I181" s="44"/>
      <c r="J181" s="44"/>
      <c r="K181" s="44"/>
      <c r="L181" s="44"/>
      <c r="M181" s="44"/>
      <c r="N181" s="44"/>
      <c r="O181" s="44"/>
      <c r="P181" s="44"/>
      <c r="Q181" s="44"/>
      <c r="R181" s="44"/>
      <c r="S181" s="44"/>
      <c r="T181" s="44"/>
    </row>
    <row r="182" spans="2:20" x14ac:dyDescent="0.3">
      <c r="B182" s="44"/>
      <c r="C182" s="44"/>
      <c r="D182" s="44"/>
      <c r="E182" s="44"/>
      <c r="F182" s="44"/>
      <c r="G182" s="44"/>
      <c r="H182" s="44"/>
      <c r="I182" s="44"/>
      <c r="J182" s="44"/>
      <c r="K182" s="44"/>
      <c r="L182" s="44"/>
      <c r="M182" s="44"/>
      <c r="N182" s="44"/>
      <c r="O182" s="44"/>
      <c r="P182" s="44"/>
      <c r="Q182" s="44"/>
      <c r="R182" s="44"/>
      <c r="S182" s="44"/>
      <c r="T182" s="44"/>
    </row>
    <row r="183" spans="2:20" x14ac:dyDescent="0.3">
      <c r="B183" s="44"/>
      <c r="C183" s="44"/>
      <c r="D183" s="44"/>
      <c r="E183" s="44"/>
      <c r="F183" s="44"/>
      <c r="G183" s="44"/>
      <c r="H183" s="44"/>
      <c r="I183" s="44"/>
      <c r="J183" s="44"/>
      <c r="K183" s="44"/>
      <c r="L183" s="44"/>
      <c r="M183" s="44"/>
      <c r="N183" s="44"/>
      <c r="O183" s="44"/>
      <c r="P183" s="44"/>
      <c r="Q183" s="44"/>
      <c r="R183" s="44"/>
      <c r="S183" s="44"/>
      <c r="T183" s="44"/>
    </row>
    <row r="184" spans="2:20" x14ac:dyDescent="0.3">
      <c r="B184" s="44"/>
      <c r="C184" s="44"/>
      <c r="D184" s="44"/>
      <c r="E184" s="44"/>
      <c r="F184" s="44"/>
      <c r="G184" s="44"/>
      <c r="H184" s="44"/>
      <c r="I184" s="44"/>
      <c r="J184" s="44"/>
      <c r="K184" s="44"/>
      <c r="L184" s="44"/>
      <c r="M184" s="44"/>
      <c r="N184" s="44"/>
      <c r="O184" s="44"/>
      <c r="P184" s="44"/>
      <c r="Q184" s="44"/>
      <c r="R184" s="44"/>
      <c r="S184" s="44"/>
      <c r="T184" s="44"/>
    </row>
    <row r="185" spans="2:20" x14ac:dyDescent="0.3">
      <c r="B185" s="44"/>
      <c r="C185" s="44"/>
      <c r="D185" s="44"/>
      <c r="E185" s="44"/>
      <c r="F185" s="44"/>
      <c r="G185" s="44"/>
      <c r="H185" s="44"/>
      <c r="I185" s="44"/>
      <c r="J185" s="44"/>
      <c r="K185" s="44"/>
      <c r="L185" s="44"/>
      <c r="M185" s="44"/>
      <c r="N185" s="44"/>
      <c r="O185" s="44"/>
      <c r="P185" s="44"/>
      <c r="Q185" s="44"/>
      <c r="R185" s="44"/>
      <c r="S185" s="44"/>
      <c r="T185" s="44"/>
    </row>
    <row r="186" spans="2:20" x14ac:dyDescent="0.3">
      <c r="B186" s="44"/>
      <c r="C186" s="44"/>
      <c r="D186" s="44"/>
      <c r="E186" s="44"/>
      <c r="F186" s="44"/>
      <c r="G186" s="44"/>
      <c r="H186" s="44"/>
      <c r="I186" s="44"/>
      <c r="J186" s="44"/>
      <c r="K186" s="44"/>
      <c r="L186" s="44"/>
      <c r="M186" s="44"/>
      <c r="N186" s="44"/>
      <c r="O186" s="44"/>
      <c r="P186" s="44"/>
      <c r="Q186" s="44"/>
      <c r="R186" s="44"/>
      <c r="S186" s="44"/>
      <c r="T186" s="44"/>
    </row>
    <row r="187" spans="2:20" x14ac:dyDescent="0.3">
      <c r="B187" s="44"/>
      <c r="C187" s="44"/>
      <c r="D187" s="44"/>
      <c r="E187" s="44"/>
      <c r="F187" s="44"/>
      <c r="G187" s="44"/>
      <c r="H187" s="44"/>
      <c r="I187" s="44"/>
      <c r="J187" s="44"/>
      <c r="K187" s="44"/>
      <c r="L187" s="44"/>
      <c r="M187" s="44"/>
      <c r="N187" s="44"/>
      <c r="O187" s="44"/>
      <c r="P187" s="44"/>
      <c r="Q187" s="44"/>
      <c r="R187" s="44"/>
      <c r="S187" s="44"/>
      <c r="T187" s="44"/>
    </row>
    <row r="188" spans="2:20" x14ac:dyDescent="0.3">
      <c r="B188" s="44"/>
      <c r="C188" s="44"/>
      <c r="D188" s="44"/>
      <c r="E188" s="44"/>
      <c r="F188" s="44"/>
      <c r="G188" s="44"/>
      <c r="H188" s="44"/>
      <c r="I188" s="44"/>
      <c r="J188" s="44"/>
      <c r="K188" s="44"/>
      <c r="L188" s="44"/>
      <c r="M188" s="44"/>
      <c r="N188" s="44"/>
      <c r="O188" s="44"/>
      <c r="P188" s="44"/>
      <c r="Q188" s="44"/>
      <c r="R188" s="44"/>
      <c r="S188" s="44"/>
      <c r="T188" s="44"/>
    </row>
    <row r="189" spans="2:20" x14ac:dyDescent="0.3">
      <c r="B189" s="44"/>
      <c r="C189" s="44"/>
      <c r="D189" s="44"/>
      <c r="E189" s="44"/>
      <c r="F189" s="44"/>
      <c r="G189" s="44"/>
      <c r="H189" s="44"/>
      <c r="I189" s="44"/>
      <c r="J189" s="44"/>
      <c r="K189" s="44"/>
      <c r="L189" s="44"/>
      <c r="M189" s="44"/>
      <c r="N189" s="44"/>
      <c r="O189" s="44"/>
      <c r="P189" s="44"/>
      <c r="Q189" s="44"/>
      <c r="R189" s="44"/>
      <c r="S189" s="44"/>
      <c r="T189" s="44"/>
    </row>
    <row r="190" spans="2:20" x14ac:dyDescent="0.3">
      <c r="B190" s="44"/>
      <c r="C190" s="44"/>
      <c r="D190" s="44"/>
      <c r="E190" s="44"/>
      <c r="F190" s="44"/>
      <c r="G190" s="44"/>
      <c r="H190" s="44"/>
      <c r="I190" s="44"/>
      <c r="J190" s="44"/>
      <c r="K190" s="44"/>
      <c r="L190" s="44"/>
      <c r="M190" s="44"/>
      <c r="N190" s="44"/>
      <c r="O190" s="44"/>
      <c r="P190" s="44"/>
      <c r="Q190" s="44"/>
      <c r="R190" s="44"/>
      <c r="S190" s="44"/>
      <c r="T190" s="44"/>
    </row>
    <row r="191" spans="2:20" x14ac:dyDescent="0.3">
      <c r="B191" s="44"/>
      <c r="C191" s="44"/>
      <c r="D191" s="44"/>
      <c r="E191" s="44"/>
      <c r="F191" s="44"/>
      <c r="G191" s="44"/>
      <c r="H191" s="44"/>
      <c r="I191" s="44"/>
      <c r="J191" s="44"/>
      <c r="K191" s="44"/>
      <c r="L191" s="44"/>
      <c r="M191" s="44"/>
      <c r="N191" s="44"/>
      <c r="O191" s="44"/>
      <c r="P191" s="44"/>
      <c r="Q191" s="44"/>
      <c r="R191" s="44"/>
      <c r="S191" s="44"/>
      <c r="T191" s="44"/>
    </row>
    <row r="192" spans="2:20" x14ac:dyDescent="0.3">
      <c r="B192" s="44"/>
      <c r="C192" s="44"/>
      <c r="D192" s="44"/>
      <c r="E192" s="44"/>
      <c r="F192" s="44"/>
      <c r="G192" s="44"/>
      <c r="H192" s="44"/>
      <c r="I192" s="44"/>
      <c r="J192" s="44"/>
      <c r="K192" s="44"/>
      <c r="L192" s="44"/>
      <c r="M192" s="44"/>
      <c r="N192" s="44"/>
      <c r="O192" s="44"/>
      <c r="P192" s="44"/>
      <c r="Q192" s="44"/>
      <c r="R192" s="44"/>
      <c r="S192" s="44"/>
      <c r="T192" s="44"/>
    </row>
    <row r="193" spans="2:20" x14ac:dyDescent="0.3">
      <c r="B193" s="44"/>
      <c r="C193" s="44"/>
      <c r="D193" s="44"/>
      <c r="E193" s="44"/>
      <c r="F193" s="44"/>
      <c r="G193" s="44"/>
      <c r="H193" s="44"/>
      <c r="I193" s="44"/>
      <c r="J193" s="44"/>
      <c r="K193" s="44"/>
      <c r="L193" s="44"/>
      <c r="M193" s="44"/>
      <c r="N193" s="44"/>
      <c r="O193" s="44"/>
      <c r="P193" s="44"/>
      <c r="Q193" s="44"/>
      <c r="R193" s="44"/>
      <c r="S193" s="44"/>
      <c r="T193" s="44"/>
    </row>
    <row r="194" spans="2:20" x14ac:dyDescent="0.3">
      <c r="B194" s="44"/>
      <c r="C194" s="44"/>
      <c r="D194" s="44"/>
      <c r="E194" s="44"/>
      <c r="F194" s="44"/>
      <c r="G194" s="44"/>
      <c r="H194" s="44"/>
      <c r="I194" s="44"/>
      <c r="J194" s="44"/>
      <c r="K194" s="44"/>
      <c r="L194" s="44"/>
      <c r="M194" s="44"/>
      <c r="N194" s="44"/>
      <c r="O194" s="44"/>
      <c r="P194" s="44"/>
      <c r="Q194" s="44"/>
      <c r="R194" s="44"/>
      <c r="S194" s="44"/>
      <c r="T194" s="44"/>
    </row>
    <row r="195" spans="2:20" x14ac:dyDescent="0.3">
      <c r="B195" s="44"/>
      <c r="C195" s="44"/>
      <c r="D195" s="44"/>
      <c r="E195" s="44"/>
      <c r="F195" s="44"/>
      <c r="G195" s="44"/>
      <c r="H195" s="44"/>
      <c r="I195" s="44"/>
      <c r="J195" s="44"/>
      <c r="K195" s="44"/>
      <c r="L195" s="44"/>
      <c r="M195" s="44"/>
      <c r="N195" s="44"/>
      <c r="O195" s="44"/>
      <c r="P195" s="44"/>
      <c r="Q195" s="44"/>
      <c r="R195" s="44"/>
      <c r="S195" s="44"/>
      <c r="T195" s="44"/>
    </row>
    <row r="196" spans="2:20" x14ac:dyDescent="0.3">
      <c r="B196" s="44"/>
      <c r="C196" s="44"/>
      <c r="D196" s="44"/>
      <c r="E196" s="44"/>
      <c r="F196" s="44"/>
      <c r="G196" s="44"/>
      <c r="H196" s="44"/>
      <c r="I196" s="44"/>
      <c r="J196" s="44"/>
      <c r="K196" s="44"/>
      <c r="L196" s="44"/>
      <c r="M196" s="44"/>
      <c r="N196" s="44"/>
      <c r="O196" s="44"/>
      <c r="P196" s="44"/>
      <c r="Q196" s="44"/>
      <c r="R196" s="44"/>
      <c r="S196" s="44"/>
      <c r="T196" s="44"/>
    </row>
    <row r="197" spans="2:20" x14ac:dyDescent="0.3">
      <c r="B197" s="44"/>
      <c r="C197" s="44"/>
      <c r="D197" s="44"/>
      <c r="E197" s="44"/>
      <c r="F197" s="44"/>
      <c r="G197" s="44"/>
      <c r="H197" s="44"/>
      <c r="I197" s="44"/>
      <c r="J197" s="44"/>
      <c r="K197" s="44"/>
      <c r="L197" s="44"/>
      <c r="M197" s="44"/>
      <c r="N197" s="44"/>
      <c r="O197" s="44"/>
      <c r="P197" s="44"/>
      <c r="Q197" s="44"/>
      <c r="R197" s="44"/>
      <c r="S197" s="44"/>
      <c r="T197" s="44"/>
    </row>
    <row r="198" spans="2:20" x14ac:dyDescent="0.3">
      <c r="B198" s="44"/>
      <c r="C198" s="44"/>
      <c r="D198" s="44"/>
      <c r="E198" s="44"/>
      <c r="F198" s="44"/>
      <c r="G198" s="44"/>
      <c r="H198" s="44"/>
      <c r="I198" s="44"/>
      <c r="J198" s="44"/>
      <c r="K198" s="44"/>
      <c r="L198" s="44"/>
      <c r="M198" s="44"/>
      <c r="N198" s="44"/>
      <c r="O198" s="44"/>
      <c r="P198" s="44"/>
      <c r="Q198" s="44"/>
      <c r="R198" s="44"/>
      <c r="S198" s="44"/>
      <c r="T198" s="44"/>
    </row>
    <row r="199" spans="2:20" x14ac:dyDescent="0.3">
      <c r="B199" s="44"/>
      <c r="C199" s="44"/>
      <c r="D199" s="44"/>
      <c r="E199" s="44"/>
      <c r="F199" s="44"/>
      <c r="G199" s="44"/>
      <c r="H199" s="44"/>
      <c r="I199" s="44"/>
      <c r="J199" s="44"/>
      <c r="K199" s="44"/>
      <c r="L199" s="44"/>
      <c r="M199" s="44"/>
      <c r="N199" s="44"/>
      <c r="O199" s="44"/>
      <c r="P199" s="44"/>
      <c r="Q199" s="44"/>
      <c r="R199" s="44"/>
      <c r="S199" s="44"/>
      <c r="T199" s="44"/>
    </row>
    <row r="200" spans="2:20" x14ac:dyDescent="0.3">
      <c r="B200" s="44"/>
      <c r="C200" s="44"/>
      <c r="D200" s="44"/>
      <c r="E200" s="44"/>
      <c r="F200" s="44"/>
      <c r="G200" s="44"/>
      <c r="H200" s="44"/>
      <c r="I200" s="44"/>
      <c r="J200" s="44"/>
      <c r="K200" s="44"/>
      <c r="L200" s="44"/>
      <c r="M200" s="44"/>
      <c r="N200" s="44"/>
      <c r="O200" s="44"/>
      <c r="P200" s="44"/>
      <c r="Q200" s="44"/>
      <c r="R200" s="44"/>
      <c r="S200" s="44"/>
      <c r="T200" s="44"/>
    </row>
    <row r="201" spans="2:20" x14ac:dyDescent="0.3">
      <c r="B201" s="44"/>
      <c r="C201" s="44"/>
      <c r="D201" s="44"/>
      <c r="E201" s="44"/>
      <c r="F201" s="44"/>
      <c r="G201" s="44"/>
      <c r="H201" s="44"/>
      <c r="I201" s="44"/>
      <c r="J201" s="44"/>
      <c r="K201" s="44"/>
      <c r="L201" s="44"/>
      <c r="M201" s="44"/>
      <c r="N201" s="44"/>
      <c r="O201" s="44"/>
      <c r="P201" s="44"/>
      <c r="Q201" s="44"/>
      <c r="R201" s="44"/>
      <c r="S201" s="44"/>
      <c r="T201" s="44"/>
    </row>
    <row r="202" spans="2:20" x14ac:dyDescent="0.3">
      <c r="B202" s="44"/>
      <c r="C202" s="44"/>
      <c r="D202" s="44"/>
      <c r="E202" s="44"/>
      <c r="F202" s="44"/>
      <c r="G202" s="44"/>
      <c r="H202" s="44"/>
      <c r="I202" s="44"/>
      <c r="J202" s="44"/>
      <c r="K202" s="44"/>
      <c r="L202" s="44"/>
      <c r="M202" s="44"/>
      <c r="N202" s="44"/>
      <c r="O202" s="44"/>
      <c r="P202" s="44"/>
      <c r="Q202" s="44"/>
      <c r="R202" s="44"/>
      <c r="S202" s="44"/>
      <c r="T202" s="44"/>
    </row>
    <row r="203" spans="2:20" x14ac:dyDescent="0.3">
      <c r="B203" s="44"/>
      <c r="C203" s="44"/>
      <c r="D203" s="44"/>
      <c r="E203" s="44"/>
      <c r="F203" s="44"/>
      <c r="G203" s="44"/>
      <c r="H203" s="44"/>
      <c r="I203" s="44"/>
      <c r="J203" s="44"/>
      <c r="K203" s="44"/>
      <c r="L203" s="44"/>
      <c r="M203" s="44"/>
      <c r="N203" s="44"/>
      <c r="O203" s="44"/>
      <c r="P203" s="44"/>
      <c r="Q203" s="44"/>
      <c r="R203" s="44"/>
      <c r="S203" s="44"/>
      <c r="T203" s="44"/>
    </row>
    <row r="204" spans="2:20" x14ac:dyDescent="0.3">
      <c r="B204" s="44"/>
      <c r="C204" s="44"/>
      <c r="D204" s="44"/>
      <c r="E204" s="44"/>
      <c r="F204" s="44"/>
      <c r="G204" s="44"/>
      <c r="H204" s="44"/>
      <c r="I204" s="44"/>
      <c r="J204" s="44"/>
      <c r="K204" s="44"/>
      <c r="L204" s="44"/>
      <c r="M204" s="44"/>
      <c r="N204" s="44"/>
      <c r="O204" s="44"/>
      <c r="P204" s="44"/>
      <c r="Q204" s="44"/>
      <c r="R204" s="44"/>
      <c r="S204" s="44"/>
      <c r="T204" s="44"/>
    </row>
    <row r="205" spans="2:20" x14ac:dyDescent="0.3">
      <c r="B205" s="44"/>
      <c r="C205" s="44"/>
      <c r="D205" s="44"/>
      <c r="E205" s="44"/>
      <c r="F205" s="44"/>
      <c r="G205" s="44"/>
      <c r="H205" s="44"/>
      <c r="I205" s="44"/>
      <c r="J205" s="44"/>
      <c r="K205" s="44"/>
      <c r="L205" s="44"/>
      <c r="M205" s="44"/>
      <c r="N205" s="44"/>
      <c r="O205" s="44"/>
      <c r="P205" s="44"/>
      <c r="Q205" s="44"/>
      <c r="R205" s="44"/>
      <c r="S205" s="44"/>
      <c r="T205" s="44"/>
    </row>
    <row r="206" spans="2:20" x14ac:dyDescent="0.3">
      <c r="B206" s="44"/>
      <c r="C206" s="44"/>
      <c r="D206" s="44"/>
      <c r="E206" s="44"/>
      <c r="F206" s="44"/>
      <c r="G206" s="44"/>
      <c r="H206" s="44"/>
      <c r="I206" s="44"/>
      <c r="J206" s="44"/>
      <c r="K206" s="44"/>
      <c r="L206" s="44"/>
      <c r="M206" s="44"/>
      <c r="N206" s="44"/>
      <c r="O206" s="44"/>
      <c r="P206" s="44"/>
      <c r="Q206" s="44"/>
      <c r="R206" s="44"/>
      <c r="S206" s="44"/>
      <c r="T206" s="44"/>
    </row>
    <row r="207" spans="2:20" x14ac:dyDescent="0.3">
      <c r="B207" s="44"/>
      <c r="C207" s="44"/>
      <c r="D207" s="44"/>
      <c r="E207" s="44"/>
      <c r="F207" s="44"/>
      <c r="G207" s="44"/>
      <c r="H207" s="44"/>
      <c r="I207" s="44"/>
      <c r="J207" s="44"/>
      <c r="K207" s="44"/>
      <c r="L207" s="44"/>
      <c r="M207" s="44"/>
      <c r="N207" s="44"/>
      <c r="O207" s="44"/>
      <c r="P207" s="44"/>
      <c r="Q207" s="44"/>
      <c r="R207" s="44"/>
      <c r="S207" s="44"/>
      <c r="T207" s="44"/>
    </row>
    <row r="208" spans="2:20" x14ac:dyDescent="0.3">
      <c r="B208" s="44"/>
      <c r="C208" s="44"/>
      <c r="D208" s="44"/>
      <c r="E208" s="44"/>
      <c r="F208" s="44"/>
      <c r="G208" s="44"/>
      <c r="H208" s="44"/>
      <c r="I208" s="44"/>
      <c r="J208" s="44"/>
      <c r="K208" s="44"/>
      <c r="L208" s="44"/>
      <c r="M208" s="44"/>
      <c r="N208" s="44"/>
      <c r="O208" s="44"/>
      <c r="P208" s="44"/>
      <c r="Q208" s="44"/>
      <c r="R208" s="44"/>
      <c r="S208" s="44"/>
      <c r="T208" s="44"/>
    </row>
    <row r="209" spans="2:20" x14ac:dyDescent="0.3">
      <c r="B209" s="44"/>
      <c r="C209" s="44"/>
      <c r="D209" s="44"/>
      <c r="E209" s="44"/>
      <c r="F209" s="44"/>
      <c r="G209" s="44"/>
      <c r="H209" s="44"/>
      <c r="I209" s="44"/>
      <c r="J209" s="44"/>
      <c r="K209" s="44"/>
      <c r="L209" s="44"/>
      <c r="M209" s="44"/>
      <c r="N209" s="44"/>
      <c r="O209" s="44"/>
      <c r="P209" s="44"/>
      <c r="Q209" s="44"/>
      <c r="R209" s="44"/>
      <c r="S209" s="44"/>
      <c r="T209" s="44"/>
    </row>
    <row r="210" spans="2:20" x14ac:dyDescent="0.3">
      <c r="B210" s="44"/>
      <c r="C210" s="44"/>
      <c r="D210" s="44"/>
      <c r="E210" s="44"/>
      <c r="F210" s="44"/>
      <c r="G210" s="44"/>
      <c r="H210" s="44"/>
      <c r="I210" s="44"/>
      <c r="J210" s="44"/>
      <c r="K210" s="44"/>
      <c r="L210" s="44"/>
      <c r="M210" s="44"/>
      <c r="N210" s="44"/>
      <c r="O210" s="44"/>
      <c r="P210" s="44"/>
      <c r="Q210" s="44"/>
      <c r="R210" s="44"/>
      <c r="S210" s="44"/>
      <c r="T210" s="44"/>
    </row>
    <row r="211" spans="2:20" x14ac:dyDescent="0.3">
      <c r="B211" s="44"/>
      <c r="C211" s="44"/>
      <c r="D211" s="44"/>
      <c r="E211" s="44"/>
      <c r="F211" s="44"/>
      <c r="G211" s="44"/>
      <c r="H211" s="44"/>
      <c r="I211" s="44"/>
      <c r="J211" s="44"/>
      <c r="K211" s="44"/>
      <c r="L211" s="44"/>
      <c r="M211" s="44"/>
      <c r="N211" s="44"/>
      <c r="O211" s="44"/>
      <c r="P211" s="44"/>
      <c r="Q211" s="44"/>
      <c r="R211" s="44"/>
      <c r="S211" s="44"/>
      <c r="T211" s="44"/>
    </row>
    <row r="212" spans="2:20" x14ac:dyDescent="0.3">
      <c r="B212" s="44"/>
      <c r="C212" s="44"/>
      <c r="D212" s="44"/>
      <c r="E212" s="44"/>
      <c r="F212" s="44"/>
      <c r="G212" s="44"/>
      <c r="H212" s="44"/>
      <c r="I212" s="44"/>
      <c r="J212" s="44"/>
      <c r="K212" s="44"/>
      <c r="L212" s="44"/>
      <c r="M212" s="44"/>
      <c r="N212" s="44"/>
      <c r="O212" s="44"/>
      <c r="P212" s="44"/>
      <c r="Q212" s="44"/>
      <c r="R212" s="44"/>
      <c r="S212" s="44"/>
      <c r="T212" s="44"/>
    </row>
    <row r="213" spans="2:20" x14ac:dyDescent="0.3">
      <c r="B213" s="44"/>
      <c r="C213" s="44"/>
      <c r="D213" s="44"/>
      <c r="E213" s="44"/>
      <c r="F213" s="44"/>
      <c r="G213" s="44"/>
      <c r="H213" s="44"/>
      <c r="I213" s="44"/>
      <c r="J213" s="44"/>
      <c r="K213" s="44"/>
      <c r="L213" s="44"/>
      <c r="M213" s="44"/>
      <c r="N213" s="44"/>
      <c r="O213" s="44"/>
      <c r="P213" s="44"/>
      <c r="Q213" s="44"/>
      <c r="R213" s="44"/>
      <c r="S213" s="44"/>
      <c r="T213" s="44"/>
    </row>
    <row r="214" spans="2:20" x14ac:dyDescent="0.3">
      <c r="B214" s="44"/>
      <c r="C214" s="44"/>
      <c r="D214" s="44"/>
      <c r="E214" s="44"/>
      <c r="F214" s="44"/>
      <c r="G214" s="44"/>
      <c r="H214" s="44"/>
      <c r="I214" s="44"/>
      <c r="J214" s="44"/>
      <c r="K214" s="44"/>
      <c r="L214" s="44"/>
      <c r="M214" s="44"/>
      <c r="N214" s="44"/>
      <c r="O214" s="44"/>
      <c r="P214" s="44"/>
      <c r="Q214" s="44"/>
      <c r="R214" s="44"/>
      <c r="S214" s="44"/>
      <c r="T214" s="44"/>
    </row>
    <row r="215" spans="2:20" x14ac:dyDescent="0.3">
      <c r="B215" s="44"/>
      <c r="C215" s="44"/>
      <c r="D215" s="44"/>
      <c r="E215" s="44"/>
      <c r="F215" s="44"/>
      <c r="G215" s="44"/>
      <c r="H215" s="44"/>
      <c r="I215" s="44"/>
      <c r="J215" s="44"/>
      <c r="K215" s="44"/>
      <c r="L215" s="44"/>
      <c r="M215" s="44"/>
      <c r="N215" s="44"/>
      <c r="O215" s="44"/>
      <c r="P215" s="44"/>
      <c r="Q215" s="44"/>
      <c r="R215" s="44"/>
      <c r="S215" s="44"/>
      <c r="T215" s="44"/>
    </row>
    <row r="216" spans="2:20" x14ac:dyDescent="0.3">
      <c r="B216" s="44"/>
      <c r="C216" s="44"/>
      <c r="D216" s="44"/>
      <c r="E216" s="44"/>
      <c r="F216" s="44"/>
      <c r="G216" s="44"/>
      <c r="H216" s="44"/>
      <c r="I216" s="44"/>
      <c r="J216" s="44"/>
      <c r="K216" s="44"/>
      <c r="L216" s="44"/>
      <c r="M216" s="44"/>
      <c r="N216" s="44"/>
      <c r="O216" s="44"/>
      <c r="P216" s="44"/>
      <c r="Q216" s="44"/>
      <c r="R216" s="44"/>
      <c r="S216" s="44"/>
      <c r="T216" s="44"/>
    </row>
    <row r="217" spans="2:20" x14ac:dyDescent="0.3">
      <c r="B217" s="44"/>
      <c r="C217" s="44"/>
      <c r="D217" s="44"/>
      <c r="E217" s="44"/>
      <c r="F217" s="44"/>
      <c r="G217" s="44"/>
      <c r="H217" s="44"/>
      <c r="I217" s="44"/>
      <c r="J217" s="44"/>
      <c r="K217" s="44"/>
      <c r="L217" s="44"/>
      <c r="M217" s="44"/>
      <c r="N217" s="44"/>
      <c r="O217" s="44"/>
      <c r="P217" s="44"/>
      <c r="Q217" s="44"/>
      <c r="R217" s="44"/>
      <c r="S217" s="44"/>
      <c r="T217" s="44"/>
    </row>
    <row r="218" spans="2:20" x14ac:dyDescent="0.3">
      <c r="B218" s="44"/>
      <c r="C218" s="44"/>
      <c r="D218" s="44"/>
      <c r="E218" s="44"/>
      <c r="F218" s="44"/>
      <c r="G218" s="44"/>
      <c r="H218" s="44"/>
      <c r="I218" s="44"/>
      <c r="J218" s="44"/>
      <c r="K218" s="44"/>
      <c r="L218" s="44"/>
      <c r="M218" s="44"/>
      <c r="N218" s="44"/>
      <c r="O218" s="44"/>
      <c r="P218" s="44"/>
      <c r="Q218" s="44"/>
      <c r="R218" s="44"/>
      <c r="S218" s="44"/>
      <c r="T218" s="44"/>
    </row>
    <row r="219" spans="2:20" x14ac:dyDescent="0.3">
      <c r="B219" s="44"/>
      <c r="C219" s="44"/>
      <c r="D219" s="44"/>
      <c r="E219" s="44"/>
      <c r="F219" s="44"/>
      <c r="G219" s="44"/>
      <c r="H219" s="44"/>
      <c r="I219" s="44"/>
      <c r="J219" s="44"/>
      <c r="K219" s="44"/>
      <c r="L219" s="44"/>
      <c r="M219" s="44"/>
      <c r="N219" s="44"/>
      <c r="O219" s="44"/>
      <c r="P219" s="44"/>
      <c r="Q219" s="44"/>
      <c r="R219" s="44"/>
      <c r="S219" s="44"/>
      <c r="T219" s="44"/>
    </row>
    <row r="220" spans="2:20" x14ac:dyDescent="0.3">
      <c r="B220" s="44"/>
      <c r="C220" s="44"/>
      <c r="D220" s="44"/>
      <c r="E220" s="44"/>
      <c r="F220" s="44"/>
      <c r="G220" s="44"/>
      <c r="H220" s="44"/>
      <c r="I220" s="44"/>
      <c r="J220" s="44"/>
      <c r="K220" s="44"/>
      <c r="L220" s="44"/>
      <c r="M220" s="44"/>
      <c r="N220" s="44"/>
      <c r="O220" s="44"/>
      <c r="P220" s="44"/>
      <c r="Q220" s="44"/>
      <c r="R220" s="44"/>
      <c r="S220" s="44"/>
      <c r="T220" s="44"/>
    </row>
    <row r="221" spans="2:20" x14ac:dyDescent="0.3">
      <c r="B221" s="44"/>
      <c r="C221" s="44"/>
      <c r="D221" s="44"/>
      <c r="E221" s="44"/>
      <c r="F221" s="44"/>
      <c r="G221" s="44"/>
      <c r="H221" s="44"/>
      <c r="I221" s="44"/>
      <c r="J221" s="44"/>
      <c r="K221" s="44"/>
      <c r="L221" s="44"/>
      <c r="M221" s="44"/>
      <c r="N221" s="44"/>
      <c r="O221" s="44"/>
      <c r="P221" s="44"/>
      <c r="Q221" s="44"/>
      <c r="R221" s="44"/>
      <c r="S221" s="44"/>
      <c r="T221" s="44"/>
    </row>
    <row r="222" spans="2:20" x14ac:dyDescent="0.3">
      <c r="B222" s="44"/>
      <c r="C222" s="44"/>
      <c r="D222" s="44"/>
      <c r="E222" s="44"/>
      <c r="F222" s="44"/>
      <c r="G222" s="44"/>
      <c r="H222" s="44"/>
      <c r="I222" s="44"/>
      <c r="J222" s="44"/>
      <c r="K222" s="44"/>
      <c r="L222" s="44"/>
      <c r="M222" s="44"/>
      <c r="N222" s="44"/>
      <c r="O222" s="44"/>
      <c r="P222" s="44"/>
      <c r="Q222" s="44"/>
      <c r="R222" s="44"/>
      <c r="S222" s="44"/>
      <c r="T222" s="44"/>
    </row>
    <row r="223" spans="2:20" x14ac:dyDescent="0.3">
      <c r="B223" s="44"/>
      <c r="C223" s="44"/>
      <c r="D223" s="44"/>
      <c r="E223" s="44"/>
      <c r="F223" s="44"/>
      <c r="G223" s="44"/>
      <c r="H223" s="44"/>
      <c r="I223" s="44"/>
      <c r="J223" s="44"/>
      <c r="K223" s="44"/>
      <c r="L223" s="44"/>
      <c r="M223" s="44"/>
      <c r="N223" s="44"/>
      <c r="O223" s="44"/>
      <c r="P223" s="44"/>
      <c r="Q223" s="44"/>
      <c r="R223" s="44"/>
      <c r="S223" s="44"/>
      <c r="T223" s="44"/>
    </row>
    <row r="224" spans="2:20" x14ac:dyDescent="0.3">
      <c r="B224" s="44"/>
      <c r="C224" s="44"/>
      <c r="D224" s="44"/>
      <c r="E224" s="44"/>
      <c r="F224" s="44"/>
      <c r="G224" s="44"/>
      <c r="H224" s="44"/>
      <c r="I224" s="44"/>
      <c r="J224" s="44"/>
      <c r="K224" s="44"/>
      <c r="L224" s="44"/>
      <c r="M224" s="44"/>
      <c r="N224" s="44"/>
      <c r="O224" s="44"/>
      <c r="P224" s="44"/>
      <c r="Q224" s="44"/>
      <c r="R224" s="44"/>
      <c r="S224" s="44"/>
      <c r="T224" s="44"/>
    </row>
    <row r="225" spans="2:20" x14ac:dyDescent="0.3">
      <c r="B225" s="44"/>
      <c r="C225" s="44"/>
      <c r="D225" s="44"/>
      <c r="E225" s="44"/>
      <c r="F225" s="44"/>
      <c r="G225" s="44"/>
      <c r="H225" s="44"/>
      <c r="I225" s="44"/>
      <c r="J225" s="44"/>
      <c r="K225" s="44"/>
      <c r="L225" s="44"/>
      <c r="M225" s="44"/>
      <c r="N225" s="44"/>
      <c r="O225" s="44"/>
      <c r="P225" s="44"/>
      <c r="Q225" s="44"/>
      <c r="R225" s="44"/>
      <c r="S225" s="44"/>
      <c r="T225" s="44"/>
    </row>
    <row r="226" spans="2:20" x14ac:dyDescent="0.3">
      <c r="B226" s="44"/>
      <c r="C226" s="44"/>
      <c r="D226" s="44"/>
      <c r="E226" s="44"/>
      <c r="F226" s="44"/>
      <c r="G226" s="44"/>
      <c r="H226" s="44"/>
      <c r="I226" s="44"/>
      <c r="J226" s="44"/>
      <c r="K226" s="44"/>
      <c r="L226" s="44"/>
      <c r="M226" s="44"/>
      <c r="N226" s="44"/>
      <c r="O226" s="44"/>
      <c r="P226" s="44"/>
      <c r="Q226" s="44"/>
      <c r="R226" s="44"/>
      <c r="S226" s="44"/>
      <c r="T226" s="44"/>
    </row>
    <row r="227" spans="2:20" x14ac:dyDescent="0.3">
      <c r="B227" s="44"/>
      <c r="C227" s="44"/>
      <c r="D227" s="44"/>
      <c r="E227" s="44"/>
      <c r="F227" s="44"/>
      <c r="G227" s="44"/>
      <c r="H227" s="44"/>
      <c r="I227" s="44"/>
      <c r="J227" s="44"/>
      <c r="K227" s="44"/>
      <c r="L227" s="44"/>
      <c r="M227" s="44"/>
      <c r="N227" s="44"/>
      <c r="O227" s="44"/>
      <c r="P227" s="44"/>
      <c r="Q227" s="44"/>
      <c r="R227" s="44"/>
      <c r="S227" s="44"/>
      <c r="T227" s="44"/>
    </row>
    <row r="228" spans="2:20" x14ac:dyDescent="0.3">
      <c r="B228" s="44"/>
      <c r="C228" s="44"/>
      <c r="D228" s="44"/>
      <c r="E228" s="44"/>
      <c r="F228" s="44"/>
      <c r="G228" s="44"/>
      <c r="H228" s="44"/>
      <c r="I228" s="44"/>
      <c r="J228" s="44"/>
      <c r="K228" s="44"/>
      <c r="L228" s="44"/>
      <c r="M228" s="44"/>
      <c r="N228" s="44"/>
      <c r="O228" s="44"/>
      <c r="P228" s="44"/>
      <c r="Q228" s="44"/>
      <c r="R228" s="44"/>
      <c r="S228" s="44"/>
      <c r="T228" s="44"/>
    </row>
    <row r="229" spans="2:20" x14ac:dyDescent="0.3">
      <c r="B229" s="44"/>
      <c r="C229" s="44"/>
      <c r="D229" s="44"/>
      <c r="E229" s="44"/>
      <c r="F229" s="44"/>
      <c r="G229" s="44"/>
      <c r="H229" s="44"/>
      <c r="I229" s="44"/>
      <c r="J229" s="44"/>
      <c r="K229" s="44"/>
      <c r="L229" s="44"/>
      <c r="M229" s="44"/>
      <c r="N229" s="44"/>
      <c r="O229" s="44"/>
      <c r="P229" s="44"/>
      <c r="Q229" s="44"/>
      <c r="R229" s="44"/>
      <c r="S229" s="44"/>
      <c r="T229" s="44"/>
    </row>
    <row r="230" spans="2:20" x14ac:dyDescent="0.3">
      <c r="B230" s="44"/>
      <c r="C230" s="44"/>
      <c r="D230" s="44"/>
      <c r="E230" s="44"/>
      <c r="F230" s="44"/>
      <c r="G230" s="44"/>
      <c r="H230" s="44"/>
      <c r="I230" s="44"/>
      <c r="J230" s="44"/>
      <c r="K230" s="44"/>
      <c r="L230" s="44"/>
      <c r="M230" s="44"/>
      <c r="N230" s="44"/>
      <c r="O230" s="44"/>
      <c r="P230" s="44"/>
      <c r="Q230" s="44"/>
      <c r="R230" s="44"/>
      <c r="S230" s="44"/>
      <c r="T230" s="44"/>
    </row>
    <row r="231" spans="2:20" x14ac:dyDescent="0.3">
      <c r="B231" s="44"/>
      <c r="C231" s="44"/>
      <c r="D231" s="44"/>
      <c r="E231" s="44"/>
      <c r="F231" s="44"/>
      <c r="G231" s="44"/>
      <c r="H231" s="44"/>
      <c r="I231" s="44"/>
      <c r="J231" s="44"/>
      <c r="K231" s="44"/>
      <c r="L231" s="44"/>
      <c r="M231" s="44"/>
      <c r="N231" s="44"/>
      <c r="O231" s="44"/>
      <c r="P231" s="44"/>
      <c r="Q231" s="44"/>
      <c r="R231" s="44"/>
      <c r="S231" s="44"/>
      <c r="T231" s="44"/>
    </row>
    <row r="232" spans="2:20" x14ac:dyDescent="0.3">
      <c r="B232" s="44"/>
      <c r="C232" s="44"/>
      <c r="D232" s="44"/>
      <c r="E232" s="44"/>
      <c r="F232" s="44"/>
      <c r="G232" s="44"/>
      <c r="H232" s="44"/>
      <c r="I232" s="44"/>
      <c r="J232" s="44"/>
      <c r="K232" s="44"/>
      <c r="L232" s="44"/>
      <c r="M232" s="44"/>
      <c r="N232" s="44"/>
      <c r="O232" s="44"/>
      <c r="P232" s="44"/>
      <c r="Q232" s="44"/>
      <c r="R232" s="44"/>
      <c r="S232" s="44"/>
      <c r="T232" s="44"/>
    </row>
    <row r="233" spans="2:20" x14ac:dyDescent="0.3">
      <c r="B233" s="44"/>
      <c r="C233" s="44"/>
      <c r="D233" s="44"/>
      <c r="E233" s="44"/>
      <c r="F233" s="44"/>
      <c r="G233" s="44"/>
      <c r="H233" s="44"/>
      <c r="I233" s="44"/>
      <c r="J233" s="44"/>
      <c r="K233" s="44"/>
      <c r="L233" s="44"/>
      <c r="M233" s="44"/>
      <c r="N233" s="44"/>
      <c r="O233" s="44"/>
      <c r="P233" s="44"/>
      <c r="Q233" s="44"/>
      <c r="R233" s="44"/>
      <c r="S233" s="44"/>
      <c r="T233" s="44"/>
    </row>
    <row r="234" spans="2:20" x14ac:dyDescent="0.3">
      <c r="B234" s="44"/>
      <c r="C234" s="44"/>
      <c r="D234" s="44"/>
      <c r="E234" s="44"/>
      <c r="F234" s="44"/>
      <c r="G234" s="44"/>
      <c r="H234" s="44"/>
      <c r="I234" s="44"/>
      <c r="J234" s="44"/>
      <c r="K234" s="44"/>
      <c r="L234" s="44"/>
      <c r="M234" s="44"/>
      <c r="N234" s="44"/>
      <c r="O234" s="44"/>
      <c r="P234" s="44"/>
      <c r="Q234" s="44"/>
      <c r="R234" s="44"/>
      <c r="S234" s="44"/>
      <c r="T234" s="44"/>
    </row>
    <row r="235" spans="2:20" x14ac:dyDescent="0.3">
      <c r="B235" s="44"/>
      <c r="C235" s="44"/>
      <c r="D235" s="44"/>
      <c r="E235" s="44"/>
      <c r="F235" s="44"/>
      <c r="G235" s="44"/>
      <c r="H235" s="44"/>
      <c r="I235" s="44"/>
      <c r="J235" s="44"/>
      <c r="K235" s="44"/>
      <c r="L235" s="44"/>
      <c r="M235" s="44"/>
      <c r="N235" s="44"/>
      <c r="O235" s="44"/>
      <c r="P235" s="44"/>
      <c r="Q235" s="44"/>
      <c r="R235" s="44"/>
      <c r="S235" s="44"/>
      <c r="T235" s="44"/>
    </row>
    <row r="236" spans="2:20" x14ac:dyDescent="0.3">
      <c r="B236" s="44"/>
      <c r="C236" s="44"/>
      <c r="D236" s="44"/>
      <c r="E236" s="44"/>
      <c r="F236" s="44"/>
      <c r="G236" s="44"/>
      <c r="H236" s="44"/>
      <c r="I236" s="44"/>
      <c r="J236" s="44"/>
      <c r="K236" s="44"/>
      <c r="L236" s="44"/>
      <c r="M236" s="44"/>
      <c r="N236" s="44"/>
      <c r="O236" s="44"/>
      <c r="P236" s="44"/>
      <c r="Q236" s="44"/>
      <c r="R236" s="44"/>
      <c r="S236" s="44"/>
      <c r="T236" s="44"/>
    </row>
    <row r="237" spans="2:20" x14ac:dyDescent="0.3">
      <c r="B237" s="44"/>
      <c r="C237" s="44"/>
      <c r="D237" s="44"/>
      <c r="E237" s="44"/>
      <c r="F237" s="44"/>
      <c r="G237" s="44"/>
      <c r="H237" s="44"/>
      <c r="I237" s="44"/>
      <c r="J237" s="44"/>
      <c r="K237" s="44"/>
      <c r="L237" s="44"/>
      <c r="M237" s="44"/>
      <c r="N237" s="44"/>
      <c r="O237" s="44"/>
      <c r="P237" s="44"/>
      <c r="Q237" s="44"/>
      <c r="R237" s="44"/>
      <c r="S237" s="44"/>
      <c r="T237" s="44"/>
    </row>
    <row r="238" spans="2:20" x14ac:dyDescent="0.3">
      <c r="B238" s="44"/>
      <c r="C238" s="44"/>
      <c r="D238" s="44"/>
      <c r="E238" s="44"/>
      <c r="F238" s="44"/>
      <c r="G238" s="44"/>
      <c r="H238" s="44"/>
      <c r="I238" s="44"/>
      <c r="J238" s="44"/>
      <c r="K238" s="44"/>
      <c r="L238" s="44"/>
      <c r="M238" s="44"/>
      <c r="N238" s="44"/>
      <c r="O238" s="44"/>
      <c r="P238" s="44"/>
      <c r="Q238" s="44"/>
      <c r="R238" s="44"/>
      <c r="S238" s="44"/>
      <c r="T238" s="44"/>
    </row>
    <row r="239" spans="2:20" x14ac:dyDescent="0.3">
      <c r="B239" s="44"/>
      <c r="C239" s="44"/>
      <c r="D239" s="44"/>
      <c r="E239" s="44"/>
      <c r="F239" s="44"/>
      <c r="G239" s="44"/>
      <c r="H239" s="44"/>
      <c r="I239" s="44"/>
      <c r="J239" s="44"/>
      <c r="K239" s="44"/>
      <c r="L239" s="44"/>
      <c r="M239" s="44"/>
      <c r="N239" s="44"/>
      <c r="O239" s="44"/>
      <c r="P239" s="44"/>
      <c r="Q239" s="44"/>
      <c r="R239" s="44"/>
      <c r="S239" s="44"/>
      <c r="T239" s="44"/>
    </row>
    <row r="240" spans="2:20" x14ac:dyDescent="0.3">
      <c r="B240" s="44"/>
      <c r="C240" s="44"/>
      <c r="D240" s="44"/>
      <c r="E240" s="44"/>
      <c r="F240" s="44"/>
      <c r="G240" s="44"/>
      <c r="H240" s="44"/>
      <c r="I240" s="44"/>
      <c r="J240" s="44"/>
      <c r="K240" s="44"/>
      <c r="L240" s="44"/>
      <c r="M240" s="44"/>
      <c r="N240" s="44"/>
      <c r="O240" s="44"/>
      <c r="P240" s="44"/>
      <c r="Q240" s="44"/>
      <c r="R240" s="44"/>
      <c r="S240" s="44"/>
      <c r="T240" s="44"/>
    </row>
    <row r="241" spans="2:20" x14ac:dyDescent="0.3">
      <c r="B241" s="44"/>
      <c r="C241" s="44"/>
      <c r="D241" s="44"/>
      <c r="E241" s="44"/>
      <c r="F241" s="44"/>
      <c r="G241" s="44"/>
      <c r="H241" s="44"/>
      <c r="I241" s="44"/>
      <c r="J241" s="44"/>
      <c r="K241" s="44"/>
      <c r="L241" s="44"/>
      <c r="M241" s="44"/>
      <c r="N241" s="44"/>
      <c r="O241" s="44"/>
      <c r="P241" s="44"/>
      <c r="Q241" s="44"/>
      <c r="R241" s="44"/>
      <c r="S241" s="44"/>
      <c r="T241" s="44"/>
    </row>
    <row r="242" spans="2:20" x14ac:dyDescent="0.3">
      <c r="B242" s="44"/>
      <c r="C242" s="44"/>
      <c r="D242" s="44"/>
      <c r="E242" s="44"/>
      <c r="F242" s="44"/>
      <c r="G242" s="44"/>
      <c r="H242" s="44"/>
      <c r="I242" s="44"/>
      <c r="J242" s="44"/>
      <c r="K242" s="44"/>
      <c r="L242" s="44"/>
      <c r="M242" s="44"/>
      <c r="N242" s="44"/>
      <c r="O242" s="44"/>
      <c r="P242" s="44"/>
      <c r="Q242" s="44"/>
      <c r="R242" s="44"/>
      <c r="S242" s="44"/>
      <c r="T242" s="44"/>
    </row>
    <row r="243" spans="2:20" x14ac:dyDescent="0.3">
      <c r="B243" s="44"/>
      <c r="C243" s="44"/>
      <c r="D243" s="44"/>
      <c r="E243" s="44"/>
      <c r="F243" s="44"/>
      <c r="G243" s="44"/>
      <c r="H243" s="44"/>
      <c r="I243" s="44"/>
      <c r="J243" s="44"/>
      <c r="K243" s="44"/>
      <c r="L243" s="44"/>
      <c r="M243" s="44"/>
      <c r="N243" s="44"/>
      <c r="O243" s="44"/>
      <c r="P243" s="44"/>
      <c r="Q243" s="44"/>
      <c r="R243" s="44"/>
      <c r="S243" s="44"/>
      <c r="T243" s="44"/>
    </row>
    <row r="244" spans="2:20" x14ac:dyDescent="0.3">
      <c r="B244" s="44"/>
      <c r="C244" s="44"/>
      <c r="D244" s="44"/>
      <c r="E244" s="44"/>
      <c r="F244" s="44"/>
      <c r="G244" s="44"/>
      <c r="H244" s="44"/>
      <c r="I244" s="44"/>
      <c r="J244" s="44"/>
      <c r="K244" s="44"/>
      <c r="L244" s="44"/>
      <c r="M244" s="44"/>
      <c r="N244" s="44"/>
      <c r="O244" s="44"/>
      <c r="P244" s="44"/>
      <c r="Q244" s="44"/>
      <c r="R244" s="44"/>
      <c r="S244" s="44"/>
      <c r="T244" s="44"/>
    </row>
    <row r="245" spans="2:20" x14ac:dyDescent="0.3">
      <c r="B245" s="44"/>
      <c r="C245" s="44"/>
      <c r="D245" s="44"/>
      <c r="E245" s="44"/>
      <c r="F245" s="44"/>
      <c r="G245" s="44"/>
      <c r="H245" s="44"/>
      <c r="I245" s="44"/>
      <c r="J245" s="44"/>
      <c r="K245" s="44"/>
      <c r="L245" s="44"/>
      <c r="M245" s="44"/>
      <c r="N245" s="44"/>
      <c r="O245" s="44"/>
      <c r="P245" s="44"/>
      <c r="Q245" s="44"/>
      <c r="R245" s="44"/>
      <c r="S245" s="44"/>
      <c r="T245" s="44"/>
    </row>
    <row r="246" spans="2:20" x14ac:dyDescent="0.3">
      <c r="B246" s="44"/>
      <c r="C246" s="44"/>
      <c r="D246" s="44"/>
      <c r="E246" s="44"/>
      <c r="F246" s="44"/>
      <c r="G246" s="44"/>
      <c r="H246" s="44"/>
      <c r="I246" s="44"/>
      <c r="J246" s="44"/>
      <c r="K246" s="44"/>
      <c r="L246" s="44"/>
      <c r="M246" s="44"/>
      <c r="N246" s="44"/>
      <c r="O246" s="44"/>
      <c r="P246" s="44"/>
      <c r="Q246" s="44"/>
      <c r="R246" s="44"/>
      <c r="S246" s="44"/>
      <c r="T246" s="44"/>
    </row>
    <row r="247" spans="2:20" x14ac:dyDescent="0.3">
      <c r="B247" s="44"/>
      <c r="C247" s="44"/>
      <c r="D247" s="44"/>
      <c r="E247" s="44"/>
      <c r="F247" s="44"/>
      <c r="G247" s="44"/>
      <c r="H247" s="44"/>
      <c r="I247" s="44"/>
      <c r="J247" s="44"/>
      <c r="K247" s="44"/>
      <c r="L247" s="44"/>
      <c r="M247" s="44"/>
      <c r="N247" s="44"/>
      <c r="O247" s="44"/>
      <c r="P247" s="44"/>
      <c r="Q247" s="44"/>
      <c r="R247" s="44"/>
      <c r="S247" s="44"/>
      <c r="T247" s="44"/>
    </row>
    <row r="248" spans="2:20" x14ac:dyDescent="0.3">
      <c r="B248" s="44"/>
      <c r="C248" s="44"/>
      <c r="D248" s="44"/>
      <c r="E248" s="44"/>
      <c r="F248" s="44"/>
      <c r="G248" s="44"/>
      <c r="H248" s="44"/>
      <c r="I248" s="44"/>
      <c r="J248" s="44"/>
      <c r="K248" s="44"/>
      <c r="L248" s="44"/>
      <c r="M248" s="44"/>
      <c r="N248" s="44"/>
      <c r="O248" s="44"/>
      <c r="P248" s="44"/>
      <c r="Q248" s="44"/>
      <c r="R248" s="44"/>
      <c r="S248" s="44"/>
      <c r="T248" s="44"/>
    </row>
    <row r="249" spans="2:20" x14ac:dyDescent="0.3">
      <c r="B249" s="44"/>
      <c r="C249" s="44"/>
      <c r="D249" s="44"/>
      <c r="E249" s="44"/>
      <c r="F249" s="44"/>
      <c r="G249" s="44"/>
      <c r="H249" s="44"/>
      <c r="I249" s="44"/>
      <c r="J249" s="44"/>
      <c r="K249" s="44"/>
      <c r="L249" s="44"/>
      <c r="M249" s="44"/>
      <c r="N249" s="44"/>
      <c r="O249" s="44"/>
      <c r="P249" s="44"/>
      <c r="Q249" s="44"/>
      <c r="R249" s="44"/>
      <c r="S249" s="44"/>
      <c r="T249" s="44"/>
    </row>
    <row r="250" spans="2:20" x14ac:dyDescent="0.3">
      <c r="B250" s="44"/>
      <c r="C250" s="44"/>
      <c r="D250" s="44"/>
      <c r="E250" s="44"/>
      <c r="F250" s="44"/>
      <c r="G250" s="44"/>
      <c r="H250" s="44"/>
      <c r="I250" s="44"/>
      <c r="J250" s="44"/>
      <c r="K250" s="44"/>
      <c r="L250" s="44"/>
      <c r="M250" s="44"/>
      <c r="N250" s="44"/>
      <c r="O250" s="44"/>
      <c r="P250" s="44"/>
      <c r="Q250" s="44"/>
      <c r="R250" s="44"/>
      <c r="S250" s="44"/>
      <c r="T250" s="44"/>
    </row>
    <row r="251" spans="2:20" x14ac:dyDescent="0.3">
      <c r="B251" s="44"/>
      <c r="C251" s="44"/>
      <c r="D251" s="44"/>
      <c r="E251" s="44"/>
      <c r="F251" s="44"/>
      <c r="G251" s="44"/>
      <c r="H251" s="44"/>
      <c r="I251" s="44"/>
      <c r="J251" s="44"/>
      <c r="K251" s="44"/>
      <c r="L251" s="44"/>
      <c r="M251" s="44"/>
      <c r="N251" s="44"/>
      <c r="O251" s="44"/>
      <c r="P251" s="44"/>
      <c r="Q251" s="44"/>
      <c r="R251" s="44"/>
      <c r="S251" s="44"/>
      <c r="T251" s="44"/>
    </row>
    <row r="252" spans="2:20" x14ac:dyDescent="0.3">
      <c r="B252" s="44"/>
      <c r="C252" s="44"/>
      <c r="D252" s="44"/>
      <c r="E252" s="44"/>
      <c r="F252" s="44"/>
      <c r="G252" s="44"/>
      <c r="H252" s="44"/>
      <c r="I252" s="44"/>
      <c r="J252" s="44"/>
      <c r="K252" s="44"/>
      <c r="L252" s="44"/>
      <c r="M252" s="44"/>
      <c r="N252" s="44"/>
      <c r="O252" s="44"/>
      <c r="P252" s="44"/>
      <c r="Q252" s="44"/>
      <c r="R252" s="44"/>
      <c r="S252" s="44"/>
      <c r="T252" s="44"/>
    </row>
    <row r="253" spans="2:20" x14ac:dyDescent="0.3">
      <c r="B253" s="44"/>
      <c r="C253" s="44"/>
      <c r="D253" s="44"/>
      <c r="E253" s="44"/>
      <c r="F253" s="44"/>
      <c r="G253" s="44"/>
      <c r="H253" s="44"/>
      <c r="I253" s="44"/>
      <c r="J253" s="44"/>
      <c r="K253" s="44"/>
      <c r="L253" s="44"/>
      <c r="M253" s="44"/>
      <c r="N253" s="44"/>
      <c r="O253" s="44"/>
      <c r="P253" s="44"/>
      <c r="Q253" s="44"/>
      <c r="R253" s="44"/>
      <c r="S253" s="44"/>
      <c r="T253" s="44"/>
    </row>
    <row r="254" spans="2:20" x14ac:dyDescent="0.3">
      <c r="B254" s="44"/>
      <c r="C254" s="44"/>
      <c r="D254" s="44"/>
      <c r="E254" s="44"/>
      <c r="F254" s="44"/>
      <c r="G254" s="44"/>
      <c r="H254" s="44"/>
      <c r="I254" s="44"/>
      <c r="J254" s="44"/>
      <c r="K254" s="44"/>
      <c r="L254" s="44"/>
      <c r="M254" s="44"/>
      <c r="N254" s="44"/>
      <c r="O254" s="44"/>
      <c r="P254" s="44"/>
      <c r="Q254" s="44"/>
      <c r="R254" s="44"/>
      <c r="S254" s="44"/>
      <c r="T254" s="44"/>
    </row>
    <row r="255" spans="2:20" x14ac:dyDescent="0.3">
      <c r="B255" s="44"/>
      <c r="C255" s="44"/>
      <c r="D255" s="44"/>
      <c r="E255" s="44"/>
      <c r="F255" s="44"/>
      <c r="G255" s="44"/>
      <c r="H255" s="44"/>
      <c r="I255" s="44"/>
      <c r="J255" s="44"/>
      <c r="K255" s="44"/>
      <c r="L255" s="44"/>
      <c r="M255" s="44"/>
      <c r="N255" s="44"/>
      <c r="O255" s="44"/>
      <c r="P255" s="44"/>
      <c r="Q255" s="44"/>
      <c r="R255" s="44"/>
      <c r="S255" s="44"/>
      <c r="T255" s="44"/>
    </row>
    <row r="256" spans="2:20" x14ac:dyDescent="0.3">
      <c r="B256" s="44"/>
      <c r="C256" s="44"/>
      <c r="D256" s="44"/>
      <c r="E256" s="44"/>
      <c r="F256" s="44"/>
      <c r="G256" s="44"/>
      <c r="H256" s="44"/>
      <c r="I256" s="44"/>
      <c r="J256" s="44"/>
      <c r="K256" s="44"/>
      <c r="L256" s="44"/>
      <c r="M256" s="44"/>
      <c r="N256" s="44"/>
      <c r="O256" s="44"/>
      <c r="P256" s="44"/>
      <c r="Q256" s="44"/>
      <c r="R256" s="44"/>
      <c r="S256" s="44"/>
      <c r="T256" s="44"/>
    </row>
    <row r="257" spans="2:20" x14ac:dyDescent="0.3">
      <c r="B257" s="44"/>
      <c r="C257" s="44"/>
      <c r="D257" s="44"/>
      <c r="E257" s="44"/>
      <c r="F257" s="44"/>
      <c r="G257" s="44"/>
      <c r="H257" s="44"/>
      <c r="I257" s="44"/>
      <c r="J257" s="44"/>
      <c r="K257" s="44"/>
      <c r="L257" s="44"/>
      <c r="M257" s="44"/>
      <c r="N257" s="44"/>
      <c r="O257" s="44"/>
      <c r="P257" s="44"/>
      <c r="Q257" s="44"/>
      <c r="R257" s="44"/>
      <c r="S257" s="44"/>
      <c r="T257" s="44"/>
    </row>
    <row r="258" spans="2:20" x14ac:dyDescent="0.3">
      <c r="B258" s="44"/>
      <c r="C258" s="44"/>
      <c r="D258" s="44"/>
      <c r="E258" s="44"/>
      <c r="F258" s="44"/>
      <c r="G258" s="44"/>
      <c r="H258" s="44"/>
      <c r="I258" s="44"/>
      <c r="J258" s="44"/>
      <c r="K258" s="44"/>
      <c r="L258" s="44"/>
      <c r="M258" s="44"/>
      <c r="N258" s="44"/>
      <c r="O258" s="44"/>
      <c r="P258" s="44"/>
      <c r="Q258" s="44"/>
      <c r="R258" s="44"/>
      <c r="S258" s="44"/>
      <c r="T258" s="44"/>
    </row>
    <row r="259" spans="2:20" x14ac:dyDescent="0.3">
      <c r="B259" s="44"/>
      <c r="C259" s="44"/>
      <c r="D259" s="44"/>
      <c r="E259" s="44"/>
      <c r="F259" s="44"/>
      <c r="G259" s="44"/>
      <c r="H259" s="44"/>
      <c r="I259" s="44"/>
      <c r="J259" s="44"/>
      <c r="K259" s="44"/>
      <c r="L259" s="44"/>
      <c r="M259" s="44"/>
      <c r="N259" s="44"/>
      <c r="O259" s="44"/>
      <c r="P259" s="44"/>
      <c r="Q259" s="44"/>
      <c r="R259" s="44"/>
      <c r="S259" s="44"/>
      <c r="T259" s="44"/>
    </row>
    <row r="260" spans="2:20" x14ac:dyDescent="0.3">
      <c r="B260" s="44"/>
      <c r="C260" s="44"/>
      <c r="D260" s="44"/>
      <c r="E260" s="44"/>
      <c r="F260" s="44"/>
      <c r="G260" s="44"/>
      <c r="H260" s="44"/>
      <c r="I260" s="44"/>
      <c r="J260" s="44"/>
      <c r="K260" s="44"/>
      <c r="L260" s="44"/>
      <c r="M260" s="44"/>
      <c r="N260" s="44"/>
      <c r="O260" s="44"/>
      <c r="P260" s="44"/>
      <c r="Q260" s="44"/>
      <c r="R260" s="44"/>
      <c r="S260" s="44"/>
      <c r="T260" s="44"/>
    </row>
    <row r="261" spans="2:20" x14ac:dyDescent="0.3">
      <c r="B261" s="44"/>
      <c r="C261" s="44"/>
      <c r="D261" s="44"/>
      <c r="E261" s="44"/>
      <c r="F261" s="44"/>
      <c r="G261" s="44"/>
      <c r="H261" s="44"/>
      <c r="I261" s="44"/>
      <c r="J261" s="44"/>
      <c r="K261" s="44"/>
      <c r="L261" s="44"/>
      <c r="M261" s="44"/>
      <c r="N261" s="44"/>
      <c r="O261" s="44"/>
      <c r="P261" s="44"/>
      <c r="Q261" s="44"/>
      <c r="R261" s="44"/>
      <c r="S261" s="44"/>
      <c r="T261" s="44"/>
    </row>
    <row r="262" spans="2:20" x14ac:dyDescent="0.3">
      <c r="B262" s="44"/>
      <c r="C262" s="44"/>
      <c r="D262" s="44"/>
      <c r="E262" s="44"/>
      <c r="F262" s="44"/>
      <c r="G262" s="44"/>
      <c r="H262" s="44"/>
      <c r="I262" s="44"/>
      <c r="J262" s="44"/>
      <c r="K262" s="44"/>
      <c r="L262" s="44"/>
      <c r="M262" s="44"/>
      <c r="N262" s="44"/>
      <c r="O262" s="44"/>
      <c r="P262" s="44"/>
      <c r="Q262" s="44"/>
      <c r="R262" s="44"/>
      <c r="S262" s="44"/>
      <c r="T262" s="44"/>
    </row>
    <row r="263" spans="2:20" x14ac:dyDescent="0.3">
      <c r="B263" s="44"/>
      <c r="C263" s="44"/>
      <c r="D263" s="44"/>
      <c r="E263" s="44"/>
      <c r="F263" s="44"/>
      <c r="G263" s="44"/>
      <c r="H263" s="44"/>
      <c r="I263" s="44"/>
      <c r="J263" s="44"/>
      <c r="K263" s="44"/>
      <c r="L263" s="44"/>
      <c r="M263" s="44"/>
      <c r="N263" s="44"/>
      <c r="O263" s="44"/>
      <c r="P263" s="44"/>
      <c r="Q263" s="44"/>
      <c r="R263" s="44"/>
      <c r="S263" s="44"/>
      <c r="T263" s="44"/>
    </row>
    <row r="264" spans="2:20" x14ac:dyDescent="0.3">
      <c r="B264" s="44"/>
      <c r="C264" s="44"/>
      <c r="D264" s="44"/>
      <c r="E264" s="44"/>
      <c r="F264" s="44"/>
      <c r="G264" s="44"/>
      <c r="H264" s="44"/>
      <c r="I264" s="44"/>
      <c r="J264" s="44"/>
      <c r="K264" s="44"/>
      <c r="L264" s="44"/>
      <c r="M264" s="44"/>
      <c r="N264" s="44"/>
      <c r="O264" s="44"/>
      <c r="P264" s="44"/>
      <c r="Q264" s="44"/>
      <c r="R264" s="44"/>
      <c r="S264" s="44"/>
      <c r="T264" s="44"/>
    </row>
    <row r="265" spans="2:20" x14ac:dyDescent="0.3">
      <c r="B265" s="44"/>
      <c r="C265" s="44"/>
      <c r="D265" s="44"/>
      <c r="E265" s="44"/>
      <c r="F265" s="44"/>
      <c r="G265" s="44"/>
      <c r="H265" s="44"/>
      <c r="I265" s="44"/>
      <c r="J265" s="44"/>
      <c r="K265" s="44"/>
      <c r="L265" s="44"/>
      <c r="M265" s="44"/>
      <c r="N265" s="44"/>
      <c r="O265" s="44"/>
      <c r="P265" s="44"/>
      <c r="Q265" s="44"/>
      <c r="R265" s="44"/>
      <c r="S265" s="44"/>
      <c r="T265" s="44"/>
    </row>
    <row r="266" spans="2:20" x14ac:dyDescent="0.3">
      <c r="B266" s="44"/>
      <c r="C266" s="44"/>
      <c r="D266" s="44"/>
      <c r="E266" s="44"/>
      <c r="F266" s="44"/>
      <c r="G266" s="44"/>
      <c r="H266" s="44"/>
      <c r="I266" s="44"/>
      <c r="J266" s="44"/>
      <c r="K266" s="44"/>
      <c r="L266" s="44"/>
      <c r="M266" s="44"/>
      <c r="N266" s="44"/>
      <c r="O266" s="44"/>
      <c r="P266" s="44"/>
      <c r="Q266" s="44"/>
      <c r="R266" s="44"/>
      <c r="S266" s="44"/>
      <c r="T266" s="44"/>
    </row>
    <row r="267" spans="2:20" x14ac:dyDescent="0.3">
      <c r="B267" s="44"/>
      <c r="C267" s="44"/>
      <c r="D267" s="44"/>
      <c r="E267" s="44"/>
      <c r="F267" s="44"/>
      <c r="G267" s="44"/>
      <c r="H267" s="44"/>
      <c r="I267" s="44"/>
      <c r="J267" s="44"/>
      <c r="K267" s="44"/>
      <c r="L267" s="44"/>
      <c r="M267" s="44"/>
      <c r="N267" s="44"/>
      <c r="O267" s="44"/>
      <c r="P267" s="44"/>
      <c r="Q267" s="44"/>
      <c r="R267" s="44"/>
      <c r="S267" s="44"/>
      <c r="T267" s="44"/>
    </row>
    <row r="268" spans="2:20" x14ac:dyDescent="0.3">
      <c r="B268" s="44"/>
      <c r="C268" s="44"/>
      <c r="D268" s="44"/>
      <c r="E268" s="44"/>
      <c r="F268" s="44"/>
      <c r="G268" s="44"/>
      <c r="H268" s="44"/>
      <c r="I268" s="44"/>
      <c r="J268" s="44"/>
      <c r="K268" s="44"/>
      <c r="L268" s="44"/>
      <c r="M268" s="44"/>
      <c r="N268" s="44"/>
      <c r="O268" s="44"/>
      <c r="P268" s="44"/>
      <c r="Q268" s="44"/>
      <c r="R268" s="44"/>
      <c r="S268" s="44"/>
      <c r="T268" s="44"/>
    </row>
    <row r="269" spans="2:20" x14ac:dyDescent="0.3">
      <c r="B269" s="44"/>
      <c r="C269" s="44"/>
      <c r="D269" s="44"/>
      <c r="E269" s="44"/>
      <c r="F269" s="44"/>
      <c r="G269" s="44"/>
      <c r="H269" s="44"/>
      <c r="I269" s="44"/>
      <c r="J269" s="44"/>
      <c r="K269" s="44"/>
      <c r="L269" s="44"/>
      <c r="M269" s="44"/>
      <c r="N269" s="44"/>
      <c r="O269" s="44"/>
      <c r="P269" s="44"/>
      <c r="Q269" s="44"/>
      <c r="R269" s="44"/>
      <c r="S269" s="44"/>
      <c r="T269" s="44"/>
    </row>
    <row r="270" spans="2:20" x14ac:dyDescent="0.3">
      <c r="B270" s="44"/>
      <c r="C270" s="44"/>
      <c r="D270" s="44"/>
      <c r="E270" s="44"/>
      <c r="F270" s="44"/>
      <c r="G270" s="44"/>
      <c r="H270" s="44"/>
      <c r="I270" s="44"/>
      <c r="J270" s="44"/>
      <c r="K270" s="44"/>
      <c r="L270" s="44"/>
      <c r="M270" s="44"/>
      <c r="N270" s="44"/>
      <c r="O270" s="44"/>
      <c r="P270" s="44"/>
      <c r="Q270" s="44"/>
      <c r="R270" s="44"/>
      <c r="S270" s="44"/>
      <c r="T270" s="44"/>
    </row>
    <row r="271" spans="2:20" x14ac:dyDescent="0.3">
      <c r="B271" s="44"/>
      <c r="C271" s="44"/>
      <c r="D271" s="44"/>
      <c r="E271" s="44"/>
      <c r="F271" s="44"/>
      <c r="G271" s="44"/>
      <c r="H271" s="44"/>
      <c r="I271" s="44"/>
      <c r="J271" s="44"/>
      <c r="K271" s="44"/>
      <c r="L271" s="44"/>
      <c r="M271" s="44"/>
      <c r="N271" s="44"/>
      <c r="O271" s="44"/>
      <c r="P271" s="44"/>
      <c r="Q271" s="44"/>
      <c r="R271" s="44"/>
      <c r="S271" s="44"/>
      <c r="T271" s="44"/>
    </row>
    <row r="272" spans="2:20" x14ac:dyDescent="0.3">
      <c r="B272" s="44"/>
      <c r="C272" s="44"/>
      <c r="D272" s="44"/>
      <c r="E272" s="44"/>
      <c r="F272" s="44"/>
      <c r="G272" s="44"/>
      <c r="H272" s="44"/>
      <c r="I272" s="44"/>
      <c r="J272" s="44"/>
      <c r="K272" s="44"/>
      <c r="L272" s="44"/>
      <c r="M272" s="44"/>
      <c r="N272" s="44"/>
      <c r="O272" s="44"/>
      <c r="P272" s="44"/>
      <c r="Q272" s="44"/>
      <c r="R272" s="44"/>
      <c r="S272" s="44"/>
      <c r="T272" s="44"/>
    </row>
    <row r="273" spans="2:20" x14ac:dyDescent="0.3">
      <c r="B273" s="44"/>
      <c r="C273" s="44"/>
      <c r="D273" s="44"/>
      <c r="E273" s="44"/>
      <c r="F273" s="44"/>
      <c r="G273" s="44"/>
      <c r="H273" s="44"/>
      <c r="I273" s="44"/>
      <c r="J273" s="44"/>
      <c r="K273" s="44"/>
      <c r="L273" s="44"/>
      <c r="M273" s="44"/>
      <c r="N273" s="44"/>
      <c r="O273" s="44"/>
      <c r="P273" s="44"/>
      <c r="Q273" s="44"/>
      <c r="R273" s="44"/>
      <c r="S273" s="44"/>
      <c r="T273" s="44"/>
    </row>
    <row r="274" spans="2:20" x14ac:dyDescent="0.3">
      <c r="B274" s="44"/>
      <c r="C274" s="44"/>
      <c r="D274" s="44"/>
      <c r="E274" s="44"/>
      <c r="F274" s="44"/>
      <c r="G274" s="44"/>
      <c r="H274" s="44"/>
      <c r="I274" s="44"/>
      <c r="J274" s="44"/>
      <c r="K274" s="44"/>
      <c r="L274" s="44"/>
      <c r="M274" s="44"/>
      <c r="N274" s="44"/>
      <c r="O274" s="44"/>
      <c r="P274" s="44"/>
      <c r="Q274" s="44"/>
      <c r="R274" s="44"/>
      <c r="S274" s="44"/>
      <c r="T274" s="44"/>
    </row>
    <row r="275" spans="2:20" x14ac:dyDescent="0.3">
      <c r="B275" s="44"/>
      <c r="C275" s="44"/>
      <c r="D275" s="44"/>
      <c r="E275" s="44"/>
      <c r="F275" s="44"/>
      <c r="G275" s="44"/>
      <c r="H275" s="44"/>
      <c r="I275" s="44"/>
      <c r="J275" s="44"/>
      <c r="K275" s="44"/>
      <c r="L275" s="44"/>
      <c r="M275" s="44"/>
      <c r="N275" s="44"/>
      <c r="O275" s="44"/>
      <c r="P275" s="44"/>
      <c r="Q275" s="44"/>
      <c r="R275" s="44"/>
      <c r="S275" s="44"/>
      <c r="T275" s="44"/>
    </row>
    <row r="276" spans="2:20" x14ac:dyDescent="0.3">
      <c r="B276" s="44"/>
      <c r="C276" s="44"/>
      <c r="D276" s="44"/>
      <c r="E276" s="44"/>
      <c r="F276" s="44"/>
      <c r="G276" s="44"/>
      <c r="H276" s="44"/>
      <c r="I276" s="44"/>
      <c r="J276" s="44"/>
      <c r="K276" s="44"/>
      <c r="L276" s="44"/>
      <c r="M276" s="44"/>
      <c r="N276" s="44"/>
      <c r="O276" s="44"/>
      <c r="P276" s="44"/>
      <c r="Q276" s="44"/>
      <c r="R276" s="44"/>
      <c r="S276" s="44"/>
      <c r="T276" s="44"/>
    </row>
    <row r="277" spans="2:20" x14ac:dyDescent="0.3">
      <c r="B277" s="44"/>
      <c r="C277" s="44"/>
      <c r="D277" s="44"/>
      <c r="E277" s="44"/>
      <c r="F277" s="44"/>
      <c r="G277" s="44"/>
      <c r="H277" s="44"/>
      <c r="I277" s="44"/>
      <c r="J277" s="44"/>
      <c r="K277" s="44"/>
      <c r="L277" s="44"/>
      <c r="M277" s="44"/>
      <c r="N277" s="44"/>
      <c r="O277" s="44"/>
      <c r="P277" s="44"/>
      <c r="Q277" s="44"/>
      <c r="R277" s="44"/>
      <c r="S277" s="44"/>
      <c r="T277" s="44"/>
    </row>
    <row r="278" spans="2:20" x14ac:dyDescent="0.3">
      <c r="B278" s="44"/>
      <c r="C278" s="44"/>
      <c r="D278" s="44"/>
      <c r="E278" s="44"/>
      <c r="F278" s="44"/>
      <c r="G278" s="44"/>
      <c r="H278" s="44"/>
      <c r="I278" s="44"/>
      <c r="J278" s="44"/>
      <c r="K278" s="44"/>
      <c r="L278" s="44"/>
      <c r="M278" s="44"/>
      <c r="N278" s="44"/>
      <c r="O278" s="44"/>
      <c r="P278" s="44"/>
      <c r="Q278" s="44"/>
      <c r="R278" s="44"/>
      <c r="S278" s="44"/>
      <c r="T278" s="44"/>
    </row>
    <row r="279" spans="2:20" x14ac:dyDescent="0.3">
      <c r="B279" s="44"/>
      <c r="C279" s="44"/>
      <c r="D279" s="44"/>
      <c r="E279" s="44"/>
      <c r="F279" s="44"/>
      <c r="G279" s="44"/>
      <c r="H279" s="44"/>
      <c r="I279" s="44"/>
      <c r="J279" s="44"/>
      <c r="K279" s="44"/>
      <c r="L279" s="44"/>
      <c r="M279" s="44"/>
      <c r="N279" s="44"/>
      <c r="O279" s="44"/>
      <c r="P279" s="44"/>
      <c r="Q279" s="44"/>
      <c r="R279" s="44"/>
      <c r="S279" s="44"/>
      <c r="T279" s="44"/>
    </row>
    <row r="280" spans="2:20" x14ac:dyDescent="0.3">
      <c r="B280" s="44"/>
      <c r="C280" s="44"/>
      <c r="D280" s="44"/>
      <c r="E280" s="44"/>
      <c r="F280" s="44"/>
      <c r="G280" s="44"/>
      <c r="H280" s="44"/>
      <c r="I280" s="44"/>
      <c r="J280" s="44"/>
      <c r="K280" s="44"/>
      <c r="L280" s="44"/>
      <c r="M280" s="44"/>
      <c r="N280" s="44"/>
      <c r="O280" s="44"/>
      <c r="P280" s="44"/>
      <c r="Q280" s="44"/>
      <c r="R280" s="44"/>
      <c r="S280" s="44"/>
      <c r="T280" s="44"/>
    </row>
    <row r="281" spans="2:20" x14ac:dyDescent="0.3">
      <c r="B281" s="44"/>
      <c r="C281" s="44"/>
      <c r="D281" s="44"/>
      <c r="E281" s="44"/>
      <c r="F281" s="44"/>
      <c r="G281" s="44"/>
      <c r="H281" s="44"/>
      <c r="I281" s="44"/>
      <c r="J281" s="44"/>
      <c r="K281" s="44"/>
      <c r="L281" s="44"/>
      <c r="M281" s="44"/>
      <c r="N281" s="44"/>
      <c r="O281" s="44"/>
      <c r="P281" s="44"/>
      <c r="Q281" s="44"/>
      <c r="R281" s="44"/>
      <c r="S281" s="44"/>
      <c r="T281" s="44"/>
    </row>
    <row r="282" spans="2:20" x14ac:dyDescent="0.3">
      <c r="B282" s="44"/>
      <c r="C282" s="44"/>
      <c r="D282" s="44"/>
      <c r="E282" s="44"/>
      <c r="F282" s="44"/>
      <c r="G282" s="44"/>
      <c r="H282" s="44"/>
      <c r="I282" s="44"/>
      <c r="J282" s="44"/>
      <c r="K282" s="44"/>
      <c r="L282" s="44"/>
      <c r="M282" s="44"/>
      <c r="N282" s="44"/>
      <c r="O282" s="44"/>
      <c r="P282" s="44"/>
      <c r="Q282" s="44"/>
      <c r="R282" s="44"/>
      <c r="S282" s="44"/>
      <c r="T282" s="44"/>
    </row>
    <row r="283" spans="2:20" x14ac:dyDescent="0.3">
      <c r="B283" s="44"/>
      <c r="C283" s="44"/>
      <c r="D283" s="44"/>
      <c r="E283" s="44"/>
      <c r="F283" s="44"/>
      <c r="G283" s="44"/>
      <c r="H283" s="44"/>
      <c r="I283" s="44"/>
      <c r="J283" s="44"/>
      <c r="K283" s="44"/>
      <c r="L283" s="44"/>
      <c r="M283" s="44"/>
      <c r="N283" s="44"/>
      <c r="O283" s="44"/>
      <c r="P283" s="44"/>
      <c r="Q283" s="44"/>
      <c r="R283" s="44"/>
      <c r="S283" s="44"/>
      <c r="T283" s="44"/>
    </row>
    <row r="284" spans="2:20" x14ac:dyDescent="0.3">
      <c r="B284" s="44"/>
      <c r="C284" s="44"/>
      <c r="D284" s="44"/>
      <c r="E284" s="44"/>
      <c r="F284" s="44"/>
      <c r="G284" s="44"/>
      <c r="H284" s="44"/>
      <c r="I284" s="44"/>
      <c r="J284" s="44"/>
      <c r="K284" s="44"/>
      <c r="L284" s="44"/>
      <c r="M284" s="44"/>
      <c r="N284" s="44"/>
      <c r="O284" s="44"/>
      <c r="P284" s="44"/>
      <c r="Q284" s="44"/>
      <c r="R284" s="44"/>
      <c r="S284" s="44"/>
      <c r="T284" s="44"/>
    </row>
    <row r="285" spans="2:20" x14ac:dyDescent="0.3">
      <c r="B285" s="44"/>
      <c r="C285" s="44"/>
      <c r="D285" s="44"/>
      <c r="E285" s="44"/>
      <c r="F285" s="44"/>
      <c r="G285" s="44"/>
      <c r="H285" s="44"/>
      <c r="I285" s="44"/>
      <c r="J285" s="44"/>
      <c r="K285" s="44"/>
      <c r="L285" s="44"/>
      <c r="M285" s="44"/>
      <c r="N285" s="44"/>
      <c r="O285" s="44"/>
      <c r="P285" s="44"/>
      <c r="Q285" s="44"/>
      <c r="R285" s="44"/>
      <c r="S285" s="44"/>
      <c r="T285" s="44"/>
    </row>
    <row r="286" spans="2:20" x14ac:dyDescent="0.3">
      <c r="B286" s="44"/>
      <c r="C286" s="44"/>
      <c r="D286" s="44"/>
      <c r="E286" s="44"/>
      <c r="F286" s="44"/>
      <c r="G286" s="44"/>
      <c r="H286" s="44"/>
      <c r="I286" s="44"/>
      <c r="J286" s="44"/>
      <c r="K286" s="44"/>
      <c r="L286" s="44"/>
      <c r="M286" s="44"/>
      <c r="N286" s="44"/>
      <c r="O286" s="44"/>
      <c r="P286" s="44"/>
      <c r="Q286" s="44"/>
      <c r="R286" s="44"/>
      <c r="S286" s="44"/>
      <c r="T286" s="44"/>
    </row>
    <row r="287" spans="2:20" x14ac:dyDescent="0.3">
      <c r="B287" s="44"/>
      <c r="C287" s="44"/>
      <c r="D287" s="44"/>
      <c r="E287" s="44"/>
      <c r="F287" s="44"/>
      <c r="G287" s="44"/>
      <c r="H287" s="44"/>
      <c r="I287" s="44"/>
      <c r="J287" s="44"/>
      <c r="K287" s="44"/>
      <c r="L287" s="44"/>
      <c r="M287" s="44"/>
      <c r="N287" s="44"/>
      <c r="O287" s="44"/>
      <c r="P287" s="44"/>
      <c r="Q287" s="44"/>
      <c r="R287" s="44"/>
      <c r="S287" s="44"/>
      <c r="T287" s="44"/>
    </row>
    <row r="288" spans="2:20" x14ac:dyDescent="0.3">
      <c r="B288" s="44"/>
      <c r="C288" s="44"/>
      <c r="D288" s="44"/>
      <c r="E288" s="44"/>
      <c r="F288" s="44"/>
      <c r="G288" s="44"/>
      <c r="H288" s="44"/>
      <c r="I288" s="44"/>
      <c r="J288" s="44"/>
      <c r="K288" s="44"/>
      <c r="L288" s="44"/>
      <c r="M288" s="44"/>
      <c r="N288" s="44"/>
      <c r="O288" s="44"/>
      <c r="P288" s="44"/>
      <c r="Q288" s="44"/>
      <c r="R288" s="44"/>
      <c r="S288" s="44"/>
      <c r="T288" s="44"/>
    </row>
    <row r="289" spans="2:20" x14ac:dyDescent="0.3">
      <c r="B289" s="44"/>
      <c r="C289" s="44"/>
      <c r="D289" s="44"/>
      <c r="E289" s="44"/>
      <c r="F289" s="44"/>
      <c r="G289" s="44"/>
      <c r="H289" s="44"/>
      <c r="I289" s="44"/>
      <c r="J289" s="44"/>
      <c r="K289" s="44"/>
      <c r="L289" s="44"/>
      <c r="M289" s="44"/>
      <c r="N289" s="44"/>
      <c r="O289" s="44"/>
      <c r="P289" s="44"/>
      <c r="Q289" s="44"/>
      <c r="R289" s="44"/>
      <c r="S289" s="44"/>
      <c r="T289" s="44"/>
    </row>
    <row r="290" spans="2:20" x14ac:dyDescent="0.3">
      <c r="B290" s="44"/>
      <c r="C290" s="44"/>
      <c r="D290" s="44"/>
      <c r="E290" s="44"/>
      <c r="F290" s="44"/>
      <c r="G290" s="44"/>
      <c r="H290" s="44"/>
      <c r="I290" s="44"/>
      <c r="J290" s="44"/>
      <c r="K290" s="44"/>
      <c r="L290" s="44"/>
      <c r="M290" s="44"/>
      <c r="N290" s="44"/>
      <c r="O290" s="44"/>
      <c r="P290" s="44"/>
      <c r="Q290" s="44"/>
      <c r="R290" s="44"/>
      <c r="S290" s="44"/>
      <c r="T290" s="44"/>
    </row>
    <row r="291" spans="2:20" x14ac:dyDescent="0.3">
      <c r="B291" s="44"/>
      <c r="C291" s="44"/>
      <c r="D291" s="44"/>
      <c r="E291" s="44"/>
      <c r="F291" s="44"/>
      <c r="G291" s="44"/>
      <c r="H291" s="44"/>
      <c r="I291" s="44"/>
      <c r="J291" s="44"/>
      <c r="K291" s="44"/>
      <c r="L291" s="44"/>
      <c r="M291" s="44"/>
      <c r="N291" s="44"/>
      <c r="O291" s="44"/>
      <c r="P291" s="44"/>
      <c r="Q291" s="44"/>
      <c r="R291" s="44"/>
      <c r="S291" s="44"/>
      <c r="T291" s="44"/>
    </row>
    <row r="292" spans="2:20" x14ac:dyDescent="0.3">
      <c r="B292" s="44"/>
      <c r="C292" s="44"/>
      <c r="D292" s="44"/>
      <c r="E292" s="44"/>
      <c r="F292" s="44"/>
      <c r="G292" s="44"/>
      <c r="H292" s="44"/>
      <c r="I292" s="44"/>
      <c r="J292" s="44"/>
      <c r="K292" s="44"/>
      <c r="L292" s="44"/>
      <c r="M292" s="44"/>
      <c r="N292" s="44"/>
      <c r="O292" s="44"/>
      <c r="P292" s="44"/>
      <c r="Q292" s="44"/>
      <c r="R292" s="44"/>
      <c r="S292" s="44"/>
      <c r="T292" s="44"/>
    </row>
    <row r="293" spans="2:20" x14ac:dyDescent="0.3">
      <c r="B293" s="44"/>
      <c r="C293" s="44"/>
      <c r="D293" s="44"/>
      <c r="E293" s="44"/>
      <c r="F293" s="44"/>
      <c r="G293" s="44"/>
      <c r="H293" s="44"/>
      <c r="I293" s="44"/>
      <c r="J293" s="44"/>
      <c r="K293" s="44"/>
      <c r="L293" s="44"/>
      <c r="M293" s="44"/>
      <c r="N293" s="44"/>
      <c r="O293" s="44"/>
      <c r="P293" s="44"/>
      <c r="Q293" s="44"/>
      <c r="R293" s="44"/>
      <c r="S293" s="44"/>
      <c r="T293" s="44"/>
    </row>
    <row r="294" spans="2:20" x14ac:dyDescent="0.3">
      <c r="B294" s="44"/>
      <c r="C294" s="44"/>
      <c r="D294" s="44"/>
      <c r="E294" s="44"/>
      <c r="F294" s="44"/>
      <c r="G294" s="44"/>
      <c r="H294" s="44"/>
      <c r="I294" s="44"/>
      <c r="J294" s="44"/>
      <c r="K294" s="44"/>
      <c r="L294" s="44"/>
      <c r="M294" s="44"/>
      <c r="N294" s="44"/>
      <c r="O294" s="44"/>
      <c r="P294" s="44"/>
      <c r="Q294" s="44"/>
      <c r="R294" s="44"/>
      <c r="S294" s="44"/>
      <c r="T294" s="44"/>
    </row>
    <row r="295" spans="2:20" x14ac:dyDescent="0.3">
      <c r="B295" s="44"/>
      <c r="C295" s="44"/>
      <c r="D295" s="44"/>
      <c r="E295" s="44"/>
      <c r="F295" s="44"/>
      <c r="G295" s="44"/>
      <c r="H295" s="44"/>
      <c r="I295" s="44"/>
      <c r="J295" s="44"/>
      <c r="K295" s="44"/>
      <c r="L295" s="44"/>
      <c r="M295" s="44"/>
      <c r="N295" s="44"/>
      <c r="O295" s="44"/>
      <c r="P295" s="44"/>
      <c r="Q295" s="44"/>
      <c r="R295" s="44"/>
      <c r="S295" s="44"/>
      <c r="T295" s="44"/>
    </row>
    <row r="296" spans="2:20" x14ac:dyDescent="0.3">
      <c r="B296" s="44"/>
      <c r="C296" s="44"/>
      <c r="D296" s="44"/>
      <c r="E296" s="44"/>
      <c r="F296" s="44"/>
      <c r="G296" s="44"/>
      <c r="H296" s="44"/>
      <c r="I296" s="44"/>
      <c r="J296" s="44"/>
      <c r="K296" s="44"/>
      <c r="L296" s="44"/>
      <c r="M296" s="44"/>
      <c r="N296" s="44"/>
      <c r="O296" s="44"/>
      <c r="P296" s="44"/>
      <c r="Q296" s="44"/>
      <c r="R296" s="44"/>
      <c r="S296" s="44"/>
      <c r="T296" s="44"/>
    </row>
    <row r="297" spans="2:20" x14ac:dyDescent="0.3">
      <c r="B297" s="44"/>
      <c r="C297" s="44"/>
      <c r="D297" s="44"/>
      <c r="E297" s="44"/>
      <c r="F297" s="44"/>
      <c r="G297" s="44"/>
      <c r="H297" s="44"/>
      <c r="I297" s="44"/>
      <c r="J297" s="44"/>
      <c r="K297" s="44"/>
      <c r="L297" s="44"/>
      <c r="M297" s="44"/>
      <c r="N297" s="44"/>
      <c r="O297" s="44"/>
      <c r="P297" s="44"/>
      <c r="Q297" s="44"/>
      <c r="R297" s="44"/>
      <c r="S297" s="44"/>
      <c r="T297" s="44"/>
    </row>
    <row r="298" spans="2:20" x14ac:dyDescent="0.3">
      <c r="B298" s="44"/>
      <c r="C298" s="44"/>
      <c r="D298" s="44"/>
      <c r="E298" s="44"/>
      <c r="F298" s="44"/>
      <c r="G298" s="44"/>
      <c r="H298" s="44"/>
      <c r="I298" s="44"/>
      <c r="J298" s="44"/>
      <c r="K298" s="44"/>
      <c r="L298" s="44"/>
      <c r="M298" s="44"/>
      <c r="N298" s="44"/>
      <c r="O298" s="44"/>
      <c r="P298" s="44"/>
      <c r="Q298" s="44"/>
      <c r="R298" s="44"/>
      <c r="S298" s="44"/>
      <c r="T298" s="44"/>
    </row>
    <row r="299" spans="2:20" x14ac:dyDescent="0.3">
      <c r="B299" s="44"/>
      <c r="C299" s="44"/>
      <c r="D299" s="44"/>
      <c r="E299" s="44"/>
      <c r="F299" s="44"/>
      <c r="G299" s="44"/>
      <c r="H299" s="44"/>
      <c r="I299" s="44"/>
      <c r="J299" s="44"/>
      <c r="K299" s="44"/>
      <c r="L299" s="44"/>
      <c r="M299" s="44"/>
      <c r="N299" s="44"/>
      <c r="O299" s="44"/>
      <c r="P299" s="44"/>
      <c r="Q299" s="44"/>
      <c r="R299" s="44"/>
      <c r="S299" s="44"/>
      <c r="T299" s="44"/>
    </row>
    <row r="300" spans="2:20" x14ac:dyDescent="0.3">
      <c r="B300" s="44"/>
      <c r="C300" s="44"/>
      <c r="D300" s="44"/>
      <c r="E300" s="44"/>
      <c r="F300" s="44"/>
      <c r="G300" s="44"/>
      <c r="H300" s="44"/>
      <c r="I300" s="44"/>
      <c r="J300" s="44"/>
      <c r="K300" s="44"/>
      <c r="L300" s="44"/>
      <c r="M300" s="44"/>
      <c r="N300" s="44"/>
      <c r="O300" s="44"/>
      <c r="P300" s="44"/>
      <c r="Q300" s="44"/>
      <c r="R300" s="44"/>
      <c r="S300" s="44"/>
      <c r="T300" s="44"/>
    </row>
    <row r="301" spans="2:20" x14ac:dyDescent="0.3">
      <c r="B301" s="44"/>
      <c r="C301" s="44"/>
      <c r="D301" s="44"/>
      <c r="E301" s="44"/>
      <c r="F301" s="44"/>
      <c r="G301" s="44"/>
      <c r="H301" s="44"/>
      <c r="I301" s="44"/>
      <c r="J301" s="44"/>
      <c r="K301" s="44"/>
      <c r="L301" s="44"/>
      <c r="M301" s="44"/>
      <c r="N301" s="44"/>
      <c r="O301" s="44"/>
      <c r="P301" s="44"/>
      <c r="Q301" s="44"/>
      <c r="R301" s="44"/>
      <c r="S301" s="44"/>
      <c r="T301" s="44"/>
    </row>
    <row r="302" spans="2:20" x14ac:dyDescent="0.3">
      <c r="B302" s="44"/>
      <c r="C302" s="44"/>
      <c r="D302" s="44"/>
      <c r="E302" s="44"/>
      <c r="F302" s="44"/>
      <c r="G302" s="44"/>
      <c r="H302" s="44"/>
      <c r="I302" s="44"/>
      <c r="J302" s="44"/>
      <c r="K302" s="44"/>
      <c r="L302" s="44"/>
      <c r="M302" s="44"/>
      <c r="N302" s="44"/>
      <c r="O302" s="44"/>
      <c r="P302" s="44"/>
      <c r="Q302" s="44"/>
      <c r="R302" s="44"/>
      <c r="S302" s="44"/>
      <c r="T302" s="44"/>
    </row>
    <row r="303" spans="2:20" x14ac:dyDescent="0.3">
      <c r="B303" s="44"/>
      <c r="C303" s="44"/>
      <c r="D303" s="44"/>
      <c r="E303" s="44"/>
      <c r="F303" s="44"/>
      <c r="G303" s="44"/>
      <c r="H303" s="44"/>
      <c r="I303" s="44"/>
      <c r="J303" s="44"/>
      <c r="K303" s="44"/>
      <c r="L303" s="44"/>
      <c r="M303" s="44"/>
      <c r="N303" s="44"/>
      <c r="O303" s="44"/>
      <c r="P303" s="44"/>
      <c r="Q303" s="44"/>
      <c r="R303" s="44"/>
      <c r="S303" s="44"/>
      <c r="T303" s="44"/>
    </row>
    <row r="304" spans="2:20" x14ac:dyDescent="0.3">
      <c r="B304" s="44"/>
      <c r="C304" s="44"/>
      <c r="D304" s="44"/>
      <c r="E304" s="44"/>
      <c r="F304" s="44"/>
      <c r="G304" s="44"/>
      <c r="H304" s="44"/>
      <c r="I304" s="44"/>
      <c r="J304" s="44"/>
      <c r="K304" s="44"/>
      <c r="L304" s="44"/>
      <c r="M304" s="44"/>
      <c r="N304" s="44"/>
      <c r="O304" s="44"/>
      <c r="P304" s="44"/>
      <c r="Q304" s="44"/>
      <c r="R304" s="44"/>
      <c r="S304" s="44"/>
      <c r="T304" s="44"/>
    </row>
    <row r="305" spans="2:20" x14ac:dyDescent="0.3">
      <c r="B305" s="44"/>
      <c r="C305" s="44"/>
      <c r="D305" s="44"/>
      <c r="E305" s="44"/>
      <c r="F305" s="44"/>
      <c r="G305" s="44"/>
      <c r="H305" s="44"/>
      <c r="I305" s="44"/>
      <c r="J305" s="44"/>
      <c r="K305" s="44"/>
      <c r="L305" s="44"/>
      <c r="M305" s="44"/>
      <c r="N305" s="44"/>
      <c r="O305" s="44"/>
      <c r="P305" s="44"/>
      <c r="Q305" s="44"/>
      <c r="R305" s="44"/>
      <c r="S305" s="44"/>
      <c r="T305" s="44"/>
    </row>
    <row r="306" spans="2:20" x14ac:dyDescent="0.3">
      <c r="B306" s="44"/>
      <c r="C306" s="44"/>
      <c r="D306" s="44"/>
      <c r="E306" s="44"/>
      <c r="F306" s="44"/>
      <c r="G306" s="44"/>
      <c r="H306" s="44"/>
      <c r="I306" s="44"/>
      <c r="J306" s="44"/>
      <c r="K306" s="44"/>
      <c r="L306" s="44"/>
      <c r="M306" s="44"/>
      <c r="N306" s="44"/>
      <c r="O306" s="44"/>
      <c r="P306" s="44"/>
      <c r="Q306" s="44"/>
      <c r="R306" s="44"/>
      <c r="S306" s="44"/>
      <c r="T306" s="44"/>
    </row>
    <row r="307" spans="2:20" x14ac:dyDescent="0.3">
      <c r="B307" s="44"/>
      <c r="C307" s="44"/>
      <c r="D307" s="44"/>
      <c r="E307" s="44"/>
      <c r="F307" s="44"/>
      <c r="G307" s="44"/>
      <c r="H307" s="44"/>
      <c r="I307" s="44"/>
      <c r="J307" s="44"/>
      <c r="K307" s="44"/>
      <c r="L307" s="44"/>
      <c r="M307" s="44"/>
      <c r="N307" s="44"/>
      <c r="O307" s="44"/>
      <c r="P307" s="44"/>
      <c r="Q307" s="44"/>
      <c r="R307" s="44"/>
      <c r="S307" s="44"/>
      <c r="T307" s="44"/>
    </row>
    <row r="308" spans="2:20" x14ac:dyDescent="0.3">
      <c r="B308" s="44"/>
      <c r="C308" s="44"/>
      <c r="D308" s="44"/>
      <c r="E308" s="44"/>
      <c r="F308" s="44"/>
      <c r="G308" s="44"/>
      <c r="H308" s="44"/>
      <c r="I308" s="44"/>
      <c r="J308" s="44"/>
      <c r="K308" s="44"/>
      <c r="L308" s="44"/>
      <c r="M308" s="44"/>
      <c r="N308" s="44"/>
      <c r="O308" s="44"/>
      <c r="P308" s="44"/>
      <c r="Q308" s="44"/>
      <c r="R308" s="44"/>
      <c r="S308" s="44"/>
      <c r="T308" s="44"/>
    </row>
    <row r="309" spans="2:20" x14ac:dyDescent="0.3">
      <c r="B309" s="44"/>
      <c r="C309" s="44"/>
      <c r="D309" s="44"/>
      <c r="E309" s="44"/>
      <c r="F309" s="44"/>
      <c r="G309" s="44"/>
      <c r="H309" s="44"/>
      <c r="I309" s="44"/>
      <c r="J309" s="44"/>
      <c r="K309" s="44"/>
      <c r="L309" s="44"/>
      <c r="M309" s="44"/>
      <c r="N309" s="44"/>
      <c r="O309" s="44"/>
      <c r="P309" s="44"/>
      <c r="Q309" s="44"/>
      <c r="R309" s="44"/>
      <c r="S309" s="44"/>
      <c r="T309" s="44"/>
    </row>
    <row r="310" spans="2:20" x14ac:dyDescent="0.3">
      <c r="B310" s="44"/>
      <c r="C310" s="44"/>
      <c r="D310" s="44"/>
      <c r="E310" s="44"/>
      <c r="F310" s="44"/>
      <c r="G310" s="44"/>
      <c r="H310" s="44"/>
      <c r="I310" s="44"/>
      <c r="J310" s="44"/>
      <c r="K310" s="44"/>
      <c r="L310" s="44"/>
      <c r="M310" s="44"/>
      <c r="N310" s="44"/>
      <c r="O310" s="44"/>
      <c r="P310" s="44"/>
      <c r="Q310" s="44"/>
      <c r="R310" s="44"/>
      <c r="S310" s="44"/>
      <c r="T310" s="44"/>
    </row>
    <row r="311" spans="2:20" x14ac:dyDescent="0.3">
      <c r="B311" s="44"/>
      <c r="C311" s="44"/>
      <c r="D311" s="44"/>
      <c r="E311" s="44"/>
      <c r="F311" s="44"/>
      <c r="G311" s="44"/>
      <c r="H311" s="44"/>
      <c r="I311" s="44"/>
      <c r="J311" s="44"/>
      <c r="K311" s="44"/>
      <c r="L311" s="44"/>
      <c r="M311" s="44"/>
      <c r="N311" s="44"/>
      <c r="O311" s="44"/>
      <c r="P311" s="44"/>
      <c r="Q311" s="44"/>
      <c r="R311" s="44"/>
      <c r="S311" s="44"/>
      <c r="T311" s="44"/>
    </row>
    <row r="312" spans="2:20" x14ac:dyDescent="0.3">
      <c r="B312" s="44"/>
      <c r="C312" s="44"/>
      <c r="D312" s="44"/>
      <c r="E312" s="44"/>
      <c r="F312" s="44"/>
      <c r="G312" s="44"/>
      <c r="H312" s="44"/>
      <c r="I312" s="44"/>
      <c r="J312" s="44"/>
      <c r="K312" s="44"/>
      <c r="L312" s="44"/>
      <c r="M312" s="44"/>
      <c r="N312" s="44"/>
      <c r="O312" s="44"/>
      <c r="P312" s="44"/>
      <c r="Q312" s="44"/>
      <c r="R312" s="44"/>
      <c r="S312" s="44"/>
      <c r="T312" s="44"/>
    </row>
    <row r="313" spans="2:20" x14ac:dyDescent="0.3">
      <c r="B313" s="44"/>
      <c r="C313" s="44"/>
      <c r="D313" s="44"/>
      <c r="E313" s="44"/>
      <c r="F313" s="44"/>
      <c r="G313" s="44"/>
      <c r="H313" s="44"/>
      <c r="I313" s="44"/>
      <c r="J313" s="44"/>
      <c r="K313" s="44"/>
      <c r="L313" s="44"/>
      <c r="M313" s="44"/>
      <c r="N313" s="44"/>
      <c r="O313" s="44"/>
      <c r="P313" s="44"/>
      <c r="Q313" s="44"/>
      <c r="R313" s="44"/>
      <c r="S313" s="44"/>
      <c r="T313" s="44"/>
    </row>
    <row r="314" spans="2:20" x14ac:dyDescent="0.3">
      <c r="B314" s="44"/>
      <c r="C314" s="44"/>
      <c r="D314" s="44"/>
      <c r="E314" s="44"/>
      <c r="F314" s="44"/>
      <c r="G314" s="44"/>
      <c r="H314" s="44"/>
      <c r="I314" s="44"/>
      <c r="J314" s="44"/>
      <c r="K314" s="44"/>
      <c r="L314" s="44"/>
      <c r="M314" s="44"/>
      <c r="N314" s="44"/>
      <c r="O314" s="44"/>
      <c r="P314" s="44"/>
      <c r="Q314" s="44"/>
      <c r="R314" s="44"/>
      <c r="S314" s="44"/>
      <c r="T314" s="44"/>
    </row>
    <row r="315" spans="2:20" x14ac:dyDescent="0.3">
      <c r="B315" s="44"/>
      <c r="C315" s="44"/>
      <c r="D315" s="44"/>
      <c r="E315" s="44"/>
      <c r="F315" s="44"/>
      <c r="G315" s="44"/>
      <c r="H315" s="44"/>
      <c r="I315" s="44"/>
      <c r="J315" s="44"/>
      <c r="K315" s="44"/>
      <c r="L315" s="44"/>
      <c r="M315" s="44"/>
      <c r="N315" s="44"/>
      <c r="O315" s="44"/>
      <c r="P315" s="44"/>
      <c r="Q315" s="44"/>
      <c r="R315" s="44"/>
      <c r="S315" s="44"/>
      <c r="T315" s="44"/>
    </row>
    <row r="316" spans="2:20" x14ac:dyDescent="0.3">
      <c r="B316" s="44"/>
      <c r="C316" s="44"/>
      <c r="D316" s="44"/>
      <c r="E316" s="44"/>
      <c r="F316" s="44"/>
      <c r="G316" s="44"/>
      <c r="H316" s="44"/>
      <c r="I316" s="44"/>
      <c r="J316" s="44"/>
      <c r="K316" s="44"/>
      <c r="L316" s="44"/>
      <c r="M316" s="44"/>
      <c r="N316" s="44"/>
      <c r="O316" s="44"/>
      <c r="P316" s="44"/>
      <c r="Q316" s="44"/>
      <c r="R316" s="44"/>
      <c r="S316" s="44"/>
      <c r="T316" s="44"/>
    </row>
    <row r="317" spans="2:20" x14ac:dyDescent="0.3">
      <c r="B317" s="44"/>
      <c r="C317" s="44"/>
      <c r="D317" s="44"/>
      <c r="E317" s="44"/>
      <c r="F317" s="44"/>
      <c r="G317" s="44"/>
      <c r="H317" s="44"/>
      <c r="I317" s="44"/>
      <c r="J317" s="44"/>
      <c r="K317" s="44"/>
      <c r="L317" s="44"/>
      <c r="M317" s="44"/>
      <c r="N317" s="44"/>
      <c r="O317" s="44"/>
      <c r="P317" s="44"/>
      <c r="Q317" s="44"/>
      <c r="R317" s="44"/>
      <c r="S317" s="44"/>
      <c r="T317" s="44"/>
    </row>
    <row r="318" spans="2:20" x14ac:dyDescent="0.3">
      <c r="B318" s="44"/>
      <c r="C318" s="44"/>
      <c r="D318" s="44"/>
      <c r="E318" s="44"/>
      <c r="F318" s="44"/>
      <c r="G318" s="44"/>
      <c r="H318" s="44"/>
      <c r="I318" s="44"/>
      <c r="J318" s="44"/>
      <c r="K318" s="44"/>
      <c r="L318" s="44"/>
      <c r="M318" s="44"/>
      <c r="N318" s="44"/>
      <c r="O318" s="44"/>
      <c r="P318" s="44"/>
      <c r="Q318" s="44"/>
      <c r="R318" s="44"/>
      <c r="S318" s="44"/>
      <c r="T318" s="44"/>
    </row>
    <row r="319" spans="2:20" x14ac:dyDescent="0.3">
      <c r="B319" s="44"/>
      <c r="C319" s="44"/>
      <c r="D319" s="44"/>
      <c r="E319" s="44"/>
      <c r="F319" s="44"/>
      <c r="G319" s="44"/>
      <c r="H319" s="44"/>
      <c r="I319" s="44"/>
      <c r="J319" s="44"/>
      <c r="K319" s="44"/>
      <c r="L319" s="44"/>
      <c r="M319" s="44"/>
      <c r="N319" s="44"/>
      <c r="O319" s="44"/>
      <c r="P319" s="44"/>
      <c r="Q319" s="44"/>
      <c r="R319" s="44"/>
      <c r="S319" s="44"/>
      <c r="T319" s="44"/>
    </row>
    <row r="320" spans="2:20" x14ac:dyDescent="0.3">
      <c r="B320" s="44"/>
      <c r="C320" s="44"/>
      <c r="D320" s="44"/>
      <c r="E320" s="44"/>
      <c r="F320" s="44"/>
      <c r="G320" s="44"/>
      <c r="H320" s="44"/>
      <c r="I320" s="44"/>
      <c r="J320" s="44"/>
      <c r="K320" s="44"/>
      <c r="L320" s="44"/>
      <c r="M320" s="44"/>
      <c r="N320" s="44"/>
      <c r="O320" s="44"/>
      <c r="P320" s="44"/>
      <c r="Q320" s="44"/>
      <c r="R320" s="44"/>
      <c r="S320" s="44"/>
      <c r="T320" s="44"/>
    </row>
    <row r="321" spans="2:20" x14ac:dyDescent="0.3">
      <c r="B321" s="44"/>
      <c r="C321" s="44"/>
      <c r="D321" s="44"/>
      <c r="E321" s="44"/>
      <c r="F321" s="44"/>
      <c r="G321" s="44"/>
      <c r="H321" s="44"/>
      <c r="I321" s="44"/>
      <c r="J321" s="44"/>
      <c r="K321" s="44"/>
      <c r="L321" s="44"/>
      <c r="M321" s="44"/>
      <c r="N321" s="44"/>
      <c r="O321" s="44"/>
      <c r="P321" s="44"/>
      <c r="Q321" s="44"/>
      <c r="R321" s="44"/>
      <c r="S321" s="44"/>
      <c r="T321" s="44"/>
    </row>
    <row r="322" spans="2:20" x14ac:dyDescent="0.3">
      <c r="B322" s="44"/>
      <c r="C322" s="44"/>
      <c r="D322" s="44"/>
      <c r="E322" s="44"/>
      <c r="F322" s="44"/>
      <c r="G322" s="44"/>
      <c r="H322" s="44"/>
      <c r="I322" s="44"/>
      <c r="J322" s="44"/>
      <c r="K322" s="44"/>
      <c r="L322" s="44"/>
      <c r="M322" s="44"/>
      <c r="N322" s="44"/>
      <c r="O322" s="44"/>
      <c r="P322" s="44"/>
      <c r="Q322" s="44"/>
      <c r="R322" s="44"/>
      <c r="S322" s="44"/>
      <c r="T322" s="44"/>
    </row>
    <row r="323" spans="2:20" x14ac:dyDescent="0.3">
      <c r="B323" s="44"/>
      <c r="C323" s="44"/>
      <c r="D323" s="44"/>
      <c r="E323" s="44"/>
      <c r="F323" s="44"/>
      <c r="G323" s="44"/>
      <c r="H323" s="44"/>
      <c r="I323" s="44"/>
      <c r="J323" s="44"/>
      <c r="K323" s="44"/>
      <c r="L323" s="44"/>
      <c r="M323" s="44"/>
      <c r="N323" s="44"/>
      <c r="O323" s="44"/>
      <c r="P323" s="44"/>
      <c r="Q323" s="44"/>
      <c r="R323" s="44"/>
      <c r="S323" s="44"/>
      <c r="T323" s="44"/>
    </row>
    <row r="324" spans="2:20" x14ac:dyDescent="0.3">
      <c r="B324" s="44"/>
      <c r="C324" s="44"/>
      <c r="D324" s="44"/>
      <c r="E324" s="44"/>
      <c r="F324" s="44"/>
      <c r="G324" s="44"/>
      <c r="H324" s="44"/>
      <c r="I324" s="44"/>
      <c r="J324" s="44"/>
      <c r="K324" s="44"/>
      <c r="L324" s="44"/>
      <c r="M324" s="44"/>
      <c r="N324" s="44"/>
      <c r="O324" s="44"/>
      <c r="P324" s="44"/>
      <c r="Q324" s="44"/>
      <c r="R324" s="44"/>
      <c r="S324" s="44"/>
      <c r="T324" s="44"/>
    </row>
    <row r="325" spans="2:20" x14ac:dyDescent="0.3">
      <c r="B325" s="44"/>
      <c r="C325" s="44"/>
      <c r="D325" s="44"/>
      <c r="E325" s="44"/>
      <c r="F325" s="44"/>
      <c r="G325" s="44"/>
      <c r="H325" s="44"/>
      <c r="I325" s="44"/>
      <c r="J325" s="44"/>
      <c r="K325" s="44"/>
      <c r="L325" s="44"/>
      <c r="M325" s="44"/>
      <c r="N325" s="44"/>
      <c r="O325" s="44"/>
      <c r="P325" s="44"/>
      <c r="Q325" s="44"/>
      <c r="R325" s="44"/>
      <c r="S325" s="44"/>
      <c r="T325" s="44"/>
    </row>
    <row r="326" spans="2:20" x14ac:dyDescent="0.3">
      <c r="B326" s="44"/>
      <c r="C326" s="44"/>
      <c r="D326" s="44"/>
      <c r="E326" s="44"/>
      <c r="F326" s="44"/>
      <c r="G326" s="44"/>
      <c r="H326" s="44"/>
      <c r="I326" s="44"/>
      <c r="J326" s="44"/>
      <c r="K326" s="44"/>
      <c r="L326" s="44"/>
      <c r="M326" s="44"/>
      <c r="N326" s="44"/>
      <c r="O326" s="44"/>
      <c r="P326" s="44"/>
      <c r="Q326" s="44"/>
      <c r="R326" s="44"/>
      <c r="S326" s="44"/>
      <c r="T326" s="44"/>
    </row>
    <row r="327" spans="2:20" x14ac:dyDescent="0.3">
      <c r="B327" s="44"/>
      <c r="C327" s="44"/>
      <c r="D327" s="44"/>
      <c r="E327" s="44"/>
      <c r="F327" s="44"/>
      <c r="G327" s="44"/>
      <c r="H327" s="44"/>
      <c r="I327" s="44"/>
      <c r="J327" s="44"/>
      <c r="K327" s="44"/>
      <c r="L327" s="44"/>
      <c r="M327" s="44"/>
      <c r="N327" s="44"/>
      <c r="O327" s="44"/>
      <c r="P327" s="44"/>
      <c r="Q327" s="44"/>
      <c r="R327" s="44"/>
      <c r="S327" s="44"/>
      <c r="T327" s="44"/>
    </row>
    <row r="328" spans="2:20" x14ac:dyDescent="0.3">
      <c r="B328" s="44"/>
      <c r="C328" s="44"/>
      <c r="D328" s="44"/>
      <c r="E328" s="44"/>
      <c r="F328" s="44"/>
      <c r="G328" s="44"/>
      <c r="H328" s="44"/>
      <c r="I328" s="44"/>
      <c r="J328" s="44"/>
      <c r="K328" s="44"/>
      <c r="L328" s="44"/>
      <c r="M328" s="44"/>
      <c r="N328" s="44"/>
      <c r="O328" s="44"/>
      <c r="P328" s="44"/>
      <c r="Q328" s="44"/>
      <c r="R328" s="44"/>
      <c r="S328" s="44"/>
      <c r="T328" s="44"/>
    </row>
    <row r="329" spans="2:20" x14ac:dyDescent="0.3">
      <c r="B329" s="44"/>
      <c r="C329" s="44"/>
      <c r="D329" s="44"/>
      <c r="E329" s="44"/>
      <c r="F329" s="44"/>
      <c r="G329" s="44"/>
      <c r="H329" s="44"/>
      <c r="I329" s="44"/>
      <c r="J329" s="44"/>
      <c r="K329" s="44"/>
      <c r="L329" s="44"/>
      <c r="M329" s="44"/>
      <c r="N329" s="44"/>
      <c r="O329" s="44"/>
      <c r="P329" s="44"/>
      <c r="Q329" s="44"/>
      <c r="R329" s="44"/>
      <c r="S329" s="44"/>
      <c r="T329" s="44"/>
    </row>
    <row r="330" spans="2:20" x14ac:dyDescent="0.3">
      <c r="B330" s="44"/>
      <c r="C330" s="44"/>
      <c r="D330" s="44"/>
      <c r="E330" s="44"/>
      <c r="F330" s="44"/>
      <c r="G330" s="44"/>
      <c r="H330" s="44"/>
      <c r="I330" s="44"/>
      <c r="J330" s="44"/>
      <c r="K330" s="44"/>
      <c r="L330" s="44"/>
      <c r="M330" s="44"/>
      <c r="N330" s="44"/>
      <c r="O330" s="44"/>
      <c r="P330" s="44"/>
      <c r="Q330" s="44"/>
      <c r="R330" s="44"/>
      <c r="S330" s="44"/>
      <c r="T330" s="44"/>
    </row>
    <row r="331" spans="2:20" x14ac:dyDescent="0.3">
      <c r="B331" s="44"/>
      <c r="C331" s="44"/>
      <c r="D331" s="44"/>
      <c r="E331" s="44"/>
      <c r="F331" s="44"/>
      <c r="G331" s="44"/>
      <c r="H331" s="44"/>
      <c r="I331" s="44"/>
      <c r="J331" s="44"/>
      <c r="K331" s="44"/>
      <c r="L331" s="44"/>
      <c r="M331" s="44"/>
      <c r="N331" s="44"/>
      <c r="O331" s="44"/>
      <c r="P331" s="44"/>
      <c r="Q331" s="44"/>
      <c r="R331" s="44"/>
      <c r="S331" s="44"/>
      <c r="T331" s="44"/>
    </row>
    <row r="332" spans="2:20" x14ac:dyDescent="0.3">
      <c r="B332" s="44"/>
      <c r="C332" s="44"/>
      <c r="D332" s="44"/>
      <c r="E332" s="44"/>
      <c r="F332" s="44"/>
      <c r="G332" s="44"/>
      <c r="H332" s="44"/>
      <c r="I332" s="44"/>
      <c r="J332" s="44"/>
      <c r="K332" s="44"/>
      <c r="L332" s="44"/>
      <c r="M332" s="44"/>
      <c r="N332" s="44"/>
      <c r="O332" s="44"/>
      <c r="P332" s="44"/>
      <c r="Q332" s="44"/>
      <c r="R332" s="44"/>
      <c r="S332" s="44"/>
      <c r="T332" s="44"/>
    </row>
    <row r="333" spans="2:20" x14ac:dyDescent="0.3">
      <c r="B333" s="44"/>
      <c r="C333" s="44"/>
      <c r="D333" s="44"/>
      <c r="E333" s="44"/>
      <c r="F333" s="44"/>
      <c r="G333" s="44"/>
      <c r="H333" s="44"/>
      <c r="I333" s="44"/>
      <c r="J333" s="44"/>
      <c r="K333" s="44"/>
      <c r="L333" s="44"/>
      <c r="M333" s="44"/>
      <c r="N333" s="44"/>
      <c r="O333" s="44"/>
      <c r="P333" s="44"/>
      <c r="Q333" s="44"/>
      <c r="R333" s="44"/>
      <c r="S333" s="44"/>
      <c r="T333" s="44"/>
    </row>
    <row r="334" spans="2:20" x14ac:dyDescent="0.3">
      <c r="B334" s="44"/>
      <c r="C334" s="44"/>
      <c r="D334" s="44"/>
      <c r="E334" s="44"/>
      <c r="F334" s="44"/>
      <c r="G334" s="44"/>
      <c r="H334" s="44"/>
      <c r="I334" s="44"/>
      <c r="J334" s="44"/>
      <c r="K334" s="44"/>
      <c r="L334" s="44"/>
      <c r="M334" s="44"/>
      <c r="N334" s="44"/>
      <c r="O334" s="44"/>
      <c r="P334" s="44"/>
      <c r="Q334" s="44"/>
      <c r="R334" s="44"/>
      <c r="S334" s="44"/>
      <c r="T334" s="44"/>
    </row>
    <row r="335" spans="2:20" x14ac:dyDescent="0.3">
      <c r="B335" s="44"/>
      <c r="C335" s="44"/>
      <c r="D335" s="44"/>
      <c r="E335" s="44"/>
      <c r="F335" s="44"/>
      <c r="G335" s="44"/>
      <c r="H335" s="44"/>
      <c r="I335" s="44"/>
      <c r="J335" s="44"/>
      <c r="K335" s="44"/>
      <c r="L335" s="44"/>
      <c r="M335" s="44"/>
      <c r="N335" s="44"/>
      <c r="O335" s="44"/>
      <c r="P335" s="44"/>
      <c r="Q335" s="44"/>
      <c r="R335" s="44"/>
      <c r="S335" s="44"/>
      <c r="T335" s="44"/>
    </row>
    <row r="336" spans="2:20" x14ac:dyDescent="0.3">
      <c r="B336" s="44"/>
      <c r="C336" s="44"/>
      <c r="D336" s="44"/>
      <c r="E336" s="44"/>
      <c r="F336" s="44"/>
      <c r="G336" s="44"/>
      <c r="H336" s="44"/>
      <c r="I336" s="44"/>
      <c r="J336" s="44"/>
      <c r="K336" s="44"/>
      <c r="L336" s="44"/>
      <c r="M336" s="44"/>
      <c r="N336" s="44"/>
      <c r="O336" s="44"/>
      <c r="P336" s="44"/>
      <c r="Q336" s="44"/>
      <c r="R336" s="44"/>
      <c r="S336" s="44"/>
      <c r="T336" s="44"/>
    </row>
    <row r="337" spans="2:20" x14ac:dyDescent="0.3">
      <c r="B337" s="44"/>
      <c r="C337" s="44"/>
      <c r="D337" s="44"/>
      <c r="E337" s="44"/>
      <c r="F337" s="44"/>
      <c r="G337" s="44"/>
      <c r="H337" s="44"/>
      <c r="I337" s="44"/>
      <c r="J337" s="44"/>
      <c r="K337" s="44"/>
      <c r="L337" s="44"/>
      <c r="M337" s="44"/>
      <c r="N337" s="44"/>
      <c r="O337" s="44"/>
      <c r="P337" s="44"/>
      <c r="Q337" s="44"/>
      <c r="R337" s="44"/>
      <c r="S337" s="44"/>
      <c r="T337" s="44"/>
    </row>
    <row r="338" spans="2:20" x14ac:dyDescent="0.3">
      <c r="B338" s="44"/>
      <c r="C338" s="44"/>
      <c r="D338" s="44"/>
      <c r="E338" s="44"/>
      <c r="F338" s="44"/>
      <c r="G338" s="44"/>
      <c r="H338" s="44"/>
      <c r="I338" s="44"/>
      <c r="J338" s="44"/>
      <c r="K338" s="44"/>
      <c r="L338" s="44"/>
      <c r="M338" s="44"/>
      <c r="N338" s="44"/>
      <c r="O338" s="44"/>
      <c r="P338" s="44"/>
      <c r="Q338" s="44"/>
      <c r="R338" s="44"/>
      <c r="S338" s="44"/>
      <c r="T338" s="44"/>
    </row>
    <row r="339" spans="2:20" x14ac:dyDescent="0.3">
      <c r="B339" s="44"/>
      <c r="C339" s="44"/>
      <c r="D339" s="44"/>
      <c r="E339" s="44"/>
      <c r="F339" s="44"/>
      <c r="G339" s="44"/>
      <c r="H339" s="44"/>
      <c r="I339" s="44"/>
      <c r="J339" s="44"/>
      <c r="K339" s="44"/>
      <c r="L339" s="44"/>
      <c r="M339" s="44"/>
      <c r="N339" s="44"/>
      <c r="O339" s="44"/>
      <c r="P339" s="44"/>
      <c r="Q339" s="44"/>
      <c r="R339" s="44"/>
      <c r="S339" s="44"/>
      <c r="T339" s="44"/>
    </row>
    <row r="340" spans="2:20" x14ac:dyDescent="0.3">
      <c r="B340" s="44"/>
      <c r="C340" s="44"/>
      <c r="D340" s="44"/>
      <c r="E340" s="44"/>
      <c r="F340" s="44"/>
      <c r="G340" s="44"/>
      <c r="H340" s="44"/>
      <c r="I340" s="44"/>
      <c r="J340" s="44"/>
      <c r="K340" s="44"/>
      <c r="L340" s="44"/>
      <c r="M340" s="44"/>
      <c r="N340" s="44"/>
      <c r="O340" s="44"/>
      <c r="P340" s="44"/>
      <c r="Q340" s="44"/>
      <c r="R340" s="44"/>
      <c r="S340" s="44"/>
      <c r="T340" s="44"/>
    </row>
    <row r="341" spans="2:20" x14ac:dyDescent="0.3">
      <c r="B341" s="44"/>
      <c r="C341" s="44"/>
      <c r="D341" s="44"/>
      <c r="E341" s="44"/>
      <c r="F341" s="44"/>
      <c r="G341" s="44"/>
      <c r="H341" s="44"/>
      <c r="I341" s="44"/>
      <c r="J341" s="44"/>
      <c r="K341" s="44"/>
      <c r="L341" s="44"/>
      <c r="M341" s="44"/>
      <c r="N341" s="44"/>
      <c r="O341" s="44"/>
      <c r="P341" s="44"/>
      <c r="Q341" s="44"/>
      <c r="R341" s="44"/>
      <c r="S341" s="44"/>
      <c r="T341" s="44"/>
    </row>
    <row r="342" spans="2:20" x14ac:dyDescent="0.3">
      <c r="B342" s="44"/>
      <c r="C342" s="44"/>
      <c r="D342" s="44"/>
      <c r="E342" s="44"/>
      <c r="F342" s="44"/>
      <c r="G342" s="44"/>
      <c r="H342" s="44"/>
      <c r="I342" s="44"/>
      <c r="J342" s="44"/>
      <c r="K342" s="44"/>
      <c r="L342" s="44"/>
      <c r="M342" s="44"/>
      <c r="N342" s="44"/>
      <c r="O342" s="44"/>
      <c r="P342" s="44"/>
      <c r="Q342" s="44"/>
      <c r="R342" s="44"/>
      <c r="S342" s="44"/>
      <c r="T342" s="44"/>
    </row>
    <row r="343" spans="2:20" x14ac:dyDescent="0.3">
      <c r="B343" s="44"/>
      <c r="C343" s="44"/>
      <c r="D343" s="44"/>
      <c r="E343" s="44"/>
      <c r="F343" s="44"/>
      <c r="G343" s="44"/>
      <c r="H343" s="44"/>
      <c r="I343" s="44"/>
      <c r="J343" s="44"/>
      <c r="K343" s="44"/>
      <c r="L343" s="44"/>
      <c r="M343" s="44"/>
      <c r="N343" s="44"/>
      <c r="O343" s="44"/>
      <c r="P343" s="44"/>
      <c r="Q343" s="44"/>
      <c r="R343" s="44"/>
      <c r="S343" s="44"/>
      <c r="T343" s="44"/>
    </row>
  </sheetData>
  <mergeCells count="10">
    <mergeCell ref="A4:U4"/>
    <mergeCell ref="A8:U8"/>
    <mergeCell ref="A18:U18"/>
    <mergeCell ref="A30:U30"/>
    <mergeCell ref="A1:U1"/>
    <mergeCell ref="A2:A3"/>
    <mergeCell ref="B2:F2"/>
    <mergeCell ref="G2:K2"/>
    <mergeCell ref="L2:P2"/>
    <mergeCell ref="Q2:U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1AEA9-FB98-4419-AEDD-2E54ADB93D94}">
  <sheetPr>
    <tabColor rgb="FF0070C0"/>
  </sheetPr>
  <dimension ref="A1:P42"/>
  <sheetViews>
    <sheetView zoomScaleNormal="110" workbookViewId="0">
      <pane xSplit="1" topLeftCell="N1" activePane="topRight" state="frozen"/>
      <selection pane="topRight" activeCell="H6" sqref="H6"/>
    </sheetView>
  </sheetViews>
  <sheetFormatPr defaultRowHeight="14.4" x14ac:dyDescent="0.3"/>
  <cols>
    <col min="1" max="1" width="35.109375" style="43" bestFit="1" customWidth="1"/>
    <col min="2" max="2" width="10" style="43" bestFit="1" customWidth="1"/>
    <col min="3" max="4" width="9.88671875" style="43" bestFit="1" customWidth="1"/>
    <col min="5" max="5" width="10" style="43" bestFit="1" customWidth="1"/>
    <col min="6" max="6" width="10.88671875" style="43" bestFit="1" customWidth="1"/>
    <col min="7" max="10" width="11" style="43" bestFit="1" customWidth="1"/>
    <col min="11" max="16" width="10.88671875" style="43" bestFit="1" customWidth="1"/>
    <col min="17" max="16384" width="8.88671875" style="43"/>
  </cols>
  <sheetData>
    <row r="1" spans="1:16" ht="46.2" customHeight="1" x14ac:dyDescent="0.3">
      <c r="A1" s="551" t="s">
        <v>117</v>
      </c>
      <c r="B1" s="551"/>
      <c r="C1" s="551"/>
      <c r="D1" s="551"/>
      <c r="E1" s="551"/>
      <c r="F1" s="551"/>
      <c r="G1" s="551"/>
      <c r="H1" s="551"/>
      <c r="I1" s="551"/>
      <c r="J1" s="551"/>
      <c r="K1" s="551"/>
      <c r="L1" s="551"/>
      <c r="M1" s="551"/>
      <c r="N1" s="551"/>
      <c r="O1" s="551"/>
      <c r="P1" s="551"/>
    </row>
    <row r="2" spans="1:16" ht="47.4" customHeight="1" x14ac:dyDescent="0.3">
      <c r="A2" s="549" t="s">
        <v>20</v>
      </c>
      <c r="B2" s="550" t="e" vm="6">
        <v>#VALUE!</v>
      </c>
      <c r="C2" s="550"/>
      <c r="D2" s="550"/>
      <c r="E2" s="550"/>
      <c r="F2" s="550"/>
      <c r="G2" s="550" t="e" vm="5">
        <v>#VALUE!</v>
      </c>
      <c r="H2" s="550"/>
      <c r="I2" s="550"/>
      <c r="J2" s="550"/>
      <c r="K2" s="550"/>
      <c r="L2" s="550" t="e" vm="7">
        <v>#VALUE!</v>
      </c>
      <c r="M2" s="550"/>
      <c r="N2" s="550"/>
      <c r="O2" s="550"/>
      <c r="P2" s="550"/>
    </row>
    <row r="3" spans="1:16" x14ac:dyDescent="0.3">
      <c r="A3" s="549"/>
      <c r="B3" s="13">
        <v>2020</v>
      </c>
      <c r="C3" s="13">
        <v>2021</v>
      </c>
      <c r="D3" s="13">
        <v>2022</v>
      </c>
      <c r="E3" s="13">
        <v>2023</v>
      </c>
      <c r="F3" s="13">
        <v>2024</v>
      </c>
      <c r="G3" s="13">
        <v>2020</v>
      </c>
      <c r="H3" s="13">
        <v>2021</v>
      </c>
      <c r="I3" s="13">
        <v>2022</v>
      </c>
      <c r="J3" s="13">
        <v>2023</v>
      </c>
      <c r="K3" s="13">
        <v>2024</v>
      </c>
      <c r="L3" s="13">
        <v>2020</v>
      </c>
      <c r="M3" s="13">
        <v>2021</v>
      </c>
      <c r="N3" s="13">
        <v>2022</v>
      </c>
      <c r="O3" s="13">
        <v>2023</v>
      </c>
      <c r="P3" s="13">
        <v>2024</v>
      </c>
    </row>
    <row r="4" spans="1:16" x14ac:dyDescent="0.3">
      <c r="A4" s="549" t="s">
        <v>118</v>
      </c>
      <c r="B4" s="549"/>
      <c r="C4" s="549"/>
      <c r="D4" s="549"/>
      <c r="E4" s="549"/>
      <c r="F4" s="549"/>
      <c r="G4" s="549"/>
      <c r="H4" s="549"/>
      <c r="I4" s="549"/>
      <c r="J4" s="549"/>
      <c r="K4" s="549"/>
      <c r="L4" s="549"/>
      <c r="M4" s="549"/>
      <c r="N4" s="549"/>
      <c r="O4" s="549"/>
      <c r="P4" s="549"/>
    </row>
    <row r="5" spans="1:16" x14ac:dyDescent="0.3">
      <c r="A5" s="547" t="s">
        <v>145</v>
      </c>
      <c r="B5" s="547"/>
      <c r="C5" s="547"/>
      <c r="D5" s="547"/>
      <c r="E5" s="547"/>
      <c r="F5" s="547"/>
      <c r="G5" s="547"/>
      <c r="H5" s="547"/>
      <c r="I5" s="547"/>
      <c r="J5" s="547"/>
      <c r="K5" s="547"/>
      <c r="L5" s="547"/>
      <c r="M5" s="547"/>
      <c r="N5" s="547"/>
      <c r="O5" s="547"/>
      <c r="P5" s="547"/>
    </row>
    <row r="6" spans="1:16" x14ac:dyDescent="0.3">
      <c r="A6" s="46" t="s">
        <v>146</v>
      </c>
      <c r="B6" s="47">
        <v>2303.08</v>
      </c>
      <c r="C6" s="47">
        <v>2877.43</v>
      </c>
      <c r="D6" s="47">
        <v>3481.75</v>
      </c>
      <c r="E6" s="47">
        <v>5269.24</v>
      </c>
      <c r="F6" s="47">
        <v>7202.36</v>
      </c>
      <c r="G6" s="47">
        <v>22970.39</v>
      </c>
      <c r="H6" s="47">
        <v>23303.38</v>
      </c>
      <c r="I6" s="47">
        <v>27269.759999999998</v>
      </c>
      <c r="J6" s="47">
        <v>35548.57</v>
      </c>
      <c r="K6" s="47">
        <v>48306.6</v>
      </c>
      <c r="L6" s="47">
        <v>94177.36</v>
      </c>
      <c r="M6" s="47">
        <v>112102.79</v>
      </c>
      <c r="N6" s="47">
        <v>119251.52</v>
      </c>
      <c r="O6" s="47">
        <v>115555.35</v>
      </c>
      <c r="P6" s="47">
        <v>145457.01</v>
      </c>
    </row>
    <row r="7" spans="1:16" x14ac:dyDescent="0.3">
      <c r="A7" s="46" t="s">
        <v>147</v>
      </c>
      <c r="B7" s="47">
        <v>100.08</v>
      </c>
      <c r="C7" s="47">
        <v>74.62</v>
      </c>
      <c r="D7" s="47">
        <v>81.849999999999994</v>
      </c>
      <c r="E7" s="47">
        <v>86.22</v>
      </c>
      <c r="F7" s="47">
        <v>138.22999999999999</v>
      </c>
      <c r="G7" s="47">
        <v>2590.9499999999998</v>
      </c>
      <c r="H7" s="47">
        <v>2452.39</v>
      </c>
      <c r="I7" s="47">
        <v>3066.69</v>
      </c>
      <c r="J7" s="47">
        <v>4355.63</v>
      </c>
      <c r="K7" s="47">
        <v>5267.17</v>
      </c>
      <c r="L7" s="47">
        <v>9.19</v>
      </c>
      <c r="M7" s="47">
        <v>0.13</v>
      </c>
      <c r="N7" s="47">
        <v>0.09</v>
      </c>
      <c r="O7" s="47">
        <v>9.41</v>
      </c>
      <c r="P7" s="47">
        <v>48.1</v>
      </c>
    </row>
    <row r="8" spans="1:16" x14ac:dyDescent="0.3">
      <c r="A8" s="46" t="s">
        <v>148</v>
      </c>
      <c r="B8" s="47">
        <v>73.709999999999994</v>
      </c>
      <c r="C8" s="47">
        <v>59.85</v>
      </c>
      <c r="D8" s="47">
        <v>58.97</v>
      </c>
      <c r="E8" s="47">
        <v>112.04</v>
      </c>
      <c r="F8" s="47">
        <v>133.19999999999999</v>
      </c>
      <c r="G8" s="47">
        <v>537.49</v>
      </c>
      <c r="H8" s="47">
        <v>591.22</v>
      </c>
      <c r="I8" s="47">
        <v>327.74</v>
      </c>
      <c r="J8" s="47">
        <v>334.32</v>
      </c>
      <c r="K8" s="47">
        <v>308.29000000000002</v>
      </c>
      <c r="L8" s="47">
        <v>739.79</v>
      </c>
      <c r="M8" s="47">
        <v>1648.37</v>
      </c>
      <c r="N8" s="47">
        <v>488.74</v>
      </c>
      <c r="O8" s="47">
        <v>524.14</v>
      </c>
      <c r="P8" s="47">
        <v>640.05999999999995</v>
      </c>
    </row>
    <row r="9" spans="1:16" x14ac:dyDescent="0.3">
      <c r="A9" s="46" t="s">
        <v>149</v>
      </c>
      <c r="B9" s="47">
        <v>169.15</v>
      </c>
      <c r="C9" s="47">
        <v>142.15</v>
      </c>
      <c r="D9" s="47">
        <v>142.02000000000001</v>
      </c>
      <c r="E9" s="47">
        <v>50.29</v>
      </c>
      <c r="F9" s="47">
        <v>52.48</v>
      </c>
      <c r="G9" s="47">
        <v>124.27</v>
      </c>
      <c r="H9" s="47">
        <v>157.53</v>
      </c>
      <c r="I9" s="47">
        <v>74.959999999999994</v>
      </c>
      <c r="J9" s="47">
        <v>38.18</v>
      </c>
      <c r="K9" s="47">
        <v>49.97</v>
      </c>
      <c r="L9" s="47">
        <v>191.14</v>
      </c>
      <c r="M9" s="47">
        <v>120.33</v>
      </c>
      <c r="N9" s="47">
        <v>139.69</v>
      </c>
      <c r="O9" s="47">
        <v>90.7</v>
      </c>
      <c r="P9" s="47">
        <v>88.87</v>
      </c>
    </row>
    <row r="10" spans="1:16" x14ac:dyDescent="0.3">
      <c r="A10" s="46" t="s">
        <v>167</v>
      </c>
      <c r="B10" s="47">
        <v>0</v>
      </c>
      <c r="C10" s="47">
        <v>0</v>
      </c>
      <c r="D10" s="47">
        <v>0</v>
      </c>
      <c r="E10" s="47">
        <v>134.80000000000001</v>
      </c>
      <c r="F10" s="47">
        <v>53.08</v>
      </c>
      <c r="G10" s="47">
        <v>0</v>
      </c>
      <c r="H10" s="47">
        <v>0</v>
      </c>
      <c r="I10" s="47">
        <v>0</v>
      </c>
      <c r="J10" s="47">
        <v>23.17</v>
      </c>
      <c r="K10" s="47">
        <v>13.33</v>
      </c>
      <c r="L10" s="47">
        <v>779.3</v>
      </c>
      <c r="M10" s="47">
        <v>487.93</v>
      </c>
      <c r="N10" s="47">
        <v>847.74</v>
      </c>
      <c r="O10" s="47">
        <v>1403.12</v>
      </c>
      <c r="P10" s="47">
        <v>1723.34</v>
      </c>
    </row>
    <row r="11" spans="1:16" x14ac:dyDescent="0.3">
      <c r="A11" s="46" t="s">
        <v>150</v>
      </c>
      <c r="B11" s="47">
        <v>0</v>
      </c>
      <c r="C11" s="47">
        <v>0.65</v>
      </c>
      <c r="D11" s="47">
        <v>2.0699999999999998</v>
      </c>
      <c r="E11" s="47">
        <v>12.14</v>
      </c>
      <c r="F11" s="47">
        <v>37.96</v>
      </c>
      <c r="G11" s="47">
        <v>150.69999999999999</v>
      </c>
      <c r="H11" s="47">
        <v>163.58000000000001</v>
      </c>
      <c r="I11" s="47">
        <v>893.27</v>
      </c>
      <c r="J11" s="47">
        <v>1110.29</v>
      </c>
      <c r="K11" s="47">
        <v>1024.1300000000001</v>
      </c>
      <c r="L11" s="47">
        <v>943.02</v>
      </c>
      <c r="M11" s="47">
        <v>986.08</v>
      </c>
      <c r="N11" s="47">
        <v>1121.31</v>
      </c>
      <c r="O11" s="47">
        <v>1393.91</v>
      </c>
      <c r="P11" s="47">
        <v>2659.19</v>
      </c>
    </row>
    <row r="12" spans="1:16" x14ac:dyDescent="0.3">
      <c r="A12" s="48" t="s">
        <v>151</v>
      </c>
      <c r="B12" s="22">
        <f>SUM(B6:B11)</f>
        <v>2646.02</v>
      </c>
      <c r="C12" s="22">
        <f t="shared" ref="C12:P12" si="0">SUM(C5:C11)</f>
        <v>3154.7</v>
      </c>
      <c r="D12" s="22">
        <f t="shared" si="0"/>
        <v>3766.66</v>
      </c>
      <c r="E12" s="22">
        <f t="shared" si="0"/>
        <v>5664.7300000000005</v>
      </c>
      <c r="F12" s="22">
        <f t="shared" si="0"/>
        <v>7617.3099999999986</v>
      </c>
      <c r="G12" s="22">
        <f t="shared" si="0"/>
        <v>26373.800000000003</v>
      </c>
      <c r="H12" s="22">
        <f t="shared" si="0"/>
        <v>26668.100000000002</v>
      </c>
      <c r="I12" s="22">
        <f t="shared" si="0"/>
        <v>31632.42</v>
      </c>
      <c r="J12" s="22">
        <f t="shared" si="0"/>
        <v>41410.159999999996</v>
      </c>
      <c r="K12" s="22">
        <f t="shared" si="0"/>
        <v>54969.49</v>
      </c>
      <c r="L12" s="22">
        <f t="shared" si="0"/>
        <v>96839.8</v>
      </c>
      <c r="M12" s="22">
        <f t="shared" si="0"/>
        <v>115345.62999999999</v>
      </c>
      <c r="N12" s="22">
        <f t="shared" si="0"/>
        <v>121849.09000000001</v>
      </c>
      <c r="O12" s="22">
        <f t="shared" si="0"/>
        <v>118976.63</v>
      </c>
      <c r="P12" s="22">
        <f t="shared" si="0"/>
        <v>150616.57</v>
      </c>
    </row>
    <row r="13" spans="1:16" x14ac:dyDescent="0.3">
      <c r="A13" s="46" t="s">
        <v>152</v>
      </c>
      <c r="B13" s="23">
        <v>0.21</v>
      </c>
      <c r="C13" s="23">
        <v>0.57999999999999996</v>
      </c>
      <c r="D13" s="23">
        <v>0.47</v>
      </c>
      <c r="E13" s="23">
        <v>0.71</v>
      </c>
      <c r="F13" s="23">
        <v>0.4</v>
      </c>
      <c r="G13" s="47">
        <v>11.83</v>
      </c>
      <c r="H13" s="47">
        <v>14.95</v>
      </c>
      <c r="I13" s="47">
        <v>7.99</v>
      </c>
      <c r="J13" s="47">
        <v>8.1</v>
      </c>
      <c r="K13" s="47">
        <v>13.02</v>
      </c>
      <c r="L13" s="47">
        <v>232.87</v>
      </c>
      <c r="M13" s="47">
        <v>356.33</v>
      </c>
      <c r="N13" s="47">
        <v>525.54</v>
      </c>
      <c r="O13" s="47">
        <v>773.42</v>
      </c>
      <c r="P13" s="47">
        <v>1010.85</v>
      </c>
    </row>
    <row r="14" spans="1:16" x14ac:dyDescent="0.3">
      <c r="A14" s="48" t="s">
        <v>153</v>
      </c>
      <c r="B14" s="22">
        <f t="shared" ref="B14:P14" si="1">B12+B13</f>
        <v>2646.23</v>
      </c>
      <c r="C14" s="22">
        <f t="shared" si="1"/>
        <v>3155.2799999999997</v>
      </c>
      <c r="D14" s="22">
        <f t="shared" si="1"/>
        <v>3767.1299999999997</v>
      </c>
      <c r="E14" s="22">
        <f t="shared" si="1"/>
        <v>5665.4400000000005</v>
      </c>
      <c r="F14" s="22">
        <f t="shared" si="1"/>
        <v>7617.7099999999982</v>
      </c>
      <c r="G14" s="22">
        <f t="shared" si="1"/>
        <v>26385.630000000005</v>
      </c>
      <c r="H14" s="22">
        <f t="shared" si="1"/>
        <v>26683.050000000003</v>
      </c>
      <c r="I14" s="22">
        <f t="shared" si="1"/>
        <v>31640.41</v>
      </c>
      <c r="J14" s="22">
        <f t="shared" si="1"/>
        <v>41418.259999999995</v>
      </c>
      <c r="K14" s="22">
        <f t="shared" si="1"/>
        <v>54982.509999999995</v>
      </c>
      <c r="L14" s="22">
        <f t="shared" si="1"/>
        <v>97072.67</v>
      </c>
      <c r="M14" s="22">
        <f t="shared" si="1"/>
        <v>115701.95999999999</v>
      </c>
      <c r="N14" s="22">
        <f t="shared" si="1"/>
        <v>122374.63</v>
      </c>
      <c r="O14" s="22">
        <f t="shared" si="1"/>
        <v>119750.05</v>
      </c>
      <c r="P14" s="22">
        <f t="shared" si="1"/>
        <v>151627.42000000001</v>
      </c>
    </row>
    <row r="15" spans="1:16" x14ac:dyDescent="0.3">
      <c r="A15" s="46"/>
      <c r="B15" s="47"/>
      <c r="C15" s="47"/>
      <c r="D15" s="47"/>
      <c r="E15" s="47"/>
      <c r="F15" s="47"/>
      <c r="G15" s="47"/>
      <c r="H15" s="47"/>
      <c r="I15" s="47"/>
      <c r="J15" s="47"/>
      <c r="K15" s="47"/>
      <c r="L15" s="47"/>
      <c r="M15" s="47"/>
      <c r="N15" s="47"/>
      <c r="O15" s="47"/>
      <c r="P15" s="47"/>
    </row>
    <row r="16" spans="1:16" x14ac:dyDescent="0.3">
      <c r="A16" s="547" t="s">
        <v>154</v>
      </c>
      <c r="B16" s="547"/>
      <c r="C16" s="547"/>
      <c r="D16" s="547"/>
      <c r="E16" s="547"/>
      <c r="F16" s="547"/>
      <c r="G16" s="547"/>
      <c r="H16" s="547"/>
      <c r="I16" s="547"/>
      <c r="J16" s="547"/>
      <c r="K16" s="547"/>
      <c r="L16" s="547"/>
      <c r="M16" s="547"/>
      <c r="N16" s="547"/>
      <c r="O16" s="547"/>
      <c r="P16" s="547"/>
    </row>
    <row r="17" spans="1:16" x14ac:dyDescent="0.3">
      <c r="A17" s="46" t="s">
        <v>155</v>
      </c>
      <c r="B17" s="47">
        <v>1616.03</v>
      </c>
      <c r="C17" s="47">
        <v>1965.87</v>
      </c>
      <c r="D17" s="47">
        <v>2155.31</v>
      </c>
      <c r="E17" s="47">
        <v>3211.32</v>
      </c>
      <c r="F17" s="47">
        <v>4692.6099999999997</v>
      </c>
      <c r="G17" s="47">
        <v>9473.2099999999991</v>
      </c>
      <c r="H17" s="47">
        <v>9414</v>
      </c>
      <c r="I17" s="47">
        <v>9748.24</v>
      </c>
      <c r="J17" s="47">
        <v>12559.89</v>
      </c>
      <c r="K17" s="47">
        <v>18724.689999999999</v>
      </c>
      <c r="L17" s="47">
        <v>31728.400000000001</v>
      </c>
      <c r="M17" s="47">
        <v>40999.29</v>
      </c>
      <c r="N17" s="47">
        <v>42558.52</v>
      </c>
      <c r="O17" s="47">
        <v>42091.78</v>
      </c>
      <c r="P17" s="47">
        <v>54300.78</v>
      </c>
    </row>
    <row r="18" spans="1:16" x14ac:dyDescent="0.3">
      <c r="A18" s="46" t="s">
        <v>156</v>
      </c>
      <c r="B18" s="47">
        <v>1.3</v>
      </c>
      <c r="C18" s="47">
        <v>1.33</v>
      </c>
      <c r="D18" s="47">
        <v>4.68</v>
      </c>
      <c r="E18" s="47">
        <v>14.03</v>
      </c>
      <c r="F18" s="47">
        <v>11.71</v>
      </c>
      <c r="G18" s="47">
        <v>1056.3699999999999</v>
      </c>
      <c r="H18" s="47">
        <v>1246.48</v>
      </c>
      <c r="I18" s="47">
        <v>1745.55</v>
      </c>
      <c r="J18" s="47">
        <v>1891.47</v>
      </c>
      <c r="K18" s="47">
        <v>1931.5</v>
      </c>
      <c r="L18" s="47">
        <v>0</v>
      </c>
      <c r="M18" s="47">
        <v>32.479999999999997</v>
      </c>
      <c r="N18" s="47">
        <v>35.19</v>
      </c>
      <c r="O18" s="47"/>
      <c r="P18" s="47"/>
    </row>
    <row r="19" spans="1:16" x14ac:dyDescent="0.3">
      <c r="A19" s="46" t="s">
        <v>157</v>
      </c>
      <c r="B19" s="47">
        <v>124.33</v>
      </c>
      <c r="C19" s="47">
        <v>247.21</v>
      </c>
      <c r="D19" s="47">
        <v>181.07</v>
      </c>
      <c r="E19" s="47">
        <v>123.5</v>
      </c>
      <c r="F19" s="47">
        <v>60.88</v>
      </c>
      <c r="G19" s="47">
        <v>3929.48</v>
      </c>
      <c r="H19" s="47">
        <v>5968.58</v>
      </c>
      <c r="I19" s="47">
        <v>4803.3999999999996</v>
      </c>
      <c r="J19" s="47">
        <v>3189.65</v>
      </c>
      <c r="K19" s="47">
        <v>4630.7</v>
      </c>
      <c r="L19" s="47">
        <v>1870.8</v>
      </c>
      <c r="M19" s="47">
        <v>2552.15</v>
      </c>
      <c r="N19" s="47">
        <v>3835.21</v>
      </c>
      <c r="O19" s="47">
        <v>2432.2199999999998</v>
      </c>
      <c r="P19" s="47">
        <v>5538.21</v>
      </c>
    </row>
    <row r="20" spans="1:16" x14ac:dyDescent="0.3">
      <c r="A20" s="46" t="s">
        <v>158</v>
      </c>
      <c r="B20" s="47">
        <v>248.51</v>
      </c>
      <c r="C20" s="47">
        <v>245.76</v>
      </c>
      <c r="D20" s="47">
        <v>348.8</v>
      </c>
      <c r="E20" s="47">
        <v>435.14</v>
      </c>
      <c r="F20" s="47">
        <v>465.63</v>
      </c>
      <c r="G20" s="47">
        <v>2549.08</v>
      </c>
      <c r="H20" s="47">
        <v>2498.67</v>
      </c>
      <c r="I20" s="47">
        <v>3589.66</v>
      </c>
      <c r="J20" s="47">
        <v>5100.1899999999996</v>
      </c>
      <c r="K20" s="47">
        <v>6396.01</v>
      </c>
      <c r="L20" s="47">
        <v>12084.9</v>
      </c>
      <c r="M20" s="47">
        <v>11892.72</v>
      </c>
      <c r="N20" s="47">
        <v>12394.8</v>
      </c>
      <c r="O20" s="47">
        <v>14882.68</v>
      </c>
      <c r="P20" s="47">
        <v>18282.060000000001</v>
      </c>
    </row>
    <row r="21" spans="1:16" x14ac:dyDescent="0.3">
      <c r="A21" s="46" t="s">
        <v>159</v>
      </c>
      <c r="B21" s="47">
        <v>23.14</v>
      </c>
      <c r="C21" s="47">
        <v>21.77</v>
      </c>
      <c r="D21" s="47">
        <v>25.76</v>
      </c>
      <c r="E21" s="47">
        <v>33.4</v>
      </c>
      <c r="F21" s="47">
        <v>39.6</v>
      </c>
      <c r="G21" s="47">
        <v>294.63</v>
      </c>
      <c r="H21" s="47">
        <v>325.27</v>
      </c>
      <c r="I21" s="47">
        <v>384.57</v>
      </c>
      <c r="J21" s="47">
        <v>485.38</v>
      </c>
      <c r="K21" s="47">
        <v>683.32</v>
      </c>
      <c r="L21" s="47">
        <v>592.41999999999996</v>
      </c>
      <c r="M21" s="47">
        <v>673.6</v>
      </c>
      <c r="N21" s="47">
        <v>700.03</v>
      </c>
      <c r="O21" s="47">
        <v>781.61</v>
      </c>
      <c r="P21" s="47">
        <v>921.06</v>
      </c>
    </row>
    <row r="22" spans="1:16" x14ac:dyDescent="0.3">
      <c r="A22" s="46" t="s">
        <v>160</v>
      </c>
      <c r="B22" s="47">
        <v>65.47</v>
      </c>
      <c r="C22" s="47">
        <v>60.16</v>
      </c>
      <c r="D22" s="47">
        <v>91.65</v>
      </c>
      <c r="E22" s="47">
        <v>147.99</v>
      </c>
      <c r="F22" s="47">
        <v>185.96</v>
      </c>
      <c r="G22" s="47">
        <v>1760.74</v>
      </c>
      <c r="H22" s="47">
        <v>1237.79</v>
      </c>
      <c r="I22" s="47">
        <v>1865.21</v>
      </c>
      <c r="J22" s="47">
        <v>2665.49</v>
      </c>
      <c r="K22" s="47">
        <v>3314.36</v>
      </c>
      <c r="L22" s="47">
        <v>8192.24</v>
      </c>
      <c r="M22" s="47">
        <v>8236.92</v>
      </c>
      <c r="N22" s="47">
        <v>8749</v>
      </c>
      <c r="O22" s="47">
        <v>10333.959999999999</v>
      </c>
      <c r="P22" s="47">
        <v>12620.27</v>
      </c>
    </row>
    <row r="23" spans="1:16" x14ac:dyDescent="0.3">
      <c r="A23" s="48" t="s">
        <v>161</v>
      </c>
      <c r="B23" s="22">
        <f t="shared" ref="B23:P23" si="2">SUM(B17:B22)</f>
        <v>2078.7799999999997</v>
      </c>
      <c r="C23" s="22">
        <f t="shared" si="2"/>
        <v>2542.1</v>
      </c>
      <c r="D23" s="22">
        <f t="shared" si="2"/>
        <v>2807.2700000000004</v>
      </c>
      <c r="E23" s="22">
        <f t="shared" si="2"/>
        <v>3965.38</v>
      </c>
      <c r="F23" s="22">
        <f t="shared" si="2"/>
        <v>5456.39</v>
      </c>
      <c r="G23" s="22">
        <f t="shared" si="2"/>
        <v>19063.510000000002</v>
      </c>
      <c r="H23" s="22">
        <f t="shared" si="2"/>
        <v>20690.789999999997</v>
      </c>
      <c r="I23" s="22">
        <f t="shared" si="2"/>
        <v>22136.629999999997</v>
      </c>
      <c r="J23" s="22">
        <f t="shared" si="2"/>
        <v>25892.07</v>
      </c>
      <c r="K23" s="22">
        <f t="shared" si="2"/>
        <v>35680.58</v>
      </c>
      <c r="L23" s="22">
        <f t="shared" si="2"/>
        <v>54468.76</v>
      </c>
      <c r="M23" s="22">
        <f t="shared" si="2"/>
        <v>64387.16</v>
      </c>
      <c r="N23" s="22">
        <f t="shared" si="2"/>
        <v>68272.75</v>
      </c>
      <c r="O23" s="22">
        <f t="shared" si="2"/>
        <v>70522.25</v>
      </c>
      <c r="P23" s="22">
        <f t="shared" si="2"/>
        <v>91662.38</v>
      </c>
    </row>
    <row r="24" spans="1:16" x14ac:dyDescent="0.3">
      <c r="A24" s="46" t="s">
        <v>168</v>
      </c>
      <c r="B24" s="47">
        <v>0</v>
      </c>
      <c r="C24" s="47">
        <v>0</v>
      </c>
      <c r="D24" s="47">
        <v>0</v>
      </c>
      <c r="E24" s="47">
        <v>0</v>
      </c>
      <c r="F24" s="47">
        <v>0</v>
      </c>
      <c r="G24" s="47">
        <v>0</v>
      </c>
      <c r="H24" s="47">
        <v>0</v>
      </c>
      <c r="I24" s="47">
        <v>0</v>
      </c>
      <c r="J24" s="47">
        <v>1.67</v>
      </c>
      <c r="K24" s="47">
        <v>7.64</v>
      </c>
      <c r="L24" s="47">
        <v>0</v>
      </c>
      <c r="M24" s="47">
        <v>0</v>
      </c>
      <c r="N24" s="47">
        <v>0</v>
      </c>
      <c r="O24" s="47">
        <v>0</v>
      </c>
      <c r="P24" s="47">
        <v>0</v>
      </c>
    </row>
    <row r="25" spans="1:16" x14ac:dyDescent="0.3">
      <c r="A25" s="48" t="s">
        <v>169</v>
      </c>
      <c r="B25" s="22">
        <f t="shared" ref="B25:P25" si="3">B14-B23+B24</f>
        <v>567.45000000000027</v>
      </c>
      <c r="C25" s="22">
        <f t="shared" si="3"/>
        <v>613.17999999999984</v>
      </c>
      <c r="D25" s="22">
        <f t="shared" si="3"/>
        <v>959.85999999999922</v>
      </c>
      <c r="E25" s="22">
        <f t="shared" si="3"/>
        <v>1700.0600000000004</v>
      </c>
      <c r="F25" s="22">
        <f t="shared" si="3"/>
        <v>2161.3199999999979</v>
      </c>
      <c r="G25" s="22">
        <f t="shared" si="3"/>
        <v>7322.1200000000026</v>
      </c>
      <c r="H25" s="22">
        <f t="shared" si="3"/>
        <v>5992.2600000000057</v>
      </c>
      <c r="I25" s="22">
        <f t="shared" si="3"/>
        <v>9503.7800000000025</v>
      </c>
      <c r="J25" s="22">
        <f t="shared" si="3"/>
        <v>15527.859999999995</v>
      </c>
      <c r="K25" s="22">
        <f t="shared" si="3"/>
        <v>19309.569999999992</v>
      </c>
      <c r="L25" s="22">
        <f t="shared" si="3"/>
        <v>42603.909999999996</v>
      </c>
      <c r="M25" s="22">
        <f t="shared" si="3"/>
        <v>51314.799999999988</v>
      </c>
      <c r="N25" s="22">
        <f t="shared" si="3"/>
        <v>54101.880000000005</v>
      </c>
      <c r="O25" s="22">
        <f t="shared" si="3"/>
        <v>49227.8</v>
      </c>
      <c r="P25" s="22">
        <f t="shared" si="3"/>
        <v>59965.040000000008</v>
      </c>
    </row>
    <row r="26" spans="1:16" x14ac:dyDescent="0.3">
      <c r="A26" s="46" t="s">
        <v>170</v>
      </c>
      <c r="B26" s="47">
        <v>0</v>
      </c>
      <c r="C26" s="47"/>
      <c r="D26" s="47"/>
      <c r="E26" s="47"/>
      <c r="F26" s="47"/>
      <c r="G26" s="47">
        <v>0</v>
      </c>
      <c r="H26" s="47">
        <v>0</v>
      </c>
      <c r="I26" s="47">
        <v>0</v>
      </c>
      <c r="J26" s="47">
        <v>0</v>
      </c>
      <c r="K26" s="47">
        <v>0</v>
      </c>
      <c r="L26" s="47">
        <v>0</v>
      </c>
      <c r="M26" s="47">
        <v>0</v>
      </c>
      <c r="N26" s="47">
        <v>0</v>
      </c>
      <c r="O26" s="47">
        <v>0</v>
      </c>
      <c r="P26" s="47">
        <v>0</v>
      </c>
    </row>
    <row r="27" spans="1:16" x14ac:dyDescent="0.3">
      <c r="A27" s="547" t="s">
        <v>162</v>
      </c>
      <c r="B27" s="547"/>
      <c r="C27" s="547"/>
      <c r="D27" s="547"/>
      <c r="E27" s="547"/>
      <c r="F27" s="547"/>
      <c r="G27" s="547"/>
      <c r="H27" s="547"/>
      <c r="I27" s="547"/>
      <c r="J27" s="547"/>
      <c r="K27" s="547"/>
      <c r="L27" s="547"/>
      <c r="M27" s="547"/>
      <c r="N27" s="547"/>
      <c r="O27" s="547"/>
      <c r="P27" s="547"/>
    </row>
    <row r="28" spans="1:16" x14ac:dyDescent="0.3">
      <c r="A28" s="46" t="s">
        <v>163</v>
      </c>
      <c r="B28" s="47">
        <v>126.1</v>
      </c>
      <c r="C28" s="47">
        <v>187</v>
      </c>
      <c r="D28" s="47">
        <v>250.4</v>
      </c>
      <c r="E28" s="47">
        <v>399.8</v>
      </c>
      <c r="F28" s="47">
        <v>509</v>
      </c>
      <c r="G28" s="47">
        <v>2205.25</v>
      </c>
      <c r="H28" s="47">
        <v>1660.26</v>
      </c>
      <c r="I28" s="47">
        <v>2497.4499999999998</v>
      </c>
      <c r="J28" s="47">
        <v>3998.18</v>
      </c>
      <c r="K28" s="47">
        <v>4957.72</v>
      </c>
      <c r="L28" s="47">
        <v>10779.28</v>
      </c>
      <c r="M28" s="47">
        <v>13359.62</v>
      </c>
      <c r="N28" s="47">
        <v>14110.96</v>
      </c>
      <c r="O28" s="47">
        <v>12341.19</v>
      </c>
      <c r="P28" s="47">
        <v>15807.24</v>
      </c>
    </row>
    <row r="29" spans="1:16" x14ac:dyDescent="0.3">
      <c r="A29" s="46" t="s">
        <v>164</v>
      </c>
      <c r="B29" s="47">
        <v>20.02</v>
      </c>
      <c r="C29" s="47">
        <v>-27.01</v>
      </c>
      <c r="D29" s="47">
        <v>-0.16</v>
      </c>
      <c r="E29" s="47">
        <v>42.46</v>
      </c>
      <c r="F29" s="47">
        <v>-78.900000000000006</v>
      </c>
      <c r="G29" s="47">
        <v>-146.88</v>
      </c>
      <c r="H29" s="47">
        <v>-87.82</v>
      </c>
      <c r="I29" s="47">
        <v>-21.9</v>
      </c>
      <c r="J29" s="47">
        <v>21.99</v>
      </c>
      <c r="K29" s="47">
        <v>-99.32</v>
      </c>
      <c r="L29" s="47">
        <v>137.32</v>
      </c>
      <c r="M29" s="47">
        <v>-225.02</v>
      </c>
      <c r="N29" s="47">
        <v>-315.12</v>
      </c>
      <c r="O29" s="47">
        <v>294.47000000000003</v>
      </c>
      <c r="P29" s="47">
        <v>-512.29999999999995</v>
      </c>
    </row>
    <row r="30" spans="1:16" x14ac:dyDescent="0.3">
      <c r="A30" s="46" t="s">
        <v>172</v>
      </c>
      <c r="B30" s="47"/>
      <c r="C30" s="47"/>
      <c r="D30" s="47"/>
      <c r="E30" s="47"/>
      <c r="F30" s="47"/>
      <c r="G30" s="47"/>
      <c r="H30" s="47"/>
      <c r="I30" s="47"/>
      <c r="J30" s="47"/>
      <c r="K30" s="47"/>
      <c r="L30" s="47">
        <v>0.5</v>
      </c>
      <c r="M30" s="47">
        <v>-8.5</v>
      </c>
      <c r="N30" s="47">
        <v>-7.2</v>
      </c>
      <c r="O30" s="47">
        <v>-105.52</v>
      </c>
      <c r="P30" s="47">
        <v>-5.84</v>
      </c>
    </row>
    <row r="31" spans="1:16" x14ac:dyDescent="0.3">
      <c r="A31" s="48" t="s">
        <v>165</v>
      </c>
      <c r="B31" s="22">
        <f>B28+B29</f>
        <v>146.12</v>
      </c>
      <c r="C31" s="22">
        <f t="shared" ref="C31:K31" si="4">C28+C29</f>
        <v>159.99</v>
      </c>
      <c r="D31" s="22">
        <f t="shared" si="4"/>
        <v>250.24</v>
      </c>
      <c r="E31" s="22">
        <f t="shared" si="4"/>
        <v>442.26</v>
      </c>
      <c r="F31" s="22">
        <f t="shared" si="4"/>
        <v>430.1</v>
      </c>
      <c r="G31" s="22">
        <f t="shared" si="4"/>
        <v>2058.37</v>
      </c>
      <c r="H31" s="22">
        <f t="shared" si="4"/>
        <v>1572.44</v>
      </c>
      <c r="I31" s="22">
        <f t="shared" si="4"/>
        <v>2475.5499999999997</v>
      </c>
      <c r="J31" s="22">
        <f t="shared" si="4"/>
        <v>4020.1699999999996</v>
      </c>
      <c r="K31" s="22">
        <f t="shared" si="4"/>
        <v>4858.4000000000005</v>
      </c>
      <c r="L31" s="22">
        <f>L28+L29+L30</f>
        <v>10917.1</v>
      </c>
      <c r="M31" s="22">
        <f>M28+M29+M30</f>
        <v>13126.1</v>
      </c>
      <c r="N31" s="22">
        <f>N28+N29+N30</f>
        <v>13788.639999999998</v>
      </c>
      <c r="O31" s="22">
        <f>O28+O29+O30</f>
        <v>12530.14</v>
      </c>
      <c r="P31" s="22">
        <f>P28+P29+P30</f>
        <v>15289.1</v>
      </c>
    </row>
    <row r="32" spans="1:16" x14ac:dyDescent="0.3">
      <c r="A32" s="46"/>
      <c r="B32" s="47"/>
      <c r="C32" s="47"/>
      <c r="D32" s="47"/>
      <c r="E32" s="47"/>
      <c r="F32" s="47"/>
      <c r="G32" s="47"/>
      <c r="H32" s="47"/>
      <c r="I32" s="47"/>
      <c r="J32" s="47"/>
      <c r="K32" s="47"/>
      <c r="L32" s="47"/>
      <c r="M32" s="47"/>
      <c r="N32" s="47"/>
      <c r="O32" s="47"/>
      <c r="P32" s="47"/>
    </row>
    <row r="33" spans="1:16" x14ac:dyDescent="0.3">
      <c r="A33" s="48" t="s">
        <v>166</v>
      </c>
      <c r="B33" s="22">
        <f>B25-B31</f>
        <v>421.33000000000027</v>
      </c>
      <c r="C33" s="22">
        <f>C25-C31</f>
        <v>453.18999999999983</v>
      </c>
      <c r="D33" s="22">
        <f>D25-D31</f>
        <v>709.61999999999921</v>
      </c>
      <c r="E33" s="22">
        <f>E25-E31</f>
        <v>1257.8000000000004</v>
      </c>
      <c r="F33" s="22">
        <f>F25-F31</f>
        <v>1731.219999999998</v>
      </c>
      <c r="G33" s="22">
        <f>G25+G26-G31</f>
        <v>5263.7500000000027</v>
      </c>
      <c r="H33" s="22">
        <f t="shared" ref="H33:P33" si="5">H25+H26-H31</f>
        <v>4419.8200000000052</v>
      </c>
      <c r="I33" s="22">
        <f t="shared" si="5"/>
        <v>7028.2300000000032</v>
      </c>
      <c r="J33" s="22">
        <f t="shared" si="5"/>
        <v>11507.689999999995</v>
      </c>
      <c r="K33" s="22">
        <f t="shared" si="5"/>
        <v>14451.169999999991</v>
      </c>
      <c r="L33" s="22">
        <f t="shared" si="5"/>
        <v>31686.809999999998</v>
      </c>
      <c r="M33" s="22">
        <f t="shared" si="5"/>
        <v>38188.69999999999</v>
      </c>
      <c r="N33" s="22">
        <f t="shared" si="5"/>
        <v>40313.240000000005</v>
      </c>
      <c r="O33" s="22">
        <f t="shared" si="5"/>
        <v>36697.660000000003</v>
      </c>
      <c r="P33" s="22">
        <f t="shared" si="5"/>
        <v>44675.94000000001</v>
      </c>
    </row>
    <row r="34" spans="1:16" x14ac:dyDescent="0.3">
      <c r="A34" s="547" t="s">
        <v>171</v>
      </c>
      <c r="B34" s="547"/>
      <c r="C34" s="547"/>
      <c r="D34" s="547"/>
      <c r="E34" s="547"/>
      <c r="F34" s="547"/>
      <c r="G34" s="547"/>
      <c r="H34" s="547"/>
      <c r="I34" s="547"/>
      <c r="J34" s="547"/>
      <c r="K34" s="547"/>
      <c r="L34" s="547"/>
      <c r="M34" s="547"/>
      <c r="N34" s="547"/>
      <c r="O34" s="547"/>
      <c r="P34" s="547"/>
    </row>
    <row r="35" spans="1:16" s="44" customFormat="1" x14ac:dyDescent="0.3">
      <c r="A35" s="47" t="s">
        <v>143</v>
      </c>
      <c r="B35" s="47">
        <v>1.1200000000000001</v>
      </c>
      <c r="C35" s="47">
        <v>0.93</v>
      </c>
      <c r="D35" s="47">
        <v>1.45</v>
      </c>
      <c r="E35" s="47">
        <v>1.88</v>
      </c>
      <c r="F35" s="47">
        <v>2.58</v>
      </c>
      <c r="G35" s="47">
        <v>89.77</v>
      </c>
      <c r="H35" s="47">
        <v>73.58</v>
      </c>
      <c r="I35" s="47">
        <v>116.64</v>
      </c>
      <c r="J35" s="47">
        <v>190.53</v>
      </c>
      <c r="K35" s="47">
        <v>236.89</v>
      </c>
      <c r="L35" s="47">
        <v>78.3</v>
      </c>
      <c r="M35" s="47">
        <v>94.84</v>
      </c>
      <c r="N35" s="47">
        <v>100.1</v>
      </c>
      <c r="O35" s="47">
        <v>89.99</v>
      </c>
      <c r="P35" s="47">
        <v>107.72</v>
      </c>
    </row>
    <row r="36" spans="1:16" s="44" customFormat="1" x14ac:dyDescent="0.3">
      <c r="A36" s="47" t="s">
        <v>521</v>
      </c>
      <c r="B36" s="47">
        <v>0</v>
      </c>
      <c r="C36" s="47">
        <v>0</v>
      </c>
      <c r="D36" s="47">
        <v>0</v>
      </c>
      <c r="E36" s="47">
        <v>0</v>
      </c>
      <c r="F36" s="47">
        <v>150</v>
      </c>
      <c r="G36" s="47">
        <v>364.39</v>
      </c>
      <c r="H36" s="47">
        <v>461.36</v>
      </c>
      <c r="I36" s="47">
        <v>724.05</v>
      </c>
      <c r="J36" s="47">
        <v>628.01</v>
      </c>
      <c r="K36" s="47">
        <v>689.32</v>
      </c>
      <c r="L36" s="47">
        <v>0</v>
      </c>
      <c r="M36" s="47">
        <v>0</v>
      </c>
      <c r="N36" s="47">
        <v>0</v>
      </c>
      <c r="O36" s="47">
        <v>275.3</v>
      </c>
      <c r="P36" s="47">
        <v>200.5</v>
      </c>
    </row>
    <row r="38" spans="1:16" x14ac:dyDescent="0.3">
      <c r="A38" s="43" t="s">
        <v>124</v>
      </c>
      <c r="B38" s="303">
        <f>B18+B20+B21+B22+B19</f>
        <v>462.74999999999994</v>
      </c>
      <c r="C38" s="303">
        <f t="shared" ref="C38:P38" si="6">C18+C20+C21+C22+C19</f>
        <v>576.23</v>
      </c>
      <c r="D38" s="303">
        <f t="shared" si="6"/>
        <v>651.96</v>
      </c>
      <c r="E38" s="303">
        <f t="shared" si="6"/>
        <v>754.06</v>
      </c>
      <c r="F38" s="303">
        <f t="shared" si="6"/>
        <v>763.78</v>
      </c>
      <c r="G38" s="303">
        <f t="shared" si="6"/>
        <v>9590.2999999999993</v>
      </c>
      <c r="H38" s="303">
        <f t="shared" si="6"/>
        <v>11276.79</v>
      </c>
      <c r="I38" s="303">
        <f t="shared" si="6"/>
        <v>12388.39</v>
      </c>
      <c r="J38" s="303">
        <f t="shared" si="6"/>
        <v>13332.179999999998</v>
      </c>
      <c r="K38" s="303">
        <f t="shared" si="6"/>
        <v>16955.89</v>
      </c>
      <c r="L38" s="303">
        <f>L18+L20+L21+L22+L19</f>
        <v>22740.359999999997</v>
      </c>
      <c r="M38" s="303">
        <f t="shared" si="6"/>
        <v>23387.870000000003</v>
      </c>
      <c r="N38" s="303">
        <f t="shared" si="6"/>
        <v>25714.23</v>
      </c>
      <c r="O38" s="303">
        <f t="shared" si="6"/>
        <v>28430.47</v>
      </c>
      <c r="P38" s="303">
        <f t="shared" si="6"/>
        <v>37361.600000000006</v>
      </c>
    </row>
    <row r="39" spans="1:16" x14ac:dyDescent="0.3">
      <c r="A39" s="43" t="s">
        <v>517</v>
      </c>
      <c r="B39" s="303">
        <f>B7+B8+B9+B10+B11+B13</f>
        <v>343.15</v>
      </c>
      <c r="C39" s="303">
        <f t="shared" ref="C39:P39" si="7">C7+C8+C9+C10+C11+C13</f>
        <v>277.84999999999997</v>
      </c>
      <c r="D39" s="303">
        <f t="shared" si="7"/>
        <v>285.38000000000005</v>
      </c>
      <c r="E39" s="303">
        <f t="shared" si="7"/>
        <v>396.2</v>
      </c>
      <c r="F39" s="303">
        <f t="shared" si="7"/>
        <v>415.34999999999991</v>
      </c>
      <c r="G39" s="303">
        <f t="shared" si="7"/>
        <v>3415.2399999999993</v>
      </c>
      <c r="H39" s="303">
        <f t="shared" si="7"/>
        <v>3379.6699999999996</v>
      </c>
      <c r="I39" s="303">
        <f t="shared" si="7"/>
        <v>4370.6499999999996</v>
      </c>
      <c r="J39" s="303">
        <f t="shared" si="7"/>
        <v>5869.6900000000005</v>
      </c>
      <c r="K39" s="303">
        <f t="shared" si="7"/>
        <v>6675.9100000000008</v>
      </c>
      <c r="L39" s="303">
        <f>L7+L8+L9+L10+L11+L13</f>
        <v>2895.31</v>
      </c>
      <c r="M39" s="303">
        <f t="shared" si="7"/>
        <v>3599.1699999999996</v>
      </c>
      <c r="N39" s="303">
        <f t="shared" si="7"/>
        <v>3123.1099999999997</v>
      </c>
      <c r="O39" s="303">
        <f t="shared" si="7"/>
        <v>4194.7</v>
      </c>
      <c r="P39" s="303">
        <f t="shared" si="7"/>
        <v>6170.41</v>
      </c>
    </row>
    <row r="40" spans="1:16" x14ac:dyDescent="0.3">
      <c r="A40" s="43" t="s">
        <v>518</v>
      </c>
      <c r="B40" s="303">
        <f>B36/B35</f>
        <v>0</v>
      </c>
      <c r="C40" s="303">
        <f t="shared" ref="C40:P40" si="8">C36/C35</f>
        <v>0</v>
      </c>
      <c r="D40" s="303">
        <f t="shared" si="8"/>
        <v>0</v>
      </c>
      <c r="E40" s="303">
        <f t="shared" si="8"/>
        <v>0</v>
      </c>
      <c r="F40" s="303">
        <f t="shared" si="8"/>
        <v>58.139534883720927</v>
      </c>
      <c r="G40" s="303">
        <f t="shared" si="8"/>
        <v>4.0591511640859972</v>
      </c>
      <c r="H40" s="303">
        <f t="shared" si="8"/>
        <v>6.2701821147050829</v>
      </c>
      <c r="I40" s="303">
        <f t="shared" si="8"/>
        <v>6.2075617283950617</v>
      </c>
      <c r="J40" s="303">
        <f t="shared" si="8"/>
        <v>3.296121345719834</v>
      </c>
      <c r="K40" s="303">
        <f t="shared" si="8"/>
        <v>2.9098737810798263</v>
      </c>
      <c r="L40" s="303">
        <f t="shared" si="8"/>
        <v>0</v>
      </c>
      <c r="M40" s="303">
        <f t="shared" si="8"/>
        <v>0</v>
      </c>
      <c r="N40" s="303">
        <f t="shared" si="8"/>
        <v>0</v>
      </c>
      <c r="O40" s="303">
        <f t="shared" si="8"/>
        <v>3.0592288032003561</v>
      </c>
      <c r="P40" s="303">
        <f t="shared" si="8"/>
        <v>1.8613070924619384</v>
      </c>
    </row>
    <row r="41" spans="1:16" s="44" customFormat="1" x14ac:dyDescent="0.3">
      <c r="A41" s="43" t="s">
        <v>519</v>
      </c>
      <c r="B41" s="44">
        <f ca="1">B36/('Balance Sheet-NBFCs'!B9/'Company Profile'!$G$14)</f>
        <v>0</v>
      </c>
      <c r="C41" s="44">
        <f ca="1">C36/('Balance Sheet-NBFCs'!C9/'Company Profile'!$G$14)</f>
        <v>0</v>
      </c>
      <c r="D41" s="44">
        <f ca="1">D36/('Balance Sheet-NBFCs'!D9/'Company Profile'!$G$14)</f>
        <v>0</v>
      </c>
      <c r="E41" s="44">
        <f ca="1">E36/('Balance Sheet-NBFCs'!E9/'Company Profile'!$G$14)</f>
        <v>0</v>
      </c>
      <c r="F41" s="44">
        <f ca="1">F36/('Balance Sheet-NBFCs'!F9/'Company Profile'!$G$14)</f>
        <v>10.212050517022929</v>
      </c>
      <c r="G41" s="44">
        <f ca="1">G36/('Balance Sheet-NBFCs'!G9/'Company Profile'!$F$14)</f>
        <v>7.0055647217256567</v>
      </c>
      <c r="H41" s="44">
        <f ca="1">H36/('Balance Sheet-NBFCs'!H9/'Company Profile'!$F$14)</f>
        <v>7.7668964714352562</v>
      </c>
      <c r="I41" s="44">
        <f ca="1">I36/('Balance Sheet-NBFCs'!I9/'Company Profile'!$F$14)</f>
        <v>10.294650127342882</v>
      </c>
      <c r="J41" s="44">
        <f ca="1">J36/('Balance Sheet-NBFCs'!J9/'Company Profile'!$F$14)</f>
        <v>7.1786367378013463</v>
      </c>
      <c r="K41" s="44">
        <f ca="1">K36/('Balance Sheet-NBFCs'!K9/'Company Profile'!$F$14)</f>
        <v>5.5860190457439725</v>
      </c>
      <c r="L41" s="44">
        <f ca="1">L36/('Balance Sheet-NBFCs'!L9/'Company Profile'!$H$14)</f>
        <v>0</v>
      </c>
      <c r="M41" s="44">
        <f ca="1">M36/('Balance Sheet-NBFCs'!M9/'Company Profile'!$H$14)</f>
        <v>0</v>
      </c>
      <c r="N41" s="44">
        <f ca="1">N36/('Balance Sheet-NBFCs'!N9/'Company Profile'!$H$14)</f>
        <v>0</v>
      </c>
      <c r="O41" s="44">
        <f ca="1">O36/('Balance Sheet-NBFCs'!O9/'Company Profile'!$H$14)</f>
        <v>4.9891778056628859E-2</v>
      </c>
      <c r="P41" s="44">
        <f ca="1">P36/('Balance Sheet-NBFCs'!P9/'Company Profile'!$H$14)</f>
        <v>3.1255070757830621E-2</v>
      </c>
    </row>
    <row r="42" spans="1:16" x14ac:dyDescent="0.3">
      <c r="A42" s="43" t="s">
        <v>522</v>
      </c>
      <c r="B42" s="303">
        <f ca="1">B36*'Company Profile'!$G$14</f>
        <v>0</v>
      </c>
      <c r="C42" s="303">
        <f ca="1">C36*'Company Profile'!$G$14</f>
        <v>0</v>
      </c>
      <c r="D42" s="303">
        <f ca="1">D36*'Company Profile'!$G$14</f>
        <v>0</v>
      </c>
      <c r="E42" s="303">
        <f ca="1">E36*'Company Profile'!$G$14</f>
        <v>0</v>
      </c>
      <c r="F42" s="303">
        <f ca="1">F36*'Company Profile'!$G$14</f>
        <v>124929.12000000001</v>
      </c>
      <c r="G42" s="303">
        <f ca="1">G36*'Company Profile'!$F$14</f>
        <v>226473.30426500001</v>
      </c>
      <c r="H42" s="303">
        <f ca="1">H36*'Company Profile'!$F$14</f>
        <v>286741.46836</v>
      </c>
      <c r="I42" s="303">
        <f ca="1">I36*'Company Profile'!$F$14</f>
        <v>450006.849675</v>
      </c>
      <c r="J42" s="303">
        <f ca="1">J36*'Company Profile'!$F$14</f>
        <v>390316.69313500001</v>
      </c>
      <c r="K42" s="303">
        <f ca="1">K36*'Company Profile'!$F$14</f>
        <v>428421.68582000007</v>
      </c>
      <c r="L42" s="303">
        <f ca="1">L36*'Company Profile'!$H$14</f>
        <v>0</v>
      </c>
      <c r="M42" s="303">
        <f ca="1">M36*'Company Profile'!$H$14</f>
        <v>0</v>
      </c>
      <c r="N42" s="303">
        <f ca="1">N36*'Company Profile'!$H$14</f>
        <v>0</v>
      </c>
      <c r="O42" s="303">
        <f ca="1">O36*'Company Profile'!$H$14</f>
        <v>11052.427805000001</v>
      </c>
      <c r="P42" s="303">
        <f ca="1">P36*'Company Profile'!$H$14</f>
        <v>8049.4434250000004</v>
      </c>
    </row>
  </sheetData>
  <mergeCells count="10">
    <mergeCell ref="A4:P4"/>
    <mergeCell ref="A34:P34"/>
    <mergeCell ref="A1:P1"/>
    <mergeCell ref="A2:A3"/>
    <mergeCell ref="B2:F2"/>
    <mergeCell ref="G2:K2"/>
    <mergeCell ref="L2:P2"/>
    <mergeCell ref="A27:P27"/>
    <mergeCell ref="A16:P16"/>
    <mergeCell ref="A5:P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2B0D1-BAD3-4872-B5B1-E6BFAFFAF53C}">
  <sheetPr>
    <tabColor rgb="FF0070C0"/>
  </sheetPr>
  <dimension ref="A1:AK53"/>
  <sheetViews>
    <sheetView topLeftCell="A18" zoomScaleNormal="100" workbookViewId="0">
      <pane xSplit="1" topLeftCell="L1" activePane="topRight" state="frozen"/>
      <selection pane="topRight" activeCell="B14" sqref="B14"/>
    </sheetView>
  </sheetViews>
  <sheetFormatPr defaultRowHeight="14.4" x14ac:dyDescent="0.3"/>
  <cols>
    <col min="1" max="1" width="47.88671875" style="43" bestFit="1" customWidth="1"/>
    <col min="2" max="2" width="19.88671875" style="43" bestFit="1" customWidth="1"/>
    <col min="3" max="3" width="13.5546875" style="43" bestFit="1" customWidth="1"/>
    <col min="4" max="7" width="12.5546875" style="43" bestFit="1" customWidth="1"/>
    <col min="8" max="11" width="12.33203125" style="43" bestFit="1" customWidth="1"/>
    <col min="12" max="13" width="12.5546875" style="43" bestFit="1" customWidth="1"/>
    <col min="14" max="14" width="12.33203125" style="43" bestFit="1" customWidth="1"/>
    <col min="15" max="16" width="12.5546875" style="43" bestFit="1" customWidth="1"/>
    <col min="17" max="21" width="12.33203125" style="43" bestFit="1" customWidth="1"/>
    <col min="22" max="22" width="30.33203125" style="43" customWidth="1"/>
    <col min="23" max="23" width="10" style="43" bestFit="1" customWidth="1"/>
    <col min="24" max="37" width="9.109375" style="43" bestFit="1" customWidth="1"/>
    <col min="38" max="16384" width="8.88671875" style="43"/>
  </cols>
  <sheetData>
    <row r="1" spans="1:37" s="41" customFormat="1" ht="34.200000000000003" thickBot="1" x14ac:dyDescent="0.35">
      <c r="A1" s="552" t="s">
        <v>175</v>
      </c>
      <c r="B1" s="553"/>
      <c r="C1" s="553"/>
      <c r="D1" s="553"/>
      <c r="E1" s="553"/>
      <c r="F1" s="553"/>
      <c r="G1" s="553"/>
      <c r="H1" s="553"/>
      <c r="I1" s="553"/>
      <c r="J1" s="553"/>
      <c r="K1" s="553"/>
      <c r="L1" s="553"/>
      <c r="M1" s="553"/>
      <c r="N1" s="553"/>
      <c r="O1" s="553"/>
      <c r="P1" s="553"/>
      <c r="Q1" s="553"/>
      <c r="R1" s="553"/>
      <c r="S1" s="553"/>
      <c r="T1" s="553"/>
      <c r="U1" s="554"/>
      <c r="V1" s="24"/>
      <c r="W1" s="24"/>
      <c r="X1" s="24"/>
      <c r="Y1" s="24"/>
      <c r="Z1" s="24"/>
      <c r="AA1" s="24"/>
      <c r="AB1" s="24"/>
      <c r="AC1" s="24"/>
      <c r="AD1" s="24"/>
      <c r="AE1" s="24"/>
      <c r="AF1" s="24"/>
      <c r="AG1" s="24"/>
      <c r="AH1" s="24"/>
      <c r="AI1" s="24"/>
      <c r="AJ1" s="24"/>
      <c r="AK1" s="24"/>
    </row>
    <row r="2" spans="1:37" s="42" customFormat="1" ht="44.4" customHeight="1" thickBot="1" x14ac:dyDescent="0.35">
      <c r="A2" s="555" t="s">
        <v>20</v>
      </c>
      <c r="B2" s="557" t="e" vm="3">
        <v>#VALUE!</v>
      </c>
      <c r="C2" s="558"/>
      <c r="D2" s="558"/>
      <c r="E2" s="558"/>
      <c r="F2" s="559"/>
      <c r="G2" s="557" t="e" vm="1">
        <v>#VALUE!</v>
      </c>
      <c r="H2" s="558"/>
      <c r="I2" s="558"/>
      <c r="J2" s="558"/>
      <c r="K2" s="559"/>
      <c r="L2" s="557" t="e" vm="2">
        <v>#VALUE!</v>
      </c>
      <c r="M2" s="558"/>
      <c r="N2" s="558"/>
      <c r="O2" s="558"/>
      <c r="P2" s="559"/>
      <c r="Q2" s="557" t="e" vm="4">
        <v>#VALUE!</v>
      </c>
      <c r="R2" s="558"/>
      <c r="S2" s="558"/>
      <c r="T2" s="558"/>
      <c r="U2" s="559"/>
    </row>
    <row r="3" spans="1:37" s="14" customFormat="1" ht="15" thickBot="1" x14ac:dyDescent="0.35">
      <c r="A3" s="556"/>
      <c r="B3" s="76">
        <v>2020</v>
      </c>
      <c r="C3" s="77">
        <v>2021</v>
      </c>
      <c r="D3" s="77">
        <v>2022</v>
      </c>
      <c r="E3" s="77">
        <v>2023</v>
      </c>
      <c r="F3" s="78">
        <v>2024</v>
      </c>
      <c r="G3" s="76">
        <v>2020</v>
      </c>
      <c r="H3" s="77">
        <v>2021</v>
      </c>
      <c r="I3" s="77">
        <v>2022</v>
      </c>
      <c r="J3" s="77">
        <v>2023</v>
      </c>
      <c r="K3" s="78">
        <v>2024</v>
      </c>
      <c r="L3" s="76">
        <v>2020</v>
      </c>
      <c r="M3" s="77">
        <v>2021</v>
      </c>
      <c r="N3" s="77">
        <v>2022</v>
      </c>
      <c r="O3" s="77">
        <v>2023</v>
      </c>
      <c r="P3" s="78">
        <v>2024</v>
      </c>
      <c r="Q3" s="76">
        <v>2020</v>
      </c>
      <c r="R3" s="77">
        <v>2021</v>
      </c>
      <c r="S3" s="77">
        <v>2022</v>
      </c>
      <c r="T3" s="77">
        <v>2023</v>
      </c>
      <c r="U3" s="78">
        <v>2024</v>
      </c>
    </row>
    <row r="4" spans="1:37" ht="15" thickBot="1" x14ac:dyDescent="0.35">
      <c r="A4" s="560" t="s">
        <v>173</v>
      </c>
      <c r="B4" s="561"/>
      <c r="C4" s="561"/>
      <c r="D4" s="561"/>
      <c r="E4" s="561"/>
      <c r="F4" s="561"/>
      <c r="G4" s="561"/>
      <c r="H4" s="561"/>
      <c r="I4" s="561"/>
      <c r="J4" s="561"/>
      <c r="K4" s="561"/>
      <c r="L4" s="561"/>
      <c r="M4" s="561"/>
      <c r="N4" s="561"/>
      <c r="O4" s="561"/>
      <c r="P4" s="561"/>
      <c r="Q4" s="561"/>
      <c r="R4" s="561"/>
      <c r="S4" s="561"/>
      <c r="T4" s="561"/>
      <c r="U4" s="562"/>
    </row>
    <row r="5" spans="1:37" s="51" customFormat="1" ht="15" thickBot="1" x14ac:dyDescent="0.35">
      <c r="A5" s="79" t="s">
        <v>174</v>
      </c>
      <c r="B5" s="57">
        <v>5254.4043000000001</v>
      </c>
      <c r="C5" s="58">
        <v>9693.19</v>
      </c>
      <c r="D5" s="58">
        <v>18841.86</v>
      </c>
      <c r="E5" s="58">
        <v>18521.12</v>
      </c>
      <c r="F5" s="59">
        <v>35071.949999999997</v>
      </c>
      <c r="G5" s="57">
        <v>38152.536599999999</v>
      </c>
      <c r="H5" s="58">
        <v>42772.583599999998</v>
      </c>
      <c r="I5" s="58">
        <v>50775.24</v>
      </c>
      <c r="J5" s="58">
        <v>61346.8</v>
      </c>
      <c r="K5" s="59">
        <v>75184.14</v>
      </c>
      <c r="L5" s="57">
        <v>16929.447100000001</v>
      </c>
      <c r="M5" s="58">
        <v>20182.7176</v>
      </c>
      <c r="N5" s="58">
        <v>30608.885300000002</v>
      </c>
      <c r="O5" s="58">
        <v>45830.078200000004</v>
      </c>
      <c r="P5" s="59">
        <v>59683.996099999997</v>
      </c>
      <c r="Q5" s="57">
        <v>31907.559399999998</v>
      </c>
      <c r="R5" s="58">
        <v>30921.7078</v>
      </c>
      <c r="S5" s="58">
        <v>48756.343000000001</v>
      </c>
      <c r="T5" s="58">
        <v>74488.304099999994</v>
      </c>
      <c r="U5" s="59">
        <v>90186.4473</v>
      </c>
    </row>
    <row r="6" spans="1:37" s="44" customFormat="1" ht="15" thickBot="1" x14ac:dyDescent="0.35">
      <c r="A6" s="563" t="s">
        <v>176</v>
      </c>
      <c r="B6" s="564"/>
      <c r="C6" s="564"/>
      <c r="D6" s="564"/>
      <c r="E6" s="564"/>
      <c r="F6" s="564"/>
      <c r="G6" s="564"/>
      <c r="H6" s="564"/>
      <c r="I6" s="564"/>
      <c r="J6" s="564"/>
      <c r="K6" s="564"/>
      <c r="L6" s="564"/>
      <c r="M6" s="564"/>
      <c r="N6" s="564"/>
      <c r="O6" s="564"/>
      <c r="P6" s="564"/>
      <c r="Q6" s="564"/>
      <c r="R6" s="564"/>
      <c r="S6" s="564"/>
      <c r="T6" s="564"/>
      <c r="U6" s="565"/>
    </row>
    <row r="7" spans="1:37" s="44" customFormat="1" x14ac:dyDescent="0.3">
      <c r="A7" s="80" t="s">
        <v>177</v>
      </c>
      <c r="B7" s="62">
        <v>806.07349999999997</v>
      </c>
      <c r="C7" s="63">
        <v>979.39</v>
      </c>
      <c r="D7" s="63">
        <v>1048.99</v>
      </c>
      <c r="E7" s="63">
        <v>13145.65</v>
      </c>
      <c r="F7" s="64">
        <v>1388.46</v>
      </c>
      <c r="G7" s="62">
        <v>1276.7714000000001</v>
      </c>
      <c r="H7" s="63">
        <v>1385.0062</v>
      </c>
      <c r="I7" s="63">
        <v>1680.73</v>
      </c>
      <c r="J7" s="63">
        <v>2345.4699999999998</v>
      </c>
      <c r="K7" s="64">
        <v>3092.08</v>
      </c>
      <c r="L7" s="62">
        <v>1369.6380999999999</v>
      </c>
      <c r="M7" s="63">
        <v>1201.3384000000001</v>
      </c>
      <c r="N7" s="63">
        <v>1316.2116000000001</v>
      </c>
      <c r="O7" s="63">
        <v>1635.1038000000001</v>
      </c>
      <c r="P7" s="64">
        <v>1995.8856000000001</v>
      </c>
      <c r="Q7" s="62">
        <v>3661.5585000000001</v>
      </c>
      <c r="R7" s="63">
        <v>3711.0636</v>
      </c>
      <c r="S7" s="63">
        <v>3691.27</v>
      </c>
      <c r="T7" s="63">
        <v>3695.5985999999998</v>
      </c>
      <c r="U7" s="64">
        <v>3849.1244999999999</v>
      </c>
    </row>
    <row r="8" spans="1:37" s="44" customFormat="1" x14ac:dyDescent="0.3">
      <c r="A8" s="80" t="s">
        <v>178</v>
      </c>
      <c r="B8" s="65">
        <v>135.99119999999999</v>
      </c>
      <c r="C8" s="47">
        <v>1329.08</v>
      </c>
      <c r="D8" s="47">
        <v>-264.48</v>
      </c>
      <c r="E8" s="47">
        <v>595.57000000000005</v>
      </c>
      <c r="F8" s="66">
        <v>-431.32</v>
      </c>
      <c r="G8" s="65">
        <v>702.10950000000003</v>
      </c>
      <c r="H8" s="47">
        <v>1485.3243</v>
      </c>
      <c r="I8" s="47">
        <v>-1546.4</v>
      </c>
      <c r="J8" s="47">
        <v>545.82000000000005</v>
      </c>
      <c r="K8" s="66">
        <v>-6957.14</v>
      </c>
      <c r="L8" s="65">
        <v>2180.9159</v>
      </c>
      <c r="M8" s="47">
        <v>-2214.3503999999998</v>
      </c>
      <c r="N8" s="47">
        <v>1908.9256</v>
      </c>
      <c r="O8" s="47">
        <v>2705.3454999999999</v>
      </c>
      <c r="P8" s="66">
        <v>1617.2037</v>
      </c>
      <c r="Q8" s="65">
        <v>626.52210000000002</v>
      </c>
      <c r="R8" s="47">
        <v>5.1547999999999998</v>
      </c>
      <c r="S8" s="47">
        <v>445.73689999999999</v>
      </c>
      <c r="T8" s="47">
        <v>0</v>
      </c>
      <c r="U8" s="66">
        <v>0</v>
      </c>
    </row>
    <row r="9" spans="1:37" s="44" customFormat="1" x14ac:dyDescent="0.3">
      <c r="A9" s="80" t="s">
        <v>179</v>
      </c>
      <c r="B9" s="65">
        <v>354.61419999999998</v>
      </c>
      <c r="C9" s="47">
        <v>592.12</v>
      </c>
      <c r="D9" s="47">
        <v>823.78</v>
      </c>
      <c r="E9" s="47">
        <v>889.11</v>
      </c>
      <c r="F9" s="66">
        <v>894.18</v>
      </c>
      <c r="G9" s="65">
        <v>501.41370000000001</v>
      </c>
      <c r="H9" s="47">
        <v>765.46929999999998</v>
      </c>
      <c r="I9" s="47">
        <v>821.32</v>
      </c>
      <c r="J9" s="47">
        <v>851.2</v>
      </c>
      <c r="K9" s="66">
        <v>966.09</v>
      </c>
      <c r="L9" s="65">
        <v>0</v>
      </c>
      <c r="M9" s="47">
        <v>0</v>
      </c>
      <c r="N9" s="47">
        <v>0</v>
      </c>
      <c r="O9" s="47">
        <v>0</v>
      </c>
      <c r="P9" s="66">
        <v>0</v>
      </c>
      <c r="Q9" s="65">
        <v>0</v>
      </c>
      <c r="R9" s="47">
        <v>0</v>
      </c>
      <c r="S9" s="47">
        <v>0</v>
      </c>
      <c r="T9" s="47">
        <v>0</v>
      </c>
      <c r="U9" s="66">
        <v>0</v>
      </c>
    </row>
    <row r="10" spans="1:37" s="44" customFormat="1" x14ac:dyDescent="0.3">
      <c r="A10" s="80" t="s">
        <v>180</v>
      </c>
      <c r="B10" s="65">
        <v>12835.295400000001</v>
      </c>
      <c r="C10" s="47">
        <v>12344.85</v>
      </c>
      <c r="D10" s="47">
        <v>7580.8</v>
      </c>
      <c r="E10" s="47">
        <v>6225.9</v>
      </c>
      <c r="F10" s="66">
        <v>6533.43</v>
      </c>
      <c r="G10" s="65">
        <v>11065.7129</v>
      </c>
      <c r="H10" s="47">
        <v>13927.011</v>
      </c>
      <c r="I10" s="47">
        <v>13286.95</v>
      </c>
      <c r="J10" s="47">
        <v>13561.19</v>
      </c>
      <c r="K10" s="66">
        <v>12540.05</v>
      </c>
      <c r="L10" s="65">
        <v>8962.7397999999994</v>
      </c>
      <c r="M10" s="47">
        <v>10749.125899999999</v>
      </c>
      <c r="N10" s="47">
        <v>6164.0411999999997</v>
      </c>
      <c r="O10" s="47">
        <v>-365.3501</v>
      </c>
      <c r="P10" s="66">
        <v>963.57159999999999</v>
      </c>
      <c r="Q10" s="65">
        <v>43848.890099999997</v>
      </c>
      <c r="R10" s="47">
        <f>29732.6529+2820.9883</f>
        <v>32553.641200000002</v>
      </c>
      <c r="S10" s="47">
        <f>15845.8997+3471.788</f>
        <v>19317.687699999999</v>
      </c>
      <c r="T10" s="47">
        <f>10826.8816+1483.8759</f>
        <v>12310.7575</v>
      </c>
      <c r="U10" s="66">
        <f>12241.867-604.1107</f>
        <v>11637.756300000001</v>
      </c>
    </row>
    <row r="11" spans="1:37" s="44" customFormat="1" x14ac:dyDescent="0.3">
      <c r="A11" s="80" t="s">
        <v>181</v>
      </c>
      <c r="B11" s="65">
        <v>1534.1632999999999</v>
      </c>
      <c r="C11" s="47">
        <v>3322.61</v>
      </c>
      <c r="D11" s="47">
        <v>2224.17</v>
      </c>
      <c r="E11" s="47">
        <v>-421.94</v>
      </c>
      <c r="F11" s="66">
        <v>424.15</v>
      </c>
      <c r="G11" s="65">
        <v>3057.4317000000001</v>
      </c>
      <c r="H11" s="47">
        <v>5283.0711000000001</v>
      </c>
      <c r="I11" s="47">
        <v>5418.21</v>
      </c>
      <c r="J11" s="47">
        <v>292.89</v>
      </c>
      <c r="K11" s="66">
        <v>1578.23</v>
      </c>
      <c r="L11" s="65">
        <v>3443.9929000000002</v>
      </c>
      <c r="M11" s="47">
        <v>278.83179999999999</v>
      </c>
      <c r="N11" s="47">
        <v>449.2475</v>
      </c>
      <c r="O11" s="47">
        <v>489.89409999999998</v>
      </c>
      <c r="P11" s="66">
        <v>1165.8490999999999</v>
      </c>
      <c r="Q11" s="65">
        <v>-291.36520000000002</v>
      </c>
      <c r="R11" s="47">
        <v>3601.3226</v>
      </c>
      <c r="S11" s="47">
        <v>4581.8141999999998</v>
      </c>
      <c r="T11" s="47">
        <v>5641.5051000000003</v>
      </c>
      <c r="U11" s="66">
        <v>-1264.4725000000001</v>
      </c>
    </row>
    <row r="12" spans="1:37" s="44" customFormat="1" x14ac:dyDescent="0.3">
      <c r="A12" s="80" t="s">
        <v>182</v>
      </c>
      <c r="B12" s="65">
        <v>5.0818000000000003</v>
      </c>
      <c r="C12" s="47">
        <v>8.77</v>
      </c>
      <c r="D12" s="47">
        <v>6.11</v>
      </c>
      <c r="E12" s="47">
        <v>7.69</v>
      </c>
      <c r="F12" s="66">
        <v>4.42</v>
      </c>
      <c r="G12" s="65">
        <v>8.1865000000000006</v>
      </c>
      <c r="H12" s="47">
        <v>0.28589999999999999</v>
      </c>
      <c r="I12" s="47">
        <v>3.25</v>
      </c>
      <c r="J12" s="47">
        <v>-8.0500000000000007</v>
      </c>
      <c r="K12" s="66">
        <v>-75.36</v>
      </c>
      <c r="L12" s="65">
        <v>-0.14499999999999999</v>
      </c>
      <c r="M12" s="47">
        <v>2.7974000000000001</v>
      </c>
      <c r="N12" s="47">
        <v>-4.04</v>
      </c>
      <c r="O12" s="47">
        <v>-54.257899999999999</v>
      </c>
      <c r="P12" s="66">
        <v>-14.4093</v>
      </c>
      <c r="Q12" s="65">
        <v>28.337499999999999</v>
      </c>
      <c r="R12" s="47">
        <v>28.336400000000001</v>
      </c>
      <c r="S12" s="47">
        <v>16.404699999999998</v>
      </c>
      <c r="T12" s="47">
        <v>29.031600000000001</v>
      </c>
      <c r="U12" s="66">
        <v>25.205400000000001</v>
      </c>
    </row>
    <row r="13" spans="1:37" s="44" customFormat="1" x14ac:dyDescent="0.3">
      <c r="A13" s="80" t="s">
        <v>218</v>
      </c>
      <c r="B13" s="65"/>
      <c r="C13" s="47"/>
      <c r="D13" s="47"/>
      <c r="E13" s="47"/>
      <c r="F13" s="66"/>
      <c r="G13" s="65"/>
      <c r="H13" s="47"/>
      <c r="I13" s="47"/>
      <c r="J13" s="47"/>
      <c r="K13" s="66"/>
      <c r="L13" s="65"/>
      <c r="M13" s="47"/>
      <c r="N13" s="47"/>
      <c r="O13" s="47"/>
      <c r="P13" s="66"/>
      <c r="Q13" s="65"/>
      <c r="R13" s="47"/>
      <c r="S13" s="47"/>
      <c r="T13" s="47">
        <v>4922.6098000000002</v>
      </c>
      <c r="U13" s="66">
        <v>-4892.7871999999998</v>
      </c>
    </row>
    <row r="14" spans="1:37" s="44" customFormat="1" x14ac:dyDescent="0.3">
      <c r="A14" s="80" t="s">
        <v>215</v>
      </c>
      <c r="B14" s="65">
        <v>12.1721</v>
      </c>
      <c r="C14" s="47">
        <v>0</v>
      </c>
      <c r="D14" s="47">
        <v>0</v>
      </c>
      <c r="E14" s="47">
        <v>0</v>
      </c>
      <c r="F14" s="66">
        <v>0</v>
      </c>
      <c r="G14" s="65">
        <v>0</v>
      </c>
      <c r="H14" s="47">
        <v>0</v>
      </c>
      <c r="I14" s="47">
        <v>0</v>
      </c>
      <c r="J14" s="47">
        <v>0</v>
      </c>
      <c r="K14" s="66">
        <v>0</v>
      </c>
      <c r="L14" s="65">
        <v>0</v>
      </c>
      <c r="M14" s="47">
        <v>-1233.9949999999999</v>
      </c>
      <c r="N14" s="47">
        <v>-1828.7906</v>
      </c>
      <c r="O14" s="47">
        <v>0</v>
      </c>
      <c r="P14" s="66">
        <v>0</v>
      </c>
      <c r="Q14" s="65">
        <v>-5573.6296000000002</v>
      </c>
      <c r="R14" s="47">
        <f>-1577.8431+254.4131</f>
        <v>-1323.43</v>
      </c>
      <c r="S14" s="47">
        <f>-9.7432</f>
        <v>-9.7431999999999999</v>
      </c>
      <c r="T14" s="47">
        <v>0</v>
      </c>
      <c r="U14" s="66">
        <v>0</v>
      </c>
    </row>
    <row r="15" spans="1:37" s="44" customFormat="1" ht="28.8" x14ac:dyDescent="0.3">
      <c r="A15" s="81" t="s">
        <v>183</v>
      </c>
      <c r="B15" s="65">
        <v>-15.497999999999999</v>
      </c>
      <c r="C15" s="47">
        <v>0</v>
      </c>
      <c r="D15" s="47">
        <v>0</v>
      </c>
      <c r="E15" s="47">
        <v>0</v>
      </c>
      <c r="F15" s="66">
        <v>0</v>
      </c>
      <c r="G15" s="65">
        <v>0</v>
      </c>
      <c r="H15" s="47">
        <v>0</v>
      </c>
      <c r="I15" s="47">
        <v>0</v>
      </c>
      <c r="J15" s="47">
        <v>0</v>
      </c>
      <c r="K15" s="66">
        <v>-7341.42</v>
      </c>
      <c r="L15" s="65">
        <v>0</v>
      </c>
      <c r="M15" s="47">
        <v>0</v>
      </c>
      <c r="N15" s="47">
        <v>0</v>
      </c>
      <c r="O15" s="47">
        <v>0</v>
      </c>
      <c r="P15" s="66">
        <v>0</v>
      </c>
      <c r="Q15" s="65">
        <v>4908.0906999999997</v>
      </c>
      <c r="R15" s="47">
        <v>5900.3121000000001</v>
      </c>
      <c r="S15" s="47">
        <v>5587.8873999999996</v>
      </c>
      <c r="T15" s="47">
        <v>6543.7305999999999</v>
      </c>
      <c r="U15" s="66">
        <v>9661.5236999999997</v>
      </c>
    </row>
    <row r="16" spans="1:37" s="44" customFormat="1" x14ac:dyDescent="0.3">
      <c r="A16" s="80" t="s">
        <v>184</v>
      </c>
      <c r="B16" s="65">
        <v>-10.68</v>
      </c>
      <c r="C16" s="47">
        <v>0</v>
      </c>
      <c r="D16" s="47">
        <v>0</v>
      </c>
      <c r="E16" s="47">
        <v>0</v>
      </c>
      <c r="F16" s="66"/>
      <c r="G16" s="65">
        <v>0</v>
      </c>
      <c r="H16" s="47">
        <v>0</v>
      </c>
      <c r="I16" s="47">
        <v>0</v>
      </c>
      <c r="J16" s="47">
        <v>0</v>
      </c>
      <c r="K16" s="66">
        <v>0</v>
      </c>
      <c r="L16" s="65">
        <v>0</v>
      </c>
      <c r="M16" s="47">
        <v>0</v>
      </c>
      <c r="N16" s="47">
        <v>0</v>
      </c>
      <c r="O16" s="47">
        <v>0</v>
      </c>
      <c r="P16" s="66">
        <v>0</v>
      </c>
      <c r="Q16" s="65"/>
      <c r="R16" s="47"/>
      <c r="S16" s="47"/>
      <c r="T16" s="47"/>
      <c r="U16" s="66"/>
    </row>
    <row r="17" spans="1:21" s="44" customFormat="1" x14ac:dyDescent="0.3">
      <c r="A17" s="80" t="s">
        <v>185</v>
      </c>
      <c r="B17" s="65">
        <v>4224.4858000000004</v>
      </c>
      <c r="C17" s="47">
        <v>0</v>
      </c>
      <c r="D17" s="47">
        <v>0</v>
      </c>
      <c r="E17" s="47"/>
      <c r="F17" s="66">
        <v>0</v>
      </c>
      <c r="G17" s="65">
        <v>0</v>
      </c>
      <c r="H17" s="47">
        <v>0</v>
      </c>
      <c r="I17" s="47">
        <v>0</v>
      </c>
      <c r="J17" s="47">
        <v>0</v>
      </c>
      <c r="K17" s="66">
        <v>10900</v>
      </c>
      <c r="L17" s="65">
        <v>793.69060000000002</v>
      </c>
      <c r="M17" s="47">
        <v>5344.2673000000004</v>
      </c>
      <c r="N17" s="47">
        <v>1651.0217</v>
      </c>
      <c r="O17" s="47">
        <v>5423.6860999999999</v>
      </c>
      <c r="P17" s="66">
        <v>878.02020000000005</v>
      </c>
      <c r="Q17" s="65">
        <v>604.6549</v>
      </c>
      <c r="R17" s="47">
        <v>9947.1949000000004</v>
      </c>
      <c r="S17" s="47">
        <v>2777.1833000000001</v>
      </c>
      <c r="T17" s="47">
        <v>232.01480000000001</v>
      </c>
      <c r="U17" s="66">
        <v>-2668.3083000000001</v>
      </c>
    </row>
    <row r="18" spans="1:21" s="44" customFormat="1" ht="15" thickBot="1" x14ac:dyDescent="0.35">
      <c r="A18" s="80" t="s">
        <v>210</v>
      </c>
      <c r="B18" s="67">
        <v>0</v>
      </c>
      <c r="C18" s="68">
        <v>0</v>
      </c>
      <c r="D18" s="68">
        <v>150.77000000000001</v>
      </c>
      <c r="E18" s="68">
        <v>286.02</v>
      </c>
      <c r="F18" s="69">
        <v>519.57000000000005</v>
      </c>
      <c r="G18" s="67">
        <v>0</v>
      </c>
      <c r="H18" s="68">
        <v>0</v>
      </c>
      <c r="I18" s="68">
        <v>341.24</v>
      </c>
      <c r="J18" s="68">
        <v>787.06</v>
      </c>
      <c r="K18" s="69">
        <v>1731.73</v>
      </c>
      <c r="L18" s="67">
        <v>11.413</v>
      </c>
      <c r="M18" s="68">
        <v>0</v>
      </c>
      <c r="N18" s="68">
        <v>264.21899999999999</v>
      </c>
      <c r="O18" s="68">
        <v>518.05079999999998</v>
      </c>
      <c r="P18" s="69">
        <v>702.90809999999999</v>
      </c>
      <c r="Q18" s="67">
        <f>-2963.1404-14.6677</f>
        <v>-2977.8081000000002</v>
      </c>
      <c r="R18" s="68">
        <f>391.9045-3.195</f>
        <v>388.70949999999999</v>
      </c>
      <c r="S18" s="68">
        <f>-827.0133-3.195</f>
        <v>-830.20830000000001</v>
      </c>
      <c r="T18" s="68">
        <f>-1191.4521-2.6625</f>
        <v>-1194.1145999999999</v>
      </c>
      <c r="U18" s="69">
        <f>-1405.1543-5.5719</f>
        <v>-1410.7261999999998</v>
      </c>
    </row>
    <row r="19" spans="1:21" s="44" customFormat="1" ht="15" thickBot="1" x14ac:dyDescent="0.35">
      <c r="A19" s="563" t="s">
        <v>176</v>
      </c>
      <c r="B19" s="564"/>
      <c r="C19" s="564"/>
      <c r="D19" s="564"/>
      <c r="E19" s="564"/>
      <c r="F19" s="564"/>
      <c r="G19" s="564"/>
      <c r="H19" s="564"/>
      <c r="I19" s="564"/>
      <c r="J19" s="564"/>
      <c r="K19" s="564"/>
      <c r="L19" s="564"/>
      <c r="M19" s="564"/>
      <c r="N19" s="564"/>
      <c r="O19" s="564"/>
      <c r="P19" s="564"/>
      <c r="Q19" s="564"/>
      <c r="R19" s="564"/>
      <c r="S19" s="564"/>
      <c r="T19" s="564"/>
      <c r="U19" s="565"/>
    </row>
    <row r="20" spans="1:21" s="44" customFormat="1" x14ac:dyDescent="0.3">
      <c r="A20" s="80" t="s">
        <v>186</v>
      </c>
      <c r="B20" s="62">
        <v>24432.4699</v>
      </c>
      <c r="C20" s="63">
        <v>-19644</v>
      </c>
      <c r="D20" s="63">
        <v>-24189.72</v>
      </c>
      <c r="E20" s="63">
        <v>4622.29</v>
      </c>
      <c r="F20" s="64">
        <v>-38129.019999999997</v>
      </c>
      <c r="G20" s="62">
        <v>-101070.0996</v>
      </c>
      <c r="H20" s="63">
        <v>-50156.635900000001</v>
      </c>
      <c r="I20" s="63">
        <v>-10849.22</v>
      </c>
      <c r="J20" s="63">
        <v>-64182.03</v>
      </c>
      <c r="K20" s="64">
        <v>-88411.63</v>
      </c>
      <c r="L20" s="62">
        <v>-31531.314900000001</v>
      </c>
      <c r="M20" s="63">
        <v>24066.690900000001</v>
      </c>
      <c r="N20" s="63">
        <v>4431.1642000000002</v>
      </c>
      <c r="O20" s="63">
        <v>-15828.628500000001</v>
      </c>
      <c r="P20" s="64">
        <v>16735.535400000001</v>
      </c>
      <c r="Q20" s="62">
        <v>-100670.424</v>
      </c>
      <c r="R20" s="63">
        <v>-368800.15429999999</v>
      </c>
      <c r="S20" s="63">
        <v>-183899.64019999999</v>
      </c>
      <c r="T20" s="63">
        <v>-141597.38449999999</v>
      </c>
      <c r="U20" s="64">
        <v>-190457.1079</v>
      </c>
    </row>
    <row r="21" spans="1:21" s="44" customFormat="1" x14ac:dyDescent="0.3">
      <c r="A21" s="80" t="s">
        <v>187</v>
      </c>
      <c r="B21" s="65">
        <v>-86703.113400000002</v>
      </c>
      <c r="C21" s="47">
        <v>-63518.12</v>
      </c>
      <c r="D21" s="47">
        <v>-106571.94</v>
      </c>
      <c r="E21" s="47">
        <v>-149553.15</v>
      </c>
      <c r="F21" s="66">
        <v>-137622.1</v>
      </c>
      <c r="G21" s="65">
        <v>-185500.36170000001</v>
      </c>
      <c r="H21" s="47">
        <v>-155681.0724</v>
      </c>
      <c r="I21" s="47">
        <v>-248946.13</v>
      </c>
      <c r="J21" s="47">
        <v>-254569.45</v>
      </c>
      <c r="K21" s="66">
        <v>-309210.7</v>
      </c>
      <c r="L21" s="65">
        <v>-69243.414600000004</v>
      </c>
      <c r="M21" s="47">
        <v>-99494.736199999999</v>
      </c>
      <c r="N21" s="47">
        <v>-131475.8223</v>
      </c>
      <c r="O21" s="47">
        <v>-163893.1648</v>
      </c>
      <c r="P21" s="66">
        <v>-178264.48480000001</v>
      </c>
      <c r="Q21" s="65">
        <v>-191306.40410000001</v>
      </c>
      <c r="R21" s="47">
        <v>-156020.4583</v>
      </c>
      <c r="S21" s="47">
        <v>-309322.91480000003</v>
      </c>
      <c r="T21" s="47">
        <v>-484653.00709999999</v>
      </c>
      <c r="U21" s="66">
        <v>-528612.41020000004</v>
      </c>
    </row>
    <row r="22" spans="1:21" s="44" customFormat="1" x14ac:dyDescent="0.3">
      <c r="A22" s="80" t="s">
        <v>188</v>
      </c>
      <c r="B22" s="65">
        <v>91411.273499999996</v>
      </c>
      <c r="C22" s="47">
        <v>65466.21</v>
      </c>
      <c r="D22" s="47">
        <v>122611.53</v>
      </c>
      <c r="E22" s="47">
        <v>125161.2</v>
      </c>
      <c r="F22" s="66">
        <v>121277.69</v>
      </c>
      <c r="G22" s="65">
        <v>223704.45569999999</v>
      </c>
      <c r="H22" s="47">
        <v>187513.74220000001</v>
      </c>
      <c r="I22" s="47">
        <v>224282.15</v>
      </c>
      <c r="J22" s="47">
        <v>324660.21999999997</v>
      </c>
      <c r="K22" s="66">
        <v>336964.81</v>
      </c>
      <c r="L22" s="65">
        <v>119467.5249</v>
      </c>
      <c r="M22" s="47">
        <v>161553.16589999999</v>
      </c>
      <c r="N22" s="47">
        <v>132049.45269999999</v>
      </c>
      <c r="O22" s="47">
        <v>119466.35890000001</v>
      </c>
      <c r="P22" s="66">
        <v>232993.01070000001</v>
      </c>
      <c r="Q22" s="65">
        <v>333619.56430000003</v>
      </c>
      <c r="R22" s="47">
        <v>441170.61629999999</v>
      </c>
      <c r="S22" s="47">
        <v>372079.35889999999</v>
      </c>
      <c r="T22" s="47">
        <v>381124.90620000003</v>
      </c>
      <c r="U22" s="66">
        <v>498001.9804</v>
      </c>
    </row>
    <row r="23" spans="1:21" s="44" customFormat="1" x14ac:dyDescent="0.3">
      <c r="A23" s="80" t="s">
        <v>189</v>
      </c>
      <c r="B23" s="65">
        <v>-26522.351299999998</v>
      </c>
      <c r="C23" s="47">
        <v>4801.71</v>
      </c>
      <c r="D23" s="47">
        <v>2920.04</v>
      </c>
      <c r="E23" s="47">
        <v>2968.61</v>
      </c>
      <c r="F23" s="66">
        <v>9145.17</v>
      </c>
      <c r="G23" s="65">
        <v>-7249.7457000000004</v>
      </c>
      <c r="H23" s="47">
        <v>8307.6839999999993</v>
      </c>
      <c r="I23" s="47">
        <v>-40044.699999999997</v>
      </c>
      <c r="J23" s="47">
        <v>-58909.79</v>
      </c>
      <c r="K23" s="66">
        <v>-31197.26</v>
      </c>
      <c r="L23" s="65">
        <v>2456.0834</v>
      </c>
      <c r="M23" s="47">
        <v>1077.3798999999999</v>
      </c>
      <c r="N23" s="47">
        <v>5072.7915999999996</v>
      </c>
      <c r="O23" s="47">
        <v>-16597.135300000002</v>
      </c>
      <c r="P23" s="66">
        <v>1881.8794</v>
      </c>
      <c r="Q23" s="65">
        <v>-21857.442599999998</v>
      </c>
      <c r="R23" s="47">
        <v>-66249.946299999996</v>
      </c>
      <c r="S23" s="47">
        <v>5255.8279000000002</v>
      </c>
      <c r="T23" s="47">
        <v>-60531.722800000003</v>
      </c>
      <c r="U23" s="66">
        <v>-46236.9064</v>
      </c>
    </row>
    <row r="24" spans="1:21" s="44" customFormat="1" ht="28.8" x14ac:dyDescent="0.3">
      <c r="A24" s="81" t="s">
        <v>216</v>
      </c>
      <c r="B24" s="65"/>
      <c r="C24" s="47"/>
      <c r="D24" s="47"/>
      <c r="E24" s="47"/>
      <c r="F24" s="66"/>
      <c r="G24" s="65"/>
      <c r="H24" s="47"/>
      <c r="I24" s="47"/>
      <c r="J24" s="47"/>
      <c r="K24" s="66"/>
      <c r="L24" s="65"/>
      <c r="M24" s="47"/>
      <c r="N24" s="47"/>
      <c r="O24" s="47"/>
      <c r="P24" s="66"/>
      <c r="Q24" s="65">
        <v>-89342.808699999994</v>
      </c>
      <c r="R24" s="47">
        <v>90438.851800000004</v>
      </c>
      <c r="S24" s="47">
        <v>11807.8755</v>
      </c>
      <c r="T24" s="47">
        <v>54584.073499999999</v>
      </c>
      <c r="U24" s="66">
        <v>112581.10520000001</v>
      </c>
    </row>
    <row r="25" spans="1:21" s="44" customFormat="1" x14ac:dyDescent="0.3">
      <c r="A25" s="80" t="s">
        <v>190</v>
      </c>
      <c r="B25" s="65">
        <v>5698.2825000000003</v>
      </c>
      <c r="C25" s="47">
        <v>-715.93</v>
      </c>
      <c r="D25" s="47">
        <v>7401.45</v>
      </c>
      <c r="E25" s="47">
        <v>6313.23</v>
      </c>
      <c r="F25" s="66">
        <v>2599.86</v>
      </c>
      <c r="G25" s="65">
        <v>9359.8719000000001</v>
      </c>
      <c r="H25" s="47">
        <v>-104.56</v>
      </c>
      <c r="I25" s="47">
        <v>7655.94</v>
      </c>
      <c r="J25" s="47">
        <v>10459.86</v>
      </c>
      <c r="K25" s="66">
        <v>6420.4</v>
      </c>
      <c r="L25" s="65">
        <v>27116.068500000001</v>
      </c>
      <c r="M25" s="47">
        <v>5082.0784999999996</v>
      </c>
      <c r="N25" s="47">
        <v>8133.4402</v>
      </c>
      <c r="O25" s="47">
        <v>27774.252899999999</v>
      </c>
      <c r="P25" s="66">
        <v>30289.317200000001</v>
      </c>
      <c r="Q25" s="65">
        <v>31602.727599999998</v>
      </c>
      <c r="R25" s="47">
        <v>67465.501399999994</v>
      </c>
      <c r="S25" s="47">
        <v>86464.266399999993</v>
      </c>
      <c r="T25" s="47">
        <v>75713.739700000006</v>
      </c>
      <c r="U25" s="66">
        <v>102500.2751</v>
      </c>
    </row>
    <row r="26" spans="1:21" s="44" customFormat="1" x14ac:dyDescent="0.3">
      <c r="A26" s="80" t="s">
        <v>191</v>
      </c>
      <c r="B26" s="65">
        <v>-3037.0291999999999</v>
      </c>
      <c r="C26" s="47">
        <v>-2027</v>
      </c>
      <c r="D26" s="47">
        <v>-4446.0600000000004</v>
      </c>
      <c r="E26" s="47">
        <v>-6686.52</v>
      </c>
      <c r="F26" s="66">
        <v>-7231.11</v>
      </c>
      <c r="G26" s="65">
        <v>-10877.374900000001</v>
      </c>
      <c r="H26" s="47">
        <v>-13021.453</v>
      </c>
      <c r="I26" s="47">
        <v>-14838.16</v>
      </c>
      <c r="J26" s="47">
        <v>-16367.49</v>
      </c>
      <c r="K26" s="66">
        <v>-22842.84</v>
      </c>
      <c r="L26" s="65">
        <v>-2391.8930999999998</v>
      </c>
      <c r="M26" s="47">
        <v>-2501.9557</v>
      </c>
      <c r="N26" s="47">
        <v>-3693.8225000000002</v>
      </c>
      <c r="O26" s="47">
        <v>-10875.425800000001</v>
      </c>
      <c r="P26" s="66">
        <v>-13343.6047</v>
      </c>
      <c r="Q26" s="65">
        <v>-14859.491099999999</v>
      </c>
      <c r="R26" s="47">
        <v>-3819.4933999999998</v>
      </c>
      <c r="S26" s="47">
        <v>-9024.3029999999999</v>
      </c>
      <c r="T26" s="47">
        <v>-17323.7222</v>
      </c>
      <c r="U26" s="66">
        <v>-31268.268199999999</v>
      </c>
    </row>
    <row r="27" spans="1:21" s="44" customFormat="1" x14ac:dyDescent="0.3">
      <c r="A27" s="80" t="s">
        <v>212</v>
      </c>
      <c r="B27" s="65"/>
      <c r="C27" s="47"/>
      <c r="D27" s="47"/>
      <c r="E27" s="47"/>
      <c r="F27" s="66"/>
      <c r="G27" s="65"/>
      <c r="H27" s="47"/>
      <c r="I27" s="47"/>
      <c r="J27" s="47"/>
      <c r="K27" s="66">
        <v>35728.160000000003</v>
      </c>
      <c r="L27" s="65">
        <v>0</v>
      </c>
      <c r="M27" s="47">
        <v>0</v>
      </c>
      <c r="N27" s="47">
        <v>0</v>
      </c>
      <c r="O27" s="47">
        <v>0</v>
      </c>
      <c r="P27" s="66">
        <v>0</v>
      </c>
      <c r="Q27" s="65">
        <v>0</v>
      </c>
      <c r="R27" s="47">
        <v>0</v>
      </c>
      <c r="S27" s="47">
        <v>0</v>
      </c>
      <c r="T27" s="47">
        <v>0</v>
      </c>
      <c r="U27" s="66">
        <v>0</v>
      </c>
    </row>
    <row r="28" spans="1:21" s="51" customFormat="1" x14ac:dyDescent="0.3">
      <c r="A28" s="79" t="s">
        <v>192</v>
      </c>
      <c r="B28" s="34">
        <f>SUM(B5,B7:B17,B20:B26)</f>
        <v>30415.635599999991</v>
      </c>
      <c r="C28" s="22">
        <f>SUM(C5,C7:C17,C20:C26)</f>
        <v>12632.879999999997</v>
      </c>
      <c r="D28" s="22">
        <f>SUM(D5,D7:D18,D20:D26)</f>
        <v>28137.299999999996</v>
      </c>
      <c r="E28" s="22">
        <f t="shared" ref="E28:U28" si="0">SUM(E5,E7:E18,E20:E26)</f>
        <v>22074.780000000006</v>
      </c>
      <c r="F28" s="35">
        <f t="shared" si="0"/>
        <v>-5554.6699999999964</v>
      </c>
      <c r="G28" s="34">
        <f t="shared" si="0"/>
        <v>-16869.092000000008</v>
      </c>
      <c r="H28" s="22">
        <f t="shared" si="0"/>
        <v>42476.456299999991</v>
      </c>
      <c r="I28" s="22">
        <f t="shared" si="0"/>
        <v>-11959.580000000002</v>
      </c>
      <c r="J28" s="22">
        <f t="shared" si="0"/>
        <v>20813.699999999939</v>
      </c>
      <c r="K28" s="35">
        <f>SUM(K5,K7:K18,K20:K27)</f>
        <v>19069.339999999953</v>
      </c>
      <c r="L28" s="34">
        <f t="shared" si="0"/>
        <v>79564.746599999999</v>
      </c>
      <c r="M28" s="22">
        <f t="shared" si="0"/>
        <v>124093.3563</v>
      </c>
      <c r="N28" s="22">
        <f t="shared" si="0"/>
        <v>55046.925199999976</v>
      </c>
      <c r="O28" s="22">
        <f t="shared" si="0"/>
        <v>-3771.1921000000038</v>
      </c>
      <c r="P28" s="35">
        <f t="shared" si="0"/>
        <v>157284.6783</v>
      </c>
      <c r="Q28" s="34">
        <f t="shared" si="0"/>
        <v>23928.531700000007</v>
      </c>
      <c r="R28" s="22">
        <f t="shared" si="0"/>
        <v>89918.930100000027</v>
      </c>
      <c r="S28" s="22">
        <f t="shared" si="0"/>
        <v>57694.846399999966</v>
      </c>
      <c r="T28" s="22">
        <f t="shared" si="0"/>
        <v>-86013.679699999935</v>
      </c>
      <c r="U28" s="35">
        <f t="shared" si="0"/>
        <v>21632.430999999931</v>
      </c>
    </row>
    <row r="29" spans="1:21" s="44" customFormat="1" ht="15" thickBot="1" x14ac:dyDescent="0.35">
      <c r="A29" s="80"/>
      <c r="B29" s="67"/>
      <c r="C29" s="68"/>
      <c r="D29" s="68"/>
      <c r="E29" s="68"/>
      <c r="F29" s="69"/>
      <c r="G29" s="67"/>
      <c r="H29" s="68"/>
      <c r="I29" s="68"/>
      <c r="J29" s="68"/>
      <c r="K29" s="69"/>
      <c r="L29" s="67"/>
      <c r="M29" s="68"/>
      <c r="N29" s="68"/>
      <c r="O29" s="68"/>
      <c r="P29" s="69"/>
      <c r="Q29" s="67"/>
      <c r="R29" s="68"/>
      <c r="S29" s="68"/>
      <c r="T29" s="68"/>
      <c r="U29" s="69"/>
    </row>
    <row r="30" spans="1:21" s="44" customFormat="1" ht="15" thickBot="1" x14ac:dyDescent="0.35">
      <c r="A30" s="563" t="s">
        <v>193</v>
      </c>
      <c r="B30" s="564"/>
      <c r="C30" s="564"/>
      <c r="D30" s="564"/>
      <c r="E30" s="564"/>
      <c r="F30" s="564"/>
      <c r="G30" s="564"/>
      <c r="H30" s="564"/>
      <c r="I30" s="564"/>
      <c r="J30" s="564"/>
      <c r="K30" s="564"/>
      <c r="L30" s="564"/>
      <c r="M30" s="564"/>
      <c r="N30" s="564"/>
      <c r="O30" s="564"/>
      <c r="P30" s="564"/>
      <c r="Q30" s="564"/>
      <c r="R30" s="564"/>
      <c r="S30" s="564"/>
      <c r="T30" s="564"/>
      <c r="U30" s="565"/>
    </row>
    <row r="31" spans="1:21" s="44" customFormat="1" x14ac:dyDescent="0.3">
      <c r="A31" s="80" t="s">
        <v>194</v>
      </c>
      <c r="B31" s="62">
        <v>-1104.2693999999999</v>
      </c>
      <c r="C31" s="63">
        <v>-938.44</v>
      </c>
      <c r="D31" s="63">
        <v>-1408.97</v>
      </c>
      <c r="E31" s="63">
        <v>-1389.42</v>
      </c>
      <c r="F31" s="64">
        <v>-2385.41</v>
      </c>
      <c r="G31" s="62">
        <v>-1635.8706</v>
      </c>
      <c r="H31" s="63">
        <v>-1696.146</v>
      </c>
      <c r="I31" s="63">
        <v>-2236.2399999999998</v>
      </c>
      <c r="J31" s="63">
        <v>-3466.57</v>
      </c>
      <c r="K31" s="64">
        <v>-4286.72</v>
      </c>
      <c r="L31" s="62">
        <v>-1873.4521999999999</v>
      </c>
      <c r="M31" s="63">
        <v>-1430.1487</v>
      </c>
      <c r="N31" s="63">
        <v>-1610.9856</v>
      </c>
      <c r="O31" s="63">
        <v>-2467.6808000000001</v>
      </c>
      <c r="P31" s="64">
        <v>-3678.5464000000002</v>
      </c>
      <c r="Q31" s="62">
        <v>-3065.0113000000001</v>
      </c>
      <c r="R31" s="63">
        <f>-3909.825+81.8047</f>
        <v>-3828.0202999999997</v>
      </c>
      <c r="S31" s="63">
        <f>-3305.2601+254.3431</f>
        <v>-3050.9169999999999</v>
      </c>
      <c r="T31" s="63">
        <v>-4043.6315</v>
      </c>
      <c r="U31" s="64">
        <v>-4175.1261999999997</v>
      </c>
    </row>
    <row r="32" spans="1:21" s="44" customFormat="1" x14ac:dyDescent="0.3">
      <c r="A32" s="80" t="s">
        <v>195</v>
      </c>
      <c r="B32" s="65">
        <v>-8581.9362000000001</v>
      </c>
      <c r="C32" s="47">
        <v>-53269.93</v>
      </c>
      <c r="D32" s="47">
        <v>-25830.38</v>
      </c>
      <c r="E32" s="47">
        <v>-19714.150000000001</v>
      </c>
      <c r="F32" s="66">
        <v>-6381.97</v>
      </c>
      <c r="G32" s="65">
        <v>0</v>
      </c>
      <c r="H32" s="47">
        <v>0</v>
      </c>
      <c r="I32" s="47">
        <v>0</v>
      </c>
      <c r="J32" s="47">
        <v>0</v>
      </c>
      <c r="K32" s="66">
        <v>0</v>
      </c>
      <c r="L32" s="65">
        <v>-40460.513099999996</v>
      </c>
      <c r="M32" s="47">
        <v>-57037.843999999997</v>
      </c>
      <c r="N32" s="47">
        <v>-38089.499799999998</v>
      </c>
      <c r="O32" s="47">
        <v>-65825.058999999994</v>
      </c>
      <c r="P32" s="66">
        <v>-142322.43530000001</v>
      </c>
      <c r="Q32" s="65">
        <v>-6031.0605999999998</v>
      </c>
      <c r="R32" s="47">
        <v>0</v>
      </c>
      <c r="S32" s="47">
        <v>0</v>
      </c>
      <c r="T32" s="47">
        <v>0</v>
      </c>
      <c r="U32" s="66">
        <v>0</v>
      </c>
    </row>
    <row r="33" spans="1:21" s="44" customFormat="1" x14ac:dyDescent="0.3">
      <c r="A33" s="80" t="s">
        <v>196</v>
      </c>
      <c r="B33" s="65">
        <v>27.342600000000001</v>
      </c>
      <c r="C33" s="47">
        <v>13.55</v>
      </c>
      <c r="D33" s="47">
        <v>7.25</v>
      </c>
      <c r="E33" s="47">
        <v>11.73</v>
      </c>
      <c r="F33" s="66">
        <v>9.07</v>
      </c>
      <c r="G33" s="65">
        <v>18.946200000000001</v>
      </c>
      <c r="H33" s="47">
        <v>15.280900000000001</v>
      </c>
      <c r="I33" s="47">
        <v>19.91</v>
      </c>
      <c r="J33" s="47">
        <v>42.68</v>
      </c>
      <c r="K33" s="66">
        <v>99.82</v>
      </c>
      <c r="L33" s="65">
        <v>25.537400000000002</v>
      </c>
      <c r="M33" s="47">
        <v>5.6622000000000003</v>
      </c>
      <c r="N33" s="47">
        <v>20.866499999999998</v>
      </c>
      <c r="O33" s="47">
        <v>287.41759999999999</v>
      </c>
      <c r="P33" s="66">
        <v>69.889300000000006</v>
      </c>
      <c r="Q33" s="65">
        <v>0</v>
      </c>
      <c r="R33" s="47">
        <v>0</v>
      </c>
      <c r="S33" s="47">
        <v>0</v>
      </c>
      <c r="T33" s="47">
        <v>0</v>
      </c>
      <c r="U33" s="66">
        <v>0</v>
      </c>
    </row>
    <row r="34" spans="1:21" s="44" customFormat="1" x14ac:dyDescent="0.3">
      <c r="A34" s="80" t="s">
        <v>211</v>
      </c>
      <c r="B34" s="65">
        <v>0</v>
      </c>
      <c r="C34" s="47">
        <v>0</v>
      </c>
      <c r="D34" s="47">
        <v>0</v>
      </c>
      <c r="E34" s="47">
        <v>-11602.54</v>
      </c>
      <c r="F34" s="66">
        <v>-329.85</v>
      </c>
      <c r="G34" s="65">
        <v>0</v>
      </c>
      <c r="H34" s="47">
        <v>0</v>
      </c>
      <c r="I34" s="47">
        <v>0</v>
      </c>
      <c r="J34" s="47">
        <v>0</v>
      </c>
      <c r="K34" s="66"/>
      <c r="L34" s="65">
        <v>0</v>
      </c>
      <c r="M34" s="47">
        <v>0</v>
      </c>
      <c r="N34" s="47">
        <v>0</v>
      </c>
      <c r="O34" s="47">
        <v>0</v>
      </c>
      <c r="P34" s="66">
        <v>0</v>
      </c>
      <c r="Q34" s="65">
        <v>184.08189999999999</v>
      </c>
      <c r="R34" s="47">
        <v>-3176.9416000000001</v>
      </c>
      <c r="S34" s="47">
        <v>-582.76400000000001</v>
      </c>
      <c r="T34" s="47">
        <v>0</v>
      </c>
      <c r="U34" s="66">
        <v>-82.161000000000001</v>
      </c>
    </row>
    <row r="35" spans="1:21" s="44" customFormat="1" x14ac:dyDescent="0.3">
      <c r="A35" s="80" t="s">
        <v>217</v>
      </c>
      <c r="B35" s="65"/>
      <c r="C35" s="47"/>
      <c r="D35" s="47"/>
      <c r="E35" s="47"/>
      <c r="F35" s="66"/>
      <c r="G35" s="65"/>
      <c r="H35" s="47"/>
      <c r="I35" s="47"/>
      <c r="J35" s="47"/>
      <c r="K35" s="66"/>
      <c r="L35" s="65"/>
      <c r="M35" s="47"/>
      <c r="N35" s="47"/>
      <c r="O35" s="47"/>
      <c r="P35" s="66"/>
      <c r="Q35" s="65">
        <v>0</v>
      </c>
      <c r="R35" s="47">
        <v>3.1949999999999998</v>
      </c>
      <c r="S35" s="47">
        <v>3.1949999999999998</v>
      </c>
      <c r="T35" s="47">
        <v>2.6625000000000001</v>
      </c>
      <c r="U35" s="66">
        <v>5.5719000000000003</v>
      </c>
    </row>
    <row r="36" spans="1:21" s="44" customFormat="1" x14ac:dyDescent="0.3">
      <c r="A36" s="80" t="s">
        <v>215</v>
      </c>
      <c r="B36" s="65"/>
      <c r="C36" s="47"/>
      <c r="D36" s="47"/>
      <c r="E36" s="47"/>
      <c r="F36" s="66"/>
      <c r="G36" s="65"/>
      <c r="H36" s="47"/>
      <c r="I36" s="47"/>
      <c r="J36" s="47"/>
      <c r="K36" s="66"/>
      <c r="L36" s="65">
        <v>0</v>
      </c>
      <c r="M36" s="47">
        <v>1233.9949999999999</v>
      </c>
      <c r="N36" s="47">
        <v>1828.7906</v>
      </c>
      <c r="O36" s="47">
        <v>0</v>
      </c>
      <c r="P36" s="66">
        <v>0</v>
      </c>
      <c r="Q36" s="65">
        <v>14.6677</v>
      </c>
      <c r="R36" s="47">
        <f>1577.8431-254.4131</f>
        <v>1323.43</v>
      </c>
      <c r="S36" s="47">
        <v>9.7431999999999999</v>
      </c>
      <c r="T36" s="47">
        <v>0</v>
      </c>
      <c r="U36" s="66">
        <v>0</v>
      </c>
    </row>
    <row r="37" spans="1:21" s="44" customFormat="1" x14ac:dyDescent="0.3">
      <c r="A37" s="80" t="s">
        <v>213</v>
      </c>
      <c r="B37" s="65"/>
      <c r="C37" s="47"/>
      <c r="D37" s="47"/>
      <c r="E37" s="47"/>
      <c r="F37" s="66"/>
      <c r="G37" s="65"/>
      <c r="H37" s="47"/>
      <c r="I37" s="47"/>
      <c r="J37" s="47"/>
      <c r="K37" s="66">
        <v>9500.67</v>
      </c>
      <c r="L37" s="65">
        <v>0</v>
      </c>
      <c r="M37" s="47">
        <v>3736.9337999999998</v>
      </c>
      <c r="N37" s="47">
        <v>2815.38</v>
      </c>
      <c r="O37" s="47">
        <v>0</v>
      </c>
      <c r="P37" s="66">
        <v>0</v>
      </c>
      <c r="Q37" s="65">
        <v>5573.6296000000002</v>
      </c>
      <c r="R37" s="47">
        <v>1942.1097</v>
      </c>
      <c r="S37" s="47">
        <v>2.2296</v>
      </c>
      <c r="T37" s="47">
        <v>0</v>
      </c>
      <c r="U37" s="66">
        <v>0</v>
      </c>
    </row>
    <row r="38" spans="1:21" s="51" customFormat="1" x14ac:dyDescent="0.3">
      <c r="A38" s="79" t="s">
        <v>205</v>
      </c>
      <c r="B38" s="34">
        <f t="shared" ref="B38:J38" si="1">SUM(B31:B34)</f>
        <v>-9658.8629999999994</v>
      </c>
      <c r="C38" s="22">
        <f t="shared" si="1"/>
        <v>-54194.82</v>
      </c>
      <c r="D38" s="22">
        <f t="shared" si="1"/>
        <v>-27232.100000000002</v>
      </c>
      <c r="E38" s="22">
        <f t="shared" si="1"/>
        <v>-32694.38</v>
      </c>
      <c r="F38" s="35">
        <f t="shared" si="1"/>
        <v>-9088.1600000000017</v>
      </c>
      <c r="G38" s="34">
        <f t="shared" si="1"/>
        <v>-1616.9243999999999</v>
      </c>
      <c r="H38" s="22">
        <f t="shared" si="1"/>
        <v>-1680.8651</v>
      </c>
      <c r="I38" s="22">
        <f t="shared" si="1"/>
        <v>-2216.33</v>
      </c>
      <c r="J38" s="22">
        <f t="shared" si="1"/>
        <v>-3423.8900000000003</v>
      </c>
      <c r="K38" s="35">
        <f t="shared" ref="K38:U38" si="2">SUM(K31:K37)</f>
        <v>5313.7699999999995</v>
      </c>
      <c r="L38" s="34">
        <f t="shared" si="2"/>
        <v>-42308.427899999995</v>
      </c>
      <c r="M38" s="22">
        <f t="shared" si="2"/>
        <v>-53491.401699999995</v>
      </c>
      <c r="N38" s="22">
        <f t="shared" si="2"/>
        <v>-35035.448300000004</v>
      </c>
      <c r="O38" s="22">
        <f t="shared" si="2"/>
        <v>-68005.322199999995</v>
      </c>
      <c r="P38" s="35">
        <f t="shared" si="2"/>
        <v>-145931.09239999999</v>
      </c>
      <c r="Q38" s="34">
        <f t="shared" si="2"/>
        <v>-3323.6926999999996</v>
      </c>
      <c r="R38" s="22">
        <f t="shared" si="2"/>
        <v>-3736.2272000000003</v>
      </c>
      <c r="S38" s="22">
        <f t="shared" si="2"/>
        <v>-3618.5131999999999</v>
      </c>
      <c r="T38" s="22">
        <f t="shared" si="2"/>
        <v>-4040.9690000000001</v>
      </c>
      <c r="U38" s="35">
        <f t="shared" si="2"/>
        <v>-4251.7152999999998</v>
      </c>
    </row>
    <row r="39" spans="1:21" s="44" customFormat="1" ht="15" thickBot="1" x14ac:dyDescent="0.35">
      <c r="A39" s="80"/>
      <c r="B39" s="67"/>
      <c r="C39" s="68"/>
      <c r="D39" s="68"/>
      <c r="E39" s="68"/>
      <c r="F39" s="69"/>
      <c r="G39" s="67"/>
      <c r="H39" s="68"/>
      <c r="I39" s="68"/>
      <c r="J39" s="68"/>
      <c r="K39" s="69"/>
      <c r="L39" s="67"/>
      <c r="M39" s="68"/>
      <c r="N39" s="68"/>
      <c r="O39" s="68"/>
      <c r="P39" s="69"/>
      <c r="Q39" s="67"/>
      <c r="R39" s="68"/>
      <c r="S39" s="68"/>
      <c r="T39" s="68"/>
      <c r="U39" s="69"/>
    </row>
    <row r="40" spans="1:21" s="44" customFormat="1" ht="15" thickBot="1" x14ac:dyDescent="0.35">
      <c r="A40" s="563" t="s">
        <v>197</v>
      </c>
      <c r="B40" s="564"/>
      <c r="C40" s="564"/>
      <c r="D40" s="564"/>
      <c r="E40" s="564"/>
      <c r="F40" s="564"/>
      <c r="G40" s="564"/>
      <c r="H40" s="564"/>
      <c r="I40" s="564"/>
      <c r="J40" s="564"/>
      <c r="K40" s="564"/>
      <c r="L40" s="564"/>
      <c r="M40" s="564"/>
      <c r="N40" s="564"/>
      <c r="O40" s="564"/>
      <c r="P40" s="564"/>
      <c r="Q40" s="564"/>
      <c r="R40" s="564"/>
      <c r="S40" s="564"/>
      <c r="T40" s="564"/>
      <c r="U40" s="565"/>
    </row>
    <row r="41" spans="1:21" s="44" customFormat="1" ht="28.8" x14ac:dyDescent="0.3">
      <c r="A41" s="81" t="s">
        <v>198</v>
      </c>
      <c r="B41" s="62">
        <v>-2000</v>
      </c>
      <c r="C41" s="63">
        <v>0</v>
      </c>
      <c r="D41" s="63">
        <v>-2377.4499999999998</v>
      </c>
      <c r="E41" s="63">
        <f>12382.65-6000</f>
        <v>6382.65</v>
      </c>
      <c r="F41" s="64">
        <v>0</v>
      </c>
      <c r="G41" s="62">
        <v>743.5</v>
      </c>
      <c r="H41" s="63">
        <f>356.5-1105</f>
        <v>-748.5</v>
      </c>
      <c r="I41" s="63">
        <f>8312.75-3650</f>
        <v>4662.75</v>
      </c>
      <c r="J41" s="63">
        <f>23000-12077</f>
        <v>10923</v>
      </c>
      <c r="K41" s="64">
        <f>2350-230</f>
        <v>2120</v>
      </c>
      <c r="L41" s="62">
        <v>0</v>
      </c>
      <c r="M41" s="63">
        <v>0</v>
      </c>
      <c r="N41" s="63">
        <v>0</v>
      </c>
      <c r="O41" s="63">
        <v>0</v>
      </c>
      <c r="P41" s="64">
        <v>0</v>
      </c>
      <c r="Q41" s="62">
        <f>8495.818-4908.0907</f>
        <v>3587.7272999999996</v>
      </c>
      <c r="R41" s="63">
        <f>27431-16897.664-5069.1088</f>
        <v>5464.2271999999994</v>
      </c>
      <c r="S41" s="63">
        <f>14074-10518.3-5411.0089</f>
        <v>-1855.3088999999991</v>
      </c>
      <c r="T41" s="63">
        <f>19533.0925-2125-6324.6256</f>
        <v>11083.466899999999</v>
      </c>
      <c r="U41" s="64">
        <f>20164.6479-14288.2-8589.2532</f>
        <v>-2712.8053</v>
      </c>
    </row>
    <row r="42" spans="1:21" s="44" customFormat="1" x14ac:dyDescent="0.3">
      <c r="A42" s="80" t="s">
        <v>199</v>
      </c>
      <c r="B42" s="65">
        <v>-4069.6631000000002</v>
      </c>
      <c r="C42" s="47">
        <v>-2931.44</v>
      </c>
      <c r="D42" s="47">
        <v>49906.9</v>
      </c>
      <c r="E42" s="47">
        <v>52.76</v>
      </c>
      <c r="F42" s="66">
        <v>21985.98</v>
      </c>
      <c r="G42" s="65">
        <v>28358.044099999999</v>
      </c>
      <c r="H42" s="47">
        <v>-8389.0743999999995</v>
      </c>
      <c r="I42" s="47">
        <v>44308.08</v>
      </c>
      <c r="J42" s="47">
        <v>18007.29</v>
      </c>
      <c r="K42" s="66">
        <v>-7342.84</v>
      </c>
      <c r="L42" s="65">
        <f>36611.4451-52000.6249+18718.421</f>
        <v>3329.2411999999931</v>
      </c>
      <c r="M42" s="47">
        <f>15208.9846-37729.0832-48875.2518</f>
        <v>-71395.350399999996</v>
      </c>
      <c r="N42" s="47">
        <f>25260.1665-23314.4678+13509.5945</f>
        <v>15455.2932</v>
      </c>
      <c r="O42" s="47">
        <f>41736.1966-26891.7978+12483.696</f>
        <v>27328.094800000003</v>
      </c>
      <c r="P42" s="66">
        <f>39196.8191-39146.8771+18142.3005</f>
        <v>18192.242500000004</v>
      </c>
      <c r="Q42" s="65">
        <v>0</v>
      </c>
      <c r="R42" s="47">
        <v>0</v>
      </c>
      <c r="S42" s="47">
        <v>0</v>
      </c>
      <c r="T42" s="47"/>
      <c r="U42" s="66"/>
    </row>
    <row r="43" spans="1:21" s="44" customFormat="1" x14ac:dyDescent="0.3">
      <c r="A43" s="80" t="s">
        <v>200</v>
      </c>
      <c r="B43" s="65">
        <v>50.006599999999999</v>
      </c>
      <c r="C43" s="47">
        <v>48.41</v>
      </c>
      <c r="D43" s="47">
        <v>1.2</v>
      </c>
      <c r="E43" s="47">
        <v>1.42</v>
      </c>
      <c r="F43" s="66">
        <v>1.94</v>
      </c>
      <c r="G43" s="65">
        <v>1848.6821</v>
      </c>
      <c r="H43" s="47">
        <v>1760.0995</v>
      </c>
      <c r="I43" s="47">
        <v>2609.7600000000002</v>
      </c>
      <c r="J43" s="47">
        <v>3415.83</v>
      </c>
      <c r="K43" s="66">
        <v>5249.73</v>
      </c>
      <c r="L43" s="65">
        <v>549.32129999999995</v>
      </c>
      <c r="M43" s="47">
        <v>15460.0321</v>
      </c>
      <c r="N43" s="47">
        <v>797.97640000000001</v>
      </c>
      <c r="O43" s="47">
        <v>942.06910000000005</v>
      </c>
      <c r="P43" s="66">
        <v>1170.8675000000001</v>
      </c>
      <c r="Q43" s="65">
        <v>0</v>
      </c>
      <c r="R43" s="47">
        <v>0</v>
      </c>
      <c r="S43" s="47">
        <v>0</v>
      </c>
      <c r="T43" s="47"/>
      <c r="U43" s="66"/>
    </row>
    <row r="44" spans="1:21" s="44" customFormat="1" x14ac:dyDescent="0.3">
      <c r="A44" s="80" t="s">
        <v>201</v>
      </c>
      <c r="B44" s="65">
        <v>15187.706399999999</v>
      </c>
      <c r="C44" s="47">
        <v>10102.17</v>
      </c>
      <c r="D44" s="47">
        <v>275.83</v>
      </c>
      <c r="E44" s="47">
        <v>378.81</v>
      </c>
      <c r="F44" s="66">
        <v>555.26</v>
      </c>
      <c r="G44" s="65">
        <v>0</v>
      </c>
      <c r="H44" s="47">
        <v>0</v>
      </c>
      <c r="I44" s="47">
        <v>0</v>
      </c>
      <c r="J44" s="47">
        <v>0</v>
      </c>
      <c r="K44" s="66">
        <v>3192.81</v>
      </c>
      <c r="L44" s="65">
        <v>0</v>
      </c>
      <c r="M44" s="47">
        <v>0</v>
      </c>
      <c r="N44" s="47">
        <v>0</v>
      </c>
      <c r="O44" s="47">
        <v>0</v>
      </c>
      <c r="P44" s="66">
        <v>0</v>
      </c>
      <c r="Q44" s="65">
        <v>0</v>
      </c>
      <c r="R44" s="47">
        <v>0</v>
      </c>
      <c r="S44" s="47">
        <v>0</v>
      </c>
      <c r="T44" s="47">
        <v>6.4000000000000003E-3</v>
      </c>
      <c r="U44" s="66">
        <v>0</v>
      </c>
    </row>
    <row r="45" spans="1:21" s="44" customFormat="1" x14ac:dyDescent="0.3">
      <c r="A45" s="80" t="s">
        <v>202</v>
      </c>
      <c r="B45" s="65">
        <v>-331.8569</v>
      </c>
      <c r="C45" s="47">
        <v>0</v>
      </c>
      <c r="D45" s="47">
        <v>0</v>
      </c>
      <c r="E45" s="47">
        <v>-307.14</v>
      </c>
      <c r="F45" s="66">
        <v>-307.98</v>
      </c>
      <c r="G45" s="65">
        <v>-6630.5761000000002</v>
      </c>
      <c r="H45" s="47">
        <v>0</v>
      </c>
      <c r="I45" s="47">
        <v>-3592.4</v>
      </c>
      <c r="J45" s="47">
        <v>-8604.52</v>
      </c>
      <c r="K45" s="66">
        <v>-8404.42</v>
      </c>
      <c r="L45" s="65">
        <v>-886.37919999999997</v>
      </c>
      <c r="M45" s="47">
        <v>0</v>
      </c>
      <c r="N45" s="47">
        <v>-1385.2335</v>
      </c>
      <c r="O45" s="47">
        <v>-3479.4463000000001</v>
      </c>
      <c r="P45" s="66">
        <v>-5598.5964000000004</v>
      </c>
      <c r="Q45" s="65">
        <v>-65.040000000000006</v>
      </c>
      <c r="R45" s="47">
        <v>-3.6516000000000002</v>
      </c>
      <c r="S45" s="47">
        <f>-3569.8446-0.8664</f>
        <v>-3570.7109999999998</v>
      </c>
      <c r="T45" s="47">
        <f>-6336.7216-1.2283</f>
        <v>-6337.9498999999996</v>
      </c>
      <c r="U45" s="66">
        <f>-10084.8115-12.4081</f>
        <v>-10097.2196</v>
      </c>
    </row>
    <row r="46" spans="1:21" s="44" customFormat="1" x14ac:dyDescent="0.3">
      <c r="A46" s="80" t="s">
        <v>203</v>
      </c>
      <c r="B46" s="65">
        <v>28.940999999999999</v>
      </c>
      <c r="C46" s="47">
        <v>60.19</v>
      </c>
      <c r="D46" s="47">
        <v>87.6</v>
      </c>
      <c r="E46" s="47">
        <v>132.04</v>
      </c>
      <c r="F46" s="66">
        <v>106.05</v>
      </c>
      <c r="G46" s="65">
        <v>74.846599999999995</v>
      </c>
      <c r="H46" s="47">
        <v>56.123399999999997</v>
      </c>
      <c r="I46" s="47">
        <v>135.83000000000001</v>
      </c>
      <c r="J46" s="47">
        <v>198.96</v>
      </c>
      <c r="K46" s="66">
        <v>1201.6600000000001</v>
      </c>
      <c r="L46" s="65">
        <v>0</v>
      </c>
      <c r="M46" s="47">
        <v>0</v>
      </c>
      <c r="N46" s="47">
        <v>0</v>
      </c>
      <c r="O46" s="47">
        <v>0</v>
      </c>
      <c r="P46" s="66">
        <v>0</v>
      </c>
      <c r="Q46" s="65">
        <v>1906.8307</v>
      </c>
      <c r="R46" s="47">
        <v>1682.0945999999999</v>
      </c>
      <c r="S46" s="47">
        <v>1581.5062</v>
      </c>
      <c r="T46" s="47">
        <v>1640.8585</v>
      </c>
      <c r="U46" s="66">
        <v>2913.7449000000001</v>
      </c>
    </row>
    <row r="47" spans="1:21" s="51" customFormat="1" x14ac:dyDescent="0.3">
      <c r="A47" s="79" t="s">
        <v>204</v>
      </c>
      <c r="B47" s="34">
        <f>SUM(B41:B46)</f>
        <v>8865.1339999999982</v>
      </c>
      <c r="C47" s="22">
        <f t="shared" ref="C47:U47" si="3">SUM(C41:C46)</f>
        <v>7279.329999999999</v>
      </c>
      <c r="D47" s="22">
        <f t="shared" si="3"/>
        <v>47894.080000000002</v>
      </c>
      <c r="E47" s="22">
        <f t="shared" si="3"/>
        <v>6640.54</v>
      </c>
      <c r="F47" s="35">
        <f t="shared" si="3"/>
        <v>22341.249999999996</v>
      </c>
      <c r="G47" s="34">
        <f t="shared" si="3"/>
        <v>24394.4967</v>
      </c>
      <c r="H47" s="22">
        <f t="shared" si="3"/>
        <v>-7321.3514999999989</v>
      </c>
      <c r="I47" s="22">
        <f t="shared" si="3"/>
        <v>48124.020000000004</v>
      </c>
      <c r="J47" s="22">
        <f t="shared" si="3"/>
        <v>23940.560000000001</v>
      </c>
      <c r="K47" s="35">
        <f t="shared" si="3"/>
        <v>-3983.0600000000013</v>
      </c>
      <c r="L47" s="34">
        <f t="shared" si="3"/>
        <v>2992.1832999999933</v>
      </c>
      <c r="M47" s="22">
        <f t="shared" si="3"/>
        <v>-55935.318299999999</v>
      </c>
      <c r="N47" s="22">
        <f t="shared" si="3"/>
        <v>14868.036099999999</v>
      </c>
      <c r="O47" s="22">
        <f t="shared" si="3"/>
        <v>24790.717600000004</v>
      </c>
      <c r="P47" s="35">
        <f t="shared" si="3"/>
        <v>13764.513600000004</v>
      </c>
      <c r="Q47" s="34">
        <f t="shared" si="3"/>
        <v>5429.518</v>
      </c>
      <c r="R47" s="22">
        <f t="shared" si="3"/>
        <v>7142.6701999999987</v>
      </c>
      <c r="S47" s="22">
        <f t="shared" si="3"/>
        <v>-3844.5136999999995</v>
      </c>
      <c r="T47" s="22">
        <f t="shared" si="3"/>
        <v>6386.3819000000003</v>
      </c>
      <c r="U47" s="35">
        <f t="shared" si="3"/>
        <v>-9896.2800000000007</v>
      </c>
    </row>
    <row r="48" spans="1:21" s="44" customFormat="1" x14ac:dyDescent="0.3">
      <c r="A48" s="80"/>
      <c r="B48" s="65"/>
      <c r="C48" s="47"/>
      <c r="D48" s="47"/>
      <c r="E48" s="47"/>
      <c r="F48" s="66"/>
      <c r="G48" s="65"/>
      <c r="H48" s="47"/>
      <c r="I48" s="47"/>
      <c r="J48" s="47"/>
      <c r="K48" s="66"/>
      <c r="L48" s="65"/>
      <c r="M48" s="47"/>
      <c r="N48" s="47"/>
      <c r="O48" s="47"/>
      <c r="P48" s="66"/>
      <c r="Q48" s="65"/>
      <c r="R48" s="47"/>
      <c r="S48" s="47"/>
      <c r="T48" s="47"/>
      <c r="U48" s="66"/>
    </row>
    <row r="49" spans="1:21" s="44" customFormat="1" x14ac:dyDescent="0.3">
      <c r="A49" s="80" t="s">
        <v>206</v>
      </c>
      <c r="B49" s="65">
        <v>173.55959999999999</v>
      </c>
      <c r="C49" s="47">
        <v>-92.81</v>
      </c>
      <c r="D49" s="47">
        <v>119.87</v>
      </c>
      <c r="E49" s="47">
        <v>343.48</v>
      </c>
      <c r="F49" s="66">
        <v>86.83</v>
      </c>
      <c r="G49" s="65">
        <v>213.98910000000001</v>
      </c>
      <c r="H49" s="47">
        <v>-141.8252</v>
      </c>
      <c r="I49" s="47">
        <v>165.1</v>
      </c>
      <c r="J49" s="47">
        <v>431.71</v>
      </c>
      <c r="K49" s="66">
        <v>104.94</v>
      </c>
      <c r="L49" s="65">
        <v>213.52440000000001</v>
      </c>
      <c r="M49" s="47">
        <v>-594.12509999999997</v>
      </c>
      <c r="N49" s="47">
        <v>-185.3998</v>
      </c>
      <c r="O49" s="47">
        <v>316.30630000000002</v>
      </c>
      <c r="P49" s="66">
        <v>423.44349999999997</v>
      </c>
      <c r="Q49" s="65">
        <v>2768.6426999999999</v>
      </c>
      <c r="R49" s="47">
        <v>66.399000000000001</v>
      </c>
      <c r="S49" s="47">
        <v>966.26649999999995</v>
      </c>
      <c r="T49" s="47">
        <v>3075.0545999999999</v>
      </c>
      <c r="U49" s="66">
        <v>775.95809999999994</v>
      </c>
    </row>
    <row r="50" spans="1:21" s="51" customFormat="1" x14ac:dyDescent="0.3">
      <c r="A50" s="79" t="s">
        <v>207</v>
      </c>
      <c r="B50" s="34">
        <f>B28+B38+B47+B49</f>
        <v>29795.466199999988</v>
      </c>
      <c r="C50" s="22">
        <f t="shared" ref="C50:U50" si="4">C28+C38+C47+C49</f>
        <v>-34375.42</v>
      </c>
      <c r="D50" s="22">
        <f t="shared" si="4"/>
        <v>48919.15</v>
      </c>
      <c r="E50" s="22">
        <f t="shared" si="4"/>
        <v>-3635.5799999999949</v>
      </c>
      <c r="F50" s="35">
        <f t="shared" si="4"/>
        <v>7785.2499999999982</v>
      </c>
      <c r="G50" s="34">
        <f t="shared" si="4"/>
        <v>6122.4693999999918</v>
      </c>
      <c r="H50" s="22">
        <f t="shared" si="4"/>
        <v>33332.414499999992</v>
      </c>
      <c r="I50" s="22">
        <f t="shared" si="4"/>
        <v>34113.21</v>
      </c>
      <c r="J50" s="22">
        <f t="shared" si="4"/>
        <v>41762.079999999936</v>
      </c>
      <c r="K50" s="35">
        <f t="shared" si="4"/>
        <v>20504.989999999951</v>
      </c>
      <c r="L50" s="34">
        <f t="shared" si="4"/>
        <v>40462.026399999995</v>
      </c>
      <c r="M50" s="22">
        <f t="shared" si="4"/>
        <v>14072.511199999999</v>
      </c>
      <c r="N50" s="22">
        <f t="shared" si="4"/>
        <v>34694.113199999971</v>
      </c>
      <c r="O50" s="22">
        <f t="shared" si="4"/>
        <v>-46669.490399999995</v>
      </c>
      <c r="P50" s="35">
        <f t="shared" si="4"/>
        <v>25541.543000000012</v>
      </c>
      <c r="Q50" s="34">
        <f t="shared" si="4"/>
        <v>28802.999700000008</v>
      </c>
      <c r="R50" s="22">
        <f t="shared" si="4"/>
        <v>93391.772100000031</v>
      </c>
      <c r="S50" s="22">
        <f t="shared" si="4"/>
        <v>51198.085999999967</v>
      </c>
      <c r="T50" s="22">
        <f t="shared" si="4"/>
        <v>-80593.212199999922</v>
      </c>
      <c r="U50" s="35">
        <f t="shared" si="4"/>
        <v>8260.3937999999307</v>
      </c>
    </row>
    <row r="51" spans="1:21" s="52" customFormat="1" x14ac:dyDescent="0.3">
      <c r="A51" s="82" t="s">
        <v>214</v>
      </c>
      <c r="B51" s="71"/>
      <c r="C51" s="23"/>
      <c r="D51" s="23"/>
      <c r="E51" s="23"/>
      <c r="F51" s="72"/>
      <c r="G51" s="71"/>
      <c r="H51" s="23"/>
      <c r="I51" s="23"/>
      <c r="J51" s="23"/>
      <c r="K51" s="72">
        <v>11181.71</v>
      </c>
      <c r="L51" s="71">
        <v>0</v>
      </c>
      <c r="M51" s="23">
        <v>0</v>
      </c>
      <c r="N51" s="23">
        <v>0</v>
      </c>
      <c r="O51" s="23">
        <v>0</v>
      </c>
      <c r="P51" s="72">
        <v>0</v>
      </c>
      <c r="Q51" s="71">
        <v>0</v>
      </c>
      <c r="R51" s="23"/>
      <c r="S51" s="23"/>
      <c r="T51" s="23"/>
      <c r="U51" s="72"/>
    </row>
    <row r="52" spans="1:21" s="44" customFormat="1" x14ac:dyDescent="0.3">
      <c r="A52" s="80" t="s">
        <v>208</v>
      </c>
      <c r="B52" s="65">
        <v>68004.308199999999</v>
      </c>
      <c r="C52" s="47">
        <f>B53</f>
        <v>97799.774399999995</v>
      </c>
      <c r="D52" s="47">
        <f>C53</f>
        <v>63424.354399999997</v>
      </c>
      <c r="E52" s="47">
        <f>D53</f>
        <v>112343.50440000001</v>
      </c>
      <c r="F52" s="66">
        <f>E53</f>
        <v>108707.9244</v>
      </c>
      <c r="G52" s="65">
        <v>81817.642300000007</v>
      </c>
      <c r="H52" s="47">
        <f>G53</f>
        <v>87940.111699999994</v>
      </c>
      <c r="I52" s="47">
        <f>H53</f>
        <v>121272.52619999999</v>
      </c>
      <c r="J52" s="47">
        <f>I53</f>
        <v>155385.73619999998</v>
      </c>
      <c r="K52" s="66">
        <f>J53</f>
        <v>197147.81619999991</v>
      </c>
      <c r="L52" s="65">
        <v>87390.895300000004</v>
      </c>
      <c r="M52" s="47">
        <v>119155.7389</v>
      </c>
      <c r="N52" s="47">
        <v>133128.2501</v>
      </c>
      <c r="O52" s="47">
        <v>183125.98319999999</v>
      </c>
      <c r="P52" s="66">
        <f>O53</f>
        <v>136456.49280000001</v>
      </c>
      <c r="Q52" s="65">
        <v>225512.26389999999</v>
      </c>
      <c r="R52" s="47">
        <f>Q53</f>
        <v>254315.26360000001</v>
      </c>
      <c r="S52" s="47">
        <f>R53</f>
        <v>347707.03570000001</v>
      </c>
      <c r="T52" s="47">
        <f>S53</f>
        <v>398905.12169999996</v>
      </c>
      <c r="U52" s="66">
        <f>T53</f>
        <v>318311.90950000007</v>
      </c>
    </row>
    <row r="53" spans="1:21" s="44" customFormat="1" ht="15" thickBot="1" x14ac:dyDescent="0.35">
      <c r="A53" s="83" t="s">
        <v>209</v>
      </c>
      <c r="B53" s="73">
        <f>B50+B52</f>
        <v>97799.774399999995</v>
      </c>
      <c r="C53" s="74">
        <f t="shared" ref="C53:J53" si="5">C50+C52</f>
        <v>63424.354399999997</v>
      </c>
      <c r="D53" s="74">
        <f t="shared" si="5"/>
        <v>112343.50440000001</v>
      </c>
      <c r="E53" s="74">
        <f t="shared" si="5"/>
        <v>108707.9244</v>
      </c>
      <c r="F53" s="75">
        <f t="shared" si="5"/>
        <v>116493.1744</v>
      </c>
      <c r="G53" s="73">
        <f t="shared" si="5"/>
        <v>87940.111699999994</v>
      </c>
      <c r="H53" s="74">
        <f t="shared" si="5"/>
        <v>121272.52619999999</v>
      </c>
      <c r="I53" s="74">
        <f t="shared" si="5"/>
        <v>155385.73619999998</v>
      </c>
      <c r="J53" s="74">
        <f t="shared" si="5"/>
        <v>197147.81619999991</v>
      </c>
      <c r="K53" s="75">
        <f>K50+K52+K51</f>
        <v>228834.51619999987</v>
      </c>
      <c r="L53" s="73">
        <f t="shared" ref="L53:U53" si="6">L50+L52+L51</f>
        <v>127852.92170000001</v>
      </c>
      <c r="M53" s="74">
        <f t="shared" si="6"/>
        <v>133228.2501</v>
      </c>
      <c r="N53" s="74">
        <f t="shared" si="6"/>
        <v>167822.36329999997</v>
      </c>
      <c r="O53" s="74">
        <f t="shared" si="6"/>
        <v>136456.49280000001</v>
      </c>
      <c r="P53" s="75">
        <f t="shared" si="6"/>
        <v>161998.03580000001</v>
      </c>
      <c r="Q53" s="73">
        <f t="shared" si="6"/>
        <v>254315.26360000001</v>
      </c>
      <c r="R53" s="74">
        <f t="shared" si="6"/>
        <v>347707.03570000001</v>
      </c>
      <c r="S53" s="74">
        <f t="shared" si="6"/>
        <v>398905.12169999996</v>
      </c>
      <c r="T53" s="74">
        <f t="shared" si="6"/>
        <v>318311.90950000007</v>
      </c>
      <c r="U53" s="75">
        <f t="shared" si="6"/>
        <v>326572.30329999997</v>
      </c>
    </row>
  </sheetData>
  <mergeCells count="11">
    <mergeCell ref="A4:U4"/>
    <mergeCell ref="A6:U6"/>
    <mergeCell ref="A19:U19"/>
    <mergeCell ref="A30:U30"/>
    <mergeCell ref="A40:U40"/>
    <mergeCell ref="A1:U1"/>
    <mergeCell ref="A2:A3"/>
    <mergeCell ref="B2:F2"/>
    <mergeCell ref="G2:K2"/>
    <mergeCell ref="L2:P2"/>
    <mergeCell ref="Q2:U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289FD-E818-4037-8621-FC982035D960}">
  <sheetPr>
    <tabColor rgb="FF0070C0"/>
  </sheetPr>
  <dimension ref="A1:P146"/>
  <sheetViews>
    <sheetView topLeftCell="A32" zoomScale="80" zoomScaleNormal="80" workbookViewId="0">
      <pane xSplit="1" topLeftCell="D1" activePane="topRight" state="frozen"/>
      <selection pane="topRight" activeCell="B15" sqref="B15"/>
    </sheetView>
  </sheetViews>
  <sheetFormatPr defaultRowHeight="14.4" x14ac:dyDescent="0.3"/>
  <cols>
    <col min="1" max="1" width="61.21875" style="43" bestFit="1" customWidth="1"/>
    <col min="2" max="2" width="10.5546875" style="43" bestFit="1" customWidth="1"/>
    <col min="3" max="3" width="9.88671875" style="43" bestFit="1" customWidth="1"/>
    <col min="4" max="6" width="10.5546875" style="43" bestFit="1" customWidth="1"/>
    <col min="7" max="11" width="11.5546875" style="43" bestFit="1" customWidth="1"/>
    <col min="12" max="12" width="10.88671875" style="43" bestFit="1" customWidth="1"/>
    <col min="13" max="13" width="11.5546875" style="43" bestFit="1" customWidth="1"/>
    <col min="14" max="15" width="10.88671875" style="43" bestFit="1" customWidth="1"/>
    <col min="16" max="16" width="11.5546875" style="43" bestFit="1" customWidth="1"/>
    <col min="17" max="16384" width="8.88671875" style="43"/>
  </cols>
  <sheetData>
    <row r="1" spans="1:16" ht="46.2" customHeight="1" thickBot="1" x14ac:dyDescent="0.35">
      <c r="A1" s="566" t="s">
        <v>175</v>
      </c>
      <c r="B1" s="567"/>
      <c r="C1" s="567"/>
      <c r="D1" s="567"/>
      <c r="E1" s="567"/>
      <c r="F1" s="567"/>
      <c r="G1" s="567"/>
      <c r="H1" s="567"/>
      <c r="I1" s="567"/>
      <c r="J1" s="567"/>
      <c r="K1" s="567"/>
      <c r="L1" s="567"/>
      <c r="M1" s="567"/>
      <c r="N1" s="567"/>
      <c r="O1" s="567"/>
      <c r="P1" s="568"/>
    </row>
    <row r="2" spans="1:16" ht="47.4" customHeight="1" thickBot="1" x14ac:dyDescent="0.35">
      <c r="A2" s="569" t="s">
        <v>20</v>
      </c>
      <c r="B2" s="557" t="e" vm="6">
        <v>#VALUE!</v>
      </c>
      <c r="C2" s="558"/>
      <c r="D2" s="558"/>
      <c r="E2" s="558"/>
      <c r="F2" s="559"/>
      <c r="G2" s="557" t="e" vm="16">
        <v>#VALUE!</v>
      </c>
      <c r="H2" s="558"/>
      <c r="I2" s="558"/>
      <c r="J2" s="558"/>
      <c r="K2" s="559"/>
      <c r="L2" s="557" t="e" vm="7">
        <v>#VALUE!</v>
      </c>
      <c r="M2" s="558"/>
      <c r="N2" s="558"/>
      <c r="O2" s="558"/>
      <c r="P2" s="559"/>
    </row>
    <row r="3" spans="1:16" ht="15" thickBot="1" x14ac:dyDescent="0.35">
      <c r="A3" s="569"/>
      <c r="B3" s="76">
        <v>2020</v>
      </c>
      <c r="C3" s="77">
        <v>2021</v>
      </c>
      <c r="D3" s="77">
        <v>2022</v>
      </c>
      <c r="E3" s="77">
        <v>2023</v>
      </c>
      <c r="F3" s="78">
        <v>2024</v>
      </c>
      <c r="G3" s="76">
        <v>2020</v>
      </c>
      <c r="H3" s="77">
        <v>2021</v>
      </c>
      <c r="I3" s="77">
        <v>2022</v>
      </c>
      <c r="J3" s="77">
        <v>2023</v>
      </c>
      <c r="K3" s="78">
        <v>2024</v>
      </c>
      <c r="L3" s="76">
        <v>2020</v>
      </c>
      <c r="M3" s="77">
        <v>2021</v>
      </c>
      <c r="N3" s="77">
        <v>2022</v>
      </c>
      <c r="O3" s="77">
        <v>2023</v>
      </c>
      <c r="P3" s="78">
        <v>2024</v>
      </c>
    </row>
    <row r="4" spans="1:16" ht="15" thickBot="1" x14ac:dyDescent="0.35">
      <c r="A4" s="570" t="s">
        <v>219</v>
      </c>
      <c r="B4" s="561"/>
      <c r="C4" s="561"/>
      <c r="D4" s="561"/>
      <c r="E4" s="561"/>
      <c r="F4" s="561"/>
      <c r="G4" s="561"/>
      <c r="H4" s="561"/>
      <c r="I4" s="561"/>
      <c r="J4" s="561"/>
      <c r="K4" s="561"/>
      <c r="L4" s="561"/>
      <c r="M4" s="561"/>
      <c r="N4" s="561"/>
      <c r="O4" s="561"/>
      <c r="P4" s="562"/>
    </row>
    <row r="5" spans="1:16" s="44" customFormat="1" ht="15" thickBot="1" x14ac:dyDescent="0.35">
      <c r="A5" s="79" t="s">
        <v>220</v>
      </c>
      <c r="B5" s="57">
        <v>567.45000000000005</v>
      </c>
      <c r="C5" s="58">
        <v>613.17999999999995</v>
      </c>
      <c r="D5" s="58">
        <v>959.86</v>
      </c>
      <c r="E5" s="58">
        <v>1700.06</v>
      </c>
      <c r="F5" s="59">
        <v>2161.3200000000002</v>
      </c>
      <c r="G5" s="57">
        <v>7322.12</v>
      </c>
      <c r="H5" s="58">
        <v>5992.26</v>
      </c>
      <c r="I5" s="58">
        <v>9503.7800000000007</v>
      </c>
      <c r="J5" s="58">
        <v>15527.86</v>
      </c>
      <c r="K5" s="59">
        <v>19309.57</v>
      </c>
      <c r="L5" s="57">
        <v>42603.91</v>
      </c>
      <c r="M5" s="58">
        <v>51314.8</v>
      </c>
      <c r="N5" s="58">
        <v>54101.87</v>
      </c>
      <c r="O5" s="58">
        <v>49227.8</v>
      </c>
      <c r="P5" s="59">
        <v>59965.04</v>
      </c>
    </row>
    <row r="6" spans="1:16" s="44" customFormat="1" ht="15" thickBot="1" x14ac:dyDescent="0.35">
      <c r="A6" s="563" t="s">
        <v>176</v>
      </c>
      <c r="B6" s="564"/>
      <c r="C6" s="564"/>
      <c r="D6" s="564"/>
      <c r="E6" s="564"/>
      <c r="F6" s="564"/>
      <c r="G6" s="564"/>
      <c r="H6" s="564"/>
      <c r="I6" s="564"/>
      <c r="J6" s="564"/>
      <c r="K6" s="564"/>
      <c r="L6" s="564"/>
      <c r="M6" s="564"/>
      <c r="N6" s="564"/>
      <c r="O6" s="564"/>
      <c r="P6" s="565"/>
    </row>
    <row r="7" spans="1:16" s="44" customFormat="1" x14ac:dyDescent="0.3">
      <c r="A7" s="80" t="s">
        <v>221</v>
      </c>
      <c r="B7" s="62">
        <v>-2303.08</v>
      </c>
      <c r="C7" s="63">
        <v>-2877.43</v>
      </c>
      <c r="D7" s="63">
        <v>-3481.75</v>
      </c>
      <c r="E7" s="63">
        <v>-5269.24</v>
      </c>
      <c r="F7" s="64">
        <v>-7202.36</v>
      </c>
      <c r="G7" s="62">
        <v>-22970.39</v>
      </c>
      <c r="H7" s="63">
        <v>-23303.38</v>
      </c>
      <c r="I7" s="63">
        <v>-27269.759999999998</v>
      </c>
      <c r="J7" s="63">
        <v>-35548.57</v>
      </c>
      <c r="K7" s="64">
        <v>-48306.6</v>
      </c>
      <c r="L7" s="62">
        <v>-474.33</v>
      </c>
      <c r="M7" s="63">
        <v>-1154.55</v>
      </c>
      <c r="N7" s="63">
        <v>-1799.91</v>
      </c>
      <c r="O7" s="63">
        <v>-2665.79</v>
      </c>
      <c r="P7" s="64">
        <v>-3369.08</v>
      </c>
    </row>
    <row r="8" spans="1:16" s="44" customFormat="1" x14ac:dyDescent="0.3">
      <c r="A8" s="80" t="s">
        <v>222</v>
      </c>
      <c r="B8" s="65">
        <v>23.14</v>
      </c>
      <c r="C8" s="47">
        <v>21.77</v>
      </c>
      <c r="D8" s="47">
        <v>25.76</v>
      </c>
      <c r="E8" s="47">
        <v>33.4</v>
      </c>
      <c r="F8" s="66">
        <v>39.6</v>
      </c>
      <c r="G8" s="65">
        <v>294.63</v>
      </c>
      <c r="H8" s="47">
        <v>325.27</v>
      </c>
      <c r="I8" s="47">
        <v>384.57</v>
      </c>
      <c r="J8" s="47">
        <v>485.38</v>
      </c>
      <c r="K8" s="66">
        <v>683.32</v>
      </c>
      <c r="L8" s="65">
        <v>592.41999999999996</v>
      </c>
      <c r="M8" s="47">
        <v>673.6</v>
      </c>
      <c r="N8" s="47">
        <v>700.03</v>
      </c>
      <c r="O8" s="47">
        <v>781.61</v>
      </c>
      <c r="P8" s="66">
        <v>921.06</v>
      </c>
    </row>
    <row r="9" spans="1:16" s="44" customFormat="1" x14ac:dyDescent="0.3">
      <c r="A9" s="80" t="s">
        <v>157</v>
      </c>
      <c r="B9" s="65">
        <v>124.33</v>
      </c>
      <c r="C9" s="47">
        <v>247.21</v>
      </c>
      <c r="D9" s="47">
        <v>181.07</v>
      </c>
      <c r="E9" s="47">
        <v>123.5</v>
      </c>
      <c r="F9" s="66">
        <v>60.88</v>
      </c>
      <c r="G9" s="65">
        <v>3929.48</v>
      </c>
      <c r="H9" s="47">
        <v>5968.58</v>
      </c>
      <c r="I9" s="47">
        <v>4803.3999999999996</v>
      </c>
      <c r="J9" s="47">
        <v>3189.65</v>
      </c>
      <c r="K9" s="66">
        <v>4630.7</v>
      </c>
      <c r="L9" s="65">
        <v>1870.8</v>
      </c>
      <c r="M9" s="47">
        <v>2552.15</v>
      </c>
      <c r="N9" s="47">
        <v>3835.21</v>
      </c>
      <c r="O9" s="47">
        <v>2420.0700000000002</v>
      </c>
      <c r="P9" s="66">
        <v>5538.21</v>
      </c>
    </row>
    <row r="10" spans="1:16" s="44" customFormat="1" x14ac:dyDescent="0.3">
      <c r="A10" s="80" t="s">
        <v>155</v>
      </c>
      <c r="B10" s="65">
        <v>1616.03</v>
      </c>
      <c r="C10" s="47">
        <v>1965.87</v>
      </c>
      <c r="D10" s="47">
        <v>2155.31</v>
      </c>
      <c r="E10" s="47">
        <v>3211.32</v>
      </c>
      <c r="F10" s="66">
        <v>4692.6099999999997</v>
      </c>
      <c r="G10" s="65">
        <v>9473.2099999999991</v>
      </c>
      <c r="H10" s="47">
        <v>9414</v>
      </c>
      <c r="I10" s="47">
        <v>9748.24</v>
      </c>
      <c r="J10" s="47">
        <v>12559.89</v>
      </c>
      <c r="K10" s="66">
        <v>18724.689999999999</v>
      </c>
      <c r="L10" s="65">
        <v>31728.400000000001</v>
      </c>
      <c r="M10" s="47">
        <v>40999.29</v>
      </c>
      <c r="N10" s="47">
        <v>42558.52</v>
      </c>
      <c r="O10" s="47">
        <v>42091.78</v>
      </c>
      <c r="P10" s="66">
        <v>54300.78</v>
      </c>
    </row>
    <row r="11" spans="1:16" s="44" customFormat="1" x14ac:dyDescent="0.3">
      <c r="A11" s="80" t="s">
        <v>272</v>
      </c>
      <c r="B11" s="65">
        <v>0</v>
      </c>
      <c r="C11" s="47">
        <v>0</v>
      </c>
      <c r="D11" s="47">
        <v>0</v>
      </c>
      <c r="E11" s="47">
        <v>0</v>
      </c>
      <c r="F11" s="66">
        <v>0</v>
      </c>
      <c r="G11" s="65">
        <v>-0.64</v>
      </c>
      <c r="H11" s="47">
        <v>0</v>
      </c>
      <c r="I11" s="47">
        <v>0</v>
      </c>
      <c r="J11" s="47">
        <v>-1.67</v>
      </c>
      <c r="K11" s="66">
        <v>-7.64</v>
      </c>
      <c r="L11" s="65">
        <v>-9.19</v>
      </c>
      <c r="M11" s="47">
        <v>-0.13</v>
      </c>
      <c r="N11" s="47">
        <v>-0.09</v>
      </c>
      <c r="O11" s="47">
        <v>-9.41</v>
      </c>
      <c r="P11" s="66">
        <v>-48.1</v>
      </c>
    </row>
    <row r="12" spans="1:16" s="44" customFormat="1" x14ac:dyDescent="0.3">
      <c r="A12" s="80" t="s">
        <v>262</v>
      </c>
      <c r="B12" s="65">
        <v>0.49</v>
      </c>
      <c r="C12" s="47">
        <v>0.44</v>
      </c>
      <c r="D12" s="47">
        <v>0.48</v>
      </c>
      <c r="E12" s="47">
        <v>0.7</v>
      </c>
      <c r="F12" s="66">
        <v>0.77</v>
      </c>
      <c r="G12" s="65">
        <v>2.29</v>
      </c>
      <c r="H12" s="47">
        <v>6.85</v>
      </c>
      <c r="I12" s="47">
        <v>24.84</v>
      </c>
      <c r="J12" s="47">
        <v>13.33</v>
      </c>
      <c r="K12" s="66">
        <v>12.54</v>
      </c>
      <c r="L12" s="65">
        <v>-0.11</v>
      </c>
      <c r="M12" s="47">
        <v>-7.19</v>
      </c>
      <c r="N12" s="47">
        <v>-7.9</v>
      </c>
      <c r="O12" s="47">
        <v>-2.39</v>
      </c>
      <c r="P12" s="66">
        <v>-6.39</v>
      </c>
    </row>
    <row r="13" spans="1:16" s="44" customFormat="1" x14ac:dyDescent="0.3">
      <c r="A13" s="81" t="s">
        <v>223</v>
      </c>
      <c r="B13" s="65">
        <v>-129.81</v>
      </c>
      <c r="C13" s="47">
        <v>-103.74</v>
      </c>
      <c r="D13" s="47">
        <v>-112.53</v>
      </c>
      <c r="E13" s="47">
        <v>-22.49</v>
      </c>
      <c r="F13" s="66">
        <v>-37.11</v>
      </c>
      <c r="G13" s="65">
        <v>-124.27</v>
      </c>
      <c r="H13" s="47">
        <v>-157.53</v>
      </c>
      <c r="I13" s="47">
        <v>-74.959999999999994</v>
      </c>
      <c r="J13" s="47">
        <v>-38.18</v>
      </c>
      <c r="K13" s="66">
        <v>-49.97</v>
      </c>
      <c r="L13" s="65">
        <v>0</v>
      </c>
      <c r="M13" s="47">
        <v>0</v>
      </c>
      <c r="N13" s="47">
        <v>0</v>
      </c>
      <c r="O13" s="47">
        <v>0</v>
      </c>
      <c r="P13" s="66">
        <v>0</v>
      </c>
    </row>
    <row r="14" spans="1:16" s="44" customFormat="1" x14ac:dyDescent="0.3">
      <c r="A14" s="81" t="s">
        <v>263</v>
      </c>
      <c r="B14" s="65">
        <v>7.05</v>
      </c>
      <c r="C14" s="47">
        <v>13.36</v>
      </c>
      <c r="D14" s="47">
        <v>19.23</v>
      </c>
      <c r="E14" s="47">
        <v>0</v>
      </c>
      <c r="F14" s="66">
        <v>0</v>
      </c>
      <c r="G14" s="65">
        <v>100.76</v>
      </c>
      <c r="H14" s="47">
        <v>124.75</v>
      </c>
      <c r="I14" s="47">
        <v>161.03</v>
      </c>
      <c r="J14" s="47">
        <v>224.41</v>
      </c>
      <c r="K14" s="66">
        <v>268.23</v>
      </c>
      <c r="L14" s="65">
        <v>31.03</v>
      </c>
      <c r="M14" s="47">
        <v>14.04</v>
      </c>
      <c r="N14" s="47">
        <v>-1.98</v>
      </c>
      <c r="O14" s="47">
        <v>0</v>
      </c>
      <c r="P14" s="66">
        <v>0</v>
      </c>
    </row>
    <row r="15" spans="1:16" s="44" customFormat="1" x14ac:dyDescent="0.3">
      <c r="A15" s="81" t="s">
        <v>281</v>
      </c>
      <c r="B15" s="65"/>
      <c r="C15" s="47"/>
      <c r="D15" s="47"/>
      <c r="E15" s="47"/>
      <c r="F15" s="66"/>
      <c r="G15" s="65"/>
      <c r="H15" s="47"/>
      <c r="I15" s="47"/>
      <c r="J15" s="47"/>
      <c r="K15" s="66"/>
      <c r="L15" s="65">
        <v>176.21</v>
      </c>
      <c r="M15" s="47">
        <v>159.52000000000001</v>
      </c>
      <c r="N15" s="47">
        <v>172.74</v>
      </c>
      <c r="O15" s="47">
        <v>145.71</v>
      </c>
      <c r="P15" s="66">
        <v>161.02000000000001</v>
      </c>
    </row>
    <row r="16" spans="1:16" s="44" customFormat="1" x14ac:dyDescent="0.3">
      <c r="A16" s="81" t="s">
        <v>282</v>
      </c>
      <c r="B16" s="65"/>
      <c r="C16" s="47"/>
      <c r="D16" s="47"/>
      <c r="E16" s="47"/>
      <c r="F16" s="66"/>
      <c r="G16" s="65"/>
      <c r="H16" s="47"/>
      <c r="I16" s="47"/>
      <c r="J16" s="47"/>
      <c r="K16" s="66"/>
      <c r="L16" s="65">
        <v>137.78</v>
      </c>
      <c r="M16" s="47">
        <v>17.52</v>
      </c>
      <c r="N16" s="47">
        <v>-32.340000000000003</v>
      </c>
      <c r="O16" s="47">
        <v>31.16</v>
      </c>
      <c r="P16" s="66">
        <v>-13.55</v>
      </c>
    </row>
    <row r="17" spans="1:16" s="44" customFormat="1" x14ac:dyDescent="0.3">
      <c r="A17" s="81" t="s">
        <v>296</v>
      </c>
      <c r="B17" s="65"/>
      <c r="C17" s="47"/>
      <c r="D17" s="47"/>
      <c r="E17" s="47"/>
      <c r="F17" s="66"/>
      <c r="G17" s="65"/>
      <c r="H17" s="47"/>
      <c r="I17" s="47"/>
      <c r="J17" s="47"/>
      <c r="K17" s="66"/>
      <c r="L17" s="65">
        <v>0</v>
      </c>
      <c r="M17" s="47">
        <v>19</v>
      </c>
      <c r="N17" s="47">
        <v>4.55</v>
      </c>
      <c r="O17" s="47">
        <v>0</v>
      </c>
      <c r="P17" s="66">
        <v>0</v>
      </c>
    </row>
    <row r="18" spans="1:16" s="44" customFormat="1" x14ac:dyDescent="0.3">
      <c r="A18" s="81" t="s">
        <v>283</v>
      </c>
      <c r="B18" s="65"/>
      <c r="C18" s="47"/>
      <c r="D18" s="47"/>
      <c r="E18" s="47"/>
      <c r="F18" s="66"/>
      <c r="G18" s="65"/>
      <c r="H18" s="47"/>
      <c r="I18" s="47"/>
      <c r="J18" s="47"/>
      <c r="K18" s="66"/>
      <c r="L18" s="65">
        <v>-707.46</v>
      </c>
      <c r="M18" s="47">
        <v>-1618.18</v>
      </c>
      <c r="N18" s="47">
        <v>-492.84</v>
      </c>
      <c r="O18" s="47">
        <v>-716.5</v>
      </c>
      <c r="P18" s="66">
        <v>-1022.58</v>
      </c>
    </row>
    <row r="19" spans="1:16" s="44" customFormat="1" x14ac:dyDescent="0.3">
      <c r="A19" s="81" t="s">
        <v>284</v>
      </c>
      <c r="B19" s="65"/>
      <c r="C19" s="47"/>
      <c r="D19" s="47"/>
      <c r="E19" s="47"/>
      <c r="F19" s="66"/>
      <c r="G19" s="65"/>
      <c r="H19" s="47"/>
      <c r="I19" s="47"/>
      <c r="J19" s="47"/>
      <c r="K19" s="66"/>
      <c r="L19" s="65">
        <v>-31.03</v>
      </c>
      <c r="M19" s="47">
        <v>-29.39</v>
      </c>
      <c r="N19" s="47">
        <v>4.0999999999999996</v>
      </c>
      <c r="O19" s="47">
        <v>192.36</v>
      </c>
      <c r="P19" s="66">
        <v>388.78</v>
      </c>
    </row>
    <row r="20" spans="1:16" s="44" customFormat="1" x14ac:dyDescent="0.3">
      <c r="A20" s="81" t="s">
        <v>295</v>
      </c>
      <c r="B20" s="65"/>
      <c r="C20" s="47"/>
      <c r="D20" s="47"/>
      <c r="E20" s="47"/>
      <c r="F20" s="66"/>
      <c r="G20" s="65"/>
      <c r="H20" s="47"/>
      <c r="I20" s="47"/>
      <c r="J20" s="47"/>
      <c r="K20" s="66"/>
      <c r="L20" s="65">
        <v>0</v>
      </c>
      <c r="M20" s="47">
        <v>120.49</v>
      </c>
      <c r="N20" s="47">
        <v>66.83</v>
      </c>
      <c r="O20" s="47">
        <v>0</v>
      </c>
      <c r="P20" s="66">
        <v>0</v>
      </c>
    </row>
    <row r="21" spans="1:16" s="44" customFormat="1" x14ac:dyDescent="0.3">
      <c r="A21" s="81" t="s">
        <v>269</v>
      </c>
      <c r="B21" s="65">
        <v>0</v>
      </c>
      <c r="C21" s="47">
        <v>0</v>
      </c>
      <c r="D21" s="47">
        <v>-0.05</v>
      </c>
      <c r="E21" s="47">
        <v>0</v>
      </c>
      <c r="F21" s="66">
        <v>0</v>
      </c>
      <c r="G21" s="65">
        <v>0</v>
      </c>
      <c r="H21" s="47">
        <v>0</v>
      </c>
      <c r="I21" s="47">
        <v>0</v>
      </c>
      <c r="J21" s="47">
        <v>0</v>
      </c>
      <c r="K21" s="66">
        <v>0</v>
      </c>
      <c r="L21" s="65">
        <v>0</v>
      </c>
      <c r="M21" s="47">
        <v>0</v>
      </c>
      <c r="N21" s="47">
        <v>0</v>
      </c>
      <c r="O21" s="47">
        <v>0</v>
      </c>
      <c r="P21" s="66">
        <v>0</v>
      </c>
    </row>
    <row r="22" spans="1:16" s="44" customFormat="1" x14ac:dyDescent="0.3">
      <c r="A22" s="81" t="s">
        <v>264</v>
      </c>
      <c r="B22" s="65">
        <v>0</v>
      </c>
      <c r="C22" s="47">
        <v>0</v>
      </c>
      <c r="D22" s="47">
        <v>0</v>
      </c>
      <c r="E22" s="47">
        <v>0</v>
      </c>
      <c r="F22" s="66">
        <v>0</v>
      </c>
      <c r="G22" s="65">
        <v>0</v>
      </c>
      <c r="H22" s="47">
        <v>0</v>
      </c>
      <c r="I22" s="47">
        <v>0</v>
      </c>
      <c r="J22" s="47">
        <v>0</v>
      </c>
      <c r="K22" s="66">
        <v>0</v>
      </c>
      <c r="L22" s="65">
        <v>0</v>
      </c>
      <c r="M22" s="47">
        <v>0</v>
      </c>
      <c r="N22" s="47">
        <v>0</v>
      </c>
      <c r="O22" s="47">
        <v>0</v>
      </c>
      <c r="P22" s="66">
        <v>0</v>
      </c>
    </row>
    <row r="23" spans="1:16" s="44" customFormat="1" x14ac:dyDescent="0.3">
      <c r="A23" s="80" t="s">
        <v>224</v>
      </c>
      <c r="B23" s="65">
        <v>0</v>
      </c>
      <c r="C23" s="47">
        <v>0</v>
      </c>
      <c r="D23" s="47">
        <v>0</v>
      </c>
      <c r="E23" s="47">
        <v>-134.80000000000001</v>
      </c>
      <c r="F23" s="66">
        <v>-53.08</v>
      </c>
      <c r="G23" s="65">
        <v>0</v>
      </c>
      <c r="H23" s="47">
        <v>0</v>
      </c>
      <c r="I23" s="47">
        <v>0</v>
      </c>
      <c r="J23" s="47">
        <v>-23.17</v>
      </c>
      <c r="K23" s="66">
        <v>-13.33</v>
      </c>
      <c r="L23" s="65">
        <v>0</v>
      </c>
      <c r="M23" s="47">
        <v>0</v>
      </c>
      <c r="N23" s="47">
        <v>0</v>
      </c>
      <c r="O23" s="47">
        <v>0</v>
      </c>
      <c r="P23" s="66">
        <v>0</v>
      </c>
    </row>
    <row r="24" spans="1:16" s="44" customFormat="1" x14ac:dyDescent="0.3">
      <c r="A24" s="80" t="s">
        <v>266</v>
      </c>
      <c r="B24" s="65">
        <v>-73.709999999999994</v>
      </c>
      <c r="C24" s="47">
        <v>-59.85</v>
      </c>
      <c r="D24" s="47">
        <v>-58.97</v>
      </c>
      <c r="E24" s="47">
        <v>-112.04</v>
      </c>
      <c r="F24" s="66">
        <v>-133.19999999999999</v>
      </c>
      <c r="G24" s="65">
        <v>-537.49</v>
      </c>
      <c r="H24" s="47">
        <v>-591.22</v>
      </c>
      <c r="I24" s="47">
        <v>-327.74</v>
      </c>
      <c r="J24" s="47">
        <v>-334.32</v>
      </c>
      <c r="K24" s="66">
        <v>-308.29000000000002</v>
      </c>
      <c r="L24" s="65">
        <v>0</v>
      </c>
      <c r="M24" s="47">
        <v>0</v>
      </c>
      <c r="N24" s="47">
        <v>0</v>
      </c>
      <c r="O24" s="47">
        <v>0</v>
      </c>
      <c r="P24" s="66">
        <v>0</v>
      </c>
    </row>
    <row r="25" spans="1:16" s="44" customFormat="1" x14ac:dyDescent="0.3">
      <c r="A25" s="80"/>
      <c r="B25" s="65"/>
      <c r="C25" s="47"/>
      <c r="D25" s="47"/>
      <c r="E25" s="47"/>
      <c r="F25" s="66"/>
      <c r="G25" s="65"/>
      <c r="H25" s="47"/>
      <c r="I25" s="47"/>
      <c r="J25" s="47"/>
      <c r="K25" s="66"/>
      <c r="L25" s="65"/>
      <c r="M25" s="47"/>
      <c r="N25" s="47"/>
      <c r="O25" s="47"/>
      <c r="P25" s="66"/>
    </row>
    <row r="26" spans="1:16" s="44" customFormat="1" x14ac:dyDescent="0.3">
      <c r="A26" s="80" t="s">
        <v>225</v>
      </c>
      <c r="B26" s="65">
        <v>2286.61</v>
      </c>
      <c r="C26" s="47">
        <v>2840.61</v>
      </c>
      <c r="D26" s="47">
        <v>3476.05</v>
      </c>
      <c r="E26" s="47">
        <v>5040.5</v>
      </c>
      <c r="F26" s="66">
        <v>6886.57</v>
      </c>
      <c r="G26" s="65">
        <v>22903.15</v>
      </c>
      <c r="H26" s="47">
        <v>21342.240000000002</v>
      </c>
      <c r="I26" s="47">
        <v>27605.27</v>
      </c>
      <c r="J26" s="47">
        <v>35032.839999999997</v>
      </c>
      <c r="K26" s="66">
        <v>45853.53</v>
      </c>
      <c r="L26" s="65">
        <v>0</v>
      </c>
      <c r="M26" s="47">
        <v>0</v>
      </c>
      <c r="N26" s="47">
        <v>0</v>
      </c>
      <c r="O26" s="47">
        <v>0</v>
      </c>
      <c r="P26" s="66">
        <v>0</v>
      </c>
    </row>
    <row r="27" spans="1:16" s="44" customFormat="1" x14ac:dyDescent="0.3">
      <c r="A27" s="81" t="s">
        <v>226</v>
      </c>
      <c r="B27" s="65">
        <v>0</v>
      </c>
      <c r="C27" s="47">
        <v>0</v>
      </c>
      <c r="D27" s="47">
        <v>0</v>
      </c>
      <c r="E27" s="47">
        <v>104.64</v>
      </c>
      <c r="F27" s="66">
        <v>102.72</v>
      </c>
      <c r="G27" s="65">
        <v>0</v>
      </c>
      <c r="H27" s="47">
        <v>0</v>
      </c>
      <c r="I27" s="47">
        <v>0</v>
      </c>
      <c r="J27" s="47">
        <v>0</v>
      </c>
      <c r="K27" s="66">
        <v>0</v>
      </c>
      <c r="L27" s="65">
        <v>0</v>
      </c>
      <c r="M27" s="47">
        <v>0</v>
      </c>
      <c r="N27" s="47">
        <v>0</v>
      </c>
      <c r="O27" s="47">
        <v>0</v>
      </c>
      <c r="P27" s="66">
        <v>0</v>
      </c>
    </row>
    <row r="28" spans="1:16" s="44" customFormat="1" x14ac:dyDescent="0.3">
      <c r="A28" s="81" t="s">
        <v>265</v>
      </c>
      <c r="B28" s="65">
        <v>16.53</v>
      </c>
      <c r="C28" s="47">
        <v>38.520000000000003</v>
      </c>
      <c r="D28" s="47">
        <v>57.13</v>
      </c>
      <c r="E28" s="47">
        <v>0</v>
      </c>
      <c r="F28" s="66">
        <v>0</v>
      </c>
      <c r="G28" s="65">
        <v>61.7</v>
      </c>
      <c r="H28" s="47">
        <v>73.650000000000006</v>
      </c>
      <c r="I28" s="47">
        <v>86.25</v>
      </c>
      <c r="J28" s="47">
        <v>106.59</v>
      </c>
      <c r="K28" s="66">
        <v>89.61</v>
      </c>
      <c r="L28" s="65">
        <v>0</v>
      </c>
      <c r="M28" s="47">
        <v>0</v>
      </c>
      <c r="N28" s="47">
        <v>0</v>
      </c>
      <c r="O28" s="47">
        <v>0</v>
      </c>
      <c r="P28" s="66">
        <v>0</v>
      </c>
    </row>
    <row r="29" spans="1:16" s="44" customFormat="1" x14ac:dyDescent="0.3">
      <c r="A29" s="80" t="s">
        <v>227</v>
      </c>
      <c r="B29" s="65">
        <v>-1244.72</v>
      </c>
      <c r="C29" s="47">
        <v>-1669.72</v>
      </c>
      <c r="D29" s="47">
        <v>-2502.59</v>
      </c>
      <c r="E29" s="47">
        <v>-3103.62</v>
      </c>
      <c r="F29" s="66">
        <v>-4456.7700000000004</v>
      </c>
      <c r="G29" s="65">
        <v>-8366.49</v>
      </c>
      <c r="H29" s="47">
        <v>-9025.49</v>
      </c>
      <c r="I29" s="47">
        <v>-8961.18</v>
      </c>
      <c r="J29" s="47">
        <v>-13107.38</v>
      </c>
      <c r="K29" s="66">
        <v>-17044.04</v>
      </c>
      <c r="L29" s="65">
        <v>0</v>
      </c>
      <c r="M29" s="47">
        <v>0</v>
      </c>
      <c r="N29" s="47">
        <v>0</v>
      </c>
      <c r="O29" s="47">
        <v>0</v>
      </c>
      <c r="P29" s="66">
        <v>0</v>
      </c>
    </row>
    <row r="30" spans="1:16" s="44" customFormat="1" x14ac:dyDescent="0.3">
      <c r="A30" s="84" t="s">
        <v>252</v>
      </c>
      <c r="B30" s="34">
        <f>SUM(B5,B7:B29)</f>
        <v>890.31000000000017</v>
      </c>
      <c r="C30" s="22">
        <f t="shared" ref="C30:P30" si="0">SUM(C5,C7:C29)</f>
        <v>1030.22</v>
      </c>
      <c r="D30" s="22">
        <f t="shared" si="0"/>
        <v>719.00000000000045</v>
      </c>
      <c r="E30" s="22">
        <f t="shared" si="0"/>
        <v>1571.9300000000012</v>
      </c>
      <c r="F30" s="35">
        <f t="shared" si="0"/>
        <v>2061.9500000000007</v>
      </c>
      <c r="G30" s="34">
        <f t="shared" si="0"/>
        <v>12088.06</v>
      </c>
      <c r="H30" s="22">
        <f t="shared" si="0"/>
        <v>10169.980000000001</v>
      </c>
      <c r="I30" s="22">
        <f t="shared" si="0"/>
        <v>15683.740000000005</v>
      </c>
      <c r="J30" s="22">
        <f t="shared" si="0"/>
        <v>18086.659999999996</v>
      </c>
      <c r="K30" s="35">
        <f t="shared" si="0"/>
        <v>23842.32</v>
      </c>
      <c r="L30" s="34">
        <f t="shared" si="0"/>
        <v>75918.430000000008</v>
      </c>
      <c r="M30" s="22">
        <f t="shared" si="0"/>
        <v>93060.970000000016</v>
      </c>
      <c r="N30" s="22">
        <f t="shared" si="0"/>
        <v>99108.790000000037</v>
      </c>
      <c r="O30" s="22">
        <f t="shared" si="0"/>
        <v>91496.400000000009</v>
      </c>
      <c r="P30" s="35">
        <f t="shared" si="0"/>
        <v>116815.18999999999</v>
      </c>
    </row>
    <row r="31" spans="1:16" s="44" customFormat="1" ht="15" thickBot="1" x14ac:dyDescent="0.35">
      <c r="A31" s="80"/>
      <c r="B31" s="67"/>
      <c r="C31" s="68"/>
      <c r="D31" s="68"/>
      <c r="E31" s="68"/>
      <c r="F31" s="69"/>
      <c r="G31" s="67"/>
      <c r="H31" s="68"/>
      <c r="I31" s="68"/>
      <c r="J31" s="68"/>
      <c r="K31" s="69"/>
      <c r="L31" s="67"/>
      <c r="M31" s="68"/>
      <c r="N31" s="68"/>
      <c r="O31" s="68"/>
      <c r="P31" s="69"/>
    </row>
    <row r="32" spans="1:16" s="44" customFormat="1" ht="15" thickBot="1" x14ac:dyDescent="0.35">
      <c r="A32" s="563" t="s">
        <v>228</v>
      </c>
      <c r="B32" s="564"/>
      <c r="C32" s="564"/>
      <c r="D32" s="564"/>
      <c r="E32" s="564"/>
      <c r="F32" s="564"/>
      <c r="G32" s="564"/>
      <c r="H32" s="564"/>
      <c r="I32" s="564"/>
      <c r="J32" s="564"/>
      <c r="K32" s="564"/>
      <c r="L32" s="564"/>
      <c r="M32" s="564"/>
      <c r="N32" s="564"/>
      <c r="O32" s="564"/>
      <c r="P32" s="565"/>
    </row>
    <row r="33" spans="1:16" s="44" customFormat="1" x14ac:dyDescent="0.3">
      <c r="A33" s="80" t="s">
        <v>229</v>
      </c>
      <c r="B33" s="62">
        <v>0</v>
      </c>
      <c r="C33" s="63">
        <v>0</v>
      </c>
      <c r="D33" s="63">
        <v>0</v>
      </c>
      <c r="E33" s="63">
        <v>-14.85</v>
      </c>
      <c r="F33" s="64">
        <v>14.84</v>
      </c>
      <c r="G33" s="62">
        <v>0</v>
      </c>
      <c r="H33" s="63">
        <v>0</v>
      </c>
      <c r="I33" s="63"/>
      <c r="J33" s="63">
        <v>-2413.16</v>
      </c>
      <c r="K33" s="64">
        <v>-3589.13</v>
      </c>
      <c r="L33" s="62">
        <v>-980.66</v>
      </c>
      <c r="M33" s="63">
        <v>523.91</v>
      </c>
      <c r="N33" s="63">
        <v>-356.63</v>
      </c>
      <c r="O33" s="63">
        <v>136.22</v>
      </c>
      <c r="P33" s="64">
        <v>307.81</v>
      </c>
    </row>
    <row r="34" spans="1:16" s="44" customFormat="1" x14ac:dyDescent="0.3">
      <c r="A34" s="80" t="s">
        <v>230</v>
      </c>
      <c r="B34" s="65">
        <v>-1.81</v>
      </c>
      <c r="C34" s="47">
        <v>-1.97</v>
      </c>
      <c r="D34" s="47">
        <v>3.73</v>
      </c>
      <c r="E34" s="47">
        <v>0.27</v>
      </c>
      <c r="F34" s="66">
        <v>-11.81</v>
      </c>
      <c r="G34" s="65">
        <v>-118.55</v>
      </c>
      <c r="H34" s="47">
        <v>45.95</v>
      </c>
      <c r="I34" s="47">
        <v>-320.93</v>
      </c>
      <c r="J34" s="47">
        <v>-93.43</v>
      </c>
      <c r="K34" s="66">
        <v>-457.54</v>
      </c>
      <c r="L34" s="65">
        <v>126.93</v>
      </c>
      <c r="M34" s="47">
        <v>-8.1999999999999993</v>
      </c>
      <c r="N34" s="47">
        <v>27.93</v>
      </c>
      <c r="O34" s="47">
        <v>-28.86</v>
      </c>
      <c r="P34" s="66">
        <v>-79.41</v>
      </c>
    </row>
    <row r="35" spans="1:16" s="44" customFormat="1" x14ac:dyDescent="0.3">
      <c r="A35" s="80" t="s">
        <v>231</v>
      </c>
      <c r="B35" s="65">
        <v>0</v>
      </c>
      <c r="C35" s="47">
        <v>0</v>
      </c>
      <c r="D35" s="47">
        <v>0</v>
      </c>
      <c r="E35" s="47">
        <v>-0.35</v>
      </c>
      <c r="F35" s="66">
        <v>0.36</v>
      </c>
      <c r="G35" s="65">
        <v>0</v>
      </c>
      <c r="H35" s="47">
        <v>0</v>
      </c>
      <c r="I35" s="47">
        <v>0</v>
      </c>
      <c r="J35" s="47">
        <v>0</v>
      </c>
      <c r="K35" s="66">
        <v>0</v>
      </c>
      <c r="L35" s="65">
        <v>0</v>
      </c>
      <c r="M35" s="47">
        <v>0</v>
      </c>
      <c r="N35" s="47">
        <v>0</v>
      </c>
      <c r="O35" s="47">
        <v>0</v>
      </c>
      <c r="P35" s="66">
        <v>0</v>
      </c>
    </row>
    <row r="36" spans="1:16" s="44" customFormat="1" x14ac:dyDescent="0.3">
      <c r="A36" s="80" t="s">
        <v>232</v>
      </c>
      <c r="B36" s="65">
        <v>-10763.52</v>
      </c>
      <c r="C36" s="47">
        <v>-5698.5</v>
      </c>
      <c r="D36" s="47">
        <v>-13256.65</v>
      </c>
      <c r="E36" s="47">
        <v>-15584.98</v>
      </c>
      <c r="F36" s="66">
        <v>-17047.27</v>
      </c>
      <c r="G36" s="65">
        <v>-32880.54</v>
      </c>
      <c r="H36" s="47">
        <v>-9573.8700000000008</v>
      </c>
      <c r="I36" s="47">
        <v>-50246.38</v>
      </c>
      <c r="J36" s="47">
        <v>-54412.09</v>
      </c>
      <c r="K36" s="66">
        <v>-88187.48</v>
      </c>
      <c r="L36" s="65">
        <v>-83860.479999999996</v>
      </c>
      <c r="M36" s="47">
        <v>-120849.04</v>
      </c>
      <c r="N36" s="47">
        <v>-61195.18</v>
      </c>
      <c r="O36" s="47">
        <v>-59869.49</v>
      </c>
      <c r="P36" s="66">
        <v>-179256.51</v>
      </c>
    </row>
    <row r="37" spans="1:16" s="44" customFormat="1" x14ac:dyDescent="0.3">
      <c r="A37" s="80" t="s">
        <v>233</v>
      </c>
      <c r="B37" s="65">
        <v>-0.05</v>
      </c>
      <c r="C37" s="47">
        <v>-275.64</v>
      </c>
      <c r="D37" s="47">
        <v>265.39999999999998</v>
      </c>
      <c r="E37" s="47">
        <v>3.96</v>
      </c>
      <c r="F37" s="66">
        <v>4.01</v>
      </c>
      <c r="G37" s="65">
        <v>-116.97</v>
      </c>
      <c r="H37" s="47">
        <v>-337.54</v>
      </c>
      <c r="I37" s="47">
        <v>-175.97</v>
      </c>
      <c r="J37" s="47">
        <v>87.83</v>
      </c>
      <c r="K37" s="66">
        <v>-306.33</v>
      </c>
      <c r="L37" s="65">
        <v>-651.89</v>
      </c>
      <c r="M37" s="47">
        <v>-1134.17</v>
      </c>
      <c r="N37" s="47">
        <v>775.58</v>
      </c>
      <c r="O37" s="47">
        <v>-723.3</v>
      </c>
      <c r="P37" s="66">
        <v>-681.02</v>
      </c>
    </row>
    <row r="38" spans="1:16" s="44" customFormat="1" x14ac:dyDescent="0.3">
      <c r="A38" s="80" t="s">
        <v>270</v>
      </c>
      <c r="B38" s="65">
        <v>-3.25</v>
      </c>
      <c r="C38" s="47">
        <v>-8.59</v>
      </c>
      <c r="D38" s="47">
        <v>3.32</v>
      </c>
      <c r="E38" s="47">
        <v>1.55</v>
      </c>
      <c r="F38" s="66">
        <v>-1</v>
      </c>
      <c r="G38" s="65">
        <v>-49.84</v>
      </c>
      <c r="H38" s="47">
        <v>-11.13</v>
      </c>
      <c r="I38" s="47">
        <v>-23.48</v>
      </c>
      <c r="J38" s="47">
        <v>47.17</v>
      </c>
      <c r="K38" s="66">
        <v>-33.6</v>
      </c>
      <c r="L38" s="65">
        <v>-169.73</v>
      </c>
      <c r="M38" s="47">
        <v>-160.87</v>
      </c>
      <c r="N38" s="47">
        <v>91.13</v>
      </c>
      <c r="O38" s="47">
        <v>28.64</v>
      </c>
      <c r="P38" s="66">
        <v>-136.05000000000001</v>
      </c>
    </row>
    <row r="39" spans="1:16" s="44" customFormat="1" x14ac:dyDescent="0.3">
      <c r="A39" s="80" t="s">
        <v>278</v>
      </c>
      <c r="B39" s="65"/>
      <c r="C39" s="47"/>
      <c r="D39" s="47"/>
      <c r="E39" s="47"/>
      <c r="F39" s="66"/>
      <c r="G39" s="65"/>
      <c r="H39" s="47"/>
      <c r="I39" s="47"/>
      <c r="J39" s="47">
        <v>8.75</v>
      </c>
      <c r="K39" s="66">
        <v>-24.86</v>
      </c>
      <c r="L39" s="65">
        <v>0</v>
      </c>
      <c r="M39" s="47">
        <v>0</v>
      </c>
      <c r="N39" s="47">
        <v>0</v>
      </c>
      <c r="O39" s="47">
        <v>0</v>
      </c>
      <c r="P39" s="66">
        <v>0</v>
      </c>
    </row>
    <row r="40" spans="1:16" s="44" customFormat="1" x14ac:dyDescent="0.3">
      <c r="A40" s="80" t="s">
        <v>234</v>
      </c>
      <c r="B40" s="65">
        <v>14.53</v>
      </c>
      <c r="C40" s="47">
        <v>-9.69</v>
      </c>
      <c r="D40" s="47">
        <v>15.56</v>
      </c>
      <c r="E40" s="47">
        <v>9.52</v>
      </c>
      <c r="F40" s="66">
        <v>11.68</v>
      </c>
      <c r="G40" s="65">
        <v>198.19</v>
      </c>
      <c r="H40" s="47">
        <v>122.31</v>
      </c>
      <c r="I40" s="47">
        <v>286.12</v>
      </c>
      <c r="J40" s="47">
        <v>292.93</v>
      </c>
      <c r="K40" s="66">
        <v>611.91</v>
      </c>
      <c r="L40" s="65">
        <v>556.23</v>
      </c>
      <c r="M40" s="47">
        <v>-145.56</v>
      </c>
      <c r="N40" s="47">
        <v>-540.19000000000005</v>
      </c>
      <c r="O40" s="47">
        <v>116.42</v>
      </c>
      <c r="P40" s="66">
        <v>510.48</v>
      </c>
    </row>
    <row r="41" spans="1:16" s="44" customFormat="1" x14ac:dyDescent="0.3">
      <c r="A41" s="80" t="s">
        <v>235</v>
      </c>
      <c r="B41" s="65">
        <v>-11.27</v>
      </c>
      <c r="C41" s="47">
        <v>3.45</v>
      </c>
      <c r="D41" s="47">
        <v>16.89</v>
      </c>
      <c r="E41" s="47">
        <v>34.869999999999997</v>
      </c>
      <c r="F41" s="66">
        <v>9.7100000000000009</v>
      </c>
      <c r="G41" s="65">
        <v>-49.9</v>
      </c>
      <c r="H41" s="47">
        <v>15.98</v>
      </c>
      <c r="I41" s="47">
        <v>127.95</v>
      </c>
      <c r="J41" s="47">
        <v>285.69</v>
      </c>
      <c r="K41" s="66">
        <v>125.26</v>
      </c>
      <c r="L41" s="65">
        <v>0</v>
      </c>
      <c r="M41" s="47">
        <v>0</v>
      </c>
      <c r="N41" s="47">
        <v>0</v>
      </c>
      <c r="O41" s="47">
        <v>457.11</v>
      </c>
      <c r="P41" s="66">
        <v>161.06</v>
      </c>
    </row>
    <row r="42" spans="1:16" s="44" customFormat="1" x14ac:dyDescent="0.3">
      <c r="A42" s="80" t="s">
        <v>236</v>
      </c>
      <c r="B42" s="65">
        <v>-257.5</v>
      </c>
      <c r="C42" s="47">
        <v>80.790000000000006</v>
      </c>
      <c r="D42" s="47">
        <v>14.95</v>
      </c>
      <c r="E42" s="47">
        <v>33.159999999999997</v>
      </c>
      <c r="F42" s="66">
        <v>25.23</v>
      </c>
      <c r="G42" s="65">
        <v>-1313.27</v>
      </c>
      <c r="H42" s="47">
        <v>206.36</v>
      </c>
      <c r="I42" s="47">
        <v>89.52</v>
      </c>
      <c r="J42" s="47">
        <v>75.3</v>
      </c>
      <c r="K42" s="66">
        <v>125.33</v>
      </c>
      <c r="L42" s="65">
        <v>-97.06</v>
      </c>
      <c r="M42" s="47">
        <v>-148.43</v>
      </c>
      <c r="N42" s="47">
        <v>113.95</v>
      </c>
      <c r="O42" s="47">
        <v>1563.16</v>
      </c>
      <c r="P42" s="66">
        <v>378.94</v>
      </c>
    </row>
    <row r="43" spans="1:16" s="44" customFormat="1" x14ac:dyDescent="0.3">
      <c r="A43" s="80" t="s">
        <v>237</v>
      </c>
      <c r="B43" s="65">
        <v>-4.72</v>
      </c>
      <c r="C43" s="47">
        <v>1.28</v>
      </c>
      <c r="D43" s="47">
        <v>1.1200000000000001</v>
      </c>
      <c r="E43" s="47">
        <v>17.12</v>
      </c>
      <c r="F43" s="66">
        <v>18.079999999999998</v>
      </c>
      <c r="G43" s="65">
        <v>-24.17</v>
      </c>
      <c r="H43" s="47">
        <v>25</v>
      </c>
      <c r="I43" s="47">
        <v>22.7</v>
      </c>
      <c r="J43" s="47">
        <v>75.83</v>
      </c>
      <c r="K43" s="66">
        <v>89.81</v>
      </c>
      <c r="L43" s="65">
        <v>-262.27999999999997</v>
      </c>
      <c r="M43" s="47">
        <v>-248.32</v>
      </c>
      <c r="N43" s="47">
        <v>-888.3</v>
      </c>
      <c r="O43" s="47">
        <v>-3011.4</v>
      </c>
      <c r="P43" s="66">
        <v>-1995.56</v>
      </c>
    </row>
    <row r="44" spans="1:16" s="44" customFormat="1" x14ac:dyDescent="0.3">
      <c r="A44" s="80" t="s">
        <v>238</v>
      </c>
      <c r="B44" s="65">
        <v>23.26</v>
      </c>
      <c r="C44" s="47">
        <v>-17.079999999999998</v>
      </c>
      <c r="D44" s="47">
        <v>-2.27</v>
      </c>
      <c r="E44" s="47">
        <v>-5.39</v>
      </c>
      <c r="F44" s="66">
        <v>12.47</v>
      </c>
      <c r="G44" s="65">
        <v>76.16</v>
      </c>
      <c r="H44" s="47">
        <v>12</v>
      </c>
      <c r="I44" s="47">
        <v>114.21</v>
      </c>
      <c r="J44" s="47">
        <v>-181.09</v>
      </c>
      <c r="K44" s="66">
        <v>142.16</v>
      </c>
      <c r="L44" s="65">
        <v>87.94</v>
      </c>
      <c r="M44" s="47">
        <v>51.1</v>
      </c>
      <c r="N44" s="47">
        <v>627.54999999999995</v>
      </c>
      <c r="O44" s="47">
        <v>-465.63</v>
      </c>
      <c r="P44" s="66">
        <v>355.76</v>
      </c>
    </row>
    <row r="45" spans="1:16" s="44" customFormat="1" x14ac:dyDescent="0.3">
      <c r="A45" s="80"/>
      <c r="B45" s="34">
        <f>SUM(B30,B33:B44)</f>
        <v>-10114.019999999999</v>
      </c>
      <c r="C45" s="22">
        <f t="shared" ref="C45:P45" si="1">SUM(C30,C33:C44)</f>
        <v>-4895.7300000000005</v>
      </c>
      <c r="D45" s="22">
        <f t="shared" si="1"/>
        <v>-12218.949999999999</v>
      </c>
      <c r="E45" s="22">
        <f t="shared" si="1"/>
        <v>-13933.189999999997</v>
      </c>
      <c r="F45" s="35">
        <f t="shared" si="1"/>
        <v>-14901.750000000002</v>
      </c>
      <c r="G45" s="34">
        <f t="shared" si="1"/>
        <v>-22190.83</v>
      </c>
      <c r="H45" s="22">
        <f t="shared" si="1"/>
        <v>675.04000000000133</v>
      </c>
      <c r="I45" s="22">
        <f t="shared" si="1"/>
        <v>-34442.520000000004</v>
      </c>
      <c r="J45" s="22">
        <f t="shared" si="1"/>
        <v>-38139.609999999993</v>
      </c>
      <c r="K45" s="35">
        <f t="shared" si="1"/>
        <v>-67662.150000000009</v>
      </c>
      <c r="L45" s="34">
        <f t="shared" si="1"/>
        <v>-9332.5699999999979</v>
      </c>
      <c r="M45" s="22">
        <f t="shared" si="1"/>
        <v>-29058.609999999971</v>
      </c>
      <c r="N45" s="22">
        <f t="shared" si="1"/>
        <v>37764.630000000019</v>
      </c>
      <c r="O45" s="22">
        <f t="shared" si="1"/>
        <v>29699.270000000008</v>
      </c>
      <c r="P45" s="35">
        <f t="shared" si="1"/>
        <v>-63619.310000000019</v>
      </c>
    </row>
    <row r="46" spans="1:16" s="52" customFormat="1" x14ac:dyDescent="0.3">
      <c r="A46" s="82" t="s">
        <v>285</v>
      </c>
      <c r="B46" s="71"/>
      <c r="C46" s="23"/>
      <c r="D46" s="23"/>
      <c r="E46" s="23"/>
      <c r="F46" s="72"/>
      <c r="G46" s="71"/>
      <c r="H46" s="23"/>
      <c r="I46" s="23"/>
      <c r="J46" s="23"/>
      <c r="K46" s="72"/>
      <c r="L46" s="71">
        <v>-29758.83</v>
      </c>
      <c r="M46" s="23">
        <v>-36211.410000000003</v>
      </c>
      <c r="N46" s="23">
        <v>-39706.33</v>
      </c>
      <c r="O46" s="23">
        <v>-44521.97</v>
      </c>
      <c r="P46" s="72">
        <v>-57593.09</v>
      </c>
    </row>
    <row r="47" spans="1:16" s="44" customFormat="1" x14ac:dyDescent="0.3">
      <c r="A47" s="80" t="s">
        <v>239</v>
      </c>
      <c r="B47" s="65">
        <v>-128.13</v>
      </c>
      <c r="C47" s="47">
        <v>-180.04</v>
      </c>
      <c r="D47" s="47">
        <v>-242.35</v>
      </c>
      <c r="E47" s="47">
        <v>-398.58</v>
      </c>
      <c r="F47" s="66">
        <v>-526.36</v>
      </c>
      <c r="G47" s="65">
        <v>-2235.35</v>
      </c>
      <c r="H47" s="47">
        <v>-1482.31</v>
      </c>
      <c r="I47" s="47">
        <v>-2586.1</v>
      </c>
      <c r="J47" s="47">
        <v>-3972.18</v>
      </c>
      <c r="K47" s="66">
        <v>-5097.99</v>
      </c>
      <c r="L47" s="65">
        <v>-10660.38</v>
      </c>
      <c r="M47" s="47">
        <v>-12872.87</v>
      </c>
      <c r="N47" s="47">
        <v>-14022.79</v>
      </c>
      <c r="O47" s="47">
        <v>-13217.97</v>
      </c>
      <c r="P47" s="66">
        <v>-16327.78</v>
      </c>
    </row>
    <row r="48" spans="1:16" s="44" customFormat="1" x14ac:dyDescent="0.3">
      <c r="A48" s="79" t="s">
        <v>251</v>
      </c>
      <c r="B48" s="34">
        <f>B45+B47</f>
        <v>-10242.149999999998</v>
      </c>
      <c r="C48" s="22">
        <f t="shared" ref="C48:K48" si="2">C45+C47</f>
        <v>-5075.7700000000004</v>
      </c>
      <c r="D48" s="22">
        <f t="shared" si="2"/>
        <v>-12461.3</v>
      </c>
      <c r="E48" s="22">
        <f t="shared" si="2"/>
        <v>-14331.769999999997</v>
      </c>
      <c r="F48" s="35">
        <f t="shared" si="2"/>
        <v>-15428.110000000002</v>
      </c>
      <c r="G48" s="34">
        <f t="shared" si="2"/>
        <v>-24426.18</v>
      </c>
      <c r="H48" s="22">
        <f t="shared" si="2"/>
        <v>-807.26999999999862</v>
      </c>
      <c r="I48" s="22">
        <f t="shared" si="2"/>
        <v>-37028.620000000003</v>
      </c>
      <c r="J48" s="22">
        <f t="shared" si="2"/>
        <v>-42111.789999999994</v>
      </c>
      <c r="K48" s="35">
        <f t="shared" si="2"/>
        <v>-72760.140000000014</v>
      </c>
      <c r="L48" s="34">
        <f>L45+L47+L46</f>
        <v>-49751.78</v>
      </c>
      <c r="M48" s="34">
        <f>M45+M47+M46</f>
        <v>-78142.889999999985</v>
      </c>
      <c r="N48" s="34">
        <f>N45+N47+N46</f>
        <v>-15964.489999999983</v>
      </c>
      <c r="O48" s="34">
        <f>O45+O47+O46</f>
        <v>-28040.669999999991</v>
      </c>
      <c r="P48" s="34">
        <f>P45+P47+P46</f>
        <v>-137540.18000000002</v>
      </c>
    </row>
    <row r="49" spans="1:16" s="44" customFormat="1" ht="15" thickBot="1" x14ac:dyDescent="0.35">
      <c r="A49" s="80"/>
      <c r="B49" s="67"/>
      <c r="C49" s="68"/>
      <c r="D49" s="68"/>
      <c r="E49" s="68"/>
      <c r="F49" s="69"/>
      <c r="G49" s="67"/>
      <c r="H49" s="68"/>
      <c r="I49" s="68"/>
      <c r="J49" s="68"/>
      <c r="K49" s="69"/>
      <c r="L49" s="67"/>
      <c r="M49" s="68"/>
      <c r="N49" s="68"/>
      <c r="O49" s="68"/>
      <c r="P49" s="69"/>
    </row>
    <row r="50" spans="1:16" s="44" customFormat="1" ht="15" thickBot="1" x14ac:dyDescent="0.35">
      <c r="A50" s="563" t="s">
        <v>240</v>
      </c>
      <c r="B50" s="564"/>
      <c r="C50" s="564"/>
      <c r="D50" s="564"/>
      <c r="E50" s="564"/>
      <c r="F50" s="564"/>
      <c r="G50" s="564"/>
      <c r="H50" s="564"/>
      <c r="I50" s="564"/>
      <c r="J50" s="564"/>
      <c r="K50" s="564"/>
      <c r="L50" s="564"/>
      <c r="M50" s="564"/>
      <c r="N50" s="564"/>
      <c r="O50" s="564"/>
      <c r="P50" s="565"/>
    </row>
    <row r="51" spans="1:16" s="44" customFormat="1" x14ac:dyDescent="0.3">
      <c r="A51" s="80" t="s">
        <v>241</v>
      </c>
      <c r="B51" s="62">
        <v>-24.7</v>
      </c>
      <c r="C51" s="63">
        <v>-6.6</v>
      </c>
      <c r="D51" s="63">
        <v>-18.41</v>
      </c>
      <c r="E51" s="63">
        <v>-20.37</v>
      </c>
      <c r="F51" s="64">
        <v>-25.62</v>
      </c>
      <c r="G51" s="88">
        <v>-396.76</v>
      </c>
      <c r="H51" s="63">
        <v>-138.72999999999999</v>
      </c>
      <c r="I51" s="63">
        <v>-375.55</v>
      </c>
      <c r="J51" s="63">
        <v>-485.88</v>
      </c>
      <c r="K51" s="64">
        <v>-603.62</v>
      </c>
      <c r="L51" s="62">
        <v>-931.18</v>
      </c>
      <c r="M51" s="63">
        <v>-914.8</v>
      </c>
      <c r="N51" s="63">
        <v>-970.59</v>
      </c>
      <c r="O51" s="63">
        <v>-1411.43</v>
      </c>
      <c r="P51" s="64">
        <v>-2224.2399999999998</v>
      </c>
    </row>
    <row r="52" spans="1:16" s="44" customFormat="1" x14ac:dyDescent="0.3">
      <c r="A52" s="80" t="s">
        <v>242</v>
      </c>
      <c r="B52" s="65">
        <v>1.1200000000000001</v>
      </c>
      <c r="C52" s="47">
        <v>1.51</v>
      </c>
      <c r="D52" s="47">
        <v>1.63</v>
      </c>
      <c r="E52" s="47">
        <v>3.87</v>
      </c>
      <c r="F52" s="66">
        <v>3.3</v>
      </c>
      <c r="G52" s="61">
        <v>7.21</v>
      </c>
      <c r="H52" s="47">
        <v>11.39</v>
      </c>
      <c r="I52" s="47">
        <v>19.14</v>
      </c>
      <c r="J52" s="47">
        <v>19.809999999999999</v>
      </c>
      <c r="K52" s="66">
        <v>38.89</v>
      </c>
      <c r="L52" s="65">
        <v>4.4400000000000004</v>
      </c>
      <c r="M52" s="47">
        <v>17.079999999999998</v>
      </c>
      <c r="N52" s="47">
        <v>24.11</v>
      </c>
      <c r="O52" s="47">
        <v>13.99</v>
      </c>
      <c r="P52" s="66">
        <v>19.079999999999998</v>
      </c>
    </row>
    <row r="53" spans="1:16" s="44" customFormat="1" x14ac:dyDescent="0.3">
      <c r="A53" s="81" t="s">
        <v>243</v>
      </c>
      <c r="B53" s="65">
        <v>-2.92</v>
      </c>
      <c r="C53" s="47">
        <v>-8.43</v>
      </c>
      <c r="D53" s="47">
        <v>-10.71</v>
      </c>
      <c r="E53" s="47">
        <v>-13.43</v>
      </c>
      <c r="F53" s="66">
        <v>-17.38</v>
      </c>
      <c r="G53" s="61">
        <v>-110.38</v>
      </c>
      <c r="H53" s="47">
        <v>-170.76</v>
      </c>
      <c r="I53" s="47">
        <v>-258.62</v>
      </c>
      <c r="J53" s="47">
        <v>-392.44</v>
      </c>
      <c r="K53" s="66">
        <v>-434.16</v>
      </c>
      <c r="L53" s="65">
        <v>0</v>
      </c>
      <c r="M53" s="47">
        <v>0</v>
      </c>
      <c r="N53" s="47">
        <v>0</v>
      </c>
      <c r="O53" s="47">
        <v>0</v>
      </c>
      <c r="P53" s="66">
        <v>0</v>
      </c>
    </row>
    <row r="54" spans="1:16" s="44" customFormat="1" x14ac:dyDescent="0.3">
      <c r="A54" s="81" t="s">
        <v>286</v>
      </c>
      <c r="B54" s="65"/>
      <c r="C54" s="47"/>
      <c r="D54" s="47"/>
      <c r="E54" s="47"/>
      <c r="F54" s="66"/>
      <c r="G54" s="61"/>
      <c r="H54" s="47"/>
      <c r="I54" s="47"/>
      <c r="J54" s="47"/>
      <c r="K54" s="66"/>
      <c r="L54" s="65">
        <v>-2.2799999999999998</v>
      </c>
      <c r="M54" s="47">
        <v>8.65</v>
      </c>
      <c r="N54" s="47">
        <v>4.4000000000000004</v>
      </c>
      <c r="O54" s="47">
        <v>8.74</v>
      </c>
      <c r="P54" s="66">
        <v>-0.38</v>
      </c>
    </row>
    <row r="55" spans="1:16" s="44" customFormat="1" x14ac:dyDescent="0.3">
      <c r="A55" s="81" t="s">
        <v>287</v>
      </c>
      <c r="B55" s="65"/>
      <c r="C55" s="47"/>
      <c r="D55" s="47"/>
      <c r="E55" s="47"/>
      <c r="F55" s="66"/>
      <c r="G55" s="61"/>
      <c r="H55" s="47"/>
      <c r="I55" s="47"/>
      <c r="J55" s="47"/>
      <c r="K55" s="66"/>
      <c r="L55" s="65">
        <v>-3288.54</v>
      </c>
      <c r="M55" s="47">
        <v>5343.78</v>
      </c>
      <c r="N55" s="47">
        <v>-8.9</v>
      </c>
      <c r="O55" s="47">
        <v>1624.4</v>
      </c>
      <c r="P55" s="66">
        <v>1022.58</v>
      </c>
    </row>
    <row r="56" spans="1:16" s="44" customFormat="1" x14ac:dyDescent="0.3">
      <c r="A56" s="81" t="s">
        <v>288</v>
      </c>
      <c r="B56" s="65"/>
      <c r="C56" s="47"/>
      <c r="D56" s="47"/>
      <c r="E56" s="47"/>
      <c r="F56" s="66"/>
      <c r="G56" s="61"/>
      <c r="H56" s="47"/>
      <c r="I56" s="47"/>
      <c r="J56" s="47"/>
      <c r="K56" s="66"/>
      <c r="L56" s="65">
        <v>-249.39</v>
      </c>
      <c r="M56" s="47">
        <v>0</v>
      </c>
      <c r="N56" s="47">
        <v>0</v>
      </c>
      <c r="O56" s="47">
        <v>0</v>
      </c>
      <c r="P56" s="66">
        <v>-338.35</v>
      </c>
    </row>
    <row r="57" spans="1:16" s="44" customFormat="1" x14ac:dyDescent="0.3">
      <c r="A57" s="81" t="s">
        <v>289</v>
      </c>
      <c r="B57" s="65"/>
      <c r="C57" s="47"/>
      <c r="D57" s="47"/>
      <c r="E57" s="47"/>
      <c r="F57" s="66"/>
      <c r="G57" s="61"/>
      <c r="H57" s="47"/>
      <c r="I57" s="47"/>
      <c r="J57" s="47"/>
      <c r="K57" s="66"/>
      <c r="L57" s="65">
        <v>-241.78</v>
      </c>
      <c r="M57" s="47">
        <v>0</v>
      </c>
      <c r="N57" s="47">
        <v>0</v>
      </c>
      <c r="O57" s="47">
        <v>0</v>
      </c>
      <c r="P57" s="66">
        <v>0</v>
      </c>
    </row>
    <row r="58" spans="1:16" s="44" customFormat="1" x14ac:dyDescent="0.3">
      <c r="A58" s="81" t="s">
        <v>290</v>
      </c>
      <c r="B58" s="65"/>
      <c r="C58" s="47"/>
      <c r="D58" s="47"/>
      <c r="E58" s="47"/>
      <c r="F58" s="66"/>
      <c r="G58" s="61"/>
      <c r="H58" s="47"/>
      <c r="I58" s="47"/>
      <c r="J58" s="47"/>
      <c r="K58" s="66"/>
      <c r="L58" s="65">
        <v>0</v>
      </c>
      <c r="M58" s="47">
        <v>0</v>
      </c>
      <c r="N58" s="47">
        <v>0</v>
      </c>
      <c r="O58" s="47">
        <v>0</v>
      </c>
      <c r="P58" s="66">
        <v>0</v>
      </c>
    </row>
    <row r="59" spans="1:16" s="44" customFormat="1" x14ac:dyDescent="0.3">
      <c r="A59" s="80" t="s">
        <v>244</v>
      </c>
      <c r="B59" s="65">
        <v>-55545.26</v>
      </c>
      <c r="C59" s="47">
        <v>-314.45</v>
      </c>
      <c r="D59" s="47">
        <v>1698.08</v>
      </c>
      <c r="E59" s="47">
        <v>-43035.86</v>
      </c>
      <c r="F59" s="66">
        <v>-36567.550000000003</v>
      </c>
      <c r="G59" s="61">
        <v>-442958.18</v>
      </c>
      <c r="H59" s="47">
        <v>-234606.53</v>
      </c>
      <c r="I59" s="47">
        <v>-223245.35</v>
      </c>
      <c r="J59" s="47">
        <v>-296988.96999999997</v>
      </c>
      <c r="K59" s="66">
        <v>-111040.08</v>
      </c>
      <c r="L59" s="65">
        <v>0</v>
      </c>
      <c r="M59" s="47">
        <v>0</v>
      </c>
      <c r="N59" s="47">
        <v>0</v>
      </c>
      <c r="O59" s="47">
        <v>0</v>
      </c>
      <c r="P59" s="66">
        <v>0</v>
      </c>
    </row>
    <row r="60" spans="1:16" s="44" customFormat="1" x14ac:dyDescent="0.3">
      <c r="A60" s="80" t="s">
        <v>245</v>
      </c>
      <c r="B60" s="65">
        <v>54866.91</v>
      </c>
      <c r="C60" s="47">
        <v>0</v>
      </c>
      <c r="D60" s="47">
        <v>0</v>
      </c>
      <c r="E60" s="47">
        <v>42408.09</v>
      </c>
      <c r="F60" s="66">
        <v>37300.89</v>
      </c>
      <c r="G60" s="61">
        <v>436102.25</v>
      </c>
      <c r="H60" s="47">
        <v>236150.89</v>
      </c>
      <c r="I60" s="47">
        <v>235384.89</v>
      </c>
      <c r="J60" s="47">
        <v>292353.31</v>
      </c>
      <c r="K60" s="66">
        <v>113012.92</v>
      </c>
      <c r="L60" s="65">
        <v>0</v>
      </c>
      <c r="M60" s="47">
        <v>0</v>
      </c>
      <c r="N60" s="47">
        <v>0</v>
      </c>
      <c r="O60" s="47">
        <v>0</v>
      </c>
      <c r="P60" s="66">
        <v>0</v>
      </c>
    </row>
    <row r="61" spans="1:16" s="44" customFormat="1" x14ac:dyDescent="0.3">
      <c r="A61" s="80" t="s">
        <v>246</v>
      </c>
      <c r="B61" s="65"/>
      <c r="C61" s="47">
        <v>-3475</v>
      </c>
      <c r="D61" s="47">
        <v>-4900</v>
      </c>
      <c r="E61" s="47">
        <v>0</v>
      </c>
      <c r="F61" s="66">
        <v>-6139.67</v>
      </c>
      <c r="G61" s="61">
        <v>0</v>
      </c>
      <c r="H61" s="47">
        <v>-3975</v>
      </c>
      <c r="I61" s="47">
        <v>-14366.94</v>
      </c>
      <c r="J61" s="47">
        <v>-148.72</v>
      </c>
      <c r="K61" s="66">
        <v>-6429.43</v>
      </c>
      <c r="L61" s="65">
        <v>323.18</v>
      </c>
      <c r="M61" s="47">
        <v>-5159.07</v>
      </c>
      <c r="N61" s="47">
        <v>3410.95</v>
      </c>
      <c r="O61" s="47">
        <v>-1160.3900000000001</v>
      </c>
      <c r="P61" s="66">
        <v>-374.06</v>
      </c>
    </row>
    <row r="62" spans="1:16" s="44" customFormat="1" x14ac:dyDescent="0.3">
      <c r="A62" s="80" t="s">
        <v>247</v>
      </c>
      <c r="B62" s="65">
        <v>0</v>
      </c>
      <c r="C62" s="47">
        <v>2975</v>
      </c>
      <c r="D62" s="47">
        <v>5400</v>
      </c>
      <c r="E62" s="47">
        <v>0</v>
      </c>
      <c r="F62" s="66">
        <v>6139.67</v>
      </c>
      <c r="G62" s="61">
        <v>33.39</v>
      </c>
      <c r="H62" s="47">
        <v>2995.32</v>
      </c>
      <c r="I62" s="47">
        <v>10279.41</v>
      </c>
      <c r="J62" s="47">
        <v>5107.1400000000003</v>
      </c>
      <c r="K62" s="66">
        <v>6201.62</v>
      </c>
      <c r="L62" s="65">
        <v>0</v>
      </c>
      <c r="M62" s="47">
        <v>0</v>
      </c>
      <c r="N62" s="47">
        <v>0</v>
      </c>
      <c r="O62" s="47">
        <v>0</v>
      </c>
      <c r="P62" s="66">
        <v>0</v>
      </c>
    </row>
    <row r="63" spans="1:16" s="44" customFormat="1" x14ac:dyDescent="0.3">
      <c r="A63" s="80" t="s">
        <v>274</v>
      </c>
      <c r="B63" s="65">
        <v>0</v>
      </c>
      <c r="C63" s="47">
        <v>0</v>
      </c>
      <c r="D63" s="47">
        <v>0</v>
      </c>
      <c r="E63" s="47">
        <v>0</v>
      </c>
      <c r="F63" s="66">
        <v>0</v>
      </c>
      <c r="G63" s="61">
        <v>-150</v>
      </c>
      <c r="H63" s="47">
        <v>0</v>
      </c>
      <c r="I63" s="47">
        <v>-283.16000000000003</v>
      </c>
      <c r="J63" s="47">
        <v>0</v>
      </c>
      <c r="K63" s="66">
        <v>-514.96</v>
      </c>
      <c r="L63" s="65">
        <v>0</v>
      </c>
      <c r="M63" s="47">
        <v>0</v>
      </c>
      <c r="N63" s="47">
        <v>0</v>
      </c>
      <c r="O63" s="47">
        <v>0</v>
      </c>
      <c r="P63" s="66">
        <v>0</v>
      </c>
    </row>
    <row r="64" spans="1:16" s="44" customFormat="1" x14ac:dyDescent="0.3">
      <c r="A64" s="80" t="s">
        <v>297</v>
      </c>
      <c r="B64" s="65"/>
      <c r="C64" s="47"/>
      <c r="D64" s="47"/>
      <c r="E64" s="47"/>
      <c r="F64" s="66"/>
      <c r="G64" s="61"/>
      <c r="H64" s="47"/>
      <c r="I64" s="47"/>
      <c r="J64" s="47"/>
      <c r="K64" s="66"/>
      <c r="L64" s="65">
        <v>0</v>
      </c>
      <c r="M64" s="47">
        <v>0</v>
      </c>
      <c r="N64" s="47">
        <v>0</v>
      </c>
      <c r="O64" s="47">
        <v>0</v>
      </c>
      <c r="P64" s="66">
        <v>-1144.77</v>
      </c>
    </row>
    <row r="65" spans="1:16" s="44" customFormat="1" x14ac:dyDescent="0.3">
      <c r="A65" s="80" t="s">
        <v>275</v>
      </c>
      <c r="B65" s="65">
        <v>0</v>
      </c>
      <c r="C65" s="47">
        <v>0</v>
      </c>
      <c r="D65" s="47">
        <v>0</v>
      </c>
      <c r="E65" s="47">
        <v>0</v>
      </c>
      <c r="F65" s="66">
        <v>0</v>
      </c>
      <c r="G65" s="61">
        <v>826.09</v>
      </c>
      <c r="H65" s="47">
        <v>2082.54</v>
      </c>
      <c r="I65" s="47">
        <v>2083.84</v>
      </c>
      <c r="J65" s="47">
        <v>10900.36</v>
      </c>
      <c r="K65" s="66">
        <v>15231.8</v>
      </c>
      <c r="L65" s="65">
        <v>0</v>
      </c>
      <c r="M65" s="47">
        <v>0</v>
      </c>
      <c r="N65" s="47">
        <v>0</v>
      </c>
      <c r="O65" s="47">
        <v>0</v>
      </c>
      <c r="P65" s="66">
        <v>0</v>
      </c>
    </row>
    <row r="66" spans="1:16" s="44" customFormat="1" x14ac:dyDescent="0.3">
      <c r="A66" s="80" t="s">
        <v>273</v>
      </c>
      <c r="B66" s="65">
        <v>0</v>
      </c>
      <c r="C66" s="47">
        <v>0</v>
      </c>
      <c r="D66" s="47">
        <v>0</v>
      </c>
      <c r="E66" s="47">
        <v>0</v>
      </c>
      <c r="F66" s="66">
        <v>0</v>
      </c>
      <c r="G66" s="61">
        <v>0.64</v>
      </c>
      <c r="H66" s="47">
        <v>0</v>
      </c>
      <c r="I66" s="47">
        <v>0</v>
      </c>
      <c r="J66" s="47"/>
      <c r="K66" s="66"/>
      <c r="L66" s="65">
        <v>9.19</v>
      </c>
      <c r="M66" s="47">
        <v>0.13</v>
      </c>
      <c r="N66" s="47">
        <v>0.09</v>
      </c>
      <c r="O66" s="47">
        <v>9.41</v>
      </c>
      <c r="P66" s="66">
        <v>48.1</v>
      </c>
    </row>
    <row r="67" spans="1:16" s="44" customFormat="1" x14ac:dyDescent="0.3">
      <c r="A67" s="80" t="s">
        <v>248</v>
      </c>
      <c r="B67" s="65">
        <v>0</v>
      </c>
      <c r="C67" s="47">
        <v>0</v>
      </c>
      <c r="D67" s="47">
        <v>0</v>
      </c>
      <c r="E67" s="47">
        <v>0</v>
      </c>
      <c r="F67" s="66">
        <v>-514.96</v>
      </c>
      <c r="G67" s="61">
        <v>-2246.4499999999998</v>
      </c>
      <c r="H67" s="47">
        <v>-3004.37</v>
      </c>
      <c r="I67" s="47">
        <v>-3291.4</v>
      </c>
      <c r="J67" s="47">
        <v>-21272.49</v>
      </c>
      <c r="K67" s="66">
        <v>-23310.68</v>
      </c>
      <c r="L67" s="65">
        <v>0</v>
      </c>
      <c r="M67" s="47">
        <v>0</v>
      </c>
      <c r="N67" s="47">
        <v>0</v>
      </c>
      <c r="O67" s="47">
        <v>0</v>
      </c>
      <c r="P67" s="66">
        <v>0</v>
      </c>
    </row>
    <row r="68" spans="1:16" s="44" customFormat="1" x14ac:dyDescent="0.3">
      <c r="A68" s="80" t="s">
        <v>279</v>
      </c>
      <c r="B68" s="65"/>
      <c r="C68" s="47"/>
      <c r="D68" s="47"/>
      <c r="E68" s="47"/>
      <c r="F68" s="66"/>
      <c r="G68" s="61"/>
      <c r="H68" s="47"/>
      <c r="I68" s="47"/>
      <c r="J68" s="47">
        <v>-92.74</v>
      </c>
      <c r="K68" s="66">
        <v>-267.47000000000003</v>
      </c>
      <c r="L68" s="65">
        <v>0</v>
      </c>
      <c r="M68" s="47">
        <v>0</v>
      </c>
      <c r="N68" s="47">
        <v>0</v>
      </c>
      <c r="O68" s="47">
        <v>0</v>
      </c>
      <c r="P68" s="66">
        <v>0</v>
      </c>
    </row>
    <row r="69" spans="1:16" s="44" customFormat="1" x14ac:dyDescent="0.3">
      <c r="A69" s="80" t="s">
        <v>249</v>
      </c>
      <c r="B69" s="65">
        <v>12.02</v>
      </c>
      <c r="C69" s="47">
        <v>30.93</v>
      </c>
      <c r="D69" s="47">
        <v>26.73</v>
      </c>
      <c r="E69" s="47">
        <v>46.26</v>
      </c>
      <c r="F69" s="66">
        <v>94.63</v>
      </c>
      <c r="G69" s="61">
        <v>135.31</v>
      </c>
      <c r="H69" s="47">
        <v>226.7</v>
      </c>
      <c r="I69" s="47">
        <v>400.58</v>
      </c>
      <c r="J69" s="47">
        <v>606.71</v>
      </c>
      <c r="K69" s="66">
        <v>943.99</v>
      </c>
      <c r="L69" s="65">
        <v>460.74</v>
      </c>
      <c r="M69" s="47">
        <v>1100.04</v>
      </c>
      <c r="N69" s="47">
        <v>1756.33</v>
      </c>
      <c r="O69" s="47">
        <v>2724.95</v>
      </c>
      <c r="P69" s="66">
        <v>3445.63</v>
      </c>
    </row>
    <row r="70" spans="1:16" s="44" customFormat="1" x14ac:dyDescent="0.3">
      <c r="A70" s="79" t="s">
        <v>250</v>
      </c>
      <c r="B70" s="34">
        <f t="shared" ref="B70:P70" si="3">SUM(B51:B69)</f>
        <v>-692.82999999999856</v>
      </c>
      <c r="C70" s="22">
        <f t="shared" si="3"/>
        <v>-797.03999999999985</v>
      </c>
      <c r="D70" s="22">
        <f t="shared" si="3"/>
        <v>2197.3200000000002</v>
      </c>
      <c r="E70" s="22">
        <f t="shared" si="3"/>
        <v>-611.44000000000437</v>
      </c>
      <c r="F70" s="35">
        <f t="shared" si="3"/>
        <v>273.30999999999938</v>
      </c>
      <c r="G70" s="56">
        <f t="shared" si="3"/>
        <v>-8756.8799999999846</v>
      </c>
      <c r="H70" s="22">
        <f t="shared" si="3"/>
        <v>-428.54999999999046</v>
      </c>
      <c r="I70" s="22">
        <f t="shared" si="3"/>
        <v>6346.8400000000092</v>
      </c>
      <c r="J70" s="22">
        <f t="shared" si="3"/>
        <v>-10393.909999999985</v>
      </c>
      <c r="K70" s="35">
        <f t="shared" si="3"/>
        <v>-7171.1800000000048</v>
      </c>
      <c r="L70" s="34">
        <f t="shared" si="3"/>
        <v>-3915.62</v>
      </c>
      <c r="M70" s="22">
        <f t="shared" si="3"/>
        <v>395.81000000000029</v>
      </c>
      <c r="N70" s="22">
        <f t="shared" si="3"/>
        <v>4216.3899999999994</v>
      </c>
      <c r="O70" s="22">
        <f t="shared" si="3"/>
        <v>1809.6699999999996</v>
      </c>
      <c r="P70" s="35">
        <f t="shared" si="3"/>
        <v>453.59000000000015</v>
      </c>
    </row>
    <row r="71" spans="1:16" s="44" customFormat="1" ht="15" thickBot="1" x14ac:dyDescent="0.35">
      <c r="A71" s="80"/>
      <c r="B71" s="67"/>
      <c r="C71" s="68"/>
      <c r="D71" s="68"/>
      <c r="E71" s="68"/>
      <c r="F71" s="69"/>
      <c r="G71" s="89"/>
      <c r="H71" s="68"/>
      <c r="I71" s="68"/>
      <c r="J71" s="68"/>
      <c r="K71" s="69"/>
      <c r="L71" s="67"/>
      <c r="M71" s="68"/>
      <c r="N71" s="68"/>
      <c r="O71" s="68"/>
      <c r="P71" s="69"/>
    </row>
    <row r="72" spans="1:16" s="44" customFormat="1" ht="15" thickBot="1" x14ac:dyDescent="0.35">
      <c r="A72" s="563" t="s">
        <v>253</v>
      </c>
      <c r="B72" s="564"/>
      <c r="C72" s="564"/>
      <c r="D72" s="564"/>
      <c r="E72" s="564"/>
      <c r="F72" s="564"/>
      <c r="G72" s="564"/>
      <c r="H72" s="564"/>
      <c r="I72" s="564"/>
      <c r="J72" s="564"/>
      <c r="K72" s="564"/>
      <c r="L72" s="564"/>
      <c r="M72" s="564"/>
      <c r="N72" s="564"/>
      <c r="O72" s="564"/>
      <c r="P72" s="565"/>
    </row>
    <row r="73" spans="1:16" s="44" customFormat="1" x14ac:dyDescent="0.3">
      <c r="A73" s="80" t="s">
        <v>254</v>
      </c>
      <c r="B73" s="62">
        <v>1500</v>
      </c>
      <c r="C73" s="63">
        <v>0</v>
      </c>
      <c r="D73" s="63">
        <v>0</v>
      </c>
      <c r="E73" s="63">
        <v>2499.88</v>
      </c>
      <c r="F73" s="64">
        <v>0</v>
      </c>
      <c r="G73" s="62">
        <v>8568.0400000000009</v>
      </c>
      <c r="H73" s="63">
        <v>103.21</v>
      </c>
      <c r="I73" s="63">
        <v>172.9</v>
      </c>
      <c r="J73" s="63">
        <v>158.12</v>
      </c>
      <c r="K73" s="91">
        <v>9067.17</v>
      </c>
      <c r="L73" s="62">
        <v>18.760000000000002</v>
      </c>
      <c r="M73" s="63">
        <v>7.92</v>
      </c>
      <c r="N73" s="63">
        <v>7.47</v>
      </c>
      <c r="O73" s="63">
        <v>5.15</v>
      </c>
      <c r="P73" s="64">
        <v>0.64</v>
      </c>
    </row>
    <row r="74" spans="1:16" s="44" customFormat="1" x14ac:dyDescent="0.3">
      <c r="A74" s="80" t="s">
        <v>291</v>
      </c>
      <c r="B74" s="85"/>
      <c r="C74" s="86"/>
      <c r="D74" s="86"/>
      <c r="E74" s="86"/>
      <c r="F74" s="87"/>
      <c r="G74" s="85"/>
      <c r="H74" s="86"/>
      <c r="I74" s="86"/>
      <c r="J74" s="86"/>
      <c r="K74" s="92"/>
      <c r="L74" s="85">
        <v>0</v>
      </c>
      <c r="M74" s="86">
        <v>0</v>
      </c>
      <c r="N74" s="86">
        <v>2276.29</v>
      </c>
      <c r="O74" s="86">
        <v>1050</v>
      </c>
      <c r="P74" s="87">
        <v>-530</v>
      </c>
    </row>
    <row r="75" spans="1:16" s="44" customFormat="1" x14ac:dyDescent="0.3">
      <c r="A75" s="80" t="s">
        <v>280</v>
      </c>
      <c r="B75" s="85"/>
      <c r="C75" s="86"/>
      <c r="D75" s="86"/>
      <c r="E75" s="86"/>
      <c r="F75" s="87"/>
      <c r="G75" s="85">
        <v>0</v>
      </c>
      <c r="H75" s="86">
        <v>0</v>
      </c>
      <c r="I75" s="86">
        <v>0</v>
      </c>
      <c r="J75" s="86">
        <v>0</v>
      </c>
      <c r="K75" s="92">
        <v>297.20999999999998</v>
      </c>
      <c r="L75" s="85">
        <v>0</v>
      </c>
      <c r="M75" s="86">
        <v>0</v>
      </c>
      <c r="N75" s="86">
        <v>0</v>
      </c>
      <c r="O75" s="86">
        <v>0</v>
      </c>
      <c r="P75" s="87">
        <v>0</v>
      </c>
    </row>
    <row r="76" spans="1:16" s="44" customFormat="1" x14ac:dyDescent="0.3">
      <c r="A76" s="80" t="s">
        <v>271</v>
      </c>
      <c r="B76" s="85">
        <v>0</v>
      </c>
      <c r="C76" s="86">
        <v>-20.41</v>
      </c>
      <c r="D76" s="86">
        <v>-19.23</v>
      </c>
      <c r="E76" s="86">
        <v>0</v>
      </c>
      <c r="F76" s="87">
        <v>0</v>
      </c>
      <c r="G76" s="85">
        <v>0</v>
      </c>
      <c r="H76" s="86">
        <v>0</v>
      </c>
      <c r="I76" s="86">
        <v>0</v>
      </c>
      <c r="J76" s="86">
        <v>0</v>
      </c>
      <c r="K76" s="92">
        <v>0</v>
      </c>
      <c r="L76" s="85">
        <v>0</v>
      </c>
      <c r="M76" s="86">
        <v>0</v>
      </c>
      <c r="N76" s="86">
        <v>0</v>
      </c>
      <c r="O76" s="86">
        <v>0</v>
      </c>
      <c r="P76" s="87">
        <v>0</v>
      </c>
    </row>
    <row r="77" spans="1:16" s="44" customFormat="1" x14ac:dyDescent="0.3">
      <c r="A77" s="80" t="s">
        <v>139</v>
      </c>
      <c r="B77" s="85"/>
      <c r="C77" s="86"/>
      <c r="D77" s="86"/>
      <c r="E77" s="86"/>
      <c r="F77" s="87"/>
      <c r="G77" s="85">
        <v>-943.28</v>
      </c>
      <c r="H77" s="86">
        <v>-2.74</v>
      </c>
      <c r="I77" s="86">
        <v>-602.63</v>
      </c>
      <c r="J77" s="86">
        <v>-1206.8599999999999</v>
      </c>
      <c r="K77" s="92">
        <v>-1814.58</v>
      </c>
      <c r="L77" s="85">
        <v>-13055.28</v>
      </c>
      <c r="M77" s="86">
        <v>-6.75</v>
      </c>
      <c r="N77" s="86">
        <v>-8027.3</v>
      </c>
      <c r="O77" s="86">
        <v>-8032.06</v>
      </c>
      <c r="P77" s="87">
        <v>-8844.39</v>
      </c>
    </row>
    <row r="78" spans="1:16" s="44" customFormat="1" x14ac:dyDescent="0.3">
      <c r="A78" s="80" t="s">
        <v>292</v>
      </c>
      <c r="B78" s="85"/>
      <c r="C78" s="86"/>
      <c r="D78" s="86"/>
      <c r="E78" s="86"/>
      <c r="F78" s="87"/>
      <c r="G78" s="85"/>
      <c r="H78" s="86"/>
      <c r="I78" s="86"/>
      <c r="J78" s="86"/>
      <c r="K78" s="92"/>
      <c r="L78" s="85">
        <v>-1347.69</v>
      </c>
      <c r="M78" s="86">
        <v>-297.60000000000002</v>
      </c>
      <c r="N78" s="86">
        <v>-732.83</v>
      </c>
      <c r="O78" s="86">
        <v>-459.47</v>
      </c>
      <c r="P78" s="87">
        <v>783.6</v>
      </c>
    </row>
    <row r="79" spans="1:16" s="44" customFormat="1" x14ac:dyDescent="0.3">
      <c r="A79" s="80" t="s">
        <v>276</v>
      </c>
      <c r="B79" s="85"/>
      <c r="C79" s="86"/>
      <c r="D79" s="86"/>
      <c r="E79" s="86"/>
      <c r="F79" s="87"/>
      <c r="G79" s="85">
        <v>-195.2</v>
      </c>
      <c r="H79" s="86">
        <v>0</v>
      </c>
      <c r="I79" s="86">
        <v>0</v>
      </c>
      <c r="J79" s="86">
        <v>0</v>
      </c>
      <c r="K79" s="92">
        <v>0</v>
      </c>
      <c r="L79" s="85">
        <v>0</v>
      </c>
      <c r="M79" s="86">
        <v>0</v>
      </c>
      <c r="N79" s="86">
        <v>0</v>
      </c>
      <c r="O79" s="86">
        <v>0</v>
      </c>
      <c r="P79" s="87">
        <v>0</v>
      </c>
    </row>
    <row r="80" spans="1:16" s="44" customFormat="1" x14ac:dyDescent="0.3">
      <c r="A80" s="80" t="s">
        <v>277</v>
      </c>
      <c r="B80" s="85"/>
      <c r="C80" s="86"/>
      <c r="D80" s="86"/>
      <c r="E80" s="86"/>
      <c r="F80" s="87"/>
      <c r="G80" s="85">
        <v>-45.06</v>
      </c>
      <c r="H80" s="86">
        <v>0</v>
      </c>
      <c r="I80" s="86">
        <v>0</v>
      </c>
      <c r="J80" s="86">
        <v>-0.12</v>
      </c>
      <c r="K80" s="92">
        <v>-34.549999999999997</v>
      </c>
      <c r="L80" s="85">
        <v>0</v>
      </c>
      <c r="M80" s="86">
        <v>0</v>
      </c>
      <c r="N80" s="86">
        <v>0</v>
      </c>
      <c r="O80" s="86">
        <v>0</v>
      </c>
      <c r="P80" s="87">
        <v>0</v>
      </c>
    </row>
    <row r="81" spans="1:16" s="44" customFormat="1" x14ac:dyDescent="0.3">
      <c r="A81" s="80" t="s">
        <v>255</v>
      </c>
      <c r="B81" s="65"/>
      <c r="C81" s="47">
        <v>7302.31</v>
      </c>
      <c r="D81" s="47">
        <v>15597.4</v>
      </c>
      <c r="E81" s="47">
        <v>26657.22</v>
      </c>
      <c r="F81" s="66">
        <v>23987.119999999999</v>
      </c>
      <c r="G81" s="65">
        <v>0</v>
      </c>
      <c r="H81" s="47">
        <v>-2338.69</v>
      </c>
      <c r="I81" s="47">
        <v>41178.35</v>
      </c>
      <c r="J81" s="47">
        <v>66860.38</v>
      </c>
      <c r="K81" s="60">
        <v>72666.31</v>
      </c>
      <c r="L81" s="65">
        <v>0</v>
      </c>
      <c r="M81" s="47">
        <v>0</v>
      </c>
      <c r="N81" s="47">
        <v>0</v>
      </c>
      <c r="O81" s="47">
        <v>0</v>
      </c>
      <c r="P81" s="66">
        <v>0</v>
      </c>
    </row>
    <row r="82" spans="1:16" s="44" customFormat="1" x14ac:dyDescent="0.3">
      <c r="A82" s="80" t="s">
        <v>256</v>
      </c>
      <c r="B82" s="65"/>
      <c r="C82" s="47">
        <v>-3026.88</v>
      </c>
      <c r="D82" s="47">
        <v>-6923.39</v>
      </c>
      <c r="E82" s="47">
        <v>-10737.42</v>
      </c>
      <c r="F82" s="66">
        <v>-11817.87</v>
      </c>
      <c r="G82" s="65">
        <v>0</v>
      </c>
      <c r="H82" s="47">
        <v>-3255.6</v>
      </c>
      <c r="I82" s="47">
        <v>-17889.57</v>
      </c>
      <c r="J82" s="47">
        <v>-36473.64</v>
      </c>
      <c r="K82" s="60">
        <v>-34375.910000000003</v>
      </c>
      <c r="L82" s="65">
        <v>0</v>
      </c>
      <c r="M82" s="47">
        <v>0</v>
      </c>
      <c r="N82" s="47">
        <v>0</v>
      </c>
      <c r="O82" s="47">
        <v>0</v>
      </c>
      <c r="P82" s="66">
        <v>0</v>
      </c>
    </row>
    <row r="83" spans="1:16" s="44" customFormat="1" x14ac:dyDescent="0.3">
      <c r="A83" s="80" t="s">
        <v>267</v>
      </c>
      <c r="B83" s="65">
        <v>-178.78</v>
      </c>
      <c r="C83" s="47">
        <v>0</v>
      </c>
      <c r="D83" s="47">
        <v>0</v>
      </c>
      <c r="E83" s="47">
        <v>0</v>
      </c>
      <c r="F83" s="66">
        <v>0</v>
      </c>
      <c r="G83" s="65">
        <v>1972.98</v>
      </c>
      <c r="H83" s="47">
        <v>0</v>
      </c>
      <c r="I83" s="47">
        <v>0</v>
      </c>
      <c r="J83" s="47">
        <v>0</v>
      </c>
      <c r="K83" s="60">
        <v>0</v>
      </c>
      <c r="L83" s="65">
        <v>20541.650000000001</v>
      </c>
      <c r="M83" s="47">
        <v>43962.63</v>
      </c>
      <c r="N83" s="47">
        <v>-14991.44</v>
      </c>
      <c r="O83" s="47">
        <v>14225.96</v>
      </c>
      <c r="P83" s="66">
        <v>28746.080000000002</v>
      </c>
    </row>
    <row r="84" spans="1:16" s="44" customFormat="1" x14ac:dyDescent="0.3">
      <c r="A84" s="80" t="s">
        <v>268</v>
      </c>
      <c r="B84" s="65">
        <v>10174.58</v>
      </c>
      <c r="C84" s="47">
        <v>0</v>
      </c>
      <c r="D84" s="47">
        <v>0</v>
      </c>
      <c r="E84" s="47">
        <v>0</v>
      </c>
      <c r="F84" s="66">
        <v>0</v>
      </c>
      <c r="G84" s="65">
        <v>16906.34</v>
      </c>
      <c r="H84" s="47">
        <v>0</v>
      </c>
      <c r="I84" s="47">
        <v>0</v>
      </c>
      <c r="J84" s="47">
        <v>0</v>
      </c>
      <c r="K84" s="60">
        <v>0</v>
      </c>
      <c r="L84" s="65">
        <v>85817.99</v>
      </c>
      <c r="M84" s="47">
        <v>53374.48</v>
      </c>
      <c r="N84" s="47">
        <v>55565.48</v>
      </c>
      <c r="O84" s="47">
        <v>-3896.22</v>
      </c>
      <c r="P84" s="66">
        <v>99173.53</v>
      </c>
    </row>
    <row r="85" spans="1:16" s="44" customFormat="1" x14ac:dyDescent="0.3">
      <c r="A85" s="80" t="s">
        <v>257</v>
      </c>
      <c r="B85" s="65">
        <v>0</v>
      </c>
      <c r="C85" s="47">
        <v>1428.58</v>
      </c>
      <c r="D85" s="47">
        <v>1054.99</v>
      </c>
      <c r="E85" s="47">
        <v>-3435.11</v>
      </c>
      <c r="F85" s="66">
        <v>2961.33</v>
      </c>
      <c r="G85" s="65">
        <v>0</v>
      </c>
      <c r="H85" s="47">
        <v>3148.54</v>
      </c>
      <c r="I85" s="47">
        <v>4702.3900000000003</v>
      </c>
      <c r="J85" s="47">
        <v>7923.66</v>
      </c>
      <c r="K85" s="60">
        <v>22023.5</v>
      </c>
      <c r="L85" s="65">
        <v>0</v>
      </c>
      <c r="M85" s="47">
        <v>0</v>
      </c>
      <c r="N85" s="47">
        <v>0</v>
      </c>
      <c r="O85" s="47">
        <v>0</v>
      </c>
      <c r="P85" s="66">
        <v>0</v>
      </c>
    </row>
    <row r="86" spans="1:16" s="44" customFormat="1" x14ac:dyDescent="0.3">
      <c r="A86" s="80" t="s">
        <v>258</v>
      </c>
      <c r="B86" s="65">
        <v>0</v>
      </c>
      <c r="C86" s="47">
        <v>0</v>
      </c>
      <c r="D86" s="47">
        <v>510</v>
      </c>
      <c r="E86" s="47">
        <v>-340.68</v>
      </c>
      <c r="F86" s="66">
        <v>8.0500000000000007</v>
      </c>
      <c r="G86" s="65">
        <v>7987.86</v>
      </c>
      <c r="H86" s="47">
        <v>4172.75</v>
      </c>
      <c r="I86" s="47">
        <v>4784.07</v>
      </c>
      <c r="J86" s="47">
        <v>13556.92</v>
      </c>
      <c r="K86" s="60">
        <v>14759.93</v>
      </c>
      <c r="L86" s="65">
        <v>-12.48</v>
      </c>
      <c r="M86" s="47">
        <v>157.58000000000001</v>
      </c>
      <c r="N86" s="47">
        <v>432.27</v>
      </c>
      <c r="O86" s="47">
        <v>1143.57</v>
      </c>
      <c r="P86" s="66">
        <v>335.71</v>
      </c>
    </row>
    <row r="87" spans="1:16" s="44" customFormat="1" x14ac:dyDescent="0.3">
      <c r="A87" s="80" t="s">
        <v>259</v>
      </c>
      <c r="B87" s="65">
        <v>-9.08</v>
      </c>
      <c r="C87" s="47">
        <v>-7.73</v>
      </c>
      <c r="D87" s="47">
        <v>-10.54</v>
      </c>
      <c r="E87" s="47">
        <v>-13.83</v>
      </c>
      <c r="F87" s="66">
        <v>-13.85</v>
      </c>
      <c r="G87" s="65">
        <v>-71.12</v>
      </c>
      <c r="H87" s="47">
        <v>-86.84</v>
      </c>
      <c r="I87" s="47">
        <v>-105.89</v>
      </c>
      <c r="J87" s="47">
        <v>-143.44999999999999</v>
      </c>
      <c r="K87" s="60">
        <v>-174</v>
      </c>
      <c r="L87" s="65">
        <v>0</v>
      </c>
      <c r="M87" s="47">
        <v>-74.040000000000006</v>
      </c>
      <c r="N87" s="47">
        <v>-75.05</v>
      </c>
      <c r="O87" s="47">
        <v>-86.74</v>
      </c>
      <c r="P87" s="66">
        <v>-89.23</v>
      </c>
    </row>
    <row r="88" spans="1:16" s="44" customFormat="1" x14ac:dyDescent="0.3">
      <c r="A88" s="79" t="s">
        <v>260</v>
      </c>
      <c r="B88" s="34">
        <f>SUM(B73:B87)</f>
        <v>11486.72</v>
      </c>
      <c r="C88" s="22">
        <f t="shared" ref="C88:P88" si="4">SUM(C73:C87)</f>
        <v>5675.8700000000008</v>
      </c>
      <c r="D88" s="22">
        <f t="shared" si="4"/>
        <v>10209.229999999998</v>
      </c>
      <c r="E88" s="22">
        <f t="shared" si="4"/>
        <v>14630.06</v>
      </c>
      <c r="F88" s="35">
        <f t="shared" si="4"/>
        <v>15124.779999999997</v>
      </c>
      <c r="G88" s="34">
        <f t="shared" si="4"/>
        <v>34180.559999999998</v>
      </c>
      <c r="H88" s="22">
        <f t="shared" si="4"/>
        <v>1740.6300000000003</v>
      </c>
      <c r="I88" s="22">
        <f t="shared" si="4"/>
        <v>32239.619999999995</v>
      </c>
      <c r="J88" s="22">
        <f t="shared" si="4"/>
        <v>50675.010000000009</v>
      </c>
      <c r="K88" s="55">
        <f t="shared" si="4"/>
        <v>82415.079999999987</v>
      </c>
      <c r="L88" s="34">
        <f t="shared" si="4"/>
        <v>91962.950000000012</v>
      </c>
      <c r="M88" s="22">
        <f t="shared" si="4"/>
        <v>97124.22</v>
      </c>
      <c r="N88" s="22">
        <f t="shared" si="4"/>
        <v>34454.889999999992</v>
      </c>
      <c r="O88" s="22">
        <f t="shared" si="4"/>
        <v>3950.1899999999996</v>
      </c>
      <c r="P88" s="35">
        <f t="shared" si="4"/>
        <v>119575.94</v>
      </c>
    </row>
    <row r="89" spans="1:16" s="44" customFormat="1" x14ac:dyDescent="0.3">
      <c r="A89" s="80"/>
      <c r="B89" s="65"/>
      <c r="C89" s="47"/>
      <c r="D89" s="47"/>
      <c r="E89" s="47"/>
      <c r="F89" s="66"/>
      <c r="G89" s="65"/>
      <c r="H89" s="47"/>
      <c r="I89" s="47"/>
      <c r="J89" s="47"/>
      <c r="K89" s="60"/>
      <c r="L89" s="65"/>
      <c r="M89" s="47"/>
      <c r="N89" s="47"/>
      <c r="O89" s="47"/>
      <c r="P89" s="66"/>
    </row>
    <row r="90" spans="1:16" s="44" customFormat="1" x14ac:dyDescent="0.3">
      <c r="A90" s="79" t="s">
        <v>261</v>
      </c>
      <c r="B90" s="34">
        <f t="shared" ref="B90:P90" si="5">B48+B70+B88</f>
        <v>551.74000000000342</v>
      </c>
      <c r="C90" s="22">
        <f t="shared" si="5"/>
        <v>-196.9399999999996</v>
      </c>
      <c r="D90" s="22">
        <f t="shared" si="5"/>
        <v>-54.750000000001819</v>
      </c>
      <c r="E90" s="22">
        <f t="shared" si="5"/>
        <v>-313.15000000000146</v>
      </c>
      <c r="F90" s="35">
        <f t="shared" si="5"/>
        <v>-30.020000000005894</v>
      </c>
      <c r="G90" s="34">
        <f t="shared" si="5"/>
        <v>997.50000000001455</v>
      </c>
      <c r="H90" s="22">
        <f t="shared" si="5"/>
        <v>504.81000000001131</v>
      </c>
      <c r="I90" s="22">
        <f t="shared" si="5"/>
        <v>1557.8400000000038</v>
      </c>
      <c r="J90" s="22">
        <f t="shared" si="5"/>
        <v>-1830.6899999999732</v>
      </c>
      <c r="K90" s="55">
        <f t="shared" si="5"/>
        <v>2483.7599999999657</v>
      </c>
      <c r="L90" s="34">
        <f t="shared" si="5"/>
        <v>38295.55000000001</v>
      </c>
      <c r="M90" s="22">
        <f t="shared" si="5"/>
        <v>19377.140000000014</v>
      </c>
      <c r="N90" s="22">
        <f t="shared" si="5"/>
        <v>22706.790000000008</v>
      </c>
      <c r="O90" s="22">
        <f t="shared" si="5"/>
        <v>-22280.809999999994</v>
      </c>
      <c r="P90" s="35">
        <f t="shared" si="5"/>
        <v>-17510.650000000023</v>
      </c>
    </row>
    <row r="91" spans="1:16" s="52" customFormat="1" x14ac:dyDescent="0.3">
      <c r="A91" s="82" t="s">
        <v>293</v>
      </c>
      <c r="B91" s="71"/>
      <c r="C91" s="23"/>
      <c r="D91" s="23"/>
      <c r="E91" s="23"/>
      <c r="F91" s="72"/>
      <c r="G91" s="71"/>
      <c r="H91" s="23"/>
      <c r="I91" s="23"/>
      <c r="J91" s="23"/>
      <c r="K91" s="70"/>
      <c r="L91" s="71">
        <v>-4.5199999999999996</v>
      </c>
      <c r="M91" s="23">
        <v>-29.46</v>
      </c>
      <c r="N91" s="23">
        <v>-111.38</v>
      </c>
      <c r="O91" s="23">
        <v>-10.3</v>
      </c>
      <c r="P91" s="72">
        <v>23.13</v>
      </c>
    </row>
    <row r="92" spans="1:16" s="52" customFormat="1" x14ac:dyDescent="0.3">
      <c r="A92" s="82" t="s">
        <v>294</v>
      </c>
      <c r="B92" s="71"/>
      <c r="C92" s="23"/>
      <c r="D92" s="23"/>
      <c r="E92" s="23"/>
      <c r="F92" s="72"/>
      <c r="G92" s="71"/>
      <c r="H92" s="23"/>
      <c r="I92" s="23"/>
      <c r="J92" s="23"/>
      <c r="K92" s="70"/>
      <c r="L92" s="71">
        <v>0</v>
      </c>
      <c r="M92" s="23">
        <v>0</v>
      </c>
      <c r="N92" s="23">
        <v>0</v>
      </c>
      <c r="O92" s="23">
        <v>0</v>
      </c>
      <c r="P92" s="72">
        <v>0</v>
      </c>
    </row>
    <row r="93" spans="1:16" s="44" customFormat="1" x14ac:dyDescent="0.3">
      <c r="A93" s="80" t="s">
        <v>208</v>
      </c>
      <c r="B93" s="65">
        <v>106.98</v>
      </c>
      <c r="C93" s="47">
        <f>B94</f>
        <v>658.72000000000344</v>
      </c>
      <c r="D93" s="47">
        <f>C94</f>
        <v>461.78000000000384</v>
      </c>
      <c r="E93" s="47">
        <f>D94</f>
        <v>407.03000000000202</v>
      </c>
      <c r="F93" s="66">
        <f>E94</f>
        <v>93.880000000000564</v>
      </c>
      <c r="G93" s="65">
        <v>347.02</v>
      </c>
      <c r="H93" s="47">
        <f>G94</f>
        <v>1344.5200000000145</v>
      </c>
      <c r="I93" s="47">
        <f>H94</f>
        <v>1849.3300000000258</v>
      </c>
      <c r="J93" s="47">
        <f>I94</f>
        <v>3407.1700000000296</v>
      </c>
      <c r="K93" s="60">
        <f>J94</f>
        <v>1576.4800000000564</v>
      </c>
      <c r="L93" s="65">
        <v>20056.62</v>
      </c>
      <c r="M93" s="47">
        <f>L94</f>
        <v>58347.650000000016</v>
      </c>
      <c r="N93" s="47">
        <f>M94</f>
        <v>77695.330000000031</v>
      </c>
      <c r="O93" s="47">
        <f>N94</f>
        <v>100290.74000000003</v>
      </c>
      <c r="P93" s="66">
        <f>O94</f>
        <v>77999.630000000034</v>
      </c>
    </row>
    <row r="94" spans="1:16" s="44" customFormat="1" ht="15" thickBot="1" x14ac:dyDescent="0.35">
      <c r="A94" s="83" t="s">
        <v>209</v>
      </c>
      <c r="B94" s="73">
        <f>B90+B93</f>
        <v>658.72000000000344</v>
      </c>
      <c r="C94" s="74">
        <f t="shared" ref="C94:K94" si="6">C90+C93</f>
        <v>461.78000000000384</v>
      </c>
      <c r="D94" s="74">
        <f t="shared" si="6"/>
        <v>407.03000000000202</v>
      </c>
      <c r="E94" s="74">
        <f t="shared" si="6"/>
        <v>93.880000000000564</v>
      </c>
      <c r="F94" s="75">
        <f t="shared" si="6"/>
        <v>63.85999999999467</v>
      </c>
      <c r="G94" s="73">
        <f t="shared" si="6"/>
        <v>1344.5200000000145</v>
      </c>
      <c r="H94" s="74">
        <f t="shared" si="6"/>
        <v>1849.3300000000258</v>
      </c>
      <c r="I94" s="74">
        <f t="shared" si="6"/>
        <v>3407.1700000000296</v>
      </c>
      <c r="J94" s="74">
        <f t="shared" si="6"/>
        <v>1576.4800000000564</v>
      </c>
      <c r="K94" s="90">
        <f t="shared" si="6"/>
        <v>4060.2400000000221</v>
      </c>
      <c r="L94" s="73">
        <f>L90+L93+L91+L92</f>
        <v>58347.650000000016</v>
      </c>
      <c r="M94" s="74">
        <f>M90+M93+M91+M92</f>
        <v>77695.330000000031</v>
      </c>
      <c r="N94" s="74">
        <f>N90+N93+N91+N92</f>
        <v>100290.74000000003</v>
      </c>
      <c r="O94" s="74">
        <f>O90+O93+O91+O92</f>
        <v>77999.630000000034</v>
      </c>
      <c r="P94" s="75">
        <f>P90+P93+P91+P92</f>
        <v>60512.110000000008</v>
      </c>
    </row>
    <row r="95" spans="1:16" s="44" customFormat="1" x14ac:dyDescent="0.3"/>
    <row r="96" spans="1:16" s="44" customFormat="1" x14ac:dyDescent="0.3"/>
    <row r="97" s="44" customFormat="1" x14ac:dyDescent="0.3"/>
    <row r="98" s="44" customFormat="1" x14ac:dyDescent="0.3"/>
    <row r="99" s="44" customFormat="1" x14ac:dyDescent="0.3"/>
    <row r="100" s="44" customFormat="1" x14ac:dyDescent="0.3"/>
    <row r="101" s="44" customFormat="1" x14ac:dyDescent="0.3"/>
    <row r="102" s="44" customFormat="1" x14ac:dyDescent="0.3"/>
    <row r="103" s="44" customFormat="1" x14ac:dyDescent="0.3"/>
    <row r="104" s="44" customFormat="1" x14ac:dyDescent="0.3"/>
    <row r="105" s="44" customFormat="1" x14ac:dyDescent="0.3"/>
    <row r="106" s="44" customFormat="1" x14ac:dyDescent="0.3"/>
    <row r="107" s="44" customFormat="1" x14ac:dyDescent="0.3"/>
    <row r="108" s="44" customFormat="1" x14ac:dyDescent="0.3"/>
    <row r="109" s="44" customFormat="1" x14ac:dyDescent="0.3"/>
    <row r="110" s="44" customFormat="1" x14ac:dyDescent="0.3"/>
    <row r="111" s="44" customFormat="1" x14ac:dyDescent="0.3"/>
    <row r="112" s="44" customFormat="1" x14ac:dyDescent="0.3"/>
    <row r="113" s="44" customFormat="1" x14ac:dyDescent="0.3"/>
    <row r="114" s="44" customFormat="1" x14ac:dyDescent="0.3"/>
    <row r="115" s="44" customFormat="1" x14ac:dyDescent="0.3"/>
    <row r="116" s="44" customFormat="1" x14ac:dyDescent="0.3"/>
    <row r="117" s="44" customFormat="1" x14ac:dyDescent="0.3"/>
    <row r="118" s="44" customFormat="1" x14ac:dyDescent="0.3"/>
    <row r="119" s="44" customFormat="1" x14ac:dyDescent="0.3"/>
    <row r="120" s="44" customFormat="1" x14ac:dyDescent="0.3"/>
    <row r="121" s="44" customFormat="1" x14ac:dyDescent="0.3"/>
    <row r="122" s="44" customFormat="1" x14ac:dyDescent="0.3"/>
    <row r="123" s="44" customFormat="1" x14ac:dyDescent="0.3"/>
    <row r="124" s="44" customFormat="1" x14ac:dyDescent="0.3"/>
    <row r="125" s="44" customFormat="1" x14ac:dyDescent="0.3"/>
    <row r="126" s="44" customFormat="1" x14ac:dyDescent="0.3"/>
    <row r="127" s="44" customFormat="1" x14ac:dyDescent="0.3"/>
    <row r="128" s="44" customFormat="1" x14ac:dyDescent="0.3"/>
    <row r="129" s="44" customFormat="1" x14ac:dyDescent="0.3"/>
    <row r="130" s="44" customFormat="1" x14ac:dyDescent="0.3"/>
    <row r="131" s="44" customFormat="1" x14ac:dyDescent="0.3"/>
    <row r="132" s="44" customFormat="1" x14ac:dyDescent="0.3"/>
    <row r="133" s="44" customFormat="1" x14ac:dyDescent="0.3"/>
    <row r="134" s="44" customFormat="1" x14ac:dyDescent="0.3"/>
    <row r="135" s="44" customFormat="1" x14ac:dyDescent="0.3"/>
    <row r="136" s="44" customFormat="1" x14ac:dyDescent="0.3"/>
    <row r="137" s="44" customFormat="1" x14ac:dyDescent="0.3"/>
    <row r="138" s="44" customFormat="1" x14ac:dyDescent="0.3"/>
    <row r="139" s="44" customFormat="1" x14ac:dyDescent="0.3"/>
    <row r="140" s="44" customFormat="1" x14ac:dyDescent="0.3"/>
    <row r="141" s="44" customFormat="1" x14ac:dyDescent="0.3"/>
    <row r="142" s="44" customFormat="1" x14ac:dyDescent="0.3"/>
    <row r="143" s="44" customFormat="1" x14ac:dyDescent="0.3"/>
    <row r="144" s="44" customFormat="1" x14ac:dyDescent="0.3"/>
    <row r="145" s="44" customFormat="1" x14ac:dyDescent="0.3"/>
    <row r="146" s="44" customFormat="1" x14ac:dyDescent="0.3"/>
  </sheetData>
  <mergeCells count="10">
    <mergeCell ref="A6:P6"/>
    <mergeCell ref="A32:P32"/>
    <mergeCell ref="A50:P50"/>
    <mergeCell ref="A72:P72"/>
    <mergeCell ref="A1:P1"/>
    <mergeCell ref="A2:A3"/>
    <mergeCell ref="B2:F2"/>
    <mergeCell ref="G2:K2"/>
    <mergeCell ref="L2:P2"/>
    <mergeCell ref="A4:P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CC31A-5E9B-4FD9-A5B8-4729111B89C9}">
  <sheetPr>
    <tabColor rgb="FF0070C0"/>
  </sheetPr>
  <dimension ref="A1:AN55"/>
  <sheetViews>
    <sheetView zoomScale="62" zoomScaleNormal="54" workbookViewId="0">
      <selection activeCell="A42" sqref="A42"/>
    </sheetView>
  </sheetViews>
  <sheetFormatPr defaultRowHeight="18" x14ac:dyDescent="0.3"/>
  <cols>
    <col min="1" max="1" width="46" style="176" bestFit="1" customWidth="1"/>
    <col min="2" max="6" width="15.33203125" style="178" bestFit="1" customWidth="1"/>
    <col min="7" max="7" width="10.5546875" style="178" bestFit="1" customWidth="1"/>
    <col min="8" max="12" width="17.21875" style="178" bestFit="1" customWidth="1"/>
    <col min="13" max="13" width="10.5546875" style="178" bestFit="1" customWidth="1"/>
    <col min="14" max="16" width="15" style="178" bestFit="1" customWidth="1"/>
    <col min="17" max="18" width="17.21875" style="178" bestFit="1" customWidth="1"/>
    <col min="19" max="19" width="10.5546875" style="178" bestFit="1" customWidth="1"/>
    <col min="20" max="24" width="17.5546875" style="178" bestFit="1" customWidth="1"/>
    <col min="25" max="25" width="10.5546875" style="178" bestFit="1" customWidth="1"/>
    <col min="26" max="26" width="10" style="43" bestFit="1" customWidth="1"/>
    <col min="27" max="40" width="9.109375" style="43" bestFit="1" customWidth="1"/>
    <col min="41" max="16384" width="8.88671875" style="43"/>
  </cols>
  <sheetData>
    <row r="1" spans="1:40" s="41" customFormat="1" ht="34.200000000000003" thickBot="1" x14ac:dyDescent="0.35">
      <c r="A1" s="575" t="s">
        <v>298</v>
      </c>
      <c r="B1" s="576"/>
      <c r="C1" s="576"/>
      <c r="D1" s="576"/>
      <c r="E1" s="576"/>
      <c r="F1" s="576"/>
      <c r="G1" s="576"/>
      <c r="H1" s="576"/>
      <c r="I1" s="576"/>
      <c r="J1" s="576"/>
      <c r="K1" s="576"/>
      <c r="L1" s="576"/>
      <c r="M1" s="576"/>
      <c r="N1" s="576"/>
      <c r="O1" s="576"/>
      <c r="P1" s="576"/>
      <c r="Q1" s="576"/>
      <c r="R1" s="576"/>
      <c r="S1" s="576"/>
      <c r="T1" s="576"/>
      <c r="U1" s="576"/>
      <c r="V1" s="576"/>
      <c r="W1" s="576"/>
      <c r="X1" s="576"/>
      <c r="Y1" s="577"/>
      <c r="Z1" s="24"/>
      <c r="AA1" s="24"/>
      <c r="AB1" s="24"/>
      <c r="AC1" s="24"/>
      <c r="AD1" s="24"/>
      <c r="AE1" s="24"/>
      <c r="AF1" s="24"/>
      <c r="AG1" s="24"/>
      <c r="AH1" s="24"/>
      <c r="AI1" s="24"/>
      <c r="AJ1" s="24"/>
      <c r="AK1" s="24"/>
      <c r="AL1" s="24"/>
      <c r="AM1" s="24"/>
      <c r="AN1" s="24"/>
    </row>
    <row r="2" spans="1:40" s="42" customFormat="1" ht="44.4" customHeight="1" thickBot="1" x14ac:dyDescent="0.35">
      <c r="A2" s="584" t="s">
        <v>20</v>
      </c>
      <c r="B2" s="588" t="e" vm="3">
        <v>#VALUE!</v>
      </c>
      <c r="C2" s="586"/>
      <c r="D2" s="586"/>
      <c r="E2" s="586"/>
      <c r="F2" s="586"/>
      <c r="G2" s="587"/>
      <c r="H2" s="586" t="e" vm="1">
        <v>#VALUE!</v>
      </c>
      <c r="I2" s="586"/>
      <c r="J2" s="586"/>
      <c r="K2" s="586"/>
      <c r="L2" s="586"/>
      <c r="M2" s="587"/>
      <c r="N2" s="588" t="e" vm="2">
        <v>#VALUE!</v>
      </c>
      <c r="O2" s="586"/>
      <c r="P2" s="586"/>
      <c r="Q2" s="586"/>
      <c r="R2" s="586"/>
      <c r="S2" s="586"/>
      <c r="T2" s="588" t="e" vm="4">
        <v>#VALUE!</v>
      </c>
      <c r="U2" s="586"/>
      <c r="V2" s="586"/>
      <c r="W2" s="586"/>
      <c r="X2" s="586"/>
      <c r="Y2" s="587"/>
    </row>
    <row r="3" spans="1:40" s="96" customFormat="1" ht="18.600000000000001" thickBot="1" x14ac:dyDescent="0.35">
      <c r="A3" s="585"/>
      <c r="B3" s="266">
        <v>2020</v>
      </c>
      <c r="C3" s="267">
        <v>2021</v>
      </c>
      <c r="D3" s="267">
        <v>2022</v>
      </c>
      <c r="E3" s="267">
        <v>2023</v>
      </c>
      <c r="F3" s="268">
        <v>2024</v>
      </c>
      <c r="G3" s="269" t="s">
        <v>359</v>
      </c>
      <c r="H3" s="270">
        <v>2020</v>
      </c>
      <c r="I3" s="267">
        <v>2021</v>
      </c>
      <c r="J3" s="267">
        <v>2022</v>
      </c>
      <c r="K3" s="267">
        <v>2023</v>
      </c>
      <c r="L3" s="271">
        <v>2024</v>
      </c>
      <c r="M3" s="269" t="s">
        <v>359</v>
      </c>
      <c r="N3" s="266">
        <v>2020</v>
      </c>
      <c r="O3" s="267">
        <v>2021</v>
      </c>
      <c r="P3" s="267">
        <v>2022</v>
      </c>
      <c r="Q3" s="267">
        <v>2023</v>
      </c>
      <c r="R3" s="268">
        <v>2024</v>
      </c>
      <c r="S3" s="269" t="s">
        <v>359</v>
      </c>
      <c r="T3" s="270">
        <v>2020</v>
      </c>
      <c r="U3" s="267">
        <v>2021</v>
      </c>
      <c r="V3" s="267">
        <v>2022</v>
      </c>
      <c r="W3" s="267">
        <v>2023</v>
      </c>
      <c r="X3" s="268">
        <v>2024</v>
      </c>
      <c r="Y3" s="269" t="s">
        <v>359</v>
      </c>
    </row>
    <row r="4" spans="1:40" s="95" customFormat="1" ht="22.8" customHeight="1" thickBot="1" x14ac:dyDescent="0.35">
      <c r="A4" s="571" t="s">
        <v>299</v>
      </c>
      <c r="B4" s="572"/>
      <c r="C4" s="572"/>
      <c r="D4" s="572"/>
      <c r="E4" s="572"/>
      <c r="F4" s="572"/>
      <c r="G4" s="572"/>
      <c r="H4" s="572"/>
      <c r="I4" s="572"/>
      <c r="J4" s="572"/>
      <c r="K4" s="572"/>
      <c r="L4" s="572"/>
      <c r="M4" s="572"/>
      <c r="N4" s="572"/>
      <c r="O4" s="572"/>
      <c r="P4" s="572"/>
      <c r="Q4" s="572"/>
      <c r="R4" s="572"/>
      <c r="S4" s="572"/>
      <c r="T4" s="572"/>
      <c r="U4" s="572"/>
      <c r="V4" s="572"/>
      <c r="W4" s="572"/>
      <c r="X4" s="572"/>
      <c r="Y4" s="578"/>
    </row>
    <row r="5" spans="1:40" ht="18.600000000000001" thickBot="1" x14ac:dyDescent="0.35">
      <c r="A5" s="257" t="s">
        <v>300</v>
      </c>
      <c r="B5" s="262">
        <f>('Income Statement-Banks'!B5-'Income Statement-Banks'!B9)/('Balance Sheet-Banks'!B62+'Balance Sheet-Banks'!B75)</f>
        <v>3.4839247014397376E-2</v>
      </c>
      <c r="C5" s="264">
        <f>('Income Statement-Banks'!C5-'Income Statement-Banks'!C9)/('Balance Sheet-Banks'!C62+'Balance Sheet-Banks'!C75)</f>
        <v>3.4978828864548971E-2</v>
      </c>
      <c r="D5" s="264">
        <f>('Income Statement-Banks'!D5-'Income Statement-Banks'!D9)/('Balance Sheet-Banks'!D62+'Balance Sheet-Banks'!D75)</f>
        <v>3.3932438583665528E-2</v>
      </c>
      <c r="E5" s="264">
        <f>('Income Statement-Banks'!E5-'Income Statement-Banks'!E9)/('Balance Sheet-Banks'!E62+'Balance Sheet-Banks'!E75)</f>
        <v>3.8097614925163094E-2</v>
      </c>
      <c r="F5" s="263">
        <f>('Income Statement-Banks'!F5-'Income Statement-Banks'!F9)/('Balance Sheet-Banks'!F62+'Balance Sheet-Banks'!F75)</f>
        <v>3.8573855203025836E-2</v>
      </c>
      <c r="G5" s="287">
        <f>AVERAGE(B5:F5)</f>
        <v>3.6084396918160164E-2</v>
      </c>
      <c r="H5" s="262">
        <f>('Income Statement-Banks'!G5-'Income Statement-Banks'!G9)/('Balance Sheet-Banks'!G62+'Balance Sheet-Banks'!G75)</f>
        <v>4.1907401010159537E-2</v>
      </c>
      <c r="I5" s="264">
        <f>('Income Statement-Banks'!H5-'Income Statement-Banks'!H9)/('Balance Sheet-Banks'!H62+'Balance Sheet-Banks'!H75)</f>
        <v>4.2672577479119844E-2</v>
      </c>
      <c r="J5" s="264">
        <f>('Income Statement-Banks'!I5-'Income Statement-Banks'!I9)/('Balance Sheet-Banks'!I62+'Balance Sheet-Banks'!I75)</f>
        <v>4.1360189310468198E-2</v>
      </c>
      <c r="K5" s="264">
        <f>('Income Statement-Banks'!J5-'Income Statement-Banks'!J9)/('Balance Sheet-Banks'!J62+'Balance Sheet-Banks'!J75)</f>
        <v>4.2775607985347339E-2</v>
      </c>
      <c r="L5" s="263">
        <f>('Income Statement-Banks'!K5-'Income Statement-Banks'!K9)/('Balance Sheet-Banks'!K62+'Balance Sheet-Banks'!K75)</f>
        <v>3.6261464881763884E-2</v>
      </c>
      <c r="M5" s="292">
        <f>AVERAGE(H5:L5)</f>
        <v>4.0995448133371762E-2</v>
      </c>
      <c r="N5" s="262">
        <f>('Income Statement-Banks'!L5-'Income Statement-Banks'!L9)/('Balance Sheet-Banks'!L62+'Balance Sheet-Banks'!L75)</f>
        <v>3.4939199751295828E-2</v>
      </c>
      <c r="O5" s="264">
        <f>('Income Statement-Banks'!M5-'Income Statement-Banks'!M9)/('Balance Sheet-Banks'!M62+'Balance Sheet-Banks'!M75)</f>
        <v>3.8412646584576958E-2</v>
      </c>
      <c r="P5" s="264">
        <f>('Income Statement-Banks'!N5-'Income Statement-Banks'!N9)/('Balance Sheet-Banks'!N62+'Balance Sheet-Banks'!N75)</f>
        <v>4.0594939783180718E-2</v>
      </c>
      <c r="Q5" s="264">
        <f>('Income Statement-Banks'!O5-'Income Statement-Banks'!O9)/('Balance Sheet-Banks'!O62+'Balance Sheet-Banks'!O75)</f>
        <v>4.0920667026265983E-2</v>
      </c>
      <c r="R5" s="263">
        <f>('Income Statement-Banks'!P5-'Income Statement-Banks'!P9)/('Balance Sheet-Banks'!P62+'Balance Sheet-Banks'!P75)</f>
        <v>4.0905303093127787E-2</v>
      </c>
      <c r="S5" s="292">
        <f>AVERAGE(N5:R5)</f>
        <v>3.9154551247689455E-2</v>
      </c>
      <c r="T5" s="265">
        <f>('Income Statement-Banks'!Q5-'Income Statement-Banks'!Q9)/('Balance Sheet-Banks'!Q62+'Balance Sheet-Banks'!Q75)</f>
        <v>3.0180422704034003E-2</v>
      </c>
      <c r="U5" s="264">
        <f>('Income Statement-Banks'!R5-'Income Statement-Banks'!R9)/('Balance Sheet-Banks'!R62+'Balance Sheet-Banks'!R75)</f>
        <v>2.9813056023339241E-2</v>
      </c>
      <c r="V5" s="264">
        <f>('Income Statement-Banks'!S5-'Income Statement-Banks'!S9)/('Balance Sheet-Banks'!S62+'Balance Sheet-Banks'!S75)</f>
        <v>2.9269536184298714E-2</v>
      </c>
      <c r="W5" s="264">
        <f>('Income Statement-Banks'!T5-'Income Statement-Banks'!T9)/('Balance Sheet-Banks'!T62+'Balance Sheet-Banks'!T75)</f>
        <v>3.1048727043004602E-2</v>
      </c>
      <c r="X5" s="263">
        <f>('Income Statement-Banks'!U5-'Income Statement-Banks'!U9)/('Balance Sheet-Banks'!U62+'Balance Sheet-Banks'!U75)</f>
        <v>3.0442394818105532E-2</v>
      </c>
      <c r="Y5" s="297">
        <f>AVERAGE(T5:X5)</f>
        <v>3.0150827354556421E-2</v>
      </c>
    </row>
    <row r="6" spans="1:40" ht="18.600000000000001" thickBot="1" x14ac:dyDescent="0.35">
      <c r="A6" s="93" t="s">
        <v>301</v>
      </c>
      <c r="B6" s="101">
        <f>'Income Statement-Banks'!D13/'Balance Sheet-Banks'!D79</f>
        <v>1.1847772664158384E-2</v>
      </c>
      <c r="C6" s="103">
        <f>'Income Statement-Banks'!E13/'Balance Sheet-Banks'!E79</f>
        <v>8.0723854656032639E-3</v>
      </c>
      <c r="D6" s="103">
        <f>'Income Statement-Banks'!F13/'Balance Sheet-Banks'!F79</f>
        <v>1.7404076815255114E-2</v>
      </c>
      <c r="E6" s="103">
        <f>'Income Statement-Banks'!G13/'Balance Sheet-Banks'!G79</f>
        <v>1.7267152457068325E-2</v>
      </c>
      <c r="F6" s="108">
        <f>'Income Statement-Banks'!H13/'Balance Sheet-Banks'!H79</f>
        <v>1.7703057507999886E-2</v>
      </c>
      <c r="G6" s="288">
        <f t="shared" ref="G6:G10" si="0">AVERAGE(B6:F6)</f>
        <v>1.4458888982016993E-2</v>
      </c>
      <c r="H6" s="101">
        <f>'Income Statement-Banks'!I13/'Balance Sheet-Banks'!I79</f>
        <v>1.797209365726261E-2</v>
      </c>
      <c r="I6" s="103">
        <f>'Income Statement-Banks'!J13/'Balance Sheet-Banks'!J79</f>
        <v>1.8238548077406255E-2</v>
      </c>
      <c r="J6" s="103">
        <f>'Income Statement-Banks'!K13/'Balance Sheet-Banks'!K79</f>
        <v>1.6239043564711553E-2</v>
      </c>
      <c r="K6" s="103">
        <f>'Income Statement-Banks'!L13/'Balance Sheet-Banks'!L79</f>
        <v>8.1503899691041763E-3</v>
      </c>
      <c r="L6" s="108">
        <f>'Income Statement-Banks'!M13/'Balance Sheet-Banks'!M79</f>
        <v>1.3160155833003616E-2</v>
      </c>
      <c r="M6" s="292">
        <f t="shared" ref="M6:M10" si="1">AVERAGE(H6:L6)</f>
        <v>1.4752046220297643E-2</v>
      </c>
      <c r="N6" s="101">
        <f>'Income Statement-Banks'!N13/'Balance Sheet-Banks'!N79</f>
        <v>1.6537610755695868E-2</v>
      </c>
      <c r="O6" s="103">
        <f>'Income Statement-Banks'!O13/'Balance Sheet-Banks'!O79</f>
        <v>1.7596730653264288E-2</v>
      </c>
      <c r="P6" s="103">
        <f>'Income Statement-Banks'!P13/'Balance Sheet-Banks'!P79</f>
        <v>1.9037879694638233E-2</v>
      </c>
      <c r="Q6" s="103">
        <f>'Income Statement-Banks'!Q13/'Balance Sheet-Banks'!Q79</f>
        <v>4.3304004742145772E-3</v>
      </c>
      <c r="R6" s="108">
        <f>'Income Statement-Banks'!R13/'Balance Sheet-Banks'!R79</f>
        <v>5.0106544021304919E-3</v>
      </c>
      <c r="S6" s="292">
        <f t="shared" ref="S6:S10" si="2">AVERAGE(N6:R6)</f>
        <v>1.250265519598869E-2</v>
      </c>
      <c r="T6" s="110">
        <f>'Income Statement-Banks'!S13/'Balance Sheet-Banks'!S79</f>
        <v>6.7817500515936742E-3</v>
      </c>
      <c r="U6" s="103">
        <f>'Income Statement-Banks'!T13/'Balance Sheet-Banks'!T79</f>
        <v>9.49856518904235E-3</v>
      </c>
      <c r="V6" s="103">
        <f>'Income Statement-Banks'!U13/'Balance Sheet-Banks'!U79</f>
        <v>1.0118874332278593E-2</v>
      </c>
      <c r="W6" s="103">
        <f>'Income Statement-Banks'!T13/'Balance Sheet-Banks'!T79</f>
        <v>9.49856518904235E-3</v>
      </c>
      <c r="X6" s="108">
        <f>'Income Statement-Banks'!U13/'Balance Sheet-Banks'!U79</f>
        <v>1.0118874332278593E-2</v>
      </c>
      <c r="Y6" s="297">
        <f t="shared" ref="Y6:Y10" si="3">AVERAGE(T6:X6)</f>
        <v>9.2033258188471117E-3</v>
      </c>
    </row>
    <row r="7" spans="1:40" ht="18.600000000000001" thickBot="1" x14ac:dyDescent="0.35">
      <c r="A7" s="93" t="s">
        <v>302</v>
      </c>
      <c r="B7" s="101">
        <f>'Income Statement-Banks'!B13/'Balance Sheet-Banks'!B9</f>
        <v>2.1731233395065531E-2</v>
      </c>
      <c r="C7" s="103">
        <f>'Income Statement-Banks'!C13/'Balance Sheet-Banks'!C9</f>
        <v>6.9890799089695269E-2</v>
      </c>
      <c r="D7" s="103">
        <f>'Income Statement-Banks'!D13/'Balance Sheet-Banks'!D9</f>
        <v>0.11950818248863654</v>
      </c>
      <c r="E7" s="103">
        <f>'Income Statement-Banks'!E13/'Balance Sheet-Banks'!E9</f>
        <v>8.3369707417163416E-2</v>
      </c>
      <c r="F7" s="108">
        <f>'Income Statement-Banks'!F13/'Balance Sheet-Banks'!F9</f>
        <v>0.16774405458099576</v>
      </c>
      <c r="G7" s="288">
        <f t="shared" si="0"/>
        <v>9.2448795394311306E-2</v>
      </c>
      <c r="H7" s="101">
        <f>'Income Statement-Banks'!G13/'Balance Sheet-Banks'!G9</f>
        <v>0.15427255427166531</v>
      </c>
      <c r="I7" s="103">
        <f>'Income Statement-Banks'!H13/'Balance Sheet-Banks'!H9</f>
        <v>0.15137960009492352</v>
      </c>
      <c r="J7" s="103">
        <f>'Income Statement-Banks'!I13/'Balance Sheet-Banks'!I9</f>
        <v>0.1538053860690197</v>
      </c>
      <c r="K7" s="103">
        <f>'Income Statement-Banks'!J13/'Balance Sheet-Banks'!J9</f>
        <v>0.15897022422770324</v>
      </c>
      <c r="L7" s="108">
        <f>'Income Statement-Banks'!K13/'Balance Sheet-Banks'!K9</f>
        <v>0.13931348306271474</v>
      </c>
      <c r="M7" s="292">
        <f t="shared" si="1"/>
        <v>0.15154824954520529</v>
      </c>
      <c r="N7" s="101">
        <f>'Income Statement-Banks'!L13/'Balance Sheet-Banks'!L9</f>
        <v>8.651293054283922E-2</v>
      </c>
      <c r="O7" s="103">
        <f>'Income Statement-Banks'!M13/'Balance Sheet-Banks'!M9</f>
        <v>0.10977407711167543</v>
      </c>
      <c r="P7" s="103">
        <f>'Income Statement-Banks'!N13/'Balance Sheet-Banks'!N9</f>
        <v>0.13687890691069401</v>
      </c>
      <c r="Q7" s="103">
        <f>'Income Statement-Banks'!O13/'Balance Sheet-Banks'!O9</f>
        <v>0.15581120686022695</v>
      </c>
      <c r="R7" s="108">
        <f>'Income Statement-Banks'!P13/'Balance Sheet-Banks'!P9</f>
        <v>0.16667175754063712</v>
      </c>
      <c r="S7" s="292">
        <f t="shared" si="2"/>
        <v>0.13112977579321455</v>
      </c>
      <c r="T7" s="110">
        <f>'Income Statement-Banks'!Q13/'Balance Sheet-Banks'!Q9</f>
        <v>7.0179713482350886E-2</v>
      </c>
      <c r="U7" s="103">
        <f>'Income Statement-Banks'!R13/'Balance Sheet-Banks'!R9</f>
        <v>8.513599931778186E-2</v>
      </c>
      <c r="V7" s="103">
        <f>'Income Statement-Banks'!S13/'Balance Sheet-Banks'!S9</f>
        <v>0.11476228668176004</v>
      </c>
      <c r="W7" s="103">
        <f>'Income Statement-Banks'!T13/'Balance Sheet-Banks'!T9</f>
        <v>0.15213370185356512</v>
      </c>
      <c r="X7" s="108">
        <f>'Income Statement-Banks'!U13/'Balance Sheet-Banks'!U9</f>
        <v>0.15825602725473359</v>
      </c>
      <c r="Y7" s="297">
        <f t="shared" si="3"/>
        <v>0.11609354571803829</v>
      </c>
    </row>
    <row r="8" spans="1:40" ht="18.600000000000001" thickBot="1" x14ac:dyDescent="0.35">
      <c r="A8" s="93" t="s">
        <v>303</v>
      </c>
      <c r="B8" s="101">
        <f>('Income Statement-Banks'!B10/'Income Statement-Banks'!B7)</f>
        <v>0.22565930909555573</v>
      </c>
      <c r="C8" s="103">
        <f>('Income Statement-Banks'!C10/'Income Statement-Banks'!C7)</f>
        <v>0.24591288306862213</v>
      </c>
      <c r="D8" s="103">
        <f>('Income Statement-Banks'!D10/'Income Statement-Banks'!D7)</f>
        <v>0.2882710735594215</v>
      </c>
      <c r="E8" s="103">
        <f>('Income Statement-Banks'!E10/'Income Statement-Banks'!E7)</f>
        <v>0.3863011626950783</v>
      </c>
      <c r="F8" s="108">
        <f>('Income Statement-Banks'!F10/'Income Statement-Banks'!F7)</f>
        <v>0.26989435997094269</v>
      </c>
      <c r="G8" s="288">
        <f t="shared" si="0"/>
        <v>0.28320775767792405</v>
      </c>
      <c r="H8" s="101">
        <f>('Income Statement-Banks'!G10/'Income Statement-Banks'!G7)</f>
        <v>0.22463075367061697</v>
      </c>
      <c r="I8" s="103">
        <f>('Income Statement-Banks'!H10/'Income Statement-Banks'!H7)</f>
        <v>0.2245321574750728</v>
      </c>
      <c r="J8" s="103">
        <f>('Income Statement-Banks'!I10/'Income Statement-Banks'!I7)</f>
        <v>0.2403907918762232</v>
      </c>
      <c r="K8" s="103">
        <f>('Income Statement-Banks'!J10/'Income Statement-Banks'!J7)</f>
        <v>0.25179397076506566</v>
      </c>
      <c r="L8" s="108">
        <f>('Income Statement-Banks'!K10/'Income Statement-Banks'!K7)</f>
        <v>0.37321395075726088</v>
      </c>
      <c r="M8" s="292">
        <f t="shared" si="1"/>
        <v>0.26291232490884792</v>
      </c>
      <c r="N8" s="101">
        <f>('Income Statement-Banks'!L10/'Income Statement-Banks'!L7)</f>
        <v>0.47746684986025245</v>
      </c>
      <c r="O8" s="103">
        <f>('Income Statement-Banks'!M10/'Income Statement-Banks'!M7)</f>
        <v>0.2198138215509336</v>
      </c>
      <c r="P8" s="103">
        <f>('Income Statement-Banks'!N10/'Income Statement-Banks'!N7)</f>
        <v>0.25486497406513797</v>
      </c>
      <c r="Q8" s="103">
        <f>('Income Statement-Banks'!O10/'Income Statement-Banks'!O7)</f>
        <v>0.44279489800774896</v>
      </c>
      <c r="R8" s="108">
        <f>('Income Statement-Banks'!P10/'Income Statement-Banks'!P7)</f>
        <v>0.41426764000801647</v>
      </c>
      <c r="S8" s="292">
        <f t="shared" si="2"/>
        <v>0.3618416366984179</v>
      </c>
      <c r="T8" s="110">
        <f>('Income Statement-Banks'!Q10/'Income Statement-Banks'!Q7)</f>
        <v>0.35809171169616183</v>
      </c>
      <c r="U8" s="103">
        <f>('Income Statement-Banks'!R10/'Income Statement-Banks'!R7)</f>
        <v>0.39038360620287871</v>
      </c>
      <c r="V8" s="103">
        <f>('Income Statement-Banks'!S10/'Income Statement-Banks'!S7)</f>
        <v>0.42843969346605176</v>
      </c>
      <c r="W8" s="103">
        <f>('Income Statement-Banks'!T10/'Income Statement-Banks'!T7)</f>
        <v>0.40097856106922414</v>
      </c>
      <c r="X8" s="108">
        <f>('Income Statement-Banks'!U10/'Income Statement-Banks'!U7)</f>
        <v>0.39674368530298443</v>
      </c>
      <c r="Y8" s="297">
        <f t="shared" si="3"/>
        <v>0.39492745154746017</v>
      </c>
    </row>
    <row r="9" spans="1:40" ht="18.600000000000001" thickBot="1" x14ac:dyDescent="0.35">
      <c r="A9" s="252" t="s">
        <v>304</v>
      </c>
      <c r="B9" s="253">
        <f>('Income Statement-Banks'!B7-'Income Statement-Banks'!B10)/'Income Statement-Banks'!B7</f>
        <v>0.77434069090444435</v>
      </c>
      <c r="C9" s="255">
        <f>('Income Statement-Banks'!C7-'Income Statement-Banks'!C10)/'Income Statement-Banks'!C7</f>
        <v>0.75408711693137787</v>
      </c>
      <c r="D9" s="255">
        <f>('Income Statement-Banks'!D7-'Income Statement-Banks'!D10)/'Income Statement-Banks'!D7</f>
        <v>0.7117289264405785</v>
      </c>
      <c r="E9" s="255">
        <f>('Income Statement-Banks'!E7-'Income Statement-Banks'!E10)/'Income Statement-Banks'!E7</f>
        <v>0.6136988373049217</v>
      </c>
      <c r="F9" s="254">
        <f>('Income Statement-Banks'!F7-'Income Statement-Banks'!F10)/'Income Statement-Banks'!F7</f>
        <v>0.73010564002905731</v>
      </c>
      <c r="G9" s="504">
        <f t="shared" si="0"/>
        <v>0.71679224232207595</v>
      </c>
      <c r="H9" s="256">
        <f>('Income Statement-Banks'!G7-'Income Statement-Banks'!G10)/'Income Statement-Banks'!G7</f>
        <v>0.77536924632938309</v>
      </c>
      <c r="I9" s="255">
        <f>('Income Statement-Banks'!H7-'Income Statement-Banks'!H10)/'Income Statement-Banks'!H7</f>
        <v>0.77546784252492718</v>
      </c>
      <c r="J9" s="255">
        <f>('Income Statement-Banks'!I7-'Income Statement-Banks'!I10)/'Income Statement-Banks'!I7</f>
        <v>0.75960920812377686</v>
      </c>
      <c r="K9" s="255">
        <f>('Income Statement-Banks'!J7-'Income Statement-Banks'!J10)/'Income Statement-Banks'!J7</f>
        <v>0.74820602923493429</v>
      </c>
      <c r="L9" s="254">
        <f>('Income Statement-Banks'!K7-'Income Statement-Banks'!K10)/'Income Statement-Banks'!K7</f>
        <v>0.62678604924273906</v>
      </c>
      <c r="M9" s="501">
        <f t="shared" si="1"/>
        <v>0.73708767509115203</v>
      </c>
      <c r="N9" s="253">
        <f>('Income Statement-Banks'!L7-'Income Statement-Banks'!L10)/'Income Statement-Banks'!L7</f>
        <v>0.52253315013974755</v>
      </c>
      <c r="O9" s="255">
        <f>('Income Statement-Banks'!M7-'Income Statement-Banks'!M10)/'Income Statement-Banks'!M7</f>
        <v>0.78018617844906635</v>
      </c>
      <c r="P9" s="255">
        <f>('Income Statement-Banks'!N7-'Income Statement-Banks'!N10)/'Income Statement-Banks'!N7</f>
        <v>0.74513502593486214</v>
      </c>
      <c r="Q9" s="255">
        <f>('Income Statement-Banks'!O7-'Income Statement-Banks'!O10)/'Income Statement-Banks'!O7</f>
        <v>0.55720510199225104</v>
      </c>
      <c r="R9" s="254">
        <f>('Income Statement-Banks'!P7-'Income Statement-Banks'!P10)/'Income Statement-Banks'!P7</f>
        <v>0.58573235999198348</v>
      </c>
      <c r="S9" s="501">
        <f t="shared" si="2"/>
        <v>0.63815836330158215</v>
      </c>
      <c r="T9" s="256">
        <f>('Income Statement-Banks'!Q7-'Income Statement-Banks'!Q10)/'Income Statement-Banks'!Q7</f>
        <v>0.64190828830383817</v>
      </c>
      <c r="U9" s="255">
        <f>('Income Statement-Banks'!R7-'Income Statement-Banks'!R10)/'Income Statement-Banks'!R7</f>
        <v>0.60961639379712129</v>
      </c>
      <c r="V9" s="255">
        <f>('Income Statement-Banks'!S7-'Income Statement-Banks'!S10)/'Income Statement-Banks'!S7</f>
        <v>0.57156030653394818</v>
      </c>
      <c r="W9" s="255">
        <f>('Income Statement-Banks'!T7-'Income Statement-Banks'!T10)/'Income Statement-Banks'!T7</f>
        <v>0.59902143893077586</v>
      </c>
      <c r="X9" s="254">
        <f>('Income Statement-Banks'!U7-'Income Statement-Banks'!U10)/'Income Statement-Banks'!U7</f>
        <v>0.60325631469701557</v>
      </c>
      <c r="Y9" s="502">
        <f t="shared" si="3"/>
        <v>0.60507254845253988</v>
      </c>
    </row>
    <row r="10" spans="1:40" x14ac:dyDescent="0.3">
      <c r="A10" s="503" t="s">
        <v>509</v>
      </c>
      <c r="B10" s="103">
        <f>'Income Statement-Banks'!B13/'Income Statement-Banks'!B7</f>
        <v>2.3467475383682709E-2</v>
      </c>
      <c r="C10" s="103">
        <f>'Income Statement-Banks'!C13/'Income Statement-Banks'!C7</f>
        <v>9.3010028435017281E-2</v>
      </c>
      <c r="D10" s="103">
        <f>'Income Statement-Banks'!D13/'Income Statement-Banks'!D7</f>
        <v>0.16448334473099038</v>
      </c>
      <c r="E10" s="103">
        <f>'Income Statement-Banks'!E13/'Income Statement-Banks'!E7</f>
        <v>0.10257974447363014</v>
      </c>
      <c r="F10" s="103">
        <f>'Income Statement-Banks'!F13/'Income Statement-Banks'!F7</f>
        <v>0.19148969166898089</v>
      </c>
      <c r="G10" s="500">
        <f t="shared" si="0"/>
        <v>0.11500605693846029</v>
      </c>
      <c r="H10" s="103">
        <f>'Income Statement-Banks'!G13/'Income Statement-Banks'!G7</f>
        <v>0.1856026863356042</v>
      </c>
      <c r="I10" s="103">
        <f>'Income Statement-Banks'!H13/'Income Statement-Banks'!H7</f>
        <v>0.20436034375988668</v>
      </c>
      <c r="J10" s="103">
        <f>'Income Statement-Banks'!I13/'Income Statement-Banks'!I7</f>
        <v>0.22750117176738288</v>
      </c>
      <c r="K10" s="103">
        <f>'Income Statement-Banks'!J13/'Income Statement-Banks'!J7</f>
        <v>0.22548287185811419</v>
      </c>
      <c r="L10" s="103">
        <f>'Income Statement-Banks'!K13/'Income Statement-Banks'!K7</f>
        <v>0.16041014447317548</v>
      </c>
      <c r="M10" s="501">
        <f t="shared" si="1"/>
        <v>0.20067144363883269</v>
      </c>
      <c r="N10" s="103">
        <f>'Income Statement-Banks'!L13/'Income Statement-Banks'!L7</f>
        <v>7.494332096019389E-2</v>
      </c>
      <c r="O10" s="103">
        <f>'Income Statement-Banks'!M13/'Income Statement-Banks'!M7</f>
        <v>0.16508525473495334</v>
      </c>
      <c r="P10" s="103">
        <f>'Income Statement-Banks'!N13/'Income Statement-Banks'!N7</f>
        <v>0.22250957165018451</v>
      </c>
      <c r="Q10" s="103">
        <f>'Income Statement-Banks'!O13/'Income Statement-Banks'!O7</f>
        <v>0.18510714869197165</v>
      </c>
      <c r="R10" s="103">
        <f>'Income Statement-Banks'!P13/'Income Statement-Banks'!P7</f>
        <v>0.1906760636695369</v>
      </c>
      <c r="S10" s="501">
        <f t="shared" si="2"/>
        <v>0.16766427194136807</v>
      </c>
      <c r="T10" s="103">
        <f>'Income Statement-Banks'!Q13/'Income Statement-Banks'!Q7</f>
        <v>4.9392110782449115E-2</v>
      </c>
      <c r="U10" s="103">
        <f>'Income Statement-Banks'!R13/'Income Statement-Banks'!R7</f>
        <v>6.300890724370628E-2</v>
      </c>
      <c r="V10" s="103">
        <f>'Income Statement-Banks'!S13/'Income Statement-Banks'!S7</f>
        <v>8.9333109043647038E-2</v>
      </c>
      <c r="W10" s="103">
        <f>'Income Statement-Banks'!T13/'Income Statement-Banks'!T7</f>
        <v>0.11947833027656504</v>
      </c>
      <c r="X10" s="103">
        <f>'Income Statement-Banks'!U13/'Income Statement-Banks'!U7</f>
        <v>0.11459996105503287</v>
      </c>
      <c r="Y10" s="502">
        <f t="shared" si="3"/>
        <v>8.7162483680280081E-2</v>
      </c>
    </row>
    <row r="11" spans="1:40" s="95" customFormat="1" ht="22.8" customHeight="1" thickBot="1" x14ac:dyDescent="0.35">
      <c r="A11" s="579" t="s">
        <v>305</v>
      </c>
      <c r="B11" s="580"/>
      <c r="C11" s="580"/>
      <c r="D11" s="580"/>
      <c r="E11" s="580"/>
      <c r="F11" s="580"/>
      <c r="G11" s="580"/>
      <c r="H11" s="580"/>
      <c r="I11" s="580"/>
      <c r="J11" s="580"/>
      <c r="K11" s="580"/>
      <c r="L11" s="580"/>
      <c r="M11" s="580"/>
      <c r="N11" s="580"/>
      <c r="O11" s="580"/>
      <c r="P11" s="580"/>
      <c r="Q11" s="580"/>
      <c r="R11" s="580"/>
      <c r="S11" s="580"/>
      <c r="T11" s="580"/>
      <c r="U11" s="580"/>
      <c r="V11" s="580"/>
      <c r="W11" s="580"/>
      <c r="X11" s="580"/>
      <c r="Y11" s="581"/>
    </row>
    <row r="12" spans="1:40" s="44" customFormat="1" ht="18.600000000000001" thickBot="1" x14ac:dyDescent="0.35">
      <c r="A12" s="257" t="s">
        <v>306</v>
      </c>
      <c r="B12" s="272">
        <v>4.8599999999999997E-2</v>
      </c>
      <c r="C12" s="273">
        <v>3.6999999999999998E-2</v>
      </c>
      <c r="D12" s="273">
        <v>2.8199999999999999E-2</v>
      </c>
      <c r="E12" s="273">
        <v>2.0199999999999999E-2</v>
      </c>
      <c r="F12" s="274">
        <v>1.43E-2</v>
      </c>
      <c r="G12" s="289">
        <f>AVERAGE(B12:F12)</f>
        <v>2.9660000000000002E-2</v>
      </c>
      <c r="H12" s="272">
        <v>1.26E-2</v>
      </c>
      <c r="I12" s="273">
        <v>1.32E-2</v>
      </c>
      <c r="J12" s="273">
        <v>1.24E-2</v>
      </c>
      <c r="K12" s="273">
        <v>1.12E-2</v>
      </c>
      <c r="L12" s="274">
        <v>1.17E-2</v>
      </c>
      <c r="M12" s="289">
        <f>AVERAGE(H12:L12)</f>
        <v>1.222E-2</v>
      </c>
      <c r="N12" s="272">
        <v>4.9599999999999998E-2</v>
      </c>
      <c r="O12" s="273">
        <v>3.5999999999999997E-2</v>
      </c>
      <c r="P12" s="273">
        <v>2.81E-2</v>
      </c>
      <c r="Q12" s="273">
        <v>2.1600000000000001E-2</v>
      </c>
      <c r="R12" s="274">
        <v>1.67E-2</v>
      </c>
      <c r="S12" s="289">
        <f>AVERAGE(N12:R12)</f>
        <v>3.04E-2</v>
      </c>
      <c r="T12" s="275">
        <v>4.9799999999999997E-2</v>
      </c>
      <c r="U12" s="273">
        <v>3.9699999999999999E-2</v>
      </c>
      <c r="V12" s="273">
        <v>2.7799999999999998E-2</v>
      </c>
      <c r="W12" s="273">
        <v>2.24E-2</v>
      </c>
      <c r="X12" s="274">
        <v>1.8200000000000001E-2</v>
      </c>
      <c r="Y12" s="298">
        <f>AVERAGE(T12:X12)</f>
        <v>3.1579999999999997E-2</v>
      </c>
    </row>
    <row r="13" spans="1:40" s="44" customFormat="1" ht="18.600000000000001" thickBot="1" x14ac:dyDescent="0.35">
      <c r="A13" s="114" t="s">
        <v>307</v>
      </c>
      <c r="B13" s="120">
        <v>1.5599999999999999E-2</v>
      </c>
      <c r="C13" s="121">
        <v>1.0500000000000001E-2</v>
      </c>
      <c r="D13" s="121">
        <v>7.3000000000000001E-3</v>
      </c>
      <c r="E13" s="121">
        <v>3.8999999999999998E-3</v>
      </c>
      <c r="F13" s="124">
        <v>3.0999999999999999E-3</v>
      </c>
      <c r="G13" s="290">
        <f t="shared" ref="G13:G14" si="4">AVERAGE(B13:F13)</f>
        <v>8.0800000000000004E-3</v>
      </c>
      <c r="H13" s="120">
        <v>4.0000000000000001E-3</v>
      </c>
      <c r="I13" s="121">
        <v>3.2000000000000002E-3</v>
      </c>
      <c r="J13" s="121">
        <v>2.7000000000000001E-3</v>
      </c>
      <c r="K13" s="121">
        <v>3.3E-3</v>
      </c>
      <c r="L13" s="124">
        <v>4.3E-3</v>
      </c>
      <c r="M13" s="289">
        <f t="shared" ref="M13:M14" si="5">AVERAGE(H13:L13)</f>
        <v>3.5000000000000005E-3</v>
      </c>
      <c r="N13" s="120">
        <v>1.14E-2</v>
      </c>
      <c r="O13" s="121">
        <v>7.6E-3</v>
      </c>
      <c r="P13" s="121">
        <v>4.7999999999999996E-3</v>
      </c>
      <c r="Q13" s="121">
        <v>4.1999999999999997E-3</v>
      </c>
      <c r="R13" s="124">
        <v>3.8999999999999998E-3</v>
      </c>
      <c r="S13" s="289">
        <f t="shared" ref="S13:S14" si="6">AVERAGE(N13:R13)</f>
        <v>6.3799999999999994E-3</v>
      </c>
      <c r="T13" s="123">
        <v>1.4999999999999999E-2</v>
      </c>
      <c r="U13" s="121">
        <v>1.0200000000000001E-2</v>
      </c>
      <c r="V13" s="121">
        <v>6.7000000000000002E-3</v>
      </c>
      <c r="W13" s="121">
        <v>5.7000000000000002E-3</v>
      </c>
      <c r="X13" s="124">
        <v>4.7000000000000002E-3</v>
      </c>
      <c r="Y13" s="298">
        <f t="shared" ref="Y13:Y14" si="7">AVERAGE(T13:X13)</f>
        <v>8.4599999999999988E-3</v>
      </c>
    </row>
    <row r="14" spans="1:40" ht="18.600000000000001" thickBot="1" x14ac:dyDescent="0.35">
      <c r="A14" s="252" t="s">
        <v>308</v>
      </c>
      <c r="B14" s="276">
        <f>'Cash Flow Statement-Banks'!B10/'Financial Ratios-Banks'!B34</f>
        <v>0.45303498016508498</v>
      </c>
      <c r="C14" s="277">
        <f>'Cash Flow Statement-Banks'!C10/'Financial Ratios-Banks'!C34</f>
        <v>0.53319160673392774</v>
      </c>
      <c r="D14" s="277">
        <f>'Cash Flow Statement-Banks'!D10/'Financial Ratios-Banks'!D34</f>
        <v>0.37072575028110449</v>
      </c>
      <c r="E14" s="277">
        <f>'Cash Flow Statement-Banks'!E10/'Financial Ratios-Banks'!E34</f>
        <v>0.35492548786124767</v>
      </c>
      <c r="F14" s="278">
        <f>'Cash Flow Statement-Banks'!F10/'Financial Ratios-Banks'!F34</f>
        <v>0.45718794169011218</v>
      </c>
      <c r="G14" s="291">
        <f t="shared" si="4"/>
        <v>0.43381315334629544</v>
      </c>
      <c r="H14" s="276">
        <f>'Cash Flow Statement-Banks'!G10/'Financial Ratios-Banks'!H34</f>
        <v>0.84148292478355713</v>
      </c>
      <c r="I14" s="277">
        <f>'Cash Flow Statement-Banks'!H10/'Financial Ratios-Banks'!I34</f>
        <v>0.89014704136243239</v>
      </c>
      <c r="J14" s="277">
        <f>'Cash Flow Statement-Banks'!I10/'Financial Ratios-Banks'!J34</f>
        <v>0.75409694038131625</v>
      </c>
      <c r="K14" s="277">
        <f>'Cash Flow Statement-Banks'!J10/'Financial Ratios-Banks'!K34</f>
        <v>0.72855444086039822</v>
      </c>
      <c r="L14" s="278">
        <f>'Cash Flow Statement-Banks'!K10/'Financial Ratios-Banks'!L34</f>
        <v>0.4177102527796559</v>
      </c>
      <c r="M14" s="289">
        <f t="shared" si="5"/>
        <v>0.72639832003347204</v>
      </c>
      <c r="N14" s="276">
        <f>'Cash Flow Statement-Banks'!L10/'Financial Ratios-Banks'!N34</f>
        <v>0.25586039038283109</v>
      </c>
      <c r="O14" s="277">
        <f>'Cash Flow Statement-Banks'!M10/'Financial Ratios-Banks'!O34</f>
        <v>0.40694427271892575</v>
      </c>
      <c r="P14" s="277">
        <f>'Cash Flow Statement-Banks'!N10/'Financial Ratios-Banks'!P34</f>
        <v>0.25536168500439921</v>
      </c>
      <c r="Q14" s="277">
        <f>'Cash Flow Statement-Banks'!O10/'Financial Ratios-Banks'!Q34</f>
        <v>-1.5605575250106484E-2</v>
      </c>
      <c r="R14" s="278">
        <f>'Cash Flow Statement-Banks'!P10/'Financial Ratios-Banks'!R34</f>
        <v>4.5764585004484042E-2</v>
      </c>
      <c r="S14" s="289">
        <f t="shared" si="6"/>
        <v>0.18966507157210669</v>
      </c>
      <c r="T14" s="279">
        <f>'Cash Flow Statement-Banks'!Q10/'Financial Ratios-Banks'!T34</f>
        <v>0.37084431886899877</v>
      </c>
      <c r="U14" s="277">
        <f>'Cash Flow Statement-Banks'!R10/'Financial Ratios-Banks'!U34</f>
        <v>0.32791782000055936</v>
      </c>
      <c r="V14" s="277">
        <f>'Cash Flow Statement-Banks'!S10/'Financial Ratios-Banks'!V34</f>
        <v>0.24869790891030699</v>
      </c>
      <c r="W14" s="277">
        <f>'Cash Flow Statement-Banks'!T10/'Financial Ratios-Banks'!W34</f>
        <v>0.16817743237285773</v>
      </c>
      <c r="X14" s="278">
        <f>'Cash Flow Statement-Banks'!U10/'Financial Ratios-Banks'!X34</f>
        <v>0.1689722743330207</v>
      </c>
      <c r="Y14" s="298">
        <f t="shared" si="7"/>
        <v>0.2569219508971487</v>
      </c>
    </row>
    <row r="15" spans="1:40" s="251" customFormat="1" ht="22.8" customHeight="1" thickBot="1" x14ac:dyDescent="0.35">
      <c r="A15" s="571" t="s">
        <v>309</v>
      </c>
      <c r="B15" s="572"/>
      <c r="C15" s="572"/>
      <c r="D15" s="572"/>
      <c r="E15" s="572"/>
      <c r="F15" s="572"/>
      <c r="G15" s="572"/>
      <c r="H15" s="572"/>
      <c r="I15" s="572"/>
      <c r="J15" s="572"/>
      <c r="K15" s="572"/>
      <c r="L15" s="572"/>
      <c r="M15" s="572"/>
      <c r="N15" s="572"/>
      <c r="O15" s="572"/>
      <c r="P15" s="572"/>
      <c r="Q15" s="572"/>
      <c r="R15" s="572"/>
      <c r="S15" s="572"/>
      <c r="T15" s="572"/>
      <c r="U15" s="572"/>
      <c r="V15" s="572"/>
      <c r="W15" s="572"/>
      <c r="X15" s="572"/>
      <c r="Y15" s="578"/>
    </row>
    <row r="16" spans="1:40" ht="18.600000000000001" thickBot="1" x14ac:dyDescent="0.35">
      <c r="A16" s="257" t="s">
        <v>310</v>
      </c>
      <c r="B16" s="262">
        <f>('Balance Sheet-Banks'!B85+'Balance Sheet-Banks'!B86)/'Balance Sheet-Banks'!B84</f>
        <v>0.17526661392534645</v>
      </c>
      <c r="C16" s="264">
        <f>('Balance Sheet-Banks'!C85+'Balance Sheet-Banks'!C86)/'Balance Sheet-Banks'!C84</f>
        <v>0.19119999119307146</v>
      </c>
      <c r="D16" s="264">
        <f>('Balance Sheet-Banks'!D85+'Balance Sheet-Banks'!D86)/'Balance Sheet-Banks'!D84</f>
        <v>0.18539112449331538</v>
      </c>
      <c r="E16" s="264">
        <f>('Balance Sheet-Banks'!E85+'Balance Sheet-Banks'!E86)/'Balance Sheet-Banks'!E84</f>
        <v>0.17638649885180335</v>
      </c>
      <c r="F16" s="263">
        <f>('Balance Sheet-Banks'!F85+'Balance Sheet-Banks'!F86)/'Balance Sheet-Banks'!F84</f>
        <v>0.1663252552407215</v>
      </c>
      <c r="G16" s="292">
        <f>AVERAGE(B16:F16)</f>
        <v>0.17891389674085162</v>
      </c>
      <c r="H16" s="262">
        <f>('Balance Sheet-Banks'!G85+'Balance Sheet-Banks'!G86)/'Balance Sheet-Banks'!G84</f>
        <v>0.18523668882529196</v>
      </c>
      <c r="I16" s="264">
        <f>('Balance Sheet-Banks'!H85+'Balance Sheet-Banks'!H86)/'Balance Sheet-Banks'!H84</f>
        <v>0.18790385887956182</v>
      </c>
      <c r="J16" s="264">
        <f>('Balance Sheet-Banks'!I85+'Balance Sheet-Banks'!I86)/'Balance Sheet-Banks'!I84</f>
        <v>0.18894159585052456</v>
      </c>
      <c r="K16" s="264">
        <f>('Balance Sheet-Banks'!J85+'Balance Sheet-Banks'!J86)/'Balance Sheet-Banks'!J84</f>
        <v>0.19258673715345337</v>
      </c>
      <c r="L16" s="263">
        <f>('Balance Sheet-Banks'!K85+'Balance Sheet-Banks'!K86)/'Balance Sheet-Banks'!K84</f>
        <v>0.18800548807374581</v>
      </c>
      <c r="M16" s="292">
        <f>AVERAGE(H16:L16)</f>
        <v>0.18853487375651551</v>
      </c>
      <c r="N16" s="262">
        <v>0</v>
      </c>
      <c r="O16" s="264">
        <f>('Balance Sheet-Banks'!M85+'Balance Sheet-Banks'!M86)/'Balance Sheet-Banks'!M84</f>
        <v>0.19120000000000004</v>
      </c>
      <c r="P16" s="264">
        <f>('Balance Sheet-Banks'!N85+'Balance Sheet-Banks'!N86)/'Balance Sheet-Banks'!N84</f>
        <v>0.19159999999999999</v>
      </c>
      <c r="Q16" s="264">
        <v>0</v>
      </c>
      <c r="R16" s="263">
        <v>0</v>
      </c>
      <c r="S16" s="292">
        <f>AVERAGE(O16:P16)</f>
        <v>0.19140000000000001</v>
      </c>
      <c r="T16" s="265">
        <f>('Balance Sheet-Banks'!Q85+'Balance Sheet-Banks'!Q86)/'Balance Sheet-Banks'!Q84</f>
        <v>0</v>
      </c>
      <c r="U16" s="264">
        <v>0</v>
      </c>
      <c r="V16" s="264">
        <v>0</v>
      </c>
      <c r="W16" s="264">
        <v>0</v>
      </c>
      <c r="X16" s="263">
        <v>0</v>
      </c>
      <c r="Y16" s="297">
        <f>AVERAGE(T16:X16)</f>
        <v>0</v>
      </c>
    </row>
    <row r="17" spans="1:25" ht="18.600000000000001" thickBot="1" x14ac:dyDescent="0.35">
      <c r="A17" s="93" t="s">
        <v>311</v>
      </c>
      <c r="B17" s="101">
        <f>'Balance Sheet-Banks'!B85/'Balance Sheet-Banks'!B84</f>
        <v>0.14487319971106929</v>
      </c>
      <c r="C17" s="103">
        <f>'Balance Sheet-Banks'!C85/'Balance Sheet-Banks'!C84</f>
        <v>0.16473359827510015</v>
      </c>
      <c r="D17" s="103">
        <f>'Balance Sheet-Banks'!D85/'Balance Sheet-Banks'!D84</f>
        <v>0.1634075269353828</v>
      </c>
      <c r="E17" s="103">
        <f>'Balance Sheet-Banks'!E85/'Balance Sheet-Banks'!E84</f>
        <v>0.14570997315980197</v>
      </c>
      <c r="F17" s="108">
        <f>'Balance Sheet-Banks'!F85/'Balance Sheet-Banks'!F84</f>
        <v>0.14204864174700019</v>
      </c>
      <c r="G17" s="293">
        <f t="shared" ref="G17:G18" si="8">AVERAGE(B17:F17)</f>
        <v>0.15215458796567088</v>
      </c>
      <c r="H17" s="101">
        <f>'Balance Sheet-Banks'!G85/'Balance Sheet-Banks'!G84</f>
        <v>0.17232505037067172</v>
      </c>
      <c r="I17" s="103">
        <f>'Balance Sheet-Banks'!H85/'Balance Sheet-Banks'!H84</f>
        <v>0.17556330676518359</v>
      </c>
      <c r="J17" s="103">
        <f>'Balance Sheet-Banks'!I85/'Balance Sheet-Banks'!I84</f>
        <v>0.17865150471457247</v>
      </c>
      <c r="K17" s="103">
        <f>'Balance Sheet-Banks'!J85/'Balance Sheet-Banks'!J84</f>
        <v>0.17132101387706722</v>
      </c>
      <c r="L17" s="108">
        <f>'Balance Sheet-Banks'!K85/'Balance Sheet-Banks'!K84</f>
        <v>0.16785924224864768</v>
      </c>
      <c r="M17" s="292">
        <f t="shared" ref="M17:M18" si="9">AVERAGE(H17:L17)</f>
        <v>0.17314402359522854</v>
      </c>
      <c r="N17" s="101">
        <v>0</v>
      </c>
      <c r="O17" s="103">
        <f>'Balance Sheet-Banks'!M85/'Balance Sheet-Banks'!M84</f>
        <v>0.18060000000000001</v>
      </c>
      <c r="P17" s="103">
        <f>'Balance Sheet-Banks'!N85/'Balance Sheet-Banks'!N84</f>
        <v>0.1835</v>
      </c>
      <c r="Q17" s="103">
        <v>0</v>
      </c>
      <c r="R17" s="108">
        <v>0</v>
      </c>
      <c r="S17" s="292">
        <f t="shared" ref="S17:S18" si="10">AVERAGE(O17:P17)</f>
        <v>0.18204999999999999</v>
      </c>
      <c r="T17" s="110">
        <f>'Balance Sheet-Banks'!Q85/'Balance Sheet-Banks'!Q84</f>
        <v>0</v>
      </c>
      <c r="U17" s="103">
        <v>0</v>
      </c>
      <c r="V17" s="103">
        <v>0</v>
      </c>
      <c r="W17" s="103">
        <v>0</v>
      </c>
      <c r="X17" s="108">
        <v>0</v>
      </c>
      <c r="Y17" s="297">
        <f t="shared" ref="Y17:Y18" si="11">AVERAGE(T17:X17)</f>
        <v>0</v>
      </c>
    </row>
    <row r="18" spans="1:25" ht="18.600000000000001" thickBot="1" x14ac:dyDescent="0.35">
      <c r="A18" s="252" t="s">
        <v>312</v>
      </c>
      <c r="B18" s="280">
        <f>'Balance Sheet-Banks'!B88</f>
        <v>0.1449</v>
      </c>
      <c r="C18" s="281">
        <f>'Balance Sheet-Banks'!C88</f>
        <v>0.154</v>
      </c>
      <c r="D18" s="281">
        <f>'Balance Sheet-Banks'!D88</f>
        <v>0.15240000000000001</v>
      </c>
      <c r="E18" s="281">
        <f>'Balance Sheet-Banks'!E88</f>
        <v>0.14019999999999999</v>
      </c>
      <c r="F18" s="282">
        <f>'Balance Sheet-Banks'!F88</f>
        <v>0.13739999999999999</v>
      </c>
      <c r="G18" s="294">
        <f t="shared" si="8"/>
        <v>0.14577999999999999</v>
      </c>
      <c r="H18" s="280">
        <f>'Balance Sheet-Banks'!G88</f>
        <v>0.1643</v>
      </c>
      <c r="I18" s="281">
        <f>'Balance Sheet-Banks'!H88</f>
        <v>0.16850000000000001</v>
      </c>
      <c r="J18" s="281">
        <f>'Balance Sheet-Banks'!I88</f>
        <v>0.16669999999999999</v>
      </c>
      <c r="K18" s="281">
        <f>'Balance Sheet-Banks'!J88</f>
        <v>0.16400000000000001</v>
      </c>
      <c r="L18" s="282">
        <f>'Balance Sheet-Banks'!K88</f>
        <v>0.16300000000000001</v>
      </c>
      <c r="M18" s="292">
        <f t="shared" si="9"/>
        <v>0.1653</v>
      </c>
      <c r="N18" s="280">
        <f>'Balance Sheet-Banks'!L88</f>
        <v>0</v>
      </c>
      <c r="O18" s="281">
        <f>'Balance Sheet-Banks'!M88</f>
        <v>0.16800000000000001</v>
      </c>
      <c r="P18" s="281">
        <f>'Balance Sheet-Banks'!N88</f>
        <v>0.17599999999999999</v>
      </c>
      <c r="Q18" s="281">
        <f>'Balance Sheet-Banks'!O88</f>
        <v>0</v>
      </c>
      <c r="R18" s="282">
        <f>'Balance Sheet-Banks'!P88</f>
        <v>0</v>
      </c>
      <c r="S18" s="292">
        <f t="shared" si="10"/>
        <v>0.17199999999999999</v>
      </c>
      <c r="T18" s="283">
        <f>'Balance Sheet-Banks'!Q88</f>
        <v>0.1002</v>
      </c>
      <c r="U18" s="281">
        <f>'Balance Sheet-Banks'!R88</f>
        <v>0.1038</v>
      </c>
      <c r="V18" s="281">
        <f>'Balance Sheet-Banks'!S88</f>
        <v>0.1144</v>
      </c>
      <c r="W18" s="281">
        <f>'Balance Sheet-Banks'!T88</f>
        <v>0.1142</v>
      </c>
      <c r="X18" s="282">
        <f>'Balance Sheet-Banks'!U88</f>
        <v>0.1036</v>
      </c>
      <c r="Y18" s="297">
        <f t="shared" si="11"/>
        <v>0.10724</v>
      </c>
    </row>
    <row r="19" spans="1:25" s="251" customFormat="1" ht="22.8" customHeight="1" thickBot="1" x14ac:dyDescent="0.35">
      <c r="A19" s="571" t="s">
        <v>313</v>
      </c>
      <c r="B19" s="572"/>
      <c r="C19" s="572"/>
      <c r="D19" s="572"/>
      <c r="E19" s="572"/>
      <c r="F19" s="572"/>
      <c r="G19" s="572"/>
      <c r="H19" s="572"/>
      <c r="I19" s="572"/>
      <c r="J19" s="572"/>
      <c r="K19" s="572"/>
      <c r="L19" s="572"/>
      <c r="M19" s="572"/>
      <c r="N19" s="572"/>
      <c r="O19" s="572"/>
      <c r="P19" s="572"/>
      <c r="Q19" s="572"/>
      <c r="R19" s="572"/>
      <c r="S19" s="572"/>
      <c r="T19" s="582"/>
      <c r="U19" s="582"/>
      <c r="V19" s="582"/>
      <c r="W19" s="582"/>
      <c r="X19" s="582"/>
      <c r="Y19" s="583"/>
    </row>
    <row r="20" spans="1:25" ht="18.600000000000001" thickBot="1" x14ac:dyDescent="0.35">
      <c r="A20" s="257" t="s">
        <v>314</v>
      </c>
      <c r="B20" s="262">
        <f>'Balance Sheet-Banks'!B75/'Balance Sheet-Banks'!B13</f>
        <v>0.90781322704160283</v>
      </c>
      <c r="C20" s="264">
        <f>'Balance Sheet-Banks'!C75/'Balance Sheet-Banks'!C13</f>
        <v>0.8961013078240877</v>
      </c>
      <c r="D20" s="264">
        <f>'Balance Sheet-Banks'!D75/'Balance Sheet-Banks'!D13</f>
        <v>0.88331464522429481</v>
      </c>
      <c r="E20" s="264">
        <f>'Balance Sheet-Banks'!E75/'Balance Sheet-Banks'!E13</f>
        <v>0.91812734604779633</v>
      </c>
      <c r="F20" s="263">
        <f>'Balance Sheet-Banks'!F75/'Balance Sheet-Banks'!F13</f>
        <v>0.93649258028095494</v>
      </c>
      <c r="G20" s="292">
        <f>AVERAGE(B20:F20)</f>
        <v>0.90836982128374744</v>
      </c>
      <c r="H20" s="262">
        <f>'Balance Sheet-Banks'!G75/'Balance Sheet-Banks'!G13</f>
        <v>0.91054295744958402</v>
      </c>
      <c r="I20" s="264">
        <f>'Balance Sheet-Banks'!H75/'Balance Sheet-Banks'!H13</f>
        <v>0.88870431261977623</v>
      </c>
      <c r="J20" s="264">
        <f>'Balance Sheet-Banks'!I75/'Balance Sheet-Banks'!I13</f>
        <v>0.91202793103682234</v>
      </c>
      <c r="K20" s="264">
        <f>'Balance Sheet-Banks'!J75/'Balance Sheet-Banks'!J13</f>
        <v>0.88276503511714055</v>
      </c>
      <c r="L20" s="263">
        <f>'Balance Sheet-Banks'!K75/'Balance Sheet-Banks'!K13</f>
        <v>1.0795174939890293</v>
      </c>
      <c r="M20" s="292">
        <f>AVERAGE(H20:L20)</f>
        <v>0.93471154604247053</v>
      </c>
      <c r="N20" s="262">
        <f>'Balance Sheet-Banks'!L75/'Balance Sheet-Banks'!L13</f>
        <v>0.88194280708123141</v>
      </c>
      <c r="O20" s="264">
        <f>'Balance Sheet-Banks'!M75/'Balance Sheet-Banks'!M13</f>
        <v>0.7868221039039125</v>
      </c>
      <c r="P20" s="264">
        <f>'Balance Sheet-Banks'!N75/'Balance Sheet-Banks'!N13</f>
        <v>0.80691650231025802</v>
      </c>
      <c r="Q20" s="264">
        <f>'Balance Sheet-Banks'!O75/'Balance Sheet-Banks'!O13</f>
        <v>0.89514163375280087</v>
      </c>
      <c r="R20" s="263">
        <f>'Balance Sheet-Banks'!P75/'Balance Sheet-Banks'!P13</f>
        <v>0.87336775405731948</v>
      </c>
      <c r="S20" s="292">
        <f>AVERAGE(N20:R20)</f>
        <v>0.84883816022110459</v>
      </c>
      <c r="T20" s="97">
        <f>'Balance Sheet-Banks'!Q75/'Balance Sheet-Banks'!Q13</f>
        <v>0.72516636561698788</v>
      </c>
      <c r="U20" s="98">
        <f>'Balance Sheet-Banks'!R75/'Balance Sheet-Banks'!R13</f>
        <v>0.67304873051655201</v>
      </c>
      <c r="V20" s="98">
        <f>'Balance Sheet-Banks'!S75/'Balance Sheet-Banks'!S13</f>
        <v>0.68358093941284659</v>
      </c>
      <c r="W20" s="98">
        <f>'Balance Sheet-Banks'!T75/'Balance Sheet-Banks'!T13</f>
        <v>0.73131390159329368</v>
      </c>
      <c r="X20" s="107">
        <f>'Balance Sheet-Banks'!U75/'Balance Sheet-Banks'!U13</f>
        <v>0.76195391466562323</v>
      </c>
      <c r="Y20" s="297">
        <f>AVERAGE(T20:X20)</f>
        <v>0.7150127703610607</v>
      </c>
    </row>
    <row r="21" spans="1:25" ht="18.600000000000001" thickBot="1" x14ac:dyDescent="0.35">
      <c r="A21" s="93" t="s">
        <v>315</v>
      </c>
      <c r="B21" s="101">
        <f>('Balance Sheet-Banks'!B82+'Balance Sheet-Banks'!B83)/'Balance Sheet-Banks'!B13</f>
        <v>0.41009166462666768</v>
      </c>
      <c r="C21" s="103">
        <f>('Balance Sheet-Banks'!C82+'Balance Sheet-Banks'!C83)/'Balance Sheet-Banks'!C13</f>
        <v>0.4544018687141419</v>
      </c>
      <c r="D21" s="103">
        <f>('Balance Sheet-Banks'!D82+'Balance Sheet-Banks'!D83)/'Balance Sheet-Banks'!D13</f>
        <v>0.44967648018155754</v>
      </c>
      <c r="E21" s="103">
        <f>('Balance Sheet-Banks'!E82+'Balance Sheet-Banks'!E83)/'Balance Sheet-Banks'!E13</f>
        <v>0.47124997959452786</v>
      </c>
      <c r="F21" s="108">
        <f>('Balance Sheet-Banks'!F82+'Balance Sheet-Banks'!F83)/'Balance Sheet-Banks'!F13</f>
        <v>0.42963724006243448</v>
      </c>
      <c r="G21" s="293">
        <f t="shared" ref="G21:G22" si="12">AVERAGE(B21:F21)</f>
        <v>0.44301144663586589</v>
      </c>
      <c r="H21" s="101">
        <f>('Balance Sheet-Banks'!G82+'Balance Sheet-Banks'!G83)/'Balance Sheet-Banks'!G13</f>
        <v>0.4218573923022097</v>
      </c>
      <c r="I21" s="103">
        <f>('Balance Sheet-Banks'!H82+'Balance Sheet-Banks'!H83)/'Balance Sheet-Banks'!H13</f>
        <v>0.460792608651314</v>
      </c>
      <c r="J21" s="103">
        <f>('Balance Sheet-Banks'!I82+'Balance Sheet-Banks'!I83)/'Balance Sheet-Banks'!I13</f>
        <v>0.48134850546471664</v>
      </c>
      <c r="K21" s="103">
        <f>('Balance Sheet-Banks'!J82+'Balance Sheet-Banks'!J83)/'Balance Sheet-Banks'!J13</f>
        <v>0.44373775819972056</v>
      </c>
      <c r="L21" s="108">
        <f>('Balance Sheet-Banks'!K82+'Balance Sheet-Banks'!K83)/'Balance Sheet-Banks'!K13</f>
        <v>0.38138972665123605</v>
      </c>
      <c r="M21" s="292">
        <f t="shared" ref="M21:M22" si="13">AVERAGE(H21:L21)</f>
        <v>0.43782519825383942</v>
      </c>
      <c r="N21" s="101">
        <f>('Balance Sheet-Banks'!L82+'Balance Sheet-Banks'!L83)/'Balance Sheet-Banks'!L13</f>
        <v>0.44837725045734839</v>
      </c>
      <c r="O21" s="103">
        <f>('Balance Sheet-Banks'!M82+'Balance Sheet-Banks'!M83)/'Balance Sheet-Banks'!M13</f>
        <v>0.46285595242965544</v>
      </c>
      <c r="P21" s="103">
        <f>('Balance Sheet-Banks'!N82+'Balance Sheet-Banks'!N83)/'Balance Sheet-Banks'!N13</f>
        <v>0.4869907941655518</v>
      </c>
      <c r="Q21" s="103">
        <f>('Balance Sheet-Banks'!O82+'Balance Sheet-Banks'!O83)/'Balance Sheet-Banks'!O13</f>
        <v>0.45478036493150903</v>
      </c>
      <c r="R21" s="108">
        <f>('Balance Sheet-Banks'!P82+'Balance Sheet-Banks'!P83)/'Balance Sheet-Banks'!P13</f>
        <v>0.41903271709358886</v>
      </c>
      <c r="S21" s="292">
        <f t="shared" ref="S21:S22" si="14">AVERAGE(N21:R21)</f>
        <v>0.45440741581553068</v>
      </c>
      <c r="T21" s="101">
        <f>('Balance Sheet-Banks'!Q82+'Balance Sheet-Banks'!Q83)/'Balance Sheet-Banks'!Q13</f>
        <v>0.44170444992312091</v>
      </c>
      <c r="U21" s="103">
        <f>('Balance Sheet-Banks'!R82+'Balance Sheet-Banks'!R83)/'Balance Sheet-Banks'!R13</f>
        <v>0.4540051476379402</v>
      </c>
      <c r="V21" s="103">
        <f>('Balance Sheet-Banks'!S82+'Balance Sheet-Banks'!S83)/'Balance Sheet-Banks'!S13</f>
        <v>0.44519921148772229</v>
      </c>
      <c r="W21" s="103">
        <f>('Balance Sheet-Banks'!T82+'Balance Sheet-Banks'!T83)/'Balance Sheet-Banks'!T13</f>
        <v>0.42665420101653934</v>
      </c>
      <c r="X21" s="108">
        <f>('Balance Sheet-Banks'!U82+'Balance Sheet-Banks'!U83)/'Balance Sheet-Banks'!U13</f>
        <v>0.3992580012086368</v>
      </c>
      <c r="Y21" s="297">
        <f t="shared" ref="Y21:Y22" si="15">AVERAGE(T21:X21)</f>
        <v>0.43336420225479194</v>
      </c>
    </row>
    <row r="22" spans="1:25" ht="18.600000000000001" thickBot="1" x14ac:dyDescent="0.35">
      <c r="A22" s="252" t="s">
        <v>316</v>
      </c>
      <c r="B22" s="253">
        <f>B38/B39</f>
        <v>0.80885697116614375</v>
      </c>
      <c r="C22" s="255">
        <f t="shared" ref="C22:P22" si="16">C38/C39</f>
        <v>0.85842459702758833</v>
      </c>
      <c r="D22" s="255">
        <f t="shared" si="16"/>
        <v>0.88754930853397052</v>
      </c>
      <c r="E22" s="255">
        <f t="shared" si="16"/>
        <v>0.90209231675421997</v>
      </c>
      <c r="F22" s="254">
        <f t="shared" si="16"/>
        <v>0.82070527892889567</v>
      </c>
      <c r="G22" s="294">
        <f t="shared" si="12"/>
        <v>0.85552569448216365</v>
      </c>
      <c r="H22" s="253">
        <f t="shared" si="16"/>
        <v>0.86833867958666833</v>
      </c>
      <c r="I22" s="255">
        <f t="shared" si="16"/>
        <v>0.98446504212686459</v>
      </c>
      <c r="J22" s="255">
        <f t="shared" si="16"/>
        <v>0.81863655964960602</v>
      </c>
      <c r="K22" s="255">
        <f t="shared" si="16"/>
        <v>0.82849322154465777</v>
      </c>
      <c r="L22" s="254">
        <f t="shared" si="16"/>
        <v>0.80022705141882622</v>
      </c>
      <c r="M22" s="292">
        <f t="shared" si="13"/>
        <v>0.86003211086532461</v>
      </c>
      <c r="N22" s="253">
        <v>0</v>
      </c>
      <c r="O22" s="255">
        <f t="shared" si="16"/>
        <v>1.1269147251644311</v>
      </c>
      <c r="P22" s="255">
        <f t="shared" si="16"/>
        <v>1.1065769944068473</v>
      </c>
      <c r="Q22" s="255">
        <v>0</v>
      </c>
      <c r="R22" s="254">
        <v>0</v>
      </c>
      <c r="S22" s="292">
        <f t="shared" si="14"/>
        <v>0.44669834391425567</v>
      </c>
      <c r="T22" s="102">
        <v>0</v>
      </c>
      <c r="U22" s="105">
        <v>0</v>
      </c>
      <c r="V22" s="105">
        <v>0</v>
      </c>
      <c r="W22" s="105">
        <v>0</v>
      </c>
      <c r="X22" s="109">
        <v>0</v>
      </c>
      <c r="Y22" s="297">
        <f t="shared" si="15"/>
        <v>0</v>
      </c>
    </row>
    <row r="23" spans="1:25" s="251" customFormat="1" ht="22.8" customHeight="1" thickBot="1" x14ac:dyDescent="0.35">
      <c r="A23" s="571" t="s">
        <v>317</v>
      </c>
      <c r="B23" s="572"/>
      <c r="C23" s="572"/>
      <c r="D23" s="572"/>
      <c r="E23" s="572"/>
      <c r="F23" s="572"/>
      <c r="G23" s="572"/>
      <c r="H23" s="572"/>
      <c r="I23" s="572"/>
      <c r="J23" s="572"/>
      <c r="K23" s="572"/>
      <c r="L23" s="572"/>
      <c r="M23" s="572"/>
      <c r="N23" s="572"/>
      <c r="O23" s="572"/>
      <c r="P23" s="572"/>
      <c r="Q23" s="572"/>
      <c r="R23" s="572"/>
      <c r="S23" s="572"/>
      <c r="T23" s="573"/>
      <c r="U23" s="573"/>
      <c r="V23" s="573"/>
      <c r="W23" s="573"/>
      <c r="X23" s="573"/>
      <c r="Y23" s="574"/>
    </row>
    <row r="24" spans="1:25" ht="18.600000000000001" thickBot="1" x14ac:dyDescent="0.35">
      <c r="A24" s="286" t="s">
        <v>318</v>
      </c>
      <c r="B24" s="265">
        <f>'Income Statement-Banks'!B10/'Income Statement-Banks'!B7</f>
        <v>0.22565930909555573</v>
      </c>
      <c r="C24" s="264">
        <f>'Income Statement-Banks'!C10/'Income Statement-Banks'!C7</f>
        <v>0.24591288306862213</v>
      </c>
      <c r="D24" s="264">
        <f>'Income Statement-Banks'!D10/'Income Statement-Banks'!D7</f>
        <v>0.2882710735594215</v>
      </c>
      <c r="E24" s="264">
        <f>'Income Statement-Banks'!E10/'Income Statement-Banks'!E7</f>
        <v>0.3863011626950783</v>
      </c>
      <c r="F24" s="263">
        <f>'Income Statement-Banks'!F10/'Income Statement-Banks'!F7</f>
        <v>0.26989435997094269</v>
      </c>
      <c r="G24" s="292">
        <f>AVERAGE(B24:F24)</f>
        <v>0.28320775767792405</v>
      </c>
      <c r="H24" s="265">
        <f>'Income Statement-Banks'!G10/'Income Statement-Banks'!G7</f>
        <v>0.22463075367061697</v>
      </c>
      <c r="I24" s="264">
        <f>'Income Statement-Banks'!H10/'Income Statement-Banks'!H7</f>
        <v>0.2245321574750728</v>
      </c>
      <c r="J24" s="264">
        <f>'Income Statement-Banks'!I10/'Income Statement-Banks'!I7</f>
        <v>0.2403907918762232</v>
      </c>
      <c r="K24" s="264">
        <f>'Income Statement-Banks'!J10/'Income Statement-Banks'!J7</f>
        <v>0.25179397076506566</v>
      </c>
      <c r="L24" s="263">
        <f>'Income Statement-Banks'!K10/'Income Statement-Banks'!K7</f>
        <v>0.37321395075726088</v>
      </c>
      <c r="M24" s="292">
        <f>AVERAGE(H24:L24)</f>
        <v>0.26291232490884792</v>
      </c>
      <c r="N24" s="262">
        <f>'Income Statement-Banks'!L10/'Income Statement-Banks'!L7</f>
        <v>0.47746684986025245</v>
      </c>
      <c r="O24" s="264">
        <f>'Income Statement-Banks'!M10/'Income Statement-Banks'!M7</f>
        <v>0.2198138215509336</v>
      </c>
      <c r="P24" s="264">
        <f>'Income Statement-Banks'!N10/'Income Statement-Banks'!N7</f>
        <v>0.25486497406513797</v>
      </c>
      <c r="Q24" s="264">
        <f>'Income Statement-Banks'!O10/'Income Statement-Banks'!O7</f>
        <v>0.44279489800774896</v>
      </c>
      <c r="R24" s="263">
        <f>'Income Statement-Banks'!P10/'Income Statement-Banks'!P7</f>
        <v>0.41426764000801647</v>
      </c>
      <c r="S24" s="292">
        <f>AVERAGE(N24:R24)</f>
        <v>0.3618416366984179</v>
      </c>
      <c r="T24" s="97">
        <f>'Income Statement-Banks'!Q10/'Income Statement-Banks'!Q7</f>
        <v>0.35809171169616183</v>
      </c>
      <c r="U24" s="98">
        <f>'Income Statement-Banks'!R10/'Income Statement-Banks'!R7</f>
        <v>0.39038360620287871</v>
      </c>
      <c r="V24" s="98">
        <f>'Income Statement-Banks'!S10/'Income Statement-Banks'!S7</f>
        <v>0.42843969346605176</v>
      </c>
      <c r="W24" s="98">
        <f>'Income Statement-Banks'!T10/'Income Statement-Banks'!T7</f>
        <v>0.40097856106922414</v>
      </c>
      <c r="X24" s="107">
        <f>'Income Statement-Banks'!U10/'Income Statement-Banks'!U7</f>
        <v>0.39674368530298443</v>
      </c>
      <c r="Y24" s="297">
        <f>AVERAGE(T24:X24)</f>
        <v>0.39492745154746017</v>
      </c>
    </row>
    <row r="25" spans="1:25" ht="18.600000000000001" thickBot="1" x14ac:dyDescent="0.35">
      <c r="A25" s="285" t="s">
        <v>319</v>
      </c>
      <c r="B25" s="256">
        <f>'Income Statement-Banks'!B6/'Income Statement-Banks'!B7</f>
        <v>0.20412772442665394</v>
      </c>
      <c r="C25" s="255">
        <f>'Income Statement-Banks'!C6/'Income Statement-Banks'!C7</f>
        <v>0.17412049203916985</v>
      </c>
      <c r="D25" s="255">
        <f>'Income Statement-Banks'!D6/'Income Statement-Banks'!D7</f>
        <v>0.20052595280754543</v>
      </c>
      <c r="E25" s="255">
        <f>'Income Statement-Banks'!E6/'Income Statement-Banks'!E7</f>
        <v>0.17343476629365781</v>
      </c>
      <c r="F25" s="254">
        <f>'Income Statement-Banks'!F6/'Income Statement-Banks'!F7</f>
        <v>0.18284243074973316</v>
      </c>
      <c r="G25" s="294">
        <f>AVERAGE(B25:F25)</f>
        <v>0.18701027326335204</v>
      </c>
      <c r="H25" s="256">
        <f>'Income Statement-Banks'!G6/'Income Statement-Banks'!G7</f>
        <v>0.16916616633835982</v>
      </c>
      <c r="I25" s="255">
        <f>'Income Statement-Banks'!H6/'Income Statement-Banks'!H7</f>
        <v>0.17533972048017757</v>
      </c>
      <c r="J25" s="255">
        <f>'Income Statement-Banks'!I6/'Income Statement-Banks'!I7</f>
        <v>0.18938498014853122</v>
      </c>
      <c r="K25" s="255">
        <f>'Income Statement-Banks'!J6/'Income Statement-Banks'!J7</f>
        <v>0.16569451413790562</v>
      </c>
      <c r="L25" s="254">
        <f>'Income Statement-Banks'!K6/'Income Statement-Banks'!K7</f>
        <v>0.3047729018683254</v>
      </c>
      <c r="M25" s="292">
        <f>AVERAGE(H25:L25)</f>
        <v>0.20087165659465991</v>
      </c>
      <c r="N25" s="253">
        <f>'Income Statement-Banks'!L6/'Income Statement-Banks'!L7</f>
        <v>0.43362053458749739</v>
      </c>
      <c r="O25" s="255">
        <f>'Income Statement-Banks'!M6/'Income Statement-Banks'!M7</f>
        <v>0.19338512123360324</v>
      </c>
      <c r="P25" s="255">
        <f>'Income Statement-Banks'!N6/'Income Statement-Banks'!N7</f>
        <v>0.17653888420403654</v>
      </c>
      <c r="Q25" s="255">
        <f>'Income Statement-Banks'!O6/'Income Statement-Banks'!O7</f>
        <v>0.34972827652918442</v>
      </c>
      <c r="R25" s="254">
        <f>'Income Statement-Banks'!P6/'Income Statement-Banks'!P7</f>
        <v>0.32419309789049688</v>
      </c>
      <c r="S25" s="292">
        <f>AVERAGE(N25:R25)</f>
        <v>0.2954931828889637</v>
      </c>
      <c r="T25" s="102">
        <f>'Income Statement-Banks'!Q6/'Income Statement-Banks'!Q7</f>
        <v>0.26672867393181893</v>
      </c>
      <c r="U25" s="105">
        <f>'Income Statement-Banks'!R6/'Income Statement-Banks'!R7</f>
        <v>0.27825556853719269</v>
      </c>
      <c r="V25" s="105">
        <f>'Income Statement-Banks'!S6/'Income Statement-Banks'!S7</f>
        <v>0.28748928777145139</v>
      </c>
      <c r="W25" s="105">
        <f>'Income Statement-Banks'!T6/'Income Statement-Banks'!T7</f>
        <v>0.25884921680029616</v>
      </c>
      <c r="X25" s="109">
        <f>'Income Statement-Banks'!U6/'Income Statement-Banks'!U7</f>
        <v>0.26134031393516377</v>
      </c>
      <c r="Y25" s="297">
        <f>AVERAGE(T25:X25)</f>
        <v>0.27053261219518465</v>
      </c>
    </row>
    <row r="26" spans="1:25" s="251" customFormat="1" ht="22.8" customHeight="1" thickBot="1" x14ac:dyDescent="0.35">
      <c r="A26" s="571" t="s">
        <v>320</v>
      </c>
      <c r="B26" s="572"/>
      <c r="C26" s="572"/>
      <c r="D26" s="572"/>
      <c r="E26" s="572"/>
      <c r="F26" s="572"/>
      <c r="G26" s="572"/>
      <c r="H26" s="572"/>
      <c r="I26" s="572"/>
      <c r="J26" s="572"/>
      <c r="K26" s="572"/>
      <c r="L26" s="572"/>
      <c r="M26" s="572"/>
      <c r="N26" s="572"/>
      <c r="O26" s="572"/>
      <c r="P26" s="572"/>
      <c r="Q26" s="572"/>
      <c r="R26" s="572"/>
      <c r="S26" s="572"/>
      <c r="T26" s="573"/>
      <c r="U26" s="573"/>
      <c r="V26" s="573"/>
      <c r="W26" s="573"/>
      <c r="X26" s="573"/>
      <c r="Y26" s="574"/>
    </row>
    <row r="27" spans="1:25" ht="18.600000000000001" thickBot="1" x14ac:dyDescent="0.35">
      <c r="A27" s="286" t="s">
        <v>321</v>
      </c>
      <c r="B27" s="261">
        <f>'Cash Flow Statement-Banks'!B28/'Income Statement-Banks'!B13</f>
        <v>16.189281668665739</v>
      </c>
      <c r="C27" s="260">
        <f>'Cash Flow Statement-Banks'!C28/'Income Statement-Banks'!C13</f>
        <v>1.7418919831945052</v>
      </c>
      <c r="D27" s="260">
        <f>'Cash Flow Statement-Banks'!D28/'Income Statement-Banks'!D13</f>
        <v>1.9864872020248006</v>
      </c>
      <c r="E27" s="260">
        <f>'Cash Flow Statement-Banks'!E28/'Income Statement-Banks'!E13</f>
        <v>2.0340432668120099</v>
      </c>
      <c r="F27" s="259">
        <f>'Cash Flow Statement-Banks'!F28/'Income Statement-Banks'!F13</f>
        <v>-0.21021672342161551</v>
      </c>
      <c r="G27" s="295">
        <f>AVERAGE(B27:F27)</f>
        <v>4.3482974794550877</v>
      </c>
      <c r="H27" s="261">
        <f>'Cash Flow Statement-Banks'!G28/'Income Statement-Banks'!G13</f>
        <v>-0.6180000016339231</v>
      </c>
      <c r="I27" s="260">
        <f>'Cash Flow Statement-Banks'!H28/'Income Statement-Banks'!H13</f>
        <v>1.3333573627639901</v>
      </c>
      <c r="J27" s="260">
        <f>'Cash Flow Statement-Banks'!I28/'Income Statement-Banks'!I13</f>
        <v>-0.31348094016130701</v>
      </c>
      <c r="K27" s="260">
        <f>'Cash Flow Statement-Banks'!J28/'Income Statement-Banks'!J13</f>
        <v>0.45101378803736503</v>
      </c>
      <c r="L27" s="259">
        <f>'Cash Flow Statement-Banks'!K28/'Income Statement-Banks'!K13</f>
        <v>0.29137295348108688</v>
      </c>
      <c r="M27" s="295">
        <f>AVERAGE(H27:L27)</f>
        <v>0.22885263249744239</v>
      </c>
      <c r="N27" s="258">
        <f>'Cash Flow Statement-Banks'!L28/'Income Statement-Banks'!L13</f>
        <v>7.0878779040660085</v>
      </c>
      <c r="O27" s="260">
        <f>'Cash Flow Statement-Banks'!M28/'Income Statement-Banks'!M13</f>
        <v>7.6635445694886313</v>
      </c>
      <c r="P27" s="260">
        <f>'Cash Flow Statement-Banks'!N28/'Income Statement-Banks'!N13</f>
        <v>2.3585315509905289</v>
      </c>
      <c r="Q27" s="260">
        <f>'Cash Flow Statement-Banks'!O28/'Income Statement-Banks'!O13</f>
        <v>-0.10942718699666178</v>
      </c>
      <c r="R27" s="259">
        <f>'Cash Flow Statement-Banks'!P28/'Income Statement-Banks'!P13</f>
        <v>3.4946912812381221</v>
      </c>
      <c r="S27" s="295">
        <f>AVERAGE(N27:R27)</f>
        <v>4.0990436237573258</v>
      </c>
      <c r="T27" s="112">
        <f>'Cash Flow Statement-Banks'!Q28/'Income Statement-Banks'!Q13</f>
        <v>1.3164309638434439</v>
      </c>
      <c r="U27" s="250">
        <f>'Cash Flow Statement-Banks'!R28/'Income Statement-Banks'!R13</f>
        <v>3.7034583727520443</v>
      </c>
      <c r="V27" s="250">
        <f>'Cash Flow Statement-Banks'!S28/'Income Statement-Banks'!S13</f>
        <v>1.586934052137291</v>
      </c>
      <c r="W27" s="250">
        <f>'Cash Flow Statement-Banks'!T28/'Income Statement-Banks'!T13</f>
        <v>-1.5207932725869369</v>
      </c>
      <c r="X27" s="248">
        <f>'Cash Flow Statement-Banks'!U28/'Income Statement-Banks'!U13</f>
        <v>0.31747847265646856</v>
      </c>
      <c r="Y27" s="299">
        <f>AVERAGE(T27:X27)</f>
        <v>1.0807017177604621</v>
      </c>
    </row>
    <row r="28" spans="1:25" ht="18.600000000000001" thickBot="1" x14ac:dyDescent="0.35">
      <c r="A28" s="284" t="s">
        <v>322</v>
      </c>
      <c r="B28" s="246">
        <f>'Cash Flow Statement-Banks'!B28/('Income Statement-Banks'!B9+'Financial Ratios-Banks'!B40)</f>
        <v>0.47392162062693138</v>
      </c>
      <c r="C28" s="247">
        <f>'Cash Flow Statement-Banks'!C28/('Income Statement-Banks'!C9+'Financial Ratios-Banks'!C40)</f>
        <v>0.20125520846194345</v>
      </c>
      <c r="D28" s="247">
        <f>'Cash Flow Statement-Banks'!D28/('Income Statement-Banks'!D9+'Financial Ratios-Banks'!D40)</f>
        <v>0.33471554537698478</v>
      </c>
      <c r="E28" s="247">
        <f>'Cash Flow Statement-Banks'!E28/('Income Statement-Banks'!E9+'Financial Ratios-Banks'!E40)</f>
        <v>0.29994692618935759</v>
      </c>
      <c r="F28" s="249">
        <f>'Cash Flow Statement-Banks'!F28/('Income Statement-Banks'!F9+'Financial Ratios-Banks'!F40)</f>
        <v>-5.2628781420206869E-2</v>
      </c>
      <c r="G28" s="296">
        <f t="shared" ref="G28:G30" si="17">AVERAGE(B28:F28)</f>
        <v>0.25144210384700211</v>
      </c>
      <c r="H28" s="246">
        <f>'Cash Flow Statement-Banks'!G28/('Income Statement-Banks'!G9+'Financial Ratios-Banks'!H40)</f>
        <v>-0.2435203302118247</v>
      </c>
      <c r="I28" s="247">
        <f>'Cash Flow Statement-Banks'!H28/('Income Statement-Banks'!H9+'Financial Ratios-Banks'!I40)</f>
        <v>0.61160825586192646</v>
      </c>
      <c r="J28" s="247">
        <f>'Cash Flow Statement-Banks'!I28/('Income Statement-Banks'!I9+'Financial Ratios-Banks'!J40)</f>
        <v>-0.14006261815270596</v>
      </c>
      <c r="K28" s="247">
        <f>'Cash Flow Statement-Banks'!J28/('Income Statement-Banks'!J9+'Financial Ratios-Banks'!K40)</f>
        <v>0.21189558265558589</v>
      </c>
      <c r="L28" s="249">
        <f>'Cash Flow Statement-Banks'!K28/('Income Statement-Banks'!K9+'Financial Ratios-Banks'!L40)</f>
        <v>9.3787455417448068E-2</v>
      </c>
      <c r="M28" s="295">
        <f t="shared" ref="M28:M30" si="18">AVERAGE(H28:L28)</f>
        <v>0.10674166911408593</v>
      </c>
      <c r="N28" s="113">
        <f>'Cash Flow Statement-Banks'!L28/('Income Statement-Banks'!L9+'Financial Ratios-Banks'!N40)</f>
        <v>0.82308800947338057</v>
      </c>
      <c r="O28" s="247">
        <f>'Cash Flow Statement-Banks'!M28/('Income Statement-Banks'!M9+'Financial Ratios-Banks'!O40)</f>
        <v>0.97917030784707937</v>
      </c>
      <c r="P28" s="247">
        <f>'Cash Flow Statement-Banks'!N28/('Income Statement-Banks'!N9+'Financial Ratios-Banks'!P40)</f>
        <v>0.88467282678166204</v>
      </c>
      <c r="Q28" s="247">
        <f>'Cash Flow Statement-Banks'!O28/('Income Statement-Banks'!O9+'Financial Ratios-Banks'!Q40)</f>
        <v>-4.8701272760039417E-2</v>
      </c>
      <c r="R28" s="249">
        <f>'Cash Flow Statement-Banks'!P28/('Income Statement-Banks'!P9+'Financial Ratios-Banks'!R40)</f>
        <v>1.3887653792515819</v>
      </c>
      <c r="S28" s="295">
        <f t="shared" ref="S28:S30" si="19">AVERAGE(N28:R28)</f>
        <v>0.80539905011873292</v>
      </c>
      <c r="T28" s="113">
        <f>'Cash Flow Statement-Banks'!Q28/('Income Statement-Banks'!Q9+'Financial Ratios-Banks'!T40)</f>
        <v>9.5535815963440032E-2</v>
      </c>
      <c r="U28" s="247">
        <f>'Cash Flow Statement-Banks'!R28/('Income Statement-Banks'!R9+'Financial Ratios-Banks'!U40)</f>
        <v>0.52003966233314247</v>
      </c>
      <c r="V28" s="247">
        <f>'Cash Flow Statement-Banks'!S28/('Income Statement-Banks'!S9+'Financial Ratios-Banks'!V40)</f>
        <v>0.34607360894229844</v>
      </c>
      <c r="W28" s="247">
        <f>'Cash Flow Statement-Banks'!T28/('Income Statement-Banks'!T9+'Financial Ratios-Banks'!W40)</f>
        <v>-0.44774115212930948</v>
      </c>
      <c r="X28" s="249">
        <f>'Cash Flow Statement-Banks'!U28/('Income Statement-Banks'!U9+'Financial Ratios-Banks'!X40)</f>
        <v>7.8943491862463133E-2</v>
      </c>
      <c r="Y28" s="299">
        <f t="shared" ref="Y28:Y30" si="20">AVERAGE(T28:X28)</f>
        <v>0.11857028539440692</v>
      </c>
    </row>
    <row r="29" spans="1:25" ht="18.600000000000001" thickBot="1" x14ac:dyDescent="0.35">
      <c r="A29" s="284" t="s">
        <v>323</v>
      </c>
      <c r="B29" s="110">
        <v>0.15</v>
      </c>
      <c r="C29" s="103">
        <f>('Balance Sheet-Banks'!C75-'Balance Sheet-Banks'!B75)/'Balance Sheet-Banks'!B75</f>
        <v>7.3403300541993663E-2</v>
      </c>
      <c r="D29" s="103">
        <f>('Balance Sheet-Banks'!D75-'Balance Sheet-Banks'!C75)/'Balance Sheet-Banks'!C75</f>
        <v>0.15881041291416903</v>
      </c>
      <c r="E29" s="103">
        <f>('Balance Sheet-Banks'!E75-'Balance Sheet-Banks'!D75)/'Balance Sheet-Banks'!D75</f>
        <v>0.19756861398475165</v>
      </c>
      <c r="F29" s="108">
        <f>('Balance Sheet-Banks'!F75-'Balance Sheet-Banks'!E75)/'Balance Sheet-Banks'!E75</f>
        <v>0.15079205305041551</v>
      </c>
      <c r="G29" s="296">
        <f t="shared" si="17"/>
        <v>0.14611487609826596</v>
      </c>
      <c r="H29" s="110">
        <v>0.21199999999999999</v>
      </c>
      <c r="I29" s="103">
        <f>('Balance Sheet-Banks'!H75-'Balance Sheet-Banks'!G75)/'Balance Sheet-Banks'!G75</f>
        <v>0.13568709111090119</v>
      </c>
      <c r="J29" s="103">
        <f>('Balance Sheet-Banks'!I75-'Balance Sheet-Banks'!H75)/'Balance Sheet-Banks'!H75</f>
        <v>0.19882061396031178</v>
      </c>
      <c r="K29" s="103">
        <f>('Balance Sheet-Banks'!J75-'Balance Sheet-Banks'!I75)/'Balance Sheet-Banks'!I75</f>
        <v>0.16961069664279377</v>
      </c>
      <c r="L29" s="108">
        <f>('Balance Sheet-Banks'!K75-'Balance Sheet-Banks'!J75)/'Balance Sheet-Banks'!J75</f>
        <v>0.5439047481406607</v>
      </c>
      <c r="M29" s="295">
        <f t="shared" si="18"/>
        <v>0.25200462997093348</v>
      </c>
      <c r="N29" s="101">
        <v>0.1</v>
      </c>
      <c r="O29" s="103">
        <f>('Balance Sheet-Banks'!M75-'Balance Sheet-Banks'!L75)/'Balance Sheet-Banks'!L75</f>
        <v>3.891413326951057E-2</v>
      </c>
      <c r="P29" s="103">
        <f>('Balance Sheet-Banks'!N75-'Balance Sheet-Banks'!M75)/'Balance Sheet-Banks'!M75</f>
        <v>0.17075971260453329</v>
      </c>
      <c r="Q29" s="103">
        <f>('Balance Sheet-Banks'!O75-'Balance Sheet-Banks'!N75)/'Balance Sheet-Banks'!N75</f>
        <v>0.26174682231062263</v>
      </c>
      <c r="R29" s="108">
        <f>('Balance Sheet-Banks'!P75-'Balance Sheet-Banks'!O75)/'Balance Sheet-Banks'!O75</f>
        <v>0.16322116162191441</v>
      </c>
      <c r="S29" s="295">
        <f t="shared" si="19"/>
        <v>0.14692836596131617</v>
      </c>
      <c r="T29" s="101">
        <v>6.3799999999999996E-2</v>
      </c>
      <c r="U29" s="103">
        <f>('Balance Sheet-Banks'!R75-'Balance Sheet-Banks'!Q75)/'Balance Sheet-Banks'!Q75</f>
        <v>5.3189245141690614E-2</v>
      </c>
      <c r="V29" s="103">
        <f>('Balance Sheet-Banks'!S75-'Balance Sheet-Banks'!R75)/'Balance Sheet-Banks'!R75</f>
        <v>0.1173626846123984</v>
      </c>
      <c r="W29" s="103">
        <f>('Balance Sheet-Banks'!T75-'Balance Sheet-Banks'!S75)/'Balance Sheet-Banks'!S75</f>
        <v>0.16958241361505352</v>
      </c>
      <c r="X29" s="108">
        <f>('Balance Sheet-Banks'!U75-'Balance Sheet-Banks'!T75)/'Balance Sheet-Banks'!T75</f>
        <v>0.15801285487435404</v>
      </c>
      <c r="Y29" s="287">
        <f t="shared" si="20"/>
        <v>0.11238943964869932</v>
      </c>
    </row>
    <row r="30" spans="1:25" x14ac:dyDescent="0.3">
      <c r="A30" s="285" t="s">
        <v>324</v>
      </c>
      <c r="B30" s="256" t="s">
        <v>344</v>
      </c>
      <c r="C30" s="255">
        <f>('Balance Sheet-Banks'!C13-'Balance Sheet-Banks'!B13)/'Balance Sheet-Banks'!B13</f>
        <v>8.7432532096502119E-2</v>
      </c>
      <c r="D30" s="255">
        <f>('Balance Sheet-Banks'!D13-'Balance Sheet-Banks'!C13)/'Balance Sheet-Banks'!C13</f>
        <v>0.17558508980554752</v>
      </c>
      <c r="E30" s="255">
        <f>('Balance Sheet-Banks'!E13-'Balance Sheet-Banks'!D13)/'Balance Sheet-Banks'!D13</f>
        <v>0.15216031844303907</v>
      </c>
      <c r="F30" s="254">
        <f>('Balance Sheet-Banks'!F13-'Balance Sheet-Banks'!E13)/'Balance Sheet-Banks'!E13</f>
        <v>0.12822426548546983</v>
      </c>
      <c r="G30" s="506">
        <f t="shared" si="17"/>
        <v>0.13585055145763963</v>
      </c>
      <c r="H30" s="256" t="s">
        <v>344</v>
      </c>
      <c r="I30" s="255">
        <f>('Balance Sheet-Banks'!H13-'Balance Sheet-Banks'!G13)/'Balance Sheet-Banks'!G13</f>
        <v>0.16359498653615925</v>
      </c>
      <c r="J30" s="255">
        <f>('Balance Sheet-Banks'!I13-'Balance Sheet-Banks'!H13)/'Balance Sheet-Banks'!H13</f>
        <v>0.16816274307831755</v>
      </c>
      <c r="K30" s="255">
        <f>('Balance Sheet-Banks'!J13-'Balance Sheet-Banks'!I13)/'Balance Sheet-Banks'!I13</f>
        <v>0.20838227766476164</v>
      </c>
      <c r="L30" s="254">
        <f>('Balance Sheet-Banks'!K13-'Balance Sheet-Banks'!J13)/'Balance Sheet-Banks'!J13</f>
        <v>0.26251324021967276</v>
      </c>
      <c r="M30" s="507">
        <f t="shared" si="18"/>
        <v>0.2006633118747278</v>
      </c>
      <c r="N30" s="253" t="s">
        <v>344</v>
      </c>
      <c r="O30" s="255">
        <f>('Balance Sheet-Banks'!M13-'Balance Sheet-Banks'!L13)/'Balance Sheet-Banks'!L13</f>
        <v>0.16451081186703873</v>
      </c>
      <c r="P30" s="255">
        <f>('Balance Sheet-Banks'!N13-'Balance Sheet-Banks'!M13)/'Balance Sheet-Banks'!M13</f>
        <v>0.1416046364153386</v>
      </c>
      <c r="Q30" s="255">
        <f>('Balance Sheet-Banks'!O13-'Balance Sheet-Banks'!N13)/'Balance Sheet-Banks'!N13</f>
        <v>0.13738909494308235</v>
      </c>
      <c r="R30" s="254">
        <f>('Balance Sheet-Banks'!P13-'Balance Sheet-Banks'!O13)/'Balance Sheet-Banks'!O13</f>
        <v>0.19222135943632951</v>
      </c>
      <c r="S30" s="507">
        <f t="shared" si="19"/>
        <v>0.1589314756654473</v>
      </c>
      <c r="T30" s="253" t="s">
        <v>344</v>
      </c>
      <c r="U30" s="255">
        <f>('Balance Sheet-Banks'!R13-'Balance Sheet-Banks'!Q13)/'Balance Sheet-Banks'!Q13</f>
        <v>0.13474312123008517</v>
      </c>
      <c r="V30" s="255">
        <f>('Balance Sheet-Banks'!S13-'Balance Sheet-Banks'!R13)/'Balance Sheet-Banks'!R13</f>
        <v>0.10014702436100152</v>
      </c>
      <c r="W30" s="255">
        <f>('Balance Sheet-Banks'!T13-'Balance Sheet-Banks'!S13)/'Balance Sheet-Banks'!S13</f>
        <v>9.3243603434673694E-2</v>
      </c>
      <c r="X30" s="254">
        <f>('Balance Sheet-Banks'!U13-'Balance Sheet-Banks'!T13)/'Balance Sheet-Banks'!T13</f>
        <v>0.11144635219177827</v>
      </c>
      <c r="Y30" s="508">
        <f t="shared" si="20"/>
        <v>0.10989502530438466</v>
      </c>
    </row>
    <row r="31" spans="1:25" x14ac:dyDescent="0.3">
      <c r="A31" s="503"/>
      <c r="B31" s="308"/>
      <c r="C31" s="308"/>
      <c r="D31" s="308"/>
      <c r="E31" s="308"/>
      <c r="F31" s="308"/>
      <c r="G31" s="308"/>
      <c r="H31" s="308"/>
      <c r="I31" s="308"/>
      <c r="J31" s="308"/>
      <c r="K31" s="308"/>
      <c r="L31" s="308"/>
      <c r="M31" s="308"/>
      <c r="N31" s="308"/>
      <c r="O31" s="308"/>
      <c r="P31" s="308"/>
      <c r="Q31" s="308"/>
      <c r="R31" s="308"/>
      <c r="S31" s="308"/>
      <c r="T31" s="308"/>
      <c r="U31" s="308"/>
      <c r="V31" s="308"/>
      <c r="W31" s="308"/>
      <c r="X31" s="308"/>
      <c r="Y31" s="509"/>
    </row>
    <row r="32" spans="1:25" ht="18.600000000000001" thickBot="1" x14ac:dyDescent="0.35">
      <c r="A32" s="43"/>
      <c r="B32" s="54"/>
      <c r="C32" s="54"/>
      <c r="D32" s="54"/>
      <c r="E32" s="54"/>
      <c r="F32" s="54"/>
      <c r="G32" s="54"/>
      <c r="H32" s="54"/>
      <c r="I32" s="54"/>
      <c r="J32" s="54"/>
      <c r="K32" s="54"/>
      <c r="L32" s="54"/>
      <c r="M32" s="54"/>
      <c r="N32" s="54"/>
      <c r="O32" s="54"/>
      <c r="P32" s="54"/>
      <c r="Q32" s="54"/>
      <c r="R32" s="54"/>
      <c r="S32" s="54"/>
      <c r="T32" s="54"/>
      <c r="U32" s="54"/>
      <c r="V32" s="54"/>
      <c r="W32" s="54"/>
      <c r="X32" s="54"/>
    </row>
    <row r="33" spans="1:25" s="45" customFormat="1" ht="18.600000000000001" thickBot="1" x14ac:dyDescent="0.35">
      <c r="A33" s="184" t="s">
        <v>20</v>
      </c>
      <c r="B33" s="149">
        <v>2020</v>
      </c>
      <c r="C33" s="147">
        <v>2021</v>
      </c>
      <c r="D33" s="147">
        <v>2022</v>
      </c>
      <c r="E33" s="147">
        <v>2023</v>
      </c>
      <c r="F33" s="150">
        <v>2024</v>
      </c>
      <c r="G33" s="239"/>
      <c r="H33" s="146">
        <v>2020</v>
      </c>
      <c r="I33" s="147">
        <v>2021</v>
      </c>
      <c r="J33" s="147">
        <v>2022</v>
      </c>
      <c r="K33" s="147">
        <v>2023</v>
      </c>
      <c r="L33" s="148">
        <v>2024</v>
      </c>
      <c r="M33" s="239"/>
      <c r="N33" s="149">
        <v>2020</v>
      </c>
      <c r="O33" s="147">
        <v>2021</v>
      </c>
      <c r="P33" s="147">
        <v>2022</v>
      </c>
      <c r="Q33" s="147">
        <v>2023</v>
      </c>
      <c r="R33" s="150">
        <v>2024</v>
      </c>
      <c r="S33" s="239"/>
      <c r="T33" s="146">
        <v>2020</v>
      </c>
      <c r="U33" s="147">
        <v>2021</v>
      </c>
      <c r="V33" s="147">
        <v>2022</v>
      </c>
      <c r="W33" s="147">
        <v>2023</v>
      </c>
      <c r="X33" s="150">
        <v>2024</v>
      </c>
      <c r="Y33" s="193"/>
    </row>
    <row r="34" spans="1:25" x14ac:dyDescent="0.3">
      <c r="A34" s="185" t="s">
        <v>325</v>
      </c>
      <c r="B34" s="154">
        <f t="shared" ref="B34:W34" si="21">B12*B37</f>
        <v>28331.79768</v>
      </c>
      <c r="C34" s="152">
        <f t="shared" si="21"/>
        <v>23152.746299999999</v>
      </c>
      <c r="D34" s="152">
        <f t="shared" si="21"/>
        <v>20448.539099999998</v>
      </c>
      <c r="E34" s="152">
        <f t="shared" si="21"/>
        <v>17541.428307999999</v>
      </c>
      <c r="F34" s="155">
        <f t="shared" si="21"/>
        <v>14290.468763999997</v>
      </c>
      <c r="G34" s="240"/>
      <c r="H34" s="151">
        <f t="shared" si="21"/>
        <v>13150.252457999999</v>
      </c>
      <c r="I34" s="152">
        <f t="shared" si="21"/>
        <v>15645.742054799997</v>
      </c>
      <c r="J34" s="152">
        <f t="shared" si="21"/>
        <v>17619.684272000002</v>
      </c>
      <c r="K34" s="152">
        <f t="shared" si="21"/>
        <v>18613.832048</v>
      </c>
      <c r="L34" s="153">
        <f t="shared" si="21"/>
        <v>30020.929380000001</v>
      </c>
      <c r="M34" s="240"/>
      <c r="N34" s="154">
        <f t="shared" si="21"/>
        <v>35029.805850719997</v>
      </c>
      <c r="O34" s="152">
        <f t="shared" si="21"/>
        <v>26414.245439999995</v>
      </c>
      <c r="P34" s="152">
        <f t="shared" si="21"/>
        <v>24138.473239999999</v>
      </c>
      <c r="Q34" s="152">
        <f t="shared" si="21"/>
        <v>23411.511216000003</v>
      </c>
      <c r="R34" s="155">
        <f t="shared" si="21"/>
        <v>21054.962038999998</v>
      </c>
      <c r="S34" s="240"/>
      <c r="T34" s="151">
        <f t="shared" si="21"/>
        <v>118240.69527000001</v>
      </c>
      <c r="U34" s="152">
        <f t="shared" si="21"/>
        <v>99273.779021659982</v>
      </c>
      <c r="V34" s="152">
        <f t="shared" si="21"/>
        <v>77675.312127240002</v>
      </c>
      <c r="W34" s="152">
        <f t="shared" si="21"/>
        <v>73201.007568639994</v>
      </c>
      <c r="X34" s="155">
        <f>X12*X37</f>
        <v>68873.762550320011</v>
      </c>
    </row>
    <row r="35" spans="1:25" x14ac:dyDescent="0.3">
      <c r="A35" s="186" t="s">
        <v>326</v>
      </c>
      <c r="B35" s="159">
        <f t="shared" ref="B35:X35" si="22">B13*B37</f>
        <v>9094.1572799999994</v>
      </c>
      <c r="C35" s="157">
        <f t="shared" si="22"/>
        <v>6570.3739500000011</v>
      </c>
      <c r="D35" s="157">
        <f t="shared" si="22"/>
        <v>5293.41615</v>
      </c>
      <c r="E35" s="157">
        <f t="shared" si="22"/>
        <v>3386.7114059999999</v>
      </c>
      <c r="F35" s="160">
        <f t="shared" si="22"/>
        <v>3097.9337879999994</v>
      </c>
      <c r="G35" s="241"/>
      <c r="H35" s="156">
        <f t="shared" si="22"/>
        <v>4174.6833200000001</v>
      </c>
      <c r="I35" s="157">
        <f t="shared" si="22"/>
        <v>3792.9071647999995</v>
      </c>
      <c r="J35" s="157">
        <f t="shared" si="22"/>
        <v>3836.5441560000008</v>
      </c>
      <c r="K35" s="157">
        <f t="shared" si="22"/>
        <v>5484.4326570000003</v>
      </c>
      <c r="L35" s="158">
        <f t="shared" si="22"/>
        <v>11033.33302</v>
      </c>
      <c r="M35" s="241"/>
      <c r="N35" s="159">
        <f t="shared" si="22"/>
        <v>8051.2053769799995</v>
      </c>
      <c r="O35" s="157">
        <f t="shared" si="22"/>
        <v>5576.3407039999993</v>
      </c>
      <c r="P35" s="157">
        <f t="shared" si="22"/>
        <v>4123.29792</v>
      </c>
      <c r="Q35" s="157">
        <f t="shared" si="22"/>
        <v>4552.238292</v>
      </c>
      <c r="R35" s="160">
        <f t="shared" si="22"/>
        <v>4917.0270629999995</v>
      </c>
      <c r="S35" s="241"/>
      <c r="T35" s="156">
        <f t="shared" si="22"/>
        <v>35614.667250000006</v>
      </c>
      <c r="U35" s="157">
        <f t="shared" si="22"/>
        <v>25506.109471560001</v>
      </c>
      <c r="V35" s="157">
        <f t="shared" si="22"/>
        <v>18720.309037860003</v>
      </c>
      <c r="W35" s="157">
        <f t="shared" si="22"/>
        <v>18627.042104520002</v>
      </c>
      <c r="X35" s="160">
        <f t="shared" si="22"/>
        <v>17786.081537720002</v>
      </c>
    </row>
    <row r="36" spans="1:25" x14ac:dyDescent="0.3">
      <c r="A36" s="186" t="s">
        <v>327</v>
      </c>
      <c r="B36" s="159">
        <f>'Balance Sheet-Banks'!B82+'Balance Sheet-Banks'!B83</f>
        <v>263343.31510000001</v>
      </c>
      <c r="C36" s="157">
        <f>'Balance Sheet-Banks'!C82+'Balance Sheet-Banks'!C83</f>
        <v>317310.02</v>
      </c>
      <c r="D36" s="157">
        <f>'Balance Sheet-Banks'!D82+'Balance Sheet-Banks'!D83</f>
        <v>369145.79</v>
      </c>
      <c r="E36" s="157">
        <f>'Balance Sheet-Banks'!E82+'Balance Sheet-Banks'!E83</f>
        <v>445719.88</v>
      </c>
      <c r="F36" s="160">
        <f>'Balance Sheet-Banks'!F82+'Balance Sheet-Banks'!F83</f>
        <v>458466.93000000005</v>
      </c>
      <c r="G36" s="241"/>
      <c r="H36" s="156">
        <f>'Balance Sheet-Banks'!G82+'Balance Sheet-Banks'!G83</f>
        <v>483535.95089999994</v>
      </c>
      <c r="I36" s="157">
        <f>'Balance Sheet-Banks'!H82+'Balance Sheet-Banks'!H83</f>
        <v>614568.71889999998</v>
      </c>
      <c r="J36" s="157">
        <f>'Balance Sheet-Banks'!I82+'Balance Sheet-Banks'!I83</f>
        <v>749942.43</v>
      </c>
      <c r="K36" s="157">
        <f>'Balance Sheet-Banks'!J82+'Balance Sheet-Banks'!J83</f>
        <v>835408.77</v>
      </c>
      <c r="L36" s="158">
        <f>'Balance Sheet-Banks'!K82+'Balance Sheet-Banks'!K83</f>
        <v>906520.3899999999</v>
      </c>
      <c r="M36" s="241"/>
      <c r="N36" s="159">
        <f>'Balance Sheet-Banks'!L82+'Balance Sheet-Banks'!L83</f>
        <v>359053.52989999996</v>
      </c>
      <c r="O36" s="157">
        <f>'Balance Sheet-Banks'!M82+'Balance Sheet-Banks'!M83</f>
        <v>431623.42790000001</v>
      </c>
      <c r="P36" s="157">
        <f>'Balance Sheet-Banks'!N82+'Balance Sheet-Banks'!N83</f>
        <v>518436.57380000001</v>
      </c>
      <c r="Q36" s="157">
        <f>'Balance Sheet-Banks'!O82+'Balance Sheet-Banks'!O83</f>
        <v>550662.6825</v>
      </c>
      <c r="R36" s="160">
        <f>'Balance Sheet-Banks'!P82+'Balance Sheet-Banks'!P83</f>
        <v>604907.22459999996</v>
      </c>
      <c r="S36" s="241"/>
      <c r="T36" s="156">
        <f>'Balance Sheet-Banks'!Q82+'Balance Sheet-Banks'!Q83</f>
        <v>1446211.3112000001</v>
      </c>
      <c r="U36" s="157">
        <f>'Balance Sheet-Banks'!R82+'Balance Sheet-Banks'!R83</f>
        <v>1686779.5035999999</v>
      </c>
      <c r="V36" s="157">
        <f>'Balance Sheet-Banks'!S82+'Balance Sheet-Banks'!S83</f>
        <v>1819711.9749</v>
      </c>
      <c r="W36" s="157">
        <f>'Balance Sheet-Banks'!T82+'Balance Sheet-Banks'!T83</f>
        <v>1906519.4391999999</v>
      </c>
      <c r="X36" s="160">
        <f>'Balance Sheet-Banks'!U82+'Balance Sheet-Banks'!U83</f>
        <v>1982929.8232</v>
      </c>
    </row>
    <row r="37" spans="1:25" x14ac:dyDescent="0.3">
      <c r="A37" s="187" t="s">
        <v>328</v>
      </c>
      <c r="B37" s="164">
        <f>'Balance Sheet-Banks'!B75</f>
        <v>582958.80000000005</v>
      </c>
      <c r="C37" s="162">
        <f>'Balance Sheet-Banks'!C75</f>
        <v>625749.9</v>
      </c>
      <c r="D37" s="162">
        <f>'Balance Sheet-Banks'!D75</f>
        <v>725125.5</v>
      </c>
      <c r="E37" s="162">
        <f>'Balance Sheet-Banks'!E75</f>
        <v>868387.54</v>
      </c>
      <c r="F37" s="165">
        <f>'Balance Sheet-Banks'!F75</f>
        <v>999333.47999999986</v>
      </c>
      <c r="G37" s="242"/>
      <c r="H37" s="161">
        <f>'Balance Sheet-Banks'!G75</f>
        <v>1043670.83</v>
      </c>
      <c r="I37" s="162">
        <f>'Balance Sheet-Banks'!H75</f>
        <v>1185283.4889999998</v>
      </c>
      <c r="J37" s="162">
        <f>'Balance Sheet-Banks'!I75</f>
        <v>1420942.2800000003</v>
      </c>
      <c r="K37" s="162">
        <f>'Balance Sheet-Banks'!J75</f>
        <v>1661949.29</v>
      </c>
      <c r="L37" s="163">
        <f>'Balance Sheet-Banks'!K75</f>
        <v>2565891.4</v>
      </c>
      <c r="M37" s="242"/>
      <c r="N37" s="164">
        <f>'Balance Sheet-Banks'!L75</f>
        <v>706246.08569999994</v>
      </c>
      <c r="O37" s="162">
        <f>'Balance Sheet-Banks'!M75</f>
        <v>733729.03999999992</v>
      </c>
      <c r="P37" s="162">
        <f>'Balance Sheet-Banks'!N75</f>
        <v>859020.4</v>
      </c>
      <c r="Q37" s="162">
        <f>'Balance Sheet-Banks'!O75</f>
        <v>1083866.26</v>
      </c>
      <c r="R37" s="165">
        <f>'Balance Sheet-Banks'!P75</f>
        <v>1260776.17</v>
      </c>
      <c r="S37" s="242"/>
      <c r="T37" s="161">
        <f>'Balance Sheet-Banks'!Q75</f>
        <v>2374311.1500000004</v>
      </c>
      <c r="U37" s="162">
        <f>'Balance Sheet-Banks'!R75</f>
        <v>2500598.9677999998</v>
      </c>
      <c r="V37" s="162">
        <f>'Balance Sheet-Banks'!S75</f>
        <v>2794075.9758000001</v>
      </c>
      <c r="W37" s="162">
        <f>'Balance Sheet-Banks'!T75</f>
        <v>3267902.1236</v>
      </c>
      <c r="X37" s="165">
        <f>'Balance Sheet-Banks'!U75</f>
        <v>3784272.6676000003</v>
      </c>
    </row>
    <row r="38" spans="1:25" ht="36" x14ac:dyDescent="0.3">
      <c r="A38" s="195" t="s">
        <v>342</v>
      </c>
      <c r="B38" s="169">
        <v>153367.16</v>
      </c>
      <c r="C38" s="167">
        <v>197825.03</v>
      </c>
      <c r="D38" s="167">
        <v>247519.05</v>
      </c>
      <c r="E38" s="167">
        <v>247980.92</v>
      </c>
      <c r="F38" s="170">
        <v>257647.25</v>
      </c>
      <c r="G38" s="243"/>
      <c r="H38" s="166">
        <v>281400.84000000003</v>
      </c>
      <c r="I38" s="167">
        <v>387444.92</v>
      </c>
      <c r="J38" s="167">
        <v>385997.51</v>
      </c>
      <c r="K38" s="167">
        <v>442566.92</v>
      </c>
      <c r="L38" s="168">
        <v>558424.93999999994</v>
      </c>
      <c r="M38" s="243"/>
      <c r="N38" s="169"/>
      <c r="O38" s="167">
        <v>276744.36</v>
      </c>
      <c r="P38" s="167">
        <v>319727.33</v>
      </c>
      <c r="Q38" s="167"/>
      <c r="R38" s="170"/>
      <c r="S38" s="243"/>
      <c r="T38" s="166"/>
      <c r="U38" s="167"/>
      <c r="V38" s="167"/>
      <c r="W38" s="167"/>
      <c r="X38" s="170"/>
    </row>
    <row r="39" spans="1:25" x14ac:dyDescent="0.3">
      <c r="A39" s="187" t="s">
        <v>341</v>
      </c>
      <c r="B39" s="182">
        <v>189609.74</v>
      </c>
      <c r="C39" s="180">
        <v>230451.26</v>
      </c>
      <c r="D39" s="180">
        <v>278879.21000000002</v>
      </c>
      <c r="E39" s="180">
        <v>274895.28000000003</v>
      </c>
      <c r="F39" s="183">
        <v>313933.95</v>
      </c>
      <c r="G39" s="244"/>
      <c r="H39" s="179">
        <v>324068.07</v>
      </c>
      <c r="I39" s="180">
        <v>393558.84</v>
      </c>
      <c r="J39" s="180">
        <v>471512.67</v>
      </c>
      <c r="K39" s="180">
        <v>534182.91</v>
      </c>
      <c r="L39" s="181">
        <v>697833.12</v>
      </c>
      <c r="M39" s="244"/>
      <c r="N39" s="182"/>
      <c r="O39" s="180">
        <v>245577.02</v>
      </c>
      <c r="P39" s="180">
        <v>288933.65000000002</v>
      </c>
      <c r="Q39" s="180"/>
      <c r="R39" s="183"/>
      <c r="S39" s="244"/>
      <c r="T39" s="179"/>
      <c r="U39" s="180"/>
      <c r="V39" s="180"/>
      <c r="W39" s="180"/>
      <c r="X39" s="183"/>
    </row>
    <row r="40" spans="1:25" ht="18.600000000000001" thickBot="1" x14ac:dyDescent="0.35">
      <c r="A40" s="196" t="s">
        <v>343</v>
      </c>
      <c r="B40" s="174">
        <v>26182.68</v>
      </c>
      <c r="C40" s="172">
        <v>28143.07</v>
      </c>
      <c r="D40" s="172">
        <v>49140.66</v>
      </c>
      <c r="E40" s="172">
        <v>30206.47</v>
      </c>
      <c r="F40" s="175">
        <v>44153.599999999999</v>
      </c>
      <c r="G40" s="245"/>
      <c r="H40" s="171">
        <v>7134.38</v>
      </c>
      <c r="I40" s="172">
        <v>10202.85</v>
      </c>
      <c r="J40" s="172">
        <v>26803.05</v>
      </c>
      <c r="K40" s="172">
        <v>20446.27</v>
      </c>
      <c r="L40" s="173">
        <v>49186.51</v>
      </c>
      <c r="M40" s="245"/>
      <c r="N40" s="174">
        <v>52000.624900000003</v>
      </c>
      <c r="O40" s="172">
        <f>37729.08+48875.2518</f>
        <v>86604.3318</v>
      </c>
      <c r="P40" s="172">
        <v>23314.467799999999</v>
      </c>
      <c r="Q40" s="172">
        <v>26891.7978</v>
      </c>
      <c r="R40" s="175">
        <v>39146.877099999998</v>
      </c>
      <c r="S40" s="245"/>
      <c r="T40" s="171">
        <v>89342.808699999994</v>
      </c>
      <c r="U40" s="172">
        <v>16897.664000000001</v>
      </c>
      <c r="V40" s="172">
        <v>10518.3</v>
      </c>
      <c r="W40" s="172">
        <v>2125</v>
      </c>
      <c r="X40" s="175">
        <v>14288.2</v>
      </c>
    </row>
    <row r="41" spans="1:25" x14ac:dyDescent="0.3">
      <c r="B41" s="177"/>
      <c r="C41" s="177"/>
      <c r="D41" s="177"/>
      <c r="E41" s="177"/>
      <c r="F41" s="177"/>
      <c r="G41" s="177"/>
      <c r="H41" s="177"/>
      <c r="I41" s="177"/>
      <c r="J41" s="177"/>
      <c r="K41" s="177"/>
      <c r="L41" s="177"/>
      <c r="M41" s="177"/>
      <c r="N41" s="177"/>
      <c r="O41" s="177"/>
      <c r="P41" s="177"/>
      <c r="Q41" s="177"/>
      <c r="R41" s="177"/>
      <c r="S41" s="177"/>
      <c r="T41" s="177"/>
      <c r="U41" s="177"/>
      <c r="V41" s="177"/>
      <c r="W41" s="177"/>
      <c r="X41" s="177"/>
    </row>
    <row r="42" spans="1:25" x14ac:dyDescent="0.3">
      <c r="A42" s="176" t="s">
        <v>548</v>
      </c>
      <c r="B42" s="177">
        <f>'Balance Sheet-Banks'!B79/'Balance Sheet-Banks'!B9</f>
        <v>10.732551553155973</v>
      </c>
      <c r="C42" s="177">
        <f>'Balance Sheet-Banks'!C79/'Balance Sheet-Banks'!C9</f>
        <v>9.6475777327090526</v>
      </c>
      <c r="D42" s="177">
        <f>'Balance Sheet-Banks'!D79/'Balance Sheet-Banks'!D9</f>
        <v>10.086974647156255</v>
      </c>
      <c r="E42" s="177">
        <f>'Balance Sheet-Banks'!E79/'Balance Sheet-Banks'!E9</f>
        <v>10.327765909148525</v>
      </c>
      <c r="F42" s="177">
        <f>'Balance Sheet-Banks'!F79/'Balance Sheet-Banks'!F9</f>
        <v>9.6382046782259554</v>
      </c>
      <c r="G42" s="177"/>
      <c r="H42" s="177">
        <f>'Balance Sheet-Banks'!G79/'Balance Sheet-Banks'!G9</f>
        <v>8.9344525482841668</v>
      </c>
      <c r="I42" s="177">
        <f>'Balance Sheet-Banks'!H79/'Balance Sheet-Banks'!H9</f>
        <v>8.5510426674327942</v>
      </c>
      <c r="J42" s="177">
        <f>'Balance Sheet-Banks'!I79/'Balance Sheet-Banks'!I9</f>
        <v>8.5580116041108099</v>
      </c>
      <c r="K42" s="177">
        <f>'Balance Sheet-Banks'!J79/'Balance Sheet-Banks'!J9</f>
        <v>8.7161666352506462</v>
      </c>
      <c r="L42" s="177">
        <f>'Balance Sheet-Banks'!K79/'Balance Sheet-Banks'!K9</f>
        <v>8.5789216900342318</v>
      </c>
      <c r="M42" s="177"/>
      <c r="N42" s="177">
        <f>'Balance Sheet-Banks'!L79/'Balance Sheet-Banks'!L9</f>
        <v>10.614575605680868</v>
      </c>
      <c r="O42" s="177">
        <f>'Balance Sheet-Banks'!M79/'Balance Sheet-Banks'!M9</f>
        <v>8.3413964473261935</v>
      </c>
      <c r="P42" s="177">
        <f>'Balance Sheet-Banks'!N79/'Balance Sheet-Banks'!N9</f>
        <v>8.2768248045474362</v>
      </c>
      <c r="Q42" s="177">
        <f>'Balance Sheet-Banks'!O79/'Balance Sheet-Banks'!O9</f>
        <v>8.8545542879763932</v>
      </c>
      <c r="R42" s="177">
        <f>'Balance Sheet-Banks'!P79/'Balance Sheet-Banks'!P9</f>
        <v>8.7547437116948501</v>
      </c>
      <c r="S42" s="177"/>
      <c r="T42" s="177">
        <f>'Balance Sheet-Banks'!Q79/'Balance Sheet-Banks'!Q9</f>
        <v>16.206287132157144</v>
      </c>
      <c r="U42" s="177">
        <f>'Balance Sheet-Banks'!R79/'Balance Sheet-Banks'!R9</f>
        <v>16.990994086836778</v>
      </c>
      <c r="V42" s="177">
        <f>'Balance Sheet-Banks'!S79/'Balance Sheet-Banks'!S9</f>
        <v>16.922222996819464</v>
      </c>
      <c r="W42" s="177">
        <f>'Balance Sheet-Banks'!T79/'Balance Sheet-Banks'!T9</f>
        <v>16.016492894007637</v>
      </c>
      <c r="X42" s="177">
        <f>'Balance Sheet-Banks'!U79/'Balance Sheet-Banks'!U9</f>
        <v>15.639686990667181</v>
      </c>
    </row>
    <row r="43" spans="1:25" x14ac:dyDescent="0.3">
      <c r="A43" s="176" t="s">
        <v>549</v>
      </c>
      <c r="B43" s="177">
        <f>'Balance Sheet-Banks'!B13/('Income Statement-Banks'!B5-'Income Statement-Banks'!B9)</f>
        <v>24.967484119201831</v>
      </c>
      <c r="C43" s="177">
        <f>'Balance Sheet-Banks'!C13/('Income Statement-Banks'!C5-'Income Statement-Banks'!C9)</f>
        <v>23.456603934567639</v>
      </c>
      <c r="D43" s="177">
        <f>'Balance Sheet-Banks'!D13/('Income Statement-Banks'!D5-'Income Statement-Banks'!D9)</f>
        <v>24.199053160944956</v>
      </c>
      <c r="E43" s="177">
        <f>'Balance Sheet-Banks'!E13/('Income Statement-Banks'!E5-'Income Statement-Banks'!E9)</f>
        <v>21.467123566872043</v>
      </c>
      <c r="F43" s="177">
        <f>'Balance Sheet-Banks'!F13/('Income Statement-Banks'!F5-'Income Statement-Banks'!F9)</f>
        <v>20.773554746107084</v>
      </c>
      <c r="G43" s="177"/>
      <c r="H43" s="177">
        <f>'Balance Sheet-Banks'!G13/('Income Statement-Banks'!G5-'Income Statement-Banks'!G9)</f>
        <v>19.086951528881535</v>
      </c>
      <c r="I43" s="177">
        <f>'Balance Sheet-Banks'!H13/('Income Statement-Banks'!H5-'Income Statement-Banks'!H9)</f>
        <v>19.24427474181757</v>
      </c>
      <c r="J43" s="177">
        <f>'Balance Sheet-Banks'!I13/('Income Statement-Banks'!I5-'Income Statement-Banks'!I9)</f>
        <v>20.141708277269338</v>
      </c>
      <c r="K43" s="177">
        <f>'Balance Sheet-Banks'!J13/('Income Statement-Banks'!J5-'Income Statement-Banks'!J9)</f>
        <v>20.249328011851905</v>
      </c>
      <c r="L43" s="177">
        <f>'Balance Sheet-Banks'!K13/('Income Statement-Banks'!K5-'Income Statement-Banks'!K9)</f>
        <v>18.352858112552592</v>
      </c>
      <c r="M43" s="177"/>
      <c r="N43" s="177">
        <f>'Balance Sheet-Banks'!L13/('Income Statement-Banks'!L5-'Income Statement-Banks'!L9)</f>
        <v>19.934763514097849</v>
      </c>
      <c r="O43" s="177">
        <f>'Balance Sheet-Banks'!M13/('Income Statement-Banks'!M5-'Income Statement-Banks'!M9)</f>
        <v>23.917304353967332</v>
      </c>
      <c r="P43" s="177">
        <f>'Balance Sheet-Banks'!N13/('Income Statement-Banks'!N5-'Income Statement-Banks'!N9)</f>
        <v>22.42804303185298</v>
      </c>
      <c r="Q43" s="177">
        <f>'Balance Sheet-Banks'!O13/('Income Statement-Banks'!O5-'Income Statement-Banks'!O9)</f>
        <v>17.169219918411248</v>
      </c>
      <c r="R43" s="177">
        <f>'Balance Sheet-Banks'!P13/('Income Statement-Banks'!P5-'Income Statement-Banks'!P9)</f>
        <v>16.902210030382193</v>
      </c>
      <c r="S43" s="177"/>
      <c r="T43" s="177">
        <f>'Balance Sheet-Banks'!Q13/('Income Statement-Banks'!Q5-'Income Statement-Banks'!Q9)</f>
        <v>30.113357045515937</v>
      </c>
      <c r="U43" s="177">
        <f>'Balance Sheet-Banks'!R13/('Income Statement-Banks'!R5-'Income Statement-Banks'!R9)</f>
        <v>30.427270052145214</v>
      </c>
      <c r="V43" s="177">
        <f>'Balance Sheet-Banks'!S13/('Income Statement-Banks'!S5-'Income Statement-Banks'!S9)</f>
        <v>30.553604859711598</v>
      </c>
      <c r="W43" s="177">
        <f>'Balance Sheet-Banks'!T13/('Income Statement-Banks'!T5-'Income Statement-Banks'!T9)</f>
        <v>27.778384612876703</v>
      </c>
      <c r="X43" s="177">
        <f>'Balance Sheet-Banks'!U13/('Income Statement-Banks'!U5-'Income Statement-Banks'!U9)</f>
        <v>27.676061692107989</v>
      </c>
    </row>
    <row r="44" spans="1:25" x14ac:dyDescent="0.3">
      <c r="A44" s="176" t="s">
        <v>550</v>
      </c>
      <c r="B44" s="177">
        <f>'Balance Sheet-Banks'!B84/'Balance Sheet-Banks'!B9</f>
        <v>7.0618735033220563</v>
      </c>
      <c r="C44" s="177">
        <f>'Balance Sheet-Banks'!C84/'Balance Sheet-Banks'!C9</f>
        <v>6.1277693534918711</v>
      </c>
      <c r="D44" s="177">
        <f>'Balance Sheet-Banks'!D84/'Balance Sheet-Banks'!D9</f>
        <v>6.086261952526792</v>
      </c>
      <c r="E44" s="177">
        <f>'Balance Sheet-Banks'!E84/'Balance Sheet-Banks'!E9</f>
        <v>6.5399219973712333</v>
      </c>
      <c r="F44" s="177">
        <f>'Balance Sheet-Banks'!F84/'Balance Sheet-Banks'!F9</f>
        <v>6.5978508783735403</v>
      </c>
      <c r="G44" s="177"/>
      <c r="H44" s="177">
        <f>'Balance Sheet-Banks'!G84/'Balance Sheet-Banks'!G9</f>
        <v>5.6219170021046665</v>
      </c>
      <c r="I44" s="177">
        <f>'Balance Sheet-Banks'!H84/'Balance Sheet-Banks'!H9</f>
        <v>5.3750621427356977</v>
      </c>
      <c r="J44" s="177">
        <f>'Balance Sheet-Banks'!I84/'Balance Sheet-Banks'!I9</f>
        <v>5.4566801525745694</v>
      </c>
      <c r="K44" s="177">
        <f>'Balance Sheet-Banks'!J84/'Balance Sheet-Banks'!J9</f>
        <v>5.4655432408434699</v>
      </c>
      <c r="L44" s="177">
        <f>'Balance Sheet-Banks'!K84/'Balance Sheet-Banks'!K9</f>
        <v>5.2535977528991582</v>
      </c>
      <c r="M44" s="177"/>
      <c r="N44" s="177">
        <f>'Balance Sheet-Banks'!L84/'Balance Sheet-Banks'!L9</f>
        <v>0</v>
      </c>
      <c r="O44" s="177">
        <f>'Balance Sheet-Banks'!M84/'Balance Sheet-Banks'!M9</f>
        <v>5.9900746516250711</v>
      </c>
      <c r="P44" s="177">
        <f>'Balance Sheet-Banks'!N84/'Balance Sheet-Banks'!N9</f>
        <v>4.6061285085222172</v>
      </c>
      <c r="Q44" s="177">
        <f>'Balance Sheet-Banks'!O84/'Balance Sheet-Banks'!O9</f>
        <v>0</v>
      </c>
      <c r="R44" s="177">
        <f>'Balance Sheet-Banks'!P84/'Balance Sheet-Banks'!P9</f>
        <v>0</v>
      </c>
      <c r="S44" s="177"/>
      <c r="T44" s="177">
        <f>'Balance Sheet-Banks'!Q84/'Balance Sheet-Banks'!Q9</f>
        <v>8.4508516356932635</v>
      </c>
      <c r="U44" s="177">
        <f>'Balance Sheet-Banks'!R84/'Balance Sheet-Banks'!R9</f>
        <v>8.2510500987666138</v>
      </c>
      <c r="V44" s="177">
        <f>'Balance Sheet-Banks'!S84/'Balance Sheet-Banks'!S9</f>
        <v>8.2353547301467014</v>
      </c>
      <c r="W44" s="177">
        <f>'Balance Sheet-Banks'!T84/'Balance Sheet-Banks'!T9</f>
        <v>7.9126728847394903</v>
      </c>
      <c r="X44" s="177">
        <f>'Balance Sheet-Banks'!U84/'Balance Sheet-Banks'!U9</f>
        <v>7.9513602527032816</v>
      </c>
    </row>
    <row r="45" spans="1:25" s="523" customFormat="1" x14ac:dyDescent="0.3">
      <c r="A45" s="176" t="s">
        <v>551</v>
      </c>
      <c r="B45" s="522">
        <f>'Income Statement-Banks'!B9/'Balance Sheet-Banks'!B13</f>
        <v>5.9169219001204067E-2</v>
      </c>
      <c r="C45" s="522">
        <f>'Income Statement-Banks'!C9/'Balance Sheet-Banks'!C13</f>
        <v>4.9587927228628648E-2</v>
      </c>
      <c r="D45" s="522">
        <f>'Income Statement-Banks'!D9/'Balance Sheet-Banks'!D13</f>
        <v>4.2541183599513012E-2</v>
      </c>
      <c r="E45" s="522">
        <f>'Income Statement-Banks'!E9/'Balance Sheet-Banks'!E13</f>
        <v>4.5874408949683622E-2</v>
      </c>
      <c r="F45" s="522">
        <f>'Income Statement-Banks'!F9/'Balance Sheet-Banks'!F13</f>
        <v>5.7530317615254158E-2</v>
      </c>
      <c r="G45" s="177"/>
      <c r="H45" s="522">
        <f>'Income Statement-Banks'!G9/'Balance Sheet-Banks'!G13</f>
        <v>5.4211337526752251E-2</v>
      </c>
      <c r="I45" s="522">
        <f>'Income Statement-Banks'!H9/'Balance Sheet-Banks'!H13</f>
        <v>4.4422773334873288E-2</v>
      </c>
      <c r="J45" s="522">
        <f>'Income Statement-Banks'!I9/'Balance Sheet-Banks'!I13</f>
        <v>3.7602192596506052E-2</v>
      </c>
      <c r="K45" s="522">
        <f>'Income Statement-Banks'!J9/'Balance Sheet-Banks'!J13</f>
        <v>4.1313782483404823E-2</v>
      </c>
      <c r="L45" s="522">
        <f>'Income Statement-Banks'!K9/'Balance Sheet-Banks'!K13</f>
        <v>6.4848910294138987E-2</v>
      </c>
      <c r="M45" s="177"/>
      <c r="N45" s="522">
        <f>'Income Statement-Banks'!L9/'Balance Sheet-Banks'!L13</f>
        <v>5.5777209709803932E-2</v>
      </c>
      <c r="O45" s="522">
        <f>'Income Statement-Banks'!M9/'Balance Sheet-Banks'!M13</f>
        <v>4.3032583622812599E-2</v>
      </c>
      <c r="P45" s="522">
        <f>'Income Statement-Banks'!N9/'Balance Sheet-Banks'!N13</f>
        <v>3.6548457928537101E-2</v>
      </c>
      <c r="Q45" s="522">
        <f>'Income Statement-Banks'!O9/'Balance Sheet-Banks'!O13</f>
        <v>4.1742687718877368E-2</v>
      </c>
      <c r="R45" s="522">
        <f>'Income Statement-Banks'!P9/'Balance Sheet-Banks'!P13</f>
        <v>5.1336376079041388E-2</v>
      </c>
      <c r="S45" s="177"/>
      <c r="T45" s="522">
        <f>'Income Statement-Banks'!Q9/'Balance Sheet-Banks'!Q13</f>
        <v>4.9210719262791448E-2</v>
      </c>
      <c r="U45" s="522">
        <f>'Income Statement-Banks'!R9/'Balance Sheet-Banks'!R13</f>
        <v>4.1990917482746214E-2</v>
      </c>
      <c r="V45" s="522">
        <f>'Income Statement-Banks'!S9/'Balance Sheet-Banks'!S13</f>
        <v>3.8213519387310359E-2</v>
      </c>
      <c r="W45" s="522">
        <f>'Income Statement-Banks'!T9/'Balance Sheet-Banks'!T13</f>
        <v>4.251523057725564E-2</v>
      </c>
      <c r="X45" s="522">
        <f>'Income Statement-Banks'!U9/'Balance Sheet-Banks'!U13</f>
        <v>5.2297209005049555E-2</v>
      </c>
      <c r="Y45" s="522"/>
    </row>
    <row r="46" spans="1:25" x14ac:dyDescent="0.3">
      <c r="B46" s="177"/>
      <c r="C46" s="177"/>
      <c r="D46" s="177"/>
      <c r="E46" s="177"/>
      <c r="F46" s="177"/>
      <c r="G46" s="177"/>
      <c r="H46" s="177"/>
      <c r="I46" s="177"/>
      <c r="J46" s="177"/>
      <c r="K46" s="177"/>
      <c r="L46" s="177"/>
      <c r="M46" s="177"/>
      <c r="N46" s="177"/>
      <c r="O46" s="177"/>
      <c r="P46" s="177"/>
      <c r="Q46" s="177"/>
      <c r="R46" s="177"/>
      <c r="S46" s="177"/>
      <c r="T46" s="177"/>
      <c r="U46" s="177"/>
      <c r="V46" s="177"/>
      <c r="W46" s="177"/>
      <c r="X46" s="177"/>
    </row>
    <row r="47" spans="1:25" x14ac:dyDescent="0.3">
      <c r="B47" s="177"/>
      <c r="C47" s="177"/>
      <c r="D47" s="177"/>
      <c r="E47" s="177"/>
      <c r="F47" s="177"/>
      <c r="G47" s="177"/>
      <c r="H47" s="177"/>
      <c r="I47" s="177"/>
      <c r="J47" s="177"/>
      <c r="K47" s="177"/>
      <c r="L47" s="177"/>
      <c r="M47" s="177"/>
      <c r="N47" s="177"/>
      <c r="O47" s="177"/>
      <c r="P47" s="177"/>
      <c r="Q47" s="177"/>
      <c r="R47" s="177"/>
      <c r="S47" s="177"/>
      <c r="T47" s="177"/>
      <c r="U47" s="177"/>
      <c r="V47" s="177"/>
      <c r="W47" s="177"/>
      <c r="X47" s="177"/>
    </row>
    <row r="48" spans="1:25" x14ac:dyDescent="0.3">
      <c r="B48" s="177"/>
      <c r="C48" s="177"/>
      <c r="D48" s="177"/>
      <c r="E48" s="177"/>
      <c r="F48" s="177"/>
      <c r="G48" s="177"/>
      <c r="H48" s="177"/>
      <c r="I48" s="177"/>
      <c r="J48" s="177"/>
      <c r="K48" s="177"/>
      <c r="L48" s="177"/>
      <c r="M48" s="177"/>
      <c r="N48" s="177"/>
      <c r="O48" s="177"/>
      <c r="P48" s="177"/>
      <c r="Q48" s="177"/>
      <c r="R48" s="177"/>
      <c r="S48" s="177"/>
      <c r="T48" s="177"/>
      <c r="U48" s="177"/>
      <c r="V48" s="177"/>
      <c r="W48" s="177"/>
      <c r="X48" s="177"/>
    </row>
    <row r="49" spans="2:24" x14ac:dyDescent="0.3">
      <c r="B49" s="177"/>
      <c r="C49" s="177"/>
      <c r="D49" s="177"/>
      <c r="E49" s="177"/>
      <c r="F49" s="177"/>
      <c r="G49" s="177"/>
      <c r="H49" s="177"/>
      <c r="I49" s="177"/>
      <c r="J49" s="177"/>
      <c r="K49" s="177"/>
      <c r="L49" s="177"/>
      <c r="M49" s="177"/>
      <c r="N49" s="177"/>
      <c r="O49" s="177"/>
      <c r="P49" s="177"/>
      <c r="Q49" s="177"/>
      <c r="R49" s="177"/>
      <c r="S49" s="177"/>
      <c r="T49" s="177"/>
      <c r="U49" s="177"/>
      <c r="V49" s="177"/>
      <c r="W49" s="177"/>
      <c r="X49" s="177"/>
    </row>
    <row r="50" spans="2:24" x14ac:dyDescent="0.3">
      <c r="B50" s="177"/>
      <c r="C50" s="177"/>
      <c r="D50" s="177"/>
      <c r="E50" s="177"/>
      <c r="F50" s="177"/>
      <c r="G50" s="177"/>
      <c r="H50" s="177"/>
      <c r="I50" s="177"/>
      <c r="J50" s="177"/>
      <c r="K50" s="177"/>
      <c r="L50" s="177"/>
      <c r="M50" s="177"/>
      <c r="N50" s="177"/>
      <c r="O50" s="177"/>
      <c r="P50" s="177"/>
      <c r="Q50" s="177"/>
      <c r="R50" s="177"/>
      <c r="S50" s="177"/>
      <c r="T50" s="177"/>
      <c r="U50" s="177"/>
      <c r="V50" s="177"/>
      <c r="W50" s="177"/>
      <c r="X50" s="177"/>
    </row>
    <row r="51" spans="2:24" x14ac:dyDescent="0.3">
      <c r="B51" s="177"/>
      <c r="C51" s="177"/>
      <c r="D51" s="177"/>
      <c r="E51" s="177"/>
      <c r="F51" s="177"/>
      <c r="G51" s="177"/>
      <c r="H51" s="177"/>
      <c r="I51" s="177"/>
      <c r="J51" s="177"/>
      <c r="K51" s="177"/>
      <c r="L51" s="177"/>
      <c r="M51" s="177"/>
      <c r="N51" s="177"/>
      <c r="O51" s="177"/>
      <c r="P51" s="177"/>
      <c r="Q51" s="177"/>
      <c r="R51" s="177"/>
      <c r="S51" s="177"/>
      <c r="T51" s="177"/>
      <c r="U51" s="177"/>
      <c r="V51" s="177"/>
      <c r="W51" s="177"/>
      <c r="X51" s="177"/>
    </row>
    <row r="52" spans="2:24" x14ac:dyDescent="0.3">
      <c r="B52" s="177"/>
      <c r="C52" s="177"/>
      <c r="D52" s="177"/>
      <c r="E52" s="177"/>
      <c r="F52" s="177"/>
      <c r="G52" s="177"/>
      <c r="H52" s="177"/>
      <c r="I52" s="177"/>
      <c r="J52" s="177"/>
      <c r="K52" s="177"/>
      <c r="L52" s="177"/>
      <c r="M52" s="177"/>
      <c r="N52" s="177"/>
      <c r="O52" s="177"/>
      <c r="P52" s="177"/>
      <c r="Q52" s="177"/>
      <c r="R52" s="177"/>
      <c r="S52" s="177"/>
      <c r="T52" s="177"/>
      <c r="U52" s="177"/>
      <c r="V52" s="177"/>
      <c r="W52" s="177"/>
      <c r="X52" s="177"/>
    </row>
    <row r="53" spans="2:24" x14ac:dyDescent="0.3">
      <c r="B53" s="177"/>
      <c r="C53" s="177"/>
      <c r="D53" s="177"/>
      <c r="E53" s="177"/>
      <c r="F53" s="177"/>
      <c r="G53" s="177"/>
      <c r="H53" s="177"/>
      <c r="I53" s="177"/>
      <c r="J53" s="177"/>
      <c r="K53" s="177"/>
      <c r="L53" s="177"/>
      <c r="M53" s="177"/>
      <c r="N53" s="177"/>
      <c r="O53" s="177"/>
      <c r="P53" s="177"/>
      <c r="Q53" s="177"/>
      <c r="R53" s="177"/>
      <c r="S53" s="177"/>
      <c r="T53" s="177"/>
      <c r="U53" s="177"/>
      <c r="V53" s="177"/>
      <c r="W53" s="177"/>
      <c r="X53" s="177"/>
    </row>
    <row r="54" spans="2:24" x14ac:dyDescent="0.3">
      <c r="B54" s="177"/>
      <c r="C54" s="177"/>
      <c r="D54" s="177"/>
      <c r="E54" s="177"/>
      <c r="F54" s="177"/>
      <c r="G54" s="177"/>
      <c r="H54" s="177"/>
      <c r="I54" s="177"/>
      <c r="J54" s="177"/>
      <c r="K54" s="177"/>
      <c r="L54" s="177"/>
      <c r="M54" s="177"/>
      <c r="N54" s="177"/>
      <c r="O54" s="177"/>
      <c r="P54" s="177"/>
      <c r="Q54" s="177"/>
      <c r="R54" s="177"/>
      <c r="S54" s="177"/>
      <c r="T54" s="177"/>
      <c r="U54" s="177"/>
      <c r="V54" s="177"/>
      <c r="W54" s="177"/>
      <c r="X54" s="177"/>
    </row>
    <row r="55" spans="2:24" x14ac:dyDescent="0.3">
      <c r="B55" s="177"/>
      <c r="C55" s="177"/>
      <c r="D55" s="177"/>
      <c r="E55" s="177"/>
      <c r="F55" s="177"/>
      <c r="G55" s="177"/>
      <c r="H55" s="177"/>
      <c r="I55" s="177"/>
      <c r="J55" s="177"/>
      <c r="K55" s="177"/>
      <c r="L55" s="177"/>
      <c r="M55" s="177"/>
      <c r="N55" s="177"/>
      <c r="O55" s="177"/>
      <c r="P55" s="177"/>
      <c r="Q55" s="177"/>
      <c r="R55" s="177"/>
      <c r="S55" s="177"/>
      <c r="T55" s="177"/>
      <c r="U55" s="177"/>
      <c r="V55" s="177"/>
      <c r="W55" s="177"/>
      <c r="X55" s="177"/>
    </row>
  </sheetData>
  <mergeCells count="12">
    <mergeCell ref="A23:Y23"/>
    <mergeCell ref="A26:Y26"/>
    <mergeCell ref="A1:Y1"/>
    <mergeCell ref="A4:Y4"/>
    <mergeCell ref="A11:Y11"/>
    <mergeCell ref="A15:Y15"/>
    <mergeCell ref="A19:Y19"/>
    <mergeCell ref="A2:A3"/>
    <mergeCell ref="H2:M2"/>
    <mergeCell ref="B2:G2"/>
    <mergeCell ref="N2:S2"/>
    <mergeCell ref="T2:Y2"/>
  </mergeCells>
  <conditionalFormatting sqref="B6:F6 H6:L6 N6:R6 T6:X6">
    <cfRule type="colorScale" priority="17">
      <colorScale>
        <cfvo type="num" val="7.4999999999999997E-3"/>
        <cfvo type="num" val="0.01"/>
        <color rgb="FFFFEF9C"/>
        <color rgb="FF63BE7B"/>
      </colorScale>
    </cfRule>
  </conditionalFormatting>
  <conditionalFormatting sqref="B7:F7 H7:L7 N7:R7 T7:X7">
    <cfRule type="colorScale" priority="26">
      <colorScale>
        <cfvo type="min"/>
        <cfvo type="max"/>
        <color rgb="FFFFEF9C"/>
        <color rgb="FF63BE7B"/>
      </colorScale>
    </cfRule>
    <cfRule type="colorScale" priority="27">
      <colorScale>
        <cfvo type="formula" val="&quot;&lt;10%&quot;"/>
        <cfvo type="percent" val="15"/>
        <cfvo type="formula" val="&quot;&gt;20%&quot;"/>
        <color rgb="FFF8696B"/>
        <color rgb="FFFFEB84"/>
        <color rgb="FF63BE7B"/>
      </colorScale>
    </cfRule>
  </conditionalFormatting>
  <conditionalFormatting sqref="B8:F8 H8:L8 N8:R8 T8:X8">
    <cfRule type="colorScale" priority="21">
      <colorScale>
        <cfvo type="num" val="0.4"/>
        <cfvo type="num" val="0.5"/>
        <cfvo type="num" val="0.6"/>
        <color rgb="FF63BE7B"/>
        <color rgb="FFFFEB84"/>
        <color rgb="FFF8696B"/>
      </colorScale>
    </cfRule>
  </conditionalFormatting>
  <conditionalFormatting sqref="B9:F10 H9:L10 N9:R10 T9:X10">
    <cfRule type="colorScale" priority="6">
      <colorScale>
        <cfvo type="min"/>
        <cfvo type="max"/>
        <color rgb="FFFFEF9C"/>
        <color rgb="FF63BE7B"/>
      </colorScale>
    </cfRule>
    <cfRule type="colorScale" priority="20">
      <colorScale>
        <cfvo type="num" val="0.2"/>
        <cfvo type="num" val="0.3"/>
        <cfvo type="num" val="0.4"/>
        <color rgb="FFF8696B"/>
        <color rgb="FFFFEB84"/>
        <color rgb="FF63BE7B"/>
      </colorScale>
    </cfRule>
  </conditionalFormatting>
  <conditionalFormatting sqref="B13:F13 H13:L13 N13:R13 T13:X13">
    <cfRule type="colorScale" priority="7">
      <colorScale>
        <cfvo type="min"/>
        <cfvo type="max"/>
        <color rgb="FF63BE7B"/>
        <color rgb="FFFFEF9C"/>
      </colorScale>
    </cfRule>
  </conditionalFormatting>
  <conditionalFormatting sqref="B14:F14 H14:L14 N14:R14 T14:X14">
    <cfRule type="colorScale" priority="18">
      <colorScale>
        <cfvo type="num" val="0.5"/>
        <cfvo type="num" val="0.65"/>
        <cfvo type="num" val="0.8"/>
        <color rgb="FFFF2F2F"/>
        <color rgb="FFFFEB84"/>
        <color rgb="FF63BE7B"/>
      </colorScale>
    </cfRule>
  </conditionalFormatting>
  <conditionalFormatting sqref="B17:F17 H17:L17 N17:R17 T17">
    <cfRule type="colorScale" priority="14">
      <colorScale>
        <cfvo type="num" val="9.5000000000000001E-2"/>
        <cfvo type="num" val="0.125"/>
        <color rgb="FFFFEF9C"/>
        <color rgb="FF63BE7B"/>
      </colorScale>
    </cfRule>
  </conditionalFormatting>
  <conditionalFormatting sqref="B17:F18 H17:L18 N17:R18 T17:X18">
    <cfRule type="colorScale" priority="13">
      <colorScale>
        <cfvo type="num" val="0.06"/>
        <cfvo type="num" val="0.1"/>
        <color rgb="FFFFEF9C"/>
        <color rgb="FF63BE7B"/>
      </colorScale>
    </cfRule>
  </conditionalFormatting>
  <conditionalFormatting sqref="B21:F21 H21:L21 N21:R21 T21:X21">
    <cfRule type="colorScale" priority="11">
      <colorScale>
        <cfvo type="num" val="0.3"/>
        <cfvo type="num" val="0.5"/>
        <color rgb="FFFFEF9C"/>
        <color rgb="FF63BE7B"/>
      </colorScale>
    </cfRule>
  </conditionalFormatting>
  <conditionalFormatting sqref="B22:F22 H22:L22 N22:R22 T22:X22">
    <cfRule type="colorScale" priority="10">
      <colorScale>
        <cfvo type="num" val="1"/>
        <cfvo type="num" val="1.2"/>
        <color rgb="FFFFEF9C"/>
        <color rgb="FF63BE7B"/>
      </colorScale>
    </cfRule>
  </conditionalFormatting>
  <conditionalFormatting sqref="B25:F25 H25:L25 N25:R25 T25:X25">
    <cfRule type="colorScale" priority="8">
      <colorScale>
        <cfvo type="min"/>
        <cfvo type="max"/>
        <color rgb="FFFFEF9C"/>
        <color rgb="FF63BE7B"/>
      </colorScale>
    </cfRule>
  </conditionalFormatting>
  <conditionalFormatting sqref="B28:F28 H28:L28 N28:R28 T28:X28">
    <cfRule type="colorScale" priority="3">
      <colorScale>
        <cfvo type="num" val="0.8"/>
        <cfvo type="num" val="1.5"/>
        <color rgb="FFFFEF9C"/>
        <color rgb="FF63BE7B"/>
      </colorScale>
    </cfRule>
  </conditionalFormatting>
  <conditionalFormatting sqref="B29:F29 H29:L29 N29:R29 T29:X29">
    <cfRule type="colorScale" priority="2">
      <colorScale>
        <cfvo type="min"/>
        <cfvo type="max"/>
        <color rgb="FFFFEF9C"/>
        <color rgb="FF63BE7B"/>
      </colorScale>
    </cfRule>
  </conditionalFormatting>
  <conditionalFormatting sqref="B30:F30 H30:L30 N30:R30 T30:X30">
    <cfRule type="colorScale" priority="1">
      <colorScale>
        <cfvo type="min"/>
        <cfvo type="max"/>
        <color rgb="FFFFEF9C"/>
        <color rgb="FF63BE7B"/>
      </colorScale>
    </cfRule>
  </conditionalFormatting>
  <conditionalFormatting sqref="B5:X5 G6:G10 M6:M10 S6:S10">
    <cfRule type="colorScale" priority="16">
      <colorScale>
        <cfvo type="num" val="2.5000000000000001E-2"/>
        <cfvo type="num" val="4.4999999999999998E-2"/>
        <color rgb="FFFFEF9C"/>
        <color rgb="FF63BE7B"/>
      </colorScale>
    </cfRule>
  </conditionalFormatting>
  <conditionalFormatting sqref="B16:X16 G17:G18 M17:M18 S17:S18">
    <cfRule type="colorScale" priority="15">
      <colorScale>
        <cfvo type="num" val="0.115"/>
        <cfvo type="num" val="0.15"/>
        <color rgb="FFFFEF9C"/>
        <color rgb="FF63BE7B"/>
      </colorScale>
    </cfRule>
  </conditionalFormatting>
  <conditionalFormatting sqref="B20:X20 G21:G22 M21:M22 S21:S22">
    <cfRule type="colorScale" priority="12">
      <colorScale>
        <cfvo type="num" val="0.6"/>
        <cfvo type="num" val="0.85"/>
        <color rgb="FFFFEF9C"/>
        <color rgb="FF63BE7B"/>
      </colorScale>
    </cfRule>
  </conditionalFormatting>
  <conditionalFormatting sqref="B24:X24 G25 M25 S25">
    <cfRule type="colorScale" priority="9">
      <colorScale>
        <cfvo type="min"/>
        <cfvo type="max"/>
        <color rgb="FF63BE7B"/>
        <color rgb="FFFFEF9C"/>
      </colorScale>
    </cfRule>
  </conditionalFormatting>
  <conditionalFormatting sqref="B27:X27 G28:G30 M28:M30 S28:S30">
    <cfRule type="colorScale" priority="4">
      <colorScale>
        <cfvo type="num" val="0.8"/>
        <cfvo type="num" val="1.2"/>
        <color rgb="FFFFEF9C"/>
        <color rgb="FF63BE7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2DA85-6795-49D1-99E1-62E84638DC8E}">
  <sheetPr>
    <tabColor rgb="FF0070C0"/>
  </sheetPr>
  <dimension ref="A1:U45"/>
  <sheetViews>
    <sheetView showGridLines="0" zoomScale="50" zoomScaleNormal="50" workbookViewId="0">
      <pane xSplit="1" topLeftCell="I1" activePane="topRight" state="frozen"/>
      <selection pane="topRight" activeCell="U11" sqref="U11"/>
    </sheetView>
  </sheetViews>
  <sheetFormatPr defaultRowHeight="14.4" x14ac:dyDescent="0.3"/>
  <cols>
    <col min="1" max="1" width="38" customWidth="1"/>
    <col min="2" max="6" width="13.6640625" bestFit="1" customWidth="1"/>
    <col min="7" max="16" width="15.109375" bestFit="1" customWidth="1"/>
  </cols>
  <sheetData>
    <row r="1" spans="1:21" s="43" customFormat="1" ht="46.2" customHeight="1" x14ac:dyDescent="0.3">
      <c r="B1" s="498" t="s">
        <v>298</v>
      </c>
      <c r="C1" s="498"/>
      <c r="D1" s="498"/>
      <c r="E1" s="498"/>
      <c r="F1" s="498"/>
      <c r="G1" s="498"/>
      <c r="H1" s="498"/>
      <c r="I1" s="498"/>
      <c r="J1" s="498"/>
      <c r="K1" s="498"/>
      <c r="L1" s="498"/>
      <c r="M1" s="498"/>
      <c r="N1" s="498"/>
      <c r="O1" s="498"/>
      <c r="P1" s="498"/>
    </row>
    <row r="2" spans="1:21" s="43" customFormat="1" ht="47.4" customHeight="1" thickBot="1" x14ac:dyDescent="0.35">
      <c r="A2" s="589" t="s">
        <v>20</v>
      </c>
      <c r="B2" s="590" t="e" vm="6">
        <v>#VALUE!</v>
      </c>
      <c r="C2" s="591"/>
      <c r="D2" s="591"/>
      <c r="E2" s="591"/>
      <c r="F2" s="592"/>
      <c r="G2" s="590" t="e" vm="16">
        <v>#VALUE!</v>
      </c>
      <c r="H2" s="591"/>
      <c r="I2" s="591"/>
      <c r="J2" s="591"/>
      <c r="K2" s="592"/>
      <c r="L2" s="590" t="e" vm="7">
        <v>#VALUE!</v>
      </c>
      <c r="M2" s="591"/>
      <c r="N2" s="591"/>
      <c r="O2" s="591"/>
      <c r="P2" s="592"/>
    </row>
    <row r="3" spans="1:21" s="43" customFormat="1" ht="15" thickBot="1" x14ac:dyDescent="0.35">
      <c r="A3" s="589"/>
      <c r="B3" s="76">
        <v>2020</v>
      </c>
      <c r="C3" s="77">
        <v>2021</v>
      </c>
      <c r="D3" s="77">
        <v>2022</v>
      </c>
      <c r="E3" s="77">
        <v>2023</v>
      </c>
      <c r="F3" s="78">
        <v>2024</v>
      </c>
      <c r="G3" s="76">
        <v>2020</v>
      </c>
      <c r="H3" s="77">
        <v>2021</v>
      </c>
      <c r="I3" s="77">
        <v>2022</v>
      </c>
      <c r="J3" s="77">
        <v>2023</v>
      </c>
      <c r="K3" s="78">
        <v>2024</v>
      </c>
      <c r="L3" s="76">
        <v>2020</v>
      </c>
      <c r="M3" s="77">
        <v>2021</v>
      </c>
      <c r="N3" s="77">
        <v>2022</v>
      </c>
      <c r="O3" s="77">
        <v>2023</v>
      </c>
      <c r="P3" s="78">
        <v>2024</v>
      </c>
    </row>
    <row r="4" spans="1:21" ht="21.6" thickBot="1" x14ac:dyDescent="0.35">
      <c r="A4" s="494" t="s">
        <v>299</v>
      </c>
      <c r="B4" s="495"/>
      <c r="C4" s="495"/>
      <c r="D4" s="495"/>
      <c r="E4" s="495"/>
      <c r="F4" s="495"/>
      <c r="G4" s="495"/>
      <c r="H4" s="495"/>
      <c r="I4" s="495"/>
      <c r="J4" s="495"/>
      <c r="K4" s="495"/>
      <c r="L4" s="495"/>
      <c r="M4" s="495"/>
      <c r="N4" s="495"/>
      <c r="O4" s="495"/>
      <c r="P4" s="496"/>
      <c r="Q4" s="188"/>
      <c r="R4" s="188"/>
      <c r="S4" s="188"/>
      <c r="T4" s="188"/>
      <c r="U4" s="188"/>
    </row>
    <row r="5" spans="1:21" ht="18" x14ac:dyDescent="0.3">
      <c r="A5" s="93" t="s">
        <v>300</v>
      </c>
      <c r="B5" s="97">
        <f>('Income Statement-NBFCs'!B6-'Income Statement-NBFCs'!B17)/('Balance Sheet-NBFCs'!B27+'Balance Sheet-NBFCs'!B28)</f>
        <v>2.2538474180891058E-2</v>
      </c>
      <c r="C5" s="98">
        <f>('Income Statement-NBFCs'!C6-'Income Statement-NBFCs'!C17)/('Balance Sheet-NBFCs'!C27+'Balance Sheet-NBFCs'!C28)</f>
        <v>2.4848330214889153E-2</v>
      </c>
      <c r="D5" s="98">
        <f>('Income Statement-NBFCs'!D6-'Income Statement-NBFCs'!D17)/('Balance Sheet-NBFCs'!D27+'Balance Sheet-NBFCs'!D28)</f>
        <v>2.7790290201159265E-2</v>
      </c>
      <c r="E5" s="98">
        <f>('Income Statement-NBFCs'!E6-'Income Statement-NBFCs'!E17)/('Balance Sheet-NBFCs'!E27+'Balance Sheet-NBFCs'!E28)</f>
        <v>3.2097425243469521E-2</v>
      </c>
      <c r="F5" s="107">
        <f>('Income Statement-NBFCs'!F6-'Income Statement-NBFCs'!F17)/('Balance Sheet-NBFCs'!F27+'Balance Sheet-NBFCs'!F28)</f>
        <v>3.0893291573587764E-2</v>
      </c>
      <c r="G5" s="97">
        <f>('Income Statement-NBFCs'!G6-'Income Statement-NBFCs'!G17)/('Balance Sheet-NBFCs'!G27+'Balance Sheet-NBFCs'!G28)</f>
        <v>8.4930683655513373E-2</v>
      </c>
      <c r="H5" s="98">
        <f>('Income Statement-NBFCs'!H6-'Income Statement-NBFCs'!H17)/('Balance Sheet-NBFCs'!H27+'Balance Sheet-NBFCs'!H28)</f>
        <v>8.4135340249659907E-2</v>
      </c>
      <c r="I5" s="98">
        <f>('Income Statement-NBFCs'!I6-'Income Statement-NBFCs'!I17)/('Balance Sheet-NBFCs'!I27+'Balance Sheet-NBFCs'!I28)</f>
        <v>8.6029479528994091E-2</v>
      </c>
      <c r="J5" s="98">
        <f>('Income Statement-NBFCs'!J6-'Income Statement-NBFCs'!J17)/('Balance Sheet-NBFCs'!J27+'Balance Sheet-NBFCs'!J28)</f>
        <v>8.6742937166773754E-2</v>
      </c>
      <c r="K5" s="99">
        <f>('Income Statement-NBFCs'!K6-'Income Statement-NBFCs'!K17)/('Balance Sheet-NBFCs'!K27+'Balance Sheet-NBFCs'!K28)</f>
        <v>8.2822132867073142E-2</v>
      </c>
      <c r="L5" s="100">
        <f>('Income Statement-NBFCs'!L6-'Income Statement-NBFCs'!L17)/('Balance Sheet-NBFCs'!L27+'Balance Sheet-NBFCs'!L28)</f>
        <v>0.13088292112909936</v>
      </c>
      <c r="M5" s="98">
        <f>('Income Statement-NBFCs'!M6-'Income Statement-NBFCs'!M17)/('Balance Sheet-NBFCs'!M27+'Balance Sheet-NBFCs'!M28)</f>
        <v>0.11923922011863398</v>
      </c>
      <c r="N5" s="98">
        <f>('Income Statement-NBFCs'!N6-'Income Statement-NBFCs'!N17)/('Balance Sheet-NBFCs'!N27+'Balance Sheet-NBFCs'!N28)</f>
        <v>0.11787989625868241</v>
      </c>
      <c r="O5" s="98">
        <f>('Income Statement-NBFCs'!O6-'Income Statement-NBFCs'!O17)/('Balance Sheet-NBFCs'!O27+'Balance Sheet-NBFCs'!O28)</f>
        <v>0.10332415022336962</v>
      </c>
      <c r="P5" s="99">
        <f>('Income Statement-NBFCs'!P6-'Income Statement-NBFCs'!P17)/('Balance Sheet-NBFCs'!P27+'Balance Sheet-NBFCs'!P28)</f>
        <v>0.10253835327550193</v>
      </c>
      <c r="Q5" s="189"/>
      <c r="R5" s="189"/>
      <c r="S5" s="189"/>
      <c r="T5" s="189"/>
      <c r="U5" s="189"/>
    </row>
    <row r="6" spans="1:21" ht="18" x14ac:dyDescent="0.3">
      <c r="A6" s="93" t="s">
        <v>301</v>
      </c>
      <c r="B6" s="101">
        <f>'Income Statement-NBFCs'!B33/'Balance Sheet-NBFCs'!B37</f>
        <v>1.3429948980665194E-2</v>
      </c>
      <c r="C6" s="103">
        <f>'Income Statement-NBFCs'!C33/'Balance Sheet-NBFCs'!C37</f>
        <v>1.1970975291488582E-2</v>
      </c>
      <c r="D6" s="103">
        <f>'Income Statement-NBFCs'!D33/'Balance Sheet-NBFCs'!D37</f>
        <v>1.4623175348691888E-2</v>
      </c>
      <c r="E6" s="103">
        <f>'Income Statement-NBFCs'!E33/'Balance Sheet-NBFCs'!E37</f>
        <v>1.9454283979339921E-2</v>
      </c>
      <c r="F6" s="108">
        <f>'Income Statement-NBFCs'!F33/'Balance Sheet-NBFCs'!F37</f>
        <v>2.1157052022746963E-2</v>
      </c>
      <c r="G6" s="101">
        <f>'Income Statement-NBFCs'!G33/'Balance Sheet-NBFCs'!G37</f>
        <v>3.2019624874468793E-2</v>
      </c>
      <c r="H6" s="103">
        <f>'Income Statement-NBFCs'!H33/'Balance Sheet-NBFCs'!H37</f>
        <v>2.577599399079961E-2</v>
      </c>
      <c r="I6" s="103">
        <f>'Income Statement-NBFCs'!I33/'Balance Sheet-NBFCs'!I37</f>
        <v>3.3073189306848563E-2</v>
      </c>
      <c r="J6" s="103">
        <f>'Income Statement-NBFCs'!J33/'Balance Sheet-NBFCs'!J37</f>
        <v>4.1811736675901344E-2</v>
      </c>
      <c r="K6" s="104">
        <f>'Income Statement-NBFCs'!K33/'Balance Sheet-NBFCs'!K37</f>
        <v>3.8460392010871702E-2</v>
      </c>
      <c r="L6" s="110">
        <f>'Income Statement-NBFCs'!L33/'Balance Sheet-NBFCs'!L37</f>
        <v>5.7736576343163752E-2</v>
      </c>
      <c r="M6" s="103">
        <f>'Income Statement-NBFCs'!M33/'Balance Sheet-NBFCs'!M37</f>
        <v>5.5635054832405516E-2</v>
      </c>
      <c r="N6" s="103">
        <f>'Income Statement-NBFCs'!N33/'Balance Sheet-NBFCs'!N37</f>
        <v>5.2823771706224286E-2</v>
      </c>
      <c r="O6" s="103">
        <f>'Income Statement-NBFCs'!O33/'Balance Sheet-NBFCs'!O37</f>
        <v>4.5786842792142436E-2</v>
      </c>
      <c r="P6" s="104">
        <f>'Income Statement-NBFCs'!P33/'Balance Sheet-NBFCs'!P37</f>
        <v>4.6310986424506345E-2</v>
      </c>
      <c r="Q6" s="189"/>
      <c r="R6" s="189"/>
      <c r="S6" s="189"/>
      <c r="T6" s="189"/>
      <c r="U6" s="189"/>
    </row>
    <row r="7" spans="1:21" ht="18" x14ac:dyDescent="0.3">
      <c r="A7" s="93" t="s">
        <v>302</v>
      </c>
      <c r="B7" s="101">
        <f>'Income Statement-NBFCs'!B33/'Balance Sheet-NBFCs'!B9</f>
        <v>7.5437814339147036E-2</v>
      </c>
      <c r="C7" s="103">
        <f>'Income Statement-NBFCs'!C33/'Balance Sheet-NBFCs'!C9</f>
        <v>7.5128228081867005E-2</v>
      </c>
      <c r="D7" s="103">
        <f>'Income Statement-NBFCs'!D33/'Balance Sheet-NBFCs'!D9</f>
        <v>0.10526362633059193</v>
      </c>
      <c r="E7" s="103">
        <f>'Income Statement-NBFCs'!E33/'Balance Sheet-NBFCs'!E9</f>
        <v>0.11975409375627789</v>
      </c>
      <c r="F7" s="108">
        <f>'Income Statement-NBFCs'!F33/'Balance Sheet-NBFCs'!F9</f>
        <v>0.14151469326030963</v>
      </c>
      <c r="G7" s="101">
        <f>'Income Statement-NBFCs'!G33/'Balance Sheet-NBFCs'!G9</f>
        <v>0.16282511275958067</v>
      </c>
      <c r="H7" s="103">
        <f>'Income Statement-NBFCs'!H33/'Balance Sheet-NBFCs'!H9</f>
        <v>0.11971859026431543</v>
      </c>
      <c r="I7" s="103">
        <f>'Income Statement-NBFCs'!I33/'Balance Sheet-NBFCs'!I9</f>
        <v>0.16078237234999729</v>
      </c>
      <c r="J7" s="103">
        <f>'Income Statement-NBFCs'!J33/'Balance Sheet-NBFCs'!J9</f>
        <v>0.21164743310800888</v>
      </c>
      <c r="K7" s="104">
        <f>'Income Statement-NBFCs'!K33/'Balance Sheet-NBFCs'!K9</f>
        <v>0.18842302695013438</v>
      </c>
      <c r="L7" s="110">
        <f>'Income Statement-NBFCs'!L33/'Balance Sheet-NBFCs'!L9</f>
        <v>0.26402700295766679</v>
      </c>
      <c r="M7" s="103">
        <f>'Income Statement-NBFCs'!M33/'Balance Sheet-NBFCs'!M9</f>
        <v>0.24232023655422719</v>
      </c>
      <c r="N7" s="103">
        <f>'Income Statement-NBFCs'!N33/'Balance Sheet-NBFCs'!N9</f>
        <v>0.21064614417384231</v>
      </c>
      <c r="O7" s="103">
        <f>'Income Statement-NBFCs'!O33/'Balance Sheet-NBFCs'!O9</f>
        <v>0.16565695250136281</v>
      </c>
      <c r="P7" s="104">
        <f>'Income Statement-NBFCs'!P33/'Balance Sheet-NBFCs'!P9</f>
        <v>0.173471579604598</v>
      </c>
      <c r="Q7" s="189"/>
      <c r="R7" s="189"/>
      <c r="S7" s="189"/>
      <c r="T7" s="189"/>
      <c r="U7" s="189"/>
    </row>
    <row r="8" spans="1:21" ht="18" x14ac:dyDescent="0.3">
      <c r="A8" s="93" t="s">
        <v>303</v>
      </c>
      <c r="B8" s="101">
        <f>('Income Statement-NBFCs'!B17+'Income Statement-NBFCs'!B18+'Income Statement-NBFCs'!B19+'Income Statement-NBFCs'!B20+'Income Statement-NBFCs'!B21+'Income Statement-NBFCs'!B22)/'Income Statement-NBFCs'!B12</f>
        <v>0.78562520313527473</v>
      </c>
      <c r="C8" s="103">
        <f>('Income Statement-NBFCs'!C17+'Income Statement-NBFCs'!C18+'Income Statement-NBFCs'!C19+'Income Statement-NBFCs'!C20+'Income Statement-NBFCs'!C21+'Income Statement-NBFCs'!C22)/'Income Statement-NBFCs'!C12</f>
        <v>0.80581354803943328</v>
      </c>
      <c r="D8" s="103">
        <f>('Income Statement-NBFCs'!D17+'Income Statement-NBFCs'!D18+'Income Statement-NBFCs'!D19+'Income Statement-NBFCs'!D20+'Income Statement-NBFCs'!D21+'Income Statement-NBFCs'!D22)/'Income Statement-NBFCs'!D12</f>
        <v>0.745294239458831</v>
      </c>
      <c r="E8" s="103">
        <f>('Income Statement-NBFCs'!E17+'Income Statement-NBFCs'!E18+'Income Statement-NBFCs'!E19+'Income Statement-NBFCs'!E20+'Income Statement-NBFCs'!E21+'Income Statement-NBFCs'!E22)/'Income Statement-NBFCs'!E12</f>
        <v>0.70001218063349879</v>
      </c>
      <c r="F8" s="108">
        <f>('Income Statement-NBFCs'!F17+'Income Statement-NBFCs'!F18+'Income Statement-NBFCs'!F19+'Income Statement-NBFCs'!F20+'Income Statement-NBFCs'!F21+'Income Statement-NBFCs'!F22)/'Income Statement-NBFCs'!F12</f>
        <v>0.71631455198751282</v>
      </c>
      <c r="G8" s="101">
        <f>('Income Statement-NBFCs'!G17+'Income Statement-NBFCs'!G18+'Income Statement-NBFCs'!G19+'Income Statement-NBFCs'!G20+'Income Statement-NBFCs'!G21+'Income Statement-NBFCs'!G22)/'Income Statement-NBFCs'!G12</f>
        <v>0.72281999560169563</v>
      </c>
      <c r="H8" s="103">
        <f>('Income Statement-NBFCs'!H17+'Income Statement-NBFCs'!H18+'Income Statement-NBFCs'!H19+'Income Statement-NBFCs'!H20+'Income Statement-NBFCs'!H21+'Income Statement-NBFCs'!H22)/'Income Statement-NBFCs'!H12</f>
        <v>0.77586292236792254</v>
      </c>
      <c r="I8" s="103">
        <f>('Income Statement-NBFCs'!I17+'Income Statement-NBFCs'!I18+'Income Statement-NBFCs'!I19+'Income Statement-NBFCs'!I20+'Income Statement-NBFCs'!I21+'Income Statement-NBFCs'!I22)/'Income Statement-NBFCs'!I12</f>
        <v>0.69980829794242738</v>
      </c>
      <c r="J8" s="103">
        <f>('Income Statement-NBFCs'!J17+'Income Statement-NBFCs'!J18+'Income Statement-NBFCs'!J19+'Income Statement-NBFCs'!J20+'Income Statement-NBFCs'!J21+'Income Statement-NBFCs'!J22)/'Income Statement-NBFCs'!J12</f>
        <v>0.62525887366771826</v>
      </c>
      <c r="K8" s="104">
        <f>('Income Statement-NBFCs'!K17+'Income Statement-NBFCs'!K18+'Income Statement-NBFCs'!K19+'Income Statement-NBFCs'!K20+'Income Statement-NBFCs'!K21+'Income Statement-NBFCs'!K22)/'Income Statement-NBFCs'!K12</f>
        <v>0.64909789048433963</v>
      </c>
      <c r="L8" s="110">
        <f>('Income Statement-NBFCs'!L17+'Income Statement-NBFCs'!L18+'Income Statement-NBFCs'!L19+'Income Statement-NBFCs'!L20+'Income Statement-NBFCs'!L21+'Income Statement-NBFCs'!L22)/'Income Statement-NBFCs'!L12</f>
        <v>0.56246254122788353</v>
      </c>
      <c r="M8" s="103">
        <f>('Income Statement-NBFCs'!M17+'Income Statement-NBFCs'!M18+'Income Statement-NBFCs'!M19+'Income Statement-NBFCs'!M20+'Income Statement-NBFCs'!M21+'Income Statement-NBFCs'!M22)/'Income Statement-NBFCs'!M12</f>
        <v>0.55821065782899626</v>
      </c>
      <c r="N8" s="103">
        <f>('Income Statement-NBFCs'!N17+'Income Statement-NBFCs'!N18+'Income Statement-NBFCs'!N19+'Income Statement-NBFCs'!N20+'Income Statement-NBFCs'!N21+'Income Statement-NBFCs'!N22)/'Income Statement-NBFCs'!N12</f>
        <v>0.56030578480315274</v>
      </c>
      <c r="O8" s="103">
        <f>('Income Statement-NBFCs'!O17+'Income Statement-NBFCs'!O18+'Income Statement-NBFCs'!O19+'Income Statement-NBFCs'!O20+'Income Statement-NBFCs'!O21+'Income Statement-NBFCs'!O22)/'Income Statement-NBFCs'!O12</f>
        <v>0.59274035581609597</v>
      </c>
      <c r="P8" s="104">
        <f>('Income Statement-NBFCs'!P17+'Income Statement-NBFCs'!P18+'Income Statement-NBFCs'!P19+'Income Statement-NBFCs'!P20+'Income Statement-NBFCs'!P21+'Income Statement-NBFCs'!P22)/'Income Statement-NBFCs'!P12</f>
        <v>0.60858098149493112</v>
      </c>
      <c r="Q8" s="189"/>
      <c r="R8" s="189"/>
      <c r="S8" s="189"/>
      <c r="T8" s="189"/>
      <c r="U8" s="189"/>
    </row>
    <row r="9" spans="1:21" ht="18" x14ac:dyDescent="0.3">
      <c r="A9" s="252" t="s">
        <v>304</v>
      </c>
      <c r="B9" s="253">
        <f>'Income Statement-NBFCs'!B25/'Income Statement-NBFCs'!B12</f>
        <v>0.21445416134420764</v>
      </c>
      <c r="C9" s="255">
        <f>'Income Statement-NBFCs'!C25/'Income Statement-NBFCs'!C12</f>
        <v>0.19437030462484542</v>
      </c>
      <c r="D9" s="255">
        <f>'Income Statement-NBFCs'!D25/'Income Statement-NBFCs'!D12</f>
        <v>0.2548305395230786</v>
      </c>
      <c r="E9" s="255">
        <f>'Income Statement-NBFCs'!E25/'Income Statement-NBFCs'!E12</f>
        <v>0.30011315631989527</v>
      </c>
      <c r="F9" s="254">
        <f>'Income Statement-NBFCs'!F25/'Income Statement-NBFCs'!F12</f>
        <v>0.28373795998849966</v>
      </c>
      <c r="G9" s="253">
        <f>'Income Statement-NBFCs'!G25/'Income Statement-NBFCs'!G12</f>
        <v>0.27762855561200894</v>
      </c>
      <c r="H9" s="255">
        <f>'Income Statement-NBFCs'!H25/'Income Statement-NBFCs'!H12</f>
        <v>0.22469767250010331</v>
      </c>
      <c r="I9" s="255">
        <f>'Income Statement-NBFCs'!I25/'Income Statement-NBFCs'!I12</f>
        <v>0.30044429101535713</v>
      </c>
      <c r="J9" s="255">
        <f>'Income Statement-NBFCs'!J25/'Income Statement-NBFCs'!J12</f>
        <v>0.37497705877011817</v>
      </c>
      <c r="K9" s="505">
        <f>'Income Statement-NBFCs'!K25/'Income Statement-NBFCs'!K12</f>
        <v>0.35127795437068804</v>
      </c>
      <c r="L9" s="256">
        <f>'Income Statement-NBFCs'!L25/'Income Statement-NBFCs'!L12</f>
        <v>0.43994215188383284</v>
      </c>
      <c r="M9" s="255">
        <f>'Income Statement-NBFCs'!M25/'Income Statement-NBFCs'!M12</f>
        <v>0.44487857927517488</v>
      </c>
      <c r="N9" s="255">
        <f>'Income Statement-NBFCs'!N25/'Income Statement-NBFCs'!N12</f>
        <v>0.44400725520395762</v>
      </c>
      <c r="O9" s="255">
        <f>'Income Statement-NBFCs'!O25/'Income Statement-NBFCs'!O12</f>
        <v>0.41376024854629018</v>
      </c>
      <c r="P9" s="505">
        <f>'Income Statement-NBFCs'!P25/'Income Statement-NBFCs'!P12</f>
        <v>0.39813043146580757</v>
      </c>
      <c r="Q9" s="189"/>
      <c r="R9" s="189"/>
      <c r="S9" s="189"/>
      <c r="T9" s="189"/>
      <c r="U9" s="189"/>
    </row>
    <row r="10" spans="1:21" ht="18" x14ac:dyDescent="0.3">
      <c r="A10" s="503" t="s">
        <v>527</v>
      </c>
      <c r="B10" s="103">
        <f>'Income Statement-NBFCs'!B33/'Income Statement-NBFCs'!B14</f>
        <v>0.15921896433794502</v>
      </c>
      <c r="C10" s="103">
        <f>'Income Statement-NBFCs'!C33/'Income Statement-NBFCs'!C14</f>
        <v>0.14362909155447373</v>
      </c>
      <c r="D10" s="103">
        <f>'Income Statement-NBFCs'!D33/'Income Statement-NBFCs'!D14</f>
        <v>0.18837151890165704</v>
      </c>
      <c r="E10" s="103">
        <f>'Income Statement-NBFCs'!E33/'Income Statement-NBFCs'!E14</f>
        <v>0.22201276511621346</v>
      </c>
      <c r="F10" s="103">
        <f>'Income Statement-NBFCs'!F33/'Income Statement-NBFCs'!F14</f>
        <v>0.22726252377683034</v>
      </c>
      <c r="G10" s="103">
        <f>'Income Statement-NBFCs'!G33/'Income Statement-NBFCs'!G14</f>
        <v>0.1994930573952565</v>
      </c>
      <c r="H10" s="103">
        <f>'Income Statement-NBFCs'!H33/'Income Statement-NBFCs'!H14</f>
        <v>0.16564148401325954</v>
      </c>
      <c r="I10" s="103">
        <f>'Income Statement-NBFCs'!I33/'Income Statement-NBFCs'!I14</f>
        <v>0.22212828468404813</v>
      </c>
      <c r="J10" s="103">
        <f>'Income Statement-NBFCs'!J33/'Income Statement-NBFCs'!J14</f>
        <v>0.2778409812483672</v>
      </c>
      <c r="K10" s="103">
        <f>'Income Statement-NBFCs'!K33/'Income Statement-NBFCs'!K14</f>
        <v>0.26283212607063577</v>
      </c>
      <c r="L10" s="103">
        <f>'Income Statement-NBFCs'!L33/'Income Statement-NBFCs'!L14</f>
        <v>0.3264235958483474</v>
      </c>
      <c r="M10" s="103">
        <f>'Income Statement-NBFCs'!M33/'Income Statement-NBFCs'!M14</f>
        <v>0.33006096007362357</v>
      </c>
      <c r="N10" s="103">
        <f>'Income Statement-NBFCs'!N33/'Income Statement-NBFCs'!N14</f>
        <v>0.32942481623846381</v>
      </c>
      <c r="O10" s="103">
        <f>'Income Statement-NBFCs'!O33/'Income Statement-NBFCs'!O14</f>
        <v>0.30645214761914508</v>
      </c>
      <c r="P10" s="103">
        <f>'Income Statement-NBFCs'!P33/'Income Statement-NBFCs'!P14</f>
        <v>0.29464288187453169</v>
      </c>
      <c r="Q10" s="189"/>
      <c r="R10" s="189"/>
      <c r="S10" s="189"/>
      <c r="T10" s="189"/>
      <c r="U10" s="189"/>
    </row>
    <row r="11" spans="1:21" ht="21.6" thickBot="1" x14ac:dyDescent="0.35">
      <c r="A11" s="494" t="s">
        <v>305</v>
      </c>
      <c r="B11" s="495"/>
      <c r="C11" s="495"/>
      <c r="D11" s="495"/>
      <c r="E11" s="495"/>
      <c r="F11" s="495"/>
      <c r="G11" s="495"/>
      <c r="H11" s="495"/>
      <c r="I11" s="495"/>
      <c r="J11" s="495"/>
      <c r="K11" s="495"/>
      <c r="L11" s="495"/>
      <c r="M11" s="495"/>
      <c r="N11" s="495"/>
      <c r="O11" s="495"/>
      <c r="P11" s="496"/>
      <c r="Q11" s="188"/>
      <c r="R11" s="188"/>
      <c r="S11" s="188"/>
      <c r="T11" s="188"/>
      <c r="U11" s="188"/>
    </row>
    <row r="12" spans="1:21" ht="18" x14ac:dyDescent="0.3">
      <c r="A12" s="93" t="s">
        <v>306</v>
      </c>
      <c r="B12" s="115">
        <v>8.0000000000000004E-4</v>
      </c>
      <c r="C12" s="116">
        <v>3.5000000000000001E-3</v>
      </c>
      <c r="D12" s="116">
        <v>3.0999999999999999E-3</v>
      </c>
      <c r="E12" s="116">
        <v>2.3E-3</v>
      </c>
      <c r="F12" s="119">
        <v>3.0000000000000001E-3</v>
      </c>
      <c r="G12" s="115">
        <v>1.61E-2</v>
      </c>
      <c r="H12" s="116">
        <v>1.7899999999999999E-2</v>
      </c>
      <c r="I12" s="116">
        <v>1.6E-2</v>
      </c>
      <c r="J12" s="116">
        <v>9.4000000000000004E-3</v>
      </c>
      <c r="K12" s="117">
        <v>8.5000000000000006E-3</v>
      </c>
      <c r="L12" s="118">
        <v>2.1999999999999999E-2</v>
      </c>
      <c r="M12" s="116">
        <v>8.9999999999999993E-3</v>
      </c>
      <c r="N12" s="116">
        <v>0</v>
      </c>
      <c r="O12" s="116">
        <v>0</v>
      </c>
      <c r="P12" s="117">
        <v>1.6E-2</v>
      </c>
      <c r="Q12" s="190"/>
      <c r="R12" s="190"/>
      <c r="S12" s="190"/>
      <c r="T12" s="190"/>
      <c r="U12" s="190"/>
    </row>
    <row r="13" spans="1:21" ht="18" x14ac:dyDescent="0.3">
      <c r="A13" s="114" t="s">
        <v>307</v>
      </c>
      <c r="B13" s="120">
        <v>5.0000000000000001E-4</v>
      </c>
      <c r="C13" s="121">
        <v>1.8E-3</v>
      </c>
      <c r="D13" s="121">
        <v>1.4E-3</v>
      </c>
      <c r="E13" s="121">
        <v>8.0000000000000004E-4</v>
      </c>
      <c r="F13" s="124">
        <v>1E-3</v>
      </c>
      <c r="G13" s="120">
        <v>6.4999999999999997E-3</v>
      </c>
      <c r="H13" s="121">
        <v>7.4999999999999997E-3</v>
      </c>
      <c r="I13" s="121">
        <v>6.7999999999999996E-3</v>
      </c>
      <c r="J13" s="121">
        <v>3.3999999999999998E-3</v>
      </c>
      <c r="K13" s="122">
        <v>3.7000000000000002E-3</v>
      </c>
      <c r="L13" s="123">
        <v>1.9599999999999999E-2</v>
      </c>
      <c r="M13" s="121">
        <v>7.7999999999999996E-3</v>
      </c>
      <c r="N13" s="121">
        <v>2.7099999999999999E-2</v>
      </c>
      <c r="O13" s="121">
        <v>3.4500000000000003E-2</v>
      </c>
      <c r="P13" s="122">
        <v>2.93E-2</v>
      </c>
      <c r="Q13" s="190"/>
      <c r="R13" s="190"/>
      <c r="S13" s="190"/>
      <c r="T13" s="190"/>
      <c r="U13" s="190"/>
    </row>
    <row r="14" spans="1:21" ht="18.600000000000001" thickBot="1" x14ac:dyDescent="0.35">
      <c r="A14" s="93" t="s">
        <v>308</v>
      </c>
      <c r="B14" s="125">
        <f>B39/B34</f>
        <v>0.27434807925960686</v>
      </c>
      <c r="C14" s="126">
        <f t="shared" ref="C14:P14" si="0">C39/C34</f>
        <v>0.30940575542582188</v>
      </c>
      <c r="D14" s="126">
        <f t="shared" si="0"/>
        <v>0.23783017214331076</v>
      </c>
      <c r="E14" s="126">
        <f t="shared" si="0"/>
        <v>5.5088147440689725E-2</v>
      </c>
      <c r="F14" s="129">
        <f t="shared" si="0"/>
        <v>0.21059069428725452</v>
      </c>
      <c r="G14" s="125">
        <f t="shared" si="0"/>
        <v>0.15061368387264573</v>
      </c>
      <c r="H14" s="126">
        <f t="shared" si="0"/>
        <v>5.0828447848043322E-2</v>
      </c>
      <c r="I14" s="126">
        <f t="shared" si="0"/>
        <v>6.1862260723292498E-2</v>
      </c>
      <c r="J14" s="126">
        <f t="shared" si="0"/>
        <v>-0.15381623065335404</v>
      </c>
      <c r="K14" s="127">
        <f t="shared" si="0"/>
        <v>2.8635368360482236E-2</v>
      </c>
      <c r="L14" s="128">
        <f t="shared" si="0"/>
        <v>2.780904847141678E-2</v>
      </c>
      <c r="M14" s="126">
        <f t="shared" si="0"/>
        <v>0.15671010525378304</v>
      </c>
      <c r="N14" s="126">
        <v>0</v>
      </c>
      <c r="O14" s="126">
        <v>0</v>
      </c>
      <c r="P14" s="127">
        <f t="shared" si="0"/>
        <v>0.12051852190609448</v>
      </c>
      <c r="Q14" s="190"/>
      <c r="R14" s="190"/>
      <c r="S14" s="190"/>
      <c r="T14" s="190"/>
      <c r="U14" s="190"/>
    </row>
    <row r="15" spans="1:21" ht="21.6" thickBot="1" x14ac:dyDescent="0.35">
      <c r="A15" s="497" t="s">
        <v>309</v>
      </c>
      <c r="B15" s="495"/>
      <c r="C15" s="495"/>
      <c r="D15" s="495"/>
      <c r="E15" s="495"/>
      <c r="F15" s="495"/>
      <c r="G15" s="495"/>
      <c r="H15" s="495"/>
      <c r="I15" s="495"/>
      <c r="J15" s="495"/>
      <c r="K15" s="495"/>
      <c r="L15" s="495"/>
      <c r="M15" s="495"/>
      <c r="N15" s="495"/>
      <c r="O15" s="495"/>
      <c r="P15" s="496"/>
      <c r="Q15" s="188"/>
      <c r="R15" s="188"/>
      <c r="S15" s="188"/>
      <c r="T15" s="188"/>
      <c r="U15" s="188"/>
    </row>
    <row r="16" spans="1:21" ht="18" x14ac:dyDescent="0.3">
      <c r="A16" s="93" t="s">
        <v>310</v>
      </c>
      <c r="B16" s="97">
        <f>('Balance Sheet-NBFCs'!B43+'Balance Sheet-NBFCs'!B44)/'Balance Sheet-NBFCs'!B42</f>
        <v>0.25151808450317781</v>
      </c>
      <c r="C16" s="98">
        <f>('Balance Sheet-NBFCs'!C43+'Balance Sheet-NBFCs'!C44)/'Balance Sheet-NBFCs'!C42</f>
        <v>0.213339630230369</v>
      </c>
      <c r="D16" s="98">
        <f>('Balance Sheet-NBFCs'!D43+'Balance Sheet-NBFCs'!D44)/'Balance Sheet-NBFCs'!D42</f>
        <v>0.19717899616569698</v>
      </c>
      <c r="E16" s="98">
        <f>('Balance Sheet-NBFCs'!E43+'Balance Sheet-NBFCs'!E44)/'Balance Sheet-NBFCs'!E42</f>
        <v>0.22971673193287837</v>
      </c>
      <c r="F16" s="107">
        <f>('Balance Sheet-NBFCs'!F43+'Balance Sheet-NBFCs'!F44)/'Balance Sheet-NBFCs'!F42</f>
        <v>0.21282128225027869</v>
      </c>
      <c r="G16" s="97">
        <f>('Balance Sheet-NBFCs'!G43+'Balance Sheet-NBFCs'!G44)/'Balance Sheet-NBFCs'!G42</f>
        <v>0.25008868432486586</v>
      </c>
      <c r="H16" s="98">
        <f>('Balance Sheet-NBFCs'!H43+'Balance Sheet-NBFCs'!H44)/'Balance Sheet-NBFCs'!H42</f>
        <v>0.28308509377329993</v>
      </c>
      <c r="I16" s="98">
        <f>('Balance Sheet-NBFCs'!I43+'Balance Sheet-NBFCs'!I44)/'Balance Sheet-NBFCs'!I42</f>
        <v>0.27222452419575971</v>
      </c>
      <c r="J16" s="98">
        <f>('Balance Sheet-NBFCs'!J43+'Balance Sheet-NBFCs'!J44)/'Balance Sheet-NBFCs'!J42</f>
        <v>0.24971485513132299</v>
      </c>
      <c r="K16" s="99">
        <f>('Balance Sheet-NBFCs'!K43+'Balance Sheet-NBFCs'!K44)/'Balance Sheet-NBFCs'!K42</f>
        <v>0.22517135895828605</v>
      </c>
      <c r="L16" s="100">
        <f>('Balance Sheet-NBFCs'!L43+'Balance Sheet-NBFCs'!L44)/'Balance Sheet-NBFCs'!L42</f>
        <v>0</v>
      </c>
      <c r="M16" s="98">
        <f>('Balance Sheet-NBFCs'!M43+'Balance Sheet-NBFCs'!M44)/'Balance Sheet-NBFCs'!M42</f>
        <v>0</v>
      </c>
      <c r="N16" s="98">
        <f>('Balance Sheet-NBFCs'!N43+'Balance Sheet-NBFCs'!N44)/'Balance Sheet-NBFCs'!N42</f>
        <v>0</v>
      </c>
      <c r="O16" s="98">
        <f>('Balance Sheet-NBFCs'!O43+'Balance Sheet-NBFCs'!O44)/'Balance Sheet-NBFCs'!O42</f>
        <v>0</v>
      </c>
      <c r="P16" s="99">
        <f>('Balance Sheet-NBFCs'!P43+'Balance Sheet-NBFCs'!P44)/'Balance Sheet-NBFCs'!P42</f>
        <v>0</v>
      </c>
      <c r="Q16" s="189"/>
      <c r="R16" s="189"/>
      <c r="S16" s="189"/>
      <c r="T16" s="189"/>
      <c r="U16" s="189"/>
    </row>
    <row r="17" spans="1:21" ht="18" x14ac:dyDescent="0.3">
      <c r="A17" s="93" t="s">
        <v>311</v>
      </c>
      <c r="B17" s="101">
        <f>'Balance Sheet-NBFCs'!B43/'Balance Sheet-NBFCs'!B42</f>
        <v>0.24478118782289776</v>
      </c>
      <c r="C17" s="103">
        <f>'Balance Sheet-NBFCs'!C43/'Balance Sheet-NBFCs'!C42</f>
        <v>0.20698535935876916</v>
      </c>
      <c r="D17" s="103">
        <f>'Balance Sheet-NBFCs'!D43/'Balance Sheet-NBFCs'!D42</f>
        <v>0.18956167044920097</v>
      </c>
      <c r="E17" s="103">
        <f>'Balance Sheet-NBFCs'!E43/'Balance Sheet-NBFCs'!E42</f>
        <v>0.22188130082186408</v>
      </c>
      <c r="F17" s="108">
        <f>'Balance Sheet-NBFCs'!F43/'Balance Sheet-NBFCs'!F42</f>
        <v>0.2067456260767965</v>
      </c>
      <c r="G17" s="101">
        <f>'Balance Sheet-NBFCs'!G43/'Balance Sheet-NBFCs'!G42</f>
        <v>0.21270688870780605</v>
      </c>
      <c r="H17" s="103">
        <f>'Balance Sheet-NBFCs'!H43/'Balance Sheet-NBFCs'!H42</f>
        <v>0.25112126484026992</v>
      </c>
      <c r="I17" s="103">
        <f>'Balance Sheet-NBFCs'!I43/'Balance Sheet-NBFCs'!I42</f>
        <v>0.24751503970899003</v>
      </c>
      <c r="J17" s="103">
        <f>'Balance Sheet-NBFCs'!J43/'Balance Sheet-NBFCs'!J42</f>
        <v>0.23204776426059956</v>
      </c>
      <c r="K17" s="104">
        <f>'Balance Sheet-NBFCs'!K43/'Balance Sheet-NBFCs'!K42</f>
        <v>0.2151234087530107</v>
      </c>
      <c r="L17" s="110">
        <f>'Balance Sheet-NBFCs'!L43/'Balance Sheet-NBFCs'!L42</f>
        <v>0</v>
      </c>
      <c r="M17" s="103">
        <f>'Balance Sheet-NBFCs'!M43/'Balance Sheet-NBFCs'!M42</f>
        <v>0</v>
      </c>
      <c r="N17" s="103">
        <f>'Balance Sheet-NBFCs'!N43/'Balance Sheet-NBFCs'!N42</f>
        <v>0</v>
      </c>
      <c r="O17" s="103">
        <f>'Balance Sheet-NBFCs'!O43/'Balance Sheet-NBFCs'!O42</f>
        <v>0</v>
      </c>
      <c r="P17" s="104">
        <f>'Balance Sheet-NBFCs'!P43/'Balance Sheet-NBFCs'!P42</f>
        <v>0</v>
      </c>
      <c r="Q17" s="189"/>
      <c r="R17" s="189"/>
      <c r="S17" s="189"/>
      <c r="T17" s="189"/>
      <c r="U17" s="189"/>
    </row>
    <row r="18" spans="1:21" ht="18.600000000000001" thickBot="1" x14ac:dyDescent="0.35">
      <c r="A18" s="93" t="s">
        <v>312</v>
      </c>
      <c r="B18" s="142">
        <f>'Balance Sheet-NBFCs'!B46</f>
        <v>0</v>
      </c>
      <c r="C18" s="142">
        <f>'Balance Sheet-NBFCs'!C46</f>
        <v>0</v>
      </c>
      <c r="D18" s="142">
        <f>'Balance Sheet-NBFCs'!D46</f>
        <v>0</v>
      </c>
      <c r="E18" s="142">
        <f>'Balance Sheet-NBFCs'!E46</f>
        <v>0</v>
      </c>
      <c r="F18" s="142">
        <f>'Balance Sheet-NBFCs'!F46</f>
        <v>0.09</v>
      </c>
      <c r="G18" s="142">
        <f>'Balance Sheet-NBFCs'!G46</f>
        <v>0.19600000000000001</v>
      </c>
      <c r="H18" s="142">
        <f>'Balance Sheet-NBFCs'!H46</f>
        <v>0.23599999999999999</v>
      </c>
      <c r="I18" s="142">
        <f>'Balance Sheet-NBFCs'!I46</f>
        <v>0.23799999999999999</v>
      </c>
      <c r="J18" s="142">
        <f>'Balance Sheet-NBFCs'!J46</f>
        <v>0.23200000000000001</v>
      </c>
      <c r="K18" s="142">
        <f>'Balance Sheet-NBFCs'!K46</f>
        <v>0.22700000000000001</v>
      </c>
      <c r="L18" s="143">
        <f>'Balance Sheet-NBFCs'!L45/'Balance Sheet-NBFCs'!L42</f>
        <v>0.24299859727325043</v>
      </c>
      <c r="M18" s="144">
        <f>'Balance Sheet-NBFCs'!M45/'Balance Sheet-NBFCs'!M42</f>
        <v>0.2631414317274679</v>
      </c>
      <c r="N18" s="144">
        <f>'Balance Sheet-NBFCs'!N45/'Balance Sheet-NBFCs'!N42</f>
        <v>0.29098575493609385</v>
      </c>
      <c r="O18" s="144">
        <f>'Balance Sheet-NBFCs'!O45/'Balance Sheet-NBFCs'!O42</f>
        <v>0.31011667366793672</v>
      </c>
      <c r="P18" s="145">
        <f>'Balance Sheet-NBFCs'!P45/'Balance Sheet-NBFCs'!P42</f>
        <v>0.29607880971069916</v>
      </c>
      <c r="Q18" s="191"/>
      <c r="R18" s="191"/>
      <c r="S18" s="191"/>
      <c r="T18" s="191"/>
      <c r="U18" s="191"/>
    </row>
    <row r="19" spans="1:21" ht="21.6" thickBot="1" x14ac:dyDescent="0.35">
      <c r="A19" s="494" t="s">
        <v>346</v>
      </c>
      <c r="B19" s="495"/>
      <c r="C19" s="495"/>
      <c r="D19" s="495"/>
      <c r="E19" s="495"/>
      <c r="F19" s="495"/>
      <c r="G19" s="495"/>
      <c r="H19" s="495"/>
      <c r="I19" s="495"/>
      <c r="J19" s="495"/>
      <c r="K19" s="495"/>
      <c r="L19" s="495"/>
      <c r="M19" s="495"/>
      <c r="N19" s="495"/>
      <c r="O19" s="495"/>
      <c r="P19" s="496"/>
      <c r="Q19" s="188"/>
      <c r="R19" s="188"/>
      <c r="S19" s="188"/>
      <c r="T19" s="188"/>
      <c r="U19" s="188"/>
    </row>
    <row r="20" spans="1:21" ht="18" x14ac:dyDescent="0.3">
      <c r="A20" s="93" t="s">
        <v>348</v>
      </c>
      <c r="B20" s="97">
        <f>'Balance Sheet-NBFCs'!B13/'Balance Sheet-NBFCs'!B27</f>
        <v>0.63544555736627273</v>
      </c>
      <c r="C20" s="98">
        <f>'Balance Sheet-NBFCs'!C13/'Balance Sheet-NBFCs'!C27</f>
        <v>0.60649871779142939</v>
      </c>
      <c r="D20" s="208">
        <f>'Balance Sheet-NBFCs'!D13/'Balance Sheet-NBFCs'!D27</f>
        <v>0.5269380214779591</v>
      </c>
      <c r="E20" s="208">
        <f>'Balance Sheet-NBFCs'!E13/'Balance Sheet-NBFCs'!E27</f>
        <v>0.54182244905286081</v>
      </c>
      <c r="F20" s="210">
        <f>'Balance Sheet-NBFCs'!F13/'Balance Sheet-NBFCs'!F27</f>
        <v>0.53340895262655152</v>
      </c>
      <c r="G20" s="205">
        <f>'Balance Sheet-NBFCs'!G13/'Balance Sheet-NBFCs'!G27</f>
        <v>0.38691256404461721</v>
      </c>
      <c r="H20" s="208">
        <f>'Balance Sheet-NBFCs'!H13/'Balance Sheet-NBFCs'!H27</f>
        <v>0.32333746026484855</v>
      </c>
      <c r="I20" s="208">
        <f>'Balance Sheet-NBFCs'!I13/'Balance Sheet-NBFCs'!I27</f>
        <v>0.28399664095139959</v>
      </c>
      <c r="J20" s="208">
        <f>'Balance Sheet-NBFCs'!J13/'Balance Sheet-NBFCs'!J27</f>
        <v>0.33660692685603555</v>
      </c>
      <c r="K20" s="212">
        <f>'Balance Sheet-NBFCs'!K13/'Balance Sheet-NBFCs'!K27</f>
        <v>0.34207709186323521</v>
      </c>
      <c r="L20" s="100">
        <f>'Balance Sheet-NBFCs'!L13/'Balance Sheet-NBFCs'!L27</f>
        <v>0.63762448255164828</v>
      </c>
      <c r="M20" s="98">
        <f>'Balance Sheet-NBFCs'!M13/'Balance Sheet-NBFCs'!M27</f>
        <v>0.59686895352249747</v>
      </c>
      <c r="N20" s="98">
        <f>'Balance Sheet-NBFCs'!N13/'Balance Sheet-NBFCs'!N27</f>
        <v>0.63314454653626651</v>
      </c>
      <c r="O20" s="98">
        <f>'Balance Sheet-NBFCs'!O13/'Balance Sheet-NBFCs'!O27</f>
        <v>0.5754065969876514</v>
      </c>
      <c r="P20" s="99">
        <f>'Balance Sheet-NBFCs'!P13/'Balance Sheet-NBFCs'!P27</f>
        <v>0.56756501464368336</v>
      </c>
      <c r="Q20" s="189"/>
      <c r="R20" s="189"/>
      <c r="S20" s="189"/>
      <c r="T20" s="189"/>
      <c r="U20" s="189"/>
    </row>
    <row r="21" spans="1:21" ht="18" x14ac:dyDescent="0.3">
      <c r="A21" s="93" t="s">
        <v>349</v>
      </c>
      <c r="B21" s="214">
        <f>'Balance Sheet-NBFCs'!B13/'Balance Sheet-NBFCs'!B9</f>
        <v>3.1828892075923028</v>
      </c>
      <c r="C21" s="215">
        <f>'Balance Sheet-NBFCs'!C13/'Balance Sheet-NBFCs'!C9</f>
        <v>3.3600432344974154</v>
      </c>
      <c r="D21" s="215">
        <f>'Balance Sheet-NBFCs'!D13/'Balance Sheet-NBFCs'!D9</f>
        <v>3.6332683612802166</v>
      </c>
      <c r="E21" s="215">
        <f>'Balance Sheet-NBFCs'!E13/'Balance Sheet-NBFCs'!E9</f>
        <v>3.2042360463820989</v>
      </c>
      <c r="F21" s="216">
        <f>'Balance Sheet-NBFCs'!F13/'Balance Sheet-NBFCs'!F9</f>
        <v>3.4576964891486495</v>
      </c>
      <c r="G21" s="217">
        <f>'Balance Sheet-NBFCs'!G13/'Balance Sheet-NBFCs'!G9</f>
        <v>1.6920562998277324</v>
      </c>
      <c r="H21" s="218">
        <f>'Balance Sheet-NBFCs'!H13/'Balance Sheet-NBFCs'!H9</f>
        <v>1.2847075483478299</v>
      </c>
      <c r="I21" s="218">
        <f>'Balance Sheet-NBFCs'!I13/'Balance Sheet-NBFCs'!I9</f>
        <v>1.2436562471904611</v>
      </c>
      <c r="J21" s="218">
        <f>'Balance Sheet-NBFCs'!J13/'Balance Sheet-NBFCs'!J9</f>
        <v>1.4998423820504605</v>
      </c>
      <c r="K21" s="219">
        <f>'Balance Sheet-NBFCs'!K13/'Balance Sheet-NBFCs'!K9</f>
        <v>1.4553355581531344</v>
      </c>
      <c r="L21" s="220">
        <f>'Balance Sheet-NBFCs'!L13/'Balance Sheet-NBFCs'!L9</f>
        <v>2.5006802566910795</v>
      </c>
      <c r="M21" s="218">
        <f>'Balance Sheet-NBFCs'!M13/'Balance Sheet-NBFCs'!M9</f>
        <v>2.2272759460900025</v>
      </c>
      <c r="N21" s="218">
        <f>'Balance Sheet-NBFCs'!N13/'Balance Sheet-NBFCs'!N9</f>
        <v>2.1347866035012415</v>
      </c>
      <c r="O21" s="218">
        <f>'Balance Sheet-NBFCs'!O13/'Balance Sheet-NBFCs'!O9</f>
        <v>1.8326103548787773</v>
      </c>
      <c r="P21" s="219">
        <f>'Balance Sheet-NBFCs'!P13/'Balance Sheet-NBFCs'!P9</f>
        <v>1.9434602493434041</v>
      </c>
      <c r="Q21" s="189"/>
      <c r="R21" s="189"/>
      <c r="S21" s="189"/>
      <c r="T21" s="189"/>
      <c r="U21" s="189"/>
    </row>
    <row r="22" spans="1:21" ht="18.600000000000001" thickBot="1" x14ac:dyDescent="0.35">
      <c r="A22" s="93" t="s">
        <v>316</v>
      </c>
      <c r="B22" s="206">
        <v>0</v>
      </c>
      <c r="C22" s="207">
        <v>0</v>
      </c>
      <c r="D22" s="207">
        <f>D38/D40</f>
        <v>1.0835387664346481</v>
      </c>
      <c r="E22" s="207">
        <f t="shared" ref="E22:P22" si="1">E38/E40</f>
        <v>0.32288722967546185</v>
      </c>
      <c r="F22" s="211">
        <f t="shared" si="1"/>
        <v>0.35654287184875061</v>
      </c>
      <c r="G22" s="206">
        <v>0</v>
      </c>
      <c r="H22" s="207">
        <f t="shared" si="1"/>
        <v>0.2577381936111251</v>
      </c>
      <c r="I22" s="207">
        <f t="shared" si="1"/>
        <v>0.33453993963117645</v>
      </c>
      <c r="J22" s="207">
        <f t="shared" si="1"/>
        <v>0.60797660934139763</v>
      </c>
      <c r="K22" s="209">
        <f t="shared" si="1"/>
        <v>0.65003216027486865</v>
      </c>
      <c r="L22" s="111">
        <f t="shared" si="1"/>
        <v>1.3037628093801192</v>
      </c>
      <c r="M22" s="207">
        <f t="shared" si="1"/>
        <v>0.94309973277773207</v>
      </c>
      <c r="N22" s="207">
        <f t="shared" si="1"/>
        <v>0.81816652955593261</v>
      </c>
      <c r="O22" s="207">
        <f t="shared" si="1"/>
        <v>0.97542976323511477</v>
      </c>
      <c r="P22" s="209">
        <f t="shared" si="1"/>
        <v>0.56487287542868281</v>
      </c>
      <c r="Q22" s="189"/>
      <c r="R22" s="189"/>
      <c r="S22" s="189"/>
      <c r="T22" s="189"/>
      <c r="U22" s="189"/>
    </row>
    <row r="23" spans="1:21" ht="21.6" thickBot="1" x14ac:dyDescent="0.35">
      <c r="A23" s="494" t="s">
        <v>317</v>
      </c>
      <c r="B23" s="495"/>
      <c r="C23" s="495"/>
      <c r="D23" s="495"/>
      <c r="E23" s="495"/>
      <c r="F23" s="495"/>
      <c r="G23" s="495"/>
      <c r="H23" s="495"/>
      <c r="I23" s="495"/>
      <c r="J23" s="495"/>
      <c r="K23" s="495"/>
      <c r="L23" s="495"/>
      <c r="M23" s="495"/>
      <c r="N23" s="495"/>
      <c r="O23" s="495"/>
      <c r="P23" s="496"/>
      <c r="Q23" s="188"/>
      <c r="R23" s="188"/>
      <c r="S23" s="188"/>
      <c r="T23" s="188"/>
      <c r="U23" s="188"/>
    </row>
    <row r="24" spans="1:21" ht="18" x14ac:dyDescent="0.3">
      <c r="A24" s="93" t="s">
        <v>318</v>
      </c>
      <c r="B24" s="213">
        <f>('Income Statement-NBFCs'!B18+'Income Statement-NBFCs'!B20+'Income Statement-NBFCs'!B22)/'Balance Sheet-NBFCs'!B37</f>
        <v>1.0049591328944341E-2</v>
      </c>
      <c r="C24" s="213">
        <f>('Income Statement-NBFCs'!C18+'Income Statement-NBFCs'!C20+'Income Statement-NBFCs'!C22)/'Balance Sheet-NBFCs'!C37</f>
        <v>8.1159826084200182E-3</v>
      </c>
      <c r="D24" s="213">
        <f>('Income Statement-NBFCs'!D18+'Income Statement-NBFCs'!D20+'Income Statement-NBFCs'!D22)/'Balance Sheet-NBFCs'!D37</f>
        <v>9.1728164975102555E-3</v>
      </c>
      <c r="E24" s="213">
        <f>('Income Statement-NBFCs'!E18+'Income Statement-NBFCs'!E20+'Income Statement-NBFCs'!E22)/'Balance Sheet-NBFCs'!E37</f>
        <v>9.2362221506619678E-3</v>
      </c>
      <c r="F24" s="213">
        <f>('Income Statement-NBFCs'!F18+'Income Statement-NBFCs'!F20+'Income Statement-NBFCs'!F22)/'Balance Sheet-NBFCs'!F37</f>
        <v>8.106117423948473E-3</v>
      </c>
      <c r="G24" s="97">
        <f>('Income Statement-NBFCs'!G18+'Income Statement-NBFCs'!G20+'Income Statement-NBFCs'!G22)/'Balance Sheet-NBFCs'!G37</f>
        <v>3.2642771941130487E-2</v>
      </c>
      <c r="H24" s="97">
        <f>('Income Statement-NBFCs'!H18+'Income Statement-NBFCs'!H20+'Income Statement-NBFCs'!H22)/'Balance Sheet-NBFCs'!H37</f>
        <v>2.9060059345519699E-2</v>
      </c>
      <c r="I24" s="97">
        <f>('Income Statement-NBFCs'!I18+'Income Statement-NBFCs'!I20+'Income Statement-NBFCs'!I22)/'Balance Sheet-NBFCs'!I37</f>
        <v>3.3883474750942763E-2</v>
      </c>
      <c r="J24" s="97">
        <f>('Income Statement-NBFCs'!J18+'Income Statement-NBFCs'!J20+'Income Statement-NBFCs'!J22)/'Balance Sheet-NBFCs'!J37</f>
        <v>3.5088033553187549E-2</v>
      </c>
      <c r="K24" s="97">
        <f>('Income Statement-NBFCs'!K18+'Income Statement-NBFCs'!K20+'Income Statement-NBFCs'!K22)/'Balance Sheet-NBFCs'!K37</f>
        <v>3.0983711626090291E-2</v>
      </c>
      <c r="L24" s="97">
        <f>('Income Statement-NBFCs'!L18+'Income Statement-NBFCs'!L20+'Income Statement-NBFCs'!L22)/'Balance Sheet-NBFCs'!L37</f>
        <v>3.6947002289943971E-2</v>
      </c>
      <c r="M24" s="97">
        <f>('Income Statement-NBFCs'!M18+'Income Statement-NBFCs'!M20+'Income Statement-NBFCs'!M22)/'Balance Sheet-NBFCs'!M37</f>
        <v>2.9373103869404827E-2</v>
      </c>
      <c r="N24" s="97">
        <f>('Income Statement-NBFCs'!N18+'Income Statement-NBFCs'!N20+'Income Statement-NBFCs'!N22)/'Balance Sheet-NBFCs'!N37</f>
        <v>2.7751531078335723E-2</v>
      </c>
      <c r="O24" s="97">
        <f>('Income Statement-NBFCs'!O18+'Income Statement-NBFCs'!O20+'Income Statement-NBFCs'!O22)/'Balance Sheet-NBFCs'!O37</f>
        <v>3.1462233053171522E-2</v>
      </c>
      <c r="P24" s="97">
        <f>('Income Statement-NBFCs'!P18+'Income Statement-NBFCs'!P20+'Income Statement-NBFCs'!P22)/'Balance Sheet-NBFCs'!P37</f>
        <v>3.2033290964121067E-2</v>
      </c>
      <c r="Q24" s="189"/>
      <c r="R24" s="189"/>
      <c r="S24" s="189"/>
      <c r="T24" s="189"/>
      <c r="U24" s="189"/>
    </row>
    <row r="25" spans="1:21" ht="18.600000000000001" thickBot="1" x14ac:dyDescent="0.35">
      <c r="A25" s="93" t="s">
        <v>319</v>
      </c>
      <c r="B25" s="102">
        <f>('Income Statement-NBFCs'!B14-'Income Statement-NBFCs'!B6)/'Income Statement-NBFCs'!B14</f>
        <v>0.12967504714253866</v>
      </c>
      <c r="C25" s="102">
        <f>('Income Statement-NBFCs'!C14-'Income Statement-NBFCs'!C6)/'Income Statement-NBFCs'!C14</f>
        <v>8.8058745975000616E-2</v>
      </c>
      <c r="D25" s="102">
        <f>('Income Statement-NBFCs'!D14-'Income Statement-NBFCs'!D6)/'Income Statement-NBFCs'!D14</f>
        <v>7.5755283199677129E-2</v>
      </c>
      <c r="E25" s="102">
        <f>('Income Statement-NBFCs'!E14-'Income Statement-NBFCs'!E6)/'Income Statement-NBFCs'!E14</f>
        <v>6.9932785450026957E-2</v>
      </c>
      <c r="F25" s="102">
        <f>('Income Statement-NBFCs'!F14-'Income Statement-NBFCs'!F6)/'Income Statement-NBFCs'!F14</f>
        <v>5.4524259915381214E-2</v>
      </c>
      <c r="G25" s="102">
        <f>('Income Statement-NBFCs'!G14-'Income Statement-NBFCs'!G6)/'Income Statement-NBFCs'!G14</f>
        <v>0.12943560566869181</v>
      </c>
      <c r="H25" s="102">
        <f>('Income Statement-NBFCs'!H14-'Income Statement-NBFCs'!H6)/'Income Statement-NBFCs'!H14</f>
        <v>0.12665980838022645</v>
      </c>
      <c r="I25" s="102">
        <f>('Income Statement-NBFCs'!I14-'Income Statement-NBFCs'!I6)/'Income Statement-NBFCs'!I14</f>
        <v>0.13813506209306395</v>
      </c>
      <c r="J25" s="102">
        <f>('Income Statement-NBFCs'!J14-'Income Statement-NBFCs'!J6)/'Income Statement-NBFCs'!J14</f>
        <v>0.14171744539727155</v>
      </c>
      <c r="K25" s="102">
        <f>('Income Statement-NBFCs'!K14-'Income Statement-NBFCs'!K6)/'Income Statement-NBFCs'!K14</f>
        <v>0.12141879299435397</v>
      </c>
      <c r="L25" s="102">
        <f>('Income Statement-NBFCs'!L14-'Income Statement-NBFCs'!L6)/'Income Statement-NBFCs'!L14</f>
        <v>2.9826211641237412E-2</v>
      </c>
      <c r="M25" s="102">
        <f>('Income Statement-NBFCs'!M14-'Income Statement-NBFCs'!M6)/'Income Statement-NBFCs'!M14</f>
        <v>3.1107251769978646E-2</v>
      </c>
      <c r="N25" s="102">
        <f>('Income Statement-NBFCs'!N14-'Income Statement-NBFCs'!N6)/'Income Statement-NBFCs'!N14</f>
        <v>2.5520894322622265E-2</v>
      </c>
      <c r="O25" s="102">
        <f>('Income Statement-NBFCs'!O14-'Income Statement-NBFCs'!O6)/'Income Statement-NBFCs'!O14</f>
        <v>3.5028795395074967E-2</v>
      </c>
      <c r="P25" s="102">
        <f>('Income Statement-NBFCs'!P14-'Income Statement-NBFCs'!P6)/'Income Statement-NBFCs'!P14</f>
        <v>4.0694552476062726E-2</v>
      </c>
      <c r="Q25" s="189"/>
      <c r="R25" s="189"/>
      <c r="S25" s="189"/>
      <c r="T25" s="189"/>
      <c r="U25" s="189"/>
    </row>
    <row r="26" spans="1:21" ht="21.6" thickBot="1" x14ac:dyDescent="0.35">
      <c r="A26" s="494" t="s">
        <v>345</v>
      </c>
      <c r="B26" s="495"/>
      <c r="C26" s="495"/>
      <c r="D26" s="495"/>
      <c r="E26" s="495"/>
      <c r="F26" s="495"/>
      <c r="G26" s="495"/>
      <c r="H26" s="495"/>
      <c r="I26" s="495"/>
      <c r="J26" s="495"/>
      <c r="K26" s="495"/>
      <c r="L26" s="495"/>
      <c r="M26" s="495"/>
      <c r="N26" s="495"/>
      <c r="O26" s="495"/>
      <c r="P26" s="496"/>
      <c r="Q26" s="188"/>
      <c r="R26" s="188"/>
      <c r="S26" s="188"/>
      <c r="T26" s="188"/>
      <c r="U26" s="188"/>
    </row>
    <row r="27" spans="1:21" ht="18" x14ac:dyDescent="0.3">
      <c r="A27" s="93" t="s">
        <v>321</v>
      </c>
      <c r="B27" s="112">
        <f>'Cash Flow Statement-NBFCs'!B48/'Income Statement-NBFCs'!B33</f>
        <v>-24.309092635226524</v>
      </c>
      <c r="C27" s="112">
        <f>'Cash Flow Statement-NBFCs'!C48/'Income Statement-NBFCs'!C33</f>
        <v>-11.200092676360914</v>
      </c>
      <c r="D27" s="112">
        <f>'Cash Flow Statement-NBFCs'!D48/'Income Statement-NBFCs'!D33</f>
        <v>-17.560525351596649</v>
      </c>
      <c r="E27" s="112">
        <f>'Cash Flow Statement-NBFCs'!E48/'Income Statement-NBFCs'!E33</f>
        <v>-11.394315471458095</v>
      </c>
      <c r="F27" s="112">
        <f>'Cash Flow Statement-NBFCs'!F48/'Income Statement-NBFCs'!F33</f>
        <v>-8.9116981088481069</v>
      </c>
      <c r="G27" s="112">
        <f>'Cash Flow Statement-NBFCs'!G48/'Income Statement-NBFCs'!G33</f>
        <v>-4.6404521491332202</v>
      </c>
      <c r="H27" s="112">
        <f>'Cash Flow Statement-NBFCs'!H48/'Income Statement-NBFCs'!H33</f>
        <v>-0.1826477096352335</v>
      </c>
      <c r="I27" s="112">
        <f>'Cash Flow Statement-NBFCs'!I48/'Income Statement-NBFCs'!I33</f>
        <v>-5.2685555253598677</v>
      </c>
      <c r="J27" s="112">
        <f>'Cash Flow Statement-NBFCs'!J48/'Income Statement-NBFCs'!J33</f>
        <v>-3.6594477258250797</v>
      </c>
      <c r="K27" s="112">
        <f>'Cash Flow Statement-NBFCs'!K48/'Income Statement-NBFCs'!K33</f>
        <v>-5.0348961364373999</v>
      </c>
      <c r="L27" s="112">
        <f>'Cash Flow Statement-NBFCs'!L48/'Income Statement-NBFCs'!L33</f>
        <v>-1.5701100868153026</v>
      </c>
      <c r="M27" s="112">
        <f>'Cash Flow Statement-NBFCs'!M48/'Income Statement-NBFCs'!M33</f>
        <v>-2.0462306912777866</v>
      </c>
      <c r="N27" s="112">
        <f>'Cash Flow Statement-NBFCs'!N48/'Income Statement-NBFCs'!N33</f>
        <v>-0.39601108717632177</v>
      </c>
      <c r="O27" s="112">
        <f>'Cash Flow Statement-NBFCs'!O48/'Income Statement-NBFCs'!O33</f>
        <v>-0.76409967284017533</v>
      </c>
      <c r="P27" s="112">
        <f>'Cash Flow Statement-NBFCs'!P48/'Income Statement-NBFCs'!P33</f>
        <v>-3.0786186032123779</v>
      </c>
      <c r="Q27" s="192"/>
      <c r="R27" s="192"/>
      <c r="S27" s="192"/>
      <c r="T27" s="192"/>
      <c r="U27" s="192"/>
    </row>
    <row r="28" spans="1:21" ht="18" x14ac:dyDescent="0.3">
      <c r="A28" s="93" t="s">
        <v>322</v>
      </c>
      <c r="B28" s="113">
        <f>'Cash Flow Statement-NBFCs'!B48/('Income Statement-NBFCs'!B17+'Financial Ratios-NBFCs'!B41)</f>
        <v>-3.0626057782588667</v>
      </c>
      <c r="C28" s="113">
        <f>'Cash Flow Statement-NBFCs'!C48/('Income Statement-NBFCs'!C17+'Financial Ratios-NBFCs'!C41)</f>
        <v>-1.016628110760603</v>
      </c>
      <c r="D28" s="113">
        <f>'Cash Flow Statement-NBFCs'!D48/('Income Statement-NBFCs'!D17+'Financial Ratios-NBFCs'!D41)</f>
        <v>-1.3725863835130578</v>
      </c>
      <c r="E28" s="113">
        <f>'Cash Flow Statement-NBFCs'!E48/('Income Statement-NBFCs'!E17+'Financial Ratios-NBFCs'!E41)</f>
        <v>-1.0274598279127718</v>
      </c>
      <c r="F28" s="113">
        <f>'Cash Flow Statement-NBFCs'!F48/('Income Statement-NBFCs'!F17+'Financial Ratios-NBFCs'!F41)</f>
        <v>-0.93444345651973792</v>
      </c>
      <c r="G28" s="113">
        <f>'Cash Flow Statement-NBFCs'!G48/('Income Statement-NBFCs'!G17+'Financial Ratios-NBFCs'!G41)</f>
        <v>-1.0817617360496015</v>
      </c>
      <c r="H28" s="113">
        <f>'Cash Flow Statement-NBFCs'!H48/('Income Statement-NBFCs'!H17+'Financial Ratios-NBFCs'!H41)</f>
        <v>-6.3717086569425915E-2</v>
      </c>
      <c r="I28" s="113">
        <f>'Cash Flow Statement-NBFCs'!I48/('Income Statement-NBFCs'!I17+'Financial Ratios-NBFCs'!I41)</f>
        <v>-1.3397812634213784</v>
      </c>
      <c r="J28" s="113">
        <f>'Cash Flow Statement-NBFCs'!J48/('Income Statement-NBFCs'!J17+'Financial Ratios-NBFCs'!J41)</f>
        <v>-0.85883659610066809</v>
      </c>
      <c r="K28" s="113">
        <f>'Cash Flow Statement-NBFCs'!K48/('Income Statement-NBFCs'!K17+'Financial Ratios-NBFCs'!K41)</f>
        <v>-1.3702319747799461</v>
      </c>
      <c r="L28" s="113">
        <f>'Cash Flow Statement-NBFCs'!L48/('Income Statement-NBFCs'!L17+'Financial Ratios-NBFCs'!L41)</f>
        <v>-1.3712871832922282</v>
      </c>
      <c r="M28" s="113">
        <f>'Cash Flow Statement-NBFCs'!M48/('Income Statement-NBFCs'!M17+'Financial Ratios-NBFCs'!M41)</f>
        <v>-1.5831217264359452</v>
      </c>
      <c r="N28" s="113">
        <f>'Cash Flow Statement-NBFCs'!N48/('Income Statement-NBFCs'!N17+'Financial Ratios-NBFCs'!N41)</f>
        <v>-0.31122769552946528</v>
      </c>
      <c r="O28" s="113">
        <f>'Cash Flow Statement-NBFCs'!O48/('Income Statement-NBFCs'!O17+'Financial Ratios-NBFCs'!O41)</f>
        <v>-0.49944058291659044</v>
      </c>
      <c r="P28" s="113">
        <f>'Cash Flow Statement-NBFCs'!P48/('Income Statement-NBFCs'!P17+'Financial Ratios-NBFCs'!P41)</f>
        <v>-2.0136155604464232</v>
      </c>
      <c r="Q28" s="192"/>
      <c r="R28" s="192"/>
      <c r="S28" s="192"/>
      <c r="T28" s="192"/>
      <c r="U28" s="192"/>
    </row>
    <row r="29" spans="1:21" ht="18" x14ac:dyDescent="0.3">
      <c r="A29" s="93" t="s">
        <v>323</v>
      </c>
      <c r="B29" s="101">
        <v>0.26</v>
      </c>
      <c r="C29" s="103">
        <f>('Balance Sheet-NBFCs'!C27-'Balance Sheet-NBFCs'!B27)/'Balance Sheet-NBFCs'!B27</f>
        <v>0.19458124116858347</v>
      </c>
      <c r="D29" s="103">
        <f>('Balance Sheet-NBFCs'!D27-'Balance Sheet-NBFCs'!C27)/'Balance Sheet-NBFCs'!C27</f>
        <v>0.39089168105473243</v>
      </c>
      <c r="E29" s="103">
        <f>('Balance Sheet-NBFCs'!E27-'Balance Sheet-NBFCs'!D27)/'Balance Sheet-NBFCs'!D27</f>
        <v>0.33629784559938919</v>
      </c>
      <c r="F29" s="108">
        <f>('Balance Sheet-NBFCs'!F27-'Balance Sheet-NBFCs'!E27)/'Balance Sheet-NBFCs'!E27</f>
        <v>0.27669914088459119</v>
      </c>
      <c r="G29" s="101">
        <v>0.26</v>
      </c>
      <c r="H29" s="103">
        <f>('Balance Sheet-NBFCs'!H27-'Balance Sheet-NBFCs'!G27)/'Balance Sheet-NBFCs'!G27</f>
        <v>3.7565202875593194E-2</v>
      </c>
      <c r="I29" s="103">
        <f>('Balance Sheet-NBFCs'!I27-'Balance Sheet-NBFCs'!H27)/'Balance Sheet-NBFCs'!H27</f>
        <v>0.30497876190282064</v>
      </c>
      <c r="J29" s="103">
        <f>('Balance Sheet-NBFCs'!J27-'Balance Sheet-NBFCs'!I27)/'Balance Sheet-NBFCs'!I27</f>
        <v>0.26561914500981459</v>
      </c>
      <c r="K29" s="104">
        <f>('Balance Sheet-NBFCs'!K27-'Balance Sheet-NBFCs'!J27)/'Balance Sheet-NBFCs'!J27</f>
        <v>0.34682280554918871</v>
      </c>
      <c r="L29" s="110">
        <v>0.22</v>
      </c>
      <c r="M29" s="103">
        <f>('Balance Sheet-NBFCs'!M27-'Balance Sheet-NBFCs'!L27)/'Balance Sheet-NBFCs'!L27</f>
        <v>0.24944422125548807</v>
      </c>
      <c r="N29" s="103">
        <f>('Balance Sheet-NBFCs'!N27-'Balance Sheet-NBFCs'!M27)/'Balance Sheet-NBFCs'!M27</f>
        <v>9.7249927251183685E-2</v>
      </c>
      <c r="O29" s="103">
        <f>('Balance Sheet-NBFCs'!O27-'Balance Sheet-NBFCs'!N27)/'Balance Sheet-NBFCs'!N27</f>
        <v>9.3397851007756397E-2</v>
      </c>
      <c r="P29" s="104">
        <f>('Balance Sheet-NBFCs'!P27-'Balance Sheet-NBFCs'!O27)/'Balance Sheet-NBFCs'!O27</f>
        <v>0.24991766634940785</v>
      </c>
      <c r="Q29" s="189"/>
      <c r="R29" s="189"/>
      <c r="S29" s="189"/>
      <c r="T29" s="189"/>
      <c r="U29" s="189"/>
    </row>
    <row r="30" spans="1:21" ht="18.600000000000001" thickBot="1" x14ac:dyDescent="0.35">
      <c r="A30" s="94" t="s">
        <v>350</v>
      </c>
      <c r="B30" s="102">
        <v>-0.22189999999999999</v>
      </c>
      <c r="C30" s="105">
        <f>('Balance Sheet-NBFCs'!C13-'Balance Sheet-NBFCs'!B13)/'Balance Sheet-NBFCs'!B13</f>
        <v>0.14016375229582306</v>
      </c>
      <c r="D30" s="105">
        <f>('Balance Sheet-NBFCs'!D13-'Balance Sheet-NBFCs'!C13)/'Balance Sheet-NBFCs'!C13</f>
        <v>0.20843406425333461</v>
      </c>
      <c r="E30" s="105">
        <f>('Balance Sheet-NBFCs'!E13-'Balance Sheet-NBFCs'!D13)/'Balance Sheet-NBFCs'!D13</f>
        <v>0.37404427438343013</v>
      </c>
      <c r="F30" s="109">
        <f>('Balance Sheet-NBFCs'!F13-'Balance Sheet-NBFCs'!E13)/'Balance Sheet-NBFCs'!E13</f>
        <v>0.25687437415873582</v>
      </c>
      <c r="G30" s="102">
        <v>0</v>
      </c>
      <c r="H30" s="105">
        <f>('Balance Sheet-NBFCs'!H13-'Balance Sheet-NBFCs'!G13)/'Balance Sheet-NBFCs'!G13</f>
        <v>-0.13292115911157129</v>
      </c>
      <c r="I30" s="105">
        <f>('Balance Sheet-NBFCs'!I13-'Balance Sheet-NBFCs'!H13)/'Balance Sheet-NBFCs'!H13</f>
        <v>0.14620058124334795</v>
      </c>
      <c r="J30" s="105">
        <f>('Balance Sheet-NBFCs'!J13-'Balance Sheet-NBFCs'!I13)/'Balance Sheet-NBFCs'!I13</f>
        <v>0.50007468237915242</v>
      </c>
      <c r="K30" s="106">
        <f>('Balance Sheet-NBFCs'!K13-'Balance Sheet-NBFCs'!J13)/'Balance Sheet-NBFCs'!J13</f>
        <v>0.36870988627752022</v>
      </c>
      <c r="L30" s="111">
        <v>0</v>
      </c>
      <c r="M30" s="105">
        <f>('Balance Sheet-NBFCs'!M13-'Balance Sheet-NBFCs'!L13)/'Balance Sheet-NBFCs'!L13</f>
        <v>0.16958254463682385</v>
      </c>
      <c r="N30" s="105">
        <f>('Balance Sheet-NBFCs'!N13-'Balance Sheet-NBFCs'!M13)/'Balance Sheet-NBFCs'!M13</f>
        <v>0.16393691366662194</v>
      </c>
      <c r="O30" s="105">
        <f>('Balance Sheet-NBFCs'!O13-'Balance Sheet-NBFCs'!N13)/'Balance Sheet-NBFCs'!N13</f>
        <v>-6.3116865748022817E-3</v>
      </c>
      <c r="P30" s="106">
        <f>('Balance Sheet-NBFCs'!P13-'Balance Sheet-NBFCs'!O13)/'Balance Sheet-NBFCs'!O13</f>
        <v>0.23288391603237821</v>
      </c>
      <c r="Q30" s="189"/>
      <c r="R30" s="189"/>
      <c r="S30" s="189"/>
      <c r="T30" s="189"/>
      <c r="U30" s="189"/>
    </row>
    <row r="31" spans="1:21" x14ac:dyDescent="0.3">
      <c r="A31" s="43"/>
      <c r="B31" s="54"/>
      <c r="C31" s="54"/>
      <c r="D31" s="54"/>
      <c r="E31" s="54"/>
      <c r="F31" s="54"/>
      <c r="G31" s="54"/>
      <c r="H31" s="54"/>
      <c r="I31" s="54"/>
      <c r="J31" s="54"/>
      <c r="K31" s="54"/>
      <c r="L31" s="54"/>
      <c r="M31" s="54"/>
      <c r="N31" s="54"/>
      <c r="O31" s="54"/>
      <c r="P31" s="54"/>
      <c r="Q31" s="54"/>
      <c r="R31" s="54"/>
      <c r="S31" s="54"/>
      <c r="T31" s="54"/>
      <c r="U31" s="54"/>
    </row>
    <row r="32" spans="1:21" ht="15" thickBot="1" x14ac:dyDescent="0.35">
      <c r="A32" s="43"/>
      <c r="B32" s="54"/>
      <c r="C32" s="54"/>
      <c r="D32" s="54"/>
      <c r="E32" s="54"/>
      <c r="F32" s="54"/>
      <c r="G32" s="54"/>
      <c r="H32" s="54"/>
      <c r="I32" s="54"/>
      <c r="J32" s="54"/>
      <c r="K32" s="54"/>
      <c r="L32" s="54"/>
      <c r="M32" s="54"/>
      <c r="N32" s="54"/>
      <c r="O32" s="54"/>
      <c r="P32" s="54"/>
      <c r="Q32" s="54"/>
      <c r="R32" s="54"/>
      <c r="S32" s="54"/>
      <c r="T32" s="54"/>
      <c r="U32" s="54"/>
    </row>
    <row r="33" spans="1:21" ht="18.600000000000001" thickBot="1" x14ac:dyDescent="0.35">
      <c r="A33" s="184" t="s">
        <v>20</v>
      </c>
      <c r="B33" s="221">
        <v>2020</v>
      </c>
      <c r="C33" s="222">
        <v>2021</v>
      </c>
      <c r="D33" s="222">
        <v>2022</v>
      </c>
      <c r="E33" s="222">
        <v>2023</v>
      </c>
      <c r="F33" s="223">
        <v>2024</v>
      </c>
      <c r="G33" s="221">
        <v>2020</v>
      </c>
      <c r="H33" s="222">
        <v>2021</v>
      </c>
      <c r="I33" s="222">
        <v>2022</v>
      </c>
      <c r="J33" s="222">
        <v>2023</v>
      </c>
      <c r="K33" s="223">
        <v>2024</v>
      </c>
      <c r="L33" s="221">
        <v>2020</v>
      </c>
      <c r="M33" s="222">
        <v>2021</v>
      </c>
      <c r="N33" s="222">
        <v>2022</v>
      </c>
      <c r="O33" s="222">
        <v>2023</v>
      </c>
      <c r="P33" s="223">
        <v>2024</v>
      </c>
      <c r="Q33" s="193"/>
      <c r="R33" s="193"/>
      <c r="S33" s="193"/>
      <c r="T33" s="193"/>
      <c r="U33" s="193"/>
    </row>
    <row r="34" spans="1:21" ht="18" x14ac:dyDescent="0.3">
      <c r="A34" s="185" t="s">
        <v>325</v>
      </c>
      <c r="B34" s="224">
        <f>B12*B37</f>
        <v>22.380328000000002</v>
      </c>
      <c r="C34" s="225">
        <f t="shared" ref="C34:P34" si="2">C12*C37</f>
        <v>116.96615000000001</v>
      </c>
      <c r="D34" s="225">
        <f t="shared" si="2"/>
        <v>144.09441699999999</v>
      </c>
      <c r="E34" s="225">
        <f t="shared" si="2"/>
        <v>142.86194699999999</v>
      </c>
      <c r="F34" s="227">
        <f t="shared" si="2"/>
        <v>237.90225000000001</v>
      </c>
      <c r="G34" s="224">
        <f t="shared" si="2"/>
        <v>2276.1544049999998</v>
      </c>
      <c r="H34" s="225">
        <f t="shared" si="2"/>
        <v>2625.6949729999997</v>
      </c>
      <c r="I34" s="225">
        <f t="shared" si="2"/>
        <v>3062.7719999999999</v>
      </c>
      <c r="J34" s="225">
        <f t="shared" si="2"/>
        <v>2277.3279419999999</v>
      </c>
      <c r="K34" s="226">
        <f t="shared" si="2"/>
        <v>2773.4932200000003</v>
      </c>
      <c r="L34" s="228">
        <f t="shared" si="2"/>
        <v>10354.90302</v>
      </c>
      <c r="M34" s="225">
        <f t="shared" si="2"/>
        <v>5292.7665299999999</v>
      </c>
      <c r="N34" s="225">
        <f t="shared" si="2"/>
        <v>0</v>
      </c>
      <c r="O34" s="225">
        <f t="shared" si="2"/>
        <v>0</v>
      </c>
      <c r="P34" s="226">
        <f t="shared" si="2"/>
        <v>14109.94736</v>
      </c>
      <c r="Q34" s="194"/>
      <c r="R34" s="194"/>
      <c r="S34" s="194"/>
      <c r="T34" s="194"/>
      <c r="U34" s="194"/>
    </row>
    <row r="35" spans="1:21" ht="18" x14ac:dyDescent="0.3">
      <c r="A35" s="186" t="s">
        <v>326</v>
      </c>
      <c r="B35" s="159">
        <f>B13*B37</f>
        <v>13.987705</v>
      </c>
      <c r="C35" s="157">
        <f t="shared" ref="C35:P35" si="3">C13*C37</f>
        <v>60.154020000000003</v>
      </c>
      <c r="D35" s="157">
        <f t="shared" si="3"/>
        <v>65.074898000000005</v>
      </c>
      <c r="E35" s="157">
        <f t="shared" si="3"/>
        <v>49.691112000000004</v>
      </c>
      <c r="F35" s="158">
        <f t="shared" si="3"/>
        <v>79.300750000000008</v>
      </c>
      <c r="G35" s="159">
        <f t="shared" si="3"/>
        <v>918.94432499999994</v>
      </c>
      <c r="H35" s="157">
        <f t="shared" si="3"/>
        <v>1100.151525</v>
      </c>
      <c r="I35" s="157">
        <f t="shared" si="3"/>
        <v>1301.6780999999999</v>
      </c>
      <c r="J35" s="157">
        <f t="shared" si="3"/>
        <v>823.71436199999994</v>
      </c>
      <c r="K35" s="160">
        <f t="shared" si="3"/>
        <v>1207.285284</v>
      </c>
      <c r="L35" s="156">
        <f t="shared" si="3"/>
        <v>9225.2772359999999</v>
      </c>
      <c r="M35" s="157">
        <f t="shared" si="3"/>
        <v>4587.0643259999997</v>
      </c>
      <c r="N35" s="157">
        <f t="shared" si="3"/>
        <v>17486.990710999999</v>
      </c>
      <c r="O35" s="157">
        <f t="shared" si="3"/>
        <v>24341.262480000001</v>
      </c>
      <c r="P35" s="160">
        <f t="shared" si="3"/>
        <v>25838.841102999999</v>
      </c>
      <c r="Q35" s="194"/>
      <c r="R35" s="194"/>
      <c r="S35" s="194"/>
      <c r="T35" s="194"/>
      <c r="U35" s="194"/>
    </row>
    <row r="36" spans="1:21" ht="18" x14ac:dyDescent="0.3">
      <c r="A36" s="186" t="s">
        <v>327</v>
      </c>
      <c r="B36" s="159"/>
      <c r="C36" s="157"/>
      <c r="D36" s="157"/>
      <c r="E36" s="157"/>
      <c r="F36" s="158"/>
      <c r="G36" s="159"/>
      <c r="H36" s="157"/>
      <c r="I36" s="157"/>
      <c r="J36" s="157"/>
      <c r="K36" s="160"/>
      <c r="L36" s="156"/>
      <c r="M36" s="157"/>
      <c r="N36" s="157"/>
      <c r="O36" s="157"/>
      <c r="P36" s="160"/>
      <c r="Q36" s="194"/>
      <c r="R36" s="194"/>
      <c r="S36" s="194"/>
      <c r="T36" s="194"/>
      <c r="U36" s="194"/>
    </row>
    <row r="37" spans="1:21" ht="18" x14ac:dyDescent="0.3">
      <c r="A37" s="187" t="s">
        <v>328</v>
      </c>
      <c r="B37" s="159">
        <f>'Balance Sheet-NBFCs'!B27</f>
        <v>27975.41</v>
      </c>
      <c r="C37" s="157">
        <f>'Balance Sheet-NBFCs'!C27</f>
        <v>33418.9</v>
      </c>
      <c r="D37" s="157">
        <f>'Balance Sheet-NBFCs'!D27</f>
        <v>46482.07</v>
      </c>
      <c r="E37" s="157">
        <f>'Balance Sheet-NBFCs'!E27</f>
        <v>62113.89</v>
      </c>
      <c r="F37" s="158">
        <f>'Balance Sheet-NBFCs'!F27</f>
        <v>79300.75</v>
      </c>
      <c r="G37" s="159">
        <f>'Balance Sheet-NBFCs'!G27</f>
        <v>141376.04999999999</v>
      </c>
      <c r="H37" s="157">
        <f>'Balance Sheet-NBFCs'!H27</f>
        <v>146686.87</v>
      </c>
      <c r="I37" s="157">
        <f>'Balance Sheet-NBFCs'!I27</f>
        <v>191423.25</v>
      </c>
      <c r="J37" s="157">
        <f>'Balance Sheet-NBFCs'!J27</f>
        <v>242268.93</v>
      </c>
      <c r="K37" s="160">
        <f>'Balance Sheet-NBFCs'!K27</f>
        <v>326293.32</v>
      </c>
      <c r="L37" s="156">
        <f>'Balance Sheet-NBFCs'!L27</f>
        <v>470677.41</v>
      </c>
      <c r="M37" s="157">
        <f>'Balance Sheet-NBFCs'!M27</f>
        <v>588085.17000000004</v>
      </c>
      <c r="N37" s="157">
        <f>'Balance Sheet-NBFCs'!N27</f>
        <v>645276.41</v>
      </c>
      <c r="O37" s="157">
        <f>'Balance Sheet-NBFCs'!O27</f>
        <v>705543.84</v>
      </c>
      <c r="P37" s="160">
        <f>'Balance Sheet-NBFCs'!P27</f>
        <v>881871.71</v>
      </c>
      <c r="Q37" s="194"/>
      <c r="R37" s="194"/>
      <c r="S37" s="194"/>
      <c r="T37" s="194"/>
      <c r="U37" s="194"/>
    </row>
    <row r="38" spans="1:21" ht="36" x14ac:dyDescent="0.3">
      <c r="A38" s="195" t="s">
        <v>342</v>
      </c>
      <c r="B38" s="169"/>
      <c r="C38" s="167"/>
      <c r="D38" s="167">
        <v>896.65</v>
      </c>
      <c r="E38" s="167">
        <v>1519.63</v>
      </c>
      <c r="F38" s="168">
        <v>2015.79</v>
      </c>
      <c r="G38" s="169"/>
      <c r="H38" s="167">
        <v>4304.3</v>
      </c>
      <c r="I38" s="167">
        <v>5212.43</v>
      </c>
      <c r="J38" s="167">
        <v>9733.59</v>
      </c>
      <c r="K38" s="170">
        <v>11975.77</v>
      </c>
      <c r="L38" s="166">
        <v>79643.05</v>
      </c>
      <c r="M38" s="167">
        <v>62139.87</v>
      </c>
      <c r="N38" s="167">
        <v>53466.07</v>
      </c>
      <c r="O38" s="167">
        <v>39191.89</v>
      </c>
      <c r="P38" s="170">
        <v>36424.370000000003</v>
      </c>
      <c r="Q38" s="192"/>
      <c r="R38" s="192"/>
      <c r="S38" s="192"/>
      <c r="T38" s="192"/>
      <c r="U38" s="192"/>
    </row>
    <row r="39" spans="1:21" ht="18" x14ac:dyDescent="0.3">
      <c r="A39" s="203" t="s">
        <v>347</v>
      </c>
      <c r="B39" s="169">
        <v>6.14</v>
      </c>
      <c r="C39" s="167">
        <v>36.19</v>
      </c>
      <c r="D39" s="167">
        <v>34.270000000000003</v>
      </c>
      <c r="E39" s="167">
        <v>7.87</v>
      </c>
      <c r="F39" s="168">
        <v>50.1</v>
      </c>
      <c r="G39" s="169">
        <v>342.82</v>
      </c>
      <c r="H39" s="167">
        <v>133.46</v>
      </c>
      <c r="I39" s="167">
        <v>189.47</v>
      </c>
      <c r="J39" s="167">
        <v>-350.29</v>
      </c>
      <c r="K39" s="170">
        <v>79.42</v>
      </c>
      <c r="L39" s="166">
        <v>287.95999999999998</v>
      </c>
      <c r="M39" s="167">
        <v>829.43</v>
      </c>
      <c r="N39" s="167">
        <v>979.1</v>
      </c>
      <c r="O39" s="167">
        <v>426</v>
      </c>
      <c r="P39" s="170">
        <v>1700.51</v>
      </c>
      <c r="Q39" s="192"/>
      <c r="R39" s="192"/>
      <c r="S39" s="192"/>
      <c r="T39" s="192"/>
      <c r="U39" s="192"/>
    </row>
    <row r="40" spans="1:21" ht="18" x14ac:dyDescent="0.3">
      <c r="A40" s="187" t="s">
        <v>341</v>
      </c>
      <c r="B40" s="169"/>
      <c r="C40" s="167"/>
      <c r="D40" s="167">
        <v>827.52</v>
      </c>
      <c r="E40" s="167">
        <v>4706.38</v>
      </c>
      <c r="F40" s="168">
        <v>5653.71</v>
      </c>
      <c r="G40" s="169"/>
      <c r="H40" s="167">
        <v>16700.28</v>
      </c>
      <c r="I40" s="167">
        <v>15580.89</v>
      </c>
      <c r="J40" s="167">
        <v>16009.81</v>
      </c>
      <c r="K40" s="170">
        <v>18423.349999999999</v>
      </c>
      <c r="L40" s="166">
        <v>61087.07</v>
      </c>
      <c r="M40" s="167">
        <v>65888.97</v>
      </c>
      <c r="N40" s="167">
        <v>65348.639999999999</v>
      </c>
      <c r="O40" s="167">
        <v>40179.1</v>
      </c>
      <c r="P40" s="170">
        <v>64482.42</v>
      </c>
      <c r="Q40" s="192"/>
      <c r="R40" s="192"/>
      <c r="S40" s="192"/>
      <c r="T40" s="192"/>
      <c r="U40" s="192"/>
    </row>
    <row r="41" spans="1:21" ht="18.600000000000001" thickBot="1" x14ac:dyDescent="0.35">
      <c r="A41" s="196" t="s">
        <v>343</v>
      </c>
      <c r="B41" s="174">
        <v>1728.23</v>
      </c>
      <c r="C41" s="172">
        <f>-'Cash Flow Statement-NBFCs'!C82</f>
        <v>3026.88</v>
      </c>
      <c r="D41" s="172">
        <f>-'Cash Flow Statement-NBFCs'!D82</f>
        <v>6923.39</v>
      </c>
      <c r="E41" s="172">
        <f>-'Cash Flow Statement-NBFCs'!E82</f>
        <v>10737.42</v>
      </c>
      <c r="F41" s="173">
        <f>-'Cash Flow Statement-NBFCs'!F82</f>
        <v>11817.87</v>
      </c>
      <c r="G41" s="174">
        <v>13106.79</v>
      </c>
      <c r="H41" s="172">
        <f>-'Cash Flow Statement-NBFCs'!H82</f>
        <v>3255.6</v>
      </c>
      <c r="I41" s="172">
        <f>-'Cash Flow Statement-NBFCs'!I82</f>
        <v>17889.57</v>
      </c>
      <c r="J41" s="172">
        <f>-'Cash Flow Statement-NBFCs'!J82</f>
        <v>36473.64</v>
      </c>
      <c r="K41" s="175">
        <f>-'Cash Flow Statement-NBFCs'!K82</f>
        <v>34375.910000000003</v>
      </c>
      <c r="L41" s="171">
        <v>4552.68</v>
      </c>
      <c r="M41" s="172">
        <v>8360.7109999999993</v>
      </c>
      <c r="N41" s="172">
        <v>8736.69</v>
      </c>
      <c r="O41" s="172">
        <v>14052.376</v>
      </c>
      <c r="P41" s="175">
        <v>14004.304</v>
      </c>
      <c r="Q41" s="192"/>
      <c r="R41" s="192"/>
      <c r="S41" s="192"/>
      <c r="T41" s="192"/>
      <c r="U41" s="192"/>
    </row>
    <row r="42" spans="1:21" s="493" customFormat="1" ht="18" x14ac:dyDescent="0.3">
      <c r="A42" s="492" t="s">
        <v>523</v>
      </c>
      <c r="B42" s="493">
        <v>0</v>
      </c>
      <c r="C42" s="493">
        <v>0</v>
      </c>
      <c r="D42" s="493">
        <v>0</v>
      </c>
      <c r="E42" s="493">
        <v>0</v>
      </c>
      <c r="F42" s="493">
        <v>154.06</v>
      </c>
    </row>
    <row r="43" spans="1:21" s="493" customFormat="1" ht="18" x14ac:dyDescent="0.3">
      <c r="A43" s="492" t="s">
        <v>14</v>
      </c>
      <c r="B43" s="493">
        <v>0</v>
      </c>
      <c r="C43" s="493">
        <v>0</v>
      </c>
      <c r="D43" s="493">
        <v>0</v>
      </c>
      <c r="E43" s="493">
        <v>0</v>
      </c>
      <c r="F43" s="493">
        <f ca="1">F42*'Company Profile'!G14</f>
        <v>128310.53484800001</v>
      </c>
    </row>
    <row r="44" spans="1:21" s="493" customFormat="1" ht="18" x14ac:dyDescent="0.3">
      <c r="A44" s="492" t="s">
        <v>519</v>
      </c>
      <c r="B44" s="493">
        <f>B43/'Balance Sheet-NBFCs'!B9</f>
        <v>0</v>
      </c>
      <c r="C44" s="493">
        <f>C43/'Balance Sheet-NBFCs'!C9</f>
        <v>0</v>
      </c>
      <c r="D44" s="493">
        <f>D43/'Balance Sheet-NBFCs'!D9</f>
        <v>0</v>
      </c>
      <c r="E44" s="493">
        <f>E43/'Balance Sheet-NBFCs'!E9</f>
        <v>0</v>
      </c>
      <c r="F44" s="493">
        <f ca="1">F43/'Balance Sheet-NBFCs'!F9</f>
        <v>10.48845668435035</v>
      </c>
      <c r="G44" s="493">
        <f>G43/'Balance Sheet-NBFCs'!G9</f>
        <v>0</v>
      </c>
      <c r="H44" s="493">
        <f>H43/'Balance Sheet-NBFCs'!H9</f>
        <v>0</v>
      </c>
      <c r="I44" s="493">
        <f>I43/'Balance Sheet-NBFCs'!I9</f>
        <v>0</v>
      </c>
      <c r="J44" s="493">
        <f>J43/'Balance Sheet-NBFCs'!J9</f>
        <v>0</v>
      </c>
      <c r="K44" s="493">
        <f>K43/'Balance Sheet-NBFCs'!K9</f>
        <v>0</v>
      </c>
      <c r="L44" s="493">
        <f>L43/'Balance Sheet-NBFCs'!L9</f>
        <v>0</v>
      </c>
      <c r="M44" s="493">
        <f>M43/'Balance Sheet-NBFCs'!M9</f>
        <v>0</v>
      </c>
      <c r="N44" s="493">
        <f>N43/'Balance Sheet-NBFCs'!N9</f>
        <v>0</v>
      </c>
      <c r="O44" s="493">
        <f>O43/'Balance Sheet-NBFCs'!O9</f>
        <v>0</v>
      </c>
      <c r="P44" s="493">
        <f>P43/'Balance Sheet-NBFCs'!P9</f>
        <v>0</v>
      </c>
    </row>
    <row r="45" spans="1:21" ht="18" x14ac:dyDescent="0.35">
      <c r="A45" s="229"/>
    </row>
  </sheetData>
  <mergeCells count="4">
    <mergeCell ref="A2:A3"/>
    <mergeCell ref="B2:F2"/>
    <mergeCell ref="G2:K2"/>
    <mergeCell ref="L2:P2"/>
  </mergeCells>
  <conditionalFormatting sqref="B20:P20">
    <cfRule type="colorScale" priority="10">
      <colorScale>
        <cfvo type="num" val="0.5"/>
        <cfvo type="num" val="0.6"/>
        <cfvo type="num" val="0.8"/>
        <color rgb="FF0070C0"/>
        <color rgb="FFFFEB84"/>
        <color rgb="FFF8696B"/>
      </colorScale>
    </cfRule>
  </conditionalFormatting>
  <conditionalFormatting sqref="B21:P21">
    <cfRule type="colorScale" priority="9">
      <colorScale>
        <cfvo type="num" val="2"/>
        <cfvo type="num" val="4"/>
        <cfvo type="num" val="7.5"/>
        <color rgb="FF0070C0"/>
        <color rgb="FFFFFF66"/>
        <color rgb="FFFF2F2F"/>
      </colorScale>
    </cfRule>
  </conditionalFormatting>
  <conditionalFormatting sqref="B22:P22">
    <cfRule type="colorScale" priority="8">
      <colorScale>
        <cfvo type="num" val="1"/>
        <cfvo type="num" val="1.2"/>
        <cfvo type="num" val="1.5"/>
        <color rgb="FFEA0000"/>
        <color rgb="FFFFEB84"/>
        <color rgb="FF00C057"/>
      </colorScale>
    </cfRule>
  </conditionalFormatting>
  <conditionalFormatting sqref="B24:P24">
    <cfRule type="colorScale" priority="6">
      <colorScale>
        <cfvo type="num" val="0"/>
        <cfvo type="num" val="2.5000000000000001E-2"/>
        <cfvo type="num" val="4.4999999999999998E-2"/>
        <color rgb="FF63BE7B"/>
        <color rgb="FFFFEB84"/>
        <color rgb="FFF8696B"/>
      </colorScale>
    </cfRule>
  </conditionalFormatting>
  <conditionalFormatting sqref="B27:P27">
    <cfRule type="colorScale" priority="3">
      <colorScale>
        <cfvo type="num" val="0"/>
        <cfvo type="num" val="1.2"/>
        <color rgb="FFF8696B"/>
        <color rgb="FF00C057"/>
      </colorScale>
    </cfRule>
  </conditionalFormatting>
  <conditionalFormatting sqref="B28:P28">
    <cfRule type="colorScale" priority="4">
      <colorScale>
        <cfvo type="num" val="0"/>
        <cfvo type="num" val="2"/>
        <color rgb="FFF8696B"/>
        <color rgb="FF00C057"/>
      </colorScale>
    </cfRule>
  </conditionalFormatting>
  <conditionalFormatting sqref="B30:P30">
    <cfRule type="colorScale" priority="1">
      <colorScale>
        <cfvo type="num" val="0"/>
        <cfvo type="num" val="0.15"/>
        <cfvo type="num" val="0.3"/>
        <color rgb="FFF8696B"/>
        <color rgb="FFFFEB84"/>
        <color rgb="FF63BE7B"/>
      </colorScale>
    </cfRule>
  </conditionalFormatting>
  <conditionalFormatting sqref="B17:Q17">
    <cfRule type="colorScale" priority="27">
      <colorScale>
        <cfvo type="num" val="9.5000000000000001E-2"/>
        <cfvo type="num" val="0.125"/>
        <color rgb="FFFFEF9C"/>
        <color rgb="FF63BE7B"/>
      </colorScale>
    </cfRule>
  </conditionalFormatting>
  <conditionalFormatting sqref="B5:U5">
    <cfRule type="colorScale" priority="29">
      <colorScale>
        <cfvo type="num" val="2.5000000000000001E-2"/>
        <cfvo type="num" val="4.4999999999999998E-2"/>
        <color rgb="FFFFEF9C"/>
        <color rgb="FF63BE7B"/>
      </colorScale>
    </cfRule>
  </conditionalFormatting>
  <conditionalFormatting sqref="B6:U6">
    <cfRule type="colorScale" priority="30">
      <colorScale>
        <cfvo type="num" val="7.4999999999999997E-3"/>
        <cfvo type="num" val="0.01"/>
        <color rgb="FFFFEF9C"/>
        <color rgb="FF63BE7B"/>
      </colorScale>
    </cfRule>
  </conditionalFormatting>
  <conditionalFormatting sqref="B7:U7">
    <cfRule type="colorScale" priority="35">
      <colorScale>
        <cfvo type="min"/>
        <cfvo type="max"/>
        <color rgb="FFFFEF9C"/>
        <color rgb="FF63BE7B"/>
      </colorScale>
    </cfRule>
    <cfRule type="colorScale" priority="36">
      <colorScale>
        <cfvo type="formula" val="&quot;&lt;10%&quot;"/>
        <cfvo type="percent" val="15"/>
        <cfvo type="formula" val="&quot;&gt;20%&quot;"/>
        <color rgb="FFF8696B"/>
        <color rgb="FFFFEB84"/>
        <color rgb="FF63BE7B"/>
      </colorScale>
    </cfRule>
  </conditionalFormatting>
  <conditionalFormatting sqref="B8:U8">
    <cfRule type="colorScale" priority="34">
      <colorScale>
        <cfvo type="num" val="0.5"/>
        <cfvo type="num" val="0.65"/>
        <cfvo type="num" val="0.75"/>
        <color rgb="FF63BE7B"/>
        <color rgb="FFFFEB84"/>
        <color rgb="FFF8696B"/>
      </colorScale>
    </cfRule>
  </conditionalFormatting>
  <conditionalFormatting sqref="B9:U10">
    <cfRule type="colorScale" priority="19">
      <colorScale>
        <cfvo type="min"/>
        <cfvo type="max"/>
        <color rgb="FFFFEF9C"/>
        <color rgb="FF63BE7B"/>
      </colorScale>
    </cfRule>
    <cfRule type="colorScale" priority="33">
      <colorScale>
        <cfvo type="num" val="0.2"/>
        <cfvo type="num" val="0.3"/>
        <cfvo type="num" val="0.4"/>
        <color rgb="FFF8696B"/>
        <color rgb="FFFFEB84"/>
        <color rgb="FF63BE7B"/>
      </colorScale>
    </cfRule>
  </conditionalFormatting>
  <conditionalFormatting sqref="B12:U13">
    <cfRule type="colorScale" priority="32">
      <colorScale>
        <cfvo type="min"/>
        <cfvo type="max"/>
        <color rgb="FF63BE7B"/>
        <color rgb="FFFFEF9C"/>
      </colorScale>
    </cfRule>
  </conditionalFormatting>
  <conditionalFormatting sqref="B13:U13">
    <cfRule type="colorScale" priority="20">
      <colorScale>
        <cfvo type="min"/>
        <cfvo type="max"/>
        <color rgb="FF63BE7B"/>
        <color rgb="FFFFEF9C"/>
      </colorScale>
    </cfRule>
  </conditionalFormatting>
  <conditionalFormatting sqref="B14:U14">
    <cfRule type="colorScale" priority="31">
      <colorScale>
        <cfvo type="num" val="0.6"/>
        <cfvo type="num" val="0.8"/>
        <color rgb="FFFFEF9C"/>
        <color rgb="FF63BE7B"/>
      </colorScale>
    </cfRule>
  </conditionalFormatting>
  <conditionalFormatting sqref="B16:U16">
    <cfRule type="colorScale" priority="28">
      <colorScale>
        <cfvo type="num" val="0.115"/>
        <cfvo type="num" val="0.15"/>
        <color rgb="FFFFEF9C"/>
        <color rgb="FF63BE7B"/>
      </colorScale>
    </cfRule>
  </conditionalFormatting>
  <conditionalFormatting sqref="B17:U18">
    <cfRule type="colorScale" priority="26">
      <colorScale>
        <cfvo type="num" val="0.06"/>
        <cfvo type="num" val="0.1"/>
        <color rgb="FFFFEF9C"/>
        <color rgb="FF63BE7B"/>
      </colorScale>
    </cfRule>
  </conditionalFormatting>
  <conditionalFormatting sqref="B25:U25">
    <cfRule type="colorScale" priority="21">
      <colorScale>
        <cfvo type="min"/>
        <cfvo type="max"/>
        <color rgb="FFFFEF9C"/>
        <color rgb="FF63BE7B"/>
      </colorScale>
    </cfRule>
  </conditionalFormatting>
  <conditionalFormatting sqref="B29:U29">
    <cfRule type="colorScale" priority="16">
      <colorScale>
        <cfvo type="min"/>
        <cfvo type="max"/>
        <color rgb="FFFFEF9C"/>
        <color rgb="FF63BE7B"/>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4903F-FE72-4A4E-9CC8-C5249DBE444B}">
  <sheetPr>
    <tabColor rgb="FF0070C0"/>
  </sheetPr>
  <dimension ref="A1:Q37"/>
  <sheetViews>
    <sheetView zoomScale="80" zoomScaleNormal="85" workbookViewId="0">
      <selection activeCell="Q26" sqref="Q26"/>
    </sheetView>
  </sheetViews>
  <sheetFormatPr defaultRowHeight="14.4" x14ac:dyDescent="0.3"/>
  <cols>
    <col min="1" max="1" width="9.88671875" style="43" bestFit="1" customWidth="1"/>
    <col min="2" max="2" width="17.5546875" style="43" bestFit="1" customWidth="1"/>
    <col min="3" max="7" width="12.88671875" style="43" bestFit="1" customWidth="1"/>
    <col min="8" max="8" width="7.21875" style="43" bestFit="1" customWidth="1"/>
    <col min="9" max="9" width="8.88671875" style="43"/>
    <col min="10" max="10" width="9.21875" style="43" bestFit="1" customWidth="1"/>
    <col min="11" max="11" width="18.5546875" style="43" bestFit="1" customWidth="1"/>
    <col min="12" max="16" width="11.33203125" style="43" bestFit="1" customWidth="1"/>
    <col min="17" max="17" width="7" style="43" bestFit="1" customWidth="1"/>
    <col min="18" max="16384" width="8.88671875" style="43"/>
  </cols>
  <sheetData>
    <row r="1" spans="1:17" ht="15" thickBot="1" x14ac:dyDescent="0.35"/>
    <row r="2" spans="1:17" ht="15" thickBot="1" x14ac:dyDescent="0.35">
      <c r="A2" s="455" t="s">
        <v>427</v>
      </c>
      <c r="B2" s="456" t="s">
        <v>510</v>
      </c>
      <c r="C2" s="457" t="s">
        <v>331</v>
      </c>
      <c r="D2" s="457" t="s">
        <v>332</v>
      </c>
      <c r="E2" s="457" t="s">
        <v>333</v>
      </c>
      <c r="F2" s="457" t="s">
        <v>334</v>
      </c>
      <c r="G2" s="457" t="s">
        <v>335</v>
      </c>
      <c r="H2" s="458" t="s">
        <v>494</v>
      </c>
      <c r="J2" s="472" t="s">
        <v>427</v>
      </c>
      <c r="K2" s="459" t="s">
        <v>510</v>
      </c>
      <c r="L2" s="460" t="s">
        <v>331</v>
      </c>
      <c r="M2" s="460" t="s">
        <v>332</v>
      </c>
      <c r="N2" s="460" t="s">
        <v>333</v>
      </c>
      <c r="O2" s="460" t="s">
        <v>334</v>
      </c>
      <c r="P2" s="460" t="s">
        <v>335</v>
      </c>
      <c r="Q2" s="474" t="s">
        <v>494</v>
      </c>
    </row>
    <row r="3" spans="1:17" x14ac:dyDescent="0.3">
      <c r="A3" s="444" t="s">
        <v>5</v>
      </c>
      <c r="B3" s="450" t="s">
        <v>401</v>
      </c>
      <c r="C3" s="438">
        <f>'Income Statement-Banks'!B15</f>
        <v>1853.1104999999936</v>
      </c>
      <c r="D3" s="438">
        <f>'Income Statement-Banks'!C15</f>
        <v>7195.4999999999991</v>
      </c>
      <c r="E3" s="438">
        <f>'Income Statement-Banks'!D15</f>
        <v>14119.290000000006</v>
      </c>
      <c r="F3" s="438">
        <f>'Income Statement-Banks'!E15</f>
        <v>10818.44999999999</v>
      </c>
      <c r="G3" s="438">
        <f>'Income Statement-Banks'!F15</f>
        <v>26386.200000000008</v>
      </c>
      <c r="H3" s="461">
        <f>(G3/C3)^(1/5)-1</f>
        <v>0.70096393938249224</v>
      </c>
      <c r="J3" s="450" t="s">
        <v>492</v>
      </c>
      <c r="K3" s="467" t="s">
        <v>401</v>
      </c>
      <c r="L3" s="438">
        <f>'Income Statement-NBFCs'!B33</f>
        <v>421.33000000000027</v>
      </c>
      <c r="M3" s="438">
        <f>'Income Statement-NBFCs'!C33</f>
        <v>453.18999999999983</v>
      </c>
      <c r="N3" s="438">
        <f>'Income Statement-NBFCs'!D33</f>
        <v>709.61999999999921</v>
      </c>
      <c r="O3" s="438">
        <f>'Income Statement-NBFCs'!E33</f>
        <v>1257.8000000000004</v>
      </c>
      <c r="P3" s="438">
        <f>'Income Statement-NBFCs'!F33</f>
        <v>1731.219999999998</v>
      </c>
      <c r="Q3" s="480">
        <f>(Table4[[#This Row],[2024]]/Table4[[#This Row],[2020]])^(1/5)-1</f>
        <v>0.32661827433379687</v>
      </c>
    </row>
    <row r="4" spans="1:17" x14ac:dyDescent="0.3">
      <c r="A4" s="445" t="s">
        <v>5</v>
      </c>
      <c r="B4" s="451" t="s">
        <v>513</v>
      </c>
      <c r="C4" s="439">
        <f>'Income Statement-Banks'!B7</f>
        <v>80057.67</v>
      </c>
      <c r="D4" s="439">
        <f>'Income Statement-Banks'!C7</f>
        <v>77974.28</v>
      </c>
      <c r="E4" s="439">
        <f>'Income Statement-Banks'!D7</f>
        <v>86114.19</v>
      </c>
      <c r="F4" s="439">
        <f>'Income Statement-Banks'!E7</f>
        <v>105797.29999999999</v>
      </c>
      <c r="G4" s="439">
        <f>'Income Statement-Banks'!F7</f>
        <v>137989.36000000002</v>
      </c>
      <c r="H4" s="462">
        <f t="shared" ref="H4:H6" si="0">(G4/C4)^(1/5)-1</f>
        <v>0.11503507983592964</v>
      </c>
      <c r="J4" s="451" t="s">
        <v>492</v>
      </c>
      <c r="K4" s="468" t="s">
        <v>513</v>
      </c>
      <c r="L4" s="439">
        <f>'Income Statement-NBFCs'!B12</f>
        <v>2646.02</v>
      </c>
      <c r="M4" s="439">
        <f>'Income Statement-NBFCs'!C12</f>
        <v>3154.7</v>
      </c>
      <c r="N4" s="439">
        <f>'Income Statement-NBFCs'!D12</f>
        <v>3766.66</v>
      </c>
      <c r="O4" s="439">
        <f>'Income Statement-NBFCs'!E12</f>
        <v>5664.7300000000005</v>
      </c>
      <c r="P4" s="439">
        <f>'Income Statement-NBFCs'!F12</f>
        <v>7617.3099999999986</v>
      </c>
      <c r="Q4" s="479">
        <f>(Table4[[#This Row],[2024]]/Table4[[#This Row],[2020]])^(1/5)-1</f>
        <v>0.23549701813037105</v>
      </c>
    </row>
    <row r="5" spans="1:17" x14ac:dyDescent="0.3">
      <c r="A5" s="445" t="s">
        <v>5</v>
      </c>
      <c r="B5" s="451" t="s">
        <v>514</v>
      </c>
      <c r="C5" s="439">
        <f>'Balance Sheet-Banks'!B79</f>
        <v>927871.69</v>
      </c>
      <c r="D5" s="439">
        <f>AVERAGE('Balance Sheet-Banks'!B79:C79)</f>
        <v>964488.11499999999</v>
      </c>
      <c r="E5" s="439">
        <f>AVERAGE('Balance Sheet-Banks'!C79:D79)</f>
        <v>1098316.5250000001</v>
      </c>
      <c r="F5" s="439">
        <f>AVERAGE('Balance Sheet-Banks'!D79:E79)</f>
        <v>1269973.2350000001</v>
      </c>
      <c r="G5" s="439">
        <f>AVERAGE('Balance Sheet-Banks'!E79:F79)</f>
        <v>1431328.2450000001</v>
      </c>
      <c r="H5" s="462">
        <f t="shared" si="0"/>
        <v>9.0561755316594494E-2</v>
      </c>
      <c r="J5" s="451" t="s">
        <v>492</v>
      </c>
      <c r="K5" s="469" t="s">
        <v>514</v>
      </c>
      <c r="L5" s="439">
        <f>'Balance Sheet-NBFCs'!B37</f>
        <v>31372.419999999995</v>
      </c>
      <c r="M5" s="439">
        <f>AVERAGE('Balance Sheet-NBFCs'!B37:C37)</f>
        <v>34614.909999999996</v>
      </c>
      <c r="N5" s="439">
        <f>AVERAGE('Balance Sheet-NBFCs'!C37:D37)</f>
        <v>43192.240000000005</v>
      </c>
      <c r="O5" s="439">
        <f>AVERAGE('Balance Sheet-NBFCs'!D37:E37)</f>
        <v>56590.61</v>
      </c>
      <c r="P5" s="439">
        <f>AVERAGE('Balance Sheet-NBFCs'!E37:F37)</f>
        <v>73240.615000000005</v>
      </c>
      <c r="Q5" s="479">
        <f>(Table4[[#This Row],[2024]]/Table4[[#This Row],[2020]])^(1/5)-1</f>
        <v>0.18478839706622696</v>
      </c>
    </row>
    <row r="6" spans="1:17" s="1" customFormat="1" ht="43.2" x14ac:dyDescent="0.3">
      <c r="A6" s="446" t="s">
        <v>5</v>
      </c>
      <c r="B6" s="452" t="s">
        <v>515</v>
      </c>
      <c r="C6" s="440">
        <f>'Balance Sheet-Banks'!B9</f>
        <v>86453.97</v>
      </c>
      <c r="D6" s="440">
        <f>AVERAGE('Balance Sheet-Banks'!B9:C9)</f>
        <v>95110.709999999992</v>
      </c>
      <c r="E6" s="440">
        <f>AVERAGE('Balance Sheet-Banks'!C9:D9)</f>
        <v>111144.73000000001</v>
      </c>
      <c r="F6" s="440">
        <f>AVERAGE('Balance Sheet-Banks'!D9:E9)</f>
        <v>124348.55499999999</v>
      </c>
      <c r="G6" s="440">
        <f>AVERAGE('Balance Sheet-Banks'!E9:F9)</f>
        <v>143849.03</v>
      </c>
      <c r="H6" s="462">
        <f t="shared" si="0"/>
        <v>0.10719572264218136</v>
      </c>
      <c r="J6" s="451" t="s">
        <v>492</v>
      </c>
      <c r="K6" s="470" t="s">
        <v>515</v>
      </c>
      <c r="L6" s="440">
        <f>'Balance Sheet-NBFCs'!B9</f>
        <v>5585.13</v>
      </c>
      <c r="M6" s="440">
        <f>AVERAGE('Balance Sheet-NBFCs'!B9:C9)</f>
        <v>5808.6750000000002</v>
      </c>
      <c r="N6" s="440">
        <f>AVERAGE('Balance Sheet-NBFCs'!C9:D9)</f>
        <v>6386.79</v>
      </c>
      <c r="O6" s="439">
        <f>AVERAGE('Balance Sheet-NBFCs'!D9:E9)</f>
        <v>8622.2749999999996</v>
      </c>
      <c r="P6" s="440">
        <f>AVERAGE('Balance Sheet-NBFCs'!E9:F9)</f>
        <v>11368.345000000001</v>
      </c>
      <c r="Q6" s="479">
        <f>(Table4[[#This Row],[2024]]/Table4[[#This Row],[2020]])^(1/5)-1</f>
        <v>0.15274379113761927</v>
      </c>
    </row>
    <row r="7" spans="1:17" x14ac:dyDescent="0.3">
      <c r="A7" s="446" t="s">
        <v>5</v>
      </c>
      <c r="B7" s="451" t="s">
        <v>509</v>
      </c>
      <c r="C7" s="441">
        <f>C3/C4</f>
        <v>2.3147195015792911E-2</v>
      </c>
      <c r="D7" s="441">
        <f t="shared" ref="D7:G7" si="1">D3/D4</f>
        <v>9.2280428879881915E-2</v>
      </c>
      <c r="E7" s="441">
        <f t="shared" si="1"/>
        <v>0.16396008602066636</v>
      </c>
      <c r="F7" s="441">
        <f t="shared" si="1"/>
        <v>0.10225639028595239</v>
      </c>
      <c r="G7" s="441">
        <f t="shared" si="1"/>
        <v>0.19121909109513954</v>
      </c>
      <c r="H7" s="462">
        <f>AVERAGE(C7:G7)</f>
        <v>0.11457263825948663</v>
      </c>
      <c r="J7" s="451" t="s">
        <v>492</v>
      </c>
      <c r="K7" s="469" t="s">
        <v>509</v>
      </c>
      <c r="L7" s="477">
        <f>L3/L4</f>
        <v>0.15923160066817343</v>
      </c>
      <c r="M7" s="477">
        <f t="shared" ref="M7:P7" si="2">M3/M4</f>
        <v>0.14365549814562395</v>
      </c>
      <c r="N7" s="477">
        <f t="shared" si="2"/>
        <v>0.18839502370800637</v>
      </c>
      <c r="O7" s="477">
        <f t="shared" si="2"/>
        <v>0.22204059151980771</v>
      </c>
      <c r="P7" s="477">
        <f t="shared" si="2"/>
        <v>0.22727445778102745</v>
      </c>
      <c r="Q7" s="479">
        <f>AVERAGE(Table4[[#This Row],[2020]:[2024]])</f>
        <v>0.18811943436452777</v>
      </c>
    </row>
    <row r="8" spans="1:17" x14ac:dyDescent="0.3">
      <c r="A8" s="446" t="s">
        <v>5</v>
      </c>
      <c r="B8" s="451" t="s">
        <v>511</v>
      </c>
      <c r="C8" s="441">
        <f>C4/C5</f>
        <v>8.6280970594113077E-2</v>
      </c>
      <c r="D8" s="441">
        <f t="shared" ref="D8:G8" si="3">D4/D5</f>
        <v>8.0845247118467606E-2</v>
      </c>
      <c r="E8" s="441">
        <f t="shared" si="3"/>
        <v>7.840562173094863E-2</v>
      </c>
      <c r="F8" s="441">
        <f t="shared" si="3"/>
        <v>8.3306716302568362E-2</v>
      </c>
      <c r="G8" s="441">
        <f t="shared" si="3"/>
        <v>9.6406509465618767E-2</v>
      </c>
      <c r="H8" s="462">
        <f t="shared" ref="H8:H10" si="4">AVERAGE(C8:G8)</f>
        <v>8.5049013042343288E-2</v>
      </c>
      <c r="J8" s="451" t="s">
        <v>492</v>
      </c>
      <c r="K8" s="468" t="s">
        <v>511</v>
      </c>
      <c r="L8" s="477">
        <f>L4/L5</f>
        <v>8.4342234357438803E-2</v>
      </c>
      <c r="M8" s="477">
        <f t="shared" ref="M8:P8" si="5">M4/M5</f>
        <v>9.1137027367686363E-2</v>
      </c>
      <c r="N8" s="477">
        <f t="shared" si="5"/>
        <v>8.7206868641218876E-2</v>
      </c>
      <c r="O8" s="477">
        <f t="shared" si="5"/>
        <v>0.1001001756298439</v>
      </c>
      <c r="P8" s="477">
        <f t="shared" si="5"/>
        <v>0.10400390548331685</v>
      </c>
      <c r="Q8" s="479">
        <f>AVERAGE(Table4[[#This Row],[2020]:[2024]])</f>
        <v>9.3358042295900959E-2</v>
      </c>
    </row>
    <row r="9" spans="1:17" x14ac:dyDescent="0.3">
      <c r="A9" s="446" t="s">
        <v>5</v>
      </c>
      <c r="B9" s="451" t="s">
        <v>512</v>
      </c>
      <c r="C9" s="439">
        <f>C5/C6</f>
        <v>10.732551553155973</v>
      </c>
      <c r="D9" s="439">
        <f t="shared" ref="D9:G9" si="6">D5/D6</f>
        <v>10.140688835148008</v>
      </c>
      <c r="E9" s="439">
        <f t="shared" si="6"/>
        <v>9.881858770991661</v>
      </c>
      <c r="F9" s="439">
        <f t="shared" si="6"/>
        <v>10.213011602748422</v>
      </c>
      <c r="G9" s="439">
        <f t="shared" si="6"/>
        <v>9.9502113083418084</v>
      </c>
      <c r="H9" s="463">
        <f t="shared" si="4"/>
        <v>10.183664414077175</v>
      </c>
      <c r="J9" s="451" t="s">
        <v>492</v>
      </c>
      <c r="K9" s="469" t="s">
        <v>512</v>
      </c>
      <c r="L9" s="439">
        <f>L5/L6</f>
        <v>5.6171333523122993</v>
      </c>
      <c r="M9" s="439">
        <f t="shared" ref="M9:P9" si="7">M5/M6</f>
        <v>5.9591748548507182</v>
      </c>
      <c r="N9" s="439">
        <f t="shared" si="7"/>
        <v>6.7627462308922022</v>
      </c>
      <c r="O9" s="439">
        <f t="shared" si="7"/>
        <v>6.5633037684369846</v>
      </c>
      <c r="P9" s="439">
        <f t="shared" si="7"/>
        <v>6.4425046037923721</v>
      </c>
      <c r="Q9" s="463">
        <f>AVERAGE(Table4[[#This Row],[2020]:[2024]])</f>
        <v>6.2689725620569146</v>
      </c>
    </row>
    <row r="10" spans="1:17" ht="15" thickBot="1" x14ac:dyDescent="0.35">
      <c r="A10" s="449" t="s">
        <v>5</v>
      </c>
      <c r="B10" s="453" t="s">
        <v>302</v>
      </c>
      <c r="C10" s="443">
        <f>C7*C8*C9</f>
        <v>2.1434648981417437E-2</v>
      </c>
      <c r="D10" s="443">
        <f t="shared" ref="D10:G10" si="8">D7*D8*D9</f>
        <v>7.5653940549912826E-2</v>
      </c>
      <c r="E10" s="443">
        <f t="shared" si="8"/>
        <v>0.12703517296771519</v>
      </c>
      <c r="F10" s="443">
        <f t="shared" si="8"/>
        <v>8.700101098882887E-2</v>
      </c>
      <c r="G10" s="443">
        <f t="shared" si="8"/>
        <v>0.18342980832057057</v>
      </c>
      <c r="H10" s="464">
        <f t="shared" si="4"/>
        <v>9.8910916361688986E-2</v>
      </c>
      <c r="J10" s="451" t="s">
        <v>492</v>
      </c>
      <c r="K10" s="471" t="s">
        <v>302</v>
      </c>
      <c r="L10" s="482">
        <f>L7*L8*L9</f>
        <v>7.5437814339147022E-2</v>
      </c>
      <c r="M10" s="482">
        <f t="shared" ref="M10:P10" si="9">M7*M8*M9</f>
        <v>7.8019513916684935E-2</v>
      </c>
      <c r="N10" s="482">
        <f t="shared" si="9"/>
        <v>0.11110745773698515</v>
      </c>
      <c r="O10" s="482">
        <f t="shared" si="9"/>
        <v>0.14587797304075786</v>
      </c>
      <c r="P10" s="482">
        <f t="shared" si="9"/>
        <v>0.15228425949423577</v>
      </c>
      <c r="Q10" s="485">
        <f>AVERAGE(Table4[[#This Row],[2020]:[2024]])</f>
        <v>0.11254540370556214</v>
      </c>
    </row>
    <row r="11" spans="1:17" x14ac:dyDescent="0.3">
      <c r="A11" s="445" t="s">
        <v>3</v>
      </c>
      <c r="B11" s="451" t="s">
        <v>401</v>
      </c>
      <c r="C11" s="442">
        <f>'Income Statement-Banks'!G15</f>
        <v>27253.950600000015</v>
      </c>
      <c r="D11" s="442">
        <f>'Income Statement-Banks'!H15</f>
        <v>31833.209099999985</v>
      </c>
      <c r="E11" s="442">
        <f>'Income Statement-Banks'!I15</f>
        <v>38052.749999999978</v>
      </c>
      <c r="F11" s="442">
        <f>'Income Statement-Banks'!J15</f>
        <v>45997.109999999986</v>
      </c>
      <c r="G11" s="442">
        <f>'Income Statement-Banks'!K15</f>
        <v>64062.04</v>
      </c>
      <c r="H11" s="462">
        <f>(Table3[[#This Row],[2024]]/Table3[[#This Row],[2020]])^(1/5)-1</f>
        <v>0.18640852855323398</v>
      </c>
      <c r="J11" s="450" t="s">
        <v>516</v>
      </c>
      <c r="K11" s="467" t="s">
        <v>401</v>
      </c>
      <c r="L11" s="438">
        <f>'Income Statement-NBFCs'!G33</f>
        <v>5263.7500000000027</v>
      </c>
      <c r="M11" s="438">
        <f>'Income Statement-NBFCs'!H33</f>
        <v>4419.8200000000052</v>
      </c>
      <c r="N11" s="438">
        <f>'Income Statement-NBFCs'!I33</f>
        <v>7028.2300000000032</v>
      </c>
      <c r="O11" s="438">
        <f>'Income Statement-NBFCs'!J33</f>
        <v>11507.689999999995</v>
      </c>
      <c r="P11" s="438">
        <f>'Income Statement-NBFCs'!K33</f>
        <v>14451.169999999991</v>
      </c>
      <c r="Q11" s="480">
        <f>(Table4[[#This Row],[2024]]/Table4[[#This Row],[2020]])^(1/5)-1</f>
        <v>0.22383128547947573</v>
      </c>
    </row>
    <row r="12" spans="1:17" x14ac:dyDescent="0.3">
      <c r="A12" s="445" t="s">
        <v>3</v>
      </c>
      <c r="B12" s="451" t="s">
        <v>513</v>
      </c>
      <c r="C12" s="442">
        <f>'Income Statement-Banks'!G7</f>
        <v>147068.26630000002</v>
      </c>
      <c r="D12" s="442">
        <f>'Income Statement-Banks'!H7</f>
        <v>155885.27359999999</v>
      </c>
      <c r="E12" s="442">
        <f>'Income Statement-Banks'!I7</f>
        <v>167695.4</v>
      </c>
      <c r="F12" s="442">
        <f>'Income Statement-Banks'!J7</f>
        <v>204666.09999999998</v>
      </c>
      <c r="G12" s="442">
        <f>'Income Statement-Banks'!K7</f>
        <v>407994.77</v>
      </c>
      <c r="H12" s="462">
        <f>(Table3[[#This Row],[2024]]/Table3[[#This Row],[2020]])^(1/5)-1</f>
        <v>0.22638583203171381</v>
      </c>
      <c r="J12" s="451" t="s">
        <v>516</v>
      </c>
      <c r="K12" s="468" t="s">
        <v>513</v>
      </c>
      <c r="L12" s="439">
        <f>'Income Statement-NBFCs'!G14</f>
        <v>26385.630000000005</v>
      </c>
      <c r="M12" s="439">
        <f>'Income Statement-NBFCs'!H12</f>
        <v>26668.100000000002</v>
      </c>
      <c r="N12" s="439">
        <f>'Income Statement-NBFCs'!I12</f>
        <v>31632.42</v>
      </c>
      <c r="O12" s="439">
        <f>'Income Statement-NBFCs'!J12</f>
        <v>41410.159999999996</v>
      </c>
      <c r="P12" s="439">
        <f>'Income Statement-NBFCs'!K12</f>
        <v>54969.49</v>
      </c>
      <c r="Q12" s="479">
        <f>(Table4[[#This Row],[2024]]/Table4[[#This Row],[2020]])^(1/5)-1</f>
        <v>0.1581127633109578</v>
      </c>
    </row>
    <row r="13" spans="1:17" x14ac:dyDescent="0.3">
      <c r="A13" s="445" t="s">
        <v>3</v>
      </c>
      <c r="B13" s="451" t="s">
        <v>514</v>
      </c>
      <c r="C13" s="442">
        <f>'Balance Sheet-Banks'!G79</f>
        <v>1580820.31</v>
      </c>
      <c r="D13" s="442">
        <f>AVERAGE('Balance Sheet-Banks'!G79:H79)</f>
        <v>1690163.4345</v>
      </c>
      <c r="E13" s="442">
        <f>AVERAGE('Balance Sheet-Banks'!H79:I79)</f>
        <v>1961146.0345000001</v>
      </c>
      <c r="F13" s="442">
        <f>AVERAGE('Balance Sheet-Banks'!I79:J79)</f>
        <v>2326534.58</v>
      </c>
      <c r="G13" s="442">
        <f>AVERAGE('Balance Sheet-Banks'!J79:K79)</f>
        <v>3280238.95</v>
      </c>
      <c r="H13" s="462">
        <f>(Table3[[#This Row],[2024]]/Table3[[#This Row],[2020]])^(1/5)-1</f>
        <v>0.15718979444340642</v>
      </c>
      <c r="J13" s="451" t="s">
        <v>516</v>
      </c>
      <c r="K13" s="469" t="s">
        <v>514</v>
      </c>
      <c r="L13" s="439">
        <f>'Balance Sheet-NBFCs'!G37</f>
        <v>164391.37</v>
      </c>
      <c r="M13" s="439">
        <f>AVERAGE('Balance Sheet-NBFCs'!G37:H37)</f>
        <v>167930.88500000001</v>
      </c>
      <c r="N13" s="439">
        <f>AVERAGE('Balance Sheet-NBFCs'!H37:I37)</f>
        <v>191987.87999999998</v>
      </c>
      <c r="O13" s="439">
        <f>AVERAGE('Balance Sheet-NBFCs'!I37:J37)</f>
        <v>243865.83500000002</v>
      </c>
      <c r="P13" s="439">
        <f>AVERAGE('Balance Sheet-NBFCs'!J37:K37)</f>
        <v>325483.96500000003</v>
      </c>
      <c r="Q13" s="479">
        <f>(Table4[[#This Row],[2024]]/Table4[[#This Row],[2020]])^(1/5)-1</f>
        <v>0.14638400158978082</v>
      </c>
    </row>
    <row r="14" spans="1:17" ht="43.2" x14ac:dyDescent="0.3">
      <c r="A14" s="445" t="s">
        <v>3</v>
      </c>
      <c r="B14" s="452" t="s">
        <v>515</v>
      </c>
      <c r="C14" s="442">
        <f>'Balance Sheet-Banks'!G9</f>
        <v>176935.33000000002</v>
      </c>
      <c r="D14" s="442">
        <f>AVERAGE('Balance Sheet-Banks'!G9:H9)</f>
        <v>193689.13500000001</v>
      </c>
      <c r="E14" s="442">
        <f>AVERAGE('Balance Sheet-Banks'!H9:I9)</f>
        <v>229244.76</v>
      </c>
      <c r="F14" s="442">
        <f>AVERAGE('Balance Sheet-Banks'!I9:J9)</f>
        <v>269172.17</v>
      </c>
      <c r="G14" s="442">
        <f>AVERAGE('Balance Sheet-Banks'!J9:K9)</f>
        <v>380038.20500000002</v>
      </c>
      <c r="H14" s="462">
        <f>(Table3[[#This Row],[2024]]/Table3[[#This Row],[2020]])^(1/5)-1</f>
        <v>0.16520553658803716</v>
      </c>
      <c r="J14" s="451" t="s">
        <v>516</v>
      </c>
      <c r="K14" s="470" t="s">
        <v>515</v>
      </c>
      <c r="L14" s="439">
        <f>'Balance Sheet-NBFCs'!G9</f>
        <v>32327.63</v>
      </c>
      <c r="M14" s="439">
        <f>AVERAGE('Balance Sheet-NBFCs'!G9:H9)</f>
        <v>34623.019999999997</v>
      </c>
      <c r="N14" s="439">
        <f>AVERAGE('Balance Sheet-NBFCs'!H9:I9)</f>
        <v>40315.550000000003</v>
      </c>
      <c r="O14" s="439">
        <f>AVERAGE('Balance Sheet-NBFCs'!I9:J9)</f>
        <v>49042.334999999999</v>
      </c>
      <c r="P14" s="439">
        <f>AVERAGE('Balance Sheet-NBFCs'!J9:K9)</f>
        <v>65533.665000000001</v>
      </c>
      <c r="Q14" s="479">
        <f>(Table4[[#This Row],[2024]]/Table4[[#This Row],[2020]])^(1/5)-1</f>
        <v>0.15180276826104833</v>
      </c>
    </row>
    <row r="15" spans="1:17" x14ac:dyDescent="0.3">
      <c r="A15" s="445" t="s">
        <v>3</v>
      </c>
      <c r="B15" s="451" t="s">
        <v>509</v>
      </c>
      <c r="C15" s="441">
        <f>C11/C12</f>
        <v>0.18531496485044247</v>
      </c>
      <c r="D15" s="441">
        <f t="shared" ref="D15:G15" si="10">D11/D12</f>
        <v>0.20420921338396386</v>
      </c>
      <c r="E15" s="441">
        <f t="shared" si="10"/>
        <v>0.2269158843951592</v>
      </c>
      <c r="F15" s="441">
        <f t="shared" si="10"/>
        <v>0.22474220205495679</v>
      </c>
      <c r="G15" s="441">
        <f t="shared" si="10"/>
        <v>0.15701681666164494</v>
      </c>
      <c r="H15" s="462">
        <f t="shared" ref="H15:H18" si="11">AVERAGE(C15:G15)</f>
        <v>0.19963981626923344</v>
      </c>
      <c r="J15" s="451" t="s">
        <v>516</v>
      </c>
      <c r="K15" s="469" t="s">
        <v>509</v>
      </c>
      <c r="L15" s="441">
        <f>L11/L12</f>
        <v>0.1994930573952565</v>
      </c>
      <c r="M15" s="441">
        <f t="shared" ref="M15:P15" si="12">M11/M12</f>
        <v>0.16573434177912955</v>
      </c>
      <c r="N15" s="441">
        <f t="shared" si="12"/>
        <v>0.22218439183597094</v>
      </c>
      <c r="O15" s="441">
        <f t="shared" si="12"/>
        <v>0.27789532810305478</v>
      </c>
      <c r="P15" s="441">
        <f t="shared" si="12"/>
        <v>0.26289438013705407</v>
      </c>
      <c r="Q15" s="462">
        <f>AVERAGE(Table4[[#This Row],[2020]:[2024]])</f>
        <v>0.22564029985009318</v>
      </c>
    </row>
    <row r="16" spans="1:17" x14ac:dyDescent="0.3">
      <c r="A16" s="445" t="s">
        <v>3</v>
      </c>
      <c r="B16" s="451" t="s">
        <v>511</v>
      </c>
      <c r="C16" s="441">
        <f>C12/C13</f>
        <v>9.3032880062124207E-2</v>
      </c>
      <c r="D16" s="441">
        <f t="shared" ref="D16:G16" si="13">D12/D13</f>
        <v>9.2230887509476528E-2</v>
      </c>
      <c r="E16" s="441">
        <f t="shared" si="13"/>
        <v>8.5508879527553608E-2</v>
      </c>
      <c r="F16" s="441">
        <f t="shared" si="13"/>
        <v>8.7970366638608036E-2</v>
      </c>
      <c r="G16" s="441">
        <f t="shared" si="13"/>
        <v>0.12437958826139785</v>
      </c>
      <c r="H16" s="462">
        <f t="shared" si="11"/>
        <v>9.6624520399832034E-2</v>
      </c>
      <c r="J16" s="451" t="s">
        <v>516</v>
      </c>
      <c r="K16" s="468" t="s">
        <v>511</v>
      </c>
      <c r="L16" s="441">
        <f>L12/L13</f>
        <v>0.16050495838072282</v>
      </c>
      <c r="M16" s="441">
        <f t="shared" ref="M16:P16" si="14">M12/M13</f>
        <v>0.1588040222618966</v>
      </c>
      <c r="N16" s="441">
        <f t="shared" si="14"/>
        <v>0.16476258813837624</v>
      </c>
      <c r="O16" s="441">
        <f t="shared" si="14"/>
        <v>0.16980714006125538</v>
      </c>
      <c r="P16" s="441">
        <f t="shared" si="14"/>
        <v>0.16888540115947032</v>
      </c>
      <c r="Q16" s="462">
        <f>AVERAGE(Table4[[#This Row],[2020]:[2024]])</f>
        <v>0.16455282200034427</v>
      </c>
    </row>
    <row r="17" spans="1:17" x14ac:dyDescent="0.3">
      <c r="A17" s="445" t="s">
        <v>3</v>
      </c>
      <c r="B17" s="451" t="s">
        <v>512</v>
      </c>
      <c r="C17" s="439">
        <f>C13/C14</f>
        <v>8.9344525482841668</v>
      </c>
      <c r="D17" s="439">
        <f t="shared" ref="D17:G17" si="15">D13/D14</f>
        <v>8.726165432562853</v>
      </c>
      <c r="E17" s="439">
        <f t="shared" si="15"/>
        <v>8.554812919169887</v>
      </c>
      <c r="F17" s="439">
        <f t="shared" si="15"/>
        <v>8.6432954045732142</v>
      </c>
      <c r="G17" s="439">
        <f t="shared" si="15"/>
        <v>8.6313399727798412</v>
      </c>
      <c r="H17" s="463">
        <f t="shared" si="11"/>
        <v>8.6980132554739917</v>
      </c>
      <c r="J17" s="451" t="s">
        <v>516</v>
      </c>
      <c r="K17" s="469" t="s">
        <v>512</v>
      </c>
      <c r="L17" s="439">
        <f>L13/L14</f>
        <v>5.0851661566282464</v>
      </c>
      <c r="M17" s="439">
        <f t="shared" ref="M17:P17" si="16">M13/M14</f>
        <v>4.8502668167017209</v>
      </c>
      <c r="N17" s="439">
        <f t="shared" si="16"/>
        <v>4.7621297489430248</v>
      </c>
      <c r="O17" s="439">
        <f t="shared" si="16"/>
        <v>4.9725575872355998</v>
      </c>
      <c r="P17" s="439">
        <f t="shared" si="16"/>
        <v>4.9666681239329442</v>
      </c>
      <c r="Q17" s="463">
        <f>AVERAGE(Table4[[#This Row],[2020]:[2024]])</f>
        <v>4.9273576866883069</v>
      </c>
    </row>
    <row r="18" spans="1:17" ht="15" thickBot="1" x14ac:dyDescent="0.35">
      <c r="A18" s="445" t="s">
        <v>3</v>
      </c>
      <c r="B18" s="454" t="s">
        <v>302</v>
      </c>
      <c r="C18" s="448">
        <f>C15*C16*C17</f>
        <v>0.15403340079112529</v>
      </c>
      <c r="D18" s="448">
        <f t="shared" ref="D18:G18" si="17">D15*D16*D17</f>
        <v>0.16435206393998292</v>
      </c>
      <c r="E18" s="448">
        <f t="shared" si="17"/>
        <v>0.1659917984603006</v>
      </c>
      <c r="F18" s="448">
        <f t="shared" si="17"/>
        <v>0.17088360211978817</v>
      </c>
      <c r="G18" s="448">
        <f t="shared" si="17"/>
        <v>0.16856736811500303</v>
      </c>
      <c r="H18" s="465">
        <f t="shared" si="11"/>
        <v>0.16476564668524002</v>
      </c>
      <c r="J18" s="451" t="s">
        <v>516</v>
      </c>
      <c r="K18" s="471" t="s">
        <v>302</v>
      </c>
      <c r="L18" s="443">
        <f>L15*L16*L17</f>
        <v>0.16282511275958067</v>
      </c>
      <c r="M18" s="443">
        <f t="shared" ref="M18:P18" si="18">M15*M16*M17</f>
        <v>0.12765553091555862</v>
      </c>
      <c r="N18" s="443">
        <f t="shared" si="18"/>
        <v>0.17433050026602645</v>
      </c>
      <c r="O18" s="443">
        <f t="shared" si="18"/>
        <v>0.2346480851696803</v>
      </c>
      <c r="P18" s="443">
        <f t="shared" si="18"/>
        <v>0.22051521153288151</v>
      </c>
      <c r="Q18" s="465">
        <f>AVERAGE(Table4[[#This Row],[2020]:[2024]])</f>
        <v>0.18399488812874551</v>
      </c>
    </row>
    <row r="19" spans="1:17" x14ac:dyDescent="0.3">
      <c r="A19" s="444" t="s">
        <v>4</v>
      </c>
      <c r="B19" s="450" t="s">
        <v>401</v>
      </c>
      <c r="C19" s="438">
        <f>'Income Statement-Banks'!L15</f>
        <v>9566.3077999999932</v>
      </c>
      <c r="D19" s="438">
        <f>'Income Statement-Banks'!M15</f>
        <v>16192.684100000013</v>
      </c>
      <c r="E19" s="438">
        <f>'Income Statement-Banks'!N15</f>
        <v>23339.49069999998</v>
      </c>
      <c r="F19" s="438">
        <f>'Income Statement-Banks'!O15</f>
        <v>34036.640800000001</v>
      </c>
      <c r="G19" s="438">
        <f>'Income Statement-Banks'!P15</f>
        <v>44256.37349999998</v>
      </c>
      <c r="H19" s="475">
        <f>(Table3[[#This Row],[2024]]/Table3[[#This Row],[2020]])^(1/5)-1</f>
        <v>0.35845824697033568</v>
      </c>
      <c r="J19" s="450" t="s">
        <v>493</v>
      </c>
      <c r="K19" s="467" t="s">
        <v>401</v>
      </c>
      <c r="L19" s="438">
        <f>'Income Statement-NBFCs'!L33</f>
        <v>31686.809999999998</v>
      </c>
      <c r="M19" s="438">
        <f>'Income Statement-NBFCs'!M33</f>
        <v>38188.69999999999</v>
      </c>
      <c r="N19" s="438">
        <f>'Income Statement-NBFCs'!N33</f>
        <v>40313.240000000005</v>
      </c>
      <c r="O19" s="438">
        <f>'Income Statement-NBFCs'!O33</f>
        <v>36697.660000000003</v>
      </c>
      <c r="P19" s="438">
        <f>'Income Statement-NBFCs'!P33</f>
        <v>44675.94000000001</v>
      </c>
      <c r="Q19" s="480">
        <f>(Table4[[#This Row],[2024]]/Table4[[#This Row],[2020]])^(1/5)-1</f>
        <v>7.112223771627546E-2</v>
      </c>
    </row>
    <row r="20" spans="1:17" x14ac:dyDescent="0.3">
      <c r="A20" s="445" t="s">
        <v>4</v>
      </c>
      <c r="B20" s="451" t="s">
        <v>513</v>
      </c>
      <c r="C20" s="439">
        <f>'Income Statement-Banks'!L7</f>
        <v>149786.10310000001</v>
      </c>
      <c r="D20" s="439">
        <f>'Income Statement-Banks'!M7</f>
        <v>98086.7984</v>
      </c>
      <c r="E20" s="439">
        <f>'Income Statement-Banks'!N7</f>
        <v>104892.07509999999</v>
      </c>
      <c r="F20" s="439">
        <f>'Income Statement-Banks'!O7</f>
        <v>186178.80100000001</v>
      </c>
      <c r="G20" s="439">
        <f>'Income Statement-Banks'!P7</f>
        <v>236037.72719999999</v>
      </c>
      <c r="H20" s="476">
        <f>(Table3[[#This Row],[2024]]/Table3[[#This Row],[2020]])^(1/5)-1</f>
        <v>9.5221549634176839E-2</v>
      </c>
      <c r="J20" s="451" t="s">
        <v>493</v>
      </c>
      <c r="K20" s="468" t="s">
        <v>513</v>
      </c>
      <c r="L20" s="439">
        <f>'Income Statement-NBFCs'!L12</f>
        <v>96839.8</v>
      </c>
      <c r="M20" s="439">
        <f>'Income Statement-NBFCs'!M12</f>
        <v>115345.62999999999</v>
      </c>
      <c r="N20" s="439">
        <f>'Income Statement-NBFCs'!N12</f>
        <v>121849.09000000001</v>
      </c>
      <c r="O20" s="439">
        <f>'Income Statement-NBFCs'!O12</f>
        <v>118976.63</v>
      </c>
      <c r="P20" s="439">
        <f>'Income Statement-NBFCs'!P12</f>
        <v>150616.57</v>
      </c>
      <c r="Q20" s="479">
        <f>(Table4[[#This Row],[2024]]/Table4[[#This Row],[2020]])^(1/5)-1</f>
        <v>9.2354931997268297E-2</v>
      </c>
    </row>
    <row r="21" spans="1:17" x14ac:dyDescent="0.3">
      <c r="A21" s="445" t="s">
        <v>4</v>
      </c>
      <c r="B21" s="451" t="s">
        <v>514</v>
      </c>
      <c r="C21" s="439">
        <f>'Balance Sheet-Banks'!L79</f>
        <v>1377292.1347999997</v>
      </c>
      <c r="D21" s="439">
        <f>AVERAGE('Balance Sheet-Banks'!L79:M79)</f>
        <v>1303862.3424</v>
      </c>
      <c r="E21" s="439">
        <f>AVERAGE('Balance Sheet-Banks'!M79:N79)</f>
        <v>1320865.085</v>
      </c>
      <c r="F21" s="439">
        <f>AVERAGE('Balance Sheet-Banks'!N79:O79)</f>
        <v>1684893.98</v>
      </c>
      <c r="G21" s="439">
        <f>AVERAGE('Balance Sheet-Banks'!O79:P79)</f>
        <v>2161276.61</v>
      </c>
      <c r="H21" s="476">
        <f>(Table3[[#This Row],[2024]]/Table3[[#This Row],[2020]])^(1/5)-1</f>
        <v>9.4301153987204067E-2</v>
      </c>
      <c r="J21" s="451" t="s">
        <v>493</v>
      </c>
      <c r="K21" s="469" t="s">
        <v>514</v>
      </c>
      <c r="L21" s="439">
        <f>'Balance Sheet-NBFCs'!L37</f>
        <v>548816.92000000004</v>
      </c>
      <c r="M21" s="439">
        <f>AVERAGE('Balance Sheet-NBFCs'!L37:M37)</f>
        <v>617615.63500000001</v>
      </c>
      <c r="N21" s="439">
        <f>AVERAGE('Balance Sheet-NBFCs'!M37:N37)</f>
        <v>724789.54499999993</v>
      </c>
      <c r="O21" s="439">
        <f>AVERAGE('Balance Sheet-NBFCs'!N37:O37)</f>
        <v>782326.97</v>
      </c>
      <c r="P21" s="439">
        <f>AVERAGE('Balance Sheet-NBFCs'!O21:P21)</f>
        <v>883091.70000000019</v>
      </c>
      <c r="Q21" s="479">
        <f>(Table4[[#This Row],[2024]]/Table4[[#This Row],[2020]])^(1/5)-1</f>
        <v>9.9804930067662445E-2</v>
      </c>
    </row>
    <row r="22" spans="1:17" s="1" customFormat="1" ht="43.2" x14ac:dyDescent="0.3">
      <c r="A22" s="446" t="s">
        <v>4</v>
      </c>
      <c r="B22" s="452" t="s">
        <v>515</v>
      </c>
      <c r="C22" s="440">
        <f>'Balance Sheet-Banks'!L9</f>
        <v>129754.79999999999</v>
      </c>
      <c r="D22" s="440">
        <f>AVERAGE('Balance Sheet-Banks'!L9:M9)</f>
        <v>138631.99</v>
      </c>
      <c r="E22" s="440">
        <f>AVERAGE('Balance Sheet-Banks'!M9:N9)</f>
        <v>159010.57</v>
      </c>
      <c r="F22" s="440">
        <f>AVERAGE('Balance Sheet-Banks'!N9:O9)</f>
        <v>195848.24</v>
      </c>
      <c r="G22" s="440">
        <f>AVERAGE('Balance Sheet-Banks'!O9:P9)</f>
        <v>245608.37</v>
      </c>
      <c r="H22" s="476">
        <f>(Table3[[#This Row],[2024]]/Table3[[#This Row],[2020]])^(1/5)-1</f>
        <v>0.13611932225937418</v>
      </c>
      <c r="J22" s="451" t="s">
        <v>493</v>
      </c>
      <c r="K22" s="470" t="s">
        <v>515</v>
      </c>
      <c r="L22" s="440">
        <f>'Balance Sheet-NBFCs'!L9</f>
        <v>120013.51999999999</v>
      </c>
      <c r="M22" s="440">
        <f>AVERAGE('Balance Sheet-NBFCs'!L9:M9)</f>
        <v>138804.76</v>
      </c>
      <c r="N22" s="440">
        <f>AVERAGE('Balance Sheet-NBFCs'!M9:N9)</f>
        <v>174487.48</v>
      </c>
      <c r="O22" s="440">
        <f>AVERAGE('Balance Sheet-NBFCs'!N9:O9)</f>
        <v>206453.5</v>
      </c>
      <c r="P22" s="440">
        <f>AVERAGE('Balance Sheet-NBFCs'!O9:P9)</f>
        <v>239534.22</v>
      </c>
      <c r="Q22" s="479">
        <f>(Table4[[#This Row],[2024]]/Table4[[#This Row],[2020]])^(1/5)-1</f>
        <v>0.14822626900087443</v>
      </c>
    </row>
    <row r="23" spans="1:17" x14ac:dyDescent="0.3">
      <c r="A23" s="445" t="s">
        <v>4</v>
      </c>
      <c r="B23" s="451" t="s">
        <v>509</v>
      </c>
      <c r="C23" s="441">
        <f>C19/C20</f>
        <v>6.3866457581938332E-2</v>
      </c>
      <c r="D23" s="441">
        <f t="shared" ref="D23:G23" si="19">D19/D20</f>
        <v>0.16508525473495334</v>
      </c>
      <c r="E23" s="441">
        <f t="shared" si="19"/>
        <v>0.22250957165018451</v>
      </c>
      <c r="F23" s="441">
        <f t="shared" si="19"/>
        <v>0.18281695132411988</v>
      </c>
      <c r="G23" s="441">
        <f t="shared" si="19"/>
        <v>0.18749703288957945</v>
      </c>
      <c r="H23" s="476">
        <f t="shared" ref="H23:H34" si="20">AVERAGE(C23:G23)</f>
        <v>0.1643550536361551</v>
      </c>
      <c r="J23" s="451" t="s">
        <v>493</v>
      </c>
      <c r="K23" s="469" t="s">
        <v>509</v>
      </c>
      <c r="L23" s="477">
        <f>L19/L20</f>
        <v>0.32720854442078562</v>
      </c>
      <c r="M23" s="477">
        <f t="shared" ref="M23:P23" si="21">M19/M20</f>
        <v>0.33108059663812139</v>
      </c>
      <c r="N23" s="477">
        <f t="shared" si="21"/>
        <v>0.33084563865023531</v>
      </c>
      <c r="O23" s="477">
        <f t="shared" si="21"/>
        <v>0.30844427178682066</v>
      </c>
      <c r="P23" s="477">
        <f t="shared" si="21"/>
        <v>0.29662035193073383</v>
      </c>
      <c r="Q23" s="479">
        <f>AVERAGE(Table4[[#This Row],[2020]:[2024]])</f>
        <v>0.31883988068533931</v>
      </c>
    </row>
    <row r="24" spans="1:17" x14ac:dyDescent="0.3">
      <c r="A24" s="445" t="s">
        <v>4</v>
      </c>
      <c r="B24" s="451" t="s">
        <v>511</v>
      </c>
      <c r="C24" s="441">
        <f>C20/C21</f>
        <v>0.10875405392607637</v>
      </c>
      <c r="D24" s="441">
        <f t="shared" ref="D24:G24" si="22">D20/D21</f>
        <v>7.5227878902808937E-2</v>
      </c>
      <c r="E24" s="441">
        <f t="shared" si="22"/>
        <v>7.9411649449421237E-2</v>
      </c>
      <c r="F24" s="441">
        <f t="shared" si="22"/>
        <v>0.11049882260247616</v>
      </c>
      <c r="G24" s="441">
        <f t="shared" si="22"/>
        <v>0.10921217862992558</v>
      </c>
      <c r="H24" s="476">
        <f t="shared" si="20"/>
        <v>9.6620916702141652E-2</v>
      </c>
      <c r="J24" s="451" t="s">
        <v>493</v>
      </c>
      <c r="K24" s="468" t="s">
        <v>511</v>
      </c>
      <c r="L24" s="477">
        <f>L20/L21</f>
        <v>0.17645192134382445</v>
      </c>
      <c r="M24" s="477">
        <f t="shared" ref="M24:P24" si="23">M20/M21</f>
        <v>0.18675956932340287</v>
      </c>
      <c r="N24" s="477">
        <f t="shared" si="23"/>
        <v>0.16811651166960476</v>
      </c>
      <c r="O24" s="477">
        <f t="shared" si="23"/>
        <v>0.15208044022820791</v>
      </c>
      <c r="P24" s="477">
        <f t="shared" si="23"/>
        <v>0.1705559796338251</v>
      </c>
      <c r="Q24" s="479">
        <f>AVERAGE(Table4[[#This Row],[2020]:[2024]])</f>
        <v>0.170792884439773</v>
      </c>
    </row>
    <row r="25" spans="1:17" x14ac:dyDescent="0.3">
      <c r="A25" s="445" t="s">
        <v>4</v>
      </c>
      <c r="B25" s="451" t="s">
        <v>512</v>
      </c>
      <c r="C25" s="439">
        <f>C21/C22</f>
        <v>10.614575605680868</v>
      </c>
      <c r="D25" s="439">
        <f t="shared" ref="D25:G25" si="24">D21/D22</f>
        <v>9.4052054103818321</v>
      </c>
      <c r="E25" s="439">
        <f t="shared" si="24"/>
        <v>8.3067753609083965</v>
      </c>
      <c r="F25" s="439">
        <f t="shared" si="24"/>
        <v>8.6030590828898958</v>
      </c>
      <c r="G25" s="439">
        <f t="shared" si="24"/>
        <v>8.7996863054789216</v>
      </c>
      <c r="H25" s="478">
        <f t="shared" si="20"/>
        <v>9.1458603530679845</v>
      </c>
      <c r="J25" s="451" t="s">
        <v>493</v>
      </c>
      <c r="K25" s="469" t="s">
        <v>512</v>
      </c>
      <c r="L25" s="439">
        <f>L21/L22</f>
        <v>4.5729591132732388</v>
      </c>
      <c r="M25" s="439">
        <f t="shared" ref="M25:P25" si="25">M21/M22</f>
        <v>4.4495277755604343</v>
      </c>
      <c r="N25" s="439">
        <f t="shared" si="25"/>
        <v>4.1538197754933472</v>
      </c>
      <c r="O25" s="439">
        <f t="shared" si="25"/>
        <v>3.7893616238039072</v>
      </c>
      <c r="P25" s="439">
        <f t="shared" si="25"/>
        <v>3.6867037202450663</v>
      </c>
      <c r="Q25" s="463">
        <f>AVERAGE(Table4[[#This Row],[2020]:[2024]])</f>
        <v>4.1304744016751984</v>
      </c>
    </row>
    <row r="26" spans="1:17" ht="15" thickBot="1" x14ac:dyDescent="0.35">
      <c r="A26" s="445" t="s">
        <v>4</v>
      </c>
      <c r="B26" s="454" t="s">
        <v>302</v>
      </c>
      <c r="C26" s="448">
        <f>C23*C24*C25</f>
        <v>7.3726041734101508E-2</v>
      </c>
      <c r="D26" s="448">
        <f t="shared" ref="D26:G26" si="26">D23*D24*D25</f>
        <v>0.11680337344937496</v>
      </c>
      <c r="E26" s="448">
        <f t="shared" si="26"/>
        <v>0.14677949208030625</v>
      </c>
      <c r="F26" s="448">
        <f t="shared" si="26"/>
        <v>0.17379089441906656</v>
      </c>
      <c r="G26" s="448">
        <f t="shared" si="26"/>
        <v>0.18019081963696912</v>
      </c>
      <c r="H26" s="483">
        <f t="shared" si="20"/>
        <v>0.13825812426396369</v>
      </c>
      <c r="J26" s="466" t="s">
        <v>493</v>
      </c>
      <c r="K26" s="473" t="s">
        <v>302</v>
      </c>
      <c r="L26" s="481">
        <f>L23*L24*L25</f>
        <v>0.26402700295766679</v>
      </c>
      <c r="M26" s="481">
        <f t="shared" ref="M26:P26" si="27">M23*M24*M25</f>
        <v>0.2751252910923227</v>
      </c>
      <c r="N26" s="481">
        <f t="shared" si="27"/>
        <v>0.23103800914541264</v>
      </c>
      <c r="O26" s="481">
        <f t="shared" si="27"/>
        <v>0.17775266585453867</v>
      </c>
      <c r="P26" s="481">
        <f t="shared" si="27"/>
        <v>0.18651172262568586</v>
      </c>
      <c r="Q26" s="486">
        <f>AVERAGE(Table4[[#This Row],[2020]:[2024]])</f>
        <v>0.22689093833512533</v>
      </c>
    </row>
    <row r="27" spans="1:17" x14ac:dyDescent="0.3">
      <c r="A27" s="444" t="s">
        <v>6</v>
      </c>
      <c r="B27" s="450" t="s">
        <v>401</v>
      </c>
      <c r="C27" s="438">
        <f>'Income Statement-Banks'!Q15</f>
        <v>19767.795999999998</v>
      </c>
      <c r="D27" s="438">
        <f>'Income Statement-Banks'!R15</f>
        <v>22405.457599999943</v>
      </c>
      <c r="E27" s="438">
        <f>'Income Statement-Banks'!S15</f>
        <v>35373.879800000053</v>
      </c>
      <c r="F27" s="438">
        <f>'Income Statement-Banks'!T15</f>
        <v>55648.172800000044</v>
      </c>
      <c r="G27" s="438">
        <f>'Income Statement-Banks'!U15</f>
        <v>67084.666099999871</v>
      </c>
      <c r="H27" s="475">
        <f>(Table3[[#This Row],[2024]]/Table3[[#This Row],[2020]])^(1/5)-1</f>
        <v>0.27682977717992552</v>
      </c>
    </row>
    <row r="28" spans="1:17" x14ac:dyDescent="0.3">
      <c r="A28" s="445" t="s">
        <v>6</v>
      </c>
      <c r="B28" s="451" t="s">
        <v>513</v>
      </c>
      <c r="C28" s="439">
        <f>'Income Statement-Banks'!Q7</f>
        <v>368010.64</v>
      </c>
      <c r="D28" s="439">
        <f>'Income Statement-Banks'!R7</f>
        <v>385337.89049999998</v>
      </c>
      <c r="E28" s="439">
        <f>'Income Statement-Banks'!S7</f>
        <v>406973.08970000001</v>
      </c>
      <c r="F28" s="439">
        <f>'Income Statement-Banks'!T7</f>
        <v>473378.14120000001</v>
      </c>
      <c r="G28" s="439">
        <f>'Income Statement-Banks'!U7</f>
        <v>594574.90449999995</v>
      </c>
      <c r="H28" s="476">
        <f>(Table3[[#This Row],[2024]]/Table3[[#This Row],[2020]])^(1/5)-1</f>
        <v>0.10070069299176665</v>
      </c>
    </row>
    <row r="29" spans="1:17" x14ac:dyDescent="0.3">
      <c r="A29" s="445" t="s">
        <v>6</v>
      </c>
      <c r="B29" s="451" t="s">
        <v>514</v>
      </c>
      <c r="C29" s="439">
        <f>'Balance Sheet-Banks'!Q79</f>
        <v>4197492.2200000007</v>
      </c>
      <c r="D29" s="439">
        <f>AVERAGE('Balance Sheet-Banks'!Q79:R79)</f>
        <v>4521555.3332500011</v>
      </c>
      <c r="E29" s="439">
        <f>AVERAGE('Balance Sheet-Banks'!R79:S79)</f>
        <v>5103250.932500001</v>
      </c>
      <c r="F29" s="439">
        <f>AVERAGE('Balance Sheet-Banks'!S79:T79)</f>
        <v>5657650.8337000003</v>
      </c>
      <c r="G29" s="439">
        <f>AVERAGE('Balance Sheet-Banks'!T79:U79)</f>
        <v>6344098.4968499998</v>
      </c>
      <c r="H29" s="476">
        <f>(Table3[[#This Row],[2024]]/Table3[[#This Row],[2020]])^(1/5)-1</f>
        <v>8.6115479684159668E-2</v>
      </c>
    </row>
    <row r="30" spans="1:17" s="1" customFormat="1" ht="43.2" x14ac:dyDescent="0.3">
      <c r="A30" s="446" t="s">
        <v>6</v>
      </c>
      <c r="B30" s="452" t="s">
        <v>515</v>
      </c>
      <c r="C30" s="440">
        <f>'Balance Sheet-Banks'!Q9</f>
        <v>259003.94</v>
      </c>
      <c r="D30" s="440">
        <f>AVERAGE('Balance Sheet-Banks'!Q9:R9)</f>
        <v>272095.7</v>
      </c>
      <c r="E30" s="440">
        <f>AVERAGE('Balance Sheet-Banks'!R9:S9)</f>
        <v>300991.46000000002</v>
      </c>
      <c r="F30" s="440">
        <f>AVERAGE('Balance Sheet-Banks'!S9:T9)</f>
        <v>344281.69</v>
      </c>
      <c r="G30" s="440">
        <f>AVERAGE('Balance Sheet-Banks'!T9:U9)</f>
        <v>401162.52500000002</v>
      </c>
      <c r="H30" s="476">
        <f>(Table3[[#This Row],[2024]]/Table3[[#This Row],[2020]])^(1/5)-1</f>
        <v>9.1447365966873972E-2</v>
      </c>
    </row>
    <row r="31" spans="1:17" x14ac:dyDescent="0.3">
      <c r="A31" s="445" t="s">
        <v>6</v>
      </c>
      <c r="B31" s="451" t="s">
        <v>509</v>
      </c>
      <c r="C31" s="441">
        <f>C27/C28</f>
        <v>5.371528388418334E-2</v>
      </c>
      <c r="D31" s="441">
        <f t="shared" ref="D31:G31" si="28">D27/D28</f>
        <v>5.8144963556341328E-2</v>
      </c>
      <c r="E31" s="441">
        <f t="shared" si="28"/>
        <v>8.6919456581455765E-2</v>
      </c>
      <c r="F31" s="441">
        <f t="shared" si="28"/>
        <v>0.11755543392631844</v>
      </c>
      <c r="G31" s="441">
        <f t="shared" si="28"/>
        <v>0.11282794748361243</v>
      </c>
      <c r="H31" s="476">
        <f t="shared" si="20"/>
        <v>8.5832617086382262E-2</v>
      </c>
    </row>
    <row r="32" spans="1:17" x14ac:dyDescent="0.3">
      <c r="A32" s="445" t="s">
        <v>6</v>
      </c>
      <c r="B32" s="451" t="s">
        <v>511</v>
      </c>
      <c r="C32" s="441">
        <f>C28/C29</f>
        <v>8.767393022112617E-2</v>
      </c>
      <c r="D32" s="441">
        <f t="shared" ref="D32:G32" si="29">D28/D29</f>
        <v>8.5222420627334664E-2</v>
      </c>
      <c r="E32" s="441">
        <f t="shared" si="29"/>
        <v>7.9747810774539046E-2</v>
      </c>
      <c r="F32" s="441">
        <f t="shared" si="29"/>
        <v>8.3670441162665268E-2</v>
      </c>
      <c r="G32" s="441">
        <f t="shared" si="29"/>
        <v>9.3720944716608814E-2</v>
      </c>
      <c r="H32" s="476">
        <f t="shared" si="20"/>
        <v>8.6007109500454787E-2</v>
      </c>
    </row>
    <row r="33" spans="1:8" x14ac:dyDescent="0.3">
      <c r="A33" s="445" t="s">
        <v>6</v>
      </c>
      <c r="B33" s="451" t="s">
        <v>512</v>
      </c>
      <c r="C33" s="439">
        <f>C29/C30</f>
        <v>16.206287132157144</v>
      </c>
      <c r="D33" s="439">
        <f t="shared" ref="D33:G33" si="30">D29/D30</f>
        <v>16.617518517381939</v>
      </c>
      <c r="E33" s="439">
        <f t="shared" si="30"/>
        <v>16.954803078133846</v>
      </c>
      <c r="F33" s="439">
        <f t="shared" si="30"/>
        <v>16.433202804656851</v>
      </c>
      <c r="G33" s="439">
        <f t="shared" si="30"/>
        <v>15.814284987985852</v>
      </c>
      <c r="H33" s="478">
        <f t="shared" si="20"/>
        <v>16.405219304063131</v>
      </c>
    </row>
    <row r="34" spans="1:8" ht="15" thickBot="1" x14ac:dyDescent="0.35">
      <c r="A34" s="447" t="s">
        <v>6</v>
      </c>
      <c r="B34" s="453" t="s">
        <v>302</v>
      </c>
      <c r="C34" s="443">
        <f>C31*C32*C33</f>
        <v>7.6322375636447837E-2</v>
      </c>
      <c r="D34" s="443">
        <f t="shared" ref="D34:G34" si="31">D31*D32*D33</f>
        <v>8.2344034102707034E-2</v>
      </c>
      <c r="E34" s="443">
        <f t="shared" si="31"/>
        <v>0.1175245297657284</v>
      </c>
      <c r="F34" s="443">
        <f t="shared" si="31"/>
        <v>0.16163558625496477</v>
      </c>
      <c r="G34" s="443">
        <f t="shared" si="31"/>
        <v>0.16722565523786115</v>
      </c>
      <c r="H34" s="484">
        <f t="shared" si="20"/>
        <v>0.12101043619954184</v>
      </c>
    </row>
    <row r="37" spans="1:8" x14ac:dyDescent="0.3">
      <c r="H37" s="487">
        <f>AVERAGE(H10,H18,H26,H34)</f>
        <v>0.13073628087760863</v>
      </c>
    </row>
  </sheetData>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F300F-F307-4E47-A8E1-421EE8940CBC}">
  <sheetPr>
    <tabColor rgb="FF0070C0"/>
  </sheetPr>
  <dimension ref="A1:H25"/>
  <sheetViews>
    <sheetView zoomScale="69" zoomScaleNormal="90" workbookViewId="0">
      <selection activeCell="B14" sqref="B14"/>
    </sheetView>
  </sheetViews>
  <sheetFormatPr defaultRowHeight="14.4" x14ac:dyDescent="0.3"/>
  <cols>
    <col min="1" max="1" width="47.88671875" bestFit="1" customWidth="1"/>
    <col min="2" max="2" width="14.21875" bestFit="1" customWidth="1"/>
    <col min="3" max="3" width="16.21875" bestFit="1" customWidth="1"/>
    <col min="4" max="7" width="16.21875" customWidth="1"/>
    <col min="8" max="8" width="16.21875" bestFit="1" customWidth="1"/>
  </cols>
  <sheetData>
    <row r="1" spans="1:8" ht="33.6" x14ac:dyDescent="0.3">
      <c r="A1" s="532" t="s">
        <v>351</v>
      </c>
      <c r="B1" s="533"/>
      <c r="C1" s="533"/>
      <c r="D1" s="533"/>
      <c r="E1" s="533"/>
      <c r="F1" s="533"/>
      <c r="G1" s="533"/>
      <c r="H1" s="534"/>
    </row>
    <row r="2" spans="1:8" ht="33.6" customHeight="1" x14ac:dyDescent="0.3">
      <c r="A2" s="594" t="s">
        <v>20</v>
      </c>
      <c r="B2" s="595" t="e" vm="3">
        <v>#VALUE!</v>
      </c>
      <c r="C2" s="595" t="e" vm="1">
        <v>#VALUE!</v>
      </c>
      <c r="D2" s="550" t="e" vm="2">
        <v>#VALUE!</v>
      </c>
      <c r="E2" s="595" t="e" vm="4">
        <v>#VALUE!</v>
      </c>
      <c r="F2" s="550" t="e" vm="6">
        <v>#VALUE!</v>
      </c>
      <c r="G2" s="550" t="e" vm="16">
        <v>#VALUE!</v>
      </c>
      <c r="H2" s="593" t="e" vm="7">
        <v>#VALUE!</v>
      </c>
    </row>
    <row r="3" spans="1:8" x14ac:dyDescent="0.3">
      <c r="A3" s="594"/>
      <c r="B3" s="595"/>
      <c r="C3" s="595"/>
      <c r="D3" s="550"/>
      <c r="E3" s="595"/>
      <c r="F3" s="550"/>
      <c r="G3" s="550"/>
      <c r="H3" s="593"/>
    </row>
    <row r="4" spans="1:8" s="229" customFormat="1" ht="18" x14ac:dyDescent="0.35">
      <c r="A4" s="232" t="s">
        <v>352</v>
      </c>
      <c r="B4" s="230">
        <v>6.3500000000000001E-2</v>
      </c>
      <c r="C4" s="230">
        <v>6.3500000000000001E-2</v>
      </c>
      <c r="D4" s="230">
        <v>6.3500000000000001E-2</v>
      </c>
      <c r="E4" s="230">
        <v>6.3500000000000001E-2</v>
      </c>
      <c r="F4" s="230">
        <v>6.3500000000000001E-2</v>
      </c>
      <c r="G4" s="230">
        <v>6.3500000000000001E-2</v>
      </c>
      <c r="H4" s="233">
        <v>6.3500000000000001E-2</v>
      </c>
    </row>
    <row r="5" spans="1:8" s="229" customFormat="1" ht="18" x14ac:dyDescent="0.35">
      <c r="A5" s="232" t="s">
        <v>353</v>
      </c>
      <c r="B5" s="230">
        <v>6.7500000000000004E-2</v>
      </c>
      <c r="C5" s="230">
        <v>6.7500000000000004E-2</v>
      </c>
      <c r="D5" s="230">
        <v>6.7500000000000004E-2</v>
      </c>
      <c r="E5" s="230">
        <v>6.7500000000000004E-2</v>
      </c>
      <c r="F5" s="230">
        <v>6.7500000000000004E-2</v>
      </c>
      <c r="G5" s="230">
        <v>6.7500000000000004E-2</v>
      </c>
      <c r="H5" s="233">
        <v>6.7500000000000004E-2</v>
      </c>
    </row>
    <row r="6" spans="1:8" s="229" customFormat="1" ht="18" x14ac:dyDescent="0.35">
      <c r="A6" s="232" t="s">
        <v>12</v>
      </c>
      <c r="B6" s="231">
        <f ca="1">'Company Profile'!D7</f>
        <v>1.0905</v>
      </c>
      <c r="C6" s="231">
        <f ca="1">'Company Profile'!B7</f>
        <v>0.87929999999999997</v>
      </c>
      <c r="D6" s="231">
        <f ca="1">'Company Profile'!C7</f>
        <v>0.99909999999999999</v>
      </c>
      <c r="E6" s="231">
        <f ca="1">'Company Profile'!E7</f>
        <v>1.2655000000000001</v>
      </c>
      <c r="F6" s="231">
        <f ca="1">'Company Profile'!G7</f>
        <v>1.4219999999999999</v>
      </c>
      <c r="G6" s="231">
        <f ca="1">'Company Profile'!F7</f>
        <v>1.1682999999999999</v>
      </c>
      <c r="H6" s="234">
        <f ca="1">'Company Profile'!H7</f>
        <v>0.97209999999999996</v>
      </c>
    </row>
    <row r="7" spans="1:8" s="491" customFormat="1" ht="18" x14ac:dyDescent="0.35">
      <c r="A7" s="489" t="s">
        <v>380</v>
      </c>
      <c r="B7" s="490">
        <f ca="1">B4*(B5+B6)</f>
        <v>7.3533000000000001E-2</v>
      </c>
      <c r="C7" s="490">
        <f t="shared" ref="C7:H7" ca="1" si="0">C4*(C5+C6)</f>
        <v>6.0121799999999996E-2</v>
      </c>
      <c r="D7" s="490">
        <f t="shared" ca="1" si="0"/>
        <v>6.77291E-2</v>
      </c>
      <c r="E7" s="490">
        <f t="shared" ca="1" si="0"/>
        <v>8.4645500000000012E-2</v>
      </c>
      <c r="F7" s="490">
        <f t="shared" ca="1" si="0"/>
        <v>9.4583250000000008E-2</v>
      </c>
      <c r="G7" s="490">
        <f t="shared" ca="1" si="0"/>
        <v>7.8473299999999982E-2</v>
      </c>
      <c r="H7" s="490">
        <f t="shared" ca="1" si="0"/>
        <v>6.6014600000000007E-2</v>
      </c>
    </row>
    <row r="8" spans="1:8" s="229" customFormat="1" ht="18" x14ac:dyDescent="0.35">
      <c r="A8" s="489" t="s">
        <v>354</v>
      </c>
      <c r="B8" s="520">
        <f>(AVERAGE('Income Statement-Banks'!B9:F9)/(AVERAGE('Balance Sheet-Banks'!B21:F21)+AVERAGE('Balance Sheet-Banks'!B13:F13)))</f>
        <v>4.1502958941162432E-2</v>
      </c>
      <c r="C8" s="520">
        <f>(AVERAGE('Income Statement-Banks'!G9:K9)/(AVERAGE('Balance Sheet-Banks'!G13:K13)+AVERAGE('Balance Sheet-Banks'!G21:K21)))</f>
        <v>4.1705330950030511E-2</v>
      </c>
      <c r="D8" s="520">
        <f>(AVERAGE('Income Statement-Banks'!L9:P9)/(AVERAGE('Balance Sheet-Banks'!L13:P13)+AVERAGE('Balance Sheet-Banks'!L21:P21)))</f>
        <v>3.9663315166596512E-2</v>
      </c>
      <c r="E8" s="520">
        <f>(AVERAGE('Income Statement-Banks'!Q9:U9)/(AVERAGE('Balance Sheet-Banks'!Q13:U13)+AVERAGE('Balance Sheet-Banks'!Q21:U21)))</f>
        <v>4.0327736954524462E-2</v>
      </c>
      <c r="F8" s="520">
        <f>(AVERAGE('Income Statement-NBFCs'!B17:F17)/(AVERAGE('Balance Sheet-NBFCs'!B13:F13)+AVERAGE('Balance Sheet-NBFCs'!B14:F14)))</f>
        <v>9.7882077739428683E-2</v>
      </c>
      <c r="G8" s="520">
        <f>(AVERAGE('Income Statement-NBFCs'!G17:K17)/(AVERAGE('Balance Sheet-NBFCs'!G13:J13)+AVERAGE('Balance Sheet-NBFCs'!G14:K14)))</f>
        <v>0.12472954744132642</v>
      </c>
      <c r="H8" s="521">
        <f>(AVERAGE('Income Statement-NBFCs'!L17:P17)/(AVERAGE('Balance Sheet-NBFCs'!L13:P13)+AVERAGE('Balance Sheet-NBFCs'!L14:P14)))</f>
        <v>0.10686095219356095</v>
      </c>
    </row>
    <row r="9" spans="1:8" s="229" customFormat="1" ht="18" x14ac:dyDescent="0.35">
      <c r="A9" s="232" t="s">
        <v>355</v>
      </c>
      <c r="B9" s="230">
        <v>0.25169999999999998</v>
      </c>
      <c r="C9" s="230">
        <v>0.25169999999999998</v>
      </c>
      <c r="D9" s="230">
        <v>0.25169999999999998</v>
      </c>
      <c r="E9" s="230">
        <v>0.25169999999999998</v>
      </c>
      <c r="F9" s="230">
        <v>0.25169999999999998</v>
      </c>
      <c r="G9" s="230">
        <v>0.25169999999999998</v>
      </c>
      <c r="H9" s="233">
        <v>0.25169999999999998</v>
      </c>
    </row>
    <row r="10" spans="1:8" s="229" customFormat="1" ht="18" x14ac:dyDescent="0.35">
      <c r="A10" s="232" t="s">
        <v>358</v>
      </c>
      <c r="B10" s="230">
        <f>AVERAGE('Balance Sheet-Banks'!B88:F88)</f>
        <v>0.14577999999999999</v>
      </c>
      <c r="C10" s="230">
        <f>AVERAGE('Balance Sheet-Banks'!G88:K88)</f>
        <v>0.1653</v>
      </c>
      <c r="D10" s="230">
        <f>AVERAGE('Balance Sheet-Banks'!L88:P88)</f>
        <v>0.17199999999999999</v>
      </c>
      <c r="E10" s="230">
        <f>AVERAGE('Balance Sheet-Banks'!Q88:U88)</f>
        <v>0.10724</v>
      </c>
      <c r="F10" s="230">
        <f>AVERAGE('Financial Ratios-NBFCs'!B17:F17)</f>
        <v>0.21399102890590571</v>
      </c>
      <c r="G10" s="230">
        <f>AVERAGE('Financial Ratios-NBFCs'!G17:K17)</f>
        <v>0.23170287325413524</v>
      </c>
      <c r="H10" s="233">
        <f>AVERAGE('Financial Ratios-NBFCs'!L18:P18)</f>
        <v>0.28066425346308965</v>
      </c>
    </row>
    <row r="11" spans="1:8" s="229" customFormat="1" ht="18" x14ac:dyDescent="0.35">
      <c r="A11" s="232" t="s">
        <v>356</v>
      </c>
      <c r="B11" s="230">
        <v>0.02</v>
      </c>
      <c r="C11" s="230">
        <v>0.02</v>
      </c>
      <c r="D11" s="230">
        <v>0.02</v>
      </c>
      <c r="E11" s="230">
        <v>0.02</v>
      </c>
      <c r="F11" s="230">
        <v>0.03</v>
      </c>
      <c r="G11" s="230">
        <v>0.02</v>
      </c>
      <c r="H11" s="233">
        <v>0.02</v>
      </c>
    </row>
    <row r="12" spans="1:8" s="229" customFormat="1" ht="18.600000000000001" thickBot="1" x14ac:dyDescent="0.4">
      <c r="A12" s="235" t="s">
        <v>357</v>
      </c>
      <c r="B12" s="236">
        <f>(AVERAGE('Income Statement-Banks'!B26:F26)/(AVERAGE('Income Statement-Banks'!B13:F13)))</f>
        <v>1.5633984756119917E-2</v>
      </c>
      <c r="C12" s="236">
        <f>(AVERAGE('Income Statement-Banks'!G26:K26)/(AVERAGE('Income Statement-Banks'!G13:K13)))</f>
        <v>0.11224239956564609</v>
      </c>
      <c r="D12" s="236">
        <f>(AVERAGE('Income Statement-Banks'!L26:P26)/(AVERAGE('Income Statement-Banks'!L13:P13)))</f>
        <v>8.5301424762602523E-2</v>
      </c>
      <c r="E12" s="236">
        <f>(AVERAGE('Income Statement-Banks'!Q26:U26)/(AVERAGE('Income Statement-Banks'!Q13:U13)))</f>
        <v>0.15830179432804095</v>
      </c>
      <c r="F12" s="237">
        <v>0</v>
      </c>
      <c r="G12" s="236">
        <f>(-AVERAGE('Cash Flow Statement-NBFCs'!G77:K77)/(AVERAGE('Income Statement-NBFCs'!G33:K33)))</f>
        <v>0.10710146034769559</v>
      </c>
      <c r="H12" s="238">
        <f>(-AVERAGE('Cash Flow Statement-NBFCs'!L77:P77)/(AVERAGE('Income Statement-NBFCs'!L33:P33)))</f>
        <v>0.19819019760406995</v>
      </c>
    </row>
    <row r="13" spans="1:8" s="229" customFormat="1" ht="18" x14ac:dyDescent="0.35">
      <c r="H13" s="349"/>
    </row>
    <row r="14" spans="1:8" s="229" customFormat="1" ht="18" x14ac:dyDescent="0.35"/>
    <row r="15" spans="1:8" s="229" customFormat="1" ht="18" x14ac:dyDescent="0.35"/>
    <row r="16" spans="1:8" s="229" customFormat="1" ht="18" x14ac:dyDescent="0.35"/>
    <row r="17" s="229" customFormat="1" ht="18" x14ac:dyDescent="0.35"/>
    <row r="18" s="229" customFormat="1" ht="18" x14ac:dyDescent="0.35"/>
    <row r="19" s="229" customFormat="1" ht="18" x14ac:dyDescent="0.35"/>
    <row r="20" s="229" customFormat="1" ht="18" x14ac:dyDescent="0.35"/>
    <row r="21" s="229" customFormat="1" ht="18" x14ac:dyDescent="0.35"/>
    <row r="22" s="229" customFormat="1" ht="18" x14ac:dyDescent="0.35"/>
    <row r="23" s="229" customFormat="1" ht="18" x14ac:dyDescent="0.35"/>
    <row r="24" s="229" customFormat="1" ht="18" x14ac:dyDescent="0.35"/>
    <row r="25" s="229" customFormat="1" ht="18" x14ac:dyDescent="0.35"/>
  </sheetData>
  <mergeCells count="9">
    <mergeCell ref="F2:F3"/>
    <mergeCell ref="G2:G3"/>
    <mergeCell ref="H2:H3"/>
    <mergeCell ref="A1:H1"/>
    <mergeCell ref="A2:A3"/>
    <mergeCell ref="B2:B3"/>
    <mergeCell ref="C2:C3"/>
    <mergeCell ref="D2:D3"/>
    <mergeCell ref="E2:E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12127-085A-455B-9A5B-FA15596BD100}">
  <sheetPr>
    <tabColor rgb="FF0070C0"/>
  </sheetPr>
  <dimension ref="A1:BK32"/>
  <sheetViews>
    <sheetView showGridLines="0" zoomScale="80" zoomScaleNormal="80" workbookViewId="0">
      <pane xSplit="1" topLeftCell="B1" activePane="topRight" state="frozen"/>
      <selection pane="topRight" activeCell="D17" sqref="D17"/>
    </sheetView>
  </sheetViews>
  <sheetFormatPr defaultRowHeight="14.4" x14ac:dyDescent="0.3"/>
  <cols>
    <col min="1" max="1" width="34.6640625" style="43" bestFit="1" customWidth="1"/>
    <col min="2" max="2" width="13.5546875" style="43" bestFit="1" customWidth="1"/>
    <col min="3" max="3" width="8.33203125" style="305" bestFit="1" customWidth="1"/>
    <col min="4" max="9" width="13.6640625" style="43" bestFit="1" customWidth="1"/>
    <col min="10" max="10" width="8.88671875" style="43"/>
    <col min="11" max="11" width="13.6640625" style="43" bestFit="1" customWidth="1"/>
    <col min="12" max="12" width="8.21875" style="305" bestFit="1" customWidth="1"/>
    <col min="13" max="15" width="13.6640625" style="43" bestFit="1" customWidth="1"/>
    <col min="16" max="16" width="14.33203125" style="43" bestFit="1" customWidth="1"/>
    <col min="17" max="18" width="13.6640625" style="43" bestFit="1" customWidth="1"/>
    <col min="19" max="19" width="8.88671875" style="43"/>
    <col min="20" max="20" width="13.6640625" style="43" bestFit="1" customWidth="1"/>
    <col min="21" max="21" width="10.44140625" style="305" customWidth="1"/>
    <col min="22" max="24" width="13.6640625" style="43" bestFit="1" customWidth="1"/>
    <col min="25" max="25" width="14.33203125" style="43" bestFit="1" customWidth="1"/>
    <col min="26" max="27" width="13.6640625" style="43" bestFit="1" customWidth="1"/>
    <col min="28" max="28" width="8.88671875" style="43"/>
    <col min="29" max="29" width="13.6640625" style="44" bestFit="1" customWidth="1"/>
    <col min="30" max="30" width="10.44140625" style="305" customWidth="1"/>
    <col min="31" max="33" width="13.6640625" style="43" bestFit="1" customWidth="1"/>
    <col min="34" max="34" width="14.33203125" style="43" bestFit="1" customWidth="1"/>
    <col min="35" max="36" width="13.6640625" style="43" bestFit="1" customWidth="1"/>
    <col min="37" max="37" width="8.88671875" style="43"/>
    <col min="38" max="38" width="13.6640625" style="43" bestFit="1" customWidth="1"/>
    <col min="39" max="39" width="10.44140625" style="305" customWidth="1"/>
    <col min="40" max="42" width="13.6640625" style="43" bestFit="1" customWidth="1"/>
    <col min="43" max="43" width="14.33203125" style="43" bestFit="1" customWidth="1"/>
    <col min="44" max="45" width="13.6640625" style="43" bestFit="1" customWidth="1"/>
    <col min="46" max="46" width="8.88671875" style="43"/>
    <col min="47" max="47" width="13.6640625" style="43" bestFit="1" customWidth="1"/>
    <col min="48" max="48" width="10.44140625" style="305" customWidth="1"/>
    <col min="49" max="51" width="13.6640625" style="43" bestFit="1" customWidth="1"/>
    <col min="52" max="52" width="14.33203125" style="43" bestFit="1" customWidth="1"/>
    <col min="53" max="54" width="13.6640625" style="43" bestFit="1" customWidth="1"/>
    <col min="55" max="55" width="8.88671875" style="43"/>
    <col min="56" max="56" width="13.6640625" style="43" bestFit="1" customWidth="1"/>
    <col min="57" max="57" width="10.44140625" style="54" customWidth="1"/>
    <col min="58" max="60" width="13.6640625" style="43" bestFit="1" customWidth="1"/>
    <col min="61" max="61" width="14.33203125" style="43" bestFit="1" customWidth="1"/>
    <col min="62" max="63" width="13.6640625" style="43" bestFit="1" customWidth="1"/>
    <col min="64" max="16384" width="8.88671875" style="43"/>
  </cols>
  <sheetData>
    <row r="1" spans="1:63" ht="21" x14ac:dyDescent="0.3">
      <c r="A1" s="598" t="s">
        <v>376</v>
      </c>
      <c r="B1" s="599"/>
      <c r="C1" s="599"/>
      <c r="D1" s="599"/>
      <c r="E1" s="599"/>
      <c r="F1" s="599"/>
      <c r="G1" s="599"/>
      <c r="H1" s="599"/>
      <c r="I1" s="599"/>
      <c r="J1" s="599"/>
      <c r="K1" s="599"/>
      <c r="L1" s="599"/>
      <c r="M1" s="599"/>
      <c r="N1" s="599"/>
      <c r="O1" s="599"/>
      <c r="P1" s="599"/>
      <c r="Q1" s="599"/>
      <c r="R1" s="599"/>
      <c r="S1" s="599"/>
      <c r="T1" s="599"/>
      <c r="U1" s="599"/>
      <c r="V1" s="599"/>
      <c r="W1" s="599"/>
      <c r="X1" s="599"/>
      <c r="Y1" s="599"/>
      <c r="Z1" s="599"/>
      <c r="AA1" s="599"/>
      <c r="AB1" s="599"/>
      <c r="AC1" s="599"/>
      <c r="AD1" s="599"/>
      <c r="AE1" s="599"/>
      <c r="AF1" s="599"/>
      <c r="AG1" s="599"/>
      <c r="AH1" s="599"/>
      <c r="AI1" s="599"/>
      <c r="AJ1" s="599"/>
      <c r="AK1" s="599"/>
      <c r="AL1" s="599"/>
      <c r="AM1" s="599"/>
      <c r="AN1" s="599"/>
      <c r="AO1" s="599"/>
      <c r="AP1" s="599"/>
      <c r="AQ1" s="599"/>
      <c r="AR1" s="599"/>
      <c r="AS1" s="599"/>
      <c r="AT1" s="599"/>
      <c r="AU1" s="599"/>
      <c r="AV1" s="599"/>
      <c r="AW1" s="599"/>
      <c r="AX1" s="599"/>
      <c r="AY1" s="599"/>
      <c r="AZ1" s="599"/>
      <c r="BA1" s="599"/>
      <c r="BB1" s="599"/>
      <c r="BC1" s="599"/>
      <c r="BD1" s="599"/>
      <c r="BE1" s="599"/>
      <c r="BF1" s="599"/>
      <c r="BG1" s="599"/>
      <c r="BH1" s="599"/>
      <c r="BI1" s="599"/>
      <c r="BJ1" s="599"/>
      <c r="BK1" s="599"/>
    </row>
    <row r="2" spans="1:63" ht="40.799999999999997" customHeight="1" x14ac:dyDescent="0.3">
      <c r="A2" s="547" t="s">
        <v>20</v>
      </c>
      <c r="B2" s="600" t="e" vm="3">
        <v>#VALUE!</v>
      </c>
      <c r="C2" s="600"/>
      <c r="D2" s="600"/>
      <c r="E2" s="600"/>
      <c r="F2" s="600"/>
      <c r="G2" s="600"/>
      <c r="H2" s="600"/>
      <c r="I2" s="600"/>
      <c r="K2" s="596" t="e" vm="1">
        <v>#VALUE!</v>
      </c>
      <c r="L2" s="596"/>
      <c r="M2" s="596"/>
      <c r="N2" s="596"/>
      <c r="O2" s="596"/>
      <c r="P2" s="596"/>
      <c r="Q2" s="596"/>
      <c r="R2" s="596"/>
      <c r="T2" s="596" t="e" vm="2">
        <v>#VALUE!</v>
      </c>
      <c r="U2" s="596"/>
      <c r="V2" s="596"/>
      <c r="W2" s="596"/>
      <c r="X2" s="596"/>
      <c r="Y2" s="596"/>
      <c r="Z2" s="596"/>
      <c r="AA2" s="596"/>
      <c r="AC2" s="596" t="e" vm="4">
        <v>#VALUE!</v>
      </c>
      <c r="AD2" s="596"/>
      <c r="AE2" s="596"/>
      <c r="AF2" s="596"/>
      <c r="AG2" s="596"/>
      <c r="AH2" s="596"/>
      <c r="AI2" s="596"/>
      <c r="AJ2" s="596"/>
      <c r="AL2" s="596" t="e" vm="6">
        <v>#VALUE!</v>
      </c>
      <c r="AM2" s="596"/>
      <c r="AN2" s="596"/>
      <c r="AO2" s="596"/>
      <c r="AP2" s="596"/>
      <c r="AQ2" s="596"/>
      <c r="AR2" s="596"/>
      <c r="AS2" s="596"/>
      <c r="AU2" s="596" t="e" vm="16">
        <v>#VALUE!</v>
      </c>
      <c r="AV2" s="596"/>
      <c r="AW2" s="596"/>
      <c r="AX2" s="596"/>
      <c r="AY2" s="596"/>
      <c r="AZ2" s="596"/>
      <c r="BA2" s="596"/>
      <c r="BB2" s="596"/>
      <c r="BD2" s="596" t="e" vm="7">
        <v>#VALUE!</v>
      </c>
      <c r="BE2" s="596"/>
      <c r="BF2" s="596"/>
      <c r="BG2" s="596"/>
      <c r="BH2" s="596"/>
      <c r="BI2" s="596"/>
      <c r="BJ2" s="596"/>
      <c r="BK2" s="596"/>
    </row>
    <row r="3" spans="1:63" x14ac:dyDescent="0.3">
      <c r="A3" s="547"/>
      <c r="B3" s="300">
        <v>2024</v>
      </c>
      <c r="C3" s="306" t="s">
        <v>359</v>
      </c>
      <c r="D3" s="300">
        <v>2025</v>
      </c>
      <c r="E3" s="300">
        <v>2026</v>
      </c>
      <c r="F3" s="300">
        <v>2027</v>
      </c>
      <c r="G3" s="300">
        <v>2028</v>
      </c>
      <c r="H3" s="300">
        <v>2029</v>
      </c>
      <c r="I3" s="300">
        <v>2030</v>
      </c>
      <c r="K3" s="300">
        <v>2024</v>
      </c>
      <c r="L3" s="306" t="s">
        <v>359</v>
      </c>
      <c r="M3" s="300">
        <v>2025</v>
      </c>
      <c r="N3" s="300">
        <v>2026</v>
      </c>
      <c r="O3" s="300">
        <v>2027</v>
      </c>
      <c r="P3" s="300">
        <v>2028</v>
      </c>
      <c r="Q3" s="300">
        <v>2029</v>
      </c>
      <c r="R3" s="300">
        <v>2030</v>
      </c>
      <c r="T3" s="300">
        <v>2024</v>
      </c>
      <c r="U3" s="306" t="s">
        <v>359</v>
      </c>
      <c r="V3" s="300">
        <v>2025</v>
      </c>
      <c r="W3" s="300">
        <v>2026</v>
      </c>
      <c r="X3" s="300">
        <v>2027</v>
      </c>
      <c r="Y3" s="300">
        <v>2028</v>
      </c>
      <c r="Z3" s="300">
        <v>2029</v>
      </c>
      <c r="AA3" s="300">
        <v>2030</v>
      </c>
      <c r="AC3" s="310">
        <v>2024</v>
      </c>
      <c r="AD3" s="306" t="s">
        <v>359</v>
      </c>
      <c r="AE3" s="300">
        <v>2025</v>
      </c>
      <c r="AF3" s="300">
        <v>2026</v>
      </c>
      <c r="AG3" s="300">
        <v>2027</v>
      </c>
      <c r="AH3" s="300">
        <v>2028</v>
      </c>
      <c r="AI3" s="300">
        <v>2029</v>
      </c>
      <c r="AJ3" s="300">
        <v>2030</v>
      </c>
      <c r="AL3" s="300">
        <v>2024</v>
      </c>
      <c r="AM3" s="306" t="s">
        <v>359</v>
      </c>
      <c r="AN3" s="300">
        <v>2025</v>
      </c>
      <c r="AO3" s="300">
        <v>2026</v>
      </c>
      <c r="AP3" s="300">
        <v>2027</v>
      </c>
      <c r="AQ3" s="300">
        <v>2028</v>
      </c>
      <c r="AR3" s="300">
        <v>2029</v>
      </c>
      <c r="AS3" s="300">
        <v>2030</v>
      </c>
      <c r="AU3" s="300">
        <v>2024</v>
      </c>
      <c r="AV3" s="306" t="s">
        <v>359</v>
      </c>
      <c r="AW3" s="300">
        <v>2025</v>
      </c>
      <c r="AX3" s="300">
        <v>2026</v>
      </c>
      <c r="AY3" s="300">
        <v>2027</v>
      </c>
      <c r="AZ3" s="300">
        <v>2028</v>
      </c>
      <c r="BA3" s="300">
        <v>2029</v>
      </c>
      <c r="BB3" s="300">
        <v>2030</v>
      </c>
      <c r="BD3" s="300">
        <v>2024</v>
      </c>
      <c r="BE3" s="306" t="s">
        <v>359</v>
      </c>
      <c r="BF3" s="300">
        <v>2025</v>
      </c>
      <c r="BG3" s="300">
        <v>2026</v>
      </c>
      <c r="BH3" s="300">
        <v>2027</v>
      </c>
      <c r="BI3" s="300">
        <v>2028</v>
      </c>
      <c r="BJ3" s="300">
        <v>2029</v>
      </c>
      <c r="BK3" s="300">
        <v>2030</v>
      </c>
    </row>
    <row r="4" spans="1:63" x14ac:dyDescent="0.3">
      <c r="A4" s="48" t="s">
        <v>360</v>
      </c>
      <c r="B4" s="48"/>
      <c r="C4" s="48"/>
      <c r="D4" s="48"/>
      <c r="E4" s="48"/>
      <c r="F4" s="48"/>
      <c r="G4" s="48"/>
      <c r="H4" s="48"/>
      <c r="I4" s="48"/>
      <c r="K4" s="547" t="s">
        <v>360</v>
      </c>
      <c r="L4" s="547"/>
      <c r="M4" s="547"/>
      <c r="N4" s="547"/>
      <c r="O4" s="547"/>
      <c r="P4" s="547"/>
      <c r="Q4" s="547"/>
      <c r="R4" s="547"/>
      <c r="T4" s="596"/>
      <c r="U4" s="596"/>
      <c r="V4" s="596"/>
      <c r="W4" s="596"/>
      <c r="X4" s="596"/>
      <c r="Y4" s="596"/>
      <c r="Z4" s="596"/>
      <c r="AA4" s="596"/>
      <c r="AC4" s="596"/>
      <c r="AD4" s="596"/>
      <c r="AE4" s="596"/>
      <c r="AF4" s="596"/>
      <c r="AG4" s="596"/>
      <c r="AH4" s="596"/>
      <c r="AI4" s="596"/>
      <c r="AJ4" s="596"/>
      <c r="AL4" s="596"/>
      <c r="AM4" s="596"/>
      <c r="AN4" s="596"/>
      <c r="AO4" s="596"/>
      <c r="AP4" s="596"/>
      <c r="AQ4" s="596"/>
      <c r="AR4" s="596"/>
      <c r="AS4" s="596"/>
      <c r="AU4" s="596"/>
      <c r="AV4" s="596"/>
      <c r="AW4" s="596"/>
      <c r="AX4" s="596"/>
      <c r="AY4" s="596"/>
      <c r="AZ4" s="596"/>
      <c r="BA4" s="596"/>
      <c r="BB4" s="596"/>
      <c r="BD4" s="596"/>
      <c r="BE4" s="596"/>
      <c r="BF4" s="596"/>
      <c r="BG4" s="596"/>
      <c r="BH4" s="596"/>
      <c r="BI4" s="596"/>
      <c r="BJ4" s="596"/>
      <c r="BK4" s="596"/>
    </row>
    <row r="5" spans="1:63" s="45" customFormat="1" x14ac:dyDescent="0.3">
      <c r="A5" s="48" t="s">
        <v>377</v>
      </c>
      <c r="B5" s="304">
        <f>'Balance Sheet-Banks'!F75</f>
        <v>999333.47999999986</v>
      </c>
      <c r="C5" s="306">
        <f>('Balance Sheet-Banks'!F75/'Balance Sheet-Banks'!B75)^(1/5)-1</f>
        <v>0.11381872558401773</v>
      </c>
      <c r="D5" s="304">
        <f>B5*(1+$C$5)^1</f>
        <v>1113076.3431270414</v>
      </c>
      <c r="E5" s="304">
        <f>D5*(1+C5)</f>
        <v>1239765.2739794801</v>
      </c>
      <c r="F5" s="304">
        <f>E5*(1+C5)</f>
        <v>1380873.7774871453</v>
      </c>
      <c r="G5" s="304">
        <f>F5*(1+C5)</f>
        <v>1538043.0710331206</v>
      </c>
      <c r="H5" s="304">
        <f>G5*(1+C5)</f>
        <v>1713101.1732714393</v>
      </c>
      <c r="I5" s="304">
        <f>H5*(1+C5)</f>
        <v>1908084.1656096801</v>
      </c>
      <c r="K5" s="304">
        <f>'Balance Sheet-Banks'!K75</f>
        <v>2565891.4</v>
      </c>
      <c r="L5" s="306">
        <f>('Balance Sheet-Banks'!K75/'Balance Sheet-Banks'!G75)^(1/5)-1</f>
        <v>0.19711244354366975</v>
      </c>
      <c r="M5" s="304">
        <f>K5*(1+$L$5)</f>
        <v>3071660.5237216875</v>
      </c>
      <c r="N5" s="304">
        <f>M5*(1+$L$5)</f>
        <v>3677123.0352890976</v>
      </c>
      <c r="O5" s="304">
        <f t="shared" ref="O5:R5" si="0">N5*(1+$L$5)</f>
        <v>4401929.741985647</v>
      </c>
      <c r="P5" s="304">
        <f t="shared" si="0"/>
        <v>5269604.8697359934</v>
      </c>
      <c r="Q5" s="304">
        <f>P5*(1+$L$5)</f>
        <v>6308309.5621192763</v>
      </c>
      <c r="R5" s="304">
        <f t="shared" si="0"/>
        <v>7551755.8745385045</v>
      </c>
      <c r="T5" s="22">
        <f>'Balance Sheet-Banks'!P75</f>
        <v>1260776.17</v>
      </c>
      <c r="U5" s="306">
        <f>('Balance Sheet-Banks'!P75/'Balance Sheet-Banks'!L75)^(1/5)-1</f>
        <v>0.12288786267804186</v>
      </c>
      <c r="V5" s="22">
        <f>T5*(1+U5)</f>
        <v>1415710.2588467074</v>
      </c>
      <c r="W5" s="22">
        <f>V5*(1+U5)</f>
        <v>1589683.8667277566</v>
      </c>
      <c r="X5" s="22">
        <f>W5*(1+U5)</f>
        <v>1785036.7194436956</v>
      </c>
      <c r="Y5" s="22">
        <f>X5*(1+U5)</f>
        <v>2004396.0666979549</v>
      </c>
      <c r="Z5" s="22">
        <f>Y5*(1+U5)</f>
        <v>2250712.0152947404</v>
      </c>
      <c r="AA5" s="22">
        <f>Z5*(1+U5)</f>
        <v>2527297.2043580995</v>
      </c>
      <c r="AC5" s="22">
        <f>'Balance Sheet-Banks'!U75</f>
        <v>3784272.6676000003</v>
      </c>
      <c r="AD5" s="306">
        <f>RATE(5,0,'Balance Sheet-Banks'!Q75,-'Balance Sheet-Banks'!U75,0)</f>
        <v>9.7713379894315819E-2</v>
      </c>
      <c r="AE5" s="304">
        <f>AC5*(1+AD5)</f>
        <v>4154046.7403928745</v>
      </c>
      <c r="AF5" s="304">
        <f>AE5*(1+AD5)</f>
        <v>4559952.6876356276</v>
      </c>
      <c r="AG5" s="304">
        <f>AF5*(1+AD5)</f>
        <v>5005521.0769026736</v>
      </c>
      <c r="AH5" s="304">
        <f>AG5*(1+AD5)</f>
        <v>5494627.4594590692</v>
      </c>
      <c r="AI5" s="304">
        <f>AH5*(1+AD5)</f>
        <v>6031526.0797829321</v>
      </c>
      <c r="AJ5" s="304">
        <f>AI5*(1+AD5)</f>
        <v>6620886.8789592348</v>
      </c>
      <c r="AL5" s="304">
        <f>'Balance Sheet-NBFCs'!F27</f>
        <v>79300.75</v>
      </c>
      <c r="AM5" s="306">
        <f>('Balance Sheet-NBFCs'!F27/'Balance Sheet-NBFCs'!B27)^(1/5)-1</f>
        <v>0.23168645913205621</v>
      </c>
      <c r="AN5" s="304">
        <f>AL5*(1+AM5)</f>
        <v>97673.659974016409</v>
      </c>
      <c r="AO5" s="304">
        <f>AN5*(1+AM5)</f>
        <v>120303.32440386471</v>
      </c>
      <c r="AP5" s="304">
        <f>AO5*(1+AM5)</f>
        <v>148175.97565681121</v>
      </c>
      <c r="AQ5" s="304">
        <f>AP5*(1+AM5)</f>
        <v>182506.34278517554</v>
      </c>
      <c r="AR5" s="304">
        <f>AQ5*(1+AM5)</f>
        <v>224790.59111421416</v>
      </c>
      <c r="AS5" s="304">
        <f>AR5*(1+AM5)</f>
        <v>276871.52721566829</v>
      </c>
      <c r="AU5" s="22">
        <f>'Balance Sheet-NBFCs'!K27</f>
        <v>326293.32</v>
      </c>
      <c r="AV5" s="306">
        <f>('Balance Sheet-NBFCs'!K27/'Balance Sheet-NBFCs'!G27)^(1/5)-1</f>
        <v>0.18207890705491137</v>
      </c>
      <c r="AW5" s="22">
        <f>AU5*(1+AV5)</f>
        <v>385704.45108491846</v>
      </c>
      <c r="AX5" s="22">
        <f>AW5*(1+AV5)</f>
        <v>455933.09598467493</v>
      </c>
      <c r="AY5" s="22">
        <f>AX5*(1+AV5)</f>
        <v>538948.89579172654</v>
      </c>
      <c r="AZ5" s="22">
        <f>AY5*(1+AV5)</f>
        <v>637080.12169593538</v>
      </c>
      <c r="BA5" s="22">
        <f>AZ5*(1+AV5)</f>
        <v>753078.97396074119</v>
      </c>
      <c r="BB5" s="22">
        <f>BA5*(1+AV5)</f>
        <v>890198.77046554699</v>
      </c>
      <c r="BD5" s="22">
        <f>'Balance Sheet-NBFCs'!P27</f>
        <v>881871.71</v>
      </c>
      <c r="BE5" s="312">
        <f>('Balance Sheet-NBFCs'!P27/'Balance Sheet-NBFCs'!L27)^(1/5)-1</f>
        <v>0.1337998917150125</v>
      </c>
      <c r="BF5" s="22">
        <f>BD5*(1+BE5)</f>
        <v>999866.04930453282</v>
      </c>
      <c r="BG5" s="22">
        <f>BF5*(1+BE5)</f>
        <v>1133648.0184309967</v>
      </c>
      <c r="BH5" s="22">
        <f>BG5*(1+BE5)</f>
        <v>1285330.0005400025</v>
      </c>
      <c r="BI5" s="22">
        <f>BH5*(1+BE5)</f>
        <v>1457307.0154303117</v>
      </c>
      <c r="BJ5" s="22">
        <f>BI5*(1+BE5)</f>
        <v>1652294.5362904153</v>
      </c>
      <c r="BK5" s="22">
        <f>BJ5*(1+BE5)</f>
        <v>1873371.3663273796</v>
      </c>
    </row>
    <row r="6" spans="1:63" x14ac:dyDescent="0.3">
      <c r="A6" s="46" t="s">
        <v>361</v>
      </c>
      <c r="B6" s="302">
        <f>'Income Statement-Banks'!F5-'Income Statement-Banks'!F9</f>
        <v>51368.310000000005</v>
      </c>
      <c r="C6" s="307">
        <f>('Income Statement-Banks'!F33/'Income Statement-Banks'!B33)^(1/5)-1</f>
        <v>0.14838031856367162</v>
      </c>
      <c r="D6" s="302">
        <f>B6*(1+C6)</f>
        <v>58990.356201877446</v>
      </c>
      <c r="E6" s="302">
        <f>D6*(1+$C$6)</f>
        <v>67743.364047296491</v>
      </c>
      <c r="F6" s="302">
        <f t="shared" ref="F6:I6" si="1">E6*(1+$C$6)</f>
        <v>77795.145985209121</v>
      </c>
      <c r="G6" s="302">
        <f t="shared" si="1"/>
        <v>89338.414529201793</v>
      </c>
      <c r="H6" s="302">
        <f t="shared" si="1"/>
        <v>102594.4769370181</v>
      </c>
      <c r="I6" s="302">
        <f t="shared" si="1"/>
        <v>117817.47810780611</v>
      </c>
      <c r="K6" s="302">
        <f>'Income Statement-Banks'!K5-'Income Statement-Banks'!K9</f>
        <v>129510.47000000003</v>
      </c>
      <c r="L6" s="307">
        <f>('Income Statement-Banks'!K33/'Income Statement-Banks'!G33)^(1/5)-1</f>
        <v>0.16615336253522628</v>
      </c>
      <c r="M6" s="302">
        <f>K6*(1+L6)</f>
        <v>151029.0700740176</v>
      </c>
      <c r="N6" s="302">
        <f>M6*(1+$L$6)</f>
        <v>176123.05790738395</v>
      </c>
      <c r="O6" s="302">
        <f t="shared" ref="O6:R6" si="2">N6*(1+$L$6)</f>
        <v>205386.49619868217</v>
      </c>
      <c r="P6" s="302">
        <f t="shared" si="2"/>
        <v>239512.15316142168</v>
      </c>
      <c r="Q6" s="302">
        <f t="shared" si="2"/>
        <v>279307.90277724405</v>
      </c>
      <c r="R6" s="302">
        <f t="shared" si="2"/>
        <v>325715.85000634519</v>
      </c>
      <c r="T6" s="47">
        <f>'Income Statement-Banks'!P5-'Income Statement-Banks'!P9</f>
        <v>85407.762499999997</v>
      </c>
      <c r="U6" s="307">
        <f>('Income Statement-Banks'!P33/'Income Statement-Banks'!L33)^(1/5)-1</f>
        <v>0.16283624553354747</v>
      </c>
      <c r="V6" s="47">
        <f>T6*(1+U6)</f>
        <v>99315.241884920906</v>
      </c>
      <c r="W6" s="47">
        <f>V6*(1+$U$6)</f>
        <v>115487.36299771754</v>
      </c>
      <c r="X6" s="47">
        <f t="shared" ref="X6:AA6" si="3">W6*(1+$U$6)</f>
        <v>134292.89159483579</v>
      </c>
      <c r="Y6" s="47">
        <f t="shared" si="3"/>
        <v>156160.64186398254</v>
      </c>
      <c r="Z6" s="47">
        <f t="shared" si="3"/>
        <v>181589.25448522237</v>
      </c>
      <c r="AA6" s="47">
        <f t="shared" si="3"/>
        <v>211158.56691483187</v>
      </c>
      <c r="AC6" s="47">
        <f>'Income Statement-Banks'!U5-'Income Statement-Banks'!U9</f>
        <v>179452.46419999999</v>
      </c>
      <c r="AD6" s="307">
        <f>('Income Statement-Banks'!U33/'Income Statement-Banks'!Q33)^(1/5)-1</f>
        <v>0.10540576211903385</v>
      </c>
      <c r="AE6" s="302">
        <f>AC6*(1+AD6)</f>
        <v>198367.78795313963</v>
      </c>
      <c r="AF6" s="302">
        <f>AE6*(1+$AD$6)</f>
        <v>219276.89582220721</v>
      </c>
      <c r="AG6" s="302">
        <f t="shared" ref="AG6:AJ6" si="4">AF6*(1+$AD$6)</f>
        <v>242389.94414144295</v>
      </c>
      <c r="AH6" s="302">
        <f t="shared" si="4"/>
        <v>267939.24093366176</v>
      </c>
      <c r="AI6" s="302">
        <f t="shared" si="4"/>
        <v>296181.58082586981</v>
      </c>
      <c r="AJ6" s="302">
        <f t="shared" si="4"/>
        <v>327400.82607844082</v>
      </c>
      <c r="AL6" s="302">
        <f>'Income Statement-NBFCs'!F6-'Income Statement-NBFCs'!F17</f>
        <v>2509.75</v>
      </c>
      <c r="AM6" s="307">
        <f>AVERAGE('Financial Ratios-NBFCs'!B5:F5)</f>
        <v>2.763356228279935E-2</v>
      </c>
      <c r="AN6" s="302">
        <f>AN5*$AM$6</f>
        <v>2699.0711662809485</v>
      </c>
      <c r="AO6" s="302">
        <f t="shared" ref="AO6:AS6" si="5">AO5*$AM$6</f>
        <v>3324.4094077420104</v>
      </c>
      <c r="AP6" s="302">
        <f t="shared" si="5"/>
        <v>4094.6300521270527</v>
      </c>
      <c r="AQ6" s="302">
        <f t="shared" si="5"/>
        <v>5043.3003903600766</v>
      </c>
      <c r="AR6" s="302">
        <f t="shared" si="5"/>
        <v>6211.7648001419193</v>
      </c>
      <c r="AS6" s="302">
        <f t="shared" si="5"/>
        <v>7650.9465916479448</v>
      </c>
      <c r="AU6" s="47">
        <f>'Income Statement-NBFCs'!K6-'Income Statement-NBFCs'!K17</f>
        <v>29581.91</v>
      </c>
      <c r="AV6" s="307">
        <f>AVERAGE('Financial Ratios-NBFCs'!G5:K5)</f>
        <v>8.4932114693602859E-2</v>
      </c>
      <c r="AW6" s="302">
        <f>AW5*$AV$6</f>
        <v>32758.694677377429</v>
      </c>
      <c r="AX6" s="302">
        <f t="shared" ref="AX6:BB6" si="6">AX5*$AV$6</f>
        <v>38723.362000779853</v>
      </c>
      <c r="AY6" s="302">
        <f t="shared" si="6"/>
        <v>45774.069431373537</v>
      </c>
      <c r="AZ6" s="302">
        <f t="shared" si="6"/>
        <v>54108.561964893648</v>
      </c>
      <c r="BA6" s="302">
        <f t="shared" si="6"/>
        <v>63960.589789774429</v>
      </c>
      <c r="BB6" s="302">
        <f t="shared" si="6"/>
        <v>75606.464073284078</v>
      </c>
      <c r="BD6" s="47">
        <f>'Income Statement-NBFCs'!P6-'Income Statement-NBFCs'!P17</f>
        <v>91156.23000000001</v>
      </c>
      <c r="BE6" s="307">
        <f>AVERAGE('Financial Ratios-NBFCs'!L5:P5)</f>
        <v>0.11477290820105746</v>
      </c>
      <c r="BF6" s="47">
        <f>BF5*$BE$6</f>
        <v>114757.53429018313</v>
      </c>
      <c r="BG6" s="47">
        <f t="shared" ref="BG6:BK6" si="7">BG5*$BE$6</f>
        <v>130112.07995169147</v>
      </c>
      <c r="BH6" s="47">
        <f t="shared" si="7"/>
        <v>147521.06216004284</v>
      </c>
      <c r="BI6" s="47">
        <f t="shared" si="7"/>
        <v>167259.36430274017</v>
      </c>
      <c r="BJ6" s="47">
        <f t="shared" si="7"/>
        <v>189638.64913476864</v>
      </c>
      <c r="BK6" s="47">
        <f t="shared" si="7"/>
        <v>215012.27985398192</v>
      </c>
    </row>
    <row r="7" spans="1:63" x14ac:dyDescent="0.3">
      <c r="A7" s="46" t="s">
        <v>152</v>
      </c>
      <c r="B7" s="302">
        <f>'Income Statement-Banks'!F6</f>
        <v>25230.31</v>
      </c>
      <c r="C7" s="307">
        <f>('Income Statement-Banks'!F6/'Income Statement-Banks'!B6)^(1/5)-1</f>
        <v>9.074574944004743E-2</v>
      </c>
      <c r="D7" s="302">
        <f>B7*(1+C7)</f>
        <v>27519.853389554726</v>
      </c>
      <c r="E7" s="302">
        <f>D7*(1+C7)</f>
        <v>30017.1631098701</v>
      </c>
      <c r="F7" s="302">
        <f>E7*(1+C7)</f>
        <v>32741.093072339409</v>
      </c>
      <c r="G7" s="302">
        <f>F7*(1+C7)</f>
        <v>35712.208100675191</v>
      </c>
      <c r="H7" s="302">
        <f>G7*(1+C7)</f>
        <v>38952.939188929893</v>
      </c>
      <c r="I7" s="302">
        <f>H7*(1+C7)</f>
        <v>42487.75284852193</v>
      </c>
      <c r="K7" s="302">
        <f>'Income Statement-Banks'!K6</f>
        <v>124345.75</v>
      </c>
      <c r="L7" s="307">
        <f>(K7/'Income Statement-Banks'!G6)^(1/5)-1</f>
        <v>0.37962067216521556</v>
      </c>
      <c r="M7" s="302">
        <f>K7*(1+L7)</f>
        <v>171549.96719588785</v>
      </c>
      <c r="N7" s="302">
        <f>M7*(1+L7)</f>
        <v>236673.88105271145</v>
      </c>
      <c r="O7" s="302">
        <f>N7*(1+L7)</f>
        <v>326520.17886189203</v>
      </c>
      <c r="P7" s="302">
        <f>O7*(1+L7)</f>
        <v>450473.98863694986</v>
      </c>
      <c r="Q7" s="302">
        <f>P7*(1+L7)</f>
        <v>621483.22699625441</v>
      </c>
      <c r="R7" s="302">
        <f>Q7*(1+L7)</f>
        <v>857411.10736797971</v>
      </c>
      <c r="T7" s="47">
        <f>'Income Statement-Banks'!P6</f>
        <v>76521.801999999996</v>
      </c>
      <c r="U7" s="307">
        <f>('Income Statement-Banks'!P6/'Income Statement-Banks'!L6)^(1/5)-1</f>
        <v>3.333410918176738E-2</v>
      </c>
      <c r="V7" s="47">
        <f>T7*(1+U7)</f>
        <v>79072.588102653579</v>
      </c>
      <c r="W7" s="47">
        <f>V7*(1+U7)</f>
        <v>81708.402387752358</v>
      </c>
      <c r="X7" s="47">
        <f>W7*(1+U7)</f>
        <v>84432.07919401348</v>
      </c>
      <c r="Y7" s="47">
        <f>X7*(1+U7)</f>
        <v>87246.547340310353</v>
      </c>
      <c r="Z7" s="47">
        <f>Y7*(1+U7)</f>
        <v>90154.8332750845</v>
      </c>
      <c r="AA7" s="47">
        <f>Z7*(1+U7)</f>
        <v>93160.064330740206</v>
      </c>
      <c r="AC7" s="47">
        <f>'Income Statement-Banks'!U6</f>
        <v>155386.3922</v>
      </c>
      <c r="AD7" s="307">
        <f>('Income Statement-Banks'!U6/'Income Statement-Banks'!Q6)^(1/5)-1</f>
        <v>9.6217120287839686E-2</v>
      </c>
      <c r="AE7" s="302">
        <f>AC7*(1+AD7)</f>
        <v>170337.22338940084</v>
      </c>
      <c r="AF7" s="302">
        <f>AE7*(1+AD7)</f>
        <v>186726.58050175544</v>
      </c>
      <c r="AG7" s="302">
        <f>AF7*(1+AD7)</f>
        <v>204692.87435882981</v>
      </c>
      <c r="AH7" s="302">
        <f>AG7*(1+AD7)</f>
        <v>224387.83327307701</v>
      </c>
      <c r="AI7" s="302">
        <f>AH7*(1+AD7)</f>
        <v>245977.78441824036</v>
      </c>
      <c r="AJ7" s="302">
        <f>AI7*(1+AD7)</f>
        <v>269645.05848974647</v>
      </c>
      <c r="AL7" s="302">
        <f>'Income Statement-NBFCs'!F39</f>
        <v>415.34999999999991</v>
      </c>
      <c r="AM7" s="307">
        <f>('Income Statement-NBFCs'!F39/'Income Statement-NBFCs'!B39)^(1/5)-1</f>
        <v>3.8929414471846613E-2</v>
      </c>
      <c r="AN7" s="302">
        <f>AL7*(1+AM7)</f>
        <v>431.51933230088139</v>
      </c>
      <c r="AO7" s="302">
        <f>AN7*(1+AM7)</f>
        <v>448.3181272406369</v>
      </c>
      <c r="AP7" s="302">
        <f>AO7*(1+AM7)</f>
        <v>465.7708894312297</v>
      </c>
      <c r="AQ7" s="302">
        <f>AP7*(1+AM7)</f>
        <v>483.90307743481867</v>
      </c>
      <c r="AR7" s="302">
        <f>AQ7*(1+AM7)</f>
        <v>502.74114090048079</v>
      </c>
      <c r="AS7" s="302">
        <f>AR7*(1+AM7)</f>
        <v>522.31255914664462</v>
      </c>
      <c r="AU7" s="47">
        <f>'Income Statement-NBFCs'!K39</f>
        <v>6675.9100000000008</v>
      </c>
      <c r="AV7" s="307">
        <f>('Income Statement-NBFCs'!K39/'Income Statement-NBFCs'!G39)^(1/5)-1</f>
        <v>0.14345176440032414</v>
      </c>
      <c r="AW7" s="47">
        <f>AU7*(1+AV7)</f>
        <v>7633.5810684777689</v>
      </c>
      <c r="AX7" s="47">
        <f>AW7*(1+AV7)</f>
        <v>8728.6317414438163</v>
      </c>
      <c r="AY7" s="47">
        <f>AX7*(1+AV7)</f>
        <v>9980.7693655546063</v>
      </c>
      <c r="AZ7" s="47">
        <f>AY7*(1+AV7)</f>
        <v>11412.528341116118</v>
      </c>
      <c r="BA7" s="47">
        <f>AZ7*(1+AV7)</f>
        <v>13049.675667917929</v>
      </c>
      <c r="BB7" s="47">
        <f>BA7*(1+AV7)</f>
        <v>14921.674667332734</v>
      </c>
      <c r="BD7" s="47">
        <f>'Income Statement-NBFCs'!P39</f>
        <v>6170.41</v>
      </c>
      <c r="BE7" s="307">
        <f>('Income Statement-NBFCs'!P39/'Income Statement-NBFCs'!L39)^(1/5)-1</f>
        <v>0.16338588509733265</v>
      </c>
      <c r="BF7" s="47">
        <f>BD7*(1+BE7)</f>
        <v>7178.5678992634321</v>
      </c>
      <c r="BG7" s="47">
        <f>BF7*(1+BE7)</f>
        <v>8351.4445692158879</v>
      </c>
      <c r="BH7" s="47">
        <f>BG7*(1+BE7)</f>
        <v>9715.9527319985373</v>
      </c>
      <c r="BI7" s="47">
        <f>BH7*(1+BE7)</f>
        <v>11303.402268679965</v>
      </c>
      <c r="BJ7" s="47">
        <f>BI7*(1+BE7)</f>
        <v>13150.21865295944</v>
      </c>
      <c r="BK7" s="47">
        <f>BJ7*(1+BE7)</f>
        <v>15298.778766796671</v>
      </c>
    </row>
    <row r="8" spans="1:63" s="45" customFormat="1" x14ac:dyDescent="0.3">
      <c r="A8" s="48" t="s">
        <v>121</v>
      </c>
      <c r="B8" s="304">
        <f>B6+B7</f>
        <v>76598.62000000001</v>
      </c>
      <c r="C8" s="306"/>
      <c r="D8" s="304">
        <f>D6+D7</f>
        <v>86510.209591432169</v>
      </c>
      <c r="E8" s="304">
        <f t="shared" ref="E8:I8" si="8">E6+E7</f>
        <v>97760.527157166594</v>
      </c>
      <c r="F8" s="304">
        <f t="shared" si="8"/>
        <v>110536.23905754853</v>
      </c>
      <c r="G8" s="304">
        <f t="shared" si="8"/>
        <v>125050.62262987698</v>
      </c>
      <c r="H8" s="304">
        <f t="shared" si="8"/>
        <v>141547.41612594799</v>
      </c>
      <c r="I8" s="304">
        <f t="shared" si="8"/>
        <v>160305.23095632804</v>
      </c>
      <c r="K8" s="304">
        <f>K6+K7</f>
        <v>253856.22000000003</v>
      </c>
      <c r="L8" s="306"/>
      <c r="M8" s="304">
        <f>M6+M7</f>
        <v>322579.03726990544</v>
      </c>
      <c r="N8" s="304">
        <f t="shared" ref="N8:R8" si="9">N6+N7</f>
        <v>412796.9389600954</v>
      </c>
      <c r="O8" s="304">
        <f t="shared" si="9"/>
        <v>531906.6750605742</v>
      </c>
      <c r="P8" s="304">
        <f t="shared" si="9"/>
        <v>689986.14179837157</v>
      </c>
      <c r="Q8" s="304">
        <f t="shared" si="9"/>
        <v>900791.12977349851</v>
      </c>
      <c r="R8" s="304">
        <f t="shared" si="9"/>
        <v>1183126.957374325</v>
      </c>
      <c r="T8" s="22">
        <f>T6+T7</f>
        <v>161929.56449999998</v>
      </c>
      <c r="U8" s="22"/>
      <c r="V8" s="22">
        <f t="shared" ref="V8:AA8" si="10">V6+V7</f>
        <v>178387.82998757449</v>
      </c>
      <c r="W8" s="22">
        <f t="shared" si="10"/>
        <v>197195.76538546989</v>
      </c>
      <c r="X8" s="22">
        <f t="shared" si="10"/>
        <v>218724.97078884928</v>
      </c>
      <c r="Y8" s="22">
        <f t="shared" si="10"/>
        <v>243407.1892042929</v>
      </c>
      <c r="Z8" s="22">
        <f t="shared" si="10"/>
        <v>271744.08776030689</v>
      </c>
      <c r="AA8" s="22">
        <f t="shared" si="10"/>
        <v>304318.63124557206</v>
      </c>
      <c r="AC8" s="22">
        <f>AC6+AC7</f>
        <v>334838.85639999999</v>
      </c>
      <c r="AD8" s="315"/>
      <c r="AE8" s="22">
        <f t="shared" ref="AE8:AJ8" si="11">AE6+AE7</f>
        <v>368705.0113425405</v>
      </c>
      <c r="AF8" s="22">
        <f t="shared" si="11"/>
        <v>406003.47632396268</v>
      </c>
      <c r="AG8" s="22">
        <f t="shared" si="11"/>
        <v>447082.81850027276</v>
      </c>
      <c r="AH8" s="22">
        <f t="shared" si="11"/>
        <v>492327.07420673873</v>
      </c>
      <c r="AI8" s="22">
        <f t="shared" si="11"/>
        <v>542159.36524411011</v>
      </c>
      <c r="AJ8" s="22">
        <f t="shared" si="11"/>
        <v>597045.88456818729</v>
      </c>
      <c r="AL8" s="304">
        <f>AL6+AL7</f>
        <v>2925.1</v>
      </c>
      <c r="AM8" s="306"/>
      <c r="AN8" s="304">
        <f>AN6+AN7</f>
        <v>3130.5904985818297</v>
      </c>
      <c r="AO8" s="304">
        <f t="shared" ref="AO8:AS8" si="12">AO6+AO7</f>
        <v>3772.7275349826473</v>
      </c>
      <c r="AP8" s="304">
        <f t="shared" si="12"/>
        <v>4560.4009415582823</v>
      </c>
      <c r="AQ8" s="304">
        <f t="shared" si="12"/>
        <v>5527.203467794895</v>
      </c>
      <c r="AR8" s="304">
        <f t="shared" si="12"/>
        <v>6714.5059410424001</v>
      </c>
      <c r="AS8" s="304">
        <f t="shared" si="12"/>
        <v>8173.259150794589</v>
      </c>
      <c r="AU8" s="22">
        <f>AU6+AU7</f>
        <v>36257.82</v>
      </c>
      <c r="AV8" s="306"/>
      <c r="AW8" s="304">
        <f>AW6+AW7</f>
        <v>40392.275745855201</v>
      </c>
      <c r="AX8" s="304">
        <f t="shared" ref="AX8:BB8" si="13">AX6+AX7</f>
        <v>47451.993742223669</v>
      </c>
      <c r="AY8" s="304">
        <f t="shared" si="13"/>
        <v>55754.838796928147</v>
      </c>
      <c r="AZ8" s="304">
        <f t="shared" si="13"/>
        <v>65521.090306009763</v>
      </c>
      <c r="BA8" s="304">
        <f t="shared" si="13"/>
        <v>77010.265457692352</v>
      </c>
      <c r="BB8" s="304">
        <f t="shared" si="13"/>
        <v>90528.138740616807</v>
      </c>
      <c r="BD8" s="22">
        <f>BD6+BD7</f>
        <v>97326.640000000014</v>
      </c>
      <c r="BE8" s="306"/>
      <c r="BF8" s="22">
        <f>BF6+BF7</f>
        <v>121936.10218944657</v>
      </c>
      <c r="BG8" s="22">
        <f t="shared" ref="BG8:BK8" si="14">BG6+BG7</f>
        <v>138463.52452090735</v>
      </c>
      <c r="BH8" s="22">
        <f t="shared" si="14"/>
        <v>157237.01489204139</v>
      </c>
      <c r="BI8" s="22">
        <f t="shared" si="14"/>
        <v>178562.76657142013</v>
      </c>
      <c r="BJ8" s="22">
        <f t="shared" si="14"/>
        <v>202788.86778772809</v>
      </c>
      <c r="BK8" s="22">
        <f t="shared" si="14"/>
        <v>230311.05862077858</v>
      </c>
    </row>
    <row r="9" spans="1:63" x14ac:dyDescent="0.3">
      <c r="A9" s="46" t="s">
        <v>362</v>
      </c>
      <c r="B9" s="302">
        <f>'Income Statement-Banks'!F10</f>
        <v>37242.550000000003</v>
      </c>
      <c r="C9" s="307">
        <f>('Income Statement-Banks'!F10/'Income Statement-Banks'!B10)^(1/5)-1</f>
        <v>0.15567745686760137</v>
      </c>
      <c r="D9" s="302">
        <f>B9*(1+C9)</f>
        <v>43040.375471264488</v>
      </c>
      <c r="E9" s="302">
        <f>D9*(1+C9)</f>
        <v>49740.791667257632</v>
      </c>
      <c r="F9" s="302">
        <f>E9*(1+C9)</f>
        <v>57484.311616597479</v>
      </c>
      <c r="G9" s="302">
        <f>F9*(1+C9)</f>
        <v>66433.32305885409</v>
      </c>
      <c r="H9" s="302">
        <f>G9*(1+C9)</f>
        <v>76775.493843920282</v>
      </c>
      <c r="I9" s="302">
        <f>H9*(1+C9)</f>
        <v>88727.707475295974</v>
      </c>
      <c r="K9" s="302">
        <f>'Income Statement-Banks'!K10</f>
        <v>152269.34</v>
      </c>
      <c r="L9" s="307">
        <f>('Income Statement-Banks'!K10/'Income Statement-Banks'!G10)^(1/5)-1</f>
        <v>0.35745316878861511</v>
      </c>
      <c r="M9" s="302">
        <f>K9*(1+L9)</f>
        <v>206698.49809235102</v>
      </c>
      <c r="N9" s="302">
        <f>M9*(1+L9)</f>
        <v>280583.53121930943</v>
      </c>
      <c r="O9" s="302">
        <f>N9*(1+L9)</f>
        <v>380879.00356355088</v>
      </c>
      <c r="P9" s="302">
        <f>O9*(1+L9)</f>
        <v>517025.4103123924</v>
      </c>
      <c r="Q9" s="302">
        <f>P9*(1+L9)</f>
        <v>701837.78157279093</v>
      </c>
      <c r="R9" s="302">
        <f>Q9*(1+L9)</f>
        <v>952711.9205715569</v>
      </c>
      <c r="T9" s="47">
        <f>'Income Statement-Banks'!P10</f>
        <v>97782.792199999996</v>
      </c>
      <c r="U9" s="307">
        <f>('Income Statement-Banks'!P10/'Income Statement-Banks'!L10)^(1/5)-1</f>
        <v>6.4558513913366422E-2</v>
      </c>
      <c r="V9" s="47">
        <f>T9*(1+U9)</f>
        <v>104095.50395073151</v>
      </c>
      <c r="W9" s="47">
        <f>V9*(1+U9)</f>
        <v>110815.7549908537</v>
      </c>
      <c r="X9" s="47">
        <f>W9*(1+U9)</f>
        <v>117969.85545125094</v>
      </c>
      <c r="Y9" s="47">
        <f>X9*(1+U9)</f>
        <v>125585.81400575835</v>
      </c>
      <c r="Z9" s="47">
        <f>Y9*(1+U9)</f>
        <v>133693.44752657056</v>
      </c>
      <c r="AA9" s="47">
        <f>Z9*(1+U9)</f>
        <v>142324.49781884058</v>
      </c>
      <c r="AC9" s="47">
        <f>'Income Statement-Banks'!U10</f>
        <v>235893.8388</v>
      </c>
      <c r="AD9" s="307">
        <f>('Income Statement-Banks'!U10/'Income Statement-Banks'!Q10)^(1/5)-1</f>
        <v>0.12349822524945853</v>
      </c>
      <c r="AE9" s="302">
        <f>AC9*(1+AD9)</f>
        <v>265026.30923908186</v>
      </c>
      <c r="AF9" s="302">
        <f>AC9*(1+AD9)^2</f>
        <v>297756.58807452262</v>
      </c>
      <c r="AG9" s="302">
        <f>AF9*(1+AD9)</f>
        <v>334528.99825806025</v>
      </c>
      <c r="AH9" s="302">
        <f>AC9*(1+AD9)^4</f>
        <v>375842.73583740991</v>
      </c>
      <c r="AI9" s="302">
        <f>AH9*(1+AD9)</f>
        <v>422258.64668623108</v>
      </c>
      <c r="AJ9" s="302">
        <f>AI9*(1+AD9)</f>
        <v>474406.84014821879</v>
      </c>
      <c r="AL9" s="302">
        <f>'Income Statement-NBFCs'!F38+'Income Statement-NBFCs'!F19</f>
        <v>824.66</v>
      </c>
      <c r="AM9" s="307">
        <f>AVERAGE('Income Statement-NBFCs'!B38:F38)/AVERAGE('Income Statement-NBFCs'!B14:F14)</f>
        <v>0.14041700890827372</v>
      </c>
      <c r="AN9" s="302">
        <f>AN8*$AM$9</f>
        <v>439.58815392752183</v>
      </c>
      <c r="AO9" s="302">
        <f t="shared" ref="AO9:AS9" si="15">AO8*$AM$9</f>
        <v>529.75511588814788</v>
      </c>
      <c r="AP9" s="302">
        <f t="shared" si="15"/>
        <v>640.35785963608919</v>
      </c>
      <c r="AQ9" s="302">
        <f t="shared" si="15"/>
        <v>776.1133785751972</v>
      </c>
      <c r="AR9" s="302">
        <f t="shared" si="15"/>
        <v>942.83084053800746</v>
      </c>
      <c r="AS9" s="302">
        <f t="shared" si="15"/>
        <v>1147.6646029867534</v>
      </c>
      <c r="AU9" s="47">
        <f>'Income Statement-NBFCs'!K38</f>
        <v>16955.89</v>
      </c>
      <c r="AV9" s="307">
        <f>AVERAGE('Income Statement-NBFCs'!G38:K38)/AVERAGE('Income Statement-NBFCs'!G14:K14)</f>
        <v>0.3508563807624831</v>
      </c>
      <c r="AW9" s="47">
        <f>AW8*$AV$9</f>
        <v>14171.887678950983</v>
      </c>
      <c r="AX9" s="47">
        <f t="shared" ref="AX9:BB9" si="16">AX8*$AV$9</f>
        <v>16648.834784360592</v>
      </c>
      <c r="AY9" s="47">
        <f t="shared" si="16"/>
        <v>19561.940950285887</v>
      </c>
      <c r="AZ9" s="47">
        <f t="shared" si="16"/>
        <v>22988.492608378401</v>
      </c>
      <c r="BA9" s="47">
        <f t="shared" si="16"/>
        <v>27019.54302004401</v>
      </c>
      <c r="BB9" s="47">
        <f t="shared" si="16"/>
        <v>31762.375115696748</v>
      </c>
      <c r="BD9" s="47">
        <f>'Income Statement-NBFCs'!L38</f>
        <v>22740.359999999997</v>
      </c>
      <c r="BE9" s="307">
        <f>AVERAGE('Income Statement-NBFCs'!L38:P38)/AVERAGE('Income Statement-NBFCs'!L14:P14)</f>
        <v>0.2269224474245348</v>
      </c>
      <c r="BF9" s="47">
        <f>BF8*$BE$9</f>
        <v>27670.038738237392</v>
      </c>
      <c r="BG9" s="47">
        <f t="shared" ref="BG9:BK9" si="17">BG8*$BE$9</f>
        <v>31420.481863311383</v>
      </c>
      <c r="BH9" s="47">
        <f t="shared" si="17"/>
        <v>35680.60824503006</v>
      </c>
      <c r="BI9" s="47">
        <f t="shared" si="17"/>
        <v>40519.900009282566</v>
      </c>
      <c r="BJ9" s="47">
        <f t="shared" si="17"/>
        <v>46017.346188841664</v>
      </c>
      <c r="BK9" s="47">
        <f t="shared" si="17"/>
        <v>52262.749091162579</v>
      </c>
    </row>
    <row r="10" spans="1:63" s="45" customFormat="1" x14ac:dyDescent="0.3">
      <c r="A10" s="48" t="s">
        <v>363</v>
      </c>
      <c r="B10" s="304">
        <f>B8-B9</f>
        <v>39356.070000000007</v>
      </c>
      <c r="C10" s="306"/>
      <c r="D10" s="304">
        <f t="shared" ref="D10:I10" si="18">D8-D9</f>
        <v>43469.834120167681</v>
      </c>
      <c r="E10" s="304">
        <f t="shared" si="18"/>
        <v>48019.735489908962</v>
      </c>
      <c r="F10" s="304">
        <f t="shared" si="18"/>
        <v>53051.927440951054</v>
      </c>
      <c r="G10" s="304">
        <f t="shared" si="18"/>
        <v>58617.299571022886</v>
      </c>
      <c r="H10" s="304">
        <f t="shared" si="18"/>
        <v>64771.922282027706</v>
      </c>
      <c r="I10" s="304">
        <f t="shared" si="18"/>
        <v>71577.523481032069</v>
      </c>
      <c r="K10" s="304">
        <f>K8-K9</f>
        <v>101586.88000000003</v>
      </c>
      <c r="L10" s="304"/>
      <c r="M10" s="304">
        <f t="shared" ref="M10:R10" si="19">M8-M9</f>
        <v>115880.53917755443</v>
      </c>
      <c r="N10" s="304">
        <f t="shared" si="19"/>
        <v>132213.40774078597</v>
      </c>
      <c r="O10" s="304">
        <f t="shared" si="19"/>
        <v>151027.67149702332</v>
      </c>
      <c r="P10" s="304">
        <f t="shared" si="19"/>
        <v>172960.73148597917</v>
      </c>
      <c r="Q10" s="304">
        <f t="shared" si="19"/>
        <v>198953.34820070758</v>
      </c>
      <c r="R10" s="304">
        <f t="shared" si="19"/>
        <v>230415.03680276813</v>
      </c>
      <c r="T10" s="22">
        <f>T8-T9</f>
        <v>64146.772299999982</v>
      </c>
      <c r="U10" s="22"/>
      <c r="V10" s="22">
        <f t="shared" ref="V10:AA10" si="20">V8-V9</f>
        <v>74292.326036842976</v>
      </c>
      <c r="W10" s="22">
        <f t="shared" si="20"/>
        <v>86380.010394616183</v>
      </c>
      <c r="X10" s="22">
        <f t="shared" si="20"/>
        <v>100755.11533759834</v>
      </c>
      <c r="Y10" s="22">
        <f t="shared" si="20"/>
        <v>117821.37519853454</v>
      </c>
      <c r="Z10" s="22">
        <f t="shared" si="20"/>
        <v>138050.64023373634</v>
      </c>
      <c r="AA10" s="22">
        <f t="shared" si="20"/>
        <v>161994.13342673148</v>
      </c>
      <c r="AC10" s="22">
        <f>AC8-AC9</f>
        <v>98945.017599999992</v>
      </c>
      <c r="AD10" s="315"/>
      <c r="AE10" s="22">
        <f t="shared" ref="AE10:AJ10" si="21">AE8-AE9</f>
        <v>103678.70210345864</v>
      </c>
      <c r="AF10" s="22">
        <f t="shared" si="21"/>
        <v>108246.88824944006</v>
      </c>
      <c r="AG10" s="22">
        <f t="shared" si="21"/>
        <v>112553.8202422125</v>
      </c>
      <c r="AH10" s="22">
        <f t="shared" si="21"/>
        <v>116484.33836932882</v>
      </c>
      <c r="AI10" s="22">
        <f t="shared" si="21"/>
        <v>119900.71855787904</v>
      </c>
      <c r="AJ10" s="22">
        <f t="shared" si="21"/>
        <v>122639.0444199685</v>
      </c>
      <c r="AL10" s="304">
        <f>AL8-AL9</f>
        <v>2100.44</v>
      </c>
      <c r="AM10" s="306"/>
      <c r="AN10" s="304">
        <f t="shared" ref="AN10:AS10" si="22">AN8-AN9</f>
        <v>2691.0023446543078</v>
      </c>
      <c r="AO10" s="304">
        <f t="shared" si="22"/>
        <v>3242.9724190944994</v>
      </c>
      <c r="AP10" s="304">
        <f t="shared" si="22"/>
        <v>3920.0430819221929</v>
      </c>
      <c r="AQ10" s="304">
        <f t="shared" si="22"/>
        <v>4751.0900892196978</v>
      </c>
      <c r="AR10" s="304">
        <f t="shared" si="22"/>
        <v>5771.6751005043925</v>
      </c>
      <c r="AS10" s="304">
        <f t="shared" si="22"/>
        <v>7025.5945478078356</v>
      </c>
      <c r="AU10" s="22">
        <f>AU8-AU9</f>
        <v>19301.93</v>
      </c>
      <c r="AV10" s="306"/>
      <c r="AW10" s="304">
        <f t="shared" ref="AW10:BB10" si="23">AW8-AW9</f>
        <v>26220.388066904219</v>
      </c>
      <c r="AX10" s="304">
        <f t="shared" si="23"/>
        <v>30803.158957863077</v>
      </c>
      <c r="AY10" s="304">
        <f t="shared" si="23"/>
        <v>36192.897846642256</v>
      </c>
      <c r="AZ10" s="304">
        <f t="shared" si="23"/>
        <v>42532.597697631361</v>
      </c>
      <c r="BA10" s="304">
        <f t="shared" si="23"/>
        <v>49990.722437648343</v>
      </c>
      <c r="BB10" s="304">
        <f t="shared" si="23"/>
        <v>58765.763624920059</v>
      </c>
      <c r="BD10" s="22">
        <f>BD8-BD9</f>
        <v>74586.280000000013</v>
      </c>
      <c r="BE10" s="306"/>
      <c r="BF10" s="22">
        <f t="shared" ref="BF10:BK10" si="24">BF8-BF9</f>
        <v>94266.063451209178</v>
      </c>
      <c r="BG10" s="22">
        <f t="shared" si="24"/>
        <v>107043.04265759597</v>
      </c>
      <c r="BH10" s="22">
        <f t="shared" si="24"/>
        <v>121556.40664701133</v>
      </c>
      <c r="BI10" s="22">
        <f t="shared" si="24"/>
        <v>138042.86656213755</v>
      </c>
      <c r="BJ10" s="22">
        <f t="shared" si="24"/>
        <v>156771.52159888641</v>
      </c>
      <c r="BK10" s="22">
        <f t="shared" si="24"/>
        <v>178048.309529616</v>
      </c>
    </row>
    <row r="11" spans="1:63" x14ac:dyDescent="0.3">
      <c r="A11" s="46" t="s">
        <v>35</v>
      </c>
      <c r="B11" s="302">
        <f>(B16-'Financial Ratios-Banks'!E34)*'Financial Projections'!C16</f>
        <v>-96.42346007504004</v>
      </c>
      <c r="C11" s="307">
        <f>'Financial Ratios-Banks'!G14</f>
        <v>0.43381315334629544</v>
      </c>
      <c r="D11" s="302">
        <f>(D16-B16)*C11</f>
        <v>8122.4465986743571</v>
      </c>
      <c r="E11" s="302">
        <f>(E16-D16)*C11</f>
        <v>1630.093567255383</v>
      </c>
      <c r="F11" s="302">
        <f>(F16-E16)*C11</f>
        <v>1815.6287396630926</v>
      </c>
      <c r="G11" s="302">
        <f>(G16-F16)*C11</f>
        <v>2022.2812889452614</v>
      </c>
      <c r="H11" s="302">
        <f>(H16-G16)*C11</f>
        <v>2252.4547680254159</v>
      </c>
      <c r="I11" s="302">
        <f>(I16-H16)*C11</f>
        <v>2508.8262991577135</v>
      </c>
      <c r="K11" s="302">
        <f>(K16-'Financial Ratios-Banks'!K34)*L11</f>
        <v>8286.0963384231018</v>
      </c>
      <c r="L11" s="307">
        <f>'Financial Ratios-Banks'!M14</f>
        <v>0.72639832003347204</v>
      </c>
      <c r="M11" s="302">
        <f>(M16-K16)*L11</f>
        <v>5458.7106519711251</v>
      </c>
      <c r="N11" s="302">
        <f>(N16-M16)*L11</f>
        <v>5374.4409442238375</v>
      </c>
      <c r="O11" s="302">
        <f>(O16-N16)*L11</f>
        <v>6433.8101314209471</v>
      </c>
      <c r="P11" s="302">
        <f>(P16-O16)*L11</f>
        <v>7701.9941677213465</v>
      </c>
      <c r="Q11" s="302">
        <f>(Q16-P16)*L11</f>
        <v>9220.1530582799987</v>
      </c>
      <c r="R11" s="302">
        <f>(R16-Q16)*L11</f>
        <v>11037.559957444204</v>
      </c>
      <c r="T11" s="47">
        <f>'Cash Flow Statement-Banks'!P10</f>
        <v>963.57159999999999</v>
      </c>
      <c r="U11" s="307">
        <f>'Financial Ratios-Banks'!S14</f>
        <v>0.18966507157210669</v>
      </c>
      <c r="V11" s="47">
        <f>(V16-T16)*U11</f>
        <v>4169.3370600386797</v>
      </c>
      <c r="W11" s="47">
        <f>(W16-V16)*U11</f>
        <v>1003.1001904286719</v>
      </c>
      <c r="X11" s="47">
        <f>(X16-W16)*U11</f>
        <v>1126.3690288823861</v>
      </c>
      <c r="Y11" s="47">
        <f>(Y16-X16)*U11</f>
        <v>1264.7861114284872</v>
      </c>
      <c r="Z11" s="47">
        <f>(Z16-Y16)*U11</f>
        <v>1420.2129734068053</v>
      </c>
      <c r="AA11" s="47">
        <f>(AA16-Z16)*U11</f>
        <v>1594.7399102563927</v>
      </c>
      <c r="AC11" s="47">
        <f>'Income Statement-Banks'!U11</f>
        <v>30806.756700000002</v>
      </c>
      <c r="AD11" s="307">
        <f>'Financial Ratios-Banks'!Y14</f>
        <v>0.2569219508971487</v>
      </c>
      <c r="AE11" s="302">
        <f>(AE16-AC16)*'Financial Ratios-Banks'!Y14</f>
        <v>16009.072292137453</v>
      </c>
      <c r="AF11" s="302">
        <f>(AF16-AE16)*AD11</f>
        <v>3293.3565489881539</v>
      </c>
      <c r="AG11" s="302">
        <f>(AG16-AF16)*AD11</f>
        <v>3615.1615485868601</v>
      </c>
      <c r="AH11" s="302">
        <f>(AH16-AG16)*AD11</f>
        <v>3968.4112023632492</v>
      </c>
      <c r="AI11" s="302">
        <f>(AI16-AH16)*AD11</f>
        <v>4356.1780737566341</v>
      </c>
      <c r="AJ11" s="302">
        <f>(AJ16-AI16)*AD11</f>
        <v>4781.8349567648984</v>
      </c>
      <c r="AL11" s="302">
        <f>AL5*AM11*AM16</f>
        <v>43.800145743542153</v>
      </c>
      <c r="AM11" s="307">
        <f>AVERAGE('Financial Ratios-NBFCs'!B14:F14)</f>
        <v>0.2174525697113367</v>
      </c>
      <c r="AN11" s="302">
        <f t="shared" ref="AN11:AS11" si="25">AN5*$AM$11*$AM$16</f>
        <v>53.948046420331444</v>
      </c>
      <c r="AO11" s="302">
        <f t="shared" si="25"/>
        <v>66.447078272549831</v>
      </c>
      <c r="AP11" s="302">
        <f t="shared" si="25"/>
        <v>81.84196655718749</v>
      </c>
      <c r="AQ11" s="302">
        <f t="shared" si="25"/>
        <v>100.80364199722641</v>
      </c>
      <c r="AR11" s="302">
        <f t="shared" si="25"/>
        <v>124.15848087917922</v>
      </c>
      <c r="AS11" s="302">
        <f t="shared" si="25"/>
        <v>152.92431968529138</v>
      </c>
      <c r="AU11" s="47">
        <f>AU5*AV11*AV16</f>
        <v>122.40682066600944</v>
      </c>
      <c r="AV11" s="307">
        <f>AVERAGE('Financial Ratios-NBFCs'!G14:K14)</f>
        <v>2.7624706030221956E-2</v>
      </c>
      <c r="AW11" s="47">
        <f t="shared" ref="AW11:BB11" si="26">AW5*$AV$11*$AV$16</f>
        <v>144.69452078894295</v>
      </c>
      <c r="AX11" s="47">
        <f t="shared" si="26"/>
        <v>171.04034099102785</v>
      </c>
      <c r="AY11" s="47">
        <f t="shared" si="26"/>
        <v>202.18317934097357</v>
      </c>
      <c r="AZ11" s="47">
        <f t="shared" si="26"/>
        <v>238.99647166026514</v>
      </c>
      <c r="BA11" s="47">
        <f t="shared" si="26"/>
        <v>282.51268801014629</v>
      </c>
      <c r="BB11" s="47">
        <f t="shared" si="26"/>
        <v>333.9522894721789</v>
      </c>
      <c r="BD11" s="47">
        <f>BD5*BE11*BE16</f>
        <v>505.72770165198233</v>
      </c>
      <c r="BE11" s="307">
        <f>AVERAGE('Financial Ratios-NBFCs'!L14:P14)</f>
        <v>6.1007535126258859E-2</v>
      </c>
      <c r="BF11" s="47">
        <f t="shared" ref="BF11:BK11" si="27">BF5*$BE$11*$BE$16</f>
        <v>573.3940133702996</v>
      </c>
      <c r="BG11" s="47">
        <f t="shared" si="27"/>
        <v>650.11407026928214</v>
      </c>
      <c r="BH11" s="47">
        <f t="shared" si="27"/>
        <v>737.09926247371811</v>
      </c>
      <c r="BI11" s="47">
        <f t="shared" si="27"/>
        <v>835.72306397591706</v>
      </c>
      <c r="BJ11" s="47">
        <f t="shared" si="27"/>
        <v>947.54271943963329</v>
      </c>
      <c r="BK11" s="47">
        <f t="shared" si="27"/>
        <v>1074.3238326960047</v>
      </c>
    </row>
    <row r="12" spans="1:63" s="45" customFormat="1" x14ac:dyDescent="0.3">
      <c r="A12" s="48" t="s">
        <v>364</v>
      </c>
      <c r="B12" s="304">
        <f>B10-B11</f>
        <v>39452.493460075049</v>
      </c>
      <c r="C12" s="306"/>
      <c r="D12" s="304">
        <f>D10-D11</f>
        <v>35347.387521493321</v>
      </c>
      <c r="E12" s="304">
        <f t="shared" ref="E12:I12" si="28">E10-E11</f>
        <v>46389.64192265358</v>
      </c>
      <c r="F12" s="304">
        <f t="shared" si="28"/>
        <v>51236.29870128796</v>
      </c>
      <c r="G12" s="304">
        <f t="shared" si="28"/>
        <v>56595.018282077624</v>
      </c>
      <c r="H12" s="304">
        <f t="shared" si="28"/>
        <v>62519.467514002288</v>
      </c>
      <c r="I12" s="304">
        <f t="shared" si="28"/>
        <v>69068.697181874362</v>
      </c>
      <c r="K12" s="304">
        <f>K10-K11</f>
        <v>93300.783661576934</v>
      </c>
      <c r="L12" s="306"/>
      <c r="M12" s="304">
        <f>M10-M11</f>
        <v>110421.8285255833</v>
      </c>
      <c r="N12" s="304">
        <f t="shared" ref="N12:R12" si="29">N10-N11</f>
        <v>126838.96679656213</v>
      </c>
      <c r="O12" s="304">
        <f t="shared" si="29"/>
        <v>144593.86136560238</v>
      </c>
      <c r="P12" s="304">
        <f t="shared" si="29"/>
        <v>165258.73731825783</v>
      </c>
      <c r="Q12" s="304">
        <f t="shared" si="29"/>
        <v>189733.19514242758</v>
      </c>
      <c r="R12" s="304">
        <f t="shared" si="29"/>
        <v>219377.47684532392</v>
      </c>
      <c r="T12" s="22">
        <f>T10-T11</f>
        <v>63183.200699999979</v>
      </c>
      <c r="U12" s="22"/>
      <c r="V12" s="22">
        <f t="shared" ref="V12:AA12" si="30">V10-V11</f>
        <v>70122.988976804292</v>
      </c>
      <c r="W12" s="22">
        <f t="shared" si="30"/>
        <v>85376.910204187516</v>
      </c>
      <c r="X12" s="22">
        <f t="shared" si="30"/>
        <v>99628.746308715956</v>
      </c>
      <c r="Y12" s="22">
        <f t="shared" si="30"/>
        <v>116556.58908710605</v>
      </c>
      <c r="Z12" s="22">
        <f t="shared" si="30"/>
        <v>136630.42726032954</v>
      </c>
      <c r="AA12" s="22">
        <f t="shared" si="30"/>
        <v>160399.3935164751</v>
      </c>
      <c r="AC12" s="22">
        <f>AC10-AC11</f>
        <v>68138.260899999994</v>
      </c>
      <c r="AD12" s="315"/>
      <c r="AE12" s="22">
        <f t="shared" ref="AE12:AJ12" si="31">AE10-AE11</f>
        <v>87669.629811321181</v>
      </c>
      <c r="AF12" s="22">
        <f t="shared" si="31"/>
        <v>104953.5317004519</v>
      </c>
      <c r="AG12" s="22">
        <f t="shared" si="31"/>
        <v>108938.65869362565</v>
      </c>
      <c r="AH12" s="22">
        <f t="shared" si="31"/>
        <v>112515.92716696557</v>
      </c>
      <c r="AI12" s="22">
        <f t="shared" si="31"/>
        <v>115544.54048412241</v>
      </c>
      <c r="AJ12" s="22">
        <f t="shared" si="31"/>
        <v>117857.2094632036</v>
      </c>
      <c r="AL12" s="304">
        <f>AL10-AL11</f>
        <v>2056.639854256458</v>
      </c>
      <c r="AM12" s="306"/>
      <c r="AN12" s="304">
        <f>AN10-AN11</f>
        <v>2637.0542982339762</v>
      </c>
      <c r="AO12" s="304">
        <f t="shared" ref="AO12:AS12" si="32">AO10-AO11</f>
        <v>3176.5253408219496</v>
      </c>
      <c r="AP12" s="304">
        <f t="shared" si="32"/>
        <v>3838.2011153650055</v>
      </c>
      <c r="AQ12" s="304">
        <f t="shared" si="32"/>
        <v>4650.286447222471</v>
      </c>
      <c r="AR12" s="304">
        <f t="shared" si="32"/>
        <v>5647.516619625213</v>
      </c>
      <c r="AS12" s="304">
        <f t="shared" si="32"/>
        <v>6872.6702281225444</v>
      </c>
      <c r="AU12" s="22">
        <f>AU10-AU11</f>
        <v>19179.523179333992</v>
      </c>
      <c r="AV12" s="306"/>
      <c r="AW12" s="304">
        <f>AW10-AW11</f>
        <v>26075.693546115275</v>
      </c>
      <c r="AX12" s="304">
        <f t="shared" ref="AX12:BB12" si="33">AX10-AX11</f>
        <v>30632.118616872049</v>
      </c>
      <c r="AY12" s="304">
        <f t="shared" si="33"/>
        <v>35990.714667301283</v>
      </c>
      <c r="AZ12" s="304">
        <f t="shared" si="33"/>
        <v>42293.601225971099</v>
      </c>
      <c r="BA12" s="304">
        <f t="shared" si="33"/>
        <v>49708.209749638198</v>
      </c>
      <c r="BB12" s="304">
        <f t="shared" si="33"/>
        <v>58431.811335447877</v>
      </c>
      <c r="BD12" s="22">
        <f>BD10-BD11</f>
        <v>74080.552298348033</v>
      </c>
      <c r="BE12" s="306"/>
      <c r="BF12" s="22">
        <f>BF10-BF11</f>
        <v>93692.669437838878</v>
      </c>
      <c r="BG12" s="22">
        <f t="shared" ref="BG12:BK12" si="34">BG10-BG11</f>
        <v>106392.92858732669</v>
      </c>
      <c r="BH12" s="22">
        <f t="shared" si="34"/>
        <v>120819.30738453762</v>
      </c>
      <c r="BI12" s="22">
        <f t="shared" si="34"/>
        <v>137207.14349816163</v>
      </c>
      <c r="BJ12" s="22">
        <f t="shared" si="34"/>
        <v>155823.97887944677</v>
      </c>
      <c r="BK12" s="22">
        <f t="shared" si="34"/>
        <v>176973.98569691999</v>
      </c>
    </row>
    <row r="13" spans="1:63" x14ac:dyDescent="0.3">
      <c r="A13" s="46" t="s">
        <v>365</v>
      </c>
      <c r="B13" s="302">
        <f>B12*C13</f>
        <v>9930.1926039008886</v>
      </c>
      <c r="C13" s="307">
        <f>'Input &amp; Assumptions-Banks'!B9</f>
        <v>0.25169999999999998</v>
      </c>
      <c r="D13" s="302">
        <f>D12*$C$13</f>
        <v>8896.9374391598685</v>
      </c>
      <c r="E13" s="302">
        <f t="shared" ref="E13:I13" si="35">E12*$C$13</f>
        <v>11676.272871931906</v>
      </c>
      <c r="F13" s="302">
        <f t="shared" si="35"/>
        <v>12896.176383114178</v>
      </c>
      <c r="G13" s="302">
        <f t="shared" si="35"/>
        <v>14244.966101598937</v>
      </c>
      <c r="H13" s="302">
        <f t="shared" si="35"/>
        <v>15736.149973274374</v>
      </c>
      <c r="I13" s="302">
        <f t="shared" si="35"/>
        <v>17384.591080677776</v>
      </c>
      <c r="K13" s="302">
        <f>K12*L13</f>
        <v>23483.807247618912</v>
      </c>
      <c r="L13" s="307">
        <f>'Input &amp; Assumptions-Banks'!C9</f>
        <v>0.25169999999999998</v>
      </c>
      <c r="M13" s="302">
        <f>M12*$L$13</f>
        <v>27793.174239889315</v>
      </c>
      <c r="N13" s="302">
        <f t="shared" ref="N13:R13" si="36">N12*$L$13</f>
        <v>31925.367942694687</v>
      </c>
      <c r="O13" s="302">
        <f t="shared" si="36"/>
        <v>36394.274905722115</v>
      </c>
      <c r="P13" s="302">
        <f t="shared" si="36"/>
        <v>41595.624183005493</v>
      </c>
      <c r="Q13" s="302">
        <f t="shared" si="36"/>
        <v>47755.845217349015</v>
      </c>
      <c r="R13" s="302">
        <f t="shared" si="36"/>
        <v>55217.310921968026</v>
      </c>
      <c r="T13" s="47">
        <f>T12*U13</f>
        <v>15903.211616189994</v>
      </c>
      <c r="U13" s="307">
        <f>'Input &amp; Assumptions-Banks'!D9</f>
        <v>0.25169999999999998</v>
      </c>
      <c r="V13" s="47">
        <f>V12*$U$13</f>
        <v>17649.956325461641</v>
      </c>
      <c r="W13" s="47">
        <f t="shared" ref="W13:AA13" si="37">W12*$U$13</f>
        <v>21489.368298393994</v>
      </c>
      <c r="X13" s="47">
        <f t="shared" si="37"/>
        <v>25076.555445903803</v>
      </c>
      <c r="Y13" s="47">
        <f t="shared" si="37"/>
        <v>29337.293473224592</v>
      </c>
      <c r="Z13" s="47">
        <f t="shared" si="37"/>
        <v>34389.878541424943</v>
      </c>
      <c r="AA13" s="47">
        <f t="shared" si="37"/>
        <v>40372.527348096781</v>
      </c>
      <c r="AC13" s="47">
        <f>AC12*AD13</f>
        <v>17034.565224999998</v>
      </c>
      <c r="AD13" s="339">
        <v>0.25</v>
      </c>
      <c r="AE13" s="47">
        <f>AE12*$AD$13</f>
        <v>21917.407452830295</v>
      </c>
      <c r="AF13" s="47">
        <f t="shared" ref="AF13:AJ13" si="38">AF12*$AD$13</f>
        <v>26238.382925112975</v>
      </c>
      <c r="AG13" s="47">
        <f t="shared" si="38"/>
        <v>27234.664673406412</v>
      </c>
      <c r="AH13" s="47">
        <f t="shared" si="38"/>
        <v>28128.981791741393</v>
      </c>
      <c r="AI13" s="47">
        <f t="shared" si="38"/>
        <v>28886.135121030602</v>
      </c>
      <c r="AJ13" s="47">
        <f t="shared" si="38"/>
        <v>29464.302365800901</v>
      </c>
      <c r="AL13" s="302">
        <f>AL12*AM13</f>
        <v>517.65625131635045</v>
      </c>
      <c r="AM13" s="307">
        <f>'Input &amp; Assumptions-Banks'!F9</f>
        <v>0.25169999999999998</v>
      </c>
      <c r="AN13" s="302">
        <f>AN12*$AM$13</f>
        <v>663.74656686549179</v>
      </c>
      <c r="AO13" s="302">
        <f>AO12*$AM$13</f>
        <v>799.53142828488467</v>
      </c>
      <c r="AP13" s="302">
        <f t="shared" ref="AP13:AS13" si="39">AP12*$AM$13</f>
        <v>966.07522073737186</v>
      </c>
      <c r="AQ13" s="302">
        <f t="shared" si="39"/>
        <v>1170.4770987658958</v>
      </c>
      <c r="AR13" s="302">
        <f t="shared" si="39"/>
        <v>1421.479933159666</v>
      </c>
      <c r="AS13" s="302">
        <f t="shared" si="39"/>
        <v>1729.8510964184443</v>
      </c>
      <c r="AU13" s="47">
        <f>AU12*AV13</f>
        <v>4827.4859842383657</v>
      </c>
      <c r="AV13" s="307">
        <f>'Input &amp; Assumptions-Banks'!G9</f>
        <v>0.25169999999999998</v>
      </c>
      <c r="AW13" s="302">
        <f>AW12*$AV$13</f>
        <v>6563.2520655572143</v>
      </c>
      <c r="AX13" s="302">
        <f t="shared" ref="AX13:BB13" si="40">AX12*$AV$13</f>
        <v>7710.1042558666941</v>
      </c>
      <c r="AY13" s="302">
        <f t="shared" si="40"/>
        <v>9058.8628817597328</v>
      </c>
      <c r="AZ13" s="302">
        <f t="shared" si="40"/>
        <v>10645.299428576925</v>
      </c>
      <c r="BA13" s="302">
        <f t="shared" si="40"/>
        <v>12511.556393983934</v>
      </c>
      <c r="BB13" s="302">
        <f t="shared" si="40"/>
        <v>14707.28691313223</v>
      </c>
      <c r="BD13" s="47">
        <f>BD12*BE13</f>
        <v>18646.075013494199</v>
      </c>
      <c r="BE13" s="307">
        <f>'Input &amp; Assumptions-Banks'!H9</f>
        <v>0.25169999999999998</v>
      </c>
      <c r="BF13" s="47">
        <f>BF12*$BE$13</f>
        <v>23582.444897504043</v>
      </c>
      <c r="BG13" s="47">
        <f t="shared" ref="BG13:BK13" si="41">BG12*$BE$13</f>
        <v>26779.100125430126</v>
      </c>
      <c r="BH13" s="47">
        <f t="shared" si="41"/>
        <v>30410.219668688118</v>
      </c>
      <c r="BI13" s="47">
        <f t="shared" si="41"/>
        <v>34535.038018487277</v>
      </c>
      <c r="BJ13" s="47">
        <f t="shared" si="41"/>
        <v>39220.895483956752</v>
      </c>
      <c r="BK13" s="47">
        <f t="shared" si="41"/>
        <v>44544.352199914756</v>
      </c>
    </row>
    <row r="14" spans="1:63" s="45" customFormat="1" x14ac:dyDescent="0.3">
      <c r="A14" s="48" t="s">
        <v>366</v>
      </c>
      <c r="B14" s="304">
        <f>B12-B13</f>
        <v>29522.300856174159</v>
      </c>
      <c r="C14" s="306"/>
      <c r="D14" s="304">
        <f>D12-D13</f>
        <v>26450.450082333453</v>
      </c>
      <c r="E14" s="304">
        <f t="shared" ref="E14:H14" si="42">E12-E13</f>
        <v>34713.369050721674</v>
      </c>
      <c r="F14" s="304">
        <f t="shared" si="42"/>
        <v>38340.122318173781</v>
      </c>
      <c r="G14" s="304">
        <f t="shared" si="42"/>
        <v>42350.052180478684</v>
      </c>
      <c r="H14" s="304">
        <f t="shared" si="42"/>
        <v>46783.317540727912</v>
      </c>
      <c r="I14" s="304">
        <f>I12-I13</f>
        <v>51684.106101196587</v>
      </c>
      <c r="K14" s="304">
        <f>K12-K13</f>
        <v>69816.976413958022</v>
      </c>
      <c r="L14" s="304"/>
      <c r="M14" s="304">
        <f t="shared" ref="M14:R14" si="43">M12-M13</f>
        <v>82628.654285693992</v>
      </c>
      <c r="N14" s="304">
        <f t="shared" si="43"/>
        <v>94913.598853867443</v>
      </c>
      <c r="O14" s="304">
        <f t="shared" si="43"/>
        <v>108199.58645988026</v>
      </c>
      <c r="P14" s="304">
        <f t="shared" si="43"/>
        <v>123663.11313525234</v>
      </c>
      <c r="Q14" s="304">
        <f t="shared" si="43"/>
        <v>141977.34992507857</v>
      </c>
      <c r="R14" s="304">
        <f t="shared" si="43"/>
        <v>164160.1659233559</v>
      </c>
      <c r="T14" s="22">
        <f>T12-T13</f>
        <v>47279.989083809982</v>
      </c>
      <c r="U14" s="306"/>
      <c r="V14" s="22">
        <f>V12-V13</f>
        <v>52473.032651342655</v>
      </c>
      <c r="W14" s="22">
        <f t="shared" ref="W14:AA14" si="44">W12-W13</f>
        <v>63887.541905793521</v>
      </c>
      <c r="X14" s="22">
        <f t="shared" si="44"/>
        <v>74552.19086281216</v>
      </c>
      <c r="Y14" s="22">
        <f t="shared" si="44"/>
        <v>87219.295613881462</v>
      </c>
      <c r="Z14" s="22">
        <f t="shared" si="44"/>
        <v>102240.5487189046</v>
      </c>
      <c r="AA14" s="22">
        <f t="shared" si="44"/>
        <v>120026.86616837833</v>
      </c>
      <c r="AC14" s="22">
        <f>AC12-AC13</f>
        <v>51103.695674999995</v>
      </c>
      <c r="AD14" s="315"/>
      <c r="AE14" s="22">
        <f t="shared" ref="AE14:AJ14" si="45">AE12-AE13</f>
        <v>65752.222358490893</v>
      </c>
      <c r="AF14" s="22">
        <f t="shared" si="45"/>
        <v>78715.148775338923</v>
      </c>
      <c r="AG14" s="22">
        <f t="shared" si="45"/>
        <v>81703.994020219237</v>
      </c>
      <c r="AH14" s="22">
        <f t="shared" si="45"/>
        <v>84386.945375224182</v>
      </c>
      <c r="AI14" s="22">
        <f t="shared" si="45"/>
        <v>86658.405363091806</v>
      </c>
      <c r="AJ14" s="22">
        <f t="shared" si="45"/>
        <v>88392.907097402698</v>
      </c>
      <c r="AL14" s="304">
        <f>AL12-AL13</f>
        <v>1538.9836029401076</v>
      </c>
      <c r="AM14" s="306"/>
      <c r="AN14" s="304">
        <f>AN12-AN13</f>
        <v>1973.3077313684844</v>
      </c>
      <c r="AO14" s="304">
        <f t="shared" ref="AO14:AS14" si="46">AO12-AO13</f>
        <v>2376.9939125370647</v>
      </c>
      <c r="AP14" s="304">
        <f t="shared" si="46"/>
        <v>2872.1258946276339</v>
      </c>
      <c r="AQ14" s="304">
        <f t="shared" si="46"/>
        <v>3479.8093484565752</v>
      </c>
      <c r="AR14" s="304">
        <f t="shared" si="46"/>
        <v>4226.0366864655471</v>
      </c>
      <c r="AS14" s="304">
        <f t="shared" si="46"/>
        <v>5142.8191317041001</v>
      </c>
      <c r="AU14" s="22">
        <f>AU12-AU13</f>
        <v>14352.037195095625</v>
      </c>
      <c r="AV14" s="306"/>
      <c r="AW14" s="304">
        <f>AW12-AW13</f>
        <v>19512.44148055806</v>
      </c>
      <c r="AX14" s="304">
        <f t="shared" ref="AX14:BB14" si="47">AX12-AX13</f>
        <v>22922.014361005356</v>
      </c>
      <c r="AY14" s="304">
        <f t="shared" si="47"/>
        <v>26931.851785541548</v>
      </c>
      <c r="AZ14" s="304">
        <f t="shared" si="47"/>
        <v>31648.301797394175</v>
      </c>
      <c r="BA14" s="304">
        <f t="shared" si="47"/>
        <v>37196.653355654264</v>
      </c>
      <c r="BB14" s="304">
        <f t="shared" si="47"/>
        <v>43724.524422315648</v>
      </c>
      <c r="BD14" s="22">
        <f>BD12-BD13</f>
        <v>55434.477284853834</v>
      </c>
      <c r="BE14" s="306"/>
      <c r="BF14" s="22">
        <f>BF12-BF13</f>
        <v>70110.224540334835</v>
      </c>
      <c r="BG14" s="22">
        <f t="shared" ref="BG14:BK14" si="48">BG12-BG13</f>
        <v>79613.82846189657</v>
      </c>
      <c r="BH14" s="22">
        <f t="shared" si="48"/>
        <v>90409.087715849499</v>
      </c>
      <c r="BI14" s="22">
        <f t="shared" si="48"/>
        <v>102672.10547967436</v>
      </c>
      <c r="BJ14" s="22">
        <f t="shared" si="48"/>
        <v>116603.08339549002</v>
      </c>
      <c r="BK14" s="22">
        <f t="shared" si="48"/>
        <v>132429.63349700524</v>
      </c>
    </row>
    <row r="15" spans="1:63" x14ac:dyDescent="0.3">
      <c r="A15" s="48" t="s">
        <v>367</v>
      </c>
      <c r="B15" s="48"/>
      <c r="C15" s="48"/>
      <c r="D15" s="48"/>
      <c r="E15" s="48"/>
      <c r="F15" s="48"/>
      <c r="G15" s="48"/>
      <c r="H15" s="48"/>
      <c r="I15" s="48"/>
      <c r="K15" s="547" t="s">
        <v>367</v>
      </c>
      <c r="L15" s="547"/>
      <c r="M15" s="547"/>
      <c r="N15" s="547"/>
      <c r="O15" s="547"/>
      <c r="P15" s="547"/>
      <c r="Q15" s="547"/>
      <c r="R15" s="547"/>
      <c r="T15" s="597"/>
      <c r="U15" s="597"/>
      <c r="V15" s="597"/>
      <c r="W15" s="597"/>
      <c r="X15" s="597"/>
      <c r="Y15" s="597"/>
      <c r="Z15" s="597"/>
      <c r="AA15" s="597"/>
      <c r="AC15" s="596"/>
      <c r="AD15" s="596"/>
      <c r="AE15" s="596"/>
      <c r="AF15" s="596"/>
      <c r="AG15" s="596"/>
      <c r="AH15" s="596"/>
      <c r="AI15" s="596"/>
      <c r="AJ15" s="596"/>
      <c r="AL15" s="596"/>
      <c r="AM15" s="596"/>
      <c r="AN15" s="596"/>
      <c r="AO15" s="596"/>
      <c r="AP15" s="596"/>
      <c r="AQ15" s="596"/>
      <c r="AR15" s="596"/>
      <c r="AS15" s="596"/>
      <c r="AU15" s="596"/>
      <c r="AV15" s="596"/>
      <c r="AW15" s="596"/>
      <c r="AX15" s="596"/>
      <c r="AY15" s="596"/>
      <c r="AZ15" s="596"/>
      <c r="BA15" s="596"/>
      <c r="BB15" s="596"/>
      <c r="BD15" s="596"/>
      <c r="BE15" s="596"/>
      <c r="BF15" s="596"/>
      <c r="BG15" s="596"/>
      <c r="BH15" s="596"/>
      <c r="BI15" s="596"/>
      <c r="BJ15" s="596"/>
      <c r="BK15" s="596"/>
    </row>
    <row r="16" spans="1:63" x14ac:dyDescent="0.3">
      <c r="A16" s="46" t="s">
        <v>325</v>
      </c>
      <c r="B16" s="302">
        <f>'Financial Ratios-Banks'!F34</f>
        <v>14290.468763999997</v>
      </c>
      <c r="C16" s="307">
        <f>'Financial Ratios-Banks'!G12</f>
        <v>2.9660000000000002E-2</v>
      </c>
      <c r="D16" s="302">
        <f>D5*$C$16</f>
        <v>33013.844337148046</v>
      </c>
      <c r="E16" s="302">
        <f t="shared" ref="E16:I16" si="49">E5*$C$16</f>
        <v>36771.438026231386</v>
      </c>
      <c r="F16" s="302">
        <f t="shared" si="49"/>
        <v>40956.716240268732</v>
      </c>
      <c r="G16" s="302">
        <f t="shared" si="49"/>
        <v>45618.35748684236</v>
      </c>
      <c r="H16" s="302">
        <f t="shared" si="49"/>
        <v>50810.580799230891</v>
      </c>
      <c r="I16" s="302">
        <f t="shared" si="49"/>
        <v>56593.776351983113</v>
      </c>
      <c r="K16" s="302">
        <f>'Financial Ratios-Banks'!L34</f>
        <v>30020.929380000001</v>
      </c>
      <c r="L16" s="307">
        <f>'Financial Ratios-Banks'!M12</f>
        <v>1.222E-2</v>
      </c>
      <c r="M16" s="302">
        <f t="shared" ref="M16:R16" si="50">M5*$L$16</f>
        <v>37535.691599879021</v>
      </c>
      <c r="N16" s="302">
        <f t="shared" si="50"/>
        <v>44934.443491232771</v>
      </c>
      <c r="O16" s="302">
        <f t="shared" si="50"/>
        <v>53791.581447064607</v>
      </c>
      <c r="P16" s="302">
        <f t="shared" si="50"/>
        <v>64394.571508173838</v>
      </c>
      <c r="Q16" s="302">
        <f t="shared" si="50"/>
        <v>77087.542849097561</v>
      </c>
      <c r="R16" s="302">
        <f t="shared" si="50"/>
        <v>92282.456786860523</v>
      </c>
      <c r="T16" s="47">
        <f>'Financial Ratios-Banks'!R34</f>
        <v>21054.962038999998</v>
      </c>
      <c r="U16" s="307">
        <f>'Financial Ratios-Banks'!S12</f>
        <v>3.04E-2</v>
      </c>
      <c r="V16" s="47">
        <f t="shared" ref="V16:AA16" si="51">V5*$U$16</f>
        <v>43037.591868939904</v>
      </c>
      <c r="W16" s="47">
        <f t="shared" si="51"/>
        <v>48326.389548523803</v>
      </c>
      <c r="X16" s="47">
        <f t="shared" si="51"/>
        <v>54265.116271088344</v>
      </c>
      <c r="Y16" s="47">
        <f t="shared" si="51"/>
        <v>60933.640427617829</v>
      </c>
      <c r="Z16" s="47">
        <f t="shared" si="51"/>
        <v>68421.645264960112</v>
      </c>
      <c r="AA16" s="47">
        <f t="shared" si="51"/>
        <v>76829.835012486219</v>
      </c>
      <c r="AC16" s="23">
        <f>'Financial Ratios-Banks'!X34</f>
        <v>68873.762550320011</v>
      </c>
      <c r="AD16" s="338">
        <f>'Financial Ratios-Banks'!Y12</f>
        <v>3.1579999999999997E-2</v>
      </c>
      <c r="AE16" s="302">
        <f t="shared" ref="AE16:AJ16" si="52">AE5*$AD$16</f>
        <v>131184.79606160696</v>
      </c>
      <c r="AF16" s="302">
        <f t="shared" si="52"/>
        <v>144003.30587553311</v>
      </c>
      <c r="AG16" s="302">
        <f t="shared" si="52"/>
        <v>158074.35560858643</v>
      </c>
      <c r="AH16" s="302">
        <f t="shared" si="52"/>
        <v>173520.33516971738</v>
      </c>
      <c r="AI16" s="302">
        <f t="shared" si="52"/>
        <v>190475.59359954498</v>
      </c>
      <c r="AJ16" s="302">
        <f t="shared" si="52"/>
        <v>209087.60763753261</v>
      </c>
      <c r="AL16" s="302">
        <f>'Financial Ratios-NBFCs'!F34</f>
        <v>237.90225000000001</v>
      </c>
      <c r="AM16" s="307">
        <f>AVERAGE('Financial Ratios-NBFCs'!B12:F12)</f>
        <v>2.5399999999999997E-3</v>
      </c>
      <c r="AN16" s="302">
        <f t="shared" ref="AN16:AS16" si="53">AN5*$AM$16</f>
        <v>248.09109633400166</v>
      </c>
      <c r="AO16" s="302">
        <f t="shared" si="53"/>
        <v>305.57044398581633</v>
      </c>
      <c r="AP16" s="302">
        <f t="shared" si="53"/>
        <v>376.36697816830042</v>
      </c>
      <c r="AQ16" s="302">
        <f t="shared" si="53"/>
        <v>463.56611067434585</v>
      </c>
      <c r="AR16" s="302">
        <f t="shared" si="53"/>
        <v>570.96810143010384</v>
      </c>
      <c r="AS16" s="302">
        <f t="shared" si="53"/>
        <v>703.25367912779734</v>
      </c>
      <c r="AU16" s="47">
        <f>'Financial Ratios-NBFCs'!K34</f>
        <v>2773.4932200000003</v>
      </c>
      <c r="AV16" s="307">
        <f>AVERAGE('Financial Ratios-NBFCs'!G12:K12)</f>
        <v>1.358E-2</v>
      </c>
      <c r="AW16" s="302">
        <f t="shared" ref="AW16:BB16" si="54">AW5*$AV$16</f>
        <v>5237.8664457331924</v>
      </c>
      <c r="AX16" s="302">
        <f t="shared" si="54"/>
        <v>6191.5714434718857</v>
      </c>
      <c r="AY16" s="302">
        <f t="shared" si="54"/>
        <v>7318.9260048516462</v>
      </c>
      <c r="AZ16" s="302">
        <f t="shared" si="54"/>
        <v>8651.548052630802</v>
      </c>
      <c r="BA16" s="302">
        <f t="shared" si="54"/>
        <v>10226.812466386866</v>
      </c>
      <c r="BB16" s="302">
        <f t="shared" si="54"/>
        <v>12088.899302922127</v>
      </c>
      <c r="BD16" s="302">
        <f>BD5*BE16</f>
        <v>8289.5940740000005</v>
      </c>
      <c r="BE16" s="314">
        <f>AVERAGE('Financial Ratios-NBFCs'!L12:P12)</f>
        <v>9.4000000000000004E-3</v>
      </c>
      <c r="BF16" s="302">
        <f t="shared" ref="BF16:BK16" si="55">BF5*$BE$16</f>
        <v>9398.7408634626081</v>
      </c>
      <c r="BG16" s="302">
        <f t="shared" si="55"/>
        <v>10656.29137325137</v>
      </c>
      <c r="BH16" s="302">
        <f t="shared" si="55"/>
        <v>12082.102005076023</v>
      </c>
      <c r="BI16" s="302">
        <f t="shared" si="55"/>
        <v>13698.68594504493</v>
      </c>
      <c r="BJ16" s="302">
        <f t="shared" si="55"/>
        <v>15531.568641129905</v>
      </c>
      <c r="BK16" s="302">
        <f t="shared" si="55"/>
        <v>17609.690843477369</v>
      </c>
    </row>
    <row r="17" spans="1:63" x14ac:dyDescent="0.3">
      <c r="A17" s="48" t="s">
        <v>368</v>
      </c>
      <c r="B17" s="48"/>
      <c r="C17" s="48"/>
      <c r="D17" s="48"/>
      <c r="E17" s="48"/>
      <c r="F17" s="48"/>
      <c r="G17" s="48"/>
      <c r="H17" s="48"/>
      <c r="I17" s="48"/>
      <c r="K17" s="547" t="s">
        <v>368</v>
      </c>
      <c r="L17" s="547"/>
      <c r="M17" s="547"/>
      <c r="N17" s="547"/>
      <c r="O17" s="547"/>
      <c r="P17" s="547"/>
      <c r="Q17" s="547"/>
      <c r="R17" s="547"/>
      <c r="T17" s="597"/>
      <c r="U17" s="597"/>
      <c r="V17" s="597"/>
      <c r="W17" s="597"/>
      <c r="X17" s="597"/>
      <c r="Y17" s="597"/>
      <c r="Z17" s="597"/>
      <c r="AA17" s="597"/>
      <c r="AC17" s="596"/>
      <c r="AD17" s="596"/>
      <c r="AE17" s="596"/>
      <c r="AF17" s="596"/>
      <c r="AG17" s="596"/>
      <c r="AH17" s="596"/>
      <c r="AI17" s="596"/>
      <c r="AJ17" s="596"/>
      <c r="AL17" s="596"/>
      <c r="AM17" s="596"/>
      <c r="AN17" s="596"/>
      <c r="AO17" s="596"/>
      <c r="AP17" s="596"/>
      <c r="AQ17" s="596"/>
      <c r="AR17" s="596"/>
      <c r="AS17" s="596"/>
      <c r="AU17" s="596"/>
      <c r="AV17" s="596"/>
      <c r="AW17" s="596"/>
      <c r="AX17" s="596"/>
      <c r="AY17" s="596"/>
      <c r="AZ17" s="596"/>
      <c r="BA17" s="596"/>
      <c r="BB17" s="596"/>
      <c r="BD17" s="596"/>
      <c r="BE17" s="596"/>
      <c r="BF17" s="596"/>
      <c r="BG17" s="596"/>
      <c r="BH17" s="596"/>
      <c r="BI17" s="596"/>
      <c r="BJ17" s="596"/>
      <c r="BK17" s="596"/>
    </row>
    <row r="18" spans="1:63" x14ac:dyDescent="0.3">
      <c r="A18" s="46" t="s">
        <v>369</v>
      </c>
      <c r="B18" s="302">
        <f>'Balance Sheet-Banks'!F84</f>
        <v>1039313</v>
      </c>
      <c r="C18" s="307">
        <f>(AVERAGE('Balance Sheet-Banks'!B84:F84)/AVERAGE('Balance Sheet-Banks'!B75:F75))</f>
        <v>1.0149514545260243</v>
      </c>
      <c r="D18" s="302">
        <f t="shared" ref="D18:I18" si="56">D5*$C$18</f>
        <v>1129718.4534552987</v>
      </c>
      <c r="E18" s="302">
        <f t="shared" si="56"/>
        <v>1258301.5680963285</v>
      </c>
      <c r="F18" s="302">
        <f t="shared" si="56"/>
        <v>1401519.8489774237</v>
      </c>
      <c r="G18" s="302">
        <f t="shared" si="56"/>
        <v>1561039.0520687392</v>
      </c>
      <c r="H18" s="302">
        <f t="shared" si="56"/>
        <v>1738714.527562086</v>
      </c>
      <c r="I18" s="302">
        <f t="shared" si="56"/>
        <v>1936612.7992436204</v>
      </c>
      <c r="K18" s="302">
        <f>'Balance Sheet-Banks'!K84</f>
        <v>2468028.06</v>
      </c>
      <c r="L18" s="307">
        <f>(AVERAGE('Balance Sheet-Banks'!G84:K84)/AVERAGE('Balance Sheet-Banks'!G75:K75))</f>
        <v>0.95637023850999348</v>
      </c>
      <c r="M18" s="302">
        <f t="shared" ref="M18:R18" si="57">M5*$L$18</f>
        <v>2937644.7076934418</v>
      </c>
      <c r="N18" s="302">
        <f t="shared" si="57"/>
        <v>3516691.0342900255</v>
      </c>
      <c r="O18" s="302">
        <f t="shared" si="57"/>
        <v>4209874.5972470473</v>
      </c>
      <c r="P18" s="302">
        <f t="shared" si="57"/>
        <v>5039693.2661228348</v>
      </c>
      <c r="Q18" s="302">
        <f t="shared" si="57"/>
        <v>6033079.520518885</v>
      </c>
      <c r="R18" s="302">
        <f t="shared" si="57"/>
        <v>7222274.5669016335</v>
      </c>
      <c r="T18" s="47">
        <f>AVERAGE('Balance Sheet-Banks'!M84:N84)</f>
        <v>834495.5</v>
      </c>
      <c r="U18" s="307">
        <f>(AVERAGE('Balance Sheet-Banks'!M84:N84)/AVERAGE('Balance Sheet-Banks'!M75:N75))</f>
        <v>1.047867893144574</v>
      </c>
      <c r="V18" s="47">
        <f t="shared" ref="V18:AA18" si="58">V5*$U$18</f>
        <v>1483477.3262408588</v>
      </c>
      <c r="W18" s="47">
        <f t="shared" si="58"/>
        <v>1665778.6841939341</v>
      </c>
      <c r="X18" s="47">
        <f t="shared" si="58"/>
        <v>1870482.6663891673</v>
      </c>
      <c r="Y18" s="47">
        <f t="shared" si="58"/>
        <v>2100342.2834380572</v>
      </c>
      <c r="Z18" s="47">
        <f t="shared" si="58"/>
        <v>2358448.857542078</v>
      </c>
      <c r="AA18" s="47">
        <f t="shared" si="58"/>
        <v>2648273.5968808937</v>
      </c>
      <c r="AC18" s="47">
        <f>'Balance Sheet-Banks'!U84</f>
        <v>3423514.85</v>
      </c>
      <c r="AD18" s="307">
        <f>(AVERAGE('Balance Sheet-Banks'!Q84:U84)/AVERAGE('Balance Sheet-Banks'!Q75:U75))</f>
        <v>0.91813517804534395</v>
      </c>
      <c r="AE18" s="47">
        <f t="shared" ref="AE18:AJ18" si="59">AE5*$AD$18</f>
        <v>3813976.4435992925</v>
      </c>
      <c r="AF18" s="47">
        <f t="shared" si="59"/>
        <v>4186652.9727406814</v>
      </c>
      <c r="AG18" s="47">
        <f t="shared" si="59"/>
        <v>4595744.9851517584</v>
      </c>
      <c r="AH18" s="47">
        <f t="shared" si="59"/>
        <v>5044810.7607832886</v>
      </c>
      <c r="AI18" s="47">
        <f t="shared" si="59"/>
        <v>5537756.2711466374</v>
      </c>
      <c r="AJ18" s="47">
        <f t="shared" si="59"/>
        <v>6078869.1534313187</v>
      </c>
      <c r="AL18" s="302">
        <f>'Balance Sheet-NBFCs'!F42</f>
        <v>57351.83</v>
      </c>
      <c r="AM18" s="307">
        <f>(AVERAGE('Balance Sheet-NBFCs'!B42:F42)/AVERAGE('Balance Sheet-NBFCs'!B27:F27))</f>
        <v>0.75393967259630923</v>
      </c>
      <c r="AN18" s="302">
        <f t="shared" ref="AN18:AS18" si="60">AN5*$AM$18</f>
        <v>73640.04722209317</v>
      </c>
      <c r="AO18" s="302">
        <f t="shared" si="60"/>
        <v>90701.449013297344</v>
      </c>
      <c r="AP18" s="302">
        <f t="shared" si="60"/>
        <v>111715.74657333492</v>
      </c>
      <c r="AQ18" s="302">
        <f t="shared" si="60"/>
        <v>137598.77232620504</v>
      </c>
      <c r="AR18" s="302">
        <f t="shared" si="60"/>
        <v>169478.54466738144</v>
      </c>
      <c r="AS18" s="302">
        <f t="shared" si="60"/>
        <v>208744.42858022108</v>
      </c>
      <c r="AU18" s="47">
        <f>'Balance Sheet-NBFCs'!K42</f>
        <v>315149.84999999998</v>
      </c>
      <c r="AV18" s="307">
        <f>(AVERAGE('Balance Sheet-NBFCs'!G42:K42)/AVERAGE('Balance Sheet-NBFCs'!G27:K27))</f>
        <v>0.89266552207578354</v>
      </c>
      <c r="AW18" s="302">
        <f t="shared" ref="AW18:BB18" si="61">AW5*$AV$18</f>
        <v>344305.06519467226</v>
      </c>
      <c r="AX18" s="302">
        <f t="shared" si="61"/>
        <v>406995.75515878818</v>
      </c>
      <c r="AY18" s="302">
        <f t="shared" si="61"/>
        <v>481101.09743408865</v>
      </c>
      <c r="AZ18" s="302">
        <f t="shared" si="61"/>
        <v>568699.45943780581</v>
      </c>
      <c r="BA18" s="302">
        <f t="shared" si="61"/>
        <v>672247.6354549604</v>
      </c>
      <c r="BB18" s="302">
        <f t="shared" si="61"/>
        <v>794649.75018884812</v>
      </c>
      <c r="BD18" s="302">
        <f>'Balance Sheet-NBFCs'!P42</f>
        <v>815900.47</v>
      </c>
      <c r="BE18" s="307">
        <f>(AVERAGE('Balance Sheet-NBFCs'!L42:P42)/AVERAGE('Balance Sheet-NBFCs'!L27:P27))</f>
        <v>0.96037042942115192</v>
      </c>
      <c r="BF18" s="302">
        <f t="shared" ref="BF18:BK18" si="62">BF5*$BE$18</f>
        <v>960241.78713422478</v>
      </c>
      <c r="BG18" s="302">
        <f t="shared" si="62"/>
        <v>1088722.0342730142</v>
      </c>
      <c r="BH18" s="302">
        <f t="shared" si="62"/>
        <v>1234392.9245664915</v>
      </c>
      <c r="BI18" s="302">
        <f t="shared" si="62"/>
        <v>1399554.5642072656</v>
      </c>
      <c r="BJ18" s="302">
        <f t="shared" si="62"/>
        <v>1586814.8133474493</v>
      </c>
      <c r="BK18" s="302">
        <f t="shared" si="62"/>
        <v>1799130.4635451157</v>
      </c>
    </row>
    <row r="19" spans="1:63" x14ac:dyDescent="0.3">
      <c r="A19" s="46" t="s">
        <v>420</v>
      </c>
      <c r="B19" s="302">
        <f>'Balance Sheet-Banks'!F9</f>
        <v>157522.96</v>
      </c>
      <c r="C19" s="307">
        <f>'Financial Ratios-Banks'!G18</f>
        <v>0.14577999999999999</v>
      </c>
      <c r="D19" s="302">
        <f>D18*$C$19</f>
        <v>164690.35614471344</v>
      </c>
      <c r="E19" s="302">
        <f t="shared" ref="E19:I19" si="63">E18*$C$19</f>
        <v>183435.20259708277</v>
      </c>
      <c r="F19" s="302">
        <f t="shared" si="63"/>
        <v>204313.56358392883</v>
      </c>
      <c r="G19" s="302">
        <f t="shared" si="63"/>
        <v>227568.2730105808</v>
      </c>
      <c r="H19" s="302">
        <f t="shared" si="63"/>
        <v>253469.80382800088</v>
      </c>
      <c r="I19" s="302">
        <f t="shared" si="63"/>
        <v>282319.41387373494</v>
      </c>
      <c r="K19" s="302">
        <f>'Balance Sheet-Banks'!K9</f>
        <v>469778.65</v>
      </c>
      <c r="L19" s="307">
        <f>'Financial Ratios-Banks'!M18</f>
        <v>0.1653</v>
      </c>
      <c r="M19" s="302">
        <f>M18*$L$19</f>
        <v>485592.67018172593</v>
      </c>
      <c r="N19" s="302">
        <f t="shared" ref="N19:R19" si="64">N18*$L$19</f>
        <v>581309.02796814125</v>
      </c>
      <c r="O19" s="302">
        <f t="shared" si="64"/>
        <v>695892.27092493698</v>
      </c>
      <c r="P19" s="302">
        <f t="shared" si="64"/>
        <v>833061.29689010466</v>
      </c>
      <c r="Q19" s="302">
        <f t="shared" si="64"/>
        <v>997268.04474177165</v>
      </c>
      <c r="R19" s="302">
        <f t="shared" si="64"/>
        <v>1193841.9859088401</v>
      </c>
      <c r="T19" s="47">
        <f>'Balance Sheet-Banks'!P9</f>
        <v>270032.21999999997</v>
      </c>
      <c r="U19" s="307">
        <f>'Financial Ratios-Banks'!S18</f>
        <v>0.17199999999999999</v>
      </c>
      <c r="V19" s="47">
        <f>V18*$U$19</f>
        <v>255158.10011342767</v>
      </c>
      <c r="W19" s="47">
        <f t="shared" ref="W19:AA19" si="65">W18*$U$19</f>
        <v>286513.93368135666</v>
      </c>
      <c r="X19" s="47">
        <f t="shared" si="65"/>
        <v>321723.01861893677</v>
      </c>
      <c r="Y19" s="47">
        <f t="shared" si="65"/>
        <v>361258.8727513458</v>
      </c>
      <c r="Z19" s="47">
        <f t="shared" si="65"/>
        <v>405653.20349723741</v>
      </c>
      <c r="AA19" s="47">
        <f t="shared" si="65"/>
        <v>455503.05866351369</v>
      </c>
      <c r="AC19" s="47">
        <f>AC18*'Financial Ratios-Banks'!X18</f>
        <v>354676.13845999999</v>
      </c>
      <c r="AD19" s="307">
        <f>'Financial Ratios-Banks'!Y18</f>
        <v>0.10724</v>
      </c>
      <c r="AE19" s="302">
        <f>AE18*$AD$19</f>
        <v>409010.83381158812</v>
      </c>
      <c r="AF19" s="302">
        <f t="shared" ref="AF19:AJ19" si="66">AF18*$AD$19</f>
        <v>448976.66479671065</v>
      </c>
      <c r="AG19" s="302">
        <f t="shared" si="66"/>
        <v>492847.69220767455</v>
      </c>
      <c r="AH19" s="302">
        <f t="shared" si="66"/>
        <v>541005.50598639983</v>
      </c>
      <c r="AI19" s="302">
        <f t="shared" si="66"/>
        <v>593868.98251776537</v>
      </c>
      <c r="AJ19" s="302">
        <f t="shared" si="66"/>
        <v>651897.92801397468</v>
      </c>
      <c r="AL19" s="302">
        <f>'Balance Sheet-NBFCs'!F9</f>
        <v>12233.5</v>
      </c>
      <c r="AM19" s="307">
        <f>AVERAGE('Financial Ratios-NBFCs'!B17:F17)</f>
        <v>0.21399102890590571</v>
      </c>
      <c r="AN19" s="302">
        <f>AN18*$AM$19</f>
        <v>15758.3094737352</v>
      </c>
      <c r="AO19" s="302">
        <f t="shared" ref="AO19:AS19" si="67">AO18*$AM$19</f>
        <v>19409.296397612045</v>
      </c>
      <c r="AP19" s="302">
        <f t="shared" si="67"/>
        <v>23906.167554219352</v>
      </c>
      <c r="AQ19" s="302">
        <f t="shared" si="67"/>
        <v>29444.902866274082</v>
      </c>
      <c r="AR19" s="302">
        <f t="shared" si="67"/>
        <v>36266.888150848456</v>
      </c>
      <c r="AS19" s="302">
        <f t="shared" si="67"/>
        <v>44669.435050256856</v>
      </c>
      <c r="AU19" s="47">
        <f>'Balance Sheet-NBFCs'!K9</f>
        <v>76695.350000000006</v>
      </c>
      <c r="AV19" s="307">
        <f>AVERAGE('Financial Ratios-NBFCs'!G17:K17)</f>
        <v>0.23170287325413524</v>
      </c>
      <c r="AW19" s="302">
        <f>AW18*$AV$19</f>
        <v>79776.472881557915</v>
      </c>
      <c r="AX19" s="302">
        <f t="shared" ref="AX19:BB19" si="68">AX18*$AV$19</f>
        <v>94302.08587252775</v>
      </c>
      <c r="AY19" s="302">
        <f t="shared" si="68"/>
        <v>111472.50660119602</v>
      </c>
      <c r="AZ19" s="302">
        <f t="shared" si="68"/>
        <v>131769.29876981315</v>
      </c>
      <c r="BA19" s="302">
        <f t="shared" si="68"/>
        <v>155761.70867321279</v>
      </c>
      <c r="BB19" s="302">
        <f t="shared" si="68"/>
        <v>184122.63034943692</v>
      </c>
      <c r="BD19" s="302">
        <f>'Balance Sheet-NBFCs'!P9</f>
        <v>257540.4</v>
      </c>
      <c r="BE19" s="314">
        <f>AVERAGE('Financial Ratios-NBFCs'!L18:P18)</f>
        <v>0.28066425346308965</v>
      </c>
      <c r="BF19" s="302">
        <f>BF18*$BE$19</f>
        <v>269505.54433009023</v>
      </c>
      <c r="BG19" s="302">
        <f t="shared" ref="BG19:BK19" si="69">BG18*$BE$19</f>
        <v>305565.35697805183</v>
      </c>
      <c r="BH19" s="302">
        <f t="shared" si="69"/>
        <v>346449.96865357429</v>
      </c>
      <c r="BI19" s="302">
        <f t="shared" si="69"/>
        <v>392804.93694409198</v>
      </c>
      <c r="BJ19" s="302">
        <f t="shared" si="69"/>
        <v>445362.19497233379</v>
      </c>
      <c r="BK19" s="302">
        <f t="shared" si="69"/>
        <v>504951.60843359231</v>
      </c>
    </row>
    <row r="20" spans="1:63" x14ac:dyDescent="0.3">
      <c r="A20" s="46" t="s">
        <v>370</v>
      </c>
      <c r="B20" s="302">
        <f>B19-'Balance Sheet-Banks'!E9</f>
        <v>27347.86</v>
      </c>
      <c r="C20" s="307"/>
      <c r="D20" s="302">
        <f>D19-B19</f>
        <v>7167.3961447134498</v>
      </c>
      <c r="E20" s="302">
        <f>E19-D19</f>
        <v>18744.846452369326</v>
      </c>
      <c r="F20" s="302">
        <f>F19-E19</f>
        <v>20878.360986846063</v>
      </c>
      <c r="G20" s="302">
        <f>G19-F19</f>
        <v>23254.709426651971</v>
      </c>
      <c r="H20" s="302">
        <f>H19-G19</f>
        <v>25901.530817420076</v>
      </c>
      <c r="I20" s="302">
        <f>I19-H19</f>
        <v>28849.610045734065</v>
      </c>
      <c r="K20" s="302">
        <f>K19-'Balance Sheet-Banks'!J9</f>
        <v>179480.89</v>
      </c>
      <c r="L20" s="307"/>
      <c r="M20" s="302">
        <f>M19-K19</f>
        <v>15814.020181725908</v>
      </c>
      <c r="N20" s="302">
        <f>N19-M19</f>
        <v>95716.357786415319</v>
      </c>
      <c r="O20" s="302">
        <f>O19-N19</f>
        <v>114583.24295679573</v>
      </c>
      <c r="P20" s="302">
        <f>P19-O19</f>
        <v>137169.02596516768</v>
      </c>
      <c r="Q20" s="302">
        <f>Q19-P19</f>
        <v>164206.74785166699</v>
      </c>
      <c r="R20" s="302">
        <f>R19-Q19</f>
        <v>196573.94116706843</v>
      </c>
      <c r="T20" s="47">
        <f>T19-'Balance Sheet-Banks'!O9</f>
        <v>48847.699999999983</v>
      </c>
      <c r="U20" s="307"/>
      <c r="V20" s="47">
        <f>V19-T19</f>
        <v>-14874.119886572298</v>
      </c>
      <c r="W20" s="47">
        <f>W19-V19</f>
        <v>31355.833567928988</v>
      </c>
      <c r="X20" s="47">
        <f>X19-W19</f>
        <v>35209.084937580104</v>
      </c>
      <c r="Y20" s="47">
        <f>Y19-X19</f>
        <v>39535.854132409033</v>
      </c>
      <c r="Z20" s="47">
        <f>Z19-Y19</f>
        <v>44394.33074589161</v>
      </c>
      <c r="AA20" s="47">
        <f>AA19-Z19</f>
        <v>49849.855166276277</v>
      </c>
      <c r="AC20" s="47">
        <f>AC19-'Balance Sheet-Banks'!T89</f>
        <v>18736.517712000001</v>
      </c>
      <c r="AD20" s="307"/>
      <c r="AE20" s="302">
        <f>AE19-AC19</f>
        <v>54334.695351588132</v>
      </c>
      <c r="AF20" s="302">
        <f>AF19-AE19</f>
        <v>39965.830985122535</v>
      </c>
      <c r="AG20" s="302">
        <f>AG19-AF19</f>
        <v>43871.027410963899</v>
      </c>
      <c r="AH20" s="302">
        <f>AH19-AG19</f>
        <v>48157.813778725278</v>
      </c>
      <c r="AI20" s="302">
        <f>AI19-AH19</f>
        <v>52863.476531365537</v>
      </c>
      <c r="AJ20" s="302">
        <f>AJ19-AI19</f>
        <v>58028.945496209315</v>
      </c>
      <c r="AL20" s="302">
        <f>AL19-'Balance Sheet-NBFCs'!E9</f>
        <v>1730.3099999999995</v>
      </c>
      <c r="AM20" s="307"/>
      <c r="AN20" s="302">
        <f>AN19-AL19</f>
        <v>3524.8094737352003</v>
      </c>
      <c r="AO20" s="302">
        <f>AO19-AN19</f>
        <v>3650.9869238768442</v>
      </c>
      <c r="AP20" s="302">
        <f>AP19-AO19</f>
        <v>4496.8711566073071</v>
      </c>
      <c r="AQ20" s="302">
        <f>AQ19-AP19</f>
        <v>5538.7353120547305</v>
      </c>
      <c r="AR20" s="302">
        <f>AR19-AQ19</f>
        <v>6821.9852845743735</v>
      </c>
      <c r="AS20" s="302">
        <f>AS19-AR19</f>
        <v>8402.5468994084003</v>
      </c>
      <c r="AU20" s="47">
        <f>AU19-'Balance Sheet-NBFCs'!J9</f>
        <v>22323.37000000001</v>
      </c>
      <c r="AV20" s="307"/>
      <c r="AW20" s="302">
        <f>AW19-AU19</f>
        <v>3081.1228815579088</v>
      </c>
      <c r="AX20" s="302">
        <f>AX19-AW19</f>
        <v>14525.612990969836</v>
      </c>
      <c r="AY20" s="302">
        <f>AY19-AX19</f>
        <v>17170.420728668265</v>
      </c>
      <c r="AZ20" s="302">
        <f>AZ19-AY19</f>
        <v>20296.792168617132</v>
      </c>
      <c r="BA20" s="302">
        <f>BA19-AZ19</f>
        <v>23992.409903399646</v>
      </c>
      <c r="BB20" s="302">
        <f>BB19-BA19</f>
        <v>28360.921676224127</v>
      </c>
      <c r="BD20" s="302">
        <f>BD19-'Balance Sheet-NBFCs'!O9</f>
        <v>36012.359999999986</v>
      </c>
      <c r="BE20" s="308"/>
      <c r="BF20" s="302">
        <f>BF19-BD19</f>
        <v>11965.144330090232</v>
      </c>
      <c r="BG20" s="302">
        <f>BG19-BF19</f>
        <v>36059.812647961604</v>
      </c>
      <c r="BH20" s="302">
        <f>BH19-BG19</f>
        <v>40884.611675522465</v>
      </c>
      <c r="BI20" s="302">
        <f>BI19-BH19</f>
        <v>46354.968290517689</v>
      </c>
      <c r="BJ20" s="302">
        <f>BJ19-BI19</f>
        <v>52557.258028241806</v>
      </c>
      <c r="BK20" s="302">
        <f>BK19-BJ19</f>
        <v>59589.413461258519</v>
      </c>
    </row>
    <row r="21" spans="1:63" s="45" customFormat="1" x14ac:dyDescent="0.3">
      <c r="A21" s="48" t="s">
        <v>28</v>
      </c>
      <c r="B21" s="304">
        <f>B19+B23-B26</f>
        <v>186583.70965462315</v>
      </c>
      <c r="C21" s="306"/>
      <c r="D21" s="304">
        <f>B21+D23-D26</f>
        <v>212620.63380357687</v>
      </c>
      <c r="E21" s="304">
        <f>D21+E23-E26</f>
        <v>246791.294571726</v>
      </c>
      <c r="F21" s="304">
        <f t="shared" ref="F21:I21" si="70">E21+F23-F26</f>
        <v>284532.00800202967</v>
      </c>
      <c r="G21" s="304">
        <f t="shared" si="70"/>
        <v>326219.96011229791</v>
      </c>
      <c r="H21" s="304">
        <f t="shared" si="70"/>
        <v>372271.86797975336</v>
      </c>
      <c r="I21" s="304">
        <f t="shared" si="70"/>
        <v>423147.94555403019</v>
      </c>
      <c r="K21" s="304">
        <f>K19+K23-K26</f>
        <v>531759.20145083731</v>
      </c>
      <c r="L21" s="306"/>
      <c r="M21" s="304">
        <f>K21+M23-M26</f>
        <v>605113.41730662482</v>
      </c>
      <c r="N21" s="304">
        <f>M21+N23-N26</f>
        <v>689373.68607372313</v>
      </c>
      <c r="O21" s="304">
        <f t="shared" ref="O21:R21" si="71">N21+O23-O26</f>
        <v>785428.69131733582</v>
      </c>
      <c r="P21" s="304">
        <f t="shared" si="71"/>
        <v>895211.55989652954</v>
      </c>
      <c r="Q21" s="304">
        <f t="shared" si="71"/>
        <v>1021253.0313820458</v>
      </c>
      <c r="R21" s="304">
        <f t="shared" si="71"/>
        <v>1166987.4663690696</v>
      </c>
      <c r="T21" s="22">
        <f>T19+T23-T26</f>
        <v>313279.15865220071</v>
      </c>
      <c r="U21" s="22"/>
      <c r="V21" s="22">
        <f>T21+V23-V26</f>
        <v>361276.1668567693</v>
      </c>
      <c r="W21" s="22">
        <f>V21+W23-W26</f>
        <v>419714.01041341817</v>
      </c>
      <c r="X21" s="22">
        <f t="shared" ref="X21:AA21" si="72">W21+X23-X26</f>
        <v>487906.79317645897</v>
      </c>
      <c r="Y21" s="22">
        <f t="shared" si="72"/>
        <v>567686.15860768582</v>
      </c>
      <c r="Z21" s="22">
        <f t="shared" si="72"/>
        <v>661205.44285235764</v>
      </c>
      <c r="AA21" s="22">
        <f t="shared" si="72"/>
        <v>770993.84632678318</v>
      </c>
      <c r="AC21" s="22">
        <f>'Balance Sheet-Banks'!T9+AC23-AC26</f>
        <v>414781.80895285337</v>
      </c>
      <c r="AD21" s="306"/>
      <c r="AE21" s="304">
        <f>AC21+AE23-AE26</f>
        <v>470125.3365309388</v>
      </c>
      <c r="AF21" s="304">
        <f>AE21+AF23-AF26</f>
        <v>536379.73601434287</v>
      </c>
      <c r="AG21" s="304">
        <f>AF21+AG23-AG26</f>
        <v>605149.8411773938</v>
      </c>
      <c r="AH21" s="304">
        <f>AG21+AH23-AH26</f>
        <v>676178.18168185768</v>
      </c>
      <c r="AI21" s="304">
        <f>AH21+AI23-AI26</f>
        <v>749118.40598236537</v>
      </c>
      <c r="AJ21" s="304">
        <f>AI21+AJ23-AJ26</f>
        <v>823518.55728037737</v>
      </c>
      <c r="AL21" s="304">
        <f>'Balance Sheet-NBFCs'!E9+AL23</f>
        <v>12042.173602940107</v>
      </c>
      <c r="AM21" s="48"/>
      <c r="AN21" s="304">
        <f>AL19+AN23-AN26</f>
        <v>14206.807731368484</v>
      </c>
      <c r="AO21" s="304">
        <f t="shared" ref="AO21:AS21" si="73">AM19+AO23-AO26</f>
        <v>2377.2079035659708</v>
      </c>
      <c r="AP21" s="304">
        <f t="shared" si="73"/>
        <v>18630.435368362836</v>
      </c>
      <c r="AQ21" s="304">
        <f t="shared" si="73"/>
        <v>22889.105746068621</v>
      </c>
      <c r="AR21" s="304">
        <f t="shared" si="73"/>
        <v>28132.2042406849</v>
      </c>
      <c r="AS21" s="304">
        <f t="shared" si="73"/>
        <v>34587.72199797818</v>
      </c>
      <c r="AU21" s="304">
        <f>'Balance Sheet-NBFCs'!J9+'Financial Projections'!AU23-'Financial Projections'!AU26</f>
        <v>67186.893052536441</v>
      </c>
      <c r="AV21" s="48"/>
      <c r="AW21" s="304">
        <f>AU19+AW23-AW26+AW20</f>
        <v>97199.10338459925</v>
      </c>
      <c r="AX21" s="304">
        <f>AW19+AX23-AX26+AX20</f>
        <v>114769.11902135859</v>
      </c>
      <c r="AY21" s="304">
        <f t="shared" ref="AY21:BB21" si="74">AX19+AY23-AY26+AY20</f>
        <v>135519.91773063838</v>
      </c>
      <c r="AZ21" s="304">
        <f t="shared" si="74"/>
        <v>160028.0212271818</v>
      </c>
      <c r="BA21" s="304">
        <f t="shared" si="74"/>
        <v>188974.54613442949</v>
      </c>
      <c r="BB21" s="304">
        <f t="shared" si="74"/>
        <v>223164.19435311409</v>
      </c>
      <c r="BD21" s="304">
        <f>'Balance Sheet-NBFCs'!O9+'Financial Projections'!BD23-'Financial Projections'!BD26</f>
        <v>265975.94727769034</v>
      </c>
      <c r="BE21" s="48"/>
      <c r="BF21" s="304">
        <f>BD19+BF23-BF26+BF20</f>
        <v>325720.60961471032</v>
      </c>
      <c r="BG21" s="304">
        <f>BF19+BG23-BG26+BG20</f>
        <v>369400.50504506857</v>
      </c>
      <c r="BH21" s="304">
        <f t="shared" ref="BH21:BK21" si="75">BG19+BH23-BH26+BH20</f>
        <v>418940.8614098159</v>
      </c>
      <c r="BI21" s="304">
        <f t="shared" si="75"/>
        <v>475128.43755032378</v>
      </c>
      <c r="BJ21" s="304">
        <f t="shared" si="75"/>
        <v>538855.69022842776</v>
      </c>
      <c r="BK21" s="304">
        <f t="shared" si="75"/>
        <v>611134.9866991915</v>
      </c>
    </row>
    <row r="22" spans="1:63" x14ac:dyDescent="0.3">
      <c r="A22" s="48" t="s">
        <v>371</v>
      </c>
      <c r="B22" s="48"/>
      <c r="C22" s="48"/>
      <c r="D22" s="48"/>
      <c r="E22" s="48"/>
      <c r="F22" s="48"/>
      <c r="G22" s="48"/>
      <c r="H22" s="48"/>
      <c r="I22" s="48"/>
      <c r="K22" s="547" t="s">
        <v>375</v>
      </c>
      <c r="L22" s="547"/>
      <c r="M22" s="547"/>
      <c r="N22" s="547"/>
      <c r="O22" s="547"/>
      <c r="P22" s="547"/>
      <c r="Q22" s="547"/>
      <c r="R22" s="547"/>
      <c r="T22" s="597"/>
      <c r="U22" s="597"/>
      <c r="V22" s="597"/>
      <c r="W22" s="597"/>
      <c r="X22" s="597"/>
      <c r="Y22" s="597"/>
      <c r="Z22" s="597"/>
      <c r="AA22" s="597"/>
      <c r="AC22" s="596"/>
      <c r="AD22" s="596"/>
      <c r="AE22" s="596"/>
      <c r="AF22" s="596"/>
      <c r="AG22" s="596"/>
      <c r="AH22" s="596"/>
      <c r="AI22" s="596"/>
      <c r="AJ22" s="596"/>
      <c r="AL22" s="596"/>
      <c r="AM22" s="596"/>
      <c r="AN22" s="596"/>
      <c r="AO22" s="596"/>
      <c r="AP22" s="596"/>
      <c r="AQ22" s="596"/>
      <c r="AR22" s="596"/>
      <c r="AS22" s="596"/>
      <c r="AU22" s="597"/>
      <c r="AV22" s="597"/>
      <c r="AW22" s="597"/>
      <c r="AX22" s="597"/>
      <c r="AY22" s="597"/>
      <c r="AZ22" s="597"/>
      <c r="BA22" s="597"/>
      <c r="BB22" s="597"/>
      <c r="BD22" s="596"/>
      <c r="BE22" s="596"/>
      <c r="BF22" s="596"/>
      <c r="BG22" s="596"/>
      <c r="BH22" s="596"/>
      <c r="BI22" s="596"/>
      <c r="BJ22" s="596"/>
      <c r="BK22" s="596"/>
    </row>
    <row r="23" spans="1:63" x14ac:dyDescent="0.3">
      <c r="A23" s="46" t="s">
        <v>372</v>
      </c>
      <c r="B23" s="302">
        <f>B14</f>
        <v>29522.300856174159</v>
      </c>
      <c r="C23" s="307"/>
      <c r="D23" s="302">
        <f>D14</f>
        <v>26450.450082333453</v>
      </c>
      <c r="E23" s="302">
        <f t="shared" ref="E23:I23" si="76">E14</f>
        <v>34713.369050721674</v>
      </c>
      <c r="F23" s="302">
        <f t="shared" si="76"/>
        <v>38340.122318173781</v>
      </c>
      <c r="G23" s="302">
        <f t="shared" si="76"/>
        <v>42350.052180478684</v>
      </c>
      <c r="H23" s="302">
        <f t="shared" si="76"/>
        <v>46783.317540727912</v>
      </c>
      <c r="I23" s="302">
        <f t="shared" si="76"/>
        <v>51684.106101196587</v>
      </c>
      <c r="K23" s="302">
        <f>K14</f>
        <v>69816.976413958022</v>
      </c>
      <c r="L23" s="302">
        <f t="shared" ref="L23:R23" si="77">L14</f>
        <v>0</v>
      </c>
      <c r="M23" s="302">
        <f t="shared" si="77"/>
        <v>82628.654285693992</v>
      </c>
      <c r="N23" s="302">
        <f t="shared" si="77"/>
        <v>94913.598853867443</v>
      </c>
      <c r="O23" s="302">
        <f t="shared" si="77"/>
        <v>108199.58645988026</v>
      </c>
      <c r="P23" s="302">
        <f t="shared" si="77"/>
        <v>123663.11313525234</v>
      </c>
      <c r="Q23" s="302">
        <f t="shared" si="77"/>
        <v>141977.34992507857</v>
      </c>
      <c r="R23" s="302">
        <f t="shared" si="77"/>
        <v>164160.1659233559</v>
      </c>
      <c r="T23" s="47">
        <f>T14</f>
        <v>47279.989083809982</v>
      </c>
      <c r="U23" s="47">
        <f t="shared" ref="U23:AA23" si="78">U14</f>
        <v>0</v>
      </c>
      <c r="V23" s="47">
        <f t="shared" si="78"/>
        <v>52473.032651342655</v>
      </c>
      <c r="W23" s="47">
        <f t="shared" si="78"/>
        <v>63887.541905793521</v>
      </c>
      <c r="X23" s="47">
        <f t="shared" si="78"/>
        <v>74552.19086281216</v>
      </c>
      <c r="Y23" s="47">
        <f t="shared" si="78"/>
        <v>87219.295613881462</v>
      </c>
      <c r="Z23" s="47">
        <f t="shared" si="78"/>
        <v>102240.5487189046</v>
      </c>
      <c r="AA23" s="47">
        <f t="shared" si="78"/>
        <v>120026.86616837833</v>
      </c>
      <c r="AC23" s="47">
        <f>AC14</f>
        <v>51103.695674999995</v>
      </c>
      <c r="AD23" s="47"/>
      <c r="AE23" s="47">
        <f t="shared" ref="AE23:AJ23" si="79">AE14</f>
        <v>65752.222358490893</v>
      </c>
      <c r="AF23" s="47">
        <f t="shared" si="79"/>
        <v>78715.148775338923</v>
      </c>
      <c r="AG23" s="47">
        <f t="shared" si="79"/>
        <v>81703.994020219237</v>
      </c>
      <c r="AH23" s="47">
        <f t="shared" si="79"/>
        <v>84386.945375224182</v>
      </c>
      <c r="AI23" s="47">
        <f t="shared" si="79"/>
        <v>86658.405363091806</v>
      </c>
      <c r="AJ23" s="47">
        <f t="shared" si="79"/>
        <v>88392.907097402698</v>
      </c>
      <c r="AL23" s="302">
        <f>AL14</f>
        <v>1538.9836029401076</v>
      </c>
      <c r="AM23" s="302"/>
      <c r="AN23" s="302">
        <f t="shared" ref="AN23:AS23" si="80">AN14</f>
        <v>1973.3077313684844</v>
      </c>
      <c r="AO23" s="302">
        <f t="shared" si="80"/>
        <v>2376.9939125370647</v>
      </c>
      <c r="AP23" s="302">
        <f t="shared" si="80"/>
        <v>2872.1258946276339</v>
      </c>
      <c r="AQ23" s="302">
        <f t="shared" si="80"/>
        <v>3479.8093484565752</v>
      </c>
      <c r="AR23" s="302">
        <f t="shared" si="80"/>
        <v>4226.0366864655471</v>
      </c>
      <c r="AS23" s="302">
        <f t="shared" si="80"/>
        <v>5142.8191317041001</v>
      </c>
      <c r="AU23" s="47">
        <f>AU14</f>
        <v>14352.037195095625</v>
      </c>
      <c r="AV23" s="47"/>
      <c r="AW23" s="47">
        <f t="shared" ref="AW23:BB23" si="81">AW14</f>
        <v>19512.44148055806</v>
      </c>
      <c r="AX23" s="47">
        <f t="shared" si="81"/>
        <v>22922.014361005356</v>
      </c>
      <c r="AY23" s="47">
        <f t="shared" si="81"/>
        <v>26931.851785541548</v>
      </c>
      <c r="AZ23" s="47">
        <f t="shared" si="81"/>
        <v>31648.301797394175</v>
      </c>
      <c r="BA23" s="47">
        <f t="shared" si="81"/>
        <v>37196.653355654264</v>
      </c>
      <c r="BB23" s="47">
        <f t="shared" si="81"/>
        <v>43724.524422315648</v>
      </c>
      <c r="BD23" s="302">
        <f>BD14</f>
        <v>55434.477284853834</v>
      </c>
      <c r="BE23" s="302">
        <f t="shared" ref="BE23:BK23" si="82">BE14</f>
        <v>0</v>
      </c>
      <c r="BF23" s="302">
        <f t="shared" si="82"/>
        <v>70110.224540334835</v>
      </c>
      <c r="BG23" s="302">
        <f t="shared" si="82"/>
        <v>79613.82846189657</v>
      </c>
      <c r="BH23" s="302">
        <f t="shared" si="82"/>
        <v>90409.087715849499</v>
      </c>
      <c r="BI23" s="302">
        <f t="shared" si="82"/>
        <v>102672.10547967436</v>
      </c>
      <c r="BJ23" s="302">
        <f t="shared" si="82"/>
        <v>116603.08339549002</v>
      </c>
      <c r="BK23" s="302">
        <f t="shared" si="82"/>
        <v>132429.63349700524</v>
      </c>
    </row>
    <row r="24" spans="1:63" ht="28.8" customHeight="1" x14ac:dyDescent="0.3">
      <c r="A24" s="319" t="s">
        <v>373</v>
      </c>
      <c r="B24" s="302">
        <f>B20</f>
        <v>27347.86</v>
      </c>
      <c r="C24" s="307"/>
      <c r="D24" s="302">
        <f>D20</f>
        <v>7167.3961447134498</v>
      </c>
      <c r="E24" s="302">
        <f t="shared" ref="E24:I24" si="83">E20</f>
        <v>18744.846452369326</v>
      </c>
      <c r="F24" s="302">
        <f t="shared" si="83"/>
        <v>20878.360986846063</v>
      </c>
      <c r="G24" s="302">
        <f t="shared" si="83"/>
        <v>23254.709426651971</v>
      </c>
      <c r="H24" s="302">
        <f t="shared" si="83"/>
        <v>25901.530817420076</v>
      </c>
      <c r="I24" s="302">
        <f t="shared" si="83"/>
        <v>28849.610045734065</v>
      </c>
      <c r="K24" s="302">
        <f>K20</f>
        <v>179480.89</v>
      </c>
      <c r="L24" s="302">
        <f t="shared" ref="L24:R24" si="84">L20</f>
        <v>0</v>
      </c>
      <c r="M24" s="302">
        <f t="shared" si="84"/>
        <v>15814.020181725908</v>
      </c>
      <c r="N24" s="302">
        <f t="shared" si="84"/>
        <v>95716.357786415319</v>
      </c>
      <c r="O24" s="302">
        <f t="shared" si="84"/>
        <v>114583.24295679573</v>
      </c>
      <c r="P24" s="302">
        <f t="shared" si="84"/>
        <v>137169.02596516768</v>
      </c>
      <c r="Q24" s="302">
        <f t="shared" si="84"/>
        <v>164206.74785166699</v>
      </c>
      <c r="R24" s="302">
        <f t="shared" si="84"/>
        <v>196573.94116706843</v>
      </c>
      <c r="T24" s="47">
        <f>T20</f>
        <v>48847.699999999983</v>
      </c>
      <c r="U24" s="47">
        <f t="shared" ref="U24:AA24" si="85">U20</f>
        <v>0</v>
      </c>
      <c r="V24" s="47">
        <f t="shared" si="85"/>
        <v>-14874.119886572298</v>
      </c>
      <c r="W24" s="47">
        <f t="shared" si="85"/>
        <v>31355.833567928988</v>
      </c>
      <c r="X24" s="47">
        <f t="shared" si="85"/>
        <v>35209.084937580104</v>
      </c>
      <c r="Y24" s="47">
        <f t="shared" si="85"/>
        <v>39535.854132409033</v>
      </c>
      <c r="Z24" s="47">
        <f t="shared" si="85"/>
        <v>44394.33074589161</v>
      </c>
      <c r="AA24" s="47">
        <f t="shared" si="85"/>
        <v>49849.855166276277</v>
      </c>
      <c r="AC24" s="47">
        <f>AC20</f>
        <v>18736.517712000001</v>
      </c>
      <c r="AD24" s="309"/>
      <c r="AE24" s="47">
        <f>AE19-AC19</f>
        <v>54334.695351588132</v>
      </c>
      <c r="AF24" s="47">
        <f>AF19-AE19</f>
        <v>39965.830985122535</v>
      </c>
      <c r="AG24" s="47">
        <f>AG19-AF19</f>
        <v>43871.027410963899</v>
      </c>
      <c r="AH24" s="47">
        <f>AH19-AG19</f>
        <v>48157.813778725278</v>
      </c>
      <c r="AI24" s="47">
        <f>AI19-AH19</f>
        <v>52863.476531365537</v>
      </c>
      <c r="AJ24" s="47">
        <f>AJ19-AI19</f>
        <v>58028.945496209315</v>
      </c>
      <c r="AL24" s="302">
        <f>AL20</f>
        <v>1730.3099999999995</v>
      </c>
      <c r="AM24" s="302"/>
      <c r="AN24" s="302">
        <f t="shared" ref="AN24:AS24" si="86">AN20</f>
        <v>3524.8094737352003</v>
      </c>
      <c r="AO24" s="302">
        <f t="shared" si="86"/>
        <v>3650.9869238768442</v>
      </c>
      <c r="AP24" s="302">
        <f t="shared" si="86"/>
        <v>4496.8711566073071</v>
      </c>
      <c r="AQ24" s="302">
        <f t="shared" si="86"/>
        <v>5538.7353120547305</v>
      </c>
      <c r="AR24" s="302">
        <f t="shared" si="86"/>
        <v>6821.9852845743735</v>
      </c>
      <c r="AS24" s="302">
        <f t="shared" si="86"/>
        <v>8402.5468994084003</v>
      </c>
      <c r="AU24" s="47">
        <f>AU20</f>
        <v>22323.37000000001</v>
      </c>
      <c r="AV24" s="47"/>
      <c r="AW24" s="47">
        <f t="shared" ref="AW24:BB24" si="87">AW20</f>
        <v>3081.1228815579088</v>
      </c>
      <c r="AX24" s="47">
        <f t="shared" si="87"/>
        <v>14525.612990969836</v>
      </c>
      <c r="AY24" s="47">
        <f t="shared" si="87"/>
        <v>17170.420728668265</v>
      </c>
      <c r="AZ24" s="47">
        <f t="shared" si="87"/>
        <v>20296.792168617132</v>
      </c>
      <c r="BA24" s="47">
        <f t="shared" si="87"/>
        <v>23992.409903399646</v>
      </c>
      <c r="BB24" s="47">
        <f t="shared" si="87"/>
        <v>28360.921676224127</v>
      </c>
      <c r="BD24" s="302">
        <f>BD20</f>
        <v>36012.359999999986</v>
      </c>
      <c r="BE24" s="302">
        <f t="shared" ref="BE24:BK24" si="88">BE20</f>
        <v>0</v>
      </c>
      <c r="BF24" s="302">
        <f t="shared" si="88"/>
        <v>11965.144330090232</v>
      </c>
      <c r="BG24" s="302">
        <f t="shared" si="88"/>
        <v>36059.812647961604</v>
      </c>
      <c r="BH24" s="302">
        <f t="shared" si="88"/>
        <v>40884.611675522465</v>
      </c>
      <c r="BI24" s="302">
        <f t="shared" si="88"/>
        <v>46354.968290517689</v>
      </c>
      <c r="BJ24" s="302">
        <f t="shared" si="88"/>
        <v>52557.258028241806</v>
      </c>
      <c r="BK24" s="302">
        <f t="shared" si="88"/>
        <v>59589.413461258519</v>
      </c>
    </row>
    <row r="25" spans="1:63" x14ac:dyDescent="0.3">
      <c r="A25" s="46" t="s">
        <v>426</v>
      </c>
      <c r="B25" s="302">
        <f>MAX(0,B19-B21)</f>
        <v>0</v>
      </c>
      <c r="C25" s="302"/>
      <c r="D25" s="302">
        <f t="shared" ref="D25:I25" si="89">MAX(0,D19-D21)</f>
        <v>0</v>
      </c>
      <c r="E25" s="302">
        <f t="shared" si="89"/>
        <v>0</v>
      </c>
      <c r="F25" s="302">
        <f t="shared" si="89"/>
        <v>0</v>
      </c>
      <c r="G25" s="302">
        <f t="shared" si="89"/>
        <v>0</v>
      </c>
      <c r="H25" s="302">
        <f t="shared" si="89"/>
        <v>0</v>
      </c>
      <c r="I25" s="302">
        <f t="shared" si="89"/>
        <v>0</v>
      </c>
      <c r="K25" s="302">
        <f>MAX(0,K19-K21)</f>
        <v>0</v>
      </c>
      <c r="L25" s="302">
        <f t="shared" ref="L25:R25" si="90">MAX(0,L19-L21)</f>
        <v>0.1653</v>
      </c>
      <c r="M25" s="302">
        <f t="shared" si="90"/>
        <v>0</v>
      </c>
      <c r="N25" s="302">
        <f t="shared" si="90"/>
        <v>0</v>
      </c>
      <c r="O25" s="302">
        <f t="shared" si="90"/>
        <v>0</v>
      </c>
      <c r="P25" s="302">
        <f t="shared" si="90"/>
        <v>0</v>
      </c>
      <c r="Q25" s="302">
        <f t="shared" si="90"/>
        <v>0</v>
      </c>
      <c r="R25" s="302">
        <f t="shared" si="90"/>
        <v>26854.519539770437</v>
      </c>
      <c r="T25" s="47">
        <f>MAX(0,T19-T21)</f>
        <v>0</v>
      </c>
      <c r="U25" s="47"/>
      <c r="V25" s="47">
        <f t="shared" ref="V25:AA25" si="91">MAX(0,V19-V21)</f>
        <v>0</v>
      </c>
      <c r="W25" s="47">
        <f t="shared" si="91"/>
        <v>0</v>
      </c>
      <c r="X25" s="47">
        <f t="shared" si="91"/>
        <v>0</v>
      </c>
      <c r="Y25" s="47">
        <f t="shared" si="91"/>
        <v>0</v>
      </c>
      <c r="Z25" s="47">
        <f t="shared" si="91"/>
        <v>0</v>
      </c>
      <c r="AA25" s="47">
        <f t="shared" si="91"/>
        <v>0</v>
      </c>
      <c r="AC25" s="47">
        <f>MAX(0,AC19-AC21)</f>
        <v>0</v>
      </c>
      <c r="AD25" s="47"/>
      <c r="AE25" s="47">
        <f t="shared" ref="AE25:AJ25" si="92">MAX(0,AE19-AE21)</f>
        <v>0</v>
      </c>
      <c r="AF25" s="47">
        <f t="shared" si="92"/>
        <v>0</v>
      </c>
      <c r="AG25" s="47">
        <f t="shared" si="92"/>
        <v>0</v>
      </c>
      <c r="AH25" s="47">
        <f t="shared" si="92"/>
        <v>0</v>
      </c>
      <c r="AI25" s="47">
        <f t="shared" si="92"/>
        <v>0</v>
      </c>
      <c r="AJ25" s="47">
        <f t="shared" si="92"/>
        <v>0</v>
      </c>
      <c r="AL25" s="302">
        <f>MAX(0,AL19-AL21)</f>
        <v>191.32639705989277</v>
      </c>
      <c r="AM25" s="302"/>
      <c r="AN25" s="302">
        <f t="shared" ref="AN25:AS25" si="93">MAX(0,AN19-AN21)</f>
        <v>1551.5017423667159</v>
      </c>
      <c r="AO25" s="302">
        <f t="shared" si="93"/>
        <v>17032.088494046075</v>
      </c>
      <c r="AP25" s="302">
        <f t="shared" si="93"/>
        <v>5275.7321858565156</v>
      </c>
      <c r="AQ25" s="302">
        <f t="shared" si="93"/>
        <v>6555.7971202054614</v>
      </c>
      <c r="AR25" s="302">
        <f t="shared" si="93"/>
        <v>8134.683910163556</v>
      </c>
      <c r="AS25" s="302">
        <f t="shared" si="93"/>
        <v>10081.713052278676</v>
      </c>
      <c r="AU25" s="47">
        <f>AU29-'Balance Sheet-NBFCs'!J13</f>
        <v>30068.070000000007</v>
      </c>
      <c r="AV25" s="307"/>
      <c r="AW25" s="47">
        <f>AW29-AU29</f>
        <v>17112.857434064659</v>
      </c>
      <c r="AX25" s="47">
        <f>AX29-AW29</f>
        <v>19736.549671118803</v>
      </c>
      <c r="AY25" s="47">
        <f>AY29-AX29</f>
        <v>22762.498572865006</v>
      </c>
      <c r="AZ25" s="47">
        <f>AZ29-AY29</f>
        <v>26252.376930800732</v>
      </c>
      <c r="BA25" s="47">
        <f>BA29-AZ29</f>
        <v>30277.313024784235</v>
      </c>
      <c r="BB25" s="47">
        <f>BB29-BA29</f>
        <v>34919.340310295025</v>
      </c>
      <c r="BD25" s="302">
        <f>MAX(0,BD19-BD21)</f>
        <v>0</v>
      </c>
      <c r="BE25" s="302"/>
      <c r="BF25" s="302">
        <f t="shared" ref="BF25:BK25" si="94">MAX(0,BF19-BF21)</f>
        <v>0</v>
      </c>
      <c r="BG25" s="302">
        <f t="shared" si="94"/>
        <v>0</v>
      </c>
      <c r="BH25" s="302">
        <f t="shared" si="94"/>
        <v>0</v>
      </c>
      <c r="BI25" s="302">
        <f t="shared" si="94"/>
        <v>0</v>
      </c>
      <c r="BJ25" s="302">
        <f t="shared" si="94"/>
        <v>0</v>
      </c>
      <c r="BK25" s="302">
        <f t="shared" si="94"/>
        <v>0</v>
      </c>
    </row>
    <row r="26" spans="1:63" x14ac:dyDescent="0.3">
      <c r="A26" s="46" t="s">
        <v>374</v>
      </c>
      <c r="B26" s="302">
        <f>B23*C26</f>
        <v>461.55120155101275</v>
      </c>
      <c r="C26" s="307">
        <f>'Input &amp; Assumptions-Banks'!B12</f>
        <v>1.5633984756119917E-2</v>
      </c>
      <c r="D26" s="302">
        <f>$C$26*D23</f>
        <v>413.525933379712</v>
      </c>
      <c r="E26" s="302">
        <f t="shared" ref="E26:I26" si="95">$C$26*E23</f>
        <v>542.70828257254755</v>
      </c>
      <c r="F26" s="302">
        <f t="shared" si="95"/>
        <v>599.40888787010192</v>
      </c>
      <c r="G26" s="302">
        <f t="shared" si="95"/>
        <v>662.10007021048682</v>
      </c>
      <c r="H26" s="302">
        <f t="shared" si="95"/>
        <v>731.40967327245767</v>
      </c>
      <c r="I26" s="302">
        <f t="shared" si="95"/>
        <v>808.02852691979183</v>
      </c>
      <c r="K26" s="302">
        <f>K23*L26</f>
        <v>7836.4249631207649</v>
      </c>
      <c r="L26" s="307">
        <f>'Input &amp; Assumptions-Banks'!C12</f>
        <v>0.11224239956564609</v>
      </c>
      <c r="M26" s="302">
        <f>M23*'Input &amp; Assumptions-Banks'!$C$12</f>
        <v>9274.4384299065005</v>
      </c>
      <c r="N26" s="302">
        <f>N23*'Input &amp; Assumptions-Banks'!$C$12</f>
        <v>10653.330086769238</v>
      </c>
      <c r="O26" s="302">
        <f>O23*'Input &amp; Assumptions-Banks'!$C$12</f>
        <v>12144.58121626755</v>
      </c>
      <c r="P26" s="302">
        <f>P23*'Input &amp; Assumptions-Banks'!$C$12</f>
        <v>13880.244556058691</v>
      </c>
      <c r="Q26" s="302">
        <f>Q23*'Input &amp; Assumptions-Banks'!$C$12</f>
        <v>15935.878439562222</v>
      </c>
      <c r="R26" s="302">
        <f>R23*'Input &amp; Assumptions-Banks'!$C$12</f>
        <v>18425.730936332075</v>
      </c>
      <c r="T26" s="47">
        <f>T23*'Input &amp; Assumptions-Banks'!D12</f>
        <v>4033.0504316092856</v>
      </c>
      <c r="U26" s="307"/>
      <c r="V26" s="47">
        <f>V23*'Input &amp; Assumptions-Banks'!$D$12</f>
        <v>4476.0244467740913</v>
      </c>
      <c r="W26" s="47">
        <f>W23*'Input &amp; Assumptions-Banks'!$D$12</f>
        <v>5449.6983491446617</v>
      </c>
      <c r="X26" s="47">
        <f>X23*'Input &amp; Assumptions-Banks'!$D$12</f>
        <v>6359.4080997713545</v>
      </c>
      <c r="Y26" s="47">
        <f>Y23*'Input &amp; Assumptions-Banks'!$D$12</f>
        <v>7439.930182654698</v>
      </c>
      <c r="Z26" s="47">
        <f>Z23*'Input &amp; Assumptions-Banks'!$D$12</f>
        <v>8721.2644742328375</v>
      </c>
      <c r="AA26" s="47">
        <f>AA23*'Input &amp; Assumptions-Banks'!$D$12</f>
        <v>10238.462693952886</v>
      </c>
      <c r="AC26" s="47">
        <f>AC23*AD26</f>
        <v>8089.8067221466454</v>
      </c>
      <c r="AD26" s="307">
        <f>'Input &amp; Assumptions-Banks'!E12</f>
        <v>0.15830179432804095</v>
      </c>
      <c r="AE26" s="302">
        <f>AE23*$AD$26</f>
        <v>10408.694780405442</v>
      </c>
      <c r="AF26" s="302">
        <f t="shared" ref="AF26:AJ26" si="96">AF23*$AD$26</f>
        <v>12460.749291934846</v>
      </c>
      <c r="AG26" s="302">
        <f t="shared" si="96"/>
        <v>12933.888857168233</v>
      </c>
      <c r="AH26" s="302">
        <f t="shared" si="96"/>
        <v>13358.604870760366</v>
      </c>
      <c r="AI26" s="302">
        <f t="shared" si="96"/>
        <v>13718.181062584161</v>
      </c>
      <c r="AJ26" s="302">
        <f t="shared" si="96"/>
        <v>13992.755799390674</v>
      </c>
      <c r="AL26" s="47">
        <f>AL23*'Input &amp; Assumptions-Banks'!$F$12</f>
        <v>0</v>
      </c>
      <c r="AM26" s="47"/>
      <c r="AN26" s="47">
        <f>AN23*'Input &amp; Assumptions-Banks'!$F$12</f>
        <v>0</v>
      </c>
      <c r="AO26" s="47">
        <f>AO23*'Input &amp; Assumptions-Banks'!$F$12</f>
        <v>0</v>
      </c>
      <c r="AP26" s="47">
        <f>AP23*'Input &amp; Assumptions-Banks'!$F$12</f>
        <v>0</v>
      </c>
      <c r="AQ26" s="47">
        <f>AQ23*'Input &amp; Assumptions-Banks'!$F$12</f>
        <v>0</v>
      </c>
      <c r="AR26" s="47">
        <f>AR23*'Input &amp; Assumptions-Banks'!$F$12</f>
        <v>0</v>
      </c>
      <c r="AS26" s="47">
        <f>AS23*'Input &amp; Assumptions-Banks'!$F$12</f>
        <v>0</v>
      </c>
      <c r="AU26" s="47">
        <f>AU23*AV26</f>
        <v>1537.1241425591863</v>
      </c>
      <c r="AV26" s="307">
        <f>'Input &amp; Assumptions-Banks'!G12</f>
        <v>0.10710146034769559</v>
      </c>
      <c r="AW26" s="47">
        <f>AW23*$AV$26</f>
        <v>2089.8109775167195</v>
      </c>
      <c r="AX26" s="47">
        <f t="shared" ref="AX26:BB26" si="97">AX23*$AV$26</f>
        <v>2454.981212174524</v>
      </c>
      <c r="AY26" s="47">
        <f t="shared" si="97"/>
        <v>2884.4406560991929</v>
      </c>
      <c r="AZ26" s="47">
        <f t="shared" si="97"/>
        <v>3389.5793400255152</v>
      </c>
      <c r="BA26" s="47">
        <f t="shared" si="97"/>
        <v>3983.8158944375832</v>
      </c>
      <c r="BB26" s="47">
        <f t="shared" si="97"/>
        <v>4682.9604186384868</v>
      </c>
      <c r="BD26" s="302">
        <f>BD23*BE26</f>
        <v>10986.570007163507</v>
      </c>
      <c r="BE26" s="314">
        <f>'Input &amp; Assumptions-Banks'!H12</f>
        <v>0.19819019760406995</v>
      </c>
      <c r="BF26" s="302">
        <f>BF23*$BE$26</f>
        <v>13895.159255714674</v>
      </c>
      <c r="BG26" s="302">
        <f t="shared" ref="BG26:BK26" si="98">BG23*$BE$26</f>
        <v>15778.68039487981</v>
      </c>
      <c r="BH26" s="302">
        <f t="shared" si="98"/>
        <v>17918.194959607907</v>
      </c>
      <c r="BI26" s="302">
        <f t="shared" si="98"/>
        <v>20348.604873442575</v>
      </c>
      <c r="BJ26" s="302">
        <f t="shared" si="98"/>
        <v>23109.588139396012</v>
      </c>
      <c r="BK26" s="302">
        <f t="shared" si="98"/>
        <v>26246.25523140603</v>
      </c>
    </row>
    <row r="27" spans="1:63" s="45" customFormat="1" x14ac:dyDescent="0.3">
      <c r="A27" s="48" t="s">
        <v>375</v>
      </c>
      <c r="B27" s="304">
        <f>B23-B24+B25-B26</f>
        <v>1712.8896546231456</v>
      </c>
      <c r="C27" s="304">
        <f t="shared" ref="C27" si="99">C23-C24+C25</f>
        <v>0</v>
      </c>
      <c r="D27" s="304">
        <f>D23-D24+D25-D26</f>
        <v>18869.528004240292</v>
      </c>
      <c r="E27" s="304">
        <f t="shared" ref="E27:I27" si="100">E23-E24+E25-E26</f>
        <v>15425.8143157798</v>
      </c>
      <c r="F27" s="304">
        <f t="shared" si="100"/>
        <v>16862.352443457617</v>
      </c>
      <c r="G27" s="304">
        <f t="shared" si="100"/>
        <v>18433.242683616227</v>
      </c>
      <c r="H27" s="304">
        <f t="shared" si="100"/>
        <v>20150.377050035378</v>
      </c>
      <c r="I27" s="304">
        <f t="shared" si="100"/>
        <v>22026.467528542729</v>
      </c>
      <c r="K27" s="304">
        <f>K23-K24+K25-K26</f>
        <v>-117500.33854916276</v>
      </c>
      <c r="L27" s="306"/>
      <c r="M27" s="304">
        <f>M23-M24+M25-M26</f>
        <v>57540.195674061586</v>
      </c>
      <c r="N27" s="304">
        <f>(N23-N24)+(N25-N26)</f>
        <v>-11456.089019317114</v>
      </c>
      <c r="O27" s="304">
        <f t="shared" ref="O27:R27" si="101">O23-O24+O25-O26</f>
        <v>-18528.237713183022</v>
      </c>
      <c r="P27" s="304">
        <f t="shared" si="101"/>
        <v>-27386.157385974031</v>
      </c>
      <c r="Q27" s="304">
        <f t="shared" si="101"/>
        <v>-38165.276366150647</v>
      </c>
      <c r="R27" s="304">
        <f t="shared" si="101"/>
        <v>-23984.986640274168</v>
      </c>
      <c r="T27" s="22">
        <f>T23-T24+T25-T26</f>
        <v>-5600.7613477992863</v>
      </c>
      <c r="U27" s="306"/>
      <c r="V27" s="22">
        <f>V23-V24+V25-V26</f>
        <v>62871.128091140861</v>
      </c>
      <c r="W27" s="22">
        <f t="shared" ref="W27:AA27" si="102">W23-W24+W25-W26</f>
        <v>27082.00998871987</v>
      </c>
      <c r="X27" s="22">
        <f t="shared" si="102"/>
        <v>32983.697825460702</v>
      </c>
      <c r="Y27" s="22">
        <f t="shared" si="102"/>
        <v>40243.511298817728</v>
      </c>
      <c r="Z27" s="22">
        <f t="shared" si="102"/>
        <v>49124.953498780145</v>
      </c>
      <c r="AA27" s="22">
        <f t="shared" si="102"/>
        <v>59938.548308149169</v>
      </c>
      <c r="AB27" s="40"/>
      <c r="AC27" s="22">
        <f>AC23-AC24+AC25-AC26</f>
        <v>24277.37124085335</v>
      </c>
      <c r="AD27" s="315"/>
      <c r="AE27" s="22">
        <f>AE23-AE24+AE25-AE26</f>
        <v>1008.8322264973194</v>
      </c>
      <c r="AF27" s="22">
        <f t="shared" ref="AF27:AJ27" si="103">AF23-AF24+AF25-AF26</f>
        <v>26288.568498281544</v>
      </c>
      <c r="AG27" s="22">
        <f t="shared" si="103"/>
        <v>24899.077752087105</v>
      </c>
      <c r="AH27" s="22">
        <f t="shared" si="103"/>
        <v>22870.526725738539</v>
      </c>
      <c r="AI27" s="22">
        <f t="shared" si="103"/>
        <v>20076.747769142108</v>
      </c>
      <c r="AJ27" s="22">
        <f t="shared" si="103"/>
        <v>16371.205801802709</v>
      </c>
      <c r="AK27" s="40"/>
      <c r="AL27" s="22">
        <f>AL23-AL24+AL25-AL26</f>
        <v>9.0949470177292824E-13</v>
      </c>
      <c r="AM27" s="306"/>
      <c r="AN27" s="22">
        <f t="shared" ref="AN27" si="104">AN23-AN24+AN25-AN26</f>
        <v>0</v>
      </c>
      <c r="AO27" s="22">
        <f t="shared" ref="AO27" si="105">AO23-AO24+AO25-AO26</f>
        <v>15758.095482706296</v>
      </c>
      <c r="AP27" s="22">
        <f t="shared" ref="AP27" si="106">AP23-AP24+AP25-AP26</f>
        <v>3650.9869238768424</v>
      </c>
      <c r="AQ27" s="22">
        <f t="shared" ref="AQ27" si="107">AQ23-AQ24+AQ25-AQ26</f>
        <v>4496.8711566073061</v>
      </c>
      <c r="AR27" s="22">
        <f t="shared" ref="AR27" si="108">AR23-AR24+AR25-AR26</f>
        <v>5538.7353120547295</v>
      </c>
      <c r="AS27" s="22">
        <f t="shared" ref="AS27" si="109">AS23-AS24+AS25-AS26</f>
        <v>6821.9852845743753</v>
      </c>
      <c r="AT27" s="40"/>
      <c r="AU27" s="22">
        <f>AU23-AU24+AU25-AU26</f>
        <v>20559.613052536435</v>
      </c>
      <c r="AV27" s="306"/>
      <c r="AW27" s="22">
        <f t="shared" ref="AW27" si="110">AW23-AW24+AW25-AW26</f>
        <v>31454.365055548093</v>
      </c>
      <c r="AX27" s="22">
        <f t="shared" ref="AX27" si="111">AX23-AX24+AX25-AX26</f>
        <v>25677.9698289798</v>
      </c>
      <c r="AY27" s="22">
        <f t="shared" ref="AY27:AZ27" si="112">AY23-AY24+AY25-AY26</f>
        <v>29639.488973639098</v>
      </c>
      <c r="AZ27" s="22">
        <f t="shared" si="112"/>
        <v>34214.307219552262</v>
      </c>
      <c r="BA27" s="22">
        <f t="shared" ref="BA27" si="113">BA23-BA24+BA25-BA26</f>
        <v>39497.740582601269</v>
      </c>
      <c r="BB27" s="22">
        <f t="shared" ref="BB27" si="114">BB23-BB24+BB25-BB26</f>
        <v>45599.982637748057</v>
      </c>
      <c r="BC27" s="40"/>
      <c r="BD27" s="22">
        <f>BD23-BD24+BD25-BD26</f>
        <v>8435.5472776903407</v>
      </c>
      <c r="BE27" s="315"/>
      <c r="BF27" s="22">
        <f t="shared" ref="BF27" si="115">BF23-BF24+BF25-BF26</f>
        <v>44249.920954529931</v>
      </c>
      <c r="BG27" s="22">
        <f t="shared" ref="BG27" si="116">BG23-BG24+BG25-BG26</f>
        <v>27775.335419055154</v>
      </c>
      <c r="BH27" s="22">
        <f t="shared" ref="BH27" si="117">BH23-BH24+BH25-BH26</f>
        <v>31606.281080719127</v>
      </c>
      <c r="BI27" s="22">
        <f t="shared" ref="BI27" si="118">BI23-BI24+BI25-BI26</f>
        <v>35968.532315714096</v>
      </c>
      <c r="BJ27" s="22">
        <f t="shared" ref="BJ27" si="119">BJ23-BJ24+BJ25-BJ26</f>
        <v>40936.237227852194</v>
      </c>
      <c r="BK27" s="22">
        <f t="shared" ref="BK27" si="120">BK23-BK24+BK25-BK26</f>
        <v>46593.964804340692</v>
      </c>
    </row>
    <row r="28" spans="1:63" x14ac:dyDescent="0.3">
      <c r="B28" s="303"/>
      <c r="T28" s="44"/>
      <c r="V28" s="44"/>
      <c r="W28" s="44"/>
      <c r="X28" s="44"/>
      <c r="Y28" s="44"/>
      <c r="Z28" s="44"/>
      <c r="AA28" s="44"/>
    </row>
    <row r="29" spans="1:63" x14ac:dyDescent="0.3">
      <c r="A29" s="46"/>
      <c r="B29" s="302"/>
      <c r="C29" s="338"/>
      <c r="D29" s="302"/>
      <c r="E29" s="302"/>
      <c r="F29" s="302"/>
      <c r="G29" s="302"/>
      <c r="H29" s="302"/>
      <c r="I29" s="302"/>
      <c r="K29" s="302"/>
      <c r="L29" s="338"/>
      <c r="M29" s="302"/>
      <c r="N29" s="302"/>
      <c r="O29" s="302"/>
      <c r="P29" s="302"/>
      <c r="Q29" s="302"/>
      <c r="R29" s="302"/>
      <c r="T29" s="23"/>
      <c r="U29" s="338"/>
      <c r="V29" s="23"/>
      <c r="W29" s="23"/>
      <c r="X29" s="23"/>
      <c r="Y29" s="23"/>
      <c r="Z29" s="23"/>
      <c r="AA29" s="23"/>
      <c r="AC29" s="43"/>
      <c r="AD29" s="54"/>
      <c r="AL29" s="302">
        <f>'Balance Sheet-NBFCs'!F13</f>
        <v>42299.73</v>
      </c>
      <c r="AM29" s="338">
        <f>(AL29/'Balance Sheet-NBFCs'!B13)^(1/5)-1</f>
        <v>0.18931407194317673</v>
      </c>
      <c r="AN29" s="302">
        <f>AL29*(1+AM29)</f>
        <v>50307.664128396958</v>
      </c>
      <c r="AO29" s="302">
        <f>AN29*(1+AM29)</f>
        <v>59831.612874493469</v>
      </c>
      <c r="AP29" s="302">
        <f>AO29*(1+AM29)</f>
        <v>71158.579138691624</v>
      </c>
      <c r="AQ29" s="302">
        <f>AP29*(1+AM29)</f>
        <v>84629.899509128125</v>
      </c>
      <c r="AR29" s="302">
        <f>AQ29*(1+AM29)</f>
        <v>100651.53039334303</v>
      </c>
      <c r="AS29" s="302">
        <f>AR29*(1+AM29)</f>
        <v>119706.2814594192</v>
      </c>
      <c r="AU29" s="302">
        <f>'Balance Sheet-NBFCs'!K13</f>
        <v>111617.47</v>
      </c>
      <c r="AV29" s="338">
        <f>(AU29/'Balance Sheet-NBFCs'!G13)^(1/5)-1</f>
        <v>0.1533170160017483</v>
      </c>
      <c r="AW29" s="302">
        <f>AU29*(1+AV29)</f>
        <v>128730.32743406466</v>
      </c>
      <c r="AX29" s="302">
        <f>AW29*(1+AV29)</f>
        <v>148466.87710518346</v>
      </c>
      <c r="AY29" s="302">
        <f>AX29*(1+AV29)</f>
        <v>171229.37567804847</v>
      </c>
      <c r="AZ29" s="302">
        <f>AY29*(1+AV29)</f>
        <v>197481.7526088492</v>
      </c>
      <c r="BA29" s="302">
        <f>AZ29*(1+AV29)</f>
        <v>227759.06563363344</v>
      </c>
      <c r="BB29" s="302">
        <f>BA29*(1+AV29)</f>
        <v>262678.40594392846</v>
      </c>
      <c r="BD29" s="302">
        <f>'Balance Sheet-NBFCs'!P13</f>
        <v>500519.53</v>
      </c>
      <c r="BE29" s="338">
        <f>('Balance Sheet-NBFCs'!P13/'Balance Sheet-NBFCs'!L13)^(1/5)-1</f>
        <v>0.107711176888865</v>
      </c>
      <c r="BF29" s="23">
        <f>BD29*(1+BE29)</f>
        <v>554431.07763216156</v>
      </c>
      <c r="BG29" s="23">
        <f>BF29*(1+BE29)</f>
        <v>614149.50150768331</v>
      </c>
      <c r="BH29" s="23">
        <f>BG29*(1+BE29)</f>
        <v>680300.26710078563</v>
      </c>
      <c r="BI29" s="23">
        <f>BH29*(1+BE29)</f>
        <v>753576.20950802043</v>
      </c>
      <c r="BJ29" s="23">
        <f>BI29*(1+BE29)</f>
        <v>834744.78990957921</v>
      </c>
      <c r="BK29" s="23">
        <f>BJ29*(1+BE29)</f>
        <v>924656.13363258832</v>
      </c>
    </row>
    <row r="32" spans="1:63" x14ac:dyDescent="0.3">
      <c r="B32" s="303"/>
    </row>
  </sheetData>
  <mergeCells count="33">
    <mergeCell ref="A1:BK1"/>
    <mergeCell ref="B2:I2"/>
    <mergeCell ref="A2:A3"/>
    <mergeCell ref="BD22:BK22"/>
    <mergeCell ref="K22:R22"/>
    <mergeCell ref="T2:AA2"/>
    <mergeCell ref="T4:AA4"/>
    <mergeCell ref="T15:AA15"/>
    <mergeCell ref="T17:AA17"/>
    <mergeCell ref="T22:AA22"/>
    <mergeCell ref="K2:R2"/>
    <mergeCell ref="K4:R4"/>
    <mergeCell ref="K15:R15"/>
    <mergeCell ref="K17:R17"/>
    <mergeCell ref="BD2:BK2"/>
    <mergeCell ref="BD4:BK4"/>
    <mergeCell ref="BD15:BK15"/>
    <mergeCell ref="BD17:BK17"/>
    <mergeCell ref="AC22:AJ22"/>
    <mergeCell ref="AL22:AS22"/>
    <mergeCell ref="AU22:BB22"/>
    <mergeCell ref="AU2:BB2"/>
    <mergeCell ref="AU4:BB4"/>
    <mergeCell ref="AU15:BB15"/>
    <mergeCell ref="AU17:BB17"/>
    <mergeCell ref="AC2:AJ2"/>
    <mergeCell ref="AC4:AJ4"/>
    <mergeCell ref="AC15:AJ15"/>
    <mergeCell ref="AC17:AJ17"/>
    <mergeCell ref="AL2:AS2"/>
    <mergeCell ref="AL4:AS4"/>
    <mergeCell ref="AL15:AS15"/>
    <mergeCell ref="AL17:AS1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35EC5-59C6-4770-B2E8-24613B680698}">
  <sheetPr>
    <tabColor rgb="FF0070C0"/>
  </sheetPr>
  <dimension ref="A1:M25"/>
  <sheetViews>
    <sheetView topLeftCell="I1" workbookViewId="0">
      <selection activeCell="K14" sqref="K14"/>
    </sheetView>
  </sheetViews>
  <sheetFormatPr defaultRowHeight="14.4" x14ac:dyDescent="0.3"/>
  <cols>
    <col min="1" max="1" width="8.88671875" style="43"/>
    <col min="2" max="2" width="13.109375" style="43" bestFit="1" customWidth="1"/>
    <col min="3" max="3" width="15" style="43" bestFit="1" customWidth="1"/>
    <col min="4" max="4" width="8.88671875" style="44"/>
    <col min="5" max="6" width="8.88671875" style="43"/>
    <col min="7" max="7" width="15" style="43" bestFit="1" customWidth="1"/>
    <col min="8" max="8" width="13.109375" style="43" bestFit="1" customWidth="1"/>
    <col min="9" max="9" width="18.44140625" style="43" bestFit="1" customWidth="1"/>
    <col min="10" max="10" width="9.5546875" style="54" bestFit="1" customWidth="1"/>
    <col min="11" max="11" width="14.6640625" style="43" bestFit="1" customWidth="1"/>
    <col min="12" max="12" width="20" style="43" bestFit="1" customWidth="1"/>
    <col min="13" max="13" width="11.109375" style="43" bestFit="1" customWidth="1"/>
    <col min="14" max="16384" width="8.88671875" style="43"/>
  </cols>
  <sheetData>
    <row r="1" spans="1:13" x14ac:dyDescent="0.3">
      <c r="A1" s="46" t="s">
        <v>391</v>
      </c>
      <c r="B1" s="46" t="s">
        <v>490</v>
      </c>
      <c r="C1" s="46" t="s">
        <v>427</v>
      </c>
      <c r="D1" s="46" t="s">
        <v>536</v>
      </c>
      <c r="G1" s="48" t="s">
        <v>534</v>
      </c>
      <c r="H1" s="48" t="s">
        <v>541</v>
      </c>
      <c r="I1" s="48" t="s">
        <v>28</v>
      </c>
      <c r="J1" s="300" t="s">
        <v>535</v>
      </c>
      <c r="K1" s="48" t="s">
        <v>542</v>
      </c>
      <c r="L1" s="48" t="s">
        <v>543</v>
      </c>
      <c r="M1" s="48" t="s">
        <v>544</v>
      </c>
    </row>
    <row r="2" spans="1:13" x14ac:dyDescent="0.3">
      <c r="A2" s="46" t="s">
        <v>537</v>
      </c>
      <c r="B2" s="46" t="s">
        <v>539</v>
      </c>
      <c r="C2" s="46" t="s">
        <v>5</v>
      </c>
      <c r="D2" s="47">
        <f>ABS(AVERAGE('Cash Flow Statement-Banks'!B31:F31))</f>
        <v>1445.30188</v>
      </c>
      <c r="G2" s="46" t="s">
        <v>5</v>
      </c>
      <c r="H2" s="302">
        <f>('Income Statement-Banks'!F13+'Income Statement-Banks'!F9)-('Income Statement-Banks'!B13+'Income Statement-Banks'!B9)</f>
        <v>47939.588600000003</v>
      </c>
      <c r="I2" s="302">
        <f>AVERAGE('Balance Sheet-Banks'!B9:F9)</f>
        <v>119288.298</v>
      </c>
      <c r="J2" s="307">
        <f>H2/I2</f>
        <v>0.40188006203257259</v>
      </c>
      <c r="K2" s="517">
        <f>'Financial Projections'!I12-'Financial Projections'!D12</f>
        <v>33721.309660381041</v>
      </c>
      <c r="L2" s="517">
        <f>AVERAGE('Financial Projections'!D21:I21)</f>
        <v>310930.61833723565</v>
      </c>
      <c r="M2" s="307">
        <f>K2/L2</f>
        <v>0.10845284340510614</v>
      </c>
    </row>
    <row r="3" spans="1:13" x14ac:dyDescent="0.3">
      <c r="A3" s="46" t="s">
        <v>537</v>
      </c>
      <c r="B3" s="46" t="s">
        <v>539</v>
      </c>
      <c r="C3" s="46" t="s">
        <v>3</v>
      </c>
      <c r="D3" s="47">
        <f>ABS(AVERAGE('Cash Flow Statement-Banks'!G31:K31))</f>
        <v>2664.3093200000003</v>
      </c>
      <c r="G3" s="46" t="s">
        <v>3</v>
      </c>
      <c r="H3" s="302">
        <f>('Income Statement-Banks'!K13+'Income Statement-Banks'!K9)-('Income Statement-Banks'!G13+'Income Statement-Banks'!G9)</f>
        <v>130151.36309999997</v>
      </c>
      <c r="I3" s="302">
        <f>AVERAGE('Balance Sheet-Banks'!G9:K9)</f>
        <v>279100.25199999998</v>
      </c>
      <c r="J3" s="307">
        <f t="shared" ref="J3:J8" si="0">H3/I3</f>
        <v>0.46632477816609058</v>
      </c>
      <c r="K3" s="517">
        <f>AVERAGE('Financial Projections'!R12-'Financial Projections'!M12)</f>
        <v>108955.64831974062</v>
      </c>
      <c r="L3" s="517">
        <f>AVERAGE('Financial Projections'!M21:R21)</f>
        <v>860561.30872422142</v>
      </c>
      <c r="M3" s="307">
        <f t="shared" ref="M3:M8" si="1">K3/L3</f>
        <v>0.12660997794714582</v>
      </c>
    </row>
    <row r="4" spans="1:13" x14ac:dyDescent="0.3">
      <c r="A4" s="46" t="s">
        <v>537</v>
      </c>
      <c r="B4" s="46" t="s">
        <v>539</v>
      </c>
      <c r="C4" s="46" t="s">
        <v>4</v>
      </c>
      <c r="D4" s="47">
        <f>ABS(AVERAGE('Cash Flow Statement-Banks'!L31:P31))</f>
        <v>2212.1627399999998</v>
      </c>
      <c r="G4" s="46" t="s">
        <v>4</v>
      </c>
      <c r="H4" s="302">
        <f>('Income Statement-Banks'!P13+'Income Statement-Banks'!P9)-('Income Statement-Banks'!L13+'Income Statement-Banks'!L9)</f>
        <v>63223.917199999989</v>
      </c>
      <c r="I4" s="302">
        <f>AVERAGE('Balance Sheet-Banks'!L9:P9)</f>
        <v>187798.53599999999</v>
      </c>
      <c r="J4" s="307">
        <f t="shared" si="0"/>
        <v>0.3366582005729799</v>
      </c>
      <c r="K4" s="517">
        <f>'Financial Projections'!AA10-'Financial Projections'!V10</f>
        <v>87701.807389888505</v>
      </c>
      <c r="L4" s="517">
        <f>AVERAGE('Financial Projections'!V21:AA21)</f>
        <v>544797.06970557885</v>
      </c>
      <c r="M4" s="307">
        <f t="shared" si="1"/>
        <v>0.16098068852918873</v>
      </c>
    </row>
    <row r="5" spans="1:13" x14ac:dyDescent="0.3">
      <c r="A5" s="46" t="s">
        <v>537</v>
      </c>
      <c r="B5" s="46" t="s">
        <v>539</v>
      </c>
      <c r="C5" s="46" t="s">
        <v>6</v>
      </c>
      <c r="D5" s="47">
        <f>ABS(AVERAGE('Cash Flow Statement-Banks'!Q31:U31))</f>
        <v>3632.5412599999995</v>
      </c>
      <c r="G5" s="46" t="s">
        <v>6</v>
      </c>
      <c r="H5" s="302">
        <f>('Income Statement-Banks'!U13+'Income Statement-Banks'!U9)-('Income Statement-Banks'!Q13+'Income Statement-Banks'!Q9)</f>
        <v>148573.68809999988</v>
      </c>
      <c r="I5" s="302">
        <f>AVERAGE('Balance Sheet-Banks'!Q9:U9)</f>
        <v>332662.38200000004</v>
      </c>
      <c r="J5" s="307">
        <f t="shared" si="0"/>
        <v>0.44662004524455029</v>
      </c>
      <c r="K5" s="517">
        <f>'Financial Projections'!AJ12-'Financial Projections'!AE12</f>
        <v>30187.579651882421</v>
      </c>
      <c r="L5" s="517">
        <f>AVERAGE('Financial Projections'!AE21:AJ21)</f>
        <v>643411.67644454597</v>
      </c>
      <c r="M5" s="307">
        <f t="shared" si="1"/>
        <v>4.6917985415958194E-2</v>
      </c>
    </row>
    <row r="6" spans="1:13" x14ac:dyDescent="0.3">
      <c r="A6" s="46" t="s">
        <v>537</v>
      </c>
      <c r="B6" s="46" t="s">
        <v>539</v>
      </c>
      <c r="C6" s="46" t="s">
        <v>540</v>
      </c>
      <c r="D6" s="47">
        <f>ABS(AVERAGE('Cash Flow Statement-NBFCs'!B51:F51))</f>
        <v>19.14</v>
      </c>
      <c r="G6" s="46" t="s">
        <v>540</v>
      </c>
      <c r="H6" s="302">
        <f>'Income Statement-NBFCs'!F25-'Income Statement-NBFCs'!B25</f>
        <v>1593.8699999999976</v>
      </c>
      <c r="I6" s="302">
        <f>AVERAGE('Balance Sheet-NBFCs'!B9:F9)</f>
        <v>8219.08</v>
      </c>
      <c r="J6" s="307">
        <f t="shared" si="0"/>
        <v>0.19392316414975858</v>
      </c>
      <c r="K6" s="517">
        <f>'Financial Projections'!AS12-'Financial Projections'!AN12</f>
        <v>4235.6159298885686</v>
      </c>
      <c r="L6" s="517">
        <f>AVERAGE('Financial Projections'!AN21:AS21)</f>
        <v>20137.247164671498</v>
      </c>
      <c r="M6" s="307">
        <f t="shared" si="1"/>
        <v>0.21033738600177054</v>
      </c>
    </row>
    <row r="7" spans="1:13" x14ac:dyDescent="0.3">
      <c r="A7" s="46" t="s">
        <v>537</v>
      </c>
      <c r="B7" s="46" t="s">
        <v>539</v>
      </c>
      <c r="C7" s="46" t="s">
        <v>524</v>
      </c>
      <c r="D7" s="47">
        <f>ABS(AVERAGE('Cash Flow Statement-NBFCs'!G51:K51))</f>
        <v>400.108</v>
      </c>
      <c r="G7" s="46" t="s">
        <v>524</v>
      </c>
      <c r="H7" s="302">
        <f>'Income Statement-NBFCs'!K25-'Income Statement-NBFCs'!G25</f>
        <v>11987.44999999999</v>
      </c>
      <c r="I7" s="302">
        <f>AVERAGE('Balance Sheet-NBFCs'!G9:K9)</f>
        <v>48805.212</v>
      </c>
      <c r="J7" s="307">
        <f t="shared" si="0"/>
        <v>0.24561823438037703</v>
      </c>
      <c r="K7" s="517">
        <f>'Financial Projections'!BB12-'Financial Projections'!AW12</f>
        <v>32356.117789332602</v>
      </c>
      <c r="L7" s="517">
        <f>AVERAGE('Financial Projections'!AW21:BB21)</f>
        <v>153275.81697522028</v>
      </c>
      <c r="M7" s="307">
        <f t="shared" si="1"/>
        <v>0.21109734352003837</v>
      </c>
    </row>
    <row r="8" spans="1:13" x14ac:dyDescent="0.3">
      <c r="A8" s="46" t="s">
        <v>537</v>
      </c>
      <c r="B8" s="46" t="s">
        <v>539</v>
      </c>
      <c r="C8" s="46" t="s">
        <v>8</v>
      </c>
      <c r="D8" s="47">
        <f>ABS(AVERAGE('Cash Flow Statement-NBFCs'!L51:P51))</f>
        <v>1290.4479999999999</v>
      </c>
      <c r="G8" s="46" t="s">
        <v>8</v>
      </c>
      <c r="H8" s="302">
        <f>'Income Statement-NBFCs'!P25-'Income Statement-NBFCs'!L25</f>
        <v>17361.130000000012</v>
      </c>
      <c r="I8" s="302">
        <f>AVERAGE('Balance Sheet-NBFCs'!L9:P9)</f>
        <v>189611.38400000002</v>
      </c>
      <c r="J8" s="307">
        <f t="shared" si="0"/>
        <v>9.1561643788223235E-2</v>
      </c>
      <c r="K8" s="517">
        <f>'Financial Projections'!BK12-'Financial Projections'!BF12</f>
        <v>83281.316259081112</v>
      </c>
      <c r="L8" s="517">
        <f>AVERAGE('Financial Projections'!BF21:BK21)</f>
        <v>456530.18175792298</v>
      </c>
      <c r="M8" s="307">
        <f t="shared" si="1"/>
        <v>0.1824223667718893</v>
      </c>
    </row>
    <row r="9" spans="1:13" x14ac:dyDescent="0.3">
      <c r="A9" s="48" t="s">
        <v>537</v>
      </c>
      <c r="B9" s="48" t="s">
        <v>539</v>
      </c>
      <c r="C9" s="48" t="s">
        <v>359</v>
      </c>
      <c r="D9" s="22">
        <f>AVERAGE(D2:D8)</f>
        <v>1666.287314285714</v>
      </c>
      <c r="G9" s="48" t="s">
        <v>359</v>
      </c>
      <c r="H9" s="48"/>
      <c r="I9" s="48"/>
      <c r="J9" s="312">
        <f>AVERAGE(J2:J8)</f>
        <v>0.31179801833350745</v>
      </c>
      <c r="K9" s="48"/>
      <c r="L9" s="48"/>
      <c r="M9" s="312">
        <f>AVERAGE(M2:M8)</f>
        <v>0.14954551308444244</v>
      </c>
    </row>
    <row r="10" spans="1:13" x14ac:dyDescent="0.3">
      <c r="A10" s="46" t="s">
        <v>538</v>
      </c>
      <c r="B10" s="46" t="s">
        <v>539</v>
      </c>
      <c r="C10" s="46" t="str">
        <f>C2</f>
        <v>Axis Bank</v>
      </c>
      <c r="D10" s="47">
        <v>0</v>
      </c>
    </row>
    <row r="11" spans="1:13" x14ac:dyDescent="0.3">
      <c r="A11" s="46" t="s">
        <v>538</v>
      </c>
      <c r="B11" s="46" t="s">
        <v>539</v>
      </c>
      <c r="C11" s="46" t="str">
        <f t="shared" ref="C11:C17" si="2">C3</f>
        <v>HDFC Bank</v>
      </c>
      <c r="D11" s="47">
        <v>0</v>
      </c>
    </row>
    <row r="12" spans="1:13" x14ac:dyDescent="0.3">
      <c r="A12" s="46" t="s">
        <v>538</v>
      </c>
      <c r="B12" s="46" t="s">
        <v>539</v>
      </c>
      <c r="C12" s="46" t="str">
        <f t="shared" si="2"/>
        <v>ICICI Bank</v>
      </c>
      <c r="D12" s="47">
        <v>0</v>
      </c>
    </row>
    <row r="13" spans="1:13" x14ac:dyDescent="0.3">
      <c r="A13" s="46" t="s">
        <v>538</v>
      </c>
      <c r="B13" s="46" t="s">
        <v>539</v>
      </c>
      <c r="C13" s="46" t="str">
        <f t="shared" si="2"/>
        <v>SBI</v>
      </c>
      <c r="D13" s="47">
        <v>0</v>
      </c>
    </row>
    <row r="14" spans="1:13" x14ac:dyDescent="0.3">
      <c r="A14" s="46" t="s">
        <v>538</v>
      </c>
      <c r="B14" s="46" t="s">
        <v>539</v>
      </c>
      <c r="C14" s="46" t="str">
        <f t="shared" si="2"/>
        <v>Bajaj Housing</v>
      </c>
      <c r="D14" s="47">
        <v>0</v>
      </c>
    </row>
    <row r="15" spans="1:13" x14ac:dyDescent="0.3">
      <c r="A15" s="46" t="s">
        <v>538</v>
      </c>
      <c r="B15" s="46" t="s">
        <v>539</v>
      </c>
      <c r="C15" s="46" t="str">
        <f t="shared" si="2"/>
        <v>Bajaj Finance</v>
      </c>
      <c r="D15" s="47">
        <v>0</v>
      </c>
    </row>
    <row r="16" spans="1:13" x14ac:dyDescent="0.3">
      <c r="A16" s="46" t="s">
        <v>538</v>
      </c>
      <c r="B16" s="46" t="s">
        <v>539</v>
      </c>
      <c r="C16" s="46" t="str">
        <f t="shared" si="2"/>
        <v>Muthoot Finance</v>
      </c>
      <c r="D16" s="47">
        <v>0</v>
      </c>
    </row>
    <row r="17" spans="1:4" x14ac:dyDescent="0.3">
      <c r="A17" s="515" t="s">
        <v>538</v>
      </c>
      <c r="B17" s="515" t="s">
        <v>539</v>
      </c>
      <c r="C17" s="515" t="str">
        <f t="shared" si="2"/>
        <v>Average</v>
      </c>
      <c r="D17" s="516">
        <f>D9</f>
        <v>1666.287314285714</v>
      </c>
    </row>
    <row r="18" spans="1:4" x14ac:dyDescent="0.3">
      <c r="A18" s="43" t="str">
        <f>A10</f>
        <v>2025-30</v>
      </c>
      <c r="B18" s="43" t="s">
        <v>545</v>
      </c>
      <c r="C18" s="43" t="str">
        <f>C10</f>
        <v>Axis Bank</v>
      </c>
      <c r="D18" s="441">
        <f>('Financial Projections'!I14/'Financial Projections'!B14)^(1/7)-1</f>
        <v>8.3287743919203461E-2</v>
      </c>
    </row>
    <row r="19" spans="1:4" x14ac:dyDescent="0.3">
      <c r="A19" s="43" t="str">
        <f t="shared" ref="A19:A24" si="3">A11</f>
        <v>2025-30</v>
      </c>
      <c r="B19" s="43" t="s">
        <v>545</v>
      </c>
      <c r="C19" s="43" t="str">
        <f t="shared" ref="C19:C24" si="4">C11</f>
        <v>HDFC Bank</v>
      </c>
      <c r="D19" s="441">
        <f>('Financial Projections'!R14/'Financial Projections'!K14)^(1/7)-1</f>
        <v>0.12990991811140717</v>
      </c>
    </row>
    <row r="20" spans="1:4" x14ac:dyDescent="0.3">
      <c r="A20" s="43" t="str">
        <f t="shared" si="3"/>
        <v>2025-30</v>
      </c>
      <c r="B20" s="43" t="s">
        <v>545</v>
      </c>
      <c r="C20" s="43" t="str">
        <f t="shared" si="4"/>
        <v>ICICI Bank</v>
      </c>
      <c r="D20" s="441">
        <f>('Financial Projections'!AA14/'Financial Projections'!T14)^(1/7)-1</f>
        <v>0.14235255417957604</v>
      </c>
    </row>
    <row r="21" spans="1:4" x14ac:dyDescent="0.3">
      <c r="A21" s="43" t="str">
        <f t="shared" si="3"/>
        <v>2025-30</v>
      </c>
      <c r="B21" s="43" t="s">
        <v>545</v>
      </c>
      <c r="C21" s="43" t="str">
        <f t="shared" si="4"/>
        <v>SBI</v>
      </c>
      <c r="D21" s="441">
        <f>('Financial Projections'!AJ14/'Financial Projections'!AC14)^(1/7)-1</f>
        <v>8.1421539726306946E-2</v>
      </c>
    </row>
    <row r="22" spans="1:4" x14ac:dyDescent="0.3">
      <c r="A22" s="43" t="str">
        <f t="shared" si="3"/>
        <v>2025-30</v>
      </c>
      <c r="B22" s="43" t="s">
        <v>545</v>
      </c>
      <c r="C22" s="43" t="str">
        <f t="shared" si="4"/>
        <v>Bajaj Housing</v>
      </c>
      <c r="D22" s="441">
        <f>('Financial Projections'!AS14/'Financial Projections'!AL14)^(1/7)-1</f>
        <v>0.18809854890665711</v>
      </c>
    </row>
    <row r="23" spans="1:4" x14ac:dyDescent="0.3">
      <c r="A23" s="43" t="str">
        <f t="shared" si="3"/>
        <v>2025-30</v>
      </c>
      <c r="B23" s="43" t="s">
        <v>545</v>
      </c>
      <c r="C23" s="43" t="str">
        <f t="shared" si="4"/>
        <v>Bajaj Finance</v>
      </c>
      <c r="D23" s="441">
        <f>('Financial Projections'!BB14/'Financial Projections'!AU14)^(1/7)-1</f>
        <v>0.17250832443962238</v>
      </c>
    </row>
    <row r="24" spans="1:4" x14ac:dyDescent="0.3">
      <c r="A24" s="43" t="str">
        <f t="shared" si="3"/>
        <v>2025-30</v>
      </c>
      <c r="B24" s="43" t="s">
        <v>545</v>
      </c>
      <c r="C24" s="43" t="str">
        <f t="shared" si="4"/>
        <v>Muthoot Finance</v>
      </c>
      <c r="D24" s="441">
        <f>('Financial Projections'!BK14/'Financial Projections'!BD14)^(1/7)-1</f>
        <v>0.13247680889301972</v>
      </c>
    </row>
    <row r="25" spans="1:4" x14ac:dyDescent="0.3">
      <c r="A25" s="45" t="str">
        <f>A17</f>
        <v>2025-30</v>
      </c>
      <c r="B25" s="45" t="s">
        <v>545</v>
      </c>
      <c r="C25" s="45" t="str">
        <f>C17</f>
        <v>Average</v>
      </c>
      <c r="D25" s="448">
        <f>AVERAGE(D18:D24)</f>
        <v>0.13286506259654182</v>
      </c>
    </row>
  </sheetData>
  <phoneticPr fontId="2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76D90-2BF4-4B8D-B014-B75FF6421DB9}">
  <sheetPr>
    <tabColor rgb="FF0070C0"/>
  </sheetPr>
  <dimension ref="A1:J17"/>
  <sheetViews>
    <sheetView zoomScale="89" workbookViewId="0">
      <selection activeCell="C4" sqref="C4"/>
    </sheetView>
  </sheetViews>
  <sheetFormatPr defaultRowHeight="14.4" x14ac:dyDescent="0.3"/>
  <cols>
    <col min="1" max="1" width="26.5546875" style="43" customWidth="1"/>
    <col min="2" max="2" width="17.77734375" style="54" customWidth="1"/>
    <col min="3" max="9" width="12.6640625" style="43" customWidth="1"/>
    <col min="10" max="10" width="17.88671875" style="43" bestFit="1" customWidth="1"/>
    <col min="11" max="16384" width="8.88671875" style="43"/>
  </cols>
  <sheetData>
    <row r="1" spans="1:10" ht="42" customHeight="1" thickBot="1" x14ac:dyDescent="0.35">
      <c r="A1" s="607" t="s">
        <v>390</v>
      </c>
      <c r="B1" s="608"/>
      <c r="C1" s="608"/>
      <c r="D1" s="608"/>
      <c r="E1" s="608"/>
      <c r="F1" s="608"/>
      <c r="G1" s="608"/>
      <c r="H1" s="608"/>
      <c r="I1" s="609"/>
    </row>
    <row r="2" spans="1:10" s="45" customFormat="1" x14ac:dyDescent="0.3">
      <c r="A2" s="605" t="s">
        <v>378</v>
      </c>
      <c r="B2" s="603" t="s">
        <v>379</v>
      </c>
      <c r="C2" s="603" t="e" vm="3">
        <v>#VALUE!</v>
      </c>
      <c r="D2" s="603" t="e" vm="1">
        <v>#VALUE!</v>
      </c>
      <c r="E2" s="603" t="e" vm="2">
        <v>#VALUE!</v>
      </c>
      <c r="F2" s="603" t="e" vm="4">
        <v>#VALUE!</v>
      </c>
      <c r="G2" s="603" t="e" vm="6">
        <v>#VALUE!</v>
      </c>
      <c r="H2" s="603" t="e" vm="16">
        <v>#VALUE!</v>
      </c>
      <c r="I2" s="601" t="e" vm="7">
        <v>#VALUE!</v>
      </c>
    </row>
    <row r="3" spans="1:10" s="45" customFormat="1" ht="24.6" customHeight="1" x14ac:dyDescent="0.3">
      <c r="A3" s="606"/>
      <c r="B3" s="604"/>
      <c r="C3" s="604"/>
      <c r="D3" s="604"/>
      <c r="E3" s="604"/>
      <c r="F3" s="604"/>
      <c r="G3" s="604"/>
      <c r="H3" s="604"/>
      <c r="I3" s="602"/>
    </row>
    <row r="4" spans="1:10" x14ac:dyDescent="0.3">
      <c r="A4" s="301" t="s">
        <v>380</v>
      </c>
      <c r="B4" s="308" t="s">
        <v>384</v>
      </c>
      <c r="C4" s="313">
        <f ca="1">('Input &amp; Assumptions-Banks'!B4+'Input &amp; Assumptions-Banks'!B6)*'Input &amp; Assumptions-Banks'!B5</f>
        <v>7.7895000000000006E-2</v>
      </c>
      <c r="D4" s="313">
        <f ca="1">('Input &amp; Assumptions-Banks'!C4+'Input &amp; Assumptions-Banks'!C6)*'Input &amp; Assumptions-Banks'!C5</f>
        <v>6.3639000000000001E-2</v>
      </c>
      <c r="E4" s="313">
        <f ca="1">('Input &amp; Assumptions-Banks'!D4+'Input &amp; Assumptions-Banks'!D6)*'Input &amp; Assumptions-Banks'!D5</f>
        <v>7.1725499999999998E-2</v>
      </c>
      <c r="F4" s="313">
        <f ca="1">('Input &amp; Assumptions-Banks'!E4+'Input &amp; Assumptions-Banks'!E6)*'Input &amp; Assumptions-Banks'!E5</f>
        <v>8.9707500000000023E-2</v>
      </c>
      <c r="G4" s="313">
        <f ca="1">('Input &amp; Assumptions-Banks'!F4+'Input &amp; Assumptions-Banks'!F6)*'Input &amp; Assumptions-Banks'!F5</f>
        <v>0.10027125000000001</v>
      </c>
      <c r="H4" s="313">
        <f ca="1">('Input &amp; Assumptions-Banks'!G4+'Input &amp; Assumptions-Banks'!G6)*'Input &amp; Assumptions-Banks'!G5</f>
        <v>8.3146499999999984E-2</v>
      </c>
      <c r="I4" s="318">
        <f ca="1">('Input &amp; Assumptions-Banks'!H4+'Input &amp; Assumptions-Banks'!H6)*'Input &amp; Assumptions-Banks'!H5</f>
        <v>6.9903000000000007E-2</v>
      </c>
    </row>
    <row r="5" spans="1:10" x14ac:dyDescent="0.3">
      <c r="A5" s="301" t="s">
        <v>389</v>
      </c>
      <c r="B5" s="308" t="s">
        <v>385</v>
      </c>
      <c r="C5" s="313">
        <f>'Input &amp; Assumptions-Banks'!B8*(1-'Input &amp; Assumptions-Banks'!B9)</f>
        <v>3.1056664175671846E-2</v>
      </c>
      <c r="D5" s="313">
        <f>'Input &amp; Assumptions-Banks'!C8*(1-'Input &amp; Assumptions-Banks'!C9)</f>
        <v>3.1208099149907829E-2</v>
      </c>
      <c r="E5" s="313">
        <f>'Input &amp; Assumptions-Banks'!D8*(1-'Input &amp; Assumptions-Banks'!D9)</f>
        <v>2.968005873916417E-2</v>
      </c>
      <c r="F5" s="313">
        <f>'Input &amp; Assumptions-Banks'!E8*(1-'Input &amp; Assumptions-Banks'!E9)</f>
        <v>3.0177245563070654E-2</v>
      </c>
      <c r="G5" s="313">
        <f>'Input &amp; Assumptions-Banks'!F8*(1-'Input &amp; Assumptions-Banks'!F9)</f>
        <v>7.3245158772414484E-2</v>
      </c>
      <c r="H5" s="313">
        <f>'Input &amp; Assumptions-Banks'!G8*(1-'Input &amp; Assumptions-Banks'!G9)</f>
        <v>9.3335120350344553E-2</v>
      </c>
      <c r="I5" s="318">
        <f>'Input &amp; Assumptions-Banks'!H8*(1-'Input &amp; Assumptions-Banks'!H9)</f>
        <v>7.9964050526441663E-2</v>
      </c>
    </row>
    <row r="6" spans="1:10" x14ac:dyDescent="0.3">
      <c r="A6" s="301" t="s">
        <v>383</v>
      </c>
      <c r="B6" s="308" t="s">
        <v>386</v>
      </c>
      <c r="C6" s="313">
        <f>'Input &amp; Assumptions-Banks'!B10</f>
        <v>0.14577999999999999</v>
      </c>
      <c r="D6" s="313">
        <f>'Input &amp; Assumptions-Banks'!C10</f>
        <v>0.1653</v>
      </c>
      <c r="E6" s="313">
        <f>'Input &amp; Assumptions-Banks'!D10</f>
        <v>0.17199999999999999</v>
      </c>
      <c r="F6" s="313">
        <f>'Input &amp; Assumptions-Banks'!E10</f>
        <v>0.10724</v>
      </c>
      <c r="G6" s="313">
        <f>'Input &amp; Assumptions-Banks'!F10</f>
        <v>0.21399102890590571</v>
      </c>
      <c r="H6" s="313">
        <f>'Input &amp; Assumptions-Banks'!G10</f>
        <v>0.23170287325413524</v>
      </c>
      <c r="I6" s="318">
        <f>'Input &amp; Assumptions-Banks'!H10</f>
        <v>0.28066425346308965</v>
      </c>
    </row>
    <row r="7" spans="1:10" x14ac:dyDescent="0.3">
      <c r="A7" s="301" t="s">
        <v>381</v>
      </c>
      <c r="B7" s="308" t="s">
        <v>387</v>
      </c>
      <c r="C7" s="313">
        <f>1-C6</f>
        <v>0.85421999999999998</v>
      </c>
      <c r="D7" s="313">
        <f t="shared" ref="D7:I7" si="0">1-D6</f>
        <v>0.8347</v>
      </c>
      <c r="E7" s="313">
        <f t="shared" si="0"/>
        <v>0.82800000000000007</v>
      </c>
      <c r="F7" s="313">
        <f t="shared" si="0"/>
        <v>0.89276</v>
      </c>
      <c r="G7" s="313">
        <f t="shared" si="0"/>
        <v>0.78600897109409429</v>
      </c>
      <c r="H7" s="313">
        <f t="shared" si="0"/>
        <v>0.7682971267458647</v>
      </c>
      <c r="I7" s="318">
        <f t="shared" si="0"/>
        <v>0.71933574653691035</v>
      </c>
    </row>
    <row r="8" spans="1:10" x14ac:dyDescent="0.3">
      <c r="A8" s="301" t="s">
        <v>382</v>
      </c>
      <c r="B8" s="308" t="s">
        <v>388</v>
      </c>
      <c r="C8" s="313">
        <f ca="1">(C6*C4)+(C5*C7)</f>
        <v>3.7884756772142404E-2</v>
      </c>
      <c r="D8" s="313">
        <f t="shared" ref="D8:I8" ca="1" si="1">(D6*D4)+(D5*D7)</f>
        <v>3.6568927060428066E-2</v>
      </c>
      <c r="E8" s="313">
        <f t="shared" ca="1" si="1"/>
        <v>3.6911874636027936E-2</v>
      </c>
      <c r="F8" s="313">
        <f t="shared" ca="1" si="1"/>
        <v>3.6561270048886957E-2</v>
      </c>
      <c r="G8" s="313">
        <f t="shared" ca="1" si="1"/>
        <v>7.9028499841510377E-2</v>
      </c>
      <c r="H8" s="313">
        <f t="shared" ca="1" si="1"/>
        <v>9.0974387740674151E-2</v>
      </c>
      <c r="I8" s="318">
        <f t="shared" ca="1" si="1"/>
        <v>7.7140273291383496E-2</v>
      </c>
    </row>
    <row r="9" spans="1:10" x14ac:dyDescent="0.3">
      <c r="A9" s="510" t="s">
        <v>525</v>
      </c>
      <c r="B9" s="511" t="s">
        <v>526</v>
      </c>
      <c r="C9" s="512">
        <f>('Income Statement-Banks'!F7/'Income Statement-Banks'!B7)^(1/5)-1</f>
        <v>0.11503507983592964</v>
      </c>
      <c r="D9" s="512">
        <f>('Income Statement-Banks'!K7/'Income Statement-Banks'!G7)^(1/5)-1</f>
        <v>0.22638583203171381</v>
      </c>
      <c r="E9" s="512">
        <f>('Income Statement-Banks'!P7/'Income Statement-Banks'!L7)^(1/5)-1</f>
        <v>9.5221549634176839E-2</v>
      </c>
      <c r="F9" s="512">
        <f>('Income Statement-Banks'!U7/'Income Statement-Banks'!Q7)^(1/5)-1</f>
        <v>0.10070069299176665</v>
      </c>
      <c r="G9" s="512">
        <f>('Income Statement-NBFCs'!F14/'Income Statement-NBFCs'!B14)^(1/5)-1</f>
        <v>0.23549038334807926</v>
      </c>
      <c r="H9" s="512">
        <f>('Income Statement-NBFCs'!K14/'Income Statement-NBFCs'!G14)^(1/5)-1</f>
        <v>0.15816761992243378</v>
      </c>
      <c r="I9" s="513">
        <f>('Income Statement-NBFCs'!P14/'Income Statement-NBFCs'!L14)^(1/5)-1</f>
        <v>9.3291959246396994E-2</v>
      </c>
    </row>
    <row r="10" spans="1:10" x14ac:dyDescent="0.3">
      <c r="A10" s="46" t="s">
        <v>529</v>
      </c>
      <c r="B10" s="308"/>
      <c r="C10" s="311">
        <f>('Financial Projections'!I8/'Financial Projections'!D8)^(1/6)-1</f>
        <v>0.10827292006327904</v>
      </c>
      <c r="D10" s="311">
        <f>('Financial Projections'!R8/'Financial Projections'!M8)^(1/6)-1</f>
        <v>0.24184063932858191</v>
      </c>
      <c r="E10" s="311">
        <f>('Financial Projections'!AA8/'Financial Projections'!V8)^(1/6)-1</f>
        <v>9.3101658495071904E-2</v>
      </c>
      <c r="F10" s="311">
        <f>('Financial Projections'!AJ8/'Financial Projections'!AE8)^(1/6)-1</f>
        <v>8.3647694722471355E-2</v>
      </c>
      <c r="G10" s="311">
        <f>('Financial Projections'!AS8/'Financial Projections'!AN8)^(1/6)-1</f>
        <v>0.17344165579040749</v>
      </c>
      <c r="H10" s="311">
        <f>('Financial Projections'!BB8/'Financial Projections'!AW8)^(1/6)-1</f>
        <v>0.14396888317819423</v>
      </c>
      <c r="I10" s="311">
        <f>('Financial Projections'!BK8/'Financial Projections'!BF8)^(1/6)-1</f>
        <v>0.11180958520196316</v>
      </c>
    </row>
    <row r="11" spans="1:10" x14ac:dyDescent="0.3">
      <c r="A11" s="46" t="s">
        <v>528</v>
      </c>
      <c r="B11" s="308"/>
      <c r="C11" s="311">
        <f>('Income Statement-Banks'!F13-'Income Statement-Banks'!B13)/'Income Statement-Banks'!B13</f>
        <v>13.064415334567467</v>
      </c>
      <c r="D11" s="311">
        <f>('Income Statement-Banks'!K13-'Income Statement-Banks'!G13)/'Income Statement-Banks'!G13</f>
        <v>1.3976356941401784</v>
      </c>
      <c r="E11" s="311">
        <f>('Income Statement-Banks'!P13-'Income Statement-Banks'!L13)/'Income Statement-Banks'!L13</f>
        <v>3.0093423900010232</v>
      </c>
      <c r="F11" s="311">
        <f>('Income Statement-Banks'!U13-'Income Statement-Banks'!Q13)/'Income Statement-Banks'!Q13</f>
        <v>2.7486343748874016</v>
      </c>
      <c r="G11" s="311">
        <f>('Income Statement-NBFCs'!F33-'Income Statement-NBFCs'!B33)/'Income Statement-NBFCs'!B33</f>
        <v>3.1089407352906195</v>
      </c>
      <c r="H11" s="311">
        <f>('Income Statement-NBFCs'!K33-'Income Statement-NBFCs'!G33)/'Income Statement-NBFCs'!G33</f>
        <v>1.7454134409878856</v>
      </c>
      <c r="I11" s="311">
        <f>('Income Statement-NBFCs'!P33-'Income Statement-NBFCs'!L33)/'Income Statement-NBFCs'!L33</f>
        <v>0.40992229889976345</v>
      </c>
    </row>
    <row r="12" spans="1:10" x14ac:dyDescent="0.3">
      <c r="A12" s="46"/>
      <c r="B12" s="308"/>
      <c r="C12" s="311"/>
      <c r="D12" s="46"/>
      <c r="E12" s="46"/>
      <c r="F12" s="46"/>
      <c r="G12" s="46"/>
      <c r="H12" s="46"/>
      <c r="I12" s="46"/>
    </row>
    <row r="13" spans="1:10" x14ac:dyDescent="0.3">
      <c r="A13" s="46" t="s">
        <v>530</v>
      </c>
      <c r="B13" s="308">
        <v>2020</v>
      </c>
      <c r="C13" s="307">
        <f>AVERAGE(-5.8%,9.7%)</f>
        <v>1.9499999999999997E-2</v>
      </c>
    </row>
    <row r="14" spans="1:10" x14ac:dyDescent="0.3">
      <c r="A14" s="46" t="s">
        <v>530</v>
      </c>
      <c r="B14" s="308">
        <v>2025</v>
      </c>
      <c r="C14" s="307">
        <v>7.8E-2</v>
      </c>
      <c r="F14" s="316"/>
    </row>
    <row r="15" spans="1:10" x14ac:dyDescent="0.3">
      <c r="A15" s="46" t="s">
        <v>530</v>
      </c>
      <c r="B15" s="308" t="s">
        <v>531</v>
      </c>
      <c r="C15" s="307">
        <f>C14-C13</f>
        <v>5.8500000000000003E-2</v>
      </c>
      <c r="G15" s="44"/>
      <c r="I15" s="317"/>
      <c r="J15" s="44"/>
    </row>
    <row r="16" spans="1:10" x14ac:dyDescent="0.3">
      <c r="A16" s="48" t="s">
        <v>532</v>
      </c>
      <c r="B16" s="300">
        <v>2025</v>
      </c>
      <c r="C16" s="514">
        <f>AVERAGE(C11:I11)/C15</f>
        <v>62.232733257080184</v>
      </c>
      <c r="G16" s="44"/>
      <c r="I16" s="317"/>
      <c r="J16" s="44"/>
    </row>
    <row r="17" spans="1:3" x14ac:dyDescent="0.3">
      <c r="A17" s="48" t="s">
        <v>533</v>
      </c>
      <c r="B17" s="300"/>
      <c r="C17" s="312">
        <f>AVERAGE(C10:I10)</f>
        <v>0.136583290968567</v>
      </c>
    </row>
  </sheetData>
  <mergeCells count="10">
    <mergeCell ref="I2:I3"/>
    <mergeCell ref="B2:B3"/>
    <mergeCell ref="A2:A3"/>
    <mergeCell ref="A1:I1"/>
    <mergeCell ref="C2:C3"/>
    <mergeCell ref="D2:D3"/>
    <mergeCell ref="E2:E3"/>
    <mergeCell ref="F2:F3"/>
    <mergeCell ref="G2:G3"/>
    <mergeCell ref="H2:H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5767B-C462-4A12-B31B-8275544100C4}">
  <sheetPr>
    <tabColor rgb="FF0070C0"/>
  </sheetPr>
  <dimension ref="A1:BZ61"/>
  <sheetViews>
    <sheetView topLeftCell="AO23" zoomScale="96" zoomScaleNormal="99" workbookViewId="0">
      <selection activeCell="C4" sqref="C4"/>
    </sheetView>
  </sheetViews>
  <sheetFormatPr defaultRowHeight="28.8" x14ac:dyDescent="0.3"/>
  <cols>
    <col min="1" max="1" width="19.109375" style="327" bestFit="1" customWidth="1"/>
    <col min="2" max="4" width="20.109375" style="43" customWidth="1"/>
    <col min="5" max="6" width="13.33203125" style="43" customWidth="1"/>
    <col min="7" max="7" width="12.6640625" style="43" bestFit="1" customWidth="1"/>
    <col min="8" max="8" width="8.88671875" style="321"/>
    <col min="9" max="9" width="2.88671875" style="613" customWidth="1"/>
    <col min="10" max="10" width="8.88671875" style="43"/>
    <col min="11" max="11" width="17.21875" style="43" customWidth="1"/>
    <col min="12" max="12" width="13.5546875" style="43" bestFit="1" customWidth="1"/>
    <col min="13" max="13" width="14" style="43" bestFit="1" customWidth="1"/>
    <col min="14" max="14" width="14.109375" style="43" bestFit="1" customWidth="1"/>
    <col min="15" max="15" width="15.5546875" style="43" bestFit="1" customWidth="1"/>
    <col min="16" max="16" width="8.88671875" style="43"/>
    <col min="17" max="17" width="13.6640625" style="43" bestFit="1" customWidth="1"/>
    <col min="18" max="18" width="8.88671875" style="43"/>
    <col min="19" max="19" width="2.88671875" style="613" customWidth="1"/>
    <col min="20" max="20" width="8.88671875" style="43"/>
    <col min="21" max="21" width="17.21875" style="43" customWidth="1"/>
    <col min="22" max="22" width="13.5546875" style="43" bestFit="1" customWidth="1"/>
    <col min="23" max="23" width="14.6640625" style="43" bestFit="1" customWidth="1"/>
    <col min="24" max="24" width="14.109375" style="43" bestFit="1" customWidth="1"/>
    <col min="25" max="25" width="15" style="43" bestFit="1" customWidth="1"/>
    <col min="26" max="26" width="8.88671875" style="43"/>
    <col min="27" max="27" width="13.6640625" style="43" bestFit="1" customWidth="1"/>
    <col min="28" max="28" width="8.88671875" style="43"/>
    <col min="29" max="29" width="2.88671875" style="613" customWidth="1"/>
    <col min="30" max="30" width="8.88671875" style="43"/>
    <col min="31" max="31" width="17.21875" style="43" customWidth="1"/>
    <col min="32" max="32" width="13.5546875" style="43" bestFit="1" customWidth="1"/>
    <col min="33" max="33" width="14" style="43" bestFit="1" customWidth="1"/>
    <col min="34" max="34" width="14.109375" style="43" bestFit="1" customWidth="1"/>
    <col min="35" max="35" width="15" style="43" bestFit="1" customWidth="1"/>
    <col min="36" max="36" width="8.88671875" style="43"/>
    <col min="37" max="37" width="10" style="43" bestFit="1" customWidth="1"/>
    <col min="38" max="38" width="8.88671875" style="43"/>
    <col min="39" max="39" width="2.88671875" style="610" customWidth="1"/>
    <col min="40" max="40" width="8.88671875" style="43"/>
    <col min="41" max="41" width="17.21875" style="43" customWidth="1"/>
    <col min="42" max="42" width="13.5546875" style="43" bestFit="1" customWidth="1"/>
    <col min="43" max="43" width="14" style="43" bestFit="1" customWidth="1"/>
    <col min="44" max="44" width="14.109375" style="43" bestFit="1" customWidth="1"/>
    <col min="45" max="45" width="15" style="43" bestFit="1" customWidth="1"/>
    <col min="46" max="46" width="8.88671875" style="43"/>
    <col min="47" max="47" width="13.6640625" style="43" bestFit="1" customWidth="1"/>
    <col min="48" max="48" width="8.88671875" style="43"/>
    <col min="49" max="49" width="2.88671875" style="610" customWidth="1"/>
    <col min="50" max="50" width="9.21875" style="43" bestFit="1" customWidth="1"/>
    <col min="51" max="51" width="14.5546875" style="43" bestFit="1" customWidth="1"/>
    <col min="52" max="52" width="13.44140625" style="43" customWidth="1"/>
    <col min="53" max="53" width="14.44140625" style="43" bestFit="1" customWidth="1"/>
    <col min="54" max="54" width="14.109375" style="43" bestFit="1" customWidth="1"/>
    <col min="55" max="55" width="15.5546875" style="43" bestFit="1" customWidth="1"/>
    <col min="56" max="56" width="8.88671875" style="43"/>
    <col min="57" max="57" width="13.6640625" style="43" bestFit="1" customWidth="1"/>
    <col min="58" max="58" width="8.88671875" style="43"/>
    <col min="59" max="59" width="2.88671875" style="610" customWidth="1"/>
    <col min="60" max="60" width="8.88671875" style="43"/>
    <col min="61" max="61" width="14.5546875" style="43" bestFit="1" customWidth="1"/>
    <col min="62" max="62" width="12.88671875" style="43" bestFit="1" customWidth="1"/>
    <col min="63" max="63" width="14.44140625" style="43" bestFit="1" customWidth="1"/>
    <col min="64" max="64" width="14.109375" style="43" bestFit="1" customWidth="1"/>
    <col min="65" max="65" width="15.5546875" style="43" bestFit="1" customWidth="1"/>
    <col min="66" max="66" width="8.88671875" style="43"/>
    <col min="67" max="67" width="13.6640625" style="43" bestFit="1" customWidth="1"/>
    <col min="68" max="16384" width="8.88671875" style="43"/>
  </cols>
  <sheetData>
    <row r="1" spans="1:78" ht="28.8" customHeight="1" thickBot="1" x14ac:dyDescent="0.35">
      <c r="A1" s="614" t="s">
        <v>398</v>
      </c>
      <c r="B1" s="615"/>
      <c r="C1" s="615"/>
      <c r="D1" s="615"/>
      <c r="E1" s="615"/>
      <c r="F1" s="615"/>
      <c r="G1" s="615"/>
      <c r="H1" s="615"/>
      <c r="I1" s="615"/>
      <c r="J1" s="615"/>
      <c r="K1" s="615"/>
      <c r="L1" s="615"/>
      <c r="M1" s="615"/>
      <c r="N1" s="615"/>
      <c r="O1" s="615"/>
      <c r="P1" s="615"/>
      <c r="Q1" s="615"/>
      <c r="R1" s="615"/>
      <c r="S1" s="615"/>
      <c r="T1" s="615"/>
      <c r="U1" s="615"/>
      <c r="V1" s="615"/>
      <c r="W1" s="615"/>
      <c r="X1" s="615"/>
      <c r="Y1" s="615"/>
      <c r="Z1" s="615"/>
      <c r="AA1" s="615"/>
      <c r="AB1" s="615"/>
      <c r="AC1" s="615"/>
      <c r="AD1" s="615"/>
      <c r="AE1" s="615"/>
      <c r="AF1" s="615"/>
      <c r="AG1" s="615"/>
      <c r="AH1" s="615"/>
      <c r="AI1" s="615"/>
      <c r="AJ1" s="615"/>
      <c r="AK1" s="615"/>
      <c r="AL1" s="615"/>
      <c r="AM1" s="615"/>
      <c r="AN1" s="615"/>
      <c r="AO1" s="615"/>
      <c r="AP1" s="615"/>
      <c r="AQ1" s="615"/>
      <c r="AR1" s="615"/>
      <c r="AS1" s="615"/>
      <c r="AT1" s="615"/>
      <c r="AU1" s="615"/>
      <c r="AV1" s="615"/>
      <c r="AW1" s="615"/>
      <c r="AX1" s="615"/>
      <c r="AY1" s="615"/>
      <c r="AZ1" s="615"/>
      <c r="BA1" s="615"/>
      <c r="BB1" s="615"/>
      <c r="BC1" s="615"/>
      <c r="BD1" s="615"/>
      <c r="BE1" s="615"/>
      <c r="BF1" s="615"/>
      <c r="BG1" s="615"/>
      <c r="BH1" s="615"/>
      <c r="BI1" s="615"/>
      <c r="BJ1" s="615"/>
      <c r="BK1" s="615"/>
      <c r="BL1" s="615"/>
      <c r="BM1" s="615"/>
      <c r="BN1" s="615"/>
      <c r="BO1" s="615"/>
      <c r="BP1" s="615"/>
      <c r="BQ1" s="615"/>
      <c r="BR1" s="615"/>
      <c r="BS1" s="615"/>
      <c r="BT1" s="615"/>
      <c r="BU1" s="615"/>
      <c r="BV1" s="615"/>
      <c r="BW1" s="615"/>
      <c r="BX1" s="615"/>
      <c r="BY1" s="615"/>
      <c r="BZ1" s="616"/>
    </row>
    <row r="2" spans="1:78" ht="36.6" customHeight="1" x14ac:dyDescent="0.3">
      <c r="A2" s="623" t="e" vm="3">
        <v>#VALUE!</v>
      </c>
      <c r="B2" s="624"/>
      <c r="C2" s="624"/>
      <c r="D2" s="625"/>
      <c r="K2" s="596" t="e" vm="1">
        <v>#VALUE!</v>
      </c>
      <c r="L2" s="596"/>
      <c r="M2" s="596"/>
      <c r="N2" s="596"/>
      <c r="U2" s="596" t="e" vm="2">
        <v>#VALUE!</v>
      </c>
      <c r="V2" s="596"/>
      <c r="W2" s="596"/>
      <c r="X2" s="596"/>
      <c r="AE2" s="596" t="e" vm="4">
        <v>#VALUE!</v>
      </c>
      <c r="AF2" s="596"/>
      <c r="AG2" s="596"/>
      <c r="AH2" s="596"/>
      <c r="AO2" s="596" t="e" vm="6">
        <v>#VALUE!</v>
      </c>
      <c r="AP2" s="596"/>
      <c r="AQ2" s="596"/>
      <c r="AR2" s="596"/>
      <c r="AY2" s="596" t="e" vm="16">
        <v>#VALUE!</v>
      </c>
      <c r="AZ2" s="596"/>
      <c r="BA2" s="596"/>
      <c r="BB2" s="596"/>
      <c r="BI2" s="596" t="e" vm="7">
        <v>#VALUE!</v>
      </c>
      <c r="BJ2" s="596"/>
      <c r="BK2" s="596"/>
      <c r="BL2" s="596"/>
    </row>
    <row r="3" spans="1:78" s="327" customFormat="1" ht="14.4" customHeight="1" x14ac:dyDescent="0.3">
      <c r="A3" s="328" t="s">
        <v>391</v>
      </c>
      <c r="B3" s="328" t="s">
        <v>375</v>
      </c>
      <c r="C3" s="328" t="s">
        <v>393</v>
      </c>
      <c r="D3" s="328" t="s">
        <v>394</v>
      </c>
      <c r="H3" s="325"/>
      <c r="I3" s="613"/>
      <c r="K3" s="328" t="s">
        <v>391</v>
      </c>
      <c r="L3" s="328" t="s">
        <v>375</v>
      </c>
      <c r="M3" s="328" t="s">
        <v>393</v>
      </c>
      <c r="N3" s="328" t="s">
        <v>394</v>
      </c>
      <c r="S3" s="613"/>
      <c r="U3" s="328" t="s">
        <v>391</v>
      </c>
      <c r="V3" s="328" t="s">
        <v>375</v>
      </c>
      <c r="W3" s="328" t="s">
        <v>393</v>
      </c>
      <c r="X3" s="328" t="s">
        <v>394</v>
      </c>
      <c r="AC3" s="613"/>
      <c r="AE3" s="328" t="s">
        <v>391</v>
      </c>
      <c r="AF3" s="328" t="s">
        <v>375</v>
      </c>
      <c r="AG3" s="328" t="s">
        <v>393</v>
      </c>
      <c r="AH3" s="328" t="s">
        <v>394</v>
      </c>
      <c r="AM3" s="610"/>
      <c r="AO3" s="328" t="s">
        <v>391</v>
      </c>
      <c r="AP3" s="328" t="s">
        <v>375</v>
      </c>
      <c r="AQ3" s="328" t="s">
        <v>393</v>
      </c>
      <c r="AR3" s="328" t="s">
        <v>394</v>
      </c>
      <c r="AW3" s="610"/>
      <c r="AY3" s="328" t="s">
        <v>391</v>
      </c>
      <c r="AZ3" s="328" t="s">
        <v>375</v>
      </c>
      <c r="BA3" s="328" t="s">
        <v>393</v>
      </c>
      <c r="BB3" s="328" t="s">
        <v>394</v>
      </c>
      <c r="BG3" s="610"/>
      <c r="BI3" s="328" t="s">
        <v>391</v>
      </c>
      <c r="BJ3" s="328" t="s">
        <v>375</v>
      </c>
      <c r="BK3" s="328" t="s">
        <v>393</v>
      </c>
      <c r="BL3" s="328" t="s">
        <v>394</v>
      </c>
    </row>
    <row r="4" spans="1:78" ht="14.4" customHeight="1" x14ac:dyDescent="0.3">
      <c r="A4" s="328">
        <v>2024</v>
      </c>
      <c r="B4" s="302">
        <f>'Financial Projections'!B27</f>
        <v>1712.8896546231456</v>
      </c>
      <c r="C4" s="311">
        <f ca="1">1/(1+WACC!C4)^1</f>
        <v>0.9277341485024051</v>
      </c>
      <c r="D4" s="302">
        <f ca="1">B4*C4</f>
        <v>1589.1062252103827</v>
      </c>
      <c r="K4" s="46">
        <v>2024</v>
      </c>
      <c r="L4" s="302">
        <f>'Financial Projections'!K27</f>
        <v>-117500.33854916276</v>
      </c>
      <c r="M4" s="311">
        <f ca="1">1/(1+WACC!D4)^1</f>
        <v>0.94016860983848838</v>
      </c>
      <c r="N4" s="302">
        <f ca="1">L4*M4</f>
        <v>-110470.1299493181</v>
      </c>
      <c r="U4" s="46">
        <v>2024</v>
      </c>
      <c r="V4" s="302">
        <f>'Financial Projections'!T27</f>
        <v>-5600.7613477992863</v>
      </c>
      <c r="W4" s="311">
        <f ca="1">1/(1+V15)^1</f>
        <v>0.93307474721838768</v>
      </c>
      <c r="X4" s="302">
        <f ca="1">V4*W4</f>
        <v>-5225.9289788283349</v>
      </c>
      <c r="AE4" s="46">
        <v>2024</v>
      </c>
      <c r="AF4" s="302">
        <f>'Financial Projections'!AC27</f>
        <v>24277.37124085335</v>
      </c>
      <c r="AG4" s="311">
        <f ca="1">1/(1+AG15)^1</f>
        <v>0.91767745014143698</v>
      </c>
      <c r="AH4" s="302">
        <f ca="1">AF4*AG4</f>
        <v>22278.796136443358</v>
      </c>
      <c r="AO4" s="46">
        <v>2024</v>
      </c>
      <c r="AP4" s="302">
        <f>'Financial Projections'!AL27</f>
        <v>9.0949470177292824E-13</v>
      </c>
      <c r="AQ4" s="311">
        <f ca="1">1/(1+AP15)</f>
        <v>0.90886679080272248</v>
      </c>
      <c r="AR4" s="302">
        <f ca="1">AP4*AQ4</f>
        <v>8.2660953085244044E-13</v>
      </c>
      <c r="AY4" s="46">
        <v>2024</v>
      </c>
      <c r="AZ4" s="302">
        <f>'Financial Projections'!AU27</f>
        <v>20559.613052536435</v>
      </c>
      <c r="BA4" s="311">
        <f ca="1">1/(1+$AZ$15)^1</f>
        <v>0.92323614580299151</v>
      </c>
      <c r="BB4" s="302">
        <f ca="1">AZ4*BA4</f>
        <v>18981.377913824617</v>
      </c>
      <c r="BI4" s="46">
        <v>2024</v>
      </c>
      <c r="BJ4" s="302">
        <f>'Financial Projections'!BD27</f>
        <v>8435.5472776903407</v>
      </c>
      <c r="BK4" s="311">
        <f ca="1">1/(1+$BJ$15)^1</f>
        <v>0.93466417049022199</v>
      </c>
      <c r="BL4" s="302">
        <f ca="1">BJ4*BK4</f>
        <v>7884.4037989334929</v>
      </c>
    </row>
    <row r="5" spans="1:78" ht="14.4" customHeight="1" x14ac:dyDescent="0.3">
      <c r="A5" s="328">
        <v>2025</v>
      </c>
      <c r="B5" s="302">
        <f>'Financial Projections'!D27</f>
        <v>18869.528004240292</v>
      </c>
      <c r="C5" s="311">
        <f ca="1">1/(1+WACC!C4)^2</f>
        <v>0.8606906502974826</v>
      </c>
      <c r="D5" s="302">
        <f ca="1">B5*C5</f>
        <v>16240.826328776137</v>
      </c>
      <c r="K5" s="46">
        <v>2025</v>
      </c>
      <c r="L5" s="302">
        <f>'Financial Projections'!M27</f>
        <v>57540.195674061586</v>
      </c>
      <c r="M5" s="311">
        <f ca="1">1/(1+L15)^2</f>
        <v>0.8839170149256359</v>
      </c>
      <c r="N5" s="302">
        <f t="shared" ref="N5:N10" ca="1" si="0">L5*M5</f>
        <v>50860.757998453504</v>
      </c>
      <c r="U5" s="46">
        <v>2025</v>
      </c>
      <c r="V5" s="302">
        <f>'Financial Projections'!V27</f>
        <v>62871.128091140861</v>
      </c>
      <c r="W5" s="311">
        <f ca="1">1/(1+V15)^2</f>
        <v>0.87062848389665792</v>
      </c>
      <c r="X5" s="302">
        <f t="shared" ref="X5:X10" ca="1" si="1">V5*W5</f>
        <v>54737.394930862552</v>
      </c>
      <c r="AE5" s="46">
        <v>2025</v>
      </c>
      <c r="AF5" s="302">
        <f>'Financial Projections'!AE27</f>
        <v>1008.8322264973194</v>
      </c>
      <c r="AG5" s="311">
        <f ca="1">1/(1+AG15)^2</f>
        <v>0.84213190249808956</v>
      </c>
      <c r="AH5" s="302">
        <f t="shared" ref="AH5:AH10" ca="1" si="2">AF5*AG5</f>
        <v>849.56980220157118</v>
      </c>
      <c r="AO5" s="46">
        <v>2025</v>
      </c>
      <c r="AP5" s="302">
        <f>'Financial Projections'!AN27</f>
        <v>0</v>
      </c>
      <c r="AQ5" s="311">
        <f ca="1">1/(1+AP15)^2</f>
        <v>0.82603884342403977</v>
      </c>
      <c r="AR5" s="302">
        <f t="shared" ref="AR5:AR10" ca="1" si="3">AP5*AQ5</f>
        <v>0</v>
      </c>
      <c r="AY5" s="46">
        <v>2025</v>
      </c>
      <c r="AZ5" s="302">
        <f>'Financial Projections'!AW27</f>
        <v>31454.365055548093</v>
      </c>
      <c r="BA5" s="311">
        <f ca="1">1/(1+$AZ$15)^2</f>
        <v>0.85236498091716273</v>
      </c>
      <c r="BB5" s="302">
        <f t="shared" ref="BB5:BB10" ca="1" si="4">AZ5*BA5</f>
        <v>26810.599270333722</v>
      </c>
      <c r="BI5" s="46">
        <v>2025</v>
      </c>
      <c r="BJ5" s="302">
        <f>'Financial Projections'!BF27</f>
        <v>44249.920954529931</v>
      </c>
      <c r="BK5" s="311">
        <f ca="1">1/(1+$BJ$15)^2</f>
        <v>0.87359711159817466</v>
      </c>
      <c r="BL5" s="302">
        <f t="shared" ref="BL5:BL10" ca="1" si="5">BJ5*BK5</f>
        <v>38656.603134324891</v>
      </c>
    </row>
    <row r="6" spans="1:78" ht="14.4" customHeight="1" x14ac:dyDescent="0.3">
      <c r="A6" s="328">
        <v>2026</v>
      </c>
      <c r="B6" s="302">
        <f>'Financial Projections'!E27</f>
        <v>15425.8143157798</v>
      </c>
      <c r="C6" s="311">
        <f ca="1">1/(1+WACC!C4)^3</f>
        <v>0.79849210757771638</v>
      </c>
      <c r="D6" s="302">
        <f ca="1">B6*C6</f>
        <v>12317.390984109521</v>
      </c>
      <c r="K6" s="46">
        <v>2026</v>
      </c>
      <c r="L6" s="302">
        <f>'Financial Projections'!N27</f>
        <v>-11456.089019317114</v>
      </c>
      <c r="M6" s="311">
        <f ca="1">1/(1+L15)^3</f>
        <v>0.83103103113522159</v>
      </c>
      <c r="N6" s="302">
        <f t="shared" ca="1" si="0"/>
        <v>-9520.3654704999917</v>
      </c>
      <c r="U6" s="46">
        <v>2026</v>
      </c>
      <c r="V6" s="302">
        <f>'Financial Projections'!W27</f>
        <v>27082.00998871987</v>
      </c>
      <c r="W6" s="311">
        <f ca="1">1/(1+V15)^3</f>
        <v>0.81236145253300218</v>
      </c>
      <c r="X6" s="302">
        <f t="shared" ca="1" si="1"/>
        <v>22000.380971949748</v>
      </c>
      <c r="AE6" s="46">
        <v>2026</v>
      </c>
      <c r="AF6" s="302">
        <f>'Financial Projections'!AF27</f>
        <v>26288.568498281544</v>
      </c>
      <c r="AG6" s="311">
        <f ca="1">1/(1+AG15)^3</f>
        <v>0.77280545696720404</v>
      </c>
      <c r="AH6" s="302">
        <f t="shared" ca="1" si="2"/>
        <v>20315.949191328113</v>
      </c>
      <c r="AO6" s="46">
        <v>2026</v>
      </c>
      <c r="AP6" s="302">
        <f>'Financial Projections'!AO27</f>
        <v>15758.095482706296</v>
      </c>
      <c r="AQ6" s="311">
        <f ca="1">1/(1+AP15)^3</f>
        <v>0.75075927270119958</v>
      </c>
      <c r="AR6" s="302">
        <f t="shared" ca="1" si="3"/>
        <v>11830.536303752637</v>
      </c>
      <c r="AY6" s="46">
        <v>2026</v>
      </c>
      <c r="AZ6" s="302">
        <f>'Financial Projections'!AX27</f>
        <v>25677.9698289798</v>
      </c>
      <c r="BA6" s="311">
        <f ca="1">1/(1+$AZ$15)^3</f>
        <v>0.78693415979940173</v>
      </c>
      <c r="BB6" s="302">
        <f t="shared" ca="1" si="4"/>
        <v>20206.871612722607</v>
      </c>
      <c r="BI6" s="46">
        <v>2026</v>
      </c>
      <c r="BJ6" s="302">
        <f>'Financial Projections'!BG27</f>
        <v>27775.335419055154</v>
      </c>
      <c r="BK6" s="311">
        <f ca="1">1/(1+$BJ$15)^3</f>
        <v>0.81651991965456183</v>
      </c>
      <c r="BL6" s="302">
        <f t="shared" ca="1" si="5"/>
        <v>22679.114644745419</v>
      </c>
    </row>
    <row r="7" spans="1:78" ht="14.4" customHeight="1" x14ac:dyDescent="0.3">
      <c r="A7" s="328">
        <v>2027</v>
      </c>
      <c r="B7" s="302">
        <f>'Financial Projections'!F27</f>
        <v>16862.352443457617</v>
      </c>
      <c r="C7" s="311">
        <f ca="1">1/(1+WACC!C4)^4</f>
        <v>0.74078839550950348</v>
      </c>
      <c r="D7" s="302">
        <f ca="1">B7*C7</f>
        <v>12491.435011104724</v>
      </c>
      <c r="K7" s="46">
        <v>2027</v>
      </c>
      <c r="L7" s="302">
        <f>'Financial Projections'!O27</f>
        <v>-18528.237713183022</v>
      </c>
      <c r="M7" s="311">
        <f ca="1">1/(1+L15)^4</f>
        <v>0.78130928927504684</v>
      </c>
      <c r="N7" s="302">
        <f t="shared" ca="1" si="0"/>
        <v>-14476.284239206147</v>
      </c>
      <c r="U7" s="46">
        <v>2027</v>
      </c>
      <c r="V7" s="302">
        <f>'Financial Projections'!X27</f>
        <v>32983.697825460702</v>
      </c>
      <c r="W7" s="311">
        <f ca="1">1/(1+V15)^4</f>
        <v>0.75799395697219318</v>
      </c>
      <c r="X7" s="302">
        <f t="shared" ca="1" si="1"/>
        <v>25001.443630296082</v>
      </c>
      <c r="AE7" s="46">
        <v>2027</v>
      </c>
      <c r="AF7" s="302">
        <f>'Financial Projections'!AG27</f>
        <v>24899.077752087105</v>
      </c>
      <c r="AG7" s="311">
        <f ca="1">1/(1+AG15)^4</f>
        <v>0.70918614120505175</v>
      </c>
      <c r="AH7" s="302">
        <f t="shared" ca="1" si="2"/>
        <v>17658.08087056721</v>
      </c>
      <c r="AO7" s="46">
        <v>2027</v>
      </c>
      <c r="AP7" s="302">
        <f>'Financial Projections'!AP27</f>
        <v>3650.9869238768424</v>
      </c>
      <c r="AQ7" s="311">
        <f ca="1">1/(1+AP15)^4</f>
        <v>0.68234017084532528</v>
      </c>
      <c r="AR7" s="302">
        <f t="shared" ca="1" si="3"/>
        <v>2491.2150413921731</v>
      </c>
      <c r="AY7" s="46">
        <v>2027</v>
      </c>
      <c r="AZ7" s="302">
        <f>'Financial Projections'!AY27</f>
        <v>29639.488973639098</v>
      </c>
      <c r="BA7" s="311">
        <f ca="1">1/(1+$AZ$15)^4</f>
        <v>0.72652606069391523</v>
      </c>
      <c r="BB7" s="302">
        <f t="shared" ca="1" si="4"/>
        <v>21533.861164998751</v>
      </c>
      <c r="BI7" s="46">
        <v>2027</v>
      </c>
      <c r="BJ7" s="302">
        <f>'Financial Projections'!BH27</f>
        <v>31606.281080719127</v>
      </c>
      <c r="BK7" s="311">
        <f ca="1">1/(1+$BJ$15)^4</f>
        <v>0.76317191339267365</v>
      </c>
      <c r="BL7" s="302">
        <f t="shared" ca="1" si="5"/>
        <v>24121.026007599077</v>
      </c>
    </row>
    <row r="8" spans="1:78" ht="14.4" customHeight="1" x14ac:dyDescent="0.3">
      <c r="A8" s="328">
        <v>2028</v>
      </c>
      <c r="B8" s="302">
        <f>'Financial Projections'!G27</f>
        <v>18433.242683616227</v>
      </c>
      <c r="C8" s="311">
        <f ca="1">1/(1+WACC!C4)^5</f>
        <v>0.68725469132847217</v>
      </c>
      <c r="D8" s="302">
        <f t="shared" ref="D8:D10" ca="1" si="6">B8*C8</f>
        <v>12668.332510711487</v>
      </c>
      <c r="K8" s="46">
        <v>2028</v>
      </c>
      <c r="L8" s="302">
        <f>'Financial Projections'!P27</f>
        <v>-27386.157385974031</v>
      </c>
      <c r="M8" s="311">
        <f ca="1">1/(1+L15)^5</f>
        <v>0.7345624683516182</v>
      </c>
      <c r="N8" s="302">
        <f t="shared" ca="1" si="0"/>
        <v>-20116.843368106984</v>
      </c>
      <c r="U8" s="46">
        <v>2028</v>
      </c>
      <c r="V8" s="302">
        <f>'Financial Projections'!Y27</f>
        <v>40243.511298817728</v>
      </c>
      <c r="W8" s="311">
        <f ca="1">1/(1+V15)^5</f>
        <v>0.70726501979489453</v>
      </c>
      <c r="X8" s="302">
        <f t="shared" ca="1" si="1"/>
        <v>28462.827815374381</v>
      </c>
      <c r="AE8" s="46">
        <v>2028</v>
      </c>
      <c r="AF8" s="302">
        <f>'Financial Projections'!AH27</f>
        <v>22870.526725738539</v>
      </c>
      <c r="AG8" s="311">
        <f ca="1">1/(1+AG15)^5</f>
        <v>0.65080412973669699</v>
      </c>
      <c r="AH8" s="302">
        <f t="shared" ca="1" si="2"/>
        <v>14884.23324236414</v>
      </c>
      <c r="AO8" s="46">
        <v>2028</v>
      </c>
      <c r="AP8" s="302">
        <f>'Financial Projections'!AQ27</f>
        <v>4496.8711566073061</v>
      </c>
      <c r="AQ8" s="311">
        <f ca="1">1/(1+AP15)^5</f>
        <v>0.62015632131197207</v>
      </c>
      <c r="AR8" s="302">
        <f t="shared" ca="1" si="3"/>
        <v>2788.7630738954999</v>
      </c>
      <c r="AY8" s="46">
        <v>2028</v>
      </c>
      <c r="AZ8" s="302">
        <f>'Financial Projections'!AZ27</f>
        <v>34214.307219552262</v>
      </c>
      <c r="BA8" s="311">
        <f ca="1">1/(1+$AZ$15)^5</f>
        <v>0.67075512010048055</v>
      </c>
      <c r="BB8" s="302">
        <f t="shared" ca="1" si="4"/>
        <v>22949.421748205517</v>
      </c>
      <c r="BI8" s="46">
        <v>2028</v>
      </c>
      <c r="BJ8" s="302">
        <f>'Financial Projections'!BI27</f>
        <v>35968.532315714096</v>
      </c>
      <c r="BK8" s="311">
        <f ca="1">1/(1+$BJ$15)^5</f>
        <v>0.71330944337259883</v>
      </c>
      <c r="BL8" s="302">
        <f t="shared" ca="1" si="5"/>
        <v>25656.693765051354</v>
      </c>
    </row>
    <row r="9" spans="1:78" ht="14.4" customHeight="1" x14ac:dyDescent="0.3">
      <c r="A9" s="328">
        <v>2029</v>
      </c>
      <c r="B9" s="302">
        <f>'Financial Projections'!H27</f>
        <v>20150.377050035378</v>
      </c>
      <c r="C9" s="311">
        <f ca="1">1/(1+WACC!C4)^6</f>
        <v>0.63758964586390332</v>
      </c>
      <c r="D9" s="302">
        <f t="shared" ca="1" si="6"/>
        <v>12847.671767356182</v>
      </c>
      <c r="K9" s="46">
        <v>2029</v>
      </c>
      <c r="L9" s="302">
        <f>'Financial Projections'!Q27</f>
        <v>-38165.276366150647</v>
      </c>
      <c r="M9" s="311">
        <f ca="1">1/(1+L15)^6</f>
        <v>0.69061257470966952</v>
      </c>
      <c r="N9" s="302">
        <f t="shared" ca="1" si="0"/>
        <v>-26357.419775733397</v>
      </c>
      <c r="U9" s="46">
        <v>2029</v>
      </c>
      <c r="V9" s="302">
        <f>'Financial Projections'!Z27</f>
        <v>49124.953498780145</v>
      </c>
      <c r="W9" s="311">
        <f ca="1">1/(1+V15)^6</f>
        <v>0.65993112956152911</v>
      </c>
      <c r="X9" s="302">
        <f t="shared" ca="1" si="1"/>
        <v>32419.086052107574</v>
      </c>
      <c r="AE9" s="46">
        <v>2029</v>
      </c>
      <c r="AF9" s="302">
        <f>'Financial Projections'!AI27</f>
        <v>20076.747769142108</v>
      </c>
      <c r="AG9" s="311">
        <f ca="1">1/(1+AG15)^6</f>
        <v>0.59722827431828895</v>
      </c>
      <c r="AH9" s="302">
        <f t="shared" ca="1" si="2"/>
        <v>11990.401424088299</v>
      </c>
      <c r="AO9" s="46">
        <v>2029</v>
      </c>
      <c r="AP9" s="302">
        <f>'Financial Projections'!AR27</f>
        <v>5538.7353120547295</v>
      </c>
      <c r="AQ9" s="311">
        <f ca="1">1/(1+AP15)^6</f>
        <v>0.56363948554683407</v>
      </c>
      <c r="AR9" s="302">
        <f t="shared" ca="1" si="3"/>
        <v>3121.8499218666111</v>
      </c>
      <c r="AY9" s="46">
        <v>2029</v>
      </c>
      <c r="AZ9" s="302">
        <f>'Financial Projections'!BA27</f>
        <v>39497.740582601269</v>
      </c>
      <c r="BA9" s="311">
        <f ca="1">1/(1+$AZ$15)^6</f>
        <v>0.61926537185919051</v>
      </c>
      <c r="BB9" s="302">
        <f t="shared" ca="1" si="4"/>
        <v>24459.583009482416</v>
      </c>
      <c r="BI9" s="46">
        <v>2029</v>
      </c>
      <c r="BJ9" s="302">
        <f>'Financial Projections'!BJ27</f>
        <v>40936.237227852194</v>
      </c>
      <c r="BK9" s="311">
        <f ca="1">1/(1+$BJ$15)^6</f>
        <v>0.666704779192692</v>
      </c>
      <c r="BL9" s="302">
        <f t="shared" ca="1" si="5"/>
        <v>27292.385001974857</v>
      </c>
    </row>
    <row r="10" spans="1:78" ht="14.4" customHeight="1" x14ac:dyDescent="0.3">
      <c r="A10" s="328">
        <v>2030</v>
      </c>
      <c r="B10" s="302">
        <f>'Financial Projections'!I27</f>
        <v>22026.467528542729</v>
      </c>
      <c r="C10" s="311">
        <f ca="1">1/(1+WACC!C4)^7</f>
        <v>0.59151368719949837</v>
      </c>
      <c r="D10" s="302">
        <f t="shared" ca="1" si="6"/>
        <v>13028.957023788333</v>
      </c>
      <c r="K10" s="46">
        <v>2030</v>
      </c>
      <c r="L10" s="302">
        <f>'Financial Projections'!R27</f>
        <v>-23984.986640274168</v>
      </c>
      <c r="M10" s="311">
        <f ca="1">1/(1+L15)^7</f>
        <v>0.64929226430176934</v>
      </c>
      <c r="N10" s="302">
        <f t="shared" ca="1" si="0"/>
        <v>-15573.266284911302</v>
      </c>
      <c r="U10" s="46">
        <v>2030</v>
      </c>
      <c r="V10" s="302">
        <f>'Financial Projections'!AA27</f>
        <v>59938.548308149169</v>
      </c>
      <c r="W10" s="311">
        <f ca="1">1/(1+V15)^7</f>
        <v>0.61576507189716889</v>
      </c>
      <c r="X10" s="302">
        <f t="shared" ca="1" si="1"/>
        <v>36908.064508379401</v>
      </c>
      <c r="AE10" s="46">
        <v>2030</v>
      </c>
      <c r="AF10" s="302">
        <f>'Financial Projections'!AJ27</f>
        <v>16371.205801802709</v>
      </c>
      <c r="AG10" s="311">
        <f ca="1">1/(1+AG15)^7</f>
        <v>0.54806291992877809</v>
      </c>
      <c r="AH10" s="302">
        <f t="shared" ca="1" si="2"/>
        <v>8972.4508544909459</v>
      </c>
      <c r="AO10" s="46">
        <v>2030</v>
      </c>
      <c r="AP10" s="302">
        <f>'Financial Projections'!AS27</f>
        <v>6821.9852845743753</v>
      </c>
      <c r="AQ10" s="311">
        <f ca="1">1/(1+AP15)^7</f>
        <v>0.5122732103986487</v>
      </c>
      <c r="AR10" s="302">
        <f t="shared" ca="1" si="3"/>
        <v>3494.7203030212545</v>
      </c>
      <c r="AY10" s="46">
        <v>2030</v>
      </c>
      <c r="AZ10" s="302">
        <f>'Financial Projections'!BB27</f>
        <v>45599.982637748057</v>
      </c>
      <c r="BA10" s="311">
        <f ca="1">1/(1+$AZ$15)^7</f>
        <v>0.57172817514453533</v>
      </c>
      <c r="BB10" s="302">
        <f t="shared" ca="1" si="4"/>
        <v>26070.794860102193</v>
      </c>
      <c r="BI10" s="46">
        <v>2030</v>
      </c>
      <c r="BJ10" s="302">
        <f>'Financial Projections'!BK27</f>
        <v>46593.964804340692</v>
      </c>
      <c r="BK10" s="311">
        <f ca="1">1/(1+$BJ$15)^7</f>
        <v>0.623145069406004</v>
      </c>
      <c r="BL10" s="302">
        <f t="shared" ca="1" si="5"/>
        <v>29034.799431901789</v>
      </c>
    </row>
    <row r="12" spans="1:78" s="45" customFormat="1" ht="14.4" customHeight="1" x14ac:dyDescent="0.3">
      <c r="A12" s="620" t="s">
        <v>407</v>
      </c>
      <c r="B12" s="621"/>
      <c r="C12" s="621"/>
      <c r="D12" s="622"/>
      <c r="H12" s="321"/>
      <c r="I12" s="613"/>
      <c r="K12" s="600" t="s">
        <v>407</v>
      </c>
      <c r="L12" s="600"/>
      <c r="M12" s="600"/>
      <c r="N12" s="600"/>
      <c r="S12" s="613"/>
      <c r="U12" s="600" t="s">
        <v>407</v>
      </c>
      <c r="V12" s="600"/>
      <c r="W12" s="600"/>
      <c r="X12" s="600"/>
      <c r="AC12" s="613"/>
      <c r="AE12" s="600" t="s">
        <v>418</v>
      </c>
      <c r="AF12" s="600"/>
      <c r="AG12" s="600"/>
      <c r="AH12" s="600"/>
      <c r="AM12" s="610"/>
      <c r="AO12" s="600" t="s">
        <v>418</v>
      </c>
      <c r="AP12" s="600"/>
      <c r="AQ12" s="600"/>
      <c r="AR12" s="600"/>
      <c r="AW12" s="610"/>
      <c r="AY12" s="600" t="s">
        <v>418</v>
      </c>
      <c r="AZ12" s="600"/>
      <c r="BA12" s="600"/>
      <c r="BB12" s="600"/>
      <c r="BG12" s="610"/>
      <c r="BI12" s="600" t="s">
        <v>418</v>
      </c>
      <c r="BJ12" s="600"/>
      <c r="BK12" s="600"/>
      <c r="BL12" s="600"/>
    </row>
    <row r="13" spans="1:78" s="324" customFormat="1" ht="14.4" customHeight="1" x14ac:dyDescent="0.3">
      <c r="A13" s="323" t="s">
        <v>409</v>
      </c>
      <c r="B13" s="323" t="s">
        <v>375</v>
      </c>
      <c r="C13" s="323" t="s">
        <v>410</v>
      </c>
      <c r="D13" s="323" t="s">
        <v>411</v>
      </c>
      <c r="H13" s="325"/>
      <c r="I13" s="613"/>
      <c r="K13" s="323" t="s">
        <v>409</v>
      </c>
      <c r="L13" s="323" t="s">
        <v>375</v>
      </c>
      <c r="M13" s="323" t="s">
        <v>410</v>
      </c>
      <c r="N13" s="323" t="s">
        <v>411</v>
      </c>
      <c r="S13" s="613"/>
      <c r="U13" s="323" t="s">
        <v>409</v>
      </c>
      <c r="V13" s="323" t="s">
        <v>375</v>
      </c>
      <c r="W13" s="323" t="s">
        <v>410</v>
      </c>
      <c r="X13" s="323" t="s">
        <v>411</v>
      </c>
      <c r="AC13" s="613"/>
      <c r="AE13" s="323" t="s">
        <v>409</v>
      </c>
      <c r="AF13" s="323" t="s">
        <v>375</v>
      </c>
      <c r="AG13" s="323" t="s">
        <v>410</v>
      </c>
      <c r="AH13" s="323" t="s">
        <v>411</v>
      </c>
      <c r="AM13" s="610"/>
      <c r="AO13" s="323" t="s">
        <v>409</v>
      </c>
      <c r="AP13" s="323" t="s">
        <v>375</v>
      </c>
      <c r="AQ13" s="323" t="s">
        <v>410</v>
      </c>
      <c r="AR13" s="323" t="s">
        <v>411</v>
      </c>
      <c r="AW13" s="610"/>
      <c r="AY13" s="323" t="s">
        <v>409</v>
      </c>
      <c r="AZ13" s="323" t="s">
        <v>375</v>
      </c>
      <c r="BA13" s="323" t="s">
        <v>410</v>
      </c>
      <c r="BB13" s="323" t="s">
        <v>411</v>
      </c>
      <c r="BG13" s="610"/>
      <c r="BI13" s="323" t="s">
        <v>409</v>
      </c>
      <c r="BJ13" s="323" t="s">
        <v>375</v>
      </c>
      <c r="BK13" s="323" t="s">
        <v>410</v>
      </c>
      <c r="BL13" s="323" t="s">
        <v>411</v>
      </c>
    </row>
    <row r="14" spans="1:78" s="330" customFormat="1" ht="14.4" customHeight="1" x14ac:dyDescent="0.3">
      <c r="A14" s="335" t="s">
        <v>395</v>
      </c>
      <c r="B14" s="333">
        <f>'Input &amp; Assumptions-Banks'!B11</f>
        <v>0.02</v>
      </c>
      <c r="C14" s="333">
        <f>'Input &amp; Assumptions-Banks'!B11</f>
        <v>0.02</v>
      </c>
      <c r="D14" s="333">
        <f>C14</f>
        <v>0.02</v>
      </c>
      <c r="H14" s="336"/>
      <c r="I14" s="613"/>
      <c r="K14" s="333" t="s">
        <v>395</v>
      </c>
      <c r="L14" s="333">
        <f>'Input &amp; Assumptions-Banks'!C11</f>
        <v>0.02</v>
      </c>
      <c r="M14" s="333">
        <f>'Input &amp; Assumptions-Banks'!C11</f>
        <v>0.02</v>
      </c>
      <c r="N14" s="333">
        <f>'Input &amp; Assumptions-Banks'!C11</f>
        <v>0.02</v>
      </c>
      <c r="S14" s="613"/>
      <c r="U14" s="333" t="s">
        <v>395</v>
      </c>
      <c r="V14" s="333">
        <f>'Input &amp; Assumptions-Banks'!D11</f>
        <v>0.02</v>
      </c>
      <c r="W14" s="333">
        <v>0.03</v>
      </c>
      <c r="X14" s="333">
        <v>0.03</v>
      </c>
      <c r="AC14" s="613"/>
      <c r="AE14" s="333" t="s">
        <v>395</v>
      </c>
      <c r="AF14" s="333">
        <f>'Input &amp; Assumptions-Banks'!E11</f>
        <v>0.02</v>
      </c>
      <c r="AG14" s="333">
        <v>0.02</v>
      </c>
      <c r="AH14" s="333">
        <v>0.02</v>
      </c>
      <c r="AM14" s="610"/>
      <c r="AO14" s="333" t="s">
        <v>395</v>
      </c>
      <c r="AP14" s="333">
        <f>'Input &amp; Assumptions-Banks'!F11</f>
        <v>0.03</v>
      </c>
      <c r="AQ14" s="333">
        <v>0.04</v>
      </c>
      <c r="AR14" s="333">
        <v>0.04</v>
      </c>
      <c r="AW14" s="610"/>
      <c r="AY14" s="333" t="s">
        <v>395</v>
      </c>
      <c r="AZ14" s="334">
        <f>'Input &amp; Assumptions-Banks'!G11</f>
        <v>0.02</v>
      </c>
      <c r="BA14" s="334">
        <v>3.5000000000000003E-2</v>
      </c>
      <c r="BB14" s="334">
        <v>3.5000000000000003E-2</v>
      </c>
      <c r="BG14" s="610"/>
      <c r="BI14" s="333" t="s">
        <v>395</v>
      </c>
      <c r="BJ14" s="334">
        <f>'Input &amp; Assumptions-Banks'!H11</f>
        <v>0.02</v>
      </c>
      <c r="BK14" s="334">
        <v>0.02</v>
      </c>
      <c r="BL14" s="334">
        <v>0.02</v>
      </c>
    </row>
    <row r="15" spans="1:78" ht="14.4" customHeight="1" x14ac:dyDescent="0.3">
      <c r="A15" s="328" t="s">
        <v>396</v>
      </c>
      <c r="B15" s="313">
        <f ca="1">WACC!C4</f>
        <v>7.7895000000000006E-2</v>
      </c>
      <c r="C15" s="313">
        <f ca="1">WACC!C4</f>
        <v>7.7895000000000006E-2</v>
      </c>
      <c r="D15" s="313">
        <f ca="1">C15</f>
        <v>7.7895000000000006E-2</v>
      </c>
      <c r="K15" s="46" t="s">
        <v>396</v>
      </c>
      <c r="L15" s="313">
        <f ca="1">WACC!D4</f>
        <v>6.3639000000000001E-2</v>
      </c>
      <c r="M15" s="313">
        <f ca="1">WACC!D4</f>
        <v>6.3639000000000001E-2</v>
      </c>
      <c r="N15" s="313">
        <f ca="1">WACC!D4</f>
        <v>6.3639000000000001E-2</v>
      </c>
      <c r="U15" s="46" t="s">
        <v>396</v>
      </c>
      <c r="V15" s="313">
        <f ca="1">WACC!E4</f>
        <v>7.1725499999999998E-2</v>
      </c>
      <c r="W15" s="313">
        <f ca="1">V15</f>
        <v>7.1725499999999998E-2</v>
      </c>
      <c r="X15" s="313">
        <f ca="1">W15</f>
        <v>7.1725499999999998E-2</v>
      </c>
      <c r="AE15" s="46" t="s">
        <v>396</v>
      </c>
      <c r="AF15" s="313">
        <f ca="1">WACC!F4</f>
        <v>8.9707500000000023E-2</v>
      </c>
      <c r="AG15" s="313">
        <f ca="1">AF15</f>
        <v>8.9707500000000023E-2</v>
      </c>
      <c r="AH15" s="313">
        <f ca="1">AG15</f>
        <v>8.9707500000000023E-2</v>
      </c>
      <c r="AO15" s="46" t="s">
        <v>396</v>
      </c>
      <c r="AP15" s="313">
        <f ca="1">WACC!G4</f>
        <v>0.10027125000000001</v>
      </c>
      <c r="AQ15" s="313">
        <v>0.1087</v>
      </c>
      <c r="AR15" s="313">
        <v>0.1087</v>
      </c>
      <c r="AY15" s="46" t="s">
        <v>396</v>
      </c>
      <c r="AZ15" s="313">
        <f ca="1">WACC!H4</f>
        <v>8.3146499999999984E-2</v>
      </c>
      <c r="BA15" s="313">
        <v>0.12570000000000001</v>
      </c>
      <c r="BB15" s="313">
        <v>0.12570000000000001</v>
      </c>
      <c r="BI15" s="46" t="s">
        <v>396</v>
      </c>
      <c r="BJ15" s="313">
        <f ca="1">WACC!I4</f>
        <v>6.9903000000000007E-2</v>
      </c>
      <c r="BK15" s="313">
        <v>5.7799999999999997E-2</v>
      </c>
      <c r="BL15" s="313">
        <v>5.7799999999999997E-2</v>
      </c>
    </row>
    <row r="16" spans="1:78" ht="14.4" customHeight="1" x14ac:dyDescent="0.3">
      <c r="A16" s="328" t="s">
        <v>392</v>
      </c>
      <c r="B16" s="302">
        <f>B10*(1+B14)</f>
        <v>22466.996879113583</v>
      </c>
      <c r="C16" s="302">
        <f>B30*(1+C14)</f>
        <v>746.03786673790682</v>
      </c>
      <c r="D16" s="302">
        <f ca="1">E42*(1+D14)</f>
        <v>6281.5767935388649</v>
      </c>
      <c r="K16" s="46" t="s">
        <v>392</v>
      </c>
      <c r="L16" s="302">
        <f>L5*(1+L14)</f>
        <v>58690.999587542821</v>
      </c>
      <c r="M16" s="302">
        <f>L31*(1+M14)</f>
        <v>18794.245555058715</v>
      </c>
      <c r="N16" s="302">
        <f ca="1">O42*(1+N14)</f>
        <v>89948.960897745288</v>
      </c>
      <c r="U16" s="46" t="s">
        <v>417</v>
      </c>
      <c r="V16" s="302">
        <f>V9*(1+V14)</f>
        <v>50107.452568755747</v>
      </c>
      <c r="W16" s="302">
        <f>V31*(1+W14)</f>
        <v>10545.616574771473</v>
      </c>
      <c r="X16" s="302">
        <f ca="1">Y42*(1+X14)</f>
        <v>27870.594201145163</v>
      </c>
      <c r="AE16" s="46" t="s">
        <v>417</v>
      </c>
      <c r="AF16" s="302">
        <f>AF10*(1+AF14)</f>
        <v>16698.629917838764</v>
      </c>
      <c r="AG16" s="302">
        <f>AF31*(1+AG14)</f>
        <v>14272.610915378487</v>
      </c>
      <c r="AH16" s="302">
        <f ca="1">AI42*(1+AH14)</f>
        <v>17545.028702712581</v>
      </c>
      <c r="AO16" s="46" t="s">
        <v>417</v>
      </c>
      <c r="AP16" s="302">
        <f>AP10*(1+AP14)</f>
        <v>7026.6448431116069</v>
      </c>
      <c r="AQ16" s="340">
        <v>0</v>
      </c>
      <c r="AR16" s="302">
        <f>AS42*(1+AR14)</f>
        <v>298.74160341082683</v>
      </c>
      <c r="AY16" s="46" t="s">
        <v>417</v>
      </c>
      <c r="AZ16" s="302">
        <f>AZ10*(1+AZ14)</f>
        <v>46511.982290503016</v>
      </c>
      <c r="BA16" s="340">
        <f>AZ31*(1+BA14)</f>
        <v>4846.8640332908335</v>
      </c>
      <c r="BB16" s="302">
        <v>0</v>
      </c>
      <c r="BI16" s="46" t="s">
        <v>417</v>
      </c>
      <c r="BJ16" s="302">
        <f>BJ10*(1+BJ14)</f>
        <v>47525.844100427508</v>
      </c>
      <c r="BK16" s="340">
        <f>BJ31*(1+BK14)</f>
        <v>26771.180336034151</v>
      </c>
      <c r="BL16" s="302">
        <f>BM42*(1+BL14)</f>
        <v>105308.29914013448</v>
      </c>
    </row>
    <row r="17" spans="1:64" s="1" customFormat="1" ht="31.8" customHeight="1" x14ac:dyDescent="0.3">
      <c r="A17" s="326" t="s">
        <v>412</v>
      </c>
      <c r="B17" s="320">
        <f ca="1">B16/(B15-B14)</f>
        <v>388064.54580039007</v>
      </c>
      <c r="C17" s="320">
        <f ca="1">C16/(C15-C14)</f>
        <v>12886.050034336417</v>
      </c>
      <c r="D17" s="320">
        <f ca="1">D16/(D15-D14)</f>
        <v>108499.46961808212</v>
      </c>
      <c r="H17" s="322"/>
      <c r="I17" s="613"/>
      <c r="K17" s="319" t="s">
        <v>412</v>
      </c>
      <c r="L17" s="320">
        <f ca="1">L16/(L15-L14)</f>
        <v>1344920.8182484205</v>
      </c>
      <c r="M17" s="320">
        <f ca="1">M16/(M15-M14)</f>
        <v>430675.44066222222</v>
      </c>
      <c r="N17" s="320">
        <f ca="1">N16/(N15-N14)</f>
        <v>2061205.8227215402</v>
      </c>
      <c r="S17" s="613"/>
      <c r="U17" s="319" t="s">
        <v>412</v>
      </c>
      <c r="V17" s="320">
        <f ca="1">V16/(V15-V14)</f>
        <v>968718.57340684487</v>
      </c>
      <c r="W17" s="320">
        <f ca="1">W16/(W15-W14)</f>
        <v>252737.93183476466</v>
      </c>
      <c r="X17" s="320">
        <f ca="1">X16/(X15-X14)</f>
        <v>667951.11385472107</v>
      </c>
      <c r="AC17" s="613"/>
      <c r="AE17" s="319" t="s">
        <v>412</v>
      </c>
      <c r="AF17" s="320">
        <f ca="1">AF16/(AF15-AF14)</f>
        <v>239552.84464137661</v>
      </c>
      <c r="AG17" s="320">
        <f ca="1">AG16/(AG15-AG14)</f>
        <v>204750.0041656706</v>
      </c>
      <c r="AH17" s="320">
        <f ca="1">AH16/(AH15-AH14)</f>
        <v>251694.99268676364</v>
      </c>
      <c r="AM17" s="610"/>
      <c r="AO17" s="319" t="s">
        <v>412</v>
      </c>
      <c r="AP17" s="320">
        <f ca="1">AP16/(AP15-AP14)</f>
        <v>99993.167093393189</v>
      </c>
      <c r="AQ17" s="341">
        <v>0</v>
      </c>
      <c r="AR17" s="320">
        <f>AR16/(AR15-AR14)</f>
        <v>4348.4949550338688</v>
      </c>
      <c r="AW17" s="610"/>
      <c r="AY17" s="319" t="s">
        <v>412</v>
      </c>
      <c r="AZ17" s="320">
        <f ca="1">AZ16/(AZ15-AZ14)</f>
        <v>736572.60957460874</v>
      </c>
      <c r="BA17" s="341">
        <f>BA16/(BA15-BA14)</f>
        <v>53438.412715444691</v>
      </c>
      <c r="BB17" s="320">
        <v>0</v>
      </c>
      <c r="BG17" s="610"/>
      <c r="BI17" s="319" t="s">
        <v>412</v>
      </c>
      <c r="BJ17" s="320">
        <f ca="1">BJ16/(BJ15-BJ14)</f>
        <v>952364.46907856257</v>
      </c>
      <c r="BK17" s="341">
        <f>BK16/(BK15-BK14)</f>
        <v>708232.28402206744</v>
      </c>
      <c r="BL17" s="320">
        <f>BL16/(BL15-BL14)</f>
        <v>2785933.8396860971</v>
      </c>
    </row>
    <row r="18" spans="1:64" x14ac:dyDescent="0.3">
      <c r="A18" s="326" t="s">
        <v>413</v>
      </c>
      <c r="B18" s="302">
        <f ca="1">B17/(1+WACC!C4)^6</f>
        <v>247425.93632920721</v>
      </c>
      <c r="C18" s="302">
        <f ca="1">C17/(1+C15)^6</f>
        <v>8216.012077977095</v>
      </c>
      <c r="D18" s="320">
        <f ca="1">D17*F42</f>
        <v>64178.921332981707</v>
      </c>
      <c r="K18" s="319" t="s">
        <v>413</v>
      </c>
      <c r="L18" s="302">
        <f ca="1">L17/(1+L15)^6</f>
        <v>928819.22907117719</v>
      </c>
      <c r="M18" s="302">
        <f ca="1">M17/(1+M15)^6</f>
        <v>297429.8749399588</v>
      </c>
      <c r="N18" s="302">
        <f ca="1">N17*P42</f>
        <v>1338324.9958268602</v>
      </c>
      <c r="U18" s="319" t="s">
        <v>413</v>
      </c>
      <c r="V18" s="302">
        <f ca="1">V17/(1+V15)^6</f>
        <v>639287.54237561219</v>
      </c>
      <c r="W18" s="302">
        <f ca="1">W17/(1+W15)^6</f>
        <v>166789.62883876101</v>
      </c>
      <c r="X18" s="302">
        <f ca="1">X17/(1+X15)^6</f>
        <v>440801.73305802763</v>
      </c>
      <c r="AE18" s="319" t="s">
        <v>413</v>
      </c>
      <c r="AF18" s="302">
        <f ca="1">AF17/(1+AF15)^6</f>
        <v>143067.73201320652</v>
      </c>
      <c r="AG18" s="302">
        <f ca="1">AG17/(1+AG15)^6</f>
        <v>122282.49165452593</v>
      </c>
      <c r="AH18" s="302">
        <f ca="1">AH17/(1+AH15)^6</f>
        <v>150319.36613687023</v>
      </c>
      <c r="AO18" s="319" t="s">
        <v>413</v>
      </c>
      <c r="AP18" s="302">
        <f ca="1">AP17/(1+AP15)^6</f>
        <v>56360.097258718757</v>
      </c>
      <c r="AQ18" s="340">
        <v>0</v>
      </c>
      <c r="AR18" s="302">
        <f>AR17/(1+AR15)^6</f>
        <v>2341.2871707560753</v>
      </c>
      <c r="AY18" s="319" t="s">
        <v>413</v>
      </c>
      <c r="AZ18" s="302">
        <f ca="1">AZ17/(1+AZ15)^6</f>
        <v>456133.9109695144</v>
      </c>
      <c r="BA18" s="340">
        <f>BA17/(1+BA15)^6</f>
        <v>26261.380562824303</v>
      </c>
      <c r="BB18" s="302">
        <v>0</v>
      </c>
      <c r="BI18" s="319" t="s">
        <v>413</v>
      </c>
      <c r="BJ18" s="302">
        <f ca="1">BJ17*BK10</f>
        <v>593461.22318377299</v>
      </c>
      <c r="BK18" s="340">
        <f ca="1">BK17*BK31</f>
        <v>441331.45578250394</v>
      </c>
      <c r="BL18" s="302">
        <f ca="1">BL17*BK10</f>
        <v>1736040.9358917281</v>
      </c>
    </row>
    <row r="19" spans="1:64" s="1" customFormat="1" ht="29.4" customHeight="1" x14ac:dyDescent="0.3">
      <c r="A19" s="326" t="s">
        <v>414</v>
      </c>
      <c r="B19" s="320">
        <f ca="1">SUM(D4:D10)</f>
        <v>81183.719851056769</v>
      </c>
      <c r="C19" s="320">
        <f ca="1">SUM(D25:D31)</f>
        <v>3060.8286913923062</v>
      </c>
      <c r="D19" s="320">
        <f ca="1">SUM(G36:G42)</f>
        <v>21085.96984082448</v>
      </c>
      <c r="H19" s="322"/>
      <c r="I19" s="613"/>
      <c r="K19" s="319" t="s">
        <v>414</v>
      </c>
      <c r="L19" s="320">
        <f ca="1">SUM(N4:N10)</f>
        <v>-145653.55108932243</v>
      </c>
      <c r="M19" s="320">
        <f ca="1">SUM(N25:N31)</f>
        <v>67072.426004307403</v>
      </c>
      <c r="N19" s="320">
        <f ca="1">SUM(Q36:Q42)</f>
        <v>344697.98091450875</v>
      </c>
      <c r="S19" s="613"/>
      <c r="U19" s="319" t="s">
        <v>414</v>
      </c>
      <c r="V19" s="320">
        <f ca="1">SUM(X4:X10)</f>
        <v>194303.26893014141</v>
      </c>
      <c r="W19" s="320">
        <f ca="1">SUM(X25:X31)</f>
        <v>34229.533666748321</v>
      </c>
      <c r="X19" s="320">
        <f ca="1">SUM(AA36:AA42)</f>
        <v>104219.86828223657</v>
      </c>
      <c r="AC19" s="613"/>
      <c r="AE19" s="319" t="s">
        <v>414</v>
      </c>
      <c r="AF19" s="320">
        <f ca="1">SUM(AH4:AH10)</f>
        <v>96949.481521483627</v>
      </c>
      <c r="AG19" s="320">
        <f>SUM(AF25:AF31)</f>
        <v>84962.681384390366</v>
      </c>
      <c r="AH19" s="320">
        <f ca="1">SUM(AK36:AK42)</f>
        <v>64130.143783030937</v>
      </c>
      <c r="AM19" s="610"/>
      <c r="AO19" s="319" t="s">
        <v>414</v>
      </c>
      <c r="AP19" s="320">
        <f ca="1">SUM(AR4:AR10)</f>
        <v>23727.084643928178</v>
      </c>
      <c r="AQ19" s="341">
        <v>0</v>
      </c>
      <c r="AR19" s="320">
        <f ca="1">SUM(AU36:AU42)</f>
        <v>1272.7057409623014</v>
      </c>
      <c r="AW19" s="610"/>
      <c r="AY19" s="319" t="s">
        <v>414</v>
      </c>
      <c r="AZ19" s="320">
        <f ca="1">SUM(BB4:BB10)</f>
        <v>161012.50957966986</v>
      </c>
      <c r="BA19" s="341">
        <f ca="1">SUM(BB25:BB31)</f>
        <v>14645.937490694218</v>
      </c>
      <c r="BB19" s="320">
        <f ca="1">SUM(BE36:BE42)</f>
        <v>25104.843545569398</v>
      </c>
      <c r="BG19" s="610"/>
      <c r="BI19" s="319" t="s">
        <v>414</v>
      </c>
      <c r="BJ19" s="320">
        <f ca="1">SUM(BL4:BL10)</f>
        <v>175325.02578453091</v>
      </c>
      <c r="BK19" s="341">
        <f ca="1">SUM(BL25:BL31)</f>
        <v>95243.143724632973</v>
      </c>
      <c r="BL19" s="320">
        <f ca="1">SUM(BO36:BO42)</f>
        <v>371794.64565874939</v>
      </c>
    </row>
    <row r="20" spans="1:64" ht="14.4" customHeight="1" x14ac:dyDescent="0.3">
      <c r="A20" s="328" t="s">
        <v>397</v>
      </c>
      <c r="B20" s="302">
        <f ca="1">B18+B19</f>
        <v>328609.65618026396</v>
      </c>
      <c r="C20" s="302">
        <f ca="1">C18+C19</f>
        <v>11276.840769369401</v>
      </c>
      <c r="D20" s="302">
        <f ca="1">C36+D18+D19</f>
        <v>242787.85117380618</v>
      </c>
      <c r="K20" s="46" t="s">
        <v>397</v>
      </c>
      <c r="L20" s="302">
        <f ca="1">L18+L19</f>
        <v>783165.67798185477</v>
      </c>
      <c r="M20" s="302">
        <f ca="1">M18+M19</f>
        <v>364502.3009442662</v>
      </c>
      <c r="N20" s="302">
        <f ca="1">N18+N19+M36</f>
        <v>2152801.6267413688</v>
      </c>
      <c r="U20" s="46" t="s">
        <v>397</v>
      </c>
      <c r="V20" s="302">
        <f ca="1">V18+V19</f>
        <v>833590.81130575365</v>
      </c>
      <c r="W20" s="302">
        <f ca="1">W18+W19</f>
        <v>201019.16250550933</v>
      </c>
      <c r="X20" s="47">
        <f ca="1">X18+X19+W36</f>
        <v>815053.82134026417</v>
      </c>
      <c r="AE20" s="46" t="s">
        <v>397</v>
      </c>
      <c r="AF20" s="302">
        <f ca="1">AF18+AF19</f>
        <v>240017.21353469015</v>
      </c>
      <c r="AG20" s="302">
        <f t="shared" ref="AG20" ca="1" si="7">AG18+AG19</f>
        <v>207245.17303891631</v>
      </c>
      <c r="AH20" s="302">
        <f ca="1">AH18+AH19+AG36</f>
        <v>569125.64837990119</v>
      </c>
      <c r="AO20" s="46" t="s">
        <v>397</v>
      </c>
      <c r="AP20" s="302">
        <f ca="1">AP18+AP19</f>
        <v>80087.181902646931</v>
      </c>
      <c r="AQ20" s="340">
        <v>0</v>
      </c>
      <c r="AR20" s="302">
        <f ca="1">AR18+AR19+AQ36</f>
        <v>15847.492911718376</v>
      </c>
      <c r="AY20" s="46" t="s">
        <v>397</v>
      </c>
      <c r="AZ20" s="302">
        <f ca="1">AZ18+AZ19</f>
        <v>617146.42054918432</v>
      </c>
      <c r="BA20" s="302">
        <f t="shared" ref="BA20" ca="1" si="8">BA18+BA19</f>
        <v>40907.318053518524</v>
      </c>
      <c r="BB20" s="302">
        <f ca="1">BB18+BB19+BA36</f>
        <v>101800.1935455694</v>
      </c>
      <c r="BI20" s="46" t="s">
        <v>397</v>
      </c>
      <c r="BJ20" s="302">
        <f ca="1">BJ18+BJ19</f>
        <v>768786.2489683039</v>
      </c>
      <c r="BK20" s="302">
        <f t="shared" ref="BK20" ca="1" si="9">BK18+BK19</f>
        <v>536574.59950713697</v>
      </c>
      <c r="BL20" s="302">
        <f ca="1">BL18+BL19+BK36</f>
        <v>2365375.9815504774</v>
      </c>
    </row>
    <row r="22" spans="1:64" ht="14.4" customHeight="1" x14ac:dyDescent="0.3">
      <c r="A22" s="626" t="s">
        <v>415</v>
      </c>
      <c r="B22" s="627"/>
      <c r="C22" s="627"/>
      <c r="D22" s="628"/>
      <c r="K22" s="611" t="s">
        <v>415</v>
      </c>
      <c r="L22" s="611"/>
      <c r="M22" s="611"/>
      <c r="N22" s="611"/>
      <c r="U22" s="611" t="s">
        <v>415</v>
      </c>
      <c r="V22" s="611"/>
      <c r="W22" s="611"/>
      <c r="X22" s="611"/>
      <c r="AE22" s="611" t="s">
        <v>415</v>
      </c>
      <c r="AF22" s="611"/>
      <c r="AG22" s="611"/>
      <c r="AH22" s="611"/>
      <c r="AO22" s="611" t="s">
        <v>415</v>
      </c>
      <c r="AP22" s="611"/>
      <c r="AQ22" s="611"/>
      <c r="AR22" s="611"/>
      <c r="AY22" s="611" t="s">
        <v>415</v>
      </c>
      <c r="AZ22" s="611"/>
      <c r="BA22" s="611"/>
      <c r="BB22" s="611"/>
      <c r="BI22" s="611" t="s">
        <v>415</v>
      </c>
      <c r="BJ22" s="611"/>
      <c r="BK22" s="611"/>
      <c r="BL22" s="611"/>
    </row>
    <row r="23" spans="1:64" ht="14.4" customHeight="1" x14ac:dyDescent="0.3">
      <c r="A23" s="629"/>
      <c r="B23" s="630"/>
      <c r="C23" s="630"/>
      <c r="D23" s="631"/>
      <c r="K23" s="611"/>
      <c r="L23" s="611"/>
      <c r="M23" s="611"/>
      <c r="N23" s="611"/>
      <c r="U23" s="611"/>
      <c r="V23" s="611"/>
      <c r="W23" s="611"/>
      <c r="X23" s="611"/>
      <c r="AE23" s="611"/>
      <c r="AF23" s="611"/>
      <c r="AG23" s="611"/>
      <c r="AH23" s="611"/>
      <c r="AO23" s="611"/>
      <c r="AP23" s="611"/>
      <c r="AQ23" s="611"/>
      <c r="AR23" s="611"/>
      <c r="AY23" s="611"/>
      <c r="AZ23" s="611"/>
      <c r="BA23" s="611"/>
      <c r="BB23" s="611"/>
      <c r="BI23" s="611"/>
      <c r="BJ23" s="611"/>
      <c r="BK23" s="611"/>
      <c r="BL23" s="611"/>
    </row>
    <row r="24" spans="1:64" s="324" customFormat="1" ht="14.4" customHeight="1" x14ac:dyDescent="0.3">
      <c r="A24" s="323" t="s">
        <v>391</v>
      </c>
      <c r="B24" s="323" t="s">
        <v>399</v>
      </c>
      <c r="C24" s="323" t="s">
        <v>393</v>
      </c>
      <c r="D24" s="323" t="s">
        <v>400</v>
      </c>
      <c r="H24" s="325"/>
      <c r="I24" s="613"/>
      <c r="K24" s="323" t="s">
        <v>391</v>
      </c>
      <c r="L24" s="323" t="s">
        <v>399</v>
      </c>
      <c r="M24" s="323" t="s">
        <v>393</v>
      </c>
      <c r="N24" s="323" t="s">
        <v>400</v>
      </c>
      <c r="S24" s="613"/>
      <c r="U24" s="323" t="s">
        <v>391</v>
      </c>
      <c r="V24" s="323" t="s">
        <v>399</v>
      </c>
      <c r="W24" s="323" t="s">
        <v>393</v>
      </c>
      <c r="X24" s="323" t="s">
        <v>400</v>
      </c>
      <c r="AC24" s="613"/>
      <c r="AE24" s="323" t="s">
        <v>391</v>
      </c>
      <c r="AF24" s="323" t="s">
        <v>399</v>
      </c>
      <c r="AG24" s="323" t="s">
        <v>419</v>
      </c>
      <c r="AH24" s="323" t="s">
        <v>400</v>
      </c>
      <c r="AM24" s="610"/>
      <c r="AO24" s="323" t="s">
        <v>391</v>
      </c>
      <c r="AP24" s="323" t="s">
        <v>399</v>
      </c>
      <c r="AQ24" s="323" t="s">
        <v>419</v>
      </c>
      <c r="AR24" s="323" t="s">
        <v>400</v>
      </c>
      <c r="AW24" s="610"/>
      <c r="AY24" s="323" t="s">
        <v>391</v>
      </c>
      <c r="AZ24" s="323" t="s">
        <v>399</v>
      </c>
      <c r="BA24" s="323" t="s">
        <v>419</v>
      </c>
      <c r="BB24" s="323" t="s">
        <v>400</v>
      </c>
      <c r="BG24" s="610"/>
      <c r="BI24" s="323" t="s">
        <v>391</v>
      </c>
      <c r="BJ24" s="323" t="s">
        <v>399</v>
      </c>
      <c r="BK24" s="323" t="s">
        <v>419</v>
      </c>
      <c r="BL24" s="323" t="s">
        <v>400</v>
      </c>
    </row>
    <row r="25" spans="1:64" ht="14.4" customHeight="1" x14ac:dyDescent="0.3">
      <c r="A25" s="328">
        <v>2024</v>
      </c>
      <c r="B25" s="47">
        <f>'Financial Projections'!B26</f>
        <v>461.55120155101275</v>
      </c>
      <c r="C25" s="313">
        <f ca="1">C4</f>
        <v>0.9277341485024051</v>
      </c>
      <c r="D25" s="47">
        <f ca="1">B25*C25</f>
        <v>428.19681096119075</v>
      </c>
      <c r="K25" s="46">
        <v>2024</v>
      </c>
      <c r="L25" s="302">
        <f>'Financial Projections'!K26</f>
        <v>7836.4249631207649</v>
      </c>
      <c r="M25" s="313">
        <f ca="1">M4</f>
        <v>0.94016860983848838</v>
      </c>
      <c r="N25" s="302">
        <f ca="1">L25*M25</f>
        <v>7367.5607636808772</v>
      </c>
      <c r="U25" s="46">
        <v>2024</v>
      </c>
      <c r="V25" s="302">
        <f>'Financial Projections'!T26</f>
        <v>4033.0504316092856</v>
      </c>
      <c r="W25" s="313">
        <f ca="1">W4</f>
        <v>0.93307474721838768</v>
      </c>
      <c r="X25" s="47">
        <f ca="1">V25*W25</f>
        <v>3763.1375119928434</v>
      </c>
      <c r="AE25" s="46">
        <v>2024</v>
      </c>
      <c r="AF25" s="302">
        <f>'Financial Projections'!AC26</f>
        <v>8089.8067221466454</v>
      </c>
      <c r="AG25" s="313">
        <f ca="1">AG4</f>
        <v>0.91767745014143698</v>
      </c>
      <c r="AH25" s="302">
        <f ca="1">AF25*AG25</f>
        <v>7423.8332049165901</v>
      </c>
      <c r="AO25" s="46">
        <v>2024</v>
      </c>
      <c r="AP25" s="302"/>
      <c r="AQ25" s="313"/>
      <c r="AR25" s="302"/>
      <c r="AY25" s="46">
        <v>2024</v>
      </c>
      <c r="AZ25" s="302">
        <f>'Financial Projections'!AU26</f>
        <v>1537.1241425591863</v>
      </c>
      <c r="BA25" s="313">
        <f ca="1">BA4</f>
        <v>0.92323614580299151</v>
      </c>
      <c r="BB25" s="302">
        <f ca="1">AZ25*BA25</f>
        <v>1419.1285689970712</v>
      </c>
      <c r="BI25" s="46">
        <v>2024</v>
      </c>
      <c r="BJ25" s="302">
        <f>'Financial Projections'!BD26</f>
        <v>10986.570007163507</v>
      </c>
      <c r="BK25" s="313">
        <f ca="1">BK4</f>
        <v>0.93466417049022199</v>
      </c>
      <c r="BL25" s="302">
        <f ca="1">BJ25*BK25</f>
        <v>10268.753342278233</v>
      </c>
    </row>
    <row r="26" spans="1:64" ht="14.4" customHeight="1" x14ac:dyDescent="0.3">
      <c r="A26" s="328">
        <v>2025</v>
      </c>
      <c r="B26" s="47">
        <f>'Financial Projections'!D26</f>
        <v>413.525933379712</v>
      </c>
      <c r="C26" s="313">
        <f t="shared" ref="C26:C31" ca="1" si="10">C5</f>
        <v>0.8606906502974826</v>
      </c>
      <c r="D26" s="47">
        <f t="shared" ref="D26:D31" ca="1" si="11">B26*C26</f>
        <v>355.91790451545779</v>
      </c>
      <c r="K26" s="46">
        <v>2025</v>
      </c>
      <c r="L26" s="302">
        <f>'Financial Projections'!M26</f>
        <v>9274.4384299065005</v>
      </c>
      <c r="M26" s="313">
        <f t="shared" ref="M26:M31" ca="1" si="12">M5</f>
        <v>0.8839170149256359</v>
      </c>
      <c r="N26" s="302">
        <f t="shared" ref="N26:N31" ca="1" si="13">L26*M26</f>
        <v>8197.8339320745545</v>
      </c>
      <c r="U26" s="46">
        <v>2025</v>
      </c>
      <c r="V26" s="302">
        <f>'Financial Projections'!V26</f>
        <v>4476.0244467740913</v>
      </c>
      <c r="W26" s="313">
        <f t="shared" ref="W26:W31" ca="1" si="14">W5</f>
        <v>0.87062848389665792</v>
      </c>
      <c r="X26" s="47">
        <f t="shared" ref="X26:X31" ca="1" si="15">V26*W26</f>
        <v>3896.9543779793044</v>
      </c>
      <c r="AE26" s="46">
        <v>2025</v>
      </c>
      <c r="AF26" s="302">
        <f>'Financial Projections'!AE26</f>
        <v>10408.694780405442</v>
      </c>
      <c r="AG26" s="313">
        <f t="shared" ref="AG26:AG31" ca="1" si="16">AG5</f>
        <v>0.84213190249808956</v>
      </c>
      <c r="AH26" s="302">
        <f t="shared" ref="AH26:AH31" ca="1" si="17">AF26*AG26</f>
        <v>8765.4939379447696</v>
      </c>
      <c r="AO26" s="46">
        <v>2025</v>
      </c>
      <c r="AP26" s="302"/>
      <c r="AQ26" s="313"/>
      <c r="AR26" s="302"/>
      <c r="AY26" s="46">
        <v>2025</v>
      </c>
      <c r="AZ26" s="302">
        <f>'Financial Projections'!AW26</f>
        <v>2089.8109775167195</v>
      </c>
      <c r="BA26" s="313">
        <f t="shared" ref="BA26:BA31" ca="1" si="18">BA5</f>
        <v>0.85236498091716273</v>
      </c>
      <c r="BB26" s="302">
        <f t="shared" ref="BB26:BB31" ca="1" si="19">AZ26*BA26</f>
        <v>1781.2816939715158</v>
      </c>
      <c r="BI26" s="46">
        <v>2025</v>
      </c>
      <c r="BJ26" s="302">
        <f>'Financial Projections'!BF26</f>
        <v>13895.159255714674</v>
      </c>
      <c r="BK26" s="313">
        <f t="shared" ref="BK26:BK31" ca="1" si="20">BK5</f>
        <v>0.87359711159817466</v>
      </c>
      <c r="BL26" s="302">
        <f t="shared" ref="BL26:BL31" ca="1" si="21">BJ26*BK26</f>
        <v>12138.770990988982</v>
      </c>
    </row>
    <row r="27" spans="1:64" ht="14.4" customHeight="1" x14ac:dyDescent="0.3">
      <c r="A27" s="328">
        <v>2026</v>
      </c>
      <c r="B27" s="47">
        <f>'Financial Projections'!E26</f>
        <v>542.70828257254755</v>
      </c>
      <c r="C27" s="313">
        <f t="shared" ca="1" si="10"/>
        <v>0.79849210757771638</v>
      </c>
      <c r="D27" s="47">
        <f t="shared" ca="1" si="11"/>
        <v>433.34828035123633</v>
      </c>
      <c r="K27" s="46">
        <v>2026</v>
      </c>
      <c r="L27" s="302">
        <f>'Financial Projections'!N26</f>
        <v>10653.330086769238</v>
      </c>
      <c r="M27" s="313">
        <f t="shared" ca="1" si="12"/>
        <v>0.83103103113522159</v>
      </c>
      <c r="N27" s="302">
        <f t="shared" ca="1" si="13"/>
        <v>8853.2478870317191</v>
      </c>
      <c r="U27" s="46">
        <v>2026</v>
      </c>
      <c r="V27" s="302">
        <f>'Financial Projections'!W26</f>
        <v>5449.6983491446617</v>
      </c>
      <c r="W27" s="313">
        <f t="shared" ca="1" si="14"/>
        <v>0.81236145253300218</v>
      </c>
      <c r="X27" s="47">
        <f t="shared" ca="1" si="15"/>
        <v>4427.1248667778618</v>
      </c>
      <c r="AE27" s="46">
        <v>2026</v>
      </c>
      <c r="AF27" s="302">
        <f>'Financial Projections'!AF26</f>
        <v>12460.749291934846</v>
      </c>
      <c r="AG27" s="313">
        <f t="shared" ca="1" si="16"/>
        <v>0.77280545696720404</v>
      </c>
      <c r="AH27" s="302">
        <f t="shared" ca="1" si="17"/>
        <v>9629.7350507074734</v>
      </c>
      <c r="AO27" s="46">
        <v>2026</v>
      </c>
      <c r="AP27" s="302"/>
      <c r="AQ27" s="313"/>
      <c r="AR27" s="302"/>
      <c r="AY27" s="46">
        <v>2026</v>
      </c>
      <c r="AZ27" s="302">
        <f>'Financial Projections'!AX26</f>
        <v>2454.981212174524</v>
      </c>
      <c r="BA27" s="313">
        <f t="shared" ca="1" si="18"/>
        <v>0.78693415979940173</v>
      </c>
      <c r="BB27" s="302">
        <f t="shared" ca="1" si="19"/>
        <v>1931.9085775258759</v>
      </c>
      <c r="BI27" s="46">
        <v>2026</v>
      </c>
      <c r="BJ27" s="302">
        <f>'Financial Projections'!BG26</f>
        <v>15778.68039487981</v>
      </c>
      <c r="BK27" s="313">
        <f t="shared" ca="1" si="20"/>
        <v>0.81651991965456183</v>
      </c>
      <c r="BL27" s="302">
        <f t="shared" ca="1" si="21"/>
        <v>12883.606848282272</v>
      </c>
    </row>
    <row r="28" spans="1:64" ht="14.4" customHeight="1" x14ac:dyDescent="0.3">
      <c r="A28" s="328">
        <v>2027</v>
      </c>
      <c r="B28" s="47">
        <f>'Financial Projections'!F26</f>
        <v>599.40888787010192</v>
      </c>
      <c r="C28" s="313">
        <f t="shared" ca="1" si="10"/>
        <v>0.74078839550950348</v>
      </c>
      <c r="D28" s="47">
        <f t="shared" ca="1" si="11"/>
        <v>444.03514829942867</v>
      </c>
      <c r="K28" s="46">
        <v>2027</v>
      </c>
      <c r="L28" s="302">
        <f>'Financial Projections'!O26</f>
        <v>12144.58121626755</v>
      </c>
      <c r="M28" s="313">
        <f t="shared" ca="1" si="12"/>
        <v>0.78130928927504684</v>
      </c>
      <c r="N28" s="302">
        <f t="shared" ca="1" si="13"/>
        <v>9488.6741186250838</v>
      </c>
      <c r="U28" s="46">
        <v>2027</v>
      </c>
      <c r="V28" s="302">
        <f>'Financial Projections'!X26</f>
        <v>6359.4080997713545</v>
      </c>
      <c r="W28" s="313">
        <f t="shared" ca="1" si="14"/>
        <v>0.75799395697219318</v>
      </c>
      <c r="X28" s="47">
        <f t="shared" ca="1" si="15"/>
        <v>4820.3929095467047</v>
      </c>
      <c r="AE28" s="46">
        <v>2027</v>
      </c>
      <c r="AF28" s="302">
        <f>'Financial Projections'!AG26</f>
        <v>12933.888857168233</v>
      </c>
      <c r="AG28" s="313">
        <f t="shared" ca="1" si="16"/>
        <v>0.70918614120505175</v>
      </c>
      <c r="AH28" s="302">
        <f t="shared" ca="1" si="17"/>
        <v>9172.5347293901559</v>
      </c>
      <c r="AO28" s="46">
        <v>2027</v>
      </c>
      <c r="AP28" s="302"/>
      <c r="AQ28" s="313"/>
      <c r="AR28" s="302"/>
      <c r="AY28" s="46">
        <v>2027</v>
      </c>
      <c r="AZ28" s="302">
        <f>'Financial Projections'!AY26</f>
        <v>2884.4406560991929</v>
      </c>
      <c r="BA28" s="313">
        <f t="shared" ca="1" si="18"/>
        <v>0.72652606069391523</v>
      </c>
      <c r="BB28" s="302">
        <f t="shared" ca="1" si="19"/>
        <v>2095.6213071811189</v>
      </c>
      <c r="BI28" s="46">
        <v>2027</v>
      </c>
      <c r="BJ28" s="302">
        <f>'Financial Projections'!BH26</f>
        <v>17918.194959607907</v>
      </c>
      <c r="BK28" s="313">
        <f t="shared" ca="1" si="20"/>
        <v>0.76317191339267365</v>
      </c>
      <c r="BL28" s="302">
        <f t="shared" ca="1" si="21"/>
        <v>13674.663131866926</v>
      </c>
    </row>
    <row r="29" spans="1:64" ht="14.4" customHeight="1" x14ac:dyDescent="0.3">
      <c r="A29" s="328">
        <v>2028</v>
      </c>
      <c r="B29" s="47">
        <f>'Financial Projections'!G26</f>
        <v>662.10007021048682</v>
      </c>
      <c r="C29" s="313">
        <f t="shared" ca="1" si="10"/>
        <v>0.68725469132847217</v>
      </c>
      <c r="D29" s="47">
        <f t="shared" ca="1" si="11"/>
        <v>455.03137938106789</v>
      </c>
      <c r="K29" s="46">
        <v>2028</v>
      </c>
      <c r="L29" s="302">
        <f>'Financial Projections'!P26</f>
        <v>13880.244556058691</v>
      </c>
      <c r="M29" s="313">
        <f t="shared" ca="1" si="12"/>
        <v>0.7345624683516182</v>
      </c>
      <c r="N29" s="302">
        <f t="shared" ca="1" si="13"/>
        <v>10195.906702422582</v>
      </c>
      <c r="U29" s="46">
        <v>2028</v>
      </c>
      <c r="V29" s="302">
        <f>'Financial Projections'!Y26</f>
        <v>7439.930182654698</v>
      </c>
      <c r="W29" s="313">
        <f t="shared" ca="1" si="14"/>
        <v>0.70726501979489453</v>
      </c>
      <c r="X29" s="47">
        <f t="shared" ca="1" si="15"/>
        <v>5262.0023679079086</v>
      </c>
      <c r="AE29" s="46">
        <v>2028</v>
      </c>
      <c r="AF29" s="302">
        <f>'Financial Projections'!AH26</f>
        <v>13358.604870760366</v>
      </c>
      <c r="AG29" s="313">
        <f t="shared" ca="1" si="16"/>
        <v>0.65080412973669699</v>
      </c>
      <c r="AH29" s="302">
        <f t="shared" ca="1" si="17"/>
        <v>8693.8352174116008</v>
      </c>
      <c r="AO29" s="46">
        <v>2028</v>
      </c>
      <c r="AP29" s="302"/>
      <c r="AQ29" s="313"/>
      <c r="AR29" s="302"/>
      <c r="AY29" s="46">
        <v>2028</v>
      </c>
      <c r="AZ29" s="302">
        <f>'Financial Projections'!AZ26</f>
        <v>3389.5793400255152</v>
      </c>
      <c r="BA29" s="313">
        <f t="shared" ca="1" si="18"/>
        <v>0.67075512010048055</v>
      </c>
      <c r="BB29" s="302">
        <f t="shared" ca="1" si="19"/>
        <v>2273.5776973089219</v>
      </c>
      <c r="BI29" s="46">
        <v>2028</v>
      </c>
      <c r="BJ29" s="302">
        <f>'Financial Projections'!BI26</f>
        <v>20348.604873442575</v>
      </c>
      <c r="BK29" s="313">
        <f t="shared" ca="1" si="20"/>
        <v>0.71330944337259883</v>
      </c>
      <c r="BL29" s="302">
        <f t="shared" ca="1" si="21"/>
        <v>14514.852015684275</v>
      </c>
    </row>
    <row r="30" spans="1:64" ht="14.4" customHeight="1" x14ac:dyDescent="0.3">
      <c r="A30" s="328">
        <v>2029</v>
      </c>
      <c r="B30" s="47">
        <f>'Financial Projections'!H26</f>
        <v>731.40967327245767</v>
      </c>
      <c r="C30" s="313">
        <f t="shared" ca="1" si="10"/>
        <v>0.63758964586390332</v>
      </c>
      <c r="D30" s="47">
        <f t="shared" ca="1" si="11"/>
        <v>466.33923456321952</v>
      </c>
      <c r="K30" s="46">
        <v>2029</v>
      </c>
      <c r="L30" s="302">
        <f>'Financial Projections'!Q26</f>
        <v>15935.878439562222</v>
      </c>
      <c r="M30" s="313">
        <f t="shared" ca="1" si="12"/>
        <v>0.69061257470966952</v>
      </c>
      <c r="N30" s="302">
        <f t="shared" ca="1" si="13"/>
        <v>11005.518039406377</v>
      </c>
      <c r="U30" s="46">
        <v>2029</v>
      </c>
      <c r="V30" s="302">
        <f>'Financial Projections'!Z26</f>
        <v>8721.2644742328375</v>
      </c>
      <c r="W30" s="313">
        <f t="shared" ca="1" si="14"/>
        <v>0.65993112956152911</v>
      </c>
      <c r="X30" s="47">
        <f t="shared" ca="1" si="15"/>
        <v>5755.4339156853121</v>
      </c>
      <c r="AE30" s="46">
        <v>2029</v>
      </c>
      <c r="AF30" s="302">
        <f>'Financial Projections'!AI26</f>
        <v>13718.181062584161</v>
      </c>
      <c r="AG30" s="313">
        <f t="shared" ca="1" si="16"/>
        <v>0.59722827431828895</v>
      </c>
      <c r="AH30" s="302">
        <f t="shared" ca="1" si="17"/>
        <v>8192.8856027929705</v>
      </c>
      <c r="AO30" s="46">
        <v>2029</v>
      </c>
      <c r="AP30" s="302"/>
      <c r="AQ30" s="313"/>
      <c r="AR30" s="302"/>
      <c r="AY30" s="46">
        <v>2029</v>
      </c>
      <c r="AZ30" s="302">
        <f>'Financial Projections'!BA26</f>
        <v>3983.8158944375832</v>
      </c>
      <c r="BA30" s="313">
        <f t="shared" ca="1" si="18"/>
        <v>0.61926537185919051</v>
      </c>
      <c r="BB30" s="302">
        <f t="shared" ca="1" si="19"/>
        <v>2467.0392312874437</v>
      </c>
      <c r="BI30" s="46">
        <v>2029</v>
      </c>
      <c r="BJ30" s="302">
        <f>'Financial Projections'!BJ26</f>
        <v>23109.588139396012</v>
      </c>
      <c r="BK30" s="313">
        <f t="shared" ca="1" si="20"/>
        <v>0.666704779192692</v>
      </c>
      <c r="BL30" s="302">
        <f t="shared" ca="1" si="21"/>
        <v>15407.272857710072</v>
      </c>
    </row>
    <row r="31" spans="1:64" ht="14.4" customHeight="1" x14ac:dyDescent="0.3">
      <c r="A31" s="328">
        <v>2030</v>
      </c>
      <c r="B31" s="47">
        <f>'Financial Projections'!I26</f>
        <v>808.02852691979183</v>
      </c>
      <c r="C31" s="313">
        <f t="shared" ca="1" si="10"/>
        <v>0.59151368719949837</v>
      </c>
      <c r="D31" s="47">
        <f t="shared" ca="1" si="11"/>
        <v>477.9599333207052</v>
      </c>
      <c r="K31" s="46">
        <v>2030</v>
      </c>
      <c r="L31" s="302">
        <f>'Financial Projections'!R26</f>
        <v>18425.730936332075</v>
      </c>
      <c r="M31" s="313">
        <f t="shared" ca="1" si="12"/>
        <v>0.64929226430176934</v>
      </c>
      <c r="N31" s="302">
        <f t="shared" ca="1" si="13"/>
        <v>11963.684561066213</v>
      </c>
      <c r="U31" s="46">
        <v>2030</v>
      </c>
      <c r="V31" s="302">
        <f>'Financial Projections'!AA26</f>
        <v>10238.462693952886</v>
      </c>
      <c r="W31" s="313">
        <f t="shared" ca="1" si="14"/>
        <v>0.61576507189716889</v>
      </c>
      <c r="X31" s="47">
        <f t="shared" ca="1" si="15"/>
        <v>6304.4877168583807</v>
      </c>
      <c r="AE31" s="46">
        <v>2030</v>
      </c>
      <c r="AF31" s="302">
        <f>'Financial Projections'!AJ26</f>
        <v>13992.755799390674</v>
      </c>
      <c r="AG31" s="313">
        <f t="shared" ca="1" si="16"/>
        <v>0.54806291992877809</v>
      </c>
      <c r="AH31" s="302">
        <f t="shared" ca="1" si="17"/>
        <v>7668.9106012643961</v>
      </c>
      <c r="AO31" s="46">
        <v>2030</v>
      </c>
      <c r="AP31" s="302"/>
      <c r="AQ31" s="313"/>
      <c r="AR31" s="302"/>
      <c r="AY31" s="46">
        <v>2030</v>
      </c>
      <c r="AZ31" s="302">
        <f>'Financial Projections'!BB26</f>
        <v>4682.9604186384868</v>
      </c>
      <c r="BA31" s="313">
        <f t="shared" ca="1" si="18"/>
        <v>0.57172817514453533</v>
      </c>
      <c r="BB31" s="302">
        <f t="shared" ca="1" si="19"/>
        <v>2677.3804144222713</v>
      </c>
      <c r="BI31" s="46">
        <v>2030</v>
      </c>
      <c r="BJ31" s="302">
        <f>'Financial Projections'!BK26</f>
        <v>26246.25523140603</v>
      </c>
      <c r="BK31" s="313">
        <f t="shared" ca="1" si="20"/>
        <v>0.623145069406004</v>
      </c>
      <c r="BL31" s="302">
        <f t="shared" ca="1" si="21"/>
        <v>16355.224537822207</v>
      </c>
    </row>
    <row r="33" spans="1:67" ht="14.4" customHeight="1" x14ac:dyDescent="0.3">
      <c r="A33" s="328" t="s">
        <v>406</v>
      </c>
      <c r="B33" s="311">
        <f>'Financial Ratios-Banks'!G7</f>
        <v>9.2448795394311306E-2</v>
      </c>
      <c r="K33" s="46" t="s">
        <v>406</v>
      </c>
      <c r="L33" s="311">
        <f>'Financial Ratios-Banks'!M7</f>
        <v>0.15154824954520529</v>
      </c>
      <c r="U33" s="46" t="s">
        <v>406</v>
      </c>
      <c r="V33" s="311">
        <f>'Financial Ratios-Banks'!S7</f>
        <v>0.13112977579321455</v>
      </c>
      <c r="AE33" s="46" t="s">
        <v>406</v>
      </c>
      <c r="AF33" s="311">
        <f>'Financial Ratios-Banks'!Y7</f>
        <v>0.11609354571803829</v>
      </c>
      <c r="AO33" s="46" t="s">
        <v>406</v>
      </c>
      <c r="AP33" s="311">
        <f>AVERAGE('Financial Ratios-NBFCs'!B7:F7)</f>
        <v>0.10341969115363869</v>
      </c>
      <c r="AY33" s="46" t="s">
        <v>406</v>
      </c>
      <c r="AZ33" s="311">
        <f>AVERAGE('Financial Ratios-NBFCs'!G7:K7)</f>
        <v>0.1686793070864073</v>
      </c>
      <c r="BI33" s="46" t="s">
        <v>406</v>
      </c>
      <c r="BJ33" s="311">
        <f>AVERAGE('Financial Ratios-NBFCs'!L7:P7)</f>
        <v>0.21122438315833941</v>
      </c>
    </row>
    <row r="34" spans="1:67" ht="14.4" customHeight="1" x14ac:dyDescent="0.3">
      <c r="A34" s="617" t="s">
        <v>408</v>
      </c>
      <c r="B34" s="618"/>
      <c r="C34" s="618"/>
      <c r="D34" s="618"/>
      <c r="E34" s="618"/>
      <c r="F34" s="618"/>
      <c r="G34" s="619"/>
      <c r="K34" s="600" t="s">
        <v>408</v>
      </c>
      <c r="L34" s="600"/>
      <c r="M34" s="600"/>
      <c r="N34" s="600"/>
      <c r="O34" s="600"/>
      <c r="P34" s="600"/>
      <c r="Q34" s="600"/>
      <c r="U34" s="600" t="s">
        <v>408</v>
      </c>
      <c r="V34" s="600"/>
      <c r="W34" s="600"/>
      <c r="X34" s="600"/>
      <c r="Y34" s="600"/>
      <c r="Z34" s="600"/>
      <c r="AA34" s="600"/>
      <c r="AE34" s="600" t="s">
        <v>408</v>
      </c>
      <c r="AF34" s="600"/>
      <c r="AG34" s="600"/>
      <c r="AH34" s="600"/>
      <c r="AI34" s="600"/>
      <c r="AJ34" s="600"/>
      <c r="AK34" s="600"/>
      <c r="AO34" s="600" t="s">
        <v>408</v>
      </c>
      <c r="AP34" s="600"/>
      <c r="AQ34" s="600"/>
      <c r="AR34" s="600"/>
      <c r="AS34" s="600"/>
      <c r="AT34" s="600"/>
      <c r="AU34" s="600"/>
      <c r="AY34" s="600" t="s">
        <v>408</v>
      </c>
      <c r="AZ34" s="600"/>
      <c r="BA34" s="600"/>
      <c r="BB34" s="600"/>
      <c r="BC34" s="600"/>
      <c r="BD34" s="600"/>
      <c r="BE34" s="600"/>
      <c r="BI34" s="600" t="s">
        <v>408</v>
      </c>
      <c r="BJ34" s="600"/>
      <c r="BK34" s="600"/>
      <c r="BL34" s="600"/>
      <c r="BM34" s="600"/>
      <c r="BN34" s="600"/>
      <c r="BO34" s="600"/>
    </row>
    <row r="35" spans="1:67" s="329" customFormat="1" ht="26.4" customHeight="1" x14ac:dyDescent="0.3">
      <c r="A35" s="326" t="s">
        <v>391</v>
      </c>
      <c r="B35" s="326" t="s">
        <v>401</v>
      </c>
      <c r="C35" s="326" t="s">
        <v>405</v>
      </c>
      <c r="D35" s="326" t="s">
        <v>402</v>
      </c>
      <c r="E35" s="326" t="s">
        <v>403</v>
      </c>
      <c r="F35" s="326" t="s">
        <v>393</v>
      </c>
      <c r="G35" s="326" t="s">
        <v>404</v>
      </c>
      <c r="H35" s="331"/>
      <c r="I35" s="613"/>
      <c r="K35" s="332" t="s">
        <v>391</v>
      </c>
      <c r="L35" s="332" t="s">
        <v>401</v>
      </c>
      <c r="M35" s="332" t="s">
        <v>405</v>
      </c>
      <c r="N35" s="332" t="s">
        <v>402</v>
      </c>
      <c r="O35" s="332" t="s">
        <v>403</v>
      </c>
      <c r="P35" s="332" t="s">
        <v>393</v>
      </c>
      <c r="Q35" s="332" t="s">
        <v>416</v>
      </c>
      <c r="S35" s="613"/>
      <c r="U35" s="332" t="s">
        <v>391</v>
      </c>
      <c r="V35" s="332" t="s">
        <v>401</v>
      </c>
      <c r="W35" s="332" t="s">
        <v>405</v>
      </c>
      <c r="X35" s="332" t="s">
        <v>402</v>
      </c>
      <c r="Y35" s="332" t="s">
        <v>403</v>
      </c>
      <c r="Z35" s="332" t="s">
        <v>393</v>
      </c>
      <c r="AA35" s="332" t="s">
        <v>416</v>
      </c>
      <c r="AC35" s="613"/>
      <c r="AE35" s="332" t="s">
        <v>391</v>
      </c>
      <c r="AF35" s="332" t="s">
        <v>401</v>
      </c>
      <c r="AG35" s="332" t="s">
        <v>405</v>
      </c>
      <c r="AH35" s="332" t="s">
        <v>402</v>
      </c>
      <c r="AI35" s="332" t="s">
        <v>403</v>
      </c>
      <c r="AJ35" s="332" t="s">
        <v>393</v>
      </c>
      <c r="AK35" s="332" t="s">
        <v>416</v>
      </c>
      <c r="AM35" s="610"/>
      <c r="AO35" s="332" t="s">
        <v>391</v>
      </c>
      <c r="AP35" s="332" t="s">
        <v>401</v>
      </c>
      <c r="AQ35" s="332" t="s">
        <v>405</v>
      </c>
      <c r="AR35" s="332" t="s">
        <v>402</v>
      </c>
      <c r="AS35" s="332" t="s">
        <v>403</v>
      </c>
      <c r="AT35" s="332" t="s">
        <v>393</v>
      </c>
      <c r="AU35" s="332" t="s">
        <v>416</v>
      </c>
      <c r="AW35" s="610"/>
      <c r="AY35" s="332" t="s">
        <v>391</v>
      </c>
      <c r="AZ35" s="332" t="s">
        <v>401</v>
      </c>
      <c r="BA35" s="332" t="s">
        <v>405</v>
      </c>
      <c r="BB35" s="332" t="s">
        <v>402</v>
      </c>
      <c r="BC35" s="332" t="s">
        <v>403</v>
      </c>
      <c r="BD35" s="332" t="s">
        <v>393</v>
      </c>
      <c r="BE35" s="332" t="s">
        <v>416</v>
      </c>
      <c r="BG35" s="610"/>
      <c r="BI35" s="332" t="s">
        <v>391</v>
      </c>
      <c r="BJ35" s="332" t="s">
        <v>401</v>
      </c>
      <c r="BK35" s="332" t="s">
        <v>405</v>
      </c>
      <c r="BL35" s="332" t="s">
        <v>402</v>
      </c>
      <c r="BM35" s="332" t="s">
        <v>403</v>
      </c>
      <c r="BN35" s="332" t="s">
        <v>393</v>
      </c>
      <c r="BO35" s="332" t="s">
        <v>416</v>
      </c>
    </row>
    <row r="36" spans="1:67" ht="14.4" customHeight="1" x14ac:dyDescent="0.3">
      <c r="A36" s="328">
        <v>2024</v>
      </c>
      <c r="B36" s="302">
        <f t="shared" ref="B36:B42" si="22">$B$33*C36</f>
        <v>14562.807898946283</v>
      </c>
      <c r="C36" s="302">
        <f>'Financial Projections'!B19</f>
        <v>157522.96</v>
      </c>
      <c r="D36" s="302">
        <f t="shared" ref="D36:D42" ca="1" si="23">C36*$C$15</f>
        <v>12270.2509692</v>
      </c>
      <c r="E36" s="302">
        <f ca="1">B36-D36</f>
        <v>2292.5569297462825</v>
      </c>
      <c r="F36" s="313">
        <f t="shared" ref="F36:F42" ca="1" si="24">C25</f>
        <v>0.9277341485024051</v>
      </c>
      <c r="G36" s="47">
        <f ca="1">E36*F36</f>
        <v>2126.8833511114558</v>
      </c>
      <c r="K36" s="46">
        <v>2024</v>
      </c>
      <c r="L36" s="302">
        <f>'Financial Projections'!K23</f>
        <v>69816.976413958022</v>
      </c>
      <c r="M36" s="302">
        <f>'Financial Projections'!K19</f>
        <v>469778.65</v>
      </c>
      <c r="N36" s="302">
        <f ca="1">M36*$M$15</f>
        <v>29896.243507350002</v>
      </c>
      <c r="O36" s="302">
        <f ca="1">L36-N36</f>
        <v>39920.73290660802</v>
      </c>
      <c r="P36" s="313">
        <f ca="1">M25</f>
        <v>0.94016860983848838</v>
      </c>
      <c r="Q36" s="302">
        <f ca="1">O36*P36</f>
        <v>37532.21996053926</v>
      </c>
      <c r="U36" s="46">
        <v>2024</v>
      </c>
      <c r="V36" s="302">
        <f>W36*$V$33</f>
        <v>35409.26446554398</v>
      </c>
      <c r="W36" s="302">
        <f>'Financial Projections'!T19</f>
        <v>270032.21999999997</v>
      </c>
      <c r="X36" s="302">
        <f ca="1">$W$15*W36</f>
        <v>19368.195995609996</v>
      </c>
      <c r="Y36" s="302">
        <f ca="1">V36-X36</f>
        <v>16041.068469933984</v>
      </c>
      <c r="Z36" s="313">
        <f ca="1">W25</f>
        <v>0.93307474721838768</v>
      </c>
      <c r="AA36" s="302">
        <f ca="1">Y36*Z36</f>
        <v>14967.515907696501</v>
      </c>
      <c r="AE36" s="46">
        <v>2024</v>
      </c>
      <c r="AF36" s="302">
        <f>AG36*$AF$33</f>
        <v>41175.610495403285</v>
      </c>
      <c r="AG36" s="302">
        <f>'Financial Projections'!AC19</f>
        <v>354676.13845999999</v>
      </c>
      <c r="AH36" s="302">
        <f ca="1">AG36*$AH$15</f>
        <v>31817.109690900455</v>
      </c>
      <c r="AI36" s="302">
        <f ca="1">AF36-AH36</f>
        <v>9358.5008045028299</v>
      </c>
      <c r="AJ36" s="313">
        <f ca="1">AG4</f>
        <v>0.91767745014143698</v>
      </c>
      <c r="AK36" s="302">
        <f ca="1">AI36*AJ36</f>
        <v>8588.0851554227429</v>
      </c>
      <c r="AO36" s="46">
        <v>2024</v>
      </c>
      <c r="AP36" s="302">
        <f>'Financial Projections'!AL23</f>
        <v>1538.9836029401076</v>
      </c>
      <c r="AQ36" s="302">
        <f>'Financial Projections'!AL19</f>
        <v>12233.5</v>
      </c>
      <c r="AR36" s="302">
        <f>AQ36*$AR$15</f>
        <v>1329.7814499999999</v>
      </c>
      <c r="AS36" s="302">
        <f>AP36-AR36</f>
        <v>209.20215294010768</v>
      </c>
      <c r="AT36" s="313">
        <f ca="1">AQ4</f>
        <v>0.90886679080272248</v>
      </c>
      <c r="AU36" s="302">
        <f ca="1">AS36*AT36</f>
        <v>190.13688937169601</v>
      </c>
      <c r="AX36" s="303"/>
      <c r="AY36" s="46">
        <v>2024</v>
      </c>
      <c r="AZ36" s="302">
        <f>$AZ$33*BA36</f>
        <v>12936.918494749489</v>
      </c>
      <c r="BA36" s="302">
        <f>'Financial Projections'!AU19</f>
        <v>76695.350000000006</v>
      </c>
      <c r="BB36" s="302">
        <f>BA36*$BB$15</f>
        <v>9640.6054950000016</v>
      </c>
      <c r="BC36" s="302">
        <f>AZ36-BB36</f>
        <v>3296.3129997494871</v>
      </c>
      <c r="BD36" s="313">
        <f ca="1">BA4</f>
        <v>0.92323614580299151</v>
      </c>
      <c r="BE36" s="302">
        <f ca="1">BC36*BD36</f>
        <v>3043.2753092490138</v>
      </c>
      <c r="BI36" s="46">
        <v>2024</v>
      </c>
      <c r="BJ36" s="302">
        <f>'Financial Projections'!BD23</f>
        <v>55434.477284853834</v>
      </c>
      <c r="BK36" s="302">
        <f>'Financial Projections'!BD19</f>
        <v>257540.4</v>
      </c>
      <c r="BL36" s="302">
        <f>BK36*$BL$15</f>
        <v>14885.83512</v>
      </c>
      <c r="BM36" s="302">
        <f>BJ36-BL36</f>
        <v>40548.642164853838</v>
      </c>
      <c r="BN36" s="313">
        <f ca="1">BK25</f>
        <v>0.93466417049022199</v>
      </c>
      <c r="BO36" s="302">
        <f ca="1">BM36*BN36</f>
        <v>37899.362993517949</v>
      </c>
    </row>
    <row r="37" spans="1:67" ht="14.4" customHeight="1" x14ac:dyDescent="0.3">
      <c r="A37" s="328">
        <v>2025</v>
      </c>
      <c r="B37" s="302">
        <f t="shared" si="22"/>
        <v>19656.52147111567</v>
      </c>
      <c r="C37" s="302">
        <f>'Financial Projections'!D21</f>
        <v>212620.63380357687</v>
      </c>
      <c r="D37" s="302">
        <f t="shared" ca="1" si="23"/>
        <v>16562.084270129621</v>
      </c>
      <c r="E37" s="302">
        <f t="shared" ref="E37:E42" ca="1" si="25">B37-D37</f>
        <v>3094.437200986049</v>
      </c>
      <c r="F37" s="313">
        <f t="shared" ca="1" si="24"/>
        <v>0.8606906502974826</v>
      </c>
      <c r="G37" s="47">
        <f t="shared" ref="G37:G42" ca="1" si="26">E37*F37</f>
        <v>2663.3531668214046</v>
      </c>
      <c r="K37" s="46">
        <v>2025</v>
      </c>
      <c r="L37" s="302">
        <f>'Financial Projections'!M23</f>
        <v>82628.654285693992</v>
      </c>
      <c r="M37" s="302">
        <f>'Financial Projections'!M19</f>
        <v>485592.67018172593</v>
      </c>
      <c r="N37" s="302">
        <f t="shared" ref="N37:N42" ca="1" si="27">M37*$M$15</f>
        <v>30902.631937694856</v>
      </c>
      <c r="O37" s="302">
        <f t="shared" ref="O37:O42" ca="1" si="28">L37-N37</f>
        <v>51726.02234799914</v>
      </c>
      <c r="P37" s="313">
        <f t="shared" ref="P37:P42" ca="1" si="29">M26</f>
        <v>0.8839170149256359</v>
      </c>
      <c r="Q37" s="302">
        <f t="shared" ref="Q37:Q42" ca="1" si="30">O37*P37</f>
        <v>45721.511267820133</v>
      </c>
      <c r="U37" s="46">
        <v>2025</v>
      </c>
      <c r="V37" s="302">
        <f t="shared" ref="V37:V42" si="31">W37*$V$33</f>
        <v>33458.824459696363</v>
      </c>
      <c r="W37" s="302">
        <f>'Financial Projections'!V19</f>
        <v>255158.10011342767</v>
      </c>
      <c r="X37" s="302">
        <f t="shared" ref="X37:X42" ca="1" si="32">$W$15*W37</f>
        <v>18301.342309685657</v>
      </c>
      <c r="Y37" s="302">
        <f t="shared" ref="Y37:Y42" ca="1" si="33">V37-X37</f>
        <v>15157.482150010706</v>
      </c>
      <c r="Z37" s="313">
        <f t="shared" ref="Z37:Z42" ca="1" si="34">W26</f>
        <v>0.87062848389665792</v>
      </c>
      <c r="AA37" s="302">
        <f t="shared" ref="AA37:AA42" ca="1" si="35">Y37*Z37</f>
        <v>13196.535703954476</v>
      </c>
      <c r="AE37" s="46">
        <v>2025</v>
      </c>
      <c r="AF37" s="302">
        <f t="shared" ref="AF37:AF42" si="36">AG37*$AF$33</f>
        <v>47483.517934278563</v>
      </c>
      <c r="AG37" s="302">
        <f>'Financial Projections'!AE19</f>
        <v>409010.83381158812</v>
      </c>
      <c r="AH37" s="302">
        <f t="shared" ref="AH37:AH42" ca="1" si="37">AG37*$AH$15</f>
        <v>36691.339374153053</v>
      </c>
      <c r="AI37" s="302">
        <f t="shared" ref="AI37:AI42" ca="1" si="38">AF37-AH37</f>
        <v>10792.178560125511</v>
      </c>
      <c r="AJ37" s="313">
        <f t="shared" ref="AJ37:AJ42" ca="1" si="39">AG5</f>
        <v>0.84213190249808956</v>
      </c>
      <c r="AK37" s="302">
        <f t="shared" ref="AK37:AK42" ca="1" si="40">AI37*AJ37</f>
        <v>9088.4378629375897</v>
      </c>
      <c r="AO37" s="46">
        <v>2025</v>
      </c>
      <c r="AP37" s="302">
        <f>'Financial Projections'!AN23</f>
        <v>1973.3077313684844</v>
      </c>
      <c r="AQ37" s="302">
        <f>'Financial Projections'!AN19</f>
        <v>15758.3094737352</v>
      </c>
      <c r="AR37" s="302">
        <f t="shared" ref="AR37:AR42" si="41">AQ37*$AR$15</f>
        <v>1712.9282397950165</v>
      </c>
      <c r="AS37" s="302">
        <f t="shared" ref="AS37:AS42" si="42">AP37-AR37</f>
        <v>260.37949157346793</v>
      </c>
      <c r="AT37" s="313">
        <f t="shared" ref="AT37:AT42" ca="1" si="43">AQ5</f>
        <v>0.82603884342403977</v>
      </c>
      <c r="AU37" s="302">
        <f t="shared" ref="AU37:AU42" ca="1" si="44">AS37*AT37</f>
        <v>215.08357407068695</v>
      </c>
      <c r="AY37" s="46">
        <v>2025</v>
      </c>
      <c r="AZ37" s="302">
        <f t="shared" ref="AZ37:AZ42" si="45">$AZ$33*BA37</f>
        <v>13456.640167458752</v>
      </c>
      <c r="BA37" s="302">
        <f>'Financial Projections'!AW19</f>
        <v>79776.472881557915</v>
      </c>
      <c r="BB37" s="302">
        <f t="shared" ref="BB37:BB42" si="46">BA37*$BB$15</f>
        <v>10027.902641211831</v>
      </c>
      <c r="BC37" s="302">
        <f t="shared" ref="BC37:BC42" si="47">AZ37-BB37</f>
        <v>3428.7375262469213</v>
      </c>
      <c r="BD37" s="313">
        <f t="shared" ref="BD37:BD42" ca="1" si="48">BA5</f>
        <v>0.85236498091716273</v>
      </c>
      <c r="BE37" s="302">
        <f t="shared" ref="BE37:BE42" ca="1" si="49">BC37*BD37</f>
        <v>2922.5357961294167</v>
      </c>
      <c r="BI37" s="46">
        <v>2025</v>
      </c>
      <c r="BJ37" s="302">
        <f>'Financial Projections'!BF23</f>
        <v>70110.224540334835</v>
      </c>
      <c r="BK37" s="302">
        <f>'Financial Projections'!BF19</f>
        <v>269505.54433009023</v>
      </c>
      <c r="BL37" s="302">
        <f t="shared" ref="BL37:BL42" si="50">BK37*$BL$15</f>
        <v>15577.420462279215</v>
      </c>
      <c r="BM37" s="302">
        <f t="shared" ref="BM37:BM42" si="51">BJ37-BL37</f>
        <v>54532.804078055618</v>
      </c>
      <c r="BN37" s="313">
        <f t="shared" ref="BN37:BN42" ca="1" si="52">BK26</f>
        <v>0.87359711159817466</v>
      </c>
      <c r="BO37" s="302">
        <f t="shared" ref="BO37:BO42" ca="1" si="53">BM37*BN37</f>
        <v>47639.700129938545</v>
      </c>
    </row>
    <row r="38" spans="1:67" ht="14.4" customHeight="1" x14ac:dyDescent="0.3">
      <c r="A38" s="328">
        <v>2026</v>
      </c>
      <c r="B38" s="302">
        <f t="shared" si="22"/>
        <v>22815.557896958708</v>
      </c>
      <c r="C38" s="302">
        <f>'Financial Projections'!E21</f>
        <v>246791.294571726</v>
      </c>
      <c r="D38" s="302">
        <f t="shared" ca="1" si="23"/>
        <v>19223.807890664597</v>
      </c>
      <c r="E38" s="302">
        <f t="shared" ca="1" si="25"/>
        <v>3591.7500062941108</v>
      </c>
      <c r="F38" s="313">
        <f t="shared" ca="1" si="24"/>
        <v>0.79849210757771638</v>
      </c>
      <c r="G38" s="47">
        <f t="shared" ca="1" si="26"/>
        <v>2867.9840324180605</v>
      </c>
      <c r="K38" s="46">
        <v>2026</v>
      </c>
      <c r="L38" s="302">
        <f>'Financial Projections'!N23</f>
        <v>94913.598853867443</v>
      </c>
      <c r="M38" s="302">
        <f>'Financial Projections'!N19</f>
        <v>581309.02796814125</v>
      </c>
      <c r="N38" s="302">
        <f t="shared" ca="1" si="27"/>
        <v>36993.925230864545</v>
      </c>
      <c r="O38" s="302">
        <f t="shared" ca="1" si="28"/>
        <v>57919.673623002898</v>
      </c>
      <c r="P38" s="313">
        <f t="shared" ca="1" si="29"/>
        <v>0.83103103113522159</v>
      </c>
      <c r="Q38" s="302">
        <f t="shared" ca="1" si="30"/>
        <v>48133.046093939593</v>
      </c>
      <c r="U38" s="46">
        <v>2026</v>
      </c>
      <c r="V38" s="302">
        <f t="shared" si="31"/>
        <v>37570.507885268242</v>
      </c>
      <c r="W38" s="302">
        <f>'Financial Projections'!W19</f>
        <v>286513.93368135666</v>
      </c>
      <c r="X38" s="302">
        <f t="shared" ca="1" si="32"/>
        <v>20550.355150262145</v>
      </c>
      <c r="Y38" s="302">
        <f t="shared" ca="1" si="33"/>
        <v>17020.152735006097</v>
      </c>
      <c r="Z38" s="313">
        <f t="shared" ca="1" si="34"/>
        <v>0.81236145253300218</v>
      </c>
      <c r="AA38" s="302">
        <f t="shared" ca="1" si="35"/>
        <v>13826.515998143102</v>
      </c>
      <c r="AE38" s="46">
        <v>2026</v>
      </c>
      <c r="AF38" s="302">
        <f t="shared" si="36"/>
        <v>52123.292960909283</v>
      </c>
      <c r="AG38" s="302">
        <f>'Financial Projections'!AF19</f>
        <v>448976.66479671065</v>
      </c>
      <c r="AH38" s="302">
        <f t="shared" ca="1" si="37"/>
        <v>40276.574157250929</v>
      </c>
      <c r="AI38" s="302">
        <f t="shared" ca="1" si="38"/>
        <v>11846.718803658354</v>
      </c>
      <c r="AJ38" s="313">
        <f t="shared" ca="1" si="39"/>
        <v>0.77280545696720404</v>
      </c>
      <c r="AK38" s="302">
        <f t="shared" ca="1" si="40"/>
        <v>9155.2089386231637</v>
      </c>
      <c r="AO38" s="46">
        <v>2026</v>
      </c>
      <c r="AP38" s="302">
        <f>'Financial Projections'!AO23</f>
        <v>2376.9939125370647</v>
      </c>
      <c r="AQ38" s="302">
        <f>'Financial Projections'!AO19</f>
        <v>19409.296397612045</v>
      </c>
      <c r="AR38" s="302">
        <f t="shared" si="41"/>
        <v>2109.7905184204292</v>
      </c>
      <c r="AS38" s="302">
        <f t="shared" si="42"/>
        <v>267.20339411663554</v>
      </c>
      <c r="AT38" s="313">
        <f t="shared" ca="1" si="43"/>
        <v>0.75075927270119958</v>
      </c>
      <c r="AU38" s="302">
        <f t="shared" ca="1" si="44"/>
        <v>200.60542583029729</v>
      </c>
      <c r="AY38" s="46">
        <v>2026</v>
      </c>
      <c r="AZ38" s="302">
        <f t="shared" si="45"/>
        <v>15906.810501780859</v>
      </c>
      <c r="BA38" s="302">
        <f>'Financial Projections'!AX19</f>
        <v>94302.08587252775</v>
      </c>
      <c r="BB38" s="302">
        <f t="shared" si="46"/>
        <v>11853.77219417674</v>
      </c>
      <c r="BC38" s="302">
        <f t="shared" si="47"/>
        <v>4053.0383076041198</v>
      </c>
      <c r="BD38" s="313">
        <f t="shared" ca="1" si="48"/>
        <v>0.78693415979940173</v>
      </c>
      <c r="BE38" s="302">
        <f t="shared" ca="1" si="49"/>
        <v>3189.4742952292372</v>
      </c>
      <c r="BI38" s="46">
        <v>2026</v>
      </c>
      <c r="BJ38" s="302">
        <f>'Financial Projections'!BG23</f>
        <v>79613.82846189657</v>
      </c>
      <c r="BK38" s="302">
        <f>'Financial Projections'!BG19</f>
        <v>305565.35697805183</v>
      </c>
      <c r="BL38" s="302">
        <f t="shared" si="50"/>
        <v>17661.677633331394</v>
      </c>
      <c r="BM38" s="302">
        <f t="shared" si="51"/>
        <v>61952.15082856518</v>
      </c>
      <c r="BN38" s="313">
        <f t="shared" ca="1" si="52"/>
        <v>0.81651991965456183</v>
      </c>
      <c r="BO38" s="302">
        <f t="shared" ca="1" si="53"/>
        <v>50585.16521696734</v>
      </c>
    </row>
    <row r="39" spans="1:67" ht="14.4" customHeight="1" x14ac:dyDescent="0.3">
      <c r="A39" s="328">
        <v>2027</v>
      </c>
      <c r="B39" s="302">
        <f t="shared" si="22"/>
        <v>26304.641390912187</v>
      </c>
      <c r="C39" s="302">
        <f>'Financial Projections'!F21</f>
        <v>284532.00800202967</v>
      </c>
      <c r="D39" s="302">
        <f t="shared" ca="1" si="23"/>
        <v>22163.620763318104</v>
      </c>
      <c r="E39" s="302">
        <f t="shared" ca="1" si="25"/>
        <v>4141.0206275940836</v>
      </c>
      <c r="F39" s="313">
        <f t="shared" ca="1" si="24"/>
        <v>0.74078839550950348</v>
      </c>
      <c r="G39" s="47">
        <f t="shared" ca="1" si="26"/>
        <v>3067.6200264871782</v>
      </c>
      <c r="K39" s="46">
        <v>2027</v>
      </c>
      <c r="L39" s="302">
        <f>'Financial Projections'!O23</f>
        <v>108199.58645988026</v>
      </c>
      <c r="M39" s="302">
        <f>'Financial Projections'!O19</f>
        <v>695892.27092493698</v>
      </c>
      <c r="N39" s="302">
        <f t="shared" ca="1" si="27"/>
        <v>44285.888229392069</v>
      </c>
      <c r="O39" s="302">
        <f t="shared" ca="1" si="28"/>
        <v>63913.698230488189</v>
      </c>
      <c r="P39" s="313">
        <f t="shared" ca="1" si="29"/>
        <v>0.78130928927504684</v>
      </c>
      <c r="Q39" s="302">
        <f t="shared" ca="1" si="30"/>
        <v>49936.366139402548</v>
      </c>
      <c r="U39" s="46">
        <v>2027</v>
      </c>
      <c r="V39" s="302">
        <f t="shared" si="31"/>
        <v>42187.467299017371</v>
      </c>
      <c r="W39" s="302">
        <f>'Financial Projections'!X19</f>
        <v>321723.01861893677</v>
      </c>
      <c r="X39" s="302">
        <f t="shared" ca="1" si="32"/>
        <v>23075.744371952547</v>
      </c>
      <c r="Y39" s="302">
        <f t="shared" ca="1" si="33"/>
        <v>19111.722927064824</v>
      </c>
      <c r="Z39" s="313">
        <f t="shared" ca="1" si="34"/>
        <v>0.75799395697219318</v>
      </c>
      <c r="AA39" s="302">
        <f t="shared" ca="1" si="35"/>
        <v>14486.570486042052</v>
      </c>
      <c r="AE39" s="46">
        <v>2027</v>
      </c>
      <c r="AF39" s="302">
        <f t="shared" si="36"/>
        <v>57216.436087341332</v>
      </c>
      <c r="AG39" s="302">
        <f>'Financial Projections'!AG19</f>
        <v>492847.69220767455</v>
      </c>
      <c r="AH39" s="302">
        <f t="shared" ca="1" si="37"/>
        <v>44212.134348719977</v>
      </c>
      <c r="AI39" s="302">
        <f t="shared" ca="1" si="38"/>
        <v>13004.301738621354</v>
      </c>
      <c r="AJ39" s="313">
        <f t="shared" ca="1" si="39"/>
        <v>0.70918614120505175</v>
      </c>
      <c r="AK39" s="302">
        <f t="shared" ca="1" si="40"/>
        <v>9222.4705690790233</v>
      </c>
      <c r="AO39" s="46">
        <v>2027</v>
      </c>
      <c r="AP39" s="302">
        <f>'Financial Projections'!AP23</f>
        <v>2872.1258946276339</v>
      </c>
      <c r="AQ39" s="302">
        <f>'Financial Projections'!AP19</f>
        <v>23906.167554219352</v>
      </c>
      <c r="AR39" s="302">
        <f t="shared" si="41"/>
        <v>2598.6004131436434</v>
      </c>
      <c r="AS39" s="302">
        <f t="shared" si="42"/>
        <v>273.52548148399046</v>
      </c>
      <c r="AT39" s="313">
        <f t="shared" ca="1" si="43"/>
        <v>0.68234017084532528</v>
      </c>
      <c r="AU39" s="302">
        <f t="shared" ca="1" si="44"/>
        <v>186.6374237663359</v>
      </c>
      <c r="AY39" s="46">
        <v>2027</v>
      </c>
      <c r="AZ39" s="302">
        <f t="shared" si="45"/>
        <v>18803.105172674706</v>
      </c>
      <c r="BA39" s="302">
        <f>'Financial Projections'!AY19</f>
        <v>111472.50660119602</v>
      </c>
      <c r="BB39" s="302">
        <f t="shared" si="46"/>
        <v>14012.094079770341</v>
      </c>
      <c r="BC39" s="302">
        <f t="shared" si="47"/>
        <v>4791.0110929043658</v>
      </c>
      <c r="BD39" s="313">
        <f t="shared" ca="1" si="48"/>
        <v>0.72652606069391523</v>
      </c>
      <c r="BE39" s="302">
        <f t="shared" ca="1" si="49"/>
        <v>3480.7944160686584</v>
      </c>
      <c r="BI39" s="46">
        <v>2027</v>
      </c>
      <c r="BJ39" s="302">
        <f>'Financial Projections'!BH23</f>
        <v>90409.087715849499</v>
      </c>
      <c r="BK39" s="302">
        <f>'Financial Projections'!BH19</f>
        <v>346449.96865357429</v>
      </c>
      <c r="BL39" s="302">
        <f t="shared" si="50"/>
        <v>20024.808188176594</v>
      </c>
      <c r="BM39" s="302">
        <f t="shared" si="51"/>
        <v>70384.279527672901</v>
      </c>
      <c r="BN39" s="313">
        <f t="shared" ca="1" si="52"/>
        <v>0.76317191339267365</v>
      </c>
      <c r="BO39" s="302">
        <f t="shared" ca="1" si="53"/>
        <v>53715.305279898916</v>
      </c>
    </row>
    <row r="40" spans="1:67" ht="14.4" customHeight="1" x14ac:dyDescent="0.3">
      <c r="A40" s="328">
        <v>2028</v>
      </c>
      <c r="B40" s="302">
        <f t="shared" si="22"/>
        <v>30158.642345962224</v>
      </c>
      <c r="C40" s="302">
        <f>'Financial Projections'!G21</f>
        <v>326219.96011229791</v>
      </c>
      <c r="D40" s="302">
        <f t="shared" ca="1" si="23"/>
        <v>25410.903792947447</v>
      </c>
      <c r="E40" s="302">
        <f t="shared" ca="1" si="25"/>
        <v>4747.7385530147767</v>
      </c>
      <c r="F40" s="313">
        <f t="shared" ca="1" si="24"/>
        <v>0.68725469132847217</v>
      </c>
      <c r="G40" s="47">
        <f t="shared" ca="1" si="26"/>
        <v>3262.9055937604576</v>
      </c>
      <c r="K40" s="46">
        <v>2028</v>
      </c>
      <c r="L40" s="302">
        <f>'Financial Projections'!P23</f>
        <v>123663.11313525234</v>
      </c>
      <c r="M40" s="302">
        <f>'Financial Projections'!P19</f>
        <v>833061.29689010466</v>
      </c>
      <c r="N40" s="302">
        <f t="shared" ca="1" si="27"/>
        <v>53015.187872789371</v>
      </c>
      <c r="O40" s="302">
        <f t="shared" ca="1" si="28"/>
        <v>70647.925262462959</v>
      </c>
      <c r="P40" s="313">
        <f t="shared" ca="1" si="29"/>
        <v>0.7345624683516182</v>
      </c>
      <c r="Q40" s="302">
        <f t="shared" ca="1" si="30"/>
        <v>51895.314364715436</v>
      </c>
      <c r="U40" s="46">
        <v>2028</v>
      </c>
      <c r="V40" s="302">
        <f t="shared" si="31"/>
        <v>47371.794987193403</v>
      </c>
      <c r="W40" s="302">
        <f>'Financial Projections'!Y19</f>
        <v>361258.8727513458</v>
      </c>
      <c r="X40" s="302">
        <f t="shared" ca="1" si="32"/>
        <v>25911.473277526653</v>
      </c>
      <c r="Y40" s="302">
        <f t="shared" ca="1" si="33"/>
        <v>21460.32170966675</v>
      </c>
      <c r="Z40" s="313">
        <f t="shared" ca="1" si="34"/>
        <v>0.70726501979489453</v>
      </c>
      <c r="AA40" s="302">
        <f t="shared" ca="1" si="35"/>
        <v>15178.134858792258</v>
      </c>
      <c r="AE40" s="46">
        <v>2028</v>
      </c>
      <c r="AF40" s="302">
        <f t="shared" si="36"/>
        <v>62807.247442942542</v>
      </c>
      <c r="AG40" s="302">
        <f>'Financial Projections'!AH19</f>
        <v>541005.50598639983</v>
      </c>
      <c r="AH40" s="302">
        <f t="shared" ca="1" si="37"/>
        <v>48532.251428274976</v>
      </c>
      <c r="AI40" s="302">
        <f t="shared" ca="1" si="38"/>
        <v>14274.996014667566</v>
      </c>
      <c r="AJ40" s="313">
        <f t="shared" ca="1" si="39"/>
        <v>0.65080412973669699</v>
      </c>
      <c r="AK40" s="302">
        <f t="shared" ca="1" si="40"/>
        <v>9290.2263583205422</v>
      </c>
      <c r="AO40" s="46">
        <v>2028</v>
      </c>
      <c r="AP40" s="302">
        <f>'Financial Projections'!AQ23</f>
        <v>3479.8093484565752</v>
      </c>
      <c r="AQ40" s="302">
        <f>'Financial Projections'!AQ19</f>
        <v>29444.902866274082</v>
      </c>
      <c r="AR40" s="302">
        <f t="shared" si="41"/>
        <v>3200.6609415639928</v>
      </c>
      <c r="AS40" s="302">
        <f t="shared" si="42"/>
        <v>279.14840689258244</v>
      </c>
      <c r="AT40" s="313">
        <f t="shared" ca="1" si="43"/>
        <v>0.62015632131197207</v>
      </c>
      <c r="AU40" s="302">
        <f t="shared" ca="1" si="44"/>
        <v>173.11564911860148</v>
      </c>
      <c r="AY40" s="46">
        <v>2028</v>
      </c>
      <c r="AZ40" s="302">
        <f t="shared" si="45"/>
        <v>22226.754011753863</v>
      </c>
      <c r="BA40" s="302">
        <f>'Financial Projections'!AZ19</f>
        <v>131769.29876981315</v>
      </c>
      <c r="BB40" s="302">
        <f t="shared" si="46"/>
        <v>16563.400855365515</v>
      </c>
      <c r="BC40" s="302">
        <f t="shared" si="47"/>
        <v>5663.353156388348</v>
      </c>
      <c r="BD40" s="313">
        <f t="shared" ca="1" si="48"/>
        <v>0.67075512010048055</v>
      </c>
      <c r="BE40" s="302">
        <f t="shared" ca="1" si="49"/>
        <v>3798.7231265847022</v>
      </c>
      <c r="BI40" s="46">
        <v>2028</v>
      </c>
      <c r="BJ40" s="302">
        <f>'Financial Projections'!BI23</f>
        <v>102672.10547967436</v>
      </c>
      <c r="BK40" s="302">
        <f>'Financial Projections'!BI19</f>
        <v>392804.93694409198</v>
      </c>
      <c r="BL40" s="302">
        <f t="shared" si="50"/>
        <v>22704.125355368516</v>
      </c>
      <c r="BM40" s="302">
        <f t="shared" si="51"/>
        <v>79967.980124305846</v>
      </c>
      <c r="BN40" s="313">
        <f t="shared" ca="1" si="52"/>
        <v>0.71330944337259883</v>
      </c>
      <c r="BO40" s="302">
        <f t="shared" ca="1" si="53"/>
        <v>57041.915390099646</v>
      </c>
    </row>
    <row r="41" spans="1:67" x14ac:dyDescent="0.3">
      <c r="A41" s="328">
        <v>2029</v>
      </c>
      <c r="B41" s="302">
        <f t="shared" si="22"/>
        <v>34416.085753918291</v>
      </c>
      <c r="C41" s="302">
        <f>'Financial Projections'!H21</f>
        <v>372271.86797975336</v>
      </c>
      <c r="D41" s="302">
        <f t="shared" ca="1" si="23"/>
        <v>28998.117156282889</v>
      </c>
      <c r="E41" s="302">
        <f t="shared" ca="1" si="25"/>
        <v>5417.9685976354012</v>
      </c>
      <c r="F41" s="313">
        <f t="shared" ca="1" si="24"/>
        <v>0.63758964586390332</v>
      </c>
      <c r="G41" s="47">
        <f t="shared" ca="1" si="26"/>
        <v>3454.4406794681045</v>
      </c>
      <c r="K41" s="46">
        <v>2029</v>
      </c>
      <c r="L41" s="302">
        <f>'Financial Projections'!Q23</f>
        <v>141977.34992507857</v>
      </c>
      <c r="M41" s="302">
        <f>'Financial Projections'!Q19</f>
        <v>997268.04474177165</v>
      </c>
      <c r="N41" s="302">
        <f t="shared" ca="1" si="27"/>
        <v>63465.141099321605</v>
      </c>
      <c r="O41" s="302">
        <f t="shared" ca="1" si="28"/>
        <v>78512.20882575697</v>
      </c>
      <c r="P41" s="313">
        <f t="shared" ca="1" si="29"/>
        <v>0.69061257470966952</v>
      </c>
      <c r="Q41" s="302">
        <f t="shared" ca="1" si="30"/>
        <v>54221.518683299262</v>
      </c>
      <c r="U41" s="46">
        <v>2029</v>
      </c>
      <c r="V41" s="302">
        <f t="shared" si="31"/>
        <v>53193.213624391981</v>
      </c>
      <c r="W41" s="302">
        <f>'Financial Projections'!Z19</f>
        <v>405653.20349723741</v>
      </c>
      <c r="X41" s="302">
        <f t="shared" ca="1" si="32"/>
        <v>29095.678847441101</v>
      </c>
      <c r="Y41" s="302">
        <f t="shared" ca="1" si="33"/>
        <v>24097.534776950881</v>
      </c>
      <c r="Z41" s="313">
        <f t="shared" ca="1" si="34"/>
        <v>0.65993112956152911</v>
      </c>
      <c r="AA41" s="302">
        <f t="shared" ca="1" si="35"/>
        <v>15902.713345001424</v>
      </c>
      <c r="AE41" s="46">
        <v>2029</v>
      </c>
      <c r="AF41" s="302">
        <f t="shared" si="36"/>
        <v>68944.35587245108</v>
      </c>
      <c r="AG41" s="302">
        <f>'Financial Projections'!AI19</f>
        <v>593868.98251776537</v>
      </c>
      <c r="AH41" s="302">
        <f t="shared" ca="1" si="37"/>
        <v>53274.501749212453</v>
      </c>
      <c r="AI41" s="302">
        <f t="shared" ca="1" si="38"/>
        <v>15669.854123238627</v>
      </c>
      <c r="AJ41" s="313">
        <f t="shared" ca="1" si="39"/>
        <v>0.59722827431828895</v>
      </c>
      <c r="AK41" s="302">
        <f t="shared" ca="1" si="40"/>
        <v>9358.4799368411295</v>
      </c>
      <c r="AO41" s="46">
        <v>2029</v>
      </c>
      <c r="AP41" s="302">
        <f>'Financial Projections'!AR23</f>
        <v>4226.0366864655471</v>
      </c>
      <c r="AQ41" s="302">
        <f>'Financial Projections'!AR19</f>
        <v>36266.888150848456</v>
      </c>
      <c r="AR41" s="302">
        <f t="shared" si="41"/>
        <v>3942.2107419972272</v>
      </c>
      <c r="AS41" s="302">
        <f t="shared" si="42"/>
        <v>283.8259444683199</v>
      </c>
      <c r="AT41" s="313">
        <f t="shared" ca="1" si="43"/>
        <v>0.56363948554683407</v>
      </c>
      <c r="AU41" s="302">
        <f t="shared" ca="1" si="44"/>
        <v>159.97550932496813</v>
      </c>
      <c r="AY41" s="46">
        <v>2029</v>
      </c>
      <c r="AZ41" s="302">
        <f t="shared" si="45"/>
        <v>26273.777089592371</v>
      </c>
      <c r="BA41" s="302">
        <f>'Financial Projections'!BA19</f>
        <v>155761.70867321279</v>
      </c>
      <c r="BB41" s="302">
        <f t="shared" si="46"/>
        <v>19579.246780222849</v>
      </c>
      <c r="BC41" s="302">
        <f t="shared" si="47"/>
        <v>6694.530309369522</v>
      </c>
      <c r="BD41" s="313">
        <f t="shared" ca="1" si="48"/>
        <v>0.61926537185919051</v>
      </c>
      <c r="BE41" s="302">
        <f t="shared" ca="1" si="49"/>
        <v>4145.6908014543387</v>
      </c>
      <c r="BI41" s="46">
        <v>2029</v>
      </c>
      <c r="BJ41" s="302">
        <f>'Financial Projections'!BJ23</f>
        <v>116603.08339549002</v>
      </c>
      <c r="BK41" s="302">
        <f>'Financial Projections'!BJ19</f>
        <v>445362.19497233379</v>
      </c>
      <c r="BL41" s="302">
        <f t="shared" si="50"/>
        <v>25741.934869400891</v>
      </c>
      <c r="BM41" s="302">
        <f t="shared" si="51"/>
        <v>90861.14852608912</v>
      </c>
      <c r="BN41" s="313">
        <f t="shared" ca="1" si="52"/>
        <v>0.666704779192692</v>
      </c>
      <c r="BO41" s="302">
        <f t="shared" ca="1" si="53"/>
        <v>60577.561965280642</v>
      </c>
    </row>
    <row r="42" spans="1:67" x14ac:dyDescent="0.3">
      <c r="A42" s="328">
        <v>2030</v>
      </c>
      <c r="B42" s="302">
        <f t="shared" si="22"/>
        <v>39119.517840047716</v>
      </c>
      <c r="C42" s="302">
        <f>'Financial Projections'!I21</f>
        <v>423147.94555403019</v>
      </c>
      <c r="D42" s="302">
        <f t="shared" ca="1" si="23"/>
        <v>32961.109218931182</v>
      </c>
      <c r="E42" s="302">
        <f t="shared" ca="1" si="25"/>
        <v>6158.4086211165341</v>
      </c>
      <c r="F42" s="313">
        <f t="shared" ca="1" si="24"/>
        <v>0.59151368719949837</v>
      </c>
      <c r="G42" s="47">
        <f t="shared" ca="1" si="26"/>
        <v>3642.7829907578198</v>
      </c>
      <c r="K42" s="46">
        <v>2030</v>
      </c>
      <c r="L42" s="302">
        <f>'Financial Projections'!R23</f>
        <v>164160.1659233559</v>
      </c>
      <c r="M42" s="302">
        <f>'Financial Projections'!R19</f>
        <v>1193841.9859088401</v>
      </c>
      <c r="N42" s="302">
        <f t="shared" ca="1" si="27"/>
        <v>75974.91014125268</v>
      </c>
      <c r="O42" s="302">
        <f t="shared" ca="1" si="28"/>
        <v>88185.255782103224</v>
      </c>
      <c r="P42" s="313">
        <f t="shared" ca="1" si="29"/>
        <v>0.64929226430176934</v>
      </c>
      <c r="Q42" s="302">
        <f t="shared" ca="1" si="30"/>
        <v>57258.004404792497</v>
      </c>
      <c r="U42" s="46">
        <v>2030</v>
      </c>
      <c r="V42" s="302">
        <f t="shared" si="31"/>
        <v>59730.013955670009</v>
      </c>
      <c r="W42" s="302">
        <f>'Financial Projections'!AA19</f>
        <v>455503.05866351369</v>
      </c>
      <c r="X42" s="302">
        <f t="shared" ca="1" si="32"/>
        <v>32671.184634169851</v>
      </c>
      <c r="Y42" s="302">
        <f t="shared" ca="1" si="33"/>
        <v>27058.829321500158</v>
      </c>
      <c r="Z42" s="313">
        <f t="shared" ca="1" si="34"/>
        <v>0.61576507189716889</v>
      </c>
      <c r="AA42" s="302">
        <f t="shared" ca="1" si="35"/>
        <v>16661.881982606767</v>
      </c>
      <c r="AE42" s="46">
        <v>2030</v>
      </c>
      <c r="AF42" s="302">
        <f t="shared" si="36"/>
        <v>75681.141909384809</v>
      </c>
      <c r="AG42" s="302">
        <f>'Financial Projections'!AJ19</f>
        <v>651897.92801397468</v>
      </c>
      <c r="AH42" s="302">
        <f t="shared" ca="1" si="37"/>
        <v>58480.13337731365</v>
      </c>
      <c r="AI42" s="302">
        <f t="shared" ca="1" si="38"/>
        <v>17201.008532071159</v>
      </c>
      <c r="AJ42" s="313">
        <f t="shared" ca="1" si="39"/>
        <v>0.54806291992877809</v>
      </c>
      <c r="AK42" s="302">
        <f t="shared" ca="1" si="40"/>
        <v>9427.2349618067437</v>
      </c>
      <c r="AO42" s="46">
        <v>2030</v>
      </c>
      <c r="AP42" s="302">
        <f>'Financial Projections'!AS23</f>
        <v>5142.8191317041001</v>
      </c>
      <c r="AQ42" s="302">
        <f>'Financial Projections'!AS19</f>
        <v>44669.435050256856</v>
      </c>
      <c r="AR42" s="302">
        <f t="shared" si="41"/>
        <v>4855.5675899629205</v>
      </c>
      <c r="AS42" s="302">
        <f t="shared" si="42"/>
        <v>287.25154174117961</v>
      </c>
      <c r="AT42" s="313">
        <f t="shared" ca="1" si="43"/>
        <v>0.5122732103986487</v>
      </c>
      <c r="AU42" s="302">
        <f t="shared" ca="1" si="44"/>
        <v>147.15126947971552</v>
      </c>
      <c r="AY42" s="46">
        <v>2030</v>
      </c>
      <c r="AZ42" s="302">
        <f t="shared" si="45"/>
        <v>31057.677706269726</v>
      </c>
      <c r="BA42" s="302">
        <f>'Financial Projections'!BB19</f>
        <v>184122.63034943692</v>
      </c>
      <c r="BB42" s="302">
        <f t="shared" si="46"/>
        <v>23144.214634924221</v>
      </c>
      <c r="BC42" s="302">
        <f t="shared" si="47"/>
        <v>7913.4630713455044</v>
      </c>
      <c r="BD42" s="313">
        <f t="shared" ca="1" si="48"/>
        <v>0.57172817514453533</v>
      </c>
      <c r="BE42" s="302">
        <f t="shared" ca="1" si="49"/>
        <v>4524.3498008540355</v>
      </c>
      <c r="BI42" s="46">
        <v>2030</v>
      </c>
      <c r="BJ42" s="302">
        <f>'Financial Projections'!BK23</f>
        <v>132429.63349700524</v>
      </c>
      <c r="BK42" s="302">
        <f>'Financial Projections'!BK19</f>
        <v>504951.60843359231</v>
      </c>
      <c r="BL42" s="302">
        <f t="shared" si="50"/>
        <v>29186.202967461635</v>
      </c>
      <c r="BM42" s="302">
        <f t="shared" si="51"/>
        <v>103243.43052954361</v>
      </c>
      <c r="BN42" s="313">
        <f t="shared" ca="1" si="52"/>
        <v>0.623145069406004</v>
      </c>
      <c r="BO42" s="302">
        <f t="shared" ca="1" si="53"/>
        <v>64335.634683046403</v>
      </c>
    </row>
    <row r="43" spans="1:67" ht="14.4" customHeight="1" x14ac:dyDescent="0.3"/>
    <row r="44" spans="1:67" ht="27.6" customHeight="1" x14ac:dyDescent="0.3"/>
    <row r="45" spans="1:67" s="2" customFormat="1" ht="34.200000000000003" customHeight="1" x14ac:dyDescent="0.3">
      <c r="A45" s="329"/>
      <c r="H45" s="321"/>
      <c r="I45" s="613"/>
      <c r="S45" s="613"/>
      <c r="AC45" s="613"/>
      <c r="AM45" s="610"/>
      <c r="AW45" s="610"/>
      <c r="BG45" s="610"/>
    </row>
    <row r="46" spans="1:67" ht="14.4" customHeight="1" x14ac:dyDescent="0.3"/>
    <row r="47" spans="1:67" ht="14.4" customHeight="1" x14ac:dyDescent="0.3"/>
    <row r="48" spans="1:67" ht="14.4" customHeight="1" x14ac:dyDescent="0.3"/>
    <row r="49" spans="1:59" ht="14.4" customHeight="1" x14ac:dyDescent="0.3"/>
    <row r="50" spans="1:59" ht="14.4" customHeight="1" x14ac:dyDescent="0.3"/>
    <row r="51" spans="1:59" ht="14.4" customHeight="1" x14ac:dyDescent="0.3"/>
    <row r="52" spans="1:59" ht="14.4" customHeight="1" x14ac:dyDescent="0.3"/>
    <row r="54" spans="1:59" ht="14.4" customHeight="1" x14ac:dyDescent="0.3">
      <c r="A54" s="612"/>
      <c r="B54" s="612"/>
    </row>
    <row r="55" spans="1:59" ht="14.4" customHeight="1" x14ac:dyDescent="0.3"/>
    <row r="56" spans="1:59" ht="14.4" customHeight="1" x14ac:dyDescent="0.3"/>
    <row r="57" spans="1:59" ht="14.4" customHeight="1" x14ac:dyDescent="0.3"/>
    <row r="58" spans="1:59" s="1" customFormat="1" x14ac:dyDescent="0.3">
      <c r="A58" s="329"/>
      <c r="H58" s="321"/>
      <c r="I58" s="613"/>
      <c r="S58" s="613"/>
      <c r="AC58" s="613"/>
      <c r="AM58" s="610"/>
      <c r="AW58" s="610"/>
      <c r="BG58" s="610"/>
    </row>
    <row r="59" spans="1:59" s="1" customFormat="1" x14ac:dyDescent="0.3">
      <c r="A59" s="329"/>
      <c r="H59" s="321"/>
      <c r="I59" s="613"/>
      <c r="S59" s="613"/>
      <c r="AC59" s="613"/>
      <c r="AM59" s="610"/>
      <c r="AW59" s="610"/>
      <c r="BG59" s="610"/>
    </row>
    <row r="60" spans="1:59" x14ac:dyDescent="0.3">
      <c r="A60" s="329"/>
    </row>
    <row r="61" spans="1:59" ht="14.4" customHeight="1" x14ac:dyDescent="0.3"/>
  </sheetData>
  <mergeCells count="36">
    <mergeCell ref="A1:BZ1"/>
    <mergeCell ref="AE2:AH2"/>
    <mergeCell ref="AE12:AH12"/>
    <mergeCell ref="AE22:AH23"/>
    <mergeCell ref="AE34:AK34"/>
    <mergeCell ref="A34:G34"/>
    <mergeCell ref="A12:D12"/>
    <mergeCell ref="I2:I1048576"/>
    <mergeCell ref="K2:N2"/>
    <mergeCell ref="K12:N12"/>
    <mergeCell ref="A2:D2"/>
    <mergeCell ref="BG2:BG1048576"/>
    <mergeCell ref="A22:D23"/>
    <mergeCell ref="K22:N23"/>
    <mergeCell ref="S2:S1048576"/>
    <mergeCell ref="U2:X2"/>
    <mergeCell ref="U12:X12"/>
    <mergeCell ref="U22:X23"/>
    <mergeCell ref="U34:AA34"/>
    <mergeCell ref="A54:B54"/>
    <mergeCell ref="AY12:BB12"/>
    <mergeCell ref="AY22:BB23"/>
    <mergeCell ref="AY34:BE34"/>
    <mergeCell ref="K34:Q34"/>
    <mergeCell ref="AC2:AC1048576"/>
    <mergeCell ref="BI2:BL2"/>
    <mergeCell ref="AM2:AM1048576"/>
    <mergeCell ref="AO2:AR2"/>
    <mergeCell ref="AO12:AR12"/>
    <mergeCell ref="AO22:AR23"/>
    <mergeCell ref="AO34:AU34"/>
    <mergeCell ref="AW2:AW1048576"/>
    <mergeCell ref="BI12:BL12"/>
    <mergeCell ref="AY2:BB2"/>
    <mergeCell ref="BI22:BL23"/>
    <mergeCell ref="BI34:BO3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AB3FA-4934-48D4-948D-E8FACA38E5F1}">
  <sheetPr>
    <tabColor rgb="FF0070C0"/>
  </sheetPr>
  <dimension ref="A1:V10"/>
  <sheetViews>
    <sheetView zoomScale="96" workbookViewId="0">
      <pane xSplit="1" topLeftCell="F1" activePane="topRight" state="frozen"/>
      <selection pane="topRight" activeCell="D13" sqref="D13"/>
    </sheetView>
  </sheetViews>
  <sheetFormatPr defaultRowHeight="14.4" x14ac:dyDescent="0.3"/>
  <cols>
    <col min="1" max="1" width="20.6640625" style="43" bestFit="1" customWidth="1"/>
    <col min="2" max="2" width="15.6640625" style="43" customWidth="1"/>
    <col min="3" max="3" width="10.77734375" style="43" bestFit="1" customWidth="1"/>
    <col min="4" max="4" width="11.33203125" style="43" bestFit="1" customWidth="1"/>
    <col min="5" max="5" width="13.77734375" style="43" customWidth="1"/>
    <col min="6" max="6" width="11.33203125" style="43" bestFit="1" customWidth="1"/>
    <col min="7" max="7" width="12.88671875" style="43" bestFit="1" customWidth="1"/>
    <col min="8" max="9" width="14.5546875" style="43" customWidth="1"/>
    <col min="10" max="10" width="10.88671875" style="43" bestFit="1" customWidth="1"/>
    <col min="11" max="11" width="11.5546875" style="43" customWidth="1"/>
    <col min="12" max="14" width="10.88671875" style="43" bestFit="1" customWidth="1"/>
    <col min="15" max="15" width="8.88671875" style="43" bestFit="1" customWidth="1"/>
    <col min="16" max="16" width="10.88671875" style="43" bestFit="1" customWidth="1"/>
    <col min="17" max="17" width="17.6640625" style="43" customWidth="1"/>
    <col min="18" max="18" width="10.33203125" style="43" bestFit="1" customWidth="1"/>
    <col min="19" max="19" width="9.88671875" style="43" bestFit="1" customWidth="1"/>
    <col min="20" max="20" width="14.21875" style="43" customWidth="1"/>
    <col min="21" max="21" width="11.33203125" style="43" bestFit="1" customWidth="1"/>
    <col min="22" max="22" width="12.33203125" style="43" bestFit="1" customWidth="1"/>
    <col min="23" max="16384" width="8.88671875" style="43"/>
  </cols>
  <sheetData>
    <row r="1" spans="1:22" ht="29.4" customHeight="1" x14ac:dyDescent="0.3">
      <c r="A1" s="599" t="s">
        <v>445</v>
      </c>
      <c r="B1" s="599"/>
      <c r="C1" s="599"/>
      <c r="D1" s="599"/>
      <c r="E1" s="599"/>
      <c r="F1" s="599"/>
      <c r="G1" s="599"/>
      <c r="H1" s="599"/>
      <c r="I1" s="599"/>
      <c r="J1" s="599"/>
      <c r="K1" s="599"/>
      <c r="L1" s="599"/>
      <c r="M1" s="599"/>
      <c r="N1" s="599"/>
      <c r="O1" s="599"/>
      <c r="P1" s="599"/>
      <c r="Q1" s="599"/>
      <c r="R1" s="599"/>
      <c r="S1" s="599"/>
      <c r="T1" s="599"/>
      <c r="U1" s="599"/>
      <c r="V1" s="599"/>
    </row>
    <row r="2" spans="1:22" ht="28.8" customHeight="1" x14ac:dyDescent="0.3">
      <c r="B2" s="596" t="e" vm="3">
        <v>#VALUE!</v>
      </c>
      <c r="C2" s="596"/>
      <c r="D2" s="596"/>
      <c r="E2" s="596" t="e" vm="1">
        <v>#VALUE!</v>
      </c>
      <c r="F2" s="596"/>
      <c r="G2" s="596"/>
      <c r="H2" s="596" t="e" vm="2">
        <v>#VALUE!</v>
      </c>
      <c r="I2" s="596"/>
      <c r="J2" s="596"/>
      <c r="K2" s="596" t="e" vm="4">
        <v>#VALUE!</v>
      </c>
      <c r="L2" s="596"/>
      <c r="M2" s="596"/>
      <c r="N2" s="596" t="e" vm="6">
        <v>#VALUE!</v>
      </c>
      <c r="O2" s="596"/>
      <c r="P2" s="596"/>
      <c r="Q2" s="596"/>
      <c r="R2" s="596"/>
      <c r="S2" s="596"/>
      <c r="T2" s="596" t="e" vm="7">
        <v>#VALUE!</v>
      </c>
      <c r="U2" s="596"/>
      <c r="V2" s="596"/>
    </row>
    <row r="3" spans="1:22" x14ac:dyDescent="0.3">
      <c r="A3" s="499" t="s">
        <v>20</v>
      </c>
      <c r="B3" s="46" t="s">
        <v>375</v>
      </c>
      <c r="C3" s="46" t="s">
        <v>410</v>
      </c>
      <c r="D3" s="46" t="s">
        <v>411</v>
      </c>
      <c r="E3" s="46" t="s">
        <v>375</v>
      </c>
      <c r="F3" s="46" t="s">
        <v>410</v>
      </c>
      <c r="G3" s="46" t="s">
        <v>411</v>
      </c>
      <c r="H3" s="46" t="s">
        <v>375</v>
      </c>
      <c r="I3" s="46" t="s">
        <v>410</v>
      </c>
      <c r="J3" s="46" t="s">
        <v>411</v>
      </c>
      <c r="K3" s="46" t="s">
        <v>375</v>
      </c>
      <c r="L3" s="46" t="s">
        <v>410</v>
      </c>
      <c r="M3" s="46" t="s">
        <v>411</v>
      </c>
      <c r="N3" s="46" t="s">
        <v>375</v>
      </c>
      <c r="O3" s="46" t="s">
        <v>410</v>
      </c>
      <c r="P3" s="46" t="s">
        <v>411</v>
      </c>
      <c r="Q3" s="46" t="s">
        <v>375</v>
      </c>
      <c r="R3" s="46" t="s">
        <v>410</v>
      </c>
      <c r="S3" s="46" t="s">
        <v>411</v>
      </c>
      <c r="T3" s="46" t="s">
        <v>375</v>
      </c>
      <c r="U3" s="46" t="s">
        <v>410</v>
      </c>
      <c r="V3" s="46" t="s">
        <v>411</v>
      </c>
    </row>
    <row r="4" spans="1:22" x14ac:dyDescent="0.3">
      <c r="A4" s="46" t="s">
        <v>383</v>
      </c>
      <c r="B4" s="302">
        <f ca="1">'DCF-DDM-RIM'!B20</f>
        <v>328609.65618026396</v>
      </c>
      <c r="C4" s="302">
        <f ca="1">'DCF-DDM-RIM'!C20</f>
        <v>11276.840769369401</v>
      </c>
      <c r="D4" s="302">
        <f ca="1">'DCF-DDM-RIM'!D20</f>
        <v>242787.85117380618</v>
      </c>
      <c r="E4" s="302">
        <f ca="1">'DCF-DDM-RIM'!L20</f>
        <v>783165.67798185477</v>
      </c>
      <c r="F4" s="302">
        <f ca="1">'DCF-DDM-RIM'!M20</f>
        <v>364502.3009442662</v>
      </c>
      <c r="G4" s="302">
        <f ca="1">'DCF-DDM-RIM'!N20</f>
        <v>2152801.6267413688</v>
      </c>
      <c r="H4" s="302">
        <f ca="1">'DCF-DDM-RIM'!V20</f>
        <v>833590.81130575365</v>
      </c>
      <c r="I4" s="302">
        <f ca="1">'DCF-DDM-RIM'!W20</f>
        <v>201019.16250550933</v>
      </c>
      <c r="J4" s="302">
        <f ca="1">'DCF-DDM-RIM'!X20</f>
        <v>815053.82134026417</v>
      </c>
      <c r="K4" s="302">
        <f ca="1">'DCF-DDM-RIM'!AF20</f>
        <v>240017.21353469015</v>
      </c>
      <c r="L4" s="302">
        <f ca="1">'DCF-DDM-RIM'!AG20</f>
        <v>207245.17303891631</v>
      </c>
      <c r="M4" s="302">
        <f ca="1">'DCF-DDM-RIM'!AH20</f>
        <v>569125.64837990119</v>
      </c>
      <c r="N4" s="302">
        <f ca="1">'DCF-DDM-RIM'!AP20</f>
        <v>80087.181902646931</v>
      </c>
      <c r="O4" s="302">
        <f>'DCF-DDM-RIM'!AQ20</f>
        <v>0</v>
      </c>
      <c r="P4" s="302">
        <f ca="1">'DCF-DDM-RIM'!AR20</f>
        <v>15847.492911718376</v>
      </c>
      <c r="Q4" s="302">
        <f ca="1">'DCF-DDM-RIM'!AZ20</f>
        <v>617146.42054918432</v>
      </c>
      <c r="R4" s="302">
        <f ca="1">'DCF-DDM-RIM'!BA20</f>
        <v>40907.318053518524</v>
      </c>
      <c r="S4" s="302">
        <f ca="1">'DCF-DDM-RIM'!BB20</f>
        <v>101800.1935455694</v>
      </c>
      <c r="T4" s="302">
        <f ca="1">'DCF-DDM-RIM'!BJ20</f>
        <v>768786.2489683039</v>
      </c>
      <c r="U4" s="302">
        <f ca="1">'DCF-DDM-RIM'!BK20</f>
        <v>536574.59950713697</v>
      </c>
      <c r="V4" s="302">
        <f ca="1">'DCF-DDM-RIM'!BL20</f>
        <v>2365375.9815504774</v>
      </c>
    </row>
    <row r="5" spans="1:22" x14ac:dyDescent="0.3">
      <c r="A5" s="46" t="s">
        <v>421</v>
      </c>
      <c r="B5" s="342">
        <f ca="1">'Company Profile'!D14</f>
        <v>310.33479999999997</v>
      </c>
      <c r="C5" s="342">
        <f ca="1">B5</f>
        <v>310.33479999999997</v>
      </c>
      <c r="D5" s="342">
        <f ca="1">C5</f>
        <v>310.33479999999997</v>
      </c>
      <c r="E5" s="342">
        <f ca="1">'Company Profile'!B14</f>
        <v>1537.665</v>
      </c>
      <c r="F5" s="342">
        <f ca="1">E5</f>
        <v>1537.665</v>
      </c>
      <c r="G5" s="342">
        <f ca="1">F5</f>
        <v>1537.665</v>
      </c>
      <c r="H5" s="342">
        <f ca="1">'Company Profile'!C14</f>
        <v>714.27909999999997</v>
      </c>
      <c r="I5" s="46">
        <v>713.29</v>
      </c>
      <c r="J5" s="46">
        <f>I5</f>
        <v>713.29</v>
      </c>
      <c r="K5" s="342">
        <f ca="1">'Company Profile'!E14</f>
        <v>923.06169999999997</v>
      </c>
      <c r="L5" s="46">
        <v>892.46</v>
      </c>
      <c r="M5" s="46">
        <f>L5</f>
        <v>892.46</v>
      </c>
      <c r="N5" s="342">
        <f ca="1">'Company Profile'!G14</f>
        <v>832.86080000000004</v>
      </c>
      <c r="O5" s="46"/>
      <c r="P5" s="342">
        <f ca="1">N5</f>
        <v>832.86080000000004</v>
      </c>
      <c r="Q5" s="342">
        <f ca="1">'Company Profile'!F14</f>
        <v>621.51350000000002</v>
      </c>
      <c r="R5" s="342">
        <f ca="1">Q5</f>
        <v>621.51350000000002</v>
      </c>
      <c r="S5" s="342">
        <f ca="1">Q5</f>
        <v>621.51350000000002</v>
      </c>
      <c r="T5" s="342">
        <f ca="1">'Company Profile'!H14</f>
        <v>40.146850000000001</v>
      </c>
      <c r="U5" s="46">
        <v>40.14</v>
      </c>
      <c r="V5" s="46">
        <v>40.14</v>
      </c>
    </row>
    <row r="6" spans="1:22" x14ac:dyDescent="0.3">
      <c r="A6" s="46" t="s">
        <v>422</v>
      </c>
      <c r="B6" s="344">
        <f t="shared" ref="B6:N6" ca="1" si="0">B4/B5</f>
        <v>1058.8875504141463</v>
      </c>
      <c r="C6" s="344">
        <f t="shared" ca="1" si="0"/>
        <v>36.337661033726803</v>
      </c>
      <c r="D6" s="344">
        <f t="shared" ca="1" si="0"/>
        <v>782.34168766701703</v>
      </c>
      <c r="E6" s="344">
        <f t="shared" ca="1" si="0"/>
        <v>509.32139183883015</v>
      </c>
      <c r="F6" s="344">
        <f t="shared" ca="1" si="0"/>
        <v>237.04922785149316</v>
      </c>
      <c r="G6" s="344">
        <f t="shared" ca="1" si="0"/>
        <v>1400.0459311627492</v>
      </c>
      <c r="H6" s="344">
        <f t="shared" ca="1" si="0"/>
        <v>1167.0379425994036</v>
      </c>
      <c r="I6" s="344">
        <f t="shared" ca="1" si="0"/>
        <v>281.81968414741459</v>
      </c>
      <c r="J6" s="344">
        <f t="shared" ca="1" si="0"/>
        <v>1142.668229388137</v>
      </c>
      <c r="K6" s="344">
        <f t="shared" ca="1" si="0"/>
        <v>260.02293620750396</v>
      </c>
      <c r="L6" s="344">
        <f t="shared" ca="1" si="0"/>
        <v>232.21788431853113</v>
      </c>
      <c r="M6" s="344">
        <f t="shared" ca="1" si="0"/>
        <v>637.70437709242003</v>
      </c>
      <c r="N6" s="344">
        <f t="shared" ca="1" si="0"/>
        <v>96.159144364396695</v>
      </c>
      <c r="O6" s="344">
        <v>0</v>
      </c>
      <c r="P6" s="344">
        <f t="shared" ref="P6:V6" ca="1" si="1">P4/P5</f>
        <v>19.027781007004261</v>
      </c>
      <c r="Q6" s="344">
        <f t="shared" ca="1" si="1"/>
        <v>992.97347611787075</v>
      </c>
      <c r="R6" s="344">
        <f t="shared" ca="1" si="1"/>
        <v>65.818872886137669</v>
      </c>
      <c r="S6" s="344">
        <f t="shared" ca="1" si="1"/>
        <v>163.79401822417276</v>
      </c>
      <c r="T6" s="344">
        <f t="shared" ca="1" si="1"/>
        <v>19149.354157755937</v>
      </c>
      <c r="U6" s="344">
        <f t="shared" ca="1" si="1"/>
        <v>13367.578463057722</v>
      </c>
      <c r="V6" s="344">
        <f t="shared" ca="1" si="1"/>
        <v>58928.151010226145</v>
      </c>
    </row>
    <row r="7" spans="1:22" x14ac:dyDescent="0.3">
      <c r="A7" s="46" t="s">
        <v>10</v>
      </c>
      <c r="B7" s="343"/>
      <c r="C7" s="343" cm="1">
        <f t="array" aca="1" ref="C7" ca="1">_FV(B9,"Price")</f>
        <v>1222.8</v>
      </c>
      <c r="D7" s="343"/>
      <c r="E7" s="46"/>
      <c r="F7" s="343" cm="1">
        <f t="array" aca="1" ref="F7" ca="1">_FV(E10,"Price")</f>
        <v>982.3</v>
      </c>
      <c r="G7" s="46"/>
      <c r="H7" s="46"/>
      <c r="I7" s="343" cm="1">
        <f t="array" aca="1" ref="I7" ca="1">_FV(H9,"Price")</f>
        <v>1343</v>
      </c>
      <c r="J7" s="46"/>
      <c r="K7" s="46"/>
      <c r="L7" s="343" cm="1">
        <f t="array" aca="1" ref="L7" ca="1">_FV(K10,"Price")</f>
        <v>955.85</v>
      </c>
      <c r="M7" s="46"/>
      <c r="N7" s="46"/>
      <c r="O7" s="343" cm="1">
        <f t="array" aca="1" ref="O7" ca="1">_FV(N9,"Price")</f>
        <v>109.5</v>
      </c>
      <c r="P7" s="46"/>
      <c r="Q7" s="343" cm="1">
        <f t="array" aca="1" ref="Q7" ca="1">_FV(Q10,"Price")</f>
        <v>1066.5999999999999</v>
      </c>
      <c r="S7" s="46"/>
      <c r="T7" s="46"/>
      <c r="U7" s="343" cm="1">
        <f t="array" aca="1" ref="U7" ca="1">_FV(T9,"Price")</f>
        <v>3230</v>
      </c>
      <c r="V7" s="46"/>
    </row>
    <row r="8" spans="1:22" s="346" customFormat="1" x14ac:dyDescent="0.3">
      <c r="A8" s="46" t="s">
        <v>423</v>
      </c>
      <c r="B8" s="345">
        <f ca="1">(B6-C7)/C7</f>
        <v>-0.13404681843789146</v>
      </c>
      <c r="C8" s="345">
        <f ca="1">(C6-C7)/C7</f>
        <v>-0.97028323435252961</v>
      </c>
      <c r="D8" s="345">
        <f ca="1">(D6-C7)/C7</f>
        <v>-0.36020470423044076</v>
      </c>
      <c r="E8" s="345">
        <f ca="1">(E6-F7)/F7</f>
        <v>-0.48150117903000084</v>
      </c>
      <c r="F8" s="345">
        <f ca="1">(F6-F7)/F7</f>
        <v>-0.75867939748397317</v>
      </c>
      <c r="G8" s="345">
        <f ca="1">(G6-F7)/F7</f>
        <v>0.42527326800646365</v>
      </c>
      <c r="H8" s="348">
        <f ca="1">(H6-$I$7)/$I$7</f>
        <v>-0.13102163618808374</v>
      </c>
      <c r="I8" s="348">
        <f t="shared" ref="I8:J8" ca="1" si="2">(I6-$I$7)/$I$7</f>
        <v>-0.79015660152835843</v>
      </c>
      <c r="J8" s="348">
        <f t="shared" ca="1" si="2"/>
        <v>-0.14916736456579524</v>
      </c>
      <c r="K8" s="345">
        <f ca="1">(K6-$L$7)/$L$7</f>
        <v>-0.72796679792069474</v>
      </c>
      <c r="L8" s="345">
        <f ca="1">(L6-$L$7)/$L$7</f>
        <v>-0.75705614445934921</v>
      </c>
      <c r="M8" s="345">
        <f ca="1">(M6-$L$7)/$L$7</f>
        <v>-0.33284053241364231</v>
      </c>
      <c r="N8" s="345">
        <f ca="1">(N6-$O$7)/$O$7</f>
        <v>-0.12183429804203931</v>
      </c>
      <c r="O8" s="345"/>
      <c r="P8" s="345">
        <f t="shared" ref="P8" ca="1" si="3">(P6-$O$7)/$O$7</f>
        <v>-0.82623031043831718</v>
      </c>
      <c r="Q8" s="348">
        <f ca="1">(Q6-$Q$7)/$Q$7</f>
        <v>-6.9029180463275053E-2</v>
      </c>
      <c r="R8" s="348">
        <f ca="1">(R6-$Q$7)/$Q$7</f>
        <v>-0.93829094985361172</v>
      </c>
      <c r="S8" s="348">
        <f ca="1">(S6-$Q$7)/$Q$7</f>
        <v>-0.84643351000921363</v>
      </c>
      <c r="T8" s="345">
        <f ca="1">(T6-$U$7)/$U$7</f>
        <v>4.9285926185002902</v>
      </c>
      <c r="U8" s="345">
        <f t="shared" ref="U8:V8" ca="1" si="4">(U6-$U$7)/$U$7</f>
        <v>3.138569183609202</v>
      </c>
      <c r="V8" s="345">
        <f t="shared" ca="1" si="4"/>
        <v>17.244009600689211</v>
      </c>
    </row>
    <row r="9" spans="1:22" x14ac:dyDescent="0.3">
      <c r="A9" s="43" t="s">
        <v>425</v>
      </c>
      <c r="B9" s="43" t="e" vm="10">
        <v>#VALUE!</v>
      </c>
      <c r="H9" s="43" t="e" vm="9">
        <v>#VALUE!</v>
      </c>
      <c r="N9" s="43" t="e" vm="13">
        <v>#VALUE!</v>
      </c>
      <c r="T9" s="43" t="e" vm="14">
        <v>#VALUE!</v>
      </c>
    </row>
    <row r="10" spans="1:22" x14ac:dyDescent="0.3">
      <c r="E10" s="43" t="e" vm="8">
        <v>#VALUE!</v>
      </c>
      <c r="K10" s="43" t="e" vm="17">
        <v>#VALUE!</v>
      </c>
      <c r="Q10" s="43" t="e" vm="12">
        <v>#VALUE!</v>
      </c>
    </row>
  </sheetData>
  <mergeCells count="8">
    <mergeCell ref="Q2:S2"/>
    <mergeCell ref="T2:V2"/>
    <mergeCell ref="A1:V1"/>
    <mergeCell ref="B2:D2"/>
    <mergeCell ref="E2:G2"/>
    <mergeCell ref="H2:J2"/>
    <mergeCell ref="K2:M2"/>
    <mergeCell ref="N2:P2"/>
  </mergeCells>
  <conditionalFormatting sqref="B8:V8">
    <cfRule type="cellIs" dxfId="17" priority="1" operator="greaterThan">
      <formula>0</formula>
    </cfRule>
    <cfRule type="cellIs" dxfId="16" priority="2" operator="lessThan">
      <formula>0</formula>
    </cfRule>
    <cfRule type="colorScale" priority="3">
      <colorScale>
        <cfvo type="num" val="0"/>
        <cfvo type="num" val="1"/>
        <color rgb="FFEA0000"/>
        <color rgb="FF00C057"/>
      </colorScale>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5A883-8264-41D3-B959-090FA40BFD61}">
  <sheetPr>
    <tabColor rgb="FF0070C0"/>
  </sheetPr>
  <dimension ref="A1:W31"/>
  <sheetViews>
    <sheetView showGridLines="0" workbookViewId="0">
      <selection activeCell="Y5" sqref="Y5"/>
    </sheetView>
  </sheetViews>
  <sheetFormatPr defaultRowHeight="14.4" x14ac:dyDescent="0.3"/>
  <cols>
    <col min="2" max="5" width="9.88671875" bestFit="1" customWidth="1"/>
    <col min="6" max="6" width="11.5546875" bestFit="1" customWidth="1"/>
    <col min="7" max="7" width="9.88671875" bestFit="1" customWidth="1"/>
    <col min="13" max="13" width="9.88671875" bestFit="1" customWidth="1"/>
    <col min="14" max="14" width="11.5546875" bestFit="1" customWidth="1"/>
    <col min="15" max="15" width="9.5546875" bestFit="1" customWidth="1"/>
    <col min="22" max="22" width="11.5546875" bestFit="1" customWidth="1"/>
  </cols>
  <sheetData>
    <row r="1" spans="1:23" ht="25.2" customHeight="1" x14ac:dyDescent="0.3">
      <c r="A1" s="634" t="s">
        <v>444</v>
      </c>
      <c r="B1" s="634"/>
      <c r="C1" s="634"/>
      <c r="D1" s="634"/>
      <c r="E1" s="634"/>
      <c r="F1" s="634"/>
      <c r="G1" s="634"/>
      <c r="H1" s="634"/>
      <c r="I1" s="634"/>
      <c r="J1" s="634"/>
      <c r="K1" s="634"/>
      <c r="L1" s="634"/>
      <c r="M1" s="634"/>
      <c r="N1" s="634"/>
      <c r="O1" s="634"/>
      <c r="P1" s="634"/>
      <c r="Q1" s="634"/>
      <c r="R1" s="634"/>
      <c r="S1" s="634"/>
      <c r="T1" s="634"/>
      <c r="U1" s="634"/>
      <c r="V1" s="634"/>
      <c r="W1" s="634"/>
    </row>
    <row r="3" spans="1:23" s="363" customFormat="1" ht="29.4" customHeight="1" x14ac:dyDescent="0.3">
      <c r="A3" s="632" t="s">
        <v>443</v>
      </c>
      <c r="B3" s="633"/>
      <c r="C3" s="633"/>
      <c r="D3" s="633"/>
      <c r="E3" s="364">
        <f ca="1">'Intrinsic Value'!C5</f>
        <v>310.33479999999997</v>
      </c>
      <c r="F3" s="366">
        <f ca="1">'Intrinsic Value'!C7</f>
        <v>1222.8</v>
      </c>
      <c r="G3" s="362" t="e" vm="3">
        <v>#VALUE!</v>
      </c>
      <c r="I3" s="632" t="s">
        <v>443</v>
      </c>
      <c r="J3" s="633"/>
      <c r="K3" s="633"/>
      <c r="L3" s="633"/>
      <c r="M3" s="364">
        <f ca="1">'Intrinsic Value'!F5</f>
        <v>1537.665</v>
      </c>
      <c r="N3" s="366">
        <f ca="1">'Intrinsic Value'!F7</f>
        <v>982.3</v>
      </c>
      <c r="O3" s="362" t="e" vm="1">
        <v>#VALUE!</v>
      </c>
      <c r="Q3" s="632" t="s">
        <v>443</v>
      </c>
      <c r="R3" s="633"/>
      <c r="S3" s="633"/>
      <c r="T3" s="633"/>
      <c r="U3" s="364">
        <f>'Intrinsic Value'!I5</f>
        <v>713.29</v>
      </c>
      <c r="V3" s="367">
        <f ca="1">'Intrinsic Value'!I7</f>
        <v>1343</v>
      </c>
      <c r="W3" s="362" t="e" vm="2">
        <v>#VALUE!</v>
      </c>
    </row>
    <row r="4" spans="1:23" s="360" customFormat="1" ht="24" x14ac:dyDescent="0.3">
      <c r="A4" s="361" t="s">
        <v>429</v>
      </c>
      <c r="B4" s="636">
        <v>1.4999999999999999E-2</v>
      </c>
      <c r="C4" s="636">
        <v>0.02</v>
      </c>
      <c r="D4" s="636">
        <v>2.5000000000000001E-2</v>
      </c>
      <c r="E4" s="636">
        <v>0.03</v>
      </c>
      <c r="F4" s="636">
        <v>3.5000000000000003E-2</v>
      </c>
      <c r="G4" s="635">
        <v>0.04</v>
      </c>
      <c r="I4" s="361" t="s">
        <v>429</v>
      </c>
      <c r="J4" s="636">
        <v>1.4999999999999999E-2</v>
      </c>
      <c r="K4" s="636">
        <v>0.02</v>
      </c>
      <c r="L4" s="636">
        <v>2.5000000000000001E-2</v>
      </c>
      <c r="M4" s="636">
        <v>0.03</v>
      </c>
      <c r="N4" s="636">
        <v>3.5000000000000003E-2</v>
      </c>
      <c r="O4" s="635">
        <v>0.04</v>
      </c>
      <c r="Q4" s="361" t="s">
        <v>429</v>
      </c>
      <c r="R4" s="636">
        <v>1.4999999999999999E-2</v>
      </c>
      <c r="S4" s="636">
        <v>0.02</v>
      </c>
      <c r="T4" s="636">
        <v>2.5000000000000001E-2</v>
      </c>
      <c r="U4" s="636">
        <v>0.03</v>
      </c>
      <c r="V4" s="636">
        <v>3.5000000000000003E-2</v>
      </c>
      <c r="W4" s="635">
        <v>0.04</v>
      </c>
    </row>
    <row r="5" spans="1:23" s="360" customFormat="1" ht="24" x14ac:dyDescent="0.3">
      <c r="A5" s="361" t="s">
        <v>430</v>
      </c>
      <c r="B5" s="636"/>
      <c r="C5" s="636"/>
      <c r="D5" s="636"/>
      <c r="E5" s="636"/>
      <c r="F5" s="636"/>
      <c r="G5" s="635"/>
      <c r="I5" s="361" t="s">
        <v>430</v>
      </c>
      <c r="J5" s="636"/>
      <c r="K5" s="636"/>
      <c r="L5" s="636"/>
      <c r="M5" s="636"/>
      <c r="N5" s="636"/>
      <c r="O5" s="635"/>
      <c r="Q5" s="361" t="s">
        <v>430</v>
      </c>
      <c r="R5" s="636"/>
      <c r="S5" s="636"/>
      <c r="T5" s="636"/>
      <c r="U5" s="636"/>
      <c r="V5" s="636"/>
      <c r="W5" s="635"/>
    </row>
    <row r="6" spans="1:23" x14ac:dyDescent="0.3">
      <c r="A6" s="307">
        <v>5.5E-2</v>
      </c>
      <c r="B6" s="351">
        <f ca="1">'Senstivity Analysis'!K6/'Senstivity Analysis-Intrinsic '!$E$3</f>
        <v>1185.3050368325073</v>
      </c>
      <c r="C6" s="351">
        <f ca="1">'Senstivity Analysis'!L6/'Senstivity Analysis-Intrinsic '!$E$3</f>
        <v>1318.6347139825559</v>
      </c>
      <c r="D6" s="351">
        <f ca="1">'Senstivity Analysis'!M6/'Senstivity Analysis-Intrinsic '!$E$3</f>
        <v>1496.4076168492873</v>
      </c>
      <c r="E6" s="351">
        <f ca="1">'Senstivity Analysis'!N6/'Senstivity Analysis-Intrinsic '!$E$3</f>
        <v>1745.2896808627115</v>
      </c>
      <c r="F6" s="351">
        <f ca="1">'Senstivity Analysis'!O6/'Senstivity Analysis-Intrinsic '!$E$3</f>
        <v>2118.6127768828478</v>
      </c>
      <c r="G6" s="351">
        <f ca="1">'Senstivity Analysis'!P6/'Senstivity Analysis-Intrinsic '!$E$3</f>
        <v>2740.8179369164081</v>
      </c>
      <c r="I6" s="307">
        <v>0.05</v>
      </c>
      <c r="J6" s="351">
        <f ca="1">'Senstivity Analysis'!S6/'Senstivity Analysis-Intrinsic '!$M$3</f>
        <v>635.75732199932099</v>
      </c>
      <c r="K6" s="351">
        <f ca="1">'Senstivity Analysis'!T6/'Senstivity Analysis-Intrinsic '!$M$3</f>
        <v>762.39566432693368</v>
      </c>
      <c r="L6" s="351">
        <f ca="1">'Senstivity Analysis'!U6/'Senstivity Analysis-Intrinsic '!$M$3</f>
        <v>939.6893435855909</v>
      </c>
      <c r="M6" s="351">
        <f ca="1">'Senstivity Analysis'!V6/'Senstivity Analysis-Intrinsic '!$M$3</f>
        <v>1205.6298624735773</v>
      </c>
      <c r="N6" s="351">
        <f ca="1">'Senstivity Analysis'!W6/'Senstivity Analysis-Intrinsic '!$M$3</f>
        <v>1648.8640606202216</v>
      </c>
      <c r="O6" s="351">
        <f ca="1">'Senstivity Analysis'!X6/'Senstivity Analysis-Intrinsic '!$M$3</f>
        <v>2535.3324569135093</v>
      </c>
      <c r="Q6" s="307">
        <v>5.5E-2</v>
      </c>
      <c r="R6" s="351">
        <f>'Senstivity Analysis'!AA6/'Senstivity Analysis-Intrinsic '!$U$3</f>
        <v>1262.0546533096654</v>
      </c>
      <c r="S6" s="351">
        <f>'Senstivity Analysis'!AB6/'Senstivity Analysis-Intrinsic '!$U$3</f>
        <v>1406.051635057948</v>
      </c>
      <c r="T6" s="351">
        <f>'Senstivity Analysis'!AC6/'Senstivity Analysis-Intrinsic '!$U$3</f>
        <v>1598.0476107223246</v>
      </c>
      <c r="U6" s="351">
        <f>'Senstivity Analysis'!AD6/'Senstivity Analysis-Intrinsic '!$U$3</f>
        <v>1866.8419766524526</v>
      </c>
      <c r="V6" s="351">
        <f>'Senstivity Analysis'!AE6/'Senstivity Analysis-Intrinsic '!$U$3</f>
        <v>2270.0335255476443</v>
      </c>
      <c r="W6" s="351">
        <f>'Senstivity Analysis'!AF6/'Senstivity Analysis-Intrinsic '!$U$3</f>
        <v>2942.0194403729638</v>
      </c>
    </row>
    <row r="7" spans="1:23" x14ac:dyDescent="0.3">
      <c r="A7" s="307">
        <v>6.5000000000000002E-2</v>
      </c>
      <c r="B7" s="351">
        <f ca="1">'Senstivity Analysis'!K7/'Senstivity Analysis-Intrinsic '!$E$3</f>
        <v>922.81014799976526</v>
      </c>
      <c r="C7" s="351">
        <f ca="1">'Senstivity Analysis'!L7/'Senstivity Analysis-Intrinsic '!$E$3</f>
        <v>996.89110215304481</v>
      </c>
      <c r="D7" s="351">
        <f ca="1">'Senstivity Analysis'!M7/'Senstivity Analysis-Intrinsic '!$E$3</f>
        <v>1089.492294844644</v>
      </c>
      <c r="E7" s="351">
        <f ca="1">'Senstivity Analysis'!N7/'Senstivity Analysis-Intrinsic '!$E$3</f>
        <v>1208.5509711624145</v>
      </c>
      <c r="F7" s="351">
        <f ca="1">'Senstivity Analysis'!O7/'Senstivity Analysis-Intrinsic '!$E$3</f>
        <v>1367.2958729194415</v>
      </c>
      <c r="G7" s="351">
        <f ca="1">'Senstivity Analysis'!P7/'Senstivity Analysis-Intrinsic '!$E$3</f>
        <v>1589.5387353792801</v>
      </c>
      <c r="I7" s="307">
        <v>0.06</v>
      </c>
      <c r="J7" s="351">
        <f ca="1">'Senstivity Analysis'!S7/'Senstivity Analysis-Intrinsic '!$M$3</f>
        <v>430.81620236607569</v>
      </c>
      <c r="K7" s="351">
        <f ca="1">'Senstivity Analysis'!T7/'Senstivity Analysis-Intrinsic '!$M$3</f>
        <v>499.94612130929283</v>
      </c>
      <c r="L7" s="351">
        <f ca="1">'Senstivity Analysis'!U7/'Senstivity Analysis-Intrinsic '!$M$3</f>
        <v>588.82744566485746</v>
      </c>
      <c r="M7" s="351">
        <f ca="1">'Senstivity Analysis'!V7/'Senstivity Analysis-Intrinsic '!$M$3</f>
        <v>707.33587813894371</v>
      </c>
      <c r="N7" s="351">
        <f ca="1">'Senstivity Analysis'!W7/'Senstivity Analysis-Intrinsic '!$M$3</f>
        <v>873.24768360266467</v>
      </c>
      <c r="O7" s="351">
        <f ca="1">'Senstivity Analysis'!X7/'Senstivity Analysis-Intrinsic '!$M$3</f>
        <v>1122.1153917982458</v>
      </c>
      <c r="Q7" s="307">
        <v>6.5000000000000002E-2</v>
      </c>
      <c r="R7" s="351">
        <f>'Senstivity Analysis'!AA7/'Senstivity Analysis-Intrinsic '!$U$3</f>
        <v>991.62976896314217</v>
      </c>
      <c r="S7" s="351">
        <f>'Senstivity Analysis'!AB7/'Senstivity Analysis-Intrinsic '!$U$3</f>
        <v>1073.1616430880051</v>
      </c>
      <c r="T7" s="351">
        <f>'Senstivity Analysis'!AC7/'Senstivity Analysis-Intrinsic '!$U$3</f>
        <v>1175.0764857440834</v>
      </c>
      <c r="U7" s="351">
        <f>'Senstivity Analysis'!AD7/'Senstivity Analysis-Intrinsic '!$U$3</f>
        <v>1306.1098548733269</v>
      </c>
      <c r="V7" s="351">
        <f>'Senstivity Analysis'!AE7/'Senstivity Analysis-Intrinsic '!$U$3</f>
        <v>1480.8210137123185</v>
      </c>
      <c r="W7" s="351">
        <f>'Senstivity Analysis'!AF7/'Senstivity Analysis-Intrinsic '!$U$3</f>
        <v>1725.4166360869062</v>
      </c>
    </row>
    <row r="8" spans="1:23" x14ac:dyDescent="0.3">
      <c r="A8" s="307">
        <v>7.4999999999999997E-2</v>
      </c>
      <c r="B8" s="351">
        <f ca="1">'Senstivity Analysis'!K8/'Senstivity Analysis-Intrinsic '!$E$3</f>
        <v>756.32537191071538</v>
      </c>
      <c r="C8" s="351">
        <f ca="1">'Senstivity Analysis'!L8/'Senstivity Analysis-Intrinsic '!$E$3</f>
        <v>801.47652727588638</v>
      </c>
      <c r="D8" s="351">
        <f ca="1">'Senstivity Analysis'!M8/'Senstivity Analysis-Intrinsic '!$E$3</f>
        <v>855.65791371409136</v>
      </c>
      <c r="E8" s="351">
        <f ca="1">'Senstivity Analysis'!N8/'Senstivity Analysis-Intrinsic '!$E$3</f>
        <v>921.87960824967547</v>
      </c>
      <c r="F8" s="351">
        <f ca="1">'Senstivity Analysis'!O8/'Senstivity Analysis-Intrinsic '!$E$3</f>
        <v>1004.6567264191553</v>
      </c>
      <c r="G8" s="351">
        <f ca="1">'Senstivity Analysis'!P8/'Senstivity Analysis-Intrinsic '!$E$3</f>
        <v>1111.0844497799153</v>
      </c>
      <c r="I8" s="307">
        <v>7.0000000000000007E-2</v>
      </c>
      <c r="J8" s="351">
        <f ca="1">'Senstivity Analysis'!S8/'Senstivity Analysis-Intrinsic '!$M$3</f>
        <v>303.17782284921009</v>
      </c>
      <c r="K8" s="351">
        <f ca="1">'Senstivity Analysis'!T8/'Senstivity Analysis-Intrinsic '!$M$3</f>
        <v>345.54801875015067</v>
      </c>
      <c r="L8" s="351">
        <f ca="1">'Senstivity Analysis'!U8/'Senstivity Analysis-Intrinsic '!$M$3</f>
        <v>397.33381374018876</v>
      </c>
      <c r="M8" s="351">
        <f ca="1">'Senstivity Analysis'!V8/'Senstivity Analysis-Intrinsic '!$M$3</f>
        <v>462.06605747773659</v>
      </c>
      <c r="N8" s="351">
        <f ca="1">'Senstivity Analysis'!W8/'Senstivity Analysis-Intrinsic '!$M$3</f>
        <v>545.29322799744079</v>
      </c>
      <c r="O8" s="351">
        <f ca="1">'Senstivity Analysis'!X8/'Senstivity Analysis-Intrinsic '!$M$3</f>
        <v>656.26278869038003</v>
      </c>
      <c r="P8" s="365"/>
      <c r="Q8" s="307">
        <v>7.4999999999999997E-2</v>
      </c>
      <c r="R8" s="351">
        <f>'Senstivity Analysis'!AA8/'Senstivity Analysis-Intrinsic '!$U$3</f>
        <v>818.13793276666559</v>
      </c>
      <c r="S8" s="351">
        <f>'Senstivity Analysis'!AB8/'Senstivity Analysis-Intrinsic '!$U$3</f>
        <v>868.76787580419921</v>
      </c>
      <c r="T8" s="351">
        <f>'Senstivity Analysis'!AC8/'Senstivity Analysis-Intrinsic '!$U$3</f>
        <v>929.52380744923926</v>
      </c>
      <c r="U8" s="351">
        <f>'Senstivity Analysis'!AD8/'Senstivity Analysis-Intrinsic '!$U$3</f>
        <v>1003.7810572376218</v>
      </c>
      <c r="V8" s="351">
        <f>'Senstivity Analysis'!AE8/'Senstivity Analysis-Intrinsic '!$U$3</f>
        <v>1096.6026194731</v>
      </c>
      <c r="W8" s="351">
        <f>'Senstivity Analysis'!AF8/'Senstivity Analysis-Intrinsic '!$U$3</f>
        <v>1215.9446280615721</v>
      </c>
    </row>
    <row r="9" spans="1:23" x14ac:dyDescent="0.3">
      <c r="A9" s="307">
        <v>8.5000000000000006E-2</v>
      </c>
      <c r="B9" s="351">
        <f ca="1">'Senstivity Analysis'!K9/'Senstivity Analysis-Intrinsic '!$E$3</f>
        <v>643.74897663996342</v>
      </c>
      <c r="C9" s="351">
        <f ca="1">'Senstivity Analysis'!L9/'Senstivity Analysis-Intrinsic '!$E$3</f>
        <v>673.05224915077315</v>
      </c>
      <c r="D9" s="351">
        <f ca="1">'Senstivity Analysis'!M9/'Senstivity Analysis-Intrinsic '!$E$3</f>
        <v>707.23940041338403</v>
      </c>
      <c r="E9" s="351">
        <f ca="1">'Senstivity Analysis'!N9/'Senstivity Analysis-Intrinsic '!$E$3</f>
        <v>747.6423973601062</v>
      </c>
      <c r="F9" s="351">
        <f ca="1">'Senstivity Analysis'!O9/'Senstivity Analysis-Intrinsic '!$E$3</f>
        <v>796.12599369617283</v>
      </c>
      <c r="G9" s="351">
        <f ca="1">'Senstivity Analysis'!P9/'Senstivity Analysis-Intrinsic '!$E$3</f>
        <v>855.38372255136539</v>
      </c>
      <c r="I9" s="306">
        <v>6.9000000000000006E-2</v>
      </c>
      <c r="J9" s="351">
        <f ca="1">'Senstivity Analysis'!S9/'Senstivity Analysis-Intrinsic '!$M$3</f>
        <v>317.86250007549694</v>
      </c>
      <c r="K9" s="351">
        <f ca="1">'Senstivity Analysis'!T9/'Senstivity Analysis-Intrinsic '!$M$3</f>
        <v>362.63514363265949</v>
      </c>
      <c r="L9" s="351">
        <f ca="1">'Senstivity Analysis'!U9/'Senstivity Analysis-Intrinsic '!$M$3</f>
        <v>417.58338799826794</v>
      </c>
      <c r="M9" s="351">
        <f ca="1">'Senstivity Analysis'!V9/'Senstivity Analysis-Intrinsic '!$M$3</f>
        <v>486.6209257909556</v>
      </c>
      <c r="N9" s="351">
        <f ca="1">'Senstivity Analysis'!W9/'Senstivity Analysis-Intrinsic '!$M$3</f>
        <v>575.9636217579631</v>
      </c>
      <c r="O9" s="351">
        <f ca="1">'Senstivity Analysis'!X9/'Senstivity Analysis-Intrinsic '!$M$3</f>
        <v>696.11414392049051</v>
      </c>
      <c r="Q9" s="306">
        <v>7.6999999999999999E-2</v>
      </c>
      <c r="R9" s="351">
        <f ca="1">'Senstivity Analysis'!AA9/'Senstivity Analysis-Intrinsic '!$U$3</f>
        <v>805.78118959729159</v>
      </c>
      <c r="S9" s="351">
        <f ca="1">'Senstivity Analysis'!AB9/'Senstivity Analysis-Intrinsic '!$U$3</f>
        <v>853.57539852540367</v>
      </c>
      <c r="T9" s="351">
        <f ca="1">'Senstivity Analysis'!AC9/'Senstivity Analysis-Intrinsic '!$U$3</f>
        <v>910.56080147815237</v>
      </c>
      <c r="U9" s="351">
        <f ca="1">'Senstivity Analysis'!AD9/'Senstivity Analysis-Intrinsic '!$U$3</f>
        <v>979.670758250635</v>
      </c>
      <c r="V9" s="351">
        <f ca="1">'Senstivity Analysis'!AE9/'Senstivity Analysis-Intrinsic '!$U$3</f>
        <v>1065.2354666356139</v>
      </c>
      <c r="W9" s="351">
        <f ca="1">'Senstivity Analysis'!AF9/'Senstivity Analysis-Intrinsic '!$U$3</f>
        <v>1173.9257718813976</v>
      </c>
    </row>
    <row r="10" spans="1:23" x14ac:dyDescent="0.3">
      <c r="A10" s="306">
        <v>8.4000000000000005E-2</v>
      </c>
      <c r="B10" s="351">
        <f ca="1">'Senstivity Analysis'!K10/'Senstivity Analysis-Intrinsic '!$E$3</f>
        <v>668.02863660327989</v>
      </c>
      <c r="C10" s="351">
        <f ca="1">'Senstivity Analysis'!L10/'Senstivity Analysis-Intrinsic '!$E$3</f>
        <v>699.78813988037052</v>
      </c>
      <c r="D10" s="351">
        <f ca="1">'Senstivity Analysis'!M10/'Senstivity Analysis-Intrinsic '!$E$3</f>
        <v>736.93060981459507</v>
      </c>
      <c r="E10" s="351">
        <f ca="1">'Senstivity Analysis'!N10/'Senstivity Analysis-Intrinsic '!$E$3</f>
        <v>780.95131492182418</v>
      </c>
      <c r="F10" s="351">
        <f ca="1">'Senstivity Analysis'!O10/'Senstivity Analysis-Intrinsic '!$E$3</f>
        <v>833.95583739787548</v>
      </c>
      <c r="G10" s="351">
        <f ca="1">'Senstivity Analysis'!P10/'Senstivity Analysis-Intrinsic '!$E$3</f>
        <v>899.00684225484758</v>
      </c>
      <c r="I10" s="307">
        <v>0.08</v>
      </c>
      <c r="J10" s="351">
        <f ca="1">'Senstivity Analysis'!S10/'Senstivity Analysis-Intrinsic '!$M$3</f>
        <v>216.95323920352769</v>
      </c>
      <c r="K10" s="351">
        <f ca="1">'Senstivity Analysis'!T10/'Senstivity Analysis-Intrinsic '!$M$3</f>
        <v>244.94619215268278</v>
      </c>
      <c r="L10" s="351">
        <f ca="1">'Senstivity Analysis'!U10/'Senstivity Analysis-Intrinsic '!$M$3</f>
        <v>278.02877291077499</v>
      </c>
      <c r="M10" s="351">
        <f ca="1">'Senstivity Analysis'!V10/'Senstivity Analysis-Intrinsic '!$M$3</f>
        <v>317.72786982048581</v>
      </c>
      <c r="N10" s="351">
        <f ca="1">'Senstivity Analysis'!W10/'Senstivity Analysis-Intrinsic '!$M$3</f>
        <v>366.24898826568779</v>
      </c>
      <c r="O10" s="351">
        <f ca="1">'Senstivity Analysis'!X10/'Senstivity Analysis-Intrinsic '!$M$3</f>
        <v>426.90038632219051</v>
      </c>
      <c r="Q10" s="307">
        <v>0.09</v>
      </c>
      <c r="R10" s="351">
        <f>'Senstivity Analysis'!AA10/'Senstivity Analysis-Intrinsic '!$U$3</f>
        <v>653.49430083225286</v>
      </c>
      <c r="S10" s="351">
        <f>'Senstivity Analysis'!AB10/'Senstivity Analysis-Intrinsic '!$U$3</f>
        <v>681.20080536107673</v>
      </c>
      <c r="T10" s="351">
        <f>'Senstivity Analysis'!AC10/'Senstivity Analysis-Intrinsic '!$U$3</f>
        <v>713.16984904818094</v>
      </c>
      <c r="U10" s="351">
        <f>'Senstivity Analysis'!AD10/'Senstivity Analysis-Intrinsic '!$U$3</f>
        <v>750.46706668313595</v>
      </c>
      <c r="V10" s="351">
        <f>'Senstivity Analysis'!AE10/'Senstivity Analysis-Intrinsic '!$U$3</f>
        <v>794.54559661535563</v>
      </c>
      <c r="W10" s="351">
        <f>'Senstivity Analysis'!AF10/'Senstivity Analysis-Intrinsic '!$U$3</f>
        <v>847.43983253401905</v>
      </c>
    </row>
    <row r="11" spans="1:23" x14ac:dyDescent="0.3">
      <c r="A11" s="314">
        <v>0.09</v>
      </c>
      <c r="B11" s="351">
        <f ca="1">'Senstivity Analysis'!K11/'Senstivity Analysis-Intrinsic '!$E$3</f>
        <v>600.69367773699014</v>
      </c>
      <c r="C11" s="351">
        <f ca="1">'Senstivity Analysis'!L11/'Senstivity Analysis-Intrinsic '!$E$3</f>
        <v>624.72662868687894</v>
      </c>
      <c r="D11" s="351">
        <f ca="1">'Senstivity Analysis'!M11/'Senstivity Analysis-Intrinsic '!$E$3</f>
        <v>652.45695670598116</v>
      </c>
      <c r="E11" s="351">
        <f ca="1">'Senstivity Analysis'!N11/'Senstivity Analysis-Intrinsic '!$E$3</f>
        <v>684.80900606160071</v>
      </c>
      <c r="F11" s="351">
        <f ca="1">'Senstivity Analysis'!O11/'Senstivity Analysis-Intrinsic '!$E$3</f>
        <v>723.04324620915088</v>
      </c>
      <c r="G11" s="351">
        <f ca="1">'Senstivity Analysis'!P11/'Senstivity Analysis-Intrinsic '!$E$3</f>
        <v>768.92433438621106</v>
      </c>
      <c r="I11" s="352">
        <v>0.09</v>
      </c>
      <c r="J11" s="351">
        <f ca="1">'Senstivity Analysis'!S11/'Senstivity Analysis-Intrinsic '!$M$3</f>
        <v>155.41212672897046</v>
      </c>
      <c r="K11" s="351">
        <f ca="1">'Senstivity Analysis'!T11/'Senstivity Analysis-Intrinsic '!$M$3</f>
        <v>174.90764659881467</v>
      </c>
      <c r="L11" s="351">
        <f ca="1">'Senstivity Analysis'!U11/'Senstivity Analysis-Intrinsic '!$M$3</f>
        <v>197.40247721786542</v>
      </c>
      <c r="M11" s="351">
        <f ca="1">'Senstivity Analysis'!V11/'Senstivity Analysis-Intrinsic '!$M$3</f>
        <v>223.6464462734248</v>
      </c>
      <c r="N11" s="351">
        <f ca="1">'Senstivity Analysis'!W11/'Senstivity Analysis-Intrinsic '!$M$3</f>
        <v>254.66204606635853</v>
      </c>
      <c r="O11" s="351">
        <f ca="1">'Senstivity Analysis'!X11/'Senstivity Analysis-Intrinsic '!$M$3</f>
        <v>291.88076581787908</v>
      </c>
      <c r="Q11" s="355"/>
      <c r="R11" s="356"/>
      <c r="S11" s="356"/>
      <c r="T11" s="356"/>
      <c r="U11" s="356"/>
      <c r="V11" s="356"/>
      <c r="W11" s="356"/>
    </row>
    <row r="13" spans="1:23" s="360" customFormat="1" ht="29.4" customHeight="1" x14ac:dyDescent="0.3">
      <c r="A13" s="632" t="s">
        <v>443</v>
      </c>
      <c r="B13" s="633"/>
      <c r="C13" s="633"/>
      <c r="D13" s="633"/>
      <c r="E13" s="364">
        <f>'Intrinsic Value'!L5</f>
        <v>892.46</v>
      </c>
      <c r="F13" s="367">
        <f ca="1">'Intrinsic Value'!L7</f>
        <v>955.85</v>
      </c>
      <c r="G13" s="362" t="e" vm="4">
        <v>#VALUE!</v>
      </c>
      <c r="I13" s="632" t="s">
        <v>443</v>
      </c>
      <c r="J13" s="633"/>
      <c r="K13" s="633"/>
      <c r="L13" s="633"/>
      <c r="M13" s="364">
        <f ca="1">'Intrinsic Value'!N5</f>
        <v>832.86080000000004</v>
      </c>
      <c r="N13" s="367">
        <f ca="1">'Intrinsic Value'!O7</f>
        <v>109.5</v>
      </c>
      <c r="O13" s="362" t="e" vm="6">
        <v>#VALUE!</v>
      </c>
      <c r="Q13" s="632" t="s">
        <v>443</v>
      </c>
      <c r="R13" s="633"/>
      <c r="S13" s="633"/>
      <c r="T13" s="633"/>
      <c r="U13" s="364">
        <f ca="1">'Intrinsic Value'!R5</f>
        <v>621.51350000000002</v>
      </c>
      <c r="V13" s="367">
        <f ca="1">'Intrinsic Value'!Q7</f>
        <v>1066.5999999999999</v>
      </c>
      <c r="W13" s="362" t="e" vm="16">
        <v>#VALUE!</v>
      </c>
    </row>
    <row r="14" spans="1:23" ht="24" x14ac:dyDescent="0.3">
      <c r="A14" s="361" t="s">
        <v>429</v>
      </c>
      <c r="B14" s="636">
        <v>1.4999999999999999E-2</v>
      </c>
      <c r="C14" s="636">
        <v>0.02</v>
      </c>
      <c r="D14" s="636">
        <v>2.5000000000000001E-2</v>
      </c>
      <c r="E14" s="636">
        <v>0.03</v>
      </c>
      <c r="F14" s="636">
        <v>3.5000000000000003E-2</v>
      </c>
      <c r="G14" s="635">
        <v>0.04</v>
      </c>
      <c r="I14" s="361" t="s">
        <v>429</v>
      </c>
      <c r="J14" s="636">
        <v>1.4999999999999999E-2</v>
      </c>
      <c r="K14" s="636">
        <v>0.02</v>
      </c>
      <c r="L14" s="636">
        <v>2.5000000000000001E-2</v>
      </c>
      <c r="M14" s="636">
        <v>0.03</v>
      </c>
      <c r="N14" s="636">
        <v>3.5000000000000003E-2</v>
      </c>
      <c r="O14" s="635">
        <v>0.04</v>
      </c>
      <c r="Q14" s="361" t="s">
        <v>429</v>
      </c>
      <c r="R14" s="636">
        <v>1.4999999999999999E-2</v>
      </c>
      <c r="S14" s="636">
        <v>0.02</v>
      </c>
      <c r="T14" s="636">
        <v>2.5000000000000001E-2</v>
      </c>
      <c r="U14" s="636">
        <v>0.03</v>
      </c>
      <c r="V14" s="636">
        <v>3.5000000000000003E-2</v>
      </c>
      <c r="W14" s="635">
        <v>0.04</v>
      </c>
    </row>
    <row r="15" spans="1:23" ht="24" x14ac:dyDescent="0.3">
      <c r="A15" s="361" t="s">
        <v>430</v>
      </c>
      <c r="B15" s="636"/>
      <c r="C15" s="636"/>
      <c r="D15" s="636"/>
      <c r="E15" s="636"/>
      <c r="F15" s="636"/>
      <c r="G15" s="635"/>
      <c r="I15" s="361" t="s">
        <v>430</v>
      </c>
      <c r="J15" s="636"/>
      <c r="K15" s="636"/>
      <c r="L15" s="636"/>
      <c r="M15" s="636"/>
      <c r="N15" s="636"/>
      <c r="O15" s="635"/>
      <c r="Q15" s="361" t="s">
        <v>430</v>
      </c>
      <c r="R15" s="636"/>
      <c r="S15" s="636"/>
      <c r="T15" s="636"/>
      <c r="U15" s="636"/>
      <c r="V15" s="636"/>
      <c r="W15" s="635"/>
    </row>
    <row r="16" spans="1:23" x14ac:dyDescent="0.3">
      <c r="A16" s="307">
        <v>0.06</v>
      </c>
      <c r="B16" s="351">
        <f>'Senstivity Analysis'!AI6/'Senstivity Analysis-Intrinsic '!$E$13</f>
        <v>314.69352718484305</v>
      </c>
      <c r="C16" s="351">
        <f>'Senstivity Analysis'!AJ6/'Senstivity Analysis-Intrinsic '!$E$13</f>
        <v>340.0167527769953</v>
      </c>
      <c r="D16" s="351">
        <f>'Senstivity Analysis'!AK6/'Senstivity Analysis-Intrinsic '!$E$13</f>
        <v>372.57518568119099</v>
      </c>
      <c r="E16" s="351">
        <f>'Senstivity Analysis'!AL6/'Senstivity Analysis-Intrinsic '!$E$13</f>
        <v>415.98642955345207</v>
      </c>
      <c r="F16" s="351">
        <f>'Senstivity Analysis'!AM6/'Senstivity Analysis-Intrinsic '!$E$13</f>
        <v>476.76217097461739</v>
      </c>
      <c r="G16" s="351">
        <f>'Senstivity Analysis'!AN6/'Senstivity Analysis-Intrinsic '!$E$13</f>
        <v>567.92578310636554</v>
      </c>
      <c r="I16" s="307">
        <v>7.4999999999999997E-2</v>
      </c>
      <c r="J16" s="351">
        <f ca="1">'Senstivity Analysis'!AQ6/'Senstivity Analysis-Intrinsic '!$M$13</f>
        <v>106.17159111193637</v>
      </c>
      <c r="K16" s="351">
        <f ca="1">'Senstivity Analysis'!AR6/'Senstivity Analysis-Intrinsic '!$M$13</f>
        <v>114.72089096309908</v>
      </c>
      <c r="L16" s="351">
        <f ca="1">'Senstivity Analysis'!AS6/'Senstivity Analysis-Intrinsic '!$M$13</f>
        <v>125.40751577705241</v>
      </c>
      <c r="M16" s="351">
        <f ca="1">'Senstivity Analysis'!AT6/'Senstivity Analysis-Intrinsic '!$M$13</f>
        <v>139.14746196642102</v>
      </c>
      <c r="N16" s="351">
        <f ca="1">'Senstivity Analysis'!AU6/'Senstivity Analysis-Intrinsic '!$M$13</f>
        <v>157.4673902189125</v>
      </c>
      <c r="O16" s="351">
        <f ca="1">'Senstivity Analysis'!AV6/'Senstivity Analysis-Intrinsic '!$M$13</f>
        <v>183.11528977240056</v>
      </c>
      <c r="Q16" s="307">
        <v>6.5000000000000002E-2</v>
      </c>
      <c r="R16" s="351">
        <f ca="1">'Senstivity Analysis'!AY6/'Senstivity Analysis-Intrinsic '!$U$13</f>
        <v>752.03165325243413</v>
      </c>
      <c r="S16" s="351">
        <f ca="1">'Senstivity Analysis'!AZ6/'Senstivity Analysis-Intrinsic '!$U$13</f>
        <v>798.70496355343676</v>
      </c>
      <c r="T16" s="351">
        <f ca="1">'Senstivity Analysis'!BA6/'Senstivity Analysis-Intrinsic '!$U$13</f>
        <v>854.71293591463984</v>
      </c>
      <c r="U16" s="351">
        <f ca="1">'Senstivity Analysis'!BB6/'Senstivity Analysis-Intrinsic '!$U$13</f>
        <v>923.16712435611032</v>
      </c>
      <c r="V16" s="351">
        <f ca="1">'Senstivity Analysis'!BC6/'Senstivity Analysis-Intrinsic '!$U$13</f>
        <v>1008.7348599079486</v>
      </c>
      <c r="W16" s="351">
        <f ca="1">'Senstivity Analysis'!BD6/'Senstivity Analysis-Intrinsic '!$U$13</f>
        <v>1118.7505199031691</v>
      </c>
    </row>
    <row r="17" spans="1:23" x14ac:dyDescent="0.3">
      <c r="A17" s="307">
        <v>7.0000000000000007E-2</v>
      </c>
      <c r="B17" s="351">
        <f>'Senstivity Analysis'!AI7/'Senstivity Analysis-Intrinsic '!$E$13</f>
        <v>261.18536298612639</v>
      </c>
      <c r="C17" s="351">
        <f>'Senstivity Analysis'!AJ7/'Senstivity Analysis-Intrinsic '!$E$13</f>
        <v>275.99430000635795</v>
      </c>
      <c r="D17" s="351">
        <f>'Senstivity Analysis'!AK7/'Senstivity Analysis-Intrinsic '!$E$13</f>
        <v>294.0941119199743</v>
      </c>
      <c r="E17" s="351">
        <f>'Senstivity Analysis'!AL7/'Senstivity Analysis-Intrinsic '!$E$13</f>
        <v>316.71887681199468</v>
      </c>
      <c r="F17" s="351">
        <f>'Senstivity Analysis'!AM7/'Senstivity Analysis-Intrinsic '!$E$13</f>
        <v>345.80786024459235</v>
      </c>
      <c r="G17" s="351">
        <f>'Senstivity Analysis'!AN7/'Senstivity Analysis-Intrinsic '!$E$13</f>
        <v>384.59317148805593</v>
      </c>
      <c r="I17" s="307">
        <v>8.5000000000000006E-2</v>
      </c>
      <c r="J17" s="351">
        <f ca="1">'Senstivity Analysis'!AQ7/'Senstivity Analysis-Intrinsic '!$M$13</f>
        <v>86.958443985159533</v>
      </c>
      <c r="K17" s="351">
        <f ca="1">'Senstivity Analysis'!AR7/'Senstivity Analysis-Intrinsic '!$M$13</f>
        <v>92.169105352244387</v>
      </c>
      <c r="L17" s="351">
        <f ca="1">'Senstivity Analysis'!AS7/'Senstivity Analysis-Intrinsic '!$M$13</f>
        <v>98.421898992746236</v>
      </c>
      <c r="M17" s="351">
        <f ca="1">'Senstivity Analysis'!AT7/'Senstivity Analysis-Intrinsic '!$M$13</f>
        <v>106.06420233113741</v>
      </c>
      <c r="N17" s="351">
        <f ca="1">'Senstivity Analysis'!AU7/'Senstivity Analysis-Intrinsic '!$M$13</f>
        <v>115.61708150412636</v>
      </c>
      <c r="O17" s="351">
        <f ca="1">'Senstivity Analysis'!AV7/'Senstivity Analysis-Intrinsic '!$M$13</f>
        <v>127.89935472654071</v>
      </c>
      <c r="Q17" s="307">
        <v>7.4999999999999997E-2</v>
      </c>
      <c r="R17" s="351">
        <f ca="1">'Senstivity Analysis'!AY7/'Senstivity Analysis-Intrinsic '!$U$13</f>
        <v>868.27975340710861</v>
      </c>
      <c r="S17" s="351">
        <f ca="1">'Senstivity Analysis'!AZ7/'Senstivity Analysis-Intrinsic '!$U$13</f>
        <v>917.69879167121599</v>
      </c>
      <c r="T17" s="351">
        <f ca="1">'Senstivity Analysis'!BA7/'Senstivity Analysis-Intrinsic '!$U$13</f>
        <v>975.35433631267438</v>
      </c>
      <c r="U17" s="351">
        <f ca="1">'Senstivity Analysis'!BB7/'Senstivity Analysis-Intrinsic '!$U$13</f>
        <v>1043.4927072525797</v>
      </c>
      <c r="V17" s="351">
        <f ca="1">'Senstivity Analysis'!BC7/'Senstivity Analysis-Intrinsic '!$U$13</f>
        <v>1125.2587523804661</v>
      </c>
      <c r="W17" s="351">
        <f ca="1">'Senstivity Analysis'!BD7/'Senstivity Analysis-Intrinsic '!$U$13</f>
        <v>1225.1950297589942</v>
      </c>
    </row>
    <row r="18" spans="1:23" x14ac:dyDescent="0.3">
      <c r="A18" s="307">
        <v>0.08</v>
      </c>
      <c r="B18" s="351">
        <f>'Senstivity Analysis'!AI8/'Senstivity Analysis-Intrinsic '!$E$13</f>
        <v>219.45339536003991</v>
      </c>
      <c r="C18" s="351">
        <f>'Senstivity Analysis'!AJ8/'Senstivity Analysis-Intrinsic '!$E$13</f>
        <v>228.20913909705885</v>
      </c>
      <c r="D18" s="351">
        <f>'Senstivity Analysis'!AK8/'Senstivity Analysis-Intrinsic '!$E$13</f>
        <v>238.55683624080845</v>
      </c>
      <c r="E18" s="351">
        <f>'Senstivity Analysis'!AL8/'Senstivity Analysis-Intrinsic '!$E$13</f>
        <v>250.974072813308</v>
      </c>
      <c r="F18" s="351">
        <f>'Senstivity Analysis'!AM8/'Senstivity Analysis-Intrinsic '!$E$13</f>
        <v>266.15069529080745</v>
      </c>
      <c r="G18" s="351">
        <f>'Senstivity Analysis'!AN8/'Senstivity Analysis-Intrinsic '!$E$13</f>
        <v>285.12147338768176</v>
      </c>
      <c r="I18" s="307">
        <v>9.5000000000000001E-2</v>
      </c>
      <c r="J18" s="351">
        <f ca="1">'Senstivity Analysis'!AQ8/'Senstivity Analysis-Intrinsic '!$M$13</f>
        <v>99.936513904917589</v>
      </c>
      <c r="K18" s="351">
        <f ca="1">'Senstivity Analysis'!AR8/'Senstivity Analysis-Intrinsic '!$M$13</f>
        <v>105.45371146002098</v>
      </c>
      <c r="L18" s="351">
        <f ca="1">'Senstivity Analysis'!AS8/'Senstivity Analysis-Intrinsic '!$M$13</f>
        <v>111.89044194097491</v>
      </c>
      <c r="M18" s="351">
        <f ca="1">'Senstivity Analysis'!AT8/'Senstivity Analysis-Intrinsic '!$M$13</f>
        <v>119.49748705482956</v>
      </c>
      <c r="N18" s="351">
        <f ca="1">'Senstivity Analysis'!AU8/'Senstivity Analysis-Intrinsic '!$M$13</f>
        <v>128.62594119145513</v>
      </c>
      <c r="O18" s="351">
        <f ca="1">'Senstivity Analysis'!AV8/'Senstivity Analysis-Intrinsic '!$M$13</f>
        <v>139.78294069177531</v>
      </c>
      <c r="Q18" s="307">
        <v>8.5000000000000006E-2</v>
      </c>
      <c r="R18" s="351">
        <f ca="1">'Senstivity Analysis'!AY8/'Senstivity Analysis-Intrinsic '!$U$13</f>
        <v>760.44444235508399</v>
      </c>
      <c r="S18" s="351">
        <f ca="1">'Senstivity Analysis'!AZ8/'Senstivity Analysis-Intrinsic '!$U$13</f>
        <v>795.9133774625293</v>
      </c>
      <c r="T18" s="351">
        <f ca="1">'Senstivity Analysis'!BA8/'Senstivity Analysis-Intrinsic '!$U$13</f>
        <v>836.44930329960948</v>
      </c>
      <c r="U18" s="351">
        <f ca="1">'Senstivity Analysis'!BB8/'Senstivity Analysis-Intrinsic '!$U$13</f>
        <v>883.22152541931769</v>
      </c>
      <c r="V18" s="351">
        <f ca="1">'Senstivity Analysis'!BC8/'Senstivity Analysis-Intrinsic '!$U$13</f>
        <v>937.78911789231017</v>
      </c>
      <c r="W18" s="351">
        <f ca="1">'Senstivity Analysis'!BD8/'Senstivity Analysis-Intrinsic '!$U$13</f>
        <v>1002.2780908149379</v>
      </c>
    </row>
    <row r="19" spans="1:23" x14ac:dyDescent="0.3">
      <c r="A19" s="307">
        <v>0.09</v>
      </c>
      <c r="B19" s="351">
        <f>'Senstivity Analysis'!AI9/'Senstivity Analysis-Intrinsic '!$E$13</f>
        <v>201.68329755039454</v>
      </c>
      <c r="C19" s="351">
        <f>'Senstivity Analysis'!AJ9/'Senstivity Analysis-Intrinsic '!$E$13</f>
        <v>207.89462798148745</v>
      </c>
      <c r="D19" s="351">
        <f>'Senstivity Analysis'!AK9/'Senstivity Analysis-Intrinsic '!$E$13</f>
        <v>215.06154770967149</v>
      </c>
      <c r="E19" s="351">
        <f>'Senstivity Analysis'!AL9/'Senstivity Analysis-Intrinsic '!$E$13</f>
        <v>223.42295405921953</v>
      </c>
      <c r="F19" s="351">
        <f>'Senstivity Analysis'!AM9/'Senstivity Analysis-Intrinsic '!$E$13</f>
        <v>233.30461610868545</v>
      </c>
      <c r="G19" s="351">
        <f>'Senstivity Analysis'!AN9/'Senstivity Analysis-Intrinsic '!$E$13</f>
        <v>245.16261056804458</v>
      </c>
      <c r="I19" s="307">
        <v>0.105</v>
      </c>
      <c r="J19" s="351">
        <f ca="1">'Senstivity Analysis'!AQ9/'Senstivity Analysis-Intrinsic '!$M$13</f>
        <v>87.897657314659924</v>
      </c>
      <c r="K19" s="351">
        <f ca="1">'Senstivity Analysis'!AR9/'Senstivity Analysis-Intrinsic '!$M$13</f>
        <v>91.857449510758698</v>
      </c>
      <c r="L19" s="351">
        <f ca="1">'Senstivity Analysis'!AS9/'Senstivity Analysis-Intrinsic '!$M$13</f>
        <v>96.382926306300092</v>
      </c>
      <c r="M19" s="351">
        <f ca="1">'Senstivity Analysis'!AT9/'Senstivity Analysis-Intrinsic '!$M$13</f>
        <v>101.60463030115558</v>
      </c>
      <c r="N19" s="351">
        <f ca="1">'Senstivity Analysis'!AU9/'Senstivity Analysis-Intrinsic '!$M$13</f>
        <v>107.69661829515366</v>
      </c>
      <c r="O19" s="351">
        <f ca="1">'Senstivity Analysis'!AV9/'Senstivity Analysis-Intrinsic '!$M$13</f>
        <v>114.89624046987865</v>
      </c>
      <c r="Q19" s="307">
        <v>9.5000000000000001E-2</v>
      </c>
      <c r="R19" s="351">
        <f ca="1">'Senstivity Analysis'!AY9/'Senstivity Analysis-Intrinsic '!$U$13</f>
        <v>678.62119554986646</v>
      </c>
      <c r="S19" s="351">
        <f ca="1">'Senstivity Analysis'!AZ9/'Senstivity Analysis-Intrinsic '!$U$13</f>
        <v>704.96321171320994</v>
      </c>
      <c r="T19" s="351">
        <f ca="1">'Senstivity Analysis'!BA9/'Senstivity Analysis-Intrinsic '!$U$13</f>
        <v>734.59797989697142</v>
      </c>
      <c r="U19" s="351">
        <f ca="1">'Senstivity Analysis'!BB9/'Senstivity Analysis-Intrinsic '!$U$13</f>
        <v>768.1840505052345</v>
      </c>
      <c r="V19" s="351">
        <f ca="1">'Senstivity Analysis'!BC9/'Senstivity Analysis-Intrinsic '!$U$13</f>
        <v>806.56813120039214</v>
      </c>
      <c r="W19" s="351">
        <f ca="1">'Senstivity Analysis'!BD9/'Senstivity Analysis-Intrinsic '!$U$13</f>
        <v>850.85745507942045</v>
      </c>
    </row>
    <row r="20" spans="1:23" x14ac:dyDescent="0.3">
      <c r="A20" s="307">
        <v>0.1</v>
      </c>
      <c r="B20" s="351">
        <f>'Senstivity Analysis'!AI10/'Senstivity Analysis-Intrinsic '!$E$13</f>
        <v>184.15842713594415</v>
      </c>
      <c r="C20" s="351">
        <f>'Senstivity Analysis'!AJ10/'Senstivity Analysis-Intrinsic '!$E$13</f>
        <v>188.45617346065418</v>
      </c>
      <c r="D20" s="351">
        <f>'Senstivity Analysis'!AK10/'Senstivity Analysis-Intrinsic '!$E$13</f>
        <v>193.3269526286588</v>
      </c>
      <c r="E20" s="351">
        <f>'Senstivity Analysis'!AL10/'Senstivity Analysis-Intrinsic '!$E$13</f>
        <v>198.89355739209273</v>
      </c>
      <c r="F20" s="351">
        <f>'Senstivity Analysis'!AM10/'Senstivity Analysis-Intrinsic '!$E$13</f>
        <v>205.31656288836257</v>
      </c>
      <c r="G20" s="351">
        <f>'Senstivity Analysis'!AN10/'Senstivity Analysis-Intrinsic '!$E$13</f>
        <v>212.81006930067747</v>
      </c>
      <c r="I20" s="307">
        <v>0.115</v>
      </c>
      <c r="J20" s="351">
        <f ca="1">'Senstivity Analysis'!AQ10/'Senstivity Analysis-Intrinsic '!$M$13</f>
        <v>78.762817117815374</v>
      </c>
      <c r="K20" s="351">
        <f ca="1">'Senstivity Analysis'!AR10/'Senstivity Analysis-Intrinsic '!$M$13</f>
        <v>81.703669717904276</v>
      </c>
      <c r="L20" s="351">
        <f ca="1">'Senstivity Analysis'!AS10/'Senstivity Analysis-Intrinsic '!$M$13</f>
        <v>85.012128893004288</v>
      </c>
      <c r="M20" s="351">
        <f ca="1">'Senstivity Analysis'!AT10/'Senstivity Analysis-Intrinsic '!$M$13</f>
        <v>88.76171595811762</v>
      </c>
      <c r="N20" s="351">
        <f ca="1">'Senstivity Analysis'!AU10/'Senstivity Analysis-Intrinsic '!$M$13</f>
        <v>93.046958318247178</v>
      </c>
      <c r="O20" s="351">
        <f ca="1">'Senstivity Analysis'!AV10/'Senstivity Analysis-Intrinsic '!$M$13</f>
        <v>97.991468733781261</v>
      </c>
      <c r="Q20" s="307">
        <v>0.105</v>
      </c>
      <c r="R20" s="351">
        <f ca="1">'Senstivity Analysis'!AY10/'Senstivity Analysis-Intrinsic '!$U$13</f>
        <v>448.16728211706578</v>
      </c>
      <c r="S20" s="351">
        <f ca="1">'Senstivity Analysis'!AZ10/'Senstivity Analysis-Intrinsic '!$U$13</f>
        <v>458.62560633590294</v>
      </c>
      <c r="T20" s="351">
        <f ca="1">'Senstivity Analysis'!BA10/'Senstivity Analysis-Intrinsic '!$U$13</f>
        <v>470.24596657905516</v>
      </c>
      <c r="U20" s="351">
        <f ca="1">'Senstivity Analysis'!BB10/'Senstivity Analysis-Intrinsic '!$U$13</f>
        <v>483.23342802728428</v>
      </c>
      <c r="V20" s="351">
        <f ca="1">'Senstivity Analysis'!BC10/'Senstivity Analysis-Intrinsic '!$U$13</f>
        <v>497.84432215654198</v>
      </c>
      <c r="W20" s="351">
        <f ca="1">'Senstivity Analysis'!BD10/'Senstivity Analysis-Intrinsic '!$U$13</f>
        <v>514.40333550303399</v>
      </c>
    </row>
    <row r="21" spans="1:23" x14ac:dyDescent="0.3">
      <c r="A21" s="306">
        <v>9.6000000000000002E-2</v>
      </c>
      <c r="B21" s="351">
        <f ca="1">'Senstivity Analysis'!AI11/'Senstivity Analysis-Intrinsic '!$E$13</f>
        <v>193.39226518918574</v>
      </c>
      <c r="C21" s="351">
        <f ca="1">'Senstivity Analysis'!AJ11/'Senstivity Analysis-Intrinsic '!$E$13</f>
        <v>198.55572677616777</v>
      </c>
      <c r="D21" s="351">
        <f ca="1">'Senstivity Analysis'!AK11/'Senstivity Analysis-Intrinsic '!$E$13</f>
        <v>204.44643647399229</v>
      </c>
      <c r="E21" s="351">
        <f ca="1">'Senstivity Analysis'!AL11/'Senstivity Analysis-Intrinsic '!$E$13</f>
        <v>211.2296779442145</v>
      </c>
      <c r="F21" s="351">
        <f ca="1">'Senstivity Analysis'!AM11/'Senstivity Analysis-Intrinsic '!$E$13</f>
        <v>219.1249262128338</v>
      </c>
      <c r="G21" s="351">
        <f ca="1">'Senstivity Analysis'!AN11/'Senstivity Analysis-Intrinsic '!$E$13</f>
        <v>228.43004024370649</v>
      </c>
      <c r="I21" s="306">
        <v>0.10199999999999999</v>
      </c>
      <c r="J21" s="351">
        <f ca="1">'Senstivity Analysis'!AQ11/'Senstivity Analysis-Intrinsic '!$M$13</f>
        <v>60.173897165243957</v>
      </c>
      <c r="K21" s="351">
        <f ca="1">'Senstivity Analysis'!AR11/'Senstivity Analysis-Intrinsic '!$M$13</f>
        <v>61.983440250276864</v>
      </c>
      <c r="L21" s="351">
        <f ca="1">'Senstivity Analysis'!AS11/'Senstivity Analysis-Intrinsic '!$M$13</f>
        <v>64.027988930768586</v>
      </c>
      <c r="M21" s="351">
        <f ca="1">'Senstivity Analysis'!AT11/'Senstivity Analysis-Intrinsic '!$M$13</f>
        <v>66.356502705773039</v>
      </c>
      <c r="N21" s="351">
        <f ca="1">'Senstivity Analysis'!AU11/'Senstivity Analysis-Intrinsic '!$M$13</f>
        <v>69.03255585018114</v>
      </c>
      <c r="O21" s="351">
        <f ca="1">'Senstivity Analysis'!AV11/'Senstivity Analysis-Intrinsic '!$M$13</f>
        <v>72.140230469493787</v>
      </c>
      <c r="Q21" s="306">
        <v>0.11899999999999999</v>
      </c>
      <c r="R21" s="351">
        <f ca="1">'Senstivity Analysis'!AY11/'Senstivity Analysis-Intrinsic '!$U$13</f>
        <v>475.80440600165758</v>
      </c>
      <c r="S21" s="351">
        <f ca="1">'Senstivity Analysis'!AZ11/'Senstivity Analysis-Intrinsic '!$U$13</f>
        <v>487.41500815069185</v>
      </c>
      <c r="T21" s="351">
        <f ca="1">'Senstivity Analysis'!BA11/'Senstivity Analysis-Intrinsic '!$U$13</f>
        <v>500.26078074111263</v>
      </c>
      <c r="U21" s="351">
        <f ca="1">'Senstivity Analysis'!BB11/'Senstivity Analysis-Intrinsic '!$U$13</f>
        <v>514.54989856641225</v>
      </c>
      <c r="V21" s="351">
        <f ca="1">'Senstivity Analysis'!BC11/'Senstivity Analysis-Intrinsic '!$U$13</f>
        <v>530.54010184710478</v>
      </c>
      <c r="W21" s="351">
        <f ca="1">'Senstivity Analysis'!BD11/'Senstivity Analysis-Intrinsic '!$U$13</f>
        <v>548.55438149244185</v>
      </c>
    </row>
    <row r="23" spans="1:23" s="360" customFormat="1" ht="30" customHeight="1" x14ac:dyDescent="0.3">
      <c r="A23" s="632" t="s">
        <v>443</v>
      </c>
      <c r="B23" s="633"/>
      <c r="C23" s="633"/>
      <c r="D23" s="633"/>
      <c r="E23" s="364">
        <f ca="1">'Intrinsic Value'!T5</f>
        <v>40.146850000000001</v>
      </c>
      <c r="F23" s="367">
        <f ca="1">'Intrinsic Value'!U7</f>
        <v>3230</v>
      </c>
      <c r="G23" s="362" t="e" vm="7">
        <v>#VALUE!</v>
      </c>
    </row>
    <row r="24" spans="1:23" ht="24" x14ac:dyDescent="0.3">
      <c r="A24" s="361" t="s">
        <v>429</v>
      </c>
      <c r="B24" s="636">
        <v>1.4999999999999999E-2</v>
      </c>
      <c r="C24" s="636">
        <v>0.02</v>
      </c>
      <c r="D24" s="636">
        <v>2.5000000000000001E-2</v>
      </c>
      <c r="E24" s="636">
        <v>0.03</v>
      </c>
      <c r="F24" s="636">
        <v>3.5000000000000003E-2</v>
      </c>
      <c r="G24" s="635">
        <v>0.04</v>
      </c>
    </row>
    <row r="25" spans="1:23" ht="24" x14ac:dyDescent="0.3">
      <c r="A25" s="361" t="s">
        <v>430</v>
      </c>
      <c r="B25" s="636"/>
      <c r="C25" s="636"/>
      <c r="D25" s="636"/>
      <c r="E25" s="636"/>
      <c r="F25" s="636"/>
      <c r="G25" s="635"/>
    </row>
    <row r="26" spans="1:23" x14ac:dyDescent="0.3">
      <c r="A26" s="307">
        <v>5.5E-2</v>
      </c>
      <c r="B26" s="351">
        <f ca="1">'Senstivity Analysis'!BG6/'Senstivity Analysis-Intrinsic '!$E$23</f>
        <v>22826.094176772571</v>
      </c>
      <c r="C26" s="351">
        <f ca="1">'Senstivity Analysis'!BH6/'Senstivity Analysis-Intrinsic '!$E$23</f>
        <v>25526.944292074768</v>
      </c>
      <c r="D26" s="351">
        <f ca="1">'Senstivity Analysis'!BI6/'Senstivity Analysis-Intrinsic '!$E$23</f>
        <v>29128.077779144354</v>
      </c>
      <c r="E26" s="351">
        <f ca="1">'Senstivity Analysis'!BJ6/'Senstivity Analysis-Intrinsic '!$E$23</f>
        <v>34169.664661041788</v>
      </c>
      <c r="F26" s="351">
        <f ca="1">'Senstivity Analysis'!BK6/'Senstivity Analysis-Intrinsic '!$E$23</f>
        <v>41732.044983887936</v>
      </c>
      <c r="G26" s="351">
        <f ca="1">'Senstivity Analysis'!BL6/'Senstivity Analysis-Intrinsic '!$E$23</f>
        <v>54336.012188631503</v>
      </c>
    </row>
    <row r="27" spans="1:23" x14ac:dyDescent="0.3">
      <c r="A27" s="306">
        <v>5.6000000000000001E-2</v>
      </c>
      <c r="B27" s="351">
        <f ca="1">'Senstivity Analysis'!BG7/'Senstivity Analysis-Intrinsic '!$E$23</f>
        <v>20692.377897052098</v>
      </c>
      <c r="C27" s="351">
        <f ca="1">'Senstivity Analysis'!BH7/'Senstivity Analysis-Intrinsic '!$E$23</f>
        <v>23012.373082512368</v>
      </c>
      <c r="D27" s="351">
        <f ca="1">'Senstivity Analysis'!BI7/'Senstivity Analysis-Intrinsic '!$E$23</f>
        <v>26080.753811669492</v>
      </c>
      <c r="E27" s="351">
        <f ca="1">'Senstivity Analysis'!BJ7/'Senstivity Analysis-Intrinsic '!$E$23</f>
        <v>30329.280975117825</v>
      </c>
      <c r="F27" s="351">
        <f ca="1">'Senstivity Analysis'!BK7/'Senstivity Analysis-Intrinsic '!$E$23</f>
        <v>36600.9163116368</v>
      </c>
      <c r="G27" s="351">
        <f ca="1">'Senstivity Analysis'!BL7/'Senstivity Analysis-Intrinsic '!$E$23</f>
        <v>46792.323733480109</v>
      </c>
    </row>
    <row r="28" spans="1:23" x14ac:dyDescent="0.3">
      <c r="A28" s="307">
        <v>0.06</v>
      </c>
      <c r="B28" s="351">
        <f ca="1">'Senstivity Analysis'!BG8/'Senstivity Analysis-Intrinsic '!$E$23</f>
        <v>20131.505430555895</v>
      </c>
      <c r="C28" s="351">
        <f ca="1">'Senstivity Analysis'!BH8/'Senstivity Analysis-Intrinsic '!$E$23</f>
        <v>22154.192830280565</v>
      </c>
      <c r="D28" s="351">
        <f ca="1">'Senstivity Analysis'!BI8/'Senstivity Analysis-Intrinsic '!$E$23</f>
        <v>24754.790915640839</v>
      </c>
      <c r="E28" s="351">
        <f ca="1">'Senstivity Analysis'!BJ8/'Senstivity Analysis-Intrinsic '!$E$23</f>
        <v>28222.255029454551</v>
      </c>
      <c r="F28" s="351">
        <f ca="1">'Senstivity Analysis'!BK8/'Senstivity Analysis-Intrinsic '!$E$23</f>
        <v>33076.704788793744</v>
      </c>
      <c r="G28" s="351">
        <f ca="1">'Senstivity Analysis'!BL8/'Senstivity Analysis-Intrinsic '!$E$23</f>
        <v>40358.379427802531</v>
      </c>
    </row>
    <row r="29" spans="1:23" x14ac:dyDescent="0.3">
      <c r="A29" s="307">
        <v>6.5000000000000002E-2</v>
      </c>
      <c r="B29" s="351">
        <f ca="1">'Senstivity Analysis'!BG9/'Senstivity Analysis-Intrinsic '!$E$23</f>
        <v>18003.766207909895</v>
      </c>
      <c r="C29" s="351">
        <f ca="1">'Senstivity Analysis'!BH9/'Senstivity Analysis-Intrinsic '!$E$23</f>
        <v>19562.129881412588</v>
      </c>
      <c r="D29" s="351">
        <f ca="1">'Senstivity Analysis'!BI9/'Senstivity Analysis-Intrinsic '!$E$23</f>
        <v>21510.084473290943</v>
      </c>
      <c r="E29" s="351">
        <f ca="1">'Senstivity Analysis'!BJ9/'Senstivity Analysis-Intrinsic '!$E$23</f>
        <v>24014.597519991694</v>
      </c>
      <c r="F29" s="351">
        <f ca="1">'Senstivity Analysis'!BK9/'Senstivity Analysis-Intrinsic '!$E$23</f>
        <v>27353.948248926023</v>
      </c>
      <c r="G29" s="351">
        <f ca="1">'Senstivity Analysis'!BL9/'Senstivity Analysis-Intrinsic '!$E$23</f>
        <v>32029.039269434084</v>
      </c>
    </row>
    <row r="30" spans="1:23" x14ac:dyDescent="0.3">
      <c r="A30" s="307">
        <v>7.0000000000000007E-2</v>
      </c>
      <c r="B30" s="351">
        <f ca="1">'Senstivity Analysis'!BG10/'Senstivity Analysis-Intrinsic '!$E$23</f>
        <v>16287.000131402452</v>
      </c>
      <c r="C30" s="351">
        <f ca="1">'Senstivity Analysis'!BH10/'Senstivity Analysis-Intrinsic '!$E$23</f>
        <v>17515.132791823304</v>
      </c>
      <c r="D30" s="351">
        <f ca="1">'Senstivity Analysis'!BI10/'Senstivity Analysis-Intrinsic '!$E$23</f>
        <v>19016.183821226561</v>
      </c>
      <c r="E30" s="351">
        <f ca="1">'Senstivity Analysis'!BJ10/'Senstivity Analysis-Intrinsic '!$E$23</f>
        <v>20892.497607980637</v>
      </c>
      <c r="F30" s="351">
        <f ca="1">'Senstivity Analysis'!BK10/'Senstivity Analysis-Intrinsic '!$E$23</f>
        <v>23304.901048093023</v>
      </c>
      <c r="G30" s="351">
        <f ca="1">'Senstivity Analysis'!BL10/'Senstivity Analysis-Intrinsic '!$E$23</f>
        <v>26521.438968242866</v>
      </c>
    </row>
    <row r="31" spans="1:23" x14ac:dyDescent="0.3">
      <c r="A31" s="307">
        <v>7.4999999999999997E-2</v>
      </c>
      <c r="B31" s="351">
        <f ca="1">'Senstivity Analysis'!BG11/'Senstivity Analysis-Intrinsic '!$E$23</f>
        <v>14877.353949244873</v>
      </c>
      <c r="C31" s="351">
        <f ca="1">'Senstivity Analysis'!BH11/'Senstivity Analysis-Intrinsic '!$E$23</f>
        <v>15863.330400185961</v>
      </c>
      <c r="D31" s="351">
        <f ca="1">'Senstivity Analysis'!BI11/'Senstivity Analysis-Intrinsic '!$E$23</f>
        <v>17046.502141315264</v>
      </c>
      <c r="E31" s="351">
        <f ca="1">'Senstivity Analysis'!BJ11/'Senstivity Analysis-Intrinsic '!$E$23</f>
        <v>18492.600936028859</v>
      </c>
      <c r="F31" s="351">
        <f ca="1">'Senstivity Analysis'!BK11/'Senstivity Analysis-Intrinsic '!$E$23</f>
        <v>20300.224429420854</v>
      </c>
      <c r="G31" s="351">
        <f ca="1">'Senstivity Analysis'!BL11/'Senstivity Analysis-Intrinsic '!$E$23</f>
        <v>22624.311778067698</v>
      </c>
    </row>
  </sheetData>
  <mergeCells count="50">
    <mergeCell ref="L4:L5"/>
    <mergeCell ref="M4:M5"/>
    <mergeCell ref="N4:N5"/>
    <mergeCell ref="B4:B5"/>
    <mergeCell ref="C4:C5"/>
    <mergeCell ref="D4:D5"/>
    <mergeCell ref="E4:E5"/>
    <mergeCell ref="F4:F5"/>
    <mergeCell ref="G14:G15"/>
    <mergeCell ref="J14:J15"/>
    <mergeCell ref="G4:G5"/>
    <mergeCell ref="J4:J5"/>
    <mergeCell ref="K4:K5"/>
    <mergeCell ref="R4:R5"/>
    <mergeCell ref="S4:S5"/>
    <mergeCell ref="T4:T5"/>
    <mergeCell ref="U4:U5"/>
    <mergeCell ref="O4:O5"/>
    <mergeCell ref="W14:W15"/>
    <mergeCell ref="I13:L13"/>
    <mergeCell ref="A13:D13"/>
    <mergeCell ref="Q13:T13"/>
    <mergeCell ref="K14:K15"/>
    <mergeCell ref="L14:L15"/>
    <mergeCell ref="M14:M15"/>
    <mergeCell ref="N14:N15"/>
    <mergeCell ref="O14:O15"/>
    <mergeCell ref="S14:S15"/>
    <mergeCell ref="T14:T15"/>
    <mergeCell ref="B14:B15"/>
    <mergeCell ref="C14:C15"/>
    <mergeCell ref="D14:D15"/>
    <mergeCell ref="E14:E15"/>
    <mergeCell ref="F14:F15"/>
    <mergeCell ref="A23:D23"/>
    <mergeCell ref="A1:W1"/>
    <mergeCell ref="G24:G25"/>
    <mergeCell ref="A3:D3"/>
    <mergeCell ref="I3:L3"/>
    <mergeCell ref="Q3:T3"/>
    <mergeCell ref="B24:B25"/>
    <mergeCell ref="C24:C25"/>
    <mergeCell ref="D24:D25"/>
    <mergeCell ref="E24:E25"/>
    <mergeCell ref="F24:F25"/>
    <mergeCell ref="V4:V5"/>
    <mergeCell ref="W4:W5"/>
    <mergeCell ref="R14:R15"/>
    <mergeCell ref="U14:U15"/>
    <mergeCell ref="V14:V1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003EF-D96E-4FC8-A063-29B7E1715133}">
  <sheetPr>
    <tabColor rgb="FF0070C0"/>
  </sheetPr>
  <dimension ref="A1:BL73"/>
  <sheetViews>
    <sheetView showGridLines="0" topLeftCell="AT1" zoomScale="92" zoomScaleNormal="96" workbookViewId="0">
      <selection activeCell="B15" sqref="B15"/>
    </sheetView>
  </sheetViews>
  <sheetFormatPr defaultRowHeight="14.4" x14ac:dyDescent="0.3"/>
  <cols>
    <col min="1" max="1" width="9.44140625" style="54" bestFit="1" customWidth="1"/>
    <col min="2" max="2" width="12.33203125" style="54" bestFit="1" customWidth="1"/>
    <col min="3" max="7" width="11.21875" style="54" bestFit="1" customWidth="1"/>
    <col min="8" max="8" width="11" style="54" bestFit="1" customWidth="1"/>
    <col min="9" max="9" width="8.88671875" style="54"/>
    <col min="10" max="10" width="12.44140625" style="54" bestFit="1" customWidth="1"/>
    <col min="11" max="16" width="11.6640625" style="54" bestFit="1" customWidth="1"/>
    <col min="17" max="17" width="12.44140625" style="54" bestFit="1" customWidth="1"/>
    <col min="18" max="18" width="7.6640625" style="54" bestFit="1" customWidth="1"/>
    <col min="19" max="19" width="13" style="54" bestFit="1" customWidth="1"/>
    <col min="20" max="20" width="13.21875" style="54" bestFit="1" customWidth="1"/>
    <col min="21" max="24" width="13" style="54" bestFit="1" customWidth="1"/>
    <col min="25" max="25" width="8.88671875" style="54"/>
    <col min="26" max="28" width="13.21875" style="54" bestFit="1" customWidth="1"/>
    <col min="29" max="31" width="13.88671875" style="54" bestFit="1" customWidth="1"/>
    <col min="32" max="38" width="13.21875" style="54" bestFit="1" customWidth="1"/>
    <col min="39" max="40" width="11.6640625" style="54" bestFit="1" customWidth="1"/>
    <col min="41" max="41" width="8.88671875" style="54"/>
    <col min="42" max="42" width="7.5546875" style="54" bestFit="1" customWidth="1"/>
    <col min="43" max="47" width="11.6640625" style="54" bestFit="1" customWidth="1"/>
    <col min="48" max="48" width="13.21875" style="54" bestFit="1" customWidth="1"/>
    <col min="49" max="49" width="8.88671875" style="54"/>
    <col min="50" max="50" width="7.5546875" style="54" bestFit="1" customWidth="1"/>
    <col min="51" max="56" width="11.6640625" style="54" bestFit="1" customWidth="1"/>
    <col min="57" max="57" width="8.88671875" style="54"/>
    <col min="58" max="58" width="7.5546875" style="54" bestFit="1" customWidth="1"/>
    <col min="59" max="59" width="11.6640625" style="54" bestFit="1" customWidth="1"/>
    <col min="60" max="64" width="13.21875" style="54" bestFit="1" customWidth="1"/>
    <col min="65" max="16384" width="8.88671875" style="54"/>
  </cols>
  <sheetData>
    <row r="1" spans="1:64" ht="31.8" customHeight="1" x14ac:dyDescent="0.3">
      <c r="A1" s="638" t="s">
        <v>442</v>
      </c>
      <c r="B1" s="638"/>
      <c r="C1" s="638"/>
      <c r="D1" s="638"/>
      <c r="E1" s="638"/>
      <c r="F1" s="638"/>
      <c r="G1" s="638"/>
      <c r="H1" s="638"/>
      <c r="I1" s="638"/>
      <c r="J1" s="638"/>
      <c r="K1" s="638"/>
      <c r="L1" s="638"/>
      <c r="M1" s="638"/>
      <c r="N1" s="638"/>
      <c r="O1" s="638"/>
      <c r="P1" s="638"/>
      <c r="Q1" s="638"/>
      <c r="R1" s="638"/>
      <c r="S1" s="638"/>
      <c r="T1" s="638"/>
      <c r="U1" s="638"/>
      <c r="V1" s="638"/>
      <c r="W1" s="638"/>
      <c r="X1" s="638"/>
      <c r="Y1" s="638"/>
      <c r="Z1" s="638"/>
      <c r="AA1" s="638"/>
      <c r="AB1" s="638"/>
      <c r="AC1" s="638"/>
      <c r="AD1" s="638"/>
      <c r="AE1" s="638"/>
      <c r="AF1" s="638"/>
      <c r="AG1" s="638"/>
      <c r="AH1" s="638"/>
      <c r="AI1" s="638"/>
      <c r="AJ1" s="638"/>
      <c r="AK1" s="638"/>
      <c r="AL1" s="638"/>
      <c r="AM1" s="638"/>
      <c r="AN1" s="638"/>
      <c r="AO1" s="638"/>
      <c r="AP1" s="638"/>
      <c r="AQ1" s="638"/>
      <c r="AR1" s="638"/>
      <c r="AS1" s="638"/>
      <c r="AT1" s="638"/>
      <c r="AU1" s="638"/>
      <c r="AV1" s="638"/>
      <c r="AW1" s="638"/>
      <c r="AX1" s="638"/>
      <c r="AY1" s="638"/>
      <c r="AZ1" s="638"/>
      <c r="BA1" s="638"/>
      <c r="BB1" s="638"/>
      <c r="BC1" s="638"/>
      <c r="BD1" s="638"/>
      <c r="BE1" s="638"/>
      <c r="BF1" s="638"/>
      <c r="BG1" s="638"/>
      <c r="BH1" s="638"/>
      <c r="BI1" s="638"/>
      <c r="BJ1" s="638"/>
      <c r="BK1" s="638"/>
      <c r="BL1" s="638"/>
    </row>
    <row r="2" spans="1:64" ht="31.8" customHeight="1" x14ac:dyDescent="0.3"/>
    <row r="3" spans="1:64" ht="36" customHeight="1" x14ac:dyDescent="0.3">
      <c r="A3" s="647" t="s">
        <v>428</v>
      </c>
      <c r="B3" s="647"/>
      <c r="C3" s="647"/>
      <c r="D3" s="647"/>
      <c r="E3" s="647"/>
      <c r="F3" s="647"/>
      <c r="G3" s="647"/>
      <c r="H3" s="647"/>
      <c r="J3" s="645" t="s">
        <v>431</v>
      </c>
      <c r="K3" s="642"/>
      <c r="L3" s="642"/>
      <c r="M3" s="642"/>
      <c r="N3" s="642"/>
      <c r="O3" s="646"/>
      <c r="P3" s="308" t="e" vm="3">
        <v>#VALUE!</v>
      </c>
      <c r="R3" s="640" t="s">
        <v>441</v>
      </c>
      <c r="S3" s="640"/>
      <c r="T3" s="640"/>
      <c r="U3" s="640"/>
      <c r="V3" s="640"/>
      <c r="W3" s="640"/>
      <c r="X3" s="308" t="e" vm="1">
        <v>#VALUE!</v>
      </c>
      <c r="Z3" s="640" t="s">
        <v>441</v>
      </c>
      <c r="AA3" s="640"/>
      <c r="AB3" s="640"/>
      <c r="AC3" s="640"/>
      <c r="AD3" s="640"/>
      <c r="AE3" s="640"/>
      <c r="AF3" s="308" t="e" vm="2">
        <v>#VALUE!</v>
      </c>
      <c r="AH3" s="640" t="s">
        <v>441</v>
      </c>
      <c r="AI3" s="640"/>
      <c r="AJ3" s="640"/>
      <c r="AK3" s="640"/>
      <c r="AL3" s="640"/>
      <c r="AM3" s="640"/>
      <c r="AN3" s="308" t="e" vm="4">
        <v>#VALUE!</v>
      </c>
      <c r="AP3" s="640" t="s">
        <v>441</v>
      </c>
      <c r="AQ3" s="640"/>
      <c r="AR3" s="640"/>
      <c r="AS3" s="640"/>
      <c r="AT3" s="640"/>
      <c r="AU3" s="640"/>
      <c r="AV3" s="308" t="e" vm="6">
        <v>#VALUE!</v>
      </c>
      <c r="AX3" s="640" t="s">
        <v>441</v>
      </c>
      <c r="AY3" s="640"/>
      <c r="AZ3" s="640"/>
      <c r="BA3" s="640"/>
      <c r="BB3" s="640"/>
      <c r="BC3" s="640"/>
      <c r="BD3" s="308" t="e" vm="16">
        <v>#VALUE!</v>
      </c>
      <c r="BF3" s="640" t="s">
        <v>441</v>
      </c>
      <c r="BG3" s="640"/>
      <c r="BH3" s="640"/>
      <c r="BI3" s="640"/>
      <c r="BJ3" s="640"/>
      <c r="BK3" s="640"/>
      <c r="BL3" s="308" t="e" vm="7">
        <v>#VALUE!</v>
      </c>
    </row>
    <row r="4" spans="1:64" ht="29.4" customHeight="1" x14ac:dyDescent="0.3">
      <c r="A4" s="300" t="s">
        <v>427</v>
      </c>
      <c r="B4" s="300">
        <v>2024</v>
      </c>
      <c r="C4" s="300">
        <v>2025</v>
      </c>
      <c r="D4" s="300">
        <v>2026</v>
      </c>
      <c r="E4" s="300">
        <v>2027</v>
      </c>
      <c r="F4" s="300">
        <v>2028</v>
      </c>
      <c r="G4" s="300">
        <v>2029</v>
      </c>
      <c r="H4" s="300">
        <v>2030</v>
      </c>
      <c r="J4" s="353" t="s">
        <v>429</v>
      </c>
      <c r="K4" s="641">
        <v>1.4999999999999999E-2</v>
      </c>
      <c r="L4" s="641">
        <v>0.02</v>
      </c>
      <c r="M4" s="641">
        <v>2.5000000000000001E-2</v>
      </c>
      <c r="N4" s="641">
        <v>0.03</v>
      </c>
      <c r="O4" s="641">
        <v>3.5000000000000003E-2</v>
      </c>
      <c r="P4" s="637">
        <v>0.04</v>
      </c>
      <c r="R4" s="353" t="s">
        <v>429</v>
      </c>
      <c r="S4" s="641">
        <v>1.4999999999999999E-2</v>
      </c>
      <c r="T4" s="641">
        <v>0.02</v>
      </c>
      <c r="U4" s="641">
        <v>2.5000000000000001E-2</v>
      </c>
      <c r="V4" s="641">
        <v>0.03</v>
      </c>
      <c r="W4" s="641">
        <v>3.5000000000000003E-2</v>
      </c>
      <c r="X4" s="637">
        <v>0.04</v>
      </c>
      <c r="Z4" s="353" t="s">
        <v>429</v>
      </c>
      <c r="AA4" s="641">
        <v>1.4999999999999999E-2</v>
      </c>
      <c r="AB4" s="641">
        <v>0.02</v>
      </c>
      <c r="AC4" s="641">
        <v>2.5000000000000001E-2</v>
      </c>
      <c r="AD4" s="641">
        <v>0.03</v>
      </c>
      <c r="AE4" s="641">
        <v>3.5000000000000003E-2</v>
      </c>
      <c r="AF4" s="637">
        <v>0.04</v>
      </c>
      <c r="AH4" s="353" t="s">
        <v>429</v>
      </c>
      <c r="AI4" s="641">
        <v>1.4999999999999999E-2</v>
      </c>
      <c r="AJ4" s="641">
        <v>0.02</v>
      </c>
      <c r="AK4" s="641">
        <v>2.5000000000000001E-2</v>
      </c>
      <c r="AL4" s="641">
        <v>0.03</v>
      </c>
      <c r="AM4" s="641">
        <v>3.5000000000000003E-2</v>
      </c>
      <c r="AN4" s="637">
        <v>0.04</v>
      </c>
      <c r="AP4" s="353" t="s">
        <v>429</v>
      </c>
      <c r="AQ4" s="641">
        <v>1.4999999999999999E-2</v>
      </c>
      <c r="AR4" s="641">
        <v>0.02</v>
      </c>
      <c r="AS4" s="641">
        <v>2.5000000000000001E-2</v>
      </c>
      <c r="AT4" s="641">
        <v>0.03</v>
      </c>
      <c r="AU4" s="641">
        <v>3.5000000000000003E-2</v>
      </c>
      <c r="AV4" s="637">
        <v>0.04</v>
      </c>
      <c r="AX4" s="353" t="s">
        <v>429</v>
      </c>
      <c r="AY4" s="641">
        <v>1.4999999999999999E-2</v>
      </c>
      <c r="AZ4" s="641">
        <v>0.02</v>
      </c>
      <c r="BA4" s="641">
        <v>2.5000000000000001E-2</v>
      </c>
      <c r="BB4" s="641">
        <v>0.03</v>
      </c>
      <c r="BC4" s="641">
        <v>3.5000000000000003E-2</v>
      </c>
      <c r="BD4" s="637">
        <v>0.04</v>
      </c>
      <c r="BF4" s="353" t="s">
        <v>429</v>
      </c>
      <c r="BG4" s="641">
        <v>1.4999999999999999E-2</v>
      </c>
      <c r="BH4" s="641">
        <v>0.02</v>
      </c>
      <c r="BI4" s="641">
        <v>2.5000000000000001E-2</v>
      </c>
      <c r="BJ4" s="641">
        <v>0.03</v>
      </c>
      <c r="BK4" s="641">
        <v>3.5000000000000003E-2</v>
      </c>
      <c r="BL4" s="637">
        <v>0.04</v>
      </c>
    </row>
    <row r="5" spans="1:64" ht="30" customHeight="1" x14ac:dyDescent="0.3">
      <c r="A5" s="308" t="e" vm="3">
        <v>#VALUE!</v>
      </c>
      <c r="B5" s="351">
        <f>'DCF-DDM-RIM'!B4</f>
        <v>1712.8896546231456</v>
      </c>
      <c r="C5" s="351">
        <f>'DCF-DDM-RIM'!B5</f>
        <v>18869.528004240292</v>
      </c>
      <c r="D5" s="351">
        <f>'DCF-DDM-RIM'!B6</f>
        <v>15425.8143157798</v>
      </c>
      <c r="E5" s="351">
        <f>'DCF-DDM-RIM'!B7</f>
        <v>16862.352443457617</v>
      </c>
      <c r="F5" s="351">
        <f>'DCF-DDM-RIM'!B8</f>
        <v>18433.242683616227</v>
      </c>
      <c r="G5" s="351">
        <f>'DCF-DDM-RIM'!B9</f>
        <v>20150.377050035378</v>
      </c>
      <c r="H5" s="351">
        <f>'DCF-DDM-RIM'!B10</f>
        <v>22026.467528542729</v>
      </c>
      <c r="J5" s="353" t="s">
        <v>430</v>
      </c>
      <c r="K5" s="641"/>
      <c r="L5" s="641"/>
      <c r="M5" s="641"/>
      <c r="N5" s="641"/>
      <c r="O5" s="641"/>
      <c r="P5" s="637"/>
      <c r="R5" s="353" t="s">
        <v>430</v>
      </c>
      <c r="S5" s="641"/>
      <c r="T5" s="641"/>
      <c r="U5" s="641"/>
      <c r="V5" s="641"/>
      <c r="W5" s="641"/>
      <c r="X5" s="637"/>
      <c r="Z5" s="353" t="s">
        <v>430</v>
      </c>
      <c r="AA5" s="641"/>
      <c r="AB5" s="641"/>
      <c r="AC5" s="641"/>
      <c r="AD5" s="641"/>
      <c r="AE5" s="641"/>
      <c r="AF5" s="637"/>
      <c r="AH5" s="353" t="s">
        <v>430</v>
      </c>
      <c r="AI5" s="641"/>
      <c r="AJ5" s="641"/>
      <c r="AK5" s="641"/>
      <c r="AL5" s="641"/>
      <c r="AM5" s="641"/>
      <c r="AN5" s="637"/>
      <c r="AP5" s="353" t="s">
        <v>430</v>
      </c>
      <c r="AQ5" s="641"/>
      <c r="AR5" s="641"/>
      <c r="AS5" s="641"/>
      <c r="AT5" s="641"/>
      <c r="AU5" s="641"/>
      <c r="AV5" s="637"/>
      <c r="AX5" s="353" t="s">
        <v>430</v>
      </c>
      <c r="AY5" s="641"/>
      <c r="AZ5" s="641"/>
      <c r="BA5" s="641"/>
      <c r="BB5" s="641"/>
      <c r="BC5" s="641"/>
      <c r="BD5" s="637"/>
      <c r="BF5" s="353" t="s">
        <v>430</v>
      </c>
      <c r="BG5" s="641"/>
      <c r="BH5" s="641"/>
      <c r="BI5" s="641"/>
      <c r="BJ5" s="641"/>
      <c r="BK5" s="641"/>
      <c r="BL5" s="637"/>
    </row>
    <row r="6" spans="1:64" ht="25.2" customHeight="1" x14ac:dyDescent="0.3">
      <c r="A6" s="308" t="e" vm="1">
        <v>#VALUE!</v>
      </c>
      <c r="B6" s="351">
        <f>'DCF-DDM-RIM'!L4</f>
        <v>-117500.33854916276</v>
      </c>
      <c r="C6" s="351">
        <f>'DCF-DDM-RIM'!L5</f>
        <v>57540.195674061586</v>
      </c>
      <c r="D6" s="351">
        <f>'DCF-DDM-RIM'!L6</f>
        <v>-11456.089019317114</v>
      </c>
      <c r="E6" s="351">
        <f>'DCF-DDM-RIM'!L7</f>
        <v>-18528.237713183022</v>
      </c>
      <c r="F6" s="351">
        <f>'DCF-DDM-RIM'!L8</f>
        <v>-27386.157385974031</v>
      </c>
      <c r="G6" s="351">
        <f>'DCF-DDM-RIM'!L9</f>
        <v>-38165.276366150647</v>
      </c>
      <c r="H6" s="351">
        <f>'DCF-DDM-RIM'!L10</f>
        <v>-23984.986640274168</v>
      </c>
      <c r="J6" s="307">
        <v>5.5E-2</v>
      </c>
      <c r="K6" s="351">
        <f>$Q$15+AG15</f>
        <v>367841.40154440876</v>
      </c>
      <c r="L6" s="351">
        <f t="shared" ref="L6:P11" si="0">$Q$15+AH15</f>
        <v>409218.24023683363</v>
      </c>
      <c r="M6" s="351">
        <f t="shared" si="0"/>
        <v>464387.35849340016</v>
      </c>
      <c r="N6" s="351">
        <f t="shared" si="0"/>
        <v>541624.12405259337</v>
      </c>
      <c r="O6" s="351">
        <f t="shared" si="0"/>
        <v>657479.27239138319</v>
      </c>
      <c r="P6" s="351">
        <f t="shared" si="0"/>
        <v>850571.1862893661</v>
      </c>
      <c r="R6" s="307">
        <v>0.05</v>
      </c>
      <c r="S6" s="351">
        <f>$Q$24+AG24</f>
        <v>977581.7825320859</v>
      </c>
      <c r="T6" s="351">
        <f t="shared" ref="T6:X11" si="1">$Q$24+AH24</f>
        <v>1172309.1291872745</v>
      </c>
      <c r="U6" s="351">
        <f t="shared" si="1"/>
        <v>1444927.4145045376</v>
      </c>
      <c r="V6" s="351">
        <f t="shared" si="1"/>
        <v>1853854.8424804332</v>
      </c>
      <c r="W6" s="351">
        <f t="shared" si="1"/>
        <v>2535400.555773593</v>
      </c>
      <c r="X6" s="351">
        <f t="shared" si="1"/>
        <v>3898491.9823599108</v>
      </c>
      <c r="Z6" s="307">
        <v>5.5E-2</v>
      </c>
      <c r="AA6" s="351">
        <f>$Q$33+AG33</f>
        <v>900210.96365925111</v>
      </c>
      <c r="AB6" s="351">
        <f t="shared" ref="AB6:AF10" si="2">$Q$33+AH33</f>
        <v>1002922.5707704837</v>
      </c>
      <c r="AC6" s="351">
        <f t="shared" si="2"/>
        <v>1139871.3802521268</v>
      </c>
      <c r="AD6" s="351">
        <f t="shared" si="2"/>
        <v>1331599.7135264277</v>
      </c>
      <c r="AE6" s="351">
        <f t="shared" si="2"/>
        <v>1619192.2134378792</v>
      </c>
      <c r="AF6" s="351">
        <f t="shared" si="2"/>
        <v>2098513.0466236314</v>
      </c>
      <c r="AH6" s="307">
        <v>0.06</v>
      </c>
      <c r="AI6" s="351">
        <f>$Q$41+AG41</f>
        <v>280851.38527138502</v>
      </c>
      <c r="AJ6" s="351">
        <f t="shared" ref="AJ6:AN11" si="3">$Q$41+AH41</f>
        <v>303451.35118335724</v>
      </c>
      <c r="AK6" s="351">
        <f t="shared" si="3"/>
        <v>332508.45021303574</v>
      </c>
      <c r="AL6" s="351">
        <f t="shared" si="3"/>
        <v>371251.24891927384</v>
      </c>
      <c r="AM6" s="351">
        <f t="shared" si="3"/>
        <v>425491.16710800707</v>
      </c>
      <c r="AN6" s="351">
        <f t="shared" si="3"/>
        <v>506851.04439110699</v>
      </c>
      <c r="AP6" s="307">
        <v>7.4999999999999997E-2</v>
      </c>
      <c r="AQ6" s="351">
        <f>$Q$50+AG50</f>
        <v>88426.156310760212</v>
      </c>
      <c r="AR6" s="351">
        <f t="shared" ref="AR6:AV11" si="4">$Q$50+AH50</f>
        <v>95546.53302423947</v>
      </c>
      <c r="AS6" s="351">
        <f t="shared" si="4"/>
        <v>104447.00391608849</v>
      </c>
      <c r="AT6" s="351">
        <f t="shared" si="4"/>
        <v>115890.46649132299</v>
      </c>
      <c r="AU6" s="351">
        <f t="shared" si="4"/>
        <v>131148.41659163564</v>
      </c>
      <c r="AV6" s="351">
        <f t="shared" si="4"/>
        <v>152509.54673207336</v>
      </c>
      <c r="AX6" s="307">
        <v>6.5000000000000002E-2</v>
      </c>
      <c r="AY6" s="351">
        <f>$Q$59+AG59</f>
        <v>467397.82492370671</v>
      </c>
      <c r="AZ6" s="351">
        <f t="shared" ref="AZ6:BD11" si="5">$Q$59+AH59</f>
        <v>496405.91736546892</v>
      </c>
      <c r="BA6" s="351">
        <f t="shared" si="5"/>
        <v>531215.62829558353</v>
      </c>
      <c r="BB6" s="351">
        <f t="shared" si="5"/>
        <v>573760.83054350142</v>
      </c>
      <c r="BC6" s="351">
        <f t="shared" si="5"/>
        <v>626942.33335339883</v>
      </c>
      <c r="BD6" s="351">
        <f t="shared" si="5"/>
        <v>695318.55125183833</v>
      </c>
      <c r="BF6" s="307">
        <v>5.5E-2</v>
      </c>
      <c r="BG6" s="351">
        <f>$Q$68+AG68</f>
        <v>916395.77900076192</v>
      </c>
      <c r="BH6" s="351">
        <f t="shared" ref="BH6:BL11" si="6">$Q$68+AH68</f>
        <v>1024826.4034522818</v>
      </c>
      <c r="BI6" s="351">
        <f t="shared" si="6"/>
        <v>1169400.5693876415</v>
      </c>
      <c r="BJ6" s="351">
        <f t="shared" si="6"/>
        <v>1371804.4016971455</v>
      </c>
      <c r="BK6" s="351">
        <f t="shared" si="6"/>
        <v>1675410.1501614014</v>
      </c>
      <c r="BL6" s="351">
        <f t="shared" si="6"/>
        <v>2181419.7309351605</v>
      </c>
    </row>
    <row r="7" spans="1:64" ht="25.2" customHeight="1" x14ac:dyDescent="0.3">
      <c r="A7" s="308" t="e" vm="2">
        <v>#VALUE!</v>
      </c>
      <c r="B7" s="351">
        <f>'DCF-DDM-RIM'!V4</f>
        <v>-5600.7613477992863</v>
      </c>
      <c r="C7" s="351">
        <f>'DCF-DDM-RIM'!V5</f>
        <v>62871.128091140861</v>
      </c>
      <c r="D7" s="351">
        <f>'DCF-DDM-RIM'!V6</f>
        <v>27082.00998871987</v>
      </c>
      <c r="E7" s="351">
        <f>'DCF-DDM-RIM'!V7</f>
        <v>32983.697825460702</v>
      </c>
      <c r="F7" s="351">
        <f>'DCF-DDM-RIM'!V8</f>
        <v>40243.511298817728</v>
      </c>
      <c r="G7" s="351">
        <f>'DCF-DDM-RIM'!V9</f>
        <v>49124.953498780145</v>
      </c>
      <c r="H7" s="351">
        <f>'DCF-DDM-RIM'!V10</f>
        <v>59938.548308149169</v>
      </c>
      <c r="J7" s="307">
        <v>6.5000000000000002E-2</v>
      </c>
      <c r="K7" s="351">
        <f t="shared" ref="K7:K11" si="7">$Q$15+AG16</f>
        <v>286380.10271747754</v>
      </c>
      <c r="L7" s="351">
        <f t="shared" si="0"/>
        <v>309370.00080844469</v>
      </c>
      <c r="M7" s="351">
        <f t="shared" si="0"/>
        <v>338107.37342215359</v>
      </c>
      <c r="N7" s="351">
        <f t="shared" si="0"/>
        <v>375055.42392549361</v>
      </c>
      <c r="O7" s="351">
        <f t="shared" si="0"/>
        <v>424319.49126328027</v>
      </c>
      <c r="P7" s="351">
        <f t="shared" si="0"/>
        <v>493289.18553618173</v>
      </c>
      <c r="R7" s="307">
        <v>0.06</v>
      </c>
      <c r="S7" s="351">
        <f t="shared" ref="S7:S11" si="8">$Q$24+AG25</f>
        <v>662450.99581123178</v>
      </c>
      <c r="T7" s="351">
        <f t="shared" si="1"/>
        <v>768749.65262305376</v>
      </c>
      <c r="U7" s="351">
        <f t="shared" si="1"/>
        <v>905419.35423825309</v>
      </c>
      <c r="V7" s="351">
        <f t="shared" si="1"/>
        <v>1087645.6230585189</v>
      </c>
      <c r="W7" s="351">
        <f t="shared" si="1"/>
        <v>1342762.3994068913</v>
      </c>
      <c r="X7" s="351">
        <f t="shared" si="1"/>
        <v>1725437.5639294498</v>
      </c>
      <c r="Z7" s="307">
        <v>6.5000000000000002E-2</v>
      </c>
      <c r="AA7" s="351">
        <f t="shared" ref="AA7:AA10" si="9">$Q$33+AG34</f>
        <v>707319.59790371964</v>
      </c>
      <c r="AB7" s="351">
        <f t="shared" si="2"/>
        <v>765475.46839824307</v>
      </c>
      <c r="AC7" s="351">
        <f t="shared" si="2"/>
        <v>838170.30651639716</v>
      </c>
      <c r="AD7" s="351">
        <f t="shared" si="2"/>
        <v>931635.09838259523</v>
      </c>
      <c r="AE7" s="351">
        <f t="shared" si="2"/>
        <v>1056254.8208708595</v>
      </c>
      <c r="AF7" s="351">
        <f t="shared" si="2"/>
        <v>1230722.4323544293</v>
      </c>
      <c r="AH7" s="307">
        <v>7.0000000000000007E-2</v>
      </c>
      <c r="AI7" s="351">
        <f t="shared" ref="AI7:AI11" si="10">$Q$41+AG42</f>
        <v>233097.48905059835</v>
      </c>
      <c r="AJ7" s="351">
        <f t="shared" si="3"/>
        <v>246313.87298367423</v>
      </c>
      <c r="AK7" s="351">
        <f t="shared" si="3"/>
        <v>262467.23112410028</v>
      </c>
      <c r="AL7" s="351">
        <f t="shared" si="3"/>
        <v>282658.92879963276</v>
      </c>
      <c r="AM7" s="351">
        <f t="shared" si="3"/>
        <v>308619.6829538889</v>
      </c>
      <c r="AN7" s="351">
        <f t="shared" si="3"/>
        <v>343234.0218262304</v>
      </c>
      <c r="AP7" s="307">
        <v>8.5000000000000006E-2</v>
      </c>
      <c r="AQ7" s="351">
        <f t="shared" ref="AQ7:AQ11" si="11">$Q$50+AG51</f>
        <v>72424.279224235157</v>
      </c>
      <c r="AR7" s="351">
        <f t="shared" si="4"/>
        <v>76764.034818954548</v>
      </c>
      <c r="AS7" s="351">
        <f t="shared" si="4"/>
        <v>81971.741532617831</v>
      </c>
      <c r="AT7" s="351">
        <f t="shared" si="4"/>
        <v>88336.716404872976</v>
      </c>
      <c r="AU7" s="351">
        <f t="shared" si="4"/>
        <v>96292.934995191885</v>
      </c>
      <c r="AV7" s="351">
        <f t="shared" si="4"/>
        <v>106522.35889703048</v>
      </c>
      <c r="AX7" s="307">
        <v>7.4999999999999997E-2</v>
      </c>
      <c r="AY7" s="351">
        <f t="shared" ref="AY7:AY11" si="12">$Q$59+AG60</f>
        <v>539647.58851918904</v>
      </c>
      <c r="AZ7" s="351">
        <f t="shared" si="5"/>
        <v>570362.1879573483</v>
      </c>
      <c r="BA7" s="351">
        <f t="shared" si="5"/>
        <v>606195.88730186736</v>
      </c>
      <c r="BB7" s="351">
        <f t="shared" si="5"/>
        <v>648544.80470902624</v>
      </c>
      <c r="BC7" s="351">
        <f t="shared" si="5"/>
        <v>699363.5055976169</v>
      </c>
      <c r="BD7" s="351">
        <f t="shared" si="5"/>
        <v>761475.25112811674</v>
      </c>
      <c r="BF7" s="306">
        <v>5.6000000000000001E-2</v>
      </c>
      <c r="BG7" s="351">
        <f t="shared" ref="BG7:BG11" ca="1" si="13">$Q$68+AG69</f>
        <v>830733.79157626606</v>
      </c>
      <c r="BH7" s="351">
        <f t="shared" ca="1" si="6"/>
        <v>923874.2902876616</v>
      </c>
      <c r="BI7" s="351">
        <f t="shared" ca="1" si="6"/>
        <v>1047060.1111640234</v>
      </c>
      <c r="BJ7" s="351">
        <f t="shared" ca="1" si="6"/>
        <v>1217625.0939159091</v>
      </c>
      <c r="BK7" s="351">
        <f t="shared" ca="1" si="6"/>
        <v>1469411.4970258358</v>
      </c>
      <c r="BL7" s="351">
        <f t="shared" ca="1" si="6"/>
        <v>1878564.402079466</v>
      </c>
    </row>
    <row r="8" spans="1:64" ht="25.2" customHeight="1" x14ac:dyDescent="0.3">
      <c r="A8" s="308" t="e" vm="4">
        <v>#VALUE!</v>
      </c>
      <c r="B8" s="351">
        <f>'DCF-DDM-RIM'!AF4</f>
        <v>24277.37124085335</v>
      </c>
      <c r="C8" s="351">
        <f>'DCF-DDM-RIM'!AF5</f>
        <v>1008.8322264973194</v>
      </c>
      <c r="D8" s="351">
        <f>'DCF-DDM-RIM'!AF6</f>
        <v>26288.568498281544</v>
      </c>
      <c r="E8" s="351">
        <f>'DCF-DDM-RIM'!AF7</f>
        <v>24899.077752087105</v>
      </c>
      <c r="F8" s="351">
        <f>'DCF-DDM-RIM'!AF8</f>
        <v>22870.526725738539</v>
      </c>
      <c r="G8" s="351">
        <f>'DCF-DDM-RIM'!AF9</f>
        <v>20076.747769142108</v>
      </c>
      <c r="H8" s="351">
        <f>'DCF-DDM-RIM'!AF10</f>
        <v>16371.205801802709</v>
      </c>
      <c r="J8" s="307">
        <v>7.4999999999999997E-2</v>
      </c>
      <c r="K8" s="351">
        <f t="shared" si="7"/>
        <v>234714.08302683744</v>
      </c>
      <c r="L8" s="351">
        <f t="shared" si="0"/>
        <v>248726.05779685674</v>
      </c>
      <c r="M8" s="351">
        <f t="shared" si="0"/>
        <v>265540.42752087978</v>
      </c>
      <c r="N8" s="351">
        <f t="shared" si="0"/>
        <v>286091.32385024137</v>
      </c>
      <c r="O8" s="351">
        <f t="shared" si="0"/>
        <v>311779.94426194328</v>
      </c>
      <c r="P8" s="351">
        <f t="shared" si="0"/>
        <v>344808.17050556006</v>
      </c>
      <c r="R8" s="307">
        <v>7.0000000000000007E-2</v>
      </c>
      <c r="S8" s="351">
        <f t="shared" si="8"/>
        <v>466185.92697143066</v>
      </c>
      <c r="T8" s="351">
        <f t="shared" si="1"/>
        <v>531337.09425145038</v>
      </c>
      <c r="U8" s="351">
        <f t="shared" si="1"/>
        <v>610966.2987048073</v>
      </c>
      <c r="V8" s="351">
        <f t="shared" si="1"/>
        <v>710502.80427150382</v>
      </c>
      <c r="W8" s="351">
        <f t="shared" si="1"/>
        <v>838478.31142868486</v>
      </c>
      <c r="X8" s="351">
        <f t="shared" si="1"/>
        <v>1009112.3209715933</v>
      </c>
      <c r="Z8" s="307">
        <v>7.4999999999999997E-2</v>
      </c>
      <c r="AA8" s="351">
        <f t="shared" si="9"/>
        <v>583569.60606313485</v>
      </c>
      <c r="AB8" s="351">
        <f t="shared" si="2"/>
        <v>619683.43813237722</v>
      </c>
      <c r="AC8" s="351">
        <f t="shared" si="2"/>
        <v>663020.03661546786</v>
      </c>
      <c r="AD8" s="351">
        <f t="shared" si="2"/>
        <v>715986.99031702324</v>
      </c>
      <c r="AE8" s="351">
        <f t="shared" si="2"/>
        <v>782195.68244396755</v>
      </c>
      <c r="AF8" s="351">
        <f t="shared" si="2"/>
        <v>867321.1437500387</v>
      </c>
      <c r="AH8" s="307">
        <v>0.08</v>
      </c>
      <c r="AI8" s="351">
        <f t="shared" si="10"/>
        <v>195853.37722302123</v>
      </c>
      <c r="AJ8" s="351">
        <f t="shared" si="3"/>
        <v>203667.52827856116</v>
      </c>
      <c r="AK8" s="351">
        <f t="shared" si="3"/>
        <v>212902.43407147191</v>
      </c>
      <c r="AL8" s="351">
        <f t="shared" si="3"/>
        <v>223984.32102296487</v>
      </c>
      <c r="AM8" s="351">
        <f t="shared" si="3"/>
        <v>237528.84951923403</v>
      </c>
      <c r="AN8" s="351">
        <f t="shared" si="3"/>
        <v>254459.51013957046</v>
      </c>
      <c r="AP8" s="307">
        <v>9.5000000000000001E-2</v>
      </c>
      <c r="AQ8" s="351">
        <f t="shared" si="11"/>
        <v>83233.204920060787</v>
      </c>
      <c r="AR8" s="351">
        <f t="shared" si="4"/>
        <v>87828.262489562243</v>
      </c>
      <c r="AS8" s="351">
        <f t="shared" si="4"/>
        <v>93189.162987313917</v>
      </c>
      <c r="AT8" s="351">
        <f t="shared" si="4"/>
        <v>99524.772666474993</v>
      </c>
      <c r="AU8" s="351">
        <f t="shared" si="4"/>
        <v>107127.50428146828</v>
      </c>
      <c r="AV8" s="351">
        <f t="shared" si="4"/>
        <v>116419.73181090454</v>
      </c>
      <c r="AX8" s="307">
        <v>8.5000000000000006E-2</v>
      </c>
      <c r="AY8" s="351">
        <f t="shared" si="12"/>
        <v>472626.48692365654</v>
      </c>
      <c r="AZ8" s="351">
        <f t="shared" si="5"/>
        <v>494670.90892355773</v>
      </c>
      <c r="BA8" s="351">
        <f t="shared" si="5"/>
        <v>519864.53406630189</v>
      </c>
      <c r="BB8" s="351">
        <f t="shared" si="5"/>
        <v>548934.10153869912</v>
      </c>
      <c r="BC8" s="351">
        <f t="shared" si="5"/>
        <v>582848.59692316235</v>
      </c>
      <c r="BD8" s="351">
        <f t="shared" si="5"/>
        <v>622929.36419570993</v>
      </c>
      <c r="BF8" s="307">
        <v>0.06</v>
      </c>
      <c r="BG8" s="351">
        <f t="shared" si="13"/>
        <v>808216.52879471297</v>
      </c>
      <c r="BH8" s="351">
        <f t="shared" si="6"/>
        <v>889421.05642834923</v>
      </c>
      <c r="BI8" s="351">
        <f t="shared" si="6"/>
        <v>993826.87767159543</v>
      </c>
      <c r="BJ8" s="351">
        <f t="shared" si="6"/>
        <v>1133034.6393292574</v>
      </c>
      <c r="BK8" s="351">
        <f t="shared" si="6"/>
        <v>1327925.5056499841</v>
      </c>
      <c r="BL8" s="351">
        <f t="shared" si="6"/>
        <v>1620261.805131074</v>
      </c>
    </row>
    <row r="9" spans="1:64" ht="25.2" customHeight="1" x14ac:dyDescent="0.3">
      <c r="A9" s="308" t="e" vm="6">
        <v>#VALUE!</v>
      </c>
      <c r="B9" s="351">
        <f>'DCF-DDM-RIM'!AP4</f>
        <v>9.0949470177292824E-13</v>
      </c>
      <c r="C9" s="351">
        <f>'DCF-DDM-RIM'!AP5</f>
        <v>0</v>
      </c>
      <c r="D9" s="351">
        <f>'DCF-DDM-RIM'!AP6</f>
        <v>15758.095482706296</v>
      </c>
      <c r="E9" s="351">
        <f>'DCF-DDM-RIM'!AP7</f>
        <v>3650.9869238768424</v>
      </c>
      <c r="F9" s="351">
        <f>'DCF-DDM-RIM'!AP8</f>
        <v>4496.8711566073061</v>
      </c>
      <c r="G9" s="351">
        <f>'DCF-DDM-RIM'!AP9</f>
        <v>5538.7353120547295</v>
      </c>
      <c r="H9" s="351">
        <f>'DCF-DDM-RIM'!AP10</f>
        <v>6821.9852845743753</v>
      </c>
      <c r="J9" s="307">
        <v>8.5000000000000006E-2</v>
      </c>
      <c r="K9" s="351">
        <f t="shared" si="7"/>
        <v>199777.70991576771</v>
      </c>
      <c r="L9" s="351">
        <f t="shared" si="0"/>
        <v>208871.53512975533</v>
      </c>
      <c r="M9" s="351">
        <f t="shared" si="0"/>
        <v>219480.99787940743</v>
      </c>
      <c r="N9" s="351">
        <f t="shared" si="0"/>
        <v>232019.45385626907</v>
      </c>
      <c r="O9" s="351">
        <f t="shared" si="0"/>
        <v>247065.60102850304</v>
      </c>
      <c r="P9" s="351">
        <f t="shared" si="0"/>
        <v>265455.33646123344</v>
      </c>
      <c r="R9" s="306">
        <v>6.9000000000000006E-2</v>
      </c>
      <c r="S9" s="351">
        <f t="shared" ca="1" si="8"/>
        <v>488766.04117858899</v>
      </c>
      <c r="T9" s="351">
        <f t="shared" ca="1" si="1"/>
        <v>557611.36813391338</v>
      </c>
      <c r="U9" s="351">
        <f t="shared" ca="1" si="1"/>
        <v>642103.36030635668</v>
      </c>
      <c r="V9" s="351">
        <f t="shared" ca="1" si="1"/>
        <v>748259.96585634968</v>
      </c>
      <c r="W9" s="351">
        <f t="shared" ca="1" si="1"/>
        <v>885639.10245045833</v>
      </c>
      <c r="X9" s="351">
        <f t="shared" ca="1" si="1"/>
        <v>1070390.3551115009</v>
      </c>
      <c r="Z9" s="306">
        <v>7.6999999999999999E-2</v>
      </c>
      <c r="AA9" s="351">
        <f t="shared" ca="1" si="9"/>
        <v>574755.6647278521</v>
      </c>
      <c r="AB9" s="351">
        <f t="shared" ca="1" si="2"/>
        <v>608846.79601418518</v>
      </c>
      <c r="AC9" s="351">
        <f t="shared" ca="1" si="2"/>
        <v>649493.91408635129</v>
      </c>
      <c r="AD9" s="351">
        <f t="shared" ca="1" si="2"/>
        <v>698789.35515259544</v>
      </c>
      <c r="AE9" s="351">
        <f t="shared" ca="1" si="2"/>
        <v>759821.80599651695</v>
      </c>
      <c r="AF9" s="351">
        <f t="shared" ca="1" si="2"/>
        <v>837349.51382528199</v>
      </c>
      <c r="AH9" s="307">
        <v>0.09</v>
      </c>
      <c r="AI9" s="351">
        <f t="shared" si="10"/>
        <v>179994.27573182512</v>
      </c>
      <c r="AJ9" s="351">
        <f t="shared" si="3"/>
        <v>185537.63968835829</v>
      </c>
      <c r="AK9" s="351">
        <f t="shared" si="3"/>
        <v>191933.82886897342</v>
      </c>
      <c r="AL9" s="351">
        <f t="shared" si="3"/>
        <v>199396.04957969108</v>
      </c>
      <c r="AM9" s="351">
        <f t="shared" si="3"/>
        <v>208215.03769235744</v>
      </c>
      <c r="AN9" s="351">
        <f t="shared" si="3"/>
        <v>218797.82342755707</v>
      </c>
      <c r="AP9" s="307">
        <v>0.105</v>
      </c>
      <c r="AQ9" s="351">
        <f t="shared" si="11"/>
        <v>73206.513189213525</v>
      </c>
      <c r="AR9" s="351">
        <f t="shared" si="4"/>
        <v>76504.468885490103</v>
      </c>
      <c r="AS9" s="351">
        <f t="shared" si="4"/>
        <v>80273.561109806149</v>
      </c>
      <c r="AT9" s="351">
        <f t="shared" si="4"/>
        <v>84622.513676324685</v>
      </c>
      <c r="AU9" s="351">
        <f t="shared" si="4"/>
        <v>89696.291670596314</v>
      </c>
      <c r="AV9" s="351">
        <f t="shared" si="4"/>
        <v>95692.574754735513</v>
      </c>
      <c r="AX9" s="307">
        <v>9.5000000000000001E-2</v>
      </c>
      <c r="AY9" s="351">
        <f t="shared" si="12"/>
        <v>421772.23442038195</v>
      </c>
      <c r="AZ9" s="351">
        <f t="shared" si="5"/>
        <v>438144.15308311814</v>
      </c>
      <c r="BA9" s="351">
        <f t="shared" si="5"/>
        <v>456562.56157869636</v>
      </c>
      <c r="BB9" s="351">
        <f t="shared" si="5"/>
        <v>477436.7578736851</v>
      </c>
      <c r="BC9" s="351">
        <f t="shared" si="5"/>
        <v>501292.98221081495</v>
      </c>
      <c r="BD9" s="351">
        <f t="shared" si="5"/>
        <v>528819.39490750339</v>
      </c>
      <c r="BF9" s="307">
        <v>6.5000000000000002E-2</v>
      </c>
      <c r="BG9" s="351">
        <f t="shared" si="13"/>
        <v>722794.50138402742</v>
      </c>
      <c r="BH9" s="351">
        <f t="shared" si="6"/>
        <v>785357.89402958902</v>
      </c>
      <c r="BI9" s="351">
        <f t="shared" si="6"/>
        <v>863562.13483654056</v>
      </c>
      <c r="BJ9" s="351">
        <f t="shared" si="6"/>
        <v>964110.4444454785</v>
      </c>
      <c r="BK9" s="351">
        <f t="shared" si="6"/>
        <v>1098174.8572573957</v>
      </c>
      <c r="BL9" s="351">
        <f t="shared" si="6"/>
        <v>1285865.0351940799</v>
      </c>
    </row>
    <row r="10" spans="1:64" ht="25.2" customHeight="1" x14ac:dyDescent="0.3">
      <c r="A10" s="308" t="e" vm="16">
        <v>#VALUE!</v>
      </c>
      <c r="B10" s="351">
        <f>'DCF-DDM-RIM'!AZ4</f>
        <v>20559.613052536435</v>
      </c>
      <c r="C10" s="351">
        <f>'DCF-DDM-RIM'!AZ5</f>
        <v>31454.365055548093</v>
      </c>
      <c r="D10" s="351">
        <f>'DCF-DDM-RIM'!AZ6</f>
        <v>25677.9698289798</v>
      </c>
      <c r="E10" s="351">
        <f>'DCF-DDM-RIM'!AZ7</f>
        <v>29639.488973639098</v>
      </c>
      <c r="F10" s="351">
        <f>'DCF-DDM-RIM'!AZ8</f>
        <v>34214.307219552262</v>
      </c>
      <c r="G10" s="351">
        <f>'DCF-DDM-RIM'!AZ9</f>
        <v>39497.740582601269</v>
      </c>
      <c r="H10" s="351">
        <f>'DCF-DDM-RIM'!AZ10</f>
        <v>45599.982637748057</v>
      </c>
      <c r="J10" s="307">
        <v>8.4000000000000005E-2</v>
      </c>
      <c r="K10" s="351">
        <f t="shared" ca="1" si="7"/>
        <v>207312.53333455152</v>
      </c>
      <c r="L10" s="351">
        <f t="shared" ca="1" si="0"/>
        <v>217168.61243214679</v>
      </c>
      <c r="M10" s="351">
        <f t="shared" ca="1" si="0"/>
        <v>228695.21341069037</v>
      </c>
      <c r="N10" s="351">
        <f t="shared" ca="1" si="0"/>
        <v>242356.3701260013</v>
      </c>
      <c r="O10" s="351">
        <f t="shared" ca="1" si="0"/>
        <v>258805.51800770219</v>
      </c>
      <c r="P10" s="351">
        <f t="shared" ca="1" si="0"/>
        <v>278993.10858978966</v>
      </c>
      <c r="R10" s="307">
        <v>0.08</v>
      </c>
      <c r="S10" s="351">
        <f t="shared" si="8"/>
        <v>333601.40255989239</v>
      </c>
      <c r="T10" s="351">
        <f t="shared" si="1"/>
        <v>376645.18655645498</v>
      </c>
      <c r="U10" s="351">
        <f t="shared" si="1"/>
        <v>427515.11309784686</v>
      </c>
      <c r="V10" s="351">
        <f t="shared" si="1"/>
        <v>488559.02494751732</v>
      </c>
      <c r="W10" s="351">
        <f t="shared" si="1"/>
        <v>563168.25054155884</v>
      </c>
      <c r="X10" s="351">
        <f t="shared" si="1"/>
        <v>656429.78253411106</v>
      </c>
      <c r="Z10" s="307">
        <v>0.09</v>
      </c>
      <c r="AA10" s="351">
        <f t="shared" si="9"/>
        <v>466130.94984063762</v>
      </c>
      <c r="AB10" s="351">
        <f t="shared" si="2"/>
        <v>485893.72245600238</v>
      </c>
      <c r="AC10" s="351">
        <f t="shared" si="2"/>
        <v>508696.92162757693</v>
      </c>
      <c r="AD10" s="351">
        <f t="shared" si="2"/>
        <v>535300.65399441402</v>
      </c>
      <c r="AE10" s="351">
        <f t="shared" si="2"/>
        <v>566741.428609767</v>
      </c>
      <c r="AF10" s="351">
        <f t="shared" si="2"/>
        <v>604470.35814819043</v>
      </c>
      <c r="AH10" s="307">
        <v>0.1</v>
      </c>
      <c r="AI10" s="351">
        <f t="shared" si="10"/>
        <v>164354.02988174473</v>
      </c>
      <c r="AJ10" s="351">
        <f t="shared" si="3"/>
        <v>168189.59656669543</v>
      </c>
      <c r="AK10" s="351">
        <f t="shared" si="3"/>
        <v>172536.57214297284</v>
      </c>
      <c r="AL10" s="351">
        <f t="shared" si="3"/>
        <v>177504.54423014709</v>
      </c>
      <c r="AM10" s="351">
        <f t="shared" si="3"/>
        <v>183236.81971534807</v>
      </c>
      <c r="AN10" s="351">
        <f t="shared" si="3"/>
        <v>189924.47444808262</v>
      </c>
      <c r="AP10" s="307">
        <v>0.115</v>
      </c>
      <c r="AQ10" s="351">
        <f t="shared" si="11"/>
        <v>65598.462874997407</v>
      </c>
      <c r="AR10" s="351">
        <f t="shared" si="4"/>
        <v>68047.783724189532</v>
      </c>
      <c r="AS10" s="351">
        <f t="shared" si="4"/>
        <v>70803.269679530669</v>
      </c>
      <c r="AT10" s="351">
        <f t="shared" si="4"/>
        <v>73926.153762250615</v>
      </c>
      <c r="AU10" s="351">
        <f t="shared" si="4"/>
        <v>77495.164142502006</v>
      </c>
      <c r="AV10" s="351">
        <f t="shared" si="4"/>
        <v>81613.253042792057</v>
      </c>
      <c r="AX10" s="307">
        <v>0.105</v>
      </c>
      <c r="AY10" s="351">
        <f t="shared" si="12"/>
        <v>278542.01609406498</v>
      </c>
      <c r="AZ10" s="351">
        <f t="shared" si="5"/>
        <v>285042.00578344922</v>
      </c>
      <c r="BA10" s="351">
        <f t="shared" si="5"/>
        <v>292264.21654943161</v>
      </c>
      <c r="BB10" s="351">
        <f t="shared" si="5"/>
        <v>300336.09917023557</v>
      </c>
      <c r="BC10" s="351">
        <f t="shared" si="5"/>
        <v>309416.96711863996</v>
      </c>
      <c r="BD10" s="351">
        <f t="shared" si="5"/>
        <v>319708.61746016494</v>
      </c>
      <c r="BF10" s="307">
        <v>7.0000000000000007E-2</v>
      </c>
      <c r="BG10" s="351">
        <f t="shared" si="13"/>
        <v>653871.75122539455</v>
      </c>
      <c r="BH10" s="351">
        <f t="shared" si="6"/>
        <v>703177.40892341139</v>
      </c>
      <c r="BI10" s="351">
        <f t="shared" si="6"/>
        <v>763439.87944320962</v>
      </c>
      <c r="BJ10" s="351">
        <f t="shared" si="6"/>
        <v>838767.96759295743</v>
      </c>
      <c r="BK10" s="351">
        <f t="shared" si="6"/>
        <v>935618.36664263334</v>
      </c>
      <c r="BL10" s="351">
        <f t="shared" si="6"/>
        <v>1064752.2320422011</v>
      </c>
    </row>
    <row r="11" spans="1:64" ht="25.2" customHeight="1" x14ac:dyDescent="0.3">
      <c r="A11" s="308" t="e" vm="7">
        <v>#VALUE!</v>
      </c>
      <c r="B11" s="351">
        <f>'DCF-DDM-RIM'!BJ4</f>
        <v>8435.5472776903407</v>
      </c>
      <c r="C11" s="351">
        <f>'DCF-DDM-RIM'!BJ5</f>
        <v>44249.920954529931</v>
      </c>
      <c r="D11" s="351">
        <f>'DCF-DDM-RIM'!BJ6</f>
        <v>27775.335419055154</v>
      </c>
      <c r="E11" s="351">
        <f>'DCF-DDM-RIM'!BJ7</f>
        <v>31606.281080719127</v>
      </c>
      <c r="F11" s="351">
        <f>'DCF-DDM-RIM'!BJ8</f>
        <v>35968.532315714096</v>
      </c>
      <c r="G11" s="351">
        <f>'DCF-DDM-RIM'!BJ9</f>
        <v>40936.237227852194</v>
      </c>
      <c r="H11" s="351">
        <f>'DCF-DDM-RIM'!BJ10</f>
        <v>46593.964804340692</v>
      </c>
      <c r="J11" s="314">
        <v>0.09</v>
      </c>
      <c r="K11" s="351">
        <f t="shared" si="7"/>
        <v>186416.15234177327</v>
      </c>
      <c r="L11" s="351">
        <f t="shared" si="0"/>
        <v>193874.41336821683</v>
      </c>
      <c r="M11" s="351">
        <f t="shared" si="0"/>
        <v>202480.0991679593</v>
      </c>
      <c r="N11" s="351">
        <f t="shared" si="0"/>
        <v>212520.06593432563</v>
      </c>
      <c r="O11" s="351">
        <f t="shared" si="0"/>
        <v>224385.48120366759</v>
      </c>
      <c r="P11" s="351">
        <f t="shared" si="0"/>
        <v>238623.97952687793</v>
      </c>
      <c r="R11" s="352">
        <v>0.09</v>
      </c>
      <c r="S11" s="351">
        <f t="shared" si="8"/>
        <v>238971.78784670235</v>
      </c>
      <c r="T11" s="351">
        <f t="shared" si="1"/>
        <v>268949.36640736635</v>
      </c>
      <c r="U11" s="351">
        <f t="shared" si="1"/>
        <v>303538.88013120904</v>
      </c>
      <c r="V11" s="351">
        <f t="shared" si="1"/>
        <v>343893.31280902575</v>
      </c>
      <c r="W11" s="351">
        <f t="shared" si="1"/>
        <v>391584.91506462719</v>
      </c>
      <c r="X11" s="351">
        <f t="shared" si="1"/>
        <v>448814.837771349</v>
      </c>
      <c r="Z11" s="355"/>
      <c r="AH11" s="306">
        <v>9.6000000000000002E-2</v>
      </c>
      <c r="AI11" s="351">
        <f t="shared" ca="1" si="10"/>
        <v>172594.86099074071</v>
      </c>
      <c r="AJ11" s="351">
        <f t="shared" ca="1" si="3"/>
        <v>177203.04391865869</v>
      </c>
      <c r="AK11" s="351">
        <f t="shared" ca="1" si="3"/>
        <v>182460.26669557916</v>
      </c>
      <c r="AL11" s="351">
        <f t="shared" ca="1" si="3"/>
        <v>188514.03837809368</v>
      </c>
      <c r="AM11" s="351">
        <f t="shared" ca="1" si="3"/>
        <v>195560.23164790566</v>
      </c>
      <c r="AN11" s="351">
        <f t="shared" ca="1" si="3"/>
        <v>203864.6737158983</v>
      </c>
      <c r="AP11" s="306">
        <v>0.10199999999999999</v>
      </c>
      <c r="AQ11" s="351">
        <f t="shared" ca="1" si="11"/>
        <v>50116.480132162818</v>
      </c>
      <c r="AR11" s="351">
        <f t="shared" ca="1" si="4"/>
        <v>51623.577633597793</v>
      </c>
      <c r="AS11" s="351">
        <f t="shared" ca="1" si="4"/>
        <v>53326.402083271067</v>
      </c>
      <c r="AT11" s="351">
        <f t="shared" ca="1" si="4"/>
        <v>55265.729928732297</v>
      </c>
      <c r="AU11" s="351">
        <f t="shared" ca="1" si="4"/>
        <v>57494.509691426552</v>
      </c>
      <c r="AV11" s="351">
        <f t="shared" ca="1" si="4"/>
        <v>60082.770061006973</v>
      </c>
      <c r="AX11" s="306">
        <v>0.11899999999999999</v>
      </c>
      <c r="AY11" s="351">
        <f t="shared" ca="1" si="12"/>
        <v>295718.86168951122</v>
      </c>
      <c r="AZ11" s="351">
        <f t="shared" ca="1" si="5"/>
        <v>302935.00766826503</v>
      </c>
      <c r="BA11" s="351">
        <f t="shared" ca="1" si="5"/>
        <v>310918.8287511415</v>
      </c>
      <c r="BB11" s="351">
        <f t="shared" ca="1" si="5"/>
        <v>319799.70838265587</v>
      </c>
      <c r="BC11" s="351">
        <f t="shared" ca="1" si="5"/>
        <v>329737.83558935055</v>
      </c>
      <c r="BD11" s="351">
        <f t="shared" ca="1" si="5"/>
        <v>340933.95358170278</v>
      </c>
      <c r="BF11" s="307">
        <v>7.4999999999999997E-2</v>
      </c>
      <c r="BG11" s="351">
        <f t="shared" si="13"/>
        <v>597278.89739724156</v>
      </c>
      <c r="BH11" s="351">
        <f t="shared" si="6"/>
        <v>636862.74607670575</v>
      </c>
      <c r="BI11" s="351">
        <f t="shared" si="6"/>
        <v>684363.36449206271</v>
      </c>
      <c r="BJ11" s="351">
        <f t="shared" si="6"/>
        <v>742419.67588861019</v>
      </c>
      <c r="BK11" s="351">
        <f t="shared" si="6"/>
        <v>814990.06513429456</v>
      </c>
      <c r="BL11" s="351">
        <f t="shared" si="6"/>
        <v>908294.85130731727</v>
      </c>
    </row>
    <row r="13" spans="1:64" ht="25.8" customHeight="1" x14ac:dyDescent="0.3">
      <c r="A13" s="644" t="s">
        <v>393</v>
      </c>
      <c r="B13" s="644"/>
      <c r="C13" s="644"/>
      <c r="D13" s="644"/>
      <c r="E13" s="644"/>
      <c r="F13" s="644"/>
      <c r="G13" s="644"/>
      <c r="H13" s="308" t="e" vm="3">
        <v>#VALUE!</v>
      </c>
      <c r="J13" s="643" t="s">
        <v>440</v>
      </c>
      <c r="K13" s="643"/>
      <c r="L13" s="643"/>
      <c r="M13" s="643"/>
      <c r="N13" s="643"/>
      <c r="O13" s="643"/>
      <c r="P13" s="643"/>
      <c r="Q13" s="643"/>
      <c r="S13" s="642" t="s">
        <v>439</v>
      </c>
      <c r="T13" s="642"/>
      <c r="U13" s="642"/>
      <c r="V13" s="642"/>
      <c r="W13" s="642"/>
      <c r="X13" s="642"/>
      <c r="Z13" s="640" t="s">
        <v>446</v>
      </c>
      <c r="AA13" s="640"/>
      <c r="AB13" s="640"/>
      <c r="AC13" s="640"/>
      <c r="AD13" s="640"/>
      <c r="AE13" s="640"/>
      <c r="AG13" s="639" t="s">
        <v>447</v>
      </c>
      <c r="AH13" s="639"/>
      <c r="AI13" s="639"/>
      <c r="AJ13" s="639"/>
      <c r="AK13" s="639"/>
      <c r="AL13" s="639"/>
    </row>
    <row r="14" spans="1:64" ht="28.8" x14ac:dyDescent="0.3">
      <c r="A14" s="353" t="s">
        <v>380</v>
      </c>
      <c r="B14" s="354" t="s">
        <v>335</v>
      </c>
      <c r="C14" s="354" t="s">
        <v>432</v>
      </c>
      <c r="D14" s="354" t="s">
        <v>433</v>
      </c>
      <c r="E14" s="354" t="s">
        <v>434</v>
      </c>
      <c r="F14" s="354" t="s">
        <v>435</v>
      </c>
      <c r="G14" s="354" t="s">
        <v>436</v>
      </c>
      <c r="H14" s="354" t="s">
        <v>437</v>
      </c>
      <c r="J14" s="354" t="s">
        <v>335</v>
      </c>
      <c r="K14" s="354" t="s">
        <v>432</v>
      </c>
      <c r="L14" s="354" t="s">
        <v>433</v>
      </c>
      <c r="M14" s="354" t="s">
        <v>434</v>
      </c>
      <c r="N14" s="354" t="s">
        <v>435</v>
      </c>
      <c r="O14" s="354" t="s">
        <v>436</v>
      </c>
      <c r="P14" s="354" t="s">
        <v>437</v>
      </c>
      <c r="Q14" s="300" t="s">
        <v>438</v>
      </c>
      <c r="S14" s="358">
        <v>1.4999999999999999E-2</v>
      </c>
      <c r="T14" s="359">
        <v>0.02</v>
      </c>
      <c r="U14" s="359">
        <v>2.5000000000000001E-2</v>
      </c>
      <c r="V14" s="359">
        <v>0.03</v>
      </c>
      <c r="W14" s="359">
        <v>3.5000000000000003E-2</v>
      </c>
      <c r="X14" s="359">
        <v>0.04</v>
      </c>
      <c r="Z14" s="640"/>
      <c r="AA14" s="640"/>
      <c r="AB14" s="640"/>
      <c r="AC14" s="640"/>
      <c r="AD14" s="640"/>
      <c r="AE14" s="640"/>
      <c r="AG14" s="639"/>
      <c r="AH14" s="639"/>
      <c r="AI14" s="639"/>
      <c r="AJ14" s="639"/>
      <c r="AK14" s="639"/>
      <c r="AL14" s="639"/>
    </row>
    <row r="15" spans="1:64" x14ac:dyDescent="0.3">
      <c r="A15" s="307">
        <v>5.5E-2</v>
      </c>
      <c r="B15" s="307">
        <f>1/(1+$A$15)^1</f>
        <v>0.94786729857819907</v>
      </c>
      <c r="C15" s="307">
        <f>1/(1+$A$15)^2</f>
        <v>0.89845241571393286</v>
      </c>
      <c r="D15" s="307">
        <f>1/(1+$A$15)^3</f>
        <v>0.85161366418382267</v>
      </c>
      <c r="E15" s="307">
        <f>1/(1+$A$15)^4</f>
        <v>0.80721674330220161</v>
      </c>
      <c r="F15" s="307">
        <f>1/(1+$A$15)^5</f>
        <v>0.76513435384094941</v>
      </c>
      <c r="G15" s="307">
        <f>1/(1+$A$15)^6</f>
        <v>0.72524583302459655</v>
      </c>
      <c r="H15" s="307">
        <f>1/(1+$A$15)^7</f>
        <v>0.68743680855412004</v>
      </c>
      <c r="J15" s="351">
        <f>B15*B5</f>
        <v>1623.5920896901855</v>
      </c>
      <c r="K15" s="351">
        <f t="shared" ref="K15:P15" si="14">C15*C5</f>
        <v>16953.373018791397</v>
      </c>
      <c r="L15" s="351">
        <f t="shared" si="14"/>
        <v>13136.834252480503</v>
      </c>
      <c r="M15" s="351">
        <f t="shared" si="14"/>
        <v>13611.573223821781</v>
      </c>
      <c r="N15" s="351">
        <f t="shared" si="14"/>
        <v>14103.90722992211</v>
      </c>
      <c r="O15" s="351">
        <f t="shared" si="14"/>
        <v>14613.97698941262</v>
      </c>
      <c r="P15" s="351">
        <f t="shared" si="14"/>
        <v>15141.804541542369</v>
      </c>
      <c r="Q15" s="351">
        <f>SUM(J15:P15)</f>
        <v>89185.061345660957</v>
      </c>
      <c r="S15" s="351">
        <f>P15*(1+$S$14)</f>
        <v>15368.931609665504</v>
      </c>
      <c r="T15" s="351">
        <f>P15*(1+$T$14)</f>
        <v>15444.640632373217</v>
      </c>
      <c r="U15" s="351">
        <f>P15*(1+$U$14)</f>
        <v>15520.349655080927</v>
      </c>
      <c r="V15" s="351">
        <f>P15*(1+$V$14)</f>
        <v>15596.05867778864</v>
      </c>
      <c r="W15" s="351">
        <f>P15*(1+$W$14)</f>
        <v>15671.767700496352</v>
      </c>
      <c r="X15" s="351">
        <f>P15*(1+$X$14)</f>
        <v>15747.476723204065</v>
      </c>
      <c r="Z15" s="351">
        <f>S15/($A$15-S14)</f>
        <v>384223.29024163762</v>
      </c>
      <c r="AA15" s="351">
        <f t="shared" ref="AA15:AE15" si="15">T15/($A$15-T14)</f>
        <v>441275.44663923472</v>
      </c>
      <c r="AB15" s="351">
        <f t="shared" si="15"/>
        <v>517344.98850269755</v>
      </c>
      <c r="AC15" s="351">
        <f t="shared" si="15"/>
        <v>623842.34711154562</v>
      </c>
      <c r="AD15" s="351">
        <f t="shared" si="15"/>
        <v>783588.38502481766</v>
      </c>
      <c r="AE15" s="351">
        <f t="shared" si="15"/>
        <v>1049831.7815469378</v>
      </c>
      <c r="AG15" s="351">
        <f>Z15/(1+$A$15)^6</f>
        <v>278656.34019874781</v>
      </c>
      <c r="AH15" s="351">
        <f t="shared" ref="AH15:AL15" si="16">AA15/(1+$A$15)^6</f>
        <v>320033.17889117269</v>
      </c>
      <c r="AI15" s="351">
        <f t="shared" si="16"/>
        <v>375202.29714773921</v>
      </c>
      <c r="AJ15" s="351">
        <f t="shared" si="16"/>
        <v>452439.06270693243</v>
      </c>
      <c r="AK15" s="351">
        <f t="shared" si="16"/>
        <v>568294.21104572224</v>
      </c>
      <c r="AL15" s="351">
        <f t="shared" si="16"/>
        <v>761386.12494370516</v>
      </c>
    </row>
    <row r="16" spans="1:64" x14ac:dyDescent="0.3">
      <c r="A16" s="307">
        <v>6.5000000000000002E-2</v>
      </c>
      <c r="B16" s="307">
        <f>1/(1+$A$16)^1</f>
        <v>0.93896713615023475</v>
      </c>
      <c r="C16" s="307">
        <f>1/(1+$A$16)^2</f>
        <v>0.88165928277017358</v>
      </c>
      <c r="D16" s="307">
        <f>1/(1+$A$16)^3</f>
        <v>0.82784909180297994</v>
      </c>
      <c r="E16" s="307">
        <f>1/(1+$A$16)^4</f>
        <v>0.77732309089481699</v>
      </c>
      <c r="F16" s="307">
        <f>1/(1+$A$16)^5</f>
        <v>0.72988083652095492</v>
      </c>
      <c r="G16" s="307">
        <f>1/(1+$A$16)^6</f>
        <v>0.68533411879901873</v>
      </c>
      <c r="H16" s="307">
        <f>1/(1+$A$16)^7</f>
        <v>0.64350621483475945</v>
      </c>
      <c r="J16" s="351">
        <f>B16*B5</f>
        <v>1608.3470935428597</v>
      </c>
      <c r="K16" s="351">
        <f t="shared" ref="K16:P16" si="17">C16*C5</f>
        <v>16636.4945264302</v>
      </c>
      <c r="L16" s="351">
        <f t="shared" si="17"/>
        <v>12770.246371639714</v>
      </c>
      <c r="M16" s="351">
        <f t="shared" si="17"/>
        <v>13107.495921106245</v>
      </c>
      <c r="N16" s="351">
        <f t="shared" si="17"/>
        <v>13454.070589711584</v>
      </c>
      <c r="O16" s="351">
        <f t="shared" si="17"/>
        <v>13809.740899053966</v>
      </c>
      <c r="P16" s="351">
        <f t="shared" si="17"/>
        <v>14174.168745473271</v>
      </c>
      <c r="Q16" s="351">
        <f t="shared" ref="Q16:Q20" si="18">SUM(J16:P16)</f>
        <v>85560.56414695784</v>
      </c>
      <c r="S16" s="351">
        <f t="shared" ref="S16:S20" si="19">P16*(1+$S$14)</f>
        <v>14386.781276655369</v>
      </c>
      <c r="T16" s="351">
        <f t="shared" ref="T16:T20" si="20">P16*(1+$T$14)</f>
        <v>14457.652120382736</v>
      </c>
      <c r="U16" s="351">
        <f t="shared" ref="U16:U20" si="21">P16*(1+$U$14)</f>
        <v>14528.522964110101</v>
      </c>
      <c r="V16" s="351">
        <f t="shared" ref="V16:V20" si="22">P16*(1+$V$14)</f>
        <v>14599.39380783747</v>
      </c>
      <c r="W16" s="351">
        <f t="shared" ref="W16:W20" si="23">P16*(1+$W$14)</f>
        <v>14670.264651564834</v>
      </c>
      <c r="X16" s="351">
        <f t="shared" ref="X16:X20" si="24">P16*(1+$X$14)</f>
        <v>14741.135495292203</v>
      </c>
      <c r="Z16" s="351">
        <f>S16/($A$16-S14)</f>
        <v>287735.62553310738</v>
      </c>
      <c r="AA16" s="351">
        <f t="shared" ref="AA16:AE16" si="25">T16/($A$16-T14)</f>
        <v>321281.15823072748</v>
      </c>
      <c r="AB16" s="351">
        <f t="shared" si="25"/>
        <v>363213.07410275255</v>
      </c>
      <c r="AC16" s="351">
        <f t="shared" si="25"/>
        <v>417125.53736678482</v>
      </c>
      <c r="AD16" s="351">
        <f t="shared" si="25"/>
        <v>489008.82171882782</v>
      </c>
      <c r="AE16" s="351">
        <f t="shared" si="25"/>
        <v>589645.41981168813</v>
      </c>
      <c r="AG16" s="351">
        <f>Z16/(1+$A$16)^6</f>
        <v>197195.04137181659</v>
      </c>
      <c r="AH16" s="351">
        <f t="shared" ref="AH16:AL16" si="26">AA16/(1+$A$16)^6</f>
        <v>220184.93946278375</v>
      </c>
      <c r="AI16" s="351">
        <f t="shared" si="26"/>
        <v>248922.31207649261</v>
      </c>
      <c r="AJ16" s="351">
        <f t="shared" si="26"/>
        <v>285870.36257983267</v>
      </c>
      <c r="AK16" s="351">
        <f t="shared" si="26"/>
        <v>335134.42991761933</v>
      </c>
      <c r="AL16" s="351">
        <f t="shared" si="26"/>
        <v>404104.12419052079</v>
      </c>
    </row>
    <row r="17" spans="1:38" x14ac:dyDescent="0.3">
      <c r="A17" s="307">
        <v>7.4999999999999997E-2</v>
      </c>
      <c r="B17" s="307">
        <f>1/(1+$A$17)^1</f>
        <v>0.93023255813953487</v>
      </c>
      <c r="C17" s="307">
        <f>1/(1+$A$17)^2</f>
        <v>0.86533261222282321</v>
      </c>
      <c r="D17" s="307">
        <f>1/(1+$A$17)^3</f>
        <v>0.80496056950960304</v>
      </c>
      <c r="E17" s="307">
        <f>1/(1+$A$17)^4</f>
        <v>0.7488005297763749</v>
      </c>
      <c r="F17" s="307">
        <f>1/(1+$A$17)^5</f>
        <v>0.69655863235011617</v>
      </c>
      <c r="G17" s="307">
        <f>1/(1+$A$17)^6</f>
        <v>0.64796151846522443</v>
      </c>
      <c r="H17" s="307">
        <f>1/(1+$A$17)^7</f>
        <v>0.60275490089788319</v>
      </c>
      <c r="J17" s="351">
        <f>B17*B5</f>
        <v>1593.385725230833</v>
      </c>
      <c r="K17" s="351">
        <f t="shared" ref="K17:P17" si="27">C17*C5</f>
        <v>16328.417959320968</v>
      </c>
      <c r="L17" s="351">
        <f t="shared" si="27"/>
        <v>12417.172276779496</v>
      </c>
      <c r="M17" s="351">
        <f t="shared" si="27"/>
        <v>12626.538442937013</v>
      </c>
      <c r="N17" s="351">
        <f t="shared" si="27"/>
        <v>12839.834313477504</v>
      </c>
      <c r="O17" s="351">
        <f t="shared" si="27"/>
        <v>13056.668910987733</v>
      </c>
      <c r="P17" s="351">
        <f t="shared" si="27"/>
        <v>13276.561252297215</v>
      </c>
      <c r="Q17" s="351">
        <f t="shared" si="18"/>
        <v>82138.578881030757</v>
      </c>
      <c r="S17" s="351">
        <f t="shared" si="19"/>
        <v>13475.709671081671</v>
      </c>
      <c r="T17" s="351">
        <f t="shared" si="20"/>
        <v>13542.09247734316</v>
      </c>
      <c r="U17" s="351">
        <f t="shared" si="21"/>
        <v>13608.475283604645</v>
      </c>
      <c r="V17" s="351">
        <f t="shared" si="22"/>
        <v>13674.858089866131</v>
      </c>
      <c r="W17" s="351">
        <f t="shared" si="23"/>
        <v>13741.240896127616</v>
      </c>
      <c r="X17" s="351">
        <f t="shared" si="24"/>
        <v>13807.623702389104</v>
      </c>
      <c r="Z17" s="351">
        <f>S17/($A$17-S14)</f>
        <v>224595.16118469453</v>
      </c>
      <c r="AA17" s="351">
        <f t="shared" ref="AA17:AE17" si="28">T17/($A$17-T14)</f>
        <v>246219.8632244211</v>
      </c>
      <c r="AB17" s="351">
        <f t="shared" si="28"/>
        <v>272169.5056720929</v>
      </c>
      <c r="AC17" s="351">
        <f t="shared" si="28"/>
        <v>303885.7353303585</v>
      </c>
      <c r="AD17" s="351">
        <f t="shared" si="28"/>
        <v>343531.02240319044</v>
      </c>
      <c r="AE17" s="351">
        <f t="shared" si="28"/>
        <v>394503.53435397445</v>
      </c>
      <c r="AG17" s="351">
        <f>Z17/(1+$A$17)^6</f>
        <v>145529.0216811765</v>
      </c>
      <c r="AH17" s="351">
        <f t="shared" ref="AH17:AL17" si="29">AA17/(1+$A$17)^6</f>
        <v>159540.99645119577</v>
      </c>
      <c r="AI17" s="351">
        <f t="shared" si="29"/>
        <v>176355.36617521883</v>
      </c>
      <c r="AJ17" s="351">
        <f t="shared" si="29"/>
        <v>196906.2625045804</v>
      </c>
      <c r="AK17" s="351">
        <f t="shared" si="29"/>
        <v>222594.88291628231</v>
      </c>
      <c r="AL17" s="351">
        <f t="shared" si="29"/>
        <v>255623.10915989912</v>
      </c>
    </row>
    <row r="18" spans="1:38" x14ac:dyDescent="0.3">
      <c r="A18" s="307">
        <v>8.5000000000000006E-2</v>
      </c>
      <c r="B18" s="307">
        <f>1/(1+$A$18)^1</f>
        <v>0.92165898617511521</v>
      </c>
      <c r="C18" s="307">
        <f>1/(1+$A$18)^2</f>
        <v>0.84945528679734128</v>
      </c>
      <c r="D18" s="307">
        <f>1/(1+$A$18)^3</f>
        <v>0.78290809843072917</v>
      </c>
      <c r="E18" s="307">
        <f>1/(1+$A$18)^4</f>
        <v>0.72157428426795334</v>
      </c>
      <c r="F18" s="307">
        <f>1/(1+$A$18)^5</f>
        <v>0.66504542328843619</v>
      </c>
      <c r="G18" s="307">
        <f>1/(1+$A$18)^6</f>
        <v>0.6129450905884205</v>
      </c>
      <c r="H18" s="307">
        <f>1/(1+$A$18)^7</f>
        <v>0.56492635077273778</v>
      </c>
      <c r="J18" s="351">
        <f>B18*B5</f>
        <v>1578.7001425098117</v>
      </c>
      <c r="K18" s="351">
        <f t="shared" ref="K18:P18" si="30">C18*C5</f>
        <v>16028.820322572399</v>
      </c>
      <c r="L18" s="351">
        <f t="shared" si="30"/>
        <v>12076.994952712683</v>
      </c>
      <c r="M18" s="351">
        <f t="shared" si="30"/>
        <v>12167.439895461905</v>
      </c>
      <c r="N18" s="351">
        <f t="shared" si="30"/>
        <v>12258.943683104022</v>
      </c>
      <c r="O18" s="351">
        <f t="shared" si="30"/>
        <v>12351.074686324764</v>
      </c>
      <c r="P18" s="351">
        <f t="shared" si="30"/>
        <v>12443.331921313849</v>
      </c>
      <c r="Q18" s="351">
        <f t="shared" si="18"/>
        <v>78905.305603999426</v>
      </c>
      <c r="S18" s="351">
        <f t="shared" si="19"/>
        <v>12629.981900133556</v>
      </c>
      <c r="T18" s="351">
        <f t="shared" si="20"/>
        <v>12692.198559740127</v>
      </c>
      <c r="U18" s="351">
        <f t="shared" si="21"/>
        <v>12754.415219346694</v>
      </c>
      <c r="V18" s="351">
        <f t="shared" si="22"/>
        <v>12816.631878953265</v>
      </c>
      <c r="W18" s="351">
        <f t="shared" si="23"/>
        <v>12878.848538559832</v>
      </c>
      <c r="X18" s="351">
        <f t="shared" si="24"/>
        <v>12941.065198166403</v>
      </c>
      <c r="Z18" s="351">
        <f>S18/($A$18-S14)</f>
        <v>180428.31285905078</v>
      </c>
      <c r="AA18" s="351">
        <f t="shared" ref="AA18:AE18" si="31">T18/($A$18-T14)</f>
        <v>195264.59322677119</v>
      </c>
      <c r="AB18" s="351">
        <f t="shared" si="31"/>
        <v>212573.58698911156</v>
      </c>
      <c r="AC18" s="351">
        <f t="shared" si="31"/>
        <v>233029.67052642297</v>
      </c>
      <c r="AD18" s="351">
        <f t="shared" si="31"/>
        <v>257576.97077119665</v>
      </c>
      <c r="AE18" s="351">
        <f t="shared" si="31"/>
        <v>287579.22662592004</v>
      </c>
      <c r="AG18" s="351">
        <f>Z18/(1+$A$18)^6</f>
        <v>110592.64857010676</v>
      </c>
      <c r="AH18" s="351">
        <f t="shared" ref="AH18:AL18" si="32">AA18/(1+$A$18)^6</f>
        <v>119686.47378409436</v>
      </c>
      <c r="AI18" s="351">
        <f t="shared" si="32"/>
        <v>130295.93653374647</v>
      </c>
      <c r="AJ18" s="351">
        <f t="shared" si="32"/>
        <v>142834.3925106081</v>
      </c>
      <c r="AK18" s="351">
        <f t="shared" si="32"/>
        <v>157880.53968284206</v>
      </c>
      <c r="AL18" s="351">
        <f t="shared" si="32"/>
        <v>176270.27511557247</v>
      </c>
    </row>
    <row r="19" spans="1:38" x14ac:dyDescent="0.3">
      <c r="A19" s="306">
        <v>8.4000000000000005E-2</v>
      </c>
      <c r="B19" s="306">
        <f ca="1">'DCF-DDM-RIM'!C4</f>
        <v>0.9277341485024051</v>
      </c>
      <c r="C19" s="306">
        <f ca="1">'DCF-DDM-RIM'!C5</f>
        <v>0.8606906502974826</v>
      </c>
      <c r="D19" s="306">
        <f ca="1">'DCF-DDM-RIM'!C6</f>
        <v>0.79849210757771638</v>
      </c>
      <c r="E19" s="306">
        <f ca="1">'DCF-DDM-RIM'!C7</f>
        <v>0.74078839550950348</v>
      </c>
      <c r="F19" s="306">
        <f ca="1">'DCF-DDM-RIM'!C8</f>
        <v>0.68725469132847217</v>
      </c>
      <c r="G19" s="306">
        <f ca="1">'DCF-DDM-RIM'!C9</f>
        <v>0.63758964586390332</v>
      </c>
      <c r="H19" s="306">
        <f ca="1">'DCF-DDM-RIM'!C10</f>
        <v>0.59151368719949837</v>
      </c>
      <c r="J19" s="357">
        <f ca="1">B19*B5</f>
        <v>1589.1062252103827</v>
      </c>
      <c r="K19" s="357">
        <f t="shared" ref="K19:P19" ca="1" si="33">C19*C5</f>
        <v>16240.826328776137</v>
      </c>
      <c r="L19" s="357">
        <f t="shared" ca="1" si="33"/>
        <v>12317.390984109521</v>
      </c>
      <c r="M19" s="357">
        <f t="shared" ca="1" si="33"/>
        <v>12491.435011104724</v>
      </c>
      <c r="N19" s="357">
        <f t="shared" ca="1" si="33"/>
        <v>12668.332510711487</v>
      </c>
      <c r="O19" s="357">
        <f t="shared" ca="1" si="33"/>
        <v>12847.671767356182</v>
      </c>
      <c r="P19" s="357">
        <f t="shared" ca="1" si="33"/>
        <v>13028.957023788333</v>
      </c>
      <c r="Q19" s="357">
        <f t="shared" ca="1" si="18"/>
        <v>81183.719851056769</v>
      </c>
      <c r="S19" s="351">
        <f t="shared" ca="1" si="19"/>
        <v>13224.391379145156</v>
      </c>
      <c r="T19" s="351">
        <f t="shared" ca="1" si="20"/>
        <v>13289.5361642641</v>
      </c>
      <c r="U19" s="351">
        <f t="shared" ca="1" si="21"/>
        <v>13354.680949383041</v>
      </c>
      <c r="V19" s="351">
        <f t="shared" ca="1" si="22"/>
        <v>13419.825734501983</v>
      </c>
      <c r="W19" s="351">
        <f t="shared" ca="1" si="23"/>
        <v>13484.970519620923</v>
      </c>
      <c r="X19" s="351">
        <f t="shared" ca="1" si="24"/>
        <v>13550.115304739866</v>
      </c>
      <c r="Z19" s="351">
        <f ca="1">S19/($A$19-S14)</f>
        <v>191657.84607456747</v>
      </c>
      <c r="AA19" s="351">
        <f t="shared" ref="AA19:AE19" ca="1" si="34">T19/($A$19-T14)</f>
        <v>207649.00256662656</v>
      </c>
      <c r="AB19" s="351">
        <f t="shared" ca="1" si="34"/>
        <v>226350.52456581424</v>
      </c>
      <c r="AC19" s="351">
        <f t="shared" ca="1" si="34"/>
        <v>248515.29137966633</v>
      </c>
      <c r="AD19" s="351">
        <f t="shared" ca="1" si="34"/>
        <v>275203.47999226372</v>
      </c>
      <c r="AE19" s="351">
        <f t="shared" ca="1" si="34"/>
        <v>307957.16601681511</v>
      </c>
      <c r="AG19" s="351">
        <f ca="1">Z19/(1+$A$19)^6</f>
        <v>118127.47198889057</v>
      </c>
      <c r="AH19" s="351">
        <f t="shared" ref="AH19:AL19" ca="1" si="35">AA19/(1+$A$19)^6</f>
        <v>127983.55108648584</v>
      </c>
      <c r="AI19" s="351">
        <f t="shared" ca="1" si="35"/>
        <v>139510.1520650294</v>
      </c>
      <c r="AJ19" s="351">
        <f t="shared" ca="1" si="35"/>
        <v>153171.30878034033</v>
      </c>
      <c r="AK19" s="351">
        <f t="shared" ca="1" si="35"/>
        <v>169620.45666204122</v>
      </c>
      <c r="AL19" s="351">
        <f t="shared" ca="1" si="35"/>
        <v>189808.04724412871</v>
      </c>
    </row>
    <row r="20" spans="1:38" x14ac:dyDescent="0.3">
      <c r="A20" s="352">
        <v>0.09</v>
      </c>
      <c r="B20" s="307">
        <f>1/(1+$A$20)^1</f>
        <v>0.9174311926605504</v>
      </c>
      <c r="C20" s="307">
        <f>1/(1+$A$20)^2</f>
        <v>0.84167999326655996</v>
      </c>
      <c r="D20" s="307">
        <f>1/(1+$A$20)^3</f>
        <v>0.77218348006106419</v>
      </c>
      <c r="E20" s="307">
        <f>1/(1+$A$20)^4</f>
        <v>0.7084252110651964</v>
      </c>
      <c r="F20" s="307">
        <f>1/(1+$A$20)^5</f>
        <v>0.64993138629834524</v>
      </c>
      <c r="G20" s="307">
        <f>1/(1+$A$20)^6</f>
        <v>0.5962673268792158</v>
      </c>
      <c r="H20" s="307">
        <f>1/(1+$A$20)^7</f>
        <v>0.54703424484331731</v>
      </c>
      <c r="J20" s="351">
        <f>B20*B5</f>
        <v>1571.4583987368308</v>
      </c>
      <c r="K20" s="351">
        <f t="shared" ref="K20:P20" si="36">C20*C5</f>
        <v>15882.104203552133</v>
      </c>
      <c r="L20" s="351">
        <f t="shared" si="36"/>
        <v>11911.558981134631</v>
      </c>
      <c r="M20" s="351">
        <f t="shared" si="36"/>
        <v>11945.715588812192</v>
      </c>
      <c r="N20" s="351">
        <f t="shared" si="36"/>
        <v>11980.342971336524</v>
      </c>
      <c r="O20" s="351">
        <f t="shared" si="36"/>
        <v>12015.011459232894</v>
      </c>
      <c r="P20" s="351">
        <f t="shared" si="36"/>
        <v>12049.232031042222</v>
      </c>
      <c r="Q20" s="351">
        <f t="shared" si="18"/>
        <v>77355.423633847429</v>
      </c>
      <c r="S20" s="351">
        <f t="shared" si="19"/>
        <v>12229.970511507854</v>
      </c>
      <c r="T20" s="351">
        <f t="shared" si="20"/>
        <v>12290.216671663067</v>
      </c>
      <c r="U20" s="351">
        <f t="shared" si="21"/>
        <v>12350.462831818277</v>
      </c>
      <c r="V20" s="351">
        <f t="shared" si="22"/>
        <v>12410.708991973488</v>
      </c>
      <c r="W20" s="351">
        <f t="shared" si="23"/>
        <v>12470.955152128699</v>
      </c>
      <c r="X20" s="351">
        <f t="shared" si="24"/>
        <v>12531.201312283911</v>
      </c>
      <c r="Z20" s="351">
        <f>S20/($A$20-S14)</f>
        <v>163066.27348677139</v>
      </c>
      <c r="AA20" s="351">
        <f t="shared" ref="AA20:AE20" si="37">T20/($A$20-T14)</f>
        <v>175574.52388090099</v>
      </c>
      <c r="AB20" s="351">
        <f t="shared" si="37"/>
        <v>190007.12048951193</v>
      </c>
      <c r="AC20" s="351">
        <f t="shared" si="37"/>
        <v>206845.14986622482</v>
      </c>
      <c r="AD20" s="351">
        <f t="shared" si="37"/>
        <v>226744.63912961274</v>
      </c>
      <c r="AE20" s="351">
        <f t="shared" si="37"/>
        <v>250624.02624567822</v>
      </c>
      <c r="AG20" s="351">
        <f>Z20/(1+$A$20)^6</f>
        <v>97231.090996112325</v>
      </c>
      <c r="AH20" s="351">
        <f t="shared" ref="AH20:AL20" si="38">AA20/(1+$A$20)^6</f>
        <v>104689.35202255588</v>
      </c>
      <c r="AI20" s="351">
        <f t="shared" si="38"/>
        <v>113295.03782229836</v>
      </c>
      <c r="AJ20" s="351">
        <f t="shared" si="38"/>
        <v>123335.00458866465</v>
      </c>
      <c r="AK20" s="351">
        <f t="shared" si="38"/>
        <v>135200.41985800661</v>
      </c>
      <c r="AL20" s="351">
        <f t="shared" si="38"/>
        <v>149438.91818121698</v>
      </c>
    </row>
    <row r="22" spans="1:38" ht="21" customHeight="1" x14ac:dyDescent="0.3">
      <c r="A22" s="644" t="s">
        <v>393</v>
      </c>
      <c r="B22" s="644"/>
      <c r="C22" s="644"/>
      <c r="D22" s="644"/>
      <c r="E22" s="644"/>
      <c r="F22" s="644"/>
      <c r="G22" s="644"/>
      <c r="H22" s="308" t="e" vm="1">
        <v>#VALUE!</v>
      </c>
      <c r="J22" s="643" t="s">
        <v>440</v>
      </c>
      <c r="K22" s="643"/>
      <c r="L22" s="643"/>
      <c r="M22" s="643"/>
      <c r="N22" s="643"/>
      <c r="O22" s="643"/>
      <c r="P22" s="643"/>
      <c r="Q22" s="643"/>
      <c r="S22" s="642" t="s">
        <v>439</v>
      </c>
      <c r="T22" s="642"/>
      <c r="U22" s="642"/>
      <c r="V22" s="642"/>
      <c r="W22" s="642"/>
      <c r="X22" s="642"/>
      <c r="Z22" s="640" t="s">
        <v>446</v>
      </c>
      <c r="AA22" s="640"/>
      <c r="AB22" s="640"/>
      <c r="AC22" s="640"/>
      <c r="AD22" s="640"/>
      <c r="AE22" s="640"/>
      <c r="AG22" s="639" t="s">
        <v>447</v>
      </c>
      <c r="AH22" s="639"/>
      <c r="AI22" s="639"/>
      <c r="AJ22" s="639"/>
      <c r="AK22" s="639"/>
      <c r="AL22" s="639"/>
    </row>
    <row r="23" spans="1:38" ht="28.8" x14ac:dyDescent="0.3">
      <c r="A23" s="353" t="s">
        <v>380</v>
      </c>
      <c r="B23" s="354" t="s">
        <v>335</v>
      </c>
      <c r="C23" s="354" t="s">
        <v>432</v>
      </c>
      <c r="D23" s="354" t="s">
        <v>433</v>
      </c>
      <c r="E23" s="354" t="s">
        <v>434</v>
      </c>
      <c r="F23" s="354" t="s">
        <v>435</v>
      </c>
      <c r="G23" s="354" t="s">
        <v>436</v>
      </c>
      <c r="H23" s="354" t="s">
        <v>437</v>
      </c>
      <c r="J23" s="354" t="s">
        <v>335</v>
      </c>
      <c r="K23" s="354" t="s">
        <v>432</v>
      </c>
      <c r="L23" s="354" t="s">
        <v>433</v>
      </c>
      <c r="M23" s="354" t="s">
        <v>434</v>
      </c>
      <c r="N23" s="354" t="s">
        <v>435</v>
      </c>
      <c r="O23" s="354" t="s">
        <v>436</v>
      </c>
      <c r="P23" s="354" t="s">
        <v>437</v>
      </c>
      <c r="Q23" s="300" t="s">
        <v>438</v>
      </c>
      <c r="S23" s="358">
        <v>1.4999999999999999E-2</v>
      </c>
      <c r="T23" s="359">
        <v>0.02</v>
      </c>
      <c r="U23" s="359">
        <v>2.5000000000000001E-2</v>
      </c>
      <c r="V23" s="359">
        <v>0.03</v>
      </c>
      <c r="W23" s="359">
        <v>3.5000000000000003E-2</v>
      </c>
      <c r="X23" s="359">
        <v>0.04</v>
      </c>
      <c r="Z23" s="640"/>
      <c r="AA23" s="640"/>
      <c r="AB23" s="640"/>
      <c r="AC23" s="640"/>
      <c r="AD23" s="640"/>
      <c r="AE23" s="640"/>
      <c r="AG23" s="639"/>
      <c r="AH23" s="639"/>
      <c r="AI23" s="639"/>
      <c r="AJ23" s="639"/>
      <c r="AK23" s="639"/>
      <c r="AL23" s="639"/>
    </row>
    <row r="24" spans="1:38" x14ac:dyDescent="0.3">
      <c r="A24" s="307">
        <v>0.05</v>
      </c>
      <c r="B24" s="307">
        <f>1/(1+$A$24)^1</f>
        <v>0.95238095238095233</v>
      </c>
      <c r="C24" s="307">
        <f>1/(1+$A$24)^2</f>
        <v>0.90702947845804982</v>
      </c>
      <c r="D24" s="307">
        <f>1/(1+$A$24)^3</f>
        <v>0.86383759853147601</v>
      </c>
      <c r="E24" s="307">
        <f>1/(1+$A$24)^4</f>
        <v>0.82270247479188197</v>
      </c>
      <c r="F24" s="307">
        <f>1/(1+$A$24)^5</f>
        <v>0.78352616646845896</v>
      </c>
      <c r="G24" s="307">
        <f>1/(1+$A$24)^6</f>
        <v>0.74621539663662761</v>
      </c>
      <c r="H24" s="307">
        <f>1/(1+$A$24)^7</f>
        <v>0.71068133013012147</v>
      </c>
      <c r="J24" s="351">
        <f>B24*B6</f>
        <v>-111905.08433253595</v>
      </c>
      <c r="K24" s="351">
        <f t="shared" ref="K24:P24" si="39">C24*C6</f>
        <v>52190.653672618217</v>
      </c>
      <c r="L24" s="351">
        <f t="shared" si="39"/>
        <v>-9896.2004270097077</v>
      </c>
      <c r="M24" s="351">
        <f t="shared" si="39"/>
        <v>-15243.227020167951</v>
      </c>
      <c r="N24" s="351">
        <f t="shared" si="39"/>
        <v>-21457.770910934105</v>
      </c>
      <c r="O24" s="351">
        <f t="shared" si="39"/>
        <v>-28479.516841313616</v>
      </c>
      <c r="P24" s="351">
        <f t="shared" si="39"/>
        <v>-17045.682208663238</v>
      </c>
      <c r="Q24" s="309">
        <f>SUM(J24:P24)</f>
        <v>-151836.82806800635</v>
      </c>
      <c r="S24" s="351">
        <f>$K$24*(1+$S$23)</f>
        <v>52973.513477707485</v>
      </c>
      <c r="T24" s="351">
        <f>$K$24*(1+T23)</f>
        <v>53234.466746070582</v>
      </c>
      <c r="U24" s="351">
        <f t="shared" ref="U24:X24" si="40">$K$24*(1+U23)</f>
        <v>53495.420014433665</v>
      </c>
      <c r="V24" s="351">
        <f t="shared" si="40"/>
        <v>53756.373282796761</v>
      </c>
      <c r="W24" s="351">
        <f t="shared" si="40"/>
        <v>54017.326551159851</v>
      </c>
      <c r="X24" s="351">
        <f t="shared" si="40"/>
        <v>54278.279819522948</v>
      </c>
      <c r="Z24" s="351">
        <f>S24/($A$24-S23)</f>
        <v>1513528.956505928</v>
      </c>
      <c r="AA24" s="351">
        <f t="shared" ref="AA24:AE24" si="41">T24/($A$24-T23)</f>
        <v>1774482.2248690194</v>
      </c>
      <c r="AB24" s="351">
        <f t="shared" si="41"/>
        <v>2139816.8005773462</v>
      </c>
      <c r="AC24" s="351">
        <f t="shared" si="41"/>
        <v>2687818.6641398375</v>
      </c>
      <c r="AD24" s="351">
        <f t="shared" si="41"/>
        <v>3601155.103410657</v>
      </c>
      <c r="AE24" s="351">
        <f t="shared" si="41"/>
        <v>5427827.9819522938</v>
      </c>
      <c r="AG24" s="351">
        <f>Z24/(1+$A$24)^6</f>
        <v>1129418.6106000922</v>
      </c>
      <c r="AH24" s="351">
        <f t="shared" ref="AH24:AL24" si="42">AA24/(1+$A$24)^6</f>
        <v>1324145.9572552808</v>
      </c>
      <c r="AI24" s="351">
        <f t="shared" si="42"/>
        <v>1596764.2425725439</v>
      </c>
      <c r="AJ24" s="351">
        <f t="shared" si="42"/>
        <v>2005691.6705484395</v>
      </c>
      <c r="AK24" s="351">
        <f t="shared" si="42"/>
        <v>2687237.3838415993</v>
      </c>
      <c r="AL24" s="351">
        <f t="shared" si="42"/>
        <v>4050328.8104279172</v>
      </c>
    </row>
    <row r="25" spans="1:38" x14ac:dyDescent="0.3">
      <c r="A25" s="307">
        <v>0.06</v>
      </c>
      <c r="B25" s="307">
        <f>1/(1+$A$25)^1</f>
        <v>0.94339622641509424</v>
      </c>
      <c r="C25" s="307">
        <f>1/(1+$A$25)^2</f>
        <v>0.88999644001423983</v>
      </c>
      <c r="D25" s="307">
        <f>1/(1+$A$25)^3</f>
        <v>0.8396192830323016</v>
      </c>
      <c r="E25" s="307">
        <f>1/(1+$A$25)^4</f>
        <v>0.79209366323802044</v>
      </c>
      <c r="F25" s="307">
        <f>1/(1+$A$25)^5</f>
        <v>0.74725817286605689</v>
      </c>
      <c r="G25" s="307">
        <f>1/(1+$A$25)^6</f>
        <v>0.70496054043967626</v>
      </c>
      <c r="H25" s="307">
        <f>1/(1+$A$25)^7</f>
        <v>0.66505711362233599</v>
      </c>
      <c r="J25" s="351">
        <f>B25*B6</f>
        <v>-110849.37598977618</v>
      </c>
      <c r="K25" s="351">
        <f t="shared" ref="K25:P25" si="43">C25*C6</f>
        <v>51210.569307637576</v>
      </c>
      <c r="L25" s="351">
        <f t="shared" si="43"/>
        <v>-9618.753248753259</v>
      </c>
      <c r="M25" s="351">
        <f t="shared" si="43"/>
        <v>-14676.099683579982</v>
      </c>
      <c r="N25" s="351">
        <f t="shared" si="43"/>
        <v>-20464.529930065222</v>
      </c>
      <c r="O25" s="351">
        <f t="shared" si="43"/>
        <v>-26905.013853111162</v>
      </c>
      <c r="P25" s="351">
        <f t="shared" si="43"/>
        <v>-15951.385985251029</v>
      </c>
      <c r="Q25" s="309">
        <f t="shared" ref="Q25:Q29" si="44">SUM(J25:P25)</f>
        <v>-147254.58938289926</v>
      </c>
      <c r="S25" s="351">
        <f>K25*(1+$S$23)</f>
        <v>51978.727847252136</v>
      </c>
      <c r="T25" s="351">
        <f>$K$25*(1+T23)</f>
        <v>52234.78069379033</v>
      </c>
      <c r="U25" s="351">
        <f t="shared" ref="U25:X25" si="45">$K$25*(1+U23)</f>
        <v>52490.833540328509</v>
      </c>
      <c r="V25" s="351">
        <f t="shared" si="45"/>
        <v>52746.886386866703</v>
      </c>
      <c r="W25" s="351">
        <f t="shared" si="45"/>
        <v>53002.93923340489</v>
      </c>
      <c r="X25" s="351">
        <f t="shared" si="45"/>
        <v>53258.992079943084</v>
      </c>
      <c r="Z25" s="351">
        <f>S25/($A$25-S23)</f>
        <v>1155082.8410500474</v>
      </c>
      <c r="AA25" s="351">
        <f t="shared" ref="AA25:AE25" si="46">T25/($A$25-T23)</f>
        <v>1305869.5173447584</v>
      </c>
      <c r="AB25" s="351">
        <f t="shared" si="46"/>
        <v>1499738.1011522433</v>
      </c>
      <c r="AC25" s="351">
        <f t="shared" si="46"/>
        <v>1758229.5462288901</v>
      </c>
      <c r="AD25" s="351">
        <f t="shared" si="46"/>
        <v>2120117.5693361959</v>
      </c>
      <c r="AE25" s="351">
        <f t="shared" si="46"/>
        <v>2662949.6039971546</v>
      </c>
      <c r="AG25" s="351">
        <f>Z25/(1+$A$25)^6</f>
        <v>814287.8238792381</v>
      </c>
      <c r="AH25" s="351">
        <f t="shared" ref="AH25:AL25" si="47">AA25/(1+$A$25)^6</f>
        <v>920586.48069106007</v>
      </c>
      <c r="AI25" s="351">
        <f t="shared" si="47"/>
        <v>1057256.1823062594</v>
      </c>
      <c r="AJ25" s="351">
        <f t="shared" si="47"/>
        <v>1239482.4511265252</v>
      </c>
      <c r="AK25" s="351">
        <f t="shared" si="47"/>
        <v>1494599.2274748976</v>
      </c>
      <c r="AL25" s="351">
        <f t="shared" si="47"/>
        <v>1877274.3919974561</v>
      </c>
    </row>
    <row r="26" spans="1:38" x14ac:dyDescent="0.3">
      <c r="A26" s="307">
        <v>7.0000000000000007E-2</v>
      </c>
      <c r="B26" s="307">
        <f>1/(1+$A$26)^1</f>
        <v>0.93457943925233644</v>
      </c>
      <c r="C26" s="307">
        <f>1/(1+$A$26)^2</f>
        <v>0.87343872827321156</v>
      </c>
      <c r="D26" s="307">
        <f>1/(1+$A$26)^3</f>
        <v>0.81629787689085187</v>
      </c>
      <c r="E26" s="307">
        <f>1/(1+$A$26)^4</f>
        <v>0.7628952120475252</v>
      </c>
      <c r="F26" s="307">
        <f>1/(1+$A$26)^5</f>
        <v>0.71298617948366838</v>
      </c>
      <c r="G26" s="307">
        <f>1/(1+$A$26)^6</f>
        <v>0.66634222381651254</v>
      </c>
      <c r="H26" s="307">
        <f>1/(1+$A$26)^7</f>
        <v>0.62274974188459109</v>
      </c>
      <c r="J26" s="351">
        <f>B26*B6</f>
        <v>-109813.40051323622</v>
      </c>
      <c r="K26" s="351">
        <f t="shared" ref="K26:P26" si="48">C26*C6</f>
        <v>50257.835334144103</v>
      </c>
      <c r="L26" s="351">
        <f t="shared" si="48"/>
        <v>-9351.5811439411609</v>
      </c>
      <c r="M26" s="351">
        <f t="shared" si="48"/>
        <v>-14135.103839065714</v>
      </c>
      <c r="N26" s="351">
        <f t="shared" si="48"/>
        <v>-19525.95172536407</v>
      </c>
      <c r="O26" s="351">
        <f t="shared" si="48"/>
        <v>-25431.135126392612</v>
      </c>
      <c r="P26" s="351">
        <f t="shared" si="48"/>
        <v>-14936.644239336103</v>
      </c>
      <c r="Q26" s="309">
        <f t="shared" si="44"/>
        <v>-142935.98125319177</v>
      </c>
      <c r="S26" s="351">
        <f t="shared" ref="S26:S29" si="49">K26*(1+$S$23)</f>
        <v>51011.702864156257</v>
      </c>
      <c r="T26" s="351">
        <f>$K$26*(1+T23)</f>
        <v>51262.99204082699</v>
      </c>
      <c r="U26" s="351">
        <f t="shared" ref="U26:X26" si="50">$K$26*(1+U23)</f>
        <v>51514.281217497701</v>
      </c>
      <c r="V26" s="351">
        <f t="shared" si="50"/>
        <v>51765.570394168426</v>
      </c>
      <c r="W26" s="351">
        <f t="shared" si="50"/>
        <v>52016.859570839144</v>
      </c>
      <c r="X26" s="351">
        <f t="shared" si="50"/>
        <v>52268.148747509869</v>
      </c>
      <c r="Z26" s="351">
        <f>S26/($A$26-S23)</f>
        <v>927485.50662102271</v>
      </c>
      <c r="AA26" s="351">
        <f t="shared" ref="AA26:AE26" si="51">T26/($A$26-T23)</f>
        <v>1025259.8408165397</v>
      </c>
      <c r="AB26" s="351">
        <f t="shared" si="51"/>
        <v>1144761.804833282</v>
      </c>
      <c r="AC26" s="351">
        <f t="shared" si="51"/>
        <v>1294139.2598542103</v>
      </c>
      <c r="AD26" s="351">
        <f t="shared" si="51"/>
        <v>1486195.987738261</v>
      </c>
      <c r="AE26" s="351">
        <f t="shared" si="51"/>
        <v>1742271.6249169954</v>
      </c>
      <c r="AG26" s="351">
        <f>Z26/(1+$A$26)^6</f>
        <v>618022.75503943698</v>
      </c>
      <c r="AH26" s="351">
        <f t="shared" ref="AH26:AL26" si="52">AA26/(1+$A$26)^6</f>
        <v>683173.9223194567</v>
      </c>
      <c r="AI26" s="351">
        <f t="shared" si="52"/>
        <v>762803.12677281362</v>
      </c>
      <c r="AJ26" s="351">
        <f t="shared" si="52"/>
        <v>862339.63233951014</v>
      </c>
      <c r="AK26" s="351">
        <f t="shared" si="52"/>
        <v>990315.13949669118</v>
      </c>
      <c r="AL26" s="351">
        <f t="shared" si="52"/>
        <v>1160949.1490395996</v>
      </c>
    </row>
    <row r="27" spans="1:38" x14ac:dyDescent="0.3">
      <c r="A27" s="306">
        <v>6.9000000000000006E-2</v>
      </c>
      <c r="B27" s="306">
        <f ca="1">'DCF-DDM-RIM'!M4</f>
        <v>0.94016860983848838</v>
      </c>
      <c r="C27" s="306">
        <f ca="1">'DCF-DDM-RIM'!M5</f>
        <v>0.8839170149256359</v>
      </c>
      <c r="D27" s="306">
        <f ca="1">'DCF-DDM-RIM'!M6</f>
        <v>0.83103103113522159</v>
      </c>
      <c r="E27" s="306">
        <f ca="1">'DCF-DDM-RIM'!M7</f>
        <v>0.78130928927504684</v>
      </c>
      <c r="F27" s="306">
        <f ca="1">'DCF-DDM-RIM'!M8</f>
        <v>0.7345624683516182</v>
      </c>
      <c r="G27" s="306">
        <f ca="1">'DCF-DDM-RIM'!M9</f>
        <v>0.69061257470966952</v>
      </c>
      <c r="H27" s="306">
        <f ca="1">'DCF-DDM-RIM'!M10</f>
        <v>0.64929226430176934</v>
      </c>
      <c r="J27" s="357">
        <f ca="1">B27*B6</f>
        <v>-110470.1299493181</v>
      </c>
      <c r="K27" s="357">
        <f t="shared" ref="K27:P27" ca="1" si="53">C27*C6</f>
        <v>50860.757998453504</v>
      </c>
      <c r="L27" s="357">
        <f t="shared" ca="1" si="53"/>
        <v>-9520.3654704999917</v>
      </c>
      <c r="M27" s="357">
        <f t="shared" ca="1" si="53"/>
        <v>-14476.284239206147</v>
      </c>
      <c r="N27" s="357">
        <f t="shared" ca="1" si="53"/>
        <v>-20116.843368106984</v>
      </c>
      <c r="O27" s="357">
        <f t="shared" ca="1" si="53"/>
        <v>-26357.419775733397</v>
      </c>
      <c r="P27" s="357">
        <f t="shared" ca="1" si="53"/>
        <v>-15573.266284911302</v>
      </c>
      <c r="Q27" s="315">
        <f t="shared" ca="1" si="44"/>
        <v>-145653.55108932243</v>
      </c>
      <c r="S27" s="351">
        <f t="shared" ca="1" si="49"/>
        <v>51623.669368430303</v>
      </c>
      <c r="T27" s="351">
        <f ca="1">$K$27*(1+T23)</f>
        <v>51877.973158422574</v>
      </c>
      <c r="U27" s="351">
        <f t="shared" ref="U27:X27" ca="1" si="54">$K$27*(1+U23)</f>
        <v>52132.276948414838</v>
      </c>
      <c r="V27" s="351">
        <f t="shared" ca="1" si="54"/>
        <v>52386.580738407109</v>
      </c>
      <c r="W27" s="351">
        <f t="shared" ca="1" si="54"/>
        <v>52640.884528399372</v>
      </c>
      <c r="X27" s="351">
        <f t="shared" ca="1" si="54"/>
        <v>52895.188318391643</v>
      </c>
      <c r="Z27" s="351">
        <f ca="1">S27/($A$27-S23)</f>
        <v>955993.8771931536</v>
      </c>
      <c r="AA27" s="351">
        <f t="shared" ref="AA27:AE27" ca="1" si="55">T27/($A$27-T23)</f>
        <v>1058734.1460902565</v>
      </c>
      <c r="AB27" s="351">
        <f t="shared" ca="1" si="55"/>
        <v>1184824.476100337</v>
      </c>
      <c r="AC27" s="351">
        <f t="shared" ca="1" si="55"/>
        <v>1343245.6599591563</v>
      </c>
      <c r="AD27" s="351">
        <f t="shared" ca="1" si="55"/>
        <v>1548261.3096588049</v>
      </c>
      <c r="AE27" s="351">
        <f t="shared" ca="1" si="55"/>
        <v>1823972.0109790219</v>
      </c>
      <c r="AG27" s="351">
        <f ca="1">Z27/(1+$A$27)^6</f>
        <v>640602.86924659531</v>
      </c>
      <c r="AH27" s="351">
        <f t="shared" ref="AH27:AL27" ca="1" si="56">AA27/(1+$A$27)^6</f>
        <v>709448.19620191969</v>
      </c>
      <c r="AI27" s="351">
        <f t="shared" ca="1" si="56"/>
        <v>793940.188374363</v>
      </c>
      <c r="AJ27" s="351">
        <f t="shared" ca="1" si="56"/>
        <v>900096.793924356</v>
      </c>
      <c r="AK27" s="351">
        <f t="shared" ca="1" si="56"/>
        <v>1037475.9305184647</v>
      </c>
      <c r="AL27" s="351">
        <f t="shared" ca="1" si="56"/>
        <v>1222227.1831795073</v>
      </c>
    </row>
    <row r="28" spans="1:38" x14ac:dyDescent="0.3">
      <c r="A28" s="307">
        <v>0.08</v>
      </c>
      <c r="B28" s="307">
        <f>1/(1+$A$28)^1</f>
        <v>0.92592592592592582</v>
      </c>
      <c r="C28" s="307">
        <f>1/(1+$A$28)^2</f>
        <v>0.85733882030178321</v>
      </c>
      <c r="D28" s="307">
        <f>1/(1+$A$28)^3</f>
        <v>0.79383224102016958</v>
      </c>
      <c r="E28" s="307">
        <f>1/(1+$A$28)^4</f>
        <v>0.73502985279645328</v>
      </c>
      <c r="F28" s="307">
        <f>1/(1+$A$28)^5</f>
        <v>0.68058319703375303</v>
      </c>
      <c r="G28" s="307">
        <f>1/(1+$A$28)^6</f>
        <v>0.63016962688310452</v>
      </c>
      <c r="H28" s="307">
        <f>1/(1+$A$28)^7</f>
        <v>0.58349039526213387</v>
      </c>
      <c r="J28" s="351">
        <f>B28*B6</f>
        <v>-108796.60976774328</v>
      </c>
      <c r="K28" s="351">
        <f t="shared" ref="K28:P28" si="57">C28*C6</f>
        <v>49331.443479133726</v>
      </c>
      <c r="L28" s="351">
        <f t="shared" si="57"/>
        <v>-9094.2128195310615</v>
      </c>
      <c r="M28" s="351">
        <f t="shared" si="57"/>
        <v>-13618.80783889861</v>
      </c>
      <c r="N28" s="351">
        <f t="shared" si="57"/>
        <v>-18638.558548215733</v>
      </c>
      <c r="O28" s="351">
        <f t="shared" si="57"/>
        <v>-24050.597967547721</v>
      </c>
      <c r="P28" s="351">
        <f t="shared" si="57"/>
        <v>-13995.009335090575</v>
      </c>
      <c r="Q28" s="309">
        <f t="shared" si="44"/>
        <v>-138862.35279789328</v>
      </c>
      <c r="S28" s="351">
        <f t="shared" si="49"/>
        <v>50071.415131320726</v>
      </c>
      <c r="T28" s="351">
        <f>$K$28*(1+T23)</f>
        <v>50318.0723487164</v>
      </c>
      <c r="U28" s="351">
        <f t="shared" ref="U28:X28" si="58">$K$28*(1+U23)</f>
        <v>50564.729566112066</v>
      </c>
      <c r="V28" s="351">
        <f t="shared" si="58"/>
        <v>50811.38678350774</v>
      </c>
      <c r="W28" s="351">
        <f t="shared" si="58"/>
        <v>51058.044000903399</v>
      </c>
      <c r="X28" s="351">
        <f t="shared" si="58"/>
        <v>51304.70121829908</v>
      </c>
      <c r="Z28" s="351">
        <f>S28/($A$28-S23)</f>
        <v>770329.46355878038</v>
      </c>
      <c r="AA28" s="351">
        <f t="shared" ref="AA28:AE28" si="59">T28/($A$28-T23)</f>
        <v>838634.53914527339</v>
      </c>
      <c r="AB28" s="351">
        <f t="shared" si="59"/>
        <v>919358.7193838557</v>
      </c>
      <c r="AC28" s="351">
        <f t="shared" si="59"/>
        <v>1016227.7356701548</v>
      </c>
      <c r="AD28" s="351">
        <f t="shared" si="59"/>
        <v>1134623.2000200755</v>
      </c>
      <c r="AE28" s="351">
        <f t="shared" si="59"/>
        <v>1282617.5304574771</v>
      </c>
      <c r="AG28" s="351">
        <f>Z28/(1+$A$28)^6</f>
        <v>485438.23062789871</v>
      </c>
      <c r="AH28" s="351">
        <f t="shared" ref="AH28:AL28" si="60">AA28/(1+$A$28)^6</f>
        <v>528482.0146244613</v>
      </c>
      <c r="AI28" s="351">
        <f t="shared" si="60"/>
        <v>579351.94116585318</v>
      </c>
      <c r="AJ28" s="351">
        <f t="shared" si="60"/>
        <v>640395.85301552364</v>
      </c>
      <c r="AK28" s="351">
        <f t="shared" si="60"/>
        <v>715005.07860956516</v>
      </c>
      <c r="AL28" s="351">
        <f t="shared" si="60"/>
        <v>808266.61060211738</v>
      </c>
    </row>
    <row r="29" spans="1:38" x14ac:dyDescent="0.3">
      <c r="A29" s="352">
        <v>0.09</v>
      </c>
      <c r="B29" s="307">
        <f>1/(1+$A$29)^1</f>
        <v>0.9174311926605504</v>
      </c>
      <c r="C29" s="307">
        <f>1/(1+$A$29)^2</f>
        <v>0.84167999326655996</v>
      </c>
      <c r="D29" s="307">
        <f>1/(1+$A$29)^3</f>
        <v>0.77218348006106419</v>
      </c>
      <c r="E29" s="307">
        <f>1/(1+$A$29)^4</f>
        <v>0.7084252110651964</v>
      </c>
      <c r="F29" s="307">
        <f>1/(1+$A$29)^5</f>
        <v>0.64993138629834524</v>
      </c>
      <c r="G29" s="307">
        <f>1/(1+$A$29)^6</f>
        <v>0.5962673268792158</v>
      </c>
      <c r="H29" s="307">
        <f>1/(1+$A$29)^7</f>
        <v>0.54703424484331731</v>
      </c>
      <c r="J29" s="351">
        <f>B29*B6</f>
        <v>-107798.47573317683</v>
      </c>
      <c r="K29" s="351">
        <f t="shared" ref="K29:P29" si="61">C29*C6</f>
        <v>48430.431507500696</v>
      </c>
      <c r="L29" s="351">
        <f t="shared" si="61"/>
        <v>-8846.2026868256326</v>
      </c>
      <c r="M29" s="351">
        <f t="shared" si="61"/>
        <v>-13125.870712627813</v>
      </c>
      <c r="N29" s="351">
        <f t="shared" si="61"/>
        <v>-17799.123235250769</v>
      </c>
      <c r="O29" s="351">
        <f t="shared" si="61"/>
        <v>-22756.707318451157</v>
      </c>
      <c r="P29" s="351">
        <f t="shared" si="61"/>
        <v>-13120.609054339433</v>
      </c>
      <c r="Q29" s="309">
        <f t="shared" si="44"/>
        <v>-135016.55723317093</v>
      </c>
      <c r="S29" s="351">
        <f t="shared" si="49"/>
        <v>49156.887980113199</v>
      </c>
      <c r="T29" s="351">
        <f>$K$29*(1+T23)</f>
        <v>49399.040137650714</v>
      </c>
      <c r="U29" s="351">
        <f t="shared" ref="U29:X29" si="62">$K$29*(1+U23)</f>
        <v>49641.192295188208</v>
      </c>
      <c r="V29" s="351">
        <f t="shared" si="62"/>
        <v>49883.344452725716</v>
      </c>
      <c r="W29" s="351">
        <f t="shared" si="62"/>
        <v>50125.496610263217</v>
      </c>
      <c r="X29" s="351">
        <f t="shared" si="62"/>
        <v>50367.648767800725</v>
      </c>
      <c r="Z29" s="351">
        <f>S29/($A$29-S23)</f>
        <v>655425.17306817602</v>
      </c>
      <c r="AA29" s="351">
        <f t="shared" ref="AA29:AE29" si="63">T29/($A$29-T23)</f>
        <v>705700.57339501032</v>
      </c>
      <c r="AB29" s="351">
        <f t="shared" si="63"/>
        <v>763710.65069520322</v>
      </c>
      <c r="AC29" s="351">
        <f t="shared" si="63"/>
        <v>831389.07421209535</v>
      </c>
      <c r="AD29" s="351">
        <f t="shared" si="63"/>
        <v>911372.66564114951</v>
      </c>
      <c r="AE29" s="351">
        <f t="shared" si="63"/>
        <v>1007352.9753560146</v>
      </c>
      <c r="AG29" s="351">
        <f>Z29/(1+$A$29)^6</f>
        <v>390808.6159147087</v>
      </c>
      <c r="AH29" s="351">
        <f t="shared" ref="AH29:AL29" si="64">AA29/(1+$A$29)^6</f>
        <v>420786.19447537267</v>
      </c>
      <c r="AI29" s="351">
        <f t="shared" si="64"/>
        <v>455375.70819921535</v>
      </c>
      <c r="AJ29" s="351">
        <f t="shared" si="64"/>
        <v>495730.14087703207</v>
      </c>
      <c r="AK29" s="351">
        <f t="shared" si="64"/>
        <v>543421.74313263351</v>
      </c>
      <c r="AL29" s="351">
        <f t="shared" si="64"/>
        <v>600651.66583935532</v>
      </c>
    </row>
    <row r="31" spans="1:38" ht="21" customHeight="1" x14ac:dyDescent="0.3">
      <c r="A31" s="644" t="s">
        <v>393</v>
      </c>
      <c r="B31" s="644"/>
      <c r="C31" s="644"/>
      <c r="D31" s="644"/>
      <c r="E31" s="644"/>
      <c r="F31" s="644"/>
      <c r="G31" s="644"/>
      <c r="H31" s="308" t="e" vm="2">
        <v>#VALUE!</v>
      </c>
      <c r="J31" s="643" t="s">
        <v>440</v>
      </c>
      <c r="K31" s="643"/>
      <c r="L31" s="643"/>
      <c r="M31" s="643"/>
      <c r="N31" s="643"/>
      <c r="O31" s="643"/>
      <c r="P31" s="643"/>
      <c r="Q31" s="643"/>
      <c r="S31" s="642" t="s">
        <v>439</v>
      </c>
      <c r="T31" s="642"/>
      <c r="U31" s="642"/>
      <c r="V31" s="642"/>
      <c r="W31" s="642"/>
      <c r="X31" s="642"/>
      <c r="Z31" s="640" t="s">
        <v>446</v>
      </c>
      <c r="AA31" s="640"/>
      <c r="AB31" s="640"/>
      <c r="AC31" s="640"/>
      <c r="AD31" s="640"/>
      <c r="AE31" s="640"/>
      <c r="AG31" s="639" t="s">
        <v>447</v>
      </c>
      <c r="AH31" s="639"/>
      <c r="AI31" s="639"/>
      <c r="AJ31" s="639"/>
      <c r="AK31" s="639"/>
      <c r="AL31" s="639"/>
    </row>
    <row r="32" spans="1:38" ht="28.8" x14ac:dyDescent="0.3">
      <c r="A32" s="353" t="s">
        <v>380</v>
      </c>
      <c r="B32" s="354" t="s">
        <v>335</v>
      </c>
      <c r="C32" s="354" t="s">
        <v>432</v>
      </c>
      <c r="D32" s="354" t="s">
        <v>433</v>
      </c>
      <c r="E32" s="354" t="s">
        <v>434</v>
      </c>
      <c r="F32" s="354" t="s">
        <v>435</v>
      </c>
      <c r="G32" s="354" t="s">
        <v>436</v>
      </c>
      <c r="H32" s="354" t="s">
        <v>437</v>
      </c>
      <c r="J32" s="354" t="s">
        <v>335</v>
      </c>
      <c r="K32" s="354" t="s">
        <v>432</v>
      </c>
      <c r="L32" s="354" t="s">
        <v>433</v>
      </c>
      <c r="M32" s="354" t="s">
        <v>434</v>
      </c>
      <c r="N32" s="354" t="s">
        <v>435</v>
      </c>
      <c r="O32" s="354" t="s">
        <v>436</v>
      </c>
      <c r="P32" s="354" t="s">
        <v>437</v>
      </c>
      <c r="Q32" s="300" t="s">
        <v>438</v>
      </c>
      <c r="S32" s="358">
        <v>1.4999999999999999E-2</v>
      </c>
      <c r="T32" s="359">
        <v>0.02</v>
      </c>
      <c r="U32" s="359">
        <v>2.5000000000000001E-2</v>
      </c>
      <c r="V32" s="359">
        <v>0.03</v>
      </c>
      <c r="W32" s="359">
        <v>3.5000000000000003E-2</v>
      </c>
      <c r="X32" s="359">
        <v>0.04</v>
      </c>
      <c r="Z32" s="640"/>
      <c r="AA32" s="640"/>
      <c r="AB32" s="640"/>
      <c r="AC32" s="640"/>
      <c r="AD32" s="640"/>
      <c r="AE32" s="640"/>
      <c r="AG32" s="639"/>
      <c r="AH32" s="639"/>
      <c r="AI32" s="639"/>
      <c r="AJ32" s="639"/>
      <c r="AK32" s="639"/>
      <c r="AL32" s="639"/>
    </row>
    <row r="33" spans="1:38" x14ac:dyDescent="0.3">
      <c r="A33" s="307">
        <v>5.5E-2</v>
      </c>
      <c r="B33" s="307">
        <f>B15</f>
        <v>0.94786729857819907</v>
      </c>
      <c r="C33" s="307">
        <f t="shared" ref="C33:H33" si="65">C15</f>
        <v>0.89845241571393286</v>
      </c>
      <c r="D33" s="307">
        <f t="shared" si="65"/>
        <v>0.85161366418382267</v>
      </c>
      <c r="E33" s="307">
        <f t="shared" si="65"/>
        <v>0.80721674330220161</v>
      </c>
      <c r="F33" s="307">
        <f t="shared" si="65"/>
        <v>0.76513435384094941</v>
      </c>
      <c r="G33" s="307">
        <f t="shared" si="65"/>
        <v>0.72524583302459655</v>
      </c>
      <c r="H33" s="307">
        <f t="shared" si="65"/>
        <v>0.68743680855412004</v>
      </c>
      <c r="J33" s="351">
        <f>B33*B7</f>
        <v>-5308.778528719703</v>
      </c>
      <c r="K33" s="351">
        <f t="shared" ref="K33:P33" si="66">C33*C7</f>
        <v>56486.71691214561</v>
      </c>
      <c r="L33" s="351">
        <f t="shared" si="66"/>
        <v>23063.409759956616</v>
      </c>
      <c r="M33" s="351">
        <f t="shared" si="66"/>
        <v>26624.993140732298</v>
      </c>
      <c r="N33" s="351">
        <f t="shared" si="66"/>
        <v>30791.693013911849</v>
      </c>
      <c r="O33" s="351">
        <f t="shared" si="66"/>
        <v>35627.667822517375</v>
      </c>
      <c r="P33" s="351">
        <f t="shared" si="66"/>
        <v>41203.964358321013</v>
      </c>
      <c r="Q33" s="309">
        <f>SUM(J33:P33)</f>
        <v>208489.66647886505</v>
      </c>
      <c r="S33" s="351">
        <f>O33*(1+$S$32)</f>
        <v>36162.082839855131</v>
      </c>
      <c r="T33" s="351">
        <f>O33*(1+$T$32)</f>
        <v>36340.221178967724</v>
      </c>
      <c r="U33" s="351">
        <f>O33*(1+$U$32)</f>
        <v>36518.359518080302</v>
      </c>
      <c r="V33" s="351">
        <f>O33*(1+$V$32)</f>
        <v>36696.497857192895</v>
      </c>
      <c r="W33" s="351">
        <f>O33*(1+$W$32)</f>
        <v>36874.636196305481</v>
      </c>
      <c r="X33" s="351">
        <f>O33*(1+$X$32)</f>
        <v>37052.774535418073</v>
      </c>
      <c r="Z33" s="351">
        <f>S33/($A$33-S32)</f>
        <v>904052.07099637832</v>
      </c>
      <c r="AA33" s="351">
        <f t="shared" ref="AA33:AE33" si="67">T33/($A$33-T32)</f>
        <v>1038292.033684792</v>
      </c>
      <c r="AB33" s="351">
        <f t="shared" si="67"/>
        <v>1217278.6506026767</v>
      </c>
      <c r="AC33" s="351">
        <f t="shared" si="67"/>
        <v>1467859.9142877157</v>
      </c>
      <c r="AD33" s="351">
        <f t="shared" si="67"/>
        <v>1843731.8098152743</v>
      </c>
      <c r="AE33" s="351">
        <f t="shared" si="67"/>
        <v>2470184.9690278717</v>
      </c>
      <c r="AG33" s="351">
        <f>Z33/(1+$A$33)^5</f>
        <v>691721.29718038603</v>
      </c>
      <c r="AH33" s="351">
        <f t="shared" ref="AH33:AL33" si="68">AA33/(1+$A$33)^5</f>
        <v>794432.90429161862</v>
      </c>
      <c r="AI33" s="351">
        <f t="shared" si="68"/>
        <v>931381.71377326187</v>
      </c>
      <c r="AJ33" s="351">
        <f t="shared" si="68"/>
        <v>1123110.0470475627</v>
      </c>
      <c r="AK33" s="351">
        <f t="shared" si="68"/>
        <v>1410702.5469590141</v>
      </c>
      <c r="AL33" s="351">
        <f t="shared" si="68"/>
        <v>1890023.3801447663</v>
      </c>
    </row>
    <row r="34" spans="1:38" x14ac:dyDescent="0.3">
      <c r="A34" s="307">
        <v>6.5000000000000002E-2</v>
      </c>
      <c r="B34" s="307">
        <f>B16</f>
        <v>0.93896713615023475</v>
      </c>
      <c r="C34" s="307">
        <f t="shared" ref="C34:H34" si="69">C16</f>
        <v>0.88165928277017358</v>
      </c>
      <c r="D34" s="307">
        <f t="shared" si="69"/>
        <v>0.82784909180297994</v>
      </c>
      <c r="E34" s="307">
        <f t="shared" si="69"/>
        <v>0.77732309089481699</v>
      </c>
      <c r="F34" s="307">
        <f t="shared" si="69"/>
        <v>0.72988083652095492</v>
      </c>
      <c r="G34" s="307">
        <f t="shared" si="69"/>
        <v>0.68533411879901873</v>
      </c>
      <c r="H34" s="307">
        <f t="shared" si="69"/>
        <v>0.64350621483475945</v>
      </c>
      <c r="J34" s="351">
        <f>B34*B7</f>
        <v>-5258.9308430040246</v>
      </c>
      <c r="K34" s="351">
        <f t="shared" ref="K34:P34" si="70">C34*C7</f>
        <v>55430.913699786965</v>
      </c>
      <c r="L34" s="351">
        <f t="shared" si="70"/>
        <v>22419.817373360976</v>
      </c>
      <c r="M34" s="351">
        <f t="shared" si="70"/>
        <v>25638.989942827768</v>
      </c>
      <c r="N34" s="351">
        <f t="shared" si="70"/>
        <v>29372.967691321584</v>
      </c>
      <c r="O34" s="351">
        <f t="shared" si="70"/>
        <v>33667.006717129261</v>
      </c>
      <c r="P34" s="351">
        <f t="shared" si="70"/>
        <v>38570.828344467445</v>
      </c>
      <c r="Q34" s="309">
        <f t="shared" ref="Q34:Q37" si="71">SUM(J34:P34)</f>
        <v>199841.59292588997</v>
      </c>
      <c r="S34" s="351">
        <f t="shared" ref="S34:S37" si="72">O34*(1+$S$32)</f>
        <v>34172.011817886196</v>
      </c>
      <c r="T34" s="351">
        <f t="shared" ref="T34:T37" si="73">O34*(1+$T$32)</f>
        <v>34340.346851471848</v>
      </c>
      <c r="U34" s="351">
        <f t="shared" ref="U34:U37" si="74">O34*(1+$U$32)</f>
        <v>34508.681885057493</v>
      </c>
      <c r="V34" s="351">
        <f t="shared" ref="V34:V37" si="75">O34*(1+$V$32)</f>
        <v>34677.016918643138</v>
      </c>
      <c r="W34" s="351">
        <f t="shared" ref="W34:W37" si="76">O34*(1+$W$32)</f>
        <v>34845.351952228782</v>
      </c>
      <c r="X34" s="351">
        <f t="shared" ref="X34:X37" si="77">O34*(1+$X$32)</f>
        <v>35013.686985814435</v>
      </c>
      <c r="Z34" s="351">
        <f>S34/($A$34-S32)</f>
        <v>683440.23635772383</v>
      </c>
      <c r="AA34" s="351">
        <f t="shared" ref="AA34:AE34" si="78">T34/($A$34-T32)</f>
        <v>763118.81892159663</v>
      </c>
      <c r="AB34" s="351">
        <f t="shared" si="78"/>
        <v>862717.0471264373</v>
      </c>
      <c r="AC34" s="351">
        <f t="shared" si="78"/>
        <v>990771.91196123243</v>
      </c>
      <c r="AD34" s="351">
        <f t="shared" si="78"/>
        <v>1161511.7317409595</v>
      </c>
      <c r="AE34" s="351">
        <f t="shared" si="78"/>
        <v>1400547.4794325773</v>
      </c>
      <c r="AG34" s="351">
        <f>Z34/(1+$A$34)^5</f>
        <v>498829.93142485456</v>
      </c>
      <c r="AH34" s="351">
        <f t="shared" ref="AH34:AL34" si="79">AA34/(1+$A$34)^5</f>
        <v>556985.80191937799</v>
      </c>
      <c r="AI34" s="351">
        <f t="shared" si="79"/>
        <v>629680.64003753208</v>
      </c>
      <c r="AJ34" s="351">
        <f t="shared" si="79"/>
        <v>723145.43190373015</v>
      </c>
      <c r="AK34" s="351">
        <f t="shared" si="79"/>
        <v>847765.15439199447</v>
      </c>
      <c r="AL34" s="351">
        <f t="shared" si="79"/>
        <v>1022232.7658755643</v>
      </c>
    </row>
    <row r="35" spans="1:38" x14ac:dyDescent="0.3">
      <c r="A35" s="307">
        <v>7.4999999999999997E-2</v>
      </c>
      <c r="B35" s="307">
        <f>B17</f>
        <v>0.93023255813953487</v>
      </c>
      <c r="C35" s="307">
        <f t="shared" ref="C35:H35" si="80">C17</f>
        <v>0.86533261222282321</v>
      </c>
      <c r="D35" s="307">
        <f t="shared" si="80"/>
        <v>0.80496056950960304</v>
      </c>
      <c r="E35" s="307">
        <f t="shared" si="80"/>
        <v>0.7488005297763749</v>
      </c>
      <c r="F35" s="307">
        <f t="shared" si="80"/>
        <v>0.69655863235011617</v>
      </c>
      <c r="G35" s="307">
        <f t="shared" si="80"/>
        <v>0.64796151846522443</v>
      </c>
      <c r="H35" s="307">
        <f t="shared" si="80"/>
        <v>0.60275490089788319</v>
      </c>
      <c r="J35" s="351">
        <f>B35*B7</f>
        <v>-5210.0105560923594</v>
      </c>
      <c r="K35" s="351">
        <f t="shared" ref="K35:P35" si="81">C35*C7</f>
        <v>54404.437504502639</v>
      </c>
      <c r="L35" s="351">
        <f t="shared" si="81"/>
        <v>21799.950183984703</v>
      </c>
      <c r="M35" s="351">
        <f t="shared" si="81"/>
        <v>24698.210405688838</v>
      </c>
      <c r="N35" s="351">
        <f t="shared" si="81"/>
        <v>28031.965191270923</v>
      </c>
      <c r="O35" s="351">
        <f t="shared" si="81"/>
        <v>31831.079463603124</v>
      </c>
      <c r="P35" s="351">
        <f t="shared" si="81"/>
        <v>36128.253745441434</v>
      </c>
      <c r="Q35" s="309">
        <f t="shared" si="71"/>
        <v>191683.8859383993</v>
      </c>
      <c r="S35" s="351">
        <f t="shared" si="72"/>
        <v>32308.545655557169</v>
      </c>
      <c r="T35" s="351">
        <f t="shared" si="73"/>
        <v>32467.701052875189</v>
      </c>
      <c r="U35" s="351">
        <f t="shared" si="74"/>
        <v>32626.856450193198</v>
      </c>
      <c r="V35" s="351">
        <f t="shared" si="75"/>
        <v>32786.011847511218</v>
      </c>
      <c r="W35" s="351">
        <f t="shared" si="76"/>
        <v>32945.16724482923</v>
      </c>
      <c r="X35" s="351">
        <f t="shared" si="77"/>
        <v>33104.32264214725</v>
      </c>
      <c r="Z35" s="351">
        <f>S35/($A$35-S32)</f>
        <v>538475.76092595281</v>
      </c>
      <c r="AA35" s="351">
        <f t="shared" ref="AA35:AE35" si="82">T35/($A$35-T32)</f>
        <v>590321.83732500346</v>
      </c>
      <c r="AB35" s="351">
        <f t="shared" si="82"/>
        <v>652537.12900386401</v>
      </c>
      <c r="AC35" s="351">
        <f t="shared" si="82"/>
        <v>728578.04105580482</v>
      </c>
      <c r="AD35" s="351">
        <f t="shared" si="82"/>
        <v>823629.18112073094</v>
      </c>
      <c r="AE35" s="351">
        <f t="shared" si="82"/>
        <v>945837.78977563581</v>
      </c>
      <c r="AG35" s="351">
        <f>Z35/(1+$A$35)^5</f>
        <v>375079.93958426983</v>
      </c>
      <c r="AH35" s="351">
        <f t="shared" ref="AH35:AL35" si="83">AA35/(1+$A$35)^5</f>
        <v>411193.77165351214</v>
      </c>
      <c r="AI35" s="351">
        <f t="shared" si="83"/>
        <v>454530.37013660284</v>
      </c>
      <c r="AJ35" s="351">
        <f t="shared" si="83"/>
        <v>507497.32383815816</v>
      </c>
      <c r="AK35" s="351">
        <f t="shared" si="83"/>
        <v>573706.01596510247</v>
      </c>
      <c r="AL35" s="351">
        <f t="shared" si="83"/>
        <v>658831.47727117362</v>
      </c>
    </row>
    <row r="36" spans="1:38" s="347" customFormat="1" x14ac:dyDescent="0.3">
      <c r="A36" s="306">
        <v>7.6999999999999999E-2</v>
      </c>
      <c r="B36" s="306">
        <f ca="1">'DCF-DDM-RIM'!W4</f>
        <v>0.93307474721838768</v>
      </c>
      <c r="C36" s="306">
        <f ca="1">'DCF-DDM-RIM'!W5</f>
        <v>0.87062848389665792</v>
      </c>
      <c r="D36" s="306">
        <f ca="1">'DCF-DDM-RIM'!W6</f>
        <v>0.81236145253300218</v>
      </c>
      <c r="E36" s="306">
        <f ca="1">'DCF-DDM-RIM'!W7</f>
        <v>0.75799395697219318</v>
      </c>
      <c r="F36" s="306">
        <f ca="1">'DCF-DDM-RIM'!W8</f>
        <v>0.70726501979489453</v>
      </c>
      <c r="G36" s="306">
        <f ca="1">'DCF-DDM-RIM'!W9</f>
        <v>0.65993112956152911</v>
      </c>
      <c r="H36" s="306">
        <f ca="1">'DCF-DDM-RIM'!W10</f>
        <v>0.61576507189716889</v>
      </c>
      <c r="J36" s="357">
        <f ca="1">B36*B7</f>
        <v>-5225.9289788283349</v>
      </c>
      <c r="K36" s="357">
        <f t="shared" ref="K36:P36" ca="1" si="84">C36*C7</f>
        <v>54737.394930862552</v>
      </c>
      <c r="L36" s="357">
        <f t="shared" ca="1" si="84"/>
        <v>22000.380971949748</v>
      </c>
      <c r="M36" s="357">
        <f t="shared" ca="1" si="84"/>
        <v>25001.443630296082</v>
      </c>
      <c r="N36" s="357">
        <f t="shared" ca="1" si="84"/>
        <v>28462.827815374381</v>
      </c>
      <c r="O36" s="357">
        <f t="shared" ca="1" si="84"/>
        <v>32419.086052107574</v>
      </c>
      <c r="P36" s="357">
        <f t="shared" ca="1" si="84"/>
        <v>36908.064508379401</v>
      </c>
      <c r="Q36" s="315">
        <f t="shared" ca="1" si="71"/>
        <v>194303.26893014141</v>
      </c>
      <c r="S36" s="351">
        <f t="shared" ca="1" si="72"/>
        <v>32905.372342889183</v>
      </c>
      <c r="T36" s="351">
        <f t="shared" ca="1" si="73"/>
        <v>33067.467773149729</v>
      </c>
      <c r="U36" s="351">
        <f t="shared" ca="1" si="74"/>
        <v>33229.56320341026</v>
      </c>
      <c r="V36" s="351">
        <f t="shared" ca="1" si="75"/>
        <v>33391.658633670799</v>
      </c>
      <c r="W36" s="351">
        <f t="shared" ca="1" si="76"/>
        <v>33553.754063931337</v>
      </c>
      <c r="X36" s="351">
        <f t="shared" ca="1" si="77"/>
        <v>33715.849494191876</v>
      </c>
      <c r="Z36" s="351">
        <f ca="1">S36/($A$36-S32)</f>
        <v>530731.8119820836</v>
      </c>
      <c r="AA36" s="351">
        <f t="shared" ref="AA36:AE36" ca="1" si="85">T36/($A$36-T32)</f>
        <v>580131.01356403041</v>
      </c>
      <c r="AB36" s="351">
        <f t="shared" ca="1" si="85"/>
        <v>639030.06160404347</v>
      </c>
      <c r="AC36" s="351">
        <f t="shared" ca="1" si="85"/>
        <v>710460.82199299568</v>
      </c>
      <c r="AD36" s="351">
        <f t="shared" ca="1" si="85"/>
        <v>798898.90628407954</v>
      </c>
      <c r="AE36" s="351">
        <f t="shared" ca="1" si="85"/>
        <v>911239.17551869946</v>
      </c>
      <c r="AG36" s="351">
        <f ca="1">Z36/(1+$A$36)^5</f>
        <v>366265.99824898702</v>
      </c>
      <c r="AH36" s="351">
        <f t="shared" ref="AH36:AL36" ca="1" si="86">AA36/(1+$A$36)^5</f>
        <v>400357.12953532016</v>
      </c>
      <c r="AI36" s="351">
        <f t="shared" ca="1" si="86"/>
        <v>441004.24760748626</v>
      </c>
      <c r="AJ36" s="351">
        <f t="shared" ca="1" si="86"/>
        <v>490299.68867373042</v>
      </c>
      <c r="AK36" s="351">
        <f t="shared" ca="1" si="86"/>
        <v>551332.13951765187</v>
      </c>
      <c r="AL36" s="351">
        <f t="shared" ca="1" si="86"/>
        <v>628859.84734641691</v>
      </c>
    </row>
    <row r="37" spans="1:38" x14ac:dyDescent="0.3">
      <c r="A37" s="307">
        <v>0.09</v>
      </c>
      <c r="B37" s="307">
        <f>B29</f>
        <v>0.9174311926605504</v>
      </c>
      <c r="C37" s="307">
        <f t="shared" ref="C37:H37" si="87">C29</f>
        <v>0.84167999326655996</v>
      </c>
      <c r="D37" s="307">
        <f t="shared" si="87"/>
        <v>0.77218348006106419</v>
      </c>
      <c r="E37" s="307">
        <f t="shared" si="87"/>
        <v>0.7084252110651964</v>
      </c>
      <c r="F37" s="307">
        <f t="shared" si="87"/>
        <v>0.64993138629834524</v>
      </c>
      <c r="G37" s="307">
        <f t="shared" si="87"/>
        <v>0.5962673268792158</v>
      </c>
      <c r="H37" s="307">
        <f t="shared" si="87"/>
        <v>0.54703424484331731</v>
      </c>
      <c r="J37" s="351">
        <f>B37*B7</f>
        <v>-5138.3131631186106</v>
      </c>
      <c r="K37" s="351">
        <f t="shared" ref="K37:P37" si="88">C37*C7</f>
        <v>52917.37066841247</v>
      </c>
      <c r="L37" s="351">
        <f t="shared" si="88"/>
        <v>20912.280720138213</v>
      </c>
      <c r="M37" s="351">
        <f t="shared" si="88"/>
        <v>23366.483093712657</v>
      </c>
      <c r="N37" s="351">
        <f t="shared" si="88"/>
        <v>26155.521087953726</v>
      </c>
      <c r="O37" s="351">
        <f t="shared" si="88"/>
        <v>29291.604705783418</v>
      </c>
      <c r="P37" s="351">
        <f t="shared" si="88"/>
        <v>32788.438510753076</v>
      </c>
      <c r="Q37" s="309">
        <f t="shared" si="71"/>
        <v>180293.38562363494</v>
      </c>
      <c r="S37" s="351">
        <f t="shared" si="72"/>
        <v>29730.978776370168</v>
      </c>
      <c r="T37" s="351">
        <f t="shared" si="73"/>
        <v>29877.436799899086</v>
      </c>
      <c r="U37" s="351">
        <f t="shared" si="74"/>
        <v>30023.894823428</v>
      </c>
      <c r="V37" s="351">
        <f t="shared" si="75"/>
        <v>30170.352846956921</v>
      </c>
      <c r="W37" s="351">
        <f t="shared" si="76"/>
        <v>30316.810870485835</v>
      </c>
      <c r="X37" s="351">
        <f t="shared" si="77"/>
        <v>30463.268894014756</v>
      </c>
      <c r="Z37" s="351">
        <f>S37/($A$37-S32)</f>
        <v>396413.05035160226</v>
      </c>
      <c r="AA37" s="351">
        <f t="shared" ref="AA37:AE37" si="89">T37/($A$37-T32)</f>
        <v>426820.5257128441</v>
      </c>
      <c r="AB37" s="351">
        <f t="shared" si="89"/>
        <v>461906.0742065846</v>
      </c>
      <c r="AC37" s="351">
        <f t="shared" si="89"/>
        <v>502839.21411594871</v>
      </c>
      <c r="AD37" s="351">
        <f t="shared" si="89"/>
        <v>551214.74309974257</v>
      </c>
      <c r="AE37" s="351">
        <f t="shared" si="89"/>
        <v>609265.37788029516</v>
      </c>
      <c r="AG37" s="351">
        <f>Z37/(1+$A$37)^5</f>
        <v>257641.2833617726</v>
      </c>
      <c r="AH37" s="351">
        <f t="shared" ref="AH37:AL37" si="90">AA37/(1+$A$37)^5</f>
        <v>277404.05597713729</v>
      </c>
      <c r="AI37" s="351">
        <f t="shared" si="90"/>
        <v>300207.25514871191</v>
      </c>
      <c r="AJ37" s="351">
        <f t="shared" si="90"/>
        <v>326810.987515549</v>
      </c>
      <c r="AK37" s="351">
        <f t="shared" si="90"/>
        <v>358251.76213090192</v>
      </c>
      <c r="AL37" s="351">
        <f t="shared" si="90"/>
        <v>395980.6916693254</v>
      </c>
    </row>
    <row r="39" spans="1:38" ht="21" customHeight="1" x14ac:dyDescent="0.3">
      <c r="A39" s="644" t="s">
        <v>393</v>
      </c>
      <c r="B39" s="644"/>
      <c r="C39" s="644"/>
      <c r="D39" s="644"/>
      <c r="E39" s="644"/>
      <c r="F39" s="644"/>
      <c r="G39" s="644"/>
      <c r="H39" s="308" t="e" vm="4">
        <v>#VALUE!</v>
      </c>
      <c r="J39" s="643" t="s">
        <v>440</v>
      </c>
      <c r="K39" s="643"/>
      <c r="L39" s="643"/>
      <c r="M39" s="643"/>
      <c r="N39" s="643"/>
      <c r="O39" s="643"/>
      <c r="P39" s="643"/>
      <c r="Q39" s="643"/>
      <c r="S39" s="642" t="s">
        <v>439</v>
      </c>
      <c r="T39" s="642"/>
      <c r="U39" s="642"/>
      <c r="V39" s="642"/>
      <c r="W39" s="642"/>
      <c r="X39" s="642"/>
      <c r="Z39" s="640" t="s">
        <v>446</v>
      </c>
      <c r="AA39" s="640"/>
      <c r="AB39" s="640"/>
      <c r="AC39" s="640"/>
      <c r="AD39" s="640"/>
      <c r="AE39" s="640"/>
      <c r="AG39" s="639" t="s">
        <v>447</v>
      </c>
      <c r="AH39" s="639"/>
      <c r="AI39" s="639"/>
      <c r="AJ39" s="639"/>
      <c r="AK39" s="639"/>
      <c r="AL39" s="639"/>
    </row>
    <row r="40" spans="1:38" ht="28.8" x14ac:dyDescent="0.3">
      <c r="A40" s="353" t="s">
        <v>380</v>
      </c>
      <c r="B40" s="354" t="s">
        <v>335</v>
      </c>
      <c r="C40" s="354" t="s">
        <v>432</v>
      </c>
      <c r="D40" s="354" t="s">
        <v>433</v>
      </c>
      <c r="E40" s="354" t="s">
        <v>434</v>
      </c>
      <c r="F40" s="354" t="s">
        <v>435</v>
      </c>
      <c r="G40" s="354" t="s">
        <v>436</v>
      </c>
      <c r="H40" s="354" t="s">
        <v>437</v>
      </c>
      <c r="J40" s="354" t="s">
        <v>335</v>
      </c>
      <c r="K40" s="354" t="s">
        <v>432</v>
      </c>
      <c r="L40" s="354" t="s">
        <v>433</v>
      </c>
      <c r="M40" s="354" t="s">
        <v>434</v>
      </c>
      <c r="N40" s="354" t="s">
        <v>435</v>
      </c>
      <c r="O40" s="354" t="s">
        <v>436</v>
      </c>
      <c r="P40" s="354" t="s">
        <v>437</v>
      </c>
      <c r="Q40" s="300" t="s">
        <v>438</v>
      </c>
      <c r="S40" s="358">
        <v>1.4999999999999999E-2</v>
      </c>
      <c r="T40" s="359">
        <v>0.02</v>
      </c>
      <c r="U40" s="359">
        <v>2.5000000000000001E-2</v>
      </c>
      <c r="V40" s="359">
        <v>0.03</v>
      </c>
      <c r="W40" s="359">
        <v>3.5000000000000003E-2</v>
      </c>
      <c r="X40" s="359">
        <v>0.04</v>
      </c>
      <c r="Z40" s="640"/>
      <c r="AA40" s="640"/>
      <c r="AB40" s="640"/>
      <c r="AC40" s="640"/>
      <c r="AD40" s="640"/>
      <c r="AE40" s="640"/>
      <c r="AG40" s="639"/>
      <c r="AH40" s="639"/>
      <c r="AI40" s="639"/>
      <c r="AJ40" s="639"/>
      <c r="AK40" s="639"/>
      <c r="AL40" s="639"/>
    </row>
    <row r="41" spans="1:38" x14ac:dyDescent="0.3">
      <c r="A41" s="307">
        <v>0.06</v>
      </c>
      <c r="B41" s="307">
        <f>B25</f>
        <v>0.94339622641509424</v>
      </c>
      <c r="C41" s="307">
        <f t="shared" ref="C41:H41" si="91">C25</f>
        <v>0.88999644001423983</v>
      </c>
      <c r="D41" s="307">
        <f t="shared" si="91"/>
        <v>0.8396192830323016</v>
      </c>
      <c r="E41" s="307">
        <f t="shared" si="91"/>
        <v>0.79209366323802044</v>
      </c>
      <c r="F41" s="307">
        <f t="shared" si="91"/>
        <v>0.74725817286605689</v>
      </c>
      <c r="G41" s="307">
        <f t="shared" si="91"/>
        <v>0.70496054043967626</v>
      </c>
      <c r="H41" s="307">
        <f t="shared" si="91"/>
        <v>0.66505711362233599</v>
      </c>
      <c r="J41" s="351">
        <f>B41*B8</f>
        <v>22903.180415899384</v>
      </c>
      <c r="K41" s="351">
        <f t="shared" ref="K41:P41" si="92">C41*C8</f>
        <v>897.85709015425357</v>
      </c>
      <c r="L41" s="351">
        <f t="shared" si="92"/>
        <v>22072.389034472701</v>
      </c>
      <c r="M41" s="351">
        <f t="shared" si="92"/>
        <v>19722.401707898971</v>
      </c>
      <c r="N41" s="351">
        <f t="shared" si="92"/>
        <v>17090.188013559702</v>
      </c>
      <c r="O41" s="351">
        <f t="shared" si="92"/>
        <v>14153.314957605486</v>
      </c>
      <c r="P41" s="351">
        <f t="shared" si="92"/>
        <v>10887.786877064151</v>
      </c>
      <c r="Q41" s="309">
        <f>SUM(J41:P41)</f>
        <v>107727.11809665465</v>
      </c>
      <c r="S41" s="351">
        <f>P41*(1+$S$40)</f>
        <v>11051.103680220112</v>
      </c>
      <c r="T41" s="351">
        <f>P41*(1+$T$40)</f>
        <v>11105.542614605434</v>
      </c>
      <c r="U41" s="351">
        <f>P41*(1+$U$40)</f>
        <v>11159.981548990754</v>
      </c>
      <c r="V41" s="351">
        <f>P41*(1+$V$40)</f>
        <v>11214.420483376076</v>
      </c>
      <c r="W41" s="351">
        <f>P41*(1+$W$40)</f>
        <v>11268.859417761396</v>
      </c>
      <c r="X41" s="351">
        <f>P41*(1+$X$40)</f>
        <v>11323.298352146718</v>
      </c>
      <c r="Z41" s="351">
        <f>S41/($A$41-S40)</f>
        <v>245580.08178266918</v>
      </c>
      <c r="AA41" s="351">
        <f t="shared" ref="AA41:AE41" si="93">T41/($A$41-T40)</f>
        <v>277638.5653651359</v>
      </c>
      <c r="AB41" s="351">
        <f t="shared" si="93"/>
        <v>318856.61568545015</v>
      </c>
      <c r="AC41" s="351">
        <f t="shared" si="93"/>
        <v>373814.0161125359</v>
      </c>
      <c r="AD41" s="351">
        <f t="shared" si="93"/>
        <v>450754.37671045592</v>
      </c>
      <c r="AE41" s="351">
        <f t="shared" si="93"/>
        <v>566164.91760733596</v>
      </c>
      <c r="AG41" s="351">
        <f>Z41/(1+$A$41)^6</f>
        <v>173124.26717473037</v>
      </c>
      <c r="AH41" s="351">
        <f t="shared" ref="AH41:AL41" si="94">AA41/(1+$A$41)^6</f>
        <v>195724.23308670259</v>
      </c>
      <c r="AI41" s="351">
        <f t="shared" si="94"/>
        <v>224781.33211638109</v>
      </c>
      <c r="AJ41" s="351">
        <f t="shared" si="94"/>
        <v>263524.13082261919</v>
      </c>
      <c r="AK41" s="351">
        <f t="shared" si="94"/>
        <v>317764.04901135241</v>
      </c>
      <c r="AL41" s="351">
        <f t="shared" si="94"/>
        <v>399123.92629445234</v>
      </c>
    </row>
    <row r="42" spans="1:38" x14ac:dyDescent="0.3">
      <c r="A42" s="307">
        <v>7.0000000000000007E-2</v>
      </c>
      <c r="B42" s="307">
        <f>B26</f>
        <v>0.93457943925233644</v>
      </c>
      <c r="C42" s="307">
        <f t="shared" ref="C42:H42" si="95">C26</f>
        <v>0.87343872827321156</v>
      </c>
      <c r="D42" s="307">
        <f t="shared" si="95"/>
        <v>0.81629787689085187</v>
      </c>
      <c r="E42" s="307">
        <f t="shared" si="95"/>
        <v>0.7628952120475252</v>
      </c>
      <c r="F42" s="307">
        <f t="shared" si="95"/>
        <v>0.71298617948366838</v>
      </c>
      <c r="G42" s="307">
        <f t="shared" si="95"/>
        <v>0.66634222381651254</v>
      </c>
      <c r="H42" s="307">
        <f t="shared" si="95"/>
        <v>0.62274974188459109</v>
      </c>
      <c r="J42" s="351">
        <f>B42*B8</f>
        <v>22689.132000797523</v>
      </c>
      <c r="K42" s="351">
        <f t="shared" ref="K42:P42" si="96">C42*C8</f>
        <v>881.15313695285124</v>
      </c>
      <c r="L42" s="351">
        <f t="shared" si="96"/>
        <v>21459.302651646954</v>
      </c>
      <c r="M42" s="351">
        <f t="shared" si="96"/>
        <v>18995.38720146631</v>
      </c>
      <c r="N42" s="351">
        <f t="shared" si="96"/>
        <v>16306.369472963452</v>
      </c>
      <c r="O42" s="351">
        <f t="shared" si="96"/>
        <v>13377.984755493359</v>
      </c>
      <c r="P42" s="351">
        <f t="shared" si="96"/>
        <v>10195.164187412158</v>
      </c>
      <c r="Q42" s="309">
        <f t="shared" ref="Q42:Q46" si="97">SUM(J42:P42)</f>
        <v>103904.4934067326</v>
      </c>
      <c r="S42" s="351">
        <f t="shared" ref="S42:S46" si="98">P42*(1+$S$40)</f>
        <v>10348.091650223339</v>
      </c>
      <c r="T42" s="351">
        <f t="shared" ref="T42:T46" si="99">P42*(1+$T$40)</f>
        <v>10399.067471160401</v>
      </c>
      <c r="U42" s="351">
        <f t="shared" ref="U42:U46" si="100">P42*(1+$U$40)</f>
        <v>10450.043292097462</v>
      </c>
      <c r="V42" s="351">
        <f t="shared" ref="V42:V46" si="101">P42*(1+$V$40)</f>
        <v>10501.019113034523</v>
      </c>
      <c r="W42" s="351">
        <f t="shared" ref="W42:W46" si="102">P42*(1+$W$40)</f>
        <v>10551.994933971582</v>
      </c>
      <c r="X42" s="351">
        <f t="shared" ref="X42:X46" si="103">P42*(1+$X$40)</f>
        <v>10602.970754908645</v>
      </c>
      <c r="Z42" s="351">
        <f>S42/($A$42-S40)</f>
        <v>188147.12091315159</v>
      </c>
      <c r="AA42" s="351">
        <f t="shared" ref="AA42:AE42" si="104">T42/($A$42-T40)</f>
        <v>207981.34942320801</v>
      </c>
      <c r="AB42" s="351">
        <f t="shared" si="104"/>
        <v>232223.18426883247</v>
      </c>
      <c r="AC42" s="351">
        <f t="shared" si="104"/>
        <v>262525.477825863</v>
      </c>
      <c r="AD42" s="351">
        <f t="shared" si="104"/>
        <v>301485.56954204518</v>
      </c>
      <c r="AE42" s="351">
        <f t="shared" si="104"/>
        <v>353432.35849695478</v>
      </c>
      <c r="AG42" s="351">
        <f>Z42/(1+$A$42)^6</f>
        <v>125370.37095394371</v>
      </c>
      <c r="AH42" s="351">
        <f t="shared" ref="AH42:AL42" si="105">AA42/(1+$A$42)^6</f>
        <v>138586.75488701958</v>
      </c>
      <c r="AI42" s="351">
        <f t="shared" si="105"/>
        <v>154740.11302744559</v>
      </c>
      <c r="AJ42" s="351">
        <f t="shared" si="105"/>
        <v>174931.81070297811</v>
      </c>
      <c r="AK42" s="351">
        <f t="shared" si="105"/>
        <v>200892.56485723422</v>
      </c>
      <c r="AL42" s="351">
        <f t="shared" si="105"/>
        <v>235506.90372957574</v>
      </c>
    </row>
    <row r="43" spans="1:38" x14ac:dyDescent="0.3">
      <c r="A43" s="307">
        <v>0.08</v>
      </c>
      <c r="B43" s="307">
        <f>B28</f>
        <v>0.92592592592592582</v>
      </c>
      <c r="C43" s="307">
        <f t="shared" ref="C43:H43" si="106">C28</f>
        <v>0.85733882030178321</v>
      </c>
      <c r="D43" s="307">
        <f t="shared" si="106"/>
        <v>0.79383224102016958</v>
      </c>
      <c r="E43" s="307">
        <f t="shared" si="106"/>
        <v>0.73502985279645328</v>
      </c>
      <c r="F43" s="307">
        <f t="shared" si="106"/>
        <v>0.68058319703375303</v>
      </c>
      <c r="G43" s="307">
        <f t="shared" si="106"/>
        <v>0.63016962688310452</v>
      </c>
      <c r="H43" s="307">
        <f t="shared" si="106"/>
        <v>0.58349039526213387</v>
      </c>
      <c r="J43" s="351">
        <f>B44*B8</f>
        <v>22272.817652159036</v>
      </c>
      <c r="K43" s="351">
        <f t="shared" ref="K43:P43" si="107">C44*C8</f>
        <v>849.11390160535245</v>
      </c>
      <c r="L43" s="351">
        <f t="shared" si="107"/>
        <v>20299.598308826706</v>
      </c>
      <c r="M43" s="351">
        <f t="shared" si="107"/>
        <v>17639.134411851042</v>
      </c>
      <c r="N43" s="351">
        <f t="shared" si="107"/>
        <v>14864.273140232603</v>
      </c>
      <c r="O43" s="351">
        <f t="shared" si="107"/>
        <v>11971.108724734624</v>
      </c>
      <c r="P43" s="351">
        <f t="shared" si="107"/>
        <v>8955.6102029636804</v>
      </c>
      <c r="Q43" s="309">
        <f t="shared" si="97"/>
        <v>96851.656342373055</v>
      </c>
      <c r="S43" s="351">
        <f t="shared" si="98"/>
        <v>9089.9443560081345</v>
      </c>
      <c r="T43" s="351">
        <f t="shared" si="99"/>
        <v>9134.7224070229549</v>
      </c>
      <c r="U43" s="351">
        <f t="shared" si="100"/>
        <v>9179.5004580377718</v>
      </c>
      <c r="V43" s="351">
        <f t="shared" si="101"/>
        <v>9224.2785090525904</v>
      </c>
      <c r="W43" s="351">
        <f t="shared" si="102"/>
        <v>9269.056560067409</v>
      </c>
      <c r="X43" s="351">
        <f t="shared" si="103"/>
        <v>9313.8346110822276</v>
      </c>
      <c r="Z43" s="351">
        <f>S43/($A$43-S40)</f>
        <v>139845.29778474051</v>
      </c>
      <c r="AA43" s="351">
        <f t="shared" ref="AA43:AE43" si="108">T43/($A$43-T40)</f>
        <v>152245.37345038258</v>
      </c>
      <c r="AB43" s="351">
        <f t="shared" si="108"/>
        <v>166900.00832795948</v>
      </c>
      <c r="AC43" s="351">
        <f t="shared" si="108"/>
        <v>184485.57018105179</v>
      </c>
      <c r="AD43" s="351">
        <f t="shared" si="108"/>
        <v>205979.03466816465</v>
      </c>
      <c r="AE43" s="351">
        <f t="shared" si="108"/>
        <v>232845.86527705568</v>
      </c>
      <c r="AG43" s="351">
        <f>Z43/(1+$A$43)^6</f>
        <v>88126.259126366582</v>
      </c>
      <c r="AH43" s="351">
        <f t="shared" ref="AH43:AL43" si="109">AA43/(1+$A$43)^6</f>
        <v>95940.410181906511</v>
      </c>
      <c r="AI43" s="351">
        <f t="shared" si="109"/>
        <v>105175.31597481728</v>
      </c>
      <c r="AJ43" s="351">
        <f t="shared" si="109"/>
        <v>116257.20292631022</v>
      </c>
      <c r="AK43" s="351">
        <f t="shared" si="109"/>
        <v>129801.73142257938</v>
      </c>
      <c r="AL43" s="351">
        <f t="shared" si="109"/>
        <v>146732.3920429158</v>
      </c>
    </row>
    <row r="44" spans="1:38" x14ac:dyDescent="0.3">
      <c r="A44" s="307">
        <v>0.09</v>
      </c>
      <c r="B44" s="307">
        <f>B29</f>
        <v>0.9174311926605504</v>
      </c>
      <c r="C44" s="307">
        <f t="shared" ref="C44:H44" si="110">C29</f>
        <v>0.84167999326655996</v>
      </c>
      <c r="D44" s="307">
        <f t="shared" si="110"/>
        <v>0.77218348006106419</v>
      </c>
      <c r="E44" s="307">
        <f t="shared" si="110"/>
        <v>0.7084252110651964</v>
      </c>
      <c r="F44" s="307">
        <f t="shared" si="110"/>
        <v>0.64993138629834524</v>
      </c>
      <c r="G44" s="307">
        <f t="shared" si="110"/>
        <v>0.5962673268792158</v>
      </c>
      <c r="H44" s="307">
        <f t="shared" si="110"/>
        <v>0.54703424484331731</v>
      </c>
      <c r="J44" s="351">
        <f>B44*B8</f>
        <v>22272.817652159036</v>
      </c>
      <c r="K44" s="351">
        <f t="shared" ref="K44:P44" si="111">C44*C8</f>
        <v>849.11390160535245</v>
      </c>
      <c r="L44" s="351">
        <f t="shared" si="111"/>
        <v>20299.598308826706</v>
      </c>
      <c r="M44" s="351">
        <f t="shared" si="111"/>
        <v>17639.134411851042</v>
      </c>
      <c r="N44" s="351">
        <f t="shared" si="111"/>
        <v>14864.273140232603</v>
      </c>
      <c r="O44" s="351">
        <f t="shared" si="111"/>
        <v>11971.108724734624</v>
      </c>
      <c r="P44" s="351">
        <f t="shared" si="111"/>
        <v>8955.6102029636804</v>
      </c>
      <c r="Q44" s="309">
        <f t="shared" si="97"/>
        <v>96851.656342373055</v>
      </c>
      <c r="S44" s="351">
        <f t="shared" si="98"/>
        <v>9089.9443560081345</v>
      </c>
      <c r="T44" s="351">
        <f t="shared" si="99"/>
        <v>9134.7224070229549</v>
      </c>
      <c r="U44" s="351">
        <f t="shared" si="100"/>
        <v>9179.5004580377718</v>
      </c>
      <c r="V44" s="351">
        <f t="shared" si="101"/>
        <v>9224.2785090525904</v>
      </c>
      <c r="W44" s="351">
        <f t="shared" si="102"/>
        <v>9269.056560067409</v>
      </c>
      <c r="X44" s="351">
        <f t="shared" si="103"/>
        <v>9313.8346110822276</v>
      </c>
      <c r="Z44" s="351">
        <f>S44/($A$44-S40)</f>
        <v>121199.25808010847</v>
      </c>
      <c r="AA44" s="351">
        <f t="shared" ref="AA44:AE44" si="112">T44/($A$44-T40)</f>
        <v>130496.03438604223</v>
      </c>
      <c r="AB44" s="351">
        <f t="shared" si="112"/>
        <v>141223.08396981188</v>
      </c>
      <c r="AC44" s="351">
        <f t="shared" si="112"/>
        <v>153737.9751508765</v>
      </c>
      <c r="AD44" s="351">
        <f t="shared" si="112"/>
        <v>168528.30109213473</v>
      </c>
      <c r="AE44" s="351">
        <f t="shared" si="112"/>
        <v>186276.69222164457</v>
      </c>
      <c r="AG44" s="351">
        <f>Z44/(1+$A$44)^6</f>
        <v>72267.157635170472</v>
      </c>
      <c r="AH44" s="351">
        <f t="shared" ref="AH44:AL44" si="113">AA44/(1+$A$44)^6</f>
        <v>77810.521591703626</v>
      </c>
      <c r="AI44" s="351">
        <f t="shared" si="113"/>
        <v>84206.710772318766</v>
      </c>
      <c r="AJ44" s="351">
        <f t="shared" si="113"/>
        <v>91668.931483036446</v>
      </c>
      <c r="AK44" s="351">
        <f t="shared" si="113"/>
        <v>100487.9195957028</v>
      </c>
      <c r="AL44" s="351">
        <f t="shared" si="113"/>
        <v>111070.70533090242</v>
      </c>
    </row>
    <row r="45" spans="1:38" x14ac:dyDescent="0.3">
      <c r="A45" s="307">
        <v>0.1</v>
      </c>
      <c r="B45" s="307">
        <f>1/(1+$A$45)^1</f>
        <v>0.90909090909090906</v>
      </c>
      <c r="C45" s="307">
        <f>1/(1+$A$45)^2</f>
        <v>0.82644628099173545</v>
      </c>
      <c r="D45" s="307">
        <f>1/(1+$A$45)^3</f>
        <v>0.75131480090157754</v>
      </c>
      <c r="E45" s="307">
        <f>1/(1+$A$45)^4</f>
        <v>0.68301345536507052</v>
      </c>
      <c r="F45" s="307">
        <f>1/(1+$A$45)^5</f>
        <v>0.62092132305915493</v>
      </c>
      <c r="G45" s="307">
        <f>1/(1+$A$45)^6</f>
        <v>0.56447393005377722</v>
      </c>
      <c r="H45" s="307">
        <f>1/(1+$A$45)^7</f>
        <v>0.51315811823070645</v>
      </c>
      <c r="J45" s="351">
        <f>B45*B8</f>
        <v>22070.337491684862</v>
      </c>
      <c r="K45" s="351">
        <f t="shared" ref="K45:P45" si="114">C45*C8</f>
        <v>833.7456417333218</v>
      </c>
      <c r="L45" s="351">
        <f t="shared" si="114"/>
        <v>19750.990607273881</v>
      </c>
      <c r="M45" s="351">
        <f t="shared" si="114"/>
        <v>17006.405130856565</v>
      </c>
      <c r="N45" s="351">
        <f t="shared" si="114"/>
        <v>14200.797713605336</v>
      </c>
      <c r="O45" s="351">
        <f t="shared" si="114"/>
        <v>11332.80071594605</v>
      </c>
      <c r="P45" s="351">
        <f t="shared" si="114"/>
        <v>8401.0171624207014</v>
      </c>
      <c r="Q45" s="309">
        <f t="shared" si="97"/>
        <v>93596.094463520727</v>
      </c>
      <c r="S45" s="351">
        <f t="shared" si="98"/>
        <v>8527.0324198570106</v>
      </c>
      <c r="T45" s="351">
        <f t="shared" si="99"/>
        <v>8569.0375056691155</v>
      </c>
      <c r="U45" s="351">
        <f t="shared" si="100"/>
        <v>8611.0425914812186</v>
      </c>
      <c r="V45" s="351">
        <f t="shared" si="101"/>
        <v>8653.0476772933234</v>
      </c>
      <c r="W45" s="351">
        <f t="shared" si="102"/>
        <v>8695.0527631054247</v>
      </c>
      <c r="X45" s="351">
        <f t="shared" si="103"/>
        <v>8737.0578489175296</v>
      </c>
      <c r="Z45" s="351">
        <f>S45/($A$45-S40)</f>
        <v>100318.02846890601</v>
      </c>
      <c r="AA45" s="351">
        <f t="shared" ref="AA45:AE45" si="115">T45/($A$45-T40)</f>
        <v>107112.96882086394</v>
      </c>
      <c r="AB45" s="351">
        <f t="shared" si="115"/>
        <v>114813.90121974956</v>
      </c>
      <c r="AC45" s="351">
        <f t="shared" si="115"/>
        <v>123614.96681847604</v>
      </c>
      <c r="AD45" s="351">
        <f t="shared" si="115"/>
        <v>133770.04250931423</v>
      </c>
      <c r="AE45" s="351">
        <f t="shared" si="115"/>
        <v>145617.63081529216</v>
      </c>
      <c r="AG45" s="351">
        <f>Z45/(1+$A$45)^6</f>
        <v>56626.911785090073</v>
      </c>
      <c r="AH45" s="351">
        <f t="shared" ref="AH45:AL45" si="116">AA45/(1+$A$45)^6</f>
        <v>60462.478470040769</v>
      </c>
      <c r="AI45" s="351">
        <f t="shared" si="116"/>
        <v>64809.454046318198</v>
      </c>
      <c r="AJ45" s="351">
        <f t="shared" si="116"/>
        <v>69777.426133492423</v>
      </c>
      <c r="AK45" s="351">
        <f t="shared" si="116"/>
        <v>75509.701618693434</v>
      </c>
      <c r="AL45" s="351">
        <f t="shared" si="116"/>
        <v>82197.356351427967</v>
      </c>
    </row>
    <row r="46" spans="1:38" s="347" customFormat="1" x14ac:dyDescent="0.3">
      <c r="A46" s="306">
        <v>9.6000000000000002E-2</v>
      </c>
      <c r="B46" s="306">
        <f ca="1">'DCF-DDM-RIM'!AG4</f>
        <v>0.91767745014143698</v>
      </c>
      <c r="C46" s="306">
        <f ca="1">'DCF-DDM-RIM'!AG5</f>
        <v>0.84213190249808956</v>
      </c>
      <c r="D46" s="306">
        <f ca="1">'DCF-DDM-RIM'!AG6</f>
        <v>0.77280545696720404</v>
      </c>
      <c r="E46" s="306">
        <f ca="1">'DCF-DDM-RIM'!AG7</f>
        <v>0.70918614120505175</v>
      </c>
      <c r="F46" s="306">
        <f ca="1">'DCF-DDM-RIM'!AG8</f>
        <v>0.65080412973669699</v>
      </c>
      <c r="G46" s="306">
        <f ca="1">'DCF-DDM-RIM'!AG9</f>
        <v>0.59722827431828895</v>
      </c>
      <c r="H46" s="306">
        <f ca="1">'DCF-DDM-RIM'!AG10</f>
        <v>0.54806291992877809</v>
      </c>
      <c r="J46" s="357">
        <f ca="1">B46*B8</f>
        <v>22278.796136443358</v>
      </c>
      <c r="K46" s="357">
        <f t="shared" ref="K46:P46" ca="1" si="117">C46*C8</f>
        <v>849.56980220157118</v>
      </c>
      <c r="L46" s="357">
        <f t="shared" ca="1" si="117"/>
        <v>20315.949191328113</v>
      </c>
      <c r="M46" s="357">
        <f t="shared" ca="1" si="117"/>
        <v>17658.08087056721</v>
      </c>
      <c r="N46" s="357">
        <f t="shared" ca="1" si="117"/>
        <v>14884.23324236414</v>
      </c>
      <c r="O46" s="357">
        <f t="shared" ca="1" si="117"/>
        <v>11990.401424088299</v>
      </c>
      <c r="P46" s="357">
        <f t="shared" ca="1" si="117"/>
        <v>8972.4508544909459</v>
      </c>
      <c r="Q46" s="315">
        <f t="shared" ca="1" si="97"/>
        <v>96949.481521483627</v>
      </c>
      <c r="S46" s="351">
        <f t="shared" ca="1" si="98"/>
        <v>9107.0376173083096</v>
      </c>
      <c r="T46" s="351">
        <f t="shared" ca="1" si="99"/>
        <v>9151.8998715807647</v>
      </c>
      <c r="U46" s="351">
        <f t="shared" ca="1" si="100"/>
        <v>9196.7621258532181</v>
      </c>
      <c r="V46" s="351">
        <f t="shared" ca="1" si="101"/>
        <v>9241.6243801256751</v>
      </c>
      <c r="W46" s="351">
        <f t="shared" ca="1" si="102"/>
        <v>9286.4866343981284</v>
      </c>
      <c r="X46" s="351">
        <f t="shared" ca="1" si="103"/>
        <v>9331.3488886705836</v>
      </c>
      <c r="Z46" s="351">
        <f ca="1">S46/($A$46-S40)</f>
        <v>112432.5631766458</v>
      </c>
      <c r="AA46" s="351">
        <f t="shared" ref="AA46:AE46" ca="1" si="118">T46/($A$46-T40)</f>
        <v>120419.73515237849</v>
      </c>
      <c r="AB46" s="351">
        <f t="shared" ca="1" si="118"/>
        <v>129531.8609275101</v>
      </c>
      <c r="AC46" s="351">
        <f t="shared" ca="1" si="118"/>
        <v>140024.61182008599</v>
      </c>
      <c r="AD46" s="351">
        <f t="shared" ca="1" si="118"/>
        <v>152237.4858098054</v>
      </c>
      <c r="AE46" s="351">
        <f t="shared" ca="1" si="118"/>
        <v>166631.23015483184</v>
      </c>
      <c r="AG46" s="351">
        <f ca="1">Z46/(1+$A$46)^6</f>
        <v>64867.742894086063</v>
      </c>
      <c r="AH46" s="351">
        <f t="shared" ref="AH46:AL46" ca="1" si="119">AA46/(1+$A$46)^6</f>
        <v>69475.925822004036</v>
      </c>
      <c r="AI46" s="351">
        <f t="shared" ca="1" si="119"/>
        <v>74733.148598924512</v>
      </c>
      <c r="AJ46" s="351">
        <f t="shared" ca="1" si="119"/>
        <v>80786.920281439045</v>
      </c>
      <c r="AK46" s="351">
        <f t="shared" ca="1" si="119"/>
        <v>87833.113551250994</v>
      </c>
      <c r="AL46" s="351">
        <f t="shared" ca="1" si="119"/>
        <v>96137.555619243663</v>
      </c>
    </row>
    <row r="48" spans="1:38" ht="21" x14ac:dyDescent="0.3">
      <c r="A48" s="644" t="s">
        <v>393</v>
      </c>
      <c r="B48" s="644"/>
      <c r="C48" s="644"/>
      <c r="D48" s="644"/>
      <c r="E48" s="644"/>
      <c r="F48" s="644"/>
      <c r="G48" s="644"/>
      <c r="H48" s="308" t="e" vm="6">
        <v>#VALUE!</v>
      </c>
      <c r="J48" s="643" t="s">
        <v>440</v>
      </c>
      <c r="K48" s="643"/>
      <c r="L48" s="643"/>
      <c r="M48" s="643"/>
      <c r="N48" s="643"/>
      <c r="O48" s="643"/>
      <c r="P48" s="643"/>
      <c r="Q48" s="643"/>
      <c r="S48" s="642" t="s">
        <v>439</v>
      </c>
      <c r="T48" s="642"/>
      <c r="U48" s="642"/>
      <c r="V48" s="642"/>
      <c r="W48" s="642"/>
      <c r="X48" s="642"/>
      <c r="Z48" s="640" t="s">
        <v>446</v>
      </c>
      <c r="AA48" s="640"/>
      <c r="AB48" s="640"/>
      <c r="AC48" s="640"/>
      <c r="AD48" s="640"/>
      <c r="AE48" s="640"/>
      <c r="AG48" s="639" t="s">
        <v>447</v>
      </c>
      <c r="AH48" s="639"/>
      <c r="AI48" s="639"/>
      <c r="AJ48" s="639"/>
      <c r="AK48" s="639"/>
      <c r="AL48" s="639"/>
    </row>
    <row r="49" spans="1:38" ht="28.8" x14ac:dyDescent="0.3">
      <c r="A49" s="353" t="s">
        <v>380</v>
      </c>
      <c r="B49" s="354" t="s">
        <v>335</v>
      </c>
      <c r="C49" s="354" t="s">
        <v>432</v>
      </c>
      <c r="D49" s="354" t="s">
        <v>433</v>
      </c>
      <c r="E49" s="354" t="s">
        <v>434</v>
      </c>
      <c r="F49" s="354" t="s">
        <v>435</v>
      </c>
      <c r="G49" s="354" t="s">
        <v>436</v>
      </c>
      <c r="H49" s="354" t="s">
        <v>437</v>
      </c>
      <c r="J49" s="354" t="s">
        <v>335</v>
      </c>
      <c r="K49" s="354" t="s">
        <v>432</v>
      </c>
      <c r="L49" s="354" t="s">
        <v>433</v>
      </c>
      <c r="M49" s="354" t="s">
        <v>434</v>
      </c>
      <c r="N49" s="354" t="s">
        <v>435</v>
      </c>
      <c r="O49" s="354" t="s">
        <v>436</v>
      </c>
      <c r="P49" s="354" t="s">
        <v>437</v>
      </c>
      <c r="Q49" s="300" t="s">
        <v>438</v>
      </c>
      <c r="S49" s="358">
        <v>1.4999999999999999E-2</v>
      </c>
      <c r="T49" s="359">
        <v>0.02</v>
      </c>
      <c r="U49" s="359">
        <v>2.5000000000000001E-2</v>
      </c>
      <c r="V49" s="359">
        <v>0.03</v>
      </c>
      <c r="W49" s="359">
        <v>3.5000000000000003E-2</v>
      </c>
      <c r="X49" s="359">
        <v>0.04</v>
      </c>
      <c r="Z49" s="640"/>
      <c r="AA49" s="640"/>
      <c r="AB49" s="640"/>
      <c r="AC49" s="640"/>
      <c r="AD49" s="640"/>
      <c r="AE49" s="640"/>
      <c r="AG49" s="639"/>
      <c r="AH49" s="639"/>
      <c r="AI49" s="639"/>
      <c r="AJ49" s="639"/>
      <c r="AK49" s="639"/>
      <c r="AL49" s="639"/>
    </row>
    <row r="50" spans="1:38" x14ac:dyDescent="0.3">
      <c r="A50" s="307">
        <v>6.5000000000000002E-2</v>
      </c>
      <c r="B50" s="307">
        <f>B34</f>
        <v>0.93896713615023475</v>
      </c>
      <c r="C50" s="307">
        <f t="shared" ref="C50:H50" si="120">C34</f>
        <v>0.88165928277017358</v>
      </c>
      <c r="D50" s="307">
        <f t="shared" si="120"/>
        <v>0.82784909180297994</v>
      </c>
      <c r="E50" s="307">
        <f t="shared" si="120"/>
        <v>0.77732309089481699</v>
      </c>
      <c r="F50" s="307">
        <f t="shared" si="120"/>
        <v>0.72988083652095492</v>
      </c>
      <c r="G50" s="307">
        <f t="shared" si="120"/>
        <v>0.68533411879901873</v>
      </c>
      <c r="H50" s="307">
        <f t="shared" si="120"/>
        <v>0.64350621483475945</v>
      </c>
      <c r="J50" s="351">
        <f>B50*B9</f>
        <v>8.5398563546753826E-13</v>
      </c>
      <c r="K50" s="351">
        <f t="shared" ref="K50:P50" si="121">C50*C9</f>
        <v>0</v>
      </c>
      <c r="L50" s="351">
        <f t="shared" si="121"/>
        <v>13045.325033903047</v>
      </c>
      <c r="M50" s="351">
        <f t="shared" si="121"/>
        <v>2837.9964404845073</v>
      </c>
      <c r="N50" s="351">
        <f t="shared" si="121"/>
        <v>3282.1800815114948</v>
      </c>
      <c r="O50" s="351">
        <f t="shared" si="121"/>
        <v>3795.8842843480361</v>
      </c>
      <c r="P50" s="351">
        <f t="shared" si="121"/>
        <v>4389.9899281348853</v>
      </c>
      <c r="Q50" s="309">
        <f>SUM(J50:P50)</f>
        <v>27351.375768381971</v>
      </c>
      <c r="S50" s="351">
        <f>P50*(1+$S$49)</f>
        <v>4455.8397770569081</v>
      </c>
      <c r="T50" s="351">
        <f>P50*(1+$T$49)</f>
        <v>4477.7897266975833</v>
      </c>
      <c r="U50" s="351">
        <f>P50*(1+$U$49)</f>
        <v>4499.7396763382567</v>
      </c>
      <c r="V50" s="351">
        <f>P50*(1+$V$49)</f>
        <v>4521.6896259789319</v>
      </c>
      <c r="W50" s="351">
        <f>P50*(1+$W$49)</f>
        <v>4543.6395756196061</v>
      </c>
      <c r="X50" s="351">
        <f>P50*(1+$X$49)</f>
        <v>4565.5895252602804</v>
      </c>
      <c r="Z50" s="351">
        <f>S50/($A$50-S49)</f>
        <v>89116.795541138155</v>
      </c>
      <c r="AA50" s="351">
        <f t="shared" ref="AA50:AE50" si="122">T50/($A$50-T49)</f>
        <v>99506.438371057404</v>
      </c>
      <c r="AB50" s="351">
        <f t="shared" si="122"/>
        <v>112493.49190845642</v>
      </c>
      <c r="AC50" s="351">
        <f t="shared" si="122"/>
        <v>129191.13217082662</v>
      </c>
      <c r="AD50" s="351">
        <f t="shared" si="122"/>
        <v>151454.65252065353</v>
      </c>
      <c r="AE50" s="351">
        <f t="shared" si="122"/>
        <v>182623.5810104112</v>
      </c>
      <c r="AG50" s="351">
        <f>Z50/(1+$A$50)^6</f>
        <v>61074.780542378241</v>
      </c>
      <c r="AH50" s="351">
        <f t="shared" ref="AH50:AL50" si="123">AA50/(1+$A$50)^6</f>
        <v>68195.157255857499</v>
      </c>
      <c r="AI50" s="351">
        <f t="shared" si="123"/>
        <v>77095.62814770652</v>
      </c>
      <c r="AJ50" s="351">
        <f t="shared" si="123"/>
        <v>88539.090722941022</v>
      </c>
      <c r="AK50" s="351">
        <f t="shared" si="123"/>
        <v>103797.04082325367</v>
      </c>
      <c r="AL50" s="351">
        <f t="shared" si="123"/>
        <v>125158.17096369137</v>
      </c>
    </row>
    <row r="51" spans="1:38" x14ac:dyDescent="0.3">
      <c r="A51" s="307">
        <v>7.4999999999999997E-2</v>
      </c>
      <c r="B51" s="307">
        <f>B35</f>
        <v>0.93023255813953487</v>
      </c>
      <c r="C51" s="307">
        <f t="shared" ref="C51:H51" si="124">C35</f>
        <v>0.86533261222282321</v>
      </c>
      <c r="D51" s="307">
        <f t="shared" si="124"/>
        <v>0.80496056950960304</v>
      </c>
      <c r="E51" s="307">
        <f t="shared" si="124"/>
        <v>0.7488005297763749</v>
      </c>
      <c r="F51" s="307">
        <f t="shared" si="124"/>
        <v>0.69655863235011617</v>
      </c>
      <c r="G51" s="307">
        <f t="shared" si="124"/>
        <v>0.64796151846522443</v>
      </c>
      <c r="H51" s="307">
        <f t="shared" si="124"/>
        <v>0.60275490089788319</v>
      </c>
      <c r="J51" s="351">
        <f>B51*B9</f>
        <v>8.460415830445844E-13</v>
      </c>
      <c r="K51" s="351">
        <f t="shared" ref="K51:P51" si="125">C51*C9</f>
        <v>0</v>
      </c>
      <c r="L51" s="351">
        <f t="shared" si="125"/>
        <v>12684.645514145963</v>
      </c>
      <c r="M51" s="351">
        <f t="shared" si="125"/>
        <v>2733.860942805597</v>
      </c>
      <c r="N51" s="351">
        <f t="shared" si="125"/>
        <v>3132.3344227010703</v>
      </c>
      <c r="O51" s="351">
        <f t="shared" si="125"/>
        <v>3588.8873431759412</v>
      </c>
      <c r="P51" s="351">
        <f t="shared" si="125"/>
        <v>4111.9850641304447</v>
      </c>
      <c r="Q51" s="309">
        <f t="shared" ref="Q51:Q55" si="126">SUM(J51:P51)</f>
        <v>26251.713286959017</v>
      </c>
      <c r="S51" s="351">
        <f t="shared" ref="S51:S55" si="127">P51*(1+$S$49)</f>
        <v>4173.6648400924014</v>
      </c>
      <c r="T51" s="351">
        <f t="shared" ref="T51:T55" si="128">P51*(1+$T$49)</f>
        <v>4194.2247654130533</v>
      </c>
      <c r="U51" s="351">
        <f t="shared" ref="U51:U55" si="129">P51*(1+$U$49)</f>
        <v>4214.7846907337052</v>
      </c>
      <c r="V51" s="351">
        <f t="shared" ref="V51:V55" si="130">P51*(1+$V$49)</f>
        <v>4235.3446160543581</v>
      </c>
      <c r="W51" s="351">
        <f t="shared" ref="W51:W55" si="131">P51*(1+$W$49)</f>
        <v>4255.90454137501</v>
      </c>
      <c r="X51" s="351">
        <f t="shared" ref="X51:X55" si="132">P51*(1+$X$49)</f>
        <v>4276.4644666956628</v>
      </c>
      <c r="Z51" s="351">
        <f>S51/($A$51-S49)</f>
        <v>69561.08066820669</v>
      </c>
      <c r="AA51" s="351">
        <f t="shared" ref="AA51:AE51" si="133">T51/($A$51-T49)</f>
        <v>76258.632098419155</v>
      </c>
      <c r="AB51" s="351">
        <f t="shared" si="133"/>
        <v>84295.693814674116</v>
      </c>
      <c r="AC51" s="351">
        <f t="shared" si="133"/>
        <v>94118.769245652409</v>
      </c>
      <c r="AD51" s="351">
        <f t="shared" si="133"/>
        <v>106397.61353437527</v>
      </c>
      <c r="AE51" s="351">
        <f t="shared" si="133"/>
        <v>122184.69904844752</v>
      </c>
      <c r="AG51" s="351">
        <f>Z51/(1+$A$51)^6</f>
        <v>45072.903455853178</v>
      </c>
      <c r="AH51" s="351">
        <f t="shared" ref="AH51:AL51" si="134">AA51/(1+$A$51)^6</f>
        <v>49412.659050572576</v>
      </c>
      <c r="AI51" s="351">
        <f t="shared" si="134"/>
        <v>54620.365764235867</v>
      </c>
      <c r="AJ51" s="351">
        <f t="shared" si="134"/>
        <v>60985.340636490997</v>
      </c>
      <c r="AK51" s="351">
        <f t="shared" si="134"/>
        <v>68941.559226809914</v>
      </c>
      <c r="AL51" s="351">
        <f t="shared" si="134"/>
        <v>79170.983128648513</v>
      </c>
    </row>
    <row r="52" spans="1:38" x14ac:dyDescent="0.3">
      <c r="A52" s="307">
        <v>8.5000000000000006E-2</v>
      </c>
      <c r="B52" s="307">
        <f>1/(1+$A$52)^1</f>
        <v>0.92165898617511521</v>
      </c>
      <c r="C52" s="307">
        <f t="shared" ref="C52:H52" si="135">1/(1+$A$52)^1</f>
        <v>0.92165898617511521</v>
      </c>
      <c r="D52" s="307">
        <f t="shared" si="135"/>
        <v>0.92165898617511521</v>
      </c>
      <c r="E52" s="307">
        <f t="shared" si="135"/>
        <v>0.92165898617511521</v>
      </c>
      <c r="F52" s="307">
        <f t="shared" si="135"/>
        <v>0.92165898617511521</v>
      </c>
      <c r="G52" s="307">
        <f t="shared" si="135"/>
        <v>0.92165898617511521</v>
      </c>
      <c r="H52" s="307">
        <f t="shared" si="135"/>
        <v>0.92165898617511521</v>
      </c>
      <c r="J52" s="351">
        <f>B52*B9</f>
        <v>8.382439647676758E-13</v>
      </c>
      <c r="K52" s="351">
        <f t="shared" ref="K52:P52" si="136">C52*C9</f>
        <v>0</v>
      </c>
      <c r="L52" s="351">
        <f t="shared" si="136"/>
        <v>14523.590306641747</v>
      </c>
      <c r="M52" s="351">
        <f t="shared" si="136"/>
        <v>3364.964906798933</v>
      </c>
      <c r="N52" s="351">
        <f t="shared" si="136"/>
        <v>4144.5817111588076</v>
      </c>
      <c r="O52" s="351">
        <f t="shared" si="136"/>
        <v>5104.8251724006723</v>
      </c>
      <c r="P52" s="351">
        <f t="shared" si="136"/>
        <v>6287.544041082374</v>
      </c>
      <c r="Q52" s="309">
        <f t="shared" si="126"/>
        <v>33425.506138082535</v>
      </c>
      <c r="S52" s="351">
        <f t="shared" si="127"/>
        <v>6381.8572016986091</v>
      </c>
      <c r="T52" s="351">
        <f t="shared" si="128"/>
        <v>6413.294921904022</v>
      </c>
      <c r="U52" s="351">
        <f t="shared" si="129"/>
        <v>6444.7326421094331</v>
      </c>
      <c r="V52" s="351">
        <f t="shared" si="130"/>
        <v>6476.1703623148451</v>
      </c>
      <c r="W52" s="351">
        <f t="shared" si="131"/>
        <v>6507.6080825202562</v>
      </c>
      <c r="X52" s="351">
        <f t="shared" si="132"/>
        <v>6539.0458027256691</v>
      </c>
      <c r="Z52" s="351">
        <f>S52/($A$52-S49)</f>
        <v>91169.3885956944</v>
      </c>
      <c r="AA52" s="351">
        <f t="shared" ref="AA52:AE52" si="137">T52/($A$52-T49)</f>
        <v>98666.07572160034</v>
      </c>
      <c r="AB52" s="351">
        <f t="shared" si="137"/>
        <v>107412.21070182387</v>
      </c>
      <c r="AC52" s="351">
        <f t="shared" si="137"/>
        <v>117748.55204208808</v>
      </c>
      <c r="AD52" s="351">
        <f t="shared" si="137"/>
        <v>130152.16165040512</v>
      </c>
      <c r="AE52" s="351">
        <f t="shared" si="137"/>
        <v>145312.12894945929</v>
      </c>
      <c r="AG52" s="351">
        <f>Z52/(1+$A$52)^6</f>
        <v>55881.829151678816</v>
      </c>
      <c r="AH52" s="351">
        <f t="shared" ref="AH52:AL52" si="138">AA52/(1+$A$52)^6</f>
        <v>60476.886721180279</v>
      </c>
      <c r="AI52" s="351">
        <f t="shared" si="138"/>
        <v>65837.787218931946</v>
      </c>
      <c r="AJ52" s="351">
        <f t="shared" si="138"/>
        <v>72173.396898093022</v>
      </c>
      <c r="AK52" s="351">
        <f t="shared" si="138"/>
        <v>79776.128513086311</v>
      </c>
      <c r="AL52" s="351">
        <f t="shared" si="138"/>
        <v>89068.356042522573</v>
      </c>
    </row>
    <row r="53" spans="1:38" x14ac:dyDescent="0.3">
      <c r="A53" s="307">
        <v>9.5000000000000001E-2</v>
      </c>
      <c r="B53" s="307">
        <f>1/(1+$A$53)^1</f>
        <v>0.91324200913242015</v>
      </c>
      <c r="C53" s="307">
        <f t="shared" ref="C53:H53" si="139">1/(1+$A$53)^1</f>
        <v>0.91324200913242015</v>
      </c>
      <c r="D53" s="307">
        <f t="shared" si="139"/>
        <v>0.91324200913242015</v>
      </c>
      <c r="E53" s="307">
        <f t="shared" si="139"/>
        <v>0.91324200913242015</v>
      </c>
      <c r="F53" s="307">
        <f t="shared" si="139"/>
        <v>0.91324200913242015</v>
      </c>
      <c r="G53" s="307">
        <f t="shared" si="139"/>
        <v>0.91324200913242015</v>
      </c>
      <c r="H53" s="307">
        <f t="shared" si="139"/>
        <v>0.91324200913242015</v>
      </c>
      <c r="J53" s="351">
        <f>B53*B9</f>
        <v>8.3058876874240027E-13</v>
      </c>
      <c r="K53" s="351">
        <f t="shared" ref="K53:P53" si="140">C53*C9</f>
        <v>0</v>
      </c>
      <c r="L53" s="351">
        <f t="shared" si="140"/>
        <v>14390.954778727211</v>
      </c>
      <c r="M53" s="351">
        <f t="shared" si="140"/>
        <v>3334.2346336774817</v>
      </c>
      <c r="N53" s="351">
        <f t="shared" si="140"/>
        <v>4106.7316498696864</v>
      </c>
      <c r="O53" s="351">
        <f t="shared" si="140"/>
        <v>5058.2057644335437</v>
      </c>
      <c r="P53" s="351">
        <f t="shared" si="140"/>
        <v>6230.1235475565072</v>
      </c>
      <c r="Q53" s="309">
        <f t="shared" si="126"/>
        <v>33120.250374264426</v>
      </c>
      <c r="S53" s="351">
        <f t="shared" si="127"/>
        <v>6323.5754007698542</v>
      </c>
      <c r="T53" s="351">
        <f t="shared" si="128"/>
        <v>6354.7260185076375</v>
      </c>
      <c r="U53" s="351">
        <f t="shared" si="129"/>
        <v>6385.8766362454189</v>
      </c>
      <c r="V53" s="351">
        <f t="shared" si="130"/>
        <v>6417.0272539832022</v>
      </c>
      <c r="W53" s="351">
        <f t="shared" si="131"/>
        <v>6448.1778717209845</v>
      </c>
      <c r="X53" s="351">
        <f t="shared" si="132"/>
        <v>6479.3284894587678</v>
      </c>
      <c r="Z53" s="351">
        <f>S53/($A$53-S49)</f>
        <v>79044.692509623172</v>
      </c>
      <c r="AA53" s="351">
        <f t="shared" ref="AA53:AE53" si="141">T53/($A$53-T49)</f>
        <v>84729.680246768505</v>
      </c>
      <c r="AB53" s="351">
        <f t="shared" si="141"/>
        <v>91226.80908922026</v>
      </c>
      <c r="AC53" s="351">
        <f t="shared" si="141"/>
        <v>98723.496215126186</v>
      </c>
      <c r="AD53" s="351">
        <f t="shared" si="141"/>
        <v>107469.63119534975</v>
      </c>
      <c r="AE53" s="351">
        <f t="shared" si="141"/>
        <v>117805.97253561395</v>
      </c>
      <c r="AG53" s="351">
        <f>Z53/(1+$A$53)^6</f>
        <v>45855.137420831561</v>
      </c>
      <c r="AH53" s="351">
        <f t="shared" ref="AH53:AL53" si="142">AA53/(1+$A$53)^6</f>
        <v>49153.093117108132</v>
      </c>
      <c r="AI53" s="351">
        <f t="shared" si="142"/>
        <v>52922.185341424178</v>
      </c>
      <c r="AJ53" s="351">
        <f t="shared" si="142"/>
        <v>57271.137907942721</v>
      </c>
      <c r="AK53" s="351">
        <f t="shared" si="142"/>
        <v>62344.91590221435</v>
      </c>
      <c r="AL53" s="351">
        <f t="shared" si="142"/>
        <v>68341.198986353542</v>
      </c>
    </row>
    <row r="54" spans="1:38" x14ac:dyDescent="0.3">
      <c r="A54" s="307">
        <v>0.105</v>
      </c>
      <c r="B54" s="307">
        <f>1/(1+$A$54)^1</f>
        <v>0.90497737556561086</v>
      </c>
      <c r="C54" s="307">
        <f t="shared" ref="C54:H54" si="143">1/(1+$A$54)^1</f>
        <v>0.90497737556561086</v>
      </c>
      <c r="D54" s="307">
        <f t="shared" si="143"/>
        <v>0.90497737556561086</v>
      </c>
      <c r="E54" s="307">
        <f t="shared" si="143"/>
        <v>0.90497737556561086</v>
      </c>
      <c r="F54" s="307">
        <f t="shared" si="143"/>
        <v>0.90497737556561086</v>
      </c>
      <c r="G54" s="307">
        <f t="shared" si="143"/>
        <v>0.90497737556561086</v>
      </c>
      <c r="H54" s="307">
        <f t="shared" si="143"/>
        <v>0.90497737556561086</v>
      </c>
      <c r="J54" s="351">
        <f>B54*B9</f>
        <v>8.2307212830129253E-13</v>
      </c>
      <c r="K54" s="351">
        <f t="shared" ref="K54:P54" si="144">C54*C9</f>
        <v>0</v>
      </c>
      <c r="L54" s="351">
        <f t="shared" si="144"/>
        <v>14260.719893851852</v>
      </c>
      <c r="M54" s="351">
        <f t="shared" si="144"/>
        <v>3304.0605645944274</v>
      </c>
      <c r="N54" s="351">
        <f t="shared" si="144"/>
        <v>4069.5666575631731</v>
      </c>
      <c r="O54" s="351">
        <f t="shared" si="144"/>
        <v>5012.4301466558636</v>
      </c>
      <c r="P54" s="351">
        <f t="shared" si="144"/>
        <v>6173.7423389813348</v>
      </c>
      <c r="Q54" s="309">
        <f t="shared" si="126"/>
        <v>32820.519601646651</v>
      </c>
      <c r="S54" s="351">
        <f t="shared" si="127"/>
        <v>6266.3484740660542</v>
      </c>
      <c r="T54" s="351">
        <f t="shared" si="128"/>
        <v>6297.2171857609619</v>
      </c>
      <c r="U54" s="351">
        <f t="shared" si="129"/>
        <v>6328.0858974558678</v>
      </c>
      <c r="V54" s="351">
        <f t="shared" si="130"/>
        <v>6358.9546091507746</v>
      </c>
      <c r="W54" s="351">
        <f t="shared" si="131"/>
        <v>6389.8233208456813</v>
      </c>
      <c r="X54" s="351">
        <f t="shared" si="132"/>
        <v>6420.6920325405881</v>
      </c>
      <c r="Z54" s="351">
        <f>S54/($A$54-S49)</f>
        <v>69626.094156289488</v>
      </c>
      <c r="AA54" s="351">
        <f t="shared" ref="AA54:AE54" si="145">T54/($A$54-T49)</f>
        <v>74084.908067776036</v>
      </c>
      <c r="AB54" s="351">
        <f t="shared" si="145"/>
        <v>79101.073718198357</v>
      </c>
      <c r="AC54" s="351">
        <f t="shared" si="145"/>
        <v>84786.061455343661</v>
      </c>
      <c r="AD54" s="351">
        <f t="shared" si="145"/>
        <v>91283.19029779546</v>
      </c>
      <c r="AE54" s="351">
        <f t="shared" si="145"/>
        <v>98779.877423701357</v>
      </c>
      <c r="AG54" s="351">
        <f>Z54/(1+$A$54)^6</f>
        <v>38247.087106615429</v>
      </c>
      <c r="AH54" s="351">
        <f t="shared" ref="AH54:AL54" si="146">AA54/(1+$A$54)^6</f>
        <v>40696.407955807568</v>
      </c>
      <c r="AI54" s="351">
        <f t="shared" si="146"/>
        <v>43451.893911148698</v>
      </c>
      <c r="AJ54" s="351">
        <f t="shared" si="146"/>
        <v>46574.777993868644</v>
      </c>
      <c r="AK54" s="351">
        <f t="shared" si="146"/>
        <v>50143.788374120028</v>
      </c>
      <c r="AL54" s="351">
        <f t="shared" si="146"/>
        <v>54261.877274410079</v>
      </c>
    </row>
    <row r="55" spans="1:38" s="347" customFormat="1" x14ac:dyDescent="0.3">
      <c r="A55" s="306">
        <v>0.10199999999999999</v>
      </c>
      <c r="B55" s="306">
        <f ca="1">'DCF-DDM-RIM'!AQ4</f>
        <v>0.90886679080272248</v>
      </c>
      <c r="C55" s="306">
        <f ca="1">'DCF-DDM-RIM'!AQ5</f>
        <v>0.82603884342403977</v>
      </c>
      <c r="D55" s="306">
        <f ca="1">'DCF-DDM-RIM'!AQ6</f>
        <v>0.75075927270119958</v>
      </c>
      <c r="E55" s="306">
        <f ca="1">'DCF-DDM-RIM'!AQ7</f>
        <v>0.68234017084532528</v>
      </c>
      <c r="F55" s="306">
        <f ca="1">'DCF-DDM-RIM'!AQ8</f>
        <v>0.62015632131197207</v>
      </c>
      <c r="G55" s="306">
        <f ca="1">'DCF-DDM-RIM'!AQ9</f>
        <v>0.56363948554683407</v>
      </c>
      <c r="H55" s="306">
        <f ca="1">'DCF-DDM-RIM'!AQ10</f>
        <v>0.5122732103986487</v>
      </c>
      <c r="J55" s="357">
        <f ca="1">B55*B9</f>
        <v>8.2660953085244044E-13</v>
      </c>
      <c r="K55" s="357">
        <f t="shared" ref="K55:P55" ca="1" si="147">C55*C9</f>
        <v>0</v>
      </c>
      <c r="L55" s="357">
        <f t="shared" ca="1" si="147"/>
        <v>11830.536303752637</v>
      </c>
      <c r="M55" s="357">
        <f t="shared" ca="1" si="147"/>
        <v>2491.2150413921731</v>
      </c>
      <c r="N55" s="357">
        <f t="shared" ca="1" si="147"/>
        <v>2788.7630738954999</v>
      </c>
      <c r="O55" s="357">
        <f t="shared" ca="1" si="147"/>
        <v>3121.8499218666111</v>
      </c>
      <c r="P55" s="357">
        <f t="shared" ca="1" si="147"/>
        <v>3494.7203030212545</v>
      </c>
      <c r="Q55" s="315">
        <f t="shared" ca="1" si="126"/>
        <v>23727.084643928178</v>
      </c>
      <c r="S55" s="351">
        <f t="shared" ca="1" si="127"/>
        <v>3547.1411075665728</v>
      </c>
      <c r="T55" s="351">
        <f t="shared" ca="1" si="128"/>
        <v>3564.6147090816798</v>
      </c>
      <c r="U55" s="351">
        <f t="shared" ca="1" si="129"/>
        <v>3582.0883105967855</v>
      </c>
      <c r="V55" s="351">
        <f t="shared" ca="1" si="130"/>
        <v>3599.5619121118921</v>
      </c>
      <c r="W55" s="351">
        <f t="shared" ca="1" si="131"/>
        <v>3617.0355136269982</v>
      </c>
      <c r="X55" s="351">
        <f t="shared" ca="1" si="132"/>
        <v>3634.5091151421047</v>
      </c>
      <c r="Z55" s="351">
        <f ca="1">S55/($A$55-S49)</f>
        <v>40771.736868581298</v>
      </c>
      <c r="AA55" s="351">
        <f t="shared" ref="AA55:AE55" ca="1" si="148">T55/($A$55-T49)</f>
        <v>43470.911086361957</v>
      </c>
      <c r="AB55" s="351">
        <f t="shared" ca="1" si="148"/>
        <v>46520.627410347872</v>
      </c>
      <c r="AC55" s="351">
        <f t="shared" ca="1" si="148"/>
        <v>49993.915445998507</v>
      </c>
      <c r="AD55" s="351">
        <f t="shared" ca="1" si="148"/>
        <v>53985.604680999983</v>
      </c>
      <c r="AE55" s="351">
        <f t="shared" ca="1" si="148"/>
        <v>58621.114760356533</v>
      </c>
      <c r="AG55" s="351">
        <f ca="1">Z55/(1+$A$55)^6</f>
        <v>22765.104363780847</v>
      </c>
      <c r="AH55" s="351">
        <f t="shared" ref="AH55:AL55" ca="1" si="149">AA55/(1+$A$55)^6</f>
        <v>24272.201865215822</v>
      </c>
      <c r="AI55" s="351">
        <f t="shared" ca="1" si="149"/>
        <v>25975.026314889095</v>
      </c>
      <c r="AJ55" s="351">
        <f t="shared" ca="1" si="149"/>
        <v>27914.354160350329</v>
      </c>
      <c r="AK55" s="351">
        <f t="shared" ca="1" si="149"/>
        <v>30143.133923044581</v>
      </c>
      <c r="AL55" s="351">
        <f t="shared" ca="1" si="149"/>
        <v>32731.394292625002</v>
      </c>
    </row>
    <row r="57" spans="1:38" ht="21" x14ac:dyDescent="0.3">
      <c r="A57" s="644" t="s">
        <v>393</v>
      </c>
      <c r="B57" s="644"/>
      <c r="C57" s="644"/>
      <c r="D57" s="644"/>
      <c r="E57" s="644"/>
      <c r="F57" s="644"/>
      <c r="G57" s="644"/>
      <c r="H57" s="308" t="e" vm="16">
        <v>#VALUE!</v>
      </c>
      <c r="J57" s="643" t="s">
        <v>440</v>
      </c>
      <c r="K57" s="643"/>
      <c r="L57" s="643"/>
      <c r="M57" s="643"/>
      <c r="N57" s="643"/>
      <c r="O57" s="643"/>
      <c r="P57" s="643"/>
      <c r="Q57" s="643"/>
      <c r="S57" s="642" t="s">
        <v>439</v>
      </c>
      <c r="T57" s="642"/>
      <c r="U57" s="642"/>
      <c r="V57" s="642"/>
      <c r="W57" s="642"/>
      <c r="X57" s="642"/>
      <c r="Z57" s="640" t="s">
        <v>446</v>
      </c>
      <c r="AA57" s="640"/>
      <c r="AB57" s="640"/>
      <c r="AC57" s="640"/>
      <c r="AD57" s="640"/>
      <c r="AE57" s="640"/>
      <c r="AG57" s="639" t="s">
        <v>447</v>
      </c>
      <c r="AH57" s="639"/>
      <c r="AI57" s="639"/>
      <c r="AJ57" s="639"/>
      <c r="AK57" s="639"/>
      <c r="AL57" s="639"/>
    </row>
    <row r="58" spans="1:38" ht="28.8" x14ac:dyDescent="0.3">
      <c r="A58" s="353" t="s">
        <v>380</v>
      </c>
      <c r="B58" s="354" t="s">
        <v>335</v>
      </c>
      <c r="C58" s="354" t="s">
        <v>432</v>
      </c>
      <c r="D58" s="354" t="s">
        <v>433</v>
      </c>
      <c r="E58" s="354" t="s">
        <v>434</v>
      </c>
      <c r="F58" s="354" t="s">
        <v>435</v>
      </c>
      <c r="G58" s="354" t="s">
        <v>436</v>
      </c>
      <c r="H58" s="354" t="s">
        <v>437</v>
      </c>
      <c r="J58" s="354" t="s">
        <v>335</v>
      </c>
      <c r="K58" s="354" t="s">
        <v>432</v>
      </c>
      <c r="L58" s="354" t="s">
        <v>433</v>
      </c>
      <c r="M58" s="354" t="s">
        <v>434</v>
      </c>
      <c r="N58" s="354" t="s">
        <v>435</v>
      </c>
      <c r="O58" s="354" t="s">
        <v>436</v>
      </c>
      <c r="P58" s="354" t="s">
        <v>437</v>
      </c>
      <c r="Q58" s="300" t="s">
        <v>438</v>
      </c>
      <c r="S58" s="358">
        <v>1.4999999999999999E-2</v>
      </c>
      <c r="T58" s="359">
        <v>0.02</v>
      </c>
      <c r="U58" s="359">
        <v>2.5000000000000001E-2</v>
      </c>
      <c r="V58" s="359">
        <v>0.03</v>
      </c>
      <c r="W58" s="359">
        <v>3.5000000000000003E-2</v>
      </c>
      <c r="X58" s="359">
        <v>0.04</v>
      </c>
      <c r="Z58" s="640"/>
      <c r="AA58" s="640"/>
      <c r="AB58" s="640"/>
      <c r="AC58" s="640"/>
      <c r="AD58" s="640"/>
      <c r="AE58" s="640"/>
      <c r="AG58" s="639"/>
      <c r="AH58" s="639"/>
      <c r="AI58" s="639"/>
      <c r="AJ58" s="639"/>
      <c r="AK58" s="639"/>
      <c r="AL58" s="639"/>
    </row>
    <row r="59" spans="1:38" x14ac:dyDescent="0.3">
      <c r="A59" s="307">
        <v>7.4999999999999997E-2</v>
      </c>
      <c r="B59" s="307">
        <f>B51</f>
        <v>0.93023255813953487</v>
      </c>
      <c r="C59" s="307">
        <f t="shared" ref="C59:H59" si="150">C51</f>
        <v>0.86533261222282321</v>
      </c>
      <c r="D59" s="307">
        <f t="shared" si="150"/>
        <v>0.80496056950960304</v>
      </c>
      <c r="E59" s="307">
        <f t="shared" si="150"/>
        <v>0.7488005297763749</v>
      </c>
      <c r="F59" s="307">
        <f t="shared" si="150"/>
        <v>0.69655863235011617</v>
      </c>
      <c r="G59" s="307">
        <f t="shared" si="150"/>
        <v>0.64796151846522443</v>
      </c>
      <c r="H59" s="307">
        <f t="shared" si="150"/>
        <v>0.60275490089788319</v>
      </c>
      <c r="J59" s="351">
        <f>B59*B10</f>
        <v>19125.22144421994</v>
      </c>
      <c r="K59" s="351">
        <f t="shared" ref="K59:P59" si="151">C59*C10</f>
        <v>27218.48787932772</v>
      </c>
      <c r="L59" s="351">
        <f t="shared" si="151"/>
        <v>20669.753217385984</v>
      </c>
      <c r="M59" s="351">
        <f t="shared" si="151"/>
        <v>22194.065045761978</v>
      </c>
      <c r="N59" s="351">
        <f t="shared" si="151"/>
        <v>23832.271043658031</v>
      </c>
      <c r="O59" s="351">
        <f t="shared" si="151"/>
        <v>25593.015963847836</v>
      </c>
      <c r="P59" s="351">
        <f t="shared" si="151"/>
        <v>27485.613015761024</v>
      </c>
      <c r="Q59" s="309">
        <f>SUM(J59:P59)</f>
        <v>166118.4276099625</v>
      </c>
      <c r="S59" s="351">
        <f>P59*(1+$S$58)</f>
        <v>27897.897210997438</v>
      </c>
      <c r="T59" s="351">
        <f>P59*(1+$T$58)</f>
        <v>28035.325276076244</v>
      </c>
      <c r="U59" s="351">
        <f>P59*(1+$U$58)</f>
        <v>28172.753341155047</v>
      </c>
      <c r="V59" s="351">
        <f>P59*(1+$V$58)</f>
        <v>28310.181406233856</v>
      </c>
      <c r="W59" s="351">
        <f>P59*(1+$W$58)</f>
        <v>28447.609471312659</v>
      </c>
      <c r="X59" s="351">
        <f>P59*(1+$X$58)</f>
        <v>28585.037536391465</v>
      </c>
      <c r="Z59" s="351">
        <f>S59/($A$59-S58)</f>
        <v>464964.95351662399</v>
      </c>
      <c r="AA59" s="351">
        <f t="shared" ref="AA59:AE59" si="152">T59/($A$59-T58)</f>
        <v>509733.18683774996</v>
      </c>
      <c r="AB59" s="351">
        <f t="shared" si="152"/>
        <v>563455.06682310102</v>
      </c>
      <c r="AC59" s="351">
        <f t="shared" si="152"/>
        <v>629115.14236075233</v>
      </c>
      <c r="AD59" s="351">
        <f t="shared" si="152"/>
        <v>711190.23678281659</v>
      </c>
      <c r="AE59" s="351">
        <f t="shared" si="152"/>
        <v>816715.35818261339</v>
      </c>
      <c r="AG59" s="351">
        <f>Z59/(1+$A$59)^6</f>
        <v>301279.39731374418</v>
      </c>
      <c r="AH59" s="351">
        <f t="shared" ref="AH59:AL59" si="153">AA59/(1+$A$59)^6</f>
        <v>330287.48975550639</v>
      </c>
      <c r="AI59" s="351">
        <f t="shared" si="153"/>
        <v>365097.20068562101</v>
      </c>
      <c r="AJ59" s="351">
        <f t="shared" si="153"/>
        <v>407642.40293353889</v>
      </c>
      <c r="AK59" s="351">
        <f t="shared" si="153"/>
        <v>460823.90574343636</v>
      </c>
      <c r="AL59" s="351">
        <f t="shared" si="153"/>
        <v>529200.12364187581</v>
      </c>
    </row>
    <row r="60" spans="1:38" x14ac:dyDescent="0.3">
      <c r="A60" s="307">
        <v>8.5000000000000006E-2</v>
      </c>
      <c r="B60" s="307">
        <f>B52</f>
        <v>0.92165898617511521</v>
      </c>
      <c r="C60" s="307">
        <f t="shared" ref="C60:H60" si="154">C52</f>
        <v>0.92165898617511521</v>
      </c>
      <c r="D60" s="307">
        <f t="shared" si="154"/>
        <v>0.92165898617511521</v>
      </c>
      <c r="E60" s="307">
        <f t="shared" si="154"/>
        <v>0.92165898617511521</v>
      </c>
      <c r="F60" s="307">
        <f t="shared" si="154"/>
        <v>0.92165898617511521</v>
      </c>
      <c r="G60" s="307">
        <f t="shared" si="154"/>
        <v>0.92165898617511521</v>
      </c>
      <c r="H60" s="307">
        <f t="shared" si="154"/>
        <v>0.92165898617511521</v>
      </c>
      <c r="J60" s="351">
        <f>B60*B10</f>
        <v>18948.952122153398</v>
      </c>
      <c r="K60" s="351">
        <f t="shared" ref="K60:P60" si="155">C60*C10</f>
        <v>28990.198207878428</v>
      </c>
      <c r="L60" s="351">
        <f t="shared" si="155"/>
        <v>23666.331639612719</v>
      </c>
      <c r="M60" s="351">
        <f t="shared" si="155"/>
        <v>27317.501358192716</v>
      </c>
      <c r="N60" s="351">
        <f t="shared" si="155"/>
        <v>31533.923704656463</v>
      </c>
      <c r="O60" s="351">
        <f t="shared" si="155"/>
        <v>36403.447541567992</v>
      </c>
      <c r="P60" s="351">
        <f t="shared" si="155"/>
        <v>42027.633767509731</v>
      </c>
      <c r="Q60" s="309">
        <f t="shared" ref="Q60:Q64" si="156">SUM(J60:P60)</f>
        <v>208887.98834157147</v>
      </c>
      <c r="S60" s="351">
        <f t="shared" ref="S60:S64" si="157">P60*(1+$S$58)</f>
        <v>42658.048274022374</v>
      </c>
      <c r="T60" s="351">
        <f t="shared" ref="T60:T64" si="158">P60*(1+$T$58)</f>
        <v>42868.186442859929</v>
      </c>
      <c r="U60" s="351">
        <f t="shared" ref="U60:U64" si="159">P60*(1+$U$58)</f>
        <v>43078.32461169747</v>
      </c>
      <c r="V60" s="351">
        <f t="shared" ref="V60:V64" si="160">P60*(1+$V$58)</f>
        <v>43288.462780535025</v>
      </c>
      <c r="W60" s="351">
        <f t="shared" ref="W60:W64" si="161">P60*(1+$W$58)</f>
        <v>43498.600949372565</v>
      </c>
      <c r="X60" s="351">
        <f t="shared" ref="X60:X64" si="162">P60*(1+$X$58)</f>
        <v>43708.73911821012</v>
      </c>
      <c r="Z60" s="351">
        <f>S60/($A$60-S58)</f>
        <v>609400.68962889095</v>
      </c>
      <c r="AA60" s="351">
        <f t="shared" ref="AA60:AE60" si="163">T60/($A$60-T58)</f>
        <v>659510.56065938354</v>
      </c>
      <c r="AB60" s="351">
        <f t="shared" si="163"/>
        <v>717972.07686162449</v>
      </c>
      <c r="AC60" s="351">
        <f t="shared" si="163"/>
        <v>787062.95964609121</v>
      </c>
      <c r="AD60" s="351">
        <f t="shared" si="163"/>
        <v>869972.01898745121</v>
      </c>
      <c r="AE60" s="351">
        <f t="shared" si="163"/>
        <v>971305.31373800256</v>
      </c>
      <c r="AG60" s="351">
        <f>Z60/(1+$A$60)^6</f>
        <v>373529.16090922651</v>
      </c>
      <c r="AH60" s="351">
        <f t="shared" ref="AH60:AL60" si="164">AA60/(1+$A$60)^6</f>
        <v>404243.76034738583</v>
      </c>
      <c r="AI60" s="351">
        <f t="shared" si="164"/>
        <v>440077.45969190483</v>
      </c>
      <c r="AJ60" s="351">
        <f t="shared" si="164"/>
        <v>482426.37709906371</v>
      </c>
      <c r="AK60" s="351">
        <f t="shared" si="164"/>
        <v>533245.07798765437</v>
      </c>
      <c r="AL60" s="351">
        <f t="shared" si="164"/>
        <v>595356.82351815421</v>
      </c>
    </row>
    <row r="61" spans="1:38" x14ac:dyDescent="0.3">
      <c r="A61" s="307">
        <v>9.5000000000000001E-2</v>
      </c>
      <c r="B61" s="307">
        <f>B53</f>
        <v>0.91324200913242015</v>
      </c>
      <c r="C61" s="307">
        <f t="shared" ref="C61:H61" si="165">C53</f>
        <v>0.91324200913242015</v>
      </c>
      <c r="D61" s="307">
        <f t="shared" si="165"/>
        <v>0.91324200913242015</v>
      </c>
      <c r="E61" s="307">
        <f t="shared" si="165"/>
        <v>0.91324200913242015</v>
      </c>
      <c r="F61" s="307">
        <f t="shared" si="165"/>
        <v>0.91324200913242015</v>
      </c>
      <c r="G61" s="307">
        <f t="shared" si="165"/>
        <v>0.91324200913242015</v>
      </c>
      <c r="H61" s="307">
        <f t="shared" si="165"/>
        <v>0.91324200913242015</v>
      </c>
      <c r="J61" s="351">
        <f>B61*B10</f>
        <v>18775.902331083504</v>
      </c>
      <c r="K61" s="351">
        <f t="shared" ref="K61:P61" si="166">C61*C10</f>
        <v>28725.447539313329</v>
      </c>
      <c r="L61" s="351">
        <f t="shared" si="166"/>
        <v>23450.200757059178</v>
      </c>
      <c r="M61" s="351">
        <f t="shared" si="166"/>
        <v>27068.026459944384</v>
      </c>
      <c r="N61" s="351">
        <f t="shared" si="166"/>
        <v>31245.942666257775</v>
      </c>
      <c r="O61" s="351">
        <f t="shared" si="166"/>
        <v>36070.995965845912</v>
      </c>
      <c r="P61" s="351">
        <f t="shared" si="166"/>
        <v>41643.819760500512</v>
      </c>
      <c r="Q61" s="309">
        <f t="shared" si="156"/>
        <v>206980.33548000461</v>
      </c>
      <c r="S61" s="351">
        <f t="shared" si="157"/>
        <v>42268.477056908014</v>
      </c>
      <c r="T61" s="351">
        <f t="shared" si="158"/>
        <v>42476.696155710524</v>
      </c>
      <c r="U61" s="351">
        <f t="shared" si="159"/>
        <v>42684.91525451302</v>
      </c>
      <c r="V61" s="351">
        <f t="shared" si="160"/>
        <v>42893.13435331553</v>
      </c>
      <c r="W61" s="351">
        <f t="shared" si="161"/>
        <v>43101.353452118026</v>
      </c>
      <c r="X61" s="351">
        <f t="shared" si="162"/>
        <v>43309.572550920537</v>
      </c>
      <c r="Z61" s="351">
        <f>S61/($A$61-S58)</f>
        <v>528355.96321135014</v>
      </c>
      <c r="AA61" s="351">
        <f t="shared" ref="AA61:AE61" si="167">T61/($A$61-T58)</f>
        <v>566355.94874280703</v>
      </c>
      <c r="AB61" s="351">
        <f t="shared" si="167"/>
        <v>609784.50363590021</v>
      </c>
      <c r="AC61" s="351">
        <f t="shared" si="167"/>
        <v>659894.3746663928</v>
      </c>
      <c r="AD61" s="351">
        <f t="shared" si="167"/>
        <v>718355.89086863375</v>
      </c>
      <c r="AE61" s="351">
        <f t="shared" si="167"/>
        <v>787446.77365310071</v>
      </c>
      <c r="AG61" s="351">
        <f>Z61/(1+$A$61)^6</f>
        <v>306508.05931369402</v>
      </c>
      <c r="AH61" s="351">
        <f t="shared" ref="AH61:AL61" si="168">AA61/(1+$A$61)^6</f>
        <v>328552.48131359526</v>
      </c>
      <c r="AI61" s="351">
        <f t="shared" si="168"/>
        <v>353746.10645633936</v>
      </c>
      <c r="AJ61" s="351">
        <f t="shared" si="168"/>
        <v>382815.67392873659</v>
      </c>
      <c r="AK61" s="351">
        <f t="shared" si="168"/>
        <v>416730.16931319982</v>
      </c>
      <c r="AL61" s="351">
        <f t="shared" si="168"/>
        <v>456810.93658574746</v>
      </c>
    </row>
    <row r="62" spans="1:38" x14ac:dyDescent="0.3">
      <c r="A62" s="307">
        <v>0.105</v>
      </c>
      <c r="B62" s="307">
        <f>B54</f>
        <v>0.90497737556561086</v>
      </c>
      <c r="C62" s="307">
        <f t="shared" ref="C62:H62" si="169">C54</f>
        <v>0.90497737556561086</v>
      </c>
      <c r="D62" s="307">
        <f t="shared" si="169"/>
        <v>0.90497737556561086</v>
      </c>
      <c r="E62" s="307">
        <f t="shared" si="169"/>
        <v>0.90497737556561086</v>
      </c>
      <c r="F62" s="307">
        <f t="shared" si="169"/>
        <v>0.90497737556561086</v>
      </c>
      <c r="G62" s="307">
        <f t="shared" si="169"/>
        <v>0.90497737556561086</v>
      </c>
      <c r="H62" s="307">
        <f t="shared" si="169"/>
        <v>0.90497737556561086</v>
      </c>
      <c r="J62" s="351">
        <f>B62*B10</f>
        <v>18605.984662928902</v>
      </c>
      <c r="K62" s="351">
        <f t="shared" ref="K62:P62" si="170">C62*C10</f>
        <v>28465.488738052572</v>
      </c>
      <c r="L62" s="351">
        <f t="shared" si="170"/>
        <v>23237.981745683075</v>
      </c>
      <c r="M62" s="351">
        <f t="shared" si="170"/>
        <v>26823.066944469771</v>
      </c>
      <c r="N62" s="351">
        <f t="shared" si="170"/>
        <v>30963.173954345937</v>
      </c>
      <c r="O62" s="351">
        <f t="shared" si="170"/>
        <v>35744.561613213817</v>
      </c>
      <c r="P62" s="351">
        <f t="shared" si="170"/>
        <v>41266.952613346657</v>
      </c>
      <c r="Q62" s="309">
        <f t="shared" si="156"/>
        <v>205107.21027204074</v>
      </c>
      <c r="S62" s="351">
        <f t="shared" si="157"/>
        <v>41885.956902546852</v>
      </c>
      <c r="T62" s="351">
        <f t="shared" si="158"/>
        <v>42092.291665613593</v>
      </c>
      <c r="U62" s="351">
        <f t="shared" si="159"/>
        <v>42298.62642868032</v>
      </c>
      <c r="V62" s="351">
        <f t="shared" si="160"/>
        <v>42504.961191747061</v>
      </c>
      <c r="W62" s="351">
        <f t="shared" si="161"/>
        <v>42711.295954813788</v>
      </c>
      <c r="X62" s="351">
        <f t="shared" si="162"/>
        <v>42917.630717880522</v>
      </c>
      <c r="Z62" s="351">
        <f>S62/($A$62-S58)</f>
        <v>465399.52113940951</v>
      </c>
      <c r="AA62" s="351">
        <f t="shared" ref="AA62:AE62" si="171">T62/($A$62-T58)</f>
        <v>495203.43136015994</v>
      </c>
      <c r="AB62" s="351">
        <f t="shared" si="171"/>
        <v>528732.83035850408</v>
      </c>
      <c r="AC62" s="351">
        <f t="shared" si="171"/>
        <v>566732.81588996085</v>
      </c>
      <c r="AD62" s="351">
        <f t="shared" si="171"/>
        <v>610161.37078305415</v>
      </c>
      <c r="AE62" s="351">
        <f t="shared" si="171"/>
        <v>660271.24181354651</v>
      </c>
      <c r="AG62" s="351">
        <f>Z62/(1+$A$62)^6</f>
        <v>255653.80681041942</v>
      </c>
      <c r="AH62" s="351">
        <f t="shared" ref="AH62:AL62" si="172">AA62/(1+$A$62)^6</f>
        <v>272025.72547315567</v>
      </c>
      <c r="AI62" s="351">
        <f t="shared" si="172"/>
        <v>290444.13396873389</v>
      </c>
      <c r="AJ62" s="351">
        <f t="shared" si="172"/>
        <v>311318.33026372263</v>
      </c>
      <c r="AK62" s="351">
        <f t="shared" si="172"/>
        <v>335174.55460085248</v>
      </c>
      <c r="AL62" s="351">
        <f t="shared" si="172"/>
        <v>362700.96729754086</v>
      </c>
    </row>
    <row r="63" spans="1:38" x14ac:dyDescent="0.3">
      <c r="A63" s="307">
        <v>0.115</v>
      </c>
      <c r="B63" s="307">
        <f>1/(1+$A$63)^1</f>
        <v>0.89686098654708524</v>
      </c>
      <c r="C63" s="307">
        <f>1/(1+$A$63)^2</f>
        <v>0.80435962919021098</v>
      </c>
      <c r="D63" s="307">
        <f>1/(1+$A$63)^3</f>
        <v>0.72139877057418023</v>
      </c>
      <c r="E63" s="307">
        <f>1/(1+$A$63)^4</f>
        <v>0.64699441307101357</v>
      </c>
      <c r="F63" s="307">
        <f>1/(1+$A$63)^5</f>
        <v>0.58026404759732153</v>
      </c>
      <c r="G63" s="307">
        <f>1/(1+$A$63)^6</f>
        <v>0.52041618618593866</v>
      </c>
      <c r="H63" s="307">
        <f>1/(1+$A$63)^7</f>
        <v>0.46674097415779248</v>
      </c>
      <c r="J63" s="351">
        <f>B63*B10</f>
        <v>18439.114845324159</v>
      </c>
      <c r="K63" s="351">
        <f t="shared" ref="K63:P63" si="173">C63*C10</f>
        <v>25300.621412494194</v>
      </c>
      <c r="L63" s="351">
        <f t="shared" si="173"/>
        <v>18524.055865466922</v>
      </c>
      <c r="M63" s="351">
        <f t="shared" si="173"/>
        <v>19176.583772224407</v>
      </c>
      <c r="N63" s="351">
        <f t="shared" si="173"/>
        <v>19853.332392955654</v>
      </c>
      <c r="O63" s="351">
        <f t="shared" si="173"/>
        <v>20555.263516958927</v>
      </c>
      <c r="P63" s="351">
        <f t="shared" si="173"/>
        <v>21283.38031792095</v>
      </c>
      <c r="Q63" s="309">
        <f t="shared" si="156"/>
        <v>143132.35212334519</v>
      </c>
      <c r="S63" s="351">
        <f t="shared" si="157"/>
        <v>21602.631022689762</v>
      </c>
      <c r="T63" s="351">
        <f t="shared" si="158"/>
        <v>21709.04792427937</v>
      </c>
      <c r="U63" s="351">
        <f t="shared" si="159"/>
        <v>21815.46482586897</v>
      </c>
      <c r="V63" s="351">
        <f t="shared" si="160"/>
        <v>21921.881727458578</v>
      </c>
      <c r="W63" s="351">
        <f t="shared" si="161"/>
        <v>22028.298629048182</v>
      </c>
      <c r="X63" s="351">
        <f t="shared" si="162"/>
        <v>22134.71553063779</v>
      </c>
      <c r="Z63" s="351">
        <f>S63/($A$63-S58)</f>
        <v>216026.31022689762</v>
      </c>
      <c r="AA63" s="351">
        <f t="shared" ref="AA63:AE63" si="174">T63/($A$63-T58)</f>
        <v>228516.29393978283</v>
      </c>
      <c r="AB63" s="351">
        <f t="shared" si="174"/>
        <v>242394.05362076635</v>
      </c>
      <c r="AC63" s="351">
        <f t="shared" si="174"/>
        <v>257904.49091127736</v>
      </c>
      <c r="AD63" s="351">
        <f t="shared" si="174"/>
        <v>275353.73286310228</v>
      </c>
      <c r="AE63" s="351">
        <f t="shared" si="174"/>
        <v>295129.54040850385</v>
      </c>
      <c r="AG63" s="351">
        <f>Z63/(1+$A$63)^6</f>
        <v>112423.5884841025</v>
      </c>
      <c r="AH63" s="351">
        <f t="shared" ref="AH63:AL63" si="175">AA63/(1+$A$63)^6</f>
        <v>118923.57817348671</v>
      </c>
      <c r="AI63" s="351">
        <f t="shared" si="175"/>
        <v>126145.78893946913</v>
      </c>
      <c r="AJ63" s="351">
        <f t="shared" si="175"/>
        <v>134217.67156027304</v>
      </c>
      <c r="AK63" s="351">
        <f t="shared" si="175"/>
        <v>143298.53950867744</v>
      </c>
      <c r="AL63" s="351">
        <f t="shared" si="175"/>
        <v>153590.18985020244</v>
      </c>
    </row>
    <row r="64" spans="1:38" s="347" customFormat="1" x14ac:dyDescent="0.3">
      <c r="A64" s="306">
        <v>0.11899999999999999</v>
      </c>
      <c r="B64" s="306">
        <f ca="1">'DCF-DDM-RIM'!BA4</f>
        <v>0.92323614580299151</v>
      </c>
      <c r="C64" s="306">
        <f ca="1">'DCF-DDM-RIM'!BA5</f>
        <v>0.85236498091716273</v>
      </c>
      <c r="D64" s="306">
        <f ca="1">'DCF-DDM-RIM'!BA6</f>
        <v>0.78693415979940173</v>
      </c>
      <c r="E64" s="306">
        <f ca="1">'DCF-DDM-RIM'!BA7</f>
        <v>0.72652606069391523</v>
      </c>
      <c r="F64" s="306">
        <f ca="1">'DCF-DDM-RIM'!BA8</f>
        <v>0.67075512010048055</v>
      </c>
      <c r="G64" s="306">
        <f ca="1">'DCF-DDM-RIM'!BA9</f>
        <v>0.61926537185919051</v>
      </c>
      <c r="H64" s="306">
        <f ca="1">'DCF-DDM-RIM'!BA10</f>
        <v>0.57172817514453533</v>
      </c>
      <c r="J64" s="357">
        <f ca="1">B64*B10</f>
        <v>18981.377913824617</v>
      </c>
      <c r="K64" s="357">
        <f t="shared" ref="K64:P64" ca="1" si="176">C64*C10</f>
        <v>26810.599270333722</v>
      </c>
      <c r="L64" s="357">
        <f t="shared" ca="1" si="176"/>
        <v>20206.871612722607</v>
      </c>
      <c r="M64" s="357">
        <f t="shared" ca="1" si="176"/>
        <v>21533.861164998751</v>
      </c>
      <c r="N64" s="357">
        <f t="shared" ca="1" si="176"/>
        <v>22949.421748205517</v>
      </c>
      <c r="O64" s="357">
        <f t="shared" ca="1" si="176"/>
        <v>24459.583009482416</v>
      </c>
      <c r="P64" s="357">
        <f t="shared" ca="1" si="176"/>
        <v>26070.794860102193</v>
      </c>
      <c r="Q64" s="315">
        <f t="shared" ca="1" si="156"/>
        <v>161012.50957966986</v>
      </c>
      <c r="S64" s="351">
        <f t="shared" ca="1" si="157"/>
        <v>26461.856783003725</v>
      </c>
      <c r="T64" s="351">
        <f t="shared" ca="1" si="158"/>
        <v>26592.210757304238</v>
      </c>
      <c r="U64" s="351">
        <f t="shared" ca="1" si="159"/>
        <v>26722.564731604743</v>
      </c>
      <c r="V64" s="351">
        <f t="shared" ca="1" si="160"/>
        <v>26852.91870590526</v>
      </c>
      <c r="W64" s="351">
        <f t="shared" ca="1" si="161"/>
        <v>26983.272680205766</v>
      </c>
      <c r="X64" s="351">
        <f t="shared" ca="1" si="162"/>
        <v>27113.626654506283</v>
      </c>
      <c r="Z64" s="351">
        <f ca="1">S64/($A$64-S58)</f>
        <v>254440.93060580504</v>
      </c>
      <c r="AA64" s="351">
        <f t="shared" ref="AA64:AE64" ca="1" si="177">T64/($A$64-T58)</f>
        <v>268608.18946771958</v>
      </c>
      <c r="AB64" s="351">
        <f t="shared" ca="1" si="177"/>
        <v>284282.60352771002</v>
      </c>
      <c r="AC64" s="351">
        <f t="shared" ca="1" si="177"/>
        <v>301718.1877068007</v>
      </c>
      <c r="AD64" s="351">
        <f t="shared" ca="1" si="177"/>
        <v>321229.43666911632</v>
      </c>
      <c r="AE64" s="351">
        <f t="shared" ca="1" si="177"/>
        <v>343210.46398109227</v>
      </c>
      <c r="AG64" s="351">
        <f ca="1">Z64/(1+$A$64)^6</f>
        <v>129600.43407954869</v>
      </c>
      <c r="AH64" s="351">
        <f t="shared" ref="AH64:AL64" ca="1" si="178">AA64/(1+$A$64)^6</f>
        <v>136816.5800583025</v>
      </c>
      <c r="AI64" s="351">
        <f t="shared" ca="1" si="178"/>
        <v>144800.401141179</v>
      </c>
      <c r="AJ64" s="351">
        <f t="shared" ca="1" si="178"/>
        <v>153681.2807726934</v>
      </c>
      <c r="AK64" s="351">
        <f t="shared" ca="1" si="178"/>
        <v>163619.40797938802</v>
      </c>
      <c r="AL64" s="351">
        <f t="shared" ca="1" si="178"/>
        <v>174815.52597174025</v>
      </c>
    </row>
    <row r="66" spans="1:38" ht="21" x14ac:dyDescent="0.3">
      <c r="A66" s="644" t="s">
        <v>393</v>
      </c>
      <c r="B66" s="644"/>
      <c r="C66" s="644"/>
      <c r="D66" s="644"/>
      <c r="E66" s="644"/>
      <c r="F66" s="644"/>
      <c r="G66" s="644"/>
      <c r="H66" s="308" t="e" vm="7">
        <v>#VALUE!</v>
      </c>
      <c r="J66" s="643" t="s">
        <v>440</v>
      </c>
      <c r="K66" s="643"/>
      <c r="L66" s="643"/>
      <c r="M66" s="643"/>
      <c r="N66" s="643"/>
      <c r="O66" s="643"/>
      <c r="P66" s="643"/>
      <c r="Q66" s="643"/>
      <c r="S66" s="642" t="s">
        <v>439</v>
      </c>
      <c r="T66" s="642"/>
      <c r="U66" s="642"/>
      <c r="V66" s="642"/>
      <c r="W66" s="642"/>
      <c r="X66" s="642"/>
      <c r="Z66" s="640" t="s">
        <v>446</v>
      </c>
      <c r="AA66" s="640"/>
      <c r="AB66" s="640"/>
      <c r="AC66" s="640"/>
      <c r="AD66" s="640"/>
      <c r="AE66" s="640"/>
      <c r="AG66" s="639" t="s">
        <v>447</v>
      </c>
      <c r="AH66" s="639"/>
      <c r="AI66" s="639"/>
      <c r="AJ66" s="639"/>
      <c r="AK66" s="639"/>
      <c r="AL66" s="639"/>
    </row>
    <row r="67" spans="1:38" ht="28.8" x14ac:dyDescent="0.3">
      <c r="A67" s="353" t="s">
        <v>380</v>
      </c>
      <c r="B67" s="354" t="s">
        <v>335</v>
      </c>
      <c r="C67" s="354" t="s">
        <v>432</v>
      </c>
      <c r="D67" s="354" t="s">
        <v>433</v>
      </c>
      <c r="E67" s="354" t="s">
        <v>434</v>
      </c>
      <c r="F67" s="354" t="s">
        <v>435</v>
      </c>
      <c r="G67" s="354" t="s">
        <v>436</v>
      </c>
      <c r="H67" s="354" t="s">
        <v>437</v>
      </c>
      <c r="J67" s="354" t="s">
        <v>335</v>
      </c>
      <c r="K67" s="354" t="s">
        <v>432</v>
      </c>
      <c r="L67" s="354" t="s">
        <v>433</v>
      </c>
      <c r="M67" s="354" t="s">
        <v>434</v>
      </c>
      <c r="N67" s="354" t="s">
        <v>435</v>
      </c>
      <c r="O67" s="354" t="s">
        <v>436</v>
      </c>
      <c r="P67" s="354" t="s">
        <v>437</v>
      </c>
      <c r="Q67" s="300" t="s">
        <v>438</v>
      </c>
      <c r="S67" s="358">
        <v>1.4999999999999999E-2</v>
      </c>
      <c r="T67" s="359">
        <v>0.02</v>
      </c>
      <c r="U67" s="359">
        <v>2.5000000000000001E-2</v>
      </c>
      <c r="V67" s="359">
        <v>0.03</v>
      </c>
      <c r="W67" s="359">
        <v>3.5000000000000003E-2</v>
      </c>
      <c r="X67" s="359">
        <v>0.04</v>
      </c>
      <c r="Z67" s="640"/>
      <c r="AA67" s="640"/>
      <c r="AB67" s="640"/>
      <c r="AC67" s="640"/>
      <c r="AD67" s="640"/>
      <c r="AE67" s="640"/>
      <c r="AG67" s="639"/>
      <c r="AH67" s="639"/>
      <c r="AI67" s="639"/>
      <c r="AJ67" s="639"/>
      <c r="AK67" s="639"/>
      <c r="AL67" s="639"/>
    </row>
    <row r="68" spans="1:38" x14ac:dyDescent="0.3">
      <c r="A68" s="307">
        <v>5.5E-2</v>
      </c>
      <c r="B68" s="307">
        <f>B33</f>
        <v>0.94786729857819907</v>
      </c>
      <c r="C68" s="307">
        <f t="shared" ref="C68:H68" si="179">C33</f>
        <v>0.89845241571393286</v>
      </c>
      <c r="D68" s="307">
        <f t="shared" si="179"/>
        <v>0.85161366418382267</v>
      </c>
      <c r="E68" s="307">
        <f t="shared" si="179"/>
        <v>0.80721674330220161</v>
      </c>
      <c r="F68" s="307">
        <f t="shared" si="179"/>
        <v>0.76513435384094941</v>
      </c>
      <c r="G68" s="307">
        <f t="shared" si="179"/>
        <v>0.72524583302459655</v>
      </c>
      <c r="H68" s="307">
        <f t="shared" si="179"/>
        <v>0.68743680855412004</v>
      </c>
      <c r="J68" s="351">
        <f>B68*B11</f>
        <v>7995.7794101330246</v>
      </c>
      <c r="K68" s="351">
        <f t="shared" ref="K68:P68" si="180">C68*C11</f>
        <v>39756.448376747998</v>
      </c>
      <c r="L68" s="351">
        <f t="shared" si="180"/>
        <v>23653.855170156272</v>
      </c>
      <c r="M68" s="351">
        <f t="shared" si="180"/>
        <v>25513.119281872085</v>
      </c>
      <c r="N68" s="351">
        <f t="shared" si="180"/>
        <v>27520.759731991213</v>
      </c>
      <c r="O68" s="351">
        <f t="shared" si="180"/>
        <v>29688.835469206166</v>
      </c>
      <c r="P68" s="351">
        <f t="shared" si="180"/>
        <v>32030.406462978961</v>
      </c>
      <c r="Q68" s="309">
        <f>SUM(J68:P68)</f>
        <v>186159.2039030857</v>
      </c>
      <c r="S68" s="351">
        <f>P68*(1+$S$67)</f>
        <v>32510.862559923644</v>
      </c>
      <c r="T68" s="351">
        <f>P68*(1+$T$67)</f>
        <v>32671.014592238542</v>
      </c>
      <c r="U68" s="351">
        <f>P68*(1+$U$67)</f>
        <v>32831.166624553429</v>
      </c>
      <c r="V68" s="351">
        <f>P68*(1+$V$67)</f>
        <v>32991.31865686833</v>
      </c>
      <c r="W68" s="351">
        <f>P68*(1+$W$67)</f>
        <v>33151.470689183225</v>
      </c>
      <c r="X68" s="351">
        <f>P68*(1+$X$67)</f>
        <v>33311.622721498119</v>
      </c>
      <c r="Z68" s="351">
        <f>S68/($A$68-S67)</f>
        <v>812771.56399809103</v>
      </c>
      <c r="AA68" s="351">
        <f t="shared" ref="AA68:AE68" si="181">T68/($A$68-T67)</f>
        <v>933457.559778244</v>
      </c>
      <c r="AB68" s="351">
        <f t="shared" si="181"/>
        <v>1094372.2208184476</v>
      </c>
      <c r="AC68" s="351">
        <f t="shared" si="181"/>
        <v>1319652.7462747332</v>
      </c>
      <c r="AD68" s="351">
        <f t="shared" si="181"/>
        <v>1657573.5344591616</v>
      </c>
      <c r="AE68" s="351">
        <f t="shared" si="181"/>
        <v>2220774.8480998748</v>
      </c>
      <c r="AG68" s="351">
        <f>Z68/(1+$A$68)^2</f>
        <v>730236.57509767625</v>
      </c>
      <c r="AH68" s="351">
        <f t="shared" ref="AH68:AL68" si="182">AA68/(1+$A$68)^2</f>
        <v>838667.19954919617</v>
      </c>
      <c r="AI68" s="351">
        <f t="shared" si="182"/>
        <v>983241.36548455583</v>
      </c>
      <c r="AJ68" s="351">
        <f t="shared" si="182"/>
        <v>1185645.1977940598</v>
      </c>
      <c r="AK68" s="351">
        <f t="shared" si="182"/>
        <v>1489250.9462583156</v>
      </c>
      <c r="AL68" s="351">
        <f t="shared" si="182"/>
        <v>1995260.5270320748</v>
      </c>
    </row>
    <row r="69" spans="1:38" s="347" customFormat="1" x14ac:dyDescent="0.3">
      <c r="A69" s="306">
        <v>5.6000000000000001E-2</v>
      </c>
      <c r="B69" s="306">
        <f ca="1">'DCF-DDM-RIM'!BK4</f>
        <v>0.93466417049022199</v>
      </c>
      <c r="C69" s="306">
        <f ca="1">'DCF-DDM-RIM'!BK5</f>
        <v>0.87359711159817466</v>
      </c>
      <c r="D69" s="306">
        <f ca="1">'DCF-DDM-RIM'!BK6</f>
        <v>0.81651991965456183</v>
      </c>
      <c r="E69" s="306">
        <f ca="1">'DCF-DDM-RIM'!BK7</f>
        <v>0.76317191339267365</v>
      </c>
      <c r="F69" s="306">
        <f ca="1">'DCF-DDM-RIM'!BK8</f>
        <v>0.71330944337259883</v>
      </c>
      <c r="G69" s="306">
        <f ca="1">'DCF-DDM-RIM'!BK9</f>
        <v>0.666704779192692</v>
      </c>
      <c r="H69" s="306">
        <f ca="1">'DCF-DDM-RIM'!BK10</f>
        <v>0.623145069406004</v>
      </c>
      <c r="J69" s="357">
        <f ca="1">B69*B11</f>
        <v>7884.4037989334929</v>
      </c>
      <c r="K69" s="357">
        <f t="shared" ref="K69:P69" ca="1" si="183">C69*C11</f>
        <v>38656.603134324891</v>
      </c>
      <c r="L69" s="357">
        <f t="shared" ca="1" si="183"/>
        <v>22679.114644745419</v>
      </c>
      <c r="M69" s="357">
        <f t="shared" ca="1" si="183"/>
        <v>24121.026007599077</v>
      </c>
      <c r="N69" s="357">
        <f t="shared" ca="1" si="183"/>
        <v>25656.693765051354</v>
      </c>
      <c r="O69" s="357">
        <f t="shared" ca="1" si="183"/>
        <v>27292.385001974857</v>
      </c>
      <c r="P69" s="357">
        <f t="shared" ca="1" si="183"/>
        <v>29034.799431901789</v>
      </c>
      <c r="Q69" s="315">
        <f t="shared" ref="Q69:Q73" ca="1" si="184">SUM(J69:P69)</f>
        <v>175325.02578453091</v>
      </c>
      <c r="S69" s="351">
        <f t="shared" ref="S69:S73" ca="1" si="185">P69*(1+$S$67)</f>
        <v>29470.321423380312</v>
      </c>
      <c r="T69" s="351">
        <f ca="1">P69*(1+$T$67)</f>
        <v>29615.495420539824</v>
      </c>
      <c r="U69" s="351">
        <f t="shared" ref="U69:U73" ca="1" si="186">P69*(1+$U$67)</f>
        <v>29760.66941769933</v>
      </c>
      <c r="V69" s="351">
        <f t="shared" ref="V69:V73" ca="1" si="187">P69*(1+$V$67)</f>
        <v>29905.843414858842</v>
      </c>
      <c r="W69" s="351">
        <f t="shared" ref="W69:W73" ca="1" si="188">P69*(1+$W$67)</f>
        <v>30051.017412018351</v>
      </c>
      <c r="X69" s="351">
        <f t="shared" ref="X69:X73" ca="1" si="189">P69*(1+$X$67)</f>
        <v>30196.19140917786</v>
      </c>
      <c r="Z69" s="351">
        <f ca="1">S69/($A$69-S67)</f>
        <v>718788.32739951974</v>
      </c>
      <c r="AA69" s="351">
        <f t="shared" ref="AA69:AE69" ca="1" si="190">T69/($A$69-T67)</f>
        <v>822652.65057055058</v>
      </c>
      <c r="AB69" s="351">
        <f t="shared" ca="1" si="190"/>
        <v>960021.5941193332</v>
      </c>
      <c r="AC69" s="351">
        <f t="shared" ca="1" si="190"/>
        <v>1150224.7467253399</v>
      </c>
      <c r="AD69" s="351">
        <f t="shared" ca="1" si="190"/>
        <v>1431000.8291437312</v>
      </c>
      <c r="AE69" s="351">
        <f t="shared" ca="1" si="190"/>
        <v>1887261.9630736161</v>
      </c>
      <c r="AG69" s="351">
        <f ca="1">Z69/(1+$A$69)^2</f>
        <v>644574.58767318039</v>
      </c>
      <c r="AH69" s="351">
        <f t="shared" ref="AH69:AL69" ca="1" si="191">AA69/(1+$A$69)^2</f>
        <v>737715.08638457593</v>
      </c>
      <c r="AI69" s="351">
        <f t="shared" ca="1" si="191"/>
        <v>860900.90726093773</v>
      </c>
      <c r="AJ69" s="351">
        <f t="shared" ca="1" si="191"/>
        <v>1031465.8900128234</v>
      </c>
      <c r="AK69" s="351">
        <f t="shared" ca="1" si="191"/>
        <v>1283252.29312275</v>
      </c>
      <c r="AL69" s="351">
        <f t="shared" ca="1" si="191"/>
        <v>1692405.1981763802</v>
      </c>
    </row>
    <row r="70" spans="1:38" x14ac:dyDescent="0.3">
      <c r="A70" s="307">
        <v>0.06</v>
      </c>
      <c r="B70" s="307">
        <f>B41</f>
        <v>0.94339622641509424</v>
      </c>
      <c r="C70" s="307">
        <f t="shared" ref="C70:H70" si="192">C41</f>
        <v>0.88999644001423983</v>
      </c>
      <c r="D70" s="307">
        <f t="shared" si="192"/>
        <v>0.8396192830323016</v>
      </c>
      <c r="E70" s="307">
        <f t="shared" si="192"/>
        <v>0.79209366323802044</v>
      </c>
      <c r="F70" s="307">
        <f t="shared" si="192"/>
        <v>0.74725817286605689</v>
      </c>
      <c r="G70" s="307">
        <f t="shared" si="192"/>
        <v>0.70496054043967626</v>
      </c>
      <c r="H70" s="307">
        <f t="shared" si="192"/>
        <v>0.66505711362233599</v>
      </c>
      <c r="J70" s="351">
        <f>B70*B11</f>
        <v>7958.0634695191884</v>
      </c>
      <c r="K70" s="351">
        <f t="shared" ref="K70:P70" si="193">C70*C11</f>
        <v>39382.272120443151</v>
      </c>
      <c r="L70" s="351">
        <f t="shared" si="193"/>
        <v>23320.707210528781</v>
      </c>
      <c r="M70" s="351">
        <f t="shared" si="193"/>
        <v>25035.134962557353</v>
      </c>
      <c r="N70" s="351">
        <f t="shared" si="193"/>
        <v>26877.779738914236</v>
      </c>
      <c r="O70" s="351">
        <f t="shared" si="193"/>
        <v>28858.431919713479</v>
      </c>
      <c r="P70" s="351">
        <f t="shared" si="193"/>
        <v>30987.647744995531</v>
      </c>
      <c r="Q70" s="309">
        <f t="shared" si="184"/>
        <v>182420.03716667174</v>
      </c>
      <c r="S70" s="351">
        <f t="shared" si="185"/>
        <v>31452.46246117046</v>
      </c>
      <c r="T70" s="351">
        <f t="shared" ref="T70:T73" si="194">P70*(1+$T$67)</f>
        <v>31607.400699895443</v>
      </c>
      <c r="U70" s="351">
        <f t="shared" si="186"/>
        <v>31762.338938620418</v>
      </c>
      <c r="V70" s="351">
        <f t="shared" si="187"/>
        <v>31917.277177345397</v>
      </c>
      <c r="W70" s="351">
        <f t="shared" si="188"/>
        <v>32072.215416070372</v>
      </c>
      <c r="X70" s="351">
        <f t="shared" si="189"/>
        <v>32227.153654795355</v>
      </c>
      <c r="Z70" s="351">
        <f>S70/($A$70-S67)</f>
        <v>698943.61024823249</v>
      </c>
      <c r="AA70" s="351">
        <f t="shared" ref="AA70:AE70" si="195">T70/($A$70-T67)</f>
        <v>790185.0174973862</v>
      </c>
      <c r="AB70" s="351">
        <f t="shared" si="195"/>
        <v>907495.39824629773</v>
      </c>
      <c r="AC70" s="351">
        <f t="shared" si="195"/>
        <v>1063909.2392448466</v>
      </c>
      <c r="AD70" s="351">
        <f t="shared" si="195"/>
        <v>1282888.6166428151</v>
      </c>
      <c r="AE70" s="351">
        <f t="shared" si="195"/>
        <v>1611357.6827397679</v>
      </c>
      <c r="AG70" s="351">
        <f>Z70/(1+$A$70)^2</f>
        <v>622057.3248916273</v>
      </c>
      <c r="AH70" s="351">
        <f t="shared" ref="AH70:AL70" si="196">AA70/(1+$A$70)^2</f>
        <v>703261.85252526356</v>
      </c>
      <c r="AI70" s="351">
        <f t="shared" si="196"/>
        <v>807667.67376850976</v>
      </c>
      <c r="AJ70" s="351">
        <f t="shared" si="196"/>
        <v>946875.43542617164</v>
      </c>
      <c r="AK70" s="351">
        <f t="shared" si="196"/>
        <v>1141766.3017468983</v>
      </c>
      <c r="AL70" s="351">
        <f t="shared" si="196"/>
        <v>1434102.6012279883</v>
      </c>
    </row>
    <row r="71" spans="1:38" x14ac:dyDescent="0.3">
      <c r="A71" s="307">
        <v>6.5000000000000002E-2</v>
      </c>
      <c r="B71" s="307">
        <f>B50</f>
        <v>0.93896713615023475</v>
      </c>
      <c r="C71" s="307">
        <f t="shared" ref="C71:H71" si="197">C50</f>
        <v>0.88165928277017358</v>
      </c>
      <c r="D71" s="307">
        <f t="shared" si="197"/>
        <v>0.82784909180297994</v>
      </c>
      <c r="E71" s="307">
        <f t="shared" si="197"/>
        <v>0.77732309089481699</v>
      </c>
      <c r="F71" s="307">
        <f t="shared" si="197"/>
        <v>0.72988083652095492</v>
      </c>
      <c r="G71" s="307">
        <f t="shared" si="197"/>
        <v>0.68533411879901873</v>
      </c>
      <c r="H71" s="307">
        <f t="shared" si="197"/>
        <v>0.64350621483475945</v>
      </c>
      <c r="J71" s="351">
        <f>B71*B11</f>
        <v>7920.7016691928084</v>
      </c>
      <c r="K71" s="351">
        <f t="shared" ref="K71:P71" si="198">C71*C11</f>
        <v>39013.353571407737</v>
      </c>
      <c r="L71" s="351">
        <f t="shared" si="198"/>
        <v>22993.786201187952</v>
      </c>
      <c r="M71" s="351">
        <f t="shared" si="198"/>
        <v>24568.292101354968</v>
      </c>
      <c r="N71" s="351">
        <f t="shared" si="198"/>
        <v>26252.742455024403</v>
      </c>
      <c r="O71" s="351">
        <f t="shared" si="198"/>
        <v>28055.000067497669</v>
      </c>
      <c r="P71" s="351">
        <f t="shared" si="198"/>
        <v>29983.505925385281</v>
      </c>
      <c r="Q71" s="309">
        <f t="shared" si="184"/>
        <v>178787.38199105082</v>
      </c>
      <c r="S71" s="351">
        <f t="shared" si="185"/>
        <v>30433.258514266057</v>
      </c>
      <c r="T71" s="351">
        <f t="shared" si="194"/>
        <v>30583.176043892989</v>
      </c>
      <c r="U71" s="351">
        <f t="shared" si="186"/>
        <v>30733.093573519909</v>
      </c>
      <c r="V71" s="351">
        <f t="shared" si="187"/>
        <v>30883.01110314684</v>
      </c>
      <c r="W71" s="351">
        <f t="shared" si="188"/>
        <v>31032.928632773765</v>
      </c>
      <c r="X71" s="351">
        <f t="shared" si="189"/>
        <v>31182.846162400692</v>
      </c>
      <c r="Z71" s="351">
        <f>S71/($A$71-S67)</f>
        <v>608665.17028532107</v>
      </c>
      <c r="AA71" s="351">
        <f t="shared" ref="AA71:AE71" si="199">T71/($A$71-T67)</f>
        <v>679626.13430873316</v>
      </c>
      <c r="AB71" s="351">
        <f t="shared" si="199"/>
        <v>768327.33933799772</v>
      </c>
      <c r="AC71" s="351">
        <f t="shared" si="199"/>
        <v>882371.74580419541</v>
      </c>
      <c r="AD71" s="351">
        <f t="shared" si="199"/>
        <v>1034430.9544257922</v>
      </c>
      <c r="AE71" s="351">
        <f t="shared" si="199"/>
        <v>1247313.8464960277</v>
      </c>
      <c r="AG71" s="351">
        <f>Z71/(1+$A$71)^2</f>
        <v>536635.29748094175</v>
      </c>
      <c r="AH71" s="351">
        <f t="shared" ref="AH71:AL71" si="200">AA71/(1+$A$71)^2</f>
        <v>599198.69012650335</v>
      </c>
      <c r="AI71" s="351">
        <f t="shared" si="200"/>
        <v>677402.93093345489</v>
      </c>
      <c r="AJ71" s="351">
        <f t="shared" si="200"/>
        <v>777951.24054239283</v>
      </c>
      <c r="AK71" s="351">
        <f t="shared" si="200"/>
        <v>912015.65335431008</v>
      </c>
      <c r="AL71" s="351">
        <f t="shared" si="200"/>
        <v>1099705.8312909941</v>
      </c>
    </row>
    <row r="72" spans="1:38" x14ac:dyDescent="0.3">
      <c r="A72" s="307">
        <v>7.0000000000000007E-2</v>
      </c>
      <c r="B72" s="307">
        <f>B42</f>
        <v>0.93457943925233644</v>
      </c>
      <c r="C72" s="307">
        <f t="shared" ref="C72:H72" si="201">C42</f>
        <v>0.87343872827321156</v>
      </c>
      <c r="D72" s="307">
        <f t="shared" si="201"/>
        <v>0.81629787689085187</v>
      </c>
      <c r="E72" s="307">
        <f t="shared" si="201"/>
        <v>0.7628952120475252</v>
      </c>
      <c r="F72" s="307">
        <f t="shared" si="201"/>
        <v>0.71298617948366838</v>
      </c>
      <c r="G72" s="307">
        <f t="shared" si="201"/>
        <v>0.66634222381651254</v>
      </c>
      <c r="H72" s="307">
        <f t="shared" si="201"/>
        <v>0.62274974188459109</v>
      </c>
      <c r="J72" s="351">
        <f>B72*B11</f>
        <v>7883.6890445704121</v>
      </c>
      <c r="K72" s="351">
        <f t="shared" ref="K72:P72" si="202">C72*C11</f>
        <v>38649.594684714757</v>
      </c>
      <c r="L72" s="351">
        <f t="shared" si="202"/>
        <v>22672.947332506003</v>
      </c>
      <c r="M72" s="351">
        <f t="shared" si="202"/>
        <v>24112.280507108902</v>
      </c>
      <c r="N72" s="351">
        <f t="shared" si="202"/>
        <v>25645.066437415855</v>
      </c>
      <c r="O72" s="351">
        <f t="shared" si="202"/>
        <v>27277.54334908734</v>
      </c>
      <c r="P72" s="351">
        <f t="shared" si="202"/>
        <v>29016.379555282889</v>
      </c>
      <c r="Q72" s="309">
        <f t="shared" si="184"/>
        <v>175257.50091068615</v>
      </c>
      <c r="S72" s="351">
        <f t="shared" si="185"/>
        <v>29451.62524861213</v>
      </c>
      <c r="T72" s="351">
        <f t="shared" si="194"/>
        <v>29596.707146388548</v>
      </c>
      <c r="U72" s="351">
        <f t="shared" si="186"/>
        <v>29741.789044164958</v>
      </c>
      <c r="V72" s="351">
        <f t="shared" si="187"/>
        <v>29886.870941941375</v>
      </c>
      <c r="W72" s="351">
        <f t="shared" si="188"/>
        <v>30031.952839717789</v>
      </c>
      <c r="X72" s="351">
        <f t="shared" si="189"/>
        <v>30177.034737494207</v>
      </c>
      <c r="Z72" s="351">
        <f>S72/($A$72-S67)</f>
        <v>535484.09542931139</v>
      </c>
      <c r="AA72" s="351">
        <f t="shared" ref="AA72:AE72" si="203">T72/($A$72-T67)</f>
        <v>591934.14292777097</v>
      </c>
      <c r="AB72" s="351">
        <f t="shared" si="203"/>
        <v>660928.64542588789</v>
      </c>
      <c r="AC72" s="351">
        <f t="shared" si="203"/>
        <v>747171.77354853426</v>
      </c>
      <c r="AD72" s="351">
        <f t="shared" si="203"/>
        <v>858055.79542050813</v>
      </c>
      <c r="AE72" s="351">
        <f t="shared" si="203"/>
        <v>1005901.1579164733</v>
      </c>
      <c r="AG72" s="351">
        <f>Z72/(1+$A$72)^2</f>
        <v>467712.54732230882</v>
      </c>
      <c r="AH72" s="351">
        <f t="shared" ref="AH72:AL72" si="204">AA72/(1+$A$72)^2</f>
        <v>517018.20502032572</v>
      </c>
      <c r="AI72" s="351">
        <f t="shared" si="204"/>
        <v>577280.67554012395</v>
      </c>
      <c r="AJ72" s="351">
        <f t="shared" si="204"/>
        <v>652608.76368987176</v>
      </c>
      <c r="AK72" s="351">
        <f t="shared" si="204"/>
        <v>749459.16273954767</v>
      </c>
      <c r="AL72" s="351">
        <f t="shared" si="204"/>
        <v>878593.02813911543</v>
      </c>
    </row>
    <row r="73" spans="1:38" x14ac:dyDescent="0.3">
      <c r="A73" s="307">
        <v>7.4999999999999997E-2</v>
      </c>
      <c r="B73" s="307">
        <f>B59</f>
        <v>0.93023255813953487</v>
      </c>
      <c r="C73" s="307">
        <f t="shared" ref="C73:H73" si="205">C59</f>
        <v>0.86533261222282321</v>
      </c>
      <c r="D73" s="307">
        <f t="shared" si="205"/>
        <v>0.80496056950960304</v>
      </c>
      <c r="E73" s="307">
        <f t="shared" si="205"/>
        <v>0.7488005297763749</v>
      </c>
      <c r="F73" s="307">
        <f t="shared" si="205"/>
        <v>0.69655863235011617</v>
      </c>
      <c r="G73" s="307">
        <f t="shared" si="205"/>
        <v>0.64796151846522443</v>
      </c>
      <c r="H73" s="307">
        <f t="shared" si="205"/>
        <v>0.60275490089788319</v>
      </c>
      <c r="J73" s="351">
        <f>B73*B11</f>
        <v>7847.0207234328745</v>
      </c>
      <c r="K73" s="351">
        <f t="shared" ref="K73:P73" si="206">C73*C11</f>
        <v>38290.899690236831</v>
      </c>
      <c r="L73" s="351">
        <f t="shared" si="206"/>
        <v>22358.049817242885</v>
      </c>
      <c r="M73" s="351">
        <f t="shared" si="206"/>
        <v>23666.800017503498</v>
      </c>
      <c r="N73" s="351">
        <f t="shared" si="206"/>
        <v>25054.191677474766</v>
      </c>
      <c r="O73" s="351">
        <f t="shared" si="206"/>
        <v>26525.106434411759</v>
      </c>
      <c r="P73" s="351">
        <f t="shared" si="206"/>
        <v>28084.740638079831</v>
      </c>
      <c r="Q73" s="309">
        <f t="shared" si="184"/>
        <v>171826.80899838242</v>
      </c>
      <c r="S73" s="351">
        <f t="shared" si="185"/>
        <v>28506.011747651024</v>
      </c>
      <c r="T73" s="351">
        <f t="shared" si="194"/>
        <v>28646.435450841429</v>
      </c>
      <c r="U73" s="351">
        <f t="shared" si="186"/>
        <v>28786.859154031823</v>
      </c>
      <c r="V73" s="351">
        <f t="shared" si="187"/>
        <v>28927.282857222228</v>
      </c>
      <c r="W73" s="351">
        <f t="shared" si="188"/>
        <v>29067.706560412622</v>
      </c>
      <c r="X73" s="351">
        <f t="shared" si="189"/>
        <v>29208.130263603027</v>
      </c>
      <c r="Z73" s="351">
        <f>S73/($A$73-S67)</f>
        <v>475100.19579418376</v>
      </c>
      <c r="AA73" s="351">
        <f t="shared" ref="AA73:AE73" si="207">T73/($A$73-T67)</f>
        <v>520844.28092438966</v>
      </c>
      <c r="AB73" s="351">
        <f t="shared" si="207"/>
        <v>575737.18308063655</v>
      </c>
      <c r="AC73" s="351">
        <f t="shared" si="207"/>
        <v>642828.50793827174</v>
      </c>
      <c r="AD73" s="351">
        <f t="shared" si="207"/>
        <v>726692.66401031567</v>
      </c>
      <c r="AE73" s="351">
        <f t="shared" si="207"/>
        <v>834518.00753151509</v>
      </c>
      <c r="AG73" s="351">
        <f>Z73/(1+$A$73)^2</f>
        <v>411119.69349415583</v>
      </c>
      <c r="AH73" s="351">
        <f t="shared" ref="AH73:AL73" si="208">AA73/(1+$A$73)^2</f>
        <v>450703.54217362008</v>
      </c>
      <c r="AI73" s="351">
        <f t="shared" si="208"/>
        <v>498204.16058897704</v>
      </c>
      <c r="AJ73" s="351">
        <f t="shared" si="208"/>
        <v>556260.47198552452</v>
      </c>
      <c r="AK73" s="351">
        <f t="shared" si="208"/>
        <v>628830.8612312089</v>
      </c>
      <c r="AL73" s="351">
        <f t="shared" si="208"/>
        <v>722135.6474042316</v>
      </c>
    </row>
  </sheetData>
  <mergeCells count="86">
    <mergeCell ref="AG66:AL67"/>
    <mergeCell ref="AG22:AL23"/>
    <mergeCell ref="AG31:AL32"/>
    <mergeCell ref="AG39:AL40"/>
    <mergeCell ref="AG48:AL49"/>
    <mergeCell ref="AG57:AL58"/>
    <mergeCell ref="N4:N5"/>
    <mergeCell ref="O4:O5"/>
    <mergeCell ref="A13:G13"/>
    <mergeCell ref="P4:P5"/>
    <mergeCell ref="J3:O3"/>
    <mergeCell ref="J13:Q13"/>
    <mergeCell ref="K4:K5"/>
    <mergeCell ref="L4:L5"/>
    <mergeCell ref="M4:M5"/>
    <mergeCell ref="A3:H3"/>
    <mergeCell ref="J66:Q66"/>
    <mergeCell ref="A22:G22"/>
    <mergeCell ref="A31:G31"/>
    <mergeCell ref="A39:G39"/>
    <mergeCell ref="A48:G48"/>
    <mergeCell ref="A57:G57"/>
    <mergeCell ref="A66:G66"/>
    <mergeCell ref="J22:Q22"/>
    <mergeCell ref="J31:Q31"/>
    <mergeCell ref="J39:Q39"/>
    <mergeCell ref="J48:Q48"/>
    <mergeCell ref="J57:Q57"/>
    <mergeCell ref="S66:X66"/>
    <mergeCell ref="Z13:AE14"/>
    <mergeCell ref="Z22:AE23"/>
    <mergeCell ref="S13:X13"/>
    <mergeCell ref="S22:X22"/>
    <mergeCell ref="S31:X31"/>
    <mergeCell ref="S39:X39"/>
    <mergeCell ref="S48:X48"/>
    <mergeCell ref="S57:X57"/>
    <mergeCell ref="Z31:AE32"/>
    <mergeCell ref="Z39:AE40"/>
    <mergeCell ref="Z48:AE49"/>
    <mergeCell ref="Z57:AE58"/>
    <mergeCell ref="Z66:AE67"/>
    <mergeCell ref="V4:V5"/>
    <mergeCell ref="W4:W5"/>
    <mergeCell ref="X4:X5"/>
    <mergeCell ref="Z3:AE3"/>
    <mergeCell ref="AA4:AA5"/>
    <mergeCell ref="AB4:AB5"/>
    <mergeCell ref="AC4:AC5"/>
    <mergeCell ref="AD4:AD5"/>
    <mergeCell ref="AE4:AE5"/>
    <mergeCell ref="R3:W3"/>
    <mergeCell ref="S4:S5"/>
    <mergeCell ref="T4:T5"/>
    <mergeCell ref="U4:U5"/>
    <mergeCell ref="AF4:AF5"/>
    <mergeCell ref="AH3:AM3"/>
    <mergeCell ref="AI4:AI5"/>
    <mergeCell ref="AJ4:AJ5"/>
    <mergeCell ref="AK4:AK5"/>
    <mergeCell ref="AL4:AL5"/>
    <mergeCell ref="AM4:AM5"/>
    <mergeCell ref="BC4:BC5"/>
    <mergeCell ref="AN4:AN5"/>
    <mergeCell ref="AP3:AU3"/>
    <mergeCell ref="AQ4:AQ5"/>
    <mergeCell ref="AR4:AR5"/>
    <mergeCell ref="AS4:AS5"/>
    <mergeCell ref="AT4:AT5"/>
    <mergeCell ref="AU4:AU5"/>
    <mergeCell ref="BL4:BL5"/>
    <mergeCell ref="A1:BL1"/>
    <mergeCell ref="AG13:AL14"/>
    <mergeCell ref="BD4:BD5"/>
    <mergeCell ref="BF3:BK3"/>
    <mergeCell ref="BG4:BG5"/>
    <mergeCell ref="BH4:BH5"/>
    <mergeCell ref="BI4:BI5"/>
    <mergeCell ref="BJ4:BJ5"/>
    <mergeCell ref="BK4:BK5"/>
    <mergeCell ref="AV4:AV5"/>
    <mergeCell ref="AX3:BC3"/>
    <mergeCell ref="AY4:AY5"/>
    <mergeCell ref="AZ4:AZ5"/>
    <mergeCell ref="BA4:BA5"/>
    <mergeCell ref="BB4:BB5"/>
  </mergeCells>
  <phoneticPr fontId="2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4C57F-AF54-44C8-B02C-0B765E4FF8D3}">
  <sheetPr>
    <tabColor rgb="FF002060"/>
  </sheetPr>
  <dimension ref="A1:G57"/>
  <sheetViews>
    <sheetView workbookViewId="0">
      <selection activeCell="F1" sqref="F1:F3"/>
    </sheetView>
  </sheetViews>
  <sheetFormatPr defaultRowHeight="14.4" x14ac:dyDescent="0.3"/>
  <cols>
    <col min="1" max="1" width="19.21875" bestFit="1" customWidth="1"/>
    <col min="2" max="2" width="12.33203125" bestFit="1" customWidth="1"/>
    <col min="3" max="3" width="24.33203125" bestFit="1" customWidth="1"/>
    <col min="4" max="7" width="12.33203125" bestFit="1" customWidth="1"/>
  </cols>
  <sheetData>
    <row r="1" spans="1:7" x14ac:dyDescent="0.3">
      <c r="A1" s="373" t="s">
        <v>449</v>
      </c>
      <c r="C1" s="373" t="s">
        <v>458</v>
      </c>
      <c r="F1" s="373"/>
    </row>
    <row r="2" spans="1:7" x14ac:dyDescent="0.3">
      <c r="A2" t="s">
        <v>5</v>
      </c>
      <c r="C2" t="s">
        <v>459</v>
      </c>
    </row>
    <row r="3" spans="1:7" x14ac:dyDescent="0.3">
      <c r="A3" t="s">
        <v>451</v>
      </c>
      <c r="C3" t="s">
        <v>460</v>
      </c>
    </row>
    <row r="4" spans="1:7" x14ac:dyDescent="0.3">
      <c r="A4" t="s">
        <v>4</v>
      </c>
      <c r="C4" t="s">
        <v>461</v>
      </c>
    </row>
    <row r="5" spans="1:7" x14ac:dyDescent="0.3">
      <c r="A5" t="s">
        <v>448</v>
      </c>
      <c r="C5" t="s">
        <v>462</v>
      </c>
    </row>
    <row r="6" spans="1:7" x14ac:dyDescent="0.3">
      <c r="A6" t="s">
        <v>453</v>
      </c>
      <c r="C6" t="s">
        <v>463</v>
      </c>
    </row>
    <row r="7" spans="1:7" x14ac:dyDescent="0.3">
      <c r="A7" t="s">
        <v>454</v>
      </c>
      <c r="C7" t="s">
        <v>464</v>
      </c>
    </row>
    <row r="8" spans="1:7" x14ac:dyDescent="0.3">
      <c r="A8" t="s">
        <v>455</v>
      </c>
      <c r="C8" t="s">
        <v>465</v>
      </c>
    </row>
    <row r="9" spans="1:7" x14ac:dyDescent="0.3">
      <c r="C9" t="s">
        <v>466</v>
      </c>
    </row>
    <row r="10" spans="1:7" x14ac:dyDescent="0.3">
      <c r="A10" s="373" t="s">
        <v>456</v>
      </c>
    </row>
    <row r="11" spans="1:7" x14ac:dyDescent="0.3">
      <c r="A11" t="s">
        <v>450</v>
      </c>
      <c r="B11" s="379"/>
      <c r="C11" s="383" t="s">
        <v>467</v>
      </c>
      <c r="D11" s="379"/>
      <c r="E11" s="379"/>
      <c r="F11" s="379"/>
      <c r="G11" s="379"/>
    </row>
    <row r="12" spans="1:7" x14ac:dyDescent="0.3">
      <c r="A12" t="s">
        <v>121</v>
      </c>
      <c r="B12" s="379"/>
      <c r="C12" s="379" t="s">
        <v>468</v>
      </c>
      <c r="D12" s="379"/>
      <c r="E12" s="379"/>
      <c r="F12" s="379"/>
      <c r="G12" s="379"/>
    </row>
    <row r="13" spans="1:7" x14ac:dyDescent="0.3">
      <c r="A13" t="s">
        <v>457</v>
      </c>
      <c r="B13" s="379"/>
      <c r="C13" s="379" t="s">
        <v>469</v>
      </c>
      <c r="D13" s="379"/>
      <c r="E13" s="379"/>
      <c r="F13" s="379"/>
      <c r="G13" s="379"/>
    </row>
    <row r="14" spans="1:7" x14ac:dyDescent="0.3">
      <c r="A14" t="s">
        <v>28</v>
      </c>
      <c r="B14" s="379"/>
      <c r="C14" s="379"/>
      <c r="D14" s="379"/>
      <c r="E14" s="379"/>
      <c r="F14" s="379"/>
      <c r="G14" s="379"/>
    </row>
    <row r="15" spans="1:7" x14ac:dyDescent="0.3">
      <c r="A15" t="s">
        <v>375</v>
      </c>
      <c r="B15" s="379"/>
      <c r="C15" s="383" t="s">
        <v>470</v>
      </c>
      <c r="D15" s="379"/>
      <c r="E15" s="379"/>
      <c r="F15" s="379"/>
      <c r="G15" s="379"/>
    </row>
    <row r="16" spans="1:7" x14ac:dyDescent="0.3">
      <c r="C16" s="379" t="s">
        <v>471</v>
      </c>
    </row>
    <row r="17" spans="2:7" x14ac:dyDescent="0.3">
      <c r="C17" s="379" t="s">
        <v>382</v>
      </c>
    </row>
    <row r="18" spans="2:7" x14ac:dyDescent="0.3">
      <c r="B18" s="379"/>
      <c r="C18" s="379" t="s">
        <v>472</v>
      </c>
      <c r="D18" s="379"/>
      <c r="E18" s="379"/>
      <c r="F18" s="379"/>
      <c r="G18" s="379"/>
    </row>
    <row r="19" spans="2:7" x14ac:dyDescent="0.3">
      <c r="B19" s="379"/>
      <c r="C19" t="s">
        <v>473</v>
      </c>
      <c r="D19" s="379"/>
      <c r="E19" s="379"/>
      <c r="F19" s="379"/>
      <c r="G19" s="379"/>
    </row>
    <row r="20" spans="2:7" x14ac:dyDescent="0.3">
      <c r="B20" s="379"/>
      <c r="C20" s="379"/>
      <c r="D20" s="379"/>
      <c r="E20" s="379"/>
      <c r="F20" s="379"/>
      <c r="G20" s="379"/>
    </row>
    <row r="21" spans="2:7" x14ac:dyDescent="0.3">
      <c r="B21" s="379"/>
      <c r="C21" s="379"/>
      <c r="D21" s="379"/>
      <c r="E21" s="379"/>
      <c r="F21" s="379"/>
      <c r="G21" s="379"/>
    </row>
    <row r="22" spans="2:7" x14ac:dyDescent="0.3">
      <c r="B22" s="379"/>
      <c r="C22" s="379"/>
      <c r="D22" s="379"/>
      <c r="E22" s="379"/>
      <c r="F22" s="379"/>
      <c r="G22" s="379"/>
    </row>
    <row r="23" spans="2:7" x14ac:dyDescent="0.3">
      <c r="C23" s="379"/>
    </row>
    <row r="24" spans="2:7" x14ac:dyDescent="0.3">
      <c r="C24" s="379"/>
    </row>
    <row r="25" spans="2:7" x14ac:dyDescent="0.3">
      <c r="B25" s="379"/>
      <c r="C25" s="379"/>
      <c r="D25" s="379"/>
      <c r="E25" s="379"/>
      <c r="F25" s="379"/>
      <c r="G25" s="379"/>
    </row>
    <row r="26" spans="2:7" x14ac:dyDescent="0.3">
      <c r="B26" s="379"/>
      <c r="C26" s="379"/>
      <c r="D26" s="379"/>
      <c r="E26" s="379"/>
      <c r="F26" s="379"/>
      <c r="G26" s="379"/>
    </row>
    <row r="27" spans="2:7" x14ac:dyDescent="0.3">
      <c r="B27" s="379"/>
      <c r="C27" s="379"/>
      <c r="D27" s="379"/>
      <c r="E27" s="379"/>
      <c r="F27" s="379"/>
      <c r="G27" s="379"/>
    </row>
    <row r="28" spans="2:7" x14ac:dyDescent="0.3">
      <c r="B28" s="379"/>
      <c r="C28" s="379"/>
      <c r="D28" s="379"/>
      <c r="E28" s="379"/>
      <c r="F28" s="379"/>
      <c r="G28" s="379"/>
    </row>
    <row r="29" spans="2:7" x14ac:dyDescent="0.3">
      <c r="B29" s="379"/>
      <c r="C29" s="379"/>
      <c r="D29" s="379"/>
      <c r="E29" s="379"/>
      <c r="F29" s="379"/>
      <c r="G29" s="379"/>
    </row>
    <row r="30" spans="2:7" x14ac:dyDescent="0.3">
      <c r="C30" s="379"/>
    </row>
    <row r="31" spans="2:7" x14ac:dyDescent="0.3">
      <c r="C31" s="379"/>
    </row>
    <row r="32" spans="2:7" x14ac:dyDescent="0.3">
      <c r="B32" s="379"/>
      <c r="C32" s="379"/>
      <c r="D32" s="379"/>
      <c r="E32" s="379"/>
      <c r="F32" s="379"/>
      <c r="G32" s="379"/>
    </row>
    <row r="33" spans="1:7" x14ac:dyDescent="0.3">
      <c r="B33" s="379"/>
      <c r="C33" s="379"/>
      <c r="D33" s="379"/>
      <c r="E33" s="379"/>
      <c r="F33" s="379"/>
      <c r="G33" s="379"/>
    </row>
    <row r="34" spans="1:7" x14ac:dyDescent="0.3">
      <c r="B34" s="379"/>
      <c r="C34" s="379"/>
      <c r="D34" s="379"/>
      <c r="E34" s="379"/>
      <c r="F34" s="379"/>
      <c r="G34" s="379"/>
    </row>
    <row r="35" spans="1:7" x14ac:dyDescent="0.3">
      <c r="B35" s="379"/>
      <c r="C35" s="379"/>
      <c r="D35" s="379"/>
      <c r="E35" s="379"/>
      <c r="F35" s="379"/>
      <c r="G35" s="379"/>
    </row>
    <row r="36" spans="1:7" x14ac:dyDescent="0.3">
      <c r="B36" s="379"/>
      <c r="C36" s="379"/>
      <c r="D36" s="379"/>
      <c r="E36" s="379"/>
      <c r="F36" s="379"/>
      <c r="G36" s="379"/>
    </row>
    <row r="39" spans="1:7" x14ac:dyDescent="0.3">
      <c r="B39" s="379"/>
      <c r="C39" s="379"/>
      <c r="D39" s="379"/>
      <c r="E39" s="379"/>
      <c r="F39" s="379"/>
      <c r="G39" s="379"/>
    </row>
    <row r="40" spans="1:7" x14ac:dyDescent="0.3">
      <c r="B40" s="379"/>
      <c r="C40" s="379"/>
      <c r="D40" s="379"/>
      <c r="E40" s="379"/>
      <c r="F40" s="379"/>
      <c r="G40" s="379"/>
    </row>
    <row r="41" spans="1:7" x14ac:dyDescent="0.3">
      <c r="B41" s="379"/>
      <c r="C41" s="379"/>
      <c r="D41" s="379"/>
      <c r="E41" s="379"/>
      <c r="F41" s="379"/>
      <c r="G41" s="379"/>
    </row>
    <row r="42" spans="1:7" x14ac:dyDescent="0.3">
      <c r="B42" s="379"/>
      <c r="C42" s="379"/>
      <c r="D42" s="379"/>
      <c r="E42" s="379"/>
      <c r="F42" s="379"/>
      <c r="G42" s="379"/>
    </row>
    <row r="43" spans="1:7" x14ac:dyDescent="0.3">
      <c r="B43" s="379"/>
      <c r="C43" s="379"/>
      <c r="D43" s="379"/>
      <c r="E43" s="379"/>
      <c r="F43" s="379"/>
      <c r="G43" s="379"/>
    </row>
    <row r="45" spans="1:7" x14ac:dyDescent="0.3">
      <c r="A45" s="373"/>
      <c r="B45" s="373"/>
      <c r="C45" s="373"/>
      <c r="D45" s="373"/>
      <c r="E45" s="373"/>
      <c r="F45" s="373"/>
      <c r="G45" s="373"/>
    </row>
    <row r="46" spans="1:7" x14ac:dyDescent="0.3">
      <c r="B46" s="379"/>
      <c r="C46" s="379"/>
      <c r="D46" s="379"/>
      <c r="E46" s="379"/>
      <c r="F46" s="379"/>
      <c r="G46" s="379"/>
    </row>
    <row r="47" spans="1:7" x14ac:dyDescent="0.3">
      <c r="B47" s="379"/>
      <c r="C47" s="379"/>
      <c r="D47" s="379"/>
      <c r="E47" s="379"/>
      <c r="F47" s="379"/>
      <c r="G47" s="379"/>
    </row>
    <row r="48" spans="1:7" x14ac:dyDescent="0.3">
      <c r="B48" s="379"/>
      <c r="C48" s="379"/>
      <c r="D48" s="379"/>
      <c r="E48" s="379"/>
      <c r="F48" s="379"/>
      <c r="G48" s="379"/>
    </row>
    <row r="49" spans="1:7" x14ac:dyDescent="0.3">
      <c r="B49" s="379"/>
      <c r="C49" s="379"/>
      <c r="D49" s="379"/>
      <c r="E49" s="379"/>
      <c r="F49" s="379"/>
      <c r="G49" s="379"/>
    </row>
    <row r="50" spans="1:7" x14ac:dyDescent="0.3">
      <c r="B50" s="379"/>
      <c r="C50" s="379"/>
      <c r="D50" s="379"/>
      <c r="E50" s="379"/>
      <c r="F50" s="379"/>
      <c r="G50" s="379"/>
    </row>
    <row r="52" spans="1:7" x14ac:dyDescent="0.3">
      <c r="A52" s="373"/>
      <c r="B52" s="373"/>
      <c r="C52" s="373"/>
      <c r="D52" s="373"/>
      <c r="E52" s="373"/>
      <c r="F52" s="373"/>
      <c r="G52" s="373"/>
    </row>
    <row r="53" spans="1:7" x14ac:dyDescent="0.3">
      <c r="B53" s="379"/>
      <c r="C53" s="379"/>
      <c r="D53" s="379"/>
      <c r="E53" s="379"/>
      <c r="F53" s="379"/>
      <c r="G53" s="379"/>
    </row>
    <row r="54" spans="1:7" x14ac:dyDescent="0.3">
      <c r="B54" s="379"/>
      <c r="C54" s="379"/>
      <c r="D54" s="379"/>
      <c r="E54" s="379"/>
      <c r="F54" s="379"/>
      <c r="G54" s="379"/>
    </row>
    <row r="55" spans="1:7" x14ac:dyDescent="0.3">
      <c r="B55" s="379"/>
      <c r="C55" s="379"/>
      <c r="D55" s="379"/>
      <c r="E55" s="379"/>
      <c r="F55" s="379"/>
      <c r="G55" s="379"/>
    </row>
    <row r="56" spans="1:7" x14ac:dyDescent="0.3">
      <c r="B56" s="379"/>
      <c r="C56" s="379"/>
      <c r="D56" s="379"/>
      <c r="E56" s="379"/>
      <c r="F56" s="379"/>
      <c r="G56" s="379"/>
    </row>
    <row r="57" spans="1:7" x14ac:dyDescent="0.3">
      <c r="B57" s="379"/>
      <c r="C57" s="379"/>
      <c r="D57" s="379"/>
      <c r="E57" s="379"/>
      <c r="F57" s="379"/>
      <c r="G57" s="379"/>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5D7A8-9498-4EC0-AAC2-38314E8E1C8C}">
  <sheetPr>
    <tabColor rgb="FF002060"/>
  </sheetPr>
  <dimension ref="A3:L33"/>
  <sheetViews>
    <sheetView zoomScale="79" workbookViewId="0">
      <selection activeCell="B22" sqref="B22:L22"/>
    </sheetView>
  </sheetViews>
  <sheetFormatPr defaultRowHeight="14.4" x14ac:dyDescent="0.3"/>
  <cols>
    <col min="1" max="1" width="22.33203125" style="43" bestFit="1" customWidth="1"/>
    <col min="2" max="5" width="11.5546875" style="43" bestFit="1" customWidth="1"/>
    <col min="6" max="6" width="12.21875" style="43" bestFit="1" customWidth="1"/>
    <col min="7" max="12" width="12.77734375" style="43" bestFit="1" customWidth="1"/>
    <col min="13" max="14" width="11.44140625" style="43" bestFit="1" customWidth="1"/>
    <col min="15" max="16384" width="8.88671875" style="43"/>
  </cols>
  <sheetData>
    <row r="3" spans="1:12" x14ac:dyDescent="0.3">
      <c r="A3" s="434" t="s">
        <v>20</v>
      </c>
      <c r="B3" s="43" t="s">
        <v>496</v>
      </c>
      <c r="C3" s="43" t="s">
        <v>497</v>
      </c>
      <c r="D3" s="43" t="s">
        <v>498</v>
      </c>
      <c r="E3" s="43" t="s">
        <v>499</v>
      </c>
      <c r="F3" s="43" t="s">
        <v>500</v>
      </c>
      <c r="G3" s="43" t="s">
        <v>501</v>
      </c>
      <c r="H3" s="43" t="s">
        <v>502</v>
      </c>
      <c r="I3" s="43" t="s">
        <v>503</v>
      </c>
      <c r="J3" s="43" t="s">
        <v>504</v>
      </c>
      <c r="K3" s="43" t="s">
        <v>505</v>
      </c>
      <c r="L3" s="43" t="s">
        <v>506</v>
      </c>
    </row>
    <row r="4" spans="1:12" x14ac:dyDescent="0.3">
      <c r="A4" s="377" t="s">
        <v>5</v>
      </c>
      <c r="B4" s="303"/>
      <c r="C4" s="303"/>
      <c r="D4" s="303"/>
      <c r="E4" s="303"/>
      <c r="G4" s="303"/>
      <c r="H4" s="303"/>
      <c r="I4" s="303"/>
      <c r="J4" s="303"/>
      <c r="K4" s="303"/>
      <c r="L4" s="303"/>
    </row>
    <row r="5" spans="1:12" x14ac:dyDescent="0.3">
      <c r="A5" s="377" t="s">
        <v>491</v>
      </c>
      <c r="B5" s="303">
        <v>582958.80000000005</v>
      </c>
      <c r="C5" s="303">
        <v>625749.9</v>
      </c>
      <c r="D5" s="303">
        <v>725125.5</v>
      </c>
      <c r="E5" s="303">
        <v>868387.54</v>
      </c>
      <c r="F5" s="303">
        <v>999333.47999999986</v>
      </c>
      <c r="G5" s="303">
        <v>1113076.3431270414</v>
      </c>
      <c r="H5" s="303">
        <v>1239765.2739794801</v>
      </c>
      <c r="I5" s="303">
        <v>1380873.7774871453</v>
      </c>
      <c r="J5" s="303">
        <v>1538043.0710331206</v>
      </c>
      <c r="K5" s="303">
        <v>1713101.1732714393</v>
      </c>
      <c r="L5" s="303">
        <v>1908084.1656096801</v>
      </c>
    </row>
    <row r="6" spans="1:12" x14ac:dyDescent="0.3">
      <c r="A6" s="377" t="s">
        <v>121</v>
      </c>
      <c r="B6" s="303">
        <v>42061.729999999996</v>
      </c>
      <c r="C6" s="303">
        <v>43346.9</v>
      </c>
      <c r="D6" s="303">
        <v>51191.53</v>
      </c>
      <c r="E6" s="303">
        <v>62408.149999999994</v>
      </c>
      <c r="F6" s="303">
        <v>76598.62000000001</v>
      </c>
      <c r="G6" s="303">
        <v>67684.541955165128</v>
      </c>
      <c r="H6" s="303">
        <v>74753.345341497246</v>
      </c>
      <c r="I6" s="303">
        <v>82569.090553064743</v>
      </c>
      <c r="J6" s="303">
        <v>91211.564753060316</v>
      </c>
      <c r="K6" s="303">
        <v>100769.16188622237</v>
      </c>
      <c r="L6" s="303">
        <v>111339.81923363809</v>
      </c>
    </row>
    <row r="7" spans="1:12" x14ac:dyDescent="0.3">
      <c r="A7"/>
      <c r="B7"/>
      <c r="C7"/>
      <c r="D7"/>
      <c r="E7"/>
      <c r="F7"/>
      <c r="G7"/>
      <c r="H7"/>
      <c r="I7"/>
      <c r="J7"/>
      <c r="K7"/>
      <c r="L7"/>
    </row>
    <row r="9" spans="1:12" x14ac:dyDescent="0.3">
      <c r="A9" s="48" t="s">
        <v>5</v>
      </c>
      <c r="B9" s="48">
        <v>2020</v>
      </c>
      <c r="C9" s="48">
        <v>2021</v>
      </c>
      <c r="D9" s="48">
        <v>2022</v>
      </c>
      <c r="E9" s="48">
        <v>2023</v>
      </c>
      <c r="F9" s="48">
        <v>2024</v>
      </c>
      <c r="G9" s="48">
        <v>2025</v>
      </c>
      <c r="H9" s="48">
        <v>2026</v>
      </c>
      <c r="I9" s="48">
        <v>2027</v>
      </c>
      <c r="J9" s="48">
        <v>2028</v>
      </c>
      <c r="K9" s="48">
        <v>2029</v>
      </c>
      <c r="L9" s="48">
        <v>2030</v>
      </c>
    </row>
    <row r="10" spans="1:12" x14ac:dyDescent="0.3">
      <c r="A10" s="48" t="s">
        <v>491</v>
      </c>
      <c r="B10" s="47">
        <v>582958.80000000005</v>
      </c>
      <c r="C10" s="47">
        <v>625749.9</v>
      </c>
      <c r="D10" s="47">
        <v>725125.5</v>
      </c>
      <c r="E10" s="47">
        <v>868387.54</v>
      </c>
      <c r="F10" s="47">
        <v>999333.47999999986</v>
      </c>
      <c r="G10" s="47">
        <v>1113076.3431270414</v>
      </c>
      <c r="H10" s="47">
        <v>1239765.2739794801</v>
      </c>
      <c r="I10" s="47">
        <v>1380873.7774871453</v>
      </c>
      <c r="J10" s="47">
        <v>1538043.0710331206</v>
      </c>
      <c r="K10" s="47">
        <v>1713101.1732714393</v>
      </c>
      <c r="L10" s="47">
        <v>1908084.1656096801</v>
      </c>
    </row>
    <row r="11" spans="1:12" x14ac:dyDescent="0.3">
      <c r="A11" s="48" t="s">
        <v>121</v>
      </c>
      <c r="B11" s="47">
        <v>42061.729999999996</v>
      </c>
      <c r="C11" s="47">
        <v>43346.9</v>
      </c>
      <c r="D11" s="47">
        <v>51191.53</v>
      </c>
      <c r="E11" s="47">
        <v>62408.149999999994</v>
      </c>
      <c r="F11" s="47">
        <v>76598.62000000001</v>
      </c>
      <c r="G11" s="47">
        <v>67684.541955165128</v>
      </c>
      <c r="H11" s="47">
        <v>74753.345341497246</v>
      </c>
      <c r="I11" s="47">
        <v>82569.090553064743</v>
      </c>
      <c r="J11" s="47">
        <v>91211.564753060316</v>
      </c>
      <c r="K11" s="47">
        <v>100769.16188622237</v>
      </c>
      <c r="L11" s="47">
        <v>111339.81923363809</v>
      </c>
    </row>
    <row r="13" spans="1:12" x14ac:dyDescent="0.3">
      <c r="A13" s="431" t="s">
        <v>495</v>
      </c>
      <c r="B13" t="s">
        <v>496</v>
      </c>
      <c r="C13" t="s">
        <v>497</v>
      </c>
      <c r="D13" t="s">
        <v>498</v>
      </c>
      <c r="E13" t="s">
        <v>499</v>
      </c>
      <c r="F13" t="s">
        <v>500</v>
      </c>
      <c r="G13" t="s">
        <v>501</v>
      </c>
      <c r="H13" t="s">
        <v>502</v>
      </c>
      <c r="I13" t="s">
        <v>503</v>
      </c>
      <c r="J13" t="s">
        <v>504</v>
      </c>
      <c r="K13" t="s">
        <v>505</v>
      </c>
      <c r="L13" t="s">
        <v>506</v>
      </c>
    </row>
    <row r="14" spans="1:12" x14ac:dyDescent="0.3">
      <c r="A14" s="432" t="s">
        <v>5</v>
      </c>
      <c r="B14" s="379"/>
      <c r="C14" s="379"/>
      <c r="D14" s="379"/>
      <c r="E14" s="379"/>
      <c r="F14"/>
      <c r="G14" s="379"/>
      <c r="H14" s="379"/>
      <c r="I14" s="379"/>
      <c r="J14" s="379"/>
      <c r="K14" s="379"/>
      <c r="L14" s="379"/>
    </row>
    <row r="15" spans="1:12" x14ac:dyDescent="0.3">
      <c r="A15" s="433" t="s">
        <v>375</v>
      </c>
      <c r="B15" s="379">
        <v>0</v>
      </c>
      <c r="C15" s="379">
        <v>0</v>
      </c>
      <c r="D15" s="379">
        <v>0</v>
      </c>
      <c r="E15" s="379">
        <v>0</v>
      </c>
      <c r="F15"/>
      <c r="G15" s="379">
        <v>17172.437581347654</v>
      </c>
      <c r="H15" s="379">
        <v>15702.244713918093</v>
      </c>
      <c r="I15" s="379">
        <v>13401.801772928187</v>
      </c>
      <c r="J15" s="379">
        <v>10269.421014281012</v>
      </c>
      <c r="K15" s="379">
        <v>6127.6719396075296</v>
      </c>
      <c r="L15" s="379">
        <v>766.59388601469425</v>
      </c>
    </row>
    <row r="16" spans="1:12" x14ac:dyDescent="0.3">
      <c r="A16" s="433" t="s">
        <v>457</v>
      </c>
      <c r="B16" s="379">
        <v>1386.6825871499952</v>
      </c>
      <c r="C16" s="379">
        <v>5384.3926499999998</v>
      </c>
      <c r="D16" s="379">
        <v>10565.464707000005</v>
      </c>
      <c r="E16" s="379">
        <v>8095.4461349999929</v>
      </c>
      <c r="F16">
        <v>19744.793460000008</v>
      </c>
      <c r="G16" s="379">
        <v>18374.533351807931</v>
      </c>
      <c r="H16" s="379">
        <v>19966.82939338858</v>
      </c>
      <c r="I16" s="379">
        <v>21551.409269919608</v>
      </c>
      <c r="J16" s="379">
        <v>23101.04200787262</v>
      </c>
      <c r="K16" s="379">
        <v>24581.572614036297</v>
      </c>
      <c r="L16" s="379">
        <v>25950.563802857516</v>
      </c>
    </row>
    <row r="17" spans="1:12" x14ac:dyDescent="0.3">
      <c r="A17"/>
      <c r="B17"/>
      <c r="C17"/>
    </row>
    <row r="18" spans="1:12" x14ac:dyDescent="0.3">
      <c r="A18" s="431" t="s">
        <v>495</v>
      </c>
      <c r="B18" t="s">
        <v>496</v>
      </c>
      <c r="C18" t="s">
        <v>497</v>
      </c>
      <c r="D18" t="s">
        <v>498</v>
      </c>
      <c r="E18" t="s">
        <v>499</v>
      </c>
      <c r="F18" t="s">
        <v>500</v>
      </c>
      <c r="G18" t="s">
        <v>501</v>
      </c>
      <c r="H18" t="s">
        <v>502</v>
      </c>
      <c r="I18" t="s">
        <v>503</v>
      </c>
      <c r="J18" t="s">
        <v>504</v>
      </c>
      <c r="K18" t="s">
        <v>505</v>
      </c>
      <c r="L18" t="s">
        <v>506</v>
      </c>
    </row>
    <row r="19" spans="1:12" x14ac:dyDescent="0.3">
      <c r="A19" s="432" t="s">
        <v>5</v>
      </c>
      <c r="B19" s="379"/>
      <c r="C19" s="379"/>
      <c r="D19" s="379"/>
      <c r="E19" s="379"/>
      <c r="F19"/>
      <c r="G19" s="379"/>
      <c r="H19" s="379"/>
      <c r="I19" s="379"/>
      <c r="J19" s="379"/>
      <c r="K19" s="379"/>
      <c r="L19" s="379"/>
    </row>
    <row r="20" spans="1:12" x14ac:dyDescent="0.3">
      <c r="A20" s="433" t="s">
        <v>28</v>
      </c>
      <c r="B20" s="379">
        <v>86453.97</v>
      </c>
      <c r="C20" s="379">
        <v>103767.45</v>
      </c>
      <c r="D20" s="379">
        <v>118522.01000000001</v>
      </c>
      <c r="E20" s="379">
        <v>130175.09999999999</v>
      </c>
      <c r="F20">
        <v>157522.96</v>
      </c>
      <c r="G20" s="379">
        <v>198753.6265176537</v>
      </c>
      <c r="H20" s="379">
        <v>215977.17210079741</v>
      </c>
      <c r="I20" s="379">
        <v>233117.25348068454</v>
      </c>
      <c r="J20" s="379">
        <v>249879.31870115103</v>
      </c>
      <c r="K20" s="379">
        <v>265893.92007966485</v>
      </c>
      <c r="L20" s="379">
        <v>280702.02204553923</v>
      </c>
    </row>
    <row r="21" spans="1:12" x14ac:dyDescent="0.3">
      <c r="C21"/>
      <c r="D21"/>
      <c r="E21"/>
    </row>
    <row r="22" spans="1:12" x14ac:dyDescent="0.3">
      <c r="A22" s="48" t="s">
        <v>5</v>
      </c>
      <c r="B22" s="48">
        <v>2020</v>
      </c>
      <c r="C22" s="48">
        <v>2021</v>
      </c>
      <c r="D22" s="48">
        <v>2022</v>
      </c>
      <c r="E22" s="48">
        <v>2023</v>
      </c>
      <c r="F22" s="48">
        <v>2024</v>
      </c>
      <c r="G22" s="48">
        <v>2025</v>
      </c>
      <c r="H22" s="48">
        <v>2026</v>
      </c>
      <c r="I22" s="48">
        <v>2027</v>
      </c>
      <c r="J22" s="48">
        <v>2028</v>
      </c>
      <c r="K22" s="48">
        <v>2029</v>
      </c>
      <c r="L22" s="48">
        <v>2030</v>
      </c>
    </row>
    <row r="23" spans="1:12" x14ac:dyDescent="0.3">
      <c r="A23" s="46" t="s">
        <v>375</v>
      </c>
      <c r="B23" s="47">
        <v>0</v>
      </c>
      <c r="C23" s="17">
        <v>0</v>
      </c>
      <c r="D23" s="17">
        <v>0</v>
      </c>
      <c r="E23" s="17">
        <v>0</v>
      </c>
      <c r="F23" s="47"/>
      <c r="G23" s="47">
        <v>17172.437581347654</v>
      </c>
      <c r="H23" s="47">
        <v>15702.244713918093</v>
      </c>
      <c r="I23" s="47">
        <v>13401.801772928187</v>
      </c>
      <c r="J23" s="47">
        <v>10269.421014281012</v>
      </c>
      <c r="K23" s="47">
        <v>6127.6719396075296</v>
      </c>
      <c r="L23" s="47">
        <v>766.59388601469425</v>
      </c>
    </row>
    <row r="24" spans="1:12" x14ac:dyDescent="0.3">
      <c r="A24" s="46" t="s">
        <v>457</v>
      </c>
      <c r="B24" s="47">
        <v>1386.6825871499952</v>
      </c>
      <c r="C24" s="17">
        <v>5384.3926499999998</v>
      </c>
      <c r="D24" s="17">
        <v>10565.464707000005</v>
      </c>
      <c r="E24" s="17">
        <v>8095.4461349999929</v>
      </c>
      <c r="F24" s="47">
        <v>19744.793460000008</v>
      </c>
      <c r="G24" s="47">
        <v>18374.533351807931</v>
      </c>
      <c r="H24" s="47">
        <v>19966.82939338858</v>
      </c>
      <c r="I24" s="47">
        <v>21551.409269919608</v>
      </c>
      <c r="J24" s="47">
        <v>23101.04200787262</v>
      </c>
      <c r="K24" s="47">
        <v>24581.572614036297</v>
      </c>
      <c r="L24" s="47">
        <v>25950.563802857516</v>
      </c>
    </row>
    <row r="25" spans="1:12" x14ac:dyDescent="0.3">
      <c r="C25"/>
      <c r="D25"/>
      <c r="E25"/>
    </row>
    <row r="26" spans="1:12" x14ac:dyDescent="0.3">
      <c r="A26" s="48" t="s">
        <v>5</v>
      </c>
      <c r="B26" s="48">
        <v>2020</v>
      </c>
      <c r="C26" s="48">
        <v>2021</v>
      </c>
      <c r="D26" s="48">
        <v>2022</v>
      </c>
      <c r="E26" s="48">
        <v>2023</v>
      </c>
      <c r="F26" s="48">
        <v>2024</v>
      </c>
      <c r="G26" s="48">
        <v>2025</v>
      </c>
      <c r="H26" s="48">
        <v>2026</v>
      </c>
      <c r="I26" s="48">
        <v>2027</v>
      </c>
      <c r="J26" s="48">
        <v>2028</v>
      </c>
      <c r="K26" s="48">
        <v>2029</v>
      </c>
      <c r="L26" s="48">
        <v>2030</v>
      </c>
    </row>
    <row r="27" spans="1:12" x14ac:dyDescent="0.3">
      <c r="A27" s="46" t="s">
        <v>28</v>
      </c>
      <c r="B27" s="47">
        <v>86453.97</v>
      </c>
      <c r="C27" s="17">
        <v>103767.45</v>
      </c>
      <c r="D27" s="17">
        <v>118522.01000000001</v>
      </c>
      <c r="E27" s="17">
        <v>130175.09999999999</v>
      </c>
      <c r="F27" s="47">
        <v>157522.96</v>
      </c>
      <c r="G27" s="47">
        <v>198753.6265176537</v>
      </c>
      <c r="H27" s="47">
        <v>215977.17210079741</v>
      </c>
      <c r="I27" s="47">
        <v>233117.25348068454</v>
      </c>
      <c r="J27" s="47">
        <v>249879.31870115103</v>
      </c>
      <c r="K27" s="47">
        <v>265893.92007966485</v>
      </c>
      <c r="L27" s="47">
        <v>280702.02204553923</v>
      </c>
    </row>
    <row r="28" spans="1:12" x14ac:dyDescent="0.3">
      <c r="C28"/>
      <c r="D28"/>
      <c r="E28"/>
    </row>
    <row r="29" spans="1:12" x14ac:dyDescent="0.3">
      <c r="C29"/>
      <c r="D29"/>
      <c r="E29"/>
    </row>
    <row r="30" spans="1:12" x14ac:dyDescent="0.3">
      <c r="C30"/>
      <c r="D30"/>
      <c r="E30"/>
    </row>
    <row r="31" spans="1:12" x14ac:dyDescent="0.3">
      <c r="C31"/>
      <c r="D31"/>
      <c r="E31"/>
    </row>
    <row r="32" spans="1:12" x14ac:dyDescent="0.3">
      <c r="C32"/>
      <c r="D32"/>
      <c r="E32"/>
    </row>
    <row r="33" spans="3:5" x14ac:dyDescent="0.3">
      <c r="C33"/>
      <c r="D33"/>
      <c r="E33"/>
    </row>
  </sheetData>
  <pageMargins left="0.7" right="0.7" top="0.75" bottom="0.75" header="0.3" footer="0.3"/>
  <drawing r:id="rId4"/>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E238D-15E9-410D-98AB-97A29732C1B0}">
  <sheetPr>
    <tabColor rgb="FF002060"/>
  </sheetPr>
  <dimension ref="A3:L28"/>
  <sheetViews>
    <sheetView workbookViewId="0">
      <selection activeCell="B17" sqref="B17:L17"/>
    </sheetView>
  </sheetViews>
  <sheetFormatPr defaultRowHeight="14.4" x14ac:dyDescent="0.3"/>
  <cols>
    <col min="1" max="1" width="21.6640625" bestFit="1" customWidth="1"/>
    <col min="2" max="5" width="12.44140625" bestFit="1" customWidth="1"/>
    <col min="6" max="6" width="12.33203125" bestFit="1" customWidth="1"/>
    <col min="7" max="12" width="12.44140625" bestFit="1" customWidth="1"/>
  </cols>
  <sheetData>
    <row r="3" spans="1:12" x14ac:dyDescent="0.3">
      <c r="A3" s="431" t="s">
        <v>495</v>
      </c>
      <c r="B3" t="s">
        <v>496</v>
      </c>
      <c r="C3" t="s">
        <v>497</v>
      </c>
      <c r="D3" t="s">
        <v>498</v>
      </c>
      <c r="E3" t="s">
        <v>499</v>
      </c>
      <c r="F3" t="s">
        <v>500</v>
      </c>
      <c r="G3" t="s">
        <v>501</v>
      </c>
      <c r="H3" t="s">
        <v>502</v>
      </c>
      <c r="I3" t="s">
        <v>503</v>
      </c>
      <c r="J3" t="s">
        <v>504</v>
      </c>
      <c r="K3" t="s">
        <v>505</v>
      </c>
      <c r="L3" t="s">
        <v>506</v>
      </c>
    </row>
    <row r="4" spans="1:12" x14ac:dyDescent="0.3">
      <c r="A4" s="432" t="s">
        <v>3</v>
      </c>
      <c r="B4" s="379"/>
      <c r="C4" s="379"/>
      <c r="D4" s="379"/>
      <c r="E4" s="379"/>
      <c r="G4" s="379"/>
      <c r="H4" s="379"/>
      <c r="I4" s="379"/>
      <c r="J4" s="379"/>
      <c r="K4" s="379"/>
      <c r="L4" s="379"/>
    </row>
    <row r="5" spans="1:12" x14ac:dyDescent="0.3">
      <c r="A5" s="433" t="s">
        <v>491</v>
      </c>
      <c r="B5" s="379">
        <v>1043670.83</v>
      </c>
      <c r="C5" s="379">
        <v>1185283.4889999998</v>
      </c>
      <c r="D5" s="379">
        <v>1420942.2800000003</v>
      </c>
      <c r="E5" s="379">
        <v>1661949.29</v>
      </c>
      <c r="F5">
        <v>2565891.4</v>
      </c>
      <c r="G5" s="379">
        <v>3071660.5237216875</v>
      </c>
      <c r="H5" s="379">
        <v>3677123.0352890976</v>
      </c>
      <c r="I5" s="379">
        <v>4401929.741985647</v>
      </c>
      <c r="J5" s="379">
        <v>5269604.8697359934</v>
      </c>
      <c r="K5" s="379">
        <v>6308309.5621192763</v>
      </c>
      <c r="L5" s="379">
        <v>7551755.8745385045</v>
      </c>
    </row>
    <row r="6" spans="1:12" x14ac:dyDescent="0.3">
      <c r="A6" s="433" t="s">
        <v>121</v>
      </c>
      <c r="B6" s="379">
        <v>84930.844700000001</v>
      </c>
      <c r="C6" s="379">
        <v>96637.693700000003</v>
      </c>
      <c r="D6" s="379">
        <v>109111.07</v>
      </c>
      <c r="E6" s="379">
        <v>126886.15999999999</v>
      </c>
      <c r="F6">
        <v>253856.22000000003</v>
      </c>
      <c r="G6" s="379">
        <v>297474.0668794458</v>
      </c>
      <c r="H6" s="379">
        <v>387419.18772593222</v>
      </c>
      <c r="I6" s="379">
        <v>506979.2612862112</v>
      </c>
      <c r="J6" s="379">
        <v>666503.80175757501</v>
      </c>
      <c r="K6" s="379">
        <v>880095.20445936837</v>
      </c>
      <c r="L6" s="379">
        <v>1166998.7236385085</v>
      </c>
    </row>
    <row r="8" spans="1:12" x14ac:dyDescent="0.3">
      <c r="A8" s="431" t="s">
        <v>495</v>
      </c>
      <c r="B8" t="s">
        <v>496</v>
      </c>
      <c r="C8" t="s">
        <v>497</v>
      </c>
      <c r="D8" t="s">
        <v>498</v>
      </c>
      <c r="E8" t="s">
        <v>499</v>
      </c>
      <c r="F8" t="s">
        <v>500</v>
      </c>
      <c r="G8" t="s">
        <v>501</v>
      </c>
      <c r="H8" t="s">
        <v>502</v>
      </c>
      <c r="I8" t="s">
        <v>503</v>
      </c>
      <c r="J8" t="s">
        <v>504</v>
      </c>
      <c r="K8" t="s">
        <v>505</v>
      </c>
      <c r="L8" t="s">
        <v>506</v>
      </c>
    </row>
    <row r="9" spans="1:12" x14ac:dyDescent="0.3">
      <c r="A9" s="432" t="s">
        <v>3</v>
      </c>
      <c r="B9" s="379"/>
      <c r="C9" s="379"/>
      <c r="D9" s="379"/>
      <c r="E9" s="379"/>
      <c r="G9" s="379"/>
      <c r="H9" s="379"/>
      <c r="I9" s="379"/>
      <c r="J9" s="379"/>
      <c r="K9" s="379"/>
      <c r="L9" s="379"/>
    </row>
    <row r="10" spans="1:12" x14ac:dyDescent="0.3">
      <c r="A10" s="433" t="s">
        <v>375</v>
      </c>
      <c r="B10" s="379">
        <v>0</v>
      </c>
      <c r="C10" s="379">
        <v>0</v>
      </c>
      <c r="D10" s="379">
        <v>0</v>
      </c>
      <c r="E10" s="379">
        <v>0</v>
      </c>
      <c r="F10">
        <v>0</v>
      </c>
      <c r="G10" s="379">
        <v>97539.49535676169</v>
      </c>
      <c r="H10" s="379">
        <v>39086.842028926359</v>
      </c>
      <c r="I10" s="379">
        <v>44407.756277912558</v>
      </c>
      <c r="J10" s="379">
        <v>51197.650950298441</v>
      </c>
      <c r="K10" s="379">
        <v>60379.215706889721</v>
      </c>
      <c r="L10" s="379">
        <v>73466.666757223938</v>
      </c>
    </row>
    <row r="11" spans="1:12" x14ac:dyDescent="0.3">
      <c r="A11" s="433" t="s">
        <v>457</v>
      </c>
      <c r="B11" s="379">
        <v>20394.131233980013</v>
      </c>
      <c r="C11" s="379">
        <v>23820.79036952999</v>
      </c>
      <c r="D11" s="379">
        <v>28474.872824999984</v>
      </c>
      <c r="E11" s="379">
        <v>34419.637412999989</v>
      </c>
      <c r="F11">
        <v>47937.624532000002</v>
      </c>
      <c r="G11" s="379">
        <v>63842.60494251304</v>
      </c>
      <c r="H11" s="379">
        <v>75923.427605343139</v>
      </c>
      <c r="I11" s="379">
        <v>89546.402732524424</v>
      </c>
      <c r="J11" s="379">
        <v>106091.27808272428</v>
      </c>
      <c r="K11" s="379">
        <v>126490.58901251497</v>
      </c>
      <c r="L11" s="379">
        <v>152091.40861884438</v>
      </c>
    </row>
    <row r="13" spans="1:12" x14ac:dyDescent="0.3">
      <c r="A13" s="431" t="s">
        <v>495</v>
      </c>
      <c r="B13" t="s">
        <v>496</v>
      </c>
      <c r="C13" t="s">
        <v>497</v>
      </c>
      <c r="D13" t="s">
        <v>498</v>
      </c>
      <c r="E13" t="s">
        <v>499</v>
      </c>
      <c r="F13" t="s">
        <v>500</v>
      </c>
      <c r="G13" t="s">
        <v>501</v>
      </c>
      <c r="H13" t="s">
        <v>502</v>
      </c>
      <c r="I13" t="s">
        <v>503</v>
      </c>
      <c r="J13" t="s">
        <v>504</v>
      </c>
      <c r="K13" t="s">
        <v>505</v>
      </c>
      <c r="L13" t="s">
        <v>506</v>
      </c>
    </row>
    <row r="14" spans="1:12" x14ac:dyDescent="0.3">
      <c r="A14" s="432" t="s">
        <v>3</v>
      </c>
      <c r="B14" s="379"/>
      <c r="C14" s="379"/>
      <c r="D14" s="379"/>
      <c r="E14" s="379"/>
      <c r="G14" s="379"/>
      <c r="H14" s="379"/>
      <c r="I14" s="379"/>
      <c r="J14" s="379"/>
      <c r="K14" s="379"/>
      <c r="L14" s="379"/>
    </row>
    <row r="15" spans="1:12" x14ac:dyDescent="0.3">
      <c r="A15" s="433" t="s">
        <v>28</v>
      </c>
      <c r="B15" s="379">
        <v>176935.33000000002</v>
      </c>
      <c r="C15" s="379">
        <v>210442.94</v>
      </c>
      <c r="D15" s="379">
        <v>248046.58</v>
      </c>
      <c r="E15" s="379">
        <v>290297.76</v>
      </c>
      <c r="F15">
        <v>469778.65</v>
      </c>
      <c r="G15" s="379">
        <v>588435.9592200811</v>
      </c>
      <c r="H15" s="379">
        <v>655837.55912775197</v>
      </c>
      <c r="I15" s="379">
        <v>735333.0587451061</v>
      </c>
      <c r="J15" s="379">
        <v>829516.39720283914</v>
      </c>
      <c r="K15" s="379">
        <v>941809.37898211752</v>
      </c>
      <c r="L15" s="379">
        <v>1076829.6829442638</v>
      </c>
    </row>
    <row r="17" spans="1:12" x14ac:dyDescent="0.3">
      <c r="A17" s="436" t="s">
        <v>507</v>
      </c>
      <c r="B17" s="48">
        <v>2020</v>
      </c>
      <c r="C17" s="48">
        <v>2021</v>
      </c>
      <c r="D17" s="48">
        <v>2022</v>
      </c>
      <c r="E17" s="48">
        <v>2023</v>
      </c>
      <c r="F17" s="48">
        <v>2024</v>
      </c>
      <c r="G17" s="48">
        <v>2025</v>
      </c>
      <c r="H17" s="48">
        <v>2026</v>
      </c>
      <c r="I17" s="48">
        <v>2027</v>
      </c>
      <c r="J17" s="48">
        <v>2028</v>
      </c>
      <c r="K17" s="48">
        <v>2029</v>
      </c>
      <c r="L17" s="48">
        <v>2030</v>
      </c>
    </row>
    <row r="18" spans="1:12" x14ac:dyDescent="0.3">
      <c r="A18" s="435" t="s">
        <v>491</v>
      </c>
      <c r="B18" s="17">
        <v>1043670.83</v>
      </c>
      <c r="C18" s="17">
        <v>1185283.4889999998</v>
      </c>
      <c r="D18" s="17">
        <v>1420942.2800000003</v>
      </c>
      <c r="E18" s="17">
        <v>1661949.29</v>
      </c>
      <c r="F18" s="17">
        <v>2565891.4</v>
      </c>
      <c r="G18" s="17">
        <v>3071660.5237216875</v>
      </c>
      <c r="H18" s="17">
        <v>3677123.0352890976</v>
      </c>
      <c r="I18" s="17">
        <v>4401929.741985647</v>
      </c>
      <c r="J18" s="17">
        <v>5269604.8697359934</v>
      </c>
      <c r="K18" s="17">
        <v>6308309.5621192763</v>
      </c>
      <c r="L18" s="17">
        <v>7551755.8745385045</v>
      </c>
    </row>
    <row r="19" spans="1:12" x14ac:dyDescent="0.3">
      <c r="A19" s="435" t="s">
        <v>121</v>
      </c>
      <c r="B19" s="17">
        <v>84930.844700000001</v>
      </c>
      <c r="C19" s="17">
        <v>96637.693700000003</v>
      </c>
      <c r="D19" s="17">
        <v>109111.07</v>
      </c>
      <c r="E19" s="17">
        <v>126886.15999999999</v>
      </c>
      <c r="F19" s="17">
        <v>253856.22000000003</v>
      </c>
      <c r="G19" s="17">
        <v>297474.0668794458</v>
      </c>
      <c r="H19" s="17">
        <v>387419.18772593222</v>
      </c>
      <c r="I19" s="17">
        <v>506979.2612862112</v>
      </c>
      <c r="J19" s="17">
        <v>666503.80175757501</v>
      </c>
      <c r="K19" s="17">
        <v>880095.20445936837</v>
      </c>
      <c r="L19" s="17">
        <v>1166998.7236385085</v>
      </c>
    </row>
    <row r="21" spans="1:12" x14ac:dyDescent="0.3">
      <c r="A21" s="436" t="s">
        <v>507</v>
      </c>
      <c r="B21" s="48">
        <v>2020</v>
      </c>
      <c r="C21" s="48">
        <v>2021</v>
      </c>
      <c r="D21" s="48">
        <v>2022</v>
      </c>
      <c r="E21" s="48">
        <v>2023</v>
      </c>
      <c r="F21" s="48">
        <v>2024</v>
      </c>
      <c r="G21" s="48">
        <v>2025</v>
      </c>
      <c r="H21" s="48">
        <v>2026</v>
      </c>
      <c r="I21" s="48">
        <v>2027</v>
      </c>
      <c r="J21" s="48">
        <v>2028</v>
      </c>
      <c r="K21" s="48">
        <v>2029</v>
      </c>
      <c r="L21" s="48">
        <v>2030</v>
      </c>
    </row>
    <row r="22" spans="1:12" x14ac:dyDescent="0.3">
      <c r="A22" s="435" t="s">
        <v>457</v>
      </c>
      <c r="B22" s="17">
        <v>20394.131233980013</v>
      </c>
      <c r="C22" s="17">
        <v>23820.79036952999</v>
      </c>
      <c r="D22" s="17">
        <v>28474.872824999984</v>
      </c>
      <c r="E22" s="17">
        <v>34419.637412999989</v>
      </c>
      <c r="F22" s="17">
        <v>47937.624532000002</v>
      </c>
      <c r="G22" s="17">
        <v>63842.60494251304</v>
      </c>
      <c r="H22" s="17">
        <v>75923.427605343139</v>
      </c>
      <c r="I22" s="17">
        <v>89546.402732524424</v>
      </c>
      <c r="J22" s="17">
        <v>106091.27808272428</v>
      </c>
      <c r="K22" s="17">
        <v>126490.58901251497</v>
      </c>
      <c r="L22" s="17">
        <v>152091.40861884438</v>
      </c>
    </row>
    <row r="24" spans="1:12" x14ac:dyDescent="0.3">
      <c r="A24" s="436" t="s">
        <v>507</v>
      </c>
      <c r="B24" s="48">
        <v>2020</v>
      </c>
      <c r="C24" s="48">
        <v>2021</v>
      </c>
      <c r="D24" s="48">
        <v>2022</v>
      </c>
      <c r="E24" s="48">
        <v>2023</v>
      </c>
      <c r="F24" s="48">
        <v>2024</v>
      </c>
      <c r="G24" s="48">
        <v>2025</v>
      </c>
      <c r="H24" s="48">
        <v>2026</v>
      </c>
      <c r="I24" s="48">
        <v>2027</v>
      </c>
      <c r="J24" s="48">
        <v>2028</v>
      </c>
      <c r="K24" s="48">
        <v>2029</v>
      </c>
      <c r="L24" s="48">
        <v>2030</v>
      </c>
    </row>
    <row r="25" spans="1:12" x14ac:dyDescent="0.3">
      <c r="A25" s="435" t="s">
        <v>28</v>
      </c>
      <c r="B25" s="17">
        <v>176935.33000000002</v>
      </c>
      <c r="C25" s="17">
        <v>210442.94</v>
      </c>
      <c r="D25" s="17">
        <v>248046.58</v>
      </c>
      <c r="E25" s="17">
        <v>290297.76</v>
      </c>
      <c r="F25" s="17">
        <v>469778.65</v>
      </c>
      <c r="G25" s="17">
        <v>588435.9592200811</v>
      </c>
      <c r="H25" s="17">
        <v>655837.55912775197</v>
      </c>
      <c r="I25" s="17">
        <v>735333.0587451061</v>
      </c>
      <c r="J25" s="17">
        <v>829516.39720283914</v>
      </c>
      <c r="K25" s="17">
        <v>941809.37898211752</v>
      </c>
      <c r="L25" s="17">
        <v>1076829.6829442638</v>
      </c>
    </row>
    <row r="27" spans="1:12" x14ac:dyDescent="0.3">
      <c r="A27" s="436" t="s">
        <v>507</v>
      </c>
      <c r="B27" s="48">
        <v>2020</v>
      </c>
      <c r="C27" s="48">
        <v>2021</v>
      </c>
      <c r="D27" s="48">
        <v>2022</v>
      </c>
      <c r="E27" s="48">
        <v>2023</v>
      </c>
      <c r="F27" s="48">
        <v>2024</v>
      </c>
      <c r="G27" s="48">
        <v>2025</v>
      </c>
      <c r="H27" s="48">
        <v>2026</v>
      </c>
      <c r="I27" s="48">
        <v>2027</v>
      </c>
      <c r="J27" s="48">
        <v>2028</v>
      </c>
      <c r="K27" s="48">
        <v>2029</v>
      </c>
      <c r="L27" s="48">
        <v>2030</v>
      </c>
    </row>
    <row r="28" spans="1:12" x14ac:dyDescent="0.3">
      <c r="A28" s="435" t="s">
        <v>375</v>
      </c>
      <c r="B28" s="17">
        <v>0</v>
      </c>
      <c r="C28" s="17">
        <v>0</v>
      </c>
      <c r="D28" s="17">
        <v>0</v>
      </c>
      <c r="E28" s="17">
        <v>0</v>
      </c>
      <c r="F28" s="17">
        <v>0</v>
      </c>
      <c r="G28" s="17">
        <v>97539.49535676169</v>
      </c>
      <c r="H28" s="17">
        <v>39086.842028926359</v>
      </c>
      <c r="I28" s="17">
        <v>44407.756277912558</v>
      </c>
      <c r="J28" s="17">
        <v>51197.650950298441</v>
      </c>
      <c r="K28" s="17">
        <v>60379.215706889721</v>
      </c>
      <c r="L28" s="17">
        <v>73466.666757223938</v>
      </c>
    </row>
  </sheetData>
  <pageMargins left="0.7" right="0.7" top="0.75" bottom="0.75" header="0.3" footer="0.3"/>
  <drawing r:id="rId4"/>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1A152-FB62-41D3-85DB-B25578B65683}">
  <sheetPr>
    <tabColor rgb="FF002060"/>
  </sheetPr>
  <dimension ref="A3:L31"/>
  <sheetViews>
    <sheetView workbookViewId="0">
      <selection activeCell="G34" sqref="G34"/>
    </sheetView>
  </sheetViews>
  <sheetFormatPr defaultRowHeight="14.4" x14ac:dyDescent="0.3"/>
  <cols>
    <col min="1" max="1" width="20.44140625" style="43" bestFit="1" customWidth="1"/>
    <col min="2" max="4" width="11.5546875" style="43" bestFit="1" customWidth="1"/>
    <col min="5" max="5" width="12.44140625" style="43" bestFit="1" customWidth="1"/>
    <col min="6" max="6" width="12.33203125" style="43" bestFit="1" customWidth="1"/>
    <col min="7" max="12" width="12.44140625" style="43" bestFit="1" customWidth="1"/>
    <col min="13" max="16384" width="8.88671875" style="43"/>
  </cols>
  <sheetData>
    <row r="3" spans="1:12" x14ac:dyDescent="0.3">
      <c r="A3" s="434" t="s">
        <v>495</v>
      </c>
      <c r="B3" s="43" t="s">
        <v>496</v>
      </c>
      <c r="C3" s="43" t="s">
        <v>497</v>
      </c>
      <c r="D3" s="43" t="s">
        <v>498</v>
      </c>
      <c r="E3" s="43" t="s">
        <v>499</v>
      </c>
      <c r="F3" s="43" t="s">
        <v>500</v>
      </c>
      <c r="G3" s="43" t="s">
        <v>501</v>
      </c>
      <c r="H3" s="43" t="s">
        <v>502</v>
      </c>
      <c r="I3" s="43" t="s">
        <v>503</v>
      </c>
      <c r="J3" s="43" t="s">
        <v>504</v>
      </c>
      <c r="K3" s="43" t="s">
        <v>505</v>
      </c>
      <c r="L3" s="43" t="s">
        <v>506</v>
      </c>
    </row>
    <row r="4" spans="1:12" x14ac:dyDescent="0.3">
      <c r="A4" s="377" t="s">
        <v>4</v>
      </c>
      <c r="B4" s="303"/>
      <c r="C4" s="303"/>
      <c r="D4" s="303"/>
      <c r="E4" s="303"/>
      <c r="G4" s="303"/>
      <c r="H4" s="303"/>
      <c r="I4" s="303"/>
      <c r="J4" s="303"/>
      <c r="K4" s="303"/>
      <c r="L4" s="303"/>
    </row>
    <row r="5" spans="1:12" x14ac:dyDescent="0.3">
      <c r="A5" s="377" t="s">
        <v>491</v>
      </c>
      <c r="B5" s="303">
        <v>706246.08569999994</v>
      </c>
      <c r="C5" s="303">
        <v>733729.03999999992</v>
      </c>
      <c r="D5" s="303">
        <v>859020.4</v>
      </c>
      <c r="E5" s="303">
        <v>1083866.26</v>
      </c>
      <c r="F5" s="43">
        <v>1260776.17</v>
      </c>
      <c r="G5" s="303">
        <v>1415710.2588467074</v>
      </c>
      <c r="H5" s="303">
        <v>1589683.8667277566</v>
      </c>
      <c r="I5" s="303">
        <v>1785036.7194436956</v>
      </c>
      <c r="J5" s="303">
        <v>2004396.0666979549</v>
      </c>
      <c r="K5" s="303">
        <v>2250712.0152947404</v>
      </c>
      <c r="L5" s="303">
        <v>2527297.2043580995</v>
      </c>
    </row>
    <row r="6" spans="1:12" x14ac:dyDescent="0.3">
      <c r="A6" s="377" t="s">
        <v>121</v>
      </c>
      <c r="B6" s="303">
        <v>105120.5809</v>
      </c>
      <c r="C6" s="303">
        <v>57957.960999999996</v>
      </c>
      <c r="D6" s="303">
        <v>65983.624400000001</v>
      </c>
      <c r="E6" s="303">
        <v>135635.41310000001</v>
      </c>
      <c r="F6" s="43">
        <v>161929.56449999998</v>
      </c>
      <c r="G6" s="303">
        <v>134504.08798454667</v>
      </c>
      <c r="H6" s="303">
        <v>143951.76081516943</v>
      </c>
      <c r="I6" s="303">
        <v>154324.39090447914</v>
      </c>
      <c r="J6" s="303">
        <v>165727.7758545026</v>
      </c>
      <c r="K6" s="303">
        <v>178280.45222173282</v>
      </c>
      <c r="L6" s="303">
        <v>192115.25223692169</v>
      </c>
    </row>
    <row r="8" spans="1:12" x14ac:dyDescent="0.3">
      <c r="A8" s="434" t="s">
        <v>495</v>
      </c>
      <c r="B8" s="43" t="s">
        <v>496</v>
      </c>
      <c r="C8" s="43" t="s">
        <v>497</v>
      </c>
      <c r="D8" s="43" t="s">
        <v>498</v>
      </c>
      <c r="E8" s="43" t="s">
        <v>499</v>
      </c>
      <c r="F8" s="43" t="s">
        <v>500</v>
      </c>
      <c r="G8" s="43" t="s">
        <v>501</v>
      </c>
      <c r="H8" s="43" t="s">
        <v>502</v>
      </c>
      <c r="I8" s="43" t="s">
        <v>503</v>
      </c>
      <c r="J8" s="43" t="s">
        <v>504</v>
      </c>
      <c r="K8" s="43" t="s">
        <v>505</v>
      </c>
      <c r="L8" s="43" t="s">
        <v>506</v>
      </c>
    </row>
    <row r="9" spans="1:12" x14ac:dyDescent="0.3">
      <c r="A9" s="377" t="s">
        <v>4</v>
      </c>
      <c r="B9" s="303"/>
      <c r="C9" s="303"/>
      <c r="D9" s="303"/>
      <c r="E9" s="303"/>
      <c r="G9" s="303"/>
      <c r="H9" s="303"/>
      <c r="I9" s="303"/>
      <c r="J9" s="303"/>
      <c r="K9" s="303"/>
      <c r="L9" s="303"/>
    </row>
    <row r="10" spans="1:12" x14ac:dyDescent="0.3">
      <c r="A10" s="377" t="s">
        <v>375</v>
      </c>
      <c r="B10" s="303">
        <v>0</v>
      </c>
      <c r="C10" s="303">
        <v>0</v>
      </c>
      <c r="D10" s="303">
        <v>0</v>
      </c>
      <c r="E10" s="303">
        <v>0</v>
      </c>
      <c r="F10" s="303">
        <v>0</v>
      </c>
      <c r="G10" s="303">
        <v>108915.07775247309</v>
      </c>
      <c r="H10" s="303">
        <v>57357.293030604997</v>
      </c>
      <c r="I10" s="303">
        <v>44526.152473808899</v>
      </c>
      <c r="J10" s="303">
        <v>29771.382113915806</v>
      </c>
      <c r="K10" s="303">
        <v>13001.012016122873</v>
      </c>
      <c r="L10" s="303">
        <v>-5873.3456138131696</v>
      </c>
    </row>
    <row r="12" spans="1:12" x14ac:dyDescent="0.3">
      <c r="A12" s="434" t="s">
        <v>495</v>
      </c>
      <c r="B12" s="43" t="s">
        <v>496</v>
      </c>
      <c r="C12" s="43" t="s">
        <v>497</v>
      </c>
      <c r="D12" s="43" t="s">
        <v>498</v>
      </c>
      <c r="E12" s="43" t="s">
        <v>499</v>
      </c>
      <c r="F12" s="43" t="s">
        <v>500</v>
      </c>
      <c r="G12" s="43" t="s">
        <v>501</v>
      </c>
      <c r="H12" s="43" t="s">
        <v>502</v>
      </c>
      <c r="I12" s="43" t="s">
        <v>503</v>
      </c>
      <c r="J12" s="43" t="s">
        <v>504</v>
      </c>
      <c r="K12" s="43" t="s">
        <v>505</v>
      </c>
      <c r="L12" s="43" t="s">
        <v>506</v>
      </c>
    </row>
    <row r="13" spans="1:12" x14ac:dyDescent="0.3">
      <c r="A13" s="377" t="s">
        <v>4</v>
      </c>
      <c r="B13" s="303"/>
      <c r="C13" s="303"/>
      <c r="D13" s="303"/>
      <c r="E13" s="303"/>
      <c r="G13" s="303"/>
      <c r="H13" s="303"/>
      <c r="I13" s="303"/>
      <c r="J13" s="303"/>
      <c r="K13" s="303"/>
      <c r="L13" s="303"/>
    </row>
    <row r="14" spans="1:12" x14ac:dyDescent="0.3">
      <c r="A14" s="377" t="s">
        <v>457</v>
      </c>
      <c r="B14" s="303">
        <v>7158.4681267399956</v>
      </c>
      <c r="C14" s="303">
        <v>12116.985512030011</v>
      </c>
      <c r="D14" s="303">
        <v>17464.940890809987</v>
      </c>
      <c r="E14" s="303">
        <v>25469.618310640002</v>
      </c>
      <c r="F14" s="43">
        <v>33117.044290049984</v>
      </c>
      <c r="G14" s="303">
        <v>33458.824459696363</v>
      </c>
      <c r="H14" s="303">
        <v>37570.507885268242</v>
      </c>
      <c r="I14" s="303">
        <v>42187.467299017371</v>
      </c>
      <c r="J14" s="303">
        <v>47371.794987193403</v>
      </c>
      <c r="K14" s="303">
        <v>53193.213624391981</v>
      </c>
      <c r="L14" s="303">
        <v>59730.013955670009</v>
      </c>
    </row>
    <row r="16" spans="1:12" x14ac:dyDescent="0.3">
      <c r="A16" s="434" t="s">
        <v>495</v>
      </c>
      <c r="B16" s="43" t="s">
        <v>496</v>
      </c>
      <c r="C16" s="43" t="s">
        <v>497</v>
      </c>
      <c r="D16" s="43" t="s">
        <v>498</v>
      </c>
      <c r="E16" s="43" t="s">
        <v>499</v>
      </c>
      <c r="F16" s="43" t="s">
        <v>500</v>
      </c>
      <c r="G16" s="43" t="s">
        <v>501</v>
      </c>
      <c r="H16" s="43" t="s">
        <v>502</v>
      </c>
      <c r="I16" s="43" t="s">
        <v>503</v>
      </c>
      <c r="J16" s="43" t="s">
        <v>504</v>
      </c>
      <c r="K16" s="43" t="s">
        <v>505</v>
      </c>
      <c r="L16" s="43" t="s">
        <v>506</v>
      </c>
    </row>
    <row r="17" spans="1:12" x14ac:dyDescent="0.3">
      <c r="A17" s="377" t="s">
        <v>28</v>
      </c>
      <c r="B17" s="303"/>
      <c r="C17" s="303"/>
      <c r="D17" s="303"/>
      <c r="E17" s="303"/>
      <c r="G17" s="303"/>
      <c r="H17" s="303"/>
      <c r="I17" s="303"/>
      <c r="J17" s="303"/>
      <c r="K17" s="303"/>
      <c r="L17" s="303"/>
    </row>
    <row r="18" spans="1:12" x14ac:dyDescent="0.3">
      <c r="A18" s="377" t="s">
        <v>4</v>
      </c>
      <c r="B18" s="303">
        <v>129754.79999999999</v>
      </c>
      <c r="C18" s="303">
        <v>147509.18000000002</v>
      </c>
      <c r="D18" s="303">
        <v>170511.96</v>
      </c>
      <c r="E18" s="303">
        <v>221184.52</v>
      </c>
      <c r="F18" s="43">
        <v>270032.21999999997</v>
      </c>
      <c r="G18" s="303">
        <v>331239.10831576458</v>
      </c>
      <c r="H18" s="303">
        <v>353233.08429782762</v>
      </c>
      <c r="I18" s="303">
        <v>377345.67016407667</v>
      </c>
      <c r="J18" s="303">
        <v>403955.88958087366</v>
      </c>
      <c r="K18" s="303">
        <v>433502.21792006277</v>
      </c>
      <c r="L18" s="303">
        <v>466490.89306801977</v>
      </c>
    </row>
    <row r="20" spans="1:12" x14ac:dyDescent="0.3">
      <c r="A20" s="46" t="s">
        <v>508</v>
      </c>
      <c r="B20" s="48">
        <v>2020</v>
      </c>
      <c r="C20" s="48">
        <v>2021</v>
      </c>
      <c r="D20" s="48">
        <v>2022</v>
      </c>
      <c r="E20" s="48">
        <v>2023</v>
      </c>
      <c r="F20" s="48">
        <v>2024</v>
      </c>
      <c r="G20" s="48">
        <v>2025</v>
      </c>
      <c r="H20" s="48">
        <v>2026</v>
      </c>
      <c r="I20" s="48">
        <v>2027</v>
      </c>
      <c r="J20" s="48">
        <v>2028</v>
      </c>
      <c r="K20" s="48">
        <v>2029</v>
      </c>
      <c r="L20" s="48">
        <v>2030</v>
      </c>
    </row>
    <row r="21" spans="1:12" x14ac:dyDescent="0.3">
      <c r="A21" s="46" t="s">
        <v>491</v>
      </c>
      <c r="B21" s="47">
        <v>706246.08569999994</v>
      </c>
      <c r="C21" s="47">
        <v>733729.03999999992</v>
      </c>
      <c r="D21" s="47">
        <v>859020.4</v>
      </c>
      <c r="E21" s="47">
        <v>1083866.26</v>
      </c>
      <c r="F21" s="47">
        <v>1260776.17</v>
      </c>
      <c r="G21" s="47">
        <v>1415710.2588467074</v>
      </c>
      <c r="H21" s="47">
        <v>1589683.8667277566</v>
      </c>
      <c r="I21" s="47">
        <v>1785036.7194436956</v>
      </c>
      <c r="J21" s="47">
        <v>2004396.0666979549</v>
      </c>
      <c r="K21" s="47">
        <v>2250712.0152947404</v>
      </c>
      <c r="L21" s="47">
        <v>2527297.2043580995</v>
      </c>
    </row>
    <row r="22" spans="1:12" x14ac:dyDescent="0.3">
      <c r="A22" s="46" t="s">
        <v>121</v>
      </c>
      <c r="B22" s="47">
        <v>105120.5809</v>
      </c>
      <c r="C22" s="47">
        <v>57957.960999999996</v>
      </c>
      <c r="D22" s="47">
        <v>65983.624400000001</v>
      </c>
      <c r="E22" s="47">
        <v>135635.41310000001</v>
      </c>
      <c r="F22" s="47">
        <v>161929.56449999998</v>
      </c>
      <c r="G22" s="47">
        <v>134504.08798454667</v>
      </c>
      <c r="H22" s="47">
        <v>143951.76081516943</v>
      </c>
      <c r="I22" s="47">
        <v>154324.39090447914</v>
      </c>
      <c r="J22" s="47">
        <v>165727.7758545026</v>
      </c>
      <c r="K22" s="47">
        <v>178280.45222173282</v>
      </c>
      <c r="L22" s="47">
        <v>192115.25223692169</v>
      </c>
    </row>
    <row r="24" spans="1:12" x14ac:dyDescent="0.3">
      <c r="A24" s="437" t="s">
        <v>508</v>
      </c>
      <c r="B24" s="48">
        <v>2025</v>
      </c>
      <c r="C24" s="48">
        <v>2026</v>
      </c>
      <c r="D24" s="48">
        <v>2027</v>
      </c>
      <c r="E24" s="48">
        <v>2028</v>
      </c>
      <c r="F24" s="48">
        <v>2029</v>
      </c>
      <c r="G24" s="48">
        <v>2030</v>
      </c>
    </row>
    <row r="25" spans="1:12" x14ac:dyDescent="0.3">
      <c r="A25" s="437" t="s">
        <v>375</v>
      </c>
      <c r="B25" s="47">
        <v>108915.07775247309</v>
      </c>
      <c r="C25" s="47">
        <v>57357.293030604997</v>
      </c>
      <c r="D25" s="47">
        <v>44526.152473808899</v>
      </c>
      <c r="E25" s="47">
        <v>29771.382113915806</v>
      </c>
      <c r="F25" s="47">
        <v>13001.012016122873</v>
      </c>
      <c r="G25" s="47">
        <v>-5873.3456138131696</v>
      </c>
    </row>
    <row r="27" spans="1:12" x14ac:dyDescent="0.3">
      <c r="A27" s="46" t="s">
        <v>508</v>
      </c>
      <c r="B27" s="48">
        <v>2020</v>
      </c>
      <c r="C27" s="48">
        <v>2021</v>
      </c>
      <c r="D27" s="48">
        <v>2022</v>
      </c>
      <c r="E27" s="48">
        <v>2023</v>
      </c>
      <c r="F27" s="48">
        <v>2024</v>
      </c>
      <c r="G27" s="48">
        <v>2025</v>
      </c>
      <c r="H27" s="48">
        <v>2026</v>
      </c>
      <c r="I27" s="48">
        <v>2027</v>
      </c>
      <c r="J27" s="48">
        <v>2028</v>
      </c>
      <c r="K27" s="48">
        <v>2029</v>
      </c>
      <c r="L27" s="48">
        <v>2030</v>
      </c>
    </row>
    <row r="28" spans="1:12" x14ac:dyDescent="0.3">
      <c r="A28" s="46" t="s">
        <v>457</v>
      </c>
      <c r="B28" s="46">
        <v>7158.4681267399956</v>
      </c>
      <c r="C28" s="46">
        <v>12116.985512030011</v>
      </c>
      <c r="D28" s="46">
        <v>17464.940890809987</v>
      </c>
      <c r="E28" s="46">
        <v>25469.618310640002</v>
      </c>
      <c r="F28" s="46">
        <v>33117.044290049984</v>
      </c>
      <c r="G28" s="46">
        <v>33458.824459696363</v>
      </c>
      <c r="H28" s="46">
        <v>37570.507885268242</v>
      </c>
      <c r="I28" s="46">
        <v>42187.467299017371</v>
      </c>
      <c r="J28" s="46">
        <v>47371.794987193403</v>
      </c>
      <c r="K28" s="46">
        <v>53193.213624391981</v>
      </c>
      <c r="L28" s="46">
        <v>59730.013955670009</v>
      </c>
    </row>
    <row r="30" spans="1:12" x14ac:dyDescent="0.3">
      <c r="A30" s="46" t="s">
        <v>508</v>
      </c>
      <c r="B30" s="48">
        <v>2020</v>
      </c>
      <c r="C30" s="48">
        <v>2021</v>
      </c>
      <c r="D30" s="48">
        <v>2022</v>
      </c>
      <c r="E30" s="48">
        <v>2023</v>
      </c>
      <c r="F30" s="48">
        <v>2024</v>
      </c>
      <c r="G30" s="48">
        <v>2025</v>
      </c>
      <c r="H30" s="48">
        <v>2026</v>
      </c>
      <c r="I30" s="48">
        <v>2027</v>
      </c>
      <c r="J30" s="48">
        <v>2028</v>
      </c>
      <c r="K30" s="48">
        <v>2029</v>
      </c>
      <c r="L30" s="48">
        <v>2030</v>
      </c>
    </row>
    <row r="31" spans="1:12" x14ac:dyDescent="0.3">
      <c r="A31" s="46" t="s">
        <v>28</v>
      </c>
      <c r="B31" s="46">
        <v>129754.79999999999</v>
      </c>
      <c r="C31" s="46">
        <v>147509.18000000002</v>
      </c>
      <c r="D31" s="46">
        <v>170511.96</v>
      </c>
      <c r="E31" s="46">
        <v>221184.52</v>
      </c>
      <c r="F31" s="46">
        <v>270032.21999999997</v>
      </c>
      <c r="G31" s="46">
        <v>331239.10831576458</v>
      </c>
      <c r="H31" s="46">
        <v>353233.08429782762</v>
      </c>
      <c r="I31" s="46">
        <v>377345.67016407667</v>
      </c>
      <c r="J31" s="46">
        <v>403955.88958087366</v>
      </c>
      <c r="K31" s="46">
        <v>433502.21792006277</v>
      </c>
      <c r="L31" s="46">
        <v>466490.89306801977</v>
      </c>
    </row>
  </sheetData>
  <pageMargins left="0.7" right="0.7" top="0.75" bottom="0.75" header="0.3" footer="0.3"/>
  <drawing r:id="rId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A2980-CD2E-4092-8A7C-44AC8F3ABBBD}">
  <sheetPr>
    <tabColor rgb="FF002060"/>
  </sheetPr>
  <dimension ref="A1:Y44"/>
  <sheetViews>
    <sheetView workbookViewId="0">
      <selection activeCell="K31" sqref="K31"/>
    </sheetView>
  </sheetViews>
  <sheetFormatPr defaultRowHeight="14.4" x14ac:dyDescent="0.3"/>
  <cols>
    <col min="1" max="1" width="25.44140625" style="377" bestFit="1" customWidth="1"/>
    <col min="2" max="2" width="8.88671875" style="54"/>
    <col min="3" max="3" width="17.109375" style="327" customWidth="1"/>
    <col min="4" max="4" width="13.88671875" style="327" customWidth="1"/>
    <col min="5" max="5" width="12.6640625" style="327" customWidth="1"/>
    <col min="6" max="6" width="20.109375" style="327" customWidth="1"/>
    <col min="7" max="7" width="11.33203125" style="327" customWidth="1"/>
    <col min="8" max="11" width="8.88671875" style="54"/>
    <col min="12" max="12" width="11" style="54" customWidth="1"/>
    <col min="13" max="13" width="17.6640625" style="377" bestFit="1" customWidth="1"/>
    <col min="14" max="24" width="12.33203125" style="54" bestFit="1" customWidth="1"/>
    <col min="25" max="16384" width="8.88671875" style="54"/>
  </cols>
  <sheetData>
    <row r="1" spans="1:25" x14ac:dyDescent="0.3">
      <c r="M1" s="54"/>
    </row>
    <row r="2" spans="1:25" ht="15" thickBot="1" x14ac:dyDescent="0.35">
      <c r="A2" s="377" t="s">
        <v>427</v>
      </c>
      <c r="B2" s="54" t="s">
        <v>391</v>
      </c>
      <c r="C2" s="54" t="s">
        <v>450</v>
      </c>
      <c r="D2" s="54" t="s">
        <v>121</v>
      </c>
      <c r="E2" s="54" t="s">
        <v>457</v>
      </c>
      <c r="F2" s="54" t="s">
        <v>28</v>
      </c>
      <c r="G2" s="54" t="s">
        <v>375</v>
      </c>
      <c r="L2" s="408" t="s">
        <v>427</v>
      </c>
      <c r="M2" s="409" t="s">
        <v>490</v>
      </c>
      <c r="N2" s="410" t="s">
        <v>331</v>
      </c>
      <c r="O2" s="411" t="s">
        <v>332</v>
      </c>
      <c r="P2" s="411" t="s">
        <v>333</v>
      </c>
      <c r="Q2" s="411" t="s">
        <v>334</v>
      </c>
      <c r="R2" s="412" t="s">
        <v>335</v>
      </c>
      <c r="S2" s="413" t="s">
        <v>432</v>
      </c>
      <c r="T2" s="411" t="s">
        <v>433</v>
      </c>
      <c r="U2" s="411" t="s">
        <v>434</v>
      </c>
      <c r="V2" s="411" t="s">
        <v>435</v>
      </c>
      <c r="W2" s="411" t="s">
        <v>436</v>
      </c>
      <c r="X2" s="412" t="s">
        <v>437</v>
      </c>
      <c r="Y2" s="411" t="s">
        <v>494</v>
      </c>
    </row>
    <row r="3" spans="1:25" x14ac:dyDescent="0.3">
      <c r="A3" s="377" t="s">
        <v>5</v>
      </c>
      <c r="B3" s="54">
        <v>2025</v>
      </c>
      <c r="C3" s="378">
        <v>1113076.3400000001</v>
      </c>
      <c r="D3" s="378">
        <v>67684.539999999994</v>
      </c>
      <c r="E3" s="378">
        <v>12363.2</v>
      </c>
      <c r="F3" s="378">
        <v>198753.63</v>
      </c>
      <c r="G3" s="378">
        <v>17172.439999999999</v>
      </c>
      <c r="L3" s="407" t="s">
        <v>5</v>
      </c>
      <c r="M3" s="403" t="s">
        <v>491</v>
      </c>
      <c r="N3" s="420">
        <f>'Balance Sheet-Banks'!B75</f>
        <v>582958.80000000005</v>
      </c>
      <c r="O3" s="420">
        <f>'Balance Sheet-Banks'!C75</f>
        <v>625749.9</v>
      </c>
      <c r="P3" s="420">
        <f>'Balance Sheet-Banks'!D75</f>
        <v>725125.5</v>
      </c>
      <c r="Q3" s="420">
        <f>'Balance Sheet-Banks'!E75</f>
        <v>868387.54</v>
      </c>
      <c r="R3" s="420">
        <f>'Balance Sheet-Banks'!F75</f>
        <v>999333.47999999986</v>
      </c>
      <c r="S3" s="421">
        <f>'Financial Projections'!D5</f>
        <v>1113076.3431270414</v>
      </c>
      <c r="T3" s="421">
        <f>'Financial Projections'!E5</f>
        <v>1239765.2739794801</v>
      </c>
      <c r="U3" s="421">
        <f>'Financial Projections'!F5</f>
        <v>1380873.7774871453</v>
      </c>
      <c r="V3" s="421">
        <f>'Financial Projections'!G5</f>
        <v>1538043.0710331206</v>
      </c>
      <c r="W3" s="421">
        <f>'Financial Projections'!H5</f>
        <v>1713101.1732714393</v>
      </c>
      <c r="X3" s="421">
        <f>'Financial Projections'!I5</f>
        <v>1908084.1656096801</v>
      </c>
      <c r="Y3" s="419">
        <f>(Financials[[#This Row],[2030]]/Financials[[#This Row],[2020]])^(1/11)-1</f>
        <v>0.11381872558401773</v>
      </c>
    </row>
    <row r="4" spans="1:25" x14ac:dyDescent="0.3">
      <c r="A4" s="377" t="s">
        <v>5</v>
      </c>
      <c r="B4" s="54">
        <v>2026</v>
      </c>
      <c r="C4" s="379">
        <v>1239765.27</v>
      </c>
      <c r="D4" s="378">
        <v>74753.350000000006</v>
      </c>
      <c r="E4" s="378">
        <v>17497.09</v>
      </c>
      <c r="F4" s="378">
        <v>215977.17</v>
      </c>
      <c r="G4" s="378">
        <v>15702.24</v>
      </c>
      <c r="L4" s="407" t="s">
        <v>5</v>
      </c>
      <c r="M4" s="404" t="s">
        <v>121</v>
      </c>
      <c r="N4" s="422">
        <f>('Income Statement-Banks'!B5-'Income Statement-Banks'!B9)+'Income Statement-Banks'!B6</f>
        <v>42061.729999999996</v>
      </c>
      <c r="O4" s="422">
        <f>('Income Statement-Banks'!C5-'Income Statement-Banks'!C9)+'Income Statement-Banks'!C6</f>
        <v>43346.9</v>
      </c>
      <c r="P4" s="422">
        <f>('Income Statement-Banks'!D5-'Income Statement-Banks'!D9)+'Income Statement-Banks'!D6</f>
        <v>51191.53</v>
      </c>
      <c r="Q4" s="422">
        <f>('Income Statement-Banks'!E5-'Income Statement-Banks'!E9)+'Income Statement-Banks'!E6</f>
        <v>62408.149999999994</v>
      </c>
      <c r="R4" s="422">
        <f>('Income Statement-Banks'!F5-'Income Statement-Banks'!F9)+'Income Statement-Banks'!F6</f>
        <v>76598.62000000001</v>
      </c>
      <c r="S4" s="423">
        <f>'Financial Projections'!D8</f>
        <v>86510.209591432169</v>
      </c>
      <c r="T4" s="423">
        <f>'Financial Projections'!E8</f>
        <v>97760.527157166594</v>
      </c>
      <c r="U4" s="423">
        <f>'Financial Projections'!F8</f>
        <v>110536.23905754853</v>
      </c>
      <c r="V4" s="423">
        <f>'Financial Projections'!G8</f>
        <v>125050.62262987698</v>
      </c>
      <c r="W4" s="423">
        <f>'Financial Projections'!H8</f>
        <v>141547.41612594799</v>
      </c>
      <c r="X4" s="423">
        <f>'Financial Projections'!I8</f>
        <v>160305.23095632804</v>
      </c>
      <c r="Y4" s="419">
        <f>(Financials[[#This Row],[2030]]/Financials[[#This Row],[2020]])^(1/11)-1</f>
        <v>0.12933733948521176</v>
      </c>
    </row>
    <row r="5" spans="1:25" x14ac:dyDescent="0.3">
      <c r="A5" s="377" t="s">
        <v>5</v>
      </c>
      <c r="B5" s="54">
        <v>2027</v>
      </c>
      <c r="C5" s="378">
        <v>1380873.78</v>
      </c>
      <c r="D5" s="378">
        <v>82569.09</v>
      </c>
      <c r="E5" s="378">
        <v>17412.310000000001</v>
      </c>
      <c r="F5" s="378">
        <v>233117.25</v>
      </c>
      <c r="G5" s="378">
        <v>13401.8</v>
      </c>
      <c r="L5" s="407" t="s">
        <v>5</v>
      </c>
      <c r="M5" s="404" t="s">
        <v>457</v>
      </c>
      <c r="N5" s="422">
        <f>'Income Statement-Banks'!B15-('Income Statement-Banks'!B15*(0.2517))</f>
        <v>1386.6825871499952</v>
      </c>
      <c r="O5" s="422">
        <f>'Income Statement-Banks'!C15-('Income Statement-Banks'!C15*(0.2517))</f>
        <v>5384.3926499999998</v>
      </c>
      <c r="P5" s="422">
        <f>'Income Statement-Banks'!D15-('Income Statement-Banks'!D15*(0.2517))</f>
        <v>10565.464707000005</v>
      </c>
      <c r="Q5" s="422">
        <f>'Income Statement-Banks'!E15-('Income Statement-Banks'!E15*(0.2517))</f>
        <v>8095.4461349999929</v>
      </c>
      <c r="R5" s="422">
        <f>'Income Statement-Banks'!F15-('Income Statement-Banks'!F15*(0.2517))</f>
        <v>19744.793460000008</v>
      </c>
      <c r="S5" s="423">
        <f>'DCF-DDM-RIM'!B37</f>
        <v>19656.52147111567</v>
      </c>
      <c r="T5" s="309">
        <f>'DCF-DDM-RIM'!B38</f>
        <v>22815.557896958708</v>
      </c>
      <c r="U5" s="309">
        <f>'DCF-DDM-RIM'!B39</f>
        <v>26304.641390912187</v>
      </c>
      <c r="V5" s="309">
        <f>'DCF-DDM-RIM'!B40</f>
        <v>30158.642345962224</v>
      </c>
      <c r="W5" s="309">
        <f>'DCF-DDM-RIM'!B41</f>
        <v>34416.085753918291</v>
      </c>
      <c r="X5" s="423">
        <f>'DCF-DDM-RIM'!B42</f>
        <v>39119.517840047716</v>
      </c>
      <c r="Y5" s="419">
        <f>(Financials[[#This Row],[2030]]/Financials[[#This Row],[2020]])^(1/11)-1</f>
        <v>0.35474026593165409</v>
      </c>
    </row>
    <row r="6" spans="1:25" x14ac:dyDescent="0.3">
      <c r="A6" s="377" t="s">
        <v>5</v>
      </c>
      <c r="B6" s="54">
        <v>2028</v>
      </c>
      <c r="C6" s="378">
        <v>1538043.07</v>
      </c>
      <c r="D6" s="378">
        <v>91211.56</v>
      </c>
      <c r="E6" s="378">
        <v>17028.29</v>
      </c>
      <c r="F6" s="378">
        <v>249879.32</v>
      </c>
      <c r="G6" s="378">
        <v>10269.42</v>
      </c>
      <c r="L6" s="407" t="s">
        <v>5</v>
      </c>
      <c r="M6" s="404" t="s">
        <v>28</v>
      </c>
      <c r="N6" s="422">
        <f>'Balance Sheet-Banks'!B9</f>
        <v>86453.97</v>
      </c>
      <c r="O6" s="422">
        <f>'Balance Sheet-Banks'!C9</f>
        <v>103767.45</v>
      </c>
      <c r="P6" s="422">
        <f>'Balance Sheet-Banks'!D9</f>
        <v>118522.01000000001</v>
      </c>
      <c r="Q6" s="422">
        <f>'Balance Sheet-Banks'!E9</f>
        <v>130175.09999999999</v>
      </c>
      <c r="R6" s="422">
        <f>'Balance Sheet-Banks'!F9</f>
        <v>157522.96</v>
      </c>
      <c r="S6" s="423">
        <f>'Financial Projections'!D21</f>
        <v>212620.63380357687</v>
      </c>
      <c r="T6" s="423">
        <f>'Financial Projections'!E21</f>
        <v>246791.294571726</v>
      </c>
      <c r="U6" s="423">
        <f>'Financial Projections'!F21</f>
        <v>284532.00800202967</v>
      </c>
      <c r="V6" s="423">
        <f>'Financial Projections'!G21</f>
        <v>326219.96011229791</v>
      </c>
      <c r="W6" s="423">
        <f>'Financial Projections'!H21</f>
        <v>372271.86797975336</v>
      </c>
      <c r="X6" s="423">
        <f>'Financial Projections'!I21</f>
        <v>423147.94555403019</v>
      </c>
      <c r="Y6" s="419">
        <f>(Financials[[#This Row],[2030]]/Financials[[#This Row],[2020]])^(1/11)-1</f>
        <v>0.15531566826710685</v>
      </c>
    </row>
    <row r="7" spans="1:25" ht="15" thickBot="1" x14ac:dyDescent="0.35">
      <c r="A7" s="377" t="s">
        <v>5</v>
      </c>
      <c r="B7" s="54">
        <v>2029</v>
      </c>
      <c r="C7" s="378">
        <v>1713101.17</v>
      </c>
      <c r="D7" s="378">
        <v>100769.16</v>
      </c>
      <c r="E7" s="378">
        <v>16268.95</v>
      </c>
      <c r="F7" s="378">
        <v>265893.92</v>
      </c>
      <c r="G7" s="378">
        <v>6127.67</v>
      </c>
      <c r="L7" s="407" t="s">
        <v>5</v>
      </c>
      <c r="M7" s="405" t="s">
        <v>375</v>
      </c>
      <c r="N7" s="415">
        <v>0</v>
      </c>
      <c r="O7" s="416">
        <v>0</v>
      </c>
      <c r="P7" s="416">
        <v>0</v>
      </c>
      <c r="Q7" s="416">
        <v>0</v>
      </c>
      <c r="R7" s="417"/>
      <c r="S7" s="424">
        <f>'Financial Projections'!D27</f>
        <v>18869.528004240292</v>
      </c>
      <c r="T7" s="424">
        <f>'Financial Projections'!E27</f>
        <v>15425.8143157798</v>
      </c>
      <c r="U7" s="424">
        <f>'Financial Projections'!F27</f>
        <v>16862.352443457617</v>
      </c>
      <c r="V7" s="424">
        <f>'Financial Projections'!G27</f>
        <v>18433.242683616227</v>
      </c>
      <c r="W7" s="424">
        <f>'Financial Projections'!H27</f>
        <v>20150.377050035378</v>
      </c>
      <c r="X7" s="424">
        <f>'Financial Projections'!I27</f>
        <v>22026.467528542729</v>
      </c>
      <c r="Y7" s="419">
        <f>(Financials[[#This Row],[2030]]/Financials[[#This Row],[2025]])^(1/11)-1</f>
        <v>1.4162667571963272E-2</v>
      </c>
    </row>
    <row r="8" spans="1:25" ht="15" thickBot="1" x14ac:dyDescent="0.35">
      <c r="A8" s="377" t="s">
        <v>5</v>
      </c>
      <c r="B8" s="54">
        <v>2030</v>
      </c>
      <c r="C8" s="378">
        <v>1908084.17</v>
      </c>
      <c r="D8" s="378">
        <v>111339.82</v>
      </c>
      <c r="E8" s="378">
        <v>15043.29</v>
      </c>
      <c r="F8" s="378">
        <v>280702.02</v>
      </c>
      <c r="G8" s="378">
        <v>766.59</v>
      </c>
      <c r="L8" s="397" t="s">
        <v>3</v>
      </c>
      <c r="M8" s="406" t="s">
        <v>491</v>
      </c>
      <c r="N8" s="425">
        <f>'Balance Sheet-Banks'!G75</f>
        <v>1043670.83</v>
      </c>
      <c r="O8" s="425">
        <f>'Balance Sheet-Banks'!H75</f>
        <v>1185283.4889999998</v>
      </c>
      <c r="P8" s="425">
        <f>'Balance Sheet-Banks'!I75</f>
        <v>1420942.2800000003</v>
      </c>
      <c r="Q8" s="425">
        <f>'Balance Sheet-Banks'!J75</f>
        <v>1661949.29</v>
      </c>
      <c r="R8" s="425">
        <f>'Balance Sheet-Banks'!K75</f>
        <v>2565891.4</v>
      </c>
      <c r="S8" s="426">
        <f>'Financial Projections'!M5</f>
        <v>3071660.5237216875</v>
      </c>
      <c r="T8" s="426">
        <f>'Financial Projections'!N5</f>
        <v>3677123.0352890976</v>
      </c>
      <c r="U8" s="426">
        <f>'Financial Projections'!O5</f>
        <v>4401929.741985647</v>
      </c>
      <c r="V8" s="426">
        <f>'Financial Projections'!P5</f>
        <v>5269604.8697359934</v>
      </c>
      <c r="W8" s="426">
        <f>'Financial Projections'!Q5</f>
        <v>6308309.5621192763</v>
      </c>
      <c r="X8" s="426">
        <f>'Financial Projections'!R5</f>
        <v>7551755.8745385045</v>
      </c>
      <c r="Y8" s="419">
        <f>(Financials[[#This Row],[2030]]/Financials[[#This Row],[2020]])^(1/7)-1</f>
        <v>0.32673285859465429</v>
      </c>
    </row>
    <row r="9" spans="1:25" ht="15" thickBot="1" x14ac:dyDescent="0.35">
      <c r="A9" s="377" t="s">
        <v>451</v>
      </c>
      <c r="B9" s="54">
        <v>2025</v>
      </c>
      <c r="C9" s="378">
        <v>3071660.52</v>
      </c>
      <c r="D9" s="378">
        <v>297474.07</v>
      </c>
      <c r="E9" s="378">
        <v>63842.6</v>
      </c>
      <c r="F9" s="378">
        <v>588435.96</v>
      </c>
      <c r="G9" s="378">
        <v>97539.5</v>
      </c>
      <c r="L9" s="397" t="s">
        <v>3</v>
      </c>
      <c r="M9" s="404" t="s">
        <v>121</v>
      </c>
      <c r="N9" s="422">
        <f>('Income Statement-Banks'!G5-'Income Statement-Banks'!G9)+'Income Statement-Banks'!G6</f>
        <v>84930.844700000001</v>
      </c>
      <c r="O9" s="422">
        <f>('Income Statement-Banks'!H5-'Income Statement-Banks'!H9)+'Income Statement-Banks'!H6</f>
        <v>96637.693700000003</v>
      </c>
      <c r="P9" s="422">
        <f>('Income Statement-Banks'!I5-'Income Statement-Banks'!I9)+'Income Statement-Banks'!I6</f>
        <v>109111.07</v>
      </c>
      <c r="Q9" s="422">
        <f>('Income Statement-Banks'!J5-'Income Statement-Banks'!J9)+'Income Statement-Banks'!J6</f>
        <v>126886.15999999999</v>
      </c>
      <c r="R9" s="422">
        <f>('Income Statement-Banks'!K5-'Income Statement-Banks'!K9)+'Income Statement-Banks'!K6</f>
        <v>253856.22000000003</v>
      </c>
      <c r="S9" s="423">
        <f>'Financial Projections'!M8</f>
        <v>322579.03726990544</v>
      </c>
      <c r="T9" s="423">
        <f>'Financial Projections'!N8</f>
        <v>412796.9389600954</v>
      </c>
      <c r="U9" s="423">
        <f>'Financial Projections'!O8</f>
        <v>531906.6750605742</v>
      </c>
      <c r="V9" s="423">
        <f>'Financial Projections'!P8</f>
        <v>689986.14179837157</v>
      </c>
      <c r="W9" s="423">
        <f>'Financial Projections'!Q8</f>
        <v>900791.12977349851</v>
      </c>
      <c r="X9" s="423">
        <f>'Financial Projections'!R8</f>
        <v>1183126.957374325</v>
      </c>
      <c r="Y9" s="419">
        <f>(Financials[[#This Row],[2030]]/Financials[[#This Row],[2020]])^(1/11)-1</f>
        <v>0.27056503754706851</v>
      </c>
    </row>
    <row r="10" spans="1:25" ht="15" thickBot="1" x14ac:dyDescent="0.35">
      <c r="A10" s="377" t="s">
        <v>451</v>
      </c>
      <c r="B10" s="54">
        <v>2026</v>
      </c>
      <c r="C10" s="378">
        <v>3677123.04</v>
      </c>
      <c r="D10" s="378">
        <v>387419.19</v>
      </c>
      <c r="E10" s="378">
        <v>75923.429999999993</v>
      </c>
      <c r="F10" s="378">
        <v>655837.56000000006</v>
      </c>
      <c r="G10" s="378">
        <v>39086.839999999997</v>
      </c>
      <c r="L10" s="397" t="s">
        <v>3</v>
      </c>
      <c r="M10" s="404" t="s">
        <v>457</v>
      </c>
      <c r="N10" s="422">
        <f>'Income Statement-Banks'!G15-('Income Statement-Banks'!G15*(0.2517))</f>
        <v>20394.131233980013</v>
      </c>
      <c r="O10" s="422">
        <f>'Income Statement-Banks'!H15-('Income Statement-Banks'!H15*(0.2517))</f>
        <v>23820.79036952999</v>
      </c>
      <c r="P10" s="422">
        <f>'Income Statement-Banks'!I15-('Income Statement-Banks'!I15*(0.2517))</f>
        <v>28474.872824999984</v>
      </c>
      <c r="Q10" s="422">
        <f>'Income Statement-Banks'!J15-('Income Statement-Banks'!J15*(0.2517))</f>
        <v>34419.637412999989</v>
      </c>
      <c r="R10" s="422">
        <f>'Income Statement-Banks'!K15-('Income Statement-Banks'!K15*(0.2517))</f>
        <v>47937.624532000002</v>
      </c>
      <c r="S10" s="423">
        <f>'Financial Projections'!M14</f>
        <v>82628.654285693992</v>
      </c>
      <c r="T10" s="423">
        <f>'Financial Projections'!N14</f>
        <v>94913.598853867443</v>
      </c>
      <c r="U10" s="423">
        <f>'Financial Projections'!O14</f>
        <v>108199.58645988026</v>
      </c>
      <c r="V10" s="423">
        <f>'Financial Projections'!P14</f>
        <v>123663.11313525234</v>
      </c>
      <c r="W10" s="423">
        <f>'Financial Projections'!Q14</f>
        <v>141977.34992507857</v>
      </c>
      <c r="X10" s="423">
        <f>'Financial Projections'!R14</f>
        <v>164160.1659233559</v>
      </c>
      <c r="Y10" s="419">
        <f>(Financials[[#This Row],[2030]]/Financials[[#This Row],[2020]])^(1/11)-1</f>
        <v>0.20876548882749524</v>
      </c>
    </row>
    <row r="11" spans="1:25" ht="15" thickBot="1" x14ac:dyDescent="0.35">
      <c r="A11" s="377" t="s">
        <v>451</v>
      </c>
      <c r="B11" s="54">
        <v>2027</v>
      </c>
      <c r="C11" s="378">
        <v>4401929.74</v>
      </c>
      <c r="D11" s="378">
        <v>506979.26</v>
      </c>
      <c r="E11" s="378">
        <v>89546.4</v>
      </c>
      <c r="F11" s="378">
        <v>735333.06</v>
      </c>
      <c r="G11" s="378">
        <v>44407.76</v>
      </c>
      <c r="L11" s="397" t="s">
        <v>3</v>
      </c>
      <c r="M11" s="404" t="s">
        <v>28</v>
      </c>
      <c r="N11" s="422">
        <f>'Balance Sheet-Banks'!G9</f>
        <v>176935.33000000002</v>
      </c>
      <c r="O11" s="422">
        <f>'Balance Sheet-Banks'!H9</f>
        <v>210442.94</v>
      </c>
      <c r="P11" s="422">
        <f>'Balance Sheet-Banks'!I9</f>
        <v>248046.58</v>
      </c>
      <c r="Q11" s="422">
        <f>'Balance Sheet-Banks'!J9</f>
        <v>290297.76</v>
      </c>
      <c r="R11" s="422">
        <f>'Balance Sheet-Banks'!K9</f>
        <v>469778.65</v>
      </c>
      <c r="S11" s="423">
        <f>'Financial Projections'!M21</f>
        <v>605113.41730662482</v>
      </c>
      <c r="T11" s="423">
        <f>'Financial Projections'!N21</f>
        <v>689373.68607372313</v>
      </c>
      <c r="U11" s="423">
        <f>'Financial Projections'!O21</f>
        <v>785428.69131733582</v>
      </c>
      <c r="V11" s="423">
        <f>'Financial Projections'!P21</f>
        <v>895211.55989652954</v>
      </c>
      <c r="W11" s="423">
        <f>'Financial Projections'!Q21</f>
        <v>1021253.0313820458</v>
      </c>
      <c r="X11" s="423">
        <f>'Financial Projections'!R21</f>
        <v>1166987.4663690696</v>
      </c>
      <c r="Y11" s="419">
        <f>(Financials[[#This Row],[2030]]/Financials[[#This Row],[2020]])^(1/11)-1</f>
        <v>0.18707298350376944</v>
      </c>
    </row>
    <row r="12" spans="1:25" ht="15" thickBot="1" x14ac:dyDescent="0.35">
      <c r="A12" s="377" t="s">
        <v>451</v>
      </c>
      <c r="B12" s="54">
        <v>2028</v>
      </c>
      <c r="C12" s="378">
        <v>5269604.87</v>
      </c>
      <c r="D12" s="378">
        <v>666503.80000000005</v>
      </c>
      <c r="E12" s="378">
        <v>106091.28</v>
      </c>
      <c r="F12" s="378">
        <v>829516.4</v>
      </c>
      <c r="G12" s="378">
        <v>51197.65</v>
      </c>
      <c r="L12" s="397" t="s">
        <v>3</v>
      </c>
      <c r="M12" s="405" t="s">
        <v>375</v>
      </c>
      <c r="N12" s="415">
        <v>0</v>
      </c>
      <c r="O12" s="416">
        <v>0</v>
      </c>
      <c r="P12" s="416">
        <v>0</v>
      </c>
      <c r="Q12" s="416">
        <v>0</v>
      </c>
      <c r="R12" s="417">
        <v>0</v>
      </c>
      <c r="S12" s="417">
        <f>'Financial Projections'!M27</f>
        <v>57540.195674061586</v>
      </c>
      <c r="T12" s="417">
        <f>'Financial Projections'!N27</f>
        <v>-11456.089019317114</v>
      </c>
      <c r="U12" s="417">
        <f>'Financial Projections'!O27</f>
        <v>-18528.237713183022</v>
      </c>
      <c r="V12" s="417">
        <f>'Financial Projections'!P27</f>
        <v>-27386.157385974031</v>
      </c>
      <c r="W12" s="417">
        <f>'Financial Projections'!Q27</f>
        <v>-38165.276366150647</v>
      </c>
      <c r="X12" s="417">
        <f>'Financial Projections'!R27</f>
        <v>-23984.986640274168</v>
      </c>
      <c r="Y12" s="419">
        <f>(Financials[[#This Row],[2030]]/Financials[[#This Row],[2025]])^(1/7)-1</f>
        <v>-1.882489882875547</v>
      </c>
    </row>
    <row r="13" spans="1:25" ht="15" thickBot="1" x14ac:dyDescent="0.35">
      <c r="A13" s="377" t="s">
        <v>451</v>
      </c>
      <c r="B13" s="54">
        <v>2029</v>
      </c>
      <c r="C13" s="378">
        <v>6308309.5599999996</v>
      </c>
      <c r="D13" s="378">
        <v>880095.2</v>
      </c>
      <c r="E13" s="378">
        <v>126490.59</v>
      </c>
      <c r="F13" s="378">
        <v>941809.38</v>
      </c>
      <c r="G13" s="378">
        <v>60379.22</v>
      </c>
      <c r="L13" s="397" t="s">
        <v>4</v>
      </c>
      <c r="M13" s="406" t="s">
        <v>491</v>
      </c>
      <c r="N13" s="425">
        <f>'Balance Sheet-Banks'!L75</f>
        <v>706246.08569999994</v>
      </c>
      <c r="O13" s="425">
        <f>'Balance Sheet-Banks'!M75</f>
        <v>733729.03999999992</v>
      </c>
      <c r="P13" s="425">
        <f>'Balance Sheet-Banks'!N75</f>
        <v>859020.4</v>
      </c>
      <c r="Q13" s="425">
        <f>'Balance Sheet-Banks'!O75</f>
        <v>1083866.26</v>
      </c>
      <c r="R13" s="425">
        <f>'Balance Sheet-Banks'!P75</f>
        <v>1260776.17</v>
      </c>
      <c r="S13" s="426">
        <f>'Financial Projections'!V5</f>
        <v>1415710.2588467074</v>
      </c>
      <c r="T13" s="426">
        <f>'Financial Projections'!W5</f>
        <v>1589683.8667277566</v>
      </c>
      <c r="U13" s="426">
        <f>'Financial Projections'!X5</f>
        <v>1785036.7194436956</v>
      </c>
      <c r="V13" s="426">
        <f>'Financial Projections'!Y5</f>
        <v>2004396.0666979549</v>
      </c>
      <c r="W13" s="426">
        <f>'Financial Projections'!Z5</f>
        <v>2250712.0152947404</v>
      </c>
      <c r="X13" s="426">
        <f>'Financial Projections'!AA5</f>
        <v>2527297.2043580995</v>
      </c>
      <c r="Y13" s="419">
        <f>(Financials[[#This Row],[2030]]/Financials[[#This Row],[2020]])^(1/11)-1</f>
        <v>0.12288786267804186</v>
      </c>
    </row>
    <row r="14" spans="1:25" ht="15" thickBot="1" x14ac:dyDescent="0.35">
      <c r="A14" s="377" t="s">
        <v>451</v>
      </c>
      <c r="B14" s="54">
        <v>2030</v>
      </c>
      <c r="C14" s="378">
        <v>7551755.8700000001</v>
      </c>
      <c r="D14" s="378">
        <v>1166998.72</v>
      </c>
      <c r="E14" s="378">
        <v>152091.41</v>
      </c>
      <c r="F14" s="378">
        <v>1076829.68</v>
      </c>
      <c r="G14" s="378">
        <v>73466.67</v>
      </c>
      <c r="L14" s="397" t="s">
        <v>4</v>
      </c>
      <c r="M14" s="404" t="s">
        <v>121</v>
      </c>
      <c r="N14" s="422">
        <f>('Income Statement-Banks'!L5-'Income Statement-Banks'!L9)+'Income Statement-Banks'!L6</f>
        <v>105120.5809</v>
      </c>
      <c r="O14" s="422">
        <f>('Income Statement-Banks'!M5-'Income Statement-Banks'!M9)+'Income Statement-Banks'!M6</f>
        <v>57957.960999999996</v>
      </c>
      <c r="P14" s="422">
        <f>('Income Statement-Banks'!N5-'Income Statement-Banks'!N9)+'Income Statement-Banks'!N6</f>
        <v>65983.624400000001</v>
      </c>
      <c r="Q14" s="422">
        <f>('Income Statement-Banks'!O5-'Income Statement-Banks'!O9)+'Income Statement-Banks'!O6</f>
        <v>135635.41310000001</v>
      </c>
      <c r="R14" s="422">
        <f>('Income Statement-Banks'!P5-'Income Statement-Banks'!P9)+'Income Statement-Banks'!P6</f>
        <v>161929.56449999998</v>
      </c>
      <c r="S14" s="423">
        <f>'Financial Projections'!V8</f>
        <v>178387.82998757449</v>
      </c>
      <c r="T14" s="423">
        <f>'Financial Projections'!W8</f>
        <v>197195.76538546989</v>
      </c>
      <c r="U14" s="423">
        <f>'Financial Projections'!X8</f>
        <v>218724.97078884928</v>
      </c>
      <c r="V14" s="423">
        <f>'Financial Projections'!Y8</f>
        <v>243407.1892042929</v>
      </c>
      <c r="W14" s="423">
        <f>'Financial Projections'!Z8</f>
        <v>271744.08776030689</v>
      </c>
      <c r="X14" s="423">
        <f>'Financial Projections'!AA8</f>
        <v>304318.63124557206</v>
      </c>
      <c r="Y14" s="419">
        <f>(Financials[[#This Row],[2030]]/Financials[[#This Row],[2020]])^(1/11)-1</f>
        <v>0.10145648569651389</v>
      </c>
    </row>
    <row r="15" spans="1:25" ht="15" thickBot="1" x14ac:dyDescent="0.35">
      <c r="A15" s="377" t="s">
        <v>4</v>
      </c>
      <c r="B15" s="54">
        <v>2025</v>
      </c>
      <c r="C15" s="378">
        <v>1415710.26</v>
      </c>
      <c r="D15" s="378">
        <v>134504.09</v>
      </c>
      <c r="E15" s="378">
        <v>19634.830000000002</v>
      </c>
      <c r="F15" s="378">
        <v>331239.11</v>
      </c>
      <c r="G15" s="378">
        <v>108915.08</v>
      </c>
      <c r="L15" s="397" t="s">
        <v>4</v>
      </c>
      <c r="M15" s="404" t="s">
        <v>457</v>
      </c>
      <c r="N15" s="422">
        <f>'Income Statement-Banks'!L15-('Income Statement-Banks'!L15*(0.2517))</f>
        <v>7158.4681267399956</v>
      </c>
      <c r="O15" s="422">
        <f>'Income Statement-Banks'!M15-('Income Statement-Banks'!M15*(0.2517))</f>
        <v>12116.985512030011</v>
      </c>
      <c r="P15" s="422">
        <f>'Income Statement-Banks'!N15-('Income Statement-Banks'!N15*(0.2517))</f>
        <v>17464.940890809987</v>
      </c>
      <c r="Q15" s="422">
        <f>'Income Statement-Banks'!O15-('Income Statement-Banks'!O15*(0.2517))</f>
        <v>25469.618310640002</v>
      </c>
      <c r="R15" s="422">
        <f>'Income Statement-Banks'!P15-('Income Statement-Banks'!P15*(0.2517))</f>
        <v>33117.044290049984</v>
      </c>
      <c r="S15" s="423">
        <f>'DCF-DDM-RIM'!V37</f>
        <v>33458.824459696363</v>
      </c>
      <c r="T15" s="309">
        <f>'DCF-DDM-RIM'!V38</f>
        <v>37570.507885268242</v>
      </c>
      <c r="U15" s="309">
        <f>'DCF-DDM-RIM'!V39</f>
        <v>42187.467299017371</v>
      </c>
      <c r="V15" s="309">
        <f>'DCF-DDM-RIM'!V40</f>
        <v>47371.794987193403</v>
      </c>
      <c r="W15" s="309">
        <f>'DCF-DDM-RIM'!V41</f>
        <v>53193.213624391981</v>
      </c>
      <c r="X15" s="309">
        <f>'DCF-DDM-RIM'!V42</f>
        <v>59730.013955670009</v>
      </c>
      <c r="Y15" s="419">
        <f>(Financials[[#This Row],[2030]]/Financials[[#This Row],[2020]])^(1/11)-1</f>
        <v>0.21272167065759473</v>
      </c>
    </row>
    <row r="16" spans="1:25" ht="15" thickBot="1" x14ac:dyDescent="0.35">
      <c r="A16" s="377" t="s">
        <v>4</v>
      </c>
      <c r="B16" s="54">
        <v>2026</v>
      </c>
      <c r="C16" s="378">
        <v>1589683.87</v>
      </c>
      <c r="D16" s="378">
        <v>143951.76</v>
      </c>
      <c r="E16" s="378">
        <v>24045.05</v>
      </c>
      <c r="F16" s="378">
        <v>353233.08</v>
      </c>
      <c r="G16" s="378">
        <v>57357.29</v>
      </c>
      <c r="L16" s="397" t="s">
        <v>4</v>
      </c>
      <c r="M16" s="404" t="s">
        <v>28</v>
      </c>
      <c r="N16" s="422">
        <f>'Balance Sheet-Banks'!L9</f>
        <v>129754.79999999999</v>
      </c>
      <c r="O16" s="422">
        <f>'Balance Sheet-Banks'!M9</f>
        <v>147509.18000000002</v>
      </c>
      <c r="P16" s="422">
        <f>'Balance Sheet-Banks'!N9</f>
        <v>170511.96</v>
      </c>
      <c r="Q16" s="422">
        <f>'Balance Sheet-Banks'!O9</f>
        <v>221184.52</v>
      </c>
      <c r="R16" s="422">
        <f>'Balance Sheet-Banks'!P9</f>
        <v>270032.21999999997</v>
      </c>
      <c r="S16" s="423">
        <f>'Financial Projections'!V21</f>
        <v>361276.1668567693</v>
      </c>
      <c r="T16" s="423">
        <f>'Financial Projections'!W21</f>
        <v>419714.01041341817</v>
      </c>
      <c r="U16" s="423">
        <f>'Financial Projections'!X21</f>
        <v>487906.79317645897</v>
      </c>
      <c r="V16" s="423">
        <f>'Financial Projections'!Y21</f>
        <v>567686.15860768582</v>
      </c>
      <c r="W16" s="423">
        <f>'Financial Projections'!Z21</f>
        <v>661205.44285235764</v>
      </c>
      <c r="X16" s="423">
        <f>'Financial Projections'!AA21</f>
        <v>770993.84632678318</v>
      </c>
      <c r="Y16" s="419">
        <f>(Financials[[#This Row],[2030]]/Financials[[#This Row],[2020]])^(1/11)-1</f>
        <v>0.1758638626054212</v>
      </c>
    </row>
    <row r="17" spans="1:25" ht="15" thickBot="1" x14ac:dyDescent="0.35">
      <c r="A17" s="377" t="s">
        <v>4</v>
      </c>
      <c r="B17" s="54">
        <v>2027</v>
      </c>
      <c r="C17" s="378">
        <v>1785036.72</v>
      </c>
      <c r="D17" s="378">
        <v>154324.39000000001</v>
      </c>
      <c r="E17" s="378">
        <v>26361.24</v>
      </c>
      <c r="F17" s="378">
        <v>377345.67</v>
      </c>
      <c r="G17" s="378">
        <v>44526.15</v>
      </c>
      <c r="L17" s="397" t="s">
        <v>4</v>
      </c>
      <c r="M17" s="405" t="s">
        <v>375</v>
      </c>
      <c r="N17" s="415">
        <v>0</v>
      </c>
      <c r="O17" s="416">
        <v>0</v>
      </c>
      <c r="P17" s="416">
        <v>0</v>
      </c>
      <c r="Q17" s="416">
        <v>0</v>
      </c>
      <c r="R17" s="417">
        <v>0</v>
      </c>
      <c r="S17" s="424">
        <f>'Financial Projections'!V27</f>
        <v>62871.128091140861</v>
      </c>
      <c r="T17" s="424">
        <f>'Financial Projections'!W27</f>
        <v>27082.00998871987</v>
      </c>
      <c r="U17" s="424">
        <f>'Financial Projections'!X27</f>
        <v>32983.697825460702</v>
      </c>
      <c r="V17" s="424">
        <f>'Financial Projections'!Y27</f>
        <v>40243.511298817728</v>
      </c>
      <c r="W17" s="424">
        <f>'Financial Projections'!Z27</f>
        <v>49124.953498780145</v>
      </c>
      <c r="X17" s="424">
        <f>'Financial Projections'!AA27</f>
        <v>59938.548308149169</v>
      </c>
      <c r="Y17" s="418"/>
    </row>
    <row r="18" spans="1:25" ht="15" thickBot="1" x14ac:dyDescent="0.35">
      <c r="A18" s="377" t="s">
        <v>4</v>
      </c>
      <c r="B18" s="54">
        <v>2028</v>
      </c>
      <c r="C18" s="378">
        <v>2004396.07</v>
      </c>
      <c r="D18" s="378">
        <v>165727.78</v>
      </c>
      <c r="E18" s="378">
        <v>29091.79</v>
      </c>
      <c r="F18" s="378">
        <v>403955.89</v>
      </c>
      <c r="G18" s="378">
        <v>29771.38</v>
      </c>
      <c r="L18" s="397" t="s">
        <v>6</v>
      </c>
      <c r="M18" s="406" t="s">
        <v>491</v>
      </c>
      <c r="N18" s="425">
        <f>'Balance Sheet-Banks'!Q75</f>
        <v>2374311.1500000004</v>
      </c>
      <c r="O18" s="425">
        <f>'Balance Sheet-Banks'!R75</f>
        <v>2500598.9677999998</v>
      </c>
      <c r="P18" s="425">
        <f>'Balance Sheet-Banks'!S75</f>
        <v>2794075.9758000001</v>
      </c>
      <c r="Q18" s="425">
        <f>'Balance Sheet-Banks'!T75</f>
        <v>3267902.1236</v>
      </c>
      <c r="R18" s="425">
        <f>'Balance Sheet-Banks'!U75</f>
        <v>3784272.6676000003</v>
      </c>
      <c r="S18" s="426">
        <f>'Financial Projections'!AE5</f>
        <v>4154046.7403928745</v>
      </c>
      <c r="T18" s="426">
        <f>'Financial Projections'!AF5</f>
        <v>4559952.6876356276</v>
      </c>
      <c r="U18" s="426">
        <f>'Financial Projections'!AG5</f>
        <v>5005521.0769026736</v>
      </c>
      <c r="V18" s="426">
        <f>'Financial Projections'!AH5</f>
        <v>5494627.4594590692</v>
      </c>
      <c r="W18" s="426">
        <f>'Financial Projections'!AI5</f>
        <v>6031526.0797829321</v>
      </c>
      <c r="X18" s="426">
        <f>'Financial Projections'!AJ5</f>
        <v>6620886.8789592348</v>
      </c>
      <c r="Y18" s="419">
        <f>(Financials[[#This Row],[2030]]/Financials[[#This Row],[2020]])^(1/11)-1</f>
        <v>9.7713379894315944E-2</v>
      </c>
    </row>
    <row r="19" spans="1:25" ht="15" thickBot="1" x14ac:dyDescent="0.35">
      <c r="A19" s="377" t="s">
        <v>4</v>
      </c>
      <c r="B19" s="54">
        <v>2029</v>
      </c>
      <c r="C19" s="378">
        <v>2250712.02</v>
      </c>
      <c r="D19" s="378">
        <v>178280.45</v>
      </c>
      <c r="E19" s="378">
        <v>32301.71</v>
      </c>
      <c r="F19" s="378">
        <v>433502.22</v>
      </c>
      <c r="G19" s="378">
        <v>13001.01</v>
      </c>
      <c r="L19" s="397" t="s">
        <v>6</v>
      </c>
      <c r="M19" s="404" t="s">
        <v>121</v>
      </c>
      <c r="N19" s="422">
        <f>('Income Statement-Banks'!Q5-'Income Statement-Banks'!Q9)+'Income Statement-Banks'!Q6</f>
        <v>206886.84140000003</v>
      </c>
      <c r="O19" s="422">
        <f>('Income Statement-Banks'!R5-'Income Statement-Banks'!R9)+'Income Statement-Banks'!R6</f>
        <v>229327.72340000002</v>
      </c>
      <c r="P19" s="422">
        <f>('Income Statement-Banks'!S5-'Income Statement-Banks'!S9)+'Income Statement-Banks'!S6</f>
        <v>250778.74559999999</v>
      </c>
      <c r="Q19" s="422">
        <f>('Income Statement-Banks'!T5-'Income Statement-Banks'!T9)+'Income Statement-Banks'!T6</f>
        <v>283397.32450000005</v>
      </c>
      <c r="R19" s="422">
        <f>('Income Statement-Banks'!U5-'Income Statement-Banks'!U9)+'Income Statement-Banks'!U6</f>
        <v>334838.85639999999</v>
      </c>
      <c r="S19" s="423">
        <f>'Financial Projections'!AE8</f>
        <v>368705.0113425405</v>
      </c>
      <c r="T19" s="423">
        <f>'Financial Projections'!AF8</f>
        <v>406003.47632396268</v>
      </c>
      <c r="U19" s="423">
        <f>'Financial Projections'!AG8</f>
        <v>447082.81850027276</v>
      </c>
      <c r="V19" s="423">
        <f>'Financial Projections'!AH8</f>
        <v>492327.07420673873</v>
      </c>
      <c r="W19" s="423">
        <f>'Financial Projections'!AI8</f>
        <v>542159.36524411011</v>
      </c>
      <c r="X19" s="423">
        <f>'Financial Projections'!AJ8</f>
        <v>597045.88456818729</v>
      </c>
      <c r="Y19" s="419">
        <f>(Financials[[#This Row],[2030]]/Financials[[#This Row],[2020]])^(1/11)-1</f>
        <v>0.10114159269708112</v>
      </c>
    </row>
    <row r="20" spans="1:25" ht="15" thickBot="1" x14ac:dyDescent="0.35">
      <c r="A20" s="377" t="s">
        <v>4</v>
      </c>
      <c r="B20" s="54">
        <v>2030</v>
      </c>
      <c r="C20" s="378">
        <v>2527297.2000000002</v>
      </c>
      <c r="D20" s="378">
        <v>192115.25</v>
      </c>
      <c r="E20" s="378">
        <v>36065.08</v>
      </c>
      <c r="F20" s="378">
        <v>466490.89</v>
      </c>
      <c r="G20" s="378">
        <v>-5873.35</v>
      </c>
      <c r="L20" s="397" t="s">
        <v>6</v>
      </c>
      <c r="M20" s="404" t="s">
        <v>457</v>
      </c>
      <c r="N20" s="422">
        <f>'Income Statement-Banks'!Q15-('Income Statement-Banks'!Q15*(0.2517))</f>
        <v>14792.241746799999</v>
      </c>
      <c r="O20" s="422">
        <f>'Income Statement-Banks'!R15-('Income Statement-Banks'!R15*(0.2517))</f>
        <v>16766.003922079959</v>
      </c>
      <c r="P20" s="422">
        <f>'Income Statement-Banks'!S15-('Income Statement-Banks'!S15*(0.2517))</f>
        <v>26470.274254340038</v>
      </c>
      <c r="Q20" s="422">
        <f>'Income Statement-Banks'!T15-('Income Statement-Banks'!T15*(0.2517))</f>
        <v>41641.527706240035</v>
      </c>
      <c r="R20" s="422">
        <f>'Income Statement-Banks'!U15-('Income Statement-Banks'!U15*(0.2517))</f>
        <v>50199.45564262991</v>
      </c>
      <c r="S20" s="423">
        <f>'Financial Projections'!AE23</f>
        <v>65752.222358490893</v>
      </c>
      <c r="T20" s="423">
        <f>'Financial Projections'!AF23</f>
        <v>78715.148775338923</v>
      </c>
      <c r="U20" s="423">
        <f>'Financial Projections'!AG23</f>
        <v>81703.994020219237</v>
      </c>
      <c r="V20" s="423">
        <f>'Financial Projections'!AH23</f>
        <v>84386.945375224182</v>
      </c>
      <c r="W20" s="423">
        <f>'Financial Projections'!AI23</f>
        <v>86658.405363091806</v>
      </c>
      <c r="X20" s="423">
        <f>'Financial Projections'!AJ23</f>
        <v>88392.907097402698</v>
      </c>
      <c r="Y20" s="419">
        <f>(Financials[[#This Row],[2030]]/Financials[[#This Row],[2020]])^(1/11)-1</f>
        <v>0.17646852069332697</v>
      </c>
    </row>
    <row r="21" spans="1:25" ht="15" thickBot="1" x14ac:dyDescent="0.35">
      <c r="A21" s="377" t="s">
        <v>452</v>
      </c>
      <c r="B21" s="54">
        <v>2025</v>
      </c>
      <c r="C21" s="378">
        <v>4154046.74</v>
      </c>
      <c r="D21" s="378">
        <v>295585.17</v>
      </c>
      <c r="E21" s="378">
        <v>10887.61</v>
      </c>
      <c r="F21" s="378">
        <v>446392.15</v>
      </c>
      <c r="G21" s="378">
        <v>-14367.9</v>
      </c>
      <c r="L21" s="397" t="s">
        <v>6</v>
      </c>
      <c r="M21" s="404" t="s">
        <v>28</v>
      </c>
      <c r="N21" s="422">
        <f>'Balance Sheet-Banks'!P9</f>
        <v>270032.21999999997</v>
      </c>
      <c r="O21" s="422">
        <f>'Balance Sheet-Banks'!Q9</f>
        <v>259003.94</v>
      </c>
      <c r="P21" s="422">
        <f>'Balance Sheet-Banks'!R9</f>
        <v>285187.46000000002</v>
      </c>
      <c r="Q21" s="422">
        <f>'Balance Sheet-Banks'!S9</f>
        <v>316795.46000000002</v>
      </c>
      <c r="R21" s="422">
        <f>'Balance Sheet-Banks'!T9</f>
        <v>371767.92</v>
      </c>
      <c r="S21" s="423">
        <f>'Financial Projections'!AE21</f>
        <v>470125.3365309388</v>
      </c>
      <c r="T21" s="423">
        <f>'Financial Projections'!AF21</f>
        <v>536379.73601434287</v>
      </c>
      <c r="U21" s="423">
        <f>'Financial Projections'!AG21</f>
        <v>605149.8411773938</v>
      </c>
      <c r="V21" s="423">
        <f>'Financial Projections'!AH21</f>
        <v>676178.18168185768</v>
      </c>
      <c r="W21" s="423">
        <f>'Financial Projections'!AI21</f>
        <v>749118.40598236537</v>
      </c>
      <c r="X21" s="423">
        <f>'Financial Projections'!AJ21</f>
        <v>823518.55728037737</v>
      </c>
      <c r="Y21" s="419">
        <f>(Financials[[#This Row],[2030]]/Financials[[#This Row],[2020]])^(1/11)-1</f>
        <v>0.10668350441961683</v>
      </c>
    </row>
    <row r="22" spans="1:25" ht="15" thickBot="1" x14ac:dyDescent="0.35">
      <c r="A22" s="377" t="s">
        <v>452</v>
      </c>
      <c r="B22" s="54">
        <v>2026</v>
      </c>
      <c r="C22" s="378">
        <v>4559952.6900000004</v>
      </c>
      <c r="D22" s="378">
        <v>324212.93</v>
      </c>
      <c r="E22" s="378">
        <v>17332.86</v>
      </c>
      <c r="F22" s="378">
        <v>490264.23</v>
      </c>
      <c r="G22" s="378">
        <v>3906.25</v>
      </c>
      <c r="L22" s="397" t="s">
        <v>6</v>
      </c>
      <c r="M22" s="405" t="s">
        <v>375</v>
      </c>
      <c r="N22" s="415">
        <v>0</v>
      </c>
      <c r="O22" s="416">
        <v>0</v>
      </c>
      <c r="P22" s="416">
        <v>0</v>
      </c>
      <c r="Q22" s="416">
        <v>0</v>
      </c>
      <c r="R22" s="417">
        <v>0</v>
      </c>
      <c r="S22" s="424">
        <f>'Financial Projections'!AE27</f>
        <v>1008.8322264973194</v>
      </c>
      <c r="T22" s="424">
        <f>'Financial Projections'!AF27</f>
        <v>26288.568498281544</v>
      </c>
      <c r="U22" s="424">
        <f>'Financial Projections'!AG27</f>
        <v>24899.077752087105</v>
      </c>
      <c r="V22" s="424">
        <f>'Financial Projections'!AH27</f>
        <v>22870.526725738539</v>
      </c>
      <c r="W22" s="424">
        <f>'Financial Projections'!AI27</f>
        <v>20076.747769142108</v>
      </c>
      <c r="X22" s="424">
        <f>'Financial Projections'!AJ27</f>
        <v>16371.205801802709</v>
      </c>
      <c r="Y22" s="419"/>
    </row>
    <row r="23" spans="1:25" ht="15" thickBot="1" x14ac:dyDescent="0.35">
      <c r="A23" s="377" t="s">
        <v>452</v>
      </c>
      <c r="B23" s="54">
        <v>2027</v>
      </c>
      <c r="C23" s="378">
        <v>5005521.08</v>
      </c>
      <c r="D23" s="378">
        <v>355613.48</v>
      </c>
      <c r="E23" s="378">
        <v>13072.29</v>
      </c>
      <c r="F23" s="378">
        <v>538423.19999999995</v>
      </c>
      <c r="G23" s="378">
        <v>4287.9399999999996</v>
      </c>
      <c r="L23" s="397" t="s">
        <v>492</v>
      </c>
      <c r="M23" s="406" t="s">
        <v>491</v>
      </c>
      <c r="N23" s="425">
        <f>'Balance Sheet-NBFCs'!B27</f>
        <v>27975.41</v>
      </c>
      <c r="O23" s="425">
        <f>'Balance Sheet-NBFCs'!C27</f>
        <v>33418.9</v>
      </c>
      <c r="P23" s="425">
        <f>'Balance Sheet-NBFCs'!D27</f>
        <v>46482.07</v>
      </c>
      <c r="Q23" s="425">
        <f>'Balance Sheet-NBFCs'!E27</f>
        <v>62113.89</v>
      </c>
      <c r="R23" s="425">
        <f>'Balance Sheet-NBFCs'!F27</f>
        <v>79300.75</v>
      </c>
      <c r="S23" s="426">
        <f>'Financial Projections'!AN5</f>
        <v>97673.659974016409</v>
      </c>
      <c r="T23" s="426">
        <f>'Financial Projections'!AO5</f>
        <v>120303.32440386471</v>
      </c>
      <c r="U23" s="426">
        <f>'Financial Projections'!AP5</f>
        <v>148175.97565681121</v>
      </c>
      <c r="V23" s="426">
        <f>'Financial Projections'!AQ5</f>
        <v>182506.34278517554</v>
      </c>
      <c r="W23" s="426">
        <f>'Financial Projections'!AR5</f>
        <v>224790.59111421416</v>
      </c>
      <c r="X23" s="426">
        <f>'Financial Projections'!AS5</f>
        <v>276871.52721566829</v>
      </c>
      <c r="Y23" s="419">
        <f>(Financials[[#This Row],[2030]]/Financials[[#This Row],[2020]])^(1/11)-1</f>
        <v>0.23168645913205621</v>
      </c>
    </row>
    <row r="24" spans="1:25" ht="15" thickBot="1" x14ac:dyDescent="0.35">
      <c r="A24" s="377" t="s">
        <v>452</v>
      </c>
      <c r="B24" s="54">
        <v>2028</v>
      </c>
      <c r="C24" s="378">
        <v>5494627.46</v>
      </c>
      <c r="D24" s="378">
        <v>390055.4</v>
      </c>
      <c r="E24" s="378">
        <v>7665.77</v>
      </c>
      <c r="F24" s="378">
        <v>591287.94999999995</v>
      </c>
      <c r="G24" s="378">
        <v>4706.93</v>
      </c>
      <c r="L24" s="397" t="s">
        <v>492</v>
      </c>
      <c r="M24" s="404" t="s">
        <v>121</v>
      </c>
      <c r="N24" s="422">
        <f>'Income Statement-NBFCs'!B14</f>
        <v>2646.23</v>
      </c>
      <c r="O24" s="422">
        <f>'Income Statement-NBFCs'!C14</f>
        <v>3155.2799999999997</v>
      </c>
      <c r="P24" s="422">
        <f>'Income Statement-NBFCs'!D14</f>
        <v>3767.1299999999997</v>
      </c>
      <c r="Q24" s="422">
        <f>'Income Statement-NBFCs'!E14</f>
        <v>5665.4400000000005</v>
      </c>
      <c r="R24" s="422">
        <f>'Income Statement-NBFCs'!F14</f>
        <v>7617.7099999999982</v>
      </c>
      <c r="S24" s="423">
        <f>'Financial Projections'!AN8</f>
        <v>3130.5904985818297</v>
      </c>
      <c r="T24" s="423">
        <f>'Financial Projections'!AO8</f>
        <v>3772.7275349826473</v>
      </c>
      <c r="U24" s="423">
        <f>'Financial Projections'!AP8</f>
        <v>4560.4009415582823</v>
      </c>
      <c r="V24" s="423">
        <f>'Financial Projections'!AQ8</f>
        <v>5527.203467794895</v>
      </c>
      <c r="W24" s="423">
        <f>'Financial Projections'!AR8</f>
        <v>6714.5059410424001</v>
      </c>
      <c r="X24" s="423">
        <f>'Financial Projections'!AS8</f>
        <v>8173.259150794589</v>
      </c>
      <c r="Y24" s="419">
        <f>(Financials[[#This Row],[2030]]/Financials[[#This Row],[2020]])^(1/11)-1</f>
        <v>0.10796064544971773</v>
      </c>
    </row>
    <row r="25" spans="1:25" ht="15" thickBot="1" x14ac:dyDescent="0.35">
      <c r="A25" s="377" t="s">
        <v>452</v>
      </c>
      <c r="B25" s="54">
        <v>2029</v>
      </c>
      <c r="C25" s="378">
        <v>6031526.0800000001</v>
      </c>
      <c r="D25" s="378">
        <v>427833.29</v>
      </c>
      <c r="E25" s="378">
        <v>911.77</v>
      </c>
      <c r="F25" s="378">
        <v>649318.29</v>
      </c>
      <c r="G25" s="378">
        <v>5166.8599999999997</v>
      </c>
      <c r="L25" s="397" t="s">
        <v>492</v>
      </c>
      <c r="M25" s="404" t="s">
        <v>457</v>
      </c>
      <c r="N25" s="422">
        <f>'Income Statement-NBFCs'!B33</f>
        <v>421.33000000000027</v>
      </c>
      <c r="O25" s="422">
        <f>'Income Statement-NBFCs'!C33</f>
        <v>453.18999999999983</v>
      </c>
      <c r="P25" s="422">
        <f>'Income Statement-NBFCs'!D33</f>
        <v>709.61999999999921</v>
      </c>
      <c r="Q25" s="422">
        <f>'Income Statement-NBFCs'!E33</f>
        <v>1257.8000000000004</v>
      </c>
      <c r="R25" s="422">
        <f>'Income Statement-NBFCs'!F33</f>
        <v>1731.219999999998</v>
      </c>
      <c r="S25" s="423">
        <f>'Financial Projections'!AN14</f>
        <v>1973.3077313684844</v>
      </c>
      <c r="T25" s="423">
        <f>'Financial Projections'!AO14</f>
        <v>2376.9939125370647</v>
      </c>
      <c r="U25" s="423">
        <f>'Financial Projections'!AP14</f>
        <v>2872.1258946276339</v>
      </c>
      <c r="V25" s="423">
        <f>'Financial Projections'!AQ14</f>
        <v>3479.8093484565752</v>
      </c>
      <c r="W25" s="423">
        <f>'Financial Projections'!AR14</f>
        <v>4226.0366864655471</v>
      </c>
      <c r="X25" s="423">
        <f>'Financial Projections'!AS14</f>
        <v>5142.8191317041001</v>
      </c>
      <c r="Y25" s="419">
        <f>(Financials[[#This Row],[2030]]/Financials[[#This Row],[2020]])^(1/11)-1</f>
        <v>0.25539356172829275</v>
      </c>
    </row>
    <row r="26" spans="1:25" ht="15" thickBot="1" x14ac:dyDescent="0.35">
      <c r="A26" s="377" t="s">
        <v>452</v>
      </c>
      <c r="B26" s="54">
        <v>2030</v>
      </c>
      <c r="C26" s="378">
        <v>6620886.8799999999</v>
      </c>
      <c r="D26" s="378">
        <v>469270.28</v>
      </c>
      <c r="E26" s="378">
        <v>-9918.4</v>
      </c>
      <c r="F26" s="378">
        <v>713018.97</v>
      </c>
      <c r="G26" s="378">
        <v>5671.74</v>
      </c>
      <c r="L26" s="397" t="s">
        <v>492</v>
      </c>
      <c r="M26" s="404" t="s">
        <v>28</v>
      </c>
      <c r="N26" s="422">
        <f>'Balance Sheet-NBFCs'!B9</f>
        <v>5585.13</v>
      </c>
      <c r="O26" s="422">
        <f>'Balance Sheet-NBFCs'!C9</f>
        <v>6032.22</v>
      </c>
      <c r="P26" s="422">
        <f>'Balance Sheet-NBFCs'!D9</f>
        <v>6741.36</v>
      </c>
      <c r="Q26" s="422">
        <f>'Balance Sheet-NBFCs'!E9</f>
        <v>10503.19</v>
      </c>
      <c r="R26" s="422">
        <f>'Balance Sheet-NBFCs'!F9</f>
        <v>12233.5</v>
      </c>
      <c r="S26" s="423">
        <f>'Financial Projections'!AN21</f>
        <v>14206.807731368484</v>
      </c>
      <c r="T26" s="423">
        <f>'Financial Projections'!AO21</f>
        <v>2377.2079035659708</v>
      </c>
      <c r="U26" s="423">
        <f>'Financial Projections'!AP21</f>
        <v>18630.435368362836</v>
      </c>
      <c r="V26" s="423">
        <f>'Financial Projections'!AQ21</f>
        <v>22889.105746068621</v>
      </c>
      <c r="W26" s="423">
        <f>'Financial Projections'!AR21</f>
        <v>28132.2042406849</v>
      </c>
      <c r="X26" s="423">
        <f>'Financial Projections'!AS21</f>
        <v>34587.72199797818</v>
      </c>
      <c r="Y26" s="419">
        <f>(Financials[[#This Row],[2030]]/Financials[[#This Row],[2020]])^(1/11)-1</f>
        <v>0.18029313031688976</v>
      </c>
    </row>
    <row r="27" spans="1:25" ht="15" thickBot="1" x14ac:dyDescent="0.35">
      <c r="A27" s="377" t="s">
        <v>453</v>
      </c>
      <c r="B27" s="54">
        <v>2025</v>
      </c>
      <c r="C27" s="378">
        <v>97673.66</v>
      </c>
      <c r="D27" s="378">
        <v>37347.370000000003</v>
      </c>
      <c r="E27" s="378">
        <v>8495.51</v>
      </c>
      <c r="F27" s="378">
        <v>24253.82</v>
      </c>
      <c r="G27" s="378">
        <v>4970.7</v>
      </c>
      <c r="L27" s="397" t="s">
        <v>492</v>
      </c>
      <c r="M27" s="405" t="s">
        <v>375</v>
      </c>
      <c r="N27" s="415">
        <v>0</v>
      </c>
      <c r="O27" s="416">
        <v>0</v>
      </c>
      <c r="P27" s="416">
        <v>0</v>
      </c>
      <c r="Q27" s="416">
        <v>0</v>
      </c>
      <c r="R27" s="417">
        <v>0</v>
      </c>
      <c r="S27" s="424">
        <f>'Financial Projections'!AN27</f>
        <v>0</v>
      </c>
      <c r="T27" s="424">
        <f>'Financial Projections'!AO27</f>
        <v>15758.095482706296</v>
      </c>
      <c r="U27" s="424">
        <f>'Financial Projections'!AP27</f>
        <v>3650.9869238768424</v>
      </c>
      <c r="V27" s="424">
        <f>'Financial Projections'!AQ27</f>
        <v>4496.8711566073061</v>
      </c>
      <c r="W27" s="424">
        <f>'Financial Projections'!AR27</f>
        <v>5538.7353120547295</v>
      </c>
      <c r="X27" s="424">
        <f>'Financial Projections'!AS27</f>
        <v>6821.9852845743753</v>
      </c>
      <c r="Y27" s="419" t="e">
        <f>(Financials[[#This Row],[2030]]/Financials[[#This Row],[2025]])^(1/6)-1</f>
        <v>#DIV/0!</v>
      </c>
    </row>
    <row r="28" spans="1:25" ht="15" thickBot="1" x14ac:dyDescent="0.35">
      <c r="A28" s="377" t="s">
        <v>453</v>
      </c>
      <c r="B28" s="54">
        <v>2026</v>
      </c>
      <c r="C28" s="378">
        <v>120303.32</v>
      </c>
      <c r="D28" s="378">
        <v>45997.440000000002</v>
      </c>
      <c r="E28" s="378">
        <v>10463.16</v>
      </c>
      <c r="F28" s="378">
        <v>29872.45</v>
      </c>
      <c r="G28" s="378">
        <v>6812.17</v>
      </c>
      <c r="L28" s="397" t="s">
        <v>516</v>
      </c>
      <c r="M28" s="406" t="s">
        <v>491</v>
      </c>
      <c r="N28" s="425">
        <f>'Balance Sheet-NBFCs'!G27</f>
        <v>141376.04999999999</v>
      </c>
      <c r="O28" s="425">
        <f>'Balance Sheet-NBFCs'!H27</f>
        <v>146686.87</v>
      </c>
      <c r="P28" s="425">
        <f>'Balance Sheet-NBFCs'!I27</f>
        <v>191423.25</v>
      </c>
      <c r="Q28" s="425">
        <f>'Balance Sheet-NBFCs'!J27</f>
        <v>242268.93</v>
      </c>
      <c r="R28" s="425">
        <f>'Balance Sheet-NBFCs'!K27</f>
        <v>326293.32</v>
      </c>
      <c r="S28" s="426">
        <f>'Financial Projections'!AW5</f>
        <v>385704.45108491846</v>
      </c>
      <c r="T28" s="426">
        <f>'Financial Projections'!AX5</f>
        <v>455933.09598467493</v>
      </c>
      <c r="U28" s="426">
        <f>'Financial Projections'!AY5</f>
        <v>538948.89579172654</v>
      </c>
      <c r="V28" s="426">
        <f>'Financial Projections'!AZ5</f>
        <v>637080.12169593538</v>
      </c>
      <c r="W28" s="426">
        <f>'Financial Projections'!BA5</f>
        <v>753078.97396074119</v>
      </c>
      <c r="X28" s="426">
        <f>'Financial Projections'!BB5</f>
        <v>890198.77046554699</v>
      </c>
      <c r="Y28" s="419">
        <f>(Financials[[#This Row],[2030]]/Financials[[#This Row],[2020]])^(1/11)-1</f>
        <v>0.18207890705491137</v>
      </c>
    </row>
    <row r="29" spans="1:25" ht="15" thickBot="1" x14ac:dyDescent="0.35">
      <c r="A29" s="377" t="s">
        <v>453</v>
      </c>
      <c r="B29" s="54">
        <v>2027</v>
      </c>
      <c r="C29" s="378">
        <v>148175.98000000001</v>
      </c>
      <c r="D29" s="378">
        <v>56651.55</v>
      </c>
      <c r="E29" s="378">
        <v>12886.67</v>
      </c>
      <c r="F29" s="378">
        <v>36792.839999999997</v>
      </c>
      <c r="G29" s="378">
        <v>8389.7999999999993</v>
      </c>
      <c r="L29" s="397" t="s">
        <v>516</v>
      </c>
      <c r="M29" s="404" t="s">
        <v>121</v>
      </c>
      <c r="N29" s="422">
        <f>'Income Statement-NBFCs'!G14-'Income Statement-NBFCs'!G38</f>
        <v>16795.330000000005</v>
      </c>
      <c r="O29" s="422">
        <f>'Income Statement-NBFCs'!H14-'Income Statement-NBFCs'!H38</f>
        <v>15406.260000000002</v>
      </c>
      <c r="P29" s="422">
        <f>'Income Statement-NBFCs'!I14-'Income Statement-NBFCs'!I38</f>
        <v>19252.02</v>
      </c>
      <c r="Q29" s="422">
        <f>'Income Statement-NBFCs'!J14-'Income Statement-NBFCs'!J38</f>
        <v>28086.079999999994</v>
      </c>
      <c r="R29" s="422">
        <f>'Income Statement-NBFCs'!K14-'Income Statement-NBFCs'!K38</f>
        <v>38026.619999999995</v>
      </c>
      <c r="S29" s="423">
        <f>'Financial Projections'!AW8</f>
        <v>40392.275745855201</v>
      </c>
      <c r="T29" s="423">
        <f>'Financial Projections'!AX8</f>
        <v>47451.993742223669</v>
      </c>
      <c r="U29" s="423">
        <f>'Financial Projections'!AY8</f>
        <v>55754.838796928147</v>
      </c>
      <c r="V29" s="423">
        <f>'Financial Projections'!AZ8</f>
        <v>65521.090306009763</v>
      </c>
      <c r="W29" s="423">
        <f>'Financial Projections'!BA8</f>
        <v>77010.265457692352</v>
      </c>
      <c r="X29" s="423">
        <f>'Financial Projections'!BB8</f>
        <v>90528.138740616807</v>
      </c>
      <c r="Y29" s="419">
        <f>(Financials[[#This Row],[2030]]/Financials[[#This Row],[2020]])^(1/11)-1</f>
        <v>0.16549023968642973</v>
      </c>
    </row>
    <row r="30" spans="1:25" ht="15" thickBot="1" x14ac:dyDescent="0.35">
      <c r="A30" s="377" t="s">
        <v>453</v>
      </c>
      <c r="B30" s="54">
        <v>2028</v>
      </c>
      <c r="C30" s="378">
        <v>182506.34</v>
      </c>
      <c r="D30" s="378">
        <v>69774.009999999995</v>
      </c>
      <c r="E30" s="378">
        <v>15871.67</v>
      </c>
      <c r="F30" s="378">
        <v>45316.57</v>
      </c>
      <c r="G30" s="378">
        <v>10332.93</v>
      </c>
      <c r="L30" s="397" t="s">
        <v>516</v>
      </c>
      <c r="M30" s="404" t="s">
        <v>457</v>
      </c>
      <c r="N30" s="422">
        <f>'Income Statement-NBFCs'!G33</f>
        <v>5263.7500000000027</v>
      </c>
      <c r="O30" s="422">
        <f>'Income Statement-NBFCs'!H33</f>
        <v>4419.8200000000052</v>
      </c>
      <c r="P30" s="422">
        <f>'Income Statement-NBFCs'!I33</f>
        <v>7028.2300000000032</v>
      </c>
      <c r="Q30" s="422">
        <f>'Income Statement-NBFCs'!J33</f>
        <v>11507.689999999995</v>
      </c>
      <c r="R30" s="422">
        <f>'Income Statement-NBFCs'!K33</f>
        <v>14451.169999999991</v>
      </c>
      <c r="S30" s="423">
        <f>'Financial Projections'!AW14</f>
        <v>19512.44148055806</v>
      </c>
      <c r="T30" s="423">
        <f>'Financial Projections'!AX14</f>
        <v>22922.014361005356</v>
      </c>
      <c r="U30" s="423">
        <f>'Financial Projections'!AY14</f>
        <v>26931.851785541548</v>
      </c>
      <c r="V30" s="423">
        <f>'Financial Projections'!AZ14</f>
        <v>31648.301797394175</v>
      </c>
      <c r="W30" s="423">
        <f>'Financial Projections'!BA14</f>
        <v>37196.653355654264</v>
      </c>
      <c r="X30" s="423">
        <f>'Financial Projections'!BB14</f>
        <v>43724.524422315648</v>
      </c>
      <c r="Y30" s="419">
        <f>(Financials[[#This Row],[2030]]/Financials[[#This Row],[2020]])^(1/11)-1</f>
        <v>0.21222861353669309</v>
      </c>
    </row>
    <row r="31" spans="1:25" ht="15" thickBot="1" x14ac:dyDescent="0.35">
      <c r="A31" s="377" t="s">
        <v>453</v>
      </c>
      <c r="B31" s="54">
        <v>2029</v>
      </c>
      <c r="C31" s="378">
        <v>224790.59</v>
      </c>
      <c r="D31" s="378">
        <v>85936.72</v>
      </c>
      <c r="E31" s="378">
        <v>19548.240000000002</v>
      </c>
      <c r="F31" s="378">
        <v>55815.13</v>
      </c>
      <c r="G31" s="378">
        <v>12726.25</v>
      </c>
      <c r="L31" s="397" t="s">
        <v>516</v>
      </c>
      <c r="M31" s="404" t="s">
        <v>28</v>
      </c>
      <c r="N31" s="422">
        <f>'Balance Sheet-NBFCs'!G9</f>
        <v>32327.63</v>
      </c>
      <c r="O31" s="422">
        <f>'Balance Sheet-NBFCs'!H9</f>
        <v>36918.409999999996</v>
      </c>
      <c r="P31" s="422">
        <f>'Balance Sheet-NBFCs'!I9</f>
        <v>43712.69</v>
      </c>
      <c r="Q31" s="422">
        <f>'Balance Sheet-NBFCs'!J9</f>
        <v>54371.979999999996</v>
      </c>
      <c r="R31" s="422">
        <f>'Balance Sheet-NBFCs'!K9</f>
        <v>76695.350000000006</v>
      </c>
      <c r="S31" s="423">
        <f>'Financial Projections'!AW21</f>
        <v>97199.10338459925</v>
      </c>
      <c r="T31" s="423">
        <f>'Financial Projections'!AX21</f>
        <v>114769.11902135859</v>
      </c>
      <c r="U31" s="423">
        <f>'Financial Projections'!AY21</f>
        <v>135519.91773063838</v>
      </c>
      <c r="V31" s="423">
        <f>'Financial Projections'!AZ21</f>
        <v>160028.0212271818</v>
      </c>
      <c r="W31" s="423">
        <f>'Financial Projections'!BA21</f>
        <v>188974.54613442949</v>
      </c>
      <c r="X31" s="423">
        <f>'Financial Projections'!BB21</f>
        <v>223164.19435311409</v>
      </c>
      <c r="Y31" s="419">
        <f>(Financials[[#This Row],[2030]]/Financials[[#This Row],[2020]])^(1/11)-1</f>
        <v>0.19200295404786916</v>
      </c>
    </row>
    <row r="32" spans="1:25" ht="15" thickBot="1" x14ac:dyDescent="0.35">
      <c r="A32" s="377" t="s">
        <v>453</v>
      </c>
      <c r="B32" s="54">
        <v>2030</v>
      </c>
      <c r="C32" s="378">
        <v>276871.53000000003</v>
      </c>
      <c r="D32" s="378">
        <v>105844.06</v>
      </c>
      <c r="E32" s="378">
        <v>24076.6</v>
      </c>
      <c r="F32" s="378">
        <v>68746.039999999994</v>
      </c>
      <c r="G32" s="378">
        <v>15674.06</v>
      </c>
      <c r="L32" s="397" t="s">
        <v>516</v>
      </c>
      <c r="M32" s="405" t="s">
        <v>375</v>
      </c>
      <c r="N32" s="415">
        <v>0</v>
      </c>
      <c r="O32" s="416">
        <v>0</v>
      </c>
      <c r="P32" s="416">
        <v>0</v>
      </c>
      <c r="Q32" s="416">
        <v>0</v>
      </c>
      <c r="R32" s="417">
        <v>0</v>
      </c>
      <c r="S32" s="424">
        <f>'Financial Projections'!AW27</f>
        <v>31454.365055548093</v>
      </c>
      <c r="T32" s="424">
        <f>'Financial Projections'!AX27</f>
        <v>25677.9698289798</v>
      </c>
      <c r="U32" s="424">
        <f>'Financial Projections'!AY27</f>
        <v>29639.488973639098</v>
      </c>
      <c r="V32" s="424">
        <f>'Financial Projections'!AZ27</f>
        <v>34214.307219552262</v>
      </c>
      <c r="W32" s="424">
        <f>'Financial Projections'!BA27</f>
        <v>39497.740582601269</v>
      </c>
      <c r="X32" s="424">
        <f>'Financial Projections'!BB27</f>
        <v>45599.982637748057</v>
      </c>
      <c r="Y32" s="419">
        <f>(Financials[[#This Row],[2030]]/Financials[[#This Row],[2025]])^(1/6)-1</f>
        <v>6.3850558083253794E-2</v>
      </c>
    </row>
    <row r="33" spans="1:25" ht="15" thickBot="1" x14ac:dyDescent="0.35">
      <c r="A33" s="377" t="s">
        <v>454</v>
      </c>
      <c r="B33" s="54">
        <v>2025</v>
      </c>
      <c r="C33" s="378">
        <v>385704.45</v>
      </c>
      <c r="D33" s="378">
        <v>2403.36</v>
      </c>
      <c r="E33" s="378">
        <v>1155.77</v>
      </c>
      <c r="F33" s="378">
        <v>79777.25</v>
      </c>
      <c r="G33" s="378">
        <v>14032.51</v>
      </c>
      <c r="L33" s="397" t="s">
        <v>493</v>
      </c>
      <c r="M33" s="406" t="s">
        <v>491</v>
      </c>
      <c r="N33" s="425">
        <f>'Balance Sheet-NBFCs'!L27</f>
        <v>470677.41</v>
      </c>
      <c r="O33" s="425">
        <f>'Balance Sheet-NBFCs'!M27</f>
        <v>588085.17000000004</v>
      </c>
      <c r="P33" s="425">
        <f>'Balance Sheet-NBFCs'!N27</f>
        <v>645276.41</v>
      </c>
      <c r="Q33" s="425">
        <f>'Balance Sheet-NBFCs'!O27</f>
        <v>705543.84</v>
      </c>
      <c r="R33" s="425">
        <f>'Balance Sheet-NBFCs'!P27</f>
        <v>881871.71</v>
      </c>
      <c r="S33" s="426">
        <f>'Financial Projections'!BF5</f>
        <v>999866.04930453282</v>
      </c>
      <c r="T33" s="426">
        <f>'Financial Projections'!BG5</f>
        <v>1133648.0184309967</v>
      </c>
      <c r="U33" s="426">
        <f>'Financial Projections'!BH5</f>
        <v>1285330.0005400025</v>
      </c>
      <c r="V33" s="426">
        <f>'Financial Projections'!BI5</f>
        <v>1457307.0154303117</v>
      </c>
      <c r="W33" s="426">
        <f>'Financial Projections'!BJ5</f>
        <v>1652294.5362904153</v>
      </c>
      <c r="X33" s="426">
        <f>'Financial Projections'!BK5</f>
        <v>1873371.3663273796</v>
      </c>
      <c r="Y33" s="419">
        <f>(Financials[[#This Row],[2030]]/Financials[[#This Row],[2020]])^(1/11)-1</f>
        <v>0.1337998917150125</v>
      </c>
    </row>
    <row r="34" spans="1:25" ht="15" thickBot="1" x14ac:dyDescent="0.35">
      <c r="A34" s="377" t="s">
        <v>454</v>
      </c>
      <c r="B34" s="54">
        <v>2026</v>
      </c>
      <c r="C34" s="378">
        <v>455933.1</v>
      </c>
      <c r="D34" s="378">
        <v>2840.94</v>
      </c>
      <c r="E34" s="378">
        <v>1392.67</v>
      </c>
      <c r="F34" s="378">
        <v>94303.02</v>
      </c>
      <c r="G34" s="378">
        <v>5211.87</v>
      </c>
      <c r="L34" s="397" t="s">
        <v>493</v>
      </c>
      <c r="M34" s="404" t="s">
        <v>121</v>
      </c>
      <c r="N34" s="422">
        <f>'Income Statement-NBFCs'!L14</f>
        <v>97072.67</v>
      </c>
      <c r="O34" s="422">
        <f>'Income Statement-NBFCs'!M14</f>
        <v>115701.95999999999</v>
      </c>
      <c r="P34" s="422">
        <f>'Income Statement-NBFCs'!N14</f>
        <v>122374.63</v>
      </c>
      <c r="Q34" s="422">
        <f>'Income Statement-NBFCs'!O14</f>
        <v>119750.05</v>
      </c>
      <c r="R34" s="422">
        <f>'Income Statement-NBFCs'!P14</f>
        <v>151627.42000000001</v>
      </c>
      <c r="S34" s="423">
        <f>'Financial Projections'!BF8</f>
        <v>121936.10218944657</v>
      </c>
      <c r="T34" s="423">
        <f>'Financial Projections'!BG8</f>
        <v>138463.52452090735</v>
      </c>
      <c r="U34" s="423">
        <f>'Financial Projections'!BH8</f>
        <v>157237.01489204139</v>
      </c>
      <c r="V34" s="423">
        <f>'Financial Projections'!BI8</f>
        <v>178562.76657142013</v>
      </c>
      <c r="W34" s="423">
        <f>'Financial Projections'!BJ8</f>
        <v>202788.86778772809</v>
      </c>
      <c r="X34" s="423">
        <f>'Financial Projections'!BK8</f>
        <v>230311.05862077858</v>
      </c>
      <c r="Y34" s="419">
        <f>(Financials[[#This Row],[2030]]/Financials[[#This Row],[2020]])^(1/11)-1</f>
        <v>8.1709666167147477E-2</v>
      </c>
    </row>
    <row r="35" spans="1:25" ht="15" thickBot="1" x14ac:dyDescent="0.35">
      <c r="A35" s="377" t="s">
        <v>454</v>
      </c>
      <c r="B35" s="54">
        <v>2027</v>
      </c>
      <c r="C35" s="378">
        <v>538948.9</v>
      </c>
      <c r="D35" s="378">
        <v>3358.2</v>
      </c>
      <c r="E35" s="378">
        <v>1676.21</v>
      </c>
      <c r="F35" s="378">
        <v>111473.63</v>
      </c>
      <c r="G35" s="378">
        <v>5593.2</v>
      </c>
      <c r="L35" s="397" t="s">
        <v>493</v>
      </c>
      <c r="M35" s="404" t="s">
        <v>457</v>
      </c>
      <c r="N35" s="422">
        <f>'Income Statement-NBFCs'!L33</f>
        <v>31686.809999999998</v>
      </c>
      <c r="O35" s="422">
        <f>'Income Statement-NBFCs'!M33</f>
        <v>38188.69999999999</v>
      </c>
      <c r="P35" s="422">
        <f>'Income Statement-NBFCs'!N33</f>
        <v>40313.240000000005</v>
      </c>
      <c r="Q35" s="422">
        <f>'Income Statement-NBFCs'!O33</f>
        <v>36697.660000000003</v>
      </c>
      <c r="R35" s="422">
        <f>'Income Statement-NBFCs'!P33</f>
        <v>44675.94000000001</v>
      </c>
      <c r="S35" s="423">
        <f>'Financial Projections'!BF14</f>
        <v>70110.224540334835</v>
      </c>
      <c r="T35" s="423">
        <f>'Financial Projections'!BG14</f>
        <v>79613.82846189657</v>
      </c>
      <c r="U35" s="423">
        <f>'Financial Projections'!BH14</f>
        <v>90409.087715849499</v>
      </c>
      <c r="V35" s="423">
        <f>'Financial Projections'!BI14</f>
        <v>102672.10547967436</v>
      </c>
      <c r="W35" s="423">
        <f>'Financial Projections'!BJ14</f>
        <v>116603.08339549002</v>
      </c>
      <c r="X35" s="423">
        <f>'Financial Projections'!BK14</f>
        <v>132429.63349700524</v>
      </c>
      <c r="Y35" s="419">
        <f>(Financials[[#This Row],[2030]]/Financials[[#This Row],[2020]])^(1/11)-1</f>
        <v>0.13884400923873841</v>
      </c>
    </row>
    <row r="36" spans="1:25" ht="15" thickBot="1" x14ac:dyDescent="0.35">
      <c r="A36" s="377" t="s">
        <v>454</v>
      </c>
      <c r="B36" s="54">
        <v>2028</v>
      </c>
      <c r="C36" s="378">
        <v>637080.12</v>
      </c>
      <c r="D36" s="378">
        <v>3969.63</v>
      </c>
      <c r="E36" s="378">
        <v>2015.35</v>
      </c>
      <c r="F36" s="378">
        <v>131770.65</v>
      </c>
      <c r="G36" s="378">
        <v>5956.94</v>
      </c>
      <c r="L36" s="397" t="s">
        <v>493</v>
      </c>
      <c r="M36" s="404" t="s">
        <v>28</v>
      </c>
      <c r="N36" s="422">
        <f>'Balance Sheet-NBFCs'!L9</f>
        <v>120013.51999999999</v>
      </c>
      <c r="O36" s="422">
        <f>'Balance Sheet-NBFCs'!M9</f>
        <v>157596</v>
      </c>
      <c r="P36" s="422">
        <f>'Balance Sheet-NBFCs'!N9</f>
        <v>191378.96000000002</v>
      </c>
      <c r="Q36" s="422">
        <f>'Balance Sheet-NBFCs'!O9</f>
        <v>221528.04</v>
      </c>
      <c r="R36" s="422">
        <f>'Balance Sheet-NBFCs'!P9</f>
        <v>257540.4</v>
      </c>
      <c r="S36" s="423">
        <f>'Financial Projections'!BF21</f>
        <v>325720.60961471032</v>
      </c>
      <c r="T36" s="423">
        <f>'Financial Projections'!BG21</f>
        <v>369400.50504506857</v>
      </c>
      <c r="U36" s="423">
        <f>'Financial Projections'!BH21</f>
        <v>418940.8614098159</v>
      </c>
      <c r="V36" s="423">
        <f>'Financial Projections'!BI21</f>
        <v>475128.43755032378</v>
      </c>
      <c r="W36" s="423">
        <f>'Financial Projections'!BJ21</f>
        <v>538855.69022842776</v>
      </c>
      <c r="X36" s="423">
        <f>'Financial Projections'!BK21</f>
        <v>611134.9866991915</v>
      </c>
      <c r="Y36" s="419">
        <f>(Financials[[#This Row],[2030]]/Financials[[#This Row],[2020]])^(1/11)-1</f>
        <v>0.15948269241129309</v>
      </c>
    </row>
    <row r="37" spans="1:25" x14ac:dyDescent="0.3">
      <c r="A37" s="377" t="s">
        <v>454</v>
      </c>
      <c r="B37" s="54">
        <v>2029</v>
      </c>
      <c r="C37" s="378">
        <v>753078.97</v>
      </c>
      <c r="D37" s="378">
        <v>4692.38</v>
      </c>
      <c r="E37" s="378">
        <v>2420.7399999999998</v>
      </c>
      <c r="F37" s="378">
        <v>155763.32999999999</v>
      </c>
      <c r="G37" s="378">
        <v>6286.53</v>
      </c>
      <c r="L37" s="397" t="s">
        <v>493</v>
      </c>
      <c r="M37" s="414" t="s">
        <v>375</v>
      </c>
      <c r="N37" s="427">
        <v>0</v>
      </c>
      <c r="O37" s="428">
        <v>0</v>
      </c>
      <c r="P37" s="428">
        <v>0</v>
      </c>
      <c r="Q37" s="428">
        <v>0</v>
      </c>
      <c r="R37" s="429">
        <v>0</v>
      </c>
      <c r="S37" s="430">
        <f>'Financial Projections'!BF27</f>
        <v>44249.920954529931</v>
      </c>
      <c r="T37" s="430">
        <f>'Financial Projections'!BG27</f>
        <v>27775.335419055154</v>
      </c>
      <c r="U37" s="430">
        <f>'Financial Projections'!BH27</f>
        <v>31606.281080719127</v>
      </c>
      <c r="V37" s="430">
        <f>'Financial Projections'!BI27</f>
        <v>35968.532315714096</v>
      </c>
      <c r="W37" s="430">
        <f>'Financial Projections'!BJ27</f>
        <v>40936.237227852194</v>
      </c>
      <c r="X37" s="430">
        <f>'Financial Projections'!BK27</f>
        <v>46593.964804340692</v>
      </c>
      <c r="Y37" s="419"/>
    </row>
    <row r="38" spans="1:25" x14ac:dyDescent="0.3">
      <c r="A38" s="377" t="s">
        <v>454</v>
      </c>
      <c r="B38" s="54">
        <v>2030</v>
      </c>
      <c r="C38" s="378">
        <v>890198.77</v>
      </c>
      <c r="D38" s="378">
        <v>5546.73</v>
      </c>
      <c r="E38" s="378">
        <v>2905.03</v>
      </c>
      <c r="F38" s="378">
        <v>184124.58</v>
      </c>
      <c r="G38" s="378">
        <v>6560.37</v>
      </c>
    </row>
    <row r="39" spans="1:25" x14ac:dyDescent="0.3">
      <c r="A39" s="377" t="s">
        <v>455</v>
      </c>
      <c r="B39" s="54">
        <v>2025</v>
      </c>
      <c r="C39" s="378">
        <v>999866.05</v>
      </c>
      <c r="D39" s="378">
        <v>115069.87</v>
      </c>
      <c r="E39" s="378">
        <v>36040.589999999997</v>
      </c>
      <c r="F39" s="378">
        <v>298403.24</v>
      </c>
      <c r="G39" s="378">
        <v>16932.560000000001</v>
      </c>
    </row>
    <row r="40" spans="1:25" x14ac:dyDescent="0.3">
      <c r="A40" s="377" t="s">
        <v>455</v>
      </c>
      <c r="B40" s="54">
        <v>2026</v>
      </c>
      <c r="C40" s="378">
        <v>1133648.02</v>
      </c>
      <c r="D40" s="378">
        <v>130531.01</v>
      </c>
      <c r="E40" s="378">
        <v>40883.360000000001</v>
      </c>
      <c r="F40" s="378">
        <v>338346.03</v>
      </c>
      <c r="G40" s="378">
        <v>-3279.14</v>
      </c>
    </row>
    <row r="41" spans="1:25" x14ac:dyDescent="0.3">
      <c r="A41" s="377" t="s">
        <v>455</v>
      </c>
      <c r="B41" s="54">
        <v>2027</v>
      </c>
      <c r="C41" s="378">
        <v>1285330</v>
      </c>
      <c r="D41" s="378">
        <v>148082.96</v>
      </c>
      <c r="E41" s="378">
        <v>46381.09</v>
      </c>
      <c r="F41" s="378">
        <v>383638.78</v>
      </c>
      <c r="G41" s="378">
        <v>-3695.8</v>
      </c>
    </row>
    <row r="42" spans="1:25" x14ac:dyDescent="0.3">
      <c r="A42" s="377" t="s">
        <v>455</v>
      </c>
      <c r="B42" s="54">
        <v>2028</v>
      </c>
      <c r="C42" s="378">
        <v>1457307.02</v>
      </c>
      <c r="D42" s="378">
        <v>168013.02</v>
      </c>
      <c r="E42" s="378">
        <v>52623.82</v>
      </c>
      <c r="F42" s="378">
        <v>434999.23</v>
      </c>
      <c r="G42" s="378">
        <v>-4160.67</v>
      </c>
    </row>
    <row r="43" spans="1:25" x14ac:dyDescent="0.3">
      <c r="A43" s="377" t="s">
        <v>455</v>
      </c>
      <c r="B43" s="54">
        <v>2029</v>
      </c>
      <c r="C43" s="378">
        <v>1652294.54</v>
      </c>
      <c r="D43" s="378">
        <v>190649.5</v>
      </c>
      <c r="E43" s="378">
        <v>59714.44</v>
      </c>
      <c r="F43" s="378">
        <v>493241.82</v>
      </c>
      <c r="G43" s="378">
        <v>-4677.63</v>
      </c>
    </row>
    <row r="44" spans="1:25" x14ac:dyDescent="0.3">
      <c r="A44" s="377" t="s">
        <v>455</v>
      </c>
      <c r="B44" s="54">
        <v>2030</v>
      </c>
      <c r="C44" s="378">
        <v>1873371.37</v>
      </c>
      <c r="D44" s="378">
        <v>216368.1</v>
      </c>
      <c r="E44" s="378">
        <v>67770.69</v>
      </c>
      <c r="F44" s="378">
        <v>559290.81000000006</v>
      </c>
      <c r="G44" s="378">
        <v>-5250.21</v>
      </c>
    </row>
  </sheetData>
  <pageMargins left="0.7" right="0.7" top="0.75" bottom="0.75" header="0.3" footer="0.3"/>
  <tableParts count="2">
    <tablePart r:id="rId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F9347-EE59-4B3E-969D-0BE11BE32297}">
  <sheetPr>
    <tabColor rgb="FF002060"/>
  </sheetPr>
  <dimension ref="A3:B8"/>
  <sheetViews>
    <sheetView workbookViewId="0">
      <selection activeCell="A10" sqref="A10"/>
    </sheetView>
  </sheetViews>
  <sheetFormatPr defaultRowHeight="14.4" x14ac:dyDescent="0.3"/>
  <sheetData>
    <row r="3" spans="1:2" x14ac:dyDescent="0.3">
      <c r="A3" cm="1">
        <f t="array" ref="A3:B8">_xlfn.LET(_xlpm.t,BankData[],_xlpm.c,DashBoard!A7,_xlpm.m,DashBoard!A9,_xlpm.yCol,INDEX(_xlpm.t,,MATCH("Year",BankData[#Headers],0)),_xlpm.cCol,INDEX(_xlpm.t,,MATCH("Company",BankData[#Headers],0)),_xlpm.mCol,INDEX(_xlpm.t,,MATCH(_xlpm.m,BankData[#Headers],0)),_xlpm.result,_xlfn._xlws.FILTER(_xlfn.HSTACK(_xlpm.yCol,_xlpm.mCol),_xlpm.cCol=_xlpm.c),_xlpm.result)</f>
        <v>2025</v>
      </c>
      <c r="B3">
        <v>37347.370000000003</v>
      </c>
    </row>
    <row r="4" spans="1:2" x14ac:dyDescent="0.3">
      <c r="A4">
        <v>2026</v>
      </c>
      <c r="B4">
        <v>45997.440000000002</v>
      </c>
    </row>
    <row r="5" spans="1:2" x14ac:dyDescent="0.3">
      <c r="A5">
        <v>2027</v>
      </c>
      <c r="B5">
        <v>56651.55</v>
      </c>
    </row>
    <row r="6" spans="1:2" x14ac:dyDescent="0.3">
      <c r="A6">
        <v>2028</v>
      </c>
      <c r="B6">
        <v>69774.009999999995</v>
      </c>
    </row>
    <row r="7" spans="1:2" x14ac:dyDescent="0.3">
      <c r="A7">
        <v>2029</v>
      </c>
      <c r="B7">
        <v>85936.72</v>
      </c>
    </row>
    <row r="8" spans="1:2" x14ac:dyDescent="0.3">
      <c r="A8">
        <v>2030</v>
      </c>
      <c r="B8">
        <v>105844.06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37150-3C99-477D-A336-FD0860D1ACC1}">
  <sheetPr>
    <tabColor rgb="FF00B050"/>
  </sheetPr>
  <dimension ref="A1"/>
  <sheetViews>
    <sheetView workbookViewId="0"/>
  </sheetViews>
  <sheetFormatPr defaultRowHeight="14.4" x14ac:dyDescent="0.3"/>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0BA09-621D-4BE4-BBB6-98C5376C5823}">
  <sheetPr>
    <tabColor rgb="FF00B050"/>
  </sheetPr>
  <dimension ref="A1:Q37"/>
  <sheetViews>
    <sheetView topLeftCell="H22" zoomScale="110" zoomScaleNormal="110" workbookViewId="0">
      <selection activeCell="G13" sqref="G13"/>
    </sheetView>
  </sheetViews>
  <sheetFormatPr defaultRowHeight="14.4" x14ac:dyDescent="0.3"/>
  <cols>
    <col min="1" max="1" width="5.21875" style="43" customWidth="1"/>
    <col min="2" max="2" width="59.44140625" style="43" bestFit="1" customWidth="1"/>
    <col min="3" max="3" width="12.21875" style="43" bestFit="1" customWidth="1"/>
    <col min="4" max="4" width="39.5546875" style="43" bestFit="1" customWidth="1"/>
    <col min="5" max="5" width="10" style="43" bestFit="1" customWidth="1"/>
    <col min="6" max="6" width="8" style="43" bestFit="1" customWidth="1"/>
    <col min="7" max="7" width="12" style="44" bestFit="1" customWidth="1"/>
    <col min="8" max="8" width="12" style="43" customWidth="1"/>
    <col min="9" max="9" width="12" style="398" customWidth="1"/>
    <col min="10" max="14" width="12" style="43" customWidth="1"/>
    <col min="15" max="15" width="7.5546875" style="54" bestFit="1" customWidth="1"/>
    <col min="16" max="16" width="11.33203125" style="43" bestFit="1" customWidth="1"/>
    <col min="17" max="17" width="9.5546875" style="43" bestFit="1" customWidth="1"/>
    <col min="18" max="16384" width="8.88671875" style="43"/>
  </cols>
  <sheetData>
    <row r="1" spans="1:17" ht="21" x14ac:dyDescent="0.3">
      <c r="B1" s="648" t="s">
        <v>488</v>
      </c>
      <c r="C1" s="648"/>
      <c r="D1" s="648"/>
      <c r="E1" s="648"/>
      <c r="F1" s="648"/>
      <c r="G1" s="648"/>
      <c r="H1" s="648"/>
      <c r="I1" s="648"/>
      <c r="J1" s="648"/>
      <c r="K1" s="648"/>
      <c r="L1" s="648"/>
      <c r="M1" s="648"/>
      <c r="N1" s="648"/>
      <c r="O1" s="648"/>
      <c r="P1" s="648"/>
    </row>
    <row r="2" spans="1:17" s="2" customFormat="1" ht="28.8" x14ac:dyDescent="0.3">
      <c r="A2" s="2" t="s">
        <v>489</v>
      </c>
      <c r="B2" s="399" t="s">
        <v>427</v>
      </c>
      <c r="C2" s="399" t="s">
        <v>476</v>
      </c>
      <c r="D2" s="399" t="s">
        <v>11</v>
      </c>
      <c r="E2" s="399" t="s">
        <v>18</v>
      </c>
      <c r="F2" s="399" t="s">
        <v>482</v>
      </c>
      <c r="G2" s="399" t="s">
        <v>479</v>
      </c>
      <c r="H2" s="399" t="s">
        <v>485</v>
      </c>
      <c r="I2" s="399" t="s">
        <v>481</v>
      </c>
      <c r="J2" s="399" t="s">
        <v>480</v>
      </c>
      <c r="K2" s="399" t="s">
        <v>483</v>
      </c>
      <c r="L2" s="399" t="s">
        <v>486</v>
      </c>
      <c r="M2" s="399" t="s">
        <v>487</v>
      </c>
      <c r="N2" s="399" t="s">
        <v>10</v>
      </c>
      <c r="O2" s="399" t="s">
        <v>477</v>
      </c>
      <c r="P2" s="399" t="s">
        <v>478</v>
      </c>
      <c r="Q2" s="399" t="s">
        <v>484</v>
      </c>
    </row>
    <row r="3" spans="1:17" x14ac:dyDescent="0.3">
      <c r="A3" s="377">
        <v>1</v>
      </c>
      <c r="B3" s="46" t="e" vm="18">
        <v>#VALUE!</v>
      </c>
      <c r="C3" s="308" t="str" cm="1">
        <f t="array" aca="1" ref="C3" ca="1">_FV(B3,"Ticker symbol",TRUE)</f>
        <v>535730</v>
      </c>
      <c r="D3" s="46" t="str" cm="1">
        <f t="array" aca="1" ref="D3" ca="1">_FV(B3,"Industry")</f>
        <v>Investment Banking &amp; Investment Services</v>
      </c>
      <c r="E3" s="313" cm="1">
        <f t="array" aca="1" ref="E3" ca="1">_FV(B3,"Change (%)",TRUE)</f>
        <v>1.6949000000000002E-2</v>
      </c>
      <c r="F3" s="46">
        <v>20</v>
      </c>
      <c r="G3" s="47">
        <v>0.69</v>
      </c>
      <c r="H3" s="47">
        <f>IF(AND(ISNUMBER(F3),ISNUMBER(G3)),F3*G3,"")</f>
        <v>13.799999999999999</v>
      </c>
      <c r="I3" s="400"/>
      <c r="J3" s="47"/>
      <c r="K3" s="47" t="str">
        <f>IF(AND(ISNUMBER(I3),ISNUMBER(J3)),I3*J3,"")</f>
        <v/>
      </c>
      <c r="L3" s="47">
        <f ca="1">IF(AND(ISNUMBER(N3),ISNUMBER(F3)),N3*(F3-IF(ISNUMBER(I3),I3,0)),"")</f>
        <v>12</v>
      </c>
      <c r="M3" s="401">
        <f>IF(AND(ISNUMBER(F3),ISNUMBER(I3)),F3-I3,F3)</f>
        <v>20</v>
      </c>
      <c r="N3" s="343" cm="1">
        <f t="array" aca="1" ref="N3" ca="1">_FV(B3,"Price")</f>
        <v>0.6</v>
      </c>
      <c r="O3" s="402" t="str">
        <f>IF(AND(ISNUMBER(F3),ISNUMBER(I3),F3=I3),"Sell",IF(ISNUMBER(F3),"Buy",""))</f>
        <v>Buy</v>
      </c>
      <c r="P3" s="343">
        <f ca="1">IF(AND(ISNUMBER(F3),ISNUMBER(G3),ISNUMBER(N3)),(N3-G3)*(F3-IF(ISNUMBER(I3),I3,0)),"")</f>
        <v>-1.7999999999999994</v>
      </c>
      <c r="Q3" s="47" t="str">
        <f>IF(AND(ISNUMBER(I3),ISNUMBER(J3),ISNUMBER(G3)),(J3-G3)*I3,"")</f>
        <v/>
      </c>
    </row>
    <row r="4" spans="1:17" x14ac:dyDescent="0.3">
      <c r="A4" s="377">
        <v>2</v>
      </c>
      <c r="B4" s="46" t="e" vm="19">
        <v>#VALUE!</v>
      </c>
      <c r="C4" s="308" t="str" cm="1">
        <f t="array" aca="1" ref="C4" ca="1">_FV(B4,"Ticker symbol",TRUE)</f>
        <v>SAGILITY</v>
      </c>
      <c r="D4" s="46" t="str" cm="1">
        <f t="array" aca="1" ref="D4" ca="1">_FV(B4,"Industry")</f>
        <v>Professional &amp; Commercial Services</v>
      </c>
      <c r="E4" s="313" cm="1">
        <f t="array" aca="1" ref="E4" ca="1">_FV(B4,"Change (%)",TRUE)</f>
        <v>2.3099999999999999E-2</v>
      </c>
      <c r="F4" s="46">
        <v>4</v>
      </c>
      <c r="G4" s="47">
        <v>45.46</v>
      </c>
      <c r="H4" s="47">
        <f t="shared" ref="H4:H34" si="0">IF(AND(ISNUMBER(F4),ISNUMBER(G4)),F4*G4,"")</f>
        <v>181.84</v>
      </c>
      <c r="I4" s="400"/>
      <c r="J4" s="47"/>
      <c r="K4" s="47" t="str">
        <f t="shared" ref="K4:K34" si="1">IF(AND(ISNUMBER(I4),ISNUMBER(J4)),I4*J4,"")</f>
        <v/>
      </c>
      <c r="L4" s="47">
        <f t="shared" ref="L4:L34" ca="1" si="2">IF(AND(ISNUMBER(N4),ISNUMBER(F4)),N4*(F4-IF(ISNUMBER(I4),I4,0)),"")</f>
        <v>207.28</v>
      </c>
      <c r="M4" s="401">
        <f t="shared" ref="M4:M34" si="3">IF(AND(ISNUMBER(F4),ISNUMBER(I4)),F4-I4,F4)</f>
        <v>4</v>
      </c>
      <c r="N4" s="343" cm="1">
        <f t="array" aca="1" ref="N4" ca="1">_FV(B4,"Price")</f>
        <v>51.82</v>
      </c>
      <c r="O4" s="402" t="str">
        <f t="shared" ref="O4:O34" si="4">IF(AND(ISNUMBER(F4),ISNUMBER(I4),F4=I4),"Sell",IF(ISNUMBER(F4),"Buy",""))</f>
        <v>Buy</v>
      </c>
      <c r="P4" s="343">
        <f t="shared" ref="P4:P34" ca="1" si="5">IF(AND(ISNUMBER(F4),ISNUMBER(G4),ISNUMBER(N4)),(N4-G4)*(F4-IF(ISNUMBER(I4),I4,0)),"")</f>
        <v>25.439999999999998</v>
      </c>
      <c r="Q4" s="47" t="str">
        <f t="shared" ref="Q4:Q34" si="6">IF(AND(ISNUMBER(I4),ISNUMBER(J4),ISNUMBER(G4)),(J4-G4)*I4,"")</f>
        <v/>
      </c>
    </row>
    <row r="5" spans="1:17" x14ac:dyDescent="0.3">
      <c r="A5" s="377">
        <v>3</v>
      </c>
      <c r="B5" s="46" t="e" vm="20">
        <v>#VALUE!</v>
      </c>
      <c r="C5" s="308" t="str" cm="1">
        <f t="array" aca="1" ref="C5" ca="1">_FV(B5,"Ticker symbol",TRUE)</f>
        <v>PARAS</v>
      </c>
      <c r="D5" s="46" t="str" cm="1">
        <f t="array" aca="1" ref="D5" ca="1">_FV(B5,"Industry")</f>
        <v>Aerospace &amp; Defense</v>
      </c>
      <c r="E5" s="313" cm="1">
        <f t="array" aca="1" ref="E5" ca="1">_FV(B5,"Change (%)",TRUE)</f>
        <v>9.7000000000000003E-3</v>
      </c>
      <c r="F5" s="46">
        <v>1</v>
      </c>
      <c r="G5" s="47">
        <v>806.7</v>
      </c>
      <c r="H5" s="47">
        <f t="shared" si="0"/>
        <v>806.7</v>
      </c>
      <c r="I5" s="400"/>
      <c r="J5" s="47"/>
      <c r="K5" s="47" t="str">
        <f t="shared" si="1"/>
        <v/>
      </c>
      <c r="L5" s="47">
        <f t="shared" ca="1" si="2"/>
        <v>676.6</v>
      </c>
      <c r="M5" s="401">
        <f t="shared" si="3"/>
        <v>1</v>
      </c>
      <c r="N5" s="343" cm="1">
        <f t="array" aca="1" ref="N5" ca="1">_FV(B5,"Price")</f>
        <v>676.6</v>
      </c>
      <c r="O5" s="402" t="str">
        <f t="shared" si="4"/>
        <v>Buy</v>
      </c>
      <c r="P5" s="343">
        <f t="shared" ca="1" si="5"/>
        <v>-130.10000000000002</v>
      </c>
      <c r="Q5" s="47" t="str">
        <f t="shared" si="6"/>
        <v/>
      </c>
    </row>
    <row r="6" spans="1:17" x14ac:dyDescent="0.3">
      <c r="A6" s="377">
        <v>4</v>
      </c>
      <c r="B6" s="46" t="e" vm="21">
        <v>#VALUE!</v>
      </c>
      <c r="C6" s="308" t="str" cm="1">
        <f t="array" aca="1" ref="C6" ca="1">_FV(B6,"Ticker symbol",TRUE)</f>
        <v>500049</v>
      </c>
      <c r="D6" s="46" t="str" cm="1">
        <f t="array" aca="1" ref="D6" ca="1">_FV(B6,"Industry")</f>
        <v>Aerospace &amp; Defense</v>
      </c>
      <c r="E6" s="313" cm="1">
        <f t="array" aca="1" ref="E6" ca="1">_FV(B6,"Change (%)",TRUE)</f>
        <v>1.3951999999999999E-2</v>
      </c>
      <c r="F6" s="46">
        <v>9</v>
      </c>
      <c r="G6" s="47">
        <f>AVERAGE(408.5,264.45,303.3,310.5)</f>
        <v>321.6875</v>
      </c>
      <c r="H6" s="47">
        <f t="shared" si="0"/>
        <v>2895.1875</v>
      </c>
      <c r="I6" s="400">
        <v>7</v>
      </c>
      <c r="J6" s="47">
        <f>AVERAGE(274.13,290.15,282.1)</f>
        <v>282.12666666666667</v>
      </c>
      <c r="K6" s="47">
        <f t="shared" si="1"/>
        <v>1974.8866666666668</v>
      </c>
      <c r="L6" s="47">
        <f t="shared" ca="1" si="2"/>
        <v>828.5</v>
      </c>
      <c r="M6" s="401">
        <f t="shared" si="3"/>
        <v>2</v>
      </c>
      <c r="N6" s="343" cm="1">
        <f t="array" aca="1" ref="N6" ca="1">_FV(B6,"Price")</f>
        <v>414.25</v>
      </c>
      <c r="O6" s="402" t="str">
        <f t="shared" si="4"/>
        <v>Buy</v>
      </c>
      <c r="P6" s="343">
        <f t="shared" ca="1" si="5"/>
        <v>185.125</v>
      </c>
      <c r="Q6" s="47">
        <f t="shared" si="6"/>
        <v>-276.92583333333334</v>
      </c>
    </row>
    <row r="7" spans="1:17" x14ac:dyDescent="0.3">
      <c r="A7" s="377">
        <v>5</v>
      </c>
      <c r="B7" s="46" t="e" vm="22">
        <v>#VALUE!</v>
      </c>
      <c r="C7" s="308" t="str" cm="1">
        <f t="array" aca="1" ref="C7" ca="1">_FV(B7,"Ticker symbol",TRUE)</f>
        <v>KEC</v>
      </c>
      <c r="D7" s="46" t="str" cm="1">
        <f t="array" aca="1" ref="D7" ca="1">_FV(B7,"Industry")</f>
        <v>Construction &amp; Engineering</v>
      </c>
      <c r="E7" s="313" cm="1">
        <f t="array" aca="1" ref="E7" ca="1">_FV(B7,"Change (%)",TRUE)</f>
        <v>-3.5132999999999998E-2</v>
      </c>
      <c r="F7" s="46">
        <v>1</v>
      </c>
      <c r="G7" s="47">
        <v>878.45</v>
      </c>
      <c r="H7" s="47">
        <f t="shared" si="0"/>
        <v>878.45</v>
      </c>
      <c r="I7" s="400"/>
      <c r="J7" s="47"/>
      <c r="K7" s="47" t="str">
        <f t="shared" si="1"/>
        <v/>
      </c>
      <c r="L7" s="47">
        <f t="shared" ca="1" si="2"/>
        <v>759.35</v>
      </c>
      <c r="M7" s="401">
        <f t="shared" si="3"/>
        <v>1</v>
      </c>
      <c r="N7" s="343" cm="1">
        <f t="array" aca="1" ref="N7" ca="1">_FV(B7,"Price")</f>
        <v>759.35</v>
      </c>
      <c r="O7" s="402" t="str">
        <f t="shared" si="4"/>
        <v>Buy</v>
      </c>
      <c r="P7" s="343">
        <f t="shared" ca="1" si="5"/>
        <v>-119.10000000000002</v>
      </c>
      <c r="Q7" s="47" t="str">
        <f t="shared" si="6"/>
        <v/>
      </c>
    </row>
    <row r="8" spans="1:17" x14ac:dyDescent="0.3">
      <c r="A8" s="377">
        <v>6</v>
      </c>
      <c r="B8" s="46" t="e" vm="23">
        <v>#VALUE!</v>
      </c>
      <c r="C8" s="308" t="str" cm="1">
        <f t="array" aca="1" ref="C8" ca="1">_FV(B8,"Ticker symbol",TRUE)</f>
        <v>KFINTECH</v>
      </c>
      <c r="D8" s="46" t="str" cm="1">
        <f t="array" aca="1" ref="D8" ca="1">_FV(B8,"Industry")</f>
        <v>Financial Technology (Fintech) &amp; Infrastructure</v>
      </c>
      <c r="E8" s="313" cm="1">
        <f t="array" aca="1" ref="E8" ca="1">_FV(B8,"Change (%)",TRUE)</f>
        <v>4.6040999999999999E-2</v>
      </c>
      <c r="F8" s="46">
        <v>1</v>
      </c>
      <c r="G8" s="47">
        <v>1293.8</v>
      </c>
      <c r="H8" s="47">
        <f t="shared" si="0"/>
        <v>1293.8</v>
      </c>
      <c r="I8" s="400"/>
      <c r="J8" s="47"/>
      <c r="K8" s="47" t="str">
        <f t="shared" si="1"/>
        <v/>
      </c>
      <c r="L8" s="47">
        <f t="shared" ca="1" si="2"/>
        <v>1111</v>
      </c>
      <c r="M8" s="401">
        <f t="shared" si="3"/>
        <v>1</v>
      </c>
      <c r="N8" s="343" cm="1">
        <f t="array" aca="1" ref="N8" ca="1">_FV(B8,"Price")</f>
        <v>1111</v>
      </c>
      <c r="O8" s="402" t="str">
        <f t="shared" si="4"/>
        <v>Buy</v>
      </c>
      <c r="P8" s="343">
        <f t="shared" ca="1" si="5"/>
        <v>-182.79999999999995</v>
      </c>
      <c r="Q8" s="47" t="str">
        <f t="shared" si="6"/>
        <v/>
      </c>
    </row>
    <row r="9" spans="1:17" x14ac:dyDescent="0.3">
      <c r="A9" s="377">
        <v>7</v>
      </c>
      <c r="B9" s="46" t="e" vm="24">
        <v>#VALUE!</v>
      </c>
      <c r="C9" s="308" t="str" cm="1">
        <f t="array" aca="1" ref="C9" ca="1">_FV(B9,"Ticker symbol",TRUE)</f>
        <v>RTNPOWER</v>
      </c>
      <c r="D9" s="46" t="str" cm="1">
        <f t="array" aca="1" ref="D9" ca="1">_FV(B9,"Industry")</f>
        <v>Electrical Utilities &amp; IPPs</v>
      </c>
      <c r="E9" s="313" cm="1">
        <f t="array" aca="1" ref="E9" ca="1">_FV(B9,"Change (%)",TRUE)</f>
        <v>-1.1429E-2</v>
      </c>
      <c r="F9" s="46">
        <f>2+1+7+2</f>
        <v>12</v>
      </c>
      <c r="G9" s="47">
        <f>AVERAGE(15.21,14.87)</f>
        <v>15.04</v>
      </c>
      <c r="H9" s="47">
        <f t="shared" si="0"/>
        <v>180.48</v>
      </c>
      <c r="I9" s="400">
        <v>9</v>
      </c>
      <c r="J9" s="47">
        <v>14.87</v>
      </c>
      <c r="K9" s="47">
        <f t="shared" si="1"/>
        <v>133.82999999999998</v>
      </c>
      <c r="L9" s="47">
        <f t="shared" ca="1" si="2"/>
        <v>31.14</v>
      </c>
      <c r="M9" s="401">
        <f t="shared" si="3"/>
        <v>3</v>
      </c>
      <c r="N9" s="343" cm="1">
        <f t="array" aca="1" ref="N9" ca="1">_FV(B9,"Price")</f>
        <v>10.38</v>
      </c>
      <c r="O9" s="402" t="str">
        <f t="shared" si="4"/>
        <v>Buy</v>
      </c>
      <c r="P9" s="343">
        <f t="shared" ca="1" si="5"/>
        <v>-13.979999999999995</v>
      </c>
      <c r="Q9" s="47">
        <f t="shared" si="6"/>
        <v>-1.5299999999999994</v>
      </c>
    </row>
    <row r="10" spans="1:17" x14ac:dyDescent="0.3">
      <c r="A10" s="377">
        <v>8</v>
      </c>
      <c r="B10" s="46" t="e" vm="25">
        <v>#VALUE!</v>
      </c>
      <c r="C10" s="308" t="str" cm="1">
        <f t="array" aca="1" ref="C10" ca="1">_FV(B10,"Ticker symbol",TRUE)</f>
        <v>SUZLON</v>
      </c>
      <c r="D10" s="46" t="str" cm="1">
        <f t="array" aca="1" ref="D10" ca="1">_FV(B10,"Industry")</f>
        <v>Renewable Energy</v>
      </c>
      <c r="E10" s="313" cm="1">
        <f t="array" aca="1" ref="E10" ca="1">_FV(B10,"Change (%)",TRUE)</f>
        <v>-3.7409999999999999E-2</v>
      </c>
      <c r="F10" s="46">
        <v>71</v>
      </c>
      <c r="G10" s="47">
        <f>AVERAGE(66.2,67.38,67.15,82.05,73.69)</f>
        <v>71.293999999999997</v>
      </c>
      <c r="H10" s="47">
        <f t="shared" si="0"/>
        <v>5061.8739999999998</v>
      </c>
      <c r="I10" s="400">
        <f>3+20+32+6</f>
        <v>61</v>
      </c>
      <c r="J10" s="47">
        <f>AVERAGE(75.25,75.89,75.5,80.99)</f>
        <v>76.907499999999999</v>
      </c>
      <c r="K10" s="47">
        <f t="shared" si="1"/>
        <v>4691.3575000000001</v>
      </c>
      <c r="L10" s="47">
        <f t="shared" ca="1" si="2"/>
        <v>573.80000000000007</v>
      </c>
      <c r="M10" s="401">
        <f t="shared" si="3"/>
        <v>10</v>
      </c>
      <c r="N10" s="343" cm="1">
        <f t="array" aca="1" ref="N10" ca="1">_FV(B10,"Price")</f>
        <v>57.38</v>
      </c>
      <c r="O10" s="402" t="str">
        <f t="shared" si="4"/>
        <v>Buy</v>
      </c>
      <c r="P10" s="343">
        <f t="shared" ca="1" si="5"/>
        <v>-139.13999999999993</v>
      </c>
      <c r="Q10" s="47">
        <f t="shared" si="6"/>
        <v>342.4235000000001</v>
      </c>
    </row>
    <row r="11" spans="1:17" x14ac:dyDescent="0.3">
      <c r="A11" s="377">
        <v>9</v>
      </c>
      <c r="B11" s="46" t="e" vm="26">
        <v>#VALUE!</v>
      </c>
      <c r="C11" s="308" t="str" cm="1">
        <f t="array" aca="1" ref="C11" ca="1">_FV(B11,"Ticker symbol",TRUE)</f>
        <v>540879</v>
      </c>
      <c r="D11" s="46" t="str" cm="1">
        <f t="array" aca="1" ref="D11" ca="1">_FV(B11,"Industry")</f>
        <v>Aerospace &amp; Defense</v>
      </c>
      <c r="E11" s="313" cm="1">
        <f t="array" aca="1" ref="E11" ca="1">_FV(B11,"Change (%)",TRUE)</f>
        <v>9.3830000000000007E-3</v>
      </c>
      <c r="F11" s="46">
        <f>2+2+4</f>
        <v>8</v>
      </c>
      <c r="G11" s="47">
        <f>AVERAGE(192.43,154.01,98.4)</f>
        <v>148.28</v>
      </c>
      <c r="H11" s="47">
        <f t="shared" si="0"/>
        <v>1186.24</v>
      </c>
      <c r="I11" s="400">
        <v>6</v>
      </c>
      <c r="J11" s="47">
        <v>125.2</v>
      </c>
      <c r="K11" s="47">
        <f t="shared" si="1"/>
        <v>751.2</v>
      </c>
      <c r="L11" s="47">
        <f t="shared" ca="1" si="2"/>
        <v>537.9</v>
      </c>
      <c r="M11" s="401">
        <f t="shared" si="3"/>
        <v>2</v>
      </c>
      <c r="N11" s="343" cm="1">
        <f t="array" aca="1" ref="N11" ca="1">_FV(B11,"Price")</f>
        <v>268.95</v>
      </c>
      <c r="O11" s="402" t="str">
        <f t="shared" si="4"/>
        <v>Buy</v>
      </c>
      <c r="P11" s="343">
        <f t="shared" ca="1" si="5"/>
        <v>241.33999999999997</v>
      </c>
      <c r="Q11" s="47">
        <f t="shared" si="6"/>
        <v>-138.47999999999999</v>
      </c>
    </row>
    <row r="12" spans="1:17" x14ac:dyDescent="0.3">
      <c r="A12" s="377">
        <v>10</v>
      </c>
      <c r="B12" s="46" t="e" vm="27">
        <v>#VALUE!</v>
      </c>
      <c r="C12" s="308" t="str" cm="1">
        <f t="array" aca="1" ref="C12" ca="1">_FV(B12,"Ticker symbol",TRUE)</f>
        <v>544252</v>
      </c>
      <c r="D12" s="46" t="str" cm="1">
        <f t="array" aca="1" ref="D12" ca="1">_FV(B12,"Industry")</f>
        <v>Banking Services</v>
      </c>
      <c r="E12" s="313" cm="1">
        <f t="array" aca="1" ref="E12" ca="1">_FV(B12,"Change (%)",TRUE)</f>
        <v>9.1450000000000006E-4</v>
      </c>
      <c r="F12" s="46">
        <f>2+13+10+6+12</f>
        <v>43</v>
      </c>
      <c r="G12" s="47">
        <f>AVERAGE(122.13,134.52,162.69,174.24,157.99)</f>
        <v>150.31399999999999</v>
      </c>
      <c r="H12" s="47">
        <f t="shared" si="0"/>
        <v>6463.5019999999995</v>
      </c>
      <c r="I12" s="400">
        <f>3+10+8+20</f>
        <v>41</v>
      </c>
      <c r="J12" s="47">
        <f>AVERAGE(116.12,123.59,150.2,154.14)</f>
        <v>136.01249999999999</v>
      </c>
      <c r="K12" s="47">
        <f t="shared" si="1"/>
        <v>5576.5124999999998</v>
      </c>
      <c r="L12" s="47">
        <f t="shared" ca="1" si="2"/>
        <v>218.9</v>
      </c>
      <c r="M12" s="401">
        <f t="shared" si="3"/>
        <v>2</v>
      </c>
      <c r="N12" s="343" cm="1">
        <f t="array" aca="1" ref="N12" ca="1">_FV(B12,"Price")</f>
        <v>109.45</v>
      </c>
      <c r="O12" s="402" t="str">
        <f t="shared" si="4"/>
        <v>Buy</v>
      </c>
      <c r="P12" s="343">
        <f t="shared" ca="1" si="5"/>
        <v>-81.72799999999998</v>
      </c>
      <c r="Q12" s="47">
        <f t="shared" si="6"/>
        <v>-586.36150000000021</v>
      </c>
    </row>
    <row r="13" spans="1:17" x14ac:dyDescent="0.3">
      <c r="A13" s="377">
        <v>11</v>
      </c>
      <c r="B13" s="46" t="e" vm="28">
        <v>#VALUE!</v>
      </c>
      <c r="C13" s="308" t="str" cm="1">
        <f t="array" aca="1" ref="C13" ca="1">_FV(B13,"Ticker symbol",TRUE)</f>
        <v>HIRECT</v>
      </c>
      <c r="D13" s="46" t="str" cm="1">
        <f t="array" aca="1" ref="D13" ca="1">_FV(B13,"Industry")</f>
        <v>Machinery, Equipment &amp; Components</v>
      </c>
      <c r="E13" s="313" cm="1">
        <f t="array" aca="1" ref="E13" ca="1">_FV(B13,"Change (%)",TRUE)</f>
        <v>-4.9966999999999998E-2</v>
      </c>
      <c r="F13" s="46">
        <v>1</v>
      </c>
      <c r="G13" s="47">
        <v>1303.7</v>
      </c>
      <c r="H13" s="47">
        <f t="shared" si="0"/>
        <v>1303.7</v>
      </c>
      <c r="I13" s="400"/>
      <c r="J13" s="47">
        <v>0</v>
      </c>
      <c r="K13" s="47" t="str">
        <f t="shared" si="1"/>
        <v/>
      </c>
      <c r="L13" s="47">
        <f t="shared" ca="1" si="2"/>
        <v>1749.2</v>
      </c>
      <c r="M13" s="401">
        <f t="shared" si="3"/>
        <v>1</v>
      </c>
      <c r="N13" s="343" cm="1">
        <f t="array" aca="1" ref="N13" ca="1">_FV(B13,"Price")</f>
        <v>1749.2</v>
      </c>
      <c r="O13" s="402" t="str">
        <f t="shared" si="4"/>
        <v>Buy</v>
      </c>
      <c r="P13" s="343">
        <f t="shared" ca="1" si="5"/>
        <v>445.5</v>
      </c>
      <c r="Q13" s="47" t="str">
        <f t="shared" si="6"/>
        <v/>
      </c>
    </row>
    <row r="14" spans="1:17" x14ac:dyDescent="0.3">
      <c r="A14" s="377">
        <v>12</v>
      </c>
      <c r="B14" s="46" t="e" vm="29">
        <v>#VALUE!</v>
      </c>
      <c r="C14" s="308" t="str" cm="1">
        <f t="array" aca="1" ref="C14" ca="1">_FV(B14,"Ticker symbol",TRUE)</f>
        <v>509563</v>
      </c>
      <c r="D14" s="46" t="str" cm="1">
        <f t="array" aca="1" ref="D14" ca="1">_FV(B14,"Industry")</f>
        <v>Machinery, Equipment &amp; Components</v>
      </c>
      <c r="E14" s="313" cm="1">
        <f t="array" aca="1" ref="E14" ca="1">_FV(B14,"Change (%)",TRUE)</f>
        <v>-4.9889000000000003E-2</v>
      </c>
      <c r="F14" s="46">
        <f>19+14</f>
        <v>33</v>
      </c>
      <c r="G14" s="47">
        <f>AVERAGE(24.6,23.59)</f>
        <v>24.094999999999999</v>
      </c>
      <c r="H14" s="47">
        <f t="shared" si="0"/>
        <v>795.13499999999999</v>
      </c>
      <c r="I14" s="400">
        <v>33</v>
      </c>
      <c r="J14" s="47">
        <v>26.39</v>
      </c>
      <c r="K14" s="47">
        <f t="shared" si="1"/>
        <v>870.87</v>
      </c>
      <c r="L14" s="47">
        <f t="shared" ca="1" si="2"/>
        <v>0</v>
      </c>
      <c r="M14" s="401">
        <f t="shared" si="3"/>
        <v>0</v>
      </c>
      <c r="N14" s="343" cm="1">
        <f t="array" aca="1" ref="N14" ca="1">_FV(B14,"Price")</f>
        <v>29.9</v>
      </c>
      <c r="O14" s="402" t="str">
        <f t="shared" si="4"/>
        <v>Sell</v>
      </c>
      <c r="P14" s="343">
        <f t="shared" ca="1" si="5"/>
        <v>0</v>
      </c>
      <c r="Q14" s="47">
        <f t="shared" si="6"/>
        <v>75.735000000000056</v>
      </c>
    </row>
    <row r="15" spans="1:17" x14ac:dyDescent="0.3">
      <c r="A15" s="377">
        <v>13</v>
      </c>
      <c r="B15" s="46" t="e" vm="30">
        <v>#VALUE!</v>
      </c>
      <c r="C15" s="308" t="str" cm="1">
        <f t="array" aca="1" ref="C15" ca="1">_FV(B15,"Ticker symbol",TRUE)</f>
        <v>500800</v>
      </c>
      <c r="D15" s="46" t="str" cm="1">
        <f t="array" aca="1" ref="D15" ca="1">_FV(B15,"Industry")</f>
        <v>Food &amp; Tobacco</v>
      </c>
      <c r="E15" s="313" cm="1">
        <f t="array" aca="1" ref="E15" ca="1">_FV(B15,"Change (%)",TRUE)</f>
        <v>-1.9696000000000002E-2</v>
      </c>
      <c r="F15" s="46">
        <v>3</v>
      </c>
      <c r="G15" s="47">
        <f>AVERAGE(1151)</f>
        <v>1151</v>
      </c>
      <c r="H15" s="47">
        <f t="shared" si="0"/>
        <v>3453</v>
      </c>
      <c r="I15" s="400">
        <v>3</v>
      </c>
      <c r="J15" s="47">
        <v>1170.8</v>
      </c>
      <c r="K15" s="47">
        <f t="shared" si="1"/>
        <v>3512.3999999999996</v>
      </c>
      <c r="L15" s="47">
        <f t="shared" ca="1" si="2"/>
        <v>0</v>
      </c>
      <c r="M15" s="401">
        <f t="shared" si="3"/>
        <v>0</v>
      </c>
      <c r="N15" s="343" cm="1">
        <f t="array" aca="1" ref="N15" ca="1">_FV(B15,"Price")</f>
        <v>1164.6500000000001</v>
      </c>
      <c r="O15" s="402" t="str">
        <f t="shared" si="4"/>
        <v>Sell</v>
      </c>
      <c r="P15" s="343">
        <f t="shared" ca="1" si="5"/>
        <v>0</v>
      </c>
      <c r="Q15" s="47">
        <f t="shared" si="6"/>
        <v>59.399999999999864</v>
      </c>
    </row>
    <row r="16" spans="1:17" x14ac:dyDescent="0.3">
      <c r="A16" s="377">
        <v>14</v>
      </c>
      <c r="B16" s="46" t="e" vm="31">
        <v>#VALUE!</v>
      </c>
      <c r="C16" s="308" t="str" cm="1">
        <f t="array" aca="1" ref="C16" ca="1">_FV(B16,"Ticker symbol",TRUE)</f>
        <v>532281</v>
      </c>
      <c r="D16" s="46" t="str" cm="1">
        <f t="array" aca="1" ref="D16" ca="1">_FV(B16,"Industry")</f>
        <v>Software &amp; IT Services</v>
      </c>
      <c r="E16" s="313" cm="1">
        <f t="array" aca="1" ref="E16" ca="1">_FV(B16,"Change (%)",TRUE)</f>
        <v>-9.1719999999999996E-3</v>
      </c>
      <c r="F16" s="46">
        <v>2</v>
      </c>
      <c r="G16" s="47">
        <f>AVERAGE(1595)</f>
        <v>1595</v>
      </c>
      <c r="H16" s="47">
        <f t="shared" si="0"/>
        <v>3190</v>
      </c>
      <c r="I16" s="400">
        <v>2</v>
      </c>
      <c r="J16" s="47">
        <v>1575.1</v>
      </c>
      <c r="K16" s="47">
        <f t="shared" si="1"/>
        <v>3150.2</v>
      </c>
      <c r="L16" s="47">
        <f t="shared" ca="1" si="2"/>
        <v>0</v>
      </c>
      <c r="M16" s="401">
        <f t="shared" si="3"/>
        <v>0</v>
      </c>
      <c r="N16" s="343" cm="1">
        <f t="array" aca="1" ref="N16" ca="1">_FV(B16,"Price")</f>
        <v>1512.35</v>
      </c>
      <c r="O16" s="402" t="str">
        <f t="shared" si="4"/>
        <v>Sell</v>
      </c>
      <c r="P16" s="343">
        <f t="shared" ca="1" si="5"/>
        <v>0</v>
      </c>
      <c r="Q16" s="47">
        <f t="shared" si="6"/>
        <v>-39.800000000000182</v>
      </c>
    </row>
    <row r="17" spans="1:17" x14ac:dyDescent="0.3">
      <c r="A17" s="377">
        <v>15</v>
      </c>
      <c r="B17" s="46" t="e" vm="32">
        <v>#VALUE!</v>
      </c>
      <c r="C17" s="308" t="str" cm="1">
        <f t="array" aca="1" ref="C17" ca="1">_FV(B17,"Ticker symbol",TRUE)</f>
        <v>BHEL</v>
      </c>
      <c r="D17" s="46" t="str" cm="1">
        <f t="array" aca="1" ref="D17" ca="1">_FV(B17,"Industry")</f>
        <v>Machinery, Equipment &amp; Components</v>
      </c>
      <c r="E17" s="313" cm="1">
        <f t="array" aca="1" ref="E17" ca="1">_FV(B17,"Change (%)",TRUE)</f>
        <v>1.4613000000000001E-2</v>
      </c>
      <c r="F17" s="46">
        <f>1+2+1+1+3</f>
        <v>8</v>
      </c>
      <c r="G17" s="47">
        <f>AVERAGE(230.66,230.53,217.04)</f>
        <v>226.07666666666668</v>
      </c>
      <c r="H17" s="47">
        <f t="shared" si="0"/>
        <v>1808.6133333333335</v>
      </c>
      <c r="I17" s="400">
        <v>8</v>
      </c>
      <c r="J17" s="47">
        <f>AVERAGE(198.75,229.75)</f>
        <v>214.25</v>
      </c>
      <c r="K17" s="47">
        <f t="shared" si="1"/>
        <v>1714</v>
      </c>
      <c r="L17" s="47">
        <f t="shared" ca="1" si="2"/>
        <v>0</v>
      </c>
      <c r="M17" s="401">
        <f t="shared" si="3"/>
        <v>0</v>
      </c>
      <c r="N17" s="343" cm="1">
        <f t="array" aca="1" ref="N17" ca="1">_FV(B17,"Price")</f>
        <v>263.85000000000002</v>
      </c>
      <c r="O17" s="402" t="str">
        <f t="shared" si="4"/>
        <v>Sell</v>
      </c>
      <c r="P17" s="343">
        <f t="shared" ca="1" si="5"/>
        <v>0</v>
      </c>
      <c r="Q17" s="47">
        <f t="shared" si="6"/>
        <v>-94.613333333333458</v>
      </c>
    </row>
    <row r="18" spans="1:17" x14ac:dyDescent="0.3">
      <c r="A18" s="377">
        <v>16</v>
      </c>
      <c r="B18" s="46" t="e" vm="33">
        <v>#VALUE!</v>
      </c>
      <c r="C18" s="308" t="str" cm="1">
        <f t="array" aca="1" ref="C18" ca="1">_FV(B18,"Ticker symbol",TRUE)</f>
        <v>NTPC</v>
      </c>
      <c r="D18" s="46" t="str" cm="1">
        <f t="array" aca="1" ref="D18" ca="1">_FV(B18,"Industry")</f>
        <v>Electrical Utilities &amp; IPPs</v>
      </c>
      <c r="E18" s="313" cm="1">
        <f t="array" aca="1" ref="E18" ca="1">_FV(B18,"Change (%)",TRUE)</f>
        <v>-1.684E-3</v>
      </c>
      <c r="F18" s="46">
        <v>3</v>
      </c>
      <c r="G18" s="47">
        <f>AVERAGE(364)</f>
        <v>364</v>
      </c>
      <c r="H18" s="47">
        <f t="shared" si="0"/>
        <v>1092</v>
      </c>
      <c r="I18" s="400">
        <v>3</v>
      </c>
      <c r="J18" s="47">
        <v>356.1</v>
      </c>
      <c r="K18" s="47">
        <f t="shared" si="1"/>
        <v>1068.3000000000002</v>
      </c>
      <c r="L18" s="47">
        <f t="shared" ca="1" si="2"/>
        <v>0</v>
      </c>
      <c r="M18" s="401">
        <f t="shared" si="3"/>
        <v>0</v>
      </c>
      <c r="N18" s="343" cm="1">
        <f t="array" aca="1" ref="N18" ca="1">_FV(B18,"Price")</f>
        <v>326.10000000000002</v>
      </c>
      <c r="O18" s="402" t="str">
        <f t="shared" si="4"/>
        <v>Sell</v>
      </c>
      <c r="P18" s="343">
        <f t="shared" ca="1" si="5"/>
        <v>0</v>
      </c>
      <c r="Q18" s="47">
        <f t="shared" si="6"/>
        <v>-23.699999999999932</v>
      </c>
    </row>
    <row r="19" spans="1:17" x14ac:dyDescent="0.3">
      <c r="A19" s="377">
        <v>17</v>
      </c>
      <c r="B19" s="46" t="e" vm="34">
        <v>#VALUE!</v>
      </c>
      <c r="C19" s="308" t="str" cm="1">
        <f t="array" aca="1" ref="C19" ca="1">_FV(B19,"Ticker symbol",TRUE)</f>
        <v>COCHINSHIP</v>
      </c>
      <c r="D19" s="46" t="str" cm="1">
        <f t="array" aca="1" ref="D19" ca="1">_FV(B19,"Industry")</f>
        <v>Machinery, Equipment &amp; Components</v>
      </c>
      <c r="E19" s="313" cm="1">
        <f t="array" aca="1" ref="E19" ca="1">_FV(B19,"Change (%)",TRUE)</f>
        <v>1.3567000000000001E-2</v>
      </c>
      <c r="F19" s="46">
        <v>2</v>
      </c>
      <c r="G19" s="47">
        <f>AVERAGE(1484.95)</f>
        <v>1484.95</v>
      </c>
      <c r="H19" s="47">
        <f t="shared" si="0"/>
        <v>2969.9</v>
      </c>
      <c r="I19" s="400">
        <v>2</v>
      </c>
      <c r="J19" s="47">
        <v>1551.9</v>
      </c>
      <c r="K19" s="47">
        <f t="shared" si="1"/>
        <v>3103.8</v>
      </c>
      <c r="L19" s="47">
        <f t="shared" ca="1" si="2"/>
        <v>0</v>
      </c>
      <c r="M19" s="401">
        <f t="shared" si="3"/>
        <v>0</v>
      </c>
      <c r="N19" s="343" cm="1">
        <f t="array" aca="1" ref="N19" ca="1">_FV(B19,"Price")</f>
        <v>1725.8</v>
      </c>
      <c r="O19" s="402" t="str">
        <f t="shared" si="4"/>
        <v>Sell</v>
      </c>
      <c r="P19" s="343">
        <f t="shared" ca="1" si="5"/>
        <v>0</v>
      </c>
      <c r="Q19" s="47">
        <f t="shared" si="6"/>
        <v>133.90000000000009</v>
      </c>
    </row>
    <row r="20" spans="1:17" x14ac:dyDescent="0.3">
      <c r="A20" s="377">
        <v>18</v>
      </c>
      <c r="B20" s="46" t="e" vm="35">
        <v>#VALUE!</v>
      </c>
      <c r="C20" s="308" t="str" cm="1">
        <f t="array" aca="1" ref="C20" ca="1">_FV(B20,"Ticker symbol",TRUE)</f>
        <v>540699</v>
      </c>
      <c r="D20" s="46" t="str" cm="1">
        <f t="array" aca="1" ref="D20" ca="1">_FV(B20,"Industry")</f>
        <v>Computers, Phones &amp; Household Electronics</v>
      </c>
      <c r="E20" s="313" cm="1">
        <f t="array" aca="1" ref="E20" ca="1">_FV(B20,"Change (%)",TRUE)</f>
        <v>-1.626E-2</v>
      </c>
      <c r="F20" s="46">
        <v>1</v>
      </c>
      <c r="G20" s="47">
        <v>16597</v>
      </c>
      <c r="H20" s="47">
        <f t="shared" si="0"/>
        <v>16597</v>
      </c>
      <c r="I20" s="400">
        <v>1</v>
      </c>
      <c r="J20" s="47">
        <v>16800</v>
      </c>
      <c r="K20" s="47">
        <f t="shared" si="1"/>
        <v>16800</v>
      </c>
      <c r="L20" s="47">
        <f t="shared" ca="1" si="2"/>
        <v>0</v>
      </c>
      <c r="M20" s="401">
        <f t="shared" si="3"/>
        <v>0</v>
      </c>
      <c r="N20" s="343" cm="1">
        <f t="array" aca="1" ref="N20" ca="1">_FV(B20,"Price")</f>
        <v>14832</v>
      </c>
      <c r="O20" s="402" t="str">
        <f t="shared" si="4"/>
        <v>Sell</v>
      </c>
      <c r="P20" s="343">
        <f t="shared" ca="1" si="5"/>
        <v>0</v>
      </c>
      <c r="Q20" s="47">
        <f t="shared" si="6"/>
        <v>203</v>
      </c>
    </row>
    <row r="21" spans="1:17" x14ac:dyDescent="0.3">
      <c r="A21" s="377">
        <v>19</v>
      </c>
      <c r="B21" s="46" t="e" vm="36">
        <v>#VALUE!</v>
      </c>
      <c r="C21" s="308" t="str" cm="1">
        <f t="array" aca="1" ref="C21" ca="1">_FV(B21,"Ticker symbol",TRUE)</f>
        <v>MAZDOCK</v>
      </c>
      <c r="D21" s="46" t="str" cm="1">
        <f t="array" aca="1" ref="D21" ca="1">_FV(B21,"Industry")</f>
        <v>Aerospace &amp; Defense</v>
      </c>
      <c r="E21" s="313" cm="1">
        <f t="array" aca="1" ref="E21" ca="1">_FV(B21,"Change (%)",TRUE)</f>
        <v>1.5129999999999999E-2</v>
      </c>
      <c r="F21" s="46">
        <v>6</v>
      </c>
      <c r="G21" s="47">
        <f>AVERAGE(2770.85,2212.1,2174.95)</f>
        <v>2385.9666666666667</v>
      </c>
      <c r="H21" s="47">
        <f t="shared" si="0"/>
        <v>14315.8</v>
      </c>
      <c r="I21" s="400">
        <f>2+1+1+2</f>
        <v>6</v>
      </c>
      <c r="J21" s="47">
        <f>AVERAGE(3048.2,2255.5,2208.75,2219.05)</f>
        <v>2432.875</v>
      </c>
      <c r="K21" s="47">
        <f t="shared" si="1"/>
        <v>14597.25</v>
      </c>
      <c r="L21" s="47">
        <f t="shared" ca="1" si="2"/>
        <v>0</v>
      </c>
      <c r="M21" s="401">
        <f t="shared" si="3"/>
        <v>0</v>
      </c>
      <c r="N21" s="343" cm="1">
        <f t="array" aca="1" ref="N21" ca="1">_FV(B21,"Price")</f>
        <v>2670.3</v>
      </c>
      <c r="O21" s="402" t="str">
        <f t="shared" si="4"/>
        <v>Sell</v>
      </c>
      <c r="P21" s="343">
        <f t="shared" ca="1" si="5"/>
        <v>0</v>
      </c>
      <c r="Q21" s="47">
        <f t="shared" si="6"/>
        <v>281.44999999999982</v>
      </c>
    </row>
    <row r="22" spans="1:17" x14ac:dyDescent="0.3">
      <c r="A22" s="377">
        <v>20</v>
      </c>
      <c r="B22" s="46" t="e" vm="37">
        <v>#VALUE!</v>
      </c>
      <c r="C22" s="308" t="str" cm="1">
        <f t="array" aca="1" ref="C22" ca="1">_FV(B22,"Ticker symbol",TRUE)</f>
        <v>532483</v>
      </c>
      <c r="D22" s="46" t="str" cm="1">
        <f t="array" aca="1" ref="D22" ca="1">_FV(B22,"Industry")</f>
        <v>Banking Services</v>
      </c>
      <c r="E22" s="313" cm="1">
        <f t="array" aca="1" ref="E22" ca="1">_FV(B22,"Change (%)",TRUE)</f>
        <v>1.0054E-2</v>
      </c>
      <c r="F22" s="46">
        <f>9+2+1+4</f>
        <v>16</v>
      </c>
      <c r="G22" s="47">
        <f>AVERAGE(94.03,96.4,92.05,100.45)</f>
        <v>95.732500000000002</v>
      </c>
      <c r="H22" s="47">
        <f t="shared" si="0"/>
        <v>1531.72</v>
      </c>
      <c r="I22" s="400">
        <v>16</v>
      </c>
      <c r="J22" s="47">
        <f>AVERAGE(85.89,94.4,96.16,96.05)</f>
        <v>93.125000000000014</v>
      </c>
      <c r="K22" s="47">
        <f t="shared" si="1"/>
        <v>1490.0000000000002</v>
      </c>
      <c r="L22" s="47">
        <f t="shared" ca="1" si="2"/>
        <v>0</v>
      </c>
      <c r="M22" s="401">
        <f t="shared" si="3"/>
        <v>0</v>
      </c>
      <c r="N22" s="343" cm="1">
        <f t="array" aca="1" ref="N22" ca="1">_FV(B22,"Price")</f>
        <v>140.65</v>
      </c>
      <c r="O22" s="402" t="str">
        <f t="shared" si="4"/>
        <v>Sell</v>
      </c>
      <c r="P22" s="343">
        <f t="shared" ca="1" si="5"/>
        <v>0</v>
      </c>
      <c r="Q22" s="47">
        <f t="shared" si="6"/>
        <v>-41.7199999999998</v>
      </c>
    </row>
    <row r="23" spans="1:17" x14ac:dyDescent="0.3">
      <c r="A23" s="377">
        <v>21</v>
      </c>
      <c r="B23" s="46" t="e" vm="38">
        <v>#VALUE!</v>
      </c>
      <c r="C23" s="308" t="str" cm="1">
        <f t="array" aca="1" ref="C23" ca="1">_FV(B23,"Ticker symbol",TRUE)</f>
        <v>TATASTEEL</v>
      </c>
      <c r="D23" s="46" t="str" cm="1">
        <f t="array" aca="1" ref="D23" ca="1">_FV(B23,"Industry")</f>
        <v>Metals &amp; Mining</v>
      </c>
      <c r="E23" s="313" cm="1">
        <f t="array" aca="1" ref="E23" ca="1">_FV(B23,"Change (%)",TRUE)</f>
        <v>2.3129E-2</v>
      </c>
      <c r="F23" s="46">
        <v>4</v>
      </c>
      <c r="G23" s="47">
        <v>126.89</v>
      </c>
      <c r="H23" s="47">
        <f t="shared" si="0"/>
        <v>507.56</v>
      </c>
      <c r="I23" s="400">
        <v>4</v>
      </c>
      <c r="J23" s="47">
        <f>AVERAGE(151.31,134.55)</f>
        <v>142.93</v>
      </c>
      <c r="K23" s="47">
        <f t="shared" si="1"/>
        <v>571.72</v>
      </c>
      <c r="L23" s="47">
        <f t="shared" ca="1" si="2"/>
        <v>0</v>
      </c>
      <c r="M23" s="401">
        <f t="shared" si="3"/>
        <v>0</v>
      </c>
      <c r="N23" s="343" cm="1">
        <f t="array" aca="1" ref="N23" ca="1">_FV(B23,"Price")</f>
        <v>181.37</v>
      </c>
      <c r="O23" s="402" t="str">
        <f t="shared" si="4"/>
        <v>Sell</v>
      </c>
      <c r="P23" s="343">
        <f t="shared" ca="1" si="5"/>
        <v>0</v>
      </c>
      <c r="Q23" s="47">
        <f t="shared" si="6"/>
        <v>64.160000000000025</v>
      </c>
    </row>
    <row r="24" spans="1:17" x14ac:dyDescent="0.3">
      <c r="A24" s="377">
        <v>22</v>
      </c>
      <c r="B24" s="46" t="e" vm="39">
        <v>#VALUE!</v>
      </c>
      <c r="C24" s="308" t="str" cm="1">
        <f t="array" aca="1" ref="C24" ca="1">_FV(B24,"Ticker symbol",TRUE)</f>
        <v>SHAKTIPUMP</v>
      </c>
      <c r="D24" s="46" t="str" cm="1">
        <f t="array" aca="1" ref="D24" ca="1">_FV(B24,"Industry")</f>
        <v>Machinery, Equipment &amp; Components</v>
      </c>
      <c r="E24" s="313" cm="1">
        <f t="array" aca="1" ref="E24" ca="1">_FV(B24,"Change (%)",TRUE)</f>
        <v>1.946E-3</v>
      </c>
      <c r="F24" s="46">
        <f>1+1</f>
        <v>2</v>
      </c>
      <c r="G24" s="47">
        <v>1084.7</v>
      </c>
      <c r="H24" s="47">
        <f t="shared" si="0"/>
        <v>2169.4</v>
      </c>
      <c r="I24" s="400">
        <v>2</v>
      </c>
      <c r="J24" s="47">
        <f>AVERAGE(937,973.45)</f>
        <v>955.22500000000002</v>
      </c>
      <c r="K24" s="47">
        <f t="shared" si="1"/>
        <v>1910.45</v>
      </c>
      <c r="L24" s="47">
        <f t="shared" ca="1" si="2"/>
        <v>0</v>
      </c>
      <c r="M24" s="401">
        <f t="shared" si="3"/>
        <v>0</v>
      </c>
      <c r="N24" s="343" cm="1">
        <f t="array" aca="1" ref="N24" ca="1">_FV(B24,"Price")</f>
        <v>798.05</v>
      </c>
      <c r="O24" s="402" t="str">
        <f t="shared" si="4"/>
        <v>Sell</v>
      </c>
      <c r="P24" s="343">
        <f t="shared" ca="1" si="5"/>
        <v>0</v>
      </c>
      <c r="Q24" s="47">
        <f t="shared" si="6"/>
        <v>-258.95000000000005</v>
      </c>
    </row>
    <row r="25" spans="1:17" x14ac:dyDescent="0.3">
      <c r="A25" s="377">
        <v>23</v>
      </c>
      <c r="B25" s="46" t="e" vm="40">
        <v>#VALUE!</v>
      </c>
      <c r="C25" s="308" t="str" cm="1">
        <f t="array" aca="1" ref="C25" ca="1">_FV(B25,"Ticker symbol",TRUE)</f>
        <v>WIPRO</v>
      </c>
      <c r="D25" s="46" t="str" cm="1">
        <f t="array" aca="1" ref="D25" ca="1">_FV(B25,"Industry")</f>
        <v>Software &amp; IT Services</v>
      </c>
      <c r="E25" s="313" cm="1">
        <f t="array" aca="1" ref="E25" ca="1">_FV(B25,"Change (%)",TRUE)</f>
        <v>-1.4830000000000001E-2</v>
      </c>
      <c r="F25" s="46">
        <v>4</v>
      </c>
      <c r="G25" s="47">
        <v>308.25</v>
      </c>
      <c r="H25" s="47">
        <f t="shared" si="0"/>
        <v>1233</v>
      </c>
      <c r="I25" s="400">
        <v>4</v>
      </c>
      <c r="J25" s="47">
        <v>316.89999999999998</v>
      </c>
      <c r="K25" s="47">
        <f t="shared" si="1"/>
        <v>1267.5999999999999</v>
      </c>
      <c r="L25" s="47">
        <f t="shared" ca="1" si="2"/>
        <v>0</v>
      </c>
      <c r="M25" s="401">
        <f t="shared" si="3"/>
        <v>0</v>
      </c>
      <c r="N25" s="343" cm="1">
        <f t="array" aca="1" ref="N25" ca="1">_FV(B25,"Price")</f>
        <v>236.49</v>
      </c>
      <c r="O25" s="402" t="str">
        <f t="shared" si="4"/>
        <v>Sell</v>
      </c>
      <c r="P25" s="343">
        <f t="shared" ca="1" si="5"/>
        <v>0</v>
      </c>
      <c r="Q25" s="47">
        <f t="shared" si="6"/>
        <v>34.599999999999909</v>
      </c>
    </row>
    <row r="26" spans="1:17" x14ac:dyDescent="0.3">
      <c r="A26" s="377">
        <v>24</v>
      </c>
      <c r="B26" s="46" t="e" vm="41">
        <v>#VALUE!</v>
      </c>
      <c r="C26" s="308" t="str" cm="1">
        <f t="array" aca="1" ref="C26" ca="1">_FV(B26,"Ticker symbol",TRUE)</f>
        <v>DLF</v>
      </c>
      <c r="D26" s="46" t="str" cm="1">
        <f t="array" aca="1" ref="D26" ca="1">_FV(B26,"Industry")</f>
        <v>Real Estate Operations</v>
      </c>
      <c r="E26" s="313" cm="1">
        <f t="array" aca="1" ref="E26" ca="1">_FV(B26,"Change (%)",TRUE)</f>
        <v>1.451E-3</v>
      </c>
      <c r="F26" s="46">
        <v>1</v>
      </c>
      <c r="G26" s="47">
        <v>717.3</v>
      </c>
      <c r="H26" s="47">
        <f t="shared" si="0"/>
        <v>717.3</v>
      </c>
      <c r="I26" s="400">
        <v>1</v>
      </c>
      <c r="J26" s="47">
        <v>665.25</v>
      </c>
      <c r="K26" s="47">
        <f t="shared" si="1"/>
        <v>665.25</v>
      </c>
      <c r="L26" s="47">
        <f t="shared" ca="1" si="2"/>
        <v>0</v>
      </c>
      <c r="M26" s="401">
        <f t="shared" si="3"/>
        <v>0</v>
      </c>
      <c r="N26" s="343" cm="1">
        <f t="array" aca="1" ref="N26" ca="1">_FV(B26,"Price")</f>
        <v>759.45</v>
      </c>
      <c r="O26" s="402" t="str">
        <f t="shared" si="4"/>
        <v>Sell</v>
      </c>
      <c r="P26" s="343">
        <f t="shared" ca="1" si="5"/>
        <v>0</v>
      </c>
      <c r="Q26" s="47">
        <f t="shared" si="6"/>
        <v>-52.049999999999955</v>
      </c>
    </row>
    <row r="27" spans="1:17" x14ac:dyDescent="0.3">
      <c r="A27" s="377">
        <v>25</v>
      </c>
      <c r="B27" s="46" t="e" vm="42">
        <v>#VALUE!</v>
      </c>
      <c r="C27" s="308" t="str" cm="1">
        <f t="array" aca="1" ref="C27" ca="1">_FV(B27,"Ticker symbol",TRUE)</f>
        <v>IRB</v>
      </c>
      <c r="D27" s="46" t="str" cm="1">
        <f t="array" aca="1" ref="D27" ca="1">_FV(B27,"Industry")</f>
        <v>Construction &amp; Engineering</v>
      </c>
      <c r="E27" s="313" cm="1">
        <f t="array" aca="1" ref="E27" ca="1">_FV(B27,"Change (%)",TRUE)</f>
        <v>-8.4689999999999991E-3</v>
      </c>
      <c r="F27" s="46">
        <f>5+1+11+1+5</f>
        <v>23</v>
      </c>
      <c r="G27" s="47">
        <f>AVERAGE(55.65,64.52,67.65)</f>
        <v>62.606666666666662</v>
      </c>
      <c r="H27" s="47">
        <f t="shared" si="0"/>
        <v>1439.9533333333331</v>
      </c>
      <c r="I27" s="400">
        <v>23</v>
      </c>
      <c r="J27" s="47">
        <f>AVERAGE(51.71,61.56)</f>
        <v>56.635000000000005</v>
      </c>
      <c r="K27" s="47">
        <f t="shared" si="1"/>
        <v>1302.605</v>
      </c>
      <c r="L27" s="47">
        <f t="shared" ca="1" si="2"/>
        <v>0</v>
      </c>
      <c r="M27" s="401">
        <f t="shared" si="3"/>
        <v>0</v>
      </c>
      <c r="N27" s="343" cm="1">
        <f t="array" aca="1" ref="N27" ca="1">_FV(B27,"Price")</f>
        <v>44.49</v>
      </c>
      <c r="O27" s="402" t="str">
        <f t="shared" si="4"/>
        <v>Sell</v>
      </c>
      <c r="P27" s="343">
        <f t="shared" ca="1" si="5"/>
        <v>0</v>
      </c>
      <c r="Q27" s="47">
        <f t="shared" si="6"/>
        <v>-137.3483333333331</v>
      </c>
    </row>
    <row r="28" spans="1:17" x14ac:dyDescent="0.3">
      <c r="A28" s="377">
        <v>26</v>
      </c>
      <c r="B28" s="46" t="e" vm="43">
        <v>#VALUE!</v>
      </c>
      <c r="C28" s="308" t="str" cm="1">
        <f t="array" aca="1" ref="C28" ca="1">_FV(B28,"Ticker symbol",TRUE)</f>
        <v>ANANTRAJ</v>
      </c>
      <c r="D28" s="46" t="str" cm="1">
        <f t="array" aca="1" ref="D28" ca="1">_FV(B28,"Industry")</f>
        <v>Real Estate Operations</v>
      </c>
      <c r="E28" s="313" cm="1">
        <f t="array" aca="1" ref="E28" ca="1">_FV(B28,"Change (%)",TRUE)</f>
        <v>-5.535E-3</v>
      </c>
      <c r="F28" s="46">
        <f>1</f>
        <v>1</v>
      </c>
      <c r="G28" s="47">
        <v>870.2</v>
      </c>
      <c r="H28" s="47">
        <f t="shared" si="0"/>
        <v>870.2</v>
      </c>
      <c r="I28" s="400">
        <v>1</v>
      </c>
      <c r="J28" s="47">
        <v>799.45</v>
      </c>
      <c r="K28" s="47">
        <f t="shared" si="1"/>
        <v>799.45</v>
      </c>
      <c r="L28" s="47">
        <f t="shared" ca="1" si="2"/>
        <v>0</v>
      </c>
      <c r="M28" s="401">
        <f t="shared" si="3"/>
        <v>0</v>
      </c>
      <c r="N28" s="343" cm="1">
        <f t="array" aca="1" ref="N28" ca="1">_FV(B28,"Price")</f>
        <v>619.85</v>
      </c>
      <c r="O28" s="402" t="str">
        <f t="shared" si="4"/>
        <v>Sell</v>
      </c>
      <c r="P28" s="343">
        <f t="shared" ca="1" si="5"/>
        <v>0</v>
      </c>
      <c r="Q28" s="47">
        <f t="shared" si="6"/>
        <v>-70.75</v>
      </c>
    </row>
    <row r="29" spans="1:17" x14ac:dyDescent="0.3">
      <c r="A29" s="377">
        <v>27</v>
      </c>
      <c r="B29" s="46" t="e" vm="44">
        <v>#VALUE!</v>
      </c>
      <c r="C29" s="308" t="str" cm="1">
        <f t="array" aca="1" ref="C29" ca="1">_FV(B29,"Ticker symbol",TRUE)</f>
        <v>ETERNAL</v>
      </c>
      <c r="D29" s="46" t="str" cm="1">
        <f t="array" aca="1" ref="D29" ca="1">_FV(B29,"Industry")</f>
        <v>Software &amp; IT Services</v>
      </c>
      <c r="E29" s="313" cm="1">
        <f t="array" aca="1" ref="E29" ca="1">_FV(B29,"Change (%)",TRUE)</f>
        <v>1.472E-3</v>
      </c>
      <c r="F29" s="46">
        <f>2+2</f>
        <v>4</v>
      </c>
      <c r="G29" s="47">
        <f>AVERAGE(271,238.7)</f>
        <v>254.85</v>
      </c>
      <c r="H29" s="47">
        <f t="shared" si="0"/>
        <v>1019.4</v>
      </c>
      <c r="I29" s="400">
        <v>4</v>
      </c>
      <c r="J29" s="47">
        <v>224.6</v>
      </c>
      <c r="K29" s="47">
        <f t="shared" si="1"/>
        <v>898.4</v>
      </c>
      <c r="L29" s="47">
        <f t="shared" ca="1" si="2"/>
        <v>0</v>
      </c>
      <c r="M29" s="401">
        <f t="shared" si="3"/>
        <v>0</v>
      </c>
      <c r="N29" s="343" cm="1">
        <f t="array" aca="1" ref="N29" ca="1">_FV(B29,"Price")</f>
        <v>306.10000000000002</v>
      </c>
      <c r="O29" s="402" t="str">
        <f t="shared" si="4"/>
        <v>Sell</v>
      </c>
      <c r="P29" s="343">
        <f t="shared" ca="1" si="5"/>
        <v>0</v>
      </c>
      <c r="Q29" s="47">
        <f t="shared" si="6"/>
        <v>-121</v>
      </c>
    </row>
    <row r="30" spans="1:17" x14ac:dyDescent="0.3">
      <c r="A30" s="377">
        <v>28</v>
      </c>
      <c r="B30" s="46" t="e" vm="45">
        <v>#VALUE!</v>
      </c>
      <c r="C30" s="308" t="str" cm="1">
        <f t="array" aca="1" ref="C30" ca="1">_FV(B30,"Ticker symbol",TRUE)</f>
        <v>PCJEWELLER</v>
      </c>
      <c r="D30" s="46" t="str" cm="1">
        <f t="array" aca="1" ref="D30" ca="1">_FV(B30,"Industry")</f>
        <v>Textiles &amp; Apparel</v>
      </c>
      <c r="E30" s="313" cm="1">
        <f t="array" aca="1" ref="E30" ca="1">_FV(B30,"Change (%)",TRUE)</f>
        <v>-8.1699999999999991E-4</v>
      </c>
      <c r="F30" s="46">
        <f>1+7</f>
        <v>8</v>
      </c>
      <c r="G30" s="47">
        <v>16.7</v>
      </c>
      <c r="H30" s="47">
        <f t="shared" si="0"/>
        <v>133.6</v>
      </c>
      <c r="I30" s="400">
        <v>8</v>
      </c>
      <c r="J30" s="47">
        <v>19.649999999999999</v>
      </c>
      <c r="K30" s="47">
        <f t="shared" si="1"/>
        <v>157.19999999999999</v>
      </c>
      <c r="L30" s="47">
        <f t="shared" ca="1" si="2"/>
        <v>0</v>
      </c>
      <c r="M30" s="401">
        <f t="shared" si="3"/>
        <v>0</v>
      </c>
      <c r="N30" s="343" cm="1">
        <f t="array" aca="1" ref="N30" ca="1">_FV(B30,"Price")</f>
        <v>12.23</v>
      </c>
      <c r="O30" s="402" t="str">
        <f t="shared" si="4"/>
        <v>Sell</v>
      </c>
      <c r="P30" s="343">
        <f t="shared" ca="1" si="5"/>
        <v>0</v>
      </c>
      <c r="Q30" s="47">
        <f t="shared" si="6"/>
        <v>23.599999999999994</v>
      </c>
    </row>
    <row r="31" spans="1:17" x14ac:dyDescent="0.3">
      <c r="A31" s="377">
        <v>29</v>
      </c>
      <c r="B31" s="46" t="e" vm="46">
        <v>#VALUE!</v>
      </c>
      <c r="C31" s="308" t="str" cm="1">
        <f t="array" aca="1" ref="C31" ca="1">_FV(B31,"Ticker symbol",TRUE)</f>
        <v>TITAGARH</v>
      </c>
      <c r="D31" s="46" t="str" cm="1">
        <f t="array" aca="1" ref="D31" ca="1">_FV(B31,"Industry")</f>
        <v>Machinery, Equipment &amp; Components</v>
      </c>
      <c r="E31" s="313" cm="1">
        <f t="array" aca="1" ref="E31" ca="1">_FV(B31,"Change (%)",TRUE)</f>
        <v>-1.4721E-2</v>
      </c>
      <c r="F31" s="46">
        <v>2</v>
      </c>
      <c r="G31" s="47">
        <v>1775</v>
      </c>
      <c r="H31" s="47">
        <f t="shared" si="0"/>
        <v>3550</v>
      </c>
      <c r="I31" s="400">
        <v>2</v>
      </c>
      <c r="J31" s="47">
        <v>1391.05</v>
      </c>
      <c r="K31" s="47">
        <f t="shared" si="1"/>
        <v>2782.1</v>
      </c>
      <c r="L31" s="47">
        <f t="shared" ca="1" si="2"/>
        <v>0</v>
      </c>
      <c r="M31" s="401">
        <f t="shared" si="3"/>
        <v>0</v>
      </c>
      <c r="N31" s="343" cm="1">
        <f t="array" aca="1" ref="N31" ca="1">_FV(B31,"Price")</f>
        <v>843.3</v>
      </c>
      <c r="O31" s="402" t="str">
        <f t="shared" si="4"/>
        <v>Sell</v>
      </c>
      <c r="P31" s="343">
        <f t="shared" ca="1" si="5"/>
        <v>0</v>
      </c>
      <c r="Q31" s="47">
        <f t="shared" si="6"/>
        <v>-767.90000000000009</v>
      </c>
    </row>
    <row r="32" spans="1:17" x14ac:dyDescent="0.3">
      <c r="A32" s="377">
        <v>30</v>
      </c>
      <c r="B32" s="46" t="e" vm="47">
        <v>#VALUE!</v>
      </c>
      <c r="C32" s="308" t="str" cm="1">
        <f t="array" aca="1" ref="C32" ca="1">_FV(B32,"Ticker symbol",TRUE)</f>
        <v>NBCC</v>
      </c>
      <c r="D32" s="46" t="str" cm="1">
        <f t="array" aca="1" ref="D32" ca="1">_FV(B32,"Industry")</f>
        <v>Construction &amp; Engineering</v>
      </c>
      <c r="E32" s="313" cm="1">
        <f t="array" aca="1" ref="E32" ca="1">_FV(B32,"Change (%)",TRUE)</f>
        <v>1.7498E-2</v>
      </c>
      <c r="F32" s="46">
        <v>15</v>
      </c>
      <c r="G32" s="47">
        <v>142.5</v>
      </c>
      <c r="H32" s="47">
        <f t="shared" si="0"/>
        <v>2137.5</v>
      </c>
      <c r="I32" s="400">
        <v>15</v>
      </c>
      <c r="J32" s="47">
        <v>177.95</v>
      </c>
      <c r="K32" s="47">
        <f t="shared" si="1"/>
        <v>2669.25</v>
      </c>
      <c r="L32" s="47">
        <f t="shared" ca="1" si="2"/>
        <v>0</v>
      </c>
      <c r="M32" s="401">
        <f t="shared" si="3"/>
        <v>0</v>
      </c>
      <c r="N32" s="343" cm="1">
        <f t="array" aca="1" ref="N32" ca="1">_FV(B32,"Price")</f>
        <v>113.39</v>
      </c>
      <c r="O32" s="402" t="str">
        <f t="shared" si="4"/>
        <v>Sell</v>
      </c>
      <c r="P32" s="343">
        <f t="shared" ca="1" si="5"/>
        <v>0</v>
      </c>
      <c r="Q32" s="47">
        <f t="shared" si="6"/>
        <v>531.74999999999977</v>
      </c>
    </row>
    <row r="33" spans="1:17" x14ac:dyDescent="0.3">
      <c r="A33" s="377">
        <v>31</v>
      </c>
      <c r="B33" s="46" t="e" vm="48">
        <v>#VALUE!</v>
      </c>
      <c r="C33" s="308" t="str" cm="1">
        <f t="array" aca="1" ref="C33" ca="1">_FV(B33,"Ticker symbol",TRUE)</f>
        <v>SJVN</v>
      </c>
      <c r="D33" s="46" t="str" cm="1">
        <f t="array" aca="1" ref="D33" ca="1">_FV(B33,"Industry")</f>
        <v>Electrical Utilities &amp; IPPs</v>
      </c>
      <c r="E33" s="313" cm="1">
        <f t="array" aca="1" ref="E33" ca="1">_FV(B33,"Change (%)",TRUE)</f>
        <v>-1.2567999999999999E-2</v>
      </c>
      <c r="F33" s="46">
        <v>20</v>
      </c>
      <c r="G33" s="47">
        <v>134.85</v>
      </c>
      <c r="H33" s="47">
        <f t="shared" si="0"/>
        <v>2697</v>
      </c>
      <c r="I33" s="400">
        <v>20</v>
      </c>
      <c r="J33" s="47">
        <v>135.25</v>
      </c>
      <c r="K33" s="47">
        <f t="shared" si="1"/>
        <v>2705</v>
      </c>
      <c r="L33" s="47">
        <f t="shared" ca="1" si="2"/>
        <v>0</v>
      </c>
      <c r="M33" s="401">
        <f t="shared" si="3"/>
        <v>0</v>
      </c>
      <c r="N33" s="343" cm="1">
        <f t="array" aca="1" ref="N33" ca="1">_FV(B33,"Price")</f>
        <v>84.85</v>
      </c>
      <c r="O33" s="402" t="str">
        <f t="shared" si="4"/>
        <v>Sell</v>
      </c>
      <c r="P33" s="343">
        <f t="shared" ca="1" si="5"/>
        <v>0</v>
      </c>
      <c r="Q33" s="47">
        <f t="shared" si="6"/>
        <v>8.0000000000001137</v>
      </c>
    </row>
    <row r="34" spans="1:17" x14ac:dyDescent="0.3">
      <c r="A34" s="377">
        <v>32</v>
      </c>
      <c r="B34" s="46" t="e" vm="49">
        <v>#VALUE!</v>
      </c>
      <c r="C34" s="308" t="str" cm="1">
        <f t="array" aca="1" ref="C34" ca="1">_FV(B34,"Ticker symbol",TRUE)</f>
        <v>RVNL</v>
      </c>
      <c r="D34" s="46" t="str" cm="1">
        <f t="array" aca="1" ref="D34" ca="1">_FV(B34,"Industry")</f>
        <v>Construction &amp; Engineering</v>
      </c>
      <c r="E34" s="313" cm="1">
        <f t="array" aca="1" ref="E34" ca="1">_FV(B34,"Change (%)",TRUE)</f>
        <v>6.2929999999999995E-4</v>
      </c>
      <c r="F34" s="46">
        <v>8</v>
      </c>
      <c r="G34" s="47">
        <v>292.10000000000002</v>
      </c>
      <c r="H34" s="47">
        <f t="shared" si="0"/>
        <v>2336.8000000000002</v>
      </c>
      <c r="I34" s="400">
        <v>8</v>
      </c>
      <c r="J34" s="47">
        <v>599.15</v>
      </c>
      <c r="K34" s="47">
        <f t="shared" si="1"/>
        <v>4793.2</v>
      </c>
      <c r="L34" s="47">
        <f t="shared" ca="1" si="2"/>
        <v>0</v>
      </c>
      <c r="M34" s="401">
        <f t="shared" si="3"/>
        <v>0</v>
      </c>
      <c r="N34" s="343" cm="1">
        <f t="array" aca="1" ref="N34" ca="1">_FV(B34,"Price")</f>
        <v>318</v>
      </c>
      <c r="O34" s="402" t="str">
        <f t="shared" si="4"/>
        <v>Sell</v>
      </c>
      <c r="P34" s="343">
        <f t="shared" ca="1" si="5"/>
        <v>0</v>
      </c>
      <c r="Q34" s="47">
        <f t="shared" si="6"/>
        <v>2456.3999999999996</v>
      </c>
    </row>
    <row r="36" spans="1:17" x14ac:dyDescent="0.3">
      <c r="H36" s="303">
        <f>SUM(H3:H34)</f>
        <v>84830.455166666667</v>
      </c>
      <c r="J36" s="303"/>
      <c r="K36" s="303">
        <f>SUM(K3:K34)</f>
        <v>79956.831666666665</v>
      </c>
      <c r="L36" s="303">
        <f ca="1">SUM(L3:L34)</f>
        <v>6705.6699999999992</v>
      </c>
      <c r="M36" s="303"/>
      <c r="P36" s="317">
        <f ca="1">SUM(P3:P34)</f>
        <v>228.75700000000009</v>
      </c>
      <c r="Q36" s="303">
        <f>SUM(Q3:Q34)</f>
        <v>1603.2894999999994</v>
      </c>
    </row>
    <row r="37" spans="1:17" x14ac:dyDescent="0.3">
      <c r="L37" s="303"/>
      <c r="P37" s="303">
        <f ca="1">L36+P36</f>
        <v>6934.4269999999997</v>
      </c>
    </row>
  </sheetData>
  <mergeCells count="1">
    <mergeCell ref="B1:P1"/>
  </mergeCells>
  <conditionalFormatting sqref="E3:E34">
    <cfRule type="cellIs" dxfId="15" priority="9" operator="lessThan">
      <formula>0</formula>
    </cfRule>
    <cfRule type="cellIs" dxfId="14" priority="10" operator="greaterThan">
      <formula>0</formula>
    </cfRule>
  </conditionalFormatting>
  <conditionalFormatting sqref="O3:O34">
    <cfRule type="cellIs" dxfId="13" priority="7" operator="equal">
      <formula>"Sell"</formula>
    </cfRule>
    <cfRule type="cellIs" dxfId="12" priority="8" operator="equal">
      <formula>"Buy"</formula>
    </cfRule>
  </conditionalFormatting>
  <conditionalFormatting sqref="P3:P34">
    <cfRule type="cellIs" dxfId="11" priority="1" operator="equal">
      <formula>0</formula>
    </cfRule>
  </conditionalFormatting>
  <conditionalFormatting sqref="P3:Q34">
    <cfRule type="cellIs" dxfId="10" priority="2" operator="greaterThan">
      <formula>0</formula>
    </cfRule>
    <cfRule type="cellIs" dxfId="9" priority="3" operator="lessThan">
      <formula>0</formula>
    </cfRule>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4FBBE-9F02-4898-9137-2DC286527180}">
  <sheetPr>
    <tabColor rgb="FF660066"/>
  </sheetPr>
  <dimension ref="A1:AO19"/>
  <sheetViews>
    <sheetView showGridLines="0" zoomScale="90" zoomScaleNormal="90" workbookViewId="0">
      <selection activeCell="A7" sqref="A7"/>
    </sheetView>
  </sheetViews>
  <sheetFormatPr defaultRowHeight="14.4" x14ac:dyDescent="0.3"/>
  <cols>
    <col min="1" max="1" width="29.44140625" style="393" customWidth="1"/>
    <col min="2" max="4" width="8.88671875" style="393"/>
    <col min="5" max="5" width="23.21875" style="393" bestFit="1" customWidth="1"/>
    <col min="6" max="6" width="2.44140625" style="393" customWidth="1"/>
    <col min="7" max="7" width="20.109375" style="393" bestFit="1" customWidth="1"/>
    <col min="8" max="8" width="1.21875" style="393" customWidth="1"/>
    <col min="9" max="9" width="27.77734375" style="393" bestFit="1" customWidth="1"/>
    <col min="10" max="10" width="3.109375" style="393" customWidth="1"/>
    <col min="11" max="11" width="11.6640625" style="393" bestFit="1" customWidth="1"/>
    <col min="12" max="12" width="10.33203125" style="393" bestFit="1" customWidth="1"/>
    <col min="13" max="14" width="8.88671875" style="393"/>
    <col min="15" max="15" width="25.33203125" style="393" bestFit="1" customWidth="1"/>
    <col min="16" max="16" width="2.88671875" style="393" customWidth="1"/>
    <col min="17" max="17" width="18.21875" style="393" bestFit="1" customWidth="1"/>
    <col min="18" max="18" width="2.88671875" style="393" customWidth="1"/>
    <col min="19" max="19" width="18.21875" style="393" bestFit="1" customWidth="1"/>
    <col min="20" max="16384" width="8.88671875" style="393"/>
  </cols>
  <sheetData>
    <row r="1" spans="1:41" s="43" customFormat="1" x14ac:dyDescent="0.3">
      <c r="A1" s="393"/>
      <c r="B1" s="393"/>
      <c r="C1" s="393"/>
      <c r="D1" s="393"/>
      <c r="E1" s="393"/>
      <c r="F1" s="393"/>
      <c r="G1" s="393"/>
      <c r="H1" s="393"/>
      <c r="I1" s="393"/>
      <c r="J1" s="393"/>
      <c r="K1" s="393"/>
      <c r="L1" s="393"/>
      <c r="M1" s="393"/>
      <c r="N1" s="393"/>
      <c r="O1" s="393"/>
      <c r="P1" s="393"/>
      <c r="Q1" s="393"/>
      <c r="R1" s="393"/>
      <c r="S1" s="393"/>
      <c r="T1" s="393"/>
      <c r="U1" s="393"/>
      <c r="V1" s="393"/>
      <c r="W1" s="393"/>
      <c r="X1" s="393"/>
      <c r="Y1" s="393"/>
      <c r="Z1" s="393"/>
      <c r="AA1" s="393"/>
      <c r="AB1" s="393"/>
      <c r="AC1" s="393"/>
      <c r="AD1" s="393"/>
      <c r="AE1" s="393"/>
      <c r="AF1" s="393"/>
      <c r="AG1" s="393"/>
      <c r="AH1" s="393"/>
      <c r="AI1" s="393"/>
      <c r="AJ1" s="393"/>
      <c r="AK1" s="393"/>
      <c r="AL1" s="393"/>
      <c r="AM1" s="393"/>
      <c r="AN1" s="393"/>
      <c r="AO1" s="393"/>
    </row>
    <row r="2" spans="1:41" s="391" customFormat="1" ht="42" customHeight="1" x14ac:dyDescent="0.3">
      <c r="O2" s="375" cm="1">
        <f t="array" aca="1" ref="O2" ca="1">_FV(O5,"Price")</f>
        <v>83216.28</v>
      </c>
      <c r="Q2" s="375" cm="1">
        <f t="array" aca="1" ref="Q2" ca="1">_FV(Q5,"Price")</f>
        <v>57876.800000000003</v>
      </c>
      <c r="S2" s="375" cm="1">
        <f t="array" aca="1" ref="S2" ca="1">_FV(S5,"Price")</f>
        <v>25492.3</v>
      </c>
    </row>
    <row r="3" spans="1:41" s="391" customFormat="1" ht="18" x14ac:dyDescent="0.3">
      <c r="E3" s="386" t="s">
        <v>459</v>
      </c>
      <c r="G3" s="374" t="s">
        <v>468</v>
      </c>
      <c r="H3" s="374"/>
      <c r="I3" s="374" t="s">
        <v>471</v>
      </c>
      <c r="K3" s="374" t="s">
        <v>474</v>
      </c>
      <c r="L3" s="376"/>
      <c r="N3" s="376"/>
      <c r="O3" s="376" cm="1">
        <f t="array" aca="1" ref="O3" ca="1">_FV(O5,"Change (%)",TRUE)</f>
        <v>-1.137E-3</v>
      </c>
      <c r="P3" s="388"/>
      <c r="Q3" s="376" cm="1">
        <f t="array" aca="1" ref="Q3" ca="1">_FV(Q5,"Change (%)",TRUE)</f>
        <v>5.6040000000000005E-3</v>
      </c>
      <c r="R3" s="376"/>
      <c r="S3" s="376" cm="1">
        <f t="array" aca="1" ref="S3" ca="1">_FV(S5,"Change (%)",TRUE)</f>
        <v>-6.8210000000000005E-4</v>
      </c>
    </row>
    <row r="4" spans="1:41" s="391" customFormat="1" ht="18" x14ac:dyDescent="0.3">
      <c r="E4" s="392" t="str">
        <f>HYPERLINK("#'" &amp; E3 &amp; "'!A1", "📂" &amp; E3)</f>
        <v>📂Balance Sheet-Banks</v>
      </c>
      <c r="F4" s="387"/>
      <c r="G4" s="392" t="str">
        <f>HYPERLINK("#'" &amp; G3 &amp; "'!A1", "📂" &amp;G3)</f>
        <v>📂Financial Projections</v>
      </c>
      <c r="H4" s="392"/>
      <c r="I4" s="385" t="str">
        <f>HYPERLINK("#'" &amp; I3 &amp; "'!A1", "📂" &amp; I3)</f>
        <v>📂DCF-DDM-RIM</v>
      </c>
      <c r="K4" s="385" t="str">
        <f>HYPERLINK("#'" &amp; K3 &amp; "'!A1", "📂" &amp; K3)</f>
        <v>📂Holdings</v>
      </c>
      <c r="O4" s="388" cm="1">
        <f t="array" aca="1" ref="O4" ca="1">_FV(O5,"Change")</f>
        <v>-94.73</v>
      </c>
      <c r="P4" s="388"/>
      <c r="Q4" s="388" cm="1">
        <f t="array" aca="1" ref="Q4" ca="1">_FV(Q5,"Change")</f>
        <v>322.55</v>
      </c>
      <c r="R4" s="388"/>
      <c r="S4" s="388" cm="1">
        <f t="array" aca="1" ref="S4" ca="1">_FV(S5,"Change")</f>
        <v>-17.399999999999999</v>
      </c>
      <c r="T4" s="384"/>
    </row>
    <row r="5" spans="1:41" s="391" customFormat="1" ht="14.4" customHeight="1" x14ac:dyDescent="0.3">
      <c r="O5" s="389" t="e" vm="50">
        <v>#VALUE!</v>
      </c>
      <c r="P5" s="394"/>
      <c r="Q5" s="389" t="e" vm="51">
        <v>#VALUE!</v>
      </c>
      <c r="R5" s="394"/>
      <c r="S5" s="390" t="e" vm="52">
        <v>#VALUE!</v>
      </c>
    </row>
    <row r="6" spans="1:41" ht="14.4" customHeight="1" x14ac:dyDescent="0.3"/>
    <row r="7" spans="1:41" ht="33" customHeight="1" x14ac:dyDescent="0.3">
      <c r="A7" s="382" t="s">
        <v>453</v>
      </c>
    </row>
    <row r="8" spans="1:41" ht="21" x14ac:dyDescent="0.3">
      <c r="A8" s="395"/>
      <c r="G8" s="649" t="str">
        <f>A7 &amp;  "-"  &amp; A9</f>
        <v>Bajaj Housing Finance Limited-Total Income</v>
      </c>
      <c r="H8" s="649"/>
      <c r="I8" s="649"/>
    </row>
    <row r="9" spans="1:41" ht="30.6" customHeight="1" x14ac:dyDescent="0.3">
      <c r="A9" s="381" t="s">
        <v>121</v>
      </c>
    </row>
    <row r="10" spans="1:41" x14ac:dyDescent="0.3">
      <c r="A10" s="380"/>
    </row>
    <row r="12" spans="1:41" ht="21" x14ac:dyDescent="0.3">
      <c r="I12" s="395" t="str">
        <f>A7 &amp; "-" &amp; A9</f>
        <v>Bajaj Housing Finance Limited-Total Income</v>
      </c>
    </row>
    <row r="14" spans="1:41" x14ac:dyDescent="0.3">
      <c r="N14" s="396"/>
      <c r="O14" s="396"/>
    </row>
    <row r="15" spans="1:41" x14ac:dyDescent="0.3">
      <c r="N15" s="396"/>
      <c r="O15" s="396"/>
    </row>
    <row r="16" spans="1:41" x14ac:dyDescent="0.3">
      <c r="N16" s="396"/>
      <c r="O16" s="396"/>
    </row>
    <row r="17" spans="14:15" x14ac:dyDescent="0.3">
      <c r="N17" s="396"/>
      <c r="O17" s="396"/>
    </row>
    <row r="18" spans="14:15" x14ac:dyDescent="0.3">
      <c r="N18" s="396"/>
      <c r="O18" s="396"/>
    </row>
    <row r="19" spans="14:15" x14ac:dyDescent="0.3">
      <c r="N19" s="396"/>
      <c r="O19" s="396"/>
    </row>
  </sheetData>
  <mergeCells count="1">
    <mergeCell ref="G8:I8"/>
  </mergeCells>
  <conditionalFormatting sqref="L3">
    <cfRule type="cellIs" dxfId="8" priority="10" operator="lessThan">
      <formula>0</formula>
    </cfRule>
    <cfRule type="cellIs" dxfId="7" priority="11" operator="greaterThan">
      <formula>0</formula>
    </cfRule>
  </conditionalFormatting>
  <conditionalFormatting sqref="N3">
    <cfRule type="cellIs" dxfId="6" priority="8" operator="lessThan">
      <formula>0</formula>
    </cfRule>
    <cfRule type="cellIs" dxfId="5" priority="9" operator="greaterThan">
      <formula>0</formula>
    </cfRule>
  </conditionalFormatting>
  <conditionalFormatting sqref="O3:S4">
    <cfRule type="cellIs" dxfId="4" priority="1" operator="lessThan">
      <formula>0</formula>
    </cfRule>
    <cfRule type="cellIs" dxfId="3" priority="2" operator="greaterThan">
      <formula>0</formula>
    </cfRule>
  </conditionalFormatting>
  <conditionalFormatting sqref="P3">
    <cfRule type="cellIs" dxfId="2" priority="6" operator="lessThan">
      <formula>0</formula>
    </cfRule>
    <cfRule type="cellIs" dxfId="1" priority="7" operator="greaterThan">
      <formula>0</formula>
    </cfRule>
  </conditionalFormatting>
  <conditionalFormatting sqref="R3">
    <cfRule type="cellIs" dxfId="0" priority="3" operator="greaterThan">
      <formula>0</formula>
    </cfRule>
  </conditionalFormatting>
  <dataValidations count="1">
    <dataValidation type="list" allowBlank="1" showInputMessage="1" showErrorMessage="1" sqref="K3" xr:uid="{D4F20C0E-638E-4DAC-8BC6-277356661BFD}">
      <formula1>"Holdings, Transactions"</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5">
        <x14:dataValidation type="list" allowBlank="1" showInputMessage="1" showErrorMessage="1" xr:uid="{C0FEA91A-7BB2-4B90-849D-642FC6F0B1BA}">
          <x14:formula1>
            <xm:f>Data!$A$2:$A$8</xm:f>
          </x14:formula1>
          <xm:sqref>A7</xm:sqref>
        </x14:dataValidation>
        <x14:dataValidation type="list" allowBlank="1" showInputMessage="1" showErrorMessage="1" promptTitle="Select Metric" xr:uid="{29F8877A-D1FF-4265-92C7-324B42A92126}">
          <x14:formula1>
            <xm:f>Data!$A$11:$A$15</xm:f>
          </x14:formula1>
          <xm:sqref>A9:A10</xm:sqref>
        </x14:dataValidation>
        <x14:dataValidation type="list" allowBlank="1" showInputMessage="1" showErrorMessage="1" xr:uid="{BB6CBF79-0D20-449E-A78D-BB630A065143}">
          <x14:formula1>
            <xm:f>Data!$C$2:$C$9</xm:f>
          </x14:formula1>
          <xm:sqref>E3</xm:sqref>
        </x14:dataValidation>
        <x14:dataValidation type="list" allowBlank="1" showInputMessage="1" showErrorMessage="1" xr:uid="{65E338E5-0F58-4AFB-98B8-81CC51CA2968}">
          <x14:formula1>
            <xm:f>Data!$C$12:$C$13</xm:f>
          </x14:formula1>
          <xm:sqref>G3:H3</xm:sqref>
        </x14:dataValidation>
        <x14:dataValidation type="list" allowBlank="1" showInputMessage="1" showErrorMessage="1" xr:uid="{E179AC94-0DA9-47CE-8C45-35EE936852C8}">
          <x14:formula1>
            <xm:f>Data!$C$16:$C$19</xm:f>
          </x14:formula1>
          <xm:sqref>I3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Company Profile</vt:lpstr>
      <vt:lpstr>Balance Sheet-Banks</vt:lpstr>
      <vt:lpstr>Balance Sheet-NBFCs</vt:lpstr>
      <vt:lpstr>Income Statement-Banks</vt:lpstr>
      <vt:lpstr>Income Statement-NBFCs</vt:lpstr>
      <vt:lpstr>Cash Flow Statement-Banks</vt:lpstr>
      <vt:lpstr>Cash Flow Statement-NBFCs</vt:lpstr>
      <vt:lpstr>Financial Ratios-Banks</vt:lpstr>
      <vt:lpstr>Financial Ratios-NBFCs</vt:lpstr>
      <vt:lpstr>Dupont Analysis</vt:lpstr>
      <vt:lpstr>Input &amp; Assumptions-Banks</vt:lpstr>
      <vt:lpstr>Financial Projections</vt:lpstr>
      <vt:lpstr>Calc</vt:lpstr>
      <vt:lpstr>WACC</vt:lpstr>
      <vt:lpstr>DCF-DDM-RIM</vt:lpstr>
      <vt:lpstr>Intrinsic Value</vt:lpstr>
      <vt:lpstr>Senstivity Analysis-Intrinsic </vt:lpstr>
      <vt:lpstr>Senstivity Analysis</vt:lpstr>
      <vt:lpstr>Data</vt:lpstr>
      <vt:lpstr>Axis</vt:lpstr>
      <vt:lpstr>HDFC</vt:lpstr>
      <vt:lpstr>ICICI</vt:lpstr>
      <vt:lpstr>BankData</vt:lpstr>
      <vt:lpstr>ChartData</vt:lpstr>
      <vt:lpstr>Holdings</vt:lpstr>
      <vt:lpstr>Transactions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Gupta</dc:creator>
  <cp:lastModifiedBy>Akshat Gupta</cp:lastModifiedBy>
  <dcterms:created xsi:type="dcterms:W3CDTF">2015-06-05T18:17:20Z</dcterms:created>
  <dcterms:modified xsi:type="dcterms:W3CDTF">2025-11-09T22:09:44Z</dcterms:modified>
</cp:coreProperties>
</file>
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0A59FACD-0D2A-4D0B-B8BE-CCFC613205C6}" xr6:coauthVersionLast="47" xr6:coauthVersionMax="47" xr10:uidLastSave="{00000000-0000-0000-0000-000000000000}"/>
  <bookViews>
    <workbookView xWindow="13728" yWindow="0" windowWidth="9408" windowHeight="12336" firstSheet="4" activeTab="4" xr2:uid="{00000000-000D-0000-FFFF-FFFF00000000}"/>
  </bookViews>
  <sheets>
    <sheet name="Company Profile" sheetId="1" r:id="rId1"/>
    <sheet name="Balance Sheet" sheetId="2" r:id="rId2"/>
    <sheet name="Income Statement" sheetId="3" r:id="rId3"/>
    <sheet name="Cash Flow Statement" sheetId="4" r:id="rId4"/>
    <sheet name="Financial Ratio" sheetId="5" r:id="rId5"/>
    <sheet name="Key Assumptions" sheetId="6" r:id="rId6"/>
    <sheet name="FCFF Projections (5y )" sheetId="7" r:id="rId7"/>
    <sheet name="Weighted Avg Cost of Capital" sheetId="8" r:id="rId8"/>
    <sheet name="Intrinsic Value calculation" sheetId="9" r:id="rId9"/>
    <sheet name="Calc"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9" i="5" l="1"/>
  <c r="AF29" i="5"/>
  <c r="AG29" i="5"/>
  <c r="AH29" i="5"/>
  <c r="AD29" i="5"/>
  <c r="X29" i="5"/>
  <c r="Y29" i="5"/>
  <c r="Z29" i="5"/>
  <c r="AA29" i="5"/>
  <c r="W29" i="5"/>
  <c r="Q29" i="5"/>
  <c r="R29" i="5"/>
  <c r="S29" i="5"/>
  <c r="T29" i="5"/>
  <c r="P29" i="5"/>
  <c r="J29" i="5"/>
  <c r="K29" i="5"/>
  <c r="L29" i="5"/>
  <c r="M29" i="5"/>
  <c r="I29" i="5"/>
  <c r="C29" i="5"/>
  <c r="D29" i="5"/>
  <c r="E29" i="5"/>
  <c r="F29" i="5"/>
  <c r="B29" i="5"/>
  <c r="F4" i="8"/>
  <c r="E4" i="8"/>
  <c r="D4" i="8"/>
  <c r="C4" i="8"/>
  <c r="B4" i="8"/>
  <c r="P3" i="10"/>
  <c r="P4" i="10"/>
  <c r="P5" i="10"/>
  <c r="P6" i="10"/>
  <c r="P2" i="10"/>
  <c r="O5" i="6"/>
  <c r="D22" i="10"/>
  <c r="D23" i="10"/>
  <c r="D24" i="10"/>
  <c r="D20" i="10"/>
  <c r="A21" i="10"/>
  <c r="A22" i="10"/>
  <c r="A23" i="10"/>
  <c r="A24" i="10"/>
  <c r="A25" i="10"/>
  <c r="C21" i="10"/>
  <c r="C22" i="10"/>
  <c r="C23" i="10"/>
  <c r="C24" i="10"/>
  <c r="C25" i="10"/>
  <c r="C20" i="10"/>
  <c r="A20" i="10"/>
  <c r="O4" i="10"/>
  <c r="O5" i="10"/>
  <c r="O6" i="10"/>
  <c r="O2" i="10"/>
  <c r="N4" i="10"/>
  <c r="N5" i="10"/>
  <c r="N6" i="10"/>
  <c r="N2" i="10"/>
  <c r="M6" i="10"/>
  <c r="M5" i="10"/>
  <c r="M4" i="10"/>
  <c r="M2" i="10"/>
  <c r="L4" i="10"/>
  <c r="L5" i="10"/>
  <c r="L6" i="10"/>
  <c r="L2" i="10"/>
  <c r="K6" i="10"/>
  <c r="K5" i="10"/>
  <c r="K4" i="10"/>
  <c r="K2" i="10"/>
  <c r="J7" i="10"/>
  <c r="J3" i="10"/>
  <c r="J4" i="10"/>
  <c r="J5" i="10"/>
  <c r="J6" i="10"/>
  <c r="J2" i="10"/>
  <c r="I6" i="10"/>
  <c r="I5" i="10"/>
  <c r="I4" i="10"/>
  <c r="I3" i="10"/>
  <c r="I2" i="10"/>
  <c r="H6" i="10"/>
  <c r="H5" i="10"/>
  <c r="H4" i="10"/>
  <c r="H3" i="10"/>
  <c r="H2" i="10"/>
  <c r="D18" i="10"/>
  <c r="D17" i="10"/>
  <c r="D16" i="10"/>
  <c r="D14" i="10"/>
  <c r="D12" i="10"/>
  <c r="D11" i="10"/>
  <c r="D10" i="10"/>
  <c r="D8" i="10"/>
  <c r="D7" i="10"/>
  <c r="D6" i="10"/>
  <c r="D5" i="10"/>
  <c r="D4" i="10"/>
  <c r="D3" i="10"/>
  <c r="D2" i="10"/>
  <c r="G3" i="10"/>
  <c r="G4" i="10"/>
  <c r="G5" i="10"/>
  <c r="G6" i="10"/>
  <c r="G7" i="10"/>
  <c r="G2" i="10"/>
  <c r="C9" i="10"/>
  <c r="C10" i="10"/>
  <c r="C11" i="10"/>
  <c r="C12" i="10"/>
  <c r="C18" i="10" s="1"/>
  <c r="C13" i="10"/>
  <c r="C15" i="10"/>
  <c r="C16" i="10"/>
  <c r="C17" i="10"/>
  <c r="C19" i="10"/>
  <c r="C14" i="10"/>
  <c r="C8" i="10"/>
  <c r="A15" i="10"/>
  <c r="A16" i="10"/>
  <c r="A17" i="10"/>
  <c r="A18" i="10"/>
  <c r="A19" i="10"/>
  <c r="A14" i="10"/>
  <c r="C30" i="7"/>
  <c r="C29" i="7"/>
  <c r="C28" i="7"/>
  <c r="C26" i="7"/>
  <c r="C24" i="7"/>
  <c r="C23" i="7"/>
  <c r="C22" i="7"/>
  <c r="C21" i="7"/>
  <c r="C25" i="7" s="1"/>
  <c r="G19" i="7" s="1"/>
  <c r="G18" i="7"/>
  <c r="G16" i="7"/>
  <c r="C20" i="7"/>
  <c r="C18" i="7"/>
  <c r="C17" i="7"/>
  <c r="C16" i="7"/>
  <c r="C14" i="7"/>
  <c r="B27" i="7"/>
  <c r="B28" i="7"/>
  <c r="B29" i="7"/>
  <c r="B30" i="7"/>
  <c r="B31" i="7"/>
  <c r="B26" i="7"/>
  <c r="B21" i="7"/>
  <c r="B22" i="7"/>
  <c r="B23" i="7"/>
  <c r="B24" i="7"/>
  <c r="B25" i="7"/>
  <c r="B20" i="7"/>
  <c r="AE28" i="5"/>
  <c r="AF28" i="5"/>
  <c r="AG28" i="5"/>
  <c r="AH28" i="5"/>
  <c r="AD28" i="5"/>
  <c r="X28" i="5"/>
  <c r="Y28" i="5"/>
  <c r="Z28" i="5"/>
  <c r="AA28" i="5"/>
  <c r="W28" i="5"/>
  <c r="Q28" i="5"/>
  <c r="R28" i="5"/>
  <c r="S28" i="5"/>
  <c r="T28" i="5"/>
  <c r="P28" i="5"/>
  <c r="J28" i="5"/>
  <c r="K28" i="5"/>
  <c r="L28" i="5"/>
  <c r="M28" i="5"/>
  <c r="I28" i="5"/>
  <c r="C28" i="5"/>
  <c r="D28" i="5"/>
  <c r="E28" i="5"/>
  <c r="F28" i="5"/>
  <c r="B28" i="5"/>
  <c r="AW3" i="7"/>
  <c r="AW7" i="7" s="1"/>
  <c r="AW4" i="7"/>
  <c r="AW5" i="7" s="1"/>
  <c r="AW8" i="7"/>
  <c r="AW9" i="7"/>
  <c r="AV4" i="7"/>
  <c r="AV3" i="7"/>
  <c r="AM10" i="7"/>
  <c r="AM9" i="7"/>
  <c r="AM8" i="7"/>
  <c r="AM7" i="7"/>
  <c r="AM6" i="7"/>
  <c r="AM5" i="7"/>
  <c r="AM4" i="7"/>
  <c r="AL4" i="7"/>
  <c r="AM3" i="7"/>
  <c r="AL3" i="7"/>
  <c r="AC10" i="7"/>
  <c r="AC9" i="7"/>
  <c r="AC8" i="7"/>
  <c r="AC7" i="7"/>
  <c r="AC6" i="7"/>
  <c r="AC5" i="7"/>
  <c r="AC4" i="7"/>
  <c r="AB4" i="7"/>
  <c r="AC3" i="7"/>
  <c r="AB3" i="7"/>
  <c r="I10" i="7"/>
  <c r="I9" i="7"/>
  <c r="I8" i="7"/>
  <c r="I7" i="7"/>
  <c r="I6" i="7"/>
  <c r="I5" i="7"/>
  <c r="I4" i="7"/>
  <c r="H4" i="7"/>
  <c r="I3" i="7"/>
  <c r="H3" i="7"/>
  <c r="B10" i="9"/>
  <c r="F8" i="9"/>
  <c r="E8" i="9"/>
  <c r="D8" i="9"/>
  <c r="C8" i="9"/>
  <c r="B8" i="9"/>
  <c r="F7" i="9"/>
  <c r="E7" i="9"/>
  <c r="D7" i="9"/>
  <c r="C7" i="9"/>
  <c r="B7" i="9"/>
  <c r="AQ9" i="7"/>
  <c r="AQ8" i="7"/>
  <c r="AQ7" i="7"/>
  <c r="AQ5" i="7"/>
  <c r="AQ4" i="7"/>
  <c r="AQ3" i="7"/>
  <c r="AP9" i="7"/>
  <c r="AP8" i="7"/>
  <c r="AP7" i="7"/>
  <c r="AP5" i="7"/>
  <c r="AP4" i="7"/>
  <c r="AR4" i="7" s="1"/>
  <c r="AP3" i="7"/>
  <c r="AR3" i="7" s="1"/>
  <c r="AS3" i="7" s="1"/>
  <c r="AG9" i="7"/>
  <c r="AG8" i="7"/>
  <c r="AG7" i="7"/>
  <c r="AG5" i="7"/>
  <c r="AG4" i="7"/>
  <c r="AG3" i="7"/>
  <c r="AF9" i="7"/>
  <c r="AF8" i="7"/>
  <c r="AF7" i="7"/>
  <c r="AF5" i="7"/>
  <c r="AF4" i="7"/>
  <c r="AF3" i="7"/>
  <c r="W9" i="7"/>
  <c r="W8" i="7"/>
  <c r="W7" i="7"/>
  <c r="W5" i="7"/>
  <c r="W4" i="7"/>
  <c r="W3" i="7"/>
  <c r="V9" i="7"/>
  <c r="V8" i="7"/>
  <c r="V7" i="7"/>
  <c r="V6" i="7"/>
  <c r="V5" i="7"/>
  <c r="V4" i="7"/>
  <c r="X4" i="7" s="1"/>
  <c r="V3" i="7"/>
  <c r="X3" i="7" s="1"/>
  <c r="M5" i="7"/>
  <c r="J18" i="6"/>
  <c r="M9" i="7"/>
  <c r="M8" i="7"/>
  <c r="M7" i="7"/>
  <c r="M4" i="7"/>
  <c r="L9" i="7"/>
  <c r="L8" i="7"/>
  <c r="L7" i="7"/>
  <c r="L4" i="7"/>
  <c r="L5" i="7"/>
  <c r="L3" i="7"/>
  <c r="C9" i="7"/>
  <c r="C8" i="7"/>
  <c r="C7" i="7"/>
  <c r="C5" i="7"/>
  <c r="C4" i="7"/>
  <c r="C3" i="7"/>
  <c r="B9" i="7"/>
  <c r="B8" i="7"/>
  <c r="B7" i="7"/>
  <c r="B5" i="7"/>
  <c r="B4" i="7"/>
  <c r="B3" i="7"/>
  <c r="D3" i="7" s="1"/>
  <c r="AH26" i="6"/>
  <c r="AH23" i="6"/>
  <c r="F10" i="9" s="1"/>
  <c r="AH20" i="6"/>
  <c r="AH18" i="6"/>
  <c r="AH17" i="6"/>
  <c r="AH16" i="6"/>
  <c r="AH15" i="6"/>
  <c r="AH14" i="6"/>
  <c r="AH13" i="6"/>
  <c r="AL10" i="6"/>
  <c r="AK10" i="6"/>
  <c r="AJ10" i="6"/>
  <c r="AI10" i="6"/>
  <c r="AI9" i="6"/>
  <c r="AJ9" i="6"/>
  <c r="AK9" i="6"/>
  <c r="AL9" i="6"/>
  <c r="AH9" i="6"/>
  <c r="AI8" i="6"/>
  <c r="AJ8" i="6"/>
  <c r="AK8" i="6"/>
  <c r="AL8" i="6"/>
  <c r="AH8" i="6"/>
  <c r="AI7" i="6"/>
  <c r="AJ7" i="6"/>
  <c r="AK7" i="6"/>
  <c r="AL7" i="6"/>
  <c r="AH7" i="6"/>
  <c r="AI6" i="6"/>
  <c r="AJ6" i="6"/>
  <c r="AK6" i="6"/>
  <c r="AM6" i="6" s="1"/>
  <c r="AL6" i="6"/>
  <c r="AH6" i="6"/>
  <c r="AL5" i="6"/>
  <c r="AK5" i="6"/>
  <c r="AJ5" i="6"/>
  <c r="AI5" i="6"/>
  <c r="AM7" i="6"/>
  <c r="AM8" i="6"/>
  <c r="AM10" i="6"/>
  <c r="AM5" i="6"/>
  <c r="Z26" i="6"/>
  <c r="R26" i="6"/>
  <c r="J26" i="6"/>
  <c r="B26" i="6"/>
  <c r="Z23" i="6"/>
  <c r="E10" i="9" s="1"/>
  <c r="Z20" i="6"/>
  <c r="Z18" i="6"/>
  <c r="Z17" i="6"/>
  <c r="Z16" i="6"/>
  <c r="Z15" i="6"/>
  <c r="Z14" i="6"/>
  <c r="Z13" i="6"/>
  <c r="AD10" i="6"/>
  <c r="AC10" i="6"/>
  <c r="AB10" i="6"/>
  <c r="AA10" i="6"/>
  <c r="AA9" i="6"/>
  <c r="AB9" i="6"/>
  <c r="AC9" i="6"/>
  <c r="AD9" i="6"/>
  <c r="Z9" i="6"/>
  <c r="AA8" i="6"/>
  <c r="AB8" i="6"/>
  <c r="AE8" i="6" s="1"/>
  <c r="AC8" i="6"/>
  <c r="AD8" i="6"/>
  <c r="Z8" i="6"/>
  <c r="AA7" i="6"/>
  <c r="AB7" i="6"/>
  <c r="AC7" i="6"/>
  <c r="AD7" i="6"/>
  <c r="Z7" i="6"/>
  <c r="AE7" i="6" s="1"/>
  <c r="AA6" i="6"/>
  <c r="AB6" i="6"/>
  <c r="AC6" i="6"/>
  <c r="AD6" i="6"/>
  <c r="AE6" i="6" s="1"/>
  <c r="Z6" i="6"/>
  <c r="AD5" i="6"/>
  <c r="AC5" i="6"/>
  <c r="AB5" i="6"/>
  <c r="AA5" i="6"/>
  <c r="AE5" i="6"/>
  <c r="R23" i="6"/>
  <c r="D10" i="9" s="1"/>
  <c r="R20" i="6"/>
  <c r="R18" i="6"/>
  <c r="R17" i="6"/>
  <c r="R16" i="6"/>
  <c r="R15" i="6"/>
  <c r="R14" i="6"/>
  <c r="R13" i="6"/>
  <c r="V10" i="6"/>
  <c r="U10" i="6"/>
  <c r="S10" i="6"/>
  <c r="T10" i="6"/>
  <c r="S9" i="6"/>
  <c r="T9" i="6"/>
  <c r="U9" i="6"/>
  <c r="V9" i="6"/>
  <c r="R9" i="6"/>
  <c r="S8" i="6"/>
  <c r="T8" i="6"/>
  <c r="U8" i="6"/>
  <c r="V8" i="6"/>
  <c r="R8" i="6"/>
  <c r="S7" i="6"/>
  <c r="T7" i="6"/>
  <c r="U7" i="6"/>
  <c r="V7" i="6"/>
  <c r="R7" i="6"/>
  <c r="S6" i="6"/>
  <c r="T6" i="6"/>
  <c r="U6" i="6"/>
  <c r="V6" i="6"/>
  <c r="W6" i="6" s="1"/>
  <c r="R6" i="6"/>
  <c r="V5" i="6"/>
  <c r="U5" i="6"/>
  <c r="T5" i="6"/>
  <c r="S5" i="6"/>
  <c r="W7" i="6"/>
  <c r="W8" i="6"/>
  <c r="W5" i="6"/>
  <c r="J23" i="6"/>
  <c r="C10" i="9" s="1"/>
  <c r="J20" i="6"/>
  <c r="J17" i="6"/>
  <c r="J15" i="6"/>
  <c r="J16" i="6"/>
  <c r="J14" i="6"/>
  <c r="J13" i="6"/>
  <c r="M3" i="7" s="1"/>
  <c r="N10" i="6"/>
  <c r="M10" i="6"/>
  <c r="K10" i="6"/>
  <c r="L10" i="6"/>
  <c r="K9" i="6"/>
  <c r="L9" i="6"/>
  <c r="M9" i="6"/>
  <c r="N9" i="6"/>
  <c r="J9" i="6"/>
  <c r="K8" i="6"/>
  <c r="L8" i="6"/>
  <c r="M8" i="6"/>
  <c r="N8" i="6"/>
  <c r="J8" i="6"/>
  <c r="K7" i="6"/>
  <c r="L7" i="6"/>
  <c r="M7" i="6"/>
  <c r="N7" i="6"/>
  <c r="J7" i="6"/>
  <c r="O8" i="6"/>
  <c r="O6" i="6"/>
  <c r="K6" i="6"/>
  <c r="L6" i="6"/>
  <c r="M6" i="6"/>
  <c r="N6" i="6"/>
  <c r="J6" i="6"/>
  <c r="L5" i="6"/>
  <c r="M5" i="6"/>
  <c r="N5" i="6"/>
  <c r="K5" i="6"/>
  <c r="B20" i="6"/>
  <c r="B18" i="6"/>
  <c r="C9" i="6"/>
  <c r="D9" i="6"/>
  <c r="D10" i="6" s="1"/>
  <c r="E9" i="6"/>
  <c r="F9" i="6"/>
  <c r="F10" i="6" s="1"/>
  <c r="B9" i="6"/>
  <c r="C8" i="6"/>
  <c r="G8" i="6" s="1"/>
  <c r="B15" i="6" s="1"/>
  <c r="D8" i="6"/>
  <c r="E8" i="6"/>
  <c r="F8" i="6"/>
  <c r="B8" i="6"/>
  <c r="C7" i="6"/>
  <c r="D7" i="6"/>
  <c r="E7" i="6"/>
  <c r="F7" i="6"/>
  <c r="B7" i="6"/>
  <c r="C6" i="6"/>
  <c r="D6" i="6"/>
  <c r="E6" i="6"/>
  <c r="F6" i="6"/>
  <c r="B6" i="6"/>
  <c r="G6" i="6" s="1"/>
  <c r="B14" i="6" s="1"/>
  <c r="F5" i="6"/>
  <c r="E5" i="6"/>
  <c r="D5" i="6"/>
  <c r="C5" i="6"/>
  <c r="AJ3" i="6"/>
  <c r="AB3" i="6"/>
  <c r="T3" i="6"/>
  <c r="L3" i="6"/>
  <c r="D3" i="6"/>
  <c r="Q22" i="5"/>
  <c r="R22" i="5"/>
  <c r="S22" i="5"/>
  <c r="T22" i="5"/>
  <c r="P22" i="5"/>
  <c r="X22" i="5"/>
  <c r="Y22" i="5"/>
  <c r="Z22" i="5"/>
  <c r="AA22" i="5"/>
  <c r="W22" i="5"/>
  <c r="AE22" i="5"/>
  <c r="AF22" i="5"/>
  <c r="AG22" i="5"/>
  <c r="AH22" i="5"/>
  <c r="AD22" i="5"/>
  <c r="AE23" i="5"/>
  <c r="AF23" i="5"/>
  <c r="AG23" i="5"/>
  <c r="AH23" i="5"/>
  <c r="AD23" i="5"/>
  <c r="AE20" i="5"/>
  <c r="AF20" i="5"/>
  <c r="AG20" i="5"/>
  <c r="AH20" i="5"/>
  <c r="AD20" i="5"/>
  <c r="X20" i="5"/>
  <c r="Y20" i="5"/>
  <c r="Z20" i="5"/>
  <c r="AA20" i="5"/>
  <c r="W20" i="5"/>
  <c r="Q20" i="5"/>
  <c r="R20" i="5"/>
  <c r="S20" i="5"/>
  <c r="T20" i="5"/>
  <c r="P20" i="5"/>
  <c r="AE21" i="5"/>
  <c r="AF21" i="5"/>
  <c r="AG21" i="5"/>
  <c r="AH21" i="5"/>
  <c r="AD21" i="5"/>
  <c r="AE25" i="5"/>
  <c r="AF25" i="5"/>
  <c r="AG25" i="5"/>
  <c r="AH25" i="5"/>
  <c r="AD25" i="5"/>
  <c r="AE16" i="5"/>
  <c r="AF16" i="5"/>
  <c r="AG16" i="5"/>
  <c r="AH16" i="5"/>
  <c r="AE17" i="5"/>
  <c r="AF17" i="5"/>
  <c r="AG17" i="5"/>
  <c r="AH17" i="5"/>
  <c r="AE18" i="5"/>
  <c r="AF18" i="5"/>
  <c r="AG18" i="5"/>
  <c r="AH18" i="5"/>
  <c r="AD18" i="5"/>
  <c r="AD17" i="5"/>
  <c r="AD16" i="5"/>
  <c r="AE13" i="5"/>
  <c r="AF13" i="5"/>
  <c r="AG13" i="5"/>
  <c r="AH13" i="5"/>
  <c r="AE14" i="5"/>
  <c r="AF14" i="5"/>
  <c r="AG14" i="5"/>
  <c r="AH14" i="5"/>
  <c r="AD14" i="5"/>
  <c r="AD13" i="5"/>
  <c r="AE10" i="5"/>
  <c r="AF10" i="5"/>
  <c r="AG10" i="5"/>
  <c r="AH10" i="5"/>
  <c r="AE11" i="5"/>
  <c r="AF11" i="5"/>
  <c r="AG11" i="5"/>
  <c r="AH11" i="5"/>
  <c r="AD11" i="5"/>
  <c r="AD10" i="5"/>
  <c r="AE4" i="5"/>
  <c r="AF4" i="5"/>
  <c r="AG4" i="5"/>
  <c r="AH4" i="5"/>
  <c r="AE5" i="5"/>
  <c r="AF5" i="5"/>
  <c r="AG5" i="5"/>
  <c r="AH5" i="5"/>
  <c r="AE6" i="5"/>
  <c r="AF6" i="5"/>
  <c r="AG6" i="5"/>
  <c r="AH6" i="5"/>
  <c r="AE7" i="5"/>
  <c r="AF7" i="5"/>
  <c r="AG7" i="5"/>
  <c r="AH7" i="5"/>
  <c r="AE8" i="5"/>
  <c r="AF8" i="5"/>
  <c r="AG8" i="5"/>
  <c r="AH8" i="5"/>
  <c r="AD8" i="5"/>
  <c r="AD7" i="5"/>
  <c r="AD6" i="5"/>
  <c r="AD5" i="5"/>
  <c r="AD4" i="5"/>
  <c r="X23" i="5"/>
  <c r="Y23" i="5"/>
  <c r="Z23" i="5"/>
  <c r="AA23" i="5"/>
  <c r="W23" i="5"/>
  <c r="X21" i="5"/>
  <c r="Y21" i="5"/>
  <c r="Z21" i="5"/>
  <c r="AA21" i="5"/>
  <c r="W21" i="5"/>
  <c r="X25" i="5"/>
  <c r="Y25" i="5"/>
  <c r="Z25" i="5"/>
  <c r="AA25" i="5"/>
  <c r="W25" i="5"/>
  <c r="X16" i="5"/>
  <c r="Y16" i="5"/>
  <c r="Z16" i="5"/>
  <c r="AA16" i="5"/>
  <c r="X17" i="5"/>
  <c r="Y17" i="5"/>
  <c r="Z17" i="5"/>
  <c r="AA17" i="5"/>
  <c r="X18" i="5"/>
  <c r="Y18" i="5"/>
  <c r="Z18" i="5"/>
  <c r="AA18" i="5"/>
  <c r="W18" i="5"/>
  <c r="W17" i="5"/>
  <c r="W16" i="5"/>
  <c r="X13" i="5"/>
  <c r="Y13" i="5"/>
  <c r="Z13" i="5"/>
  <c r="AA13" i="5"/>
  <c r="X14" i="5"/>
  <c r="Y14" i="5"/>
  <c r="Z14" i="5"/>
  <c r="AA14" i="5"/>
  <c r="W14" i="5"/>
  <c r="W13" i="5"/>
  <c r="X10" i="5"/>
  <c r="Y10" i="5"/>
  <c r="Z10" i="5"/>
  <c r="AA10" i="5"/>
  <c r="X11" i="5"/>
  <c r="Y11" i="5"/>
  <c r="Z11" i="5"/>
  <c r="AA11" i="5"/>
  <c r="W11" i="5"/>
  <c r="W10" i="5"/>
  <c r="X5" i="5"/>
  <c r="Y5" i="5"/>
  <c r="Z5" i="5"/>
  <c r="AA5" i="5"/>
  <c r="X6" i="5"/>
  <c r="Y6" i="5"/>
  <c r="Z6" i="5"/>
  <c r="AA6" i="5"/>
  <c r="X7" i="5"/>
  <c r="Y7" i="5"/>
  <c r="Z7" i="5"/>
  <c r="AA7" i="5"/>
  <c r="X8" i="5"/>
  <c r="Y8" i="5"/>
  <c r="Z8" i="5"/>
  <c r="AA8" i="5"/>
  <c r="W8" i="5"/>
  <c r="W7" i="5"/>
  <c r="W6" i="5"/>
  <c r="W5" i="5"/>
  <c r="X4" i="5"/>
  <c r="Y4" i="5"/>
  <c r="Z4" i="5"/>
  <c r="AA4" i="5"/>
  <c r="W4" i="5"/>
  <c r="Q23" i="5"/>
  <c r="R23" i="5"/>
  <c r="S23" i="5"/>
  <c r="T23" i="5"/>
  <c r="P23" i="5"/>
  <c r="Q21" i="5"/>
  <c r="R21" i="5"/>
  <c r="S21" i="5"/>
  <c r="T21" i="5"/>
  <c r="P21" i="5"/>
  <c r="Q25" i="5"/>
  <c r="R25" i="5"/>
  <c r="S25" i="5"/>
  <c r="T25" i="5"/>
  <c r="P25" i="5"/>
  <c r="Q16" i="5"/>
  <c r="R16" i="5"/>
  <c r="S16" i="5"/>
  <c r="T16" i="5"/>
  <c r="Q17" i="5"/>
  <c r="R17" i="5"/>
  <c r="S17" i="5"/>
  <c r="T17" i="5"/>
  <c r="Q18" i="5"/>
  <c r="R18" i="5"/>
  <c r="S18" i="5"/>
  <c r="T18" i="5"/>
  <c r="P18" i="5"/>
  <c r="P17" i="5"/>
  <c r="P16" i="5"/>
  <c r="Q13" i="5"/>
  <c r="R13" i="5"/>
  <c r="S13" i="5"/>
  <c r="T13" i="5"/>
  <c r="Q14" i="5"/>
  <c r="R14" i="5"/>
  <c r="S14" i="5"/>
  <c r="T14" i="5"/>
  <c r="P14" i="5"/>
  <c r="P13" i="5"/>
  <c r="Q10" i="5"/>
  <c r="R10" i="5"/>
  <c r="S10" i="5"/>
  <c r="T10" i="5"/>
  <c r="Q11" i="5"/>
  <c r="R11" i="5"/>
  <c r="S11" i="5"/>
  <c r="T11" i="5"/>
  <c r="P11" i="5"/>
  <c r="P10" i="5"/>
  <c r="Q4" i="5"/>
  <c r="R4" i="5"/>
  <c r="S4" i="5"/>
  <c r="T4" i="5"/>
  <c r="Q5" i="5"/>
  <c r="R5" i="5"/>
  <c r="S5" i="5"/>
  <c r="T5" i="5"/>
  <c r="Q6" i="5"/>
  <c r="R6" i="5"/>
  <c r="S6" i="5"/>
  <c r="T6" i="5"/>
  <c r="Q7" i="5"/>
  <c r="R7" i="5"/>
  <c r="S7" i="5"/>
  <c r="T7" i="5"/>
  <c r="Q8" i="5"/>
  <c r="R8" i="5"/>
  <c r="S8" i="5"/>
  <c r="T8" i="5"/>
  <c r="P8" i="5"/>
  <c r="P7" i="5"/>
  <c r="P6" i="5"/>
  <c r="P5" i="5"/>
  <c r="P4" i="5"/>
  <c r="J23" i="5"/>
  <c r="K23" i="5"/>
  <c r="L23" i="5"/>
  <c r="M23" i="5"/>
  <c r="I23" i="5"/>
  <c r="J21" i="5"/>
  <c r="K21" i="5"/>
  <c r="L21" i="5"/>
  <c r="M21" i="5"/>
  <c r="I21" i="5"/>
  <c r="J20" i="5"/>
  <c r="K20" i="5"/>
  <c r="L20" i="5"/>
  <c r="M20" i="5"/>
  <c r="I20" i="5"/>
  <c r="J25" i="5"/>
  <c r="K25" i="5"/>
  <c r="L25" i="5"/>
  <c r="M25" i="5"/>
  <c r="I25" i="5"/>
  <c r="J17" i="5"/>
  <c r="K17" i="5"/>
  <c r="L17" i="5"/>
  <c r="M17" i="5"/>
  <c r="J18" i="5"/>
  <c r="K18" i="5"/>
  <c r="L18" i="5"/>
  <c r="M18" i="5"/>
  <c r="I18" i="5"/>
  <c r="I17" i="5"/>
  <c r="J16" i="5"/>
  <c r="K16" i="5"/>
  <c r="L16" i="5"/>
  <c r="M16" i="5"/>
  <c r="I16" i="5"/>
  <c r="J14" i="5"/>
  <c r="K14" i="5"/>
  <c r="L14" i="5"/>
  <c r="M14" i="5"/>
  <c r="I14" i="5"/>
  <c r="J13" i="5"/>
  <c r="K13" i="5"/>
  <c r="L13" i="5"/>
  <c r="M13" i="5"/>
  <c r="I13" i="5"/>
  <c r="J11" i="5"/>
  <c r="K11" i="5"/>
  <c r="L11" i="5"/>
  <c r="M11" i="5"/>
  <c r="I11" i="5"/>
  <c r="J10" i="5"/>
  <c r="K10" i="5"/>
  <c r="L10" i="5"/>
  <c r="M10" i="5"/>
  <c r="I10" i="5"/>
  <c r="J6" i="5"/>
  <c r="K6" i="5"/>
  <c r="L6" i="5"/>
  <c r="M6" i="5"/>
  <c r="I6" i="5"/>
  <c r="J8" i="5"/>
  <c r="K8" i="5"/>
  <c r="L8" i="5"/>
  <c r="M8" i="5"/>
  <c r="I8" i="5"/>
  <c r="J7" i="5"/>
  <c r="K7" i="5"/>
  <c r="L7" i="5"/>
  <c r="M7" i="5"/>
  <c r="I7" i="5"/>
  <c r="J5" i="5"/>
  <c r="K5" i="5"/>
  <c r="L5" i="5"/>
  <c r="M5" i="5"/>
  <c r="I5" i="5"/>
  <c r="J4" i="5"/>
  <c r="K4" i="5"/>
  <c r="L4" i="5"/>
  <c r="M4" i="5"/>
  <c r="I4" i="5"/>
  <c r="C23" i="5"/>
  <c r="D23" i="5"/>
  <c r="E23" i="5"/>
  <c r="F23" i="5"/>
  <c r="B23" i="5"/>
  <c r="C21" i="5"/>
  <c r="D21" i="5"/>
  <c r="E21" i="5"/>
  <c r="F21" i="5"/>
  <c r="B21" i="5"/>
  <c r="C20" i="5"/>
  <c r="D20" i="5"/>
  <c r="E20" i="5"/>
  <c r="F20" i="5"/>
  <c r="B20" i="5"/>
  <c r="C25" i="5"/>
  <c r="D25" i="5"/>
  <c r="E25" i="5"/>
  <c r="F25" i="5"/>
  <c r="B25" i="5"/>
  <c r="C18" i="5"/>
  <c r="D18" i="5"/>
  <c r="E18" i="5"/>
  <c r="F18" i="5"/>
  <c r="B18" i="5"/>
  <c r="C17" i="5"/>
  <c r="D17" i="5"/>
  <c r="E17" i="5"/>
  <c r="F17" i="5"/>
  <c r="B17" i="5"/>
  <c r="C16" i="5"/>
  <c r="D16" i="5"/>
  <c r="E16" i="5"/>
  <c r="F16" i="5"/>
  <c r="B16" i="5"/>
  <c r="C14" i="5"/>
  <c r="D14" i="5"/>
  <c r="E14" i="5"/>
  <c r="F14" i="5"/>
  <c r="B14" i="5"/>
  <c r="C13" i="5"/>
  <c r="D13" i="5"/>
  <c r="E13" i="5"/>
  <c r="F13" i="5"/>
  <c r="B13" i="5"/>
  <c r="C11" i="5"/>
  <c r="D11" i="5"/>
  <c r="E11" i="5"/>
  <c r="F11" i="5"/>
  <c r="B11" i="5"/>
  <c r="C10" i="5"/>
  <c r="D10" i="5"/>
  <c r="E10" i="5"/>
  <c r="F10" i="5"/>
  <c r="B10" i="5"/>
  <c r="C8" i="5"/>
  <c r="D8" i="5"/>
  <c r="E8" i="5"/>
  <c r="F8" i="5"/>
  <c r="B8" i="5"/>
  <c r="C7" i="5"/>
  <c r="D7" i="5"/>
  <c r="E7" i="5"/>
  <c r="F7" i="5"/>
  <c r="B7" i="5"/>
  <c r="C6" i="5"/>
  <c r="D6" i="5"/>
  <c r="E6" i="5"/>
  <c r="F6" i="5"/>
  <c r="B6" i="5"/>
  <c r="C5" i="5"/>
  <c r="D5" i="5"/>
  <c r="E5" i="5"/>
  <c r="F5" i="5"/>
  <c r="B5" i="5"/>
  <c r="C4" i="5"/>
  <c r="D4" i="5"/>
  <c r="E4" i="5"/>
  <c r="F4" i="5"/>
  <c r="B4" i="5"/>
  <c r="AW6" i="7" l="1"/>
  <c r="AW10" i="7" s="1"/>
  <c r="V10" i="7"/>
  <c r="AH4" i="7"/>
  <c r="D4" i="7"/>
  <c r="AP6" i="7"/>
  <c r="AP10" i="7" s="1"/>
  <c r="L6" i="7"/>
  <c r="L10" i="7" s="1"/>
  <c r="AH3" i="7"/>
  <c r="AH9" i="7" s="1"/>
  <c r="AF6" i="7"/>
  <c r="AF10" i="7" s="1"/>
  <c r="N3" i="7"/>
  <c r="D5" i="7"/>
  <c r="D6" i="7" s="1"/>
  <c r="E4" i="7"/>
  <c r="Y3" i="7"/>
  <c r="X9" i="7"/>
  <c r="X8" i="7"/>
  <c r="X7" i="7"/>
  <c r="X5" i="7"/>
  <c r="X6" i="7" s="1"/>
  <c r="Y4" i="7"/>
  <c r="N8" i="7"/>
  <c r="D7" i="7"/>
  <c r="D9" i="7"/>
  <c r="D8" i="7"/>
  <c r="E3" i="7"/>
  <c r="AS4" i="7"/>
  <c r="AT4" i="7" s="1"/>
  <c r="AU4" i="7" s="1"/>
  <c r="AH5" i="7"/>
  <c r="AH6" i="7" s="1"/>
  <c r="AR5" i="7"/>
  <c r="AR6" i="7" s="1"/>
  <c r="AI4" i="7"/>
  <c r="B6" i="7"/>
  <c r="B10" i="7" s="1"/>
  <c r="AS8" i="7"/>
  <c r="AS7" i="7"/>
  <c r="AS9" i="7"/>
  <c r="AT3" i="7"/>
  <c r="AR7" i="7"/>
  <c r="AR8" i="7"/>
  <c r="AR9" i="7"/>
  <c r="AE10" i="6"/>
  <c r="W10" i="6"/>
  <c r="O10" i="6"/>
  <c r="O7" i="6"/>
  <c r="E10" i="6"/>
  <c r="C10" i="6"/>
  <c r="G5" i="6"/>
  <c r="B13" i="6" s="1"/>
  <c r="G7" i="6"/>
  <c r="B16" i="6" s="1"/>
  <c r="G10" i="6"/>
  <c r="B17" i="6" s="1"/>
  <c r="O3" i="7" l="1"/>
  <c r="O4" i="7" s="1"/>
  <c r="N4" i="7"/>
  <c r="N6" i="7" s="1"/>
  <c r="N7" i="7"/>
  <c r="AH8" i="7"/>
  <c r="AH7" i="7"/>
  <c r="AI3" i="7"/>
  <c r="AI9" i="7" s="1"/>
  <c r="AH10" i="7"/>
  <c r="AT5" i="7"/>
  <c r="AT6" i="7" s="1"/>
  <c r="N9" i="7"/>
  <c r="D10" i="7"/>
  <c r="X10" i="7"/>
  <c r="O9" i="7"/>
  <c r="O7" i="7"/>
  <c r="P3" i="7"/>
  <c r="P4" i="7" s="1"/>
  <c r="O8" i="7"/>
  <c r="AJ4" i="7"/>
  <c r="AI5" i="7"/>
  <c r="AI6" i="7" s="1"/>
  <c r="E8" i="7"/>
  <c r="F3" i="7"/>
  <c r="E7" i="7"/>
  <c r="E9" i="7"/>
  <c r="AR10" i="7"/>
  <c r="Y7" i="7"/>
  <c r="Y9" i="7"/>
  <c r="Z3" i="7"/>
  <c r="Y8" i="7"/>
  <c r="E5" i="7"/>
  <c r="E6" i="7" s="1"/>
  <c r="F4" i="7"/>
  <c r="Z4" i="7"/>
  <c r="Y5" i="7"/>
  <c r="Y6" i="7" s="1"/>
  <c r="AS5" i="7"/>
  <c r="AS6" i="7" s="1"/>
  <c r="AS10" i="7" s="1"/>
  <c r="AI8" i="7"/>
  <c r="AJ3" i="7"/>
  <c r="AI7" i="7"/>
  <c r="AT8" i="7"/>
  <c r="AT7" i="7"/>
  <c r="AU3" i="7"/>
  <c r="AT9" i="7"/>
  <c r="AU5" i="7"/>
  <c r="AU6" i="7" s="1"/>
  <c r="N10" i="7" l="1"/>
  <c r="O6" i="7"/>
  <c r="O10" i="7" s="1"/>
  <c r="E10" i="7"/>
  <c r="AT10" i="7"/>
  <c r="AA3" i="7"/>
  <c r="Z7" i="7"/>
  <c r="Z9" i="7"/>
  <c r="Z8" i="7"/>
  <c r="AJ7" i="7"/>
  <c r="AJ8" i="7"/>
  <c r="AK3" i="7"/>
  <c r="AJ9" i="7"/>
  <c r="AI10" i="7"/>
  <c r="F5" i="7"/>
  <c r="F6" i="7"/>
  <c r="G4" i="7"/>
  <c r="P8" i="7"/>
  <c r="P9" i="7"/>
  <c r="Q3" i="7"/>
  <c r="P7" i="7"/>
  <c r="P6" i="7"/>
  <c r="F9" i="7"/>
  <c r="G3" i="7"/>
  <c r="F8" i="7"/>
  <c r="F7" i="7"/>
  <c r="AJ5" i="7"/>
  <c r="AJ6" i="7" s="1"/>
  <c r="AK4" i="7"/>
  <c r="AA4" i="7"/>
  <c r="Z5" i="7"/>
  <c r="Z6" i="7" s="1"/>
  <c r="Z10" i="7" s="1"/>
  <c r="Y10" i="7"/>
  <c r="AU8" i="7"/>
  <c r="AU10" i="7" s="1"/>
  <c r="AU7" i="7"/>
  <c r="AU9" i="7"/>
  <c r="AV5" i="7"/>
  <c r="AV6" i="7" s="1"/>
  <c r="Q4" i="7" l="1"/>
  <c r="R3" i="7"/>
  <c r="AK7" i="7"/>
  <c r="AK8" i="7"/>
  <c r="AK9" i="7"/>
  <c r="P10" i="7"/>
  <c r="G9" i="7"/>
  <c r="G8" i="7"/>
  <c r="G7" i="7"/>
  <c r="AK5" i="7"/>
  <c r="AK6" i="7"/>
  <c r="AK10" i="7" s="1"/>
  <c r="F10" i="7"/>
  <c r="AJ10" i="7"/>
  <c r="Q6" i="7"/>
  <c r="Q8" i="7"/>
  <c r="Q9" i="7"/>
  <c r="Q7" i="7"/>
  <c r="AA5" i="7"/>
  <c r="AA6" i="7" s="1"/>
  <c r="G5" i="7"/>
  <c r="G6" i="7" s="1"/>
  <c r="AA7" i="7"/>
  <c r="AA9" i="7"/>
  <c r="AA8" i="7"/>
  <c r="AV9" i="7"/>
  <c r="AV8" i="7"/>
  <c r="AV7" i="7"/>
  <c r="S3" i="7" l="1"/>
  <c r="R4" i="7"/>
  <c r="Q10" i="7"/>
  <c r="H7" i="7"/>
  <c r="H9" i="7"/>
  <c r="H8" i="7"/>
  <c r="AB5" i="7"/>
  <c r="AB6" i="7" s="1"/>
  <c r="G10" i="7"/>
  <c r="AA10" i="7"/>
  <c r="R8" i="7"/>
  <c r="R9" i="7"/>
  <c r="R7" i="7"/>
  <c r="AL5" i="7"/>
  <c r="AL6" i="7" s="1"/>
  <c r="H5" i="7"/>
  <c r="H6" i="7" s="1"/>
  <c r="H10" i="7" s="1"/>
  <c r="R6" i="7"/>
  <c r="AL9" i="7"/>
  <c r="AL7" i="7"/>
  <c r="AL8" i="7"/>
  <c r="AB8" i="7"/>
  <c r="AB7" i="7"/>
  <c r="AB9" i="7"/>
  <c r="AV10" i="7"/>
  <c r="AH53" i="4"/>
  <c r="AG53" i="4"/>
  <c r="AG25" i="4"/>
  <c r="AF53" i="4"/>
  <c r="AF25" i="4"/>
  <c r="AE53" i="4"/>
  <c r="AD53" i="4"/>
  <c r="AE41" i="4"/>
  <c r="AD55" i="4"/>
  <c r="AD51" i="4"/>
  <c r="AD39" i="4"/>
  <c r="AE32" i="4"/>
  <c r="AE34" i="4" s="1"/>
  <c r="AD32" i="4"/>
  <c r="AD34" i="4" s="1"/>
  <c r="AD14" i="4"/>
  <c r="AE11" i="4"/>
  <c r="AE25" i="4"/>
  <c r="AD25" i="4"/>
  <c r="AA46" i="4"/>
  <c r="X28" i="4"/>
  <c r="Y28" i="4"/>
  <c r="Y30" i="4" s="1"/>
  <c r="Z28" i="4"/>
  <c r="Z30" i="4" s="1"/>
  <c r="AA28" i="4"/>
  <c r="AA30" i="4" s="1"/>
  <c r="X30" i="4"/>
  <c r="W28" i="4"/>
  <c r="W30" i="4" s="1"/>
  <c r="Z18" i="4"/>
  <c r="Y18" i="4"/>
  <c r="X17" i="4"/>
  <c r="X18" i="4"/>
  <c r="W19" i="4"/>
  <c r="W18" i="4"/>
  <c r="W21" i="4"/>
  <c r="T28" i="4"/>
  <c r="R51" i="4"/>
  <c r="R53" i="4" s="1"/>
  <c r="S51" i="4"/>
  <c r="S53" i="4" s="1"/>
  <c r="T51" i="4"/>
  <c r="T53" i="4" s="1"/>
  <c r="R4" i="4"/>
  <c r="P40" i="4"/>
  <c r="P51" i="4" s="1"/>
  <c r="P53" i="4" s="1"/>
  <c r="Q51" i="4"/>
  <c r="Q40" i="4"/>
  <c r="Q4" i="4"/>
  <c r="P4" i="4"/>
  <c r="L37" i="4"/>
  <c r="L39" i="4" s="1"/>
  <c r="L31" i="4"/>
  <c r="K35" i="4"/>
  <c r="K37" i="4" s="1"/>
  <c r="K39" i="4" s="1"/>
  <c r="K29" i="4"/>
  <c r="J33" i="4"/>
  <c r="I33" i="4"/>
  <c r="I37" i="4" s="1"/>
  <c r="I39" i="4" s="1"/>
  <c r="C33" i="4"/>
  <c r="C29" i="4"/>
  <c r="B29" i="4"/>
  <c r="AE44" i="4"/>
  <c r="AF44" i="4"/>
  <c r="AG44" i="4"/>
  <c r="AH44" i="4"/>
  <c r="AD44" i="4"/>
  <c r="AH25" i="4"/>
  <c r="AE7" i="4"/>
  <c r="AF7" i="4"/>
  <c r="AG7" i="4"/>
  <c r="AH7" i="4"/>
  <c r="AD7" i="4"/>
  <c r="X56" i="4"/>
  <c r="Y56" i="4"/>
  <c r="Z56" i="4"/>
  <c r="AA56" i="4"/>
  <c r="W56" i="4"/>
  <c r="X46" i="4"/>
  <c r="Y46" i="4"/>
  <c r="Z46" i="4"/>
  <c r="W46" i="4"/>
  <c r="X21" i="4"/>
  <c r="Y21" i="4"/>
  <c r="Z21" i="4"/>
  <c r="AA21" i="4"/>
  <c r="Q81" i="4"/>
  <c r="R81" i="4"/>
  <c r="S81" i="4"/>
  <c r="T81" i="4"/>
  <c r="P81" i="4"/>
  <c r="Q69" i="4"/>
  <c r="R69" i="4"/>
  <c r="S69" i="4"/>
  <c r="T69" i="4"/>
  <c r="P69" i="4"/>
  <c r="J48" i="4"/>
  <c r="J50" i="4" s="1"/>
  <c r="K48" i="4"/>
  <c r="K50" i="4" s="1"/>
  <c r="L48" i="4"/>
  <c r="L50" i="4" s="1"/>
  <c r="M48" i="4"/>
  <c r="M50" i="4" s="1"/>
  <c r="I48" i="4"/>
  <c r="I50" i="4" s="1"/>
  <c r="J37" i="4"/>
  <c r="J39" i="4" s="1"/>
  <c r="M37" i="4"/>
  <c r="M39" i="4" s="1"/>
  <c r="J27" i="4"/>
  <c r="K27" i="4"/>
  <c r="K31" i="4" s="1"/>
  <c r="L27" i="4"/>
  <c r="M27" i="4"/>
  <c r="I27" i="4"/>
  <c r="J18" i="4"/>
  <c r="J29" i="4" s="1"/>
  <c r="K18" i="4"/>
  <c r="L18" i="4"/>
  <c r="M18" i="4"/>
  <c r="I18" i="4"/>
  <c r="I29" i="4" s="1"/>
  <c r="C51" i="4"/>
  <c r="D51" i="4"/>
  <c r="E51" i="4"/>
  <c r="F51" i="4"/>
  <c r="B51" i="4"/>
  <c r="C41" i="4"/>
  <c r="D41" i="4"/>
  <c r="E41" i="4"/>
  <c r="F41" i="4"/>
  <c r="B41" i="4"/>
  <c r="C27" i="4"/>
  <c r="D27" i="4"/>
  <c r="E27" i="4"/>
  <c r="F27" i="4"/>
  <c r="B27" i="4"/>
  <c r="C18" i="4"/>
  <c r="D18" i="4"/>
  <c r="E18" i="4"/>
  <c r="F18" i="4"/>
  <c r="B18" i="4"/>
  <c r="AE24" i="3"/>
  <c r="AF24" i="3"/>
  <c r="AG24" i="3"/>
  <c r="AH24" i="3"/>
  <c r="AD24" i="3"/>
  <c r="AE14" i="3"/>
  <c r="AF14" i="3"/>
  <c r="AG14" i="3"/>
  <c r="AH14" i="3"/>
  <c r="AD14" i="3"/>
  <c r="AE6" i="3"/>
  <c r="AF6" i="3"/>
  <c r="AG6" i="3"/>
  <c r="AH6" i="3"/>
  <c r="AD6" i="3"/>
  <c r="Z19" i="3"/>
  <c r="X15" i="3"/>
  <c r="Y15" i="3"/>
  <c r="Z15" i="3"/>
  <c r="AA15" i="3"/>
  <c r="AA17" i="3" s="1"/>
  <c r="AA19" i="3" s="1"/>
  <c r="AA24" i="3" s="1"/>
  <c r="W15" i="3"/>
  <c r="W17" i="3" s="1"/>
  <c r="W19" i="3" s="1"/>
  <c r="W24" i="3" s="1"/>
  <c r="X6" i="3"/>
  <c r="Y6" i="3"/>
  <c r="Z6" i="3"/>
  <c r="AA6" i="3"/>
  <c r="W6" i="3"/>
  <c r="AH26" i="2"/>
  <c r="AH28" i="2" s="1"/>
  <c r="AG26" i="2"/>
  <c r="AG43" i="2"/>
  <c r="AF43" i="2"/>
  <c r="AF26" i="2"/>
  <c r="AE43" i="2"/>
  <c r="AE26" i="2"/>
  <c r="AD26" i="2"/>
  <c r="AD43" i="2"/>
  <c r="AA27" i="2"/>
  <c r="Z27" i="2"/>
  <c r="Y27" i="2"/>
  <c r="X27" i="2"/>
  <c r="W27" i="2"/>
  <c r="AE60" i="2"/>
  <c r="AF60" i="2"/>
  <c r="AG60" i="2"/>
  <c r="AH60" i="2"/>
  <c r="AD60" i="2"/>
  <c r="AE48" i="2"/>
  <c r="AF48" i="2"/>
  <c r="AG48" i="2"/>
  <c r="AH48" i="2"/>
  <c r="AD48" i="2"/>
  <c r="AE36" i="2"/>
  <c r="AE38" i="2" s="1"/>
  <c r="AF36" i="2"/>
  <c r="AF38" i="2" s="1"/>
  <c r="AG36" i="2"/>
  <c r="AG38" i="2" s="1"/>
  <c r="AH36" i="2"/>
  <c r="AH38" i="2" s="1"/>
  <c r="AD36" i="2"/>
  <c r="AD38" i="2" s="1"/>
  <c r="AE28" i="2"/>
  <c r="AF28" i="2"/>
  <c r="AG28" i="2"/>
  <c r="AD28" i="2"/>
  <c r="AE17" i="2"/>
  <c r="AF17" i="2"/>
  <c r="AG17" i="2"/>
  <c r="AH17" i="2"/>
  <c r="AD17" i="2"/>
  <c r="X58" i="2"/>
  <c r="Y58" i="2"/>
  <c r="Z58" i="2"/>
  <c r="AA58" i="2"/>
  <c r="W58" i="2"/>
  <c r="X47" i="2"/>
  <c r="Y47" i="2"/>
  <c r="Z47" i="2"/>
  <c r="AA47" i="2"/>
  <c r="W47" i="2"/>
  <c r="X35" i="2"/>
  <c r="X37" i="2" s="1"/>
  <c r="Y35" i="2"/>
  <c r="Y37" i="2" s="1"/>
  <c r="Z35" i="2"/>
  <c r="Z37" i="2" s="1"/>
  <c r="AA35" i="2"/>
  <c r="AA37" i="2" s="1"/>
  <c r="W35" i="2"/>
  <c r="W37" i="2" s="1"/>
  <c r="X28" i="2"/>
  <c r="Y28" i="2"/>
  <c r="Z28" i="2"/>
  <c r="AA28" i="2"/>
  <c r="W28" i="2"/>
  <c r="X17" i="2"/>
  <c r="Y17" i="2"/>
  <c r="Z17" i="2"/>
  <c r="AA17" i="2"/>
  <c r="W17" i="2"/>
  <c r="T8" i="3"/>
  <c r="S8" i="3"/>
  <c r="R34" i="3"/>
  <c r="R8" i="3"/>
  <c r="F5" i="1" a="1"/>
  <c r="F5" i="1" s="1"/>
  <c r="F6" i="1" a="1"/>
  <c r="F6" i="1" s="1"/>
  <c r="F7" i="1" a="1"/>
  <c r="F7" i="1" s="1"/>
  <c r="F8" i="1" a="1"/>
  <c r="F8" i="1" s="1"/>
  <c r="F9" i="1" a="1"/>
  <c r="F9" i="1" s="1"/>
  <c r="F11" i="1" a="1"/>
  <c r="F11" i="1" s="1"/>
  <c r="E18" i="1" a="1"/>
  <c r="E18" i="1" s="1"/>
  <c r="F18" i="1" a="1"/>
  <c r="F18" i="1" s="1"/>
  <c r="E19" i="1" a="1"/>
  <c r="E19" i="1" s="1"/>
  <c r="F19" i="1" a="1"/>
  <c r="F19" i="1" s="1"/>
  <c r="E17" i="1" a="1"/>
  <c r="E17" i="1" s="1"/>
  <c r="Z21" i="6" s="1"/>
  <c r="E3" i="8" s="1"/>
  <c r="F17" i="1" a="1"/>
  <c r="F17" i="1" s="1"/>
  <c r="AH21" i="6" s="1"/>
  <c r="F3" i="8" s="1"/>
  <c r="E16" i="1" a="1"/>
  <c r="E16" i="1" s="1"/>
  <c r="F16" i="1" a="1"/>
  <c r="F16" i="1" s="1"/>
  <c r="E14" i="1" a="1"/>
  <c r="E14" i="1" s="1"/>
  <c r="E15" i="1" s="1"/>
  <c r="F14" i="1" a="1"/>
  <c r="F14" i="1" s="1"/>
  <c r="F15" i="1" s="1"/>
  <c r="E13" i="1" a="1"/>
  <c r="E13" i="1" s="1"/>
  <c r="Z24" i="6" s="1"/>
  <c r="F13" i="1" a="1"/>
  <c r="F13" i="1" s="1"/>
  <c r="AH24" i="6" s="1"/>
  <c r="E11" i="1" a="1"/>
  <c r="E11" i="1" s="1"/>
  <c r="E9" i="1" a="1"/>
  <c r="E9" i="1" s="1"/>
  <c r="E8" i="1" a="1"/>
  <c r="E8" i="1" s="1"/>
  <c r="E7" i="1" a="1"/>
  <c r="E7" i="1" s="1"/>
  <c r="E6" i="1" a="1"/>
  <c r="E6" i="1" s="1"/>
  <c r="E5" i="1" a="1"/>
  <c r="E5" i="1" s="1"/>
  <c r="Q43" i="3"/>
  <c r="Q42" i="3"/>
  <c r="R42" i="3"/>
  <c r="R43" i="3" s="1"/>
  <c r="S42" i="3"/>
  <c r="S43" i="3" s="1"/>
  <c r="T42" i="3"/>
  <c r="T43" i="3" s="1"/>
  <c r="P44" i="3"/>
  <c r="P43" i="3"/>
  <c r="P42" i="3"/>
  <c r="P28" i="3"/>
  <c r="Q8" i="3"/>
  <c r="P8" i="3"/>
  <c r="Q35" i="3"/>
  <c r="R35" i="3"/>
  <c r="S35" i="3"/>
  <c r="T35" i="3"/>
  <c r="P35" i="3"/>
  <c r="Q21" i="3"/>
  <c r="R21" i="3"/>
  <c r="S21" i="3"/>
  <c r="T21" i="3"/>
  <c r="P21" i="3"/>
  <c r="Q16" i="3"/>
  <c r="R16" i="3"/>
  <c r="S16" i="3"/>
  <c r="T16" i="3"/>
  <c r="P16" i="3"/>
  <c r="Q5" i="3"/>
  <c r="R5" i="3"/>
  <c r="S5" i="3"/>
  <c r="T5" i="3"/>
  <c r="P5" i="3"/>
  <c r="J37" i="3"/>
  <c r="K37" i="3"/>
  <c r="L37" i="3"/>
  <c r="M37" i="3"/>
  <c r="I37" i="3"/>
  <c r="J29" i="3"/>
  <c r="K29" i="3"/>
  <c r="L29" i="3"/>
  <c r="M29" i="3"/>
  <c r="I29" i="3"/>
  <c r="J24" i="3"/>
  <c r="K24" i="3"/>
  <c r="L24" i="3"/>
  <c r="M24" i="3"/>
  <c r="I24" i="3"/>
  <c r="J18" i="3"/>
  <c r="L18" i="3"/>
  <c r="M18" i="3"/>
  <c r="I18" i="3"/>
  <c r="J13" i="3"/>
  <c r="K13" i="3"/>
  <c r="L13" i="3"/>
  <c r="M13" i="3"/>
  <c r="I13" i="3"/>
  <c r="J6" i="3"/>
  <c r="K6" i="3"/>
  <c r="L6" i="3"/>
  <c r="M6" i="3"/>
  <c r="I6" i="3"/>
  <c r="C37" i="3"/>
  <c r="B25" i="3"/>
  <c r="C25" i="3"/>
  <c r="C16" i="3"/>
  <c r="C6" i="3"/>
  <c r="C35" i="3"/>
  <c r="D35" i="3"/>
  <c r="E35" i="3"/>
  <c r="F35" i="3"/>
  <c r="B35" i="3"/>
  <c r="C31" i="3"/>
  <c r="D31" i="3"/>
  <c r="E31" i="3"/>
  <c r="E36" i="3" s="1"/>
  <c r="F31" i="3"/>
  <c r="B31" i="3"/>
  <c r="C23" i="3"/>
  <c r="D23" i="3"/>
  <c r="E23" i="3"/>
  <c r="F23" i="3"/>
  <c r="B23" i="3"/>
  <c r="C18" i="3"/>
  <c r="C15" i="3"/>
  <c r="D15" i="3"/>
  <c r="D16" i="3" s="1"/>
  <c r="D18" i="3" s="1"/>
  <c r="E15" i="3"/>
  <c r="F15" i="3"/>
  <c r="B15" i="3"/>
  <c r="D6" i="3"/>
  <c r="E6" i="3"/>
  <c r="F6" i="3"/>
  <c r="B6" i="3"/>
  <c r="T62" i="2"/>
  <c r="T67" i="2" s="1"/>
  <c r="T8" i="2"/>
  <c r="S8" i="2"/>
  <c r="R8" i="2"/>
  <c r="P71" i="2"/>
  <c r="Q71" i="2"/>
  <c r="Q67" i="2"/>
  <c r="R67" i="2"/>
  <c r="S67" i="2"/>
  <c r="P67" i="2"/>
  <c r="Q57" i="2"/>
  <c r="R57" i="2"/>
  <c r="S57" i="2"/>
  <c r="T57" i="2"/>
  <c r="P57" i="2"/>
  <c r="Q43" i="2"/>
  <c r="Q45" i="2" s="1"/>
  <c r="R43" i="2"/>
  <c r="R45" i="2" s="1"/>
  <c r="S43" i="2"/>
  <c r="S45" i="2" s="1"/>
  <c r="T43" i="2"/>
  <c r="T45" i="2" s="1"/>
  <c r="P43" i="2"/>
  <c r="P45" i="2" s="1"/>
  <c r="Q33" i="2"/>
  <c r="R33" i="2"/>
  <c r="S33" i="2"/>
  <c r="T33" i="2"/>
  <c r="P33" i="2"/>
  <c r="Q19" i="2"/>
  <c r="R19" i="2"/>
  <c r="S19" i="2"/>
  <c r="T19" i="2"/>
  <c r="P19" i="2"/>
  <c r="J57" i="2"/>
  <c r="K57" i="2"/>
  <c r="L57" i="2"/>
  <c r="M57" i="2"/>
  <c r="I57" i="2"/>
  <c r="M50" i="2"/>
  <c r="M26" i="2"/>
  <c r="L50" i="2"/>
  <c r="L55" i="2"/>
  <c r="L34" i="2"/>
  <c r="L35" i="2" s="1"/>
  <c r="L37" i="2" s="1"/>
  <c r="L26" i="2"/>
  <c r="K50" i="2"/>
  <c r="K55" i="2" s="1"/>
  <c r="K34" i="2"/>
  <c r="K26" i="2"/>
  <c r="J50" i="2"/>
  <c r="I50" i="2"/>
  <c r="I55" i="2" s="1"/>
  <c r="J35" i="2"/>
  <c r="J37" i="2" s="1"/>
  <c r="K35" i="2"/>
  <c r="K37" i="2" s="1"/>
  <c r="M35" i="2"/>
  <c r="M37" i="2" s="1"/>
  <c r="I35" i="2"/>
  <c r="I37" i="2" s="1"/>
  <c r="J55" i="2"/>
  <c r="M55" i="2"/>
  <c r="J46" i="2"/>
  <c r="K46" i="2"/>
  <c r="L46" i="2"/>
  <c r="M46" i="2"/>
  <c r="I46" i="2"/>
  <c r="J28" i="2"/>
  <c r="K28" i="2"/>
  <c r="L28" i="2"/>
  <c r="M28" i="2"/>
  <c r="I28" i="2"/>
  <c r="J16" i="2"/>
  <c r="K16" i="2"/>
  <c r="L16" i="2"/>
  <c r="M16" i="2"/>
  <c r="I16" i="2"/>
  <c r="F52" i="2"/>
  <c r="F35" i="2"/>
  <c r="F37" i="2" s="1"/>
  <c r="E52" i="2"/>
  <c r="E57" i="2" s="1"/>
  <c r="F57" i="2"/>
  <c r="E47" i="2"/>
  <c r="F47" i="2"/>
  <c r="F16" i="2"/>
  <c r="F27" i="2"/>
  <c r="E37" i="2"/>
  <c r="E35" i="2"/>
  <c r="E27" i="2"/>
  <c r="E16" i="2"/>
  <c r="E29" i="2" s="1"/>
  <c r="D52" i="2"/>
  <c r="D57" i="2" s="1"/>
  <c r="D47" i="2"/>
  <c r="D35" i="2"/>
  <c r="D37" i="2" s="1"/>
  <c r="D27" i="2"/>
  <c r="D16" i="2"/>
  <c r="C52" i="2"/>
  <c r="C57" i="2" s="1"/>
  <c r="C47" i="2"/>
  <c r="C35" i="2"/>
  <c r="C37" i="2" s="1"/>
  <c r="C27" i="2"/>
  <c r="C16" i="2"/>
  <c r="B52" i="2"/>
  <c r="B57" i="2" s="1"/>
  <c r="B47" i="2"/>
  <c r="B35" i="2"/>
  <c r="B37" i="2" s="1"/>
  <c r="B27" i="2"/>
  <c r="B16" i="2"/>
  <c r="C15" i="7" l="1"/>
  <c r="C19" i="7" s="1"/>
  <c r="S9" i="7"/>
  <c r="S8" i="7"/>
  <c r="S4" i="7"/>
  <c r="S7" i="7"/>
  <c r="M3" i="10" s="1"/>
  <c r="Y27" i="5"/>
  <c r="Z27" i="5"/>
  <c r="AA27" i="5"/>
  <c r="W27" i="5"/>
  <c r="X27" i="5"/>
  <c r="AH27" i="5"/>
  <c r="AD27" i="5"/>
  <c r="AG27" i="5"/>
  <c r="AE27" i="5"/>
  <c r="AF27" i="5"/>
  <c r="AL10" i="7"/>
  <c r="AB10" i="7"/>
  <c r="R10" i="7"/>
  <c r="AH25" i="6"/>
  <c r="F5" i="8" s="1"/>
  <c r="F12" i="9"/>
  <c r="Z25" i="6"/>
  <c r="E6" i="8" s="1"/>
  <c r="E12" i="9"/>
  <c r="AH32" i="4"/>
  <c r="AH34" i="4" s="1"/>
  <c r="AH55" i="4" s="1"/>
  <c r="AH57" i="4" s="1"/>
  <c r="AG32" i="4"/>
  <c r="AG34" i="4" s="1"/>
  <c r="AG55" i="4" s="1"/>
  <c r="AG57" i="4" s="1"/>
  <c r="AF32" i="4"/>
  <c r="AF34" i="4" s="1"/>
  <c r="AF55" i="4" s="1"/>
  <c r="AF57" i="4" s="1"/>
  <c r="AE55" i="4"/>
  <c r="AE57" i="4" s="1"/>
  <c r="AD57" i="4"/>
  <c r="AA57" i="4"/>
  <c r="AA62" i="4" s="1"/>
  <c r="Y57" i="4"/>
  <c r="Y62" i="4" s="1"/>
  <c r="Z57" i="4"/>
  <c r="Z62" i="4" s="1"/>
  <c r="X57" i="4"/>
  <c r="X62" i="4" s="1"/>
  <c r="W57" i="4"/>
  <c r="W62" i="4" s="1"/>
  <c r="T82" i="4"/>
  <c r="T86" i="4" s="1"/>
  <c r="S82" i="4"/>
  <c r="S86" i="4" s="1"/>
  <c r="R82" i="4"/>
  <c r="R86" i="4" s="1"/>
  <c r="P82" i="4"/>
  <c r="P86" i="4" s="1"/>
  <c r="Q53" i="4"/>
  <c r="Q82" i="4"/>
  <c r="Q86" i="4" s="1"/>
  <c r="M29" i="4"/>
  <c r="M31" i="4" s="1"/>
  <c r="M51" i="4" s="1"/>
  <c r="M53" i="4" s="1"/>
  <c r="L29" i="4"/>
  <c r="L51" i="4" s="1"/>
  <c r="L53" i="4" s="1"/>
  <c r="K51" i="4"/>
  <c r="K53" i="4" s="1"/>
  <c r="I31" i="4"/>
  <c r="I51" i="4" s="1"/>
  <c r="I53" i="4" s="1"/>
  <c r="J31" i="4"/>
  <c r="J51" i="4" s="1"/>
  <c r="J53" i="4" s="1"/>
  <c r="F29" i="4"/>
  <c r="F52" i="4" s="1"/>
  <c r="F56" i="4" s="1"/>
  <c r="E29" i="4"/>
  <c r="E52" i="4" s="1"/>
  <c r="E56" i="4" s="1"/>
  <c r="D29" i="4"/>
  <c r="D52" i="4" s="1"/>
  <c r="D56" i="4" s="1"/>
  <c r="C52" i="4"/>
  <c r="C56" i="4" s="1"/>
  <c r="B52" i="4"/>
  <c r="B56" i="4" s="1"/>
  <c r="AH15" i="3"/>
  <c r="AH17" i="3" s="1"/>
  <c r="AH19" i="3" s="1"/>
  <c r="AH25" i="3" s="1"/>
  <c r="AH27" i="3" s="1"/>
  <c r="AG15" i="3"/>
  <c r="AG17" i="3" s="1"/>
  <c r="AG19" i="3" s="1"/>
  <c r="AG25" i="3" s="1"/>
  <c r="AG27" i="3" s="1"/>
  <c r="AF15" i="3"/>
  <c r="AF17" i="3" s="1"/>
  <c r="AF19" i="3" s="1"/>
  <c r="AF25" i="3" s="1"/>
  <c r="AF27" i="3" s="1"/>
  <c r="AE15" i="3"/>
  <c r="AE17" i="3" s="1"/>
  <c r="AE19" i="3" s="1"/>
  <c r="AE25" i="3" s="1"/>
  <c r="AE27" i="3" s="1"/>
  <c r="AD15" i="3"/>
  <c r="AD17" i="3" s="1"/>
  <c r="AD19" i="3" s="1"/>
  <c r="AD25" i="3" s="1"/>
  <c r="AD27" i="3" s="1"/>
  <c r="Z17" i="3"/>
  <c r="Z24" i="3" s="1"/>
  <c r="Y17" i="3"/>
  <c r="Y19" i="3" s="1"/>
  <c r="Y24" i="3" s="1"/>
  <c r="X17" i="3"/>
  <c r="X19" i="3" s="1"/>
  <c r="X24" i="3" s="1"/>
  <c r="AH63" i="2"/>
  <c r="AH31" i="2"/>
  <c r="AG31" i="2"/>
  <c r="AG63" i="2"/>
  <c r="AF63" i="2"/>
  <c r="AF31" i="2"/>
  <c r="AE63" i="2"/>
  <c r="AE31" i="2"/>
  <c r="AD63" i="2"/>
  <c r="AD31" i="2"/>
  <c r="AA59" i="2"/>
  <c r="AA60" i="2" s="1"/>
  <c r="AA30" i="2"/>
  <c r="Z30" i="2"/>
  <c r="Y30" i="2"/>
  <c r="Z59" i="2"/>
  <c r="Z60" i="2" s="1"/>
  <c r="Y59" i="2"/>
  <c r="Y60" i="2" s="1"/>
  <c r="X59" i="2"/>
  <c r="X60" i="2" s="1"/>
  <c r="W59" i="2"/>
  <c r="W60" i="2" s="1"/>
  <c r="X30" i="2"/>
  <c r="W30" i="2"/>
  <c r="T17" i="3"/>
  <c r="T22" i="3" s="1"/>
  <c r="T24" i="3" s="1"/>
  <c r="T29" i="3" s="1"/>
  <c r="T36" i="3" s="1"/>
  <c r="T44" i="3" s="1"/>
  <c r="S17" i="3"/>
  <c r="S22" i="3" s="1"/>
  <c r="S24" i="3" s="1"/>
  <c r="S29" i="3" s="1"/>
  <c r="S36" i="3" s="1"/>
  <c r="S44" i="3" s="1"/>
  <c r="R17" i="3"/>
  <c r="R22" i="3" s="1"/>
  <c r="R24" i="3" s="1"/>
  <c r="R29" i="3" s="1"/>
  <c r="R36" i="3" s="1"/>
  <c r="R44" i="3" s="1"/>
  <c r="F12" i="1"/>
  <c r="E12" i="1"/>
  <c r="Q17" i="3"/>
  <c r="Q22" i="3" s="1"/>
  <c r="Q24" i="3" s="1"/>
  <c r="Q29" i="3" s="1"/>
  <c r="Q36" i="3" s="1"/>
  <c r="Q44" i="3" s="1"/>
  <c r="P17" i="3"/>
  <c r="P22" i="3" s="1"/>
  <c r="P24" i="3" s="1"/>
  <c r="P29" i="3" s="1"/>
  <c r="P36" i="3" s="1"/>
  <c r="M14" i="3"/>
  <c r="M19" i="3" s="1"/>
  <c r="M25" i="3" s="1"/>
  <c r="M30" i="3" s="1"/>
  <c r="M32" i="3" s="1"/>
  <c r="M38" i="3" s="1"/>
  <c r="L14" i="3"/>
  <c r="L19" i="3" s="1"/>
  <c r="L25" i="3" s="1"/>
  <c r="L30" i="3" s="1"/>
  <c r="L32" i="3" s="1"/>
  <c r="L38" i="3" s="1"/>
  <c r="K14" i="3"/>
  <c r="K19" i="3" s="1"/>
  <c r="K25" i="3" s="1"/>
  <c r="K30" i="3" s="1"/>
  <c r="K32" i="3" s="1"/>
  <c r="K38" i="3" s="1"/>
  <c r="J14" i="3"/>
  <c r="J19" i="3" s="1"/>
  <c r="J25" i="3" s="1"/>
  <c r="J30" i="3" s="1"/>
  <c r="J32" i="3" s="1"/>
  <c r="J38" i="3" s="1"/>
  <c r="I14" i="3"/>
  <c r="I19" i="3" s="1"/>
  <c r="I25" i="3" s="1"/>
  <c r="I30" i="3" s="1"/>
  <c r="I32" i="3" s="1"/>
  <c r="I38" i="3" s="1"/>
  <c r="F36" i="3"/>
  <c r="F16" i="3"/>
  <c r="F18" i="3" s="1"/>
  <c r="F25" i="3" s="1"/>
  <c r="E16" i="3"/>
  <c r="E18" i="3" s="1"/>
  <c r="E25" i="3" s="1"/>
  <c r="E37" i="3" s="1"/>
  <c r="D36" i="3"/>
  <c r="D25" i="3"/>
  <c r="D37" i="3" s="1"/>
  <c r="C36" i="3"/>
  <c r="B36" i="3"/>
  <c r="B16" i="3"/>
  <c r="B18" i="3" s="1"/>
  <c r="T69" i="2"/>
  <c r="T71" i="2" s="1"/>
  <c r="T35" i="2"/>
  <c r="T37" i="2" s="1"/>
  <c r="S69" i="2"/>
  <c r="S71" i="2" s="1"/>
  <c r="S35" i="2"/>
  <c r="S37" i="2" s="1"/>
  <c r="R69" i="2"/>
  <c r="R71" i="2" s="1"/>
  <c r="R35" i="2"/>
  <c r="R37" i="2" s="1"/>
  <c r="Q69" i="2"/>
  <c r="P69" i="2"/>
  <c r="Q35" i="2"/>
  <c r="Q37" i="2" s="1"/>
  <c r="P35" i="2"/>
  <c r="P37" i="2" s="1"/>
  <c r="M30" i="2"/>
  <c r="L30" i="2"/>
  <c r="K30" i="2"/>
  <c r="J30" i="2"/>
  <c r="I30" i="2"/>
  <c r="C58" i="2"/>
  <c r="F58" i="2"/>
  <c r="F59" i="2" s="1"/>
  <c r="E58" i="2"/>
  <c r="E59" i="2" s="1"/>
  <c r="F29" i="2"/>
  <c r="D29" i="2"/>
  <c r="C59" i="2"/>
  <c r="D58" i="2"/>
  <c r="D59" i="2" s="1"/>
  <c r="C29" i="2"/>
  <c r="B58" i="2"/>
  <c r="B59" i="2" s="1"/>
  <c r="B29" i="2"/>
  <c r="C17" i="1" a="1"/>
  <c r="C17" i="1" s="1"/>
  <c r="J21" i="6" s="1"/>
  <c r="C3" i="8" s="1"/>
  <c r="D17" i="1" a="1"/>
  <c r="D17" i="1" s="1"/>
  <c r="R21" i="6" s="1"/>
  <c r="D3" i="8" s="1"/>
  <c r="C18" i="1" a="1"/>
  <c r="C18" i="1" s="1"/>
  <c r="D18" i="1" a="1"/>
  <c r="D18" i="1" s="1"/>
  <c r="C19" i="1" a="1"/>
  <c r="C19" i="1" s="1"/>
  <c r="D19" i="1" a="1"/>
  <c r="D19" i="1" s="1"/>
  <c r="B19" i="1" a="1"/>
  <c r="B19" i="1" s="1"/>
  <c r="B18" i="1" a="1"/>
  <c r="B18" i="1" s="1"/>
  <c r="B17" i="1" a="1"/>
  <c r="B17" i="1" s="1"/>
  <c r="C8" i="1" a="1"/>
  <c r="C8" i="1" s="1"/>
  <c r="D8" i="1" a="1"/>
  <c r="D8" i="1" s="1"/>
  <c r="C9" i="1" a="1"/>
  <c r="C9" i="1" s="1"/>
  <c r="D9" i="1" a="1"/>
  <c r="D9" i="1" s="1"/>
  <c r="C11" i="1" a="1"/>
  <c r="C11" i="1" s="1"/>
  <c r="D11" i="1" a="1"/>
  <c r="D11" i="1" s="1"/>
  <c r="C13" i="1" a="1"/>
  <c r="C13" i="1" s="1"/>
  <c r="J24" i="6" s="1"/>
  <c r="D13" i="1" a="1"/>
  <c r="D13" i="1" s="1"/>
  <c r="R24" i="6" s="1"/>
  <c r="C14" i="1" a="1"/>
  <c r="C14" i="1" s="1"/>
  <c r="C15" i="1" s="1"/>
  <c r="D14" i="1" a="1"/>
  <c r="D14" i="1" s="1"/>
  <c r="D15" i="1" s="1"/>
  <c r="C16" i="1" a="1"/>
  <c r="C16" i="1" s="1"/>
  <c r="D16" i="1" a="1"/>
  <c r="D16" i="1" s="1"/>
  <c r="B16" i="1" a="1"/>
  <c r="B16" i="1" s="1"/>
  <c r="B14" i="1" a="1"/>
  <c r="B14" i="1" s="1"/>
  <c r="B15" i="1" s="1"/>
  <c r="B13" i="1" a="1"/>
  <c r="B13" i="1" s="1"/>
  <c r="B24" i="6" s="1"/>
  <c r="B11" i="1" a="1"/>
  <c r="B11" i="1" s="1"/>
  <c r="B9" i="1" a="1"/>
  <c r="B9" i="1" s="1"/>
  <c r="B8" i="1" a="1"/>
  <c r="B8" i="1" s="1"/>
  <c r="C7" i="1" a="1"/>
  <c r="C7" i="1" s="1"/>
  <c r="D7" i="1" a="1"/>
  <c r="D7" i="1" s="1"/>
  <c r="B7" i="1" a="1"/>
  <c r="B7" i="1" s="1"/>
  <c r="C6" i="1" a="1"/>
  <c r="C6" i="1" s="1"/>
  <c r="D6" i="1" a="1"/>
  <c r="D6" i="1" s="1"/>
  <c r="B6" i="1" a="1"/>
  <c r="B6" i="1" s="1"/>
  <c r="C5" i="1" a="1"/>
  <c r="C5" i="1" s="1"/>
  <c r="D5" i="1" a="1"/>
  <c r="D5" i="1" s="1"/>
  <c r="B5" i="1" a="1"/>
  <c r="B5" i="1" s="1"/>
  <c r="D15" i="10" l="1"/>
  <c r="D19" i="10" s="1"/>
  <c r="D9" i="10"/>
  <c r="C27" i="7"/>
  <c r="C31" i="7" s="1"/>
  <c r="K3" i="10"/>
  <c r="S6" i="7"/>
  <c r="B21" i="6"/>
  <c r="B3" i="8" s="1"/>
  <c r="Q27" i="5"/>
  <c r="R27" i="5"/>
  <c r="S27" i="5"/>
  <c r="T27" i="5"/>
  <c r="P27" i="5"/>
  <c r="M27" i="5"/>
  <c r="I27" i="5"/>
  <c r="K27" i="5"/>
  <c r="J27" i="5"/>
  <c r="L27" i="5"/>
  <c r="C27" i="5"/>
  <c r="D27" i="5"/>
  <c r="E27" i="5"/>
  <c r="F27" i="5"/>
  <c r="B27" i="5"/>
  <c r="F6" i="8"/>
  <c r="F7" i="8" s="1"/>
  <c r="E5" i="8"/>
  <c r="E7" i="8" s="1"/>
  <c r="R25" i="6"/>
  <c r="D6" i="8" s="1"/>
  <c r="D12" i="9"/>
  <c r="B25" i="6"/>
  <c r="B6" i="8" s="1"/>
  <c r="B12" i="9"/>
  <c r="J25" i="6"/>
  <c r="C5" i="8" s="1"/>
  <c r="C12" i="9"/>
  <c r="F37" i="3"/>
  <c r="B37" i="3"/>
  <c r="B12" i="1"/>
  <c r="D12" i="1"/>
  <c r="C12" i="1"/>
  <c r="S10" i="7" l="1"/>
  <c r="D21" i="10"/>
  <c r="D25" i="10" s="1"/>
  <c r="D13" i="10"/>
  <c r="L3" i="10"/>
  <c r="N3" i="10" s="1"/>
  <c r="O3" i="10" s="1"/>
  <c r="AH11" i="7"/>
  <c r="AM11" i="7"/>
  <c r="E3" i="9"/>
  <c r="E4" i="9" s="1"/>
  <c r="F3" i="9"/>
  <c r="F4" i="9" s="1"/>
  <c r="AW11" i="7"/>
  <c r="D5" i="8"/>
  <c r="D7" i="8" s="1"/>
  <c r="B5" i="8"/>
  <c r="B7" i="8" s="1"/>
  <c r="C6" i="8"/>
  <c r="C7" i="8" s="1"/>
  <c r="AK11" i="7"/>
  <c r="AL11" i="7"/>
  <c r="AJ11" i="7"/>
  <c r="AI11" i="7"/>
  <c r="AV11" i="7"/>
  <c r="AU11" i="7"/>
  <c r="AT11" i="7"/>
  <c r="AS11" i="7"/>
  <c r="AR11" i="7"/>
  <c r="P7" i="10" l="1"/>
  <c r="O7" i="10"/>
  <c r="B3" i="9"/>
  <c r="B4" i="9" s="1"/>
  <c r="F5" i="9"/>
  <c r="F6" i="9" s="1"/>
  <c r="E5" i="9"/>
  <c r="E6" i="9" s="1"/>
  <c r="AC11" i="7"/>
  <c r="D3" i="9"/>
  <c r="D4" i="9" s="1"/>
  <c r="O11" i="7"/>
  <c r="S11" i="7"/>
  <c r="C3" i="9" s="1"/>
  <c r="C4" i="9" s="1"/>
  <c r="H11" i="7"/>
  <c r="I11" i="7"/>
  <c r="R11" i="7"/>
  <c r="Q11" i="7"/>
  <c r="N11" i="7"/>
  <c r="E11" i="7"/>
  <c r="P11" i="7"/>
  <c r="D11" i="7"/>
  <c r="F11" i="7"/>
  <c r="G11" i="7"/>
  <c r="AB11" i="7"/>
  <c r="AA11" i="7"/>
  <c r="Z11" i="7"/>
  <c r="Y11" i="7"/>
  <c r="X11" i="7"/>
  <c r="D5" i="9" l="1"/>
  <c r="D6" i="9" s="1"/>
  <c r="B5" i="9"/>
  <c r="B6" i="9" s="1"/>
  <c r="C5" i="9"/>
  <c r="C6" i="9" s="1"/>
  <c r="C9" i="9" s="1"/>
  <c r="E9" i="9"/>
  <c r="E11" i="9" s="1"/>
  <c r="F9" i="9"/>
  <c r="F11" i="9" s="1"/>
  <c r="E13" i="9" l="1"/>
  <c r="F13" i="9"/>
  <c r="B9" i="9"/>
  <c r="B11" i="9" s="1"/>
  <c r="D9" i="9"/>
  <c r="D11" i="9" s="1"/>
  <c r="C11" i="9"/>
  <c r="C13" i="9" l="1"/>
  <c r="D13" i="9"/>
  <c r="B13" i="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1"/>
        </ext>
      </extLst>
    </bk>
    <bk>
      <extLst>
        <ext uri="{3e2802c4-a4d2-4d8b-9148-e3be6c30e623}">
          <xlrd:rvb i="22"/>
        </ext>
      </extLst>
    </bk>
    <bk>
      <extLst>
        <ext uri="{3e2802c4-a4d2-4d8b-9148-e3be6c30e623}">
          <xlrd:rvb i="23"/>
        </ext>
      </extLst>
    </bk>
  </futureMetadata>
  <cellMetadata count="1">
    <bk>
      <rc t="1" v="0"/>
    </bk>
  </cellMetadata>
  <valueMetadata count="13">
    <bk>
      <rc t="2" v="0"/>
    </bk>
    <bk>
      <rc t="2" v="1"/>
    </bk>
    <bk>
      <rc t="2" v="2"/>
    </bk>
    <bk>
      <rc t="2" v="3"/>
    </bk>
    <bk>
      <rc t="2" v="4"/>
    </bk>
    <bk>
      <rc t="2" v="5"/>
    </bk>
    <bk>
      <rc t="2" v="6"/>
    </bk>
    <bk>
      <rc t="2" v="7"/>
    </bk>
    <bk>
      <rc t="2" v="8"/>
    </bk>
    <bk>
      <rc t="2" v="9"/>
    </bk>
    <bk>
      <rc t="2" v="10"/>
    </bk>
    <bk>
      <rc t="2" v="11"/>
    </bk>
    <bk>
      <rc t="2" v="12"/>
    </bk>
  </valueMetadata>
</metadata>
</file>

<file path=xl/sharedStrings.xml><?xml version="1.0" encoding="utf-8"?>
<sst xmlns="http://schemas.openxmlformats.org/spreadsheetml/2006/main" count="1414" uniqueCount="657">
  <si>
    <t>Logo</t>
  </si>
  <si>
    <t>Name</t>
  </si>
  <si>
    <t>Company Name</t>
  </si>
  <si>
    <t>Ticker Symbol</t>
  </si>
  <si>
    <t>Industry</t>
  </si>
  <si>
    <t>Listed Exchange</t>
  </si>
  <si>
    <t>Year of Corporation</t>
  </si>
  <si>
    <t>Market Capitalization</t>
  </si>
  <si>
    <t>Exchange rate</t>
  </si>
  <si>
    <t>Mcap in USD</t>
  </si>
  <si>
    <t>Market Price</t>
  </si>
  <si>
    <t>Daily change</t>
  </si>
  <si>
    <t>Beta</t>
  </si>
  <si>
    <t>52 Week Low</t>
  </si>
  <si>
    <t>52 Week High</t>
  </si>
  <si>
    <t>Adani Power</t>
  </si>
  <si>
    <t>Reliance Power</t>
  </si>
  <si>
    <t>TATA Power</t>
  </si>
  <si>
    <t>Shares Outstanding</t>
  </si>
  <si>
    <t>Balance Sheet (ADANI POWER)</t>
  </si>
  <si>
    <t>Particulars</t>
  </si>
  <si>
    <t>Mar 20</t>
  </si>
  <si>
    <t>Mar 21</t>
  </si>
  <si>
    <t>Mar 22</t>
  </si>
  <si>
    <t>Mar 23</t>
  </si>
  <si>
    <t>Mar 24</t>
  </si>
  <si>
    <t>ASSETS</t>
  </si>
  <si>
    <t>Non-Current Assets</t>
  </si>
  <si>
    <t>Property, Plant and Equipment</t>
  </si>
  <si>
    <t>Capital work in progress</t>
  </si>
  <si>
    <t>Goodwill</t>
  </si>
  <si>
    <t>Intangible Assets</t>
  </si>
  <si>
    <t>Financial Assets</t>
  </si>
  <si>
    <t>Investments</t>
  </si>
  <si>
    <t>Loans</t>
  </si>
  <si>
    <t>Other Financial Assets</t>
  </si>
  <si>
    <t>Other Non-current Assets</t>
  </si>
  <si>
    <t>Total Non-current Assets</t>
  </si>
  <si>
    <t>Current Assets</t>
  </si>
  <si>
    <t>Inventories</t>
  </si>
  <si>
    <t>Trade Receivables</t>
  </si>
  <si>
    <t>Cash and Cash equivalents</t>
  </si>
  <si>
    <t>Bank balance other than Cash equivalents</t>
  </si>
  <si>
    <t>Other Current assets</t>
  </si>
  <si>
    <t>Total Current Assets</t>
  </si>
  <si>
    <t>Total Assets</t>
  </si>
  <si>
    <t>EQUITY AND LIABILITIES</t>
  </si>
  <si>
    <t>EQUITY</t>
  </si>
  <si>
    <t>Equity share capital</t>
  </si>
  <si>
    <t>Unsecured perpetual securities</t>
  </si>
  <si>
    <t>Other equity</t>
  </si>
  <si>
    <t>Equity attributed to equity holders of the parent</t>
  </si>
  <si>
    <t>Non-Controlling interests</t>
  </si>
  <si>
    <t>LIABILITIES</t>
  </si>
  <si>
    <t>Non current Liabilities</t>
  </si>
  <si>
    <t>Financial Liabilities</t>
  </si>
  <si>
    <t>Borrowings</t>
  </si>
  <si>
    <t>Other Financial liabilities</t>
  </si>
  <si>
    <t>Provisions</t>
  </si>
  <si>
    <t>Deferred Tax liabilities (Net)</t>
  </si>
  <si>
    <t>Other Non-current liabilities</t>
  </si>
  <si>
    <t>Total Non-current liabilities</t>
  </si>
  <si>
    <t>Current Liabilities</t>
  </si>
  <si>
    <t>Trade Payables</t>
  </si>
  <si>
    <t>Other financial liabilities</t>
  </si>
  <si>
    <t>Short Term Provisions</t>
  </si>
  <si>
    <t>Current Tax Liabilities (Net)</t>
  </si>
  <si>
    <t>Total Current Liabilties</t>
  </si>
  <si>
    <t>Total Liabilities</t>
  </si>
  <si>
    <t>Total Equity and Liabilities</t>
  </si>
  <si>
    <t>Total Equity</t>
  </si>
  <si>
    <t>Other Current Liabilities</t>
  </si>
  <si>
    <t>Assets classified as held for sale</t>
  </si>
  <si>
    <t>Lease Liabilities</t>
  </si>
  <si>
    <t>Investment Property</t>
  </si>
  <si>
    <t>Deferred tax assets (Net)</t>
  </si>
  <si>
    <t>Balance Sheet (Reliance Power)</t>
  </si>
  <si>
    <t>Non current assets</t>
  </si>
  <si>
    <t>Property, plant and equipments</t>
  </si>
  <si>
    <t>Goodwill on consolidation</t>
  </si>
  <si>
    <t>Other intangible assets</t>
  </si>
  <si>
    <t>Financial lease receivables</t>
  </si>
  <si>
    <t>Other Financial assets</t>
  </si>
  <si>
    <t>Non current tax assets</t>
  </si>
  <si>
    <t>Other non current assets</t>
  </si>
  <si>
    <t>Current assets</t>
  </si>
  <si>
    <t>Financial assets</t>
  </si>
  <si>
    <t>Trade receivables</t>
  </si>
  <si>
    <t>Cash and cash equivalents</t>
  </si>
  <si>
    <t>Bank balances other than cash and cash equivalents</t>
  </si>
  <si>
    <t>Finance lease receivables</t>
  </si>
  <si>
    <t>Other financial assets</t>
  </si>
  <si>
    <t>Other current assets</t>
  </si>
  <si>
    <t>Total current assets</t>
  </si>
  <si>
    <t>Assets classified held for sale</t>
  </si>
  <si>
    <t>Total assets</t>
  </si>
  <si>
    <t>Equity</t>
  </si>
  <si>
    <t>Other Equity</t>
  </si>
  <si>
    <t>Equity attributable to the owners of the company</t>
  </si>
  <si>
    <t>Non controlling interests</t>
  </si>
  <si>
    <t>Total equity</t>
  </si>
  <si>
    <t>Liabilities</t>
  </si>
  <si>
    <t>Non current liabilities</t>
  </si>
  <si>
    <t>Financial liabilities</t>
  </si>
  <si>
    <t>Long term provisions</t>
  </si>
  <si>
    <t>Deferred tax liabilities (net)</t>
  </si>
  <si>
    <t>Other non current liabilities</t>
  </si>
  <si>
    <t>Total non current liabilities</t>
  </si>
  <si>
    <t>Short term borrowings</t>
  </si>
  <si>
    <t>Trade payables</t>
  </si>
  <si>
    <t>Other current liabilities</t>
  </si>
  <si>
    <t>Short term provisions</t>
  </si>
  <si>
    <t>Current tax liabilities</t>
  </si>
  <si>
    <t>Total Current Liabilities</t>
  </si>
  <si>
    <t>Total non current assets</t>
  </si>
  <si>
    <t>Liabilities directly associated with assets classified as held for sale and discontinued operations</t>
  </si>
  <si>
    <t>Balance Sheet (TATA Power)</t>
  </si>
  <si>
    <t>Property, plant and equipment</t>
  </si>
  <si>
    <t>Investments accounted for using equity method</t>
  </si>
  <si>
    <t>Other investments</t>
  </si>
  <si>
    <t>Non current tax assets (net)</t>
  </si>
  <si>
    <t>Deferred tax assets (net)</t>
  </si>
  <si>
    <t>Unbilled revenue</t>
  </si>
  <si>
    <t>Bank balance other cash</t>
  </si>
  <si>
    <t>Current tax assets (net)</t>
  </si>
  <si>
    <t>Total Assets before regulatory deferred a/c</t>
  </si>
  <si>
    <t>Regulatory deferred a/c- Assets</t>
  </si>
  <si>
    <t>Equity attributable to shareholders of the company</t>
  </si>
  <si>
    <t>Long term borrowings</t>
  </si>
  <si>
    <t>Lease liabilities</t>
  </si>
  <si>
    <t>Non current tax liabilities (net)</t>
  </si>
  <si>
    <t>Current liabilities</t>
  </si>
  <si>
    <t>Current tax liabilities (net)</t>
  </si>
  <si>
    <t>Total current liabilities</t>
  </si>
  <si>
    <t>Liabilities directly associated with assets classified as held for sale</t>
  </si>
  <si>
    <t>Total liabilities before regulatory deferred a/c</t>
  </si>
  <si>
    <t>Regulatory deferred a/c- Liabilities</t>
  </si>
  <si>
    <t>Total EQUITY AND LIABILITIES</t>
  </si>
  <si>
    <t>INCOME STATEMENT (ADANI POWER)</t>
  </si>
  <si>
    <t>INCOME STATEMENT (Reliance Power)</t>
  </si>
  <si>
    <t>INCOME STATEMENT (TATA Power)</t>
  </si>
  <si>
    <t>INCOME</t>
  </si>
  <si>
    <t>Revenue from operations</t>
  </si>
  <si>
    <t>Other income</t>
  </si>
  <si>
    <t>Total Income</t>
  </si>
  <si>
    <t>EXPENSES</t>
  </si>
  <si>
    <t>Fuel cost</t>
  </si>
  <si>
    <t>Purchase of stock in trade / Power for resale</t>
  </si>
  <si>
    <t>Transmission charges</t>
  </si>
  <si>
    <t>Employee benefit expenses</t>
  </si>
  <si>
    <t>Finance costs</t>
  </si>
  <si>
    <t>Depreciation and ammortization expense</t>
  </si>
  <si>
    <t>Other expense</t>
  </si>
  <si>
    <t>Total expenses</t>
  </si>
  <si>
    <t>Less: Exceptional items</t>
  </si>
  <si>
    <t>Tax expense</t>
  </si>
  <si>
    <t>Current tax</t>
  </si>
  <si>
    <t>Excess provision for earlier years written back</t>
  </si>
  <si>
    <t>Deferred tax</t>
  </si>
  <si>
    <t>Total Tax expense</t>
  </si>
  <si>
    <t>Deferred tax recoverable from future tariff (net)</t>
  </si>
  <si>
    <t>Loss/Profit for the year</t>
  </si>
  <si>
    <t>Profit/Loss before tax and deferred tax recoverable from future tariff</t>
  </si>
  <si>
    <t>Profit / Loss from operations before exceptional items, tax and deferred tax</t>
  </si>
  <si>
    <t>Other Comprehensive income/loss</t>
  </si>
  <si>
    <t>Items that will not be reclassified to profit/loss</t>
  </si>
  <si>
    <t>Remeasurement gain/loss of defined benefit plans</t>
  </si>
  <si>
    <t>Income tax impact</t>
  </si>
  <si>
    <t>Other comprehensive gain/loss that will not be reclassified to profit or loss</t>
  </si>
  <si>
    <t>Total Comprehensive Profit/Loss for the year</t>
  </si>
  <si>
    <t>Items that will be reclassified to profit or loss</t>
  </si>
  <si>
    <t>Net gain on effective portion of cash flow hedges</t>
  </si>
  <si>
    <t>Other comprehensive gain/loss for the year, net of tax</t>
  </si>
  <si>
    <t>Gain on sale of investment</t>
  </si>
  <si>
    <t>Revenue from Operations</t>
  </si>
  <si>
    <t>Cost of fuel consumed (including cost of coal excavation)</t>
  </si>
  <si>
    <t>Finance cost</t>
  </si>
  <si>
    <t>Depreciation and ammortization</t>
  </si>
  <si>
    <t>Generation, Administration and other expenses</t>
  </si>
  <si>
    <t>Total Expenses</t>
  </si>
  <si>
    <t>Profit/Loss before exceptional items and tax</t>
  </si>
  <si>
    <t>Exceptional items</t>
  </si>
  <si>
    <t>Impairement of property, plant and equipments and capital work in progress</t>
  </si>
  <si>
    <t>Liabilities written back</t>
  </si>
  <si>
    <t>Total exceptional items</t>
  </si>
  <si>
    <t>Profit/Loss before tax</t>
  </si>
  <si>
    <t>Income tax expense</t>
  </si>
  <si>
    <t>Income tax for previous years</t>
  </si>
  <si>
    <t>Total tax expenses</t>
  </si>
  <si>
    <t>Profit/Loss from continuing operations</t>
  </si>
  <si>
    <t>Discontinuing operations:</t>
  </si>
  <si>
    <t>Profit/Loss before tax from discontinued operations</t>
  </si>
  <si>
    <t>Tax expense of discontinued operations</t>
  </si>
  <si>
    <t>Profit/Loss from discontinuing operations</t>
  </si>
  <si>
    <t>Profit/Loss for the year before non controlling interest</t>
  </si>
  <si>
    <t>Non-Controlling interest</t>
  </si>
  <si>
    <t>Profit/Loss for the year</t>
  </si>
  <si>
    <t>Other comprehensive income</t>
  </si>
  <si>
    <t>Remeasurements of post employment benefit obligation</t>
  </si>
  <si>
    <t>Currency translation gains/loss</t>
  </si>
  <si>
    <t>Other comprehensive income/loss for the year</t>
  </si>
  <si>
    <t>Total comprehensive income/loss for the year</t>
  </si>
  <si>
    <t>Total income</t>
  </si>
  <si>
    <t>Cost of power purchased</t>
  </si>
  <si>
    <t>Cost of fuel</t>
  </si>
  <si>
    <t>Raw material consumed and construction cost (including project land and sub-contracting cost)</t>
  </si>
  <si>
    <t>Purchase of finished goods and spares</t>
  </si>
  <si>
    <t>Decrease/Increase in stock-in-trade and work in progress</t>
  </si>
  <si>
    <t>Other expenses</t>
  </si>
  <si>
    <t>Profit/Loss before movement in regulatory deferral balances, exceptional items, tax and share of net profit of associates and Joint ventures accounted for using the equity method</t>
  </si>
  <si>
    <t>Add/Less: Net movement in regulatory deferral balances</t>
  </si>
  <si>
    <t>Add/Less: Net movement in regulatory deferral balances in respect of earlier years</t>
  </si>
  <si>
    <t>Add/Less: Deferred tax recoverable/Payable</t>
  </si>
  <si>
    <t>Total movement in regulatory deferral balances (Net)</t>
  </si>
  <si>
    <t>Profit/Loss before exceptional items, tax and share of net profit of associates and Joint ventures</t>
  </si>
  <si>
    <t>Share of net profit of associates and Joint ventures accounted for using the equity method</t>
  </si>
  <si>
    <t>Add/Less: Exceptional Items:</t>
  </si>
  <si>
    <t>Gain on dilution of interest in an associate</t>
  </si>
  <si>
    <t>Impairement of Goodwill on acquisition</t>
  </si>
  <si>
    <t>Profit on sale of subsidiaries and Join ventures</t>
  </si>
  <si>
    <t>Profit/Loss before tax for the year</t>
  </si>
  <si>
    <t>Current Tax</t>
  </si>
  <si>
    <t>Current tax in respect of earlier years</t>
  </si>
  <si>
    <t>Deferred tax relating to earlier years</t>
  </si>
  <si>
    <t>Profit/Loss for the year from continuing operations</t>
  </si>
  <si>
    <t>Impairement loss related to discontinued operations on remeasurement to fair value</t>
  </si>
  <si>
    <t>Tax expense/Credit of discontinued operations</t>
  </si>
  <si>
    <t>Profit/Loss for the year from discontinued operations</t>
  </si>
  <si>
    <t>Profit /Loss for the year</t>
  </si>
  <si>
    <t>JSW Energy</t>
  </si>
  <si>
    <t>NTPC</t>
  </si>
  <si>
    <t>Balance Sheet (JSW Energy)</t>
  </si>
  <si>
    <t>Balance Sheet (NTPC)</t>
  </si>
  <si>
    <t>Property, Plant and equipment</t>
  </si>
  <si>
    <t>Intangible assets under development</t>
  </si>
  <si>
    <t>Investment in an associate and a joint venture</t>
  </si>
  <si>
    <t>Income tax assets (net)</t>
  </si>
  <si>
    <t>Other non-current assets</t>
  </si>
  <si>
    <t>Total non-current assets</t>
  </si>
  <si>
    <t>Bank balances other than cash above</t>
  </si>
  <si>
    <t>Total Current assets</t>
  </si>
  <si>
    <t>Equity attributable to owners of the parent</t>
  </si>
  <si>
    <t>Non-controlling interests</t>
  </si>
  <si>
    <t>Non Current liabilities</t>
  </si>
  <si>
    <t>Liabilities classified as held for sale</t>
  </si>
  <si>
    <t>Total equity and liabilities</t>
  </si>
  <si>
    <t>Non-current assets</t>
  </si>
  <si>
    <t>Intangible assets</t>
  </si>
  <si>
    <t>Investments accounted for using the equity method</t>
  </si>
  <si>
    <t>Other finance assets</t>
  </si>
  <si>
    <t>Bank Balances other than cash</t>
  </si>
  <si>
    <t>Assets held for sale</t>
  </si>
  <si>
    <t>Regulatory deferral a/c debit balances</t>
  </si>
  <si>
    <t>Total equity attributable to owners of the company</t>
  </si>
  <si>
    <t>Non-current Liabilities</t>
  </si>
  <si>
    <t>Total outstanding dues of micro and small enterprises</t>
  </si>
  <si>
    <t>Total outstanding dues of creditors other than micro and small enterprises</t>
  </si>
  <si>
    <t>Total current liabilties</t>
  </si>
  <si>
    <t>Deferred revenue</t>
  </si>
  <si>
    <t>Regulatory deferral a/c credit balances</t>
  </si>
  <si>
    <t>INCOME STATEMENT (JSW Energy)</t>
  </si>
  <si>
    <t>INCOME STATEMENT (NTPC)</t>
  </si>
  <si>
    <t>Fuel costs</t>
  </si>
  <si>
    <t>Purchase of power</t>
  </si>
  <si>
    <t>Changes in inventories</t>
  </si>
  <si>
    <t>Share of profit of joint venture and an associate</t>
  </si>
  <si>
    <t>Profit before exceptional items, tax and deferred tax adjustable in future tariff</t>
  </si>
  <si>
    <t>Exceptional items (net)</t>
  </si>
  <si>
    <t>Profit before tax and deferred tax adjustable in future tariff</t>
  </si>
  <si>
    <t>Deferred tax adjustable in future tariff</t>
  </si>
  <si>
    <t>Profit for the year</t>
  </si>
  <si>
    <t>Electricity purchased for trading</t>
  </si>
  <si>
    <t>Profit before share of profits of joint ventures accounted for using equity method, tax and regulatory deferral a/c balances</t>
  </si>
  <si>
    <t>Add: Share of profits of joint ventures accounted for using equity method</t>
  </si>
  <si>
    <t>Profit before exceptional items, tax and regulatory deferral a/c balances</t>
  </si>
  <si>
    <t>Profit before tax and regulatory deferral a/c balances</t>
  </si>
  <si>
    <t>Tax expenses</t>
  </si>
  <si>
    <t>Current Tax in current year</t>
  </si>
  <si>
    <t>Earlier years</t>
  </si>
  <si>
    <t>Profit before regulatory deferral a/c balances</t>
  </si>
  <si>
    <t>Net movement in regulatory deferral a/c balances (net of tax)</t>
  </si>
  <si>
    <t>CASH FLOW STATEMENT (ADANI POWER)</t>
  </si>
  <si>
    <t>CASH FLOW STATEMENT (Reliance Power)</t>
  </si>
  <si>
    <t>CASH FLOW STATEMENT (TATA Power)</t>
  </si>
  <si>
    <t>CASH FLOW STATEMENT (JSW Energy)</t>
  </si>
  <si>
    <t>CASH FLOW STATEMENT (NTPC)</t>
  </si>
  <si>
    <t>Cash flow from operating activities</t>
  </si>
  <si>
    <t>Adjustments to reconcile profit before tax to net cash flows:</t>
  </si>
  <si>
    <t>Depreciation and ammortization expenses</t>
  </si>
  <si>
    <t>Unrealized foreign exchange fluctuation Gain/Loss (net)</t>
  </si>
  <si>
    <t>Income from mutual funds</t>
  </si>
  <si>
    <t>Loss on sale/retirement/provided for/write off of property, plant and equipment</t>
  </si>
  <si>
    <t>Ammortized government grant income</t>
  </si>
  <si>
    <t>Liabilitiy no longer required written back</t>
  </si>
  <si>
    <t>Gain on sale of investment in subsidiaries</t>
  </si>
  <si>
    <t>Interest income</t>
  </si>
  <si>
    <t>Stores and spares provided for</t>
  </si>
  <si>
    <t>Bad debts and sundry balance written off</t>
  </si>
  <si>
    <t>Advances to suppliers/unrealized balances provided for</t>
  </si>
  <si>
    <t>Operating profit before working capital changes</t>
  </si>
  <si>
    <t>Changes in working capital:</t>
  </si>
  <si>
    <t>Increase in inventories</t>
  </si>
  <si>
    <t>Increase in trade receivables</t>
  </si>
  <si>
    <t>Increase in other financial assets</t>
  </si>
  <si>
    <t>Decrease/increase in other assets</t>
  </si>
  <si>
    <t>Increase/decrease in trade payables</t>
  </si>
  <si>
    <t>Decrease/increase in Other financial liabilities</t>
  </si>
  <si>
    <t>Decrease/increase in other liabilities and provisions</t>
  </si>
  <si>
    <t>Less: Income tax paid/ tax deducted at sources (net of refund)</t>
  </si>
  <si>
    <t>Net cash flows from Operating activities</t>
  </si>
  <si>
    <t>Cash flow from investing activities</t>
  </si>
  <si>
    <t>Capital expenditure on payment towards PPE, including capital advances and capital WIP, and intangible assets</t>
  </si>
  <si>
    <t>Proceeds from sale of PPE</t>
  </si>
  <si>
    <t>Proceeds from sale of payment towards investments in optionally convertible cummulative debenture</t>
  </si>
  <si>
    <t>Acquisition of subsidiaries</t>
  </si>
  <si>
    <t>Advance for cost of acquisition of business</t>
  </si>
  <si>
    <t>Poceeds from sale of/Payment towards purchase of current investments</t>
  </si>
  <si>
    <t xml:space="preserve">Proceeds from disposal of subsidiaries </t>
  </si>
  <si>
    <t>Fixed/Margin money deposits/withdrawn (net)</t>
  </si>
  <si>
    <t>Proceeds from loans given to related party</t>
  </si>
  <si>
    <t xml:space="preserve">Interest received </t>
  </si>
  <si>
    <t>Net cash flows from Investing activities</t>
  </si>
  <si>
    <t>Cash flow from financing activities</t>
  </si>
  <si>
    <t>Payment towards principal portion of lease liabilities</t>
  </si>
  <si>
    <t>Proceeds from non current borrowings</t>
  </si>
  <si>
    <t>Repayment of non current borrowings</t>
  </si>
  <si>
    <t>Proceeds/repayments of current borrowings (net)</t>
  </si>
  <si>
    <t>Proceeds from issue of unsecured perpetual securities</t>
  </si>
  <si>
    <t>Repayment towards redemption of unsecured perpetual securities</t>
  </si>
  <si>
    <t>Distribution to holders of unsecured perpetual securities</t>
  </si>
  <si>
    <t>Finance cost paid</t>
  </si>
  <si>
    <t>Net cash flow/used in financing activities</t>
  </si>
  <si>
    <t>Net increase/decrease in cash and cash equivalents</t>
  </si>
  <si>
    <t>Reduction/Addition on disposal/acquisition of subsidiaries</t>
  </si>
  <si>
    <t>Net foreign exchange difference on cash and cash equivalents</t>
  </si>
  <si>
    <t>Cash and cash equivalents at the beginning of the year</t>
  </si>
  <si>
    <t>Cash and cash equivalents at the end of the year</t>
  </si>
  <si>
    <t>Adjusted for:</t>
  </si>
  <si>
    <t>Gain arising on mutual fund investment</t>
  </si>
  <si>
    <t>Depreciation/Ammortization</t>
  </si>
  <si>
    <t>Finance cost including gain/loss on derivative</t>
  </si>
  <si>
    <t>Fair value of investment measured at FVTPL</t>
  </si>
  <si>
    <t>Gain on foreign exchange fluctuations (net)</t>
  </si>
  <si>
    <t>Govt grant</t>
  </si>
  <si>
    <t>Loss on sale of PPE</t>
  </si>
  <si>
    <t>Provisions made during the year/impairement/amouts written off</t>
  </si>
  <si>
    <t>Loss on revaluation of inventories</t>
  </si>
  <si>
    <t>Provision for leave encashment and gratuity</t>
  </si>
  <si>
    <t>Change in operating assets and liabilities</t>
  </si>
  <si>
    <t>Increase/decrease in trade receivables</t>
  </si>
  <si>
    <t>Decrease in other financial assets</t>
  </si>
  <si>
    <t>Increase in other current assets</t>
  </si>
  <si>
    <t>Increase in other current liabilities</t>
  </si>
  <si>
    <t>Decrease/increase in trade payables</t>
  </si>
  <si>
    <t>Increase in other financial liabilities</t>
  </si>
  <si>
    <t>Taxes paid/refund (net)</t>
  </si>
  <si>
    <t>Net cash generated from operating activities-continuing operations</t>
  </si>
  <si>
    <t>Net cash generated from operating activities-discontinuing operations</t>
  </si>
  <si>
    <t>Net cash generated from operating activities- continuing and discontinuing operations</t>
  </si>
  <si>
    <t>Payment for PPE's including capital advance and capital creditors (net)</t>
  </si>
  <si>
    <t>Interest income on bank and other deposits</t>
  </si>
  <si>
    <t>Inter corporate deposits/project/other advances given (net)</t>
  </si>
  <si>
    <t>Investment/redemption in fixed deposits/margin money deposits having original maturity more than 3 months</t>
  </si>
  <si>
    <t>Net cash used in investing activities- continuing operations</t>
  </si>
  <si>
    <t>Net cash generated from investing activities- discontinuing operations</t>
  </si>
  <si>
    <t>Net cash flow/used in investing activities</t>
  </si>
  <si>
    <t>Proceeds from long term borrowings</t>
  </si>
  <si>
    <t>Repayment of long term borrowings</t>
  </si>
  <si>
    <t>Repayment of short term borrowings</t>
  </si>
  <si>
    <t>Proceeds from short term borrowings</t>
  </si>
  <si>
    <t>Interest and finance charges paid</t>
  </si>
  <si>
    <t>Inter corporate deposits repaid</t>
  </si>
  <si>
    <t>Proceeds from issue of equity share warrants/conversion</t>
  </si>
  <si>
    <t>Net cash used in financing activities - continuing operations</t>
  </si>
  <si>
    <t>Net cash used in financing activities - discontinuing operations</t>
  </si>
  <si>
    <t xml:space="preserve">Net cash flow/used in financing activities </t>
  </si>
  <si>
    <t>Net increase in cash and cash equivalents</t>
  </si>
  <si>
    <t>Opening balance of cash and cash equivalents</t>
  </si>
  <si>
    <t>Closing balance of cash and cash equivalents</t>
  </si>
  <si>
    <t>Cash flow Operating activities</t>
  </si>
  <si>
    <t>Adjustments:</t>
  </si>
  <si>
    <t>Transfer to contingency reserve</t>
  </si>
  <si>
    <t>Impairement of goodwill on acquisition</t>
  </si>
  <si>
    <t>Profit on sale of subsidiaries and joint ventures</t>
  </si>
  <si>
    <t>Gain/Loss on disposal of PPE (net)</t>
  </si>
  <si>
    <t>Employee stock option expenses</t>
  </si>
  <si>
    <t>Discount amortised/accrued on bonds (net)</t>
  </si>
  <si>
    <t>Dividend income</t>
  </si>
  <si>
    <t>Gain on sale of current investment measured at fair value</t>
  </si>
  <si>
    <t>Allowances for doubtful debts and advances (net)</t>
  </si>
  <si>
    <t>Bad debts</t>
  </si>
  <si>
    <t>Provision for warranties</t>
  </si>
  <si>
    <t>Interest on overdue TR</t>
  </si>
  <si>
    <t>Ammortization of service line contributions and govt grant</t>
  </si>
  <si>
    <t>Guarantee commission from joint ventures</t>
  </si>
  <si>
    <t>Share of net profit of associates and JV accounted for equity method</t>
  </si>
  <si>
    <t>Ammortization of deferred revenue</t>
  </si>
  <si>
    <t>Ammortization of deferred rent</t>
  </si>
  <si>
    <t>Provision for future forseeable losses</t>
  </si>
  <si>
    <t>Net foreign exchange differences</t>
  </si>
  <si>
    <t>Adjustments for increase/decrease in operating assets:</t>
  </si>
  <si>
    <t>Loans-Current</t>
  </si>
  <si>
    <t>Other financial assets - non current</t>
  </si>
  <si>
    <t>Other financial assets- current</t>
  </si>
  <si>
    <t>Regulatory deferral account - assets</t>
  </si>
  <si>
    <t>Movement in operating assets</t>
  </si>
  <si>
    <t>Adjustments for increase/decrease in operating liabilities:</t>
  </si>
  <si>
    <t>Other financial liabilities-current</t>
  </si>
  <si>
    <t>Other financial liab-non current</t>
  </si>
  <si>
    <t>Regulatory deferral account - liabilities</t>
  </si>
  <si>
    <t>Current provisions</t>
  </si>
  <si>
    <t>Non current provisions</t>
  </si>
  <si>
    <t>Movement in operating liabilities</t>
  </si>
  <si>
    <t>Cash flow from/used in operations</t>
  </si>
  <si>
    <t xml:space="preserve">Income tax paid </t>
  </si>
  <si>
    <t>Net cash flow from/used in operating activities</t>
  </si>
  <si>
    <t>Cash flow from Investing activities</t>
  </si>
  <si>
    <t>CapEx on PPE</t>
  </si>
  <si>
    <t>Purchase/proceeds from sale of current investments (net)</t>
  </si>
  <si>
    <t>Purchase of non-current investments</t>
  </si>
  <si>
    <t>Buy back of non-current investments</t>
  </si>
  <si>
    <t>Proceeds from sale of non current investments</t>
  </si>
  <si>
    <t>Inter corporate deposits given</t>
  </si>
  <si>
    <t>Repayment of inter corporate deposits given</t>
  </si>
  <si>
    <t>Interests received</t>
  </si>
  <si>
    <t>Interest on overdue trade receivables</t>
  </si>
  <si>
    <t>Guarantee commission received</t>
  </si>
  <si>
    <t>Dividend received</t>
  </si>
  <si>
    <t>Other non current bank deposits</t>
  </si>
  <si>
    <t>Bank balance not considered as cash and cash equivalents</t>
  </si>
  <si>
    <t>Net cash flow from/used in investing activities</t>
  </si>
  <si>
    <t>Cash flow from Financing activities</t>
  </si>
  <si>
    <t>Proceeds from issue of shares including shares issued to minority shareholders</t>
  </si>
  <si>
    <t>Increase in capital/service line contributions and contribution from consumers</t>
  </si>
  <si>
    <t>Proceeds from current borrowings</t>
  </si>
  <si>
    <t>Repayment from current borrowings</t>
  </si>
  <si>
    <t>Payment of lease liability</t>
  </si>
  <si>
    <t xml:space="preserve">Dividends paid to equity holders </t>
  </si>
  <si>
    <t>Dividends paid to non controlling interests</t>
  </si>
  <si>
    <t>Net cash flow from/used in Financing activities</t>
  </si>
  <si>
    <t>Cash and cash equivalents in the beginning of the year</t>
  </si>
  <si>
    <t>Cash and cash equivalents in the end of the year</t>
  </si>
  <si>
    <t>Effect of exchange fluctuation on cash and cash equivalents</t>
  </si>
  <si>
    <t>CASH FLOW FROM OPERATING ACTIVTIES</t>
  </si>
  <si>
    <t xml:space="preserve">Interest income earned on financial assets that are not designated </t>
  </si>
  <si>
    <t>Dividend income from investments designated as fair value</t>
  </si>
  <si>
    <t>Share of profit of a joint venture</t>
  </si>
  <si>
    <t xml:space="preserve">Net gain arising on financial instruments designated </t>
  </si>
  <si>
    <t>Writeback of liabilities no longer required</t>
  </si>
  <si>
    <t>Share based payments</t>
  </si>
  <si>
    <t>Gain/loss on disposal of PPE (net)</t>
  </si>
  <si>
    <t>Allowance for slow moving inventory</t>
  </si>
  <si>
    <t>Impairement loss on loans/trade receivables</t>
  </si>
  <si>
    <t>Unrealized foreign exchange loss (net)</t>
  </si>
  <si>
    <t>Allowance for impairement of advances</t>
  </si>
  <si>
    <t>Adjustments for working capital changes</t>
  </si>
  <si>
    <t>Decrease/increase in trade receivables and unbilled revenue</t>
  </si>
  <si>
    <t>Decrease/increase in inventories</t>
  </si>
  <si>
    <t>Decrease/increase in current and non current assets</t>
  </si>
  <si>
    <t>Increase/decrease in trade payables and other liabilities</t>
  </si>
  <si>
    <t>Cash flow from operations</t>
  </si>
  <si>
    <t>Income tax paid</t>
  </si>
  <si>
    <t>NET CASH GENERATED/USED IN OPERATING ACTIVITIES</t>
  </si>
  <si>
    <t>CASH FLOW FROM INVESTING ACTIVITIES</t>
  </si>
  <si>
    <t>Purchase of PPE</t>
  </si>
  <si>
    <t>Loans given</t>
  </si>
  <si>
    <t>Loans repaid</t>
  </si>
  <si>
    <t>Advances given</t>
  </si>
  <si>
    <t>Interest received</t>
  </si>
  <si>
    <t>Dividend received on investments</t>
  </si>
  <si>
    <t>Proceeds from sale of investments in subsidiaries</t>
  </si>
  <si>
    <t>Proceeds from redemption of preference shares</t>
  </si>
  <si>
    <t>Purchase of investments designated as FVTPL</t>
  </si>
  <si>
    <t>Proceeds from sale of investments in earmarked MF and instruments</t>
  </si>
  <si>
    <t>Payments towards business acquisition</t>
  </si>
  <si>
    <t>Payments towards asset acquisition</t>
  </si>
  <si>
    <t>Bank deposits not considered as cash equivalents (net)</t>
  </si>
  <si>
    <t>NET CASH FROM/USED IN INVESTING ACTIVITIES</t>
  </si>
  <si>
    <t>CASH FLOW FROM FINANCING ACTIVITIES</t>
  </si>
  <si>
    <t>Proceeds from fresh issue of equity shares under ESOP plan</t>
  </si>
  <si>
    <t>Payment/Proceeds for treasury shares under ESOP Plan</t>
  </si>
  <si>
    <t>Proceeds from current borrowings (net)</t>
  </si>
  <si>
    <t>Payment of lease liabilities</t>
  </si>
  <si>
    <t>Interest paid</t>
  </si>
  <si>
    <t>Dividend paid</t>
  </si>
  <si>
    <t>NET CASH GENERATED/USED IN FINANCING ACTIVITIES</t>
  </si>
  <si>
    <t>NET DECREASE/INCREASE IN CASH AND CASH EQUIVALENTS</t>
  </si>
  <si>
    <t>CASH AND CASH EQUIVALENTS AT BEGINNING OF THE YEAR</t>
  </si>
  <si>
    <t>Add: Cash and cash equivalents pursuant to business combination</t>
  </si>
  <si>
    <t>Add: Fair value loss/gain on liquid investments</t>
  </si>
  <si>
    <t>Add: Effect of exchange rate changes on cash and cash equivalents</t>
  </si>
  <si>
    <t>CASH AND CASH EQUIVALENTS AT THE END OF THE YEAR</t>
  </si>
  <si>
    <t>CASH FLOW FROM OPERATING ACTIVITIES</t>
  </si>
  <si>
    <t>Profit before tax and regulatory deferral ac balances</t>
  </si>
  <si>
    <t>Add: Net movements in regulatory deferral a/c balances</t>
  </si>
  <si>
    <t>Add: Tax on net movements in regulatory deferral a/c balances</t>
  </si>
  <si>
    <t>Profit before tax including movement in regulatory deferral a/c balances</t>
  </si>
  <si>
    <t>Depreciation, ammortization and impaired expense</t>
  </si>
  <si>
    <t>Share of net profit of joint ventures accounted for using equity method</t>
  </si>
  <si>
    <t>On account of govt grants</t>
  </si>
  <si>
    <t>Deferred foreign currency fluctuation asset</t>
  </si>
  <si>
    <t>Deferred income from foreign currency fluctuation</t>
  </si>
  <si>
    <t>Regulatory deferral account balances</t>
  </si>
  <si>
    <t>Fly ash utilization reserve fund</t>
  </si>
  <si>
    <t>Unwinding of discount on vendor liabilities</t>
  </si>
  <si>
    <t>Interest income/late payment surcharge/income on investments</t>
  </si>
  <si>
    <t>Provisions writtenback</t>
  </si>
  <si>
    <t>Profit on de recognition of PPE</t>
  </si>
  <si>
    <t>Loss on de recognition of PPE</t>
  </si>
  <si>
    <t>Adjustments for;</t>
  </si>
  <si>
    <t>Trade payables, provisions, other financial liabilties and other liabilities</t>
  </si>
  <si>
    <t>Loans, othe financial assets and other assets</t>
  </si>
  <si>
    <t>Cash Generated from operations</t>
  </si>
  <si>
    <t>Income taxes paid/refunded</t>
  </si>
  <si>
    <t>NET CASH FROM/USED IN OPERATING ACTIVITIES</t>
  </si>
  <si>
    <t>Purchase of PPE and intangible assets</t>
  </si>
  <si>
    <t>Disposal of PPE and intangible assets</t>
  </si>
  <si>
    <t>Redemption of non convertible debentures</t>
  </si>
  <si>
    <t>Investment in JV Companies (net)</t>
  </si>
  <si>
    <t>Interest income/late payment surcharge/income on investments received</t>
  </si>
  <si>
    <t>Dividend received from other investments</t>
  </si>
  <si>
    <t>Income tax paid on income from investing activities</t>
  </si>
  <si>
    <t>Poceeds from non-current borrowings</t>
  </si>
  <si>
    <t>Net cash from/used in financing activities</t>
  </si>
  <si>
    <t>Cash and cash equivalents acquired on business combinations</t>
  </si>
  <si>
    <t>Special rebate to beneficiaries - exceptional items</t>
  </si>
  <si>
    <t>Exchange differences on translation of foreign currency</t>
  </si>
  <si>
    <t>Buy back of equity share capital</t>
  </si>
  <si>
    <t>FINANCIAL RATIOS (ADANI POWER)</t>
  </si>
  <si>
    <t>FINANCIAL RATIOS (Reliance Power)</t>
  </si>
  <si>
    <t>FINANCIAL RATIOS (TATA Power)</t>
  </si>
  <si>
    <t>FINANCIAL RATIOS (JSW Energy)</t>
  </si>
  <si>
    <t>FINANCIAL RATIOS (NTPC)</t>
  </si>
  <si>
    <t>Profitability ratios</t>
  </si>
  <si>
    <t>Gross Profit margin</t>
  </si>
  <si>
    <t>Operating profit margin</t>
  </si>
  <si>
    <t>Net profit margin</t>
  </si>
  <si>
    <t>Return on capital employed</t>
  </si>
  <si>
    <t>Return on Equity</t>
  </si>
  <si>
    <t>Liquidity ratios</t>
  </si>
  <si>
    <t>Current ratio</t>
  </si>
  <si>
    <t>Quick ratio</t>
  </si>
  <si>
    <t>Solvency ratio</t>
  </si>
  <si>
    <t>Debt-to-Equity ratio</t>
  </si>
  <si>
    <t>Interest coverage ratio</t>
  </si>
  <si>
    <t>Efficiency ratio</t>
  </si>
  <si>
    <t>Asset turnover ratio</t>
  </si>
  <si>
    <t>Inventory turnover ratio</t>
  </si>
  <si>
    <t>Day sales outstanding</t>
  </si>
  <si>
    <t>Market value ratios</t>
  </si>
  <si>
    <t>Price-to-earning ratio</t>
  </si>
  <si>
    <t>Price-to-book ratio</t>
  </si>
  <si>
    <t>Dividend yield</t>
  </si>
  <si>
    <t>EV/EBITDA</t>
  </si>
  <si>
    <t>Market price per share</t>
  </si>
  <si>
    <t>Book value per share</t>
  </si>
  <si>
    <t>Shares outstanding (total)</t>
  </si>
  <si>
    <t>Shares outstanding (total in cr)</t>
  </si>
  <si>
    <t>Market Price as of Last year (Rs)</t>
  </si>
  <si>
    <t>Key Metrics &amp; Assumptions</t>
  </si>
  <si>
    <t>Revenue Y-o-Y growth</t>
  </si>
  <si>
    <t>EBIT Margin</t>
  </si>
  <si>
    <t>CapEX as % of revenue</t>
  </si>
  <si>
    <t>Depreciation as % of revenue</t>
  </si>
  <si>
    <t>Working Capital</t>
  </si>
  <si>
    <t>Change in Net WC as % of revenue</t>
  </si>
  <si>
    <t>Assumptions</t>
  </si>
  <si>
    <t>Revenue growth rate</t>
  </si>
  <si>
    <t>CapEx as % of revenue</t>
  </si>
  <si>
    <t>Change in NWC as % of revenue</t>
  </si>
  <si>
    <t>Tax Rate</t>
  </si>
  <si>
    <t>Risk Free rate (Rf)</t>
  </si>
  <si>
    <t>Market risk premium (Rm-Rf)</t>
  </si>
  <si>
    <t>Perpetual growth rate (g)</t>
  </si>
  <si>
    <t>Market Value of equity</t>
  </si>
  <si>
    <t>Market value of debt</t>
  </si>
  <si>
    <t>KEY ASSUMPTIONS (ADANI POWER)</t>
  </si>
  <si>
    <t>KEY ASSUMPTIONS (Reliance Power)</t>
  </si>
  <si>
    <t>Average</t>
  </si>
  <si>
    <t>Nil</t>
  </si>
  <si>
    <t>Shares Outstanding in cr</t>
  </si>
  <si>
    <t>Current market price</t>
  </si>
  <si>
    <t>Market Value of equity in cr</t>
  </si>
  <si>
    <t>Revenue</t>
  </si>
  <si>
    <t>EBIT</t>
  </si>
  <si>
    <t>Taxes</t>
  </si>
  <si>
    <t>NOPAT</t>
  </si>
  <si>
    <t>Plus: Depreciation &amp; Ammortization</t>
  </si>
  <si>
    <t>Less: CapEx</t>
  </si>
  <si>
    <t>Less: Change in NWC</t>
  </si>
  <si>
    <t xml:space="preserve">FCFF </t>
  </si>
  <si>
    <t>PV of Projected FCFF</t>
  </si>
  <si>
    <t>Metrics</t>
  </si>
  <si>
    <t>2025</t>
  </si>
  <si>
    <t>2026</t>
  </si>
  <si>
    <t>2027</t>
  </si>
  <si>
    <t>2028</t>
  </si>
  <si>
    <t>2029</t>
  </si>
  <si>
    <t>2024</t>
  </si>
  <si>
    <t>CMP</t>
  </si>
  <si>
    <t>Growth rate</t>
  </si>
  <si>
    <t>WACC</t>
  </si>
  <si>
    <t>Component</t>
  </si>
  <si>
    <t>Cost of Equity (Ke)</t>
  </si>
  <si>
    <t>Cost of Debt (Kd)</t>
  </si>
  <si>
    <t>Weight of Equity</t>
  </si>
  <si>
    <t>Weight of Debt</t>
  </si>
  <si>
    <t>Weighted Average Cost of Capital</t>
  </si>
  <si>
    <t>Metric</t>
  </si>
  <si>
    <t>Terminal Value</t>
  </si>
  <si>
    <t>PV of Terminal Value</t>
  </si>
  <si>
    <t xml:space="preserve">Shares Outstanding </t>
  </si>
  <si>
    <t>Intrinsic Value per share</t>
  </si>
  <si>
    <t>Current Market Price</t>
  </si>
  <si>
    <t>Upside / Downside</t>
  </si>
  <si>
    <t>Intrinsic Value Calculation</t>
  </si>
  <si>
    <t>FCFF(ADANI POWER)</t>
  </si>
  <si>
    <t>FCFF(Reliance Power)</t>
  </si>
  <si>
    <t>COMPANY PROFILE</t>
  </si>
  <si>
    <t>2030</t>
  </si>
  <si>
    <t>Add: Total Debt</t>
  </si>
  <si>
    <t>Less: Cash &amp; Cash equivalents</t>
  </si>
  <si>
    <t>Growth Rate</t>
  </si>
  <si>
    <t>Equity Value</t>
  </si>
  <si>
    <t>EPS</t>
  </si>
  <si>
    <t>Market Cap</t>
  </si>
  <si>
    <t>Revenue CAGR</t>
  </si>
  <si>
    <t>Adani</t>
  </si>
  <si>
    <t>Reliance</t>
  </si>
  <si>
    <t>Tata</t>
  </si>
  <si>
    <t>JSW</t>
  </si>
  <si>
    <t>Earnings Growth</t>
  </si>
  <si>
    <t>Capex intensity</t>
  </si>
  <si>
    <t>GDP growth</t>
  </si>
  <si>
    <t>Change</t>
  </si>
  <si>
    <t>Senstivity</t>
  </si>
  <si>
    <t>Year</t>
  </si>
  <si>
    <t>Company</t>
  </si>
  <si>
    <t>Amount</t>
  </si>
  <si>
    <t>2020-24</t>
  </si>
  <si>
    <t>2025-30</t>
  </si>
  <si>
    <t>Avg Capex</t>
  </si>
  <si>
    <t>Capex CAGR</t>
  </si>
  <si>
    <t>Tata Power</t>
  </si>
  <si>
    <t>JSW energy</t>
  </si>
  <si>
    <t>Change in EBIT (Historical)</t>
  </si>
  <si>
    <t>Change in CE</t>
  </si>
  <si>
    <t>Incremental ROCE (Historical)</t>
  </si>
  <si>
    <t>Change in EBIT (Forecast)</t>
  </si>
  <si>
    <t>Capex</t>
  </si>
  <si>
    <t>Depreciation</t>
  </si>
  <si>
    <t>Effective Capital</t>
  </si>
  <si>
    <t>Raw ROCE (Forecast)</t>
  </si>
  <si>
    <t>Adjusted ROCE (Forecast)</t>
  </si>
  <si>
    <t>Earnings CAGR</t>
  </si>
  <si>
    <t>Enterprise Value</t>
  </si>
  <si>
    <t>D/CE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</si>
</sst>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4009]\ * #,##0_ ;_ [$₹-4009]\ * \-#,##0_ ;_ [$₹-4009]\ * &quot;-&quot;_ ;_ @_ "/>
    <numFmt numFmtId="165" formatCode="_([$$-409]* #,##0.00_);_([$$-409]* \(#,##0.00\);_([$$-409]* &quot;-&quot;??_);_(@_)"/>
    <numFmt numFmtId="166" formatCode="_-[$$-409]* #,##0_ ;_-[$$-409]* \-#,##0\ ;_-[$$-409]* &quot;-&quot;??_ ;_-@_ "/>
    <numFmt numFmtId="167" formatCode="_ [$₹-4009]\ * #,##0.00_ ;_ [$₹-4009]\ * \-#,##0.00_ ;_ [$₹-4009]\ * &quot;-&quot;??_ ;_ @_ "/>
    <numFmt numFmtId="168" formatCode="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8"/>
      <color theme="0"/>
      <name val="Calibri"/>
      <family val="2"/>
      <scheme val="minor"/>
    </font>
    <font>
      <b/>
      <sz val="14"/>
      <color theme="1"/>
      <name val="Calibri"/>
      <family val="2"/>
      <scheme val="minor"/>
    </font>
    <font>
      <b/>
      <sz val="12"/>
      <name val="Calibri"/>
      <family val="2"/>
      <scheme val="minor"/>
    </font>
    <font>
      <b/>
      <sz val="20"/>
      <color theme="0"/>
      <name val="Calibri"/>
      <family val="2"/>
      <scheme val="minor"/>
    </font>
    <font>
      <sz val="8"/>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right/>
      <top style="thin">
        <color theme="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98">
    <xf numFmtId="0" fontId="0" fillId="0" borderId="0" xfId="0"/>
    <xf numFmtId="0" fontId="0" fillId="0" borderId="0" xfId="0" applyAlignment="1">
      <alignment vertical="center"/>
    </xf>
    <xf numFmtId="0" fontId="3" fillId="0" borderId="0" xfId="0" applyFont="1" applyAlignment="1">
      <alignment vertical="center"/>
    </xf>
    <xf numFmtId="0" fontId="0" fillId="0" borderId="0" xfId="0" applyAlignment="1">
      <alignment horizontal="center"/>
    </xf>
    <xf numFmtId="0" fontId="0" fillId="0" borderId="0" xfId="0" applyAlignment="1">
      <alignment vertical="center" wrapText="1"/>
    </xf>
    <xf numFmtId="0" fontId="3" fillId="0" borderId="1" xfId="0" applyFont="1" applyBorder="1" applyAlignment="1">
      <alignment vertical="center"/>
    </xf>
    <xf numFmtId="0" fontId="3" fillId="0" borderId="1" xfId="0"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vertical="center" wrapText="1"/>
    </xf>
    <xf numFmtId="0" fontId="0" fillId="0" borderId="1" xfId="0" applyBorder="1" applyAlignment="1">
      <alignment horizontal="center" vertical="center" wrapText="1"/>
    </xf>
    <xf numFmtId="1" fontId="0" fillId="0" borderId="1" xfId="0" applyNumberFormat="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166" fontId="0" fillId="0" borderId="1" xfId="1" applyNumberFormat="1" applyFont="1" applyBorder="1" applyAlignment="1">
      <alignment horizontal="center"/>
    </xf>
    <xf numFmtId="167" fontId="0" fillId="0" borderId="1" xfId="0" applyNumberFormat="1" applyBorder="1" applyAlignment="1">
      <alignment horizontal="center"/>
    </xf>
    <xf numFmtId="3" fontId="0" fillId="0" borderId="1" xfId="0" applyNumberFormat="1" applyBorder="1" applyAlignment="1">
      <alignment horizontal="right" vertical="center"/>
    </xf>
    <xf numFmtId="10" fontId="0" fillId="0" borderId="1" xfId="0" applyNumberFormat="1" applyBorder="1" applyAlignment="1">
      <alignment horizontal="center"/>
    </xf>
    <xf numFmtId="4" fontId="0" fillId="0" borderId="1" xfId="0" applyNumberFormat="1" applyBorder="1" applyAlignment="1">
      <alignment horizontal="right" vertical="center"/>
    </xf>
    <xf numFmtId="167" fontId="0" fillId="0" borderId="1" xfId="0" applyNumberFormat="1" applyBorder="1" applyAlignment="1">
      <alignment horizontal="right" vertical="center"/>
    </xf>
    <xf numFmtId="49" fontId="3" fillId="0" borderId="1" xfId="0" applyNumberFormat="1" applyFont="1" applyBorder="1" applyAlignment="1">
      <alignment vertical="center"/>
    </xf>
    <xf numFmtId="0" fontId="0" fillId="0" borderId="1" xfId="0" applyBorder="1" applyAlignment="1">
      <alignment vertical="center"/>
    </xf>
    <xf numFmtId="43" fontId="0" fillId="0" borderId="1" xfId="1" applyFont="1" applyBorder="1" applyAlignment="1">
      <alignment vertical="center"/>
    </xf>
    <xf numFmtId="43" fontId="3" fillId="0" borderId="1" xfId="1" applyFont="1" applyBorder="1" applyAlignment="1">
      <alignment vertical="center"/>
    </xf>
    <xf numFmtId="0" fontId="3" fillId="0" borderId="5" xfId="0" applyFont="1" applyBorder="1" applyAlignment="1">
      <alignment vertical="center"/>
    </xf>
    <xf numFmtId="49" fontId="3" fillId="0" borderId="5" xfId="0" applyNumberFormat="1" applyFont="1" applyBorder="1" applyAlignment="1">
      <alignment vertical="center"/>
    </xf>
    <xf numFmtId="0" fontId="0" fillId="0" borderId="5" xfId="0" applyBorder="1"/>
    <xf numFmtId="0" fontId="3" fillId="0" borderId="5" xfId="0" applyFont="1" applyBorder="1"/>
    <xf numFmtId="0" fontId="0" fillId="0" borderId="5" xfId="0" applyBorder="1" applyAlignment="1">
      <alignment vertical="center" wrapText="1"/>
    </xf>
    <xf numFmtId="0" fontId="4" fillId="3" borderId="5" xfId="0" applyFont="1" applyFill="1" applyBorder="1" applyAlignment="1">
      <alignment vertical="center"/>
    </xf>
    <xf numFmtId="0" fontId="0" fillId="0" borderId="5" xfId="0" applyBorder="1" applyAlignment="1">
      <alignment vertical="center"/>
    </xf>
    <xf numFmtId="43" fontId="0" fillId="0" borderId="5" xfId="1" applyFont="1" applyBorder="1" applyAlignment="1">
      <alignment vertical="center"/>
    </xf>
    <xf numFmtId="43" fontId="3" fillId="0" borderId="5" xfId="1" applyFont="1" applyBorder="1" applyAlignment="1">
      <alignment vertical="center"/>
    </xf>
    <xf numFmtId="0" fontId="4" fillId="2" borderId="5" xfId="0" applyFont="1" applyFill="1" applyBorder="1" applyAlignment="1">
      <alignment horizontal="center" vertical="center"/>
    </xf>
    <xf numFmtId="43" fontId="1" fillId="0" borderId="5" xfId="1" applyFont="1" applyBorder="1" applyAlignment="1">
      <alignment vertical="center"/>
    </xf>
    <xf numFmtId="0" fontId="3" fillId="0" borderId="5" xfId="0" applyFont="1" applyBorder="1" applyAlignment="1">
      <alignment vertical="center" wrapText="1"/>
    </xf>
    <xf numFmtId="0" fontId="3" fillId="0" borderId="5" xfId="0" applyFont="1" applyBorder="1" applyAlignment="1">
      <alignment horizontal="left" vertical="center" wrapText="1"/>
    </xf>
    <xf numFmtId="43" fontId="3" fillId="2" borderId="5" xfId="1" applyFont="1" applyFill="1" applyBorder="1" applyAlignment="1">
      <alignment horizontal="center" vertical="center"/>
    </xf>
    <xf numFmtId="43" fontId="0" fillId="0" borderId="0" xfId="1" applyFont="1" applyAlignment="1">
      <alignment vertical="center"/>
    </xf>
    <xf numFmtId="0" fontId="3" fillId="0" borderId="9" xfId="0" applyFont="1" applyBorder="1"/>
    <xf numFmtId="43" fontId="3" fillId="0" borderId="9" xfId="1" applyFont="1" applyBorder="1" applyAlignment="1">
      <alignment vertical="center"/>
    </xf>
    <xf numFmtId="43" fontId="0" fillId="0" borderId="0" xfId="1" applyFont="1" applyBorder="1" applyAlignment="1">
      <alignment vertical="center"/>
    </xf>
    <xf numFmtId="0" fontId="3" fillId="0" borderId="0" xfId="0" applyFont="1"/>
    <xf numFmtId="43" fontId="3" fillId="0" borderId="0" xfId="1" applyFont="1" applyBorder="1" applyAlignment="1">
      <alignment vertical="center"/>
    </xf>
    <xf numFmtId="0" fontId="3" fillId="0" borderId="10" xfId="0" applyFont="1" applyBorder="1" applyAlignment="1">
      <alignment vertical="center"/>
    </xf>
    <xf numFmtId="43" fontId="4" fillId="3" borderId="5" xfId="1" applyFont="1" applyFill="1" applyBorder="1" applyAlignment="1">
      <alignment vertical="center"/>
    </xf>
    <xf numFmtId="0" fontId="3" fillId="0" borderId="1" xfId="0" applyFont="1" applyBorder="1" applyAlignment="1">
      <alignment vertical="center" wrapText="1"/>
    </xf>
    <xf numFmtId="43" fontId="4" fillId="2" borderId="1" xfId="1"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43" fontId="4" fillId="2" borderId="9" xfId="1" applyFont="1" applyFill="1" applyBorder="1" applyAlignment="1">
      <alignment horizontal="center" vertical="center"/>
    </xf>
    <xf numFmtId="0" fontId="3" fillId="0" borderId="0" xfId="0" applyFont="1" applyAlignment="1">
      <alignment horizontal="left" vertical="center"/>
    </xf>
    <xf numFmtId="43" fontId="4" fillId="0" borderId="0" xfId="1" applyFont="1" applyFill="1" applyBorder="1" applyAlignment="1">
      <alignment horizontal="center" vertical="center"/>
    </xf>
    <xf numFmtId="43" fontId="3" fillId="0" borderId="0" xfId="1" applyFont="1" applyFill="1" applyBorder="1" applyAlignment="1">
      <alignment vertical="center"/>
    </xf>
    <xf numFmtId="43" fontId="0" fillId="0" borderId="0" xfId="1" applyFont="1" applyFill="1" applyBorder="1" applyAlignment="1">
      <alignment vertical="center"/>
    </xf>
    <xf numFmtId="43" fontId="0" fillId="0" borderId="0" xfId="1" applyFont="1" applyFill="1" applyAlignment="1">
      <alignment vertical="center"/>
    </xf>
    <xf numFmtId="43" fontId="0" fillId="0" borderId="0" xfId="1" applyFont="1" applyAlignment="1">
      <alignment vertical="center" wrapText="1"/>
    </xf>
    <xf numFmtId="43" fontId="3" fillId="0" borderId="1" xfId="1" applyFont="1" applyBorder="1" applyAlignment="1">
      <alignment vertical="center" wrapText="1"/>
    </xf>
    <xf numFmtId="43" fontId="1" fillId="0" borderId="1" xfId="1" applyFont="1" applyBorder="1" applyAlignment="1">
      <alignment vertical="center"/>
    </xf>
    <xf numFmtId="43" fontId="0" fillId="0" borderId="1" xfId="1" applyFont="1" applyBorder="1" applyAlignment="1">
      <alignment vertical="center" wrapText="1"/>
    </xf>
    <xf numFmtId="43" fontId="3" fillId="2" borderId="9" xfId="1" applyFont="1" applyFill="1" applyBorder="1" applyAlignment="1">
      <alignment horizontal="center" vertical="center"/>
    </xf>
    <xf numFmtId="43" fontId="4" fillId="3" borderId="9" xfId="1" applyFont="1" applyFill="1" applyBorder="1" applyAlignment="1">
      <alignment vertical="center"/>
    </xf>
    <xf numFmtId="43" fontId="3" fillId="0" borderId="1" xfId="1" applyFont="1" applyBorder="1" applyAlignment="1">
      <alignment horizontal="right" vertical="center"/>
    </xf>
    <xf numFmtId="0" fontId="0" fillId="0" borderId="1" xfId="0" applyBorder="1" applyAlignment="1">
      <alignment horizontal="left" vertical="center"/>
    </xf>
    <xf numFmtId="43" fontId="0" fillId="0" borderId="1" xfId="1" applyFont="1" applyBorder="1" applyAlignment="1">
      <alignment horizontal="left" vertical="center"/>
    </xf>
    <xf numFmtId="43" fontId="0" fillId="0" borderId="0" xfId="0" applyNumberFormat="1"/>
    <xf numFmtId="10" fontId="0" fillId="0" borderId="1" xfId="2" applyNumberFormat="1" applyFont="1" applyBorder="1" applyAlignment="1">
      <alignment vertical="center"/>
    </xf>
    <xf numFmtId="10" fontId="0" fillId="0" borderId="1" xfId="2" applyNumberFormat="1" applyFont="1" applyFill="1" applyBorder="1" applyAlignment="1">
      <alignment vertical="center"/>
    </xf>
    <xf numFmtId="168" fontId="3" fillId="2" borderId="9" xfId="2" applyNumberFormat="1" applyFont="1" applyFill="1" applyBorder="1" applyAlignment="1">
      <alignment horizontal="center" vertical="center"/>
    </xf>
    <xf numFmtId="168" fontId="3" fillId="0" borderId="1" xfId="2" applyNumberFormat="1" applyFont="1" applyBorder="1" applyAlignment="1">
      <alignment horizontal="right" vertical="center"/>
    </xf>
    <xf numFmtId="168" fontId="0" fillId="0" borderId="1" xfId="2" applyNumberFormat="1" applyFont="1" applyBorder="1"/>
    <xf numFmtId="168" fontId="0" fillId="0" borderId="0" xfId="2" applyNumberFormat="1" applyFont="1"/>
    <xf numFmtId="2" fontId="0" fillId="0" borderId="1" xfId="2" applyNumberFormat="1" applyFont="1" applyBorder="1"/>
    <xf numFmtId="2" fontId="4" fillId="3" borderId="9" xfId="1" applyNumberFormat="1" applyFont="1" applyFill="1" applyBorder="1" applyAlignment="1">
      <alignment vertical="center"/>
    </xf>
    <xf numFmtId="2" fontId="3" fillId="0" borderId="1" xfId="1" applyNumberFormat="1" applyFont="1" applyBorder="1" applyAlignment="1">
      <alignment horizontal="right" vertical="center"/>
    </xf>
    <xf numFmtId="2" fontId="0" fillId="0" borderId="1" xfId="0" applyNumberFormat="1" applyBorder="1"/>
    <xf numFmtId="2" fontId="0" fillId="0" borderId="0" xfId="0" applyNumberFormat="1"/>
    <xf numFmtId="10" fontId="0" fillId="0" borderId="1" xfId="2" applyNumberFormat="1" applyFont="1" applyBorder="1"/>
    <xf numFmtId="2" fontId="0" fillId="0" borderId="1" xfId="2" applyNumberFormat="1" applyFont="1" applyFill="1" applyBorder="1" applyAlignment="1">
      <alignment vertical="center"/>
    </xf>
    <xf numFmtId="0" fontId="0" fillId="0" borderId="1" xfId="0" applyBorder="1" applyAlignment="1">
      <alignment horizontal="left" vertical="center" wrapText="1"/>
    </xf>
    <xf numFmtId="0" fontId="0" fillId="0" borderId="0" xfId="0" applyAlignment="1">
      <alignment horizontal="left" vertical="center"/>
    </xf>
    <xf numFmtId="2" fontId="0" fillId="0" borderId="1" xfId="0" applyNumberFormat="1" applyBorder="1" applyAlignment="1">
      <alignment vertical="center"/>
    </xf>
    <xf numFmtId="2" fontId="0" fillId="0" borderId="1" xfId="0" applyNumberFormat="1" applyBorder="1" applyAlignment="1">
      <alignment horizontal="center" vertical="center"/>
    </xf>
    <xf numFmtId="168" fontId="3" fillId="2" borderId="0" xfId="2" applyNumberFormat="1" applyFont="1" applyFill="1" applyBorder="1" applyAlignment="1">
      <alignment horizontal="center" vertical="center"/>
    </xf>
    <xf numFmtId="168" fontId="3" fillId="0" borderId="0" xfId="2" applyNumberFormat="1" applyFont="1" applyBorder="1" applyAlignment="1">
      <alignment horizontal="right" vertical="center"/>
    </xf>
    <xf numFmtId="0" fontId="3" fillId="0" borderId="0" xfId="0" applyFont="1" applyAlignment="1">
      <alignment horizontal="center" vertical="center"/>
    </xf>
    <xf numFmtId="43" fontId="4" fillId="2" borderId="0" xfId="1" applyFont="1" applyFill="1" applyBorder="1" applyAlignment="1">
      <alignment horizontal="center" vertical="center"/>
    </xf>
    <xf numFmtId="0" fontId="0" fillId="0" borderId="11" xfId="0" applyBorder="1" applyAlignment="1">
      <alignment horizontal="left" vertical="center"/>
    </xf>
    <xf numFmtId="0" fontId="0" fillId="0" borderId="0" xfId="0" applyAlignment="1">
      <alignment horizontal="center" vertical="center"/>
    </xf>
    <xf numFmtId="12" fontId="0" fillId="0" borderId="1" xfId="2" applyNumberFormat="1" applyFont="1" applyBorder="1" applyAlignment="1">
      <alignment horizontal="center" vertical="center"/>
    </xf>
    <xf numFmtId="49" fontId="3" fillId="0" borderId="1" xfId="1" applyNumberFormat="1" applyFont="1" applyBorder="1" applyAlignment="1">
      <alignment horizontal="center" vertical="center"/>
    </xf>
    <xf numFmtId="49" fontId="3" fillId="0" borderId="1" xfId="2" applyNumberFormat="1" applyFont="1" applyBorder="1" applyAlignment="1">
      <alignment horizontal="center" vertical="center"/>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xf>
    <xf numFmtId="49" fontId="3" fillId="0" borderId="0" xfId="1" applyNumberFormat="1" applyFont="1" applyAlignment="1">
      <alignment horizontal="center" vertical="center"/>
    </xf>
    <xf numFmtId="2" fontId="3" fillId="0" borderId="11" xfId="1" applyNumberFormat="1" applyFont="1" applyBorder="1" applyAlignment="1">
      <alignment horizontal="right" vertical="center"/>
    </xf>
    <xf numFmtId="9" fontId="0" fillId="0" borderId="1" xfId="2" applyFont="1" applyBorder="1" applyAlignment="1">
      <alignment vertical="center"/>
    </xf>
    <xf numFmtId="168" fontId="0" fillId="0" borderId="1" xfId="2" applyNumberFormat="1" applyFont="1" applyBorder="1" applyAlignment="1">
      <alignment vertical="center"/>
    </xf>
    <xf numFmtId="10" fontId="0" fillId="0" borderId="1" xfId="2" applyNumberFormat="1" applyFont="1" applyBorder="1" applyAlignment="1">
      <alignment horizontal="center" vertical="center"/>
    </xf>
    <xf numFmtId="2" fontId="0" fillId="0" borderId="0" xfId="0" applyNumberFormat="1" applyAlignment="1">
      <alignment vertical="center"/>
    </xf>
    <xf numFmtId="10" fontId="3" fillId="0" borderId="1" xfId="2" applyNumberFormat="1" applyFont="1" applyBorder="1" applyAlignment="1">
      <alignment vertical="center"/>
    </xf>
    <xf numFmtId="10" fontId="0" fillId="0" borderId="1" xfId="0" applyNumberFormat="1" applyBorder="1" applyAlignment="1">
      <alignment vertical="center"/>
    </xf>
    <xf numFmtId="43" fontId="0" fillId="0" borderId="1" xfId="2" applyNumberFormat="1" applyFont="1" applyBorder="1" applyAlignment="1">
      <alignment vertical="center"/>
    </xf>
    <xf numFmtId="43" fontId="0" fillId="0" borderId="1" xfId="0" applyNumberFormat="1" applyBorder="1" applyAlignment="1">
      <alignment vertical="center"/>
    </xf>
    <xf numFmtId="10" fontId="0" fillId="0" borderId="0" xfId="2" applyNumberFormat="1" applyFont="1" applyAlignment="1">
      <alignment vertical="center"/>
    </xf>
    <xf numFmtId="4" fontId="0" fillId="0" borderId="1" xfId="0" applyNumberFormat="1" applyBorder="1" applyAlignment="1">
      <alignment vertical="center"/>
    </xf>
    <xf numFmtId="0" fontId="0" fillId="2" borderId="0" xfId="0" applyFill="1" applyAlignment="1">
      <alignment vertical="center"/>
    </xf>
    <xf numFmtId="168" fontId="0" fillId="0" borderId="1" xfId="0" applyNumberFormat="1" applyBorder="1" applyAlignment="1">
      <alignment vertical="center"/>
    </xf>
    <xf numFmtId="49" fontId="3" fillId="0" borderId="1" xfId="0" applyNumberFormat="1" applyFont="1" applyBorder="1" applyAlignment="1">
      <alignment horizontal="center" vertical="center"/>
    </xf>
    <xf numFmtId="49" fontId="3" fillId="0" borderId="0" xfId="0" applyNumberFormat="1" applyFont="1" applyAlignment="1">
      <alignment horizontal="center" vertical="center"/>
    </xf>
    <xf numFmtId="43" fontId="4" fillId="2" borderId="0" xfId="1" applyFont="1" applyFill="1" applyBorder="1" applyAlignment="1">
      <alignment vertical="center"/>
    </xf>
    <xf numFmtId="43" fontId="3" fillId="0" borderId="1" xfId="1" applyFont="1" applyBorder="1" applyAlignment="1">
      <alignment horizontal="center" vertical="center"/>
    </xf>
    <xf numFmtId="43" fontId="0" fillId="0" borderId="1" xfId="1" applyFont="1" applyBorder="1" applyAlignment="1">
      <alignment horizontal="left" vertical="center" wrapText="1"/>
    </xf>
    <xf numFmtId="10" fontId="0" fillId="0" borderId="1" xfId="1" applyNumberFormat="1" applyFont="1" applyBorder="1" applyAlignment="1">
      <alignment vertical="center"/>
    </xf>
    <xf numFmtId="168" fontId="0" fillId="0" borderId="1" xfId="2" applyNumberFormat="1" applyFont="1" applyBorder="1" applyAlignment="1">
      <alignment horizontal="right" vertical="center"/>
    </xf>
    <xf numFmtId="0" fontId="2" fillId="2" borderId="2" xfId="0" applyFont="1" applyFill="1" applyBorder="1" applyAlignment="1">
      <alignment vertical="center"/>
    </xf>
    <xf numFmtId="0" fontId="0" fillId="3" borderId="3"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3" fillId="0" borderId="12" xfId="0" applyFont="1" applyBorder="1" applyAlignment="1">
      <alignment vertical="center"/>
    </xf>
    <xf numFmtId="0" fontId="3" fillId="0" borderId="12" xfId="0" applyFont="1" applyBorder="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7" fillId="0" borderId="1" xfId="0" applyFont="1" applyBorder="1" applyAlignment="1">
      <alignment vertical="center"/>
    </xf>
    <xf numFmtId="0" fontId="5" fillId="0" borderId="3"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8" fillId="3" borderId="12" xfId="0" applyFont="1" applyFill="1" applyBorder="1" applyAlignment="1">
      <alignment horizontal="left" vertical="center"/>
    </xf>
    <xf numFmtId="43" fontId="3" fillId="0" borderId="1" xfId="1" applyFont="1" applyBorder="1" applyAlignment="1">
      <alignment horizontal="left" vertical="center"/>
    </xf>
    <xf numFmtId="0" fontId="3" fillId="0" borderId="1" xfId="0" applyFont="1" applyBorder="1" applyAlignment="1">
      <alignment horizontal="left" vertical="center"/>
    </xf>
    <xf numFmtId="49" fontId="3" fillId="0" borderId="0" xfId="1" applyNumberFormat="1" applyFont="1" applyBorder="1" applyAlignment="1">
      <alignment horizontal="center" vertical="center"/>
    </xf>
    <xf numFmtId="168" fontId="3" fillId="0" borderId="1" xfId="2" applyNumberFormat="1" applyFont="1" applyBorder="1" applyAlignment="1">
      <alignment vertical="center"/>
    </xf>
    <xf numFmtId="43" fontId="3" fillId="0" borderId="1" xfId="0" applyNumberFormat="1" applyFont="1" applyBorder="1" applyAlignment="1">
      <alignment vertical="center"/>
    </xf>
    <xf numFmtId="0" fontId="0" fillId="0" borderId="12" xfId="0" applyBorder="1" applyAlignment="1">
      <alignment vertical="center"/>
    </xf>
    <xf numFmtId="43" fontId="3" fillId="0" borderId="0" xfId="0" applyNumberFormat="1" applyFont="1" applyAlignment="1">
      <alignment vertical="center"/>
    </xf>
    <xf numFmtId="49" fontId="3" fillId="0" borderId="1" xfId="1" applyNumberFormat="1" applyFont="1" applyBorder="1" applyAlignment="1">
      <alignment horizontal="center"/>
    </xf>
    <xf numFmtId="43" fontId="0" fillId="0" borderId="1" xfId="1" applyFont="1" applyBorder="1" applyAlignment="1">
      <alignment horizontal="right" vertical="center"/>
    </xf>
    <xf numFmtId="43" fontId="0" fillId="0" borderId="0" xfId="1" applyFont="1"/>
    <xf numFmtId="43" fontId="0" fillId="0" borderId="1" xfId="1" applyFont="1" applyFill="1" applyBorder="1" applyAlignment="1">
      <alignment vertical="center"/>
    </xf>
    <xf numFmtId="43" fontId="0" fillId="0" borderId="1" xfId="1" applyFont="1" applyBorder="1"/>
    <xf numFmtId="10" fontId="0" fillId="0" borderId="0" xfId="2" applyNumberFormat="1" applyFont="1" applyAlignment="1">
      <alignment horizontal="center" vertical="center"/>
    </xf>
    <xf numFmtId="10" fontId="3" fillId="0" borderId="1" xfId="2" applyNumberFormat="1" applyFont="1" applyBorder="1" applyAlignment="1">
      <alignment horizontal="center" vertical="center"/>
    </xf>
    <xf numFmtId="2" fontId="3" fillId="0" borderId="1" xfId="1" applyNumberFormat="1" applyFont="1" applyBorder="1" applyAlignment="1">
      <alignment horizontal="center" vertical="center"/>
    </xf>
    <xf numFmtId="0" fontId="3" fillId="0" borderId="1" xfId="0" applyFont="1" applyBorder="1" applyAlignment="1">
      <alignment horizontal="center" vertical="center" wrapText="1"/>
    </xf>
    <xf numFmtId="10" fontId="3" fillId="0" borderId="1" xfId="0" applyNumberFormat="1" applyFont="1" applyBorder="1" applyAlignment="1">
      <alignment vertical="center"/>
    </xf>
    <xf numFmtId="10" fontId="3" fillId="0" borderId="1" xfId="0" applyNumberFormat="1" applyFont="1" applyBorder="1" applyAlignment="1">
      <alignment horizontal="center" vertical="center"/>
    </xf>
    <xf numFmtId="10" fontId="3" fillId="0" borderId="0" xfId="2" applyNumberFormat="1" applyFont="1" applyAlignment="1">
      <alignment horizontal="center" vertical="center"/>
    </xf>
    <xf numFmtId="10" fontId="0" fillId="0" borderId="18" xfId="2" applyNumberFormat="1" applyFont="1" applyFill="1" applyBorder="1" applyAlignment="1">
      <alignment vertical="center"/>
    </xf>
    <xf numFmtId="0" fontId="0" fillId="0" borderId="1" xfId="0" applyBorder="1" applyAlignment="1">
      <alignment horizontal="left" vertical="center"/>
    </xf>
    <xf numFmtId="0" fontId="9" fillId="2" borderId="15" xfId="0" applyFont="1" applyFill="1" applyBorder="1" applyAlignment="1">
      <alignment horizontal="center"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0" fillId="0" borderId="11" xfId="0" applyBorder="1" applyAlignment="1">
      <alignment horizontal="left" vertical="center"/>
    </xf>
    <xf numFmtId="0" fontId="0" fillId="0" borderId="12" xfId="0" applyBorder="1" applyAlignment="1">
      <alignment horizontal="left"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0" xfId="0" applyFont="1" applyAlignment="1">
      <alignment horizontal="left" vertical="center"/>
    </xf>
    <xf numFmtId="43" fontId="3" fillId="0" borderId="1" xfId="1" applyFont="1" applyBorder="1" applyAlignment="1">
      <alignment horizontal="left" vertical="center"/>
    </xf>
    <xf numFmtId="43" fontId="2" fillId="2" borderId="9" xfId="1" applyFont="1" applyFill="1" applyBorder="1" applyAlignment="1">
      <alignment horizontal="center" vertical="center"/>
    </xf>
    <xf numFmtId="0" fontId="2" fillId="2" borderId="9" xfId="0" applyFont="1" applyFill="1" applyBorder="1" applyAlignment="1">
      <alignment horizontal="center" vertical="center"/>
    </xf>
    <xf numFmtId="0" fontId="2" fillId="0" borderId="0" xfId="0" applyFon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43" fontId="3" fillId="0" borderId="1" xfId="1" applyFont="1" applyBorder="1" applyAlignment="1">
      <alignment horizontal="left" vertical="center" wrapText="1"/>
    </xf>
    <xf numFmtId="0" fontId="2" fillId="2" borderId="1" xfId="0" applyFont="1" applyFill="1" applyBorder="1" applyAlignment="1">
      <alignment horizontal="center" vertical="center"/>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43" fontId="3" fillId="0" borderId="2" xfId="1" applyFont="1" applyBorder="1" applyAlignment="1">
      <alignment horizontal="left" vertical="center"/>
    </xf>
    <xf numFmtId="43" fontId="3" fillId="0" borderId="3" xfId="1" applyFont="1" applyBorder="1" applyAlignment="1">
      <alignment horizontal="left" vertical="center"/>
    </xf>
    <xf numFmtId="43" fontId="3" fillId="0" borderId="4" xfId="1" applyFont="1" applyBorder="1" applyAlignment="1">
      <alignment horizontal="left" vertical="center"/>
    </xf>
    <xf numFmtId="43" fontId="0" fillId="0" borderId="1" xfId="1" applyFont="1" applyBorder="1" applyAlignment="1">
      <alignment horizontal="left" vertical="center"/>
    </xf>
    <xf numFmtId="43" fontId="2" fillId="2" borderId="1" xfId="1" applyFont="1" applyFill="1" applyBorder="1" applyAlignment="1">
      <alignment horizontal="center" vertical="center"/>
    </xf>
    <xf numFmtId="10" fontId="3" fillId="0" borderId="2" xfId="2" applyNumberFormat="1" applyFont="1" applyFill="1" applyBorder="1" applyAlignment="1">
      <alignment horizontal="left" vertical="center"/>
    </xf>
    <xf numFmtId="10" fontId="3" fillId="0" borderId="3" xfId="2" applyNumberFormat="1" applyFont="1" applyFill="1" applyBorder="1" applyAlignment="1">
      <alignment horizontal="left" vertical="center"/>
    </xf>
    <xf numFmtId="10" fontId="3" fillId="0" borderId="4" xfId="2" applyNumberFormat="1" applyFont="1" applyFill="1" applyBorder="1" applyAlignment="1">
      <alignment horizontal="left" vertical="center"/>
    </xf>
    <xf numFmtId="2" fontId="3" fillId="0" borderId="2" xfId="2" applyNumberFormat="1" applyFont="1" applyFill="1" applyBorder="1" applyAlignment="1">
      <alignment horizontal="left" vertical="center"/>
    </xf>
    <xf numFmtId="2" fontId="3" fillId="0" borderId="3" xfId="2" applyNumberFormat="1" applyFont="1" applyFill="1" applyBorder="1" applyAlignment="1">
      <alignment horizontal="left" vertical="center"/>
    </xf>
    <xf numFmtId="2" fontId="3" fillId="0" borderId="4" xfId="2" applyNumberFormat="1" applyFont="1" applyFill="1" applyBorder="1" applyAlignment="1">
      <alignment horizontal="left"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10" fontId="4" fillId="2" borderId="0" xfId="2" applyNumberFormat="1" applyFont="1" applyFill="1" applyBorder="1" applyAlignment="1">
      <alignment horizontal="center" vertical="center"/>
    </xf>
    <xf numFmtId="0" fontId="6" fillId="2" borderId="0" xfId="0" applyFont="1" applyFill="1" applyAlignment="1">
      <alignment horizontal="center" vertical="center"/>
    </xf>
  </cellXfs>
  <cellStyles count="3">
    <cellStyle name="Comma" xfId="1" builtinId="3"/>
    <cellStyle name="Normal" xfId="0" builtinId="0"/>
    <cellStyle name="Percent" xfId="2" builtinId="5"/>
  </cellStyles>
  <dxfs count="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4">
  <rv s="0">
    <v>0</v>
    <v>5</v>
  </rv>
  <rv s="0">
    <v>1</v>
    <v>5</v>
  </rv>
  <rv s="0">
    <v>2</v>
    <v>5</v>
  </rv>
  <rv s="0">
    <v>3</v>
    <v>5</v>
  </rv>
  <rv s="0">
    <v>4</v>
    <v>5</v>
  </rv>
  <rv s="1">
    <v>https://www.bing.com/financeapi/forcetrigger?t=aheeyc&amp;q=XBOM%3a533096&amp;form=skydnc</v>
    <v>Learn more on Bing</v>
  </rv>
  <rv s="2">
    <v>en-IN</v>
    <v>aheeyc</v>
    <v>268435456</v>
    <v>1</v>
    <v>Powered by Refinitiv</v>
    <v>0</v>
    <v>ADANI POWER LIMITED (XBOM:533096)</v>
    <v>2</v>
    <v>3</v>
    <v>Finance</v>
    <v>4</v>
    <v>182.75</v>
    <v>86.17</v>
    <v>1.1436999999999999</v>
    <v>-1.45</v>
    <v>-9.5709999999999996E-3</v>
    <v>INR</v>
    <v>Adani Power Limited is an India-based private base load power generation company. The Company has an installed thermal power capacity of approximately 18,150 megawatts (MW) spread over 13 power plants and a 40 MW solar power plant in Gujarat. Its segments include Power Generation and related activities and Trading, Investment and other activities. It sells power generated from its projects under a combination of long-term power purchase agreements (PPAs), supplemental power purchase agreements (SPPAs), medium-term PPA, short-term PPA, and on a merchant basis. Its power plants are located in various locations, including Mundra, Gujarat; Tiroda and Butibori, Maharashtra; Kawai, Rajasthan; Udupi, Karnataka; Raipur, Chhattisgarh; Raigarh, Chhattisgarh; Godda, Jharkhand; Singrauli, Madhya Pradesh (ongoing expansion); Singrauli, Madhya Pradesh, and Bitta, Gujarat. Its Udupi power plant operates as an imported coal-based utility with a capacity of approximately 1.2 gigawatts (GW).</v>
    <v>4176</v>
    <v>Bombay Stock Exchange</v>
    <v>XBOM</v>
    <v>XBOM</v>
    <v>Adani Corporate House, Shantigram, Near Vaishno Devi Circle,, S. G. Highway, Khodiyar, AHMEDABAD, GUJARAT, 382421 IN</v>
    <v>154.5</v>
    <v>Electrical Utilities &amp; IPPs</v>
    <v>Stock</v>
    <v>45971.562650462962</v>
    <v>5</v>
    <v>149.44999999999999</v>
    <v>2921246000000</v>
    <v>ADANI POWER LIMITED</v>
    <v>ADANI POWER LIMITED</v>
    <v>153.19999999999999</v>
    <v>23.9</v>
    <v>151.5</v>
    <v>150.05000000000001</v>
    <v>19284700000</v>
    <v>533096</v>
    <v>ADANI POWER LIMITED (XBOM:533096)</v>
    <v>2136888</v>
    <v>42832740</v>
    <v>1996</v>
  </rv>
  <rv s="3">
    <v>6</v>
  </rv>
  <rv s="1">
    <v>https://www.bing.com/financeapi/forcetrigger?t=ahe9kr&amp;q=XBOM%3a532939&amp;form=skydnc</v>
    <v>Learn more on Bing</v>
  </rv>
  <rv s="2">
    <v>en-IN</v>
    <v>ahe9kr</v>
    <v>268435456</v>
    <v>1</v>
    <v>Powered by Refinitiv</v>
    <v>0</v>
    <v>RELIANCE POWER LIMITED (XBOM:532939)</v>
    <v>2</v>
    <v>3</v>
    <v>Finance</v>
    <v>4</v>
    <v>76.489999999999995</v>
    <v>31.3</v>
    <v>2.5566</v>
    <v>1.89</v>
    <v>4.8164999999999993E-2</v>
    <v>INR</v>
    <v>Reliance Power Limited, together with its subsidiaries, is primarily engaged in the business of generation of power. The projects include coal, gas, hydro, wind and solar-based energy projects. The portfolio of the Reliance Power Group also includes Ultra Mega Power Projects (UMPPs). It is in the business of setting up and operating power projects and the development of coal mines associated with such projects. It has built a portfolio of power projects and coal mines. The Company’s projects under development include three coal-fired projects to be fueled by reserves from captive mines and supplies from India and elsewhere; one gas-fired project, and 12 hydroelectric projects, six of them in Arunachal Pradesh, five in Himachal Pradesh and one in Uttarakhand. Its project portfolio also includes 3,960 megawatts (MW) Sasan Ultra Mega Power Project (Madhya Pradesh). Its projects include Sasan Ultra Mega Power Project, Krishnapatnam Ultra Mega Power Project, and Chitrangi Power Project.</v>
    <v>1267</v>
    <v>Bombay Stock Exchange</v>
    <v>XBOM</v>
    <v>XBOM</v>
    <v>H Block, 1St Floor, Dhirubhai Ambani Knowledge, NAVI MUMBAI, MAHARASHTRA, 400710 IN</v>
    <v>42.3</v>
    <v>Electrical Utilities &amp; IPPs</v>
    <v>Stock</v>
    <v>45971.562650462962</v>
    <v>8</v>
    <v>38.9</v>
    <v>162080900000</v>
    <v>RELIANCE POWER LIMITED</v>
    <v>RELIANCE POWER LIMITED</v>
    <v>39.229999999999997</v>
    <v>5.0999999999999996</v>
    <v>39.24</v>
    <v>41.13</v>
    <v>4135771000</v>
    <v>532939</v>
    <v>RELIANCE POWER LIMITED (XBOM:532939)</v>
    <v>14695478</v>
    <v>53527870</v>
    <v>1995</v>
  </rv>
  <rv s="3">
    <v>9</v>
  </rv>
  <rv s="1">
    <v>https://www.bing.com/financeapi/forcetrigger?t=ah85gh&amp;q=XBOM%3a500400&amp;form=skydnc</v>
    <v>Learn more on Bing</v>
  </rv>
  <rv s="2">
    <v>en-IN</v>
    <v>ah85gh</v>
    <v>268435456</v>
    <v>1</v>
    <v>Powered by Refinitiv</v>
    <v>0</v>
    <v>THE TATA POWER COMPANY LIMITED (XBOM:500400)</v>
    <v>2</v>
    <v>3</v>
    <v>Finance</v>
    <v>4</v>
    <v>454.8</v>
    <v>326.25</v>
    <v>1.4703999999999999</v>
    <v>2.5499999999999998</v>
    <v>6.4819999999999999E-3</v>
    <v>INR</v>
    <v>The Tata Power Company Limited is an India-based integrated power company. The principal business of the Company is generation, transmission and distribution of electricity. Its segments include Thermal &amp; Hydro, Renewables, Transmission and Distribution, and Others. Its Thermal &amp; Hydro segment comprises of generation of power from hydroelectric sources and thermal sources (coal, gas and oil) from plants owned and operated under lease arrangement and related ancillary services. Its Renewables segment comprises of generation of power from renewable energy sources, such as wind and solar. Its Transmission and Distribution comprises of transmission and distribution network, sale of power to retail customers through distribution network and related ancillary services. Its Others segment comprises of project management contracts/infrastructure management services, property under development and satellite communication.</v>
    <v>22572</v>
    <v>Bombay Stock Exchange</v>
    <v>XBOM</v>
    <v>XBOM</v>
    <v>Bombay House, 24,, Homi Mody Street, MUMBAI, MAHARASHTRA, 400001 IN</v>
    <v>397.8</v>
    <v>Electrical Utilities &amp; IPPs</v>
    <v>Stock</v>
    <v>45971.562650462962</v>
    <v>11</v>
    <v>392</v>
    <v>1256408000000</v>
    <v>THE TATA POWER COMPANY LIMITED</v>
    <v>THE TATA POWER COMPANY LIMITED</v>
    <v>392</v>
    <v>31</v>
    <v>393.4</v>
    <v>395.95</v>
    <v>3195340000</v>
    <v>500400</v>
    <v>THE TATA POWER COMPANY LIMITED (XBOM:500400)</v>
    <v>518454</v>
    <v>5157900</v>
    <v>1919</v>
  </rv>
  <rv s="3">
    <v>12</v>
  </rv>
  <rv s="1">
    <v>https://www.bing.com/financeapi/forcetrigger?t=ahega2&amp;q=XBOM%3a533148&amp;form=skydnc</v>
    <v>Learn more on Bing</v>
  </rv>
  <rv s="2">
    <v>en-IN</v>
    <v>ahega2</v>
    <v>268435456</v>
    <v>1</v>
    <v>Powered by Refinitiv</v>
    <v>0</v>
    <v>JSW ENERGY LIMITED (XBOM:533148)</v>
    <v>2</v>
    <v>3</v>
    <v>Finance</v>
    <v>4</v>
    <v>776.35</v>
    <v>419.1</v>
    <v>1.2626999999999999</v>
    <v>2.6</v>
    <v>5.0019999999999995E-3</v>
    <v>INR</v>
    <v>JSW Energy Limited is an India-based power company, which is engaged in the business of power generation. The Company operates through two segments: Thermal and Renewables. Its Thermal segment comprises generation of power from coal and other thermal sources (lignite, gas, and oil) from plants owned and related ancillary services. Its Renewables segment comprises generation of power from renewable energy sources through hydro, wind, solar, and related ancillary services. Its plants include Baspa, Karcham Wangtoo, Barmer, Vijaynagar and Ratnagiri. Baspa Plant is in the higher reaches of the Himalayas and has a generating capacity of approximately 300 megawatts (MW). The Karcham Wangtoo plant is located on the river Satluj in Kinnaur District of Himachal Pradesh and has a generating capacity of approximately 1091 MW. Barmer Plant is located close to its fuel source, the lignite mines in Kapurdi, and Jalipa. The Vijayanagar plant consists of two separate business units, BU I and SBU I.</v>
    <v>3129</v>
    <v>Bombay Stock Exchange</v>
    <v>XBOM</v>
    <v>XBOM</v>
    <v>JSW Centre, Bandra Kurla Complex, Bandra (East), MUMBAI, MAHARASHTRA, 400051 IN</v>
    <v>526.95000000000005</v>
    <v>Electrical Utilities &amp; IPPs</v>
    <v>Stock</v>
    <v>45971.562650462962</v>
    <v>14</v>
    <v>519.65</v>
    <v>906696900000</v>
    <v>JSW ENERGY LIMITED</v>
    <v>JSW ENERGY LIMITED</v>
    <v>519.65</v>
    <v>44.75</v>
    <v>519.75</v>
    <v>522.35</v>
    <v>1746503000</v>
    <v>533148</v>
    <v>JSW ENERGY LIMITED (XBOM:533148)</v>
    <v>47576</v>
    <v>2135190</v>
    <v>1994</v>
  </rv>
  <rv s="3">
    <v>15</v>
  </rv>
  <rv s="1">
    <v>https://www.bing.com/financeapi/forcetrigger?t=ahj8rw&amp;q=XNSE%3aNTPC&amp;form=skydnc</v>
    <v>Learn more on Bing</v>
  </rv>
  <rv s="2">
    <v>en-IN</v>
    <v>ahj8rw</v>
    <v>268435456</v>
    <v>1</v>
    <v>Powered by Refinitiv</v>
    <v>0</v>
    <v>NTPC LIMITED (XNSE:NTPC)</v>
    <v>2</v>
    <v>3</v>
    <v>Finance</v>
    <v>5</v>
    <v>414.3</v>
    <v>292.8</v>
    <v>1.101</v>
    <v>-0.65</v>
    <v>-1.993E-3</v>
    <v>INR</v>
    <v>NTPC Limited is an India-based power generating company. The Company is primarily involved in the generation and sale of bulk power to State Power Utilities. Its segments include Generation of energy and Others. Its generation of energy segment is engaged in generation and sale of bulk power to state power utilities. Its other segment is focused on providing consultancy, project management and supervision, energy trading, oil &amp; gas exploration, and coal mining. The Company operates a total of 92 power stations across various Indian states, either independently or through its joint ventures (JVs) and subsidiaries. Its subsidiaries include NTPC Vidyut Vyapar Nigam Limited, NTPC Electric Supply Company Limited, Bhartiya Rail Bijlee Company Limited, Patratu Vidyut Utpadan Nigam Limited, NTPC Mining Limited, North Eastern Electric Power Corporation Limited, THDC India Limited, NTPC EDMC Waste Solutions Private Limited, NTPC Green Energy Limited, and Ratnagiri Gas and Power Private Limited.</v>
    <v>16646</v>
    <v>National Stock Exchange of India</v>
    <v>XNSE</v>
    <v>XNSE</v>
    <v>NTPC Bhawan, SCOPE Complex, Institutional Area, Lodhi Road, NEW DELHI, DELHI, 110003 IN</v>
    <v>328.25</v>
    <v>Electrical Utilities &amp; IPPs</v>
    <v>Stock</v>
    <v>45971.58289351852</v>
    <v>17</v>
    <v>324</v>
    <v>3162083000000</v>
    <v>NTPC LIMITED</v>
    <v>NTPC LIMITED</v>
    <v>326.10000000000002</v>
    <v>13.2873</v>
    <v>326.10000000000002</v>
    <v>325.45</v>
    <v>9696666000</v>
    <v>NTPC</v>
    <v>NTPC LIMITED (XNSE:NTPC)</v>
    <v>5246998</v>
    <v>11061460</v>
    <v>1975</v>
  </rv>
  <rv s="3">
    <v>18</v>
  </rv>
  <rv s="4">
    <v>en-IN</v>
    <v>avcpf2</v>
    <v>268435456</v>
    <v>1</v>
    <v>Powered by Refinitiv</v>
    <v>6</v>
    <v>INR/USD</v>
    <v>7</v>
    <v>8</v>
    <v>Finance</v>
    <v>9</v>
    <v>1.1939999999999999E-2</v>
    <v>1.124E-2</v>
    <v>-6.9999999999999999E-6</v>
    <v>-6.2080000000000002E-4</v>
    <v>USD</v>
    <v>INR</v>
    <v>1.128E-2</v>
    <v>Currency Pair</v>
    <v>45971.706377314818</v>
    <v>1.1270000000000001E-2</v>
    <v>Indian Rupee/US Dollar FX Cross Rate</v>
    <v>1.128E-2</v>
    <v>1.128E-2</v>
    <v>1.1270000000000001E-2</v>
    <v>INRUSD</v>
    <v>INR/USD</v>
  </rv>
  <rv s="3">
    <v>20</v>
  </rv>
  <rv s="0">
    <v>5</v>
    <v>5</v>
  </rv>
  <rv s="0">
    <v>6</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10">
    <spb s="0">
      <v>0</v>
      <v>Name</v>
      <v>LearnMoreOnLink</v>
    </spb>
    <spb s="1">
      <v>0</v>
      <v>0</v>
      <v>0</v>
    </spb>
    <spb s="2">
      <v>1</v>
      <v>1</v>
      <v>1</v>
      <v>1</v>
    </spb>
    <spb s="3">
      <v>1</v>
      <v>2</v>
      <v>2</v>
      <v>1</v>
      <v>3</v>
      <v>1</v>
      <v>1</v>
      <v>1</v>
      <v>4</v>
      <v>4</v>
      <v>5</v>
      <v>6</v>
      <v>1</v>
      <v>1</v>
      <v>1</v>
      <v>4</v>
      <v>7</v>
      <v>8</v>
      <v>9</v>
      <v>4</v>
    </spb>
    <spb s="4">
      <v>Delayed 15 minutes</v>
      <v>from previous close</v>
      <v>from previous close</v>
      <v>GMT</v>
    </spb>
    <spb s="4">
      <v>Delayed 5 minutes</v>
      <v>from previous close</v>
      <v>from previous close</v>
      <v>GMT</v>
    </spb>
    <spb s="5">
      <v>1</v>
      <v>Name</v>
    </spb>
    <spb s="6">
      <v>1</v>
      <v>1</v>
    </spb>
    <spb s="7">
      <v>10</v>
      <v>10</v>
      <v>3</v>
      <v>10</v>
      <v>10</v>
      <v>10</v>
      <v>5</v>
      <v>10</v>
      <v>10</v>
      <v>10</v>
      <v>7</v>
      <v>9</v>
    </spb>
    <spb s="8">
      <v>GMT</v>
    </spb>
  </spbData>
</supportingPropertyBags>
</file>

<file path=xl/richData/rdsupportingpropertybagstructure.xml><?xml version="1.0" encoding="utf-8"?>
<spbStructures xmlns="http://schemas.microsoft.com/office/spreadsheetml/2017/richdata2" count="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Sty dxfid="1">
      <rpv i="0">_([$$-en-US]* #,##0.00_);_([$$-en-US]* (#,##0.00);_([$$-en-US]*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opLeftCell="D2" workbookViewId="0">
      <selection activeCell="H14" sqref="H14"/>
    </sheetView>
  </sheetViews>
  <sheetFormatPr defaultRowHeight="14.4" x14ac:dyDescent="0.3"/>
  <cols>
    <col min="1" max="1" width="18.6640625" bestFit="1" customWidth="1"/>
    <col min="2" max="4" width="22.77734375" style="3" customWidth="1"/>
    <col min="5" max="5" width="20.88671875" style="3" bestFit="1" customWidth="1"/>
    <col min="6" max="6" width="28.109375" style="3" bestFit="1" customWidth="1"/>
  </cols>
  <sheetData>
    <row r="1" spans="1:6" ht="49.2" customHeight="1" x14ac:dyDescent="0.3">
      <c r="A1" s="149" t="s">
        <v>618</v>
      </c>
      <c r="B1" s="150"/>
      <c r="C1" s="150"/>
      <c r="D1" s="150"/>
      <c r="E1" s="150"/>
      <c r="F1" s="151"/>
    </row>
    <row r="2" spans="1:6" s="2" customFormat="1" ht="45.6" customHeight="1" x14ac:dyDescent="0.3">
      <c r="A2" s="127" t="s">
        <v>0</v>
      </c>
      <c r="B2" s="120" t="e" vm="1">
        <v>#VALUE!</v>
      </c>
      <c r="C2" s="120" t="e" vm="2">
        <v>#VALUE!</v>
      </c>
      <c r="D2" s="120" t="e" vm="3">
        <v>#VALUE!</v>
      </c>
      <c r="E2" s="120" t="e" vm="4">
        <v>#VALUE!</v>
      </c>
      <c r="F2" s="120" t="e" vm="5">
        <v>#VALUE!</v>
      </c>
    </row>
    <row r="3" spans="1:6" x14ac:dyDescent="0.3">
      <c r="A3" s="7" t="s">
        <v>1</v>
      </c>
      <c r="B3" s="8" t="s">
        <v>15</v>
      </c>
      <c r="C3" s="8" t="s">
        <v>16</v>
      </c>
      <c r="D3" s="8" t="s">
        <v>17</v>
      </c>
      <c r="E3" s="48" t="s">
        <v>229</v>
      </c>
      <c r="F3" s="48" t="s">
        <v>230</v>
      </c>
    </row>
    <row r="4" spans="1:6" s="4" customFormat="1" ht="43.2" x14ac:dyDescent="0.3">
      <c r="A4" s="9" t="s">
        <v>2</v>
      </c>
      <c r="B4" s="10" t="e" vm="6">
        <v>#VALUE!</v>
      </c>
      <c r="C4" s="10" t="e" vm="7">
        <v>#VALUE!</v>
      </c>
      <c r="D4" s="10" t="e" vm="8">
        <v>#VALUE!</v>
      </c>
      <c r="E4" s="10" t="e" vm="9">
        <v>#VALUE!</v>
      </c>
      <c r="F4" s="10" t="e" vm="10">
        <v>#VALUE!</v>
      </c>
    </row>
    <row r="5" spans="1:6" x14ac:dyDescent="0.3">
      <c r="A5" s="7" t="s">
        <v>3</v>
      </c>
      <c r="B5" s="8" t="str" cm="1">
        <f t="array" aca="1" ref="B5" ca="1">_FV(B4,"Ticker symbol",TRUE)</f>
        <v>533096</v>
      </c>
      <c r="C5" s="8" t="str" cm="1">
        <f t="array" aca="1" ref="C5" ca="1">_FV(C4,"Ticker symbol",TRUE)</f>
        <v>532939</v>
      </c>
      <c r="D5" s="8" t="str" cm="1">
        <f t="array" aca="1" ref="D5" ca="1">_FV(D4,"Ticker symbol",TRUE)</f>
        <v>500400</v>
      </c>
      <c r="E5" s="8" t="str" cm="1">
        <f t="array" aca="1" ref="E5" ca="1">_FV(E4,"Ticker symbol",TRUE)</f>
        <v>533148</v>
      </c>
      <c r="F5" s="8" t="str" cm="1">
        <f t="array" aca="1" ref="F5" ca="1">_FV(F4,"Ticker symbol",TRUE)</f>
        <v>NTPC</v>
      </c>
    </row>
    <row r="6" spans="1:6" x14ac:dyDescent="0.3">
      <c r="A6" s="7" t="s">
        <v>4</v>
      </c>
      <c r="B6" s="8" t="str" cm="1">
        <f t="array" aca="1" ref="B6" ca="1">_FV(B4,"Industry")</f>
        <v>Electrical Utilities &amp; IPPs</v>
      </c>
      <c r="C6" s="8" t="str" cm="1">
        <f t="array" aca="1" ref="C6" ca="1">_FV(C4,"Industry")</f>
        <v>Electrical Utilities &amp; IPPs</v>
      </c>
      <c r="D6" s="8" t="str" cm="1">
        <f t="array" aca="1" ref="D6" ca="1">_FV(D4,"Industry")</f>
        <v>Electrical Utilities &amp; IPPs</v>
      </c>
      <c r="E6" s="8" t="str" cm="1">
        <f t="array" aca="1" ref="E6" ca="1">_FV(E4,"Industry")</f>
        <v>Electrical Utilities &amp; IPPs</v>
      </c>
      <c r="F6" s="8" t="str" cm="1">
        <f t="array" aca="1" ref="F6" ca="1">_FV(F4,"Industry")</f>
        <v>Electrical Utilities &amp; IPPs</v>
      </c>
    </row>
    <row r="7" spans="1:6" x14ac:dyDescent="0.3">
      <c r="A7" s="7" t="s">
        <v>5</v>
      </c>
      <c r="B7" s="8" t="str" cm="1">
        <f t="array" aca="1" ref="B7" ca="1">_FV(B4,"Exchange")</f>
        <v>Bombay Stock Exchange</v>
      </c>
      <c r="C7" s="8" t="str" cm="1">
        <f t="array" aca="1" ref="C7" ca="1">_FV(C4,"Exchange")</f>
        <v>Bombay Stock Exchange</v>
      </c>
      <c r="D7" s="8" t="str" cm="1">
        <f t="array" aca="1" ref="D7" ca="1">_FV(D4,"Exchange")</f>
        <v>Bombay Stock Exchange</v>
      </c>
      <c r="E7" s="8" t="str" cm="1">
        <f t="array" aca="1" ref="E7" ca="1">_FV(E4,"Exchange")</f>
        <v>Bombay Stock Exchange</v>
      </c>
      <c r="F7" s="8" t="str" cm="1">
        <f t="array" aca="1" ref="F7" ca="1">_FV(F4,"Exchange")</f>
        <v>National Stock Exchange of India</v>
      </c>
    </row>
    <row r="8" spans="1:6" x14ac:dyDescent="0.3">
      <c r="A8" s="7" t="s">
        <v>6</v>
      </c>
      <c r="B8" s="11" cm="1">
        <f t="array" aca="1" ref="B8" ca="1">_FV(B4,"Year incorporated",TRUE)</f>
        <v>1996</v>
      </c>
      <c r="C8" s="11" cm="1">
        <f t="array" aca="1" ref="C8" ca="1">_FV(C4,"Year incorporated",TRUE)</f>
        <v>1995</v>
      </c>
      <c r="D8" s="11" cm="1">
        <f t="array" aca="1" ref="D8" ca="1">_FV(D4,"Year incorporated",TRUE)</f>
        <v>1919</v>
      </c>
      <c r="E8" s="11" cm="1">
        <f t="array" aca="1" ref="E8" ca="1">_FV(E4,"Year incorporated",TRUE)</f>
        <v>1994</v>
      </c>
      <c r="F8" s="11" cm="1">
        <f t="array" aca="1" ref="F8" ca="1">_FV(F4,"Year incorporated",TRUE)</f>
        <v>1975</v>
      </c>
    </row>
    <row r="9" spans="1:6" x14ac:dyDescent="0.3">
      <c r="A9" s="7" t="s">
        <v>7</v>
      </c>
      <c r="B9" s="12" cm="1">
        <f t="array" aca="1" ref="B9" ca="1">_FV(B4,"Market cap",TRUE)</f>
        <v>2921246000000</v>
      </c>
      <c r="C9" s="12" cm="1">
        <f t="array" aca="1" ref="C9" ca="1">_FV(C4,"Market cap",TRUE)</f>
        <v>162080900000</v>
      </c>
      <c r="D9" s="12" cm="1">
        <f t="array" aca="1" ref="D9" ca="1">_FV(D4,"Market cap",TRUE)</f>
        <v>1256408000000</v>
      </c>
      <c r="E9" s="12" cm="1">
        <f t="array" aca="1" ref="E9" ca="1">_FV(E4,"Market cap",TRUE)</f>
        <v>906696900000</v>
      </c>
      <c r="F9" s="12" cm="1">
        <f t="array" aca="1" ref="F9" ca="1">_FV(F4,"Market cap",TRUE)</f>
        <v>3162083000000</v>
      </c>
    </row>
    <row r="10" spans="1:6" x14ac:dyDescent="0.3">
      <c r="A10" s="148" t="s">
        <v>8</v>
      </c>
      <c r="B10" s="8" t="e" vm="11">
        <v>#VALUE!</v>
      </c>
      <c r="C10" s="8" t="e" vm="11">
        <v>#VALUE!</v>
      </c>
      <c r="D10" s="8" t="e" vm="11">
        <v>#VALUE!</v>
      </c>
      <c r="E10" s="8" t="e" vm="11">
        <v>#VALUE!</v>
      </c>
      <c r="F10" s="8" t="e" vm="11">
        <v>#VALUE!</v>
      </c>
    </row>
    <row r="11" spans="1:6" x14ac:dyDescent="0.3">
      <c r="A11" s="148"/>
      <c r="B11" s="13" cm="1">
        <f t="array" aca="1" ref="B11" ca="1">_FV(B10,"Price")</f>
        <v>1.1270000000000001E-2</v>
      </c>
      <c r="C11" s="13" cm="1">
        <f t="array" aca="1" ref="C11" ca="1">_FV(C10,"Price")</f>
        <v>1.1270000000000001E-2</v>
      </c>
      <c r="D11" s="13" cm="1">
        <f t="array" aca="1" ref="D11" ca="1">_FV(D10,"Price")</f>
        <v>1.1270000000000001E-2</v>
      </c>
      <c r="E11" s="13" cm="1">
        <f t="array" aca="1" ref="E11" ca="1">_FV(E10,"Price")</f>
        <v>1.1270000000000001E-2</v>
      </c>
      <c r="F11" s="13" cm="1">
        <f t="array" aca="1" ref="F11" ca="1">_FV(F10,"Price")</f>
        <v>1.1270000000000001E-2</v>
      </c>
    </row>
    <row r="12" spans="1:6" x14ac:dyDescent="0.3">
      <c r="A12" s="7" t="s">
        <v>9</v>
      </c>
      <c r="B12" s="14">
        <f ca="1">B9*B11</f>
        <v>32922442420</v>
      </c>
      <c r="C12" s="14">
        <f t="shared" ref="C12:D12" ca="1" si="0">C9*C11</f>
        <v>1826651743</v>
      </c>
      <c r="D12" s="14">
        <f t="shared" ca="1" si="0"/>
        <v>14159718160</v>
      </c>
      <c r="E12" s="14">
        <f ca="1">E9*E11</f>
        <v>10218474063</v>
      </c>
      <c r="F12" s="14">
        <f ca="1">F9*F11</f>
        <v>35636675410</v>
      </c>
    </row>
    <row r="13" spans="1:6" x14ac:dyDescent="0.3">
      <c r="A13" s="7" t="s">
        <v>10</v>
      </c>
      <c r="B13" s="15" cm="1">
        <f t="array" aca="1" ref="B13" ca="1">_FV(B4,"Price")</f>
        <v>150.05000000000001</v>
      </c>
      <c r="C13" s="15" cm="1">
        <f t="array" aca="1" ref="C13" ca="1">_FV(C4,"Price")</f>
        <v>41.13</v>
      </c>
      <c r="D13" s="15" cm="1">
        <f t="array" aca="1" ref="D13" ca="1">_FV(D4,"Price")</f>
        <v>395.95</v>
      </c>
      <c r="E13" s="15" cm="1">
        <f t="array" aca="1" ref="E13" ca="1">_FV(E4,"Price")</f>
        <v>522.35</v>
      </c>
      <c r="F13" s="15" cm="1">
        <f t="array" aca="1" ref="F13" ca="1">_FV(F4,"Price")</f>
        <v>325.45</v>
      </c>
    </row>
    <row r="14" spans="1:6" x14ac:dyDescent="0.3">
      <c r="A14" s="152" t="s">
        <v>18</v>
      </c>
      <c r="B14" s="16" cm="1">
        <f t="array" aca="1" ref="B14" ca="1">_FV(B4,"Shares outstanding",TRUE)</f>
        <v>19284700000</v>
      </c>
      <c r="C14" s="16" cm="1">
        <f t="array" aca="1" ref="C14" ca="1">_FV(C4,"Shares outstanding",TRUE)</f>
        <v>4135771000</v>
      </c>
      <c r="D14" s="16" cm="1">
        <f t="array" aca="1" ref="D14" ca="1">_FV(D4,"Shares outstanding",TRUE)</f>
        <v>3195340000</v>
      </c>
      <c r="E14" s="16" cm="1">
        <f t="array" aca="1" ref="E14" ca="1">_FV(E4,"Shares outstanding",TRUE)</f>
        <v>1746503000</v>
      </c>
      <c r="F14" s="16" cm="1">
        <f t="array" aca="1" ref="F14" ca="1">_FV(F4,"Shares outstanding",TRUE)</f>
        <v>9696666000</v>
      </c>
    </row>
    <row r="15" spans="1:6" x14ac:dyDescent="0.3">
      <c r="A15" s="153"/>
      <c r="B15" s="136">
        <f ca="1">B14/10000000</f>
        <v>1928.47</v>
      </c>
      <c r="C15" s="136">
        <f t="shared" ref="C15:F15" ca="1" si="1">C14/10000000</f>
        <v>413.57709999999997</v>
      </c>
      <c r="D15" s="136">
        <f t="shared" ca="1" si="1"/>
        <v>319.53399999999999</v>
      </c>
      <c r="E15" s="136">
        <f t="shared" ca="1" si="1"/>
        <v>174.65029999999999</v>
      </c>
      <c r="F15" s="136">
        <f t="shared" ca="1" si="1"/>
        <v>969.66660000000002</v>
      </c>
    </row>
    <row r="16" spans="1:6" x14ac:dyDescent="0.3">
      <c r="A16" s="7" t="s">
        <v>11</v>
      </c>
      <c r="B16" s="17" cm="1">
        <f t="array" aca="1" ref="B16" ca="1">_FV(B4,"Change (%)",TRUE)</f>
        <v>-9.5709999999999996E-3</v>
      </c>
      <c r="C16" s="17" cm="1">
        <f t="array" aca="1" ref="C16" ca="1">_FV(C4,"Change (%)",TRUE)</f>
        <v>4.8164999999999993E-2</v>
      </c>
      <c r="D16" s="17" cm="1">
        <f t="array" aca="1" ref="D16" ca="1">_FV(D4,"Change (%)",TRUE)</f>
        <v>6.4819999999999999E-3</v>
      </c>
      <c r="E16" s="17" cm="1">
        <f t="array" aca="1" ref="E16" ca="1">_FV(E4,"Change (%)",TRUE)</f>
        <v>5.0019999999999995E-3</v>
      </c>
      <c r="F16" s="17" cm="1">
        <f t="array" aca="1" ref="F16" ca="1">_FV(F4,"Change (%)",TRUE)</f>
        <v>-1.993E-3</v>
      </c>
    </row>
    <row r="17" spans="1:6" x14ac:dyDescent="0.3">
      <c r="A17" s="7" t="s">
        <v>12</v>
      </c>
      <c r="B17" s="18" cm="1">
        <f t="array" aca="1" ref="B17" ca="1">_FV(B4,"Beta")</f>
        <v>1.1436999999999999</v>
      </c>
      <c r="C17" s="18" cm="1">
        <f t="array" aca="1" ref="C17" ca="1">_FV(C4,"Beta")</f>
        <v>2.5566</v>
      </c>
      <c r="D17" s="18" cm="1">
        <f t="array" aca="1" ref="D17" ca="1">_FV(D4,"Beta")</f>
        <v>1.4703999999999999</v>
      </c>
      <c r="E17" s="18" cm="1">
        <f t="array" aca="1" ref="E17" ca="1">_FV(E4,"Beta")</f>
        <v>1.2626999999999999</v>
      </c>
      <c r="F17" s="18" cm="1">
        <f t="array" aca="1" ref="F17" ca="1">_FV(F4,"Beta")</f>
        <v>1.101</v>
      </c>
    </row>
    <row r="18" spans="1:6" x14ac:dyDescent="0.3">
      <c r="A18" s="7" t="s">
        <v>13</v>
      </c>
      <c r="B18" s="19" cm="1">
        <f t="array" aca="1" ref="B18" ca="1">_FV(B4,"52 week low",TRUE)</f>
        <v>86.17</v>
      </c>
      <c r="C18" s="19" cm="1">
        <f t="array" aca="1" ref="C18" ca="1">_FV(C4,"52 week low",TRUE)</f>
        <v>31.3</v>
      </c>
      <c r="D18" s="19" cm="1">
        <f t="array" aca="1" ref="D18" ca="1">_FV(D4,"52 week low",TRUE)</f>
        <v>326.25</v>
      </c>
      <c r="E18" s="19" cm="1">
        <f t="array" aca="1" ref="E18" ca="1">_FV(E4,"52 week low",TRUE)</f>
        <v>419.1</v>
      </c>
      <c r="F18" s="19" cm="1">
        <f t="array" aca="1" ref="F18" ca="1">_FV(F4,"52 week low",TRUE)</f>
        <v>292.8</v>
      </c>
    </row>
    <row r="19" spans="1:6" x14ac:dyDescent="0.3">
      <c r="A19" s="7" t="s">
        <v>14</v>
      </c>
      <c r="B19" s="19" cm="1">
        <f t="array" aca="1" ref="B19" ca="1">_FV(B4,"52 week high",TRUE)</f>
        <v>182.75</v>
      </c>
      <c r="C19" s="19" cm="1">
        <f t="array" aca="1" ref="C19" ca="1">_FV(C4,"52 week high",TRUE)</f>
        <v>76.489999999999995</v>
      </c>
      <c r="D19" s="19" cm="1">
        <f t="array" aca="1" ref="D19" ca="1">_FV(D4,"52 week high",TRUE)</f>
        <v>454.8</v>
      </c>
      <c r="E19" s="19" cm="1">
        <f t="array" aca="1" ref="E19" ca="1">_FV(E4,"52 week high",TRUE)</f>
        <v>776.35</v>
      </c>
      <c r="F19" s="19" cm="1">
        <f t="array" aca="1" ref="F19" ca="1">_FV(F4,"52 week high",TRUE)</f>
        <v>414.3</v>
      </c>
    </row>
  </sheetData>
  <mergeCells count="3">
    <mergeCell ref="A10:A11"/>
    <mergeCell ref="A1:F1"/>
    <mergeCell ref="A14:A15"/>
  </mergeCells>
  <conditionalFormatting sqref="B16:F16">
    <cfRule type="cellIs" dxfId="3" priority="1" operator="greaterThan">
      <formula>0</formula>
    </cfRule>
    <cfRule type="cellIs" dxfId="2"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9368E-57A1-4135-9214-D55548F9EBAE}">
  <dimension ref="A1:AO71"/>
  <sheetViews>
    <sheetView topLeftCell="AC45" workbookViewId="0">
      <selection activeCell="AC15" sqref="AC15"/>
    </sheetView>
  </sheetViews>
  <sheetFormatPr defaultRowHeight="14.4" x14ac:dyDescent="0.3"/>
  <cols>
    <col min="1" max="1" width="42.21875" style="1" bestFit="1" customWidth="1"/>
    <col min="2" max="6" width="9.88671875" style="1" bestFit="1" customWidth="1"/>
    <col min="8" max="8" width="43.77734375" style="1" bestFit="1" customWidth="1"/>
    <col min="9" max="12" width="9.88671875" style="1" bestFit="1" customWidth="1"/>
    <col min="13" max="13" width="10" style="1" bestFit="1" customWidth="1"/>
    <col min="15" max="15" width="55.33203125" style="1" bestFit="1" customWidth="1"/>
    <col min="16" max="17" width="9.88671875" style="1" bestFit="1" customWidth="1"/>
    <col min="18" max="20" width="11" style="1" bestFit="1" customWidth="1"/>
    <col min="22" max="22" width="55.33203125" style="38" bestFit="1" customWidth="1"/>
    <col min="23" max="24" width="9.88671875" style="38" bestFit="1" customWidth="1"/>
    <col min="25" max="27" width="11" style="38" bestFit="1" customWidth="1"/>
    <col min="29" max="29" width="55.33203125" style="1" bestFit="1" customWidth="1"/>
    <col min="30" max="31" width="10.88671875" style="38" bestFit="1" customWidth="1"/>
    <col min="32" max="34" width="11" style="38" bestFit="1" customWidth="1"/>
    <col min="36" max="36" width="55.33203125" style="1" bestFit="1" customWidth="1"/>
    <col min="37" max="38" width="9.88671875" style="55" bestFit="1" customWidth="1"/>
    <col min="39" max="41" width="11" style="55" bestFit="1" customWidth="1"/>
  </cols>
  <sheetData>
    <row r="1" spans="1:41" ht="40.799999999999997" customHeight="1" x14ac:dyDescent="0.3">
      <c r="A1" s="163" t="s">
        <v>19</v>
      </c>
      <c r="B1" s="164"/>
      <c r="C1" s="164"/>
      <c r="D1" s="164"/>
      <c r="E1" s="164"/>
      <c r="F1" s="49" t="e" vm="1">
        <v>#VALUE!</v>
      </c>
      <c r="H1" s="165" t="s">
        <v>76</v>
      </c>
      <c r="I1" s="165"/>
      <c r="J1" s="165"/>
      <c r="K1" s="165"/>
      <c r="L1" s="165"/>
      <c r="M1" s="29" t="e" vm="2">
        <v>#VALUE!</v>
      </c>
      <c r="O1" s="165" t="s">
        <v>116</v>
      </c>
      <c r="P1" s="165"/>
      <c r="Q1" s="165"/>
      <c r="R1" s="165"/>
      <c r="S1" s="165"/>
      <c r="T1" s="33" t="e" vm="12">
        <v>#VALUE!</v>
      </c>
      <c r="V1" s="160" t="s">
        <v>231</v>
      </c>
      <c r="W1" s="160"/>
      <c r="X1" s="160"/>
      <c r="Y1" s="160"/>
      <c r="Z1" s="160"/>
      <c r="AA1" s="50" t="e" vm="4">
        <v>#VALUE!</v>
      </c>
      <c r="AC1" s="161" t="s">
        <v>232</v>
      </c>
      <c r="AD1" s="161"/>
      <c r="AE1" s="161"/>
      <c r="AF1" s="161"/>
      <c r="AG1" s="161"/>
      <c r="AH1" s="50" t="e" vm="5">
        <v>#VALUE!</v>
      </c>
      <c r="AJ1" s="162"/>
      <c r="AK1" s="162"/>
      <c r="AL1" s="162"/>
      <c r="AM1" s="162"/>
      <c r="AN1" s="162"/>
      <c r="AO1" s="52"/>
    </row>
    <row r="2" spans="1:41" x14ac:dyDescent="0.3">
      <c r="A2" s="5" t="s">
        <v>20</v>
      </c>
      <c r="B2" s="20" t="s">
        <v>21</v>
      </c>
      <c r="C2" s="20" t="s">
        <v>22</v>
      </c>
      <c r="D2" s="20" t="s">
        <v>23</v>
      </c>
      <c r="E2" s="20" t="s">
        <v>24</v>
      </c>
      <c r="F2" s="20" t="s">
        <v>25</v>
      </c>
      <c r="H2" s="24" t="s">
        <v>20</v>
      </c>
      <c r="I2" s="25" t="s">
        <v>21</v>
      </c>
      <c r="J2" s="25" t="s">
        <v>22</v>
      </c>
      <c r="K2" s="25" t="s">
        <v>23</v>
      </c>
      <c r="L2" s="25" t="s">
        <v>24</v>
      </c>
      <c r="M2" s="25" t="s">
        <v>25</v>
      </c>
      <c r="O2" s="24" t="s">
        <v>20</v>
      </c>
      <c r="P2" s="25" t="s">
        <v>21</v>
      </c>
      <c r="Q2" s="25" t="s">
        <v>22</v>
      </c>
      <c r="R2" s="25" t="s">
        <v>23</v>
      </c>
      <c r="S2" s="25" t="s">
        <v>24</v>
      </c>
      <c r="T2" s="25" t="s">
        <v>25</v>
      </c>
      <c r="V2" s="23" t="s">
        <v>20</v>
      </c>
      <c r="W2" s="23" t="s">
        <v>21</v>
      </c>
      <c r="X2" s="23" t="s">
        <v>22</v>
      </c>
      <c r="Y2" s="23" t="s">
        <v>23</v>
      </c>
      <c r="Z2" s="23" t="s">
        <v>24</v>
      </c>
      <c r="AA2" s="23" t="s">
        <v>25</v>
      </c>
      <c r="AC2" s="5" t="s">
        <v>20</v>
      </c>
      <c r="AD2" s="23" t="s">
        <v>21</v>
      </c>
      <c r="AE2" s="23" t="s">
        <v>22</v>
      </c>
      <c r="AF2" s="23" t="s">
        <v>23</v>
      </c>
      <c r="AG2" s="23" t="s">
        <v>24</v>
      </c>
      <c r="AH2" s="23" t="s">
        <v>25</v>
      </c>
      <c r="AJ2" s="2"/>
      <c r="AK2" s="53"/>
      <c r="AL2" s="53"/>
      <c r="AM2" s="53"/>
      <c r="AN2" s="53"/>
      <c r="AO2" s="53"/>
    </row>
    <row r="3" spans="1:41" x14ac:dyDescent="0.3">
      <c r="A3" s="155" t="s">
        <v>26</v>
      </c>
      <c r="B3" s="156"/>
      <c r="C3" s="156"/>
      <c r="D3" s="156"/>
      <c r="E3" s="156"/>
      <c r="F3" s="157"/>
      <c r="H3" s="170" t="s">
        <v>26</v>
      </c>
      <c r="I3" s="171"/>
      <c r="J3" s="171"/>
      <c r="K3" s="171"/>
      <c r="L3" s="171"/>
      <c r="M3" s="172"/>
      <c r="O3" s="169" t="s">
        <v>26</v>
      </c>
      <c r="P3" s="169"/>
      <c r="Q3" s="169"/>
      <c r="R3" s="169"/>
      <c r="S3" s="169"/>
      <c r="T3" s="169"/>
      <c r="V3" s="22" t="s">
        <v>233</v>
      </c>
      <c r="W3" s="22">
        <v>15217.11</v>
      </c>
      <c r="X3" s="22">
        <v>14166.26</v>
      </c>
      <c r="Y3" s="22">
        <v>13422.82</v>
      </c>
      <c r="Z3" s="22">
        <v>23065.01</v>
      </c>
      <c r="AA3" s="22">
        <v>26088.16</v>
      </c>
      <c r="AC3" s="154" t="s">
        <v>26</v>
      </c>
      <c r="AD3" s="154"/>
      <c r="AE3" s="154"/>
      <c r="AF3" s="154"/>
      <c r="AG3" s="154"/>
      <c r="AH3" s="154"/>
      <c r="AJ3" s="158"/>
      <c r="AK3" s="158"/>
      <c r="AL3" s="158"/>
      <c r="AM3" s="158"/>
      <c r="AN3" s="158"/>
      <c r="AO3" s="158"/>
    </row>
    <row r="4" spans="1:41" x14ac:dyDescent="0.3">
      <c r="A4" s="155" t="s">
        <v>27</v>
      </c>
      <c r="B4" s="156"/>
      <c r="C4" s="156"/>
      <c r="D4" s="156"/>
      <c r="E4" s="156"/>
      <c r="F4" s="157"/>
      <c r="H4" s="169" t="s">
        <v>77</v>
      </c>
      <c r="I4" s="169"/>
      <c r="J4" s="169"/>
      <c r="K4" s="169"/>
      <c r="L4" s="169"/>
      <c r="M4" s="169"/>
      <c r="O4" s="169" t="s">
        <v>77</v>
      </c>
      <c r="P4" s="169"/>
      <c r="Q4" s="169"/>
      <c r="R4" s="169"/>
      <c r="S4" s="169"/>
      <c r="T4" s="169"/>
      <c r="V4" s="22" t="s">
        <v>29</v>
      </c>
      <c r="W4" s="22">
        <v>391.32</v>
      </c>
      <c r="X4" s="22">
        <v>472.77</v>
      </c>
      <c r="Y4" s="22">
        <v>2090.6</v>
      </c>
      <c r="Z4" s="22">
        <v>4779.5</v>
      </c>
      <c r="AA4" s="22">
        <v>10282.299999999999</v>
      </c>
      <c r="AC4" s="154" t="s">
        <v>246</v>
      </c>
      <c r="AD4" s="154"/>
      <c r="AE4" s="154"/>
      <c r="AF4" s="154"/>
      <c r="AG4" s="154"/>
      <c r="AH4" s="154"/>
      <c r="AJ4" s="158"/>
      <c r="AK4" s="158"/>
      <c r="AL4" s="158"/>
      <c r="AM4" s="158"/>
      <c r="AN4" s="158"/>
      <c r="AO4" s="158"/>
    </row>
    <row r="5" spans="1:41" x14ac:dyDescent="0.3">
      <c r="A5" s="21" t="s">
        <v>28</v>
      </c>
      <c r="B5" s="22">
        <v>55571.1</v>
      </c>
      <c r="C5" s="22">
        <v>52575.24</v>
      </c>
      <c r="D5" s="22">
        <v>53071.62</v>
      </c>
      <c r="E5" s="22">
        <v>50543.8</v>
      </c>
      <c r="F5" s="22">
        <v>62812.71</v>
      </c>
      <c r="H5" s="30" t="s">
        <v>78</v>
      </c>
      <c r="I5" s="31">
        <v>38526</v>
      </c>
      <c r="J5" s="31">
        <v>37144.68</v>
      </c>
      <c r="K5" s="31">
        <v>36263.94</v>
      </c>
      <c r="L5" s="31">
        <v>35733.760000000002</v>
      </c>
      <c r="M5" s="31">
        <v>33543.18</v>
      </c>
      <c r="O5" s="30" t="s">
        <v>117</v>
      </c>
      <c r="P5" s="31">
        <v>44662.61</v>
      </c>
      <c r="Q5" s="31">
        <v>48748.86</v>
      </c>
      <c r="R5" s="31">
        <v>50502.96</v>
      </c>
      <c r="S5" s="31">
        <v>54524.959999999999</v>
      </c>
      <c r="T5" s="31">
        <v>59624.06</v>
      </c>
      <c r="V5" s="22" t="s">
        <v>30</v>
      </c>
      <c r="W5" s="22">
        <v>639.82000000000005</v>
      </c>
      <c r="X5" s="22">
        <v>639.82000000000005</v>
      </c>
      <c r="Y5" s="22">
        <v>639.82000000000005</v>
      </c>
      <c r="Z5" s="22">
        <v>639.82000000000005</v>
      </c>
      <c r="AA5" s="22">
        <v>639.82000000000005</v>
      </c>
      <c r="AC5" s="21" t="s">
        <v>117</v>
      </c>
      <c r="AD5" s="22">
        <v>187176.46</v>
      </c>
      <c r="AE5" s="22">
        <v>202598.05</v>
      </c>
      <c r="AF5" s="22">
        <v>224343.75</v>
      </c>
      <c r="AG5" s="22">
        <v>239882.5</v>
      </c>
      <c r="AH5" s="22">
        <v>258423.86</v>
      </c>
      <c r="AK5" s="54"/>
      <c r="AL5" s="54"/>
      <c r="AM5" s="54"/>
      <c r="AN5" s="54"/>
      <c r="AO5" s="54"/>
    </row>
    <row r="6" spans="1:41" x14ac:dyDescent="0.3">
      <c r="A6" s="21" t="s">
        <v>29</v>
      </c>
      <c r="B6" s="22">
        <v>2346.77</v>
      </c>
      <c r="C6" s="22">
        <v>6439.42</v>
      </c>
      <c r="D6" s="22">
        <v>10269.74</v>
      </c>
      <c r="E6" s="22">
        <v>12879.54</v>
      </c>
      <c r="F6" s="22">
        <v>925.12</v>
      </c>
      <c r="H6" s="30" t="s">
        <v>29</v>
      </c>
      <c r="I6" s="31">
        <v>3614.79</v>
      </c>
      <c r="J6" s="31">
        <v>1911.68</v>
      </c>
      <c r="K6" s="31">
        <v>2019.95</v>
      </c>
      <c r="L6" s="31">
        <v>2319.59</v>
      </c>
      <c r="M6" s="31">
        <v>1293.4100000000001</v>
      </c>
      <c r="O6" s="30" t="s">
        <v>29</v>
      </c>
      <c r="P6" s="31">
        <v>1611.52</v>
      </c>
      <c r="Q6" s="31">
        <v>3599.8</v>
      </c>
      <c r="R6" s="31">
        <v>4635.1000000000004</v>
      </c>
      <c r="S6" s="31">
        <v>5376.36</v>
      </c>
      <c r="T6" s="31">
        <v>11561.31</v>
      </c>
      <c r="V6" s="22" t="s">
        <v>80</v>
      </c>
      <c r="W6" s="22">
        <v>855.82</v>
      </c>
      <c r="X6" s="22">
        <v>830.68</v>
      </c>
      <c r="Y6" s="22">
        <v>768</v>
      </c>
      <c r="Z6" s="22">
        <v>1315.66</v>
      </c>
      <c r="AA6" s="22">
        <v>2218.2199999999998</v>
      </c>
      <c r="AC6" s="21" t="s">
        <v>29</v>
      </c>
      <c r="AD6" s="22">
        <v>98210.94</v>
      </c>
      <c r="AE6" s="22">
        <v>97404.160000000003</v>
      </c>
      <c r="AF6" s="22">
        <v>91025.21</v>
      </c>
      <c r="AG6" s="22">
        <v>89133.119999999995</v>
      </c>
      <c r="AH6" s="22">
        <v>87592.8</v>
      </c>
      <c r="AK6" s="54"/>
      <c r="AL6" s="54"/>
      <c r="AM6" s="54"/>
      <c r="AN6" s="54"/>
      <c r="AO6" s="54"/>
    </row>
    <row r="7" spans="1:41" x14ac:dyDescent="0.3">
      <c r="A7" s="21" t="s">
        <v>74</v>
      </c>
      <c r="B7" s="22">
        <v>0</v>
      </c>
      <c r="C7" s="22">
        <v>0</v>
      </c>
      <c r="D7" s="22">
        <v>0</v>
      </c>
      <c r="E7" s="22">
        <v>704.94</v>
      </c>
      <c r="F7" s="22">
        <v>0</v>
      </c>
      <c r="H7" s="30" t="s">
        <v>79</v>
      </c>
      <c r="I7" s="31">
        <v>14.11</v>
      </c>
      <c r="J7" s="31">
        <v>14.11</v>
      </c>
      <c r="K7" s="31">
        <v>14.11</v>
      </c>
      <c r="L7" s="31">
        <v>14.11</v>
      </c>
      <c r="M7" s="31">
        <v>14.11</v>
      </c>
      <c r="O7" s="30" t="s">
        <v>30</v>
      </c>
      <c r="P7" s="31">
        <v>1641.57</v>
      </c>
      <c r="Q7" s="31">
        <v>1794.57</v>
      </c>
      <c r="R7" s="31">
        <v>1858.31</v>
      </c>
      <c r="S7" s="31">
        <v>1858.31</v>
      </c>
      <c r="T7" s="31">
        <v>1757.46</v>
      </c>
      <c r="V7" s="22" t="s">
        <v>234</v>
      </c>
      <c r="W7" s="22">
        <v>0</v>
      </c>
      <c r="X7" s="22">
        <v>0</v>
      </c>
      <c r="Y7" s="22">
        <v>0</v>
      </c>
      <c r="Z7" s="22">
        <v>8.69</v>
      </c>
      <c r="AA7" s="22">
        <v>2.79</v>
      </c>
      <c r="AC7" s="21" t="s">
        <v>247</v>
      </c>
      <c r="AD7" s="22">
        <v>626.33000000000004</v>
      </c>
      <c r="AE7" s="22">
        <v>647.13</v>
      </c>
      <c r="AF7" s="22">
        <v>579.27</v>
      </c>
      <c r="AG7" s="22">
        <v>541.91999999999996</v>
      </c>
      <c r="AH7" s="22">
        <v>509.77</v>
      </c>
      <c r="AK7" s="54"/>
      <c r="AL7" s="54"/>
      <c r="AM7" s="54"/>
      <c r="AN7" s="54"/>
      <c r="AO7" s="54"/>
    </row>
    <row r="8" spans="1:41" x14ac:dyDescent="0.3">
      <c r="A8" s="21" t="s">
        <v>30</v>
      </c>
      <c r="B8" s="22">
        <v>190.61</v>
      </c>
      <c r="C8" s="22">
        <v>190.61</v>
      </c>
      <c r="D8" s="22">
        <v>190.61</v>
      </c>
      <c r="E8" s="22">
        <v>190.61</v>
      </c>
      <c r="F8" s="22">
        <v>190.61</v>
      </c>
      <c r="H8" s="30" t="s">
        <v>80</v>
      </c>
      <c r="I8" s="31">
        <v>33.49</v>
      </c>
      <c r="J8" s="31">
        <v>31.64</v>
      </c>
      <c r="K8" s="31">
        <v>29.8</v>
      </c>
      <c r="L8" s="31">
        <v>28.16</v>
      </c>
      <c r="M8" s="31">
        <v>26.33</v>
      </c>
      <c r="O8" s="30" t="s">
        <v>80</v>
      </c>
      <c r="P8" s="31">
        <v>1362.18</v>
      </c>
      <c r="Q8" s="31">
        <v>1345.85</v>
      </c>
      <c r="R8" s="31">
        <f>1366.18+3661.99</f>
        <v>5028.17</v>
      </c>
      <c r="S8" s="31">
        <f>3982.05+1381.34</f>
        <v>5363.39</v>
      </c>
      <c r="T8" s="31">
        <f>4368.75+1459.29</f>
        <v>5828.04</v>
      </c>
      <c r="V8" s="22" t="s">
        <v>235</v>
      </c>
      <c r="W8" s="22">
        <v>10.53</v>
      </c>
      <c r="X8" s="22">
        <v>27.68</v>
      </c>
      <c r="Y8" s="22">
        <v>36.22</v>
      </c>
      <c r="Z8" s="22">
        <v>55.51</v>
      </c>
      <c r="AA8" s="22">
        <v>72.02</v>
      </c>
      <c r="AC8" s="21" t="s">
        <v>234</v>
      </c>
      <c r="AD8" s="22">
        <v>297.52999999999997</v>
      </c>
      <c r="AE8" s="22">
        <v>101.87</v>
      </c>
      <c r="AF8" s="22">
        <v>101.05</v>
      </c>
      <c r="AG8" s="22">
        <v>45.88</v>
      </c>
      <c r="AH8" s="22">
        <v>71.650000000000006</v>
      </c>
      <c r="AK8" s="54"/>
      <c r="AL8" s="54"/>
      <c r="AM8" s="54"/>
      <c r="AN8" s="54"/>
      <c r="AO8" s="54"/>
    </row>
    <row r="9" spans="1:41" x14ac:dyDescent="0.3">
      <c r="A9" s="21" t="s">
        <v>31</v>
      </c>
      <c r="B9" s="22">
        <v>84.1</v>
      </c>
      <c r="C9" s="22">
        <v>85.45</v>
      </c>
      <c r="D9" s="22">
        <v>11.98</v>
      </c>
      <c r="E9" s="22">
        <v>12.03</v>
      </c>
      <c r="F9" s="22">
        <v>12.53</v>
      </c>
      <c r="H9" s="169" t="s">
        <v>32</v>
      </c>
      <c r="I9" s="169"/>
      <c r="J9" s="169"/>
      <c r="K9" s="169"/>
      <c r="L9" s="169"/>
      <c r="M9" s="169"/>
      <c r="O9" s="30" t="s">
        <v>118</v>
      </c>
      <c r="P9" s="31">
        <v>13202.65</v>
      </c>
      <c r="Q9" s="31">
        <v>11920.63</v>
      </c>
      <c r="R9" s="31">
        <v>12580</v>
      </c>
      <c r="S9" s="31">
        <v>14218.88</v>
      </c>
      <c r="T9" s="31">
        <v>12983.51</v>
      </c>
      <c r="V9" s="159" t="s">
        <v>32</v>
      </c>
      <c r="W9" s="159"/>
      <c r="X9" s="159"/>
      <c r="Y9" s="159"/>
      <c r="Z9" s="159"/>
      <c r="AA9" s="159"/>
      <c r="AC9" s="21" t="s">
        <v>248</v>
      </c>
      <c r="AD9" s="22">
        <v>9256.31</v>
      </c>
      <c r="AE9" s="22">
        <v>9992.18</v>
      </c>
      <c r="AF9" s="22">
        <v>10522.14</v>
      </c>
      <c r="AG9" s="22">
        <v>13252.09</v>
      </c>
      <c r="AH9" s="22">
        <v>15130.96</v>
      </c>
      <c r="AK9" s="54"/>
      <c r="AL9" s="54"/>
      <c r="AM9" s="54"/>
      <c r="AN9" s="54"/>
      <c r="AO9" s="54"/>
    </row>
    <row r="10" spans="1:41" x14ac:dyDescent="0.3">
      <c r="A10" s="155" t="s">
        <v>32</v>
      </c>
      <c r="B10" s="156"/>
      <c r="C10" s="156"/>
      <c r="D10" s="156"/>
      <c r="E10" s="156"/>
      <c r="F10" s="157"/>
      <c r="H10" s="30" t="s">
        <v>33</v>
      </c>
      <c r="I10" s="31">
        <v>0.23</v>
      </c>
      <c r="J10" s="31">
        <v>4.29</v>
      </c>
      <c r="K10" s="31">
        <v>4.43</v>
      </c>
      <c r="L10" s="31">
        <v>4.43</v>
      </c>
      <c r="M10" s="31">
        <v>172.77</v>
      </c>
      <c r="O10" s="170" t="s">
        <v>86</v>
      </c>
      <c r="P10" s="171"/>
      <c r="Q10" s="171"/>
      <c r="R10" s="171"/>
      <c r="S10" s="171"/>
      <c r="T10" s="172"/>
      <c r="V10" s="22" t="s">
        <v>33</v>
      </c>
      <c r="W10" s="22">
        <v>1098.96</v>
      </c>
      <c r="X10" s="22">
        <v>3340.24</v>
      </c>
      <c r="Y10" s="22">
        <v>5194.6000000000004</v>
      </c>
      <c r="Z10" s="22">
        <v>4906.1099999999997</v>
      </c>
      <c r="AA10" s="22">
        <v>5873.76</v>
      </c>
      <c r="AC10" s="154" t="s">
        <v>86</v>
      </c>
      <c r="AD10" s="154"/>
      <c r="AE10" s="154"/>
      <c r="AF10" s="154"/>
      <c r="AG10" s="154"/>
      <c r="AH10" s="154"/>
      <c r="AK10" s="54"/>
      <c r="AL10" s="54"/>
      <c r="AM10" s="54"/>
      <c r="AN10" s="54"/>
      <c r="AO10" s="54"/>
    </row>
    <row r="11" spans="1:41" x14ac:dyDescent="0.3">
      <c r="A11" s="21" t="s">
        <v>33</v>
      </c>
      <c r="B11" s="22">
        <v>0.01</v>
      </c>
      <c r="C11" s="22">
        <v>0.01</v>
      </c>
      <c r="D11" s="22">
        <v>0.01</v>
      </c>
      <c r="E11" s="22">
        <v>42.51</v>
      </c>
      <c r="F11" s="22">
        <v>0.01</v>
      </c>
      <c r="H11" s="30" t="s">
        <v>34</v>
      </c>
      <c r="I11" s="31">
        <v>407.86</v>
      </c>
      <c r="J11" s="31">
        <v>395.18</v>
      </c>
      <c r="K11" s="31">
        <v>400.88</v>
      </c>
      <c r="L11" s="31">
        <v>434.77</v>
      </c>
      <c r="M11" s="31">
        <v>0</v>
      </c>
      <c r="O11" s="30" t="s">
        <v>119</v>
      </c>
      <c r="P11" s="31">
        <v>632.67999999999995</v>
      </c>
      <c r="Q11" s="31">
        <v>728.88</v>
      </c>
      <c r="R11" s="31">
        <v>1169.81</v>
      </c>
      <c r="S11" s="31">
        <v>1301.21</v>
      </c>
      <c r="T11" s="31">
        <v>1854.59</v>
      </c>
      <c r="V11" s="22" t="s">
        <v>87</v>
      </c>
      <c r="W11" s="38">
        <v>0</v>
      </c>
      <c r="X11" s="22">
        <v>5.34</v>
      </c>
      <c r="Y11" s="22">
        <v>99.46</v>
      </c>
      <c r="Z11" s="22">
        <v>99.46</v>
      </c>
      <c r="AA11" s="22">
        <v>176.26</v>
      </c>
      <c r="AC11" s="21" t="s">
        <v>33</v>
      </c>
      <c r="AD11" s="22">
        <v>50.28</v>
      </c>
      <c r="AE11" s="22">
        <v>97.08</v>
      </c>
      <c r="AF11" s="22">
        <v>104.1</v>
      </c>
      <c r="AG11" s="22">
        <v>632.70000000000005</v>
      </c>
      <c r="AH11" s="22">
        <v>703.6</v>
      </c>
      <c r="AJ11" s="158"/>
      <c r="AK11" s="158"/>
      <c r="AL11" s="158"/>
      <c r="AM11" s="158"/>
      <c r="AN11" s="158"/>
      <c r="AO11" s="158"/>
    </row>
    <row r="12" spans="1:41" x14ac:dyDescent="0.3">
      <c r="A12" s="21" t="s">
        <v>34</v>
      </c>
      <c r="B12" s="22">
        <v>0</v>
      </c>
      <c r="C12" s="22">
        <v>0</v>
      </c>
      <c r="D12" s="22">
        <v>0</v>
      </c>
      <c r="E12" s="22">
        <v>0</v>
      </c>
      <c r="F12" s="22">
        <v>0</v>
      </c>
      <c r="H12" s="30" t="s">
        <v>81</v>
      </c>
      <c r="I12" s="31">
        <v>4240.8500000000004</v>
      </c>
      <c r="J12" s="31">
        <v>3944.79</v>
      </c>
      <c r="K12" s="31">
        <v>3648.26</v>
      </c>
      <c r="L12" s="31">
        <v>3381.53</v>
      </c>
      <c r="M12" s="31">
        <v>3307.93</v>
      </c>
      <c r="O12" s="30" t="s">
        <v>87</v>
      </c>
      <c r="P12" s="31">
        <v>30.28</v>
      </c>
      <c r="Q12" s="31">
        <v>604.71</v>
      </c>
      <c r="R12" s="31">
        <v>685.78</v>
      </c>
      <c r="S12" s="31">
        <v>359.63</v>
      </c>
      <c r="T12" s="31">
        <v>273.29000000000002</v>
      </c>
      <c r="V12" s="22" t="s">
        <v>34</v>
      </c>
      <c r="W12" s="22">
        <v>664.96</v>
      </c>
      <c r="X12" s="22">
        <v>569.09</v>
      </c>
      <c r="Y12" s="22">
        <v>567.64</v>
      </c>
      <c r="Z12" s="22">
        <v>567.64</v>
      </c>
      <c r="AA12" s="22">
        <v>567.64</v>
      </c>
      <c r="AC12" s="21" t="s">
        <v>34</v>
      </c>
      <c r="AD12" s="22">
        <v>511.08</v>
      </c>
      <c r="AE12" s="22">
        <v>554.97</v>
      </c>
      <c r="AF12" s="22">
        <v>559.80999999999995</v>
      </c>
      <c r="AG12" s="22">
        <v>553.77</v>
      </c>
      <c r="AH12" s="22">
        <v>570.19000000000005</v>
      </c>
      <c r="AK12" s="54"/>
      <c r="AL12" s="54"/>
      <c r="AM12" s="54"/>
      <c r="AN12" s="54"/>
      <c r="AO12" s="54"/>
    </row>
    <row r="13" spans="1:41" x14ac:dyDescent="0.3">
      <c r="A13" s="21" t="s">
        <v>35</v>
      </c>
      <c r="B13" s="22">
        <v>427.91</v>
      </c>
      <c r="C13" s="22">
        <v>245.44</v>
      </c>
      <c r="D13" s="22">
        <v>856.04</v>
      </c>
      <c r="E13" s="22">
        <v>779.71</v>
      </c>
      <c r="F13" s="22">
        <v>636.20000000000005</v>
      </c>
      <c r="H13" s="30" t="s">
        <v>82</v>
      </c>
      <c r="I13" s="31">
        <v>97.52</v>
      </c>
      <c r="J13" s="31">
        <v>81.3</v>
      </c>
      <c r="K13" s="31">
        <v>71.739999999999995</v>
      </c>
      <c r="L13" s="31">
        <v>46.96</v>
      </c>
      <c r="M13" s="31">
        <v>42.33</v>
      </c>
      <c r="O13" s="30" t="s">
        <v>34</v>
      </c>
      <c r="P13" s="31">
        <v>80.88</v>
      </c>
      <c r="Q13" s="31">
        <v>58.14</v>
      </c>
      <c r="R13" s="31">
        <v>3.45</v>
      </c>
      <c r="S13" s="31">
        <v>2.99</v>
      </c>
      <c r="T13" s="31">
        <v>2.48</v>
      </c>
      <c r="V13" s="22" t="s">
        <v>82</v>
      </c>
      <c r="W13" s="22">
        <v>1195.22</v>
      </c>
      <c r="X13" s="22">
        <v>1262.8399999999999</v>
      </c>
      <c r="Y13" s="22">
        <v>1312.97</v>
      </c>
      <c r="Z13" s="22">
        <v>2092.0700000000002</v>
      </c>
      <c r="AA13" s="22">
        <v>2139.16</v>
      </c>
      <c r="AC13" s="21" t="s">
        <v>87</v>
      </c>
      <c r="AD13" s="38">
        <v>0</v>
      </c>
      <c r="AE13" s="22">
        <v>0</v>
      </c>
      <c r="AF13" s="22">
        <v>0</v>
      </c>
      <c r="AG13" s="22">
        <v>2638.68</v>
      </c>
      <c r="AH13" s="22">
        <v>1287.54</v>
      </c>
      <c r="AK13" s="54"/>
      <c r="AL13" s="54"/>
      <c r="AM13" s="54"/>
      <c r="AN13" s="54"/>
      <c r="AO13" s="54"/>
    </row>
    <row r="14" spans="1:41" x14ac:dyDescent="0.3">
      <c r="A14" s="21" t="s">
        <v>75</v>
      </c>
      <c r="B14" s="22">
        <v>0</v>
      </c>
      <c r="C14" s="22">
        <v>0</v>
      </c>
      <c r="D14" s="22">
        <v>0</v>
      </c>
      <c r="E14" s="22">
        <v>0</v>
      </c>
      <c r="F14" s="22">
        <v>376.34</v>
      </c>
      <c r="H14" s="30" t="s">
        <v>83</v>
      </c>
      <c r="I14" s="31">
        <v>59.79</v>
      </c>
      <c r="J14" s="31">
        <v>51.83</v>
      </c>
      <c r="K14" s="31">
        <v>67.510000000000005</v>
      </c>
      <c r="L14" s="31">
        <v>78.459999999999994</v>
      </c>
      <c r="M14" s="31">
        <v>92.87</v>
      </c>
      <c r="O14" s="30" t="s">
        <v>81</v>
      </c>
      <c r="P14" s="31">
        <v>588.91999999999996</v>
      </c>
      <c r="Q14" s="31">
        <v>598.61</v>
      </c>
      <c r="R14" s="31">
        <v>588.69000000000005</v>
      </c>
      <c r="S14" s="31">
        <v>567.22</v>
      </c>
      <c r="T14" s="31">
        <v>561.66</v>
      </c>
      <c r="V14" s="22" t="s">
        <v>236</v>
      </c>
      <c r="W14" s="22">
        <v>123.85</v>
      </c>
      <c r="X14" s="22">
        <v>112.27</v>
      </c>
      <c r="Y14" s="22">
        <v>130.26</v>
      </c>
      <c r="Z14" s="22">
        <v>192.55</v>
      </c>
      <c r="AA14" s="22">
        <v>216.49</v>
      </c>
      <c r="AC14" s="21" t="s">
        <v>249</v>
      </c>
      <c r="AD14" s="22">
        <v>1206.32</v>
      </c>
      <c r="AE14" s="22">
        <v>1092.8399999999999</v>
      </c>
      <c r="AF14" s="22">
        <v>1017.98</v>
      </c>
      <c r="AG14" s="22">
        <v>900.7</v>
      </c>
      <c r="AH14" s="22">
        <v>710.8</v>
      </c>
      <c r="AK14" s="54"/>
      <c r="AL14" s="54"/>
      <c r="AM14" s="54"/>
      <c r="AN14" s="54"/>
      <c r="AO14" s="54"/>
    </row>
    <row r="15" spans="1:41" x14ac:dyDescent="0.3">
      <c r="A15" s="21" t="s">
        <v>36</v>
      </c>
      <c r="B15" s="22">
        <v>1811.32</v>
      </c>
      <c r="C15" s="22">
        <v>1627.39</v>
      </c>
      <c r="D15" s="22">
        <v>1352.95</v>
      </c>
      <c r="E15" s="22">
        <v>1115.1300000000001</v>
      </c>
      <c r="F15" s="22">
        <v>1784.67</v>
      </c>
      <c r="H15" s="30" t="s">
        <v>84</v>
      </c>
      <c r="I15" s="31">
        <v>1493.85</v>
      </c>
      <c r="J15" s="31">
        <v>1480.06</v>
      </c>
      <c r="K15" s="31">
        <v>1481.29</v>
      </c>
      <c r="L15" s="31">
        <v>1469.8</v>
      </c>
      <c r="M15" s="31">
        <v>520.05999999999995</v>
      </c>
      <c r="O15" s="30" t="s">
        <v>91</v>
      </c>
      <c r="P15" s="31">
        <v>578.79</v>
      </c>
      <c r="Q15" s="31">
        <v>1577.04</v>
      </c>
      <c r="R15" s="31">
        <v>1684.53</v>
      </c>
      <c r="S15" s="31">
        <v>1726.66</v>
      </c>
      <c r="T15" s="31">
        <v>2084.5</v>
      </c>
      <c r="V15" s="22" t="s">
        <v>121</v>
      </c>
      <c r="W15" s="22">
        <v>180.54</v>
      </c>
      <c r="X15" s="22">
        <v>229.76</v>
      </c>
      <c r="Y15" s="22">
        <v>418.2</v>
      </c>
      <c r="Z15" s="22">
        <v>324.44</v>
      </c>
      <c r="AA15" s="22">
        <v>502.25</v>
      </c>
      <c r="AC15" s="21" t="s">
        <v>121</v>
      </c>
      <c r="AD15" s="22">
        <v>1096.5999999999999</v>
      </c>
      <c r="AE15" s="22">
        <v>1075.8900000000001</v>
      </c>
      <c r="AF15" s="22">
        <v>995.7</v>
      </c>
      <c r="AG15" s="22">
        <v>937.85</v>
      </c>
      <c r="AH15" s="22">
        <v>1169.9000000000001</v>
      </c>
      <c r="AK15" s="54"/>
      <c r="AL15" s="54"/>
      <c r="AM15" s="54"/>
      <c r="AN15" s="54"/>
      <c r="AO15" s="54"/>
    </row>
    <row r="16" spans="1:41" x14ac:dyDescent="0.3">
      <c r="A16" s="5" t="s">
        <v>37</v>
      </c>
      <c r="B16" s="23">
        <f>SUM(B5:B9,B11:B15)</f>
        <v>60431.82</v>
      </c>
      <c r="C16" s="23">
        <f>SUM(C5:C9,C11:C15)</f>
        <v>61163.56</v>
      </c>
      <c r="D16" s="23">
        <f>SUM(D5:D9,D11:D15)</f>
        <v>65752.950000000012</v>
      </c>
      <c r="E16" s="23">
        <f>SUM(E5:E9,E11:E15)</f>
        <v>66268.27</v>
      </c>
      <c r="F16" s="23">
        <f>SUM(F5:F9,F11:F15)</f>
        <v>66738.19</v>
      </c>
      <c r="H16" s="24" t="s">
        <v>114</v>
      </c>
      <c r="I16" s="32">
        <f>SUM(I5:I8,I10:I15)</f>
        <v>48488.49</v>
      </c>
      <c r="J16" s="32">
        <f t="shared" ref="J16:M16" si="0">SUM(J5:J8,J10:J15)</f>
        <v>45059.560000000005</v>
      </c>
      <c r="K16" s="32">
        <f t="shared" si="0"/>
        <v>44001.91</v>
      </c>
      <c r="L16" s="32">
        <f t="shared" si="0"/>
        <v>43511.570000000007</v>
      </c>
      <c r="M16" s="32">
        <f t="shared" si="0"/>
        <v>39012.990000000005</v>
      </c>
      <c r="O16" s="30" t="s">
        <v>120</v>
      </c>
      <c r="P16" s="31">
        <v>342</v>
      </c>
      <c r="Q16" s="31">
        <v>328.35</v>
      </c>
      <c r="R16" s="31">
        <v>520.54</v>
      </c>
      <c r="S16" s="31">
        <v>739.07</v>
      </c>
      <c r="T16" s="31">
        <v>585.89</v>
      </c>
      <c r="V16" s="22" t="s">
        <v>237</v>
      </c>
      <c r="W16" s="22">
        <v>186.08</v>
      </c>
      <c r="X16" s="22">
        <v>315.5</v>
      </c>
      <c r="Y16" s="22">
        <v>1051.45</v>
      </c>
      <c r="Z16" s="22">
        <v>1071.1300000000001</v>
      </c>
      <c r="AA16" s="22">
        <v>825.45</v>
      </c>
      <c r="AC16" s="21" t="s">
        <v>237</v>
      </c>
      <c r="AD16" s="22">
        <v>14092.61</v>
      </c>
      <c r="AE16" s="22">
        <v>17031.509999999998</v>
      </c>
      <c r="AF16" s="22">
        <v>15877.02</v>
      </c>
      <c r="AG16" s="22">
        <v>16333.91</v>
      </c>
      <c r="AH16" s="22">
        <v>16016.17</v>
      </c>
      <c r="AK16" s="54"/>
      <c r="AL16" s="54"/>
      <c r="AM16" s="54"/>
      <c r="AN16" s="54"/>
      <c r="AO16" s="54"/>
    </row>
    <row r="17" spans="1:41" x14ac:dyDescent="0.3">
      <c r="A17" s="155" t="s">
        <v>38</v>
      </c>
      <c r="B17" s="156"/>
      <c r="C17" s="156"/>
      <c r="D17" s="156"/>
      <c r="E17" s="156"/>
      <c r="F17" s="157"/>
      <c r="H17" s="169" t="s">
        <v>85</v>
      </c>
      <c r="I17" s="169"/>
      <c r="J17" s="169"/>
      <c r="K17" s="169"/>
      <c r="L17" s="169"/>
      <c r="M17" s="169"/>
      <c r="O17" s="30" t="s">
        <v>121</v>
      </c>
      <c r="P17" s="31">
        <v>74.239999999999995</v>
      </c>
      <c r="Q17" s="31">
        <v>184.02</v>
      </c>
      <c r="R17" s="31">
        <v>334.6</v>
      </c>
      <c r="S17" s="31">
        <v>252.9</v>
      </c>
      <c r="T17" s="31">
        <v>499.09</v>
      </c>
      <c r="V17" s="23" t="s">
        <v>238</v>
      </c>
      <c r="W17" s="23">
        <f>SUM(W3:W8,W10:W16)</f>
        <v>20564.21</v>
      </c>
      <c r="X17" s="23">
        <f t="shared" ref="X17:AA17" si="1">SUM(X3:X8,X10:X16)</f>
        <v>21972.25</v>
      </c>
      <c r="Y17" s="23">
        <f t="shared" si="1"/>
        <v>25732.039999999997</v>
      </c>
      <c r="Z17" s="23">
        <f t="shared" si="1"/>
        <v>39117.589999999997</v>
      </c>
      <c r="AA17" s="23">
        <f t="shared" si="1"/>
        <v>49604.32</v>
      </c>
      <c r="AC17" s="5" t="s">
        <v>114</v>
      </c>
      <c r="AD17" s="23">
        <f>SUM(AD5:AD9,AD11:AD16)</f>
        <v>312524.46000000008</v>
      </c>
      <c r="AE17" s="23">
        <f t="shared" ref="AE17:AH17" si="2">SUM(AE5:AE9,AE11:AE16)</f>
        <v>330595.68</v>
      </c>
      <c r="AF17" s="23">
        <f t="shared" si="2"/>
        <v>345126.03</v>
      </c>
      <c r="AG17" s="23">
        <f t="shared" si="2"/>
        <v>364853.12</v>
      </c>
      <c r="AH17" s="23">
        <f t="shared" si="2"/>
        <v>382187.24</v>
      </c>
      <c r="AJ17" s="2"/>
      <c r="AK17" s="53"/>
      <c r="AL17" s="53"/>
      <c r="AM17" s="53"/>
      <c r="AN17" s="53"/>
      <c r="AO17" s="53"/>
    </row>
    <row r="18" spans="1:41" x14ac:dyDescent="0.3">
      <c r="A18" s="21" t="s">
        <v>39</v>
      </c>
      <c r="B18" s="22">
        <v>2522.77</v>
      </c>
      <c r="C18" s="22">
        <v>2025.11</v>
      </c>
      <c r="D18" s="22">
        <v>2258.27</v>
      </c>
      <c r="E18" s="22">
        <v>3075.2</v>
      </c>
      <c r="F18" s="22">
        <v>4142.1000000000004</v>
      </c>
      <c r="H18" s="30" t="s">
        <v>39</v>
      </c>
      <c r="I18" s="31">
        <v>1014.18</v>
      </c>
      <c r="J18" s="31">
        <v>874.12</v>
      </c>
      <c r="K18" s="31">
        <v>828.04</v>
      </c>
      <c r="L18" s="31">
        <v>925.32</v>
      </c>
      <c r="M18" s="31">
        <v>961.17</v>
      </c>
      <c r="O18" s="30" t="s">
        <v>84</v>
      </c>
      <c r="P18" s="31">
        <v>1185.1199999999999</v>
      </c>
      <c r="Q18" s="31">
        <v>1465.06</v>
      </c>
      <c r="R18" s="31">
        <v>1849.82</v>
      </c>
      <c r="S18" s="31">
        <v>2532.46</v>
      </c>
      <c r="T18" s="31">
        <v>5173.57</v>
      </c>
      <c r="V18" s="159" t="s">
        <v>38</v>
      </c>
      <c r="W18" s="159"/>
      <c r="X18" s="159"/>
      <c r="Y18" s="159"/>
      <c r="Z18" s="159"/>
      <c r="AA18" s="159"/>
      <c r="AC18" s="154" t="s">
        <v>85</v>
      </c>
      <c r="AD18" s="154"/>
      <c r="AE18" s="154"/>
      <c r="AF18" s="154"/>
      <c r="AG18" s="154"/>
      <c r="AH18" s="154"/>
      <c r="AJ18" s="158"/>
      <c r="AK18" s="158"/>
      <c r="AL18" s="158"/>
      <c r="AM18" s="158"/>
      <c r="AN18" s="158"/>
      <c r="AO18" s="158"/>
    </row>
    <row r="19" spans="1:41" x14ac:dyDescent="0.3">
      <c r="A19" s="155" t="s">
        <v>32</v>
      </c>
      <c r="B19" s="156"/>
      <c r="C19" s="156"/>
      <c r="D19" s="156"/>
      <c r="E19" s="156"/>
      <c r="F19" s="157"/>
      <c r="H19" s="170" t="s">
        <v>86</v>
      </c>
      <c r="I19" s="171"/>
      <c r="J19" s="171"/>
      <c r="K19" s="171"/>
      <c r="L19" s="171"/>
      <c r="M19" s="172"/>
      <c r="O19" s="24" t="s">
        <v>114</v>
      </c>
      <c r="P19" s="32">
        <f>SUM(P5:P9,P11:P18)</f>
        <v>65993.439999999988</v>
      </c>
      <c r="Q19" s="32">
        <f t="shared" ref="Q19:T19" si="3">SUM(Q5:Q9,Q11:Q18)</f>
        <v>72954.520000000019</v>
      </c>
      <c r="R19" s="32">
        <f t="shared" si="3"/>
        <v>81441.759999999995</v>
      </c>
      <c r="S19" s="32">
        <f t="shared" si="3"/>
        <v>88824.040000000037</v>
      </c>
      <c r="T19" s="32">
        <f t="shared" si="3"/>
        <v>102789.44999999998</v>
      </c>
      <c r="V19" s="22" t="s">
        <v>39</v>
      </c>
      <c r="W19" s="22">
        <v>639.58000000000004</v>
      </c>
      <c r="X19" s="22">
        <v>395.08</v>
      </c>
      <c r="Y19" s="22">
        <v>901.02</v>
      </c>
      <c r="Z19" s="22">
        <v>987.08</v>
      </c>
      <c r="AA19" s="22">
        <v>830.67</v>
      </c>
      <c r="AC19" s="21" t="s">
        <v>39</v>
      </c>
      <c r="AD19" s="22">
        <v>11138.54</v>
      </c>
      <c r="AE19" s="22">
        <v>9809.6</v>
      </c>
      <c r="AF19" s="22">
        <v>10139.290000000001</v>
      </c>
      <c r="AG19" s="22">
        <v>14240.37</v>
      </c>
      <c r="AH19" s="22">
        <v>18019.12</v>
      </c>
      <c r="AK19" s="54"/>
      <c r="AL19" s="54"/>
      <c r="AM19" s="54"/>
      <c r="AN19" s="54"/>
      <c r="AO19" s="54"/>
    </row>
    <row r="20" spans="1:41" x14ac:dyDescent="0.3">
      <c r="A20" s="21" t="s">
        <v>33</v>
      </c>
      <c r="B20" s="22">
        <v>2.79</v>
      </c>
      <c r="C20" s="22">
        <v>20.09</v>
      </c>
      <c r="D20" s="22">
        <v>183.24</v>
      </c>
      <c r="E20" s="22">
        <v>611.54</v>
      </c>
      <c r="F20" s="22">
        <v>373.5</v>
      </c>
      <c r="H20" s="30" t="s">
        <v>33</v>
      </c>
      <c r="I20" s="31">
        <v>30.21</v>
      </c>
      <c r="J20" s="31">
        <v>31.28</v>
      </c>
      <c r="K20" s="31">
        <v>32.32</v>
      </c>
      <c r="L20" s="31">
        <v>34.119999999999997</v>
      </c>
      <c r="M20" s="31">
        <v>36.58</v>
      </c>
      <c r="O20" s="170" t="s">
        <v>38</v>
      </c>
      <c r="P20" s="171"/>
      <c r="Q20" s="171"/>
      <c r="R20" s="171"/>
      <c r="S20" s="171"/>
      <c r="T20" s="172"/>
      <c r="V20" s="159" t="s">
        <v>32</v>
      </c>
      <c r="W20" s="159"/>
      <c r="X20" s="159"/>
      <c r="Y20" s="159"/>
      <c r="Z20" s="159"/>
      <c r="AA20" s="159"/>
      <c r="AC20" s="154" t="s">
        <v>86</v>
      </c>
      <c r="AD20" s="154"/>
      <c r="AE20" s="154"/>
      <c r="AF20" s="154"/>
      <c r="AG20" s="154"/>
      <c r="AH20" s="154"/>
      <c r="AJ20" s="158"/>
      <c r="AK20" s="158"/>
      <c r="AL20" s="158"/>
      <c r="AM20" s="158"/>
      <c r="AN20" s="158"/>
      <c r="AO20" s="158"/>
    </row>
    <row r="21" spans="1:41" x14ac:dyDescent="0.3">
      <c r="A21" s="21" t="s">
        <v>40</v>
      </c>
      <c r="B21" s="22">
        <v>8366.4699999999993</v>
      </c>
      <c r="C21" s="22">
        <v>11839.28</v>
      </c>
      <c r="D21" s="22">
        <v>9560.92</v>
      </c>
      <c r="E21" s="22">
        <v>11529.36</v>
      </c>
      <c r="F21" s="22">
        <v>11677.48</v>
      </c>
      <c r="H21" s="30" t="s">
        <v>87</v>
      </c>
      <c r="I21" s="31">
        <v>2364.52</v>
      </c>
      <c r="J21" s="31">
        <v>2409.88</v>
      </c>
      <c r="K21" s="31">
        <v>3213.5</v>
      </c>
      <c r="L21" s="31">
        <v>2679.9</v>
      </c>
      <c r="M21" s="31">
        <v>1650.41</v>
      </c>
      <c r="O21" s="30" t="s">
        <v>39</v>
      </c>
      <c r="P21" s="31">
        <v>1752.35</v>
      </c>
      <c r="Q21" s="31">
        <v>1884.8</v>
      </c>
      <c r="R21" s="31">
        <v>4231.5200000000004</v>
      </c>
      <c r="S21" s="31">
        <v>3942.88</v>
      </c>
      <c r="T21" s="31">
        <v>4419.63</v>
      </c>
      <c r="V21" s="22" t="s">
        <v>33</v>
      </c>
      <c r="W21" s="22">
        <v>744.07</v>
      </c>
      <c r="X21" s="22">
        <v>684.23</v>
      </c>
      <c r="Y21" s="22">
        <v>1392.35</v>
      </c>
      <c r="Z21" s="22">
        <v>1071.1500000000001</v>
      </c>
      <c r="AA21" s="22">
        <v>1089.08</v>
      </c>
      <c r="AC21" s="21" t="s">
        <v>33</v>
      </c>
      <c r="AD21" s="22">
        <v>0</v>
      </c>
      <c r="AE21" s="22">
        <v>499.99</v>
      </c>
      <c r="AF21" s="22">
        <v>0</v>
      </c>
      <c r="AG21" s="22">
        <v>50</v>
      </c>
      <c r="AH21" s="22">
        <v>50</v>
      </c>
      <c r="AK21" s="54"/>
      <c r="AL21" s="54"/>
      <c r="AM21" s="54"/>
      <c r="AN21" s="54"/>
      <c r="AO21" s="54"/>
    </row>
    <row r="22" spans="1:41" x14ac:dyDescent="0.3">
      <c r="A22" s="21" t="s">
        <v>41</v>
      </c>
      <c r="B22" s="22">
        <v>941.1</v>
      </c>
      <c r="C22" s="22">
        <v>113.04</v>
      </c>
      <c r="D22" s="22">
        <v>782.37</v>
      </c>
      <c r="E22" s="22">
        <v>349.23</v>
      </c>
      <c r="F22" s="22">
        <v>1136.25</v>
      </c>
      <c r="H22" s="30" t="s">
        <v>88</v>
      </c>
      <c r="I22" s="31">
        <v>124.94</v>
      </c>
      <c r="J22" s="31">
        <v>144.19999999999999</v>
      </c>
      <c r="K22" s="31">
        <v>164.88</v>
      </c>
      <c r="L22" s="31">
        <v>238.65</v>
      </c>
      <c r="M22" s="31">
        <v>486.15</v>
      </c>
      <c r="O22" s="170" t="s">
        <v>86</v>
      </c>
      <c r="P22" s="171"/>
      <c r="Q22" s="171"/>
      <c r="R22" s="171"/>
      <c r="S22" s="171"/>
      <c r="T22" s="172"/>
      <c r="V22" s="22" t="s">
        <v>87</v>
      </c>
      <c r="W22" s="22">
        <v>1565.2</v>
      </c>
      <c r="X22" s="22">
        <v>964.46</v>
      </c>
      <c r="Y22" s="22">
        <v>670.22</v>
      </c>
      <c r="Z22" s="22">
        <v>1531.92</v>
      </c>
      <c r="AA22" s="22">
        <v>844.2</v>
      </c>
      <c r="AC22" s="21" t="s">
        <v>87</v>
      </c>
      <c r="AD22" s="22">
        <v>20314.59</v>
      </c>
      <c r="AE22" s="22">
        <v>17718.07</v>
      </c>
      <c r="AF22" s="22">
        <v>27970.87</v>
      </c>
      <c r="AG22" s="22">
        <v>28825.22</v>
      </c>
      <c r="AH22" s="22">
        <v>33349.68</v>
      </c>
      <c r="AK22" s="54"/>
      <c r="AL22" s="54"/>
      <c r="AM22" s="54"/>
      <c r="AN22" s="54"/>
      <c r="AO22" s="54"/>
    </row>
    <row r="23" spans="1:41" x14ac:dyDescent="0.3">
      <c r="A23" s="21" t="s">
        <v>42</v>
      </c>
      <c r="B23" s="22">
        <v>1038.21</v>
      </c>
      <c r="C23" s="22">
        <v>1494.28</v>
      </c>
      <c r="D23" s="22">
        <v>1582.31</v>
      </c>
      <c r="E23" s="22">
        <v>1524.42</v>
      </c>
      <c r="F23" s="22">
        <v>6075.51</v>
      </c>
      <c r="H23" s="30" t="s">
        <v>89</v>
      </c>
      <c r="I23" s="31">
        <v>159.49</v>
      </c>
      <c r="J23" s="31">
        <v>171.01</v>
      </c>
      <c r="K23" s="31">
        <v>480.48</v>
      </c>
      <c r="L23" s="31">
        <v>412.51</v>
      </c>
      <c r="M23" s="31">
        <v>431.45</v>
      </c>
      <c r="O23" s="30" t="s">
        <v>33</v>
      </c>
      <c r="P23" s="31">
        <v>699.51</v>
      </c>
      <c r="Q23" s="31">
        <v>499.54</v>
      </c>
      <c r="R23" s="31">
        <v>410.52</v>
      </c>
      <c r="S23" s="31">
        <v>1149.5999999999999</v>
      </c>
      <c r="T23" s="31">
        <v>1477.89</v>
      </c>
      <c r="V23" s="22" t="s">
        <v>122</v>
      </c>
      <c r="W23" s="22">
        <v>543.80999999999995</v>
      </c>
      <c r="X23" s="22">
        <v>336.78</v>
      </c>
      <c r="Y23" s="22">
        <v>544.42999999999995</v>
      </c>
      <c r="Z23" s="22">
        <v>776.03</v>
      </c>
      <c r="AA23" s="22">
        <v>859.34</v>
      </c>
      <c r="AC23" s="21" t="s">
        <v>88</v>
      </c>
      <c r="AD23" s="22">
        <v>589.52</v>
      </c>
      <c r="AE23" s="22">
        <v>950.02</v>
      </c>
      <c r="AF23" s="22">
        <v>675.77</v>
      </c>
      <c r="AG23" s="22">
        <v>465.65</v>
      </c>
      <c r="AH23" s="22">
        <v>863.34</v>
      </c>
      <c r="AK23" s="54"/>
      <c r="AL23" s="54"/>
      <c r="AM23" s="54"/>
      <c r="AN23" s="54"/>
      <c r="AO23" s="54"/>
    </row>
    <row r="24" spans="1:41" x14ac:dyDescent="0.3">
      <c r="A24" s="21" t="s">
        <v>34</v>
      </c>
      <c r="B24" s="22">
        <v>3.05</v>
      </c>
      <c r="C24" s="22">
        <v>8.83</v>
      </c>
      <c r="D24" s="22">
        <v>7.62</v>
      </c>
      <c r="E24" s="22">
        <v>3.19</v>
      </c>
      <c r="F24" s="22">
        <v>3.49</v>
      </c>
      <c r="H24" s="30" t="s">
        <v>34</v>
      </c>
      <c r="I24" s="31">
        <v>139.1</v>
      </c>
      <c r="J24" s="31">
        <v>154.88999999999999</v>
      </c>
      <c r="K24" s="31">
        <v>191.59</v>
      </c>
      <c r="L24" s="31">
        <v>166.28</v>
      </c>
      <c r="M24" s="31">
        <v>483.26</v>
      </c>
      <c r="O24" s="30" t="s">
        <v>87</v>
      </c>
      <c r="P24" s="31">
        <v>4425.8999999999996</v>
      </c>
      <c r="Q24" s="31">
        <v>5000.97</v>
      </c>
      <c r="R24" s="31">
        <v>5979.74</v>
      </c>
      <c r="S24" s="31">
        <v>6952.15</v>
      </c>
      <c r="T24" s="31">
        <v>7401.69</v>
      </c>
      <c r="V24" s="22" t="s">
        <v>88</v>
      </c>
      <c r="W24" s="22">
        <v>151.69</v>
      </c>
      <c r="X24" s="22">
        <v>366.84</v>
      </c>
      <c r="Y24" s="22">
        <v>585.15</v>
      </c>
      <c r="Z24" s="22">
        <v>3422.29</v>
      </c>
      <c r="AA24" s="22">
        <v>3091.74</v>
      </c>
      <c r="AC24" s="21" t="s">
        <v>250</v>
      </c>
      <c r="AD24" s="22">
        <v>2624.77</v>
      </c>
      <c r="AE24" s="22">
        <v>3437.78</v>
      </c>
      <c r="AF24" s="22">
        <v>3782.31</v>
      </c>
      <c r="AG24" s="22">
        <v>4482.88</v>
      </c>
      <c r="AH24" s="22">
        <v>5984</v>
      </c>
      <c r="AK24" s="54"/>
      <c r="AL24" s="54"/>
      <c r="AM24" s="54"/>
      <c r="AN24" s="54"/>
      <c r="AO24" s="54"/>
    </row>
    <row r="25" spans="1:41" x14ac:dyDescent="0.3">
      <c r="A25" s="21" t="s">
        <v>35</v>
      </c>
      <c r="B25" s="22">
        <v>767.65</v>
      </c>
      <c r="C25" s="22">
        <v>325.12</v>
      </c>
      <c r="D25" s="22">
        <v>308.27999999999997</v>
      </c>
      <c r="E25" s="22">
        <v>557.5</v>
      </c>
      <c r="F25" s="22">
        <v>435.82</v>
      </c>
      <c r="H25" s="30" t="s">
        <v>90</v>
      </c>
      <c r="I25" s="31">
        <v>298.76</v>
      </c>
      <c r="J25" s="31">
        <v>297.66000000000003</v>
      </c>
      <c r="K25" s="31">
        <v>296.52999999999997</v>
      </c>
      <c r="L25" s="31">
        <v>266.72000000000003</v>
      </c>
      <c r="M25" s="31">
        <v>169.16</v>
      </c>
      <c r="O25" s="30" t="s">
        <v>122</v>
      </c>
      <c r="P25" s="31">
        <v>799.42</v>
      </c>
      <c r="Q25" s="31">
        <v>1573.64</v>
      </c>
      <c r="R25" s="31">
        <v>2285.5700000000002</v>
      </c>
      <c r="S25" s="31">
        <v>2456.71</v>
      </c>
      <c r="T25" s="31">
        <v>2552.23</v>
      </c>
      <c r="V25" s="22" t="s">
        <v>239</v>
      </c>
      <c r="W25" s="22">
        <v>49.04</v>
      </c>
      <c r="X25" s="22">
        <v>112.34</v>
      </c>
      <c r="Y25" s="22">
        <v>548.95000000000005</v>
      </c>
      <c r="Z25" s="22">
        <v>591.59</v>
      </c>
      <c r="AA25" s="22">
        <v>1114.8599999999999</v>
      </c>
      <c r="AC25" s="21" t="s">
        <v>34</v>
      </c>
      <c r="AD25" s="22">
        <v>252.67</v>
      </c>
      <c r="AE25" s="22">
        <v>259.13</v>
      </c>
      <c r="AF25" s="22">
        <v>270.37</v>
      </c>
      <c r="AG25" s="22">
        <v>268.77999999999997</v>
      </c>
      <c r="AH25" s="22">
        <v>271.12</v>
      </c>
      <c r="AK25" s="54"/>
      <c r="AL25" s="54"/>
      <c r="AM25" s="54"/>
      <c r="AN25" s="54"/>
      <c r="AO25" s="54"/>
    </row>
    <row r="26" spans="1:41" x14ac:dyDescent="0.3">
      <c r="A26" s="21" t="s">
        <v>43</v>
      </c>
      <c r="B26" s="22">
        <v>951.14</v>
      </c>
      <c r="C26" s="22">
        <v>1023.08</v>
      </c>
      <c r="D26" s="22">
        <v>1545.06</v>
      </c>
      <c r="E26" s="22">
        <v>1902.56</v>
      </c>
      <c r="F26" s="22">
        <v>1742.43</v>
      </c>
      <c r="H26" s="30" t="s">
        <v>91</v>
      </c>
      <c r="I26" s="31">
        <v>665.39</v>
      </c>
      <c r="J26" s="31">
        <v>565.66999999999996</v>
      </c>
      <c r="K26" s="31">
        <f>419.76+1.02</f>
        <v>420.78</v>
      </c>
      <c r="L26" s="31">
        <f>112.57+1.05</f>
        <v>113.61999999999999</v>
      </c>
      <c r="M26" s="31">
        <f>90.06+1.36</f>
        <v>91.42</v>
      </c>
      <c r="O26" s="30" t="s">
        <v>88</v>
      </c>
      <c r="P26" s="31">
        <v>1861.5</v>
      </c>
      <c r="Q26" s="31">
        <v>3782.51</v>
      </c>
      <c r="R26" s="31">
        <v>3077.24</v>
      </c>
      <c r="S26" s="31">
        <v>4189.76</v>
      </c>
      <c r="T26" s="31">
        <v>3324.34</v>
      </c>
      <c r="V26" s="22" t="s">
        <v>34</v>
      </c>
      <c r="W26" s="22">
        <v>250.84</v>
      </c>
      <c r="X26" s="22">
        <v>1130.8399999999999</v>
      </c>
      <c r="Y26" s="22">
        <v>150.9</v>
      </c>
      <c r="Z26" s="22">
        <v>180.9</v>
      </c>
      <c r="AA26" s="22">
        <v>110.9</v>
      </c>
      <c r="AC26" s="21" t="s">
        <v>249</v>
      </c>
      <c r="AD26" s="22">
        <f>13081.12+8501.08</f>
        <v>21582.2</v>
      </c>
      <c r="AE26" s="22">
        <f>14991.26+9086.7</f>
        <v>24077.96</v>
      </c>
      <c r="AF26" s="22">
        <f>5826.14+9525.32</f>
        <v>15351.46</v>
      </c>
      <c r="AG26" s="22">
        <f>8912.07+11160.27</f>
        <v>20072.34</v>
      </c>
      <c r="AH26" s="22">
        <f>13212.71+11238.78</f>
        <v>24451.489999999998</v>
      </c>
      <c r="AK26" s="54"/>
      <c r="AL26" s="54"/>
      <c r="AM26" s="54"/>
      <c r="AN26" s="54"/>
      <c r="AO26" s="54"/>
    </row>
    <row r="27" spans="1:41" x14ac:dyDescent="0.3">
      <c r="A27" s="5" t="s">
        <v>44</v>
      </c>
      <c r="B27" s="23">
        <f>SUM(B18,B20:B26)</f>
        <v>14593.179999999998</v>
      </c>
      <c r="C27" s="23">
        <f>SUM(C18,C20:C26)</f>
        <v>16848.830000000002</v>
      </c>
      <c r="D27" s="23">
        <f>SUM(D18,D20:D26)</f>
        <v>16228.070000000002</v>
      </c>
      <c r="E27" s="23">
        <f>SUM(E18,E20:E26)</f>
        <v>19553</v>
      </c>
      <c r="F27" s="23">
        <f>SUM(F18,F20:F26)</f>
        <v>25586.580000000005</v>
      </c>
      <c r="H27" s="30" t="s">
        <v>92</v>
      </c>
      <c r="I27" s="31">
        <v>57.3</v>
      </c>
      <c r="J27" s="31">
        <v>218.56</v>
      </c>
      <c r="K27" s="31">
        <v>109.19</v>
      </c>
      <c r="L27" s="31">
        <v>114.29</v>
      </c>
      <c r="M27" s="31">
        <v>229.52</v>
      </c>
      <c r="O27" s="30" t="s">
        <v>123</v>
      </c>
      <c r="P27" s="31">
        <v>232.68</v>
      </c>
      <c r="Q27" s="31">
        <v>2330.17</v>
      </c>
      <c r="R27" s="31">
        <v>3563.46</v>
      </c>
      <c r="S27" s="31">
        <v>7016.77</v>
      </c>
      <c r="T27" s="31">
        <v>5827.57</v>
      </c>
      <c r="V27" s="22" t="s">
        <v>82</v>
      </c>
      <c r="W27" s="22">
        <f>484.36+119.06</f>
        <v>603.42000000000007</v>
      </c>
      <c r="X27" s="22">
        <f>254.19+104.99</f>
        <v>359.18</v>
      </c>
      <c r="Y27" s="22">
        <f>252.78+154.61</f>
        <v>407.39</v>
      </c>
      <c r="Z27" s="22">
        <f>675.91+285.6</f>
        <v>961.51</v>
      </c>
      <c r="AA27" s="22">
        <f>194.52+529.47</f>
        <v>723.99</v>
      </c>
      <c r="AC27" s="21" t="s">
        <v>124</v>
      </c>
      <c r="AD27" s="22">
        <v>60.96</v>
      </c>
      <c r="AE27" s="22">
        <v>64.7</v>
      </c>
      <c r="AF27" s="22">
        <v>62.64</v>
      </c>
      <c r="AG27" s="22">
        <v>93.51</v>
      </c>
      <c r="AH27" s="22">
        <v>46.78</v>
      </c>
      <c r="AJ27" s="2"/>
      <c r="AK27" s="53"/>
      <c r="AL27" s="53"/>
      <c r="AM27" s="53"/>
      <c r="AN27" s="53"/>
      <c r="AO27" s="53"/>
    </row>
    <row r="28" spans="1:41" x14ac:dyDescent="0.3">
      <c r="A28" s="5" t="s">
        <v>72</v>
      </c>
      <c r="B28" s="23">
        <v>0</v>
      </c>
      <c r="C28" s="23">
        <v>793.52</v>
      </c>
      <c r="D28" s="23">
        <v>0</v>
      </c>
      <c r="E28" s="23">
        <v>0</v>
      </c>
      <c r="F28" s="23"/>
      <c r="H28" s="24" t="s">
        <v>93</v>
      </c>
      <c r="I28" s="32">
        <f>SUM(I18,I20:I27)</f>
        <v>4853.8900000000003</v>
      </c>
      <c r="J28" s="32">
        <f t="shared" ref="J28:M28" si="4">SUM(J18,J20:J27)</f>
        <v>4867.2699999999995</v>
      </c>
      <c r="K28" s="32">
        <f t="shared" si="4"/>
        <v>5737.3099999999986</v>
      </c>
      <c r="L28" s="32">
        <f t="shared" si="4"/>
        <v>4951.41</v>
      </c>
      <c r="M28" s="32">
        <f t="shared" si="4"/>
        <v>4539.12</v>
      </c>
      <c r="O28" s="30" t="s">
        <v>34</v>
      </c>
      <c r="P28" s="31">
        <v>33</v>
      </c>
      <c r="Q28" s="31">
        <v>30.71</v>
      </c>
      <c r="R28" s="31">
        <v>9.34</v>
      </c>
      <c r="S28" s="31">
        <v>11.55</v>
      </c>
      <c r="T28" s="31">
        <v>11.14</v>
      </c>
      <c r="V28" s="23" t="s">
        <v>240</v>
      </c>
      <c r="W28" s="23">
        <f>SUM(W19,W21:W27)</f>
        <v>4547.6500000000005</v>
      </c>
      <c r="X28" s="23">
        <f t="shared" ref="X28:AA28" si="5">SUM(X19,X21:X27)</f>
        <v>4349.7500000000009</v>
      </c>
      <c r="Y28" s="23">
        <f t="shared" si="5"/>
        <v>5200.41</v>
      </c>
      <c r="Z28" s="23">
        <f t="shared" si="5"/>
        <v>9522.4699999999993</v>
      </c>
      <c r="AA28" s="23">
        <f t="shared" si="5"/>
        <v>8664.7799999999988</v>
      </c>
      <c r="AC28" s="5" t="s">
        <v>93</v>
      </c>
      <c r="AD28" s="23">
        <f>SUM(AD19,AD21:AD27)</f>
        <v>56563.249999999993</v>
      </c>
      <c r="AE28" s="23">
        <f t="shared" ref="AE28:AH28" si="6">SUM(AE19,AE21:AE27)</f>
        <v>56817.25</v>
      </c>
      <c r="AF28" s="23">
        <f t="shared" si="6"/>
        <v>58252.71</v>
      </c>
      <c r="AG28" s="23">
        <f t="shared" si="6"/>
        <v>68498.75</v>
      </c>
      <c r="AH28" s="23">
        <f t="shared" si="6"/>
        <v>83035.53</v>
      </c>
      <c r="AJ28" s="2"/>
      <c r="AK28" s="53"/>
      <c r="AL28" s="53"/>
      <c r="AM28" s="53"/>
      <c r="AN28" s="53"/>
      <c r="AO28" s="53"/>
    </row>
    <row r="29" spans="1:41" x14ac:dyDescent="0.3">
      <c r="A29" s="5" t="s">
        <v>45</v>
      </c>
      <c r="B29" s="23">
        <f>B16+B27</f>
        <v>75025</v>
      </c>
      <c r="C29" s="23">
        <f>C16+C27+C28</f>
        <v>78805.91</v>
      </c>
      <c r="D29" s="23">
        <f>D16+D27</f>
        <v>81981.020000000019</v>
      </c>
      <c r="E29" s="23">
        <f>E16+E27</f>
        <v>85821.27</v>
      </c>
      <c r="F29" s="23">
        <f>F16+F27</f>
        <v>92324.77</v>
      </c>
      <c r="H29" s="30" t="s">
        <v>94</v>
      </c>
      <c r="I29" s="31">
        <v>0.52</v>
      </c>
      <c r="J29" s="31">
        <v>855</v>
      </c>
      <c r="K29" s="31">
        <v>72.44</v>
      </c>
      <c r="L29" s="31">
        <v>72.44</v>
      </c>
      <c r="M29" s="31">
        <v>208.15</v>
      </c>
      <c r="O29" s="30" t="s">
        <v>81</v>
      </c>
      <c r="P29" s="31">
        <v>33.200000000000003</v>
      </c>
      <c r="Q29" s="31">
        <v>41.45</v>
      </c>
      <c r="R29" s="31">
        <v>46.91</v>
      </c>
      <c r="S29" s="31">
        <v>54.5</v>
      </c>
      <c r="T29" s="31">
        <v>65.92</v>
      </c>
      <c r="V29" s="22" t="s">
        <v>72</v>
      </c>
      <c r="W29" s="22">
        <v>0</v>
      </c>
      <c r="X29" s="22">
        <v>114.33</v>
      </c>
      <c r="Y29" s="22">
        <v>0</v>
      </c>
      <c r="Z29" s="22">
        <v>101.64</v>
      </c>
      <c r="AA29" s="22">
        <v>0</v>
      </c>
      <c r="AC29" s="21" t="s">
        <v>251</v>
      </c>
      <c r="AD29" s="22">
        <v>0</v>
      </c>
      <c r="AE29" s="22">
        <v>0</v>
      </c>
      <c r="AF29" s="22">
        <v>18.5</v>
      </c>
      <c r="AG29" s="22">
        <v>120.92</v>
      </c>
      <c r="AH29" s="22">
        <v>117.77</v>
      </c>
      <c r="AJ29" s="2"/>
      <c r="AK29" s="53"/>
      <c r="AL29" s="53"/>
      <c r="AM29" s="53"/>
      <c r="AN29" s="53"/>
      <c r="AO29" s="53"/>
    </row>
    <row r="30" spans="1:41" x14ac:dyDescent="0.3">
      <c r="A30" s="155" t="s">
        <v>46</v>
      </c>
      <c r="B30" s="156"/>
      <c r="C30" s="156"/>
      <c r="D30" s="156"/>
      <c r="E30" s="156"/>
      <c r="F30" s="157"/>
      <c r="H30" s="24" t="s">
        <v>95</v>
      </c>
      <c r="I30" s="32">
        <f>I16+I28+I29</f>
        <v>53342.899999999994</v>
      </c>
      <c r="J30" s="32">
        <f t="shared" ref="J30:M30" si="7">J16+J28+J29</f>
        <v>50781.83</v>
      </c>
      <c r="K30" s="32">
        <f t="shared" si="7"/>
        <v>49811.66</v>
      </c>
      <c r="L30" s="32">
        <f t="shared" si="7"/>
        <v>48535.420000000013</v>
      </c>
      <c r="M30" s="32">
        <f t="shared" si="7"/>
        <v>43760.260000000009</v>
      </c>
      <c r="O30" s="30" t="s">
        <v>91</v>
      </c>
      <c r="P30" s="31">
        <v>1412.43</v>
      </c>
      <c r="Q30" s="31">
        <v>310.14999999999998</v>
      </c>
      <c r="R30" s="31">
        <v>501.45</v>
      </c>
      <c r="S30" s="31">
        <v>688.3</v>
      </c>
      <c r="T30" s="31">
        <v>471.48</v>
      </c>
      <c r="V30" s="23" t="s">
        <v>95</v>
      </c>
      <c r="W30" s="23">
        <f>W17+W28+W29</f>
        <v>25111.86</v>
      </c>
      <c r="X30" s="23">
        <f t="shared" ref="X30:AA30" si="8">X17+X28+X29</f>
        <v>26436.33</v>
      </c>
      <c r="Y30" s="23">
        <f t="shared" si="8"/>
        <v>30932.449999999997</v>
      </c>
      <c r="Z30" s="23">
        <f t="shared" si="8"/>
        <v>48741.7</v>
      </c>
      <c r="AA30" s="23">
        <f t="shared" si="8"/>
        <v>58269.1</v>
      </c>
      <c r="AC30" s="21" t="s">
        <v>252</v>
      </c>
      <c r="AD30" s="22">
        <v>9397.73</v>
      </c>
      <c r="AE30" s="22">
        <v>11553.28</v>
      </c>
      <c r="AF30" s="22">
        <v>13199.17</v>
      </c>
      <c r="AG30" s="22">
        <v>12548.66</v>
      </c>
      <c r="AH30" s="22">
        <v>14856.03</v>
      </c>
      <c r="AJ30" s="158"/>
      <c r="AK30" s="158"/>
      <c r="AL30" s="158"/>
      <c r="AM30" s="158"/>
      <c r="AN30" s="158"/>
      <c r="AO30" s="158"/>
    </row>
    <row r="31" spans="1:41" x14ac:dyDescent="0.3">
      <c r="A31" s="155" t="s">
        <v>47</v>
      </c>
      <c r="B31" s="156"/>
      <c r="C31" s="156"/>
      <c r="D31" s="156"/>
      <c r="E31" s="156"/>
      <c r="F31" s="157"/>
      <c r="H31" s="170" t="s">
        <v>46</v>
      </c>
      <c r="I31" s="171"/>
      <c r="J31" s="171"/>
      <c r="K31" s="171"/>
      <c r="L31" s="171"/>
      <c r="M31" s="172"/>
      <c r="O31" s="30" t="s">
        <v>124</v>
      </c>
      <c r="P31" s="31">
        <v>1.1000000000000001</v>
      </c>
      <c r="Q31" s="31">
        <v>0.45</v>
      </c>
      <c r="R31" s="31">
        <v>0.01</v>
      </c>
      <c r="S31" s="31">
        <v>0.69</v>
      </c>
      <c r="T31" s="31">
        <v>8.1999999999999993</v>
      </c>
      <c r="V31" s="159" t="s">
        <v>46</v>
      </c>
      <c r="W31" s="159"/>
      <c r="X31" s="159"/>
      <c r="Y31" s="159"/>
      <c r="Z31" s="159"/>
      <c r="AA31" s="159"/>
      <c r="AC31" s="5" t="s">
        <v>45</v>
      </c>
      <c r="AD31" s="23">
        <f>AD17+AD28+AD29+AD30</f>
        <v>378485.44000000006</v>
      </c>
      <c r="AE31" s="23">
        <f t="shared" ref="AE31:AH31" si="9">AE17+AE28+AE29+AE30</f>
        <v>398966.21</v>
      </c>
      <c r="AF31" s="23">
        <f t="shared" si="9"/>
        <v>416596.41000000003</v>
      </c>
      <c r="AG31" s="23">
        <f t="shared" si="9"/>
        <v>446021.44999999995</v>
      </c>
      <c r="AH31" s="23">
        <f t="shared" si="9"/>
        <v>480196.57000000007</v>
      </c>
      <c r="AJ31" s="158"/>
      <c r="AK31" s="158"/>
      <c r="AL31" s="158"/>
      <c r="AM31" s="158"/>
      <c r="AN31" s="158"/>
      <c r="AO31" s="158"/>
    </row>
    <row r="32" spans="1:41" x14ac:dyDescent="0.3">
      <c r="A32" s="21" t="s">
        <v>48</v>
      </c>
      <c r="B32" s="22">
        <v>3856.94</v>
      </c>
      <c r="C32" s="22">
        <v>3856.94</v>
      </c>
      <c r="D32" s="22">
        <v>3856.94</v>
      </c>
      <c r="E32" s="22">
        <v>3856.94</v>
      </c>
      <c r="F32" s="22">
        <v>3856.94</v>
      </c>
      <c r="H32" s="166" t="s">
        <v>96</v>
      </c>
      <c r="I32" s="167"/>
      <c r="J32" s="167"/>
      <c r="K32" s="167"/>
      <c r="L32" s="167"/>
      <c r="M32" s="168"/>
      <c r="O32" s="30" t="s">
        <v>92</v>
      </c>
      <c r="P32" s="31">
        <v>770.39</v>
      </c>
      <c r="Q32" s="31">
        <v>916.69</v>
      </c>
      <c r="R32" s="31">
        <v>1479.67</v>
      </c>
      <c r="S32" s="31">
        <v>1328.72</v>
      </c>
      <c r="T32" s="31">
        <v>1704.3</v>
      </c>
      <c r="V32" s="159" t="s">
        <v>96</v>
      </c>
      <c r="W32" s="159"/>
      <c r="X32" s="159"/>
      <c r="Y32" s="159"/>
      <c r="Z32" s="159"/>
      <c r="AA32" s="159"/>
      <c r="AC32" s="154" t="s">
        <v>46</v>
      </c>
      <c r="AD32" s="154"/>
      <c r="AE32" s="154"/>
      <c r="AF32" s="154"/>
      <c r="AG32" s="154"/>
      <c r="AH32" s="154"/>
      <c r="AK32" s="54"/>
      <c r="AL32" s="54"/>
      <c r="AM32" s="54"/>
      <c r="AN32" s="54"/>
      <c r="AO32" s="54"/>
    </row>
    <row r="33" spans="1:41" x14ac:dyDescent="0.3">
      <c r="A33" s="21" t="s">
        <v>49</v>
      </c>
      <c r="B33" s="22">
        <v>8615</v>
      </c>
      <c r="C33" s="22">
        <v>12615</v>
      </c>
      <c r="D33" s="22">
        <v>13215</v>
      </c>
      <c r="E33" s="22">
        <v>13215</v>
      </c>
      <c r="F33" s="22">
        <v>7315</v>
      </c>
      <c r="H33" s="30" t="s">
        <v>48</v>
      </c>
      <c r="I33" s="31">
        <v>2805.13</v>
      </c>
      <c r="J33" s="31">
        <v>2805.13</v>
      </c>
      <c r="K33" s="31">
        <v>3400.13</v>
      </c>
      <c r="L33" s="31">
        <v>3735.21</v>
      </c>
      <c r="M33" s="31">
        <v>4016.98</v>
      </c>
      <c r="O33" s="24" t="s">
        <v>93</v>
      </c>
      <c r="P33" s="32">
        <f>SUM(P21,P23:P32)</f>
        <v>12021.480000000001</v>
      </c>
      <c r="Q33" s="32">
        <f t="shared" ref="Q33:T33" si="10">SUM(Q21,Q23:Q32)</f>
        <v>16371.080000000002</v>
      </c>
      <c r="R33" s="32">
        <f t="shared" si="10"/>
        <v>21585.43</v>
      </c>
      <c r="S33" s="32">
        <f t="shared" si="10"/>
        <v>27791.629999999997</v>
      </c>
      <c r="T33" s="32">
        <f t="shared" si="10"/>
        <v>27264.389999999996</v>
      </c>
      <c r="V33" s="22" t="s">
        <v>48</v>
      </c>
      <c r="W33" s="22">
        <v>1641.9</v>
      </c>
      <c r="X33" s="22">
        <v>1642.33</v>
      </c>
      <c r="Y33" s="22">
        <v>1639.67</v>
      </c>
      <c r="Z33" s="22">
        <v>1640.54</v>
      </c>
      <c r="AA33" s="22">
        <v>1641.22</v>
      </c>
      <c r="AC33" s="154" t="s">
        <v>96</v>
      </c>
      <c r="AD33" s="154"/>
      <c r="AE33" s="154"/>
      <c r="AF33" s="154"/>
      <c r="AG33" s="154"/>
      <c r="AH33" s="154"/>
      <c r="AK33" s="54"/>
      <c r="AL33" s="54"/>
      <c r="AM33" s="54"/>
      <c r="AN33" s="54"/>
      <c r="AO33" s="54"/>
    </row>
    <row r="34" spans="1:41" x14ac:dyDescent="0.3">
      <c r="A34" s="21" t="s">
        <v>50</v>
      </c>
      <c r="B34" s="22">
        <v>-5991.5</v>
      </c>
      <c r="C34" s="22">
        <v>-3359.35</v>
      </c>
      <c r="D34" s="22">
        <v>1631.5</v>
      </c>
      <c r="E34" s="22">
        <v>12803.72</v>
      </c>
      <c r="F34" s="22">
        <v>31973.09</v>
      </c>
      <c r="H34" s="30" t="s">
        <v>97</v>
      </c>
      <c r="I34" s="31">
        <v>9063.74</v>
      </c>
      <c r="J34" s="31">
        <v>9440.7099999999991</v>
      </c>
      <c r="K34" s="31">
        <f>182.5+8879.9</f>
        <v>9062.4</v>
      </c>
      <c r="L34" s="31">
        <f>80+7780.17</f>
        <v>7860.17</v>
      </c>
      <c r="M34" s="31">
        <v>7596.88</v>
      </c>
      <c r="O34" s="30" t="s">
        <v>72</v>
      </c>
      <c r="P34" s="31">
        <v>6253.06</v>
      </c>
      <c r="Q34" s="31">
        <v>3047.46</v>
      </c>
      <c r="R34" s="31">
        <v>3046.83</v>
      </c>
      <c r="S34" s="31">
        <v>3299.94</v>
      </c>
      <c r="T34" s="31">
        <v>1200.99</v>
      </c>
      <c r="V34" s="22" t="s">
        <v>50</v>
      </c>
      <c r="W34" s="22">
        <v>10003.719999999999</v>
      </c>
      <c r="X34" s="22">
        <v>12864.67</v>
      </c>
      <c r="Y34" s="22">
        <v>15775.23</v>
      </c>
      <c r="Z34" s="22">
        <v>16988.27</v>
      </c>
      <c r="AA34" s="22">
        <v>19190.52</v>
      </c>
      <c r="AC34" s="21" t="s">
        <v>48</v>
      </c>
      <c r="AD34" s="22">
        <v>9894.56</v>
      </c>
      <c r="AE34" s="22">
        <v>9696.67</v>
      </c>
      <c r="AF34" s="22">
        <v>9696.67</v>
      </c>
      <c r="AG34" s="22">
        <v>9696.67</v>
      </c>
      <c r="AH34" s="22">
        <v>9696.67</v>
      </c>
      <c r="AJ34" s="2"/>
      <c r="AK34" s="53"/>
      <c r="AL34" s="53"/>
      <c r="AM34" s="53"/>
      <c r="AN34" s="53"/>
      <c r="AO34" s="53"/>
    </row>
    <row r="35" spans="1:41" x14ac:dyDescent="0.3">
      <c r="A35" s="5" t="s">
        <v>51</v>
      </c>
      <c r="B35" s="23">
        <f>SUM(B32:B34)</f>
        <v>6480.4400000000005</v>
      </c>
      <c r="C35" s="23">
        <f>SUM(C32:C34)</f>
        <v>13112.589999999998</v>
      </c>
      <c r="D35" s="23">
        <f>SUM(D32:D34)</f>
        <v>18703.439999999999</v>
      </c>
      <c r="E35" s="23">
        <f>SUM(E32:E34)</f>
        <v>29875.659999999996</v>
      </c>
      <c r="F35" s="23">
        <f>SUM(F32:F34)</f>
        <v>43145.03</v>
      </c>
      <c r="H35" s="24" t="s">
        <v>98</v>
      </c>
      <c r="I35" s="32">
        <f>I33+I34</f>
        <v>11868.869999999999</v>
      </c>
      <c r="J35" s="32">
        <f t="shared" ref="J35:M35" si="11">J33+J34</f>
        <v>12245.84</v>
      </c>
      <c r="K35" s="32">
        <f t="shared" si="11"/>
        <v>12462.529999999999</v>
      </c>
      <c r="L35" s="32">
        <f t="shared" si="11"/>
        <v>11595.380000000001</v>
      </c>
      <c r="M35" s="32">
        <f t="shared" si="11"/>
        <v>11613.86</v>
      </c>
      <c r="O35" s="24" t="s">
        <v>125</v>
      </c>
      <c r="P35" s="32">
        <f>P19+P33+P34</f>
        <v>84267.979999999981</v>
      </c>
      <c r="Q35" s="32">
        <f t="shared" ref="Q35:T35" si="12">Q19+Q33+Q34</f>
        <v>92373.060000000027</v>
      </c>
      <c r="R35" s="32">
        <f t="shared" si="12"/>
        <v>106074.02</v>
      </c>
      <c r="S35" s="32">
        <f t="shared" si="12"/>
        <v>119915.61000000004</v>
      </c>
      <c r="T35" s="32">
        <f t="shared" si="12"/>
        <v>131254.82999999999</v>
      </c>
      <c r="V35" s="23" t="s">
        <v>241</v>
      </c>
      <c r="W35" s="23">
        <f>W33+W34</f>
        <v>11645.619999999999</v>
      </c>
      <c r="X35" s="23">
        <f t="shared" ref="X35:AA35" si="13">X33+X34</f>
        <v>14507</v>
      </c>
      <c r="Y35" s="23">
        <f t="shared" si="13"/>
        <v>17414.900000000001</v>
      </c>
      <c r="Z35" s="23">
        <f t="shared" si="13"/>
        <v>18628.810000000001</v>
      </c>
      <c r="AA35" s="23">
        <f t="shared" si="13"/>
        <v>20831.740000000002</v>
      </c>
      <c r="AC35" s="21" t="s">
        <v>50</v>
      </c>
      <c r="AD35" s="22">
        <v>108944.6</v>
      </c>
      <c r="AE35" s="22">
        <v>116041.8</v>
      </c>
      <c r="AF35" s="22">
        <v>125677.07</v>
      </c>
      <c r="AG35" s="22">
        <v>137326.5</v>
      </c>
      <c r="AH35" s="22">
        <v>151012.6</v>
      </c>
      <c r="AJ35" s="158"/>
      <c r="AK35" s="158"/>
      <c r="AL35" s="158"/>
      <c r="AM35" s="158"/>
      <c r="AN35" s="158"/>
      <c r="AO35" s="158"/>
    </row>
    <row r="36" spans="1:41" x14ac:dyDescent="0.3">
      <c r="A36" s="21" t="s">
        <v>52</v>
      </c>
      <c r="B36" s="22">
        <v>0.01</v>
      </c>
      <c r="C36" s="22">
        <v>0.01</v>
      </c>
      <c r="D36" s="22">
        <v>0</v>
      </c>
      <c r="E36" s="22">
        <v>0</v>
      </c>
      <c r="F36" s="22">
        <v>0</v>
      </c>
      <c r="H36" s="30" t="s">
        <v>99</v>
      </c>
      <c r="I36" s="31">
        <v>1352.79</v>
      </c>
      <c r="J36" s="31">
        <v>1568.01</v>
      </c>
      <c r="K36" s="31">
        <v>1621.57</v>
      </c>
      <c r="L36" s="31">
        <v>1691.75</v>
      </c>
      <c r="M36" s="31">
        <v>0</v>
      </c>
      <c r="O36" s="30" t="s">
        <v>126</v>
      </c>
      <c r="P36" s="34">
        <v>5480.17</v>
      </c>
      <c r="Q36" s="34">
        <v>6478.17</v>
      </c>
      <c r="R36" s="34">
        <v>6810.57</v>
      </c>
      <c r="S36" s="34">
        <v>8433.43</v>
      </c>
      <c r="T36" s="34">
        <v>8298.66</v>
      </c>
      <c r="V36" s="22" t="s">
        <v>242</v>
      </c>
      <c r="W36" s="22">
        <v>-23.84</v>
      </c>
      <c r="X36" s="22">
        <v>-8.7200000000000006</v>
      </c>
      <c r="Y36" s="22">
        <v>2.06</v>
      </c>
      <c r="Z36" s="22">
        <v>105.37</v>
      </c>
      <c r="AA36" s="22">
        <v>182.5</v>
      </c>
      <c r="AC36" s="5" t="s">
        <v>253</v>
      </c>
      <c r="AD36" s="23">
        <f>AD34+AD35</f>
        <v>118839.16</v>
      </c>
      <c r="AE36" s="23">
        <f t="shared" ref="AE36:AH36" si="14">AE34+AE35</f>
        <v>125738.47</v>
      </c>
      <c r="AF36" s="23">
        <f t="shared" si="14"/>
        <v>135373.74000000002</v>
      </c>
      <c r="AG36" s="23">
        <f t="shared" si="14"/>
        <v>147023.17000000001</v>
      </c>
      <c r="AH36" s="23">
        <f t="shared" si="14"/>
        <v>160709.27000000002</v>
      </c>
      <c r="AJ36" s="158"/>
      <c r="AK36" s="158"/>
      <c r="AL36" s="158"/>
      <c r="AM36" s="158"/>
      <c r="AN36" s="158"/>
      <c r="AO36" s="158"/>
    </row>
    <row r="37" spans="1:41" x14ac:dyDescent="0.3">
      <c r="A37" s="5" t="s">
        <v>70</v>
      </c>
      <c r="B37" s="23">
        <f>B35+B36</f>
        <v>6480.4500000000007</v>
      </c>
      <c r="C37" s="23">
        <f>C35+C36</f>
        <v>13112.599999999999</v>
      </c>
      <c r="D37" s="23">
        <f>D35+D36</f>
        <v>18703.439999999999</v>
      </c>
      <c r="E37" s="23">
        <f>E35+E36</f>
        <v>29875.659999999996</v>
      </c>
      <c r="F37" s="23">
        <f>F35+F36</f>
        <v>43145.03</v>
      </c>
      <c r="H37" s="24" t="s">
        <v>100</v>
      </c>
      <c r="I37" s="32">
        <f>I35+I36</f>
        <v>13221.66</v>
      </c>
      <c r="J37" s="32">
        <f t="shared" ref="J37:M37" si="15">J35+J36</f>
        <v>13813.85</v>
      </c>
      <c r="K37" s="32">
        <f t="shared" si="15"/>
        <v>14084.099999999999</v>
      </c>
      <c r="L37" s="32">
        <f t="shared" si="15"/>
        <v>13287.130000000001</v>
      </c>
      <c r="M37" s="32">
        <f t="shared" si="15"/>
        <v>11613.86</v>
      </c>
      <c r="O37" s="24" t="s">
        <v>45</v>
      </c>
      <c r="P37" s="32">
        <f>P35+P36</f>
        <v>89748.14999999998</v>
      </c>
      <c r="Q37" s="32">
        <f t="shared" ref="Q37:T37" si="16">Q35+Q36</f>
        <v>98851.230000000025</v>
      </c>
      <c r="R37" s="32">
        <f t="shared" si="16"/>
        <v>112884.59</v>
      </c>
      <c r="S37" s="32">
        <f t="shared" si="16"/>
        <v>128349.04000000004</v>
      </c>
      <c r="T37" s="32">
        <f t="shared" si="16"/>
        <v>139553.49</v>
      </c>
      <c r="V37" s="23" t="s">
        <v>100</v>
      </c>
      <c r="W37" s="23">
        <f>W35+W36</f>
        <v>11621.779999999999</v>
      </c>
      <c r="X37" s="23">
        <f t="shared" ref="X37:AA37" si="17">X35+X36</f>
        <v>14498.28</v>
      </c>
      <c r="Y37" s="23">
        <f t="shared" si="17"/>
        <v>17416.960000000003</v>
      </c>
      <c r="Z37" s="23">
        <f t="shared" si="17"/>
        <v>18734.18</v>
      </c>
      <c r="AA37" s="23">
        <f t="shared" si="17"/>
        <v>21014.240000000002</v>
      </c>
      <c r="AC37" s="21" t="s">
        <v>242</v>
      </c>
      <c r="AD37" s="22">
        <v>3317.19</v>
      </c>
      <c r="AE37" s="22">
        <v>3523.71</v>
      </c>
      <c r="AF37" s="22">
        <v>3760.41</v>
      </c>
      <c r="AG37" s="22">
        <v>3930.45</v>
      </c>
      <c r="AH37" s="22">
        <v>4413.01</v>
      </c>
      <c r="AJ37" s="158"/>
      <c r="AK37" s="158"/>
      <c r="AL37" s="158"/>
      <c r="AM37" s="158"/>
      <c r="AN37" s="158"/>
      <c r="AO37" s="158"/>
    </row>
    <row r="38" spans="1:41" x14ac:dyDescent="0.3">
      <c r="A38" s="155" t="s">
        <v>53</v>
      </c>
      <c r="B38" s="156"/>
      <c r="C38" s="156"/>
      <c r="D38" s="156"/>
      <c r="E38" s="156"/>
      <c r="F38" s="157"/>
      <c r="H38" s="170" t="s">
        <v>101</v>
      </c>
      <c r="I38" s="171"/>
      <c r="J38" s="171"/>
      <c r="K38" s="171"/>
      <c r="L38" s="171"/>
      <c r="M38" s="172"/>
      <c r="O38" s="170" t="s">
        <v>46</v>
      </c>
      <c r="P38" s="171"/>
      <c r="Q38" s="171"/>
      <c r="R38" s="171"/>
      <c r="S38" s="171"/>
      <c r="T38" s="172"/>
      <c r="V38" s="159" t="s">
        <v>101</v>
      </c>
      <c r="W38" s="159"/>
      <c r="X38" s="159"/>
      <c r="Y38" s="159"/>
      <c r="Z38" s="159"/>
      <c r="AA38" s="159"/>
      <c r="AC38" s="5" t="s">
        <v>100</v>
      </c>
      <c r="AD38" s="23">
        <f>AD36+AD37</f>
        <v>122156.35</v>
      </c>
      <c r="AE38" s="23">
        <f t="shared" ref="AE38:AH38" si="18">AE36+AE37</f>
        <v>129262.18000000001</v>
      </c>
      <c r="AF38" s="23">
        <f t="shared" si="18"/>
        <v>139134.15000000002</v>
      </c>
      <c r="AG38" s="23">
        <f t="shared" si="18"/>
        <v>150953.62000000002</v>
      </c>
      <c r="AH38" s="23">
        <f t="shared" si="18"/>
        <v>165122.28000000003</v>
      </c>
      <c r="AK38" s="54"/>
      <c r="AL38" s="54"/>
      <c r="AM38" s="54"/>
      <c r="AN38" s="54"/>
      <c r="AO38" s="54"/>
    </row>
    <row r="39" spans="1:41" x14ac:dyDescent="0.3">
      <c r="A39" s="155" t="s">
        <v>54</v>
      </c>
      <c r="B39" s="156"/>
      <c r="C39" s="156"/>
      <c r="D39" s="156"/>
      <c r="E39" s="156"/>
      <c r="F39" s="157"/>
      <c r="H39" s="170" t="s">
        <v>102</v>
      </c>
      <c r="I39" s="171"/>
      <c r="J39" s="171"/>
      <c r="K39" s="171"/>
      <c r="L39" s="171"/>
      <c r="M39" s="172"/>
      <c r="O39" s="170" t="s">
        <v>47</v>
      </c>
      <c r="P39" s="171"/>
      <c r="Q39" s="171"/>
      <c r="R39" s="171"/>
      <c r="S39" s="171"/>
      <c r="T39" s="172"/>
      <c r="V39" s="159" t="s">
        <v>243</v>
      </c>
      <c r="W39" s="159"/>
      <c r="X39" s="159"/>
      <c r="Y39" s="159"/>
      <c r="Z39" s="159"/>
      <c r="AA39" s="159"/>
      <c r="AC39" s="154" t="s">
        <v>101</v>
      </c>
      <c r="AD39" s="154"/>
      <c r="AE39" s="154"/>
      <c r="AF39" s="154"/>
      <c r="AG39" s="154"/>
      <c r="AH39" s="154"/>
      <c r="AK39" s="54"/>
      <c r="AL39" s="54"/>
      <c r="AM39" s="54"/>
      <c r="AN39" s="54"/>
      <c r="AO39" s="54"/>
    </row>
    <row r="40" spans="1:41" x14ac:dyDescent="0.3">
      <c r="A40" s="155" t="s">
        <v>55</v>
      </c>
      <c r="B40" s="156"/>
      <c r="C40" s="156"/>
      <c r="D40" s="156"/>
      <c r="E40" s="156"/>
      <c r="F40" s="157"/>
      <c r="H40" s="170" t="s">
        <v>103</v>
      </c>
      <c r="I40" s="171"/>
      <c r="J40" s="171"/>
      <c r="K40" s="171"/>
      <c r="L40" s="171"/>
      <c r="M40" s="172"/>
      <c r="O40" s="30" t="s">
        <v>48</v>
      </c>
      <c r="P40" s="31">
        <v>270.5</v>
      </c>
      <c r="Q40" s="31">
        <v>319.56</v>
      </c>
      <c r="R40" s="31">
        <v>319.56</v>
      </c>
      <c r="S40" s="31">
        <v>319.56</v>
      </c>
      <c r="T40" s="31">
        <v>319.56</v>
      </c>
      <c r="V40" s="159" t="s">
        <v>103</v>
      </c>
      <c r="W40" s="159"/>
      <c r="X40" s="159"/>
      <c r="Y40" s="159"/>
      <c r="Z40" s="159"/>
      <c r="AA40" s="159"/>
      <c r="AC40" s="154" t="s">
        <v>254</v>
      </c>
      <c r="AD40" s="154"/>
      <c r="AE40" s="154"/>
      <c r="AF40" s="154"/>
      <c r="AG40" s="154"/>
      <c r="AH40" s="154"/>
      <c r="AK40" s="54"/>
      <c r="AL40" s="54"/>
      <c r="AM40" s="54"/>
      <c r="AN40" s="54"/>
      <c r="AO40" s="54"/>
    </row>
    <row r="41" spans="1:41" x14ac:dyDescent="0.3">
      <c r="A41" s="21" t="s">
        <v>56</v>
      </c>
      <c r="B41" s="22">
        <v>44566.34</v>
      </c>
      <c r="C41" s="22">
        <v>39957</v>
      </c>
      <c r="D41" s="22">
        <v>37871.32</v>
      </c>
      <c r="E41" s="22">
        <v>33702.6</v>
      </c>
      <c r="F41" s="22">
        <v>26595.01</v>
      </c>
      <c r="H41" s="30" t="s">
        <v>56</v>
      </c>
      <c r="I41" s="31">
        <v>19860.560000000001</v>
      </c>
      <c r="J41" s="31">
        <v>16831.490000000002</v>
      </c>
      <c r="K41" s="31">
        <v>14205.21</v>
      </c>
      <c r="L41" s="31">
        <v>12240.36</v>
      </c>
      <c r="M41" s="31">
        <v>9409.48</v>
      </c>
      <c r="O41" s="30" t="s">
        <v>49</v>
      </c>
      <c r="P41" s="31">
        <v>1500</v>
      </c>
      <c r="Q41" s="31">
        <v>1500</v>
      </c>
      <c r="R41" s="31">
        <v>0</v>
      </c>
      <c r="S41" s="31">
        <v>0</v>
      </c>
      <c r="T41" s="31">
        <v>0</v>
      </c>
      <c r="V41" s="22" t="s">
        <v>128</v>
      </c>
      <c r="W41" s="22">
        <v>8280.74</v>
      </c>
      <c r="X41" s="22">
        <v>6972.41</v>
      </c>
      <c r="Y41" s="22">
        <v>6876.37</v>
      </c>
      <c r="Z41" s="22">
        <v>19207.900000000001</v>
      </c>
      <c r="AA41" s="22">
        <v>27731.200000000001</v>
      </c>
      <c r="AC41" s="154" t="s">
        <v>103</v>
      </c>
      <c r="AD41" s="154"/>
      <c r="AE41" s="154"/>
      <c r="AF41" s="154"/>
      <c r="AG41" s="154"/>
      <c r="AH41" s="154"/>
      <c r="AK41" s="54"/>
      <c r="AL41" s="54"/>
      <c r="AM41" s="54"/>
      <c r="AN41" s="54"/>
      <c r="AO41" s="54"/>
    </row>
    <row r="42" spans="1:41" x14ac:dyDescent="0.3">
      <c r="A42" s="21" t="s">
        <v>73</v>
      </c>
      <c r="B42" s="22">
        <v>0</v>
      </c>
      <c r="C42" s="22">
        <v>99.57</v>
      </c>
      <c r="D42" s="22">
        <v>94.36</v>
      </c>
      <c r="E42" s="22">
        <v>88.32</v>
      </c>
      <c r="F42" s="22">
        <v>143.11000000000001</v>
      </c>
      <c r="H42" s="30" t="s">
        <v>64</v>
      </c>
      <c r="I42" s="31">
        <v>146.28</v>
      </c>
      <c r="J42" s="31">
        <v>180.17</v>
      </c>
      <c r="K42" s="31">
        <v>310.77</v>
      </c>
      <c r="L42" s="31">
        <v>670.15</v>
      </c>
      <c r="M42" s="31">
        <v>735.42</v>
      </c>
      <c r="O42" s="30" t="s">
        <v>50</v>
      </c>
      <c r="P42" s="31">
        <v>17795.52</v>
      </c>
      <c r="Q42" s="31">
        <v>20502.7</v>
      </c>
      <c r="R42" s="31">
        <v>22122</v>
      </c>
      <c r="S42" s="31">
        <v>28467.87</v>
      </c>
      <c r="T42" s="31">
        <v>32035.73</v>
      </c>
      <c r="V42" s="22" t="s">
        <v>129</v>
      </c>
      <c r="W42" s="22">
        <v>0</v>
      </c>
      <c r="X42" s="22">
        <v>0</v>
      </c>
      <c r="Y42" s="22">
        <v>45.29</v>
      </c>
      <c r="Z42" s="22">
        <v>221.47</v>
      </c>
      <c r="AA42" s="22">
        <v>231.72</v>
      </c>
      <c r="AC42" s="21" t="s">
        <v>128</v>
      </c>
      <c r="AD42" s="22">
        <v>176020.02</v>
      </c>
      <c r="AE42" s="22">
        <v>181271.91</v>
      </c>
      <c r="AF42" s="22">
        <v>181871.19</v>
      </c>
      <c r="AG42" s="22">
        <v>187883.57</v>
      </c>
      <c r="AH42" s="22">
        <v>190214.97</v>
      </c>
      <c r="AK42" s="54"/>
      <c r="AL42" s="54"/>
      <c r="AM42" s="54"/>
      <c r="AN42" s="54"/>
      <c r="AO42" s="54"/>
    </row>
    <row r="43" spans="1:41" x14ac:dyDescent="0.3">
      <c r="A43" s="21" t="s">
        <v>57</v>
      </c>
      <c r="B43" s="22">
        <v>339.21</v>
      </c>
      <c r="C43" s="22">
        <v>703.08</v>
      </c>
      <c r="D43" s="22">
        <v>960.37</v>
      </c>
      <c r="E43" s="22">
        <v>0</v>
      </c>
      <c r="F43" s="22">
        <v>1.07</v>
      </c>
      <c r="H43" s="30" t="s">
        <v>104</v>
      </c>
      <c r="I43" s="31">
        <v>51.16</v>
      </c>
      <c r="J43" s="31">
        <v>48.97</v>
      </c>
      <c r="K43" s="31">
        <v>54.12</v>
      </c>
      <c r="L43" s="31">
        <v>76.69</v>
      </c>
      <c r="M43" s="31">
        <v>83.56</v>
      </c>
      <c r="O43" s="24" t="s">
        <v>127</v>
      </c>
      <c r="P43" s="32">
        <f>P40+P41+P42</f>
        <v>19566.02</v>
      </c>
      <c r="Q43" s="32">
        <f t="shared" ref="Q43:T43" si="19">Q40+Q41+Q42</f>
        <v>22322.260000000002</v>
      </c>
      <c r="R43" s="32">
        <f t="shared" si="19"/>
        <v>22441.56</v>
      </c>
      <c r="S43" s="32">
        <f t="shared" si="19"/>
        <v>28787.43</v>
      </c>
      <c r="T43" s="32">
        <f t="shared" si="19"/>
        <v>32355.29</v>
      </c>
      <c r="V43" s="22" t="s">
        <v>64</v>
      </c>
      <c r="W43" s="22">
        <v>195.02</v>
      </c>
      <c r="X43" s="22">
        <v>453.43</v>
      </c>
      <c r="Y43" s="22">
        <v>73.45</v>
      </c>
      <c r="Z43" s="22">
        <v>101.82</v>
      </c>
      <c r="AA43" s="22">
        <v>62.25</v>
      </c>
      <c r="AC43" s="21" t="s">
        <v>129</v>
      </c>
      <c r="AD43" s="22">
        <f>10.35+57.75</f>
        <v>68.099999999999994</v>
      </c>
      <c r="AE43" s="22">
        <f>13.78+66.35</f>
        <v>80.13</v>
      </c>
      <c r="AF43" s="22">
        <f>962.69+13.45+71.19</f>
        <v>1047.3300000000002</v>
      </c>
      <c r="AG43" s="22">
        <f>1604.04+7.66+78.86</f>
        <v>1690.56</v>
      </c>
      <c r="AH43" s="22">
        <v>1837.83</v>
      </c>
      <c r="AJ43" s="158"/>
      <c r="AK43" s="158"/>
      <c r="AL43" s="158"/>
      <c r="AM43" s="158"/>
      <c r="AN43" s="158"/>
      <c r="AO43" s="158"/>
    </row>
    <row r="44" spans="1:41" x14ac:dyDescent="0.3">
      <c r="A44" s="21" t="s">
        <v>58</v>
      </c>
      <c r="B44" s="22">
        <v>88.43</v>
      </c>
      <c r="C44" s="22">
        <v>86.95</v>
      </c>
      <c r="D44" s="22">
        <v>220.87</v>
      </c>
      <c r="E44" s="22">
        <v>226.95</v>
      </c>
      <c r="F44" s="22">
        <v>237.45</v>
      </c>
      <c r="H44" s="30" t="s">
        <v>105</v>
      </c>
      <c r="I44" s="31">
        <v>2276.85</v>
      </c>
      <c r="J44" s="31">
        <v>2205.4499999999998</v>
      </c>
      <c r="K44" s="31">
        <v>2217.5100000000002</v>
      </c>
      <c r="L44" s="31">
        <v>2234.6799999999998</v>
      </c>
      <c r="M44" s="31">
        <v>2430.58</v>
      </c>
      <c r="O44" s="30" t="s">
        <v>99</v>
      </c>
      <c r="P44" s="31">
        <v>2332.04</v>
      </c>
      <c r="Q44" s="31">
        <v>2927.3</v>
      </c>
      <c r="R44" s="31">
        <v>3586.9</v>
      </c>
      <c r="S44" s="31">
        <v>5416.69</v>
      </c>
      <c r="T44" s="31">
        <v>5977.48</v>
      </c>
      <c r="V44" s="22" t="s">
        <v>104</v>
      </c>
      <c r="W44" s="22">
        <v>82.39</v>
      </c>
      <c r="X44" s="22">
        <v>99.29</v>
      </c>
      <c r="Y44" s="22">
        <v>111.56</v>
      </c>
      <c r="Z44" s="22">
        <v>62.41</v>
      </c>
      <c r="AA44" s="22">
        <v>113.89</v>
      </c>
      <c r="AC44" s="21" t="s">
        <v>64</v>
      </c>
      <c r="AD44" s="22">
        <v>1404.45</v>
      </c>
      <c r="AE44" s="22">
        <v>2089.14</v>
      </c>
      <c r="AF44" s="22">
        <v>1059.8599999999999</v>
      </c>
      <c r="AG44" s="22">
        <v>788.41</v>
      </c>
      <c r="AH44" s="22">
        <v>540.32000000000005</v>
      </c>
      <c r="AJ44" s="158"/>
      <c r="AK44" s="158"/>
      <c r="AL44" s="158"/>
      <c r="AM44" s="158"/>
      <c r="AN44" s="158"/>
      <c r="AO44" s="158"/>
    </row>
    <row r="45" spans="1:41" x14ac:dyDescent="0.3">
      <c r="A45" s="21" t="s">
        <v>59</v>
      </c>
      <c r="B45" s="22">
        <v>266.07</v>
      </c>
      <c r="C45" s="22">
        <v>1328.08</v>
      </c>
      <c r="D45" s="22">
        <v>2499.7800000000002</v>
      </c>
      <c r="E45" s="22">
        <v>0</v>
      </c>
      <c r="F45" s="22">
        <v>315.8</v>
      </c>
      <c r="H45" s="30" t="s">
        <v>106</v>
      </c>
      <c r="I45" s="31">
        <v>1832.78</v>
      </c>
      <c r="J45" s="31">
        <v>1773.7</v>
      </c>
      <c r="K45" s="31">
        <v>1714.66</v>
      </c>
      <c r="L45" s="31">
        <v>1652.6</v>
      </c>
      <c r="M45" s="31">
        <v>1593.17</v>
      </c>
      <c r="O45" s="24" t="s">
        <v>100</v>
      </c>
      <c r="P45" s="32">
        <f>P43+P44</f>
        <v>21898.06</v>
      </c>
      <c r="Q45" s="32">
        <f t="shared" ref="Q45:T45" si="20">Q43+Q44</f>
        <v>25249.56</v>
      </c>
      <c r="R45" s="32">
        <f t="shared" si="20"/>
        <v>26028.460000000003</v>
      </c>
      <c r="S45" s="32">
        <f t="shared" si="20"/>
        <v>34204.120000000003</v>
      </c>
      <c r="T45" s="32">
        <f t="shared" si="20"/>
        <v>38332.770000000004</v>
      </c>
      <c r="V45" s="22" t="s">
        <v>105</v>
      </c>
      <c r="W45" s="22">
        <v>370.48</v>
      </c>
      <c r="X45" s="22">
        <v>608.13</v>
      </c>
      <c r="Y45" s="22">
        <v>892.26</v>
      </c>
      <c r="Z45" s="22">
        <v>1078.4100000000001</v>
      </c>
      <c r="AA45" s="22">
        <v>1338.97</v>
      </c>
      <c r="AC45" s="21" t="s">
        <v>104</v>
      </c>
      <c r="AD45" s="22">
        <v>1085.02</v>
      </c>
      <c r="AE45" s="22">
        <v>1042.3900000000001</v>
      </c>
      <c r="AF45" s="22">
        <v>1655.35</v>
      </c>
      <c r="AG45" s="22">
        <v>1917.89</v>
      </c>
      <c r="AH45" s="22">
        <v>2084.0300000000002</v>
      </c>
      <c r="AK45" s="54"/>
      <c r="AL45" s="54"/>
      <c r="AM45" s="54"/>
      <c r="AN45" s="54"/>
      <c r="AO45" s="54"/>
    </row>
    <row r="46" spans="1:41" x14ac:dyDescent="0.3">
      <c r="A46" s="21" t="s">
        <v>60</v>
      </c>
      <c r="B46" s="22">
        <v>5095.3500000000004</v>
      </c>
      <c r="C46" s="22">
        <v>4791.28</v>
      </c>
      <c r="D46" s="22">
        <v>4487.21</v>
      </c>
      <c r="E46" s="22">
        <v>4183.1499999999996</v>
      </c>
      <c r="F46" s="22">
        <v>6098.63</v>
      </c>
      <c r="H46" s="24" t="s">
        <v>107</v>
      </c>
      <c r="I46" s="32">
        <f>SUM(I41:I45)</f>
        <v>24167.629999999997</v>
      </c>
      <c r="J46" s="32">
        <f t="shared" ref="J46:M46" si="21">SUM(J41:J45)</f>
        <v>21039.780000000002</v>
      </c>
      <c r="K46" s="32">
        <f t="shared" si="21"/>
        <v>18502.27</v>
      </c>
      <c r="L46" s="32">
        <f t="shared" si="21"/>
        <v>16874.48</v>
      </c>
      <c r="M46" s="32">
        <f t="shared" si="21"/>
        <v>14252.21</v>
      </c>
      <c r="O46" s="170" t="s">
        <v>53</v>
      </c>
      <c r="P46" s="171"/>
      <c r="Q46" s="171"/>
      <c r="R46" s="171"/>
      <c r="S46" s="171"/>
      <c r="T46" s="172"/>
      <c r="V46" s="22" t="s">
        <v>106</v>
      </c>
      <c r="W46" s="22">
        <v>186.45</v>
      </c>
      <c r="X46" s="22">
        <v>235.52</v>
      </c>
      <c r="Y46" s="22">
        <v>423.81</v>
      </c>
      <c r="Z46" s="22">
        <v>329.89</v>
      </c>
      <c r="AA46" s="22">
        <v>507.39</v>
      </c>
      <c r="AC46" s="21" t="s">
        <v>105</v>
      </c>
      <c r="AD46" s="22">
        <v>8715.42</v>
      </c>
      <c r="AE46" s="22">
        <v>9887.82</v>
      </c>
      <c r="AF46" s="22">
        <v>10951.67</v>
      </c>
      <c r="AG46" s="22">
        <v>12690</v>
      </c>
      <c r="AH46" s="22">
        <v>15231.83</v>
      </c>
      <c r="AK46" s="54"/>
      <c r="AL46" s="54"/>
      <c r="AM46" s="54"/>
      <c r="AN46" s="54"/>
      <c r="AO46" s="54"/>
    </row>
    <row r="47" spans="1:41" x14ac:dyDescent="0.3">
      <c r="A47" s="5" t="s">
        <v>61</v>
      </c>
      <c r="B47" s="23">
        <f>SUM(B41:B46)</f>
        <v>50355.399999999994</v>
      </c>
      <c r="C47" s="23">
        <f>SUM(C41:C46)</f>
        <v>46965.96</v>
      </c>
      <c r="D47" s="23">
        <f>SUM(D41:D46)</f>
        <v>46133.91</v>
      </c>
      <c r="E47" s="23">
        <f t="shared" ref="E47:F47" si="22">SUM(E41:E46)</f>
        <v>38201.019999999997</v>
      </c>
      <c r="F47" s="23">
        <f t="shared" si="22"/>
        <v>33391.07</v>
      </c>
      <c r="H47" s="170" t="s">
        <v>62</v>
      </c>
      <c r="I47" s="171"/>
      <c r="J47" s="171"/>
      <c r="K47" s="171"/>
      <c r="L47" s="171"/>
      <c r="M47" s="172"/>
      <c r="O47" s="170" t="s">
        <v>102</v>
      </c>
      <c r="P47" s="171"/>
      <c r="Q47" s="171"/>
      <c r="R47" s="171"/>
      <c r="S47" s="171"/>
      <c r="T47" s="172"/>
      <c r="V47" s="23" t="s">
        <v>107</v>
      </c>
      <c r="W47" s="23">
        <f>SUM(W41:W46)</f>
        <v>9115.08</v>
      </c>
      <c r="X47" s="23">
        <f t="shared" ref="X47:AA47" si="23">SUM(X41:X46)</f>
        <v>8368.7800000000007</v>
      </c>
      <c r="Y47" s="23">
        <f t="shared" si="23"/>
        <v>8422.74</v>
      </c>
      <c r="Z47" s="23">
        <f t="shared" si="23"/>
        <v>21001.9</v>
      </c>
      <c r="AA47" s="23">
        <f t="shared" si="23"/>
        <v>29985.420000000002</v>
      </c>
      <c r="AC47" s="21" t="s">
        <v>106</v>
      </c>
      <c r="AD47" s="22">
        <v>1551.13</v>
      </c>
      <c r="AE47" s="22">
        <v>1996.47</v>
      </c>
      <c r="AF47" s="22">
        <v>1926.65</v>
      </c>
      <c r="AG47" s="22">
        <v>2611.9499999999998</v>
      </c>
      <c r="AH47" s="22">
        <v>2810.14</v>
      </c>
      <c r="AJ47" s="158"/>
      <c r="AK47" s="158"/>
      <c r="AL47" s="158"/>
      <c r="AM47" s="158"/>
      <c r="AN47" s="158"/>
      <c r="AO47" s="158"/>
    </row>
    <row r="48" spans="1:41" x14ac:dyDescent="0.3">
      <c r="A48" s="155" t="s">
        <v>62</v>
      </c>
      <c r="B48" s="156"/>
      <c r="C48" s="156"/>
      <c r="D48" s="156"/>
      <c r="E48" s="156"/>
      <c r="F48" s="157"/>
      <c r="H48" s="170" t="s">
        <v>103</v>
      </c>
      <c r="I48" s="171"/>
      <c r="J48" s="171"/>
      <c r="K48" s="171"/>
      <c r="L48" s="171"/>
      <c r="M48" s="172"/>
      <c r="O48" s="170" t="s">
        <v>103</v>
      </c>
      <c r="P48" s="171"/>
      <c r="Q48" s="171"/>
      <c r="R48" s="171"/>
      <c r="S48" s="171"/>
      <c r="T48" s="172"/>
      <c r="V48" s="159" t="s">
        <v>62</v>
      </c>
      <c r="W48" s="159"/>
      <c r="X48" s="159"/>
      <c r="Y48" s="159"/>
      <c r="Z48" s="159"/>
      <c r="AA48" s="159"/>
      <c r="AC48" s="5" t="s">
        <v>107</v>
      </c>
      <c r="AD48" s="23">
        <f>SUM(AD42:AD47)</f>
        <v>188844.14</v>
      </c>
      <c r="AE48" s="23">
        <f t="shared" ref="AE48:AH48" si="24">SUM(AE42:AE47)</f>
        <v>196367.86000000004</v>
      </c>
      <c r="AF48" s="23">
        <f t="shared" si="24"/>
        <v>198512.05</v>
      </c>
      <c r="AG48" s="23">
        <f t="shared" si="24"/>
        <v>207582.38000000003</v>
      </c>
      <c r="AH48" s="23">
        <f t="shared" si="24"/>
        <v>212719.12</v>
      </c>
      <c r="AK48" s="54"/>
      <c r="AL48" s="54"/>
      <c r="AM48" s="54"/>
      <c r="AN48" s="54"/>
      <c r="AO48" s="54"/>
    </row>
    <row r="49" spans="1:41" x14ac:dyDescent="0.3">
      <c r="A49" s="155" t="s">
        <v>55</v>
      </c>
      <c r="B49" s="156"/>
      <c r="C49" s="156"/>
      <c r="D49" s="156"/>
      <c r="E49" s="156"/>
      <c r="F49" s="157"/>
      <c r="H49" s="30" t="s">
        <v>108</v>
      </c>
      <c r="I49" s="31">
        <v>4353.33</v>
      </c>
      <c r="J49" s="31">
        <v>3793.32</v>
      </c>
      <c r="K49" s="31">
        <v>8908.84</v>
      </c>
      <c r="L49" s="31">
        <v>8995.67</v>
      </c>
      <c r="M49" s="31">
        <v>9356.35</v>
      </c>
      <c r="O49" s="30" t="s">
        <v>128</v>
      </c>
      <c r="P49" s="31">
        <v>32695.14</v>
      </c>
      <c r="Q49" s="31">
        <v>30045.03</v>
      </c>
      <c r="R49" s="31">
        <v>32729.7</v>
      </c>
      <c r="S49" s="31">
        <v>30708.49</v>
      </c>
      <c r="T49" s="31">
        <v>37392.25</v>
      </c>
      <c r="V49" s="159" t="s">
        <v>103</v>
      </c>
      <c r="W49" s="159"/>
      <c r="X49" s="159"/>
      <c r="Y49" s="159"/>
      <c r="Z49" s="159"/>
      <c r="AA49" s="159"/>
      <c r="AC49" s="154" t="s">
        <v>62</v>
      </c>
      <c r="AD49" s="154"/>
      <c r="AE49" s="154"/>
      <c r="AF49" s="154"/>
      <c r="AG49" s="154"/>
      <c r="AH49" s="154"/>
      <c r="AK49" s="54"/>
      <c r="AL49" s="54"/>
      <c r="AM49" s="54"/>
      <c r="AN49" s="54"/>
      <c r="AO49" s="54"/>
    </row>
    <row r="50" spans="1:41" x14ac:dyDescent="0.3">
      <c r="A50" s="21" t="s">
        <v>56</v>
      </c>
      <c r="B50" s="22">
        <v>7801.81</v>
      </c>
      <c r="C50" s="22">
        <v>12454.27</v>
      </c>
      <c r="D50" s="22">
        <v>10924.36</v>
      </c>
      <c r="E50" s="22">
        <v>8549.4500000000007</v>
      </c>
      <c r="F50" s="22">
        <v>7861.85</v>
      </c>
      <c r="H50" s="30" t="s">
        <v>109</v>
      </c>
      <c r="I50" s="31">
        <f>25.65+408.72</f>
        <v>434.37</v>
      </c>
      <c r="J50" s="31">
        <f>41.85+373.37</f>
        <v>415.22</v>
      </c>
      <c r="K50" s="31">
        <f>32.86+465.72</f>
        <v>498.58000000000004</v>
      </c>
      <c r="L50" s="31">
        <f>47.56+471.63</f>
        <v>519.19000000000005</v>
      </c>
      <c r="M50" s="31">
        <f>39.96+409.41</f>
        <v>449.37</v>
      </c>
      <c r="O50" s="30" t="s">
        <v>129</v>
      </c>
      <c r="P50" s="31">
        <v>3180.48</v>
      </c>
      <c r="Q50" s="31">
        <v>3142.48</v>
      </c>
      <c r="R50" s="31">
        <v>3207.79</v>
      </c>
      <c r="S50" s="31">
        <v>3510.7</v>
      </c>
      <c r="T50" s="31">
        <v>3742.48</v>
      </c>
      <c r="V50" s="22" t="s">
        <v>108</v>
      </c>
      <c r="W50" s="22">
        <v>0</v>
      </c>
      <c r="X50" s="22">
        <v>289.97000000000003</v>
      </c>
      <c r="Y50" s="22">
        <v>2016.17</v>
      </c>
      <c r="Z50" s="22">
        <v>5609.32</v>
      </c>
      <c r="AA50" s="22">
        <v>3595.41</v>
      </c>
      <c r="AC50" s="154" t="s">
        <v>103</v>
      </c>
      <c r="AD50" s="154"/>
      <c r="AE50" s="154"/>
      <c r="AF50" s="154"/>
      <c r="AG50" s="154"/>
      <c r="AH50" s="154"/>
      <c r="AK50" s="54"/>
      <c r="AL50" s="54"/>
      <c r="AM50" s="54"/>
      <c r="AN50" s="54"/>
      <c r="AO50" s="54"/>
    </row>
    <row r="51" spans="1:41" x14ac:dyDescent="0.3">
      <c r="A51" s="21" t="s">
        <v>73</v>
      </c>
      <c r="B51" s="22">
        <v>0</v>
      </c>
      <c r="C51" s="22">
        <v>7.84</v>
      </c>
      <c r="D51" s="22">
        <v>8.39</v>
      </c>
      <c r="E51" s="22">
        <v>9.16</v>
      </c>
      <c r="F51" s="22">
        <v>15.59</v>
      </c>
      <c r="H51" s="30" t="s">
        <v>64</v>
      </c>
      <c r="I51" s="31">
        <v>10222.57</v>
      </c>
      <c r="J51" s="31">
        <v>10735.23</v>
      </c>
      <c r="K51" s="31">
        <v>6811.79</v>
      </c>
      <c r="L51" s="31">
        <v>7604.11</v>
      </c>
      <c r="M51" s="31">
        <v>6431.79</v>
      </c>
      <c r="O51" s="30" t="s">
        <v>109</v>
      </c>
      <c r="P51" s="31">
        <v>0</v>
      </c>
      <c r="Q51" s="31">
        <v>17.36</v>
      </c>
      <c r="R51" s="31">
        <v>0</v>
      </c>
      <c r="S51" s="31">
        <v>0</v>
      </c>
      <c r="T51" s="30">
        <v>0</v>
      </c>
      <c r="V51" s="22" t="s">
        <v>129</v>
      </c>
      <c r="W51" s="22"/>
      <c r="X51" s="22"/>
      <c r="Y51" s="22">
        <v>4.74</v>
      </c>
      <c r="Z51" s="22">
        <v>12.38</v>
      </c>
      <c r="AA51" s="22">
        <v>14.64</v>
      </c>
      <c r="AC51" s="21" t="s">
        <v>108</v>
      </c>
      <c r="AD51" s="22">
        <v>16556.23</v>
      </c>
      <c r="AE51" s="22">
        <v>15964.62</v>
      </c>
      <c r="AF51" s="22">
        <v>27684.07</v>
      </c>
      <c r="AG51" s="22">
        <v>31921.61</v>
      </c>
      <c r="AH51" s="22">
        <v>44825.33</v>
      </c>
      <c r="AK51" s="54"/>
      <c r="AL51" s="54"/>
      <c r="AM51" s="54"/>
      <c r="AN51" s="54"/>
      <c r="AO51" s="54"/>
    </row>
    <row r="52" spans="1:41" x14ac:dyDescent="0.3">
      <c r="A52" s="21" t="s">
        <v>63</v>
      </c>
      <c r="B52" s="22">
        <f>28.21+5567.84</f>
        <v>5596.05</v>
      </c>
      <c r="C52" s="22">
        <f>41.48+3761.65</f>
        <v>3803.13</v>
      </c>
      <c r="D52" s="22">
        <f>57.59+3450.62</f>
        <v>3508.21</v>
      </c>
      <c r="E52" s="22">
        <f>95.76+2983.69</f>
        <v>3079.4500000000003</v>
      </c>
      <c r="F52" s="22">
        <f>141.93+3494.37</f>
        <v>3636.2999999999997</v>
      </c>
      <c r="H52" s="30" t="s">
        <v>110</v>
      </c>
      <c r="I52" s="31">
        <v>766.54</v>
      </c>
      <c r="J52" s="31">
        <v>944.84</v>
      </c>
      <c r="K52" s="31">
        <v>996.01</v>
      </c>
      <c r="L52" s="31">
        <v>1241.79</v>
      </c>
      <c r="M52" s="31">
        <v>1632.17</v>
      </c>
      <c r="O52" s="30" t="s">
        <v>64</v>
      </c>
      <c r="P52" s="31">
        <v>721.52</v>
      </c>
      <c r="Q52" s="31">
        <v>1390.99</v>
      </c>
      <c r="R52" s="31">
        <v>1156.56</v>
      </c>
      <c r="S52" s="31">
        <v>1410.4</v>
      </c>
      <c r="T52" s="31">
        <v>1507.55</v>
      </c>
      <c r="V52" s="22" t="s">
        <v>109</v>
      </c>
      <c r="W52" s="22">
        <v>1602.87</v>
      </c>
      <c r="X52" s="22">
        <v>949.94</v>
      </c>
      <c r="Y52" s="22">
        <v>1075.93</v>
      </c>
      <c r="Z52" s="22">
        <v>1274.06</v>
      </c>
      <c r="AA52" s="22">
        <v>1343.65</v>
      </c>
      <c r="AC52" s="21" t="s">
        <v>129</v>
      </c>
      <c r="AD52" s="22">
        <v>0</v>
      </c>
      <c r="AE52" s="22">
        <v>0</v>
      </c>
      <c r="AF52" s="22">
        <v>188.61</v>
      </c>
      <c r="AG52" s="22">
        <v>216.75</v>
      </c>
      <c r="AH52" s="22">
        <v>252.85</v>
      </c>
      <c r="AK52" s="54"/>
      <c r="AL52" s="54"/>
      <c r="AM52" s="54"/>
      <c r="AN52" s="54"/>
      <c r="AO52" s="54"/>
    </row>
    <row r="53" spans="1:41" x14ac:dyDescent="0.3">
      <c r="A53" s="21" t="s">
        <v>64</v>
      </c>
      <c r="B53" s="22">
        <v>4118.7</v>
      </c>
      <c r="C53" s="22">
        <v>1138.8800000000001</v>
      </c>
      <c r="D53" s="22">
        <v>1167.32</v>
      </c>
      <c r="E53" s="22">
        <v>2461.58</v>
      </c>
      <c r="F53" s="22">
        <v>2089.8000000000002</v>
      </c>
      <c r="H53" s="30" t="s">
        <v>111</v>
      </c>
      <c r="I53" s="31">
        <v>5.85</v>
      </c>
      <c r="J53" s="31">
        <v>5.38</v>
      </c>
      <c r="K53" s="31">
        <v>6.41</v>
      </c>
      <c r="L53" s="31">
        <v>9.61</v>
      </c>
      <c r="M53" s="31">
        <v>10.3</v>
      </c>
      <c r="O53" s="30" t="s">
        <v>130</v>
      </c>
      <c r="P53" s="31">
        <v>3.03</v>
      </c>
      <c r="Q53" s="31">
        <v>3.03</v>
      </c>
      <c r="R53" s="31">
        <v>3.03</v>
      </c>
      <c r="S53" s="31">
        <v>0</v>
      </c>
      <c r="T53" s="31">
        <v>0</v>
      </c>
      <c r="V53" s="22" t="s">
        <v>64</v>
      </c>
      <c r="W53" s="22">
        <v>2674.39</v>
      </c>
      <c r="X53" s="22">
        <v>2226.5100000000002</v>
      </c>
      <c r="Y53" s="22">
        <v>1893.11</v>
      </c>
      <c r="Z53" s="22">
        <v>1917.48</v>
      </c>
      <c r="AA53" s="22">
        <v>2137.5700000000002</v>
      </c>
      <c r="AC53" s="155" t="s">
        <v>109</v>
      </c>
      <c r="AD53" s="156"/>
      <c r="AE53" s="156"/>
      <c r="AF53" s="156"/>
      <c r="AG53" s="156"/>
      <c r="AH53" s="157"/>
      <c r="AK53" s="54"/>
      <c r="AL53" s="54"/>
      <c r="AM53" s="54"/>
      <c r="AN53" s="54"/>
      <c r="AO53" s="54"/>
    </row>
    <row r="54" spans="1:41" x14ac:dyDescent="0.3">
      <c r="A54" s="21" t="s">
        <v>71</v>
      </c>
      <c r="B54" s="22">
        <v>603.17999999999995</v>
      </c>
      <c r="C54" s="22">
        <v>1217.3499999999999</v>
      </c>
      <c r="D54" s="22">
        <v>861.36</v>
      </c>
      <c r="E54" s="22">
        <v>3622.82</v>
      </c>
      <c r="F54" s="22">
        <v>2159.44</v>
      </c>
      <c r="H54" s="30" t="s">
        <v>112</v>
      </c>
      <c r="I54" s="31">
        <v>170.95</v>
      </c>
      <c r="J54" s="31">
        <v>34.21</v>
      </c>
      <c r="K54" s="31">
        <v>3.66</v>
      </c>
      <c r="L54" s="31">
        <v>3.44</v>
      </c>
      <c r="M54" s="31">
        <v>2.25</v>
      </c>
      <c r="O54" s="30" t="s">
        <v>105</v>
      </c>
      <c r="P54" s="31">
        <v>1174.04</v>
      </c>
      <c r="Q54" s="31">
        <v>976.15</v>
      </c>
      <c r="R54" s="31">
        <v>1033.3</v>
      </c>
      <c r="S54" s="31">
        <v>1919.37</v>
      </c>
      <c r="T54" s="31">
        <v>2772.33</v>
      </c>
      <c r="V54" s="22" t="s">
        <v>110</v>
      </c>
      <c r="W54" s="22">
        <v>48.99</v>
      </c>
      <c r="X54" s="22">
        <v>53.01</v>
      </c>
      <c r="Y54" s="22">
        <v>53.49</v>
      </c>
      <c r="Z54" s="22">
        <v>59.46</v>
      </c>
      <c r="AA54" s="22">
        <v>92.14</v>
      </c>
      <c r="AC54" s="21" t="s">
        <v>255</v>
      </c>
      <c r="AD54" s="22">
        <v>512.24</v>
      </c>
      <c r="AE54" s="22">
        <v>404.12</v>
      </c>
      <c r="AF54" s="22">
        <v>496.04</v>
      </c>
      <c r="AG54" s="22">
        <v>462.43</v>
      </c>
      <c r="AH54" s="22">
        <v>579.97</v>
      </c>
      <c r="AJ54" s="2"/>
      <c r="AK54" s="53"/>
      <c r="AL54" s="53"/>
      <c r="AM54" s="53"/>
      <c r="AN54" s="53"/>
      <c r="AO54" s="53"/>
    </row>
    <row r="55" spans="1:41" ht="28.8" x14ac:dyDescent="0.3">
      <c r="A55" s="21" t="s">
        <v>65</v>
      </c>
      <c r="B55" s="22">
        <v>39.44</v>
      </c>
      <c r="C55" s="22">
        <v>60.17</v>
      </c>
      <c r="D55" s="22">
        <v>28.71</v>
      </c>
      <c r="E55" s="22">
        <v>21.64</v>
      </c>
      <c r="F55" s="22">
        <v>25.69</v>
      </c>
      <c r="H55" s="24" t="s">
        <v>113</v>
      </c>
      <c r="I55" s="32">
        <f>SUM(I49:I54)</f>
        <v>15953.610000000002</v>
      </c>
      <c r="J55" s="32">
        <f t="shared" ref="J55:M55" si="25">SUM(J49:J54)</f>
        <v>15928.199999999999</v>
      </c>
      <c r="K55" s="32">
        <f t="shared" si="25"/>
        <v>17225.289999999997</v>
      </c>
      <c r="L55" s="32">
        <f t="shared" si="25"/>
        <v>18373.810000000001</v>
      </c>
      <c r="M55" s="32">
        <f t="shared" si="25"/>
        <v>17882.23</v>
      </c>
      <c r="O55" s="30" t="s">
        <v>104</v>
      </c>
      <c r="P55" s="31">
        <v>407.4</v>
      </c>
      <c r="Q55" s="31">
        <v>839.58</v>
      </c>
      <c r="R55" s="31">
        <v>1218.18</v>
      </c>
      <c r="S55" s="31">
        <v>1420.02</v>
      </c>
      <c r="T55" s="31">
        <v>1865.08</v>
      </c>
      <c r="V55" s="22" t="s">
        <v>111</v>
      </c>
      <c r="W55" s="22">
        <v>11.85</v>
      </c>
      <c r="X55" s="22">
        <v>13.05</v>
      </c>
      <c r="Y55" s="22">
        <v>12.53</v>
      </c>
      <c r="Z55" s="22">
        <v>20.190000000000001</v>
      </c>
      <c r="AA55" s="22">
        <v>25.57</v>
      </c>
      <c r="AC55" s="9" t="s">
        <v>256</v>
      </c>
      <c r="AD55" s="22">
        <v>9596.34</v>
      </c>
      <c r="AE55" s="22">
        <v>8322.16</v>
      </c>
      <c r="AF55" s="22">
        <v>10781.28</v>
      </c>
      <c r="AG55" s="22">
        <v>13359.92</v>
      </c>
      <c r="AH55" s="22">
        <v>10757.98</v>
      </c>
      <c r="AJ55" s="51"/>
      <c r="AK55" s="53"/>
      <c r="AL55" s="53"/>
      <c r="AM55" s="53"/>
      <c r="AN55" s="53"/>
      <c r="AO55" s="53"/>
    </row>
    <row r="56" spans="1:41" ht="28.8" x14ac:dyDescent="0.3">
      <c r="A56" s="21" t="s">
        <v>66</v>
      </c>
      <c r="B56" s="22">
        <v>29.97</v>
      </c>
      <c r="C56" s="22">
        <v>45.71</v>
      </c>
      <c r="D56" s="22">
        <v>645.32000000000005</v>
      </c>
      <c r="E56" s="22">
        <v>0.49</v>
      </c>
      <c r="F56" s="22">
        <v>0</v>
      </c>
      <c r="H56" s="28" t="s">
        <v>115</v>
      </c>
      <c r="I56" s="31">
        <v>0</v>
      </c>
      <c r="J56" s="31">
        <v>0</v>
      </c>
      <c r="K56" s="31">
        <v>0</v>
      </c>
      <c r="L56" s="31">
        <v>0</v>
      </c>
      <c r="M56" s="31">
        <v>11.96</v>
      </c>
      <c r="O56" s="30" t="s">
        <v>106</v>
      </c>
      <c r="P56" s="31">
        <v>2084.52</v>
      </c>
      <c r="Q56" s="31">
        <v>6217.95</v>
      </c>
      <c r="R56" s="31">
        <v>8139.29</v>
      </c>
      <c r="S56" s="31">
        <v>9847.82</v>
      </c>
      <c r="T56" s="31">
        <v>11973.08</v>
      </c>
      <c r="V56" s="22" t="s">
        <v>132</v>
      </c>
      <c r="W56" s="22">
        <v>36.89</v>
      </c>
      <c r="X56" s="22">
        <v>36.79</v>
      </c>
      <c r="Y56" s="22">
        <v>36.79</v>
      </c>
      <c r="Z56" s="22">
        <v>44.82</v>
      </c>
      <c r="AA56" s="22">
        <v>60.46</v>
      </c>
      <c r="AC56" s="21" t="s">
        <v>64</v>
      </c>
      <c r="AD56" s="22">
        <v>28646.959999999999</v>
      </c>
      <c r="AE56" s="22">
        <v>36301.39</v>
      </c>
      <c r="AF56" s="22">
        <v>27627.62</v>
      </c>
      <c r="AG56" s="22">
        <v>28181.98</v>
      </c>
      <c r="AH56" s="22">
        <v>32944.74</v>
      </c>
      <c r="AJ56" s="2"/>
      <c r="AK56" s="53"/>
      <c r="AL56" s="53"/>
      <c r="AM56" s="53"/>
      <c r="AN56" s="53"/>
      <c r="AO56" s="53"/>
    </row>
    <row r="57" spans="1:41" x14ac:dyDescent="0.3">
      <c r="A57" s="5" t="s">
        <v>67</v>
      </c>
      <c r="B57" s="23">
        <f>SUM(B50:B56)</f>
        <v>18189.150000000001</v>
      </c>
      <c r="C57" s="23">
        <f>SUM(C50:C56)</f>
        <v>18727.349999999999</v>
      </c>
      <c r="D57" s="23">
        <f>SUM(D50:D56)</f>
        <v>17143.669999999998</v>
      </c>
      <c r="E57" s="23">
        <f t="shared" ref="E57:F57" si="26">SUM(E50:E56)</f>
        <v>17744.590000000004</v>
      </c>
      <c r="F57" s="23">
        <f t="shared" si="26"/>
        <v>15788.670000000002</v>
      </c>
      <c r="H57" s="24" t="s">
        <v>69</v>
      </c>
      <c r="I57" s="32">
        <f>I37+I46+I55+I56</f>
        <v>53342.899999999994</v>
      </c>
      <c r="J57" s="32">
        <f t="shared" ref="J57:M57" si="27">J37+J46+J55+J56</f>
        <v>50781.83</v>
      </c>
      <c r="K57" s="32">
        <f t="shared" si="27"/>
        <v>49811.659999999996</v>
      </c>
      <c r="L57" s="32">
        <f t="shared" si="27"/>
        <v>48535.42</v>
      </c>
      <c r="M57" s="32">
        <f t="shared" si="27"/>
        <v>43760.26</v>
      </c>
      <c r="O57" s="24" t="s">
        <v>107</v>
      </c>
      <c r="P57" s="32">
        <f>SUM(P49:P56)</f>
        <v>40266.129999999997</v>
      </c>
      <c r="Q57" s="32">
        <f>SUM(Q49:Q56)</f>
        <v>42632.57</v>
      </c>
      <c r="R57" s="32">
        <f t="shared" ref="R57:T57" si="28">SUM(R48:R56)</f>
        <v>47487.85</v>
      </c>
      <c r="S57" s="32">
        <f t="shared" si="28"/>
        <v>48816.800000000003</v>
      </c>
      <c r="T57" s="32">
        <f t="shared" si="28"/>
        <v>59252.770000000011</v>
      </c>
      <c r="V57" s="23" t="s">
        <v>244</v>
      </c>
      <c r="W57" s="23">
        <v>0</v>
      </c>
      <c r="X57" s="23">
        <v>0</v>
      </c>
      <c r="Y57" s="23">
        <v>0</v>
      </c>
      <c r="Z57" s="23">
        <v>67.91</v>
      </c>
      <c r="AA57" s="23">
        <v>0</v>
      </c>
      <c r="AC57" s="21" t="s">
        <v>110</v>
      </c>
      <c r="AD57" s="22">
        <v>1856.19</v>
      </c>
      <c r="AE57" s="22">
        <v>1949.5</v>
      </c>
      <c r="AF57" s="22">
        <v>1877.61</v>
      </c>
      <c r="AG57" s="22">
        <v>2088.5500000000002</v>
      </c>
      <c r="AH57" s="22">
        <v>1980.19</v>
      </c>
      <c r="AJ57" s="2"/>
      <c r="AK57" s="53"/>
      <c r="AL57" s="53"/>
      <c r="AM57" s="53"/>
      <c r="AN57" s="53"/>
      <c r="AO57" s="53"/>
    </row>
    <row r="58" spans="1:41" x14ac:dyDescent="0.3">
      <c r="A58" s="5" t="s">
        <v>68</v>
      </c>
      <c r="B58" s="23">
        <f>B47+B57</f>
        <v>68544.549999999988</v>
      </c>
      <c r="C58" s="23">
        <f>C47+C57</f>
        <v>65693.31</v>
      </c>
      <c r="D58" s="23">
        <f>D47+D57</f>
        <v>63277.58</v>
      </c>
      <c r="E58" s="23">
        <f t="shared" ref="E58:F58" si="29">E47+E57</f>
        <v>55945.61</v>
      </c>
      <c r="F58" s="23">
        <f t="shared" si="29"/>
        <v>49179.740000000005</v>
      </c>
      <c r="O58" s="170" t="s">
        <v>131</v>
      </c>
      <c r="P58" s="171"/>
      <c r="Q58" s="171"/>
      <c r="R58" s="171"/>
      <c r="S58" s="171"/>
      <c r="T58" s="172"/>
      <c r="V58" s="23" t="s">
        <v>133</v>
      </c>
      <c r="W58" s="23">
        <f>SUM(W50:W57)</f>
        <v>4374.9900000000007</v>
      </c>
      <c r="X58" s="23">
        <f t="shared" ref="X58:AA58" si="30">SUM(X50:X57)</f>
        <v>3569.2700000000004</v>
      </c>
      <c r="Y58" s="23">
        <f t="shared" si="30"/>
        <v>5092.7599999999993</v>
      </c>
      <c r="Z58" s="23">
        <f t="shared" si="30"/>
        <v>9005.619999999999</v>
      </c>
      <c r="AA58" s="23">
        <f t="shared" si="30"/>
        <v>7269.4400000000005</v>
      </c>
      <c r="AC58" s="21" t="s">
        <v>111</v>
      </c>
      <c r="AD58" s="22">
        <v>7372.06</v>
      </c>
      <c r="AE58" s="22">
        <v>8113.6</v>
      </c>
      <c r="AF58" s="22">
        <v>7875.53</v>
      </c>
      <c r="AG58" s="22">
        <v>8217.26</v>
      </c>
      <c r="AH58" s="22">
        <v>7060.33</v>
      </c>
    </row>
    <row r="59" spans="1:41" x14ac:dyDescent="0.3">
      <c r="A59" s="5" t="s">
        <v>69</v>
      </c>
      <c r="B59" s="23">
        <f>B37+B58</f>
        <v>75024.999999999985</v>
      </c>
      <c r="C59" s="23">
        <f>C37+C58</f>
        <v>78805.91</v>
      </c>
      <c r="D59" s="23">
        <f>D37+D58</f>
        <v>81981.02</v>
      </c>
      <c r="E59" s="23">
        <f t="shared" ref="E59:F59" si="31">E37+E58</f>
        <v>85821.26999999999</v>
      </c>
      <c r="F59" s="23">
        <f t="shared" si="31"/>
        <v>92324.77</v>
      </c>
      <c r="O59" s="170" t="s">
        <v>103</v>
      </c>
      <c r="P59" s="171"/>
      <c r="Q59" s="171"/>
      <c r="R59" s="171"/>
      <c r="S59" s="171"/>
      <c r="T59" s="172"/>
      <c r="V59" s="23" t="s">
        <v>68</v>
      </c>
      <c r="W59" s="23">
        <f>W47+W58</f>
        <v>13490.07</v>
      </c>
      <c r="X59" s="23">
        <f t="shared" ref="X59:AA59" si="32">X47+X58</f>
        <v>11938.050000000001</v>
      </c>
      <c r="Y59" s="23">
        <f t="shared" si="32"/>
        <v>13515.5</v>
      </c>
      <c r="Z59" s="23">
        <f t="shared" si="32"/>
        <v>30007.52</v>
      </c>
      <c r="AA59" s="23">
        <f t="shared" si="32"/>
        <v>37254.86</v>
      </c>
      <c r="AC59" s="21" t="s">
        <v>132</v>
      </c>
      <c r="AD59" s="22">
        <v>1.71</v>
      </c>
      <c r="AE59" s="22">
        <v>17.5</v>
      </c>
      <c r="AF59" s="22">
        <v>141.13</v>
      </c>
      <c r="AG59" s="22">
        <v>86.47</v>
      </c>
      <c r="AH59" s="22">
        <v>2.95</v>
      </c>
    </row>
    <row r="60" spans="1:41" x14ac:dyDescent="0.3">
      <c r="O60" s="30" t="s">
        <v>108</v>
      </c>
      <c r="P60" s="31">
        <v>11844.36</v>
      </c>
      <c r="Q60" s="31">
        <v>8436.2099999999991</v>
      </c>
      <c r="R60" s="31">
        <v>14860.3</v>
      </c>
      <c r="S60" s="31">
        <v>18265.939999999999</v>
      </c>
      <c r="T60" s="31">
        <v>12087.56</v>
      </c>
      <c r="V60" s="23" t="s">
        <v>245</v>
      </c>
      <c r="W60" s="23">
        <f>W37+W59</f>
        <v>25111.85</v>
      </c>
      <c r="X60" s="23">
        <f t="shared" ref="X60:AA60" si="33">X37+X59</f>
        <v>26436.33</v>
      </c>
      <c r="Y60" s="23">
        <f t="shared" si="33"/>
        <v>30932.460000000003</v>
      </c>
      <c r="Z60" s="23">
        <f t="shared" si="33"/>
        <v>48741.7</v>
      </c>
      <c r="AA60" s="23">
        <f t="shared" si="33"/>
        <v>58269.100000000006</v>
      </c>
      <c r="AC60" s="5" t="s">
        <v>257</v>
      </c>
      <c r="AD60" s="23">
        <f>SUM(AD51:AD52,AD54:AD59)</f>
        <v>64541.73</v>
      </c>
      <c r="AE60" s="23">
        <f t="shared" ref="AE60:AH60" si="34">SUM(AE51:AE52,AE54:AE59)</f>
        <v>71072.89</v>
      </c>
      <c r="AF60" s="23">
        <f t="shared" si="34"/>
        <v>76671.89</v>
      </c>
      <c r="AG60" s="23">
        <f t="shared" si="34"/>
        <v>84534.97</v>
      </c>
      <c r="AH60" s="23">
        <f t="shared" si="34"/>
        <v>98404.34</v>
      </c>
    </row>
    <row r="61" spans="1:41" x14ac:dyDescent="0.3">
      <c r="O61" s="30" t="s">
        <v>129</v>
      </c>
      <c r="P61" s="31">
        <v>379.74</v>
      </c>
      <c r="Q61" s="31">
        <v>394.83</v>
      </c>
      <c r="R61" s="31">
        <v>397.33</v>
      </c>
      <c r="S61" s="31">
        <v>437.87</v>
      </c>
      <c r="T61" s="31">
        <v>467.16</v>
      </c>
      <c r="AC61" s="21" t="s">
        <v>258</v>
      </c>
      <c r="AD61" s="22">
        <v>2943.22</v>
      </c>
      <c r="AE61" s="22">
        <v>2263.2800000000002</v>
      </c>
      <c r="AF61" s="22">
        <v>2278.42</v>
      </c>
      <c r="AG61" s="22">
        <v>2950.48</v>
      </c>
      <c r="AH61" s="22">
        <v>2651</v>
      </c>
    </row>
    <row r="62" spans="1:41" x14ac:dyDescent="0.3">
      <c r="O62" s="30" t="s">
        <v>109</v>
      </c>
      <c r="P62" s="31">
        <v>5095.4399999999996</v>
      </c>
      <c r="Q62" s="31">
        <v>7120.08</v>
      </c>
      <c r="R62" s="31">
        <v>10459.6</v>
      </c>
      <c r="S62" s="31">
        <v>7407.2</v>
      </c>
      <c r="T62" s="31">
        <f>870+8451.37</f>
        <v>9321.3700000000008</v>
      </c>
      <c r="AC62" s="21" t="s">
        <v>259</v>
      </c>
      <c r="AD62" s="22">
        <v>0</v>
      </c>
      <c r="AE62" s="22">
        <v>0</v>
      </c>
      <c r="AF62" s="22">
        <v>0</v>
      </c>
      <c r="AG62" s="22">
        <v>0</v>
      </c>
      <c r="AH62" s="22">
        <v>1299.83</v>
      </c>
    </row>
    <row r="63" spans="1:41" x14ac:dyDescent="0.3">
      <c r="O63" s="30" t="s">
        <v>64</v>
      </c>
      <c r="P63" s="31">
        <v>7502.9</v>
      </c>
      <c r="Q63" s="31">
        <v>12296.46</v>
      </c>
      <c r="R63" s="31">
        <v>9631.9599999999991</v>
      </c>
      <c r="S63" s="31">
        <v>13150.77</v>
      </c>
      <c r="T63" s="31">
        <v>14796.16</v>
      </c>
      <c r="AC63" s="5" t="s">
        <v>69</v>
      </c>
      <c r="AD63" s="23">
        <f>AD38+AD48+AD60+AD61+AD62</f>
        <v>378485.43999999994</v>
      </c>
      <c r="AE63" s="23">
        <f t="shared" ref="AE63:AH63" si="35">AE38+AE48+AE60+AE61+AE62</f>
        <v>398966.21000000008</v>
      </c>
      <c r="AF63" s="23">
        <f t="shared" si="35"/>
        <v>416596.51</v>
      </c>
      <c r="AG63" s="23">
        <f t="shared" si="35"/>
        <v>446021.45000000007</v>
      </c>
      <c r="AH63" s="23">
        <f t="shared" si="35"/>
        <v>480196.57</v>
      </c>
    </row>
    <row r="64" spans="1:41" x14ac:dyDescent="0.3">
      <c r="O64" s="30" t="s">
        <v>132</v>
      </c>
      <c r="P64" s="31">
        <v>129.49</v>
      </c>
      <c r="Q64" s="31">
        <v>198.38</v>
      </c>
      <c r="R64" s="31">
        <v>147</v>
      </c>
      <c r="S64" s="31">
        <v>217.96</v>
      </c>
      <c r="T64" s="31">
        <v>294.33999999999997</v>
      </c>
    </row>
    <row r="65" spans="15:20" x14ac:dyDescent="0.3">
      <c r="O65" s="30" t="s">
        <v>111</v>
      </c>
      <c r="P65" s="31">
        <v>116.42</v>
      </c>
      <c r="Q65" s="31">
        <v>270.11</v>
      </c>
      <c r="R65" s="31">
        <v>344.82</v>
      </c>
      <c r="S65" s="31">
        <v>311.07</v>
      </c>
      <c r="T65" s="31">
        <v>291.54000000000002</v>
      </c>
    </row>
    <row r="66" spans="15:20" x14ac:dyDescent="0.3">
      <c r="O66" s="30" t="s">
        <v>110</v>
      </c>
      <c r="P66" s="31">
        <v>1453.08</v>
      </c>
      <c r="Q66" s="31">
        <v>2052.02</v>
      </c>
      <c r="R66" s="31">
        <v>2779.08</v>
      </c>
      <c r="S66" s="31">
        <v>4188.41</v>
      </c>
      <c r="T66" s="31">
        <v>3879.84</v>
      </c>
    </row>
    <row r="67" spans="15:20" x14ac:dyDescent="0.3">
      <c r="O67" s="24" t="s">
        <v>133</v>
      </c>
      <c r="P67" s="32">
        <f>SUM(P60:P66)</f>
        <v>26521.43</v>
      </c>
      <c r="Q67" s="32">
        <f t="shared" ref="Q67:T67" si="36">SUM(Q60:Q66)</f>
        <v>30768.09</v>
      </c>
      <c r="R67" s="32">
        <f t="shared" si="36"/>
        <v>38620.090000000004</v>
      </c>
      <c r="S67" s="32">
        <f t="shared" si="36"/>
        <v>43979.22</v>
      </c>
      <c r="T67" s="32">
        <f t="shared" si="36"/>
        <v>41137.97</v>
      </c>
    </row>
    <row r="68" spans="15:20" x14ac:dyDescent="0.3">
      <c r="O68" s="30" t="s">
        <v>134</v>
      </c>
      <c r="P68" s="31">
        <v>1062.53</v>
      </c>
      <c r="Q68" s="31">
        <v>139.78</v>
      </c>
      <c r="R68" s="31">
        <v>113.56</v>
      </c>
      <c r="S68" s="31">
        <v>113.56</v>
      </c>
      <c r="T68" s="31">
        <v>113.56</v>
      </c>
    </row>
    <row r="69" spans="15:20" x14ac:dyDescent="0.3">
      <c r="O69" s="24" t="s">
        <v>135</v>
      </c>
      <c r="P69" s="32">
        <f>P57+P67+P68</f>
        <v>67850.09</v>
      </c>
      <c r="Q69" s="32">
        <f t="shared" ref="Q69:T69" si="37">Q57+Q67+Q68</f>
        <v>73540.44</v>
      </c>
      <c r="R69" s="32">
        <f t="shared" si="37"/>
        <v>86221.5</v>
      </c>
      <c r="S69" s="32">
        <f t="shared" si="37"/>
        <v>92909.58</v>
      </c>
      <c r="T69" s="32">
        <f t="shared" si="37"/>
        <v>100504.30000000002</v>
      </c>
    </row>
    <row r="70" spans="15:20" x14ac:dyDescent="0.3">
      <c r="O70" s="24" t="s">
        <v>136</v>
      </c>
      <c r="P70" s="32">
        <v>0</v>
      </c>
      <c r="Q70" s="32">
        <v>61.23</v>
      </c>
      <c r="R70" s="32">
        <v>634.63</v>
      </c>
      <c r="S70" s="32">
        <v>1235.3399999999999</v>
      </c>
      <c r="T70" s="32">
        <v>716.42</v>
      </c>
    </row>
    <row r="71" spans="15:20" x14ac:dyDescent="0.3">
      <c r="O71" s="24" t="s">
        <v>137</v>
      </c>
      <c r="P71" s="32">
        <f>P69+P45+P70</f>
        <v>89748.15</v>
      </c>
      <c r="Q71" s="32">
        <f>Q69+Q45+Q70</f>
        <v>98851.23</v>
      </c>
      <c r="R71" s="32">
        <f t="shared" ref="R71:T71" si="38">R69+R45+R70</f>
        <v>112884.59000000001</v>
      </c>
      <c r="S71" s="32">
        <f t="shared" si="38"/>
        <v>128349.04000000001</v>
      </c>
      <c r="T71" s="32">
        <f t="shared" si="38"/>
        <v>139553.49000000002</v>
      </c>
    </row>
  </sheetData>
  <mergeCells count="78">
    <mergeCell ref="H47:M47"/>
    <mergeCell ref="H48:M48"/>
    <mergeCell ref="O59:T59"/>
    <mergeCell ref="O48:T48"/>
    <mergeCell ref="O1:S1"/>
    <mergeCell ref="O3:T3"/>
    <mergeCell ref="O4:T4"/>
    <mergeCell ref="O10:T10"/>
    <mergeCell ref="O22:T22"/>
    <mergeCell ref="O20:T20"/>
    <mergeCell ref="O38:T38"/>
    <mergeCell ref="O39:T39"/>
    <mergeCell ref="O46:T46"/>
    <mergeCell ref="O47:T47"/>
    <mergeCell ref="O58:T58"/>
    <mergeCell ref="A1:E1"/>
    <mergeCell ref="H1:L1"/>
    <mergeCell ref="A38:F38"/>
    <mergeCell ref="A39:F39"/>
    <mergeCell ref="A40:F40"/>
    <mergeCell ref="A3:F3"/>
    <mergeCell ref="H32:M32"/>
    <mergeCell ref="H17:M17"/>
    <mergeCell ref="H9:M9"/>
    <mergeCell ref="H4:M4"/>
    <mergeCell ref="H3:M3"/>
    <mergeCell ref="H19:M19"/>
    <mergeCell ref="H31:M31"/>
    <mergeCell ref="H38:M38"/>
    <mergeCell ref="H39:M39"/>
    <mergeCell ref="H40:M40"/>
    <mergeCell ref="A48:F48"/>
    <mergeCell ref="A49:F49"/>
    <mergeCell ref="A17:F17"/>
    <mergeCell ref="A19:F19"/>
    <mergeCell ref="A4:F4"/>
    <mergeCell ref="A10:F10"/>
    <mergeCell ref="A30:F30"/>
    <mergeCell ref="A31:F31"/>
    <mergeCell ref="V38:AA38"/>
    <mergeCell ref="V39:AA39"/>
    <mergeCell ref="V1:Z1"/>
    <mergeCell ref="AC1:AG1"/>
    <mergeCell ref="AJ1:AN1"/>
    <mergeCell ref="V9:AA9"/>
    <mergeCell ref="V18:AA18"/>
    <mergeCell ref="AC3:AH3"/>
    <mergeCell ref="V40:AA40"/>
    <mergeCell ref="V48:AA48"/>
    <mergeCell ref="V49:AA49"/>
    <mergeCell ref="AC10:AH10"/>
    <mergeCell ref="AC4:AH4"/>
    <mergeCell ref="AC18:AH18"/>
    <mergeCell ref="AC20:AH20"/>
    <mergeCell ref="AC32:AH32"/>
    <mergeCell ref="AC33:AH33"/>
    <mergeCell ref="AC39:AH39"/>
    <mergeCell ref="AC40:AH40"/>
    <mergeCell ref="AC41:AH41"/>
    <mergeCell ref="AC49:AH49"/>
    <mergeCell ref="V20:AA20"/>
    <mergeCell ref="V31:AA31"/>
    <mergeCell ref="V32:AA32"/>
    <mergeCell ref="AC50:AH50"/>
    <mergeCell ref="AC53:AH53"/>
    <mergeCell ref="AJ3:AO3"/>
    <mergeCell ref="AJ4:AO4"/>
    <mergeCell ref="AJ11:AO11"/>
    <mergeCell ref="AJ18:AO18"/>
    <mergeCell ref="AJ20:AO20"/>
    <mergeCell ref="AJ30:AO30"/>
    <mergeCell ref="AJ31:AO31"/>
    <mergeCell ref="AJ35:AO35"/>
    <mergeCell ref="AJ36:AO36"/>
    <mergeCell ref="AJ37:AO37"/>
    <mergeCell ref="AJ43:AO43"/>
    <mergeCell ref="AJ44:AO44"/>
    <mergeCell ref="AJ47:AO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FA09-6A2F-4C9B-8D96-A833F9E7CD68}">
  <dimension ref="A1:AH48"/>
  <sheetViews>
    <sheetView topLeftCell="AC17" zoomScale="80" zoomScaleNormal="80" workbookViewId="0">
      <selection activeCell="W16" sqref="W16"/>
    </sheetView>
  </sheetViews>
  <sheetFormatPr defaultRowHeight="14.4" x14ac:dyDescent="0.3"/>
  <cols>
    <col min="1" max="1" width="52.109375" bestFit="1" customWidth="1"/>
    <col min="2" max="6" width="9.88671875" style="38" bestFit="1" customWidth="1"/>
    <col min="8" max="8" width="47.6640625" style="1" bestFit="1" customWidth="1"/>
    <col min="9" max="12" width="9.88671875" style="38" bestFit="1" customWidth="1"/>
    <col min="13" max="13" width="10" style="38" bestFit="1" customWidth="1"/>
    <col min="15" max="15" width="55.33203125" style="1" bestFit="1" customWidth="1"/>
    <col min="16" max="17" width="9.88671875" style="38" bestFit="1" customWidth="1"/>
    <col min="18" max="20" width="11" style="38" bestFit="1" customWidth="1"/>
    <col min="22" max="22" width="55.33203125" style="38" bestFit="1" customWidth="1"/>
    <col min="23" max="24" width="9.88671875" style="38" bestFit="1" customWidth="1"/>
    <col min="25" max="27" width="11" style="38" bestFit="1" customWidth="1"/>
    <col min="29" max="29" width="55.33203125" style="56" bestFit="1" customWidth="1"/>
    <col min="30" max="31" width="10.88671875" style="38" bestFit="1" customWidth="1"/>
    <col min="32" max="34" width="11" style="38" bestFit="1" customWidth="1"/>
  </cols>
  <sheetData>
    <row r="1" spans="1:34" ht="43.8" customHeight="1" x14ac:dyDescent="0.3">
      <c r="A1" s="165" t="s">
        <v>138</v>
      </c>
      <c r="B1" s="165"/>
      <c r="C1" s="165"/>
      <c r="D1" s="165"/>
      <c r="E1" s="165"/>
      <c r="F1" s="37" t="e" vm="1">
        <v>#VALUE!</v>
      </c>
      <c r="H1" s="165" t="s">
        <v>139</v>
      </c>
      <c r="I1" s="165"/>
      <c r="J1" s="165"/>
      <c r="K1" s="165"/>
      <c r="L1" s="165"/>
      <c r="M1" s="45" t="e" vm="2">
        <v>#VALUE!</v>
      </c>
      <c r="O1" s="177" t="s">
        <v>140</v>
      </c>
      <c r="P1" s="177"/>
      <c r="Q1" s="177"/>
      <c r="R1" s="177"/>
      <c r="S1" s="177"/>
      <c r="T1" s="47" t="e" vm="12">
        <v>#VALUE!</v>
      </c>
      <c r="V1" s="160" t="s">
        <v>260</v>
      </c>
      <c r="W1" s="160"/>
      <c r="X1" s="160"/>
      <c r="Y1" s="160"/>
      <c r="Z1" s="160"/>
      <c r="AA1" s="50" t="e" vm="4">
        <v>#VALUE!</v>
      </c>
      <c r="AC1" s="160" t="s">
        <v>261</v>
      </c>
      <c r="AD1" s="160"/>
      <c r="AE1" s="160"/>
      <c r="AF1" s="160"/>
      <c r="AG1" s="160"/>
      <c r="AH1" s="50" t="e" vm="5">
        <v>#VALUE!</v>
      </c>
    </row>
    <row r="2" spans="1:34" x14ac:dyDescent="0.3">
      <c r="A2" s="24" t="s">
        <v>20</v>
      </c>
      <c r="B2" s="32" t="s">
        <v>21</v>
      </c>
      <c r="C2" s="32" t="s">
        <v>22</v>
      </c>
      <c r="D2" s="32" t="s">
        <v>23</v>
      </c>
      <c r="E2" s="32" t="s">
        <v>24</v>
      </c>
      <c r="F2" s="32" t="s">
        <v>25</v>
      </c>
      <c r="H2" s="24" t="s">
        <v>20</v>
      </c>
      <c r="I2" s="32" t="s">
        <v>21</v>
      </c>
      <c r="J2" s="32" t="s">
        <v>22</v>
      </c>
      <c r="K2" s="32" t="s">
        <v>23</v>
      </c>
      <c r="L2" s="32" t="s">
        <v>24</v>
      </c>
      <c r="M2" s="32" t="s">
        <v>25</v>
      </c>
      <c r="O2" s="5" t="s">
        <v>20</v>
      </c>
      <c r="P2" s="23" t="s">
        <v>21</v>
      </c>
      <c r="Q2" s="23" t="s">
        <v>22</v>
      </c>
      <c r="R2" s="23" t="s">
        <v>23</v>
      </c>
      <c r="S2" s="23" t="s">
        <v>24</v>
      </c>
      <c r="T2" s="23" t="s">
        <v>25</v>
      </c>
      <c r="V2" s="23" t="s">
        <v>20</v>
      </c>
      <c r="W2" s="23" t="s">
        <v>21</v>
      </c>
      <c r="X2" s="23" t="s">
        <v>22</v>
      </c>
      <c r="Y2" s="23" t="s">
        <v>23</v>
      </c>
      <c r="Z2" s="23" t="s">
        <v>24</v>
      </c>
      <c r="AA2" s="23" t="s">
        <v>25</v>
      </c>
      <c r="AC2" s="57" t="s">
        <v>20</v>
      </c>
      <c r="AD2" s="23" t="s">
        <v>21</v>
      </c>
      <c r="AE2" s="23" t="s">
        <v>22</v>
      </c>
      <c r="AF2" s="23" t="s">
        <v>23</v>
      </c>
      <c r="AG2" s="23" t="s">
        <v>24</v>
      </c>
      <c r="AH2" s="23" t="s">
        <v>25</v>
      </c>
    </row>
    <row r="3" spans="1:34" x14ac:dyDescent="0.3">
      <c r="A3" s="169" t="s">
        <v>141</v>
      </c>
      <c r="B3" s="169"/>
      <c r="C3" s="169"/>
      <c r="D3" s="169"/>
      <c r="E3" s="169"/>
      <c r="F3" s="169"/>
      <c r="H3" s="169" t="s">
        <v>141</v>
      </c>
      <c r="I3" s="169"/>
      <c r="J3" s="169"/>
      <c r="K3" s="169"/>
      <c r="L3" s="169"/>
      <c r="M3" s="169"/>
      <c r="O3" s="21" t="s">
        <v>142</v>
      </c>
      <c r="P3" s="22">
        <v>29136.37</v>
      </c>
      <c r="Q3" s="22">
        <v>32468.1</v>
      </c>
      <c r="R3" s="22">
        <v>42815.67</v>
      </c>
      <c r="S3" s="22">
        <v>55109.08</v>
      </c>
      <c r="T3" s="22">
        <v>61448.9</v>
      </c>
      <c r="V3" s="159" t="s">
        <v>141</v>
      </c>
      <c r="W3" s="159"/>
      <c r="X3" s="159"/>
      <c r="Y3" s="159"/>
      <c r="Z3" s="159"/>
      <c r="AA3" s="159"/>
      <c r="AC3" s="159" t="s">
        <v>141</v>
      </c>
      <c r="AD3" s="159"/>
      <c r="AE3" s="159"/>
      <c r="AF3" s="159"/>
      <c r="AG3" s="159"/>
      <c r="AH3" s="159"/>
    </row>
    <row r="4" spans="1:34" x14ac:dyDescent="0.3">
      <c r="A4" s="26" t="s">
        <v>142</v>
      </c>
      <c r="B4" s="31">
        <v>26467.72</v>
      </c>
      <c r="C4" s="31">
        <v>26221.48</v>
      </c>
      <c r="D4" s="31">
        <v>27711.18</v>
      </c>
      <c r="E4" s="31">
        <v>38773.300000000003</v>
      </c>
      <c r="F4" s="31">
        <v>50351.25</v>
      </c>
      <c r="H4" s="30" t="s">
        <v>174</v>
      </c>
      <c r="I4" s="31">
        <v>7562.27</v>
      </c>
      <c r="J4" s="31">
        <v>7934.01</v>
      </c>
      <c r="K4" s="31">
        <v>7503.11</v>
      </c>
      <c r="L4" s="31">
        <v>7542.69</v>
      </c>
      <c r="M4" s="31">
        <v>7892.6</v>
      </c>
      <c r="O4" s="21" t="s">
        <v>143</v>
      </c>
      <c r="P4" s="22">
        <v>562.61</v>
      </c>
      <c r="Q4" s="22">
        <v>439.24</v>
      </c>
      <c r="R4" s="22">
        <v>919.96</v>
      </c>
      <c r="S4" s="22">
        <v>1438.02</v>
      </c>
      <c r="T4" s="22">
        <v>1823.42</v>
      </c>
      <c r="V4" s="22" t="s">
        <v>142</v>
      </c>
      <c r="W4" s="22">
        <v>8272.7099999999991</v>
      </c>
      <c r="X4" s="22">
        <v>6922.2</v>
      </c>
      <c r="Y4" s="22">
        <v>8167.15</v>
      </c>
      <c r="Z4" s="22">
        <v>10331.81</v>
      </c>
      <c r="AA4" s="22">
        <v>11486.91</v>
      </c>
      <c r="AC4" s="59" t="s">
        <v>142</v>
      </c>
      <c r="AD4" s="22">
        <v>109464.04</v>
      </c>
      <c r="AE4" s="22">
        <v>111531.15</v>
      </c>
      <c r="AF4" s="22">
        <v>132669.28</v>
      </c>
      <c r="AG4" s="22">
        <v>176206.93</v>
      </c>
      <c r="AH4" s="22">
        <v>178500.88</v>
      </c>
    </row>
    <row r="5" spans="1:34" x14ac:dyDescent="0.3">
      <c r="A5" s="26" t="s">
        <v>143</v>
      </c>
      <c r="B5" s="31">
        <v>1374.09</v>
      </c>
      <c r="C5" s="31">
        <v>1928.2</v>
      </c>
      <c r="D5" s="31">
        <v>3975.29</v>
      </c>
      <c r="E5" s="31">
        <v>4267.22</v>
      </c>
      <c r="F5" s="31">
        <v>9930.23</v>
      </c>
      <c r="H5" s="30" t="s">
        <v>143</v>
      </c>
      <c r="I5" s="31">
        <v>640.14</v>
      </c>
      <c r="J5" s="31">
        <v>454.59</v>
      </c>
      <c r="K5" s="31">
        <v>183.62</v>
      </c>
      <c r="L5" s="31">
        <v>340.05</v>
      </c>
      <c r="M5" s="31">
        <v>367.63</v>
      </c>
      <c r="O5" s="5" t="s">
        <v>202</v>
      </c>
      <c r="P5" s="23">
        <f>P3+P4</f>
        <v>29698.98</v>
      </c>
      <c r="Q5" s="23">
        <f t="shared" ref="Q5:T5" si="0">Q3+Q4</f>
        <v>32907.339999999997</v>
      </c>
      <c r="R5" s="23">
        <f t="shared" si="0"/>
        <v>43735.63</v>
      </c>
      <c r="S5" s="23">
        <f t="shared" si="0"/>
        <v>56547.1</v>
      </c>
      <c r="T5" s="23">
        <f t="shared" si="0"/>
        <v>63272.32</v>
      </c>
      <c r="V5" s="22" t="s">
        <v>143</v>
      </c>
      <c r="W5" s="22">
        <v>286.98</v>
      </c>
      <c r="X5" s="22">
        <v>237.45</v>
      </c>
      <c r="Y5" s="22">
        <v>568.69000000000005</v>
      </c>
      <c r="Z5" s="22">
        <v>535.24</v>
      </c>
      <c r="AA5" s="22">
        <v>455.43</v>
      </c>
      <c r="AC5" s="59" t="s">
        <v>143</v>
      </c>
      <c r="AD5" s="22">
        <v>2908.54</v>
      </c>
      <c r="AE5" s="22">
        <v>4015.68</v>
      </c>
      <c r="AF5" s="22">
        <v>2325.0300000000002</v>
      </c>
      <c r="AG5" s="22">
        <v>1770.24</v>
      </c>
      <c r="AH5" s="22">
        <v>2664.98</v>
      </c>
    </row>
    <row r="6" spans="1:34" x14ac:dyDescent="0.3">
      <c r="A6" s="27" t="s">
        <v>144</v>
      </c>
      <c r="B6" s="32">
        <f>B4+B5</f>
        <v>27841.81</v>
      </c>
      <c r="C6" s="32">
        <f>C4+C5</f>
        <v>28149.68</v>
      </c>
      <c r="D6" s="32">
        <f>D4+D5</f>
        <v>31686.47</v>
      </c>
      <c r="E6" s="32">
        <f t="shared" ref="E6:F6" si="1">E4+E5</f>
        <v>43040.520000000004</v>
      </c>
      <c r="F6" s="32">
        <f t="shared" si="1"/>
        <v>60281.479999999996</v>
      </c>
      <c r="H6" s="24" t="s">
        <v>144</v>
      </c>
      <c r="I6" s="32">
        <f>I4+I5</f>
        <v>8202.41</v>
      </c>
      <c r="J6" s="32">
        <f t="shared" ref="J6:M6" si="2">J4+J5</f>
        <v>8388.6</v>
      </c>
      <c r="K6" s="32">
        <f t="shared" si="2"/>
        <v>7686.73</v>
      </c>
      <c r="L6" s="32">
        <f t="shared" si="2"/>
        <v>7882.74</v>
      </c>
      <c r="M6" s="32">
        <f t="shared" si="2"/>
        <v>8260.23</v>
      </c>
      <c r="O6" s="154" t="s">
        <v>145</v>
      </c>
      <c r="P6" s="154"/>
      <c r="Q6" s="154"/>
      <c r="R6" s="154"/>
      <c r="S6" s="154"/>
      <c r="T6" s="154"/>
      <c r="V6" s="23" t="s">
        <v>144</v>
      </c>
      <c r="W6" s="23">
        <f>W4+W5</f>
        <v>8559.6899999999987</v>
      </c>
      <c r="X6" s="23">
        <f t="shared" ref="X6:AA6" si="3">X4+X5</f>
        <v>7159.65</v>
      </c>
      <c r="Y6" s="23">
        <f t="shared" si="3"/>
        <v>8735.84</v>
      </c>
      <c r="Z6" s="23">
        <f t="shared" si="3"/>
        <v>10867.05</v>
      </c>
      <c r="AA6" s="23">
        <f t="shared" si="3"/>
        <v>11942.34</v>
      </c>
      <c r="AC6" s="57" t="s">
        <v>144</v>
      </c>
      <c r="AD6" s="23">
        <f>AD4+AD5</f>
        <v>112372.57999999999</v>
      </c>
      <c r="AE6" s="23">
        <f t="shared" ref="AE6:AH6" si="4">AE4+AE5</f>
        <v>115546.82999999999</v>
      </c>
      <c r="AF6" s="23">
        <f t="shared" si="4"/>
        <v>134994.31</v>
      </c>
      <c r="AG6" s="23">
        <f t="shared" si="4"/>
        <v>177977.16999999998</v>
      </c>
      <c r="AH6" s="23">
        <f t="shared" si="4"/>
        <v>181165.86000000002</v>
      </c>
    </row>
    <row r="7" spans="1:34" x14ac:dyDescent="0.3">
      <c r="A7" s="169" t="s">
        <v>145</v>
      </c>
      <c r="B7" s="169"/>
      <c r="C7" s="169"/>
      <c r="D7" s="169"/>
      <c r="E7" s="169"/>
      <c r="F7" s="169"/>
      <c r="H7" s="169" t="s">
        <v>145</v>
      </c>
      <c r="I7" s="169"/>
      <c r="J7" s="169"/>
      <c r="K7" s="169"/>
      <c r="L7" s="169"/>
      <c r="M7" s="169"/>
      <c r="O7" s="21" t="s">
        <v>203</v>
      </c>
      <c r="P7" s="22">
        <v>6220.46</v>
      </c>
      <c r="Q7" s="22">
        <v>8334.41</v>
      </c>
      <c r="R7" s="22">
        <v>14640.62</v>
      </c>
      <c r="S7" s="22">
        <v>19062.669999999998</v>
      </c>
      <c r="T7" s="22">
        <v>20014.46</v>
      </c>
      <c r="V7" s="159" t="s">
        <v>145</v>
      </c>
      <c r="W7" s="159"/>
      <c r="X7" s="159"/>
      <c r="Y7" s="159"/>
      <c r="Z7" s="159"/>
      <c r="AA7" s="159"/>
      <c r="AC7" s="159" t="s">
        <v>145</v>
      </c>
      <c r="AD7" s="159"/>
      <c r="AE7" s="159"/>
      <c r="AF7" s="159"/>
      <c r="AG7" s="159"/>
      <c r="AH7" s="159"/>
    </row>
    <row r="8" spans="1:34" x14ac:dyDescent="0.3">
      <c r="A8" s="26" t="s">
        <v>146</v>
      </c>
      <c r="B8" s="31">
        <v>17580.39</v>
      </c>
      <c r="C8" s="31">
        <v>14781.15</v>
      </c>
      <c r="D8" s="31">
        <v>14762.21</v>
      </c>
      <c r="E8" s="31">
        <v>25480.85</v>
      </c>
      <c r="F8" s="31">
        <v>28452.639999999999</v>
      </c>
      <c r="H8" s="30" t="s">
        <v>175</v>
      </c>
      <c r="I8" s="31">
        <v>2896.6</v>
      </c>
      <c r="J8" s="31">
        <v>3116.69</v>
      </c>
      <c r="K8" s="31">
        <v>3025.8</v>
      </c>
      <c r="L8" s="31">
        <v>3654.76</v>
      </c>
      <c r="M8" s="31">
        <v>3831.35</v>
      </c>
      <c r="O8" s="21" t="s">
        <v>204</v>
      </c>
      <c r="P8" s="22">
        <f>9922.39+214</f>
        <v>10136.39</v>
      </c>
      <c r="Q8" s="22">
        <f>9074.96+504.6</f>
        <v>9579.56</v>
      </c>
      <c r="R8" s="22">
        <f>8290.92+1018.19</f>
        <v>9309.11</v>
      </c>
      <c r="S8" s="22">
        <f>13763.59+1194.95</f>
        <v>14958.54</v>
      </c>
      <c r="T8" s="22">
        <f>14130.47+1168.69</f>
        <v>15299.16</v>
      </c>
      <c r="V8" s="22" t="s">
        <v>262</v>
      </c>
      <c r="W8" s="22">
        <v>4460.51</v>
      </c>
      <c r="X8" s="22">
        <v>3283.04</v>
      </c>
      <c r="Y8" s="22">
        <v>3493.95</v>
      </c>
      <c r="Z8" s="22">
        <v>5569.7</v>
      </c>
      <c r="AA8" s="22">
        <v>4581.6000000000004</v>
      </c>
      <c r="AC8" s="59" t="s">
        <v>146</v>
      </c>
      <c r="AD8" s="22">
        <v>57185.69</v>
      </c>
      <c r="AE8" s="22">
        <v>56099.26</v>
      </c>
      <c r="AF8" s="22">
        <v>69752.97</v>
      </c>
      <c r="AG8" s="22">
        <v>100655.78</v>
      </c>
      <c r="AH8" s="22">
        <v>98311.96</v>
      </c>
    </row>
    <row r="9" spans="1:34" ht="28.8" x14ac:dyDescent="0.3">
      <c r="A9" s="26" t="s">
        <v>147</v>
      </c>
      <c r="B9" s="31">
        <v>467.1</v>
      </c>
      <c r="C9" s="31">
        <v>365.3</v>
      </c>
      <c r="D9" s="31">
        <v>545.55999999999995</v>
      </c>
      <c r="E9" s="31">
        <v>214.14</v>
      </c>
      <c r="F9" s="31">
        <v>222.26</v>
      </c>
      <c r="H9" s="30" t="s">
        <v>149</v>
      </c>
      <c r="I9" s="31">
        <v>209.33</v>
      </c>
      <c r="J9" s="31">
        <v>156.06</v>
      </c>
      <c r="K9" s="31">
        <v>173.74</v>
      </c>
      <c r="L9" s="31">
        <v>178.81</v>
      </c>
      <c r="M9" s="31">
        <v>184.24</v>
      </c>
      <c r="O9" s="9" t="s">
        <v>205</v>
      </c>
      <c r="P9" s="22">
        <v>957.18</v>
      </c>
      <c r="Q9" s="22">
        <v>2628.19</v>
      </c>
      <c r="R9" s="22">
        <v>3832.83</v>
      </c>
      <c r="S9" s="22">
        <v>3882.3</v>
      </c>
      <c r="T9" s="22">
        <v>5439.86</v>
      </c>
      <c r="V9" s="22" t="s">
        <v>263</v>
      </c>
      <c r="W9" s="22">
        <v>37.75</v>
      </c>
      <c r="X9" s="22">
        <v>0</v>
      </c>
      <c r="Y9" s="22">
        <v>80.209999999999994</v>
      </c>
      <c r="Z9" s="22">
        <v>367.6</v>
      </c>
      <c r="AA9" s="22">
        <v>124.79</v>
      </c>
      <c r="AC9" s="59" t="s">
        <v>271</v>
      </c>
      <c r="AD9" s="22">
        <v>5185.95</v>
      </c>
      <c r="AE9" s="22">
        <v>5049.42</v>
      </c>
      <c r="AF9" s="22">
        <v>5584.69</v>
      </c>
      <c r="AG9" s="22">
        <v>5324.95</v>
      </c>
      <c r="AH9" s="22">
        <v>5682.79</v>
      </c>
    </row>
    <row r="10" spans="1:34" x14ac:dyDescent="0.3">
      <c r="A10" s="26" t="s">
        <v>148</v>
      </c>
      <c r="B10" s="31">
        <v>621.82000000000005</v>
      </c>
      <c r="C10" s="31">
        <v>664.31</v>
      </c>
      <c r="D10" s="31">
        <v>642.77</v>
      </c>
      <c r="E10" s="31">
        <v>519.61</v>
      </c>
      <c r="F10" s="31">
        <v>503.99</v>
      </c>
      <c r="H10" s="30" t="s">
        <v>176</v>
      </c>
      <c r="I10" s="31">
        <v>3053.97</v>
      </c>
      <c r="J10" s="31">
        <v>2538.59</v>
      </c>
      <c r="K10" s="31">
        <v>2349.08</v>
      </c>
      <c r="L10" s="31">
        <v>2526.61</v>
      </c>
      <c r="M10" s="31">
        <v>2451.29</v>
      </c>
      <c r="O10" s="21" t="s">
        <v>206</v>
      </c>
      <c r="P10" s="22">
        <v>111.74</v>
      </c>
      <c r="Q10" s="22">
        <v>28.89</v>
      </c>
      <c r="R10" s="22">
        <v>49.11</v>
      </c>
      <c r="S10" s="22">
        <v>56.15</v>
      </c>
      <c r="T10" s="22">
        <v>39.89</v>
      </c>
      <c r="V10" s="22" t="s">
        <v>149</v>
      </c>
      <c r="W10" s="22">
        <v>242.96</v>
      </c>
      <c r="X10" s="22">
        <v>236.63</v>
      </c>
      <c r="Y10" s="22">
        <v>264.14999999999998</v>
      </c>
      <c r="Z10" s="22">
        <v>307.60000000000002</v>
      </c>
      <c r="AA10" s="22">
        <v>364.47</v>
      </c>
      <c r="AC10" s="59" t="s">
        <v>149</v>
      </c>
      <c r="AD10" s="22">
        <v>5830.48</v>
      </c>
      <c r="AE10" s="22">
        <v>5953.93</v>
      </c>
      <c r="AF10" s="22">
        <v>6310.09</v>
      </c>
      <c r="AG10" s="22">
        <v>6528.34</v>
      </c>
      <c r="AH10" s="22">
        <v>6592.03</v>
      </c>
    </row>
    <row r="11" spans="1:34" x14ac:dyDescent="0.3">
      <c r="A11" s="26" t="s">
        <v>149</v>
      </c>
      <c r="B11" s="31">
        <v>426.82</v>
      </c>
      <c r="C11" s="31">
        <v>431.54</v>
      </c>
      <c r="D11" s="31">
        <v>470.31</v>
      </c>
      <c r="E11" s="31">
        <v>569.99</v>
      </c>
      <c r="F11" s="31">
        <v>643.70000000000005</v>
      </c>
      <c r="H11" s="30" t="s">
        <v>177</v>
      </c>
      <c r="I11" s="31">
        <v>836.3</v>
      </c>
      <c r="J11" s="31">
        <v>1083.21</v>
      </c>
      <c r="K11" s="31">
        <v>1077.28</v>
      </c>
      <c r="L11" s="31">
        <v>1032.73</v>
      </c>
      <c r="M11" s="31">
        <v>1061.75</v>
      </c>
      <c r="O11" s="21" t="s">
        <v>207</v>
      </c>
      <c r="P11" s="22">
        <v>-15.64</v>
      </c>
      <c r="Q11" s="22">
        <v>0.41</v>
      </c>
      <c r="R11" s="22">
        <v>-199.22</v>
      </c>
      <c r="S11" s="22">
        <v>43.53</v>
      </c>
      <c r="T11" s="22">
        <v>-51.78</v>
      </c>
      <c r="V11" s="22" t="s">
        <v>264</v>
      </c>
      <c r="W11" s="22">
        <v>0</v>
      </c>
      <c r="X11" s="22">
        <v>0</v>
      </c>
      <c r="Y11" s="22">
        <v>0</v>
      </c>
      <c r="Z11" s="22">
        <v>0</v>
      </c>
      <c r="AA11" s="22">
        <v>0.63</v>
      </c>
      <c r="AC11" s="59" t="s">
        <v>176</v>
      </c>
      <c r="AD11" s="22">
        <v>8116.85</v>
      </c>
      <c r="AE11" s="22">
        <v>9224.14</v>
      </c>
      <c r="AF11" s="22">
        <v>9315.98</v>
      </c>
      <c r="AG11" s="22">
        <v>11156.06</v>
      </c>
      <c r="AH11" s="22">
        <v>12048.21</v>
      </c>
    </row>
    <row r="12" spans="1:34" x14ac:dyDescent="0.3">
      <c r="A12" s="26" t="s">
        <v>150</v>
      </c>
      <c r="B12" s="31">
        <v>5314.82</v>
      </c>
      <c r="C12" s="31">
        <v>5106.33</v>
      </c>
      <c r="D12" s="31">
        <v>4094.78</v>
      </c>
      <c r="E12" s="31">
        <v>3333.5</v>
      </c>
      <c r="F12" s="31">
        <v>3388.09</v>
      </c>
      <c r="H12" s="30" t="s">
        <v>178</v>
      </c>
      <c r="I12" s="31">
        <v>1433.71</v>
      </c>
      <c r="J12" s="31">
        <v>1086.3</v>
      </c>
      <c r="K12" s="31">
        <v>1582.23</v>
      </c>
      <c r="L12" s="31">
        <v>1824.14</v>
      </c>
      <c r="M12" s="31">
        <v>2719.7</v>
      </c>
      <c r="O12" s="21" t="s">
        <v>149</v>
      </c>
      <c r="P12" s="22">
        <v>1440.64</v>
      </c>
      <c r="Q12" s="22">
        <v>2156.48</v>
      </c>
      <c r="R12" s="22">
        <v>3611.63</v>
      </c>
      <c r="S12" s="22">
        <v>3624.26</v>
      </c>
      <c r="T12" s="22">
        <v>4036.09</v>
      </c>
      <c r="V12" s="22" t="s">
        <v>150</v>
      </c>
      <c r="W12" s="22">
        <v>1051.07</v>
      </c>
      <c r="X12" s="22">
        <v>895.65</v>
      </c>
      <c r="Y12" s="22">
        <v>776.91</v>
      </c>
      <c r="Z12" s="22">
        <v>844.3</v>
      </c>
      <c r="AA12" s="22">
        <v>2053.4</v>
      </c>
      <c r="AC12" s="59" t="s">
        <v>151</v>
      </c>
      <c r="AD12" s="22">
        <v>10356.16</v>
      </c>
      <c r="AE12" s="22">
        <v>12450.31</v>
      </c>
      <c r="AF12" s="22">
        <v>13787.83</v>
      </c>
      <c r="AG12" s="22">
        <v>14792.27</v>
      </c>
      <c r="AH12" s="22">
        <v>16203.63</v>
      </c>
    </row>
    <row r="13" spans="1:34" x14ac:dyDescent="0.3">
      <c r="A13" s="26" t="s">
        <v>151</v>
      </c>
      <c r="B13" s="31">
        <v>3006.5</v>
      </c>
      <c r="C13" s="31">
        <v>3201.65</v>
      </c>
      <c r="D13" s="31">
        <v>3117.54</v>
      </c>
      <c r="E13" s="31">
        <v>3303.68</v>
      </c>
      <c r="F13" s="31">
        <v>3931.33</v>
      </c>
      <c r="H13" s="24" t="s">
        <v>179</v>
      </c>
      <c r="I13" s="32">
        <f>SUM(I8:I12)</f>
        <v>8429.91</v>
      </c>
      <c r="J13" s="32">
        <f t="shared" ref="J13:M13" si="5">SUM(J8:J12)</f>
        <v>7980.85</v>
      </c>
      <c r="K13" s="32">
        <f t="shared" si="5"/>
        <v>8208.1299999999992</v>
      </c>
      <c r="L13" s="32">
        <f t="shared" si="5"/>
        <v>9217.0499999999993</v>
      </c>
      <c r="M13" s="32">
        <f t="shared" si="5"/>
        <v>10248.33</v>
      </c>
      <c r="O13" s="21" t="s">
        <v>176</v>
      </c>
      <c r="P13" s="22">
        <v>4493.7299999999996</v>
      </c>
      <c r="Q13" s="22">
        <v>4010.39</v>
      </c>
      <c r="R13" s="22">
        <v>3859.02</v>
      </c>
      <c r="S13" s="22">
        <v>4371.6499999999996</v>
      </c>
      <c r="T13" s="22">
        <v>4633.22</v>
      </c>
      <c r="V13" s="22" t="s">
        <v>151</v>
      </c>
      <c r="W13" s="22">
        <v>1168.05</v>
      </c>
      <c r="X13" s="22">
        <v>1166.94</v>
      </c>
      <c r="Y13" s="22">
        <v>1131.05</v>
      </c>
      <c r="Z13" s="22">
        <v>1169.23</v>
      </c>
      <c r="AA13" s="22">
        <v>1633.41</v>
      </c>
      <c r="AC13" s="59" t="s">
        <v>208</v>
      </c>
      <c r="AD13" s="22">
        <v>9725.41</v>
      </c>
      <c r="AE13" s="22">
        <v>10454.709999999999</v>
      </c>
      <c r="AF13" s="22">
        <v>10741.97</v>
      </c>
      <c r="AG13" s="22">
        <v>15968.95</v>
      </c>
      <c r="AH13" s="22">
        <v>16821.39</v>
      </c>
    </row>
    <row r="14" spans="1:34" x14ac:dyDescent="0.3">
      <c r="A14" s="26" t="s">
        <v>152</v>
      </c>
      <c r="B14" s="31">
        <v>1686.29</v>
      </c>
      <c r="C14" s="31">
        <v>1310.6600000000001</v>
      </c>
      <c r="D14" s="31">
        <v>1476.17</v>
      </c>
      <c r="E14" s="31">
        <v>1944.05</v>
      </c>
      <c r="F14" s="31">
        <v>2347.96</v>
      </c>
      <c r="H14" s="24" t="s">
        <v>180</v>
      </c>
      <c r="I14" s="32">
        <f>I6-I13</f>
        <v>-227.5</v>
      </c>
      <c r="J14" s="32">
        <f t="shared" ref="J14:M14" si="6">J6-J13</f>
        <v>407.75</v>
      </c>
      <c r="K14" s="32">
        <f t="shared" si="6"/>
        <v>-521.39999999999964</v>
      </c>
      <c r="L14" s="32">
        <f t="shared" si="6"/>
        <v>-1334.3099999999995</v>
      </c>
      <c r="M14" s="32">
        <f t="shared" si="6"/>
        <v>-1988.1000000000004</v>
      </c>
      <c r="O14" s="21" t="s">
        <v>177</v>
      </c>
      <c r="P14" s="22">
        <v>2633.56</v>
      </c>
      <c r="Q14" s="22">
        <v>2744.94</v>
      </c>
      <c r="R14" s="22">
        <v>3122.2</v>
      </c>
      <c r="S14" s="22">
        <v>3439.2</v>
      </c>
      <c r="T14" s="22">
        <v>3786.37</v>
      </c>
      <c r="V14" s="58" t="s">
        <v>152</v>
      </c>
      <c r="W14" s="58">
        <v>574.63</v>
      </c>
      <c r="X14" s="58">
        <v>495.95</v>
      </c>
      <c r="Y14" s="58">
        <v>759.84</v>
      </c>
      <c r="Z14" s="58">
        <v>805.07</v>
      </c>
      <c r="AA14" s="58">
        <v>1032.6400000000001</v>
      </c>
      <c r="AC14" s="57" t="s">
        <v>153</v>
      </c>
      <c r="AD14" s="23">
        <f>SUM(AD8:AD13)</f>
        <v>96400.540000000008</v>
      </c>
      <c r="AE14" s="23">
        <f t="shared" ref="AE14:AH14" si="7">SUM(AE8:AE13)</f>
        <v>99231.76999999999</v>
      </c>
      <c r="AF14" s="23">
        <f t="shared" si="7"/>
        <v>115493.53</v>
      </c>
      <c r="AG14" s="23">
        <f t="shared" si="7"/>
        <v>154426.35</v>
      </c>
      <c r="AH14" s="23">
        <f t="shared" si="7"/>
        <v>155660.01</v>
      </c>
    </row>
    <row r="15" spans="1:34" ht="28.8" x14ac:dyDescent="0.3">
      <c r="A15" s="27" t="s">
        <v>153</v>
      </c>
      <c r="B15" s="32">
        <f>SUM(B8:B14)</f>
        <v>29103.739999999998</v>
      </c>
      <c r="C15" s="32">
        <f t="shared" ref="C15:F15" si="8">SUM(C8:C14)</f>
        <v>25860.94</v>
      </c>
      <c r="D15" s="32">
        <f>SUM(D8:D14)</f>
        <v>25109.339999999997</v>
      </c>
      <c r="E15" s="32">
        <f t="shared" si="8"/>
        <v>35365.82</v>
      </c>
      <c r="F15" s="32">
        <f t="shared" si="8"/>
        <v>39489.97</v>
      </c>
      <c r="H15" s="169" t="s">
        <v>181</v>
      </c>
      <c r="I15" s="169"/>
      <c r="J15" s="169"/>
      <c r="K15" s="169"/>
      <c r="L15" s="169"/>
      <c r="M15" s="169"/>
      <c r="O15" s="21" t="s">
        <v>208</v>
      </c>
      <c r="P15" s="22">
        <v>2342.7800000000002</v>
      </c>
      <c r="Q15" s="22">
        <v>2812.48</v>
      </c>
      <c r="R15" s="22">
        <v>4060.42</v>
      </c>
      <c r="S15" s="22">
        <v>5775.31</v>
      </c>
      <c r="T15" s="22">
        <v>5887.39</v>
      </c>
      <c r="V15" s="23" t="s">
        <v>153</v>
      </c>
      <c r="W15" s="23">
        <f>SUM(W8:W14)</f>
        <v>7534.97</v>
      </c>
      <c r="X15" s="23">
        <f t="shared" ref="X15:AA15" si="9">SUM(X8:X14)</f>
        <v>6078.21</v>
      </c>
      <c r="Y15" s="23">
        <f t="shared" si="9"/>
        <v>6506.1100000000006</v>
      </c>
      <c r="Z15" s="23">
        <f t="shared" si="9"/>
        <v>9063.5</v>
      </c>
      <c r="AA15" s="23">
        <f t="shared" si="9"/>
        <v>9790.94</v>
      </c>
      <c r="AC15" s="57" t="s">
        <v>272</v>
      </c>
      <c r="AD15" s="23">
        <f>AD6-AD14</f>
        <v>15972.039999999979</v>
      </c>
      <c r="AE15" s="23">
        <f t="shared" ref="AE15:AH15" si="10">AE6-AE14</f>
        <v>16315.059999999998</v>
      </c>
      <c r="AF15" s="23">
        <f t="shared" si="10"/>
        <v>19500.78</v>
      </c>
      <c r="AG15" s="23">
        <f t="shared" si="10"/>
        <v>23550.819999999978</v>
      </c>
      <c r="AH15" s="23">
        <f t="shared" si="10"/>
        <v>25505.850000000006</v>
      </c>
    </row>
    <row r="16" spans="1:34" ht="28.8" x14ac:dyDescent="0.3">
      <c r="A16" s="35" t="s">
        <v>163</v>
      </c>
      <c r="B16" s="32">
        <f>B6-B15</f>
        <v>-1261.9299999999967</v>
      </c>
      <c r="C16" s="32">
        <f t="shared" ref="C16:F16" si="11">C6-C15</f>
        <v>2288.7400000000016</v>
      </c>
      <c r="D16" s="32">
        <f t="shared" si="11"/>
        <v>6577.1300000000047</v>
      </c>
      <c r="E16" s="32">
        <f t="shared" si="11"/>
        <v>7674.7000000000044</v>
      </c>
      <c r="F16" s="32">
        <f t="shared" si="11"/>
        <v>20791.509999999995</v>
      </c>
      <c r="H16" s="28" t="s">
        <v>182</v>
      </c>
      <c r="I16" s="31">
        <v>-4004.21</v>
      </c>
      <c r="J16" s="31">
        <v>0</v>
      </c>
      <c r="K16" s="31">
        <v>0</v>
      </c>
      <c r="L16" s="31">
        <v>0</v>
      </c>
      <c r="M16" s="31">
        <v>-1926.35</v>
      </c>
      <c r="O16" s="5" t="s">
        <v>153</v>
      </c>
      <c r="P16" s="23">
        <f>SUM(P7:P15)</f>
        <v>28320.84</v>
      </c>
      <c r="Q16" s="23">
        <f t="shared" ref="Q16:T16" si="12">SUM(Q7:Q15)</f>
        <v>32295.749999999996</v>
      </c>
      <c r="R16" s="23">
        <f t="shared" si="12"/>
        <v>42285.72</v>
      </c>
      <c r="S16" s="23">
        <f t="shared" si="12"/>
        <v>55213.61</v>
      </c>
      <c r="T16" s="23">
        <f t="shared" si="12"/>
        <v>59084.659999999996</v>
      </c>
      <c r="V16" s="22" t="s">
        <v>265</v>
      </c>
      <c r="W16" s="22">
        <v>28.04</v>
      </c>
      <c r="X16" s="22">
        <v>17.149999999999999</v>
      </c>
      <c r="Y16" s="22">
        <v>8.5399999999999991</v>
      </c>
      <c r="Z16" s="22">
        <v>19.29</v>
      </c>
      <c r="AA16" s="22">
        <v>16.510000000000002</v>
      </c>
      <c r="AC16" s="59" t="s">
        <v>273</v>
      </c>
      <c r="AD16" s="22">
        <v>405.4</v>
      </c>
      <c r="AE16" s="22">
        <v>683.87</v>
      </c>
      <c r="AF16" s="22">
        <v>1020.13</v>
      </c>
      <c r="AG16" s="22">
        <v>779.77</v>
      </c>
      <c r="AH16" s="22">
        <v>1635.6</v>
      </c>
    </row>
    <row r="17" spans="1:34" ht="43.2" x14ac:dyDescent="0.3">
      <c r="A17" s="26" t="s">
        <v>154</v>
      </c>
      <c r="B17" s="31">
        <v>1002.99</v>
      </c>
      <c r="C17" s="31">
        <v>0</v>
      </c>
      <c r="D17" s="31">
        <v>0</v>
      </c>
      <c r="E17" s="31">
        <v>0</v>
      </c>
      <c r="F17" s="31">
        <v>0</v>
      </c>
      <c r="H17" s="30" t="s">
        <v>183</v>
      </c>
      <c r="I17" s="31">
        <v>0</v>
      </c>
      <c r="J17" s="31">
        <v>4.42</v>
      </c>
      <c r="K17" s="31">
        <v>0</v>
      </c>
      <c r="L17" s="31">
        <v>1036.8599999999999</v>
      </c>
      <c r="M17" s="31">
        <v>1886.3</v>
      </c>
      <c r="O17" s="46" t="s">
        <v>209</v>
      </c>
      <c r="P17" s="23">
        <f>P5-P16</f>
        <v>1378.1399999999994</v>
      </c>
      <c r="Q17" s="23">
        <f t="shared" ref="Q17:T17" si="13">Q5-Q16</f>
        <v>611.59000000000015</v>
      </c>
      <c r="R17" s="23">
        <f t="shared" si="13"/>
        <v>1449.9099999999962</v>
      </c>
      <c r="S17" s="23">
        <f t="shared" si="13"/>
        <v>1333.489999999998</v>
      </c>
      <c r="T17" s="23">
        <f t="shared" si="13"/>
        <v>4187.6600000000035</v>
      </c>
      <c r="V17" s="57" t="s">
        <v>266</v>
      </c>
      <c r="W17" s="23">
        <f>W6-W15+W16</f>
        <v>1052.7599999999984</v>
      </c>
      <c r="X17" s="23">
        <f t="shared" ref="X17:AA17" si="14">X6-X15+X16</f>
        <v>1098.5899999999997</v>
      </c>
      <c r="Y17" s="23">
        <f t="shared" si="14"/>
        <v>2238.2699999999995</v>
      </c>
      <c r="Z17" s="23">
        <f t="shared" si="14"/>
        <v>1822.8399999999992</v>
      </c>
      <c r="AA17" s="23">
        <f t="shared" si="14"/>
        <v>2167.91</v>
      </c>
      <c r="AC17" s="57" t="s">
        <v>274</v>
      </c>
      <c r="AD17" s="23">
        <f>AD15+AD16</f>
        <v>16377.439999999979</v>
      </c>
      <c r="AE17" s="23">
        <f t="shared" ref="AE17:AH17" si="15">AE15+AE16</f>
        <v>16998.929999999997</v>
      </c>
      <c r="AF17" s="23">
        <f t="shared" si="15"/>
        <v>20520.91</v>
      </c>
      <c r="AG17" s="23">
        <f t="shared" si="15"/>
        <v>24330.589999999978</v>
      </c>
      <c r="AH17" s="23">
        <f t="shared" si="15"/>
        <v>27141.450000000004</v>
      </c>
    </row>
    <row r="18" spans="1:34" ht="28.8" x14ac:dyDescent="0.3">
      <c r="A18" s="35" t="s">
        <v>162</v>
      </c>
      <c r="B18" s="32">
        <f>B16-B17</f>
        <v>-2264.9199999999964</v>
      </c>
      <c r="C18" s="32">
        <f t="shared" ref="C18:F18" si="16">C16-C17</f>
        <v>2288.7400000000016</v>
      </c>
      <c r="D18" s="32">
        <f t="shared" si="16"/>
        <v>6577.1300000000047</v>
      </c>
      <c r="E18" s="32">
        <f t="shared" si="16"/>
        <v>7674.7000000000044</v>
      </c>
      <c r="F18" s="32">
        <f t="shared" si="16"/>
        <v>20791.509999999995</v>
      </c>
      <c r="H18" s="24" t="s">
        <v>184</v>
      </c>
      <c r="I18" s="32">
        <f>SUM(I16:I17)</f>
        <v>-4004.21</v>
      </c>
      <c r="J18" s="32">
        <f t="shared" ref="J18:M18" si="17">SUM(J16:J17)</f>
        <v>4.42</v>
      </c>
      <c r="K18" s="32">
        <v>0</v>
      </c>
      <c r="L18" s="32">
        <f t="shared" si="17"/>
        <v>1036.8599999999999</v>
      </c>
      <c r="M18" s="32">
        <f t="shared" si="17"/>
        <v>-40.049999999999955</v>
      </c>
      <c r="O18" s="21" t="s">
        <v>210</v>
      </c>
      <c r="P18" s="22">
        <v>-451.68</v>
      </c>
      <c r="Q18" s="22">
        <v>529.24</v>
      </c>
      <c r="R18" s="22">
        <v>-380.42</v>
      </c>
      <c r="S18" s="22">
        <v>815.7</v>
      </c>
      <c r="T18" s="22">
        <v>56.24</v>
      </c>
      <c r="V18" s="22" t="s">
        <v>267</v>
      </c>
      <c r="W18" s="22">
        <v>-61.46</v>
      </c>
      <c r="X18" s="22">
        <v>0</v>
      </c>
      <c r="Y18" s="22">
        <v>0</v>
      </c>
      <c r="Z18" s="22">
        <v>120</v>
      </c>
      <c r="AA18" s="22">
        <v>0</v>
      </c>
      <c r="AC18" s="59" t="s">
        <v>181</v>
      </c>
      <c r="AD18" s="22">
        <v>0</v>
      </c>
      <c r="AE18" s="22">
        <v>1512.19</v>
      </c>
      <c r="AF18" s="22">
        <v>0</v>
      </c>
      <c r="AG18" s="22">
        <v>0</v>
      </c>
      <c r="AH18" s="22">
        <v>0</v>
      </c>
    </row>
    <row r="19" spans="1:34" ht="28.8" x14ac:dyDescent="0.3">
      <c r="A19" s="169" t="s">
        <v>155</v>
      </c>
      <c r="B19" s="169"/>
      <c r="C19" s="169"/>
      <c r="D19" s="169"/>
      <c r="E19" s="169"/>
      <c r="F19" s="169"/>
      <c r="H19" s="24" t="s">
        <v>185</v>
      </c>
      <c r="I19" s="32">
        <f>I14+I18</f>
        <v>-4231.71</v>
      </c>
      <c r="J19" s="32">
        <f t="shared" ref="J19:M19" si="18">J14+J18</f>
        <v>412.17</v>
      </c>
      <c r="K19" s="32">
        <f t="shared" si="18"/>
        <v>-521.39999999999964</v>
      </c>
      <c r="L19" s="32">
        <f t="shared" si="18"/>
        <v>-297.44999999999959</v>
      </c>
      <c r="M19" s="32">
        <f t="shared" si="18"/>
        <v>-2028.1500000000003</v>
      </c>
      <c r="O19" s="9" t="s">
        <v>211</v>
      </c>
      <c r="P19" s="22">
        <v>-21.32</v>
      </c>
      <c r="Q19" s="22">
        <v>0</v>
      </c>
      <c r="R19" s="22">
        <v>0</v>
      </c>
      <c r="S19" s="22">
        <v>-8.5299999999999994</v>
      </c>
      <c r="T19" s="22">
        <v>7.34</v>
      </c>
      <c r="V19" s="23" t="s">
        <v>268</v>
      </c>
      <c r="W19" s="23">
        <f>W17-W18</f>
        <v>1114.2199999999984</v>
      </c>
      <c r="X19" s="23">
        <f t="shared" ref="X19:AA19" si="19">X17-X18</f>
        <v>1098.5899999999997</v>
      </c>
      <c r="Y19" s="23">
        <f t="shared" si="19"/>
        <v>2238.2699999999995</v>
      </c>
      <c r="Z19" s="23">
        <f>Z17+Z18</f>
        <v>1942.8399999999992</v>
      </c>
      <c r="AA19" s="23">
        <f t="shared" si="19"/>
        <v>2167.91</v>
      </c>
      <c r="AC19" s="57" t="s">
        <v>275</v>
      </c>
      <c r="AD19" s="23">
        <f>AD17-AD18</f>
        <v>16377.439999999979</v>
      </c>
      <c r="AE19" s="23">
        <f t="shared" ref="AE19:AH19" si="20">AE17-AE18</f>
        <v>15486.739999999996</v>
      </c>
      <c r="AF19" s="23">
        <f t="shared" si="20"/>
        <v>20520.91</v>
      </c>
      <c r="AG19" s="23">
        <f t="shared" si="20"/>
        <v>24330.589999999978</v>
      </c>
      <c r="AH19" s="23">
        <f t="shared" si="20"/>
        <v>27141.450000000004</v>
      </c>
    </row>
    <row r="20" spans="1:34" x14ac:dyDescent="0.3">
      <c r="A20" s="26" t="s">
        <v>156</v>
      </c>
      <c r="B20" s="31">
        <v>24.68</v>
      </c>
      <c r="C20" s="31">
        <v>25.64</v>
      </c>
      <c r="D20" s="31">
        <v>768.34</v>
      </c>
      <c r="E20" s="31">
        <v>0.57999999999999996</v>
      </c>
      <c r="F20" s="31">
        <v>0.09</v>
      </c>
      <c r="H20" s="169" t="s">
        <v>186</v>
      </c>
      <c r="I20" s="169"/>
      <c r="J20" s="169"/>
      <c r="K20" s="169"/>
      <c r="L20" s="169"/>
      <c r="M20" s="169"/>
      <c r="O20" s="21" t="s">
        <v>212</v>
      </c>
      <c r="P20" s="22">
        <v>284.31</v>
      </c>
      <c r="Q20" s="22">
        <v>81.8</v>
      </c>
      <c r="R20" s="22">
        <v>140.94999999999999</v>
      </c>
      <c r="S20" s="22">
        <v>116.88</v>
      </c>
      <c r="T20" s="22">
        <v>29.85</v>
      </c>
      <c r="V20" s="159" t="s">
        <v>155</v>
      </c>
      <c r="W20" s="159"/>
      <c r="X20" s="159"/>
      <c r="Y20" s="159"/>
      <c r="Z20" s="159"/>
      <c r="AA20" s="159"/>
      <c r="AC20" s="176" t="s">
        <v>276</v>
      </c>
      <c r="AD20" s="176"/>
      <c r="AE20" s="176"/>
      <c r="AF20" s="176"/>
      <c r="AG20" s="176"/>
      <c r="AH20" s="176"/>
    </row>
    <row r="21" spans="1:34" x14ac:dyDescent="0.3">
      <c r="A21" s="26" t="s">
        <v>157</v>
      </c>
      <c r="B21" s="31">
        <v>-7.33</v>
      </c>
      <c r="C21" s="31">
        <v>-4.2699999999999996</v>
      </c>
      <c r="D21" s="31">
        <v>-0.11</v>
      </c>
      <c r="E21" s="31">
        <v>-768.18</v>
      </c>
      <c r="F21" s="31">
        <v>13.91</v>
      </c>
      <c r="H21" s="30" t="s">
        <v>156</v>
      </c>
      <c r="I21" s="31">
        <v>45.18</v>
      </c>
      <c r="J21" s="31">
        <v>56.46</v>
      </c>
      <c r="K21" s="31">
        <v>23.13</v>
      </c>
      <c r="L21" s="31">
        <v>46.21</v>
      </c>
      <c r="M21" s="31">
        <v>18.13</v>
      </c>
      <c r="O21" s="5" t="s">
        <v>213</v>
      </c>
      <c r="P21" s="23">
        <f>P18+P19+P20</f>
        <v>-188.69</v>
      </c>
      <c r="Q21" s="23">
        <f t="shared" ref="Q21:T21" si="21">Q18+Q19+Q20</f>
        <v>611.04</v>
      </c>
      <c r="R21" s="23">
        <f t="shared" si="21"/>
        <v>-239.47000000000003</v>
      </c>
      <c r="S21" s="23">
        <f t="shared" si="21"/>
        <v>924.05000000000007</v>
      </c>
      <c r="T21" s="23">
        <f t="shared" si="21"/>
        <v>93.43</v>
      </c>
      <c r="V21" s="22" t="s">
        <v>156</v>
      </c>
      <c r="W21" s="22">
        <v>111.91</v>
      </c>
      <c r="X21" s="22">
        <v>194.59</v>
      </c>
      <c r="Y21" s="22">
        <v>421.92</v>
      </c>
      <c r="Z21" s="22">
        <v>298.3</v>
      </c>
      <c r="AA21" s="22">
        <v>393.84</v>
      </c>
      <c r="AC21" s="59" t="s">
        <v>277</v>
      </c>
      <c r="AD21" s="22">
        <v>2782.89</v>
      </c>
      <c r="AE21" s="22">
        <v>2958.8</v>
      </c>
      <c r="AF21" s="22">
        <v>3760.62</v>
      </c>
      <c r="AG21" s="22">
        <v>4659.84</v>
      </c>
      <c r="AH21" s="22">
        <v>4457.24</v>
      </c>
    </row>
    <row r="22" spans="1:34" ht="28.8" x14ac:dyDescent="0.3">
      <c r="A22" s="26" t="s">
        <v>158</v>
      </c>
      <c r="B22" s="31">
        <v>38.19</v>
      </c>
      <c r="C22" s="31">
        <v>1062.5</v>
      </c>
      <c r="D22" s="31">
        <v>976.57</v>
      </c>
      <c r="E22" s="31">
        <v>-2499.77</v>
      </c>
      <c r="F22" s="31">
        <v>-51.28</v>
      </c>
      <c r="H22" s="30" t="s">
        <v>158</v>
      </c>
      <c r="I22" s="31">
        <v>-21.28</v>
      </c>
      <c r="J22" s="31">
        <v>-71.400000000000006</v>
      </c>
      <c r="K22" s="31">
        <v>12.06</v>
      </c>
      <c r="L22" s="31">
        <v>17.170000000000002</v>
      </c>
      <c r="M22" s="31">
        <v>195.9</v>
      </c>
      <c r="O22" s="46" t="s">
        <v>214</v>
      </c>
      <c r="P22" s="23">
        <f>P17+P21</f>
        <v>1189.4499999999994</v>
      </c>
      <c r="Q22" s="23">
        <f t="shared" ref="Q22:T22" si="22">Q17+Q21</f>
        <v>1222.6300000000001</v>
      </c>
      <c r="R22" s="23">
        <f t="shared" si="22"/>
        <v>1210.4399999999962</v>
      </c>
      <c r="S22" s="23">
        <f t="shared" si="22"/>
        <v>2257.5399999999981</v>
      </c>
      <c r="T22" s="23">
        <f t="shared" si="22"/>
        <v>4281.0900000000038</v>
      </c>
      <c r="V22" s="22" t="s">
        <v>158</v>
      </c>
      <c r="W22" s="22">
        <v>-183.05</v>
      </c>
      <c r="X22" s="22">
        <v>31.67</v>
      </c>
      <c r="Y22" s="22">
        <v>-83.29</v>
      </c>
      <c r="Z22" s="22">
        <v>178.31</v>
      </c>
      <c r="AA22" s="22">
        <v>-104.24</v>
      </c>
      <c r="AC22" s="59" t="s">
        <v>278</v>
      </c>
      <c r="AD22" s="22">
        <v>2743.64</v>
      </c>
      <c r="AE22" s="22">
        <v>-1867.74</v>
      </c>
      <c r="AF22" s="22">
        <v>-2.69</v>
      </c>
      <c r="AG22" s="22">
        <v>196.27</v>
      </c>
      <c r="AH22" s="22">
        <v>-161.13999999999999</v>
      </c>
    </row>
    <row r="23" spans="1:34" ht="28.8" x14ac:dyDescent="0.3">
      <c r="A23" s="27" t="s">
        <v>159</v>
      </c>
      <c r="B23" s="32">
        <f>SUM(B20:B22)</f>
        <v>55.54</v>
      </c>
      <c r="C23" s="32">
        <f t="shared" ref="C23:F23" si="23">SUM(C20:C22)</f>
        <v>1083.8699999999999</v>
      </c>
      <c r="D23" s="32">
        <f t="shared" si="23"/>
        <v>1744.8000000000002</v>
      </c>
      <c r="E23" s="32">
        <f t="shared" si="23"/>
        <v>-3267.37</v>
      </c>
      <c r="F23" s="32">
        <f t="shared" si="23"/>
        <v>-37.28</v>
      </c>
      <c r="H23" s="30" t="s">
        <v>187</v>
      </c>
      <c r="I23" s="31">
        <v>-0.24</v>
      </c>
      <c r="J23" s="31">
        <v>0.03</v>
      </c>
      <c r="K23" s="31">
        <v>8.5399999999999991</v>
      </c>
      <c r="L23" s="31">
        <v>0.53</v>
      </c>
      <c r="M23" s="31">
        <v>0</v>
      </c>
      <c r="O23" s="9" t="s">
        <v>215</v>
      </c>
      <c r="P23" s="22">
        <v>952.55</v>
      </c>
      <c r="Q23" s="22">
        <v>873.39</v>
      </c>
      <c r="R23" s="22">
        <v>1942.83</v>
      </c>
      <c r="S23" s="22">
        <v>3199.46</v>
      </c>
      <c r="T23" s="22">
        <v>1177.57</v>
      </c>
      <c r="V23" s="22" t="s">
        <v>269</v>
      </c>
      <c r="W23" s="22">
        <v>104.18</v>
      </c>
      <c r="X23" s="22">
        <v>49.65</v>
      </c>
      <c r="Y23" s="22">
        <v>156.16</v>
      </c>
      <c r="Z23" s="22">
        <v>-13.89</v>
      </c>
      <c r="AA23" s="22">
        <v>152.66</v>
      </c>
      <c r="AC23" s="59" t="s">
        <v>158</v>
      </c>
      <c r="AD23" s="22">
        <v>3821.01</v>
      </c>
      <c r="AE23" s="22">
        <v>1329.47</v>
      </c>
      <c r="AF23" s="22">
        <v>1289.17</v>
      </c>
      <c r="AG23" s="22">
        <v>1940.01</v>
      </c>
      <c r="AH23" s="22">
        <v>2513.1</v>
      </c>
    </row>
    <row r="24" spans="1:34" x14ac:dyDescent="0.3">
      <c r="A24" s="26" t="s">
        <v>160</v>
      </c>
      <c r="B24" s="31">
        <v>-45.69</v>
      </c>
      <c r="C24" s="31">
        <v>65.11</v>
      </c>
      <c r="D24" s="31">
        <v>79.25</v>
      </c>
      <c r="E24" s="31">
        <v>-215.43</v>
      </c>
      <c r="F24" s="31">
        <v>0</v>
      </c>
      <c r="H24" s="24" t="s">
        <v>188</v>
      </c>
      <c r="I24" s="32">
        <f>SUM(I21:I23)</f>
        <v>23.66</v>
      </c>
      <c r="J24" s="32">
        <f t="shared" ref="J24:M24" si="24">SUM(J21:J23)</f>
        <v>-14.910000000000005</v>
      </c>
      <c r="K24" s="32">
        <f t="shared" si="24"/>
        <v>43.73</v>
      </c>
      <c r="L24" s="32">
        <f t="shared" si="24"/>
        <v>63.910000000000004</v>
      </c>
      <c r="M24" s="32">
        <f t="shared" si="24"/>
        <v>214.03</v>
      </c>
      <c r="O24" s="5" t="s">
        <v>180</v>
      </c>
      <c r="P24" s="23">
        <f>P22+P23</f>
        <v>2141.9999999999991</v>
      </c>
      <c r="Q24" s="23">
        <f t="shared" ref="Q24:T24" si="25">Q22+Q23</f>
        <v>2096.02</v>
      </c>
      <c r="R24" s="23">
        <f t="shared" si="25"/>
        <v>3153.2699999999959</v>
      </c>
      <c r="S24" s="23">
        <f t="shared" si="25"/>
        <v>5456.9999999999982</v>
      </c>
      <c r="T24" s="23">
        <f t="shared" si="25"/>
        <v>5458.6600000000035</v>
      </c>
      <c r="V24" s="23" t="s">
        <v>270</v>
      </c>
      <c r="W24" s="23">
        <f>W19-W21-W22-W23</f>
        <v>1081.1799999999985</v>
      </c>
      <c r="X24" s="23">
        <f t="shared" ref="X24:AA24" si="26">X19-X21-X22-X23</f>
        <v>822.67999999999972</v>
      </c>
      <c r="Y24" s="23">
        <f t="shared" si="26"/>
        <v>1743.4799999999993</v>
      </c>
      <c r="Z24" s="23">
        <f t="shared" si="26"/>
        <v>1480.1199999999994</v>
      </c>
      <c r="AA24" s="23">
        <f t="shared" si="26"/>
        <v>1725.6499999999999</v>
      </c>
      <c r="AC24" s="57" t="s">
        <v>188</v>
      </c>
      <c r="AD24" s="23">
        <f>SUM(AD21:AD23)</f>
        <v>9347.5400000000009</v>
      </c>
      <c r="AE24" s="23">
        <f t="shared" ref="AE24:AH24" si="27">SUM(AE21:AE23)</f>
        <v>2420.5300000000002</v>
      </c>
      <c r="AF24" s="23">
        <f t="shared" si="27"/>
        <v>5047.1000000000004</v>
      </c>
      <c r="AG24" s="23">
        <f t="shared" si="27"/>
        <v>6796.1200000000008</v>
      </c>
      <c r="AH24" s="23">
        <f t="shared" si="27"/>
        <v>6809.1999999999989</v>
      </c>
    </row>
    <row r="25" spans="1:34" x14ac:dyDescent="0.3">
      <c r="A25" s="27" t="s">
        <v>161</v>
      </c>
      <c r="B25" s="32">
        <f>B18-B23-B24</f>
        <v>-2274.7699999999963</v>
      </c>
      <c r="C25" s="32">
        <f>C18-C23+C24</f>
        <v>1269.9800000000016</v>
      </c>
      <c r="D25" s="32">
        <f t="shared" ref="D25:F25" si="28">D18-D23+D24</f>
        <v>4911.5800000000045</v>
      </c>
      <c r="E25" s="32">
        <f t="shared" si="28"/>
        <v>10726.640000000003</v>
      </c>
      <c r="F25" s="32">
        <f t="shared" si="28"/>
        <v>20828.789999999994</v>
      </c>
      <c r="H25" s="24" t="s">
        <v>189</v>
      </c>
      <c r="I25" s="32">
        <f>I19-I24</f>
        <v>-4255.37</v>
      </c>
      <c r="J25" s="32">
        <f t="shared" ref="J25:M25" si="29">J19-J24</f>
        <v>427.08000000000004</v>
      </c>
      <c r="K25" s="32">
        <f t="shared" si="29"/>
        <v>-565.12999999999965</v>
      </c>
      <c r="L25" s="32">
        <f t="shared" si="29"/>
        <v>-361.35999999999962</v>
      </c>
      <c r="M25" s="32">
        <f t="shared" si="29"/>
        <v>-2242.1800000000003</v>
      </c>
      <c r="O25" s="173" t="s">
        <v>216</v>
      </c>
      <c r="P25" s="174"/>
      <c r="Q25" s="174"/>
      <c r="R25" s="174"/>
      <c r="S25" s="174"/>
      <c r="T25" s="175"/>
      <c r="AC25" s="57" t="s">
        <v>279</v>
      </c>
      <c r="AD25" s="23">
        <f>AD19-AD24</f>
        <v>7029.8999999999778</v>
      </c>
      <c r="AE25" s="23">
        <f t="shared" ref="AE25:AH25" si="30">AE19-AE24</f>
        <v>13066.209999999995</v>
      </c>
      <c r="AF25" s="23">
        <f t="shared" si="30"/>
        <v>15473.81</v>
      </c>
      <c r="AG25" s="23">
        <f t="shared" si="30"/>
        <v>17534.469999999979</v>
      </c>
      <c r="AH25" s="23">
        <f t="shared" si="30"/>
        <v>20332.250000000007</v>
      </c>
    </row>
    <row r="26" spans="1:34" x14ac:dyDescent="0.3">
      <c r="A26" s="170" t="s">
        <v>164</v>
      </c>
      <c r="B26" s="171"/>
      <c r="C26" s="171"/>
      <c r="D26" s="171"/>
      <c r="E26" s="171"/>
      <c r="F26" s="172"/>
      <c r="H26" s="169" t="s">
        <v>190</v>
      </c>
      <c r="I26" s="169"/>
      <c r="J26" s="169"/>
      <c r="K26" s="169"/>
      <c r="L26" s="169"/>
      <c r="M26" s="169"/>
      <c r="O26" s="21" t="s">
        <v>217</v>
      </c>
      <c r="P26" s="22">
        <v>532.51</v>
      </c>
      <c r="Q26" s="22">
        <v>0</v>
      </c>
      <c r="R26" s="22">
        <v>0</v>
      </c>
      <c r="S26" s="22">
        <v>0</v>
      </c>
      <c r="T26" s="22">
        <v>234.68</v>
      </c>
      <c r="AC26" s="59" t="s">
        <v>280</v>
      </c>
      <c r="AD26" s="22">
        <v>4879.01</v>
      </c>
      <c r="AE26" s="22">
        <v>1903.19</v>
      </c>
      <c r="AF26" s="22">
        <v>1486.48</v>
      </c>
      <c r="AG26" s="22">
        <v>-413.12</v>
      </c>
      <c r="AH26" s="22">
        <v>1000</v>
      </c>
    </row>
    <row r="27" spans="1:34" x14ac:dyDescent="0.3">
      <c r="A27" s="170" t="s">
        <v>165</v>
      </c>
      <c r="B27" s="171"/>
      <c r="C27" s="171"/>
      <c r="D27" s="171"/>
      <c r="E27" s="171"/>
      <c r="F27" s="172"/>
      <c r="H27" s="30" t="s">
        <v>191</v>
      </c>
      <c r="I27" s="31">
        <v>-16.11</v>
      </c>
      <c r="J27" s="31">
        <v>26.86</v>
      </c>
      <c r="K27" s="31">
        <v>8.6</v>
      </c>
      <c r="L27" s="31">
        <v>-41.53</v>
      </c>
      <c r="M27" s="31">
        <v>173.8</v>
      </c>
      <c r="O27" s="21" t="s">
        <v>218</v>
      </c>
      <c r="P27" s="22">
        <v>-276.35000000000002</v>
      </c>
      <c r="Q27" s="22">
        <v>-109.29</v>
      </c>
      <c r="R27" s="22">
        <v>-150.27000000000001</v>
      </c>
      <c r="S27" s="22">
        <v>0</v>
      </c>
      <c r="T27" s="22">
        <v>-100.85</v>
      </c>
      <c r="AC27" s="57" t="s">
        <v>270</v>
      </c>
      <c r="AD27" s="23">
        <f>AD25+AD26</f>
        <v>11908.909999999978</v>
      </c>
      <c r="AE27" s="23">
        <f t="shared" ref="AE27:AH27" si="31">AE25+AE26</f>
        <v>14969.399999999996</v>
      </c>
      <c r="AF27" s="23">
        <f t="shared" si="31"/>
        <v>16960.29</v>
      </c>
      <c r="AG27" s="23">
        <f t="shared" si="31"/>
        <v>17121.34999999998</v>
      </c>
      <c r="AH27" s="23">
        <f t="shared" si="31"/>
        <v>21332.250000000007</v>
      </c>
    </row>
    <row r="28" spans="1:34" x14ac:dyDescent="0.3">
      <c r="A28" s="26" t="s">
        <v>166</v>
      </c>
      <c r="B28" s="31">
        <v>1.26</v>
      </c>
      <c r="C28" s="31">
        <v>-6.13</v>
      </c>
      <c r="D28" s="31">
        <v>-10.73</v>
      </c>
      <c r="E28" s="31">
        <v>-5.9</v>
      </c>
      <c r="F28" s="31">
        <v>9.2899999999999991</v>
      </c>
      <c r="H28" s="30" t="s">
        <v>192</v>
      </c>
      <c r="I28" s="31">
        <v>0</v>
      </c>
      <c r="J28" s="31">
        <v>0</v>
      </c>
      <c r="K28" s="31">
        <v>0</v>
      </c>
      <c r="L28" s="31">
        <v>0</v>
      </c>
      <c r="M28" s="31">
        <v>0</v>
      </c>
      <c r="O28" s="21" t="s">
        <v>219</v>
      </c>
      <c r="P28" s="22">
        <f>-265+235</f>
        <v>-30</v>
      </c>
      <c r="Q28" s="22">
        <v>0</v>
      </c>
      <c r="R28" s="22">
        <v>0</v>
      </c>
      <c r="S28" s="22">
        <v>0</v>
      </c>
      <c r="T28" s="22">
        <v>139.53</v>
      </c>
    </row>
    <row r="29" spans="1:34" x14ac:dyDescent="0.3">
      <c r="A29" s="26" t="s">
        <v>173</v>
      </c>
      <c r="B29" s="31">
        <v>0</v>
      </c>
      <c r="C29" s="31">
        <v>0.49</v>
      </c>
      <c r="D29" s="31">
        <v>0.78</v>
      </c>
      <c r="E29" s="31">
        <v>0</v>
      </c>
      <c r="F29" s="31">
        <v>-2.33</v>
      </c>
      <c r="H29" s="24" t="s">
        <v>193</v>
      </c>
      <c r="I29" s="32">
        <f>I27+I28</f>
        <v>-16.11</v>
      </c>
      <c r="J29" s="32">
        <f t="shared" ref="J29:M29" si="32">J27+J28</f>
        <v>26.86</v>
      </c>
      <c r="K29" s="32">
        <f t="shared" si="32"/>
        <v>8.6</v>
      </c>
      <c r="L29" s="32">
        <f t="shared" si="32"/>
        <v>-41.53</v>
      </c>
      <c r="M29" s="32">
        <f t="shared" si="32"/>
        <v>173.8</v>
      </c>
      <c r="O29" s="5" t="s">
        <v>220</v>
      </c>
      <c r="P29" s="23">
        <f>P24+P26+P27+P28</f>
        <v>2368.1599999999994</v>
      </c>
      <c r="Q29" s="23">
        <f t="shared" ref="Q29:T29" si="33">Q24+Q26+Q27+Q28</f>
        <v>1986.73</v>
      </c>
      <c r="R29" s="23">
        <f t="shared" si="33"/>
        <v>3002.9999999999959</v>
      </c>
      <c r="S29" s="23">
        <f t="shared" si="33"/>
        <v>5456.9999999999982</v>
      </c>
      <c r="T29" s="23">
        <f t="shared" si="33"/>
        <v>5732.0200000000032</v>
      </c>
    </row>
    <row r="30" spans="1:34" x14ac:dyDescent="0.3">
      <c r="A30" s="26" t="s">
        <v>167</v>
      </c>
      <c r="B30" s="31">
        <v>-0.14000000000000001</v>
      </c>
      <c r="C30" s="31">
        <v>3.76</v>
      </c>
      <c r="D30" s="31">
        <v>26.94</v>
      </c>
      <c r="E30" s="31">
        <v>0</v>
      </c>
      <c r="F30" s="31">
        <v>0</v>
      </c>
      <c r="H30" s="24" t="s">
        <v>194</v>
      </c>
      <c r="I30" s="32">
        <f>I25+I29</f>
        <v>-4271.4799999999996</v>
      </c>
      <c r="J30" s="32">
        <f t="shared" ref="J30:M30" si="34">J25+J29</f>
        <v>453.94000000000005</v>
      </c>
      <c r="K30" s="32">
        <f t="shared" si="34"/>
        <v>-556.52999999999963</v>
      </c>
      <c r="L30" s="32">
        <f t="shared" si="34"/>
        <v>-402.88999999999965</v>
      </c>
      <c r="M30" s="32">
        <f t="shared" si="34"/>
        <v>-2068.38</v>
      </c>
      <c r="O30" s="154" t="s">
        <v>155</v>
      </c>
      <c r="P30" s="154"/>
      <c r="Q30" s="154"/>
      <c r="R30" s="154"/>
      <c r="S30" s="154"/>
      <c r="T30" s="154"/>
    </row>
    <row r="31" spans="1:34" ht="28.8" x14ac:dyDescent="0.3">
      <c r="A31" s="35" t="s">
        <v>168</v>
      </c>
      <c r="B31" s="32">
        <f>SUM(B28:B30)</f>
        <v>1.1200000000000001</v>
      </c>
      <c r="C31" s="32">
        <f t="shared" ref="C31:F31" si="35">SUM(C28:C30)</f>
        <v>-1.88</v>
      </c>
      <c r="D31" s="32">
        <f t="shared" si="35"/>
        <v>16.990000000000002</v>
      </c>
      <c r="E31" s="32">
        <f t="shared" si="35"/>
        <v>-5.9</v>
      </c>
      <c r="F31" s="32">
        <f t="shared" si="35"/>
        <v>6.9599999999999991</v>
      </c>
      <c r="H31" s="24" t="s">
        <v>195</v>
      </c>
      <c r="I31" s="32">
        <v>-194.89</v>
      </c>
      <c r="J31" s="32">
        <v>225.31</v>
      </c>
      <c r="K31" s="32">
        <v>49.38</v>
      </c>
      <c r="L31" s="32">
        <v>67.88</v>
      </c>
      <c r="M31" s="32">
        <v>0</v>
      </c>
      <c r="O31" s="21" t="s">
        <v>221</v>
      </c>
      <c r="P31" s="22">
        <v>494.3</v>
      </c>
      <c r="Q31" s="22">
        <v>647.57000000000005</v>
      </c>
      <c r="R31" s="22">
        <v>580.29999999999995</v>
      </c>
      <c r="S31" s="22">
        <v>804.33</v>
      </c>
      <c r="T31" s="22">
        <v>871.47</v>
      </c>
    </row>
    <row r="32" spans="1:34" x14ac:dyDescent="0.3">
      <c r="A32" s="178" t="s">
        <v>170</v>
      </c>
      <c r="B32" s="179"/>
      <c r="C32" s="179"/>
      <c r="D32" s="179"/>
      <c r="E32" s="179"/>
      <c r="F32" s="180"/>
      <c r="H32" s="24" t="s">
        <v>196</v>
      </c>
      <c r="I32" s="32">
        <f>I30-I31</f>
        <v>-4076.5899999999997</v>
      </c>
      <c r="J32" s="32">
        <f t="shared" ref="J32:M32" si="36">J30-J31</f>
        <v>228.63000000000005</v>
      </c>
      <c r="K32" s="32">
        <f t="shared" si="36"/>
        <v>-605.90999999999963</v>
      </c>
      <c r="L32" s="32">
        <f t="shared" si="36"/>
        <v>-470.76999999999964</v>
      </c>
      <c r="M32" s="32">
        <f t="shared" si="36"/>
        <v>-2068.38</v>
      </c>
      <c r="O32" s="21" t="s">
        <v>222</v>
      </c>
      <c r="P32" s="22">
        <v>330.95</v>
      </c>
      <c r="Q32" s="22">
        <v>0</v>
      </c>
      <c r="R32" s="22">
        <v>-105.11</v>
      </c>
      <c r="S32" s="22">
        <v>-52.37</v>
      </c>
      <c r="T32" s="22">
        <v>-62.68</v>
      </c>
    </row>
    <row r="33" spans="1:20" x14ac:dyDescent="0.3">
      <c r="A33" s="28" t="s">
        <v>171</v>
      </c>
      <c r="B33" s="34">
        <v>9.1999999999999993</v>
      </c>
      <c r="C33" s="34">
        <v>-28.52</v>
      </c>
      <c r="D33" s="34">
        <v>26.64</v>
      </c>
      <c r="E33" s="34">
        <v>39.64</v>
      </c>
      <c r="F33" s="34">
        <v>-46.04</v>
      </c>
      <c r="H33" s="169" t="s">
        <v>197</v>
      </c>
      <c r="I33" s="169"/>
      <c r="J33" s="169"/>
      <c r="K33" s="169"/>
      <c r="L33" s="169"/>
      <c r="M33" s="169"/>
      <c r="O33" s="21" t="s">
        <v>158</v>
      </c>
      <c r="P33" s="22">
        <v>-24.51</v>
      </c>
      <c r="Q33" s="22">
        <v>-145.69</v>
      </c>
      <c r="R33" s="22">
        <v>133.31</v>
      </c>
      <c r="S33" s="22">
        <v>1010.3</v>
      </c>
      <c r="T33" s="22">
        <v>725.85</v>
      </c>
    </row>
    <row r="34" spans="1:20" x14ac:dyDescent="0.3">
      <c r="A34" s="28" t="s">
        <v>167</v>
      </c>
      <c r="B34" s="34">
        <v>0</v>
      </c>
      <c r="C34" s="34">
        <v>0</v>
      </c>
      <c r="D34" s="34"/>
      <c r="E34" s="34"/>
      <c r="F34" s="34">
        <v>11.59</v>
      </c>
      <c r="H34" s="169" t="s">
        <v>170</v>
      </c>
      <c r="I34" s="169"/>
      <c r="J34" s="169"/>
      <c r="K34" s="169"/>
      <c r="L34" s="169"/>
      <c r="M34" s="169"/>
      <c r="O34" s="21" t="s">
        <v>223</v>
      </c>
      <c r="P34" s="22">
        <v>-159.25</v>
      </c>
      <c r="Q34" s="22">
        <v>0</v>
      </c>
      <c r="R34" s="22">
        <f>-588.56+359.62</f>
        <v>-228.93999999999994</v>
      </c>
      <c r="S34" s="22">
        <v>-114.93</v>
      </c>
      <c r="T34" s="22">
        <v>-82.72</v>
      </c>
    </row>
    <row r="35" spans="1:20" ht="28.8" x14ac:dyDescent="0.3">
      <c r="A35" s="36" t="s">
        <v>168</v>
      </c>
      <c r="B35" s="32">
        <f>B33+B34</f>
        <v>9.1999999999999993</v>
      </c>
      <c r="C35" s="32">
        <f t="shared" ref="C35:F35" si="37">C33+C34</f>
        <v>-28.52</v>
      </c>
      <c r="D35" s="32">
        <f t="shared" si="37"/>
        <v>26.64</v>
      </c>
      <c r="E35" s="32">
        <f t="shared" si="37"/>
        <v>39.64</v>
      </c>
      <c r="F35" s="32">
        <f t="shared" si="37"/>
        <v>-34.450000000000003</v>
      </c>
      <c r="H35" s="30" t="s">
        <v>198</v>
      </c>
      <c r="I35" s="31">
        <v>-2.81</v>
      </c>
      <c r="J35" s="31">
        <v>4.4400000000000004</v>
      </c>
      <c r="K35" s="31">
        <v>-0.99</v>
      </c>
      <c r="L35" s="31">
        <v>-16.14</v>
      </c>
      <c r="M35" s="31">
        <v>-1</v>
      </c>
      <c r="O35" s="5" t="s">
        <v>159</v>
      </c>
      <c r="P35" s="23">
        <f>P31+P33+P32+P34</f>
        <v>641.49</v>
      </c>
      <c r="Q35" s="23">
        <f t="shared" ref="Q35:T35" si="38">Q31+Q33+Q32+Q34</f>
        <v>501.88000000000005</v>
      </c>
      <c r="R35" s="23">
        <f t="shared" si="38"/>
        <v>379.55999999999995</v>
      </c>
      <c r="S35" s="23">
        <f t="shared" si="38"/>
        <v>1647.3300000000002</v>
      </c>
      <c r="T35" s="23">
        <f t="shared" si="38"/>
        <v>1451.92</v>
      </c>
    </row>
    <row r="36" spans="1:20" x14ac:dyDescent="0.3">
      <c r="A36" s="27" t="s">
        <v>172</v>
      </c>
      <c r="B36" s="32">
        <f>B31+B35</f>
        <v>10.32</v>
      </c>
      <c r="C36" s="32">
        <f t="shared" ref="C36:F36" si="39">C31+C35</f>
        <v>-30.4</v>
      </c>
      <c r="D36" s="32">
        <f t="shared" si="39"/>
        <v>43.63</v>
      </c>
      <c r="E36" s="32">
        <f t="shared" si="39"/>
        <v>33.74</v>
      </c>
      <c r="F36" s="32">
        <f t="shared" si="39"/>
        <v>-27.490000000000002</v>
      </c>
      <c r="H36" s="30" t="s">
        <v>199</v>
      </c>
      <c r="I36" s="31">
        <v>29.13</v>
      </c>
      <c r="J36" s="31">
        <v>-3.34</v>
      </c>
      <c r="K36" s="31">
        <v>1.97</v>
      </c>
      <c r="L36" s="31">
        <v>-19.79</v>
      </c>
      <c r="M36" s="31">
        <v>4.16</v>
      </c>
      <c r="O36" s="5" t="s">
        <v>224</v>
      </c>
      <c r="P36" s="23">
        <f>P29-P35</f>
        <v>1726.6699999999994</v>
      </c>
      <c r="Q36" s="23">
        <f t="shared" ref="Q36:T36" si="40">Q29-Q35</f>
        <v>1484.85</v>
      </c>
      <c r="R36" s="23">
        <f t="shared" si="40"/>
        <v>2623.439999999996</v>
      </c>
      <c r="S36" s="23">
        <f t="shared" si="40"/>
        <v>3809.6699999999983</v>
      </c>
      <c r="T36" s="23">
        <f t="shared" si="40"/>
        <v>4280.1000000000031</v>
      </c>
    </row>
    <row r="37" spans="1:20" x14ac:dyDescent="0.3">
      <c r="A37" s="39" t="s">
        <v>169</v>
      </c>
      <c r="B37" s="40">
        <f>B25+B36</f>
        <v>-2264.4499999999962</v>
      </c>
      <c r="C37" s="40">
        <f t="shared" ref="C37:F37" si="41">C25+C36</f>
        <v>1239.5800000000015</v>
      </c>
      <c r="D37" s="40">
        <f t="shared" si="41"/>
        <v>4955.2100000000046</v>
      </c>
      <c r="E37" s="40">
        <f t="shared" si="41"/>
        <v>10760.380000000003</v>
      </c>
      <c r="F37" s="40">
        <f t="shared" si="41"/>
        <v>20801.299999999992</v>
      </c>
      <c r="H37" s="24" t="s">
        <v>200</v>
      </c>
      <c r="I37" s="32">
        <f>I35+I36</f>
        <v>26.32</v>
      </c>
      <c r="J37" s="32">
        <f t="shared" ref="J37:M37" si="42">J35+J36</f>
        <v>1.1000000000000005</v>
      </c>
      <c r="K37" s="32">
        <f t="shared" si="42"/>
        <v>0.98</v>
      </c>
      <c r="L37" s="32">
        <f t="shared" si="42"/>
        <v>-35.93</v>
      </c>
      <c r="M37" s="32">
        <f t="shared" si="42"/>
        <v>3.16</v>
      </c>
      <c r="O37" s="5" t="s">
        <v>191</v>
      </c>
      <c r="P37" s="23">
        <v>-81.64</v>
      </c>
      <c r="Q37" s="23">
        <v>-59.85</v>
      </c>
      <c r="R37" s="23">
        <v>0</v>
      </c>
      <c r="S37" s="23">
        <v>0</v>
      </c>
      <c r="T37" s="23"/>
    </row>
    <row r="38" spans="1:20" ht="28.8" x14ac:dyDescent="0.3">
      <c r="A38" s="44"/>
      <c r="B38" s="44"/>
      <c r="C38" s="44"/>
      <c r="D38" s="44"/>
      <c r="E38" s="44"/>
      <c r="F38" s="44"/>
      <c r="H38" s="24" t="s">
        <v>201</v>
      </c>
      <c r="I38" s="32">
        <f>I32+I37</f>
        <v>-4050.2699999999995</v>
      </c>
      <c r="J38" s="32">
        <f t="shared" ref="J38:M38" si="43">J32+J37</f>
        <v>229.73000000000005</v>
      </c>
      <c r="K38" s="32">
        <f t="shared" si="43"/>
        <v>-604.92999999999961</v>
      </c>
      <c r="L38" s="32">
        <f t="shared" si="43"/>
        <v>-506.69999999999965</v>
      </c>
      <c r="M38" s="32">
        <f t="shared" si="43"/>
        <v>-2065.2200000000003</v>
      </c>
      <c r="O38" s="9" t="s">
        <v>225</v>
      </c>
      <c r="P38" s="22">
        <v>-361</v>
      </c>
      <c r="Q38" s="22">
        <v>-160</v>
      </c>
      <c r="R38" s="22">
        <v>-467.83</v>
      </c>
      <c r="S38" s="22">
        <v>0</v>
      </c>
      <c r="T38" s="22">
        <v>0</v>
      </c>
    </row>
    <row r="39" spans="1:20" x14ac:dyDescent="0.3">
      <c r="B39" s="41"/>
      <c r="C39" s="41"/>
      <c r="D39" s="41"/>
      <c r="E39" s="41"/>
      <c r="F39" s="41"/>
      <c r="O39" s="154" t="s">
        <v>226</v>
      </c>
      <c r="P39" s="154"/>
      <c r="Q39" s="154"/>
      <c r="R39" s="154"/>
      <c r="S39" s="154"/>
      <c r="T39" s="154"/>
    </row>
    <row r="40" spans="1:20" x14ac:dyDescent="0.3">
      <c r="B40" s="41"/>
      <c r="C40" s="41"/>
      <c r="D40" s="41"/>
      <c r="E40" s="41"/>
      <c r="F40" s="41"/>
      <c r="O40" s="21" t="s">
        <v>156</v>
      </c>
      <c r="P40" s="22">
        <v>0</v>
      </c>
      <c r="Q40" s="22">
        <v>-101.48</v>
      </c>
      <c r="R40" s="22">
        <v>0</v>
      </c>
      <c r="S40" s="22">
        <v>0</v>
      </c>
      <c r="T40" s="22">
        <v>0</v>
      </c>
    </row>
    <row r="41" spans="1:20" x14ac:dyDescent="0.3">
      <c r="A41" s="2"/>
      <c r="B41" s="2"/>
      <c r="C41" s="2"/>
      <c r="D41" s="2"/>
      <c r="E41" s="2"/>
      <c r="F41" s="2"/>
      <c r="O41" s="21" t="s">
        <v>158</v>
      </c>
      <c r="P41" s="22">
        <v>-32.409999999999997</v>
      </c>
      <c r="Q41" s="22">
        <v>-72.17</v>
      </c>
      <c r="R41" s="22">
        <v>0</v>
      </c>
      <c r="S41" s="22">
        <v>0</v>
      </c>
      <c r="T41" s="22">
        <v>0</v>
      </c>
    </row>
    <row r="42" spans="1:20" x14ac:dyDescent="0.3">
      <c r="B42" s="41"/>
      <c r="C42" s="41"/>
      <c r="D42" s="41"/>
      <c r="E42" s="41"/>
      <c r="F42" s="41"/>
      <c r="O42" s="5" t="s">
        <v>226</v>
      </c>
      <c r="P42" s="23">
        <f>P40+P41</f>
        <v>-32.409999999999997</v>
      </c>
      <c r="Q42" s="23">
        <f t="shared" ref="Q42:T42" si="44">Q40+Q41</f>
        <v>-173.65</v>
      </c>
      <c r="R42" s="23">
        <f t="shared" si="44"/>
        <v>0</v>
      </c>
      <c r="S42" s="23">
        <f t="shared" si="44"/>
        <v>0</v>
      </c>
      <c r="T42" s="23">
        <f t="shared" si="44"/>
        <v>0</v>
      </c>
    </row>
    <row r="43" spans="1:20" x14ac:dyDescent="0.3">
      <c r="B43" s="41"/>
      <c r="C43" s="41"/>
      <c r="D43" s="41"/>
      <c r="E43" s="41"/>
      <c r="F43" s="41"/>
      <c r="O43" s="5" t="s">
        <v>227</v>
      </c>
      <c r="P43" s="23">
        <f>P37+P38-P42</f>
        <v>-410.23</v>
      </c>
      <c r="Q43" s="23">
        <f t="shared" ref="Q43:T43" si="45">Q37+Q38-Q42</f>
        <v>-46.199999999999989</v>
      </c>
      <c r="R43" s="23">
        <f t="shared" si="45"/>
        <v>-467.83</v>
      </c>
      <c r="S43" s="23">
        <f t="shared" si="45"/>
        <v>0</v>
      </c>
      <c r="T43" s="23">
        <f t="shared" si="45"/>
        <v>0</v>
      </c>
    </row>
    <row r="44" spans="1:20" x14ac:dyDescent="0.3">
      <c r="A44" s="2"/>
      <c r="B44" s="2"/>
      <c r="C44" s="2"/>
      <c r="D44" s="2"/>
      <c r="E44" s="2"/>
      <c r="F44" s="2"/>
      <c r="O44" s="5" t="s">
        <v>228</v>
      </c>
      <c r="P44" s="23">
        <f>P36+P43</f>
        <v>1316.4399999999994</v>
      </c>
      <c r="Q44" s="23">
        <f t="shared" ref="Q44:T44" si="46">Q36+Q43</f>
        <v>1438.6499999999999</v>
      </c>
      <c r="R44" s="23">
        <f t="shared" si="46"/>
        <v>2155.609999999996</v>
      </c>
      <c r="S44" s="23">
        <f t="shared" si="46"/>
        <v>3809.6699999999983</v>
      </c>
      <c r="T44" s="23">
        <f t="shared" si="46"/>
        <v>4280.1000000000031</v>
      </c>
    </row>
    <row r="45" spans="1:20" x14ac:dyDescent="0.3">
      <c r="B45" s="41"/>
      <c r="C45" s="41"/>
      <c r="D45" s="41"/>
      <c r="E45" s="41"/>
      <c r="F45" s="41"/>
    </row>
    <row r="46" spans="1:20" x14ac:dyDescent="0.3">
      <c r="B46" s="41"/>
      <c r="C46" s="41"/>
      <c r="D46" s="41"/>
      <c r="E46" s="41"/>
      <c r="F46" s="41"/>
    </row>
    <row r="47" spans="1:20" x14ac:dyDescent="0.3">
      <c r="A47" s="42"/>
      <c r="B47" s="43"/>
      <c r="C47" s="43"/>
      <c r="D47" s="43"/>
      <c r="E47" s="43"/>
      <c r="F47" s="43"/>
    </row>
    <row r="48" spans="1:20" x14ac:dyDescent="0.3">
      <c r="A48" s="42"/>
      <c r="B48" s="43"/>
      <c r="C48" s="43"/>
      <c r="D48" s="43"/>
      <c r="E48" s="43"/>
      <c r="F48" s="43"/>
    </row>
  </sheetData>
  <mergeCells count="28">
    <mergeCell ref="H20:M20"/>
    <mergeCell ref="H26:M26"/>
    <mergeCell ref="H33:M33"/>
    <mergeCell ref="H34:M34"/>
    <mergeCell ref="A32:F32"/>
    <mergeCell ref="A27:F27"/>
    <mergeCell ref="A26:F26"/>
    <mergeCell ref="A1:E1"/>
    <mergeCell ref="H1:L1"/>
    <mergeCell ref="O1:S1"/>
    <mergeCell ref="A3:F3"/>
    <mergeCell ref="A7:F7"/>
    <mergeCell ref="A19:F19"/>
    <mergeCell ref="H3:M3"/>
    <mergeCell ref="H7:M7"/>
    <mergeCell ref="H15:M15"/>
    <mergeCell ref="O6:T6"/>
    <mergeCell ref="O30:T30"/>
    <mergeCell ref="O25:T25"/>
    <mergeCell ref="O39:T39"/>
    <mergeCell ref="V1:Z1"/>
    <mergeCell ref="AC1:AG1"/>
    <mergeCell ref="V3:AA3"/>
    <mergeCell ref="V7:AA7"/>
    <mergeCell ref="V20:AA20"/>
    <mergeCell ref="AC3:AH3"/>
    <mergeCell ref="AC7:AH7"/>
    <mergeCell ref="AC20:AH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C688-ED5B-4013-9E7C-7A0B58670E64}">
  <dimension ref="A1:AH86"/>
  <sheetViews>
    <sheetView topLeftCell="A42" workbookViewId="0">
      <selection activeCell="O9" sqref="O9"/>
    </sheetView>
  </sheetViews>
  <sheetFormatPr defaultRowHeight="14.4" x14ac:dyDescent="0.3"/>
  <cols>
    <col min="1" max="1" width="56.6640625" style="38" bestFit="1" customWidth="1"/>
    <col min="2" max="6" width="10.5546875" style="38" bestFit="1" customWidth="1"/>
    <col min="7" max="7" width="8.88671875" style="38"/>
    <col min="8" max="8" width="61.77734375" style="38" bestFit="1" customWidth="1"/>
    <col min="9" max="12" width="9.88671875" style="38" bestFit="1" customWidth="1"/>
    <col min="13" max="13" width="10" style="38" bestFit="1" customWidth="1"/>
    <col min="15" max="15" width="59" style="38" bestFit="1" customWidth="1"/>
    <col min="16" max="17" width="9.88671875" style="38" bestFit="1" customWidth="1"/>
    <col min="18" max="20" width="11" style="38" bestFit="1" customWidth="1"/>
    <col min="21" max="21" width="9.5546875" bestFit="1" customWidth="1"/>
    <col min="22" max="22" width="57.77734375" style="38" bestFit="1" customWidth="1"/>
    <col min="23" max="24" width="9.88671875" style="38" bestFit="1" customWidth="1"/>
    <col min="25" max="27" width="11" style="38" bestFit="1" customWidth="1"/>
    <col min="29" max="29" width="61.77734375" style="38" bestFit="1" customWidth="1"/>
    <col min="30" max="31" width="10.88671875" style="38" bestFit="1" customWidth="1"/>
    <col min="32" max="34" width="11" style="38" bestFit="1" customWidth="1"/>
  </cols>
  <sheetData>
    <row r="1" spans="1:34" ht="55.8" customHeight="1" x14ac:dyDescent="0.3">
      <c r="A1" s="160" t="s">
        <v>281</v>
      </c>
      <c r="B1" s="160"/>
      <c r="C1" s="160"/>
      <c r="D1" s="160"/>
      <c r="E1" s="160"/>
      <c r="F1" s="60" t="e" vm="1">
        <v>#VALUE!</v>
      </c>
      <c r="H1" s="160" t="s">
        <v>282</v>
      </c>
      <c r="I1" s="160"/>
      <c r="J1" s="160"/>
      <c r="K1" s="160"/>
      <c r="L1" s="160"/>
      <c r="M1" s="61" t="e" vm="2">
        <v>#VALUE!</v>
      </c>
      <c r="O1" s="185" t="s">
        <v>283</v>
      </c>
      <c r="P1" s="185"/>
      <c r="Q1" s="185"/>
      <c r="R1" s="185"/>
      <c r="S1" s="185"/>
      <c r="T1" s="47" t="e" vm="12">
        <v>#VALUE!</v>
      </c>
      <c r="V1" s="185" t="s">
        <v>284</v>
      </c>
      <c r="W1" s="185"/>
      <c r="X1" s="185"/>
      <c r="Y1" s="185"/>
      <c r="Z1" s="185"/>
      <c r="AA1" s="47" t="e" vm="4">
        <v>#VALUE!</v>
      </c>
      <c r="AC1" s="160" t="s">
        <v>285</v>
      </c>
      <c r="AD1" s="160"/>
      <c r="AE1" s="160"/>
      <c r="AF1" s="160"/>
      <c r="AG1" s="160"/>
      <c r="AH1" s="50" t="e" vm="5">
        <v>#VALUE!</v>
      </c>
    </row>
    <row r="2" spans="1:34" x14ac:dyDescent="0.3">
      <c r="A2" s="23" t="s">
        <v>20</v>
      </c>
      <c r="B2" s="62" t="s">
        <v>21</v>
      </c>
      <c r="C2" s="62" t="s">
        <v>22</v>
      </c>
      <c r="D2" s="62" t="s">
        <v>23</v>
      </c>
      <c r="E2" s="62" t="s">
        <v>24</v>
      </c>
      <c r="F2" s="62" t="s">
        <v>25</v>
      </c>
      <c r="H2" s="23" t="s">
        <v>20</v>
      </c>
      <c r="I2" s="62" t="s">
        <v>21</v>
      </c>
      <c r="J2" s="62" t="s">
        <v>22</v>
      </c>
      <c r="K2" s="62" t="s">
        <v>23</v>
      </c>
      <c r="L2" s="62" t="s">
        <v>24</v>
      </c>
      <c r="M2" s="62" t="s">
        <v>25</v>
      </c>
      <c r="O2" s="23" t="s">
        <v>20</v>
      </c>
      <c r="P2" s="23" t="s">
        <v>21</v>
      </c>
      <c r="Q2" s="23" t="s">
        <v>22</v>
      </c>
      <c r="R2" s="23" t="s">
        <v>23</v>
      </c>
      <c r="S2" s="23" t="s">
        <v>24</v>
      </c>
      <c r="T2" s="23" t="s">
        <v>25</v>
      </c>
      <c r="V2" s="23" t="s">
        <v>20</v>
      </c>
      <c r="W2" s="23" t="s">
        <v>21</v>
      </c>
      <c r="X2" s="23" t="s">
        <v>22</v>
      </c>
      <c r="Y2" s="23" t="s">
        <v>23</v>
      </c>
      <c r="Z2" s="23" t="s">
        <v>24</v>
      </c>
      <c r="AA2" s="23" t="s">
        <v>25</v>
      </c>
      <c r="AC2" s="57" t="s">
        <v>20</v>
      </c>
      <c r="AD2" s="23" t="s">
        <v>21</v>
      </c>
      <c r="AE2" s="23" t="s">
        <v>22</v>
      </c>
      <c r="AF2" s="23" t="s">
        <v>23</v>
      </c>
      <c r="AG2" s="23" t="s">
        <v>24</v>
      </c>
      <c r="AH2" s="23" t="s">
        <v>25</v>
      </c>
    </row>
    <row r="3" spans="1:34" x14ac:dyDescent="0.3">
      <c r="A3" s="159" t="s">
        <v>286</v>
      </c>
      <c r="B3" s="159"/>
      <c r="C3" s="159"/>
      <c r="D3" s="159"/>
      <c r="E3" s="159"/>
      <c r="F3" s="159"/>
      <c r="H3" s="159" t="s">
        <v>286</v>
      </c>
      <c r="I3" s="159"/>
      <c r="J3" s="159"/>
      <c r="K3" s="159"/>
      <c r="L3" s="159"/>
      <c r="M3" s="159"/>
      <c r="O3" s="159" t="s">
        <v>379</v>
      </c>
      <c r="P3" s="159"/>
      <c r="Q3" s="159"/>
      <c r="R3" s="159"/>
      <c r="S3" s="159"/>
      <c r="T3" s="159"/>
      <c r="V3" s="159" t="s">
        <v>443</v>
      </c>
      <c r="W3" s="159"/>
      <c r="X3" s="159"/>
      <c r="Y3" s="159"/>
      <c r="Z3" s="159"/>
      <c r="AA3" s="159"/>
      <c r="AC3" s="159" t="s">
        <v>492</v>
      </c>
      <c r="AD3" s="159"/>
      <c r="AE3" s="159"/>
      <c r="AF3" s="159"/>
      <c r="AG3" s="159"/>
      <c r="AH3" s="159"/>
    </row>
    <row r="4" spans="1:34" x14ac:dyDescent="0.3">
      <c r="A4" s="23" t="s">
        <v>185</v>
      </c>
      <c r="B4" s="23">
        <v>-2264.92</v>
      </c>
      <c r="C4" s="23">
        <v>2288.7399999999998</v>
      </c>
      <c r="D4" s="23">
        <v>6577.13</v>
      </c>
      <c r="E4" s="23">
        <v>7674.7</v>
      </c>
      <c r="F4" s="23">
        <v>20791.509999999998</v>
      </c>
      <c r="H4" s="22" t="s">
        <v>185</v>
      </c>
      <c r="I4" s="22">
        <v>-4231.54</v>
      </c>
      <c r="J4" s="22">
        <v>412.17</v>
      </c>
      <c r="K4" s="22">
        <v>-879.49</v>
      </c>
      <c r="L4" s="22">
        <v>-297.45</v>
      </c>
      <c r="M4" s="22">
        <v>-2028.15</v>
      </c>
      <c r="O4" s="23" t="s">
        <v>220</v>
      </c>
      <c r="P4" s="23">
        <f>2368.16-442.64</f>
        <v>1925.52</v>
      </c>
      <c r="Q4" s="23">
        <f>1986.73-219.85</f>
        <v>1766.88</v>
      </c>
      <c r="R4" s="23">
        <f>3003-467.83</f>
        <v>2535.17</v>
      </c>
      <c r="S4" s="23">
        <v>5457</v>
      </c>
      <c r="T4" s="23">
        <v>5732.02</v>
      </c>
      <c r="V4" s="23" t="s">
        <v>268</v>
      </c>
      <c r="W4" s="23">
        <v>1114.22</v>
      </c>
      <c r="X4" s="23">
        <v>1098.5899999999999</v>
      </c>
      <c r="Y4" s="23">
        <v>2238.27</v>
      </c>
      <c r="Z4" s="23">
        <v>1942.84</v>
      </c>
      <c r="AA4" s="23">
        <v>2166.91</v>
      </c>
      <c r="AC4" s="22" t="s">
        <v>493</v>
      </c>
      <c r="AD4" s="22">
        <v>16377.51</v>
      </c>
      <c r="AE4" s="22">
        <v>16998.93</v>
      </c>
      <c r="AF4" s="22">
        <v>20520.91</v>
      </c>
      <c r="AG4" s="22">
        <v>24330.59</v>
      </c>
      <c r="AH4" s="22">
        <v>27141.45</v>
      </c>
    </row>
    <row r="5" spans="1:34" x14ac:dyDescent="0.3">
      <c r="A5" s="184" t="s">
        <v>287</v>
      </c>
      <c r="B5" s="184"/>
      <c r="C5" s="184"/>
      <c r="D5" s="184"/>
      <c r="E5" s="184"/>
      <c r="F5" s="184"/>
      <c r="H5" s="181" t="s">
        <v>337</v>
      </c>
      <c r="I5" s="182"/>
      <c r="J5" s="182"/>
      <c r="K5" s="182"/>
      <c r="L5" s="182"/>
      <c r="M5" s="183"/>
      <c r="O5" s="159" t="s">
        <v>380</v>
      </c>
      <c r="P5" s="159"/>
      <c r="Q5" s="159"/>
      <c r="R5" s="159"/>
      <c r="S5" s="159"/>
      <c r="T5" s="159"/>
      <c r="V5" s="184" t="s">
        <v>337</v>
      </c>
      <c r="W5" s="184"/>
      <c r="X5" s="184"/>
      <c r="Y5" s="184"/>
      <c r="Z5" s="184"/>
      <c r="AA5" s="184"/>
      <c r="AC5" s="22" t="s">
        <v>494</v>
      </c>
      <c r="AD5" s="22">
        <v>4872.01</v>
      </c>
      <c r="AE5" s="22">
        <v>1903.19</v>
      </c>
      <c r="AF5" s="22">
        <v>1486.48</v>
      </c>
      <c r="AG5" s="22">
        <v>-413.12</v>
      </c>
      <c r="AH5" s="22">
        <v>1000.2</v>
      </c>
    </row>
    <row r="6" spans="1:34" x14ac:dyDescent="0.3">
      <c r="A6" s="22" t="s">
        <v>288</v>
      </c>
      <c r="B6" s="22">
        <v>3006.5</v>
      </c>
      <c r="C6" s="22">
        <v>3201.65</v>
      </c>
      <c r="D6" s="22">
        <v>3117.54</v>
      </c>
      <c r="E6" s="22">
        <v>3303.68</v>
      </c>
      <c r="F6" s="22">
        <v>3931.33</v>
      </c>
      <c r="H6" s="22" t="s">
        <v>338</v>
      </c>
      <c r="I6" s="22">
        <v>-4.9400000000000004</v>
      </c>
      <c r="J6" s="22">
        <v>-1.08</v>
      </c>
      <c r="K6" s="22">
        <v>-1.03</v>
      </c>
      <c r="L6" s="22">
        <v>-1.79</v>
      </c>
      <c r="M6" s="22">
        <v>-2.46</v>
      </c>
      <c r="O6" s="22" t="s">
        <v>177</v>
      </c>
      <c r="P6" s="22">
        <v>2633.56</v>
      </c>
      <c r="Q6" s="22">
        <v>2744.94</v>
      </c>
      <c r="R6" s="22">
        <v>3122.2</v>
      </c>
      <c r="S6" s="22">
        <v>3439.2</v>
      </c>
      <c r="T6" s="22">
        <v>3786.37</v>
      </c>
      <c r="V6" s="22" t="s">
        <v>177</v>
      </c>
      <c r="W6" s="22">
        <v>1168.05</v>
      </c>
      <c r="X6" s="22">
        <v>1166.94</v>
      </c>
      <c r="Y6" s="22">
        <v>1131.05</v>
      </c>
      <c r="Z6" s="22">
        <v>1169.23</v>
      </c>
      <c r="AA6" s="22">
        <v>1633.41</v>
      </c>
      <c r="AC6" s="22" t="s">
        <v>495</v>
      </c>
      <c r="AD6" s="22">
        <v>1032.07</v>
      </c>
      <c r="AE6" s="22">
        <v>387.5</v>
      </c>
      <c r="AF6" s="22">
        <v>303.99</v>
      </c>
      <c r="AG6" s="22">
        <v>-92.68</v>
      </c>
      <c r="AH6" s="22">
        <v>214.19</v>
      </c>
    </row>
    <row r="7" spans="1:34" ht="28.8" x14ac:dyDescent="0.3">
      <c r="A7" s="22" t="s">
        <v>289</v>
      </c>
      <c r="B7" s="22">
        <v>84.1</v>
      </c>
      <c r="C7" s="22">
        <v>-336.75</v>
      </c>
      <c r="D7" s="22">
        <v>61.55</v>
      </c>
      <c r="E7" s="22">
        <v>101.61</v>
      </c>
      <c r="F7" s="22">
        <v>-2.4900000000000002</v>
      </c>
      <c r="H7" s="22" t="s">
        <v>339</v>
      </c>
      <c r="I7" s="22">
        <v>984.06</v>
      </c>
      <c r="J7" s="22">
        <v>1293.07</v>
      </c>
      <c r="K7" s="22">
        <v>1275.05</v>
      </c>
      <c r="L7" s="22">
        <v>1243.79</v>
      </c>
      <c r="M7" s="22">
        <v>1256.75</v>
      </c>
      <c r="O7" s="22" t="s">
        <v>381</v>
      </c>
      <c r="P7" s="22">
        <v>17</v>
      </c>
      <c r="Q7" s="22">
        <v>11</v>
      </c>
      <c r="R7" s="22">
        <v>12.57</v>
      </c>
      <c r="S7" s="22">
        <v>13.68</v>
      </c>
      <c r="T7" s="22">
        <v>15.8</v>
      </c>
      <c r="V7" s="22" t="s">
        <v>176</v>
      </c>
      <c r="W7" s="22">
        <v>1051.07</v>
      </c>
      <c r="X7" s="22">
        <v>895.65</v>
      </c>
      <c r="Y7" s="22">
        <v>776.91</v>
      </c>
      <c r="Z7" s="22">
        <v>844.3</v>
      </c>
      <c r="AA7" s="22">
        <v>2053.4</v>
      </c>
      <c r="AC7" s="57" t="s">
        <v>496</v>
      </c>
      <c r="AD7" s="23">
        <f>AD4+AD5+AD6</f>
        <v>22281.59</v>
      </c>
      <c r="AE7" s="23">
        <f t="shared" ref="AE7:AH7" si="0">AE4+AE5+AE6</f>
        <v>19289.62</v>
      </c>
      <c r="AF7" s="23">
        <f t="shared" si="0"/>
        <v>22311.38</v>
      </c>
      <c r="AG7" s="23">
        <f t="shared" si="0"/>
        <v>23824.79</v>
      </c>
      <c r="AH7" s="23">
        <f t="shared" si="0"/>
        <v>28355.84</v>
      </c>
    </row>
    <row r="8" spans="1:34" x14ac:dyDescent="0.3">
      <c r="A8" s="22" t="s">
        <v>290</v>
      </c>
      <c r="B8" s="22">
        <v>-4.09</v>
      </c>
      <c r="C8" s="22">
        <v>-0.02</v>
      </c>
      <c r="D8" s="22">
        <v>-0.83</v>
      </c>
      <c r="E8" s="22">
        <v>-13.1</v>
      </c>
      <c r="F8" s="22">
        <v>-42.92</v>
      </c>
      <c r="H8" s="22" t="s">
        <v>340</v>
      </c>
      <c r="I8" s="22">
        <v>3053.97</v>
      </c>
      <c r="J8" s="22">
        <v>2538.59</v>
      </c>
      <c r="K8" s="22">
        <v>2707.17</v>
      </c>
      <c r="L8" s="22">
        <v>2526.61</v>
      </c>
      <c r="M8" s="22">
        <v>2451.29</v>
      </c>
      <c r="O8" s="22" t="s">
        <v>217</v>
      </c>
      <c r="P8" s="22">
        <v>-235</v>
      </c>
      <c r="Q8" s="22">
        <v>-67.760000000000005</v>
      </c>
      <c r="R8" s="22">
        <v>467.83</v>
      </c>
      <c r="S8" s="22">
        <v>0</v>
      </c>
      <c r="T8" s="22">
        <v>-234.68</v>
      </c>
      <c r="V8" s="22" t="s">
        <v>444</v>
      </c>
      <c r="W8" s="22">
        <v>-184.12</v>
      </c>
      <c r="X8" s="22">
        <v>-105.56</v>
      </c>
      <c r="Y8" s="22">
        <v>-351.22</v>
      </c>
      <c r="Z8" s="22">
        <v>-144.97999999999999</v>
      </c>
      <c r="AA8" s="22">
        <v>-223.12</v>
      </c>
      <c r="AC8" s="159" t="s">
        <v>380</v>
      </c>
      <c r="AD8" s="159"/>
      <c r="AE8" s="159"/>
      <c r="AF8" s="159"/>
      <c r="AG8" s="159"/>
      <c r="AH8" s="159"/>
    </row>
    <row r="9" spans="1:34" ht="28.8" x14ac:dyDescent="0.3">
      <c r="A9" s="59" t="s">
        <v>291</v>
      </c>
      <c r="B9" s="22">
        <v>48.34</v>
      </c>
      <c r="C9" s="22">
        <v>19.64</v>
      </c>
      <c r="D9" s="22">
        <v>67.25</v>
      </c>
      <c r="E9" s="22">
        <v>85.65</v>
      </c>
      <c r="F9" s="22">
        <v>78.349999999999994</v>
      </c>
      <c r="H9" s="22" t="s">
        <v>341</v>
      </c>
      <c r="I9" s="22">
        <v>3.98</v>
      </c>
      <c r="J9" s="22">
        <v>0</v>
      </c>
      <c r="K9" s="22">
        <v>0</v>
      </c>
      <c r="L9" s="22"/>
      <c r="M9" s="22">
        <v>-167.7</v>
      </c>
      <c r="O9" s="22" t="s">
        <v>176</v>
      </c>
      <c r="P9" s="22">
        <v>361</v>
      </c>
      <c r="Q9" s="22">
        <v>160</v>
      </c>
      <c r="R9" s="22">
        <v>41.09</v>
      </c>
      <c r="S9" s="22">
        <v>29.97</v>
      </c>
      <c r="T9" s="22">
        <v>0</v>
      </c>
      <c r="V9" s="22" t="s">
        <v>445</v>
      </c>
      <c r="W9" s="22">
        <v>-1.71</v>
      </c>
      <c r="X9" s="22">
        <v>0</v>
      </c>
      <c r="Y9" s="22">
        <v>-45.52</v>
      </c>
      <c r="Z9" s="22">
        <v>-121.52</v>
      </c>
      <c r="AA9" s="22">
        <v>-23.81</v>
      </c>
      <c r="AC9" s="22" t="s">
        <v>497</v>
      </c>
      <c r="AD9" s="22">
        <v>10356.16</v>
      </c>
      <c r="AE9" s="22">
        <v>12450.31</v>
      </c>
      <c r="AF9" s="22">
        <v>13787.83</v>
      </c>
      <c r="AG9" s="22">
        <v>14792.27</v>
      </c>
      <c r="AH9" s="22">
        <v>16203.63</v>
      </c>
    </row>
    <row r="10" spans="1:34" x14ac:dyDescent="0.3">
      <c r="A10" s="22" t="s">
        <v>292</v>
      </c>
      <c r="B10" s="22">
        <v>-304.06</v>
      </c>
      <c r="C10" s="22">
        <v>-304.06</v>
      </c>
      <c r="D10" s="22">
        <v>-304.06</v>
      </c>
      <c r="E10" s="22">
        <v>-304.06</v>
      </c>
      <c r="F10" s="22">
        <v>-391.67</v>
      </c>
      <c r="H10" s="22" t="s">
        <v>295</v>
      </c>
      <c r="I10" s="22">
        <v>-92.29</v>
      </c>
      <c r="J10" s="22">
        <v>-46.46</v>
      </c>
      <c r="K10" s="22">
        <v>-53.36</v>
      </c>
      <c r="L10" s="22">
        <v>-57.65</v>
      </c>
      <c r="M10" s="22">
        <v>-53.81</v>
      </c>
      <c r="O10" s="22" t="s">
        <v>382</v>
      </c>
      <c r="P10" s="22">
        <v>24.99</v>
      </c>
      <c r="Q10" s="22">
        <v>-5.6</v>
      </c>
      <c r="R10" s="22">
        <v>3859.02</v>
      </c>
      <c r="S10" s="22">
        <v>4371.6499999999996</v>
      </c>
      <c r="T10" s="22">
        <v>4633.22</v>
      </c>
      <c r="V10" s="22" t="s">
        <v>446</v>
      </c>
      <c r="W10" s="22">
        <v>-28.72</v>
      </c>
      <c r="X10" s="22">
        <v>-14.01</v>
      </c>
      <c r="Y10" s="22">
        <v>-8.5399999999999991</v>
      </c>
      <c r="Z10" s="22">
        <v>-19.29</v>
      </c>
      <c r="AA10" s="22">
        <v>-16.510000000000002</v>
      </c>
      <c r="AC10" s="22" t="s">
        <v>58</v>
      </c>
      <c r="AD10" s="22">
        <v>421.12</v>
      </c>
      <c r="AE10" s="22">
        <v>907.54</v>
      </c>
      <c r="AF10" s="22">
        <v>407.63</v>
      </c>
      <c r="AG10" s="22">
        <v>753.86</v>
      </c>
      <c r="AH10" s="22">
        <v>864.55</v>
      </c>
    </row>
    <row r="11" spans="1:34" x14ac:dyDescent="0.3">
      <c r="A11" s="22" t="s">
        <v>293</v>
      </c>
      <c r="B11" s="22">
        <v>-42.44</v>
      </c>
      <c r="C11" s="22">
        <v>-307.81</v>
      </c>
      <c r="D11" s="22">
        <v>-21.82</v>
      </c>
      <c r="E11" s="22">
        <v>-41.37</v>
      </c>
      <c r="F11" s="22">
        <v>-92.2</v>
      </c>
      <c r="H11" s="22" t="s">
        <v>342</v>
      </c>
      <c r="I11" s="22">
        <v>0</v>
      </c>
      <c r="J11" s="22">
        <v>-289.54000000000002</v>
      </c>
      <c r="K11" s="22">
        <v>41.24</v>
      </c>
      <c r="L11" s="22">
        <v>-8.81</v>
      </c>
      <c r="M11" s="22">
        <v>-1.03</v>
      </c>
      <c r="O11" s="22" t="s">
        <v>383</v>
      </c>
      <c r="P11" s="22">
        <v>4529.88</v>
      </c>
      <c r="Q11" s="22">
        <v>4035.3</v>
      </c>
      <c r="R11" s="22">
        <v>-292.51</v>
      </c>
      <c r="S11" s="22">
        <v>-513.65</v>
      </c>
      <c r="T11" s="22">
        <v>100.85</v>
      </c>
      <c r="V11" s="22" t="s">
        <v>447</v>
      </c>
      <c r="W11" s="22">
        <v>-28.04</v>
      </c>
      <c r="X11" s="22">
        <v>-17.149999999999999</v>
      </c>
      <c r="Y11" s="22">
        <v>-4.99</v>
      </c>
      <c r="Z11" s="22">
        <v>-1.72</v>
      </c>
      <c r="AA11" s="22">
        <v>-0.71</v>
      </c>
      <c r="AC11" s="22" t="s">
        <v>498</v>
      </c>
      <c r="AD11" s="22">
        <v>-405.4</v>
      </c>
      <c r="AE11" s="22">
        <f>-683.87+15.88</f>
        <v>-667.99</v>
      </c>
      <c r="AF11" s="22">
        <v>-1020.13</v>
      </c>
      <c r="AG11" s="22">
        <v>-779.77</v>
      </c>
      <c r="AH11" s="22">
        <v>-1635.6</v>
      </c>
    </row>
    <row r="12" spans="1:34" x14ac:dyDescent="0.3">
      <c r="A12" s="22" t="s">
        <v>294</v>
      </c>
      <c r="B12" s="22">
        <v>0</v>
      </c>
      <c r="C12" s="22">
        <v>0</v>
      </c>
      <c r="D12" s="22">
        <v>0</v>
      </c>
      <c r="E12" s="22">
        <v>-694.45</v>
      </c>
      <c r="F12" s="22">
        <v>-232.9</v>
      </c>
      <c r="H12" s="22" t="s">
        <v>183</v>
      </c>
      <c r="I12" s="22">
        <v>21.82</v>
      </c>
      <c r="J12" s="22">
        <v>68.95</v>
      </c>
      <c r="K12" s="22">
        <v>-6.56</v>
      </c>
      <c r="L12" s="22">
        <v>-1049.1199999999999</v>
      </c>
      <c r="M12" s="22">
        <v>-1903.95</v>
      </c>
      <c r="O12" s="22" t="s">
        <v>384</v>
      </c>
      <c r="P12" s="22">
        <v>-135.55000000000001</v>
      </c>
      <c r="Q12" s="22">
        <v>-175.65</v>
      </c>
      <c r="R12" s="22">
        <v>0</v>
      </c>
      <c r="S12" s="22">
        <v>-3</v>
      </c>
      <c r="T12" s="22">
        <v>-139.53</v>
      </c>
      <c r="V12" s="22" t="s">
        <v>448</v>
      </c>
      <c r="W12" s="22">
        <v>-0.6</v>
      </c>
      <c r="X12" s="22">
        <v>1.27</v>
      </c>
      <c r="Y12" s="22">
        <v>-43.52</v>
      </c>
      <c r="Z12" s="22">
        <v>-41.59</v>
      </c>
      <c r="AA12" s="22">
        <v>-43.1</v>
      </c>
      <c r="AC12" s="22" t="s">
        <v>499</v>
      </c>
      <c r="AD12" s="22">
        <v>-91.54</v>
      </c>
      <c r="AE12" s="22">
        <v>477.38</v>
      </c>
      <c r="AF12" s="22">
        <v>-109.5</v>
      </c>
      <c r="AG12" s="22">
        <v>668.76</v>
      </c>
      <c r="AH12" s="22">
        <v>214.33</v>
      </c>
    </row>
    <row r="13" spans="1:34" x14ac:dyDescent="0.3">
      <c r="A13" s="22" t="s">
        <v>176</v>
      </c>
      <c r="B13" s="22">
        <v>5314.82</v>
      </c>
      <c r="C13" s="22">
        <v>5106.33</v>
      </c>
      <c r="D13" s="22">
        <v>4094.78</v>
      </c>
      <c r="E13" s="22">
        <v>3333.5</v>
      </c>
      <c r="F13" s="22">
        <v>3388.09</v>
      </c>
      <c r="H13" s="22" t="s">
        <v>343</v>
      </c>
      <c r="I13" s="22">
        <v>-53.07</v>
      </c>
      <c r="J13" s="22">
        <v>-53.07</v>
      </c>
      <c r="K13" s="22">
        <v>-53.07</v>
      </c>
      <c r="L13" s="22">
        <v>-53.07</v>
      </c>
      <c r="M13" s="22">
        <v>-53.07</v>
      </c>
      <c r="O13" s="22" t="s">
        <v>385</v>
      </c>
      <c r="P13" s="22">
        <v>-85.87</v>
      </c>
      <c r="Q13" s="22">
        <v>-6.78</v>
      </c>
      <c r="R13" s="22">
        <v>-6.79</v>
      </c>
      <c r="S13" s="22">
        <v>-524.14</v>
      </c>
      <c r="T13" s="22">
        <v>-5.36</v>
      </c>
      <c r="V13" s="22" t="s">
        <v>449</v>
      </c>
      <c r="W13" s="22">
        <v>-0.17</v>
      </c>
      <c r="X13" s="22">
        <v>-31.08</v>
      </c>
      <c r="Y13" s="22">
        <v>15.38</v>
      </c>
      <c r="Z13" s="22">
        <v>24.73</v>
      </c>
      <c r="AA13" s="22">
        <v>24.55</v>
      </c>
      <c r="AC13" s="22" t="s">
        <v>500</v>
      </c>
      <c r="AD13" s="22">
        <v>-1072.3399999999999</v>
      </c>
      <c r="AE13" s="22">
        <v>527.46</v>
      </c>
      <c r="AF13" s="22">
        <v>416.75</v>
      </c>
      <c r="AG13" s="22">
        <v>-84.69</v>
      </c>
      <c r="AH13" s="22">
        <v>78.84</v>
      </c>
    </row>
    <row r="14" spans="1:34" x14ac:dyDescent="0.3">
      <c r="A14" s="22" t="s">
        <v>295</v>
      </c>
      <c r="B14" s="22">
        <v>-959.63</v>
      </c>
      <c r="C14" s="22">
        <v>-1045.45</v>
      </c>
      <c r="D14" s="22">
        <v>-3558.27</v>
      </c>
      <c r="E14" s="22">
        <v>-3607.19</v>
      </c>
      <c r="F14" s="22">
        <v>-8921.11</v>
      </c>
      <c r="H14" s="22" t="s">
        <v>344</v>
      </c>
      <c r="I14" s="22">
        <v>-40.450000000000003</v>
      </c>
      <c r="J14" s="22">
        <v>-35.89</v>
      </c>
      <c r="K14" s="22">
        <v>0.15</v>
      </c>
      <c r="L14" s="38">
        <v>21.22</v>
      </c>
      <c r="M14" s="38">
        <v>2.58</v>
      </c>
      <c r="O14" s="22" t="s">
        <v>295</v>
      </c>
      <c r="P14" s="22">
        <v>-53.39</v>
      </c>
      <c r="Q14" s="22">
        <v>25.82</v>
      </c>
      <c r="R14" s="22">
        <v>-19.309999999999999</v>
      </c>
      <c r="S14" s="22">
        <v>-92.22</v>
      </c>
      <c r="T14" s="22">
        <v>8.27</v>
      </c>
      <c r="V14" s="22" t="s">
        <v>450</v>
      </c>
      <c r="W14" s="22">
        <v>4.12</v>
      </c>
      <c r="X14" s="22">
        <v>1.92</v>
      </c>
      <c r="Y14" s="22">
        <v>2.63</v>
      </c>
      <c r="Z14" s="22">
        <v>0.15</v>
      </c>
      <c r="AA14" s="22">
        <v>-0.05</v>
      </c>
      <c r="AC14" s="22" t="s">
        <v>501</v>
      </c>
      <c r="AD14" s="22">
        <f>1340.04+0.03</f>
        <v>1340.07</v>
      </c>
      <c r="AE14" s="22">
        <v>-412.13</v>
      </c>
      <c r="AF14" s="22">
        <v>224.94</v>
      </c>
      <c r="AG14" s="22">
        <v>948.27</v>
      </c>
      <c r="AH14" s="22">
        <v>14.72</v>
      </c>
    </row>
    <row r="15" spans="1:34" x14ac:dyDescent="0.3">
      <c r="A15" s="22" t="s">
        <v>296</v>
      </c>
      <c r="B15" s="22">
        <v>0</v>
      </c>
      <c r="C15" s="22">
        <v>0</v>
      </c>
      <c r="D15" s="22">
        <v>79.33</v>
      </c>
      <c r="E15" s="22">
        <v>12.13</v>
      </c>
      <c r="F15" s="22">
        <v>-0.4</v>
      </c>
      <c r="H15" s="22" t="s">
        <v>345</v>
      </c>
      <c r="I15" s="22">
        <v>4004.21</v>
      </c>
      <c r="J15" s="22">
        <v>-0.1</v>
      </c>
      <c r="K15" s="22">
        <v>569.71</v>
      </c>
      <c r="L15" s="22">
        <v>824.75</v>
      </c>
      <c r="M15" s="22">
        <v>3620.36</v>
      </c>
      <c r="O15" s="22" t="s">
        <v>386</v>
      </c>
      <c r="P15" s="22">
        <v>-532.51</v>
      </c>
      <c r="Q15" s="22">
        <v>0</v>
      </c>
      <c r="R15" s="22">
        <v>127.62</v>
      </c>
      <c r="S15" s="22">
        <v>383.81</v>
      </c>
      <c r="T15" s="22">
        <v>-616.69000000000005</v>
      </c>
      <c r="V15" s="22" t="s">
        <v>451</v>
      </c>
      <c r="W15" s="22">
        <v>-2.85</v>
      </c>
      <c r="X15" s="22">
        <v>5.01</v>
      </c>
      <c r="Y15" s="22">
        <v>0</v>
      </c>
      <c r="Z15" s="22">
        <v>0.79</v>
      </c>
      <c r="AA15" s="22">
        <v>0</v>
      </c>
      <c r="AC15" s="22" t="s">
        <v>502</v>
      </c>
      <c r="AD15" s="22">
        <v>-5904.08</v>
      </c>
      <c r="AE15" s="22">
        <v>-2290.69</v>
      </c>
      <c r="AF15" s="22">
        <v>-1790.47</v>
      </c>
      <c r="AG15" s="22">
        <v>505.8</v>
      </c>
      <c r="AH15" s="22">
        <v>-1214.3900000000001</v>
      </c>
    </row>
    <row r="16" spans="1:34" x14ac:dyDescent="0.3">
      <c r="A16" s="22" t="s">
        <v>297</v>
      </c>
      <c r="B16" s="22">
        <v>216.84</v>
      </c>
      <c r="C16" s="22">
        <v>0</v>
      </c>
      <c r="D16" s="22">
        <v>0.42</v>
      </c>
      <c r="E16" s="22">
        <v>8.68</v>
      </c>
      <c r="F16" s="22">
        <v>7.53</v>
      </c>
      <c r="H16" s="22" t="s">
        <v>346</v>
      </c>
      <c r="I16" s="22">
        <v>325.83</v>
      </c>
      <c r="J16" s="22">
        <v>16.25</v>
      </c>
      <c r="K16" s="22">
        <v>0</v>
      </c>
      <c r="L16" s="22">
        <v>5.63</v>
      </c>
      <c r="M16" s="22">
        <v>2.48</v>
      </c>
      <c r="O16" s="22" t="s">
        <v>387</v>
      </c>
      <c r="P16" s="22">
        <v>20.71</v>
      </c>
      <c r="Q16" s="22">
        <v>24.37</v>
      </c>
      <c r="R16" s="22">
        <v>11.94</v>
      </c>
      <c r="S16" s="22">
        <v>51.54</v>
      </c>
      <c r="T16" s="22">
        <v>0.02</v>
      </c>
      <c r="V16" s="22" t="s">
        <v>452</v>
      </c>
      <c r="W16" s="22">
        <v>0.28999999999999998</v>
      </c>
      <c r="X16" s="22">
        <v>0.97</v>
      </c>
      <c r="Y16" s="22">
        <v>0.83</v>
      </c>
      <c r="Z16" s="22">
        <v>8.83</v>
      </c>
      <c r="AA16" s="22">
        <v>36.64</v>
      </c>
      <c r="AC16" s="22" t="s">
        <v>503</v>
      </c>
      <c r="AD16" s="22">
        <v>-38.39</v>
      </c>
      <c r="AE16" s="22">
        <v>19.88</v>
      </c>
      <c r="AF16" s="22">
        <v>-19.71</v>
      </c>
      <c r="AG16" s="22">
        <v>143.38</v>
      </c>
      <c r="AH16" s="22">
        <v>175.82</v>
      </c>
    </row>
    <row r="17" spans="1:34" x14ac:dyDescent="0.3">
      <c r="A17" s="22" t="s">
        <v>298</v>
      </c>
      <c r="B17" s="22">
        <v>1002.99</v>
      </c>
      <c r="C17" s="22">
        <v>43.05</v>
      </c>
      <c r="D17" s="22">
        <v>39.44</v>
      </c>
      <c r="E17" s="22">
        <v>0</v>
      </c>
      <c r="F17" s="22">
        <v>164.53</v>
      </c>
      <c r="H17" s="22" t="s">
        <v>347</v>
      </c>
      <c r="I17" s="22">
        <v>8.01</v>
      </c>
      <c r="J17" s="22">
        <v>5.91</v>
      </c>
      <c r="K17" s="22">
        <v>7.27</v>
      </c>
      <c r="L17" s="22">
        <v>13.67</v>
      </c>
      <c r="M17" s="22">
        <v>12.65</v>
      </c>
      <c r="O17" s="22" t="s">
        <v>388</v>
      </c>
      <c r="P17" s="22">
        <v>0</v>
      </c>
      <c r="Q17" s="22">
        <v>69.87</v>
      </c>
      <c r="R17" s="22">
        <v>10.67</v>
      </c>
      <c r="S17" s="22">
        <v>26.07</v>
      </c>
      <c r="T17" s="22">
        <v>-764.05</v>
      </c>
      <c r="V17" s="22" t="s">
        <v>453</v>
      </c>
      <c r="W17" s="22">
        <v>0.41</v>
      </c>
      <c r="X17" s="22">
        <f>0.84-1.88</f>
        <v>-1.04</v>
      </c>
      <c r="Y17" s="22">
        <v>0.22</v>
      </c>
      <c r="Z17" s="22">
        <v>13.38</v>
      </c>
      <c r="AA17" s="22">
        <v>3.22</v>
      </c>
      <c r="AC17" s="22" t="s">
        <v>176</v>
      </c>
      <c r="AD17" s="22">
        <v>8060.61</v>
      </c>
      <c r="AE17" s="22">
        <v>9162.74</v>
      </c>
      <c r="AF17" s="22">
        <v>9238.86</v>
      </c>
      <c r="AG17" s="22">
        <v>11092.08</v>
      </c>
      <c r="AH17" s="22">
        <v>11954.79</v>
      </c>
    </row>
    <row r="18" spans="1:34" x14ac:dyDescent="0.3">
      <c r="A18" s="23" t="s">
        <v>299</v>
      </c>
      <c r="B18" s="23">
        <f>SUM(B4,B6:B17)</f>
        <v>6098.45</v>
      </c>
      <c r="C18" s="23">
        <f t="shared" ref="C18:F18" si="1">SUM(C4,C6:C17)</f>
        <v>8665.3199999999961</v>
      </c>
      <c r="D18" s="23">
        <f t="shared" si="1"/>
        <v>10152.460000000001</v>
      </c>
      <c r="E18" s="23">
        <f t="shared" si="1"/>
        <v>9859.779999999997</v>
      </c>
      <c r="F18" s="23">
        <f t="shared" si="1"/>
        <v>18677.649999999991</v>
      </c>
      <c r="H18" s="23" t="s">
        <v>299</v>
      </c>
      <c r="I18" s="23">
        <f>SUM(I4:I17)</f>
        <v>3979.59</v>
      </c>
      <c r="J18" s="23">
        <f t="shared" ref="J18:M18" si="2">SUM(J4:J17)</f>
        <v>3908.7999999999997</v>
      </c>
      <c r="K18" s="23">
        <f t="shared" si="2"/>
        <v>3607.0799999999995</v>
      </c>
      <c r="L18" s="23">
        <f t="shared" si="2"/>
        <v>3167.7799999999997</v>
      </c>
      <c r="M18" s="23">
        <f t="shared" si="2"/>
        <v>3135.94</v>
      </c>
      <c r="O18" s="22" t="s">
        <v>389</v>
      </c>
      <c r="P18" s="22">
        <v>10.45</v>
      </c>
      <c r="Q18" s="22">
        <v>26.5</v>
      </c>
      <c r="R18" s="22">
        <v>150.27000000000001</v>
      </c>
      <c r="S18" s="22">
        <v>0</v>
      </c>
      <c r="T18" s="22">
        <v>-80</v>
      </c>
      <c r="V18" s="22" t="s">
        <v>454</v>
      </c>
      <c r="W18" s="22">
        <f>-11.29+10.04+2.18</f>
        <v>0.93000000000000016</v>
      </c>
      <c r="X18" s="22">
        <f>3.85+10.33+0.94</f>
        <v>15.12</v>
      </c>
      <c r="Y18" s="22">
        <f>70.27+10</f>
        <v>80.27</v>
      </c>
      <c r="Z18" s="22">
        <f>10</f>
        <v>10</v>
      </c>
      <c r="AA18" s="22">
        <v>0</v>
      </c>
      <c r="AC18" s="22" t="s">
        <v>504</v>
      </c>
      <c r="AD18" s="22">
        <v>56.24</v>
      </c>
      <c r="AE18" s="22">
        <v>61.4</v>
      </c>
      <c r="AF18" s="22">
        <v>77.12</v>
      </c>
      <c r="AG18" s="22">
        <v>63.98</v>
      </c>
      <c r="AH18" s="22">
        <v>93.42</v>
      </c>
    </row>
    <row r="19" spans="1:34" x14ac:dyDescent="0.3">
      <c r="A19" s="159" t="s">
        <v>300</v>
      </c>
      <c r="B19" s="159"/>
      <c r="C19" s="159"/>
      <c r="D19" s="159"/>
      <c r="E19" s="159"/>
      <c r="F19" s="159"/>
      <c r="H19" s="184" t="s">
        <v>348</v>
      </c>
      <c r="I19" s="184"/>
      <c r="J19" s="184"/>
      <c r="K19" s="184"/>
      <c r="L19" s="184"/>
      <c r="M19" s="184"/>
      <c r="O19" s="22" t="s">
        <v>390</v>
      </c>
      <c r="P19" s="22">
        <v>0</v>
      </c>
      <c r="Q19" s="22">
        <v>109.29</v>
      </c>
      <c r="R19" s="22">
        <v>-68.31</v>
      </c>
      <c r="S19" s="22">
        <v>-94.77</v>
      </c>
      <c r="T19" s="22">
        <v>489.61</v>
      </c>
      <c r="V19" s="22" t="s">
        <v>181</v>
      </c>
      <c r="W19" s="22">
        <f>0.53-177.48+116.02</f>
        <v>-60.929999999999993</v>
      </c>
      <c r="X19" s="22">
        <v>0</v>
      </c>
      <c r="Y19" s="22">
        <v>36.56</v>
      </c>
      <c r="Z19" s="22">
        <v>-120</v>
      </c>
      <c r="AA19" s="22">
        <v>0</v>
      </c>
      <c r="AC19" s="22" t="s">
        <v>505</v>
      </c>
      <c r="AD19" s="22">
        <v>-1986.27</v>
      </c>
      <c r="AE19" s="22">
        <v>-3390.34</v>
      </c>
      <c r="AF19" s="22">
        <v>-1292.3</v>
      </c>
      <c r="AG19" s="22">
        <v>-918.04</v>
      </c>
      <c r="AH19" s="22">
        <v>-961.91</v>
      </c>
    </row>
    <row r="20" spans="1:34" x14ac:dyDescent="0.3">
      <c r="A20" s="22" t="s">
        <v>301</v>
      </c>
      <c r="B20" s="22">
        <v>-1233.29</v>
      </c>
      <c r="C20" s="22">
        <v>385.47</v>
      </c>
      <c r="D20" s="22">
        <v>-262.29000000000002</v>
      </c>
      <c r="E20" s="22">
        <v>-829.06</v>
      </c>
      <c r="F20" s="22">
        <v>-1066.5</v>
      </c>
      <c r="H20" s="22" t="s">
        <v>301</v>
      </c>
      <c r="I20" s="22">
        <v>-2.46</v>
      </c>
      <c r="J20" s="22">
        <v>137.44</v>
      </c>
      <c r="K20" s="22">
        <v>46.08</v>
      </c>
      <c r="L20" s="22">
        <v>-102.91</v>
      </c>
      <c r="M20" s="22">
        <v>-38.32</v>
      </c>
      <c r="O20" s="22" t="s">
        <v>391</v>
      </c>
      <c r="P20" s="22">
        <v>-49.46</v>
      </c>
      <c r="Q20" s="22">
        <v>-66.27</v>
      </c>
      <c r="R20" s="22">
        <v>-317.7</v>
      </c>
      <c r="S20" s="22">
        <v>-356.67</v>
      </c>
      <c r="T20" s="22">
        <v>7.49</v>
      </c>
      <c r="V20" s="22"/>
      <c r="W20" s="22"/>
      <c r="X20" s="22"/>
      <c r="Y20" s="22"/>
      <c r="Z20" s="22"/>
      <c r="AA20" s="22"/>
      <c r="AC20" s="22" t="s">
        <v>387</v>
      </c>
      <c r="AD20" s="22">
        <v>-4.8</v>
      </c>
      <c r="AE20" s="22">
        <v>-9</v>
      </c>
      <c r="AF20" s="22">
        <v>-9</v>
      </c>
      <c r="AG20" s="22">
        <v>-6.96</v>
      </c>
      <c r="AH20" s="22">
        <v>-9.36</v>
      </c>
    </row>
    <row r="21" spans="1:34" x14ac:dyDescent="0.3">
      <c r="A21" s="22" t="s">
        <v>302</v>
      </c>
      <c r="B21" s="22">
        <v>1252.45</v>
      </c>
      <c r="C21" s="22">
        <v>188.86</v>
      </c>
      <c r="D21" s="22">
        <v>980.98</v>
      </c>
      <c r="E21" s="22">
        <v>-2995.25</v>
      </c>
      <c r="F21" s="22">
        <v>-1738.44</v>
      </c>
      <c r="H21" s="22" t="s">
        <v>349</v>
      </c>
      <c r="I21" s="22">
        <v>-175.61</v>
      </c>
      <c r="J21" s="22">
        <v>-61.67</v>
      </c>
      <c r="K21" s="22">
        <v>-1052.6400000000001</v>
      </c>
      <c r="L21" s="22">
        <v>533.6</v>
      </c>
      <c r="M21" s="22">
        <v>-41.02</v>
      </c>
      <c r="O21" s="22" t="s">
        <v>392</v>
      </c>
      <c r="P21" s="22">
        <v>-3.15</v>
      </c>
      <c r="Q21" s="22">
        <v>0</v>
      </c>
      <c r="R21" s="22">
        <v>-9.61</v>
      </c>
      <c r="S21" s="22">
        <v>-11.15</v>
      </c>
      <c r="T21" s="22">
        <v>37.76</v>
      </c>
      <c r="V21" s="23" t="s">
        <v>299</v>
      </c>
      <c r="W21" s="23">
        <f>SUM(W4,W6:W19)</f>
        <v>3031.9500000000003</v>
      </c>
      <c r="X21" s="23">
        <f t="shared" ref="X21:AA21" si="3">SUM(X4,X6:X20)</f>
        <v>3016.6299999999997</v>
      </c>
      <c r="Y21" s="23">
        <f t="shared" si="3"/>
        <v>3828.3299999999995</v>
      </c>
      <c r="Z21" s="23">
        <f t="shared" si="3"/>
        <v>3565.15</v>
      </c>
      <c r="AA21" s="23">
        <f t="shared" si="3"/>
        <v>5610.829999999999</v>
      </c>
      <c r="AC21" s="22" t="s">
        <v>506</v>
      </c>
      <c r="AD21" s="22">
        <v>-484.06</v>
      </c>
      <c r="AE21" s="22">
        <v>-64.19</v>
      </c>
      <c r="AF21" s="22">
        <v>-378.01</v>
      </c>
      <c r="AG21" s="22">
        <v>-368.3</v>
      </c>
      <c r="AH21" s="22">
        <v>-560.73</v>
      </c>
    </row>
    <row r="22" spans="1:34" x14ac:dyDescent="0.3">
      <c r="A22" s="22" t="s">
        <v>303</v>
      </c>
      <c r="B22" s="22">
        <v>0</v>
      </c>
      <c r="C22" s="22">
        <v>-64.989999999999995</v>
      </c>
      <c r="D22" s="22">
        <v>-215.37</v>
      </c>
      <c r="E22" s="22">
        <v>-51.2</v>
      </c>
      <c r="F22" s="22">
        <v>-122.33</v>
      </c>
      <c r="H22" s="22" t="s">
        <v>350</v>
      </c>
      <c r="I22" s="22">
        <v>382.37</v>
      </c>
      <c r="J22" s="22">
        <v>479.24</v>
      </c>
      <c r="K22" s="22">
        <v>73.209999999999994</v>
      </c>
      <c r="L22" s="22">
        <v>346.05</v>
      </c>
      <c r="M22" s="22">
        <v>186.49</v>
      </c>
      <c r="O22" s="22" t="s">
        <v>393</v>
      </c>
      <c r="P22" s="22">
        <v>-89.18</v>
      </c>
      <c r="Q22" s="22">
        <v>-152.19</v>
      </c>
      <c r="R22" s="22">
        <v>-1942.83</v>
      </c>
      <c r="S22" s="22">
        <v>-3199.46</v>
      </c>
      <c r="T22" s="22">
        <v>-195.7</v>
      </c>
      <c r="V22" s="159" t="s">
        <v>455</v>
      </c>
      <c r="W22" s="159"/>
      <c r="X22" s="159"/>
      <c r="Y22" s="159"/>
      <c r="Z22" s="159"/>
      <c r="AA22" s="159"/>
      <c r="AC22" s="22" t="s">
        <v>507</v>
      </c>
      <c r="AD22" s="22">
        <v>-12.59</v>
      </c>
      <c r="AE22" s="22">
        <v>-3.36</v>
      </c>
      <c r="AF22" s="22">
        <v>-6.27</v>
      </c>
      <c r="AG22" s="22">
        <v>-31.8</v>
      </c>
      <c r="AH22" s="22">
        <v>-30.37</v>
      </c>
    </row>
    <row r="23" spans="1:34" x14ac:dyDescent="0.3">
      <c r="A23" s="22" t="s">
        <v>304</v>
      </c>
      <c r="B23" s="22">
        <v>818.47</v>
      </c>
      <c r="C23" s="22">
        <v>-126.97</v>
      </c>
      <c r="D23" s="22">
        <v>-358.75</v>
      </c>
      <c r="E23" s="22">
        <v>-233.11</v>
      </c>
      <c r="F23" s="22">
        <v>1.43</v>
      </c>
      <c r="H23" s="22" t="s">
        <v>351</v>
      </c>
      <c r="I23" s="22">
        <v>255.1</v>
      </c>
      <c r="J23" s="22">
        <v>-161.36000000000001</v>
      </c>
      <c r="K23" s="22">
        <v>125.08</v>
      </c>
      <c r="L23" s="22">
        <v>-16.39</v>
      </c>
      <c r="M23" s="22">
        <v>-115.34</v>
      </c>
      <c r="O23" s="22" t="s">
        <v>394</v>
      </c>
      <c r="P23" s="22">
        <v>-9.4</v>
      </c>
      <c r="Q23" s="22">
        <v>-8.26</v>
      </c>
      <c r="R23" s="22">
        <v>55.41</v>
      </c>
      <c r="S23" s="22">
        <v>53.59</v>
      </c>
      <c r="T23" s="22">
        <v>-385.56</v>
      </c>
      <c r="V23" s="22" t="s">
        <v>456</v>
      </c>
      <c r="W23" s="22">
        <v>-676.92</v>
      </c>
      <c r="X23" s="22">
        <v>803.62</v>
      </c>
      <c r="Y23" s="22">
        <v>-6.65</v>
      </c>
      <c r="Z23" s="22">
        <v>-501.63</v>
      </c>
      <c r="AA23" s="22">
        <v>639.4</v>
      </c>
      <c r="AC23" s="22" t="s">
        <v>508</v>
      </c>
      <c r="AD23" s="22">
        <v>64.19</v>
      </c>
      <c r="AE23" s="22">
        <v>137.27000000000001</v>
      </c>
      <c r="AF23" s="22">
        <v>108.06</v>
      </c>
      <c r="AG23" s="22">
        <v>168.55</v>
      </c>
      <c r="AH23" s="22">
        <v>220.67</v>
      </c>
    </row>
    <row r="24" spans="1:34" x14ac:dyDescent="0.3">
      <c r="A24" s="22" t="s">
        <v>305</v>
      </c>
      <c r="B24" s="22">
        <v>-1104.8599999999999</v>
      </c>
      <c r="C24" s="22">
        <v>-1488.52</v>
      </c>
      <c r="D24" s="22">
        <v>-368.06</v>
      </c>
      <c r="E24" s="22">
        <v>-423.16</v>
      </c>
      <c r="F24" s="22">
        <v>615.62</v>
      </c>
      <c r="H24" s="22" t="s">
        <v>352</v>
      </c>
      <c r="I24" s="22">
        <v>113.01</v>
      </c>
      <c r="J24" s="22">
        <v>153.43</v>
      </c>
      <c r="K24" s="22">
        <v>24.49</v>
      </c>
      <c r="L24" s="22">
        <v>108.71</v>
      </c>
      <c r="M24" s="22">
        <v>41.48</v>
      </c>
      <c r="O24" s="22" t="s">
        <v>395</v>
      </c>
      <c r="P24" s="22">
        <v>-952.55</v>
      </c>
      <c r="Q24" s="22">
        <v>-873.39</v>
      </c>
      <c r="R24" s="22">
        <v>1.44</v>
      </c>
      <c r="S24" s="22">
        <v>2.06</v>
      </c>
      <c r="T24" s="22">
        <v>-12.12</v>
      </c>
      <c r="V24" s="22" t="s">
        <v>457</v>
      </c>
      <c r="W24" s="22">
        <v>-185.14</v>
      </c>
      <c r="X24" s="22">
        <v>243.53</v>
      </c>
      <c r="Y24" s="22">
        <v>-505.94</v>
      </c>
      <c r="Z24" s="22">
        <v>-59.94</v>
      </c>
      <c r="AA24" s="22">
        <v>148.76</v>
      </c>
      <c r="AC24" s="22" t="s">
        <v>525</v>
      </c>
      <c r="AD24" s="22">
        <v>0</v>
      </c>
      <c r="AE24" s="22">
        <v>-1512.19</v>
      </c>
      <c r="AF24" s="22">
        <v>0</v>
      </c>
      <c r="AG24" s="22">
        <v>0</v>
      </c>
      <c r="AH24" s="22"/>
    </row>
    <row r="25" spans="1:34" x14ac:dyDescent="0.3">
      <c r="A25" s="22" t="s">
        <v>306</v>
      </c>
      <c r="B25" s="22">
        <v>0</v>
      </c>
      <c r="C25" s="22">
        <v>-479.32</v>
      </c>
      <c r="D25" s="22">
        <v>140.94999999999999</v>
      </c>
      <c r="E25" s="22">
        <v>414.57</v>
      </c>
      <c r="F25" s="22">
        <v>-601.34</v>
      </c>
      <c r="H25" s="22" t="s">
        <v>353</v>
      </c>
      <c r="I25" s="22">
        <v>15.77</v>
      </c>
      <c r="J25" s="22">
        <v>-27.75</v>
      </c>
      <c r="K25" s="22">
        <v>74.47</v>
      </c>
      <c r="L25" s="22">
        <v>28.72</v>
      </c>
      <c r="M25" s="22">
        <v>-57.93</v>
      </c>
      <c r="O25" s="22" t="s">
        <v>396</v>
      </c>
      <c r="P25" s="22">
        <v>38.69</v>
      </c>
      <c r="Q25" s="22">
        <v>48.23</v>
      </c>
      <c r="R25" s="22">
        <v>-199.64</v>
      </c>
      <c r="S25" s="22">
        <v>0</v>
      </c>
      <c r="T25" s="22">
        <v>-1177.57</v>
      </c>
      <c r="V25" s="22" t="s">
        <v>458</v>
      </c>
      <c r="W25" s="22">
        <v>-72.77</v>
      </c>
      <c r="X25" s="22">
        <v>91.27</v>
      </c>
      <c r="Y25" s="22">
        <v>-45.73</v>
      </c>
      <c r="Z25" s="22">
        <v>-163.54</v>
      </c>
      <c r="AA25" s="22">
        <v>107.39</v>
      </c>
      <c r="AC25" s="23" t="s">
        <v>299</v>
      </c>
      <c r="AD25" s="23">
        <f>SUM(AD9:AD24)</f>
        <v>10298.92</v>
      </c>
      <c r="AE25" s="23">
        <f>SUM(AE9:AE24)</f>
        <v>15394.089999999998</v>
      </c>
      <c r="AF25" s="23">
        <f>SUM(AF9:AF24)</f>
        <v>19635.800000000007</v>
      </c>
      <c r="AG25" s="23">
        <f>SUM(AG9:AG24)</f>
        <v>26947.39</v>
      </c>
      <c r="AH25" s="23">
        <f t="shared" ref="AH25" si="4">SUM(AH9:AH23)</f>
        <v>25408.41</v>
      </c>
    </row>
    <row r="26" spans="1:34" x14ac:dyDescent="0.3">
      <c r="A26" s="22" t="s">
        <v>307</v>
      </c>
      <c r="B26" s="22">
        <v>-175.85</v>
      </c>
      <c r="C26" s="22">
        <v>-59.95</v>
      </c>
      <c r="D26" s="22">
        <v>387.15</v>
      </c>
      <c r="E26" s="22">
        <v>2766.61</v>
      </c>
      <c r="F26" s="22">
        <v>-1538.52</v>
      </c>
      <c r="H26" s="22" t="s">
        <v>354</v>
      </c>
      <c r="I26" s="22">
        <v>94.07</v>
      </c>
      <c r="J26" s="22">
        <v>-266.75</v>
      </c>
      <c r="K26" s="22">
        <v>850.73</v>
      </c>
      <c r="L26" s="22">
        <v>16.13</v>
      </c>
      <c r="M26" s="22">
        <v>77.819999999999993</v>
      </c>
      <c r="O26" s="22" t="s">
        <v>397</v>
      </c>
      <c r="P26" s="22">
        <v>0</v>
      </c>
      <c r="Q26" s="22">
        <v>1.1200000000000001</v>
      </c>
      <c r="R26" s="22">
        <v>0</v>
      </c>
      <c r="S26" s="22">
        <v>18.52</v>
      </c>
      <c r="T26" s="22">
        <v>37.979999999999997</v>
      </c>
      <c r="V26" s="22" t="s">
        <v>459</v>
      </c>
      <c r="W26" s="22">
        <v>163.53</v>
      </c>
      <c r="X26" s="22">
        <v>-272.08999999999997</v>
      </c>
      <c r="Y26" s="22">
        <v>120.78</v>
      </c>
      <c r="Z26" s="22">
        <v>-408.47</v>
      </c>
      <c r="AA26" s="22">
        <v>112.96</v>
      </c>
      <c r="AC26" s="159" t="s">
        <v>509</v>
      </c>
      <c r="AD26" s="159"/>
      <c r="AE26" s="159"/>
      <c r="AF26" s="159"/>
      <c r="AG26" s="159"/>
      <c r="AH26" s="159"/>
    </row>
    <row r="27" spans="1:34" x14ac:dyDescent="0.3">
      <c r="A27" s="23" t="s">
        <v>286</v>
      </c>
      <c r="B27" s="23">
        <f>SUM(B20:B26)</f>
        <v>-443.07999999999981</v>
      </c>
      <c r="C27" s="23">
        <f t="shared" ref="C27:F27" si="5">SUM(C20:C26)</f>
        <v>-1645.42</v>
      </c>
      <c r="D27" s="23">
        <f t="shared" si="5"/>
        <v>304.61</v>
      </c>
      <c r="E27" s="23">
        <f t="shared" si="5"/>
        <v>-1350.6</v>
      </c>
      <c r="F27" s="23">
        <f t="shared" si="5"/>
        <v>-4450.08</v>
      </c>
      <c r="H27" s="22"/>
      <c r="I27" s="23">
        <f>SUM(I20:I26)</f>
        <v>682.25</v>
      </c>
      <c r="J27" s="23">
        <f t="shared" ref="J27:M27" si="6">SUM(J20:J26)</f>
        <v>252.57999999999993</v>
      </c>
      <c r="K27" s="23">
        <f t="shared" si="6"/>
        <v>141.42000000000007</v>
      </c>
      <c r="L27" s="23">
        <f t="shared" si="6"/>
        <v>913.91000000000008</v>
      </c>
      <c r="M27" s="23">
        <f t="shared" si="6"/>
        <v>53.179999999999993</v>
      </c>
      <c r="O27" s="22" t="s">
        <v>398</v>
      </c>
      <c r="P27" s="38">
        <v>0</v>
      </c>
      <c r="Q27" s="22">
        <v>0</v>
      </c>
      <c r="R27" s="38">
        <v>0</v>
      </c>
      <c r="S27" s="22">
        <v>0</v>
      </c>
      <c r="T27" s="22">
        <v>0.37</v>
      </c>
      <c r="V27" s="22"/>
      <c r="W27" s="22"/>
      <c r="X27" s="22"/>
      <c r="Y27" s="22"/>
      <c r="Z27" s="22"/>
      <c r="AA27" s="22"/>
      <c r="AC27" s="22" t="s">
        <v>87</v>
      </c>
      <c r="AD27" s="22">
        <v>-7086.6</v>
      </c>
      <c r="AE27" s="22">
        <v>1805.87</v>
      </c>
      <c r="AF27" s="22">
        <v>199.73</v>
      </c>
      <c r="AG27" s="22">
        <v>-3256.07</v>
      </c>
      <c r="AH27" s="22">
        <v>-1296.73</v>
      </c>
    </row>
    <row r="28" spans="1:34" x14ac:dyDescent="0.3">
      <c r="A28" s="22" t="s">
        <v>308</v>
      </c>
      <c r="B28" s="22">
        <v>-57.82</v>
      </c>
      <c r="C28" s="22">
        <v>-5.55</v>
      </c>
      <c r="D28" s="22">
        <v>-224.34</v>
      </c>
      <c r="E28" s="22">
        <v>-78.650000000000006</v>
      </c>
      <c r="F28" s="22">
        <v>-57.42</v>
      </c>
      <c r="H28" s="22" t="s">
        <v>355</v>
      </c>
      <c r="I28" s="22">
        <v>-118.9</v>
      </c>
      <c r="J28" s="22">
        <v>-40.270000000000003</v>
      </c>
      <c r="K28" s="22">
        <v>-49.07</v>
      </c>
      <c r="L28" s="22">
        <v>-57.93</v>
      </c>
      <c r="M28" s="22">
        <v>-34.04</v>
      </c>
      <c r="O28" s="22" t="s">
        <v>399</v>
      </c>
      <c r="P28" s="22">
        <v>-105.59</v>
      </c>
      <c r="Q28" s="22">
        <v>-16.75</v>
      </c>
      <c r="R28" s="22">
        <v>37.56</v>
      </c>
      <c r="S28" s="22">
        <v>-36.46</v>
      </c>
      <c r="T28" s="22">
        <f>1.42+18.18</f>
        <v>19.600000000000001</v>
      </c>
      <c r="U28" s="65"/>
      <c r="V28" s="23" t="s">
        <v>460</v>
      </c>
      <c r="W28" s="23">
        <f>SUM(W21,W23:W27)</f>
        <v>2260.6500000000005</v>
      </c>
      <c r="X28" s="23">
        <f t="shared" ref="X28:AA28" si="7">SUM(X21,X23:X27)</f>
        <v>3882.96</v>
      </c>
      <c r="Y28" s="23">
        <f t="shared" si="7"/>
        <v>3390.7899999999995</v>
      </c>
      <c r="Z28" s="23">
        <f t="shared" si="7"/>
        <v>2431.5699999999997</v>
      </c>
      <c r="AA28" s="23">
        <f t="shared" si="7"/>
        <v>6619.3399999999992</v>
      </c>
      <c r="AC28" s="22" t="s">
        <v>39</v>
      </c>
      <c r="AD28" s="22">
        <v>-2309.6799999999998</v>
      </c>
      <c r="AE28" s="22">
        <v>2032.27</v>
      </c>
      <c r="AF28" s="22">
        <v>538.67999999999995</v>
      </c>
      <c r="AG28" s="22">
        <v>-3004.98</v>
      </c>
      <c r="AH28" s="22">
        <v>-2586.73</v>
      </c>
    </row>
    <row r="29" spans="1:34" x14ac:dyDescent="0.3">
      <c r="A29" s="23" t="s">
        <v>309</v>
      </c>
      <c r="B29" s="23">
        <f>B18+B27+B28</f>
        <v>5597.55</v>
      </c>
      <c r="C29" s="23">
        <f t="shared" ref="C29:F29" si="8">C18+C27+C28</f>
        <v>7014.3499999999958</v>
      </c>
      <c r="D29" s="23">
        <f t="shared" si="8"/>
        <v>10232.730000000001</v>
      </c>
      <c r="E29" s="23">
        <f t="shared" si="8"/>
        <v>8430.529999999997</v>
      </c>
      <c r="F29" s="23">
        <f t="shared" si="8"/>
        <v>14170.149999999991</v>
      </c>
      <c r="H29" s="23" t="s">
        <v>356</v>
      </c>
      <c r="I29" s="23">
        <f>I27+I28+I18</f>
        <v>4542.9400000000005</v>
      </c>
      <c r="J29" s="23">
        <f>J27+J28+J18</f>
        <v>4121.1099999999997</v>
      </c>
      <c r="K29" s="23">
        <f t="shared" ref="K29:M29" si="9">K27+K28+K18</f>
        <v>3699.4299999999994</v>
      </c>
      <c r="L29" s="23">
        <f t="shared" si="9"/>
        <v>4023.7599999999998</v>
      </c>
      <c r="M29" s="23">
        <f t="shared" si="9"/>
        <v>3155.08</v>
      </c>
      <c r="O29" s="159" t="s">
        <v>400</v>
      </c>
      <c r="P29" s="159"/>
      <c r="Q29" s="159"/>
      <c r="R29" s="159"/>
      <c r="S29" s="159"/>
      <c r="T29" s="159"/>
      <c r="V29" s="22" t="s">
        <v>461</v>
      </c>
      <c r="W29" s="22">
        <v>-175.11</v>
      </c>
      <c r="X29" s="22">
        <v>-183.1</v>
      </c>
      <c r="Y29" s="22">
        <v>-438.76</v>
      </c>
      <c r="Z29" s="22">
        <v>-347.3</v>
      </c>
      <c r="AA29" s="22">
        <v>-385.71</v>
      </c>
      <c r="AC29" s="22" t="s">
        <v>510</v>
      </c>
      <c r="AD29" s="22">
        <v>1524.12</v>
      </c>
      <c r="AE29" s="22">
        <v>-24.25</v>
      </c>
      <c r="AF29" s="22">
        <v>3697.41</v>
      </c>
      <c r="AG29" s="22">
        <v>3461.28</v>
      </c>
      <c r="AH29" s="22">
        <v>-588.35</v>
      </c>
    </row>
    <row r="30" spans="1:34" x14ac:dyDescent="0.3">
      <c r="A30" s="159" t="s">
        <v>310</v>
      </c>
      <c r="B30" s="159"/>
      <c r="C30" s="159"/>
      <c r="D30" s="159"/>
      <c r="E30" s="159"/>
      <c r="F30" s="159"/>
      <c r="H30" s="23" t="s">
        <v>357</v>
      </c>
      <c r="I30" s="23">
        <v>-0.12</v>
      </c>
      <c r="J30" s="23">
        <v>27.51</v>
      </c>
      <c r="K30" s="23">
        <v>-86.33</v>
      </c>
      <c r="L30" s="23">
        <v>0.02</v>
      </c>
      <c r="M30" s="23">
        <v>18.77</v>
      </c>
      <c r="O30" s="22" t="s">
        <v>39</v>
      </c>
      <c r="P30" s="22">
        <v>-21.32</v>
      </c>
      <c r="Q30" s="22">
        <v>-93.26</v>
      </c>
      <c r="R30" s="22">
        <v>-2308.21</v>
      </c>
      <c r="S30" s="22">
        <v>309.91000000000003</v>
      </c>
      <c r="T30" s="22">
        <v>-444.66</v>
      </c>
      <c r="V30" s="23" t="s">
        <v>462</v>
      </c>
      <c r="W30" s="23">
        <f>W28+W29</f>
        <v>2085.5400000000004</v>
      </c>
      <c r="X30" s="23">
        <f t="shared" ref="X30:AA30" si="10">X28+X29</f>
        <v>3699.86</v>
      </c>
      <c r="Y30" s="23">
        <f t="shared" si="10"/>
        <v>2952.0299999999997</v>
      </c>
      <c r="Z30" s="23">
        <f t="shared" si="10"/>
        <v>2084.2699999999995</v>
      </c>
      <c r="AA30" s="23">
        <f t="shared" si="10"/>
        <v>6233.6299999999992</v>
      </c>
      <c r="AB30" s="23"/>
      <c r="AC30" s="22" t="s">
        <v>511</v>
      </c>
      <c r="AD30" s="22">
        <v>2502.0100000000002</v>
      </c>
      <c r="AE30" s="22">
        <v>-2985.25</v>
      </c>
      <c r="AF30" s="22">
        <v>-2521.7199999999998</v>
      </c>
      <c r="AG30" s="22">
        <v>-3845.21</v>
      </c>
      <c r="AH30" s="22">
        <v>-4864.99</v>
      </c>
    </row>
    <row r="31" spans="1:34" ht="28.8" x14ac:dyDescent="0.3">
      <c r="A31" s="59" t="s">
        <v>311</v>
      </c>
      <c r="B31" s="22">
        <v>-2226.56</v>
      </c>
      <c r="C31" s="22">
        <v>-3617.61</v>
      </c>
      <c r="D31" s="22">
        <v>-3434.55</v>
      </c>
      <c r="E31" s="22">
        <v>-3243.68</v>
      </c>
      <c r="F31" s="22">
        <v>-2602.4499999999998</v>
      </c>
      <c r="H31" s="57" t="s">
        <v>358</v>
      </c>
      <c r="I31" s="23">
        <f>I29+I30</f>
        <v>4542.8200000000006</v>
      </c>
      <c r="J31" s="23">
        <f t="shared" ref="J31:M31" si="11">J29+J30</f>
        <v>4148.62</v>
      </c>
      <c r="K31" s="23">
        <f t="shared" si="11"/>
        <v>3613.0999999999995</v>
      </c>
      <c r="L31" s="23">
        <f>L29-L30</f>
        <v>4023.74</v>
      </c>
      <c r="M31" s="23">
        <f t="shared" si="11"/>
        <v>3173.85</v>
      </c>
      <c r="O31" s="22" t="s">
        <v>87</v>
      </c>
      <c r="P31" s="22">
        <v>-96.56</v>
      </c>
      <c r="Q31" s="22">
        <v>-1103.76</v>
      </c>
      <c r="R31" s="22">
        <v>-887.56</v>
      </c>
      <c r="S31" s="22">
        <v>-1070.43</v>
      </c>
      <c r="T31" s="22">
        <v>-859.28</v>
      </c>
      <c r="V31" s="159" t="s">
        <v>463</v>
      </c>
      <c r="W31" s="159"/>
      <c r="X31" s="159"/>
      <c r="Y31" s="159"/>
      <c r="Z31" s="159"/>
      <c r="AA31" s="159"/>
      <c r="AC31" s="22"/>
      <c r="AD31" s="22"/>
      <c r="AE31" s="22"/>
      <c r="AF31" s="22"/>
      <c r="AG31" s="22"/>
      <c r="AH31" s="22"/>
    </row>
    <row r="32" spans="1:34" x14ac:dyDescent="0.3">
      <c r="A32" s="22" t="s">
        <v>312</v>
      </c>
      <c r="B32" s="22">
        <v>6.72</v>
      </c>
      <c r="C32" s="22">
        <v>9.9600000000000009</v>
      </c>
      <c r="D32" s="22">
        <v>1.24</v>
      </c>
      <c r="E32" s="22">
        <v>0.83</v>
      </c>
      <c r="F32" s="22">
        <v>0.56000000000000005</v>
      </c>
      <c r="H32" s="159" t="s">
        <v>310</v>
      </c>
      <c r="I32" s="159"/>
      <c r="J32" s="159"/>
      <c r="K32" s="159"/>
      <c r="L32" s="159"/>
      <c r="M32" s="159"/>
      <c r="O32" s="22" t="s">
        <v>122</v>
      </c>
      <c r="P32" s="22">
        <v>54.23</v>
      </c>
      <c r="Q32" s="22">
        <v>-885.35</v>
      </c>
      <c r="R32" s="22">
        <v>-694.43</v>
      </c>
      <c r="S32" s="22">
        <v>-171.14</v>
      </c>
      <c r="T32" s="22">
        <v>-95.52</v>
      </c>
      <c r="V32" s="22" t="s">
        <v>464</v>
      </c>
      <c r="W32" s="22">
        <v>-121.5</v>
      </c>
      <c r="X32" s="22">
        <v>-435.44</v>
      </c>
      <c r="Y32" s="22">
        <v>-2294.0700000000002</v>
      </c>
      <c r="Z32" s="22">
        <v>-4236.3100000000004</v>
      </c>
      <c r="AA32" s="22">
        <v>-8032.77</v>
      </c>
      <c r="AC32" s="23" t="s">
        <v>512</v>
      </c>
      <c r="AD32" s="23">
        <f>AD7+AD25+SUM(AD27:AD30)</f>
        <v>27210.36</v>
      </c>
      <c r="AE32" s="23">
        <f t="shared" ref="AE32:AH32" si="12">AE7+AE25+SUM(AE27:AE30)</f>
        <v>35512.35</v>
      </c>
      <c r="AF32" s="23">
        <f t="shared" si="12"/>
        <v>43861.280000000006</v>
      </c>
      <c r="AG32" s="23">
        <f t="shared" si="12"/>
        <v>44127.199999999997</v>
      </c>
      <c r="AH32" s="23">
        <f t="shared" si="12"/>
        <v>44427.45</v>
      </c>
    </row>
    <row r="33" spans="1:34" ht="28.8" x14ac:dyDescent="0.3">
      <c r="A33" s="59" t="s">
        <v>313</v>
      </c>
      <c r="B33" s="22">
        <v>0</v>
      </c>
      <c r="C33" s="22">
        <f>1415.23-412</f>
        <v>1003.23</v>
      </c>
      <c r="D33" s="22">
        <v>81.540000000000006</v>
      </c>
      <c r="E33" s="22">
        <v>-42.5</v>
      </c>
      <c r="F33" s="22">
        <v>125.38</v>
      </c>
      <c r="H33" s="22" t="s">
        <v>359</v>
      </c>
      <c r="I33" s="22">
        <f>-544.44+198.4</f>
        <v>-346.04000000000008</v>
      </c>
      <c r="J33" s="22">
        <f>-133.96+0.23</f>
        <v>-133.73000000000002</v>
      </c>
      <c r="K33" s="22">
        <v>-196.16</v>
      </c>
      <c r="L33" s="22">
        <v>-384.49</v>
      </c>
      <c r="M33" s="22">
        <v>51.46</v>
      </c>
      <c r="O33" s="22" t="s">
        <v>90</v>
      </c>
      <c r="P33" s="22">
        <v>-18.600000000000001</v>
      </c>
      <c r="Q33" s="22">
        <v>-17.940000000000001</v>
      </c>
      <c r="R33" s="22">
        <v>4.46</v>
      </c>
      <c r="S33" s="22">
        <v>13.88</v>
      </c>
      <c r="T33" s="22">
        <v>-5.86</v>
      </c>
      <c r="V33" s="22" t="s">
        <v>312</v>
      </c>
      <c r="W33" s="22">
        <v>27.61</v>
      </c>
      <c r="X33" s="22">
        <v>93.8</v>
      </c>
      <c r="Y33" s="22">
        <v>0.49</v>
      </c>
      <c r="Z33" s="22">
        <v>-0.27</v>
      </c>
      <c r="AA33" s="22">
        <v>0.72</v>
      </c>
      <c r="AC33" s="22" t="s">
        <v>513</v>
      </c>
      <c r="AD33" s="22">
        <v>-3320.69</v>
      </c>
      <c r="AE33" s="22">
        <v>-3068.29</v>
      </c>
      <c r="AF33" s="22">
        <v>-2073.0500000000002</v>
      </c>
      <c r="AG33" s="22">
        <v>-4075.65</v>
      </c>
      <c r="AH33" s="22">
        <v>-3642.86</v>
      </c>
    </row>
    <row r="34" spans="1:34" x14ac:dyDescent="0.3">
      <c r="A34" s="22" t="s">
        <v>314</v>
      </c>
      <c r="B34" s="22">
        <v>-1</v>
      </c>
      <c r="C34" s="22">
        <v>0</v>
      </c>
      <c r="D34" s="22">
        <v>-1</v>
      </c>
      <c r="E34" s="22">
        <v>-727.16</v>
      </c>
      <c r="F34" s="22">
        <v>0</v>
      </c>
      <c r="H34" s="22" t="s">
        <v>360</v>
      </c>
      <c r="I34" s="22">
        <v>87.84</v>
      </c>
      <c r="J34" s="22">
        <v>34.659999999999997</v>
      </c>
      <c r="K34" s="22">
        <v>-71.92</v>
      </c>
      <c r="L34" s="22">
        <v>52.36</v>
      </c>
      <c r="M34" s="22">
        <v>45.05</v>
      </c>
      <c r="O34" s="22" t="s">
        <v>401</v>
      </c>
      <c r="P34" s="22">
        <v>-13.17</v>
      </c>
      <c r="Q34" s="22">
        <v>0.83</v>
      </c>
      <c r="R34" s="22">
        <v>-1.93</v>
      </c>
      <c r="S34" s="22">
        <v>-0.06</v>
      </c>
      <c r="T34" s="22">
        <v>0.77</v>
      </c>
      <c r="V34" s="22" t="s">
        <v>465</v>
      </c>
      <c r="W34" s="22">
        <v>-9</v>
      </c>
      <c r="X34" s="22">
        <v>-1136</v>
      </c>
      <c r="Y34" s="22">
        <v>-15.9</v>
      </c>
      <c r="Z34" s="22">
        <v>-30</v>
      </c>
      <c r="AA34" s="22">
        <v>0</v>
      </c>
      <c r="AC34" s="23" t="s">
        <v>514</v>
      </c>
      <c r="AD34" s="23">
        <f>AD32+AD33</f>
        <v>23889.670000000002</v>
      </c>
      <c r="AE34" s="23">
        <f t="shared" ref="AE34:AH34" si="13">AE32+AE33</f>
        <v>32444.059999999998</v>
      </c>
      <c r="AF34" s="23">
        <f t="shared" si="13"/>
        <v>41788.230000000003</v>
      </c>
      <c r="AG34" s="23">
        <f t="shared" si="13"/>
        <v>40051.549999999996</v>
      </c>
      <c r="AH34" s="23">
        <f t="shared" si="13"/>
        <v>40784.589999999997</v>
      </c>
    </row>
    <row r="35" spans="1:34" x14ac:dyDescent="0.3">
      <c r="A35" s="22" t="s">
        <v>315</v>
      </c>
      <c r="B35" s="22">
        <v>0</v>
      </c>
      <c r="C35" s="22">
        <v>733.86</v>
      </c>
      <c r="D35" s="22">
        <v>0</v>
      </c>
      <c r="E35" s="22">
        <v>0</v>
      </c>
      <c r="F35" s="22">
        <v>-2.58</v>
      </c>
      <c r="H35" s="22" t="s">
        <v>361</v>
      </c>
      <c r="I35" s="22">
        <v>-1565.95</v>
      </c>
      <c r="J35" s="22">
        <v>-12.88</v>
      </c>
      <c r="K35" s="22">
        <f>34.25-63.06-0.15</f>
        <v>-28.96</v>
      </c>
      <c r="L35" s="22">
        <v>-58.44</v>
      </c>
      <c r="M35" s="22">
        <v>-425.71</v>
      </c>
      <c r="O35" s="22" t="s">
        <v>92</v>
      </c>
      <c r="P35" s="22">
        <v>8.58</v>
      </c>
      <c r="Q35" s="22">
        <v>21.95</v>
      </c>
      <c r="R35" s="22">
        <v>1.1499999999999999</v>
      </c>
      <c r="S35" s="22">
        <v>0.46</v>
      </c>
      <c r="T35" s="22">
        <v>0.51</v>
      </c>
      <c r="V35" s="22" t="s">
        <v>466</v>
      </c>
      <c r="W35" s="22">
        <v>145.74</v>
      </c>
      <c r="X35" s="22">
        <v>351.87</v>
      </c>
      <c r="Y35" s="22">
        <v>997.29</v>
      </c>
      <c r="Z35" s="22">
        <v>120</v>
      </c>
      <c r="AA35" s="22">
        <v>70</v>
      </c>
      <c r="AC35" s="159" t="s">
        <v>463</v>
      </c>
      <c r="AD35" s="159"/>
      <c r="AE35" s="159"/>
      <c r="AF35" s="159"/>
      <c r="AG35" s="159"/>
      <c r="AH35" s="159"/>
    </row>
    <row r="36" spans="1:34" ht="28.8" x14ac:dyDescent="0.3">
      <c r="A36" s="59" t="s">
        <v>316</v>
      </c>
      <c r="B36" s="22">
        <v>4.01</v>
      </c>
      <c r="C36" s="22">
        <v>-17.28</v>
      </c>
      <c r="D36" s="22">
        <v>-162.32</v>
      </c>
      <c r="E36" s="22">
        <v>-415.2</v>
      </c>
      <c r="F36" s="22">
        <v>280.95999999999998</v>
      </c>
      <c r="H36" s="59" t="s">
        <v>362</v>
      </c>
      <c r="I36" s="22">
        <v>1577.05</v>
      </c>
      <c r="J36" s="22">
        <v>-10.83</v>
      </c>
      <c r="K36" s="22">
        <v>-282.95999999999998</v>
      </c>
      <c r="L36" s="22">
        <v>36.39</v>
      </c>
      <c r="M36" s="22">
        <v>-32.200000000000003</v>
      </c>
      <c r="O36" s="22" t="s">
        <v>84</v>
      </c>
      <c r="P36" s="22">
        <v>387.45</v>
      </c>
      <c r="Q36" s="22">
        <v>-270.14</v>
      </c>
      <c r="R36" s="22">
        <v>-531.99</v>
      </c>
      <c r="S36" s="22">
        <v>154.35</v>
      </c>
      <c r="T36" s="22">
        <v>-236.46</v>
      </c>
      <c r="V36" s="22" t="s">
        <v>467</v>
      </c>
      <c r="W36" s="22">
        <v>0</v>
      </c>
      <c r="X36" s="22">
        <v>-0.19</v>
      </c>
      <c r="Y36" s="22">
        <v>0.14000000000000001</v>
      </c>
      <c r="Z36" s="22">
        <v>-19.63</v>
      </c>
      <c r="AA36" s="22">
        <v>0</v>
      </c>
      <c r="AC36" s="22" t="s">
        <v>515</v>
      </c>
      <c r="AD36" s="22">
        <v>-18230.439999999999</v>
      </c>
      <c r="AE36" s="22">
        <v>-23312.34</v>
      </c>
      <c r="AF36" s="22">
        <v>-24444.42</v>
      </c>
      <c r="AG36" s="22">
        <v>-24818.52</v>
      </c>
      <c r="AH36" s="22">
        <v>-30815.919999999998</v>
      </c>
    </row>
    <row r="37" spans="1:34" x14ac:dyDescent="0.3">
      <c r="A37" s="22" t="s">
        <v>317</v>
      </c>
      <c r="B37" s="22">
        <v>0</v>
      </c>
      <c r="C37" s="22">
        <v>0</v>
      </c>
      <c r="D37" s="22"/>
      <c r="E37" s="22">
        <v>988.9</v>
      </c>
      <c r="F37" s="22">
        <v>536.22</v>
      </c>
      <c r="H37" s="23" t="s">
        <v>363</v>
      </c>
      <c r="I37" s="23">
        <f>SUM(I33:I36)</f>
        <v>-247.10000000000014</v>
      </c>
      <c r="J37" s="23">
        <f t="shared" ref="J37:M37" si="14">SUM(J33:J36)</f>
        <v>-122.78000000000002</v>
      </c>
      <c r="K37" s="23">
        <f t="shared" si="14"/>
        <v>-580</v>
      </c>
      <c r="L37" s="23">
        <f t="shared" si="14"/>
        <v>-354.18</v>
      </c>
      <c r="M37" s="23">
        <f t="shared" si="14"/>
        <v>-361.4</v>
      </c>
      <c r="O37" s="22" t="s">
        <v>402</v>
      </c>
      <c r="P37" s="22">
        <v>214.01</v>
      </c>
      <c r="Q37" s="22">
        <v>-156.71</v>
      </c>
      <c r="R37" s="22">
        <v>-284.08999999999997</v>
      </c>
      <c r="S37" s="22">
        <v>-289.41000000000003</v>
      </c>
      <c r="T37" s="22">
        <v>-1130.5999999999999</v>
      </c>
      <c r="V37" s="22" t="s">
        <v>468</v>
      </c>
      <c r="W37" s="22">
        <v>7.0000000000000007E-2</v>
      </c>
      <c r="X37" s="22">
        <v>0</v>
      </c>
      <c r="Y37" s="22">
        <v>316.62</v>
      </c>
      <c r="Z37" s="22">
        <v>234.21</v>
      </c>
      <c r="AA37" s="22">
        <v>189.35</v>
      </c>
      <c r="AC37" s="22" t="s">
        <v>516</v>
      </c>
      <c r="AD37" s="22">
        <v>167.93</v>
      </c>
      <c r="AE37" s="22">
        <v>30.36</v>
      </c>
      <c r="AF37" s="22">
        <v>113.5</v>
      </c>
      <c r="AG37" s="22">
        <v>98.29</v>
      </c>
      <c r="AH37" s="22">
        <v>74.599999999999994</v>
      </c>
    </row>
    <row r="38" spans="1:34" x14ac:dyDescent="0.3">
      <c r="A38" s="22" t="s">
        <v>318</v>
      </c>
      <c r="B38" s="22">
        <v>-151.93</v>
      </c>
      <c r="C38" s="22">
        <v>-384.85</v>
      </c>
      <c r="D38" s="22">
        <v>-214.85</v>
      </c>
      <c r="E38" s="22">
        <v>151.07</v>
      </c>
      <c r="F38" s="22">
        <v>-4544.82</v>
      </c>
      <c r="H38" s="23" t="s">
        <v>364</v>
      </c>
      <c r="I38" s="23">
        <v>0</v>
      </c>
      <c r="J38" s="23">
        <v>608.38</v>
      </c>
      <c r="K38" s="23">
        <v>863.62</v>
      </c>
      <c r="L38" s="23"/>
      <c r="M38" s="23">
        <v>169.25</v>
      </c>
      <c r="O38" s="22" t="s">
        <v>403</v>
      </c>
      <c r="P38" s="22">
        <v>10.51</v>
      </c>
      <c r="Q38" s="22">
        <v>104.63</v>
      </c>
      <c r="R38" s="22">
        <v>-115.86</v>
      </c>
      <c r="S38" s="22">
        <v>19.690000000000001</v>
      </c>
      <c r="T38" s="22">
        <v>149.13999999999999</v>
      </c>
      <c r="V38" s="22" t="s">
        <v>469</v>
      </c>
      <c r="W38" s="22">
        <v>210.08</v>
      </c>
      <c r="X38" s="22">
        <v>170.71</v>
      </c>
      <c r="Y38" s="22">
        <v>45.52</v>
      </c>
      <c r="Z38" s="22">
        <v>121.52</v>
      </c>
      <c r="AA38" s="22">
        <v>23.81</v>
      </c>
      <c r="AC38" s="22" t="s">
        <v>517</v>
      </c>
      <c r="AD38" s="22">
        <v>0</v>
      </c>
      <c r="AE38" s="22">
        <v>-499.99</v>
      </c>
      <c r="AF38" s="22">
        <v>499.99</v>
      </c>
      <c r="AG38" s="22">
        <v>0</v>
      </c>
      <c r="AH38" s="22">
        <v>50</v>
      </c>
    </row>
    <row r="39" spans="1:34" x14ac:dyDescent="0.3">
      <c r="A39" s="22" t="s">
        <v>319</v>
      </c>
      <c r="B39" s="22">
        <v>-85.14</v>
      </c>
      <c r="C39" s="22">
        <v>-5.82</v>
      </c>
      <c r="D39" s="22">
        <v>0.99</v>
      </c>
      <c r="E39" s="22">
        <v>4.83</v>
      </c>
      <c r="F39" s="22">
        <v>375.57</v>
      </c>
      <c r="H39" s="23" t="s">
        <v>365</v>
      </c>
      <c r="I39" s="23">
        <f>I37+I38</f>
        <v>-247.10000000000014</v>
      </c>
      <c r="J39" s="23">
        <f t="shared" ref="J39:M39" si="15">J37+J38</f>
        <v>485.59999999999997</v>
      </c>
      <c r="K39" s="23">
        <f t="shared" si="15"/>
        <v>283.62</v>
      </c>
      <c r="L39" s="23">
        <f t="shared" si="15"/>
        <v>-354.18</v>
      </c>
      <c r="M39" s="23">
        <f t="shared" si="15"/>
        <v>-192.14999999999998</v>
      </c>
      <c r="O39" s="22" t="s">
        <v>404</v>
      </c>
      <c r="P39" s="22">
        <v>-58.14</v>
      </c>
      <c r="Q39" s="22">
        <v>3.26</v>
      </c>
      <c r="R39" s="22">
        <v>-15.63</v>
      </c>
      <c r="S39" s="22">
        <v>-48.83</v>
      </c>
      <c r="T39" s="22">
        <v>-77.790000000000006</v>
      </c>
      <c r="V39" s="22" t="s">
        <v>470</v>
      </c>
      <c r="W39" s="22">
        <v>28.72</v>
      </c>
      <c r="X39" s="22">
        <v>14.01</v>
      </c>
      <c r="Y39" s="22">
        <v>0</v>
      </c>
      <c r="Z39" s="22">
        <v>76.09</v>
      </c>
      <c r="AA39" s="22">
        <v>82.69</v>
      </c>
      <c r="AC39" s="22" t="s">
        <v>518</v>
      </c>
      <c r="AD39" s="22">
        <f>-11500-764.98</f>
        <v>-12264.98</v>
      </c>
      <c r="AE39" s="22">
        <v>-118.78</v>
      </c>
      <c r="AF39" s="22">
        <v>499.87</v>
      </c>
      <c r="AG39" s="22">
        <v>-857.25</v>
      </c>
      <c r="AH39" s="22">
        <v>-219.4</v>
      </c>
    </row>
    <row r="40" spans="1:34" x14ac:dyDescent="0.3">
      <c r="A40" s="22" t="s">
        <v>320</v>
      </c>
      <c r="B40" s="22">
        <v>125.79</v>
      </c>
      <c r="C40" s="22">
        <v>90.94</v>
      </c>
      <c r="D40" s="22">
        <v>4301.0600000000004</v>
      </c>
      <c r="E40" s="22">
        <v>4827.34</v>
      </c>
      <c r="F40" s="22">
        <v>9316.19</v>
      </c>
      <c r="H40" s="159" t="s">
        <v>322</v>
      </c>
      <c r="I40" s="159"/>
      <c r="J40" s="159"/>
      <c r="K40" s="159"/>
      <c r="L40" s="159"/>
      <c r="M40" s="159"/>
      <c r="O40" s="22" t="s">
        <v>405</v>
      </c>
      <c r="P40" s="22">
        <f>277.97-365.48+3.68+226.15</f>
        <v>142.32000000000002</v>
      </c>
      <c r="Q40" s="22">
        <f>-998-242.8+400.82</f>
        <v>-839.98</v>
      </c>
      <c r="R40" s="22">
        <v>-322.85000000000002</v>
      </c>
      <c r="S40" s="22">
        <v>-1566.73</v>
      </c>
      <c r="T40" s="22">
        <v>310.41000000000003</v>
      </c>
      <c r="U40" s="65"/>
      <c r="V40" s="22" t="s">
        <v>471</v>
      </c>
      <c r="W40" s="22">
        <v>-1.47</v>
      </c>
      <c r="X40" s="22">
        <v>-1.42</v>
      </c>
      <c r="Y40" s="22">
        <v>166.98</v>
      </c>
      <c r="Z40" s="22">
        <v>0</v>
      </c>
      <c r="AA40" s="22">
        <v>0.46</v>
      </c>
      <c r="AC40" s="22" t="s">
        <v>519</v>
      </c>
      <c r="AD40" s="22">
        <v>1045.6300000000001</v>
      </c>
      <c r="AE40" s="22">
        <v>126.69</v>
      </c>
      <c r="AF40" s="22">
        <v>1325.77</v>
      </c>
      <c r="AG40" s="22">
        <v>576.74</v>
      </c>
      <c r="AH40" s="22">
        <v>630.98</v>
      </c>
    </row>
    <row r="41" spans="1:34" x14ac:dyDescent="0.3">
      <c r="A41" s="23" t="s">
        <v>321</v>
      </c>
      <c r="B41" s="23">
        <f>SUM(B31:B40)</f>
        <v>-2328.1099999999997</v>
      </c>
      <c r="C41" s="23">
        <f t="shared" ref="C41:F41" si="16">SUM(C31:C40)</f>
        <v>-2187.5700000000002</v>
      </c>
      <c r="D41" s="23">
        <f t="shared" si="16"/>
        <v>572.10999999999967</v>
      </c>
      <c r="E41" s="23">
        <f t="shared" si="16"/>
        <v>1544.4300000000003</v>
      </c>
      <c r="F41" s="23">
        <f t="shared" si="16"/>
        <v>3485.0300000000007</v>
      </c>
      <c r="H41" s="22" t="s">
        <v>366</v>
      </c>
      <c r="I41" s="22">
        <v>123.79</v>
      </c>
      <c r="J41" s="22">
        <v>0</v>
      </c>
      <c r="K41" s="22">
        <v>0</v>
      </c>
      <c r="L41" s="22">
        <v>863.5</v>
      </c>
      <c r="M41" s="22">
        <v>0</v>
      </c>
      <c r="O41" s="159" t="s">
        <v>406</v>
      </c>
      <c r="P41" s="159"/>
      <c r="Q41" s="159"/>
      <c r="R41" s="159"/>
      <c r="S41" s="159"/>
      <c r="T41" s="159"/>
      <c r="V41" s="22" t="s">
        <v>472</v>
      </c>
      <c r="W41" s="22">
        <v>20.51</v>
      </c>
      <c r="X41" s="22">
        <v>-89.9</v>
      </c>
      <c r="Y41" s="22">
        <v>0</v>
      </c>
      <c r="Z41" s="22">
        <v>-61</v>
      </c>
      <c r="AA41" s="22">
        <v>0</v>
      </c>
      <c r="AC41" s="22" t="s">
        <v>520</v>
      </c>
      <c r="AD41" s="22">
        <v>4.8</v>
      </c>
      <c r="AE41" s="22">
        <f>4186.63+9</f>
        <v>4195.63</v>
      </c>
      <c r="AF41" s="22">
        <v>9</v>
      </c>
      <c r="AG41" s="22">
        <v>6.96</v>
      </c>
      <c r="AH41" s="22">
        <v>9.36</v>
      </c>
    </row>
    <row r="42" spans="1:34" x14ac:dyDescent="0.3">
      <c r="A42" s="159" t="s">
        <v>322</v>
      </c>
      <c r="B42" s="159"/>
      <c r="C42" s="159"/>
      <c r="D42" s="159"/>
      <c r="E42" s="159"/>
      <c r="F42" s="159"/>
      <c r="H42" s="22" t="s">
        <v>367</v>
      </c>
      <c r="I42" s="22">
        <v>-1867</v>
      </c>
      <c r="J42" s="22">
        <v>-1763.47</v>
      </c>
      <c r="K42" s="22">
        <v>-1741.16</v>
      </c>
      <c r="L42" s="22">
        <v>-2099.4299999999998</v>
      </c>
      <c r="M42" s="22">
        <v>-1304.1099999999999</v>
      </c>
      <c r="O42" s="22" t="s">
        <v>109</v>
      </c>
      <c r="P42" s="22">
        <v>-796.97</v>
      </c>
      <c r="Q42" s="22">
        <v>1709.92</v>
      </c>
      <c r="R42" s="22">
        <v>3221.69</v>
      </c>
      <c r="S42" s="22">
        <v>-3018.39</v>
      </c>
      <c r="T42" s="22">
        <v>1895.95</v>
      </c>
      <c r="V42" s="22" t="s">
        <v>473</v>
      </c>
      <c r="W42" s="22">
        <v>0</v>
      </c>
      <c r="X42" s="22">
        <v>0</v>
      </c>
      <c r="Y42" s="22">
        <v>-143.81</v>
      </c>
      <c r="Z42" s="22">
        <v>116.32</v>
      </c>
      <c r="AA42" s="22">
        <v>23.32</v>
      </c>
      <c r="AC42" s="22" t="s">
        <v>521</v>
      </c>
      <c r="AD42" s="22">
        <v>-326.97000000000003</v>
      </c>
      <c r="AE42" s="22">
        <v>-637.37</v>
      </c>
      <c r="AF42" s="22">
        <v>-545.86</v>
      </c>
      <c r="AG42" s="22">
        <v>-434.92</v>
      </c>
      <c r="AH42" s="22">
        <v>-414.55</v>
      </c>
    </row>
    <row r="43" spans="1:34" x14ac:dyDescent="0.3">
      <c r="A43" s="22" t="s">
        <v>323</v>
      </c>
      <c r="B43" s="22">
        <v>-4.3600000000000003</v>
      </c>
      <c r="C43" s="22">
        <v>-5</v>
      </c>
      <c r="D43" s="22">
        <v>-5.95</v>
      </c>
      <c r="E43" s="22">
        <v>-5.83</v>
      </c>
      <c r="F43" s="22">
        <v>-0.47</v>
      </c>
      <c r="H43" s="22" t="s">
        <v>368</v>
      </c>
      <c r="I43" s="22">
        <v>-240.61</v>
      </c>
      <c r="J43" s="22">
        <v>-532.63</v>
      </c>
      <c r="K43" s="22">
        <v>-79.33</v>
      </c>
      <c r="L43" s="22">
        <v>-640.61</v>
      </c>
      <c r="M43" s="22">
        <v>-66.17</v>
      </c>
      <c r="O43" s="22" t="s">
        <v>110</v>
      </c>
      <c r="P43" s="22">
        <v>448.63</v>
      </c>
      <c r="Q43" s="22">
        <v>729.58</v>
      </c>
      <c r="R43" s="22">
        <v>261.32</v>
      </c>
      <c r="S43" s="22">
        <v>1332.48</v>
      </c>
      <c r="T43" s="22">
        <v>-324.14999999999998</v>
      </c>
      <c r="V43" s="22" t="s">
        <v>474</v>
      </c>
      <c r="W43" s="22">
        <v>0</v>
      </c>
      <c r="X43" s="22">
        <v>0</v>
      </c>
      <c r="Y43" s="22">
        <v>0</v>
      </c>
      <c r="Z43" s="22">
        <v>-2196.58</v>
      </c>
      <c r="AA43" s="22">
        <v>0</v>
      </c>
      <c r="AC43" s="22" t="s">
        <v>89</v>
      </c>
      <c r="AD43" s="22">
        <v>-24.09</v>
      </c>
      <c r="AE43" s="22">
        <v>-818.65</v>
      </c>
      <c r="AF43" s="22">
        <v>-348.77</v>
      </c>
      <c r="AG43" s="22">
        <v>-678.5</v>
      </c>
      <c r="AH43" s="22">
        <v>-1456.44</v>
      </c>
    </row>
    <row r="44" spans="1:34" x14ac:dyDescent="0.3">
      <c r="A44" s="22" t="s">
        <v>324</v>
      </c>
      <c r="B44" s="22">
        <v>21319.439999999999</v>
      </c>
      <c r="C44" s="22">
        <v>22558.44</v>
      </c>
      <c r="D44" s="22">
        <v>13332.16</v>
      </c>
      <c r="E44" s="22">
        <v>21205.41</v>
      </c>
      <c r="F44" s="22">
        <v>22671.61</v>
      </c>
      <c r="H44" s="22" t="s">
        <v>369</v>
      </c>
      <c r="I44" s="22">
        <v>0</v>
      </c>
      <c r="J44" s="22">
        <v>119.2</v>
      </c>
      <c r="K44" s="22">
        <v>47.22</v>
      </c>
      <c r="L44" s="22">
        <v>10.86</v>
      </c>
      <c r="M44" s="22">
        <v>0</v>
      </c>
      <c r="O44" s="22" t="s">
        <v>106</v>
      </c>
      <c r="P44" s="22">
        <v>141.53</v>
      </c>
      <c r="Q44" s="22">
        <v>-6.91</v>
      </c>
      <c r="R44" s="22">
        <v>64.14</v>
      </c>
      <c r="S44" s="22">
        <v>7.17</v>
      </c>
      <c r="T44" s="22">
        <v>258.33999999999997</v>
      </c>
      <c r="V44" s="22" t="s">
        <v>475</v>
      </c>
      <c r="W44" s="22">
        <v>0</v>
      </c>
      <c r="X44" s="22">
        <v>0</v>
      </c>
      <c r="Z44" s="38">
        <v>-1048.8399999999999</v>
      </c>
      <c r="AA44" s="22">
        <v>0</v>
      </c>
      <c r="AC44" s="23" t="s">
        <v>477</v>
      </c>
      <c r="AD44" s="23">
        <f>SUM(AD36:AD43)</f>
        <v>-29628.12</v>
      </c>
      <c r="AE44" s="23">
        <f t="shared" ref="AE44:AH44" si="17">SUM(AE36:AE43)</f>
        <v>-21034.45</v>
      </c>
      <c r="AF44" s="23">
        <f t="shared" si="17"/>
        <v>-22890.92</v>
      </c>
      <c r="AG44" s="23">
        <f t="shared" si="17"/>
        <v>-26107.199999999997</v>
      </c>
      <c r="AH44" s="23">
        <f t="shared" si="17"/>
        <v>-32141.37</v>
      </c>
    </row>
    <row r="45" spans="1:34" x14ac:dyDescent="0.3">
      <c r="A45" s="22" t="s">
        <v>325</v>
      </c>
      <c r="B45" s="22">
        <v>-18306.79</v>
      </c>
      <c r="C45" s="22">
        <v>-25132.54</v>
      </c>
      <c r="D45" s="22">
        <v>-17896.16</v>
      </c>
      <c r="E45" s="22">
        <v>-26948.43</v>
      </c>
      <c r="F45" s="22">
        <v>-30597.95</v>
      </c>
      <c r="H45" s="22" t="s">
        <v>370</v>
      </c>
      <c r="I45" s="22">
        <v>-2113.9899999999998</v>
      </c>
      <c r="J45" s="22">
        <v>-1834.18</v>
      </c>
      <c r="K45" s="22">
        <v>-1583.34</v>
      </c>
      <c r="L45" s="22">
        <v>-1837.46</v>
      </c>
      <c r="M45" s="22">
        <v>-1449.88</v>
      </c>
      <c r="O45" s="22" t="s">
        <v>407</v>
      </c>
      <c r="P45" s="22">
        <v>233.51</v>
      </c>
      <c r="Q45" s="22">
        <v>1081.05</v>
      </c>
      <c r="R45" s="22">
        <v>341</v>
      </c>
      <c r="S45" s="22">
        <v>2655.34</v>
      </c>
      <c r="T45" s="22">
        <v>2580.6</v>
      </c>
      <c r="V45" s="22" t="s">
        <v>476</v>
      </c>
      <c r="W45" s="22"/>
      <c r="X45" s="22"/>
      <c r="Y45" s="22">
        <v>-465.49</v>
      </c>
      <c r="Z45" s="22">
        <v>-84.99</v>
      </c>
      <c r="AA45" s="22">
        <v>-675.31</v>
      </c>
      <c r="AC45" s="159" t="s">
        <v>478</v>
      </c>
      <c r="AD45" s="159"/>
      <c r="AE45" s="159"/>
      <c r="AF45" s="159"/>
      <c r="AG45" s="159"/>
      <c r="AH45" s="159"/>
    </row>
    <row r="46" spans="1:34" x14ac:dyDescent="0.3">
      <c r="A46" s="22" t="s">
        <v>326</v>
      </c>
      <c r="B46" s="22">
        <v>-517.79</v>
      </c>
      <c r="C46" s="22">
        <v>704.5</v>
      </c>
      <c r="D46" s="22">
        <v>-1831.58</v>
      </c>
      <c r="E46" s="22">
        <v>-1200.05</v>
      </c>
      <c r="F46" s="22">
        <v>1896.53</v>
      </c>
      <c r="H46" s="22" t="s">
        <v>371</v>
      </c>
      <c r="I46" s="22">
        <v>-101.85</v>
      </c>
      <c r="J46" s="22">
        <v>109.14</v>
      </c>
      <c r="K46" s="22">
        <v>0</v>
      </c>
      <c r="L46" s="22">
        <v>0</v>
      </c>
      <c r="M46" s="22">
        <v>-19.62</v>
      </c>
      <c r="O46" s="22" t="s">
        <v>408</v>
      </c>
      <c r="P46" s="22">
        <v>26.04</v>
      </c>
      <c r="Q46" s="22">
        <v>356.79</v>
      </c>
      <c r="R46" s="22">
        <v>79.540000000000006</v>
      </c>
      <c r="S46" s="22">
        <v>45.57</v>
      </c>
      <c r="T46" s="22">
        <v>221.15</v>
      </c>
      <c r="V46" s="23" t="s">
        <v>477</v>
      </c>
      <c r="W46" s="23">
        <f>SUM(W32:W45)</f>
        <v>300.76</v>
      </c>
      <c r="X46" s="23">
        <f t="shared" ref="X46:Z46" si="18">SUM(X32:X45)</f>
        <v>-1032.56</v>
      </c>
      <c r="Y46" s="23">
        <f t="shared" si="18"/>
        <v>-1392.2300000000005</v>
      </c>
      <c r="Z46" s="23">
        <f t="shared" si="18"/>
        <v>-7009.4800000000005</v>
      </c>
      <c r="AA46" s="23">
        <f>SUM(AA32:AA45)</f>
        <v>-8317.73</v>
      </c>
      <c r="AC46" s="22" t="s">
        <v>522</v>
      </c>
      <c r="AD46" s="22">
        <v>33653.14</v>
      </c>
      <c r="AE46" s="22">
        <v>35361.97</v>
      </c>
      <c r="AF46" s="22">
        <v>27237.43</v>
      </c>
      <c r="AG46" s="22">
        <v>28325.97</v>
      </c>
      <c r="AH46" s="22">
        <v>31631.65</v>
      </c>
    </row>
    <row r="47" spans="1:34" x14ac:dyDescent="0.3">
      <c r="A47" s="22" t="s">
        <v>327</v>
      </c>
      <c r="B47" s="22">
        <v>615</v>
      </c>
      <c r="C47" s="22">
        <v>400</v>
      </c>
      <c r="D47" s="22">
        <v>600</v>
      </c>
      <c r="E47" s="22">
        <v>566.49</v>
      </c>
      <c r="F47" s="22">
        <v>129.04</v>
      </c>
      <c r="H47" s="22" t="s">
        <v>372</v>
      </c>
      <c r="I47" s="22">
        <v>0</v>
      </c>
      <c r="J47" s="22">
        <v>0</v>
      </c>
      <c r="K47" s="22">
        <v>0</v>
      </c>
      <c r="L47" s="22">
        <v>80</v>
      </c>
      <c r="M47" s="22">
        <v>240</v>
      </c>
      <c r="O47" s="22" t="s">
        <v>409</v>
      </c>
      <c r="P47" s="22">
        <v>0</v>
      </c>
      <c r="Q47" s="22">
        <v>61.23</v>
      </c>
      <c r="R47" s="22">
        <v>535.70000000000005</v>
      </c>
      <c r="S47" s="22">
        <v>600.71</v>
      </c>
      <c r="T47" s="22">
        <v>-518.91999999999996</v>
      </c>
      <c r="V47" s="159" t="s">
        <v>478</v>
      </c>
      <c r="W47" s="159"/>
      <c r="X47" s="159"/>
      <c r="Y47" s="159"/>
      <c r="Z47" s="159"/>
      <c r="AA47" s="159"/>
      <c r="AC47" s="22" t="s">
        <v>325</v>
      </c>
      <c r="AD47" s="22">
        <v>-9583.31</v>
      </c>
      <c r="AE47" s="22">
        <v>-23912.83</v>
      </c>
      <c r="AF47" s="22">
        <v>-19079.93</v>
      </c>
      <c r="AG47" s="22">
        <v>-24523.66</v>
      </c>
      <c r="AH47" s="22">
        <v>-22439.83</v>
      </c>
    </row>
    <row r="48" spans="1:34" x14ac:dyDescent="0.3">
      <c r="A48" s="22" t="s">
        <v>328</v>
      </c>
      <c r="B48" s="22">
        <v>0</v>
      </c>
      <c r="C48" s="22">
        <v>0</v>
      </c>
      <c r="D48" s="22">
        <v>0</v>
      </c>
      <c r="E48" s="22">
        <v>0</v>
      </c>
      <c r="F48" s="22">
        <v>-5900</v>
      </c>
      <c r="H48" s="23" t="s">
        <v>373</v>
      </c>
      <c r="I48" s="23">
        <f>SUM(I41:I47)</f>
        <v>-4199.66</v>
      </c>
      <c r="J48" s="23">
        <f t="shared" ref="J48:M48" si="19">SUM(J41:J47)</f>
        <v>-3901.94</v>
      </c>
      <c r="K48" s="23">
        <f t="shared" si="19"/>
        <v>-3356.6099999999997</v>
      </c>
      <c r="L48" s="23">
        <f t="shared" si="19"/>
        <v>-3623.1400000000003</v>
      </c>
      <c r="M48" s="23">
        <f t="shared" si="19"/>
        <v>-2599.7799999999997</v>
      </c>
      <c r="O48" s="22" t="s">
        <v>410</v>
      </c>
      <c r="P48" s="22">
        <v>-57.19</v>
      </c>
      <c r="Q48" s="22">
        <v>128.52000000000001</v>
      </c>
      <c r="R48" s="22">
        <v>-85.98</v>
      </c>
      <c r="S48" s="22">
        <v>-162.15</v>
      </c>
      <c r="T48" s="22">
        <v>-241.21</v>
      </c>
      <c r="V48" s="22" t="s">
        <v>479</v>
      </c>
      <c r="W48" s="22">
        <v>6.96</v>
      </c>
      <c r="X48" s="22">
        <v>2.21</v>
      </c>
      <c r="Y48" s="22">
        <v>6.47</v>
      </c>
      <c r="Z48" s="22">
        <v>3.35</v>
      </c>
      <c r="AA48" s="22">
        <v>0</v>
      </c>
      <c r="AC48" s="22" t="s">
        <v>326</v>
      </c>
      <c r="AD48" s="22">
        <v>-812.62</v>
      </c>
      <c r="AE48" s="22">
        <v>-591.61</v>
      </c>
      <c r="AF48" s="22">
        <v>-7434.15</v>
      </c>
      <c r="AG48" s="22">
        <v>4343.4799999999996</v>
      </c>
      <c r="AH48" s="22">
        <v>5944.75</v>
      </c>
    </row>
    <row r="49" spans="1:34" x14ac:dyDescent="0.3">
      <c r="A49" s="22" t="s">
        <v>329</v>
      </c>
      <c r="B49" s="22">
        <v>-612.01</v>
      </c>
      <c r="C49" s="22">
        <v>-380.36</v>
      </c>
      <c r="D49" s="22">
        <v>-589.83000000000004</v>
      </c>
      <c r="E49" s="22">
        <v>-661.17</v>
      </c>
      <c r="F49" s="22">
        <v>-1631.93</v>
      </c>
      <c r="H49" s="23" t="s">
        <v>374</v>
      </c>
      <c r="I49" s="23">
        <v>0</v>
      </c>
      <c r="J49" s="23">
        <v>-713.02</v>
      </c>
      <c r="K49" s="23">
        <v>-492.08</v>
      </c>
      <c r="L49" s="23"/>
      <c r="M49" s="23">
        <v>-134.41999999999999</v>
      </c>
      <c r="O49" s="22" t="s">
        <v>411</v>
      </c>
      <c r="P49" s="22">
        <v>69.400000000000006</v>
      </c>
      <c r="Q49" s="22">
        <v>430.66</v>
      </c>
      <c r="R49" s="22">
        <v>550.91</v>
      </c>
      <c r="S49" s="22">
        <v>201.84</v>
      </c>
      <c r="T49" s="22">
        <v>445.06</v>
      </c>
      <c r="U49" s="65"/>
      <c r="V49" s="22" t="s">
        <v>480</v>
      </c>
      <c r="W49" s="22">
        <v>-1.57</v>
      </c>
      <c r="X49" s="22">
        <v>-1.24</v>
      </c>
      <c r="Y49" s="22">
        <v>-90.89</v>
      </c>
      <c r="Z49" s="22">
        <v>0.92</v>
      </c>
      <c r="AA49" s="22">
        <v>-10.69</v>
      </c>
      <c r="AC49" s="22" t="s">
        <v>482</v>
      </c>
      <c r="AD49" s="22">
        <v>-78.709999999999994</v>
      </c>
      <c r="AE49" s="22">
        <v>-57.03</v>
      </c>
      <c r="AF49" s="22">
        <v>-55.1</v>
      </c>
      <c r="AG49" s="22">
        <v>-230.1</v>
      </c>
      <c r="AH49" s="22">
        <v>-130.88999999999999</v>
      </c>
    </row>
    <row r="50" spans="1:34" x14ac:dyDescent="0.3">
      <c r="A50" s="22" t="s">
        <v>330</v>
      </c>
      <c r="B50" s="22">
        <v>-4870.67</v>
      </c>
      <c r="C50" s="22">
        <v>-3799.88</v>
      </c>
      <c r="D50" s="22">
        <v>-3946.5</v>
      </c>
      <c r="E50" s="22">
        <v>-3364.88</v>
      </c>
      <c r="F50" s="22">
        <v>-3430.86</v>
      </c>
      <c r="H50" s="23" t="s">
        <v>375</v>
      </c>
      <c r="I50" s="23">
        <f>I48+I49</f>
        <v>-4199.66</v>
      </c>
      <c r="J50" s="23">
        <f t="shared" ref="J50:M50" si="20">J48+J49</f>
        <v>-4614.96</v>
      </c>
      <c r="K50" s="23">
        <f t="shared" si="20"/>
        <v>-3848.6899999999996</v>
      </c>
      <c r="L50" s="23">
        <f t="shared" si="20"/>
        <v>-3623.1400000000003</v>
      </c>
      <c r="M50" s="23">
        <f t="shared" si="20"/>
        <v>-2734.2</v>
      </c>
      <c r="O50" s="22" t="s">
        <v>412</v>
      </c>
      <c r="P50" s="22"/>
      <c r="Q50" s="22"/>
      <c r="R50" s="22"/>
      <c r="S50" s="22"/>
      <c r="T50" s="22"/>
      <c r="U50" s="65"/>
      <c r="V50" s="22" t="s">
        <v>324</v>
      </c>
      <c r="W50" s="22">
        <v>750</v>
      </c>
      <c r="X50" s="22">
        <v>400</v>
      </c>
      <c r="Y50" s="22">
        <v>5662.87</v>
      </c>
      <c r="Z50" s="22">
        <v>9354.3799999999992</v>
      </c>
      <c r="AA50" s="22">
        <v>11025.18</v>
      </c>
      <c r="AC50" s="22" t="s">
        <v>483</v>
      </c>
      <c r="AD50" s="22">
        <v>-13399.15</v>
      </c>
      <c r="AE50" s="22">
        <v>-13307.37</v>
      </c>
      <c r="AF50" s="22">
        <v>-12732.88</v>
      </c>
      <c r="AG50" s="22">
        <v>-14822.25</v>
      </c>
      <c r="AH50" s="22">
        <v>-15831.78</v>
      </c>
    </row>
    <row r="51" spans="1:34" x14ac:dyDescent="0.3">
      <c r="A51" s="23" t="s">
        <v>331</v>
      </c>
      <c r="B51" s="23">
        <f>SUM(B43:B50)</f>
        <v>-2377.180000000003</v>
      </c>
      <c r="C51" s="23">
        <f t="shared" ref="C51:F51" si="21">SUM(C43:C50)</f>
        <v>-5654.840000000002</v>
      </c>
      <c r="D51" s="23">
        <f t="shared" si="21"/>
        <v>-10337.86</v>
      </c>
      <c r="E51" s="23">
        <f t="shared" si="21"/>
        <v>-10408.460000000003</v>
      </c>
      <c r="F51" s="23">
        <f t="shared" si="21"/>
        <v>-16864.030000000002</v>
      </c>
      <c r="H51" s="23" t="s">
        <v>376</v>
      </c>
      <c r="I51" s="23">
        <f>I31+I39+I50</f>
        <v>96.0600000000004</v>
      </c>
      <c r="J51" s="23">
        <f t="shared" ref="J51:M51" si="22">J31+J39+J50</f>
        <v>19.260000000000218</v>
      </c>
      <c r="K51" s="23">
        <f t="shared" si="22"/>
        <v>48.029999999999745</v>
      </c>
      <c r="L51" s="23">
        <f t="shared" si="22"/>
        <v>46.419999999999618</v>
      </c>
      <c r="M51" s="23">
        <f t="shared" si="22"/>
        <v>247.5</v>
      </c>
      <c r="O51" s="23" t="s">
        <v>413</v>
      </c>
      <c r="P51" s="23">
        <f>SUM(P6:P28,P30:P40,P42:P49)+P50+P4</f>
        <v>7984.409999999998</v>
      </c>
      <c r="Q51" s="23">
        <f>SUM(Q6:Q28,Q30:Q40,Q42:Q49)+Q50+Q4</f>
        <v>8905.0399999999991</v>
      </c>
      <c r="R51" s="23">
        <f t="shared" ref="R51:T51" si="23">SUM(R6:R28,R30:R40,R42:R49)+R50+R4</f>
        <v>7387.47</v>
      </c>
      <c r="S51" s="23">
        <f t="shared" si="23"/>
        <v>8029.83</v>
      </c>
      <c r="T51" s="23">
        <f t="shared" si="23"/>
        <v>13185.580000000004</v>
      </c>
      <c r="V51" s="22" t="s">
        <v>325</v>
      </c>
      <c r="W51" s="22">
        <v>-1457.01</v>
      </c>
      <c r="X51" s="22">
        <v>-2195.1</v>
      </c>
      <c r="Y51" s="22">
        <v>-6036.3</v>
      </c>
      <c r="Z51" s="22">
        <v>-970.08</v>
      </c>
      <c r="AA51" s="22">
        <v>-6723.27</v>
      </c>
      <c r="AC51" s="22" t="s">
        <v>484</v>
      </c>
      <c r="AD51" s="22">
        <f>-3133.37-641.72</f>
        <v>-3775.09</v>
      </c>
      <c r="AE51" s="22">
        <v>-5778.42</v>
      </c>
      <c r="AF51" s="22">
        <v>-7106.93</v>
      </c>
      <c r="AG51" s="22">
        <v>-7247.91</v>
      </c>
      <c r="AH51" s="22">
        <v>-7419.43</v>
      </c>
    </row>
    <row r="52" spans="1:34" x14ac:dyDescent="0.3">
      <c r="A52" s="23" t="s">
        <v>332</v>
      </c>
      <c r="B52" s="23">
        <f>B29+B41+B51</f>
        <v>892.25999999999749</v>
      </c>
      <c r="C52" s="23">
        <f t="shared" ref="C52:F52" si="24">C29+C41+C51</f>
        <v>-828.06000000000677</v>
      </c>
      <c r="D52" s="23">
        <f t="shared" si="24"/>
        <v>466.97999999999956</v>
      </c>
      <c r="E52" s="23">
        <f t="shared" si="24"/>
        <v>-433.50000000000546</v>
      </c>
      <c r="F52" s="23">
        <f t="shared" si="24"/>
        <v>791.14999999999054</v>
      </c>
      <c r="H52" s="23" t="s">
        <v>377</v>
      </c>
      <c r="I52" s="23">
        <v>28.88</v>
      </c>
      <c r="J52" s="23">
        <v>124.94</v>
      </c>
      <c r="K52" s="23">
        <v>144.19999999999999</v>
      </c>
      <c r="L52" s="23">
        <v>192.23</v>
      </c>
      <c r="M52" s="23">
        <v>238.65</v>
      </c>
      <c r="O52" s="22" t="s">
        <v>414</v>
      </c>
      <c r="P52" s="22">
        <v>-609.09</v>
      </c>
      <c r="Q52" s="22">
        <v>-447.03</v>
      </c>
      <c r="R52" s="22">
        <v>-694.74</v>
      </c>
      <c r="S52" s="22">
        <v>-870.7</v>
      </c>
      <c r="T52" s="22">
        <v>-589.47</v>
      </c>
      <c r="V52" s="22" t="s">
        <v>481</v>
      </c>
      <c r="W52" s="22">
        <v>0</v>
      </c>
      <c r="X52" s="22">
        <v>289.97000000000003</v>
      </c>
      <c r="Y52" s="22">
        <v>765.82</v>
      </c>
      <c r="Z52" s="22">
        <v>353.44</v>
      </c>
      <c r="AA52" s="22">
        <v>68.31</v>
      </c>
      <c r="AC52" s="22" t="s">
        <v>527</v>
      </c>
      <c r="AD52" s="22">
        <v>0</v>
      </c>
      <c r="AE52" s="22">
        <v>-2763.82</v>
      </c>
      <c r="AF52" s="22">
        <v>0</v>
      </c>
      <c r="AG52" s="22">
        <v>0</v>
      </c>
      <c r="AH52" s="22">
        <v>0</v>
      </c>
    </row>
    <row r="53" spans="1:34" x14ac:dyDescent="0.3">
      <c r="A53" s="23" t="s">
        <v>333</v>
      </c>
      <c r="B53" s="23">
        <v>24.27</v>
      </c>
      <c r="C53" s="23">
        <v>0</v>
      </c>
      <c r="D53" s="23">
        <v>202.35</v>
      </c>
      <c r="E53" s="23">
        <v>0.36</v>
      </c>
      <c r="F53" s="23">
        <v>-2.71</v>
      </c>
      <c r="H53" s="23" t="s">
        <v>378</v>
      </c>
      <c r="I53" s="23">
        <f>I51+I52</f>
        <v>124.9400000000004</v>
      </c>
      <c r="J53" s="23">
        <f t="shared" ref="J53:M53" si="25">J51+J52</f>
        <v>144.20000000000022</v>
      </c>
      <c r="K53" s="23">
        <f t="shared" si="25"/>
        <v>192.22999999999973</v>
      </c>
      <c r="L53" s="23">
        <f t="shared" si="25"/>
        <v>238.64999999999961</v>
      </c>
      <c r="M53" s="23">
        <f t="shared" si="25"/>
        <v>486.15</v>
      </c>
      <c r="O53" s="23" t="s">
        <v>415</v>
      </c>
      <c r="P53" s="23">
        <f>P51+P52</f>
        <v>7375.3199999999979</v>
      </c>
      <c r="Q53" s="23">
        <f>Q51+Q52</f>
        <v>8458.0099999999984</v>
      </c>
      <c r="R53" s="23">
        <f t="shared" ref="R53:T53" si="26">R51+R52</f>
        <v>6692.7300000000005</v>
      </c>
      <c r="S53" s="23">
        <f t="shared" si="26"/>
        <v>7159.13</v>
      </c>
      <c r="T53" s="23">
        <f t="shared" si="26"/>
        <v>12596.110000000004</v>
      </c>
      <c r="V53" s="22" t="s">
        <v>482</v>
      </c>
      <c r="W53" s="22">
        <v>-2.97</v>
      </c>
      <c r="X53" s="22">
        <v>-3.02</v>
      </c>
      <c r="Y53" s="22">
        <v>-3.2</v>
      </c>
      <c r="Z53" s="22">
        <v>-9.91</v>
      </c>
      <c r="AA53" s="22">
        <v>-29.7</v>
      </c>
      <c r="AC53" s="23" t="s">
        <v>523</v>
      </c>
      <c r="AD53" s="23">
        <f>SUM(AD46:AD52)</f>
        <v>6004.2600000000039</v>
      </c>
      <c r="AE53" s="23">
        <f>SUM(AE46:AE52)</f>
        <v>-11049.110000000002</v>
      </c>
      <c r="AF53" s="23">
        <f>SUM(AF46:AF52)</f>
        <v>-19171.559999999998</v>
      </c>
      <c r="AG53" s="23">
        <f>SUM(AG46:AG52)</f>
        <v>-14154.47</v>
      </c>
      <c r="AH53" s="23">
        <f>SUM(AH46:AH52)</f>
        <v>-8245.5300000000007</v>
      </c>
    </row>
    <row r="54" spans="1:34" x14ac:dyDescent="0.3">
      <c r="A54" s="23" t="s">
        <v>334</v>
      </c>
      <c r="B54" s="23">
        <v>0.03</v>
      </c>
      <c r="C54" s="23">
        <v>0</v>
      </c>
      <c r="D54" s="23">
        <v>0</v>
      </c>
      <c r="E54" s="23">
        <v>0</v>
      </c>
      <c r="F54" s="23">
        <v>-1.42</v>
      </c>
      <c r="O54" s="159" t="s">
        <v>416</v>
      </c>
      <c r="P54" s="159"/>
      <c r="Q54" s="159"/>
      <c r="R54" s="159"/>
      <c r="S54" s="159"/>
      <c r="T54" s="159"/>
      <c r="V54" s="22" t="s">
        <v>483</v>
      </c>
      <c r="W54" s="22">
        <v>-1062.1400000000001</v>
      </c>
      <c r="X54" s="22">
        <v>-843.29</v>
      </c>
      <c r="Y54" s="22">
        <v>-757.42</v>
      </c>
      <c r="Z54" s="22">
        <v>-1075.81</v>
      </c>
      <c r="AA54" s="22">
        <v>-2308.1799999999998</v>
      </c>
      <c r="AC54" s="22" t="s">
        <v>526</v>
      </c>
      <c r="AD54" s="22">
        <v>-0.03</v>
      </c>
      <c r="AE54" s="22"/>
      <c r="AF54" s="22">
        <v>0</v>
      </c>
      <c r="AG54" s="22"/>
      <c r="AH54" s="22">
        <v>0</v>
      </c>
    </row>
    <row r="55" spans="1:34" x14ac:dyDescent="0.3">
      <c r="A55" s="23" t="s">
        <v>335</v>
      </c>
      <c r="B55" s="23">
        <v>24.54</v>
      </c>
      <c r="C55" s="23">
        <v>941.1</v>
      </c>
      <c r="D55" s="23">
        <v>113.04</v>
      </c>
      <c r="E55" s="23">
        <v>782.37</v>
      </c>
      <c r="F55" s="23">
        <v>349.23</v>
      </c>
      <c r="O55" s="22" t="s">
        <v>417</v>
      </c>
      <c r="P55" s="22">
        <v>-2225.81</v>
      </c>
      <c r="Q55" s="22">
        <v>-3335.79</v>
      </c>
      <c r="R55" s="22">
        <v>-7267.86</v>
      </c>
      <c r="S55" s="22">
        <v>-7656.01</v>
      </c>
      <c r="T55" s="22">
        <v>-13332.75</v>
      </c>
      <c r="V55" s="22" t="s">
        <v>484</v>
      </c>
      <c r="W55" s="22">
        <v>-197.86</v>
      </c>
      <c r="X55" s="22">
        <v>-164.28</v>
      </c>
      <c r="Y55" s="22">
        <v>-328.66</v>
      </c>
      <c r="Z55" s="22">
        <v>-328.81</v>
      </c>
      <c r="AA55" s="22">
        <v>-346.82</v>
      </c>
      <c r="AC55" s="23" t="s">
        <v>332</v>
      </c>
      <c r="AD55" s="23">
        <f>AD34+AD44+AD53+AD54</f>
        <v>265.78000000000679</v>
      </c>
      <c r="AE55" s="23">
        <f>AE34+AE44+AE53+AE54</f>
        <v>360.49999999999454</v>
      </c>
      <c r="AF55" s="23">
        <f>AF34+AF44+AF53+AF54</f>
        <v>-274.24999999999272</v>
      </c>
      <c r="AG55" s="23">
        <f>AG34+AG44+AG53+AG54</f>
        <v>-210.1200000000008</v>
      </c>
      <c r="AH55" s="23">
        <f>AH34+AH44+AH53+AH54</f>
        <v>397.68999999999687</v>
      </c>
    </row>
    <row r="56" spans="1:34" x14ac:dyDescent="0.3">
      <c r="A56" s="23" t="s">
        <v>336</v>
      </c>
      <c r="B56" s="23">
        <f>SUM(B52:B55)</f>
        <v>941.09999999999741</v>
      </c>
      <c r="C56" s="23">
        <f t="shared" ref="C56:F56" si="27">SUM(C52:C55)</f>
        <v>113.03999999999326</v>
      </c>
      <c r="D56" s="23">
        <f t="shared" si="27"/>
        <v>782.36999999999955</v>
      </c>
      <c r="E56" s="23">
        <f t="shared" si="27"/>
        <v>349.22999999999456</v>
      </c>
      <c r="F56" s="23">
        <f t="shared" si="27"/>
        <v>1136.2499999999905</v>
      </c>
      <c r="O56" s="22" t="s">
        <v>312</v>
      </c>
      <c r="P56" s="22">
        <v>36.369999999999997</v>
      </c>
      <c r="Q56" s="22">
        <v>1549.09</v>
      </c>
      <c r="R56" s="22">
        <v>34.909999999999997</v>
      </c>
      <c r="S56" s="22">
        <v>50.29</v>
      </c>
      <c r="T56" s="22">
        <v>146.19999999999999</v>
      </c>
      <c r="V56" s="23" t="s">
        <v>485</v>
      </c>
      <c r="W56" s="23">
        <f>SUM(W48:W55)</f>
        <v>-1964.5900000000001</v>
      </c>
      <c r="X56" s="23">
        <f t="shared" ref="X56:AA56" si="28">SUM(X48:X55)</f>
        <v>-2514.75</v>
      </c>
      <c r="Y56" s="23">
        <f t="shared" si="28"/>
        <v>-781.31000000000029</v>
      </c>
      <c r="Z56" s="23">
        <f t="shared" si="28"/>
        <v>7327.4800000000005</v>
      </c>
      <c r="AA56" s="23">
        <f t="shared" si="28"/>
        <v>1674.8300000000002</v>
      </c>
      <c r="AC56" s="23" t="s">
        <v>335</v>
      </c>
      <c r="AD56" s="23">
        <v>323.74</v>
      </c>
      <c r="AE56" s="23">
        <v>589.52</v>
      </c>
      <c r="AF56" s="23">
        <v>950.02</v>
      </c>
      <c r="AG56" s="23">
        <v>675.77</v>
      </c>
      <c r="AH56" s="23">
        <v>465.65</v>
      </c>
    </row>
    <row r="57" spans="1:34" x14ac:dyDescent="0.3">
      <c r="O57" s="22" t="s">
        <v>418</v>
      </c>
      <c r="P57" s="22">
        <v>0</v>
      </c>
      <c r="Q57" s="22">
        <v>420.85</v>
      </c>
      <c r="R57" s="22">
        <v>164</v>
      </c>
      <c r="S57" s="22">
        <v>-638.41999999999996</v>
      </c>
      <c r="T57" s="22">
        <v>-248.23</v>
      </c>
      <c r="V57" s="23" t="s">
        <v>486</v>
      </c>
      <c r="W57" s="23">
        <f>W30+W46+W56</f>
        <v>421.71000000000004</v>
      </c>
      <c r="X57" s="23">
        <f t="shared" ref="X57:AA57" si="29">X30+X46+X56</f>
        <v>152.55000000000018</v>
      </c>
      <c r="Y57" s="23">
        <f t="shared" si="29"/>
        <v>778.48999999999899</v>
      </c>
      <c r="Z57" s="23">
        <f t="shared" si="29"/>
        <v>2402.2699999999995</v>
      </c>
      <c r="AA57" s="23">
        <f t="shared" si="29"/>
        <v>-409.27000000000021</v>
      </c>
      <c r="AC57" s="23" t="s">
        <v>336</v>
      </c>
      <c r="AD57" s="23">
        <f>AD55+AD56</f>
        <v>589.5200000000068</v>
      </c>
      <c r="AE57" s="23">
        <f t="shared" ref="AE57:AH57" si="30">AE55+AE56</f>
        <v>950.01999999999452</v>
      </c>
      <c r="AF57" s="23">
        <f t="shared" si="30"/>
        <v>675.77000000000726</v>
      </c>
      <c r="AG57" s="23">
        <f t="shared" si="30"/>
        <v>465.64999999999918</v>
      </c>
      <c r="AH57" s="23">
        <f t="shared" si="30"/>
        <v>863.33999999999685</v>
      </c>
    </row>
    <row r="58" spans="1:34" x14ac:dyDescent="0.3">
      <c r="O58" s="22" t="s">
        <v>419</v>
      </c>
      <c r="P58" s="22">
        <v>-305.51</v>
      </c>
      <c r="Q58" s="22">
        <v>83.44</v>
      </c>
      <c r="R58" s="22">
        <v>-585.05999999999995</v>
      </c>
      <c r="S58" s="22">
        <v>-345.15</v>
      </c>
      <c r="T58" s="22">
        <v>-96.08</v>
      </c>
      <c r="V58" s="23" t="s">
        <v>487</v>
      </c>
      <c r="W58" s="23">
        <v>474.43</v>
      </c>
      <c r="X58" s="23">
        <v>895.76</v>
      </c>
      <c r="Y58" s="23">
        <v>1051.07</v>
      </c>
      <c r="Z58" s="23">
        <v>1835.12</v>
      </c>
      <c r="AA58" s="23">
        <v>4468.74</v>
      </c>
    </row>
    <row r="59" spans="1:34" x14ac:dyDescent="0.3">
      <c r="O59" s="22" t="s">
        <v>420</v>
      </c>
      <c r="P59" s="22">
        <v>0</v>
      </c>
      <c r="Q59" s="22">
        <v>-720.75</v>
      </c>
      <c r="R59" s="22">
        <v>0</v>
      </c>
      <c r="S59" s="22">
        <v>10.45</v>
      </c>
      <c r="T59" s="22">
        <v>43.84</v>
      </c>
      <c r="V59" s="22" t="s">
        <v>488</v>
      </c>
      <c r="W59" s="22">
        <v>0</v>
      </c>
      <c r="X59" s="22">
        <v>0</v>
      </c>
      <c r="Y59" s="22">
        <v>0</v>
      </c>
      <c r="Z59" s="22">
        <v>224.94</v>
      </c>
      <c r="AA59" s="22">
        <v>121.22</v>
      </c>
    </row>
    <row r="60" spans="1:34" x14ac:dyDescent="0.3">
      <c r="O60" s="22" t="s">
        <v>421</v>
      </c>
      <c r="P60" s="22">
        <v>-615.26</v>
      </c>
      <c r="Q60" s="22">
        <v>-80.260000000000005</v>
      </c>
      <c r="R60" s="22">
        <v>195.8</v>
      </c>
      <c r="S60" s="22">
        <v>879.38</v>
      </c>
      <c r="T60" s="22">
        <v>341.8</v>
      </c>
      <c r="V60" s="22" t="s">
        <v>489</v>
      </c>
      <c r="W60" s="22">
        <v>0.48</v>
      </c>
      <c r="X60" s="22">
        <v>1.48</v>
      </c>
      <c r="Y60" s="22">
        <v>4.5</v>
      </c>
      <c r="Z60" s="22">
        <v>7.17</v>
      </c>
      <c r="AA60" s="22">
        <v>-2.95</v>
      </c>
    </row>
    <row r="61" spans="1:34" x14ac:dyDescent="0.3">
      <c r="O61" s="22" t="s">
        <v>422</v>
      </c>
      <c r="P61" s="22">
        <v>577.88</v>
      </c>
      <c r="Q61" s="22">
        <v>844.32</v>
      </c>
      <c r="R61" s="38">
        <v>0</v>
      </c>
      <c r="S61" s="22">
        <v>0</v>
      </c>
      <c r="T61" s="22">
        <v>-0.34</v>
      </c>
      <c r="V61" s="22" t="s">
        <v>490</v>
      </c>
      <c r="W61" s="22">
        <v>-0.86</v>
      </c>
      <c r="X61" s="22">
        <v>1.28</v>
      </c>
      <c r="Y61" s="22">
        <v>1.06</v>
      </c>
      <c r="Z61" s="22">
        <v>-0.76</v>
      </c>
      <c r="AA61" s="22">
        <v>2.33</v>
      </c>
    </row>
    <row r="62" spans="1:34" x14ac:dyDescent="0.3">
      <c r="O62" s="22" t="s">
        <v>423</v>
      </c>
      <c r="P62" s="22">
        <v>0</v>
      </c>
      <c r="Q62" s="22">
        <v>5.46</v>
      </c>
      <c r="R62" s="22">
        <v>0.22</v>
      </c>
      <c r="S62" s="22">
        <v>-2.15</v>
      </c>
      <c r="T62" s="22">
        <v>16.510000000000002</v>
      </c>
      <c r="V62" s="23" t="s">
        <v>491</v>
      </c>
      <c r="W62" s="23">
        <f>SUM(W57:W61)</f>
        <v>895.7600000000001</v>
      </c>
      <c r="X62" s="23">
        <f t="shared" ref="X62:AA62" si="31">SUM(X57:X61)</f>
        <v>1051.0700000000002</v>
      </c>
      <c r="Y62" s="23">
        <f t="shared" si="31"/>
        <v>1835.119999999999</v>
      </c>
      <c r="Z62" s="23">
        <f t="shared" si="31"/>
        <v>4468.7399999999989</v>
      </c>
      <c r="AA62" s="23">
        <f t="shared" si="31"/>
        <v>4180.07</v>
      </c>
    </row>
    <row r="63" spans="1:34" x14ac:dyDescent="0.3">
      <c r="O63" s="22" t="s">
        <v>424</v>
      </c>
      <c r="P63" s="22">
        <v>164.92</v>
      </c>
      <c r="Q63" s="22">
        <v>161.12</v>
      </c>
      <c r="R63" s="22">
        <v>151.24</v>
      </c>
      <c r="S63" s="22">
        <v>314.97000000000003</v>
      </c>
      <c r="T63" s="22">
        <v>660.68</v>
      </c>
    </row>
    <row r="64" spans="1:34" x14ac:dyDescent="0.3">
      <c r="O64" s="22" t="s">
        <v>425</v>
      </c>
      <c r="P64" s="22">
        <v>49.61</v>
      </c>
      <c r="Q64" s="22">
        <v>66.27</v>
      </c>
      <c r="R64" s="22">
        <v>68.31</v>
      </c>
      <c r="S64" s="22">
        <v>143.1</v>
      </c>
      <c r="T64" s="22">
        <v>195.7</v>
      </c>
    </row>
    <row r="65" spans="15:20" x14ac:dyDescent="0.3">
      <c r="O65" s="22" t="s">
        <v>426</v>
      </c>
      <c r="P65" s="22">
        <v>3.84</v>
      </c>
      <c r="Q65" s="22">
        <v>3.15</v>
      </c>
      <c r="R65" s="22">
        <v>9.61</v>
      </c>
      <c r="S65" s="22">
        <v>11.15</v>
      </c>
      <c r="T65" s="22">
        <v>12.12</v>
      </c>
    </row>
    <row r="66" spans="15:20" x14ac:dyDescent="0.3">
      <c r="O66" s="22" t="s">
        <v>427</v>
      </c>
      <c r="P66" s="22">
        <v>1894.53</v>
      </c>
      <c r="Q66" s="22">
        <v>1846.06</v>
      </c>
      <c r="R66" s="22">
        <v>1855.6</v>
      </c>
      <c r="S66" s="22">
        <v>3310.34</v>
      </c>
      <c r="T66" s="22">
        <v>2316.6999999999998</v>
      </c>
    </row>
    <row r="67" spans="15:20" x14ac:dyDescent="0.3">
      <c r="O67" s="22" t="s">
        <v>428</v>
      </c>
      <c r="P67" s="22">
        <v>0</v>
      </c>
      <c r="Q67" s="22">
        <v>0</v>
      </c>
      <c r="R67" s="22">
        <v>0</v>
      </c>
      <c r="S67" s="22"/>
      <c r="T67" s="22">
        <v>-280.05</v>
      </c>
    </row>
    <row r="68" spans="15:20" x14ac:dyDescent="0.3">
      <c r="O68" s="22" t="s">
        <v>429</v>
      </c>
      <c r="P68" s="22">
        <v>-123.5</v>
      </c>
      <c r="Q68" s="22">
        <v>-175.36</v>
      </c>
      <c r="R68" s="22">
        <v>-903.34</v>
      </c>
      <c r="S68" s="22">
        <v>-3453.2</v>
      </c>
      <c r="T68" s="22">
        <v>1189.0899999999999</v>
      </c>
    </row>
    <row r="69" spans="15:20" x14ac:dyDescent="0.3">
      <c r="O69" s="23" t="s">
        <v>430</v>
      </c>
      <c r="P69" s="23">
        <f>SUM(P55:P68)</f>
        <v>-542.92999999999961</v>
      </c>
      <c r="Q69" s="23">
        <f t="shared" ref="Q69:T69" si="32">SUM(Q55:Q68)</f>
        <v>667.59999999999991</v>
      </c>
      <c r="R69" s="23">
        <f t="shared" si="32"/>
        <v>-6276.57</v>
      </c>
      <c r="S69" s="23">
        <f t="shared" si="32"/>
        <v>-7375.2499999999973</v>
      </c>
      <c r="T69" s="23">
        <f t="shared" si="32"/>
        <v>-9034.8099999999977</v>
      </c>
    </row>
    <row r="70" spans="15:20" x14ac:dyDescent="0.3">
      <c r="O70" s="159" t="s">
        <v>431</v>
      </c>
      <c r="P70" s="159"/>
      <c r="Q70" s="159"/>
      <c r="R70" s="159"/>
      <c r="S70" s="159"/>
      <c r="T70" s="159"/>
    </row>
    <row r="71" spans="15:20" ht="28.8" x14ac:dyDescent="0.3">
      <c r="O71" s="59" t="s">
        <v>432</v>
      </c>
      <c r="P71" s="22">
        <v>20.07</v>
      </c>
      <c r="Q71" s="22">
        <v>2996.06</v>
      </c>
      <c r="R71" s="22">
        <v>11.33</v>
      </c>
      <c r="S71" s="22">
        <v>4008.41</v>
      </c>
      <c r="T71" s="22">
        <v>113.89</v>
      </c>
    </row>
    <row r="72" spans="15:20" ht="28.8" x14ac:dyDescent="0.3">
      <c r="O72" s="59" t="s">
        <v>433</v>
      </c>
      <c r="P72" s="22">
        <v>80.099999999999994</v>
      </c>
      <c r="Q72" s="22">
        <v>155.16</v>
      </c>
      <c r="R72" s="22">
        <v>-1500</v>
      </c>
      <c r="S72" s="22">
        <v>0</v>
      </c>
      <c r="T72" s="22">
        <v>1003.94</v>
      </c>
    </row>
    <row r="73" spans="15:20" x14ac:dyDescent="0.3">
      <c r="O73" s="22" t="s">
        <v>324</v>
      </c>
      <c r="P73" s="22">
        <v>7188.37</v>
      </c>
      <c r="Q73" s="22">
        <v>5602.19</v>
      </c>
      <c r="R73" s="22">
        <v>746.26</v>
      </c>
      <c r="S73" s="22">
        <v>1452.3</v>
      </c>
      <c r="T73" s="22">
        <v>17082.53</v>
      </c>
    </row>
    <row r="74" spans="15:20" x14ac:dyDescent="0.3">
      <c r="O74" s="22" t="s">
        <v>325</v>
      </c>
      <c r="P74" s="22">
        <v>-5607.42</v>
      </c>
      <c r="Q74" s="22">
        <v>-7453.61</v>
      </c>
      <c r="R74" s="22">
        <v>11473.88</v>
      </c>
      <c r="S74" s="22">
        <v>10730.41</v>
      </c>
      <c r="T74" s="22">
        <v>-12438.65</v>
      </c>
    </row>
    <row r="75" spans="15:20" x14ac:dyDescent="0.3">
      <c r="O75" s="22" t="s">
        <v>434</v>
      </c>
      <c r="P75" s="22">
        <v>-1687.99</v>
      </c>
      <c r="Q75" s="22">
        <v>-4121.95</v>
      </c>
      <c r="R75" s="22">
        <v>-5684.28</v>
      </c>
      <c r="S75" s="22">
        <v>-11838.99</v>
      </c>
      <c r="T75" s="22">
        <v>51806.02</v>
      </c>
    </row>
    <row r="76" spans="15:20" x14ac:dyDescent="0.3">
      <c r="O76" s="22" t="s">
        <v>435</v>
      </c>
      <c r="P76" s="22">
        <v>-4002.5</v>
      </c>
      <c r="Q76" s="22">
        <v>-3731.42</v>
      </c>
      <c r="R76" s="22">
        <v>-1632.59</v>
      </c>
      <c r="S76" s="22">
        <v>2277.5300000000002</v>
      </c>
      <c r="T76" s="22">
        <v>-55937.31</v>
      </c>
    </row>
    <row r="77" spans="15:20" x14ac:dyDescent="0.3">
      <c r="O77" s="22" t="s">
        <v>330</v>
      </c>
      <c r="P77" s="22">
        <v>-330.03</v>
      </c>
      <c r="Q77" s="22">
        <v>-351.78</v>
      </c>
      <c r="R77" s="22">
        <v>-3555.18</v>
      </c>
      <c r="S77" s="22">
        <v>-4108.41</v>
      </c>
      <c r="T77" s="22">
        <v>-4776.53</v>
      </c>
    </row>
    <row r="78" spans="15:20" x14ac:dyDescent="0.3">
      <c r="O78" s="22" t="s">
        <v>436</v>
      </c>
      <c r="P78" s="22">
        <v>-500.57</v>
      </c>
      <c r="Q78" s="22">
        <v>-526.29</v>
      </c>
      <c r="R78" s="22">
        <v>-383.85</v>
      </c>
      <c r="S78" s="22">
        <v>-393.59</v>
      </c>
      <c r="T78" s="22">
        <v>-464.55</v>
      </c>
    </row>
    <row r="79" spans="15:20" x14ac:dyDescent="0.3">
      <c r="O79" s="22" t="s">
        <v>437</v>
      </c>
      <c r="P79" s="22">
        <v>-98.6</v>
      </c>
      <c r="Q79" s="22">
        <v>0</v>
      </c>
      <c r="R79" s="22">
        <v>-558.51</v>
      </c>
      <c r="S79" s="22">
        <v>-786.89</v>
      </c>
      <c r="T79" s="22">
        <v>-639.07000000000005</v>
      </c>
    </row>
    <row r="80" spans="15:20" x14ac:dyDescent="0.3">
      <c r="O80" s="22" t="s">
        <v>438</v>
      </c>
      <c r="P80" s="22">
        <v>-171</v>
      </c>
      <c r="Q80" s="22">
        <v>-171.24</v>
      </c>
      <c r="R80" s="22">
        <v>-100.26</v>
      </c>
      <c r="S80" s="22">
        <v>0</v>
      </c>
      <c r="T80" s="22">
        <v>-247.7</v>
      </c>
    </row>
    <row r="81" spans="15:20" x14ac:dyDescent="0.3">
      <c r="O81" s="23" t="s">
        <v>439</v>
      </c>
      <c r="P81" s="23">
        <f>SUM(P71:P80)</f>
        <v>-5109.57</v>
      </c>
      <c r="Q81" s="23">
        <f t="shared" ref="Q81:T81" si="33">SUM(Q71:Q80)</f>
        <v>-7602.8799999999992</v>
      </c>
      <c r="R81" s="23">
        <f t="shared" si="33"/>
        <v>-1183.2000000000005</v>
      </c>
      <c r="S81" s="23">
        <f t="shared" si="33"/>
        <v>1340.77</v>
      </c>
      <c r="T81" s="23">
        <f t="shared" si="33"/>
        <v>-4497.4300000000012</v>
      </c>
    </row>
    <row r="82" spans="15:20" x14ac:dyDescent="0.3">
      <c r="O82" s="23" t="s">
        <v>376</v>
      </c>
      <c r="P82" s="23">
        <f>P53+P69+P81</f>
        <v>1722.8199999999988</v>
      </c>
      <c r="Q82" s="23">
        <f t="shared" ref="Q82:T82" si="34">Q53+Q69+Q81</f>
        <v>1522.7299999999996</v>
      </c>
      <c r="R82" s="23">
        <f t="shared" si="34"/>
        <v>-767.03999999999974</v>
      </c>
      <c r="S82" s="23">
        <f t="shared" si="34"/>
        <v>1124.6500000000028</v>
      </c>
      <c r="T82" s="23">
        <f t="shared" si="34"/>
        <v>-936.12999999999465</v>
      </c>
    </row>
    <row r="83" spans="15:20" x14ac:dyDescent="0.3">
      <c r="O83" s="23" t="s">
        <v>440</v>
      </c>
      <c r="P83" s="23">
        <v>61.52</v>
      </c>
      <c r="Q83" s="23">
        <v>1834.39</v>
      </c>
      <c r="R83" s="23">
        <v>3569.96</v>
      </c>
      <c r="S83" s="23">
        <v>2829.02</v>
      </c>
      <c r="T83" s="23">
        <v>4072.28</v>
      </c>
    </row>
    <row r="84" spans="15:20" x14ac:dyDescent="0.3">
      <c r="O84" s="22" t="s">
        <v>442</v>
      </c>
      <c r="P84" s="58">
        <v>50.04</v>
      </c>
      <c r="Q84" s="58">
        <v>-120.55</v>
      </c>
      <c r="R84" s="58">
        <v>89.53</v>
      </c>
      <c r="S84" s="58">
        <v>0</v>
      </c>
      <c r="T84" s="58">
        <v>7.7</v>
      </c>
    </row>
    <row r="85" spans="15:20" x14ac:dyDescent="0.3">
      <c r="O85" s="22" t="s">
        <v>524</v>
      </c>
      <c r="P85" s="22">
        <v>0</v>
      </c>
      <c r="Q85" s="22">
        <v>446.29</v>
      </c>
      <c r="R85" s="22">
        <v>-63.43</v>
      </c>
      <c r="S85" s="22">
        <v>118.61</v>
      </c>
      <c r="T85" s="22">
        <v>0</v>
      </c>
    </row>
    <row r="86" spans="15:20" x14ac:dyDescent="0.3">
      <c r="O86" s="23" t="s">
        <v>441</v>
      </c>
      <c r="P86" s="23">
        <f>P82+P83+P84</f>
        <v>1834.3799999999987</v>
      </c>
      <c r="Q86" s="23">
        <f>Q82+Q83+Q84+Q85</f>
        <v>3682.8599999999997</v>
      </c>
      <c r="R86" s="23">
        <f t="shared" ref="R86:T86" si="35">R82+R83+R84+R85</f>
        <v>2829.0200000000004</v>
      </c>
      <c r="S86" s="23">
        <f t="shared" si="35"/>
        <v>4072.2800000000029</v>
      </c>
      <c r="T86" s="23">
        <f t="shared" si="35"/>
        <v>3143.8500000000054</v>
      </c>
    </row>
  </sheetData>
  <mergeCells count="31">
    <mergeCell ref="AC3:AH3"/>
    <mergeCell ref="A1:E1"/>
    <mergeCell ref="H1:L1"/>
    <mergeCell ref="O1:S1"/>
    <mergeCell ref="V1:Z1"/>
    <mergeCell ref="AC1:AG1"/>
    <mergeCell ref="A5:F5"/>
    <mergeCell ref="A19:F19"/>
    <mergeCell ref="A30:F30"/>
    <mergeCell ref="A42:F42"/>
    <mergeCell ref="H3:M3"/>
    <mergeCell ref="H19:M19"/>
    <mergeCell ref="H32:M32"/>
    <mergeCell ref="H40:M40"/>
    <mergeCell ref="A3:F3"/>
    <mergeCell ref="O54:T54"/>
    <mergeCell ref="O70:T70"/>
    <mergeCell ref="V3:AA3"/>
    <mergeCell ref="V5:AA5"/>
    <mergeCell ref="V22:AA22"/>
    <mergeCell ref="V31:AA31"/>
    <mergeCell ref="V47:AA47"/>
    <mergeCell ref="O3:T3"/>
    <mergeCell ref="AC8:AH8"/>
    <mergeCell ref="AC26:AH26"/>
    <mergeCell ref="AC35:AH35"/>
    <mergeCell ref="AC45:AH45"/>
    <mergeCell ref="H5:M5"/>
    <mergeCell ref="O29:T29"/>
    <mergeCell ref="O41:T41"/>
    <mergeCell ref="O5:T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7F3C-2F07-4C8C-9398-0ED607160F12}">
  <dimension ref="A1:AH29"/>
  <sheetViews>
    <sheetView tabSelected="1" topLeftCell="AD1" workbookViewId="0">
      <selection activeCell="AH32" sqref="AH32"/>
    </sheetView>
  </sheetViews>
  <sheetFormatPr defaultRowHeight="14.4" x14ac:dyDescent="0.3"/>
  <cols>
    <col min="1" max="1" width="25.33203125" bestFit="1" customWidth="1"/>
    <col min="2" max="2" width="15.88671875" style="71" bestFit="1" customWidth="1"/>
    <col min="3" max="6" width="13.33203125" style="71" bestFit="1" customWidth="1"/>
    <col min="8" max="8" width="25.33203125" bestFit="1" customWidth="1"/>
    <col min="9" max="13" width="10.5546875" style="76" bestFit="1" customWidth="1"/>
    <col min="15" max="15" width="25.33203125" bestFit="1" customWidth="1"/>
    <col min="16" max="19" width="10.5546875" bestFit="1" customWidth="1"/>
    <col min="20" max="20" width="10.88671875" bestFit="1" customWidth="1"/>
    <col min="21" max="21" width="9.5546875" bestFit="1" customWidth="1"/>
    <col min="22" max="22" width="25.33203125" bestFit="1" customWidth="1"/>
    <col min="23" max="27" width="10.5546875" bestFit="1" customWidth="1"/>
    <col min="29" max="29" width="26.109375" bestFit="1" customWidth="1"/>
    <col min="30" max="30" width="10.5546875" bestFit="1" customWidth="1"/>
    <col min="31" max="34" width="10.88671875" bestFit="1" customWidth="1"/>
  </cols>
  <sheetData>
    <row r="1" spans="1:34" ht="46.2" customHeight="1" x14ac:dyDescent="0.3">
      <c r="A1" s="160" t="s">
        <v>528</v>
      </c>
      <c r="B1" s="160"/>
      <c r="C1" s="160"/>
      <c r="D1" s="160"/>
      <c r="E1" s="160"/>
      <c r="F1" s="68" t="e" vm="1">
        <v>#VALUE!</v>
      </c>
      <c r="G1" s="38"/>
      <c r="H1" s="160" t="s">
        <v>529</v>
      </c>
      <c r="I1" s="160"/>
      <c r="J1" s="160"/>
      <c r="K1" s="160"/>
      <c r="L1" s="160"/>
      <c r="M1" s="73" t="e" vm="2">
        <v>#VALUE!</v>
      </c>
      <c r="O1" s="185" t="s">
        <v>530</v>
      </c>
      <c r="P1" s="185"/>
      <c r="Q1" s="185"/>
      <c r="R1" s="185"/>
      <c r="S1" s="185"/>
      <c r="T1" s="47" t="e" vm="12">
        <v>#VALUE!</v>
      </c>
      <c r="V1" s="185" t="s">
        <v>531</v>
      </c>
      <c r="W1" s="185"/>
      <c r="X1" s="185"/>
      <c r="Y1" s="185"/>
      <c r="Z1" s="185"/>
      <c r="AA1" s="47" t="e" vm="4">
        <v>#VALUE!</v>
      </c>
      <c r="AC1" s="160" t="s">
        <v>532</v>
      </c>
      <c r="AD1" s="160"/>
      <c r="AE1" s="160"/>
      <c r="AF1" s="160"/>
      <c r="AG1" s="160"/>
      <c r="AH1" s="50" t="e" vm="5">
        <v>#VALUE!</v>
      </c>
    </row>
    <row r="2" spans="1:34" x14ac:dyDescent="0.3">
      <c r="A2" s="23" t="s">
        <v>20</v>
      </c>
      <c r="B2" s="69" t="s">
        <v>21</v>
      </c>
      <c r="C2" s="69" t="s">
        <v>22</v>
      </c>
      <c r="D2" s="69" t="s">
        <v>23</v>
      </c>
      <c r="E2" s="69" t="s">
        <v>24</v>
      </c>
      <c r="F2" s="69" t="s">
        <v>25</v>
      </c>
      <c r="G2" s="38"/>
      <c r="H2" s="23" t="s">
        <v>20</v>
      </c>
      <c r="I2" s="74" t="s">
        <v>21</v>
      </c>
      <c r="J2" s="74" t="s">
        <v>22</v>
      </c>
      <c r="K2" s="74" t="s">
        <v>23</v>
      </c>
      <c r="L2" s="74" t="s">
        <v>24</v>
      </c>
      <c r="M2" s="74" t="s">
        <v>25</v>
      </c>
      <c r="O2" s="23" t="s">
        <v>20</v>
      </c>
      <c r="P2" s="23" t="s">
        <v>21</v>
      </c>
      <c r="Q2" s="23" t="s">
        <v>22</v>
      </c>
      <c r="R2" s="23" t="s">
        <v>23</v>
      </c>
      <c r="S2" s="23" t="s">
        <v>24</v>
      </c>
      <c r="T2" s="23" t="s">
        <v>25</v>
      </c>
      <c r="V2" s="23" t="s">
        <v>20</v>
      </c>
      <c r="W2" s="23" t="s">
        <v>21</v>
      </c>
      <c r="X2" s="23" t="s">
        <v>22</v>
      </c>
      <c r="Y2" s="23" t="s">
        <v>23</v>
      </c>
      <c r="Z2" s="23" t="s">
        <v>24</v>
      </c>
      <c r="AA2" s="23" t="s">
        <v>25</v>
      </c>
      <c r="AC2" s="57" t="s">
        <v>20</v>
      </c>
      <c r="AD2" s="23" t="s">
        <v>21</v>
      </c>
      <c r="AE2" s="23" t="s">
        <v>22</v>
      </c>
      <c r="AF2" s="23" t="s">
        <v>23</v>
      </c>
      <c r="AG2" s="23" t="s">
        <v>24</v>
      </c>
      <c r="AH2" s="23" t="s">
        <v>25</v>
      </c>
    </row>
    <row r="3" spans="1:34" x14ac:dyDescent="0.3">
      <c r="A3" s="155" t="s">
        <v>533</v>
      </c>
      <c r="B3" s="156"/>
      <c r="C3" s="156"/>
      <c r="D3" s="156"/>
      <c r="E3" s="156"/>
      <c r="F3" s="157"/>
      <c r="H3" s="155" t="s">
        <v>533</v>
      </c>
      <c r="I3" s="156"/>
      <c r="J3" s="156"/>
      <c r="K3" s="156"/>
      <c r="L3" s="156"/>
      <c r="M3" s="157"/>
      <c r="O3" s="155" t="s">
        <v>533</v>
      </c>
      <c r="P3" s="156"/>
      <c r="Q3" s="156"/>
      <c r="R3" s="156"/>
      <c r="S3" s="156"/>
      <c r="T3" s="157"/>
      <c r="V3" s="155" t="s">
        <v>533</v>
      </c>
      <c r="W3" s="156"/>
      <c r="X3" s="156"/>
      <c r="Y3" s="156"/>
      <c r="Z3" s="156"/>
      <c r="AA3" s="157"/>
      <c r="AC3" s="155" t="s">
        <v>533</v>
      </c>
      <c r="AD3" s="156"/>
      <c r="AE3" s="156"/>
      <c r="AF3" s="156"/>
      <c r="AG3" s="156"/>
      <c r="AH3" s="157"/>
    </row>
    <row r="4" spans="1:34" x14ac:dyDescent="0.3">
      <c r="A4" s="66" t="s">
        <v>534</v>
      </c>
      <c r="B4" s="70">
        <f>('Income Statement'!B6-('Income Statement'!B8+'Income Statement'!B9+'Income Statement'!B10))/'Income Statement'!B6</f>
        <v>0.32945056373849269</v>
      </c>
      <c r="C4" s="70">
        <f>('Income Statement'!C6-('Income Statement'!C8+'Income Statement'!C9+'Income Statement'!C10))/'Income Statement'!C6</f>
        <v>0.43833251390424338</v>
      </c>
      <c r="D4" s="70">
        <f>('Income Statement'!D6-('Income Statement'!D8+'Income Statement'!D9+'Income Statement'!D10))/'Income Statement'!D6</f>
        <v>0.49661353883850112</v>
      </c>
      <c r="E4" s="70">
        <f>('Income Statement'!E6-('Income Statement'!E8+'Income Statement'!E9+'Income Statement'!E10))/'Income Statement'!E6</f>
        <v>0.39093207981687961</v>
      </c>
      <c r="F4" s="70">
        <f>('Income Statement'!F6-('Income Statement'!F8+'Income Statement'!F9+'Income Statement'!F10))/'Income Statement'!F6</f>
        <v>0.51595597851943908</v>
      </c>
      <c r="H4" s="66" t="s">
        <v>534</v>
      </c>
      <c r="I4" s="77">
        <f>('Income Statement'!I6-('Income Statement'!I8+'Income Statement'!I9))/('Income Statement'!I6)</f>
        <v>0.62133933807259079</v>
      </c>
      <c r="J4" s="77">
        <f>('Income Statement'!J6-('Income Statement'!J8+'Income Statement'!J9))/('Income Statement'!J6)</f>
        <v>0.60985742555372768</v>
      </c>
      <c r="K4" s="77">
        <f>('Income Statement'!K6-('Income Statement'!K8+'Income Statement'!K9))/('Income Statement'!K6)</f>
        <v>0.58375798291341052</v>
      </c>
      <c r="L4" s="77">
        <f>('Income Statement'!L6-('Income Statement'!L8+'Income Statement'!L9))/('Income Statement'!L6)</f>
        <v>0.51367544787726094</v>
      </c>
      <c r="M4" s="77">
        <f>('Income Statement'!M6-('Income Statement'!M8+'Income Statement'!M9))/('Income Statement'!M6)</f>
        <v>0.51386462604552174</v>
      </c>
      <c r="O4" s="66" t="s">
        <v>534</v>
      </c>
      <c r="P4" s="77">
        <f>('Income Statement'!P5-('Income Statement'!P7+'Income Statement'!P8+'Income Statement'!P9+'Income Statement'!P10+'Income Statement'!P11))/'Income Statement'!P5</f>
        <v>0.41378020389925846</v>
      </c>
      <c r="Q4" s="77">
        <f>('Income Statement'!Q5-('Income Statement'!Q7+'Income Statement'!Q8+'Income Statement'!Q9+'Income Statement'!Q10+'Income Statement'!Q11))/'Income Statement'!Q5</f>
        <v>0.37486712690846474</v>
      </c>
      <c r="R4" s="77">
        <f>('Income Statement'!R5-('Income Statement'!R7+'Income Statement'!R8+'Income Statement'!R9+'Income Statement'!R10+'Income Statement'!R11))/'Income Statement'!R5</f>
        <v>0.36819362153923457</v>
      </c>
      <c r="S4" s="77">
        <f>('Income Statement'!S5-('Income Statement'!S7+'Income Statement'!S8+'Income Statement'!S9+'Income Statement'!S10+'Income Statement'!S11))/'Income Statement'!S5</f>
        <v>0.32793741854135749</v>
      </c>
      <c r="T4" s="77">
        <f>('Income Statement'!T5-('Income Statement'!T7+'Income Statement'!T8+'Income Statement'!T9+'Income Statement'!T10+'Income Statement'!T11))/'Income Statement'!T5</f>
        <v>0.35609141564589386</v>
      </c>
      <c r="V4" s="66" t="s">
        <v>534</v>
      </c>
      <c r="W4" s="70">
        <f>('Income Statement'!W8+'Income Statement'!W9)/'Income Statement'!W6</f>
        <v>0.52551669511395871</v>
      </c>
      <c r="X4" s="70">
        <f>('Income Statement'!X8+'Income Statement'!X9)/'Income Statement'!X6</f>
        <v>0.4585475546989029</v>
      </c>
      <c r="Y4" s="70">
        <f>('Income Statement'!Y8+'Income Statement'!Y9)/'Income Statement'!Y6</f>
        <v>0.40913752999139175</v>
      </c>
      <c r="Z4" s="70">
        <f>('Income Statement'!Z8+'Income Statement'!Z9)/'Income Statement'!Z6</f>
        <v>0.54635802724750515</v>
      </c>
      <c r="AA4" s="70">
        <f>('Income Statement'!AA8+'Income Statement'!AA9)/'Income Statement'!AA6</f>
        <v>0.39409278248651441</v>
      </c>
      <c r="AC4" s="66" t="s">
        <v>534</v>
      </c>
      <c r="AD4" s="77">
        <f>('Income Statement'!AD6-('Income Statement'!AD8+'Income Statement'!AD9))/'Income Statement'!AD6</f>
        <v>0.44495676792327804</v>
      </c>
      <c r="AE4" s="77">
        <f>('Income Statement'!AE6-('Income Statement'!AE8+'Income Statement'!AE9))/'Income Statement'!AE6</f>
        <v>0.47078877023281379</v>
      </c>
      <c r="AF4" s="77">
        <f>('Income Statement'!AF6-('Income Statement'!AF8+'Income Statement'!AF9))/'Income Statement'!AF6</f>
        <v>0.4419197372096646</v>
      </c>
      <c r="AG4" s="77">
        <f>('Income Statement'!AG6-('Income Statement'!AG8+'Income Statement'!AG9))/'Income Statement'!AG6</f>
        <v>0.40452626592500596</v>
      </c>
      <c r="AH4" s="77">
        <f>('Income Statement'!AH6-('Income Statement'!AH8+'Income Statement'!AH9))/'Income Statement'!AH6</f>
        <v>0.42596938518107114</v>
      </c>
    </row>
    <row r="5" spans="1:34" x14ac:dyDescent="0.3">
      <c r="A5" s="66" t="s">
        <v>535</v>
      </c>
      <c r="B5" s="70">
        <f>'Income Statement'!B16/'Income Statement'!B6</f>
        <v>-4.5324998626166783E-2</v>
      </c>
      <c r="C5" s="70">
        <f>'Income Statement'!C16/'Income Statement'!C6</f>
        <v>8.1306075237800271E-2</v>
      </c>
      <c r="D5" s="70">
        <f>'Income Statement'!D16/'Income Statement'!D6</f>
        <v>0.20756903498559492</v>
      </c>
      <c r="E5" s="70">
        <f>'Income Statement'!E16/'Income Statement'!E6</f>
        <v>0.17831336610245424</v>
      </c>
      <c r="F5" s="70">
        <f>'Income Statement'!F16/'Income Statement'!F6</f>
        <v>0.34490709252659352</v>
      </c>
      <c r="H5" s="66" t="s">
        <v>535</v>
      </c>
      <c r="I5" s="77">
        <f>'Income Statement'!I14/'Income Statement'!I6</f>
        <v>-2.7735750834206045E-2</v>
      </c>
      <c r="J5" s="77">
        <f>'Income Statement'!J14/'Income Statement'!J6</f>
        <v>4.8607634170183343E-2</v>
      </c>
      <c r="K5" s="77">
        <f>'Income Statement'!K14/'Income Statement'!K6</f>
        <v>-6.7831184391802454E-2</v>
      </c>
      <c r="L5" s="77">
        <f>'Income Statement'!L14/'Income Statement'!L6</f>
        <v>-0.16926982242215263</v>
      </c>
      <c r="M5" s="77">
        <f>'Income Statement'!M14/'Income Statement'!M6</f>
        <v>-0.24068337080202373</v>
      </c>
      <c r="O5" s="66" t="s">
        <v>535</v>
      </c>
      <c r="P5" s="77">
        <f>'Income Statement'!P17/'Income Statement'!P5</f>
        <v>4.6403613861486136E-2</v>
      </c>
      <c r="Q5" s="77">
        <f>'Income Statement'!Q17/'Income Statement'!Q5</f>
        <v>1.8585215334937441E-2</v>
      </c>
      <c r="R5" s="77">
        <f>'Income Statement'!R17/'Income Statement'!R5</f>
        <v>3.3151688909019858E-2</v>
      </c>
      <c r="S5" s="77">
        <f>'Income Statement'!S17/'Income Statement'!S5</f>
        <v>2.3581934352071069E-2</v>
      </c>
      <c r="T5" s="77">
        <f>'Income Statement'!T17/'Income Statement'!T5</f>
        <v>6.6184707625704317E-2</v>
      </c>
      <c r="V5" s="66" t="s">
        <v>535</v>
      </c>
      <c r="W5" s="70">
        <f>'Income Statement'!W17/'Income Statement'!W6</f>
        <v>0.12299043540128189</v>
      </c>
      <c r="X5" s="70">
        <f>'Income Statement'!X17/'Income Statement'!X6</f>
        <v>0.153441858191392</v>
      </c>
      <c r="Y5" s="70">
        <f>'Income Statement'!Y17/'Income Statement'!Y6</f>
        <v>0.25621691789226902</v>
      </c>
      <c r="Z5" s="70">
        <f>'Income Statement'!Z17/'Income Statement'!Z6</f>
        <v>0.16774009505799636</v>
      </c>
      <c r="AA5" s="70">
        <f>'Income Statement'!AA17/'Income Statement'!AA6</f>
        <v>0.18153142516458248</v>
      </c>
      <c r="AC5" s="66" t="s">
        <v>535</v>
      </c>
      <c r="AD5" s="77">
        <f>'Income Statement'!AD17/'Income Statement'!AD6</f>
        <v>0.14574231542961799</v>
      </c>
      <c r="AE5" s="77">
        <f>'Income Statement'!AE17/'Income Statement'!AE6</f>
        <v>0.1471172337657381</v>
      </c>
      <c r="AF5" s="77">
        <f>'Income Statement'!AF17/'Income Statement'!AF6</f>
        <v>0.15201314781341524</v>
      </c>
      <c r="AG5" s="77">
        <f>'Income Statement'!AG17/'Income Statement'!AG6</f>
        <v>0.13670624159267158</v>
      </c>
      <c r="AH5" s="77">
        <f>'Income Statement'!AH17/'Income Statement'!AH6</f>
        <v>0.14981547847922341</v>
      </c>
    </row>
    <row r="6" spans="1:34" x14ac:dyDescent="0.3">
      <c r="A6" s="66" t="s">
        <v>536</v>
      </c>
      <c r="B6" s="70">
        <f>'Income Statement'!B25/'Income Statement'!B6</f>
        <v>-8.1703380635095066E-2</v>
      </c>
      <c r="C6" s="70">
        <f>'Income Statement'!C25/'Income Statement'!C6</f>
        <v>4.5115255306632317E-2</v>
      </c>
      <c r="D6" s="70">
        <f>'Income Statement'!D25/'Income Statement'!D6</f>
        <v>0.15500559071427031</v>
      </c>
      <c r="E6" s="70">
        <f>'Income Statement'!E25/'Income Statement'!E6</f>
        <v>0.24922189601798497</v>
      </c>
      <c r="F6" s="70">
        <f>'Income Statement'!F25/'Income Statement'!F6</f>
        <v>0.34552552458897817</v>
      </c>
      <c r="H6" s="66" t="s">
        <v>536</v>
      </c>
      <c r="I6" s="77">
        <f>'Income Statement'!I32/'Income Statement'!I6</f>
        <v>-0.496999052717433</v>
      </c>
      <c r="J6" s="77">
        <f>'Income Statement'!J32/'Income Statement'!J6</f>
        <v>2.7254845862241618E-2</v>
      </c>
      <c r="K6" s="77">
        <f>'Income Statement'!K32/'Income Statement'!K6</f>
        <v>-7.8825456338390928E-2</v>
      </c>
      <c r="L6" s="77">
        <f>'Income Statement'!L32/'Income Statement'!L6</f>
        <v>-5.9721619639871375E-2</v>
      </c>
      <c r="M6" s="77">
        <f>'Income Statement'!M32/'Income Statement'!M6</f>
        <v>-0.25040222850937566</v>
      </c>
      <c r="O6" s="66" t="s">
        <v>536</v>
      </c>
      <c r="P6" s="77">
        <f>'Income Statement'!P44/'Income Statement'!P5</f>
        <v>4.4326101435133443E-2</v>
      </c>
      <c r="Q6" s="77">
        <f>'Income Statement'!Q44/'Income Statement'!Q5</f>
        <v>4.371820997990114E-2</v>
      </c>
      <c r="R6" s="77">
        <f>'Income Statement'!R44/'Income Statement'!R5</f>
        <v>4.9287274471637797E-2</v>
      </c>
      <c r="S6" s="77">
        <f>'Income Statement'!S44/'Income Statement'!S5</f>
        <v>6.7371624716386844E-2</v>
      </c>
      <c r="T6" s="77">
        <f>'Income Statement'!T44/'Income Statement'!T5</f>
        <v>6.7645694041249052E-2</v>
      </c>
      <c r="V6" s="66" t="s">
        <v>536</v>
      </c>
      <c r="W6" s="70">
        <f>'Income Statement'!W24/'Income Statement'!W6</f>
        <v>0.1263106491006098</v>
      </c>
      <c r="X6" s="70">
        <f>'Income Statement'!X24/'Income Statement'!X6</f>
        <v>0.1149050582081526</v>
      </c>
      <c r="Y6" s="70">
        <f>'Income Statement'!Y24/'Income Statement'!Y6</f>
        <v>0.19957783109580754</v>
      </c>
      <c r="Z6" s="70">
        <f>'Income Statement'!Z24/'Income Statement'!Z6</f>
        <v>0.13620255727175265</v>
      </c>
      <c r="AA6" s="70">
        <f>'Income Statement'!AA24/'Income Statement'!AA6</f>
        <v>0.14449848187206191</v>
      </c>
      <c r="AC6" s="66" t="s">
        <v>536</v>
      </c>
      <c r="AD6" s="77">
        <f>'Income Statement'!AD27/'Income Statement'!AD6</f>
        <v>0.10597700969400169</v>
      </c>
      <c r="AE6" s="77">
        <f>'Income Statement'!AE27/'Income Statement'!AE6</f>
        <v>0.12955266708744842</v>
      </c>
      <c r="AF6" s="77">
        <f>'Income Statement'!AF27/'Income Statement'!AF6</f>
        <v>0.12563707314774972</v>
      </c>
      <c r="AG6" s="77">
        <f>'Income Statement'!AG27/'Income Statement'!AG6</f>
        <v>9.6199697972498277E-2</v>
      </c>
      <c r="AH6" s="77">
        <f>'Income Statement'!AH27/'Income Statement'!AH6</f>
        <v>0.11774983432308939</v>
      </c>
    </row>
    <row r="7" spans="1:34" x14ac:dyDescent="0.3">
      <c r="A7" s="21" t="s">
        <v>537</v>
      </c>
      <c r="B7" s="70">
        <f>'Income Statement'!B16/('Balance Sheet'!B29-'Balance Sheet'!B57)</f>
        <v>-2.2203063735300812E-2</v>
      </c>
      <c r="C7" s="70">
        <f>'Income Statement'!C16/('Balance Sheet'!C29-'Balance Sheet'!C57)</f>
        <v>3.8095786583433447E-2</v>
      </c>
      <c r="D7" s="70">
        <f>'Income Statement'!D16/('Balance Sheet'!D29-'Balance Sheet'!D57)</f>
        <v>0.10144045060447415</v>
      </c>
      <c r="E7" s="70">
        <f>'Income Statement'!E16/('Balance Sheet'!E29-'Balance Sheet'!E57)</f>
        <v>0.11273610875265958</v>
      </c>
      <c r="F7" s="70">
        <f>'Income Statement'!F16/('Balance Sheet'!F29-'Balance Sheet'!F57)</f>
        <v>0.27165625110242086</v>
      </c>
      <c r="H7" s="21" t="s">
        <v>537</v>
      </c>
      <c r="I7" s="77">
        <f>'Income Statement'!I14/('Balance Sheet'!I30-'Balance Sheet'!I55)</f>
        <v>-6.0846301173410897E-3</v>
      </c>
      <c r="J7" s="77">
        <f>'Income Statement'!J14/('Balance Sheet'!J30-'Balance Sheet'!J55)</f>
        <v>1.169892490394831E-2</v>
      </c>
      <c r="K7" s="77">
        <f>'Income Statement'!K14/('Balance Sheet'!K30-'Balance Sheet'!K55)</f>
        <v>-1.600055483320172E-2</v>
      </c>
      <c r="L7" s="77">
        <f>'Income Statement'!L14/('Balance Sheet'!L30-'Balance Sheet'!L55)</f>
        <v>-4.4238686197454281E-2</v>
      </c>
      <c r="M7" s="77">
        <f>'Income Statement'!M14/('Balance Sheet'!M30-'Balance Sheet'!M55)</f>
        <v>-7.6825786197790152E-2</v>
      </c>
      <c r="O7" s="21" t="s">
        <v>537</v>
      </c>
      <c r="P7" s="77">
        <f>'Income Statement'!P17/('Balance Sheet'!I30-'Balance Sheet'!I55)</f>
        <v>3.6859218241373393E-2</v>
      </c>
      <c r="Q7" s="77">
        <f>'Income Statement'!Q17/('Balance Sheet'!J30-'Balance Sheet'!J55)</f>
        <v>1.75473831563599E-2</v>
      </c>
      <c r="R7" s="77">
        <f>'Income Statement'!R17/('Balance Sheet'!K30-'Balance Sheet'!K55)</f>
        <v>4.4494369885323092E-2</v>
      </c>
      <c r="S7" s="77">
        <f>'Income Statement'!S17/('Balance Sheet'!L30-'Balance Sheet'!L55)</f>
        <v>4.4211499319830656E-2</v>
      </c>
      <c r="T7" s="77">
        <f>'Income Statement'!T17/('Balance Sheet'!M30-'Balance Sheet'!M55)</f>
        <v>0.16182298266135411</v>
      </c>
      <c r="V7" s="21" t="s">
        <v>537</v>
      </c>
      <c r="W7" s="70">
        <f>'Income Statement'!W17/('Balance Sheet'!W30-'Balance Sheet'!W58)</f>
        <v>5.0767545921829013E-2</v>
      </c>
      <c r="X7" s="70">
        <f>'Income Statement'!X17/('Balance Sheet'!X30-'Balance Sheet'!X58)</f>
        <v>4.8042468074164305E-2</v>
      </c>
      <c r="Y7" s="70">
        <f>'Income Statement'!Y17/('Balance Sheet'!Y30-'Balance Sheet'!Y58)</f>
        <v>8.6621395225716699E-2</v>
      </c>
      <c r="Z7" s="70">
        <f>'Income Statement'!Z17/('Balance Sheet'!Z30-'Balance Sheet'!Z58)</f>
        <v>4.5873674504379874E-2</v>
      </c>
      <c r="AA7" s="70">
        <f>'Income Statement'!AA17/('Balance Sheet'!AA30-'Balance Sheet'!AA58)</f>
        <v>4.2508322604503636E-2</v>
      </c>
      <c r="AC7" s="21" t="s">
        <v>537</v>
      </c>
      <c r="AD7" s="77">
        <f>'Income Statement'!AD15/('Balance Sheet'!AD31-'Balance Sheet'!AD60)</f>
        <v>5.0875489749420286E-2</v>
      </c>
      <c r="AE7" s="77">
        <f>'Income Statement'!AE15/('Balance Sheet'!AE31-'Balance Sheet'!AE60)</f>
        <v>4.9757219817713874E-2</v>
      </c>
      <c r="AF7" s="77">
        <f>'Income Statement'!AF15/('Balance Sheet'!AF31-'Balance Sheet'!AF60)</f>
        <v>5.736797098367602E-2</v>
      </c>
      <c r="AG7" s="77">
        <f>'Income Statement'!AG15/('Balance Sheet'!AG31-'Balance Sheet'!AG60)</f>
        <v>6.5149933131662299E-2</v>
      </c>
      <c r="AH7" s="77">
        <f>'Income Statement'!AH15/('Balance Sheet'!AH31-'Balance Sheet'!AH60)</f>
        <v>6.6805576425691002E-2</v>
      </c>
    </row>
    <row r="8" spans="1:34" x14ac:dyDescent="0.3">
      <c r="A8" s="21" t="s">
        <v>538</v>
      </c>
      <c r="B8" s="70">
        <f>'Income Statement'!B25/'Balance Sheet'!B37</f>
        <v>-0.35102037667137254</v>
      </c>
      <c r="C8" s="70">
        <f>'Income Statement'!C25/'Balance Sheet'!C37</f>
        <v>9.6851882921770036E-2</v>
      </c>
      <c r="D8" s="70">
        <f>'Income Statement'!D25/'Balance Sheet'!D37</f>
        <v>0.26260302917538192</v>
      </c>
      <c r="E8" s="70">
        <f>'Income Statement'!E25/'Balance Sheet'!E37</f>
        <v>0.35904277930596362</v>
      </c>
      <c r="F8" s="70">
        <f>'Income Statement'!F25/'Balance Sheet'!F37</f>
        <v>0.48276220922780666</v>
      </c>
      <c r="H8" s="21" t="s">
        <v>538</v>
      </c>
      <c r="I8" s="77">
        <f>'Income Statement'!I32/'Balance Sheet'!B37</f>
        <v>-0.62905971035961994</v>
      </c>
      <c r="J8" s="77">
        <f>'Income Statement'!J32/'Balance Sheet'!C37</f>
        <v>1.7435901346796217E-2</v>
      </c>
      <c r="K8" s="77">
        <f>'Income Statement'!K32/'Balance Sheet'!D37</f>
        <v>-3.2395644865329566E-2</v>
      </c>
      <c r="L8" s="77">
        <f>'Income Statement'!L32/'Balance Sheet'!E37</f>
        <v>-1.5757643513147481E-2</v>
      </c>
      <c r="M8" s="77">
        <f>'Income Statement'!M32/'Balance Sheet'!F37</f>
        <v>-4.7940168311390675E-2</v>
      </c>
      <c r="O8" s="21" t="s">
        <v>538</v>
      </c>
      <c r="P8" s="77">
        <f>'Income Statement'!P44/'Balance Sheet'!P45</f>
        <v>6.0116740935041699E-2</v>
      </c>
      <c r="Q8" s="77">
        <f>'Income Statement'!Q44/'Balance Sheet'!Q45</f>
        <v>5.6977230494313559E-2</v>
      </c>
      <c r="R8" s="77">
        <f>'Income Statement'!R44/'Balance Sheet'!R45</f>
        <v>8.2817423696983833E-2</v>
      </c>
      <c r="S8" s="77">
        <f>'Income Statement'!S44/'Balance Sheet'!S45</f>
        <v>0.11138044188828708</v>
      </c>
      <c r="T8" s="77">
        <f>'Income Statement'!T44/'Balance Sheet'!T45</f>
        <v>0.11165642347265806</v>
      </c>
      <c r="V8" s="21" t="s">
        <v>538</v>
      </c>
      <c r="W8" s="70">
        <f>'Income Statement'!W24/'Balance Sheet'!W37</f>
        <v>9.3030499630865376E-2</v>
      </c>
      <c r="X8" s="70">
        <f>'Income Statement'!X24/'Balance Sheet'!X37</f>
        <v>5.6743282651459323E-2</v>
      </c>
      <c r="Y8" s="70">
        <f>'Income Statement'!Y24/'Balance Sheet'!Y37</f>
        <v>0.10010242889689125</v>
      </c>
      <c r="Z8" s="70">
        <f>'Income Statement'!Z24/'Balance Sheet'!Z37</f>
        <v>7.9006393661211718E-2</v>
      </c>
      <c r="AA8" s="70">
        <f>'Income Statement'!AA24/'Balance Sheet'!AA37</f>
        <v>8.2118125613869442E-2</v>
      </c>
      <c r="AC8" s="21" t="s">
        <v>538</v>
      </c>
      <c r="AD8" s="77">
        <f>'Income Statement'!AD27/'Balance Sheet'!AD38</f>
        <v>9.7489078545650532E-2</v>
      </c>
      <c r="AE8" s="77">
        <f>'Income Statement'!AE27/'Balance Sheet'!AE38</f>
        <v>0.11580649498561757</v>
      </c>
      <c r="AF8" s="77">
        <f>'Income Statement'!AF27/'Balance Sheet'!AF38</f>
        <v>0.12189882929532396</v>
      </c>
      <c r="AG8" s="77">
        <f>'Income Statement'!AG27/'Balance Sheet'!AG38</f>
        <v>0.11342126144440907</v>
      </c>
      <c r="AH8" s="77">
        <f>'Income Statement'!AH27/'Balance Sheet'!AH38</f>
        <v>0.12919062164112563</v>
      </c>
    </row>
    <row r="9" spans="1:34" x14ac:dyDescent="0.3">
      <c r="A9" s="186" t="s">
        <v>539</v>
      </c>
      <c r="B9" s="187"/>
      <c r="C9" s="187"/>
      <c r="D9" s="187"/>
      <c r="E9" s="187"/>
      <c r="F9" s="188"/>
      <c r="H9" s="186" t="s">
        <v>539</v>
      </c>
      <c r="I9" s="187"/>
      <c r="J9" s="187"/>
      <c r="K9" s="187"/>
      <c r="L9" s="187"/>
      <c r="M9" s="188"/>
      <c r="O9" s="186" t="s">
        <v>539</v>
      </c>
      <c r="P9" s="187"/>
      <c r="Q9" s="187"/>
      <c r="R9" s="187"/>
      <c r="S9" s="187"/>
      <c r="T9" s="188"/>
      <c r="V9" s="186" t="s">
        <v>539</v>
      </c>
      <c r="W9" s="187"/>
      <c r="X9" s="187"/>
      <c r="Y9" s="187"/>
      <c r="Z9" s="187"/>
      <c r="AA9" s="188"/>
      <c r="AC9" s="186" t="s">
        <v>539</v>
      </c>
      <c r="AD9" s="187"/>
      <c r="AE9" s="187"/>
      <c r="AF9" s="187"/>
      <c r="AG9" s="187"/>
      <c r="AH9" s="188"/>
    </row>
    <row r="10" spans="1:34" x14ac:dyDescent="0.3">
      <c r="A10" s="67" t="s">
        <v>540</v>
      </c>
      <c r="B10" s="72">
        <f>'Balance Sheet'!B27/'Balance Sheet'!B57</f>
        <v>0.80230137197175222</v>
      </c>
      <c r="C10" s="72">
        <f>'Balance Sheet'!C27/'Balance Sheet'!C57</f>
        <v>0.899691093507624</v>
      </c>
      <c r="D10" s="72">
        <f>'Balance Sheet'!D27/'Balance Sheet'!D57</f>
        <v>0.94659253240408869</v>
      </c>
      <c r="E10" s="72">
        <f>'Balance Sheet'!E27/'Balance Sheet'!E57</f>
        <v>1.1019133155513876</v>
      </c>
      <c r="F10" s="72">
        <f>'Balance Sheet'!F27/'Balance Sheet'!F57</f>
        <v>1.6205658868036386</v>
      </c>
      <c r="H10" s="67" t="s">
        <v>540</v>
      </c>
      <c r="I10" s="75">
        <f>'Balance Sheet'!I28/'Balance Sheet'!I55</f>
        <v>0.30425026059932514</v>
      </c>
      <c r="J10" s="75">
        <f>'Balance Sheet'!J28/'Balance Sheet'!J55</f>
        <v>0.30557564571012419</v>
      </c>
      <c r="K10" s="75">
        <f>'Balance Sheet'!K28/'Balance Sheet'!K55</f>
        <v>0.33307479874068879</v>
      </c>
      <c r="L10" s="75">
        <f>'Balance Sheet'!L28/'Balance Sheet'!L55</f>
        <v>0.26948194195977859</v>
      </c>
      <c r="M10" s="75">
        <f>'Balance Sheet'!M28/'Balance Sheet'!M55</f>
        <v>0.25383411353058316</v>
      </c>
      <c r="O10" s="67" t="s">
        <v>540</v>
      </c>
      <c r="P10" s="75">
        <f>'Balance Sheet'!P33/'Balance Sheet'!P67</f>
        <v>0.45327420127798546</v>
      </c>
      <c r="Q10" s="75">
        <f>'Balance Sheet'!Q33/'Balance Sheet'!Q67</f>
        <v>0.53207982685958088</v>
      </c>
      <c r="R10" s="75">
        <f>'Balance Sheet'!R33/'Balance Sheet'!R67</f>
        <v>0.55891713354370742</v>
      </c>
      <c r="S10" s="75">
        <f>'Balance Sheet'!S33/'Balance Sheet'!S67</f>
        <v>0.63192639614799895</v>
      </c>
      <c r="T10" s="75">
        <f>'Balance Sheet'!T33/'Balance Sheet'!T67</f>
        <v>0.66275487098658481</v>
      </c>
      <c r="V10" s="67" t="s">
        <v>540</v>
      </c>
      <c r="W10" s="75">
        <f>'Balance Sheet'!W28/'Balance Sheet'!W58</f>
        <v>1.0394652330633898</v>
      </c>
      <c r="X10" s="75">
        <f>'Balance Sheet'!X28/'Balance Sheet'!X58</f>
        <v>1.2186665620701154</v>
      </c>
      <c r="Y10" s="75">
        <f>'Balance Sheet'!Y28/'Balance Sheet'!Y58</f>
        <v>1.0211378505957478</v>
      </c>
      <c r="Z10" s="75">
        <f>'Balance Sheet'!Z28/'Balance Sheet'!Z58</f>
        <v>1.0573919396998763</v>
      </c>
      <c r="AA10" s="75">
        <f>'Balance Sheet'!AA28/'Balance Sheet'!AA58</f>
        <v>1.1919460095963372</v>
      </c>
      <c r="AC10" s="78" t="s">
        <v>540</v>
      </c>
      <c r="AD10" s="75">
        <f>'Balance Sheet'!AD28/'Balance Sheet'!AD60</f>
        <v>0.87638261323332967</v>
      </c>
      <c r="AE10" s="75">
        <f>'Balance Sheet'!AE28/'Balance Sheet'!AE60</f>
        <v>0.7994222550961414</v>
      </c>
      <c r="AF10" s="75">
        <f>'Balance Sheet'!AF28/'Balance Sheet'!AF60</f>
        <v>0.75976619332065509</v>
      </c>
      <c r="AG10" s="75">
        <f>'Balance Sheet'!AG28/'Balance Sheet'!AG60</f>
        <v>0.81030075482371378</v>
      </c>
      <c r="AH10" s="75">
        <f>'Balance Sheet'!AH28/'Balance Sheet'!AH60</f>
        <v>0.84381979493993864</v>
      </c>
    </row>
    <row r="11" spans="1:34" x14ac:dyDescent="0.3">
      <c r="A11" s="67" t="s">
        <v>541</v>
      </c>
      <c r="B11" s="72">
        <f>('Balance Sheet'!B27-'Balance Sheet'!B18)/'Balance Sheet'!B57</f>
        <v>0.6636049513033867</v>
      </c>
      <c r="C11" s="72">
        <f>('Balance Sheet'!C27-'Balance Sheet'!C18)/'Balance Sheet'!C57</f>
        <v>0.79155459795432892</v>
      </c>
      <c r="D11" s="72">
        <f>('Balance Sheet'!D27-'Balance Sheet'!D18)/'Balance Sheet'!D57</f>
        <v>0.81486636175334703</v>
      </c>
      <c r="E11" s="72">
        <f>('Balance Sheet'!E27-'Balance Sheet'!E18)/'Balance Sheet'!E57</f>
        <v>0.92860979036427416</v>
      </c>
      <c r="F11" s="72">
        <f>('Balance Sheet'!F27-'Balance Sheet'!F18)/'Balance Sheet'!F57</f>
        <v>1.3582195333742488</v>
      </c>
      <c r="H11" s="67" t="s">
        <v>541</v>
      </c>
      <c r="I11" s="75">
        <f>('Balance Sheet'!I28-'Balance Sheet'!I18)/'Balance Sheet'!I55</f>
        <v>0.24067969569269901</v>
      </c>
      <c r="J11" s="75">
        <f>('Balance Sheet'!J28-'Balance Sheet'!J18)/'Balance Sheet'!J55</f>
        <v>0.25069687723659922</v>
      </c>
      <c r="K11" s="75">
        <f>('Balance Sheet'!K28-'Balance Sheet'!K18)/'Balance Sheet'!K55</f>
        <v>0.2850036196778109</v>
      </c>
      <c r="L11" s="75">
        <f>('Balance Sheet'!L28-'Balance Sheet'!L18)/'Balance Sheet'!L55</f>
        <v>0.2191211294772287</v>
      </c>
      <c r="M11" s="75">
        <f>('Balance Sheet'!M28-'Balance Sheet'!M18)/'Balance Sheet'!M55</f>
        <v>0.20008410584138556</v>
      </c>
      <c r="O11" s="67" t="s">
        <v>541</v>
      </c>
      <c r="P11" s="75">
        <f>('Balance Sheet'!P33-'Balance Sheet'!P21)/'Balance Sheet'!P67</f>
        <v>0.38720121803386925</v>
      </c>
      <c r="Q11" s="75">
        <f>('Balance Sheet'!Q33-'Balance Sheet'!Q21)/'Balance Sheet'!Q67</f>
        <v>0.470821555709178</v>
      </c>
      <c r="R11" s="75">
        <f>('Balance Sheet'!R33-'Balance Sheet'!R21)/'Balance Sheet'!R67</f>
        <v>0.44934928945012809</v>
      </c>
      <c r="S11" s="75">
        <f>('Balance Sheet'!S33-'Balance Sheet'!S21)/'Balance Sheet'!S67</f>
        <v>0.54227314627226209</v>
      </c>
      <c r="T11" s="75">
        <f>('Balance Sheet'!T33-'Balance Sheet'!T21)/'Balance Sheet'!T67</f>
        <v>0.55532054693024457</v>
      </c>
      <c r="V11" s="67" t="s">
        <v>541</v>
      </c>
      <c r="W11" s="75">
        <f>('Balance Sheet'!W28-'Balance Sheet'!W19)/'Balance Sheet'!W58</f>
        <v>0.89327518462899347</v>
      </c>
      <c r="X11" s="75">
        <f>('Balance Sheet'!X28-'Balance Sheet'!X19)/'Balance Sheet'!X58</f>
        <v>1.1079772614568246</v>
      </c>
      <c r="Y11" s="75">
        <f>('Balance Sheet'!Y28-'Balance Sheet'!Y19)/'Balance Sheet'!Y58</f>
        <v>0.84421610285974602</v>
      </c>
      <c r="Z11" s="75">
        <f>('Balance Sheet'!Z28-'Balance Sheet'!Z19)/'Balance Sheet'!Z58</f>
        <v>0.94778482769648287</v>
      </c>
      <c r="AA11" s="75">
        <f>('Balance Sheet'!AA28-'Balance Sheet'!AA19)/'Balance Sheet'!AA58</f>
        <v>1.0776772351102697</v>
      </c>
      <c r="AC11" s="78" t="s">
        <v>541</v>
      </c>
      <c r="AD11" s="75">
        <f>('Balance Sheet'!AD28-'Balance Sheet'!AD19)/'Balance Sheet'!AD60</f>
        <v>0.70380372512481448</v>
      </c>
      <c r="AE11" s="75">
        <f>('Balance Sheet'!AE28-'Balance Sheet'!AE19)/'Balance Sheet'!AE60</f>
        <v>0.66140057059731217</v>
      </c>
      <c r="AF11" s="75">
        <f>('Balance Sheet'!AF28-'Balance Sheet'!AF19)/'Balance Sheet'!AF60</f>
        <v>0.6275235943707661</v>
      </c>
      <c r="AG11" s="75">
        <f>('Balance Sheet'!AG28-'Balance Sheet'!AG19)/'Balance Sheet'!AG60</f>
        <v>0.64184538067500341</v>
      </c>
      <c r="AH11" s="75">
        <f>('Balance Sheet'!AH28-'Balance Sheet'!AH19)/'Balance Sheet'!AH60</f>
        <v>0.66070673305669247</v>
      </c>
    </row>
    <row r="12" spans="1:34" x14ac:dyDescent="0.3">
      <c r="A12" s="186" t="s">
        <v>542</v>
      </c>
      <c r="B12" s="187"/>
      <c r="C12" s="187"/>
      <c r="D12" s="187"/>
      <c r="E12" s="187"/>
      <c r="F12" s="188"/>
      <c r="H12" s="186" t="s">
        <v>542</v>
      </c>
      <c r="I12" s="187"/>
      <c r="J12" s="187"/>
      <c r="K12" s="187"/>
      <c r="L12" s="187"/>
      <c r="M12" s="188"/>
      <c r="O12" s="186" t="s">
        <v>542</v>
      </c>
      <c r="P12" s="187"/>
      <c r="Q12" s="187"/>
      <c r="R12" s="187"/>
      <c r="S12" s="187"/>
      <c r="T12" s="188"/>
      <c r="V12" s="186" t="s">
        <v>542</v>
      </c>
      <c r="W12" s="187"/>
      <c r="X12" s="187"/>
      <c r="Y12" s="187"/>
      <c r="Z12" s="187"/>
      <c r="AA12" s="188"/>
      <c r="AC12" s="189" t="s">
        <v>542</v>
      </c>
      <c r="AD12" s="190"/>
      <c r="AE12" s="190"/>
      <c r="AF12" s="190"/>
      <c r="AG12" s="190"/>
      <c r="AH12" s="191"/>
    </row>
    <row r="13" spans="1:34" x14ac:dyDescent="0.3">
      <c r="A13" s="67" t="s">
        <v>543</v>
      </c>
      <c r="B13" s="72">
        <f>('Balance Sheet'!B41+'Balance Sheet'!B50)/'Balance Sheet'!B37</f>
        <v>8.0809434530009465</v>
      </c>
      <c r="C13" s="72">
        <f>('Balance Sheet'!C41+'Balance Sheet'!C50)/'Balance Sheet'!C37</f>
        <v>3.9970158473529285</v>
      </c>
      <c r="D13" s="72">
        <f>('Balance Sheet'!D41+'Balance Sheet'!D50)/'Balance Sheet'!D37</f>
        <v>2.6089147237085801</v>
      </c>
      <c r="E13" s="72">
        <f>('Balance Sheet'!E41+'Balance Sheet'!E50)/'Balance Sheet'!E37</f>
        <v>1.414263316693255</v>
      </c>
      <c r="F13" s="72">
        <f>('Balance Sheet'!F41+'Balance Sheet'!F50)/'Balance Sheet'!F37</f>
        <v>0.79862871807019264</v>
      </c>
      <c r="H13" s="67" t="s">
        <v>543</v>
      </c>
      <c r="I13" s="75">
        <f>('Balance Sheet'!I41+'Balance Sheet'!I49)/'Balance Sheet'!I37</f>
        <v>1.8313804771866771</v>
      </c>
      <c r="J13" s="75">
        <f>('Balance Sheet'!J41+'Balance Sheet'!J49)/'Balance Sheet'!J37</f>
        <v>1.4930529866764153</v>
      </c>
      <c r="K13" s="75">
        <f>('Balance Sheet'!K41+'Balance Sheet'!K49)/'Balance Sheet'!K37</f>
        <v>1.6411449790898958</v>
      </c>
      <c r="L13" s="75">
        <f>('Balance Sheet'!L41+'Balance Sheet'!L49)/'Balance Sheet'!L37</f>
        <v>1.5982405530765482</v>
      </c>
      <c r="M13" s="75">
        <f>('Balance Sheet'!M41+'Balance Sheet'!M49)/'Balance Sheet'!M37</f>
        <v>1.6158133471558982</v>
      </c>
      <c r="O13" s="67" t="s">
        <v>543</v>
      </c>
      <c r="P13" s="75">
        <f>('Balance Sheet'!P49+'Balance Sheet'!P60)/'Balance Sheet'!P45</f>
        <v>2.0339472994411376</v>
      </c>
      <c r="Q13" s="75">
        <f>('Balance Sheet'!Q49+'Balance Sheet'!Q60)/'Balance Sheet'!Q45</f>
        <v>1.5240360624105924</v>
      </c>
      <c r="R13" s="75">
        <f>('Balance Sheet'!R49+'Balance Sheet'!R60)/'Balance Sheet'!R45</f>
        <v>1.8283832389622743</v>
      </c>
      <c r="S13" s="75">
        <f>('Balance Sheet'!S49+'Balance Sheet'!S60)/'Balance Sheet'!S45</f>
        <v>1.4318283879251972</v>
      </c>
      <c r="T13" s="75">
        <f>('Balance Sheet'!T49+'Balance Sheet'!T60)/'Balance Sheet'!T45</f>
        <v>1.2907966212720863</v>
      </c>
      <c r="V13" s="67" t="s">
        <v>543</v>
      </c>
      <c r="W13" s="75">
        <f>('Balance Sheet'!W41+'Balance Sheet'!W50)/'Balance Sheet'!W37</f>
        <v>0.71251908055392554</v>
      </c>
      <c r="X13" s="75">
        <f>('Balance Sheet'!X41+'Balance Sheet'!X50)/'Balance Sheet'!X37</f>
        <v>0.50091321177408632</v>
      </c>
      <c r="Y13" s="75">
        <f>('Balance Sheet'!Y41+'Balance Sheet'!Y50)/'Balance Sheet'!Y37</f>
        <v>0.51056786029249646</v>
      </c>
      <c r="Z13" s="75">
        <f>('Balance Sheet'!Z41+'Balance Sheet'!Z50)/'Balance Sheet'!Z37</f>
        <v>1.3247027625441841</v>
      </c>
      <c r="AA13" s="75">
        <f>('Balance Sheet'!AA41+'Balance Sheet'!AA50)/'Balance Sheet'!AA37</f>
        <v>1.4907324747409374</v>
      </c>
      <c r="AC13" s="78" t="s">
        <v>543</v>
      </c>
      <c r="AD13" s="75">
        <f>('Balance Sheet'!AD42+'Balance Sheet'!AD51)/'Balance Sheet'!AD38</f>
        <v>1.576473511201014</v>
      </c>
      <c r="AE13" s="75">
        <f>('Balance Sheet'!AE42+'Balance Sheet'!AE51)/'Balance Sheet'!AE38</f>
        <v>1.5258641777509863</v>
      </c>
      <c r="AF13" s="75">
        <f>('Balance Sheet'!AF42+'Balance Sheet'!AF51)/'Balance Sheet'!AF38</f>
        <v>1.50613821265304</v>
      </c>
      <c r="AG13" s="75">
        <f>('Balance Sheet'!AG42+'Balance Sheet'!AG51)/'Balance Sheet'!AG38</f>
        <v>1.456110691482589</v>
      </c>
      <c r="AH13" s="75">
        <f>('Balance Sheet'!AH42+'Balance Sheet'!AH51)/'Balance Sheet'!AH38</f>
        <v>1.4234317743190075</v>
      </c>
    </row>
    <row r="14" spans="1:34" x14ac:dyDescent="0.3">
      <c r="A14" s="67" t="s">
        <v>544</v>
      </c>
      <c r="B14" s="72">
        <f>'Income Statement'!B16/'Income Statement'!B12</f>
        <v>-0.23743607497525726</v>
      </c>
      <c r="C14" s="72">
        <f>'Income Statement'!C16/'Income Statement'!C12</f>
        <v>0.44821623357675699</v>
      </c>
      <c r="D14" s="72">
        <f>'Income Statement'!D16/'Income Statement'!D12</f>
        <v>1.6062230449499129</v>
      </c>
      <c r="E14" s="72">
        <f>'Income Statement'!E16/'Income Statement'!E12</f>
        <v>2.3022948852557383</v>
      </c>
      <c r="F14" s="72">
        <f>'Income Statement'!F16/'Income Statement'!F12</f>
        <v>6.1366463110484064</v>
      </c>
      <c r="H14" s="67" t="s">
        <v>544</v>
      </c>
      <c r="I14" s="75">
        <f>'Income Statement'!I14/'Income Statement'!I10</f>
        <v>-7.4493200653575509E-2</v>
      </c>
      <c r="J14" s="75">
        <f>'Income Statement'!J14/'Income Statement'!J10</f>
        <v>0.16062065949995863</v>
      </c>
      <c r="K14" s="75">
        <f>'Income Statement'!K14/'Income Statement'!K10</f>
        <v>-0.22195923510480683</v>
      </c>
      <c r="L14" s="75">
        <f>'Income Statement'!L14/'Income Statement'!L10</f>
        <v>-0.52810287301957937</v>
      </c>
      <c r="M14" s="75">
        <f>'Income Statement'!M14/'Income Statement'!M10</f>
        <v>-0.81104234913045803</v>
      </c>
      <c r="O14" s="67" t="s">
        <v>544</v>
      </c>
      <c r="P14" s="75">
        <f>'Income Statement'!P17/'Income Statement'!P13</f>
        <v>0.30668064169409365</v>
      </c>
      <c r="Q14" s="75">
        <f>'Income Statement'!Q17/'Income Statement'!Q13</f>
        <v>0.15250137767149832</v>
      </c>
      <c r="R14" s="75">
        <f>'Income Statement'!R17/'Income Statement'!R13</f>
        <v>0.37571974231799687</v>
      </c>
      <c r="S14" s="75">
        <f>'Income Statement'!S17/'Income Statement'!S13</f>
        <v>0.30503128109523819</v>
      </c>
      <c r="T14" s="75">
        <f>'Income Statement'!T17/'Income Statement'!T13</f>
        <v>0.90383361895183123</v>
      </c>
      <c r="V14" s="67" t="s">
        <v>544</v>
      </c>
      <c r="W14" s="75">
        <f>'Income Statement'!W17/'Income Statement'!W12</f>
        <v>1.0016078852978378</v>
      </c>
      <c r="X14" s="75">
        <f>'Income Statement'!X17/'Income Statement'!X12</f>
        <v>1.2265840451069052</v>
      </c>
      <c r="Y14" s="75">
        <f>'Income Statement'!Y17/'Income Statement'!Y12</f>
        <v>2.8809900760705869</v>
      </c>
      <c r="Z14" s="75">
        <f>'Income Statement'!Z17/'Income Statement'!Z12</f>
        <v>2.1589956176714429</v>
      </c>
      <c r="AA14" s="75">
        <f>'Income Statement'!AA17/'Income Statement'!AA12</f>
        <v>1.0557660465569298</v>
      </c>
      <c r="AC14" s="78" t="s">
        <v>544</v>
      </c>
      <c r="AD14" s="75">
        <f>'Income Statement'!AD15/'Income Statement'!AD11</f>
        <v>1.9677633564744919</v>
      </c>
      <c r="AE14" s="75">
        <f>'Income Statement'!AE15/'Income Statement'!AE11</f>
        <v>1.7687350799098884</v>
      </c>
      <c r="AF14" s="75">
        <f>'Income Statement'!AF15/'Income Statement'!AF11</f>
        <v>2.0932612564646984</v>
      </c>
      <c r="AG14" s="75">
        <f>'Income Statement'!AG15/'Income Statement'!AG11</f>
        <v>2.1110338237693216</v>
      </c>
      <c r="AH14" s="75">
        <f>'Income Statement'!AH15/'Income Statement'!AH11</f>
        <v>2.1169825227149932</v>
      </c>
    </row>
    <row r="15" spans="1:34" x14ac:dyDescent="0.3">
      <c r="A15" s="186" t="s">
        <v>545</v>
      </c>
      <c r="B15" s="187"/>
      <c r="C15" s="187"/>
      <c r="D15" s="187"/>
      <c r="E15" s="187"/>
      <c r="F15" s="188"/>
      <c r="H15" s="186" t="s">
        <v>545</v>
      </c>
      <c r="I15" s="187"/>
      <c r="J15" s="187"/>
      <c r="K15" s="187"/>
      <c r="L15" s="187"/>
      <c r="M15" s="188"/>
      <c r="O15" s="186" t="s">
        <v>545</v>
      </c>
      <c r="P15" s="187"/>
      <c r="Q15" s="187"/>
      <c r="R15" s="187"/>
      <c r="S15" s="187"/>
      <c r="T15" s="188"/>
      <c r="V15" s="186" t="s">
        <v>545</v>
      </c>
      <c r="W15" s="187"/>
      <c r="X15" s="187"/>
      <c r="Y15" s="187"/>
      <c r="Z15" s="187"/>
      <c r="AA15" s="188"/>
      <c r="AC15" s="189" t="s">
        <v>545</v>
      </c>
      <c r="AD15" s="190"/>
      <c r="AE15" s="190"/>
      <c r="AF15" s="190"/>
      <c r="AG15" s="190"/>
      <c r="AH15" s="191"/>
    </row>
    <row r="16" spans="1:34" x14ac:dyDescent="0.3">
      <c r="A16" s="67" t="s">
        <v>546</v>
      </c>
      <c r="B16" s="72">
        <f>'Income Statement'!B6/'Balance Sheet'!B29</f>
        <v>0.37110043318893704</v>
      </c>
      <c r="C16" s="72">
        <f>'Income Statement'!C6/'Balance Sheet'!C29</f>
        <v>0.35720265142550855</v>
      </c>
      <c r="D16" s="72">
        <f>'Income Statement'!D6/'Balance Sheet'!D29</f>
        <v>0.38650982873840789</v>
      </c>
      <c r="E16" s="72">
        <f>'Income Statement'!E6/'Balance Sheet'!E29</f>
        <v>0.50151343600485054</v>
      </c>
      <c r="F16" s="72">
        <f>'Income Statement'!F6/'Balance Sheet'!F29</f>
        <v>0.65292856944024869</v>
      </c>
      <c r="H16" s="67" t="s">
        <v>546</v>
      </c>
      <c r="I16" s="75">
        <f>'Income Statement'!I6/'Balance Sheet'!I30</f>
        <v>0.15376760543577497</v>
      </c>
      <c r="J16" s="75">
        <f>'Income Statement'!J6/'Balance Sheet'!J30</f>
        <v>0.16518900559511149</v>
      </c>
      <c r="K16" s="75">
        <f>'Income Statement'!K6/'Balance Sheet'!K30</f>
        <v>0.15431587704565555</v>
      </c>
      <c r="L16" s="75">
        <f>'Income Statement'!L6/'Balance Sheet'!L30</f>
        <v>0.16241211057821273</v>
      </c>
      <c r="M16" s="75">
        <f>'Income Statement'!M6/'Balance Sheet'!M30</f>
        <v>0.18876098999411789</v>
      </c>
      <c r="O16" s="67" t="s">
        <v>546</v>
      </c>
      <c r="P16" s="75">
        <f>'Income Statement'!P5/'Balance Sheet'!P37</f>
        <v>0.33091467623566623</v>
      </c>
      <c r="Q16" s="75">
        <f>'Income Statement'!Q5/'Balance Sheet'!Q37</f>
        <v>0.33289762808211881</v>
      </c>
      <c r="R16" s="75">
        <f>'Income Statement'!R5/'Balance Sheet'!R37</f>
        <v>0.38743667315441371</v>
      </c>
      <c r="S16" s="75">
        <f>'Income Statement'!S5/'Balance Sheet'!S37</f>
        <v>0.44057283170953193</v>
      </c>
      <c r="T16" s="75">
        <f>'Income Statement'!T5/'Balance Sheet'!T37</f>
        <v>0.45339116922120687</v>
      </c>
      <c r="V16" s="67" t="s">
        <v>546</v>
      </c>
      <c r="W16" s="75">
        <f>'Income Statement'!W6/'Balance Sheet'!W30</f>
        <v>0.34086244507575297</v>
      </c>
      <c r="X16" s="75">
        <f>'Income Statement'!X6/'Balance Sheet'!X30</f>
        <v>0.27082616989574571</v>
      </c>
      <c r="Y16" s="75">
        <f>'Income Statement'!Y6/'Balance Sheet'!Y30</f>
        <v>0.28241668539026171</v>
      </c>
      <c r="Z16" s="75">
        <f>'Income Statement'!Z6/'Balance Sheet'!Z30</f>
        <v>0.2229518051278474</v>
      </c>
      <c r="AA16" s="75">
        <f>'Income Statement'!AA6/'Balance Sheet'!AA30</f>
        <v>0.20495150946213345</v>
      </c>
      <c r="AC16" s="78" t="s">
        <v>546</v>
      </c>
      <c r="AD16" s="75">
        <f>'Income Statement'!AD6/'Balance Sheet'!AD31</f>
        <v>0.29690066809439214</v>
      </c>
      <c r="AE16" s="75">
        <f>'Income Statement'!AE6/'Balance Sheet'!AE31</f>
        <v>0.28961557922411518</v>
      </c>
      <c r="AF16" s="75">
        <f>'Income Statement'!AF6/'Balance Sheet'!AF31</f>
        <v>0.32404098249430424</v>
      </c>
      <c r="AG16" s="75">
        <f>'Income Statement'!AG6/'Balance Sheet'!AG31</f>
        <v>0.39903275952311262</v>
      </c>
      <c r="AH16" s="75">
        <f>'Income Statement'!AH6/'Balance Sheet'!AH31</f>
        <v>0.37727437328425728</v>
      </c>
    </row>
    <row r="17" spans="1:34" x14ac:dyDescent="0.3">
      <c r="A17" s="67" t="s">
        <v>547</v>
      </c>
      <c r="B17" s="72">
        <f>('Income Statement'!B8+'Income Statement'!B9+'Income Statement'!B10)/'Balance Sheet'!B18</f>
        <v>7.4003218684224077</v>
      </c>
      <c r="C17" s="72">
        <f>('Income Statement'!C8+'Income Statement'!C9+'Income Statement'!C10)/'Balance Sheet'!C18</f>
        <v>7.8073586126185734</v>
      </c>
      <c r="D17" s="72">
        <f>('Income Statement'!D8+'Income Statement'!D9+'Income Statement'!D10)/'Balance Sheet'!D18</f>
        <v>7.0631678231566637</v>
      </c>
      <c r="E17" s="72">
        <f>('Income Statement'!E8+'Income Statement'!E9+'Income Statement'!E10)/'Balance Sheet'!E18</f>
        <v>8.5245187304890742</v>
      </c>
      <c r="F17" s="72">
        <f>('Income Statement'!F8+'Income Statement'!F9+'Income Statement'!F10)/'Balance Sheet'!F18</f>
        <v>7.0444677820429247</v>
      </c>
      <c r="H17" s="67" t="s">
        <v>547</v>
      </c>
      <c r="I17" s="75">
        <f>('Income Statement'!I8+'Income Statement'!I9)/'Balance Sheet'!I18</f>
        <v>3.062503697568479</v>
      </c>
      <c r="J17" s="75">
        <f>('Income Statement'!J8+'Income Statement'!J9)/'Balance Sheet'!J18</f>
        <v>3.7440511600237953</v>
      </c>
      <c r="K17" s="75">
        <f>('Income Statement'!K8+'Income Statement'!K9)/'Balance Sheet'!K18</f>
        <v>3.8639920776774068</v>
      </c>
      <c r="L17" s="75">
        <f>('Income Statement'!L8+'Income Statement'!L9)/'Balance Sheet'!L18</f>
        <v>4.1429667574460725</v>
      </c>
      <c r="M17" s="75">
        <f>('Income Statement'!M8+'Income Statement'!M9)/'Balance Sheet'!M18</f>
        <v>4.1778145385311651</v>
      </c>
      <c r="O17" s="67" t="s">
        <v>547</v>
      </c>
      <c r="P17" s="75">
        <f>('Income Statement'!P7+'Income Statement'!P8+'Income Statement'!P9+'Income Statement'!P10+'Income Statement'!P11)/'Balance Sheet'!P21</f>
        <v>9.9353040203155771</v>
      </c>
      <c r="Q17" s="75">
        <f>('Income Statement'!Q7+'Income Statement'!Q8+'Income Statement'!Q9+'Income Statement'!Q10+'Income Statement'!Q11)/'Balance Sheet'!Q21</f>
        <v>10.914399405772496</v>
      </c>
      <c r="R17" s="75">
        <f>('Income Statement'!R7+'Income Statement'!R8+'Income Statement'!R9+'Income Statement'!R10+'Income Statement'!R11)/'Balance Sheet'!R21</f>
        <v>6.5301475592694826</v>
      </c>
      <c r="S17" s="75">
        <f>('Income Statement'!S7+'Income Statement'!S8+'Income Statement'!S9+'Income Statement'!S10+'Income Statement'!S11)/'Balance Sheet'!S21</f>
        <v>9.6384343424096102</v>
      </c>
      <c r="T17" s="75">
        <f>('Income Statement'!T7+'Income Statement'!T8+'Income Statement'!T9+'Income Statement'!T10+'Income Statement'!T11)/'Balance Sheet'!T21</f>
        <v>9.2183259684634216</v>
      </c>
      <c r="V17" s="67" t="s">
        <v>547</v>
      </c>
      <c r="W17" s="75">
        <f>('Income Statement'!W8+'Income Statement'!W9)/'Balance Sheet'!W19</f>
        <v>7.0331467525563651</v>
      </c>
      <c r="X17" s="75">
        <f>('Income Statement'!X8+'Income Statement'!X9)/'Balance Sheet'!X19</f>
        <v>8.3098106712564554</v>
      </c>
      <c r="Y17" s="75">
        <f>('Income Statement'!Y8+'Income Statement'!Y9)/'Balance Sheet'!Y19</f>
        <v>3.9667931899402897</v>
      </c>
      <c r="Z17" s="75">
        <f>('Income Statement'!Z8+'Income Statement'!Z9)/'Balance Sheet'!Z19</f>
        <v>6.0150139806297362</v>
      </c>
      <c r="AA17" s="75">
        <f>('Income Statement'!AA8+'Income Statement'!AA9)/'Balance Sheet'!AA19</f>
        <v>5.6657758195191841</v>
      </c>
      <c r="AC17" s="78" t="s">
        <v>547</v>
      </c>
      <c r="AD17" s="75">
        <f>('Income Statement'!AD8+'Income Statement'!AD9)/'Balance Sheet'!AD19</f>
        <v>5.599624367286915</v>
      </c>
      <c r="AE17" s="75">
        <f>('Income Statement'!AE8+'Income Statement'!AE9)/'Balance Sheet'!AE19</f>
        <v>6.2335548850106015</v>
      </c>
      <c r="AF17" s="75">
        <f>('Income Statement'!AF8+'Income Statement'!AF9)/'Balance Sheet'!AF19</f>
        <v>7.4302697723410613</v>
      </c>
      <c r="AG17" s="75">
        <f>('Income Statement'!AG8+'Income Statement'!AG9)/'Balance Sheet'!AG19</f>
        <v>7.4422736206994617</v>
      </c>
      <c r="AH17" s="75">
        <f>('Income Statement'!AH8+'Income Statement'!AH9)/'Balance Sheet'!AH19</f>
        <v>5.7713556488885143</v>
      </c>
    </row>
    <row r="18" spans="1:34" x14ac:dyDescent="0.3">
      <c r="A18" s="67" t="s">
        <v>548</v>
      </c>
      <c r="B18" s="72">
        <f>('Balance Sheet'!B21/'Income Statement'!B6)*365</f>
        <v>109.68257990410824</v>
      </c>
      <c r="C18" s="72">
        <f>('Balance Sheet'!C21/'Income Statement'!C6)*365</f>
        <v>153.51283566989039</v>
      </c>
      <c r="D18" s="72">
        <f>('Balance Sheet'!D21/'Income Statement'!D6)*365</f>
        <v>110.13330926417488</v>
      </c>
      <c r="E18" s="72">
        <f>('Balance Sheet'!E21/'Income Statement'!E6)*365</f>
        <v>97.773363332970874</v>
      </c>
      <c r="F18" s="72">
        <f>('Balance Sheet'!F21/'Income Statement'!F6)*365</f>
        <v>70.706296527557058</v>
      </c>
      <c r="H18" s="67" t="s">
        <v>548</v>
      </c>
      <c r="I18" s="75">
        <f>'Balance Sheet'!I21/'Income Statement'!I6*365</f>
        <v>105.21905147389607</v>
      </c>
      <c r="J18" s="75">
        <f>'Balance Sheet'!J21/'Income Statement'!J6*365</f>
        <v>104.85733018620509</v>
      </c>
      <c r="K18" s="75">
        <f>'Balance Sheet'!K21/'Income Statement'!K6*365</f>
        <v>152.5912188928192</v>
      </c>
      <c r="L18" s="75">
        <f>'Balance Sheet'!L21/'Income Statement'!L6*365</f>
        <v>124.08927606390671</v>
      </c>
      <c r="M18" s="75">
        <f>'Balance Sheet'!M21/'Income Statement'!M6*365</f>
        <v>72.927709034736338</v>
      </c>
      <c r="O18" s="67" t="s">
        <v>548</v>
      </c>
      <c r="P18" s="75">
        <f>('Balance Sheet'!P24)/'Income Statement'!P5*365</f>
        <v>54.394241822446425</v>
      </c>
      <c r="Q18" s="75">
        <f>('Balance Sheet'!Q24)/'Income Statement'!Q5*365</f>
        <v>55.469510753527942</v>
      </c>
      <c r="R18" s="75">
        <f>('Balance Sheet'!R24)/'Income Statement'!R5*365</f>
        <v>49.90450806356283</v>
      </c>
      <c r="S18" s="75">
        <f>('Balance Sheet'!S24)/'Income Statement'!S5*365</f>
        <v>44.874710639449233</v>
      </c>
      <c r="T18" s="75">
        <f>('Balance Sheet'!T24)/'Income Statement'!T5*365</f>
        <v>42.698242296157304</v>
      </c>
      <c r="V18" s="67" t="s">
        <v>548</v>
      </c>
      <c r="W18" s="75">
        <f>('Balance Sheet'!W22/'Income Statement'!W6)*365</f>
        <v>66.742837649494334</v>
      </c>
      <c r="X18" s="75">
        <f>('Balance Sheet'!X22/'Income Statement'!X6)*365</f>
        <v>49.168311300133396</v>
      </c>
      <c r="Y18" s="75">
        <f>('Balance Sheet'!Y22/'Income Statement'!Y6)*365</f>
        <v>28.003065532335757</v>
      </c>
      <c r="Z18" s="75">
        <f>('Balance Sheet'!Z22/'Income Statement'!Z6)*365</f>
        <v>51.453780004693087</v>
      </c>
      <c r="AA18" s="75">
        <f>('Balance Sheet'!AA22/'Income Statement'!AA6)*365</f>
        <v>25.801727299674937</v>
      </c>
      <c r="AC18" s="78" t="s">
        <v>548</v>
      </c>
      <c r="AD18" s="75">
        <f>'Balance Sheet'!AD22/'Income Statement'!AD6*365</f>
        <v>65.984293944305648</v>
      </c>
      <c r="AE18" s="75">
        <f>'Balance Sheet'!AE22/'Income Statement'!AE6*365</f>
        <v>55.96947618554313</v>
      </c>
      <c r="AF18" s="75">
        <f>'Balance Sheet'!AF22/'Income Statement'!AF6*365</f>
        <v>75.628132400543393</v>
      </c>
      <c r="AG18" s="75">
        <f>'Balance Sheet'!AG22/'Income Statement'!AG6*365</f>
        <v>59.115477001909859</v>
      </c>
      <c r="AH18" s="75">
        <f>'Balance Sheet'!AH22/'Income Statement'!AH6*365</f>
        <v>67.190546828193789</v>
      </c>
    </row>
    <row r="19" spans="1:34" x14ac:dyDescent="0.3">
      <c r="A19" s="186" t="s">
        <v>549</v>
      </c>
      <c r="B19" s="187"/>
      <c r="C19" s="187"/>
      <c r="D19" s="187"/>
      <c r="E19" s="187"/>
      <c r="F19" s="188"/>
      <c r="H19" s="186" t="s">
        <v>549</v>
      </c>
      <c r="I19" s="187"/>
      <c r="J19" s="187"/>
      <c r="K19" s="187"/>
      <c r="L19" s="187"/>
      <c r="M19" s="188"/>
      <c r="O19" s="186" t="s">
        <v>549</v>
      </c>
      <c r="P19" s="187"/>
      <c r="Q19" s="187"/>
      <c r="R19" s="187"/>
      <c r="S19" s="187"/>
      <c r="T19" s="188"/>
      <c r="V19" s="186" t="s">
        <v>549</v>
      </c>
      <c r="W19" s="187"/>
      <c r="X19" s="187"/>
      <c r="Y19" s="187"/>
      <c r="Z19" s="187"/>
      <c r="AA19" s="188"/>
      <c r="AC19" s="189" t="s">
        <v>549</v>
      </c>
      <c r="AD19" s="190"/>
      <c r="AE19" s="190"/>
      <c r="AF19" s="190"/>
      <c r="AG19" s="190"/>
      <c r="AH19" s="191"/>
    </row>
    <row r="20" spans="1:34" x14ac:dyDescent="0.3">
      <c r="A20" s="67" t="s">
        <v>550</v>
      </c>
      <c r="B20" s="72">
        <f>B24/('Income Statement'!B25/'Financial Ratio'!B26)</f>
        <v>-6.1038434654932248</v>
      </c>
      <c r="C20" s="72">
        <f>C24/('Income Statement'!C25/'Financial Ratio'!C26)</f>
        <v>25.829489047071576</v>
      </c>
      <c r="D20" s="72">
        <f>D24/('Income Statement'!D25/'Financial Ratio'!D26)</f>
        <v>14.535285793980741</v>
      </c>
      <c r="E20" s="72">
        <f>E24/('Income Statement'!E25/'Financial Ratio'!E26)</f>
        <v>6.8892219744486605</v>
      </c>
      <c r="F20" s="72">
        <f>F24/('Income Statement'!F25/'Financial Ratio'!F26)</f>
        <v>9.8844590588315508</v>
      </c>
      <c r="H20" s="67" t="s">
        <v>550</v>
      </c>
      <c r="I20" s="75">
        <f>I24/('Income Statement'!I32/'Financial Ratio'!I26)</f>
        <v>-0.43116244213914079</v>
      </c>
      <c r="J20" s="75">
        <f>J24/('Income Statement'!J32/'Financial Ratio'!J26)</f>
        <v>7.8687376984647663</v>
      </c>
      <c r="K20" s="75">
        <f>K24/('Income Statement'!K32/'Financial Ratio'!K26)</f>
        <v>-9.2145615685497901</v>
      </c>
      <c r="L20" s="75">
        <f>L24/('Income Statement'!L32/'Financial Ratio'!L26)</f>
        <v>-8.7410444590776866</v>
      </c>
      <c r="M20" s="75">
        <f>M24/('Income Statement'!M32/'Financial Ratio'!M26)</f>
        <v>-5.6485522486196924</v>
      </c>
      <c r="O20" s="67" t="s">
        <v>550</v>
      </c>
      <c r="P20" s="75">
        <f>P24/('Income Statement'!P44/'Financial Ratio'!P26)</f>
        <v>10.886117483516154</v>
      </c>
      <c r="Q20" s="75">
        <f>Q24/('Income Statement'!Q44/'Financial Ratio'!Q26)</f>
        <v>22.932243770201229</v>
      </c>
      <c r="R20" s="75">
        <f>R24/('Income Statement'!R44/'Financial Ratio'!R26)</f>
        <v>35.375524561493101</v>
      </c>
      <c r="S20" s="75">
        <f>S24/('Income Statement'!S44/'Financial Ratio'!S26)</f>
        <v>15.956915559615405</v>
      </c>
      <c r="T20" s="75">
        <f>T24/('Income Statement'!T44/'Financial Ratio'!T26)</f>
        <v>29.428921286885796</v>
      </c>
      <c r="V20" s="67" t="s">
        <v>550</v>
      </c>
      <c r="W20" s="75">
        <f>W24/('Income Statement'!W24/'Financial Ratio'!W26)</f>
        <v>7.6107752640633493</v>
      </c>
      <c r="X20" s="75">
        <f>X24/('Income Statement'!X24/'Financial Ratio'!X26)</f>
        <v>18.636142850196922</v>
      </c>
      <c r="Y20" s="75">
        <f>Y24/('Income Statement'!Y24/'Financial Ratio'!Y26)</f>
        <v>30.249813017642886</v>
      </c>
      <c r="Z20" s="75">
        <f>Z24/('Income Statement'!Z24/'Financial Ratio'!Z26)</f>
        <v>28.398469043050579</v>
      </c>
      <c r="AA20" s="75">
        <f>AA24/('Income Statement'!AA24/'Financial Ratio'!AA26)</f>
        <v>53.48919421667199</v>
      </c>
      <c r="AC20" s="78" t="s">
        <v>550</v>
      </c>
      <c r="AD20" s="75">
        <f>AD24/('Income Statement'!AD27/'Financial Ratio'!AD26)</f>
        <v>7.8003300050130679</v>
      </c>
      <c r="AE20" s="75">
        <f>AE24/('Income Statement'!AE27/'Financial Ratio'!AE26)</f>
        <v>6.9018980720670182</v>
      </c>
      <c r="AF20" s="75">
        <f>AF24/('Income Statement'!AF27/'Financial Ratio'!AF26)</f>
        <v>7.7182701475033735</v>
      </c>
      <c r="AG20" s="75">
        <f>AG24/('Income Statement'!AG27/'Financial Ratio'!AG26)</f>
        <v>9.916710189325034</v>
      </c>
      <c r="AH20" s="75">
        <f>AH24/('Income Statement'!AH27/'Financial Ratio'!AH26)</f>
        <v>15.263829553844525</v>
      </c>
    </row>
    <row r="21" spans="1:34" x14ac:dyDescent="0.3">
      <c r="A21" s="67" t="s">
        <v>551</v>
      </c>
      <c r="B21" s="72">
        <f>B24/B25</f>
        <v>2.1425734324005274</v>
      </c>
      <c r="C21" s="72">
        <f t="shared" ref="C21:F21" si="0">C24/C25</f>
        <v>2.5016346491161174</v>
      </c>
      <c r="D21" s="72">
        <f t="shared" si="0"/>
        <v>3.817010079429239</v>
      </c>
      <c r="E21" s="72">
        <f t="shared" si="0"/>
        <v>2.473525404961765</v>
      </c>
      <c r="F21" s="72">
        <f t="shared" si="0"/>
        <v>4.7718432922633269</v>
      </c>
      <c r="H21" s="67" t="s">
        <v>551</v>
      </c>
      <c r="I21" s="75">
        <f>I24/I25</f>
        <v>0.13293886698039428</v>
      </c>
      <c r="J21" s="75">
        <f t="shared" ref="J21:M21" si="1">J24/J25</f>
        <v>0.13023375090941336</v>
      </c>
      <c r="K21" s="75">
        <f t="shared" si="1"/>
        <v>0.39641830148891311</v>
      </c>
      <c r="L21" s="75">
        <f t="shared" si="1"/>
        <v>0.30969979973101786</v>
      </c>
      <c r="M21" s="75">
        <f t="shared" si="1"/>
        <v>1.0059835834081003</v>
      </c>
      <c r="O21" s="67" t="s">
        <v>551</v>
      </c>
      <c r="P21" s="75">
        <f>P24/P25</f>
        <v>0.65443790454496875</v>
      </c>
      <c r="Q21" s="75">
        <f t="shared" ref="Q21:T21" si="2">Q24/Q25</f>
        <v>1.3066157390465416</v>
      </c>
      <c r="R21" s="75">
        <f t="shared" si="2"/>
        <v>2.929709806112232</v>
      </c>
      <c r="S21" s="75">
        <f t="shared" si="2"/>
        <v>1.7772883062040477</v>
      </c>
      <c r="T21" s="75">
        <f t="shared" si="2"/>
        <v>3.2859280975520413</v>
      </c>
      <c r="V21" s="67" t="s">
        <v>551</v>
      </c>
      <c r="W21" s="75">
        <f>W24/W25</f>
        <v>0.7080342253940447</v>
      </c>
      <c r="X21" s="75">
        <f t="shared" ref="X21:AA21" si="3">X24/X25</f>
        <v>1.0574759212816969</v>
      </c>
      <c r="Y21" s="75">
        <f t="shared" si="3"/>
        <v>3.0280797567428528</v>
      </c>
      <c r="Z21" s="75">
        <f t="shared" si="3"/>
        <v>2.243660624590988</v>
      </c>
      <c r="AA21" s="75">
        <f t="shared" si="3"/>
        <v>4.3924323696693284</v>
      </c>
      <c r="AC21" s="78" t="s">
        <v>551</v>
      </c>
      <c r="AD21" s="75">
        <f>AD24/AD25</f>
        <v>0.76044698454071358</v>
      </c>
      <c r="AE21" s="75">
        <f t="shared" ref="AE21:AH21" si="4">AE24/AE25</f>
        <v>0.79928462447407267</v>
      </c>
      <c r="AF21" s="75">
        <f t="shared" si="4"/>
        <v>0.94084809516570866</v>
      </c>
      <c r="AG21" s="75">
        <f t="shared" si="4"/>
        <v>1.1247657790518701</v>
      </c>
      <c r="AH21" s="75">
        <f t="shared" si="4"/>
        <v>1.9719436286853593</v>
      </c>
    </row>
    <row r="22" spans="1:34" x14ac:dyDescent="0.3">
      <c r="A22" s="67" t="s">
        <v>552</v>
      </c>
      <c r="B22" s="72">
        <v>0</v>
      </c>
      <c r="C22" s="72">
        <v>0</v>
      </c>
      <c r="D22" s="72">
        <v>0</v>
      </c>
      <c r="E22" s="72">
        <v>0</v>
      </c>
      <c r="F22" s="72">
        <v>0</v>
      </c>
      <c r="H22" s="67" t="s">
        <v>552</v>
      </c>
      <c r="I22" s="75">
        <v>0</v>
      </c>
      <c r="J22" s="75">
        <v>0</v>
      </c>
      <c r="K22" s="75">
        <v>0</v>
      </c>
      <c r="L22" s="75">
        <v>0</v>
      </c>
      <c r="M22" s="75">
        <v>0</v>
      </c>
      <c r="O22" s="67" t="s">
        <v>552</v>
      </c>
      <c r="P22" s="70">
        <f>(-'Cash Flow Statement'!P79/'Financial Ratio'!P26)/'Financial Ratio'!P24</f>
        <v>6.8802279658169898E-3</v>
      </c>
      <c r="Q22" s="70">
        <f>(-'Cash Flow Statement'!Q79/'Financial Ratio'!Q26)/'Financial Ratio'!Q24</f>
        <v>0</v>
      </c>
      <c r="R22" s="70">
        <f>(-'Cash Flow Statement'!R79/'Financial Ratio'!R26)/'Financial Ratio'!R24</f>
        <v>7.3241608810929743E-3</v>
      </c>
      <c r="S22" s="70">
        <f>(-'Cash Flow Statement'!S79/'Financial Ratio'!S26)/'Financial Ratio'!S24</f>
        <v>1.2944274715577861E-2</v>
      </c>
      <c r="T22" s="70">
        <f>(-'Cash Flow Statement'!T79/'Financial Ratio'!T26)/'Financial Ratio'!T24</f>
        <v>5.0736461084879515E-3</v>
      </c>
      <c r="V22" s="67" t="s">
        <v>552</v>
      </c>
      <c r="W22" s="70">
        <f>(-'Cash Flow Statement'!W55/'Financial Ratio'!W26)/'Financial Ratio'!W24</f>
        <v>2.4045350021109253E-2</v>
      </c>
      <c r="X22" s="70">
        <f>(-'Cash Flow Statement'!X55/'Financial Ratio'!X26)/'Financial Ratio'!X24</f>
        <v>1.0715136898462272E-2</v>
      </c>
      <c r="Y22" s="70">
        <f>(-'Cash Flow Statement'!Y55/'Financial Ratio'!Y26)/'Financial Ratio'!Y24</f>
        <v>6.2317093093614212E-3</v>
      </c>
      <c r="Z22" s="70">
        <f>(-'Cash Flow Statement'!Z55/'Financial Ratio'!Z26)/'Financial Ratio'!Z24</f>
        <v>7.8226367184256653E-3</v>
      </c>
      <c r="AA22" s="70">
        <f>(-'Cash Flow Statement'!AA55/'Financial Ratio'!AA26)/'Financial Ratio'!AA24</f>
        <v>3.7573821042007145E-3</v>
      </c>
      <c r="AC22" s="78" t="s">
        <v>552</v>
      </c>
      <c r="AD22" s="70">
        <f>(-'Cash Flow Statement'!AD51/'Financial Ratio'!AD26)/'Financial Ratio'!AD24</f>
        <v>4.0638935189257958E-2</v>
      </c>
      <c r="AE22" s="70">
        <f>(-'Cash Flow Statement'!AE51/'Financial Ratio'!AE26)/'Financial Ratio'!AE24</f>
        <v>5.5928886160206727E-2</v>
      </c>
      <c r="AF22" s="70">
        <f>(-'Cash Flow Statement'!AF51/'Financial Ratio'!AF26)/'Financial Ratio'!AF24</f>
        <v>5.4291118460002404E-2</v>
      </c>
      <c r="AG22" s="70">
        <f>(-'Cash Flow Statement'!AG51/'Financial Ratio'!AG26)/'Financial Ratio'!AG24</f>
        <v>4.2688133410271875E-2</v>
      </c>
      <c r="AH22" s="70">
        <f>(-'Cash Flow Statement'!AH51/'Financial Ratio'!AH26)/'Financial Ratio'!AH24</f>
        <v>2.2786119428069428E-2</v>
      </c>
    </row>
    <row r="23" spans="1:34" x14ac:dyDescent="0.3">
      <c r="A23" s="67" t="s">
        <v>553</v>
      </c>
      <c r="B23" s="72">
        <f>((B24*B26)+'Balance Sheet'!B41+'Balance Sheet'!B50-'Balance Sheet'!B22)/'Income Statement'!B16</f>
        <v>-51.755556964332541</v>
      </c>
      <c r="C23" s="72">
        <f>((C24*C26)+'Balance Sheet'!C41+'Balance Sheet'!C50-'Balance Sheet'!C22)/'Income Statement'!C16</f>
        <v>37.182539082639337</v>
      </c>
      <c r="D23" s="72">
        <f>((D24*D26)+'Balance Sheet'!D41+'Balance Sheet'!D50-'Balance Sheet'!D22)/'Income Statement'!D16</f>
        <v>18.154503408021419</v>
      </c>
      <c r="E23" s="72">
        <f>((E24*E26)+'Balance Sheet'!E41+'Balance Sheet'!E50-'Balance Sheet'!E22)/'Income Statement'!E16</f>
        <v>15.0886710881207</v>
      </c>
      <c r="F23" s="72">
        <f>((F24*F26)+'Balance Sheet'!F41+'Balance Sheet'!F50-'Balance Sheet'!F22)/'Income Statement'!F16</f>
        <v>11.504788829671345</v>
      </c>
      <c r="H23" s="67" t="s">
        <v>553</v>
      </c>
      <c r="I23" s="75">
        <f>((I24*I26)+'Balance Sheet'!I41+'Balance Sheet'!I49-'Balance Sheet'!I22)/'Income Statement'!I14</f>
        <v>-113.61152747252748</v>
      </c>
      <c r="J23" s="75">
        <f>((J24*J26)+'Balance Sheet'!J41+'Balance Sheet'!J49-'Balance Sheet'!J22)/'Income Statement'!J14</f>
        <v>54.640440220723484</v>
      </c>
      <c r="K23" s="75">
        <f>((K24*K26)+'Balance Sheet'!K41+'Balance Sheet'!K49-'Balance Sheet'!K22)/'Income Statement'!K14</f>
        <v>-54.722602608362138</v>
      </c>
      <c r="L23" s="75">
        <f>((L24*L26)+'Balance Sheet'!L41+'Balance Sheet'!L49-'Balance Sheet'!L22)/'Income Statement'!L14</f>
        <v>-18.820515097690947</v>
      </c>
      <c r="M23" s="75">
        <f>((M24*M26)+'Balance Sheet'!M41+'Balance Sheet'!M49-'Balance Sheet'!M22)/'Income Statement'!M14</f>
        <v>-15.071189829485432</v>
      </c>
      <c r="O23" s="67" t="s">
        <v>553</v>
      </c>
      <c r="P23" s="75">
        <f>((P24*P26)+'Balance Sheet'!P49+'Balance Sheet'!P60-'Balance Sheet'!P26)/'Income Statement'!P17</f>
        <v>41.366566894510008</v>
      </c>
      <c r="Q23" s="75">
        <f>((Q24*Q26)+'Balance Sheet'!Q49+'Balance Sheet'!Q60-'Balance Sheet'!Q26)/'Income Statement'!Q17</f>
        <v>110.67905377785769</v>
      </c>
      <c r="R23" s="75">
        <f>((R24*R26)+'Balance Sheet'!R49+'Balance Sheet'!R60-'Balance Sheet'!R26)/'Income Statement'!R17</f>
        <v>83.293855825534209</v>
      </c>
      <c r="S23" s="75">
        <f>((S24*S26)+'Balance Sheet'!S49+'Balance Sheet'!S60-'Balance Sheet'!S26)/'Income Statement'!S17</f>
        <v>79.172136648943876</v>
      </c>
      <c r="T23" s="75">
        <f>((T24*T26)+'Balance Sheet'!T49+'Balance Sheet'!T60-'Balance Sheet'!T26)/'Income Statement'!T17</f>
        <v>41.10032715167894</v>
      </c>
      <c r="V23" s="67" t="s">
        <v>553</v>
      </c>
      <c r="W23" s="75">
        <f>((W24*W26)+'Balance Sheet'!W41+'Balance Sheet'!W50-'Balance Sheet'!W24)/'Income Statement'!W17</f>
        <v>15.537888977544762</v>
      </c>
      <c r="X23" s="75">
        <f>((X24*X26)+'Balance Sheet'!X41+'Balance Sheet'!X50-'Balance Sheet'!X24)/'Income Statement'!X17</f>
        <v>20.232408814935514</v>
      </c>
      <c r="Y23" s="75">
        <f>((Y24*Y26)+'Balance Sheet'!Y41+'Balance Sheet'!Y50-'Balance Sheet'!Y24)/'Income Statement'!Y17</f>
        <v>27.274338663342679</v>
      </c>
      <c r="Z23" s="75">
        <f>((Z24*Z26)+'Balance Sheet'!Z41+'Balance Sheet'!Z50-'Balance Sheet'!Z24)/'Income Statement'!Z17</f>
        <v>34.796291501174004</v>
      </c>
      <c r="AA23" s="75">
        <f>((AA24*AA26)+'Balance Sheet'!AA41+'Balance Sheet'!AA50-'Balance Sheet'!AA24)/'Income Statement'!AA17</f>
        <v>55.601246361703204</v>
      </c>
      <c r="AC23" s="78" t="s">
        <v>553</v>
      </c>
      <c r="AD23" s="75">
        <f>((AD24*AD26)+'Balance Sheet'!AD42+'Balance Sheet'!AD51-'Balance Sheet'!AD23)/'Income Statement'!AD15</f>
        <v>17.836178597098449</v>
      </c>
      <c r="AE23" s="75">
        <f>((AE24*AE26)+'Balance Sheet'!AE42+'Balance Sheet'!AE51-'Balance Sheet'!AE23)/'Income Statement'!AE15</f>
        <v>18.363633538583372</v>
      </c>
      <c r="AF23" s="75">
        <f>((AF24*AF26)+'Balance Sheet'!AF42+'Balance Sheet'!AF51-'Balance Sheet'!AF23)/'Income Statement'!AF15</f>
        <v>17.424102523078563</v>
      </c>
      <c r="AG23" s="75">
        <f>((AG24*AG26)+'Balance Sheet'!AG42+'Balance Sheet'!AG51-'Balance Sheet'!AG23)/'Income Statement'!AG15</f>
        <v>16.522864002187621</v>
      </c>
      <c r="AH23" s="75">
        <f>((AH24*AH26)+'Balance Sheet'!AH42+'Balance Sheet'!AH51-'Balance Sheet'!AH23)/'Income Statement'!AH15</f>
        <v>21.94746648317934</v>
      </c>
    </row>
    <row r="24" spans="1:34" x14ac:dyDescent="0.3">
      <c r="A24" s="67" t="s">
        <v>554</v>
      </c>
      <c r="B24" s="72">
        <v>36</v>
      </c>
      <c r="C24" s="72">
        <v>85.05</v>
      </c>
      <c r="D24" s="72">
        <v>185.1</v>
      </c>
      <c r="E24" s="72">
        <v>191.6</v>
      </c>
      <c r="F24" s="72">
        <v>533.79999999999995</v>
      </c>
      <c r="H24" s="67" t="s">
        <v>554</v>
      </c>
      <c r="I24" s="75">
        <v>4.25</v>
      </c>
      <c r="J24" s="75">
        <v>4.3499999999999996</v>
      </c>
      <c r="K24" s="75">
        <v>13.5</v>
      </c>
      <c r="L24" s="75">
        <v>9.9499999999999993</v>
      </c>
      <c r="M24" s="75">
        <v>28.25</v>
      </c>
      <c r="O24" s="67" t="s">
        <v>554</v>
      </c>
      <c r="P24" s="75">
        <v>44.85</v>
      </c>
      <c r="Q24" s="75">
        <v>103.25</v>
      </c>
      <c r="R24" s="75">
        <v>238.65</v>
      </c>
      <c r="S24" s="75">
        <v>190.25</v>
      </c>
      <c r="T24" s="75">
        <v>394.2</v>
      </c>
      <c r="V24" s="67" t="s">
        <v>554</v>
      </c>
      <c r="W24" s="75">
        <v>47.15</v>
      </c>
      <c r="X24" s="75">
        <v>87.85</v>
      </c>
      <c r="Y24" s="75">
        <v>302.2</v>
      </c>
      <c r="Z24" s="75">
        <v>240.85</v>
      </c>
      <c r="AA24" s="75">
        <v>528.9</v>
      </c>
      <c r="AC24" s="78" t="s">
        <v>554</v>
      </c>
      <c r="AD24" s="75">
        <v>95.8</v>
      </c>
      <c r="AE24" s="75">
        <v>106.55</v>
      </c>
      <c r="AF24" s="75">
        <v>135</v>
      </c>
      <c r="AG24" s="75">
        <v>175.1</v>
      </c>
      <c r="AH24" s="75">
        <v>335.8</v>
      </c>
    </row>
    <row r="25" spans="1:34" x14ac:dyDescent="0.3">
      <c r="A25" s="67" t="s">
        <v>555</v>
      </c>
      <c r="B25" s="72">
        <f>'Balance Sheet'!B37/'Financial Ratio'!B26</f>
        <v>16.802224584510878</v>
      </c>
      <c r="C25" s="72">
        <f>'Balance Sheet'!C37/'Financial Ratio'!C26</f>
        <v>33.997770229977441</v>
      </c>
      <c r="D25" s="72">
        <f>'Balance Sheet'!D37/'Financial Ratio'!D26</f>
        <v>48.493453291503535</v>
      </c>
      <c r="E25" s="72">
        <f>'Balance Sheet'!E37/'Financial Ratio'!E26</f>
        <v>77.460291944307599</v>
      </c>
      <c r="F25" s="72">
        <f>'Balance Sheet'!F37/'Financial Ratio'!F26</f>
        <v>111.86452850735046</v>
      </c>
      <c r="H25" s="67" t="s">
        <v>555</v>
      </c>
      <c r="I25" s="75">
        <f>'Balance Sheet'!I37/'Financial Ratio'!I26</f>
        <v>31.969581932925504</v>
      </c>
      <c r="J25" s="75">
        <f>'Balance Sheet'!J37/'Financial Ratio'!J26</f>
        <v>33.401479797857682</v>
      </c>
      <c r="K25" s="75">
        <f>'Balance Sheet'!K37/'Financial Ratio'!K26</f>
        <v>34.054936286481123</v>
      </c>
      <c r="L25" s="75">
        <f>'Balance Sheet'!L37/'Financial Ratio'!L26</f>
        <v>32.127886452112101</v>
      </c>
      <c r="M25" s="75">
        <f>'Balance Sheet'!M37/'Financial Ratio'!M26</f>
        <v>28.08196919505767</v>
      </c>
      <c r="O25" s="67" t="s">
        <v>555</v>
      </c>
      <c r="P25" s="75">
        <f>'Balance Sheet'!P45/'Financial Ratio'!P26</f>
        <v>68.532094013081718</v>
      </c>
      <c r="Q25" s="75">
        <f>'Balance Sheet'!Q45/'Financial Ratio'!Q26</f>
        <v>79.02093700122056</v>
      </c>
      <c r="R25" s="75">
        <f>'Balance Sheet'!R45/'Financial Ratio'!R26</f>
        <v>81.458579789065212</v>
      </c>
      <c r="S25" s="75">
        <f>'Balance Sheet'!S45/'Financial Ratio'!S26</f>
        <v>107.04509748693395</v>
      </c>
      <c r="T25" s="75">
        <f>'Balance Sheet'!T45/'Financial Ratio'!T26</f>
        <v>119.96610646887619</v>
      </c>
      <c r="V25" s="67" t="s">
        <v>555</v>
      </c>
      <c r="W25" s="75">
        <f>'Balance Sheet'!W37/'Financial Ratio'!W26</f>
        <v>66.592826037130408</v>
      </c>
      <c r="X25" s="75">
        <f>'Balance Sheet'!X37/'Financial Ratio'!X26</f>
        <v>83.075177630071053</v>
      </c>
      <c r="Y25" s="75">
        <f>'Balance Sheet'!Y37/'Financial Ratio'!Y26</f>
        <v>99.799220719688293</v>
      </c>
      <c r="Z25" s="75">
        <f>'Balance Sheet'!Z37/'Financial Ratio'!Z26</f>
        <v>107.34689433875774</v>
      </c>
      <c r="AA25" s="75">
        <f>'Balance Sheet'!AA37/'Financial Ratio'!AA26</f>
        <v>120.41164336465735</v>
      </c>
      <c r="AC25" s="78" t="s">
        <v>555</v>
      </c>
      <c r="AD25" s="75">
        <f>'Balance Sheet'!AD38/'Financial Ratio'!AD26</f>
        <v>125.9785388692944</v>
      </c>
      <c r="AE25" s="75">
        <f>'Balance Sheet'!AE38/'Financial Ratio'!AE26</f>
        <v>133.30670544314503</v>
      </c>
      <c r="AF25" s="75">
        <f>'Balance Sheet'!AF38/'Financial Ratio'!AF26</f>
        <v>143.48756265082608</v>
      </c>
      <c r="AG25" s="75">
        <f>'Balance Sheet'!AG38/'Financial Ratio'!AG26</f>
        <v>155.67685580512759</v>
      </c>
      <c r="AH25" s="75">
        <f>'Balance Sheet'!AH38/'Financial Ratio'!AH26</f>
        <v>170.28884351215893</v>
      </c>
    </row>
    <row r="26" spans="1:34" x14ac:dyDescent="0.3">
      <c r="A26" s="67" t="s">
        <v>556</v>
      </c>
      <c r="B26" s="72">
        <v>385.69</v>
      </c>
      <c r="C26" s="72">
        <v>385.69</v>
      </c>
      <c r="D26" s="72">
        <v>385.69</v>
      </c>
      <c r="E26" s="72">
        <v>385.69</v>
      </c>
      <c r="F26" s="72">
        <v>385.69</v>
      </c>
      <c r="H26" s="67" t="s">
        <v>556</v>
      </c>
      <c r="I26" s="75">
        <v>413.57</v>
      </c>
      <c r="J26" s="75">
        <v>413.57</v>
      </c>
      <c r="K26" s="75">
        <v>413.57</v>
      </c>
      <c r="L26" s="75">
        <v>413.57</v>
      </c>
      <c r="M26" s="75">
        <v>413.57</v>
      </c>
      <c r="O26" s="67" t="s">
        <v>556</v>
      </c>
      <c r="P26" s="75">
        <v>319.52999999999997</v>
      </c>
      <c r="Q26" s="75">
        <v>319.52999999999997</v>
      </c>
      <c r="R26" s="75">
        <v>319.52999999999997</v>
      </c>
      <c r="S26" s="75">
        <v>319.52999999999997</v>
      </c>
      <c r="T26" s="75">
        <v>319.52999999999997</v>
      </c>
      <c r="V26" s="67" t="s">
        <v>556</v>
      </c>
      <c r="W26" s="75">
        <v>174.52</v>
      </c>
      <c r="X26" s="75">
        <v>174.52</v>
      </c>
      <c r="Y26" s="75">
        <v>174.52</v>
      </c>
      <c r="Z26" s="75">
        <v>174.52</v>
      </c>
      <c r="AA26" s="75">
        <v>174.52</v>
      </c>
      <c r="AC26" s="78" t="s">
        <v>557</v>
      </c>
      <c r="AD26" s="75">
        <v>969.66</v>
      </c>
      <c r="AE26" s="75">
        <v>969.66</v>
      </c>
      <c r="AF26" s="75">
        <v>969.66</v>
      </c>
      <c r="AG26" s="75">
        <v>969.66</v>
      </c>
      <c r="AH26" s="75">
        <v>969.66</v>
      </c>
    </row>
    <row r="27" spans="1:34" s="137" customFormat="1" x14ac:dyDescent="0.3">
      <c r="A27" s="138" t="s">
        <v>624</v>
      </c>
      <c r="B27" s="139">
        <f ca="1">'Income Statement'!B25/'Company Profile'!$B$15</f>
        <v>-1.1795724071414107</v>
      </c>
      <c r="C27" s="139">
        <f ca="1">'Income Statement'!C25/'Company Profile'!$B$15</f>
        <v>0.6585427826204201</v>
      </c>
      <c r="D27" s="139">
        <f ca="1">'Income Statement'!D25/'Company Profile'!$B$15</f>
        <v>2.5468791321617679</v>
      </c>
      <c r="E27" s="139">
        <f ca="1">'Income Statement'!E25/'Company Profile'!$B$15</f>
        <v>5.5622540148407822</v>
      </c>
      <c r="F27" s="139">
        <f ca="1">'Income Statement'!F25/'Company Profile'!$B$15</f>
        <v>10.8006813691683</v>
      </c>
      <c r="H27" s="139" t="s">
        <v>624</v>
      </c>
      <c r="I27" s="139">
        <f ca="1">'Income Statement'!I32/'Company Profile'!$C$15</f>
        <v>-9.8569045529841954</v>
      </c>
      <c r="J27" s="139">
        <f ca="1">'Income Statement'!J32/'Company Profile'!$C$15</f>
        <v>0.55281107198633594</v>
      </c>
      <c r="K27" s="139">
        <f ca="1">'Income Statement'!K32/'Company Profile'!$C$15</f>
        <v>-1.4650472668820389</v>
      </c>
      <c r="L27" s="139">
        <f ca="1">'Income Statement'!L32/'Company Profile'!$C$15</f>
        <v>-1.13828836267772</v>
      </c>
      <c r="M27" s="139">
        <f ca="1">'Income Statement'!M32/'Company Profile'!$C$15</f>
        <v>-5.0011956658141861</v>
      </c>
      <c r="O27" s="139" t="s">
        <v>624</v>
      </c>
      <c r="P27" s="139">
        <f ca="1">'Income Statement'!P44/'Company Profile'!$D$15</f>
        <v>4.1198745673386847</v>
      </c>
      <c r="Q27" s="139">
        <f ca="1">'Income Statement'!Q44/'Company Profile'!$D$15</f>
        <v>4.5023377793912385</v>
      </c>
      <c r="R27" s="139">
        <f ca="1">'Income Statement'!R44/'Company Profile'!$D$15</f>
        <v>6.7461052657932994</v>
      </c>
      <c r="S27" s="139">
        <f ca="1">'Income Statement'!S44/'Company Profile'!$D$15</f>
        <v>11.92258100859376</v>
      </c>
      <c r="T27" s="139">
        <f ca="1">'Income Statement'!T44/'Company Profile'!$D$15</f>
        <v>13.394818704738785</v>
      </c>
      <c r="V27" s="139" t="s">
        <v>624</v>
      </c>
      <c r="W27" s="139">
        <f ca="1">'Income Statement'!W24/'Company Profile'!$E$15</f>
        <v>6.1905419000139048</v>
      </c>
      <c r="X27" s="139">
        <f ca="1">'Income Statement'!X24/'Company Profile'!$E$15</f>
        <v>4.7104413791444948</v>
      </c>
      <c r="Y27" s="139">
        <f ca="1">'Income Statement'!Y24/'Company Profile'!$E$15</f>
        <v>9.9826911262104865</v>
      </c>
      <c r="Z27" s="139">
        <f ca="1">'Income Statement'!Z24/'Company Profile'!$E$15</f>
        <v>8.4747635704032547</v>
      </c>
      <c r="AA27" s="139">
        <f ca="1">'Income Statement'!AA24/'Company Profile'!$E$15</f>
        <v>9.8806014074982986</v>
      </c>
      <c r="AC27" s="139" t="s">
        <v>624</v>
      </c>
      <c r="AD27" s="139">
        <f ca="1">'Income Statement'!AD27/'Company Profile'!$F$15</f>
        <v>12.281448077101942</v>
      </c>
      <c r="AE27" s="139">
        <f ca="1">'Income Statement'!AE27/'Company Profile'!$F$15</f>
        <v>15.437677238754016</v>
      </c>
      <c r="AF27" s="139">
        <f ca="1">'Income Statement'!AF27/'Company Profile'!$F$15</f>
        <v>17.490846853959908</v>
      </c>
      <c r="AG27" s="139">
        <f ca="1">'Income Statement'!AG27/'Company Profile'!$F$15</f>
        <v>17.656945180951865</v>
      </c>
      <c r="AH27" s="139">
        <f ca="1">'Income Statement'!AH27/'Company Profile'!$F$15</f>
        <v>21.999571811589682</v>
      </c>
    </row>
    <row r="28" spans="1:34" s="137" customFormat="1" x14ac:dyDescent="0.3">
      <c r="A28" s="138" t="s">
        <v>625</v>
      </c>
      <c r="B28" s="139">
        <f>B24*B26</f>
        <v>13884.84</v>
      </c>
      <c r="C28" s="139">
        <f t="shared" ref="C28:F28" si="5">C24*C26</f>
        <v>32802.934499999996</v>
      </c>
      <c r="D28" s="139">
        <f t="shared" si="5"/>
        <v>71391.218999999997</v>
      </c>
      <c r="E28" s="139">
        <f t="shared" si="5"/>
        <v>73898.203999999998</v>
      </c>
      <c r="F28" s="139">
        <f t="shared" si="5"/>
        <v>205881.32199999999</v>
      </c>
      <c r="H28" s="138" t="s">
        <v>625</v>
      </c>
      <c r="I28" s="139">
        <f>I24*I26</f>
        <v>1757.6724999999999</v>
      </c>
      <c r="J28" s="139">
        <f t="shared" ref="J28:M28" si="6">J24*J26</f>
        <v>1799.0294999999999</v>
      </c>
      <c r="K28" s="139">
        <f t="shared" si="6"/>
        <v>5583.1949999999997</v>
      </c>
      <c r="L28" s="139">
        <f t="shared" si="6"/>
        <v>4115.0214999999998</v>
      </c>
      <c r="M28" s="139">
        <f t="shared" si="6"/>
        <v>11683.352499999999</v>
      </c>
      <c r="O28" s="138" t="s">
        <v>625</v>
      </c>
      <c r="P28" s="139">
        <f>P24*P26</f>
        <v>14330.920499999998</v>
      </c>
      <c r="Q28" s="139">
        <f t="shared" ref="Q28:T28" si="7">Q24*Q26</f>
        <v>32991.472499999996</v>
      </c>
      <c r="R28" s="139">
        <f t="shared" si="7"/>
        <v>76255.834499999997</v>
      </c>
      <c r="S28" s="139">
        <f t="shared" si="7"/>
        <v>60790.582499999997</v>
      </c>
      <c r="T28" s="139">
        <f t="shared" si="7"/>
        <v>125958.72599999998</v>
      </c>
      <c r="V28" s="138" t="s">
        <v>625</v>
      </c>
      <c r="W28" s="139">
        <f>W24*W26</f>
        <v>8228.6180000000004</v>
      </c>
      <c r="X28" s="139">
        <f t="shared" ref="X28:AA28" si="8">X24*X26</f>
        <v>15331.582</v>
      </c>
      <c r="Y28" s="139">
        <f t="shared" si="8"/>
        <v>52739.944000000003</v>
      </c>
      <c r="Z28" s="139">
        <f t="shared" si="8"/>
        <v>42033.142</v>
      </c>
      <c r="AA28" s="139">
        <f t="shared" si="8"/>
        <v>92303.627999999997</v>
      </c>
      <c r="AC28" s="138" t="s">
        <v>625</v>
      </c>
      <c r="AD28" s="139">
        <f>AD24*AD26</f>
        <v>92893.428</v>
      </c>
      <c r="AE28" s="139">
        <f t="shared" ref="AE28:AH28" si="9">AE24*AE26</f>
        <v>103317.273</v>
      </c>
      <c r="AF28" s="139">
        <f t="shared" si="9"/>
        <v>130904.09999999999</v>
      </c>
      <c r="AG28" s="139">
        <f t="shared" si="9"/>
        <v>169787.46599999999</v>
      </c>
      <c r="AH28" s="139">
        <f t="shared" si="9"/>
        <v>325611.82799999998</v>
      </c>
    </row>
    <row r="29" spans="1:34" s="137" customFormat="1" x14ac:dyDescent="0.3">
      <c r="A29" s="147" t="s">
        <v>656</v>
      </c>
      <c r="B29" s="137">
        <f>('Balance Sheet'!B41+'Balance Sheet'!B50)/('Balance Sheet'!B29-'Balance Sheet'!B57)</f>
        <v>0.92139292365645975</v>
      </c>
      <c r="C29" s="137">
        <f>('Balance Sheet'!C41+'Balance Sheet'!C50)/('Balance Sheet'!C29-'Balance Sheet'!C57)</f>
        <v>0.8723789318518953</v>
      </c>
      <c r="D29" s="137">
        <f>('Balance Sheet'!D41+'Balance Sheet'!D50)/('Balance Sheet'!D29-'Balance Sheet'!D57)</f>
        <v>0.75258597089486201</v>
      </c>
      <c r="E29" s="137">
        <f>('Balance Sheet'!E41+'Balance Sheet'!E50)/('Balance Sheet'!E29-'Balance Sheet'!E57)</f>
        <v>0.6206537980406801</v>
      </c>
      <c r="F29" s="137">
        <f>('Balance Sheet'!F41+'Balance Sheet'!F50)/('Balance Sheet'!F29-'Balance Sheet'!F57)</f>
        <v>0.45020402137030757</v>
      </c>
      <c r="I29" s="137">
        <f>('Balance Sheet'!I41+'Balance Sheet'!I49)/('Balance Sheet'!I30-'Balance Sheet'!I55)</f>
        <v>0.64761566748124944</v>
      </c>
      <c r="J29" s="137">
        <f>('Balance Sheet'!J41+'Balance Sheet'!J49)/('Balance Sheet'!J30-'Balance Sheet'!J55)</f>
        <v>0.59175500514580548</v>
      </c>
      <c r="K29" s="137">
        <f>('Balance Sheet'!K41+'Balance Sheet'!K49)/('Balance Sheet'!K30-'Balance Sheet'!K55)</f>
        <v>0.70931650257454248</v>
      </c>
      <c r="L29" s="137">
        <f>('Balance Sheet'!L41+'Balance Sheet'!L49)/('Balance Sheet'!L30-'Balance Sheet'!L55)</f>
        <v>0.70407481563484142</v>
      </c>
      <c r="M29" s="137">
        <f>('Balance Sheet'!M41+'Balance Sheet'!M49)/('Balance Sheet'!M30-'Balance Sheet'!M55)</f>
        <v>0.7251645507791743</v>
      </c>
      <c r="P29" s="137">
        <f>('Balance Sheet'!P49+'Balance Sheet'!P60)/('Balance Sheet'!P37-'Balance Sheet'!P67)</f>
        <v>0.70444109705516933</v>
      </c>
      <c r="Q29" s="137">
        <f>('Balance Sheet'!Q49+'Balance Sheet'!Q60)/('Balance Sheet'!Q37-'Balance Sheet'!Q67)</f>
        <v>0.5652095364579246</v>
      </c>
      <c r="R29" s="137">
        <f>('Balance Sheet'!R49+'Balance Sheet'!R60)/('Balance Sheet'!R37-'Balance Sheet'!R67)</f>
        <v>0.64081761810824822</v>
      </c>
      <c r="S29" s="137">
        <f>('Balance Sheet'!S49+'Balance Sheet'!S60)/('Balance Sheet'!S37-'Balance Sheet'!S67)</f>
        <v>0.58047332565128118</v>
      </c>
      <c r="T29" s="137">
        <f>('Balance Sheet'!T49+'Balance Sheet'!T60)/('Balance Sheet'!T37-'Balance Sheet'!T67)</f>
        <v>0.50276429977710835</v>
      </c>
      <c r="W29" s="137">
        <f>('Balance Sheet'!W41+'Balance Sheet'!W50)/('Balance Sheet'!W30-'Balance Sheet'!W58)</f>
        <v>0.39932448821832806</v>
      </c>
      <c r="X29" s="137">
        <f>('Balance Sheet'!X41+'Balance Sheet'!X50)/('Balance Sheet'!X30-'Balance Sheet'!X58)</f>
        <v>0.31759133006166945</v>
      </c>
      <c r="Y29" s="137">
        <f>('Balance Sheet'!Y41+'Balance Sheet'!Y50)/('Balance Sheet'!Y30-'Balance Sheet'!Y58)</f>
        <v>0.34414267353826616</v>
      </c>
      <c r="Z29" s="137">
        <f>('Balance Sheet'!Z41+'Balance Sheet'!Z50)/('Balance Sheet'!Z30-'Balance Sheet'!Z58)</f>
        <v>0.62455128940751081</v>
      </c>
      <c r="AA29" s="137">
        <f>('Balance Sheet'!AA41+'Balance Sheet'!AA50)/('Balance Sheet'!AA30-'Balance Sheet'!AA58)</f>
        <v>0.6142513499109602</v>
      </c>
      <c r="AD29" s="137">
        <f>('Balance Sheet'!AD42+'Balance Sheet'!AD51)/('Balance Sheet'!AD31-'Balance Sheet'!AD60)</f>
        <v>0.61341012374479476</v>
      </c>
      <c r="AE29" s="137">
        <f>('Balance Sheet'!AE42+'Balance Sheet'!AE51)/('Balance Sheet'!AE31-'Balance Sheet'!AE60)</f>
        <v>0.60152652698139752</v>
      </c>
      <c r="AF29" s="137">
        <f>('Balance Sheet'!AF42+'Balance Sheet'!AF51)/('Balance Sheet'!AF31-'Balance Sheet'!AF60)</f>
        <v>0.61647585764039614</v>
      </c>
      <c r="AG29" s="137">
        <f>('Balance Sheet'!AG42+'Balance Sheet'!AG51)/('Balance Sheet'!AG31-'Balance Sheet'!AG60)</f>
        <v>0.60805920044367912</v>
      </c>
      <c r="AH29" s="137">
        <f>('Balance Sheet'!AH42+'Balance Sheet'!AH51)/('Balance Sheet'!AH31-'Balance Sheet'!AH60)</f>
        <v>0.6156235814437605</v>
      </c>
    </row>
  </sheetData>
  <mergeCells count="30">
    <mergeCell ref="A1:E1"/>
    <mergeCell ref="H1:L1"/>
    <mergeCell ref="O1:S1"/>
    <mergeCell ref="V1:Z1"/>
    <mergeCell ref="AC1:AG1"/>
    <mergeCell ref="A3:F3"/>
    <mergeCell ref="A9:F9"/>
    <mergeCell ref="A12:F12"/>
    <mergeCell ref="A15:F15"/>
    <mergeCell ref="A19:F19"/>
    <mergeCell ref="H3:M3"/>
    <mergeCell ref="H9:M9"/>
    <mergeCell ref="H12:M12"/>
    <mergeCell ref="H15:M15"/>
    <mergeCell ref="H19:M19"/>
    <mergeCell ref="O3:T3"/>
    <mergeCell ref="O9:T9"/>
    <mergeCell ref="O12:T12"/>
    <mergeCell ref="O15:T15"/>
    <mergeCell ref="O19:T19"/>
    <mergeCell ref="V3:AA3"/>
    <mergeCell ref="V9:AA9"/>
    <mergeCell ref="V12:AA12"/>
    <mergeCell ref="V15:AA15"/>
    <mergeCell ref="V19:AA19"/>
    <mergeCell ref="AC3:AH3"/>
    <mergeCell ref="AC9:AH9"/>
    <mergeCell ref="AC12:AH12"/>
    <mergeCell ref="AC15:AH15"/>
    <mergeCell ref="AC19:AH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CA4B-0040-4749-9E1E-DC5C1F967F8A}">
  <dimension ref="A1:AM26"/>
  <sheetViews>
    <sheetView workbookViewId="0">
      <selection activeCell="O6" sqref="O6"/>
    </sheetView>
  </sheetViews>
  <sheetFormatPr defaultRowHeight="14.4" x14ac:dyDescent="0.3"/>
  <cols>
    <col min="1" max="1" width="29.5546875" style="1" bestFit="1" customWidth="1"/>
    <col min="2" max="2" width="15.88671875" style="1" bestFit="1" customWidth="1"/>
    <col min="3" max="6" width="13.33203125" style="1" bestFit="1" customWidth="1"/>
    <col min="7" max="7" width="13.33203125" style="1" customWidth="1"/>
    <col min="8" max="8" width="8.88671875" style="1"/>
    <col min="9" max="9" width="29.5546875" style="1" bestFit="1" customWidth="1"/>
    <col min="10" max="14" width="10.5546875" style="1" bestFit="1" customWidth="1"/>
    <col min="15" max="15" width="12.6640625" style="104" bestFit="1" customWidth="1"/>
    <col min="16" max="16" width="8.88671875" style="1"/>
    <col min="17" max="17" width="29.5546875" style="1" bestFit="1" customWidth="1"/>
    <col min="18" max="18" width="10.88671875" style="1" bestFit="1" customWidth="1"/>
    <col min="19" max="22" width="10.5546875" style="1" bestFit="1" customWidth="1"/>
    <col min="23" max="23" width="12.6640625" style="1" bestFit="1" customWidth="1"/>
    <col min="24" max="24" width="9.5546875" style="1" bestFit="1" customWidth="1"/>
    <col min="25" max="25" width="29.5546875" style="1" bestFit="1" customWidth="1"/>
    <col min="26" max="30" width="10.5546875" style="1" bestFit="1" customWidth="1"/>
    <col min="31" max="31" width="10.5546875" style="1" customWidth="1"/>
    <col min="32" max="32" width="8.88671875" style="1"/>
    <col min="33" max="33" width="29.5546875" style="1" bestFit="1" customWidth="1"/>
    <col min="34" max="34" width="10.88671875" style="1" bestFit="1" customWidth="1"/>
    <col min="35" max="38" width="10.5546875" style="1" bestFit="1" customWidth="1"/>
    <col min="39" max="16384" width="8.88671875" style="1"/>
  </cols>
  <sheetData>
    <row r="1" spans="1:39" ht="42" customHeight="1" x14ac:dyDescent="0.3">
      <c r="A1" s="160" t="s">
        <v>576</v>
      </c>
      <c r="B1" s="160"/>
      <c r="C1" s="160"/>
      <c r="D1" s="160"/>
      <c r="E1" s="160"/>
      <c r="F1" s="68" t="e" vm="1">
        <v>#VALUE!</v>
      </c>
      <c r="G1" s="83"/>
      <c r="H1" s="38"/>
      <c r="I1" s="160" t="s">
        <v>577</v>
      </c>
      <c r="J1" s="160"/>
      <c r="K1" s="160"/>
      <c r="L1" s="160"/>
      <c r="M1" s="160"/>
      <c r="N1" s="73" t="e" vm="2">
        <v>#VALUE!</v>
      </c>
      <c r="O1" s="196"/>
      <c r="Q1" s="185" t="s">
        <v>530</v>
      </c>
      <c r="R1" s="185"/>
      <c r="S1" s="185"/>
      <c r="T1" s="185"/>
      <c r="U1" s="185"/>
      <c r="V1" s="47" t="e" vm="12">
        <v>#VALUE!</v>
      </c>
      <c r="W1" s="86"/>
      <c r="Y1" s="185" t="s">
        <v>531</v>
      </c>
      <c r="Z1" s="185"/>
      <c r="AA1" s="185"/>
      <c r="AB1" s="185"/>
      <c r="AC1" s="185"/>
      <c r="AD1" s="47" t="e" vm="4">
        <v>#VALUE!</v>
      </c>
      <c r="AE1" s="86"/>
      <c r="AG1" s="160" t="s">
        <v>532</v>
      </c>
      <c r="AH1" s="160"/>
      <c r="AI1" s="160"/>
      <c r="AJ1" s="160"/>
      <c r="AK1" s="160"/>
      <c r="AL1" s="50" t="e" vm="5">
        <v>#VALUE!</v>
      </c>
      <c r="AM1" s="106"/>
    </row>
    <row r="2" spans="1:39" x14ac:dyDescent="0.3">
      <c r="A2" s="23" t="s">
        <v>20</v>
      </c>
      <c r="B2" s="69" t="s">
        <v>21</v>
      </c>
      <c r="C2" s="69" t="s">
        <v>22</v>
      </c>
      <c r="D2" s="69" t="s">
        <v>23</v>
      </c>
      <c r="E2" s="69" t="s">
        <v>24</v>
      </c>
      <c r="F2" s="69" t="s">
        <v>25</v>
      </c>
      <c r="G2" s="84"/>
      <c r="H2" s="38"/>
      <c r="I2" s="23" t="s">
        <v>20</v>
      </c>
      <c r="J2" s="74" t="s">
        <v>21</v>
      </c>
      <c r="K2" s="74" t="s">
        <v>22</v>
      </c>
      <c r="L2" s="74" t="s">
        <v>23</v>
      </c>
      <c r="M2" s="95" t="s">
        <v>24</v>
      </c>
      <c r="N2" s="95" t="s">
        <v>25</v>
      </c>
      <c r="O2" s="196"/>
      <c r="Q2" s="23" t="s">
        <v>20</v>
      </c>
      <c r="R2" s="23" t="s">
        <v>21</v>
      </c>
      <c r="S2" s="23" t="s">
        <v>22</v>
      </c>
      <c r="T2" s="23" t="s">
        <v>23</v>
      </c>
      <c r="U2" s="23" t="s">
        <v>24</v>
      </c>
      <c r="V2" s="23" t="s">
        <v>25</v>
      </c>
      <c r="W2" s="43"/>
      <c r="Y2" s="23" t="s">
        <v>20</v>
      </c>
      <c r="Z2" s="23" t="s">
        <v>21</v>
      </c>
      <c r="AA2" s="23" t="s">
        <v>22</v>
      </c>
      <c r="AB2" s="23" t="s">
        <v>23</v>
      </c>
      <c r="AC2" s="23" t="s">
        <v>24</v>
      </c>
      <c r="AD2" s="23" t="s">
        <v>25</v>
      </c>
      <c r="AE2" s="43"/>
      <c r="AG2" s="57" t="s">
        <v>20</v>
      </c>
      <c r="AH2" s="23" t="s">
        <v>21</v>
      </c>
      <c r="AI2" s="23" t="s">
        <v>22</v>
      </c>
      <c r="AJ2" s="23" t="s">
        <v>23</v>
      </c>
      <c r="AK2" s="23" t="s">
        <v>24</v>
      </c>
      <c r="AL2" s="23" t="s">
        <v>25</v>
      </c>
    </row>
    <row r="3" spans="1:39" x14ac:dyDescent="0.3">
      <c r="A3" s="63" t="s">
        <v>558</v>
      </c>
      <c r="B3" s="192"/>
      <c r="C3" s="193"/>
      <c r="D3" s="82">
        <f>'Financial Ratio'!F24</f>
        <v>533.79999999999995</v>
      </c>
      <c r="E3" s="192"/>
      <c r="F3" s="193"/>
      <c r="G3" s="88"/>
      <c r="I3" s="87" t="s">
        <v>558</v>
      </c>
      <c r="J3" s="195"/>
      <c r="K3" s="195"/>
      <c r="L3" s="99">
        <f>'Financial Ratio'!M24</f>
        <v>28.25</v>
      </c>
      <c r="M3" s="195"/>
      <c r="N3" s="195"/>
      <c r="O3" s="195"/>
      <c r="Q3" s="87" t="s">
        <v>558</v>
      </c>
      <c r="T3" s="99">
        <f>'Financial Ratio'!T24</f>
        <v>394.2</v>
      </c>
      <c r="Y3" s="87" t="s">
        <v>558</v>
      </c>
      <c r="AB3" s="99">
        <f>'Financial Ratio'!AA24</f>
        <v>528.9</v>
      </c>
      <c r="AG3" s="87" t="s">
        <v>558</v>
      </c>
      <c r="AJ3" s="99">
        <f>'Financial Ratio'!AH24</f>
        <v>335.8</v>
      </c>
    </row>
    <row r="4" spans="1:39" x14ac:dyDescent="0.3">
      <c r="A4" s="154" t="s">
        <v>559</v>
      </c>
      <c r="B4" s="154"/>
      <c r="C4" s="154"/>
      <c r="D4" s="154"/>
      <c r="E4" s="154"/>
      <c r="F4" s="154"/>
      <c r="G4" s="6" t="s">
        <v>578</v>
      </c>
      <c r="I4" s="155" t="s">
        <v>559</v>
      </c>
      <c r="J4" s="156"/>
      <c r="K4" s="156"/>
      <c r="L4" s="156"/>
      <c r="M4" s="156"/>
      <c r="N4" s="157"/>
      <c r="O4" s="100" t="s">
        <v>578</v>
      </c>
      <c r="Q4" s="155" t="s">
        <v>559</v>
      </c>
      <c r="R4" s="156"/>
      <c r="S4" s="156"/>
      <c r="T4" s="156"/>
      <c r="U4" s="156"/>
      <c r="V4" s="157"/>
      <c r="W4" s="5" t="s">
        <v>578</v>
      </c>
      <c r="Y4" s="155" t="s">
        <v>559</v>
      </c>
      <c r="Z4" s="156"/>
      <c r="AA4" s="156"/>
      <c r="AB4" s="156"/>
      <c r="AC4" s="156"/>
      <c r="AD4" s="157"/>
      <c r="AE4" s="5" t="s">
        <v>578</v>
      </c>
      <c r="AG4" s="154" t="s">
        <v>559</v>
      </c>
      <c r="AH4" s="154"/>
      <c r="AI4" s="154"/>
      <c r="AJ4" s="154"/>
      <c r="AK4" s="154"/>
      <c r="AL4" s="154"/>
      <c r="AM4" s="5" t="s">
        <v>578</v>
      </c>
    </row>
    <row r="5" spans="1:39" x14ac:dyDescent="0.3">
      <c r="A5" s="63" t="s">
        <v>560</v>
      </c>
      <c r="B5" s="66"/>
      <c r="C5" s="66">
        <f>('Income Statement'!C6-'Income Statement'!B6)/'Income Statement'!B6</f>
        <v>1.1057829932752179E-2</v>
      </c>
      <c r="D5" s="66">
        <f>('Income Statement'!D6-'Income Statement'!C6)/'Income Statement'!C6</f>
        <v>0.12564228083587453</v>
      </c>
      <c r="E5" s="66">
        <f>('Income Statement'!E6-'Income Statement'!D6)/'Income Statement'!D6</f>
        <v>0.35832486231505128</v>
      </c>
      <c r="F5" s="66">
        <f>('Income Statement'!F6-'Income Statement'!E6)/'Income Statement'!E6</f>
        <v>0.40057508598873781</v>
      </c>
      <c r="G5" s="101">
        <f>AVERAGE(C5:F5)</f>
        <v>0.22390001476810395</v>
      </c>
      <c r="I5" s="63" t="s">
        <v>560</v>
      </c>
      <c r="J5" s="21"/>
      <c r="K5" s="66">
        <f>('Income Statement'!J6-'Income Statement'!I6)/'Income Statement'!I6</f>
        <v>2.2699426144267419E-2</v>
      </c>
      <c r="L5" s="66">
        <f>('Income Statement'!K6-'Income Statement'!J6)/'Income Statement'!J6</f>
        <v>-8.3669503850463817E-2</v>
      </c>
      <c r="M5" s="66">
        <f>('Income Statement'!L6-'Income Statement'!K6)/'Income Statement'!K6</f>
        <v>2.549978989765482E-2</v>
      </c>
      <c r="N5" s="66">
        <f>('Income Statement'!M6-'Income Statement'!L6)/'Income Statement'!L6</f>
        <v>4.7888170864445585E-2</v>
      </c>
      <c r="O5" s="66">
        <f>('Income Statement'!M6/'Income Statement'!K6)^(1/3)-1</f>
        <v>2.4275625120602884E-2</v>
      </c>
      <c r="Q5" s="63" t="s">
        <v>560</v>
      </c>
      <c r="R5" s="21"/>
      <c r="S5" s="97">
        <f>('Income Statement'!Q5-'Income Statement'!P5)/'Income Statement'!P5</f>
        <v>0.10802929932273758</v>
      </c>
      <c r="T5" s="97">
        <f>('Income Statement'!R5-'Income Statement'!Q5)/'Income Statement'!Q5</f>
        <v>0.32905394358826945</v>
      </c>
      <c r="U5" s="97">
        <f>('Income Statement'!S5-'Income Statement'!R5)/'Income Statement'!R5</f>
        <v>0.29292981489005648</v>
      </c>
      <c r="V5" s="97">
        <f>('Income Statement'!T5-'Income Statement'!S5)/'Income Statement'!S5</f>
        <v>0.11893129797991411</v>
      </c>
      <c r="W5" s="66">
        <f>AVERAGE(R5:V5)</f>
        <v>0.2122360889452444</v>
      </c>
      <c r="Y5" s="63" t="s">
        <v>560</v>
      </c>
      <c r="Z5" s="66"/>
      <c r="AA5" s="66">
        <f>('Income Statement'!X4-'Income Statement'!W4)/'Income Statement'!W4</f>
        <v>-0.1632488023876093</v>
      </c>
      <c r="AB5" s="66">
        <f>('Income Statement'!Y4-'Income Statement'!X4)/'Income Statement'!X4</f>
        <v>0.17984889197076073</v>
      </c>
      <c r="AC5" s="66">
        <f>('Income Statement'!Z4-'Income Statement'!Y4)/'Income Statement'!Y4</f>
        <v>0.26504472184299294</v>
      </c>
      <c r="AD5" s="66">
        <f>('Income Statement'!AA4-'Income Statement'!Z4)/'Income Statement'!Z4</f>
        <v>0.1118003525035788</v>
      </c>
      <c r="AE5" s="66">
        <f>AVERAGE(Z5:AD5)</f>
        <v>9.8361290982430793E-2</v>
      </c>
      <c r="AG5" s="63" t="s">
        <v>560</v>
      </c>
      <c r="AH5" s="66"/>
      <c r="AI5" s="66">
        <f>('Income Statement'!AE6-'Income Statement'!AD6)/'Income Statement'!AD6</f>
        <v>2.8247549357681388E-2</v>
      </c>
      <c r="AJ5" s="66">
        <f>('Income Statement'!AF6-'Income Statement'!AE6)/'Income Statement'!AE6</f>
        <v>0.16830820888811932</v>
      </c>
      <c r="AK5" s="66">
        <f>('Income Statement'!AG6-'Income Statement'!AF6)/'Income Statement'!AF6</f>
        <v>0.31840497573564386</v>
      </c>
      <c r="AL5" s="66">
        <f>('Income Statement'!AH6-'Income Statement'!AG6)/'Income Statement'!AG6</f>
        <v>1.791628667879162E-2</v>
      </c>
      <c r="AM5" s="66">
        <f>AVERAGE(AH5:AL5)</f>
        <v>0.13321925516505906</v>
      </c>
    </row>
    <row r="6" spans="1:39" x14ac:dyDescent="0.3">
      <c r="A6" s="63" t="s">
        <v>561</v>
      </c>
      <c r="B6" s="66">
        <f>'Financial Ratio'!B5</f>
        <v>-4.5324998626166783E-2</v>
      </c>
      <c r="C6" s="66">
        <f>'Financial Ratio'!C5</f>
        <v>8.1306075237800271E-2</v>
      </c>
      <c r="D6" s="66">
        <f>'Financial Ratio'!D5</f>
        <v>0.20756903498559492</v>
      </c>
      <c r="E6" s="66">
        <f>'Financial Ratio'!E5</f>
        <v>0.17831336610245424</v>
      </c>
      <c r="F6" s="66">
        <f>'Financial Ratio'!F5</f>
        <v>0.34490709252659352</v>
      </c>
      <c r="G6" s="101">
        <f>AVERAGE(B6:F6)</f>
        <v>0.15335411404525523</v>
      </c>
      <c r="I6" s="63" t="s">
        <v>561</v>
      </c>
      <c r="J6" s="101">
        <f>'Financial Ratio'!I5</f>
        <v>-2.7735750834206045E-2</v>
      </c>
      <c r="K6" s="101">
        <f>'Financial Ratio'!J5</f>
        <v>4.8607634170183343E-2</v>
      </c>
      <c r="L6" s="101">
        <f>'Financial Ratio'!K5</f>
        <v>-6.7831184391802454E-2</v>
      </c>
      <c r="M6" s="101">
        <f>'Financial Ratio'!L5</f>
        <v>-0.16926982242215263</v>
      </c>
      <c r="N6" s="101">
        <f>'Financial Ratio'!M5</f>
        <v>-0.24068337080202373</v>
      </c>
      <c r="O6" s="66">
        <f>AVERAGE(J6:N6)</f>
        <v>-9.1382498856000305E-2</v>
      </c>
      <c r="Q6" s="63" t="s">
        <v>561</v>
      </c>
      <c r="R6" s="101">
        <f>'Financial Ratio'!P5</f>
        <v>4.6403613861486136E-2</v>
      </c>
      <c r="S6" s="101">
        <f>'Financial Ratio'!Q5</f>
        <v>1.8585215334937441E-2</v>
      </c>
      <c r="T6" s="101">
        <f>'Financial Ratio'!R5</f>
        <v>3.3151688909019858E-2</v>
      </c>
      <c r="U6" s="101">
        <f>'Financial Ratio'!S5</f>
        <v>2.3581934352071069E-2</v>
      </c>
      <c r="V6" s="101">
        <f>'Financial Ratio'!T5</f>
        <v>6.6184707625704317E-2</v>
      </c>
      <c r="W6" s="66">
        <f t="shared" ref="W6:W10" si="0">AVERAGE(R6:V6)</f>
        <v>3.7581432016643761E-2</v>
      </c>
      <c r="Y6" s="63" t="s">
        <v>561</v>
      </c>
      <c r="Z6" s="66">
        <f>'Financial Ratio'!W5</f>
        <v>0.12299043540128189</v>
      </c>
      <c r="AA6" s="66">
        <f>'Financial Ratio'!X5</f>
        <v>0.153441858191392</v>
      </c>
      <c r="AB6" s="66">
        <f>'Financial Ratio'!Y5</f>
        <v>0.25621691789226902</v>
      </c>
      <c r="AC6" s="66">
        <f>'Financial Ratio'!Z5</f>
        <v>0.16774009505799636</v>
      </c>
      <c r="AD6" s="66">
        <f>'Financial Ratio'!AA5</f>
        <v>0.18153142516458248</v>
      </c>
      <c r="AE6" s="66">
        <f t="shared" ref="AE6:AE10" si="1">AVERAGE(Z6:AD6)</f>
        <v>0.17638414634150434</v>
      </c>
      <c r="AG6" s="63" t="s">
        <v>561</v>
      </c>
      <c r="AH6" s="66">
        <f>'Financial Ratio'!AD5</f>
        <v>0.14574231542961799</v>
      </c>
      <c r="AI6" s="66">
        <f>'Financial Ratio'!AE5</f>
        <v>0.1471172337657381</v>
      </c>
      <c r="AJ6" s="66">
        <f>'Financial Ratio'!AF5</f>
        <v>0.15201314781341524</v>
      </c>
      <c r="AK6" s="66">
        <f>'Financial Ratio'!AG5</f>
        <v>0.13670624159267158</v>
      </c>
      <c r="AL6" s="66">
        <f>'Financial Ratio'!AH5</f>
        <v>0.14981547847922341</v>
      </c>
      <c r="AM6" s="66">
        <f t="shared" ref="AM6:AM10" si="2">AVERAGE(AH6:AL6)</f>
        <v>0.14627888341613327</v>
      </c>
    </row>
    <row r="7" spans="1:39" x14ac:dyDescent="0.3">
      <c r="A7" s="63" t="s">
        <v>562</v>
      </c>
      <c r="B7" s="66">
        <f>(-'Cash Flow Statement'!B31/'Income Statement'!B6)</f>
        <v>7.9971812177441051E-2</v>
      </c>
      <c r="C7" s="66">
        <f>(-'Cash Flow Statement'!C31/'Income Statement'!C6)</f>
        <v>0.12851336143075162</v>
      </c>
      <c r="D7" s="66">
        <f>(-'Cash Flow Statement'!D31/'Income Statement'!D6)</f>
        <v>0.10839168894483986</v>
      </c>
      <c r="E7" s="66">
        <f>(-'Cash Flow Statement'!E31/'Income Statement'!E6)</f>
        <v>7.5363401743287484E-2</v>
      </c>
      <c r="F7" s="66">
        <f>(-'Cash Flow Statement'!F31/'Income Statement'!F6)</f>
        <v>4.317163414036948E-2</v>
      </c>
      <c r="G7" s="101">
        <f t="shared" ref="G7:G10" si="3">AVERAGE(B7:F7)</f>
        <v>8.7082379687337896E-2</v>
      </c>
      <c r="I7" s="63" t="s">
        <v>562</v>
      </c>
      <c r="J7" s="66">
        <f>(-'Cash Flow Statement'!I33/'Income Statement'!I6)</f>
        <v>4.2187600961180932E-2</v>
      </c>
      <c r="K7" s="66">
        <f>(-'Cash Flow Statement'!J33/'Income Statement'!J6)</f>
        <v>1.5941873494981284E-2</v>
      </c>
      <c r="L7" s="66">
        <f>(-'Cash Flow Statement'!K33/'Income Statement'!K6)</f>
        <v>2.5519304047364744E-2</v>
      </c>
      <c r="M7" s="66">
        <f>(-'Cash Flow Statement'!L33/'Income Statement'!L6)</f>
        <v>4.8776186960371649E-2</v>
      </c>
      <c r="N7" s="66">
        <f>(-'Cash Flow Statement'!M33/'Income Statement'!M6)</f>
        <v>-6.2298507426548659E-3</v>
      </c>
      <c r="O7" s="66">
        <f t="shared" ref="O7:O10" si="4">AVERAGE(J7:N7)</f>
        <v>2.5239022944248752E-2</v>
      </c>
      <c r="Q7" s="63" t="s">
        <v>562</v>
      </c>
      <c r="R7" s="97">
        <f>(-'Cash Flow Statement'!P55/'Income Statement'!P5)</f>
        <v>7.4945671534847325E-2</v>
      </c>
      <c r="S7" s="97">
        <f>(-'Cash Flow Statement'!Q55/'Income Statement'!Q5)</f>
        <v>0.10136917781868728</v>
      </c>
      <c r="T7" s="97">
        <f>(-'Cash Flow Statement'!R55/'Income Statement'!R5)</f>
        <v>0.16617709633998642</v>
      </c>
      <c r="U7" s="97">
        <f>(-'Cash Flow Statement'!S55/'Income Statement'!S5)</f>
        <v>0.13539173538519217</v>
      </c>
      <c r="V7" s="97">
        <f>(-'Cash Flow Statement'!T55/'Income Statement'!T5)</f>
        <v>0.2107201063593053</v>
      </c>
      <c r="W7" s="66">
        <f t="shared" si="0"/>
        <v>0.13772075748760371</v>
      </c>
      <c r="Y7" s="63" t="s">
        <v>562</v>
      </c>
      <c r="Z7" s="66">
        <f>(-'Cash Flow Statement'!W32/'Income Statement'!W6)</f>
        <v>1.4194439284600261E-2</v>
      </c>
      <c r="AA7" s="66">
        <f>(-'Cash Flow Statement'!X32/'Income Statement'!X6)</f>
        <v>6.0818615435112057E-2</v>
      </c>
      <c r="AB7" s="66">
        <f>(-'Cash Flow Statement'!Y32/'Income Statement'!Y6)</f>
        <v>0.26260439751643805</v>
      </c>
      <c r="AC7" s="66">
        <f>(-'Cash Flow Statement'!Z32/'Income Statement'!Z6)</f>
        <v>0.38983072683018855</v>
      </c>
      <c r="AD7" s="66">
        <f>(-'Cash Flow Statement'!AA32/'Income Statement'!AA6)</f>
        <v>0.67262948467385797</v>
      </c>
      <c r="AE7" s="66">
        <f t="shared" si="1"/>
        <v>0.28001553274803942</v>
      </c>
      <c r="AG7" s="63" t="s">
        <v>562</v>
      </c>
      <c r="AH7" s="66">
        <f>(-'Cash Flow Statement'!AD36/'Income Statement'!AD6)</f>
        <v>0.162232103240844</v>
      </c>
      <c r="AI7" s="66">
        <f>(-'Cash Flow Statement'!AE36/'Income Statement'!AE6)</f>
        <v>0.20175663841232166</v>
      </c>
      <c r="AJ7" s="66">
        <f>(-'Cash Flow Statement'!AF36/'Income Statement'!AF6)</f>
        <v>0.18107740985527462</v>
      </c>
      <c r="AK7" s="66">
        <f>(-'Cash Flow Statement'!AG36/'Income Statement'!AG6)</f>
        <v>0.13944777299245742</v>
      </c>
      <c r="AL7" s="66">
        <f>(-'Cash Flow Statement'!AH36/'Income Statement'!AH6)</f>
        <v>0.17009783189834993</v>
      </c>
      <c r="AM7" s="66">
        <f t="shared" si="2"/>
        <v>0.17092235127984953</v>
      </c>
    </row>
    <row r="8" spans="1:39" x14ac:dyDescent="0.3">
      <c r="A8" s="63" t="s">
        <v>563</v>
      </c>
      <c r="B8" s="66">
        <f>'Income Statement'!B13/'Income Statement'!B6</f>
        <v>0.10798507711962692</v>
      </c>
      <c r="C8" s="66">
        <f>'Income Statement'!C13/'Income Statement'!C6</f>
        <v>0.11373663927973604</v>
      </c>
      <c r="D8" s="66">
        <f>'Income Statement'!D13/'Income Statement'!D6</f>
        <v>9.8387103391447517E-2</v>
      </c>
      <c r="E8" s="66">
        <f>'Income Statement'!E13/'Income Statement'!E6</f>
        <v>7.67574369454644E-2</v>
      </c>
      <c r="F8" s="66">
        <f>'Income Statement'!F13/'Income Statement'!F6</f>
        <v>6.5216215660265808E-2</v>
      </c>
      <c r="G8" s="101">
        <f t="shared" si="3"/>
        <v>9.2416494479308137E-2</v>
      </c>
      <c r="I8" s="63" t="s">
        <v>563</v>
      </c>
      <c r="J8" s="66">
        <f>'Income Statement'!I11/'Income Statement'!I6</f>
        <v>0.10195783922042424</v>
      </c>
      <c r="K8" s="66">
        <f>'Income Statement'!J11/'Income Statement'!J6</f>
        <v>0.12912881768113868</v>
      </c>
      <c r="L8" s="66">
        <f>'Income Statement'!K11/'Income Statement'!K6</f>
        <v>0.14014802133026658</v>
      </c>
      <c r="M8" s="66">
        <f>'Income Statement'!L11/'Income Statement'!L6</f>
        <v>0.13101155182081359</v>
      </c>
      <c r="N8" s="66">
        <f>'Income Statement'!M11/'Income Statement'!M6</f>
        <v>0.12853758309393323</v>
      </c>
      <c r="O8" s="66">
        <f t="shared" si="4"/>
        <v>0.12615676262931527</v>
      </c>
      <c r="Q8" s="63" t="s">
        <v>563</v>
      </c>
      <c r="R8" s="97">
        <f>'Income Statement'!P14/'Income Statement'!P5</f>
        <v>8.8675099279503872E-2</v>
      </c>
      <c r="S8" s="97">
        <f>'Income Statement'!Q14/'Income Statement'!Q5</f>
        <v>8.3414217010551461E-2</v>
      </c>
      <c r="T8" s="97">
        <f>'Income Statement'!R14/'Income Statement'!R5</f>
        <v>7.1388019333435915E-2</v>
      </c>
      <c r="U8" s="97">
        <f>'Income Statement'!S14/'Income Statement'!S5</f>
        <v>6.0820095106557184E-2</v>
      </c>
      <c r="V8" s="97">
        <f>'Income Statement'!T14/'Income Statement'!T5</f>
        <v>5.9842439790417042E-2</v>
      </c>
      <c r="W8" s="66">
        <f t="shared" si="0"/>
        <v>7.2827974104093099E-2</v>
      </c>
      <c r="Y8" s="63" t="s">
        <v>563</v>
      </c>
      <c r="Z8" s="66">
        <f>'Income Statement'!W13/'Income Statement'!W6</f>
        <v>0.13645938112244721</v>
      </c>
      <c r="AA8" s="66">
        <f>'Income Statement'!X13/'Income Statement'!X6</f>
        <v>0.16298841423812618</v>
      </c>
      <c r="AB8" s="66">
        <f>'Income Statement'!Y13/'Income Statement'!Y6</f>
        <v>0.12947238044652831</v>
      </c>
      <c r="AC8" s="66">
        <f>'Income Statement'!Z13/'Income Statement'!Z6</f>
        <v>0.10759405726485109</v>
      </c>
      <c r="AD8" s="66">
        <f>'Income Statement'!AA13/'Income Statement'!AA6</f>
        <v>0.13677470244524942</v>
      </c>
      <c r="AE8" s="66">
        <f t="shared" si="1"/>
        <v>0.13465778710344045</v>
      </c>
      <c r="AG8" s="63" t="s">
        <v>563</v>
      </c>
      <c r="AH8" s="66">
        <f>'Income Statement'!AD12/'Income Statement'!AD6</f>
        <v>9.2159137042150327E-2</v>
      </c>
      <c r="AI8" s="66">
        <f>'Income Statement'!AE12/'Income Statement'!AE6</f>
        <v>0.10775120355963033</v>
      </c>
      <c r="AJ8" s="66">
        <f>'Income Statement'!AF12/'Income Statement'!AF6</f>
        <v>0.10213637893330467</v>
      </c>
      <c r="AK8" s="66">
        <f>'Income Statement'!AG12/'Income Statement'!AG6</f>
        <v>8.3113300430611423E-2</v>
      </c>
      <c r="AL8" s="66">
        <f>'Income Statement'!AH12/'Income Statement'!AH6</f>
        <v>8.9440858227924386E-2</v>
      </c>
      <c r="AM8" s="66">
        <f t="shared" si="2"/>
        <v>9.4920175638724236E-2</v>
      </c>
    </row>
    <row r="9" spans="1:39" x14ac:dyDescent="0.3">
      <c r="A9" s="63" t="s">
        <v>564</v>
      </c>
      <c r="B9" s="102">
        <f>'Balance Sheet'!B27-'Balance Sheet'!B57</f>
        <v>-3595.970000000003</v>
      </c>
      <c r="C9" s="102">
        <f>'Balance Sheet'!C27-'Balance Sheet'!C57</f>
        <v>-1878.5199999999968</v>
      </c>
      <c r="D9" s="102">
        <f>'Balance Sheet'!D27-'Balance Sheet'!D57</f>
        <v>-915.59999999999673</v>
      </c>
      <c r="E9" s="102">
        <f>'Balance Sheet'!E27-'Balance Sheet'!E57</f>
        <v>1808.4099999999962</v>
      </c>
      <c r="F9" s="102">
        <f>'Balance Sheet'!F27-'Balance Sheet'!F57</f>
        <v>9797.9100000000035</v>
      </c>
      <c r="G9" s="89" t="s">
        <v>579</v>
      </c>
      <c r="I9" s="63" t="s">
        <v>564</v>
      </c>
      <c r="J9" s="103">
        <f>'Balance Sheet'!I28-'Balance Sheet'!I55</f>
        <v>-11099.720000000001</v>
      </c>
      <c r="K9" s="103">
        <f>'Balance Sheet'!J28-'Balance Sheet'!J55</f>
        <v>-11060.93</v>
      </c>
      <c r="L9" s="103">
        <f>'Balance Sheet'!K28-'Balance Sheet'!K55</f>
        <v>-11487.98</v>
      </c>
      <c r="M9" s="103">
        <f>'Balance Sheet'!L28-'Balance Sheet'!L55</f>
        <v>-13422.400000000001</v>
      </c>
      <c r="N9" s="103">
        <f>'Balance Sheet'!M28-'Balance Sheet'!M55</f>
        <v>-13343.11</v>
      </c>
      <c r="O9" s="98" t="s">
        <v>579</v>
      </c>
      <c r="Q9" s="63" t="s">
        <v>564</v>
      </c>
      <c r="R9" s="103">
        <f>'Balance Sheet'!P33-'Balance Sheet'!P67</f>
        <v>-14499.949999999999</v>
      </c>
      <c r="S9" s="103">
        <f>'Balance Sheet'!Q33-'Balance Sheet'!Q67</f>
        <v>-14397.009999999998</v>
      </c>
      <c r="T9" s="103">
        <f>'Balance Sheet'!R33-'Balance Sheet'!R67</f>
        <v>-17034.660000000003</v>
      </c>
      <c r="U9" s="103">
        <f>'Balance Sheet'!S33-'Balance Sheet'!S67</f>
        <v>-16187.590000000004</v>
      </c>
      <c r="V9" s="103">
        <f>'Balance Sheet'!T33-'Balance Sheet'!T67</f>
        <v>-13873.580000000005</v>
      </c>
      <c r="W9" s="66"/>
      <c r="Y9" s="63" t="s">
        <v>564</v>
      </c>
      <c r="Z9" s="22">
        <f>'Balance Sheet'!W28-'Balance Sheet'!W58</f>
        <v>172.65999999999985</v>
      </c>
      <c r="AA9" s="22">
        <f>'Balance Sheet'!X28-'Balance Sheet'!X58</f>
        <v>780.48000000000047</v>
      </c>
      <c r="AB9" s="22">
        <f>'Balance Sheet'!Y28-'Balance Sheet'!Y58</f>
        <v>107.65000000000055</v>
      </c>
      <c r="AC9" s="22">
        <f>'Balance Sheet'!Z28-'Balance Sheet'!Z58</f>
        <v>516.85000000000036</v>
      </c>
      <c r="AD9" s="22">
        <f>'Balance Sheet'!AA28-'Balance Sheet'!AA58</f>
        <v>1395.3399999999983</v>
      </c>
      <c r="AE9" s="66"/>
      <c r="AG9" s="63" t="s">
        <v>564</v>
      </c>
      <c r="AH9" s="103">
        <f>'Balance Sheet'!AD28-'Balance Sheet'!AD60</f>
        <v>-7978.4800000000105</v>
      </c>
      <c r="AI9" s="103">
        <f>'Balance Sheet'!AE28-'Balance Sheet'!AE60</f>
        <v>-14255.64</v>
      </c>
      <c r="AJ9" s="103">
        <f>'Balance Sheet'!AF28-'Balance Sheet'!AF60</f>
        <v>-18419.18</v>
      </c>
      <c r="AK9" s="103">
        <f>'Balance Sheet'!AG28-'Balance Sheet'!AG60</f>
        <v>-16036.220000000001</v>
      </c>
      <c r="AL9" s="103">
        <f>'Balance Sheet'!AH28-'Balance Sheet'!AH60</f>
        <v>-15368.809999999998</v>
      </c>
      <c r="AM9" s="21"/>
    </row>
    <row r="10" spans="1:39" x14ac:dyDescent="0.3">
      <c r="A10" s="63" t="s">
        <v>565</v>
      </c>
      <c r="B10" s="66"/>
      <c r="C10" s="66">
        <f>((C9-B9)/'Income Statement'!C6)</f>
        <v>6.1011350750701472E-2</v>
      </c>
      <c r="D10" s="66">
        <f>((D9-C9)/'Income Statement'!D6)</f>
        <v>3.0388995681753128E-2</v>
      </c>
      <c r="E10" s="66">
        <f>((E9-D9)/'Income Statement'!E6)</f>
        <v>6.3289430518032611E-2</v>
      </c>
      <c r="F10" s="66">
        <f>((F9-E9)/'Income Statement'!F6)</f>
        <v>0.13253656015081261</v>
      </c>
      <c r="G10" s="101">
        <f t="shared" si="3"/>
        <v>7.180658427532495E-2</v>
      </c>
      <c r="I10" s="63" t="s">
        <v>565</v>
      </c>
      <c r="J10" s="21"/>
      <c r="K10" s="66">
        <f>(K9-J9)/'Income Statement'!J6</f>
        <v>4.6241327515915498E-3</v>
      </c>
      <c r="L10" s="66">
        <f>(L9-K9)/'Income Statement'!K6</f>
        <v>-5.5556784224240909E-2</v>
      </c>
      <c r="M10" s="66">
        <f>(M9-L9)/'Income Statement'!L6</f>
        <v>-0.245399442325892</v>
      </c>
      <c r="N10" s="66">
        <f>(N9-M9)/'Income Statement'!M6</f>
        <v>9.5990063230685929E-3</v>
      </c>
      <c r="O10" s="66">
        <f t="shared" si="4"/>
        <v>-7.1683271868868192E-2</v>
      </c>
      <c r="Q10" s="63" t="s">
        <v>565</v>
      </c>
      <c r="R10" s="21"/>
      <c r="S10" s="66">
        <f>(S9-R9)/'Income Statement'!Q5</f>
        <v>3.1281774825920455E-3</v>
      </c>
      <c r="T10" s="66">
        <f>(T9-S9)/'Income Statement'!R5</f>
        <v>-6.0308951763127804E-2</v>
      </c>
      <c r="U10" s="66">
        <f>(U9-T9)/'Income Statement'!S5</f>
        <v>1.4979901710255693E-2</v>
      </c>
      <c r="V10" s="66">
        <f>(V9-U9)/'Income Statement'!T5</f>
        <v>3.6572232533910537E-2</v>
      </c>
      <c r="W10" s="66">
        <f t="shared" si="0"/>
        <v>-1.4071600090923824E-3</v>
      </c>
      <c r="Y10" s="63" t="s">
        <v>565</v>
      </c>
      <c r="Z10" s="66"/>
      <c r="AA10" s="66">
        <f>(AA9-Z9)/'Income Statement'!X6</f>
        <v>8.4895211358097203E-2</v>
      </c>
      <c r="AB10" s="66">
        <f>(AB9-AA9)/'Income Statement'!Y6</f>
        <v>-7.7019496694078635E-2</v>
      </c>
      <c r="AC10" s="66">
        <f>(AC9-AB9)/'Income Statement'!Z6</f>
        <v>3.7655113393239181E-2</v>
      </c>
      <c r="AD10" s="66">
        <f>(AD9-AC9)/'Income Statement'!AA6</f>
        <v>7.3560960414792903E-2</v>
      </c>
      <c r="AE10" s="66">
        <f t="shared" si="1"/>
        <v>2.9772947118012663E-2</v>
      </c>
      <c r="AG10" s="63" t="s">
        <v>565</v>
      </c>
      <c r="AH10" s="97"/>
      <c r="AI10" s="97">
        <f>(AI9-AH9)/'Income Statement'!AE6</f>
        <v>-5.4325679034206216E-2</v>
      </c>
      <c r="AJ10" s="97">
        <f>(AJ9-AI9)/'Income Statement'!AF6</f>
        <v>-3.0842336984425497E-2</v>
      </c>
      <c r="AK10" s="97">
        <f>(AK9-AJ9)/'Income Statement'!AG6</f>
        <v>1.3389132999474029E-2</v>
      </c>
      <c r="AL10" s="97">
        <f>(AL9-AK9)/'Income Statement'!AH6</f>
        <v>3.6839722451018279E-3</v>
      </c>
      <c r="AM10" s="97">
        <f t="shared" si="2"/>
        <v>-1.7023727693513967E-2</v>
      </c>
    </row>
    <row r="11" spans="1:39" x14ac:dyDescent="0.3">
      <c r="A11" s="80"/>
      <c r="I11" s="80"/>
      <c r="Q11" s="80"/>
      <c r="Y11" s="80"/>
      <c r="AG11" s="80"/>
    </row>
    <row r="12" spans="1:39" x14ac:dyDescent="0.3">
      <c r="A12" s="155" t="s">
        <v>566</v>
      </c>
      <c r="B12" s="157"/>
      <c r="C12" s="2"/>
      <c r="D12" s="2"/>
      <c r="E12" s="2"/>
      <c r="F12" s="2"/>
      <c r="G12" s="85"/>
      <c r="I12" s="154" t="s">
        <v>566</v>
      </c>
      <c r="J12" s="154"/>
      <c r="Q12" s="154" t="s">
        <v>566</v>
      </c>
      <c r="R12" s="154"/>
      <c r="Y12" s="154" t="s">
        <v>566</v>
      </c>
      <c r="Z12" s="154"/>
      <c r="AG12" s="154" t="s">
        <v>566</v>
      </c>
      <c r="AH12" s="154"/>
    </row>
    <row r="13" spans="1:39" x14ac:dyDescent="0.3">
      <c r="A13" s="63" t="s">
        <v>567</v>
      </c>
      <c r="B13" s="101">
        <f>G5</f>
        <v>0.22390001476810395</v>
      </c>
      <c r="I13" s="63" t="s">
        <v>567</v>
      </c>
      <c r="J13" s="101">
        <f>O5</f>
        <v>2.4275625120602884E-2</v>
      </c>
      <c r="Q13" s="63" t="s">
        <v>567</v>
      </c>
      <c r="R13" s="101">
        <f>W5</f>
        <v>0.2122360889452444</v>
      </c>
      <c r="Y13" s="63" t="s">
        <v>567</v>
      </c>
      <c r="Z13" s="101">
        <f>AE5</f>
        <v>9.8361290982430793E-2</v>
      </c>
      <c r="AG13" s="63" t="s">
        <v>567</v>
      </c>
      <c r="AH13" s="101">
        <f>AM5</f>
        <v>0.13321925516505906</v>
      </c>
    </row>
    <row r="14" spans="1:39" x14ac:dyDescent="0.3">
      <c r="A14" s="63" t="s">
        <v>561</v>
      </c>
      <c r="B14" s="101">
        <f>G6</f>
        <v>0.15335411404525523</v>
      </c>
      <c r="I14" s="63" t="s">
        <v>561</v>
      </c>
      <c r="J14" s="101">
        <f>O6</f>
        <v>-9.1382498856000305E-2</v>
      </c>
      <c r="Q14" s="63" t="s">
        <v>561</v>
      </c>
      <c r="R14" s="101">
        <f>W6</f>
        <v>3.7581432016643761E-2</v>
      </c>
      <c r="Y14" s="63" t="s">
        <v>561</v>
      </c>
      <c r="Z14" s="101">
        <f>AE6</f>
        <v>0.17638414634150434</v>
      </c>
      <c r="AG14" s="63" t="s">
        <v>561</v>
      </c>
      <c r="AH14" s="101">
        <f>AM6</f>
        <v>0.14627888341613327</v>
      </c>
    </row>
    <row r="15" spans="1:39" x14ac:dyDescent="0.3">
      <c r="A15" s="63" t="s">
        <v>563</v>
      </c>
      <c r="B15" s="101">
        <f>G8</f>
        <v>9.2416494479308137E-2</v>
      </c>
      <c r="I15" s="63" t="s">
        <v>563</v>
      </c>
      <c r="J15" s="101">
        <f>O8</f>
        <v>0.12615676262931527</v>
      </c>
      <c r="Q15" s="63" t="s">
        <v>563</v>
      </c>
      <c r="R15" s="101">
        <f>W8</f>
        <v>7.2827974104093099E-2</v>
      </c>
      <c r="Y15" s="63" t="s">
        <v>563</v>
      </c>
      <c r="Z15" s="101">
        <f>AE8</f>
        <v>0.13465778710344045</v>
      </c>
      <c r="AG15" s="63" t="s">
        <v>563</v>
      </c>
      <c r="AH15" s="101">
        <f>AM8</f>
        <v>9.4920175638724236E-2</v>
      </c>
    </row>
    <row r="16" spans="1:39" x14ac:dyDescent="0.3">
      <c r="A16" s="63" t="s">
        <v>568</v>
      </c>
      <c r="B16" s="101">
        <f>G7</f>
        <v>8.7082379687337896E-2</v>
      </c>
      <c r="I16" s="63" t="s">
        <v>568</v>
      </c>
      <c r="J16" s="101">
        <f>O7</f>
        <v>2.5239022944248752E-2</v>
      </c>
      <c r="Q16" s="63" t="s">
        <v>568</v>
      </c>
      <c r="R16" s="101">
        <f>W7</f>
        <v>0.13772075748760371</v>
      </c>
      <c r="Y16" s="63" t="s">
        <v>568</v>
      </c>
      <c r="Z16" s="101">
        <f>AE7</f>
        <v>0.28001553274803942</v>
      </c>
      <c r="AG16" s="63" t="s">
        <v>568</v>
      </c>
      <c r="AH16" s="101">
        <f>AM7</f>
        <v>0.17092235127984953</v>
      </c>
    </row>
    <row r="17" spans="1:34" x14ac:dyDescent="0.3">
      <c r="A17" s="63" t="s">
        <v>569</v>
      </c>
      <c r="B17" s="101">
        <f>G10</f>
        <v>7.180658427532495E-2</v>
      </c>
      <c r="I17" s="63" t="s">
        <v>569</v>
      </c>
      <c r="J17" s="101">
        <f>O10</f>
        <v>-7.1683271868868192E-2</v>
      </c>
      <c r="Q17" s="63" t="s">
        <v>569</v>
      </c>
      <c r="R17" s="101">
        <f>W10</f>
        <v>-1.4071600090923824E-3</v>
      </c>
      <c r="Y17" s="63" t="s">
        <v>569</v>
      </c>
      <c r="Z17" s="101">
        <f>AE10</f>
        <v>2.9772947118012663E-2</v>
      </c>
      <c r="AG17" s="63" t="s">
        <v>569</v>
      </c>
      <c r="AH17" s="107">
        <f>AM10</f>
        <v>-1.7023727693513967E-2</v>
      </c>
    </row>
    <row r="18" spans="1:34" x14ac:dyDescent="0.3">
      <c r="A18" s="63" t="s">
        <v>570</v>
      </c>
      <c r="B18" s="97">
        <f>'Income Statement'!D23/'Income Statement'!D18</f>
        <v>0.2652828817432526</v>
      </c>
      <c r="I18" s="63" t="s">
        <v>570</v>
      </c>
      <c r="J18" s="114">
        <f>'Income Statement'!M24/'Income Statement'!M19</f>
        <v>-0.10552966989621082</v>
      </c>
      <c r="Q18" s="63" t="s">
        <v>570</v>
      </c>
      <c r="R18" s="66">
        <f>'Income Statement'!T35/'Income Statement'!T29</f>
        <v>0.25329988381059371</v>
      </c>
      <c r="Y18" s="63" t="s">
        <v>570</v>
      </c>
      <c r="Z18" s="66">
        <f>('Income Statement'!AA21+'Income Statement'!AA22+'Income Statement'!AA23)/'Income Statement'!AA19</f>
        <v>0.2040029337011223</v>
      </c>
      <c r="AG18" s="63" t="s">
        <v>570</v>
      </c>
      <c r="AH18" s="66">
        <f>'Income Statement'!AH24/'Income Statement'!AH19</f>
        <v>0.25087826921553558</v>
      </c>
    </row>
    <row r="19" spans="1:34" x14ac:dyDescent="0.3">
      <c r="A19" s="63" t="s">
        <v>571</v>
      </c>
      <c r="B19" s="96">
        <v>7.0000000000000007E-2</v>
      </c>
      <c r="I19" s="63" t="s">
        <v>571</v>
      </c>
      <c r="J19" s="96">
        <v>7.0000000000000007E-2</v>
      </c>
      <c r="Q19" s="63" t="s">
        <v>571</v>
      </c>
      <c r="R19" s="96">
        <v>7.0000000000000007E-2</v>
      </c>
      <c r="Y19" s="63" t="s">
        <v>571</v>
      </c>
      <c r="Z19" s="96">
        <v>7.0000000000000007E-2</v>
      </c>
      <c r="AG19" s="63" t="s">
        <v>571</v>
      </c>
      <c r="AH19" s="97">
        <v>7.0000000000000007E-2</v>
      </c>
    </row>
    <row r="20" spans="1:34" x14ac:dyDescent="0.3">
      <c r="A20" s="63" t="s">
        <v>572</v>
      </c>
      <c r="B20" s="101">
        <f>12%-B19</f>
        <v>4.9999999999999989E-2</v>
      </c>
      <c r="I20" s="63" t="s">
        <v>572</v>
      </c>
      <c r="J20" s="96">
        <f>12%-J19</f>
        <v>4.9999999999999989E-2</v>
      </c>
      <c r="Q20" s="63" t="s">
        <v>572</v>
      </c>
      <c r="R20" s="96">
        <f>0.12-R19</f>
        <v>4.9999999999999989E-2</v>
      </c>
      <c r="Y20" s="63" t="s">
        <v>572</v>
      </c>
      <c r="Z20" s="96">
        <f>0.12-Z19</f>
        <v>4.9999999999999989E-2</v>
      </c>
      <c r="AG20" s="63" t="s">
        <v>572</v>
      </c>
      <c r="AH20" s="97">
        <f>0.12-AH19</f>
        <v>4.9999999999999989E-2</v>
      </c>
    </row>
    <row r="21" spans="1:34" x14ac:dyDescent="0.3">
      <c r="A21" s="63" t="s">
        <v>12</v>
      </c>
      <c r="B21" s="105">
        <f ca="1">'Company Profile'!B17</f>
        <v>1.1436999999999999</v>
      </c>
      <c r="D21" s="88"/>
      <c r="E21" s="194"/>
      <c r="F21" s="194"/>
      <c r="G21" s="88"/>
      <c r="I21" s="63" t="s">
        <v>12</v>
      </c>
      <c r="J21" s="105">
        <f ca="1">'Company Profile'!C17</f>
        <v>2.5566</v>
      </c>
      <c r="Q21" s="63" t="s">
        <v>12</v>
      </c>
      <c r="R21" s="105">
        <f ca="1">'Company Profile'!D17</f>
        <v>1.4703999999999999</v>
      </c>
      <c r="Y21" s="63" t="s">
        <v>12</v>
      </c>
      <c r="Z21" s="105">
        <f ca="1">'Company Profile'!E17</f>
        <v>1.2626999999999999</v>
      </c>
      <c r="AG21" s="63" t="s">
        <v>12</v>
      </c>
      <c r="AH21" s="105">
        <f ca="1">'Company Profile'!F17</f>
        <v>1.101</v>
      </c>
    </row>
    <row r="22" spans="1:34" x14ac:dyDescent="0.3">
      <c r="A22" s="63" t="s">
        <v>573</v>
      </c>
      <c r="B22" s="97">
        <v>3.5000000000000003E-2</v>
      </c>
      <c r="I22" s="63" t="s">
        <v>573</v>
      </c>
      <c r="J22" s="97">
        <v>3.5000000000000003E-2</v>
      </c>
      <c r="Q22" s="63" t="s">
        <v>573</v>
      </c>
      <c r="R22" s="21">
        <v>3.5000000000000003E-2</v>
      </c>
      <c r="Y22" s="63" t="s">
        <v>573</v>
      </c>
      <c r="Z22" s="97">
        <v>3.5000000000000003E-2</v>
      </c>
      <c r="AG22" s="63" t="s">
        <v>573</v>
      </c>
      <c r="AH22" s="97">
        <v>3.5000000000000003E-2</v>
      </c>
    </row>
    <row r="23" spans="1:34" x14ac:dyDescent="0.3">
      <c r="A23" s="63" t="s">
        <v>580</v>
      </c>
      <c r="B23" s="21">
        <v>385.69</v>
      </c>
      <c r="I23" s="63" t="s">
        <v>18</v>
      </c>
      <c r="J23" s="81">
        <f>'Financial Ratio'!I26</f>
        <v>413.57</v>
      </c>
      <c r="Q23" s="63" t="s">
        <v>18</v>
      </c>
      <c r="R23" s="81">
        <f>'Financial Ratio'!P26</f>
        <v>319.52999999999997</v>
      </c>
      <c r="Y23" s="63" t="s">
        <v>18</v>
      </c>
      <c r="Z23" s="81">
        <f>'Financial Ratio'!W26</f>
        <v>174.52</v>
      </c>
      <c r="AG23" s="63" t="s">
        <v>18</v>
      </c>
      <c r="AH23" s="81">
        <f>'Financial Ratio'!AD26</f>
        <v>969.66</v>
      </c>
    </row>
    <row r="24" spans="1:34" x14ac:dyDescent="0.3">
      <c r="A24" s="63" t="s">
        <v>581</v>
      </c>
      <c r="B24" s="21">
        <f ca="1">'Company Profile'!B13</f>
        <v>150.05000000000001</v>
      </c>
      <c r="I24" s="63" t="s">
        <v>599</v>
      </c>
      <c r="J24" s="81">
        <f ca="1">'Company Profile'!C13</f>
        <v>41.13</v>
      </c>
      <c r="Q24" s="63" t="s">
        <v>599</v>
      </c>
      <c r="R24" s="21">
        <f ca="1">'Company Profile'!D13</f>
        <v>395.95</v>
      </c>
      <c r="Y24" s="63" t="s">
        <v>599</v>
      </c>
      <c r="Z24" s="21">
        <f ca="1">'Company Profile'!E13</f>
        <v>522.35</v>
      </c>
      <c r="AG24" s="63" t="s">
        <v>599</v>
      </c>
      <c r="AH24" s="21">
        <f ca="1">'Company Profile'!F13</f>
        <v>325.45</v>
      </c>
    </row>
    <row r="25" spans="1:34" x14ac:dyDescent="0.3">
      <c r="A25" s="63" t="s">
        <v>582</v>
      </c>
      <c r="B25" s="22">
        <f ca="1">B23*B24</f>
        <v>57872.784500000002</v>
      </c>
      <c r="I25" s="63" t="s">
        <v>574</v>
      </c>
      <c r="J25" s="22">
        <f ca="1">J23*J24</f>
        <v>17010.134099999999</v>
      </c>
      <c r="Q25" s="63" t="s">
        <v>574</v>
      </c>
      <c r="R25" s="22">
        <f ca="1">R23*R24</f>
        <v>126517.90349999999</v>
      </c>
      <c r="Y25" s="63" t="s">
        <v>574</v>
      </c>
      <c r="Z25" s="22">
        <f ca="1">Z23*Z24</f>
        <v>91160.522000000012</v>
      </c>
      <c r="AG25" s="63" t="s">
        <v>574</v>
      </c>
      <c r="AH25" s="22">
        <f ca="1">AH23*AH24</f>
        <v>315575.84699999995</v>
      </c>
    </row>
    <row r="26" spans="1:34" x14ac:dyDescent="0.3">
      <c r="A26" s="63" t="s">
        <v>575</v>
      </c>
      <c r="B26" s="22">
        <f>'Balance Sheet'!F41+'Balance Sheet'!F50</f>
        <v>34456.86</v>
      </c>
      <c r="I26" s="63" t="s">
        <v>575</v>
      </c>
      <c r="J26" s="103">
        <f>'Balance Sheet'!M41+'Balance Sheet'!M49</f>
        <v>18765.830000000002</v>
      </c>
      <c r="Q26" s="63" t="s">
        <v>575</v>
      </c>
      <c r="R26" s="22">
        <f>'Balance Sheet'!T49+'Balance Sheet'!T60</f>
        <v>49479.81</v>
      </c>
      <c r="Y26" s="63" t="s">
        <v>575</v>
      </c>
      <c r="Z26" s="22">
        <f>'Balance Sheet'!AA41+'Balance Sheet'!AA50</f>
        <v>31326.61</v>
      </c>
      <c r="AG26" s="63" t="s">
        <v>575</v>
      </c>
      <c r="AH26" s="22">
        <f>'Balance Sheet'!AH42+'Balance Sheet'!AH51</f>
        <v>235040.3</v>
      </c>
    </row>
  </sheetData>
  <mergeCells count="21">
    <mergeCell ref="I4:N4"/>
    <mergeCell ref="O1:O2"/>
    <mergeCell ref="Q4:V4"/>
    <mergeCell ref="Y4:AD4"/>
    <mergeCell ref="AG4:AL4"/>
    <mergeCell ref="AG12:AH12"/>
    <mergeCell ref="B3:C3"/>
    <mergeCell ref="E3:F3"/>
    <mergeCell ref="E21:F21"/>
    <mergeCell ref="A1:E1"/>
    <mergeCell ref="I1:M1"/>
    <mergeCell ref="Q1:U1"/>
    <mergeCell ref="Y1:AC1"/>
    <mergeCell ref="A12:B12"/>
    <mergeCell ref="J3:K3"/>
    <mergeCell ref="M3:O3"/>
    <mergeCell ref="I12:J12"/>
    <mergeCell ref="Q12:R12"/>
    <mergeCell ref="Y12:Z12"/>
    <mergeCell ref="AG1:AK1"/>
    <mergeCell ref="A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3F76-7C7D-4337-ACC9-C0FCE8DF7C7C}">
  <dimension ref="A1:AW31"/>
  <sheetViews>
    <sheetView topLeftCell="AR1" zoomScale="104" workbookViewId="0">
      <selection activeCell="N8" sqref="N8"/>
    </sheetView>
  </sheetViews>
  <sheetFormatPr defaultRowHeight="14.4" x14ac:dyDescent="0.3"/>
  <cols>
    <col min="1" max="1" width="25.33203125" style="80" bestFit="1" customWidth="1"/>
    <col min="2" max="2" width="13.21875" style="1" customWidth="1"/>
    <col min="3" max="3" width="11" style="140" bestFit="1" customWidth="1"/>
    <col min="4" max="6" width="13.33203125" style="1" bestFit="1" customWidth="1"/>
    <col min="7" max="7" width="13.33203125" style="140" bestFit="1" customWidth="1"/>
    <col min="8" max="9" width="13.33203125" style="1" customWidth="1"/>
    <col min="10" max="10" width="8.88671875" style="1"/>
    <col min="11" max="11" width="25.33203125" style="38" bestFit="1" customWidth="1"/>
    <col min="12" max="12" width="10.5546875" style="38" bestFit="1" customWidth="1"/>
    <col min="13" max="13" width="10.5546875" style="38" customWidth="1"/>
    <col min="14" max="17" width="10.5546875" style="38" bestFit="1" customWidth="1"/>
    <col min="18" max="19" width="10.5546875" style="38" customWidth="1"/>
    <col min="20" max="20" width="8.88671875" style="1"/>
    <col min="21" max="21" width="25.33203125" style="1" bestFit="1" customWidth="1"/>
    <col min="22" max="22" width="10.5546875" style="1" bestFit="1" customWidth="1"/>
    <col min="23" max="23" width="10.5546875" style="1" customWidth="1"/>
    <col min="24" max="25" width="10.5546875" style="1" bestFit="1" customWidth="1"/>
    <col min="26" max="28" width="11.44140625" style="1" bestFit="1" customWidth="1"/>
    <col min="29" max="29" width="11.44140625" style="1" customWidth="1"/>
    <col min="30" max="30" width="9.5546875" style="1" bestFit="1" customWidth="1"/>
    <col min="31" max="31" width="25.33203125" style="1" bestFit="1" customWidth="1"/>
    <col min="32" max="32" width="10.5546875" style="1" bestFit="1" customWidth="1"/>
    <col min="33" max="33" width="10.5546875" style="1" customWidth="1"/>
    <col min="34" max="37" width="10.5546875" style="1" bestFit="1" customWidth="1"/>
    <col min="38" max="39" width="10.5546875" style="1" customWidth="1"/>
    <col min="40" max="40" width="8.88671875" style="1"/>
    <col min="41" max="41" width="26.109375" style="1" bestFit="1" customWidth="1"/>
    <col min="42" max="42" width="11.44140625" style="1" bestFit="1" customWidth="1"/>
    <col min="43" max="43" width="10.5546875" style="1" customWidth="1"/>
    <col min="44" max="48" width="11.44140625" style="38" bestFit="1" customWidth="1"/>
    <col min="49" max="49" width="11.44140625" style="38" customWidth="1"/>
    <col min="50" max="16384" width="8.88671875" style="1"/>
  </cols>
  <sheetData>
    <row r="1" spans="1:49" ht="42.6" customHeight="1" x14ac:dyDescent="0.3">
      <c r="A1" s="160" t="s">
        <v>616</v>
      </c>
      <c r="B1" s="160"/>
      <c r="C1" s="160"/>
      <c r="D1" s="160"/>
      <c r="E1" s="160"/>
      <c r="F1" s="160"/>
      <c r="G1" s="68" t="e" vm="1">
        <v>#VALUE!</v>
      </c>
      <c r="H1" s="83"/>
      <c r="I1" s="83"/>
      <c r="J1" s="38"/>
      <c r="K1" s="160" t="s">
        <v>617</v>
      </c>
      <c r="L1" s="160"/>
      <c r="M1" s="160"/>
      <c r="N1" s="160"/>
      <c r="O1" s="160"/>
      <c r="P1" s="160"/>
      <c r="Q1" s="61" t="e" vm="2">
        <v>#VALUE!</v>
      </c>
      <c r="R1" s="110"/>
      <c r="S1" s="110"/>
      <c r="U1" s="185" t="s">
        <v>530</v>
      </c>
      <c r="V1" s="185"/>
      <c r="W1" s="185"/>
      <c r="X1" s="185"/>
      <c r="Y1" s="185"/>
      <c r="Z1" s="185"/>
      <c r="AA1" s="47" t="e" vm="12">
        <v>#VALUE!</v>
      </c>
      <c r="AB1" s="86"/>
      <c r="AC1" s="86"/>
      <c r="AE1" s="185" t="s">
        <v>531</v>
      </c>
      <c r="AF1" s="185"/>
      <c r="AG1" s="185"/>
      <c r="AH1" s="185"/>
      <c r="AI1" s="185"/>
      <c r="AJ1" s="185"/>
      <c r="AK1" s="47" t="e" vm="4">
        <v>#VALUE!</v>
      </c>
      <c r="AL1" s="86"/>
      <c r="AM1" s="86"/>
      <c r="AO1" s="160" t="s">
        <v>532</v>
      </c>
      <c r="AP1" s="160"/>
      <c r="AQ1" s="160"/>
      <c r="AR1" s="160"/>
      <c r="AS1" s="160"/>
      <c r="AT1" s="160"/>
      <c r="AU1" s="50" t="e" vm="5">
        <v>#VALUE!</v>
      </c>
      <c r="AV1" s="86"/>
      <c r="AW1" s="86"/>
    </row>
    <row r="2" spans="1:49" s="109" customFormat="1" x14ac:dyDescent="0.3">
      <c r="A2" s="93" t="s">
        <v>592</v>
      </c>
      <c r="B2" s="108">
        <v>2024</v>
      </c>
      <c r="C2" s="108" t="s">
        <v>600</v>
      </c>
      <c r="D2" s="91" t="s">
        <v>593</v>
      </c>
      <c r="E2" s="91" t="s">
        <v>594</v>
      </c>
      <c r="F2" s="91" t="s">
        <v>595</v>
      </c>
      <c r="G2" s="91" t="s">
        <v>596</v>
      </c>
      <c r="H2" s="91" t="s">
        <v>597</v>
      </c>
      <c r="I2" s="91" t="s">
        <v>619</v>
      </c>
      <c r="J2" s="94"/>
      <c r="K2" s="111" t="s">
        <v>592</v>
      </c>
      <c r="L2" s="111" t="s">
        <v>598</v>
      </c>
      <c r="M2" s="111" t="s">
        <v>600</v>
      </c>
      <c r="N2" s="111" t="s">
        <v>593</v>
      </c>
      <c r="O2" s="111" t="s">
        <v>594</v>
      </c>
      <c r="P2" s="111" t="s">
        <v>595</v>
      </c>
      <c r="Q2" s="111" t="s">
        <v>596</v>
      </c>
      <c r="R2" s="111" t="s">
        <v>597</v>
      </c>
      <c r="S2" s="90">
        <v>2030</v>
      </c>
      <c r="U2" s="90" t="s">
        <v>20</v>
      </c>
      <c r="V2" s="90" t="s">
        <v>598</v>
      </c>
      <c r="W2" s="90" t="s">
        <v>600</v>
      </c>
      <c r="X2" s="90" t="s">
        <v>593</v>
      </c>
      <c r="Y2" s="90" t="s">
        <v>594</v>
      </c>
      <c r="Z2" s="90" t="s">
        <v>595</v>
      </c>
      <c r="AA2" s="90" t="s">
        <v>596</v>
      </c>
      <c r="AB2" s="90" t="s">
        <v>597</v>
      </c>
      <c r="AC2" s="130" t="s">
        <v>619</v>
      </c>
      <c r="AE2" s="90" t="s">
        <v>20</v>
      </c>
      <c r="AF2" s="90" t="s">
        <v>598</v>
      </c>
      <c r="AG2" s="90" t="s">
        <v>600</v>
      </c>
      <c r="AH2" s="90" t="s">
        <v>593</v>
      </c>
      <c r="AI2" s="90" t="s">
        <v>594</v>
      </c>
      <c r="AJ2" s="90" t="s">
        <v>595</v>
      </c>
      <c r="AK2" s="90" t="s">
        <v>596</v>
      </c>
      <c r="AL2" s="90" t="s">
        <v>597</v>
      </c>
      <c r="AM2" s="90" t="s">
        <v>619</v>
      </c>
      <c r="AO2" s="92" t="s">
        <v>20</v>
      </c>
      <c r="AP2" s="90" t="s">
        <v>598</v>
      </c>
      <c r="AQ2" s="90" t="s">
        <v>600</v>
      </c>
      <c r="AR2" s="111" t="s">
        <v>593</v>
      </c>
      <c r="AS2" s="111" t="s">
        <v>594</v>
      </c>
      <c r="AT2" s="111" t="s">
        <v>595</v>
      </c>
      <c r="AU2" s="111" t="s">
        <v>596</v>
      </c>
      <c r="AV2" s="111" t="s">
        <v>597</v>
      </c>
      <c r="AW2" s="135">
        <v>2030</v>
      </c>
    </row>
    <row r="3" spans="1:49" x14ac:dyDescent="0.3">
      <c r="A3" s="63" t="s">
        <v>583</v>
      </c>
      <c r="B3" s="103">
        <f>'Income Statement'!F6</f>
        <v>60281.479999999996</v>
      </c>
      <c r="C3" s="97">
        <f>'Key Assumptions'!B13</f>
        <v>0.22390001476810395</v>
      </c>
      <c r="D3" s="22">
        <f>B3*(1+C3)</f>
        <v>73778.504262243165</v>
      </c>
      <c r="E3" s="22">
        <f>D3*(1+C3)</f>
        <v>90297.512456128039</v>
      </c>
      <c r="F3" s="22">
        <f>E3*(1+C3)</f>
        <v>110515.12682857817</v>
      </c>
      <c r="G3" s="22">
        <f>F3*(1+C3)</f>
        <v>135259.46535759571</v>
      </c>
      <c r="H3" s="22">
        <f>G3*(1+$C$3)</f>
        <v>165544.06164868723</v>
      </c>
      <c r="I3" s="22">
        <f>H3*(1+$C$3)</f>
        <v>202609.37949660025</v>
      </c>
      <c r="K3" s="64" t="s">
        <v>583</v>
      </c>
      <c r="L3" s="22">
        <f>'Income Statement'!M6</f>
        <v>8260.23</v>
      </c>
      <c r="M3" s="113">
        <f>'Key Assumptions'!J13</f>
        <v>2.4275625120602884E-2</v>
      </c>
      <c r="N3" s="22">
        <f>L3*(1+M3)</f>
        <v>8460.752246889957</v>
      </c>
      <c r="O3" s="22">
        <f>N3*(1+M3)</f>
        <v>8666.1422966737555</v>
      </c>
      <c r="P3" s="22">
        <f>O3*(1+M3)</f>
        <v>8876.5183183096087</v>
      </c>
      <c r="Q3" s="22">
        <f>P3*(1+M3)</f>
        <v>9092.0013493810566</v>
      </c>
      <c r="R3" s="22">
        <f>Q3*(1+$M$3)</f>
        <v>9312.7153657346462</v>
      </c>
      <c r="S3" s="22">
        <f>R3*(1+$M$3)</f>
        <v>9538.7873528080981</v>
      </c>
      <c r="U3" s="63" t="s">
        <v>583</v>
      </c>
      <c r="V3" s="103">
        <f>'Income Statement'!T5</f>
        <v>63272.32</v>
      </c>
      <c r="W3" s="101">
        <f>'Key Assumptions'!R13</f>
        <v>0.2122360889452444</v>
      </c>
      <c r="X3" s="103">
        <f>V3*(1+W3)</f>
        <v>76700.989735291965</v>
      </c>
      <c r="Y3" s="103">
        <f>X3*(1+W3)</f>
        <v>92979.707814939669</v>
      </c>
      <c r="Z3" s="103">
        <f>Y3*(1+W3)</f>
        <v>112713.35735285404</v>
      </c>
      <c r="AA3" s="103">
        <f>Z3*(1+W3)</f>
        <v>136635.19948931149</v>
      </c>
      <c r="AB3" s="103">
        <f>AA3*(1+$W$3)</f>
        <v>165634.1198411762</v>
      </c>
      <c r="AC3" s="103">
        <f>AB3*(1+$W$3)</f>
        <v>200787.65763215534</v>
      </c>
      <c r="AE3" s="63" t="s">
        <v>583</v>
      </c>
      <c r="AF3" s="103">
        <f>'Income Statement'!AA6</f>
        <v>11942.34</v>
      </c>
      <c r="AG3" s="101">
        <f>'Key Assumptions'!Z13</f>
        <v>9.8361290982430793E-2</v>
      </c>
      <c r="AH3" s="103">
        <f>AF3*(1+AG3)</f>
        <v>13117.003979751122</v>
      </c>
      <c r="AI3" s="103">
        <f>AH3*(1+AG3)</f>
        <v>14407.209425021123</v>
      </c>
      <c r="AJ3" s="103">
        <f>AI3*(1+AG3)</f>
        <v>15824.321143520445</v>
      </c>
      <c r="AK3" s="103">
        <f>AJ3*(1+AG3)</f>
        <v>17380.82180011769</v>
      </c>
      <c r="AL3" s="103">
        <f>AK3*(1+$AG$3)</f>
        <v>19090.421870712842</v>
      </c>
      <c r="AM3" s="103">
        <f>AL3*(1+$AG$3)</f>
        <v>20968.180411315388</v>
      </c>
      <c r="AO3" s="63" t="s">
        <v>583</v>
      </c>
      <c r="AP3" s="103">
        <f>'Income Statement'!AH6</f>
        <v>181165.86000000002</v>
      </c>
      <c r="AQ3" s="101">
        <f>'Key Assumptions'!AH13</f>
        <v>0.13321925516505906</v>
      </c>
      <c r="AR3" s="22">
        <f>AP3*(1+AQ3)</f>
        <v>205300.6409305374</v>
      </c>
      <c r="AS3" s="22">
        <f>AR3*(1+AQ3)</f>
        <v>232650.63940021282</v>
      </c>
      <c r="AT3" s="22">
        <f>AS3*(1+AQ3)</f>
        <v>263644.18429478392</v>
      </c>
      <c r="AU3" s="22">
        <f>AT3*(1+AQ3)</f>
        <v>298766.66615513462</v>
      </c>
      <c r="AV3" s="22">
        <f>AU3*(1+$AQ$3)</f>
        <v>338568.13888846949</v>
      </c>
      <c r="AW3" s="22">
        <f>AV3*(1+$AQ$3)</f>
        <v>383671.93417381163</v>
      </c>
    </row>
    <row r="4" spans="1:49" x14ac:dyDescent="0.3">
      <c r="A4" s="63" t="s">
        <v>584</v>
      </c>
      <c r="B4" s="103">
        <f>'Income Statement'!F16</f>
        <v>20791.509999999995</v>
      </c>
      <c r="C4" s="97">
        <f>'Key Assumptions'!B14</f>
        <v>0.15335411404525523</v>
      </c>
      <c r="D4" s="22">
        <f>B4*(1+C4)</f>
        <v>23979.973595713058</v>
      </c>
      <c r="E4" s="22">
        <f>D4*(1+C4)</f>
        <v>27657.401201312248</v>
      </c>
      <c r="F4" s="22">
        <f>E4*(1+C4)</f>
        <v>31898.777459333665</v>
      </c>
      <c r="G4" s="22">
        <f>F4*(1+C4)</f>
        <v>36790.586215736534</v>
      </c>
      <c r="H4" s="22">
        <f>G4*(1+$C$4)</f>
        <v>42432.573970056386</v>
      </c>
      <c r="I4" s="22">
        <f>H4*(1+$C$4)</f>
        <v>48939.78375789414</v>
      </c>
      <c r="K4" s="64" t="s">
        <v>584</v>
      </c>
      <c r="L4" s="22">
        <f>'Income Statement'!M19</f>
        <v>-2028.1500000000003</v>
      </c>
      <c r="M4" s="113">
        <f>'Key Assumptions'!J14</f>
        <v>-9.1382498856000305E-2</v>
      </c>
      <c r="N4" s="22">
        <f>N3*$M$4</f>
        <v>-773.16468252232346</v>
      </c>
      <c r="O4" s="22">
        <f t="shared" ref="O4:S4" si="0">O3*$M$4</f>
        <v>-791.93373851172532</v>
      </c>
      <c r="P4" s="22">
        <f t="shared" si="0"/>
        <v>-811.15842506819354</v>
      </c>
      <c r="Q4" s="22">
        <f t="shared" si="0"/>
        <v>-830.84980290856765</v>
      </c>
      <c r="R4" s="22">
        <f t="shared" si="0"/>
        <v>-851.01920125550282</v>
      </c>
      <c r="S4" s="22">
        <f t="shared" si="0"/>
        <v>-871.67822435561618</v>
      </c>
      <c r="U4" s="63" t="s">
        <v>584</v>
      </c>
      <c r="V4" s="103">
        <f>'Income Statement'!T29</f>
        <v>5732.0200000000032</v>
      </c>
      <c r="W4" s="101">
        <f>'Key Assumptions'!R14</f>
        <v>3.7581432016643761E-2</v>
      </c>
      <c r="X4" s="103">
        <f>V4*(1+$W$4)</f>
        <v>5947.4375199480446</v>
      </c>
      <c r="Y4" s="103">
        <f>X4*(1+W4)</f>
        <v>6170.9507387772082</v>
      </c>
      <c r="Z4" s="103">
        <f>Y4*(1+W4)</f>
        <v>6402.8639044446209</v>
      </c>
      <c r="AA4" s="103">
        <f>Z4*(1+W4)</f>
        <v>6643.4926989813275</v>
      </c>
      <c r="AB4" s="103">
        <f>AA4*(1+$W$4)</f>
        <v>6893.1646682011624</v>
      </c>
      <c r="AC4" s="103">
        <f>AB4*(1+$W$4)</f>
        <v>7152.2196675586947</v>
      </c>
      <c r="AE4" s="63" t="s">
        <v>584</v>
      </c>
      <c r="AF4" s="103">
        <f>'Income Statement'!AA19</f>
        <v>2167.91</v>
      </c>
      <c r="AG4" s="101">
        <f>'Key Assumptions'!Z14</f>
        <v>0.17638414634150434</v>
      </c>
      <c r="AH4" s="103">
        <f>AF4*(AG4+1)</f>
        <v>2550.2949546952104</v>
      </c>
      <c r="AI4" s="103">
        <f>AH4*(1+AG4)</f>
        <v>3000.1265531981708</v>
      </c>
      <c r="AJ4" s="103">
        <f>AI4*(1+AG4)</f>
        <v>3529.3013142005098</v>
      </c>
      <c r="AK4" s="103">
        <f>AJ4*(1+AG4)</f>
        <v>4151.8141136877157</v>
      </c>
      <c r="AL4" s="103">
        <f>AK4*(1+$AG$4)</f>
        <v>4884.1283018991326</v>
      </c>
      <c r="AM4" s="103">
        <f>AL4*(1+$AG$4)</f>
        <v>5745.6111030519924</v>
      </c>
      <c r="AO4" s="63" t="s">
        <v>584</v>
      </c>
      <c r="AP4" s="103">
        <f>'Income Statement'!AH19</f>
        <v>27141.450000000004</v>
      </c>
      <c r="AQ4" s="101">
        <f>'Key Assumptions'!AH14</f>
        <v>0.14627888341613327</v>
      </c>
      <c r="AR4" s="22">
        <f>AP4*(1+AQ4)</f>
        <v>31111.671000294817</v>
      </c>
      <c r="AS4" s="22">
        <f>AR4*(1+AQ4)</f>
        <v>35662.651495428036</v>
      </c>
      <c r="AT4" s="22">
        <f>AS4*(1+AQ4)</f>
        <v>40879.344335837945</v>
      </c>
      <c r="AU4" s="22">
        <f>AT4*(1+AQ4)</f>
        <v>46859.129180067954</v>
      </c>
      <c r="AV4" s="22">
        <f>AU4*(1+$AQ$4)</f>
        <v>53713.630274380645</v>
      </c>
      <c r="AW4" s="22">
        <f>AV4*(1+$AQ$4)</f>
        <v>61570.800135144054</v>
      </c>
    </row>
    <row r="5" spans="1:49" x14ac:dyDescent="0.3">
      <c r="A5" s="63" t="s">
        <v>585</v>
      </c>
      <c r="B5" s="103">
        <f>'Income Statement'!F23</f>
        <v>-37.28</v>
      </c>
      <c r="C5" s="97">
        <f>'Key Assumptions'!B18</f>
        <v>0.2652828817432526</v>
      </c>
      <c r="D5" s="22">
        <f>D4*$C$5</f>
        <v>6361.4764995978667</v>
      </c>
      <c r="E5" s="22">
        <f t="shared" ref="E5:I5" si="1">E4*$C$5</f>
        <v>7337.0350922134094</v>
      </c>
      <c r="F5" s="22">
        <f t="shared" si="1"/>
        <v>8462.1996084987441</v>
      </c>
      <c r="G5" s="22">
        <f t="shared" si="1"/>
        <v>9759.9127323341745</v>
      </c>
      <c r="H5" s="22">
        <f t="shared" si="1"/>
        <v>11256.635502560286</v>
      </c>
      <c r="I5" s="22">
        <f t="shared" si="1"/>
        <v>12982.886867185785</v>
      </c>
      <c r="K5" s="64" t="s">
        <v>585</v>
      </c>
      <c r="L5" s="22">
        <f>'Income Statement'!M24</f>
        <v>214.03</v>
      </c>
      <c r="M5" s="114">
        <f>'Key Assumptions'!J18</f>
        <v>-0.10552966989621082</v>
      </c>
      <c r="N5" s="22"/>
      <c r="O5" s="22"/>
      <c r="P5" s="22"/>
      <c r="Q5" s="22"/>
      <c r="R5" s="22"/>
      <c r="S5" s="22"/>
      <c r="U5" s="63" t="s">
        <v>585</v>
      </c>
      <c r="V5" s="103">
        <f>'Income Statement'!T35</f>
        <v>1451.92</v>
      </c>
      <c r="W5" s="101">
        <f>'Key Assumptions'!R18</f>
        <v>0.25329988381059371</v>
      </c>
      <c r="X5" s="103">
        <f>X4*$W$5</f>
        <v>1506.4852327736053</v>
      </c>
      <c r="Y5" s="103">
        <f t="shared" ref="Y5:AC5" si="2">Y4*$W$5</f>
        <v>1563.1011051331643</v>
      </c>
      <c r="Z5" s="103">
        <f t="shared" si="2"/>
        <v>1621.8446830508669</v>
      </c>
      <c r="AA5" s="103">
        <f t="shared" si="2"/>
        <v>1682.7959287484978</v>
      </c>
      <c r="AB5" s="103">
        <f t="shared" si="2"/>
        <v>1746.0378095426443</v>
      </c>
      <c r="AC5" s="103">
        <f t="shared" si="2"/>
        <v>1811.6564107804604</v>
      </c>
      <c r="AE5" s="63" t="s">
        <v>585</v>
      </c>
      <c r="AF5" s="103">
        <f>'Income Statement'!AA21+'Income Statement'!AA22+'Income Statement'!AA23</f>
        <v>442.26</v>
      </c>
      <c r="AG5" s="101">
        <f>'Key Assumptions'!Z18</f>
        <v>0.2040029337011223</v>
      </c>
      <c r="AH5" s="103">
        <f>AH4*$AG$5</f>
        <v>520.26765256099372</v>
      </c>
      <c r="AI5" s="103">
        <f t="shared" ref="AI5:AM5" si="3">AI4*$AG$5</f>
        <v>612.03461832706296</v>
      </c>
      <c r="AJ5" s="103">
        <f t="shared" si="3"/>
        <v>719.98782201213044</v>
      </c>
      <c r="AK5" s="103">
        <f t="shared" si="3"/>
        <v>846.98225937401889</v>
      </c>
      <c r="AL5" s="103">
        <f t="shared" si="3"/>
        <v>996.37650216010377</v>
      </c>
      <c r="AM5" s="103">
        <f t="shared" si="3"/>
        <v>1172.1215209283478</v>
      </c>
      <c r="AO5" s="63" t="s">
        <v>585</v>
      </c>
      <c r="AP5" s="103">
        <f>'Income Statement'!AH24</f>
        <v>6809.1999999999989</v>
      </c>
      <c r="AQ5" s="101">
        <f>'Key Assumptions'!AH18</f>
        <v>0.25087826921553558</v>
      </c>
      <c r="AR5" s="22">
        <f>AR4*$AQ$5</f>
        <v>7805.2421729571342</v>
      </c>
      <c r="AS5" s="22">
        <f t="shared" ref="AS5:AV5" si="4">AS4*$AQ$5</f>
        <v>8946.9842828098172</v>
      </c>
      <c r="AT5" s="22">
        <f t="shared" si="4"/>
        <v>10255.73915364093</v>
      </c>
      <c r="AU5" s="22">
        <f t="shared" si="4"/>
        <v>11755.937225642647</v>
      </c>
      <c r="AV5" s="22">
        <f t="shared" si="4"/>
        <v>13475.582596519809</v>
      </c>
      <c r="AW5" s="22">
        <f t="shared" ref="AW5" si="5">AW4*$AQ$5</f>
        <v>15446.775772120604</v>
      </c>
    </row>
    <row r="6" spans="1:49" s="2" customFormat="1" x14ac:dyDescent="0.3">
      <c r="A6" s="129" t="s">
        <v>586</v>
      </c>
      <c r="B6" s="132">
        <f>B4-B5</f>
        <v>20828.789999999994</v>
      </c>
      <c r="C6" s="131"/>
      <c r="D6" s="23">
        <f>D4-D5</f>
        <v>17618.497096115192</v>
      </c>
      <c r="E6" s="23">
        <f t="shared" ref="E6:I6" si="6">E4-E5</f>
        <v>20320.366109098839</v>
      </c>
      <c r="F6" s="23">
        <f t="shared" si="6"/>
        <v>23436.577850834921</v>
      </c>
      <c r="G6" s="23">
        <f t="shared" si="6"/>
        <v>27030.673483402359</v>
      </c>
      <c r="H6" s="23">
        <f t="shared" si="6"/>
        <v>31175.9384674961</v>
      </c>
      <c r="I6" s="23">
        <f t="shared" si="6"/>
        <v>35956.896890708354</v>
      </c>
      <c r="K6" s="128" t="s">
        <v>586</v>
      </c>
      <c r="L6" s="23">
        <f>L4-L5</f>
        <v>-2242.1800000000003</v>
      </c>
      <c r="M6" s="23"/>
      <c r="N6" s="23">
        <f>N4-N5</f>
        <v>-773.16468252232346</v>
      </c>
      <c r="O6" s="23">
        <f t="shared" ref="O6:S6" si="7">O4-O5</f>
        <v>-791.93373851172532</v>
      </c>
      <c r="P6" s="23">
        <f t="shared" si="7"/>
        <v>-811.15842506819354</v>
      </c>
      <c r="Q6" s="23">
        <f t="shared" si="7"/>
        <v>-830.84980290856765</v>
      </c>
      <c r="R6" s="23">
        <f t="shared" si="7"/>
        <v>-851.01920125550282</v>
      </c>
      <c r="S6" s="23">
        <f t="shared" si="7"/>
        <v>-871.67822435561618</v>
      </c>
      <c r="U6" s="129" t="s">
        <v>586</v>
      </c>
      <c r="V6" s="132">
        <f>'Income Statement'!T36</f>
        <v>4280.1000000000031</v>
      </c>
      <c r="W6" s="5"/>
      <c r="X6" s="132">
        <f>X4-X5</f>
        <v>4440.9522871744393</v>
      </c>
      <c r="Y6" s="132">
        <f t="shared" ref="Y6:AC6" si="8">Y4-Y5</f>
        <v>4607.8496336440439</v>
      </c>
      <c r="Z6" s="132">
        <f t="shared" si="8"/>
        <v>4781.0192213937535</v>
      </c>
      <c r="AA6" s="132">
        <f t="shared" si="8"/>
        <v>4960.6967702328293</v>
      </c>
      <c r="AB6" s="132">
        <f t="shared" si="8"/>
        <v>5147.1268586585184</v>
      </c>
      <c r="AC6" s="132">
        <f t="shared" si="8"/>
        <v>5340.5632567782341</v>
      </c>
      <c r="AE6" s="129" t="s">
        <v>586</v>
      </c>
      <c r="AF6" s="134">
        <f>AF4-AF5</f>
        <v>1725.6499999999999</v>
      </c>
      <c r="AG6" s="5"/>
      <c r="AH6" s="132">
        <f>AH4-AH5</f>
        <v>2030.0273021342168</v>
      </c>
      <c r="AI6" s="132">
        <f t="shared" ref="AI6:AM6" si="9">AI4-AI5</f>
        <v>2388.0919348711077</v>
      </c>
      <c r="AJ6" s="132">
        <f t="shared" si="9"/>
        <v>2809.3134921883793</v>
      </c>
      <c r="AK6" s="132">
        <f t="shared" si="9"/>
        <v>3304.8318543136966</v>
      </c>
      <c r="AL6" s="132">
        <f t="shared" si="9"/>
        <v>3887.7517997390287</v>
      </c>
      <c r="AM6" s="132">
        <f t="shared" si="9"/>
        <v>4573.4895821236441</v>
      </c>
      <c r="AO6" s="129" t="s">
        <v>586</v>
      </c>
      <c r="AP6" s="132">
        <f>AP4-AP5</f>
        <v>20332.250000000007</v>
      </c>
      <c r="AQ6" s="5"/>
      <c r="AR6" s="23">
        <f>AR4-AR5</f>
        <v>23306.428827337681</v>
      </c>
      <c r="AS6" s="23">
        <f t="shared" ref="AS6:AV6" si="10">AS4-AS5</f>
        <v>26715.667212618217</v>
      </c>
      <c r="AT6" s="23">
        <f t="shared" si="10"/>
        <v>30623.605182197014</v>
      </c>
      <c r="AU6" s="23">
        <f t="shared" si="10"/>
        <v>35103.191954425303</v>
      </c>
      <c r="AV6" s="23">
        <f t="shared" si="10"/>
        <v>40238.047677860835</v>
      </c>
      <c r="AW6" s="23">
        <f t="shared" ref="AW6" si="11">AW4-AW5</f>
        <v>46124.024363023447</v>
      </c>
    </row>
    <row r="7" spans="1:49" ht="28.8" x14ac:dyDescent="0.3">
      <c r="A7" s="79" t="s">
        <v>587</v>
      </c>
      <c r="B7" s="103">
        <f>'Income Statement'!F13</f>
        <v>3931.33</v>
      </c>
      <c r="C7" s="97">
        <f>'Key Assumptions'!B15</f>
        <v>9.2416494479308137E-2</v>
      </c>
      <c r="D7" s="22">
        <f>D3*$C$7</f>
        <v>6818.3507318432075</v>
      </c>
      <c r="E7" s="22">
        <f t="shared" ref="E7:I7" si="12">E3*$C$7</f>
        <v>8344.9795613970145</v>
      </c>
      <c r="F7" s="22">
        <f t="shared" si="12"/>
        <v>10213.420608433333</v>
      </c>
      <c r="G7" s="22">
        <f t="shared" si="12"/>
        <v>12500.205633494414</v>
      </c>
      <c r="H7" s="22">
        <f t="shared" si="12"/>
        <v>15299.001859438149</v>
      </c>
      <c r="I7" s="22">
        <f t="shared" si="12"/>
        <v>18724.448601703603</v>
      </c>
      <c r="K7" s="112" t="s">
        <v>587</v>
      </c>
      <c r="L7" s="22">
        <f>'Income Statement'!M11</f>
        <v>1061.75</v>
      </c>
      <c r="M7" s="113">
        <f>'Key Assumptions'!J15</f>
        <v>0.12615676262931527</v>
      </c>
      <c r="N7" s="22">
        <f>N3*$M$7</f>
        <v>1067.3811128763421</v>
      </c>
      <c r="O7" s="22">
        <f t="shared" ref="O7:S7" si="13">O3*$M$7</f>
        <v>1093.29245663334</v>
      </c>
      <c r="P7" s="22">
        <f t="shared" si="13"/>
        <v>1119.832814457754</v>
      </c>
      <c r="Q7" s="22">
        <f t="shared" si="13"/>
        <v>1147.01745605928</v>
      </c>
      <c r="R7" s="22">
        <f t="shared" si="13"/>
        <v>1174.8620218293627</v>
      </c>
      <c r="S7" s="22">
        <f t="shared" si="13"/>
        <v>1203.3825318397257</v>
      </c>
      <c r="U7" s="79" t="s">
        <v>587</v>
      </c>
      <c r="V7" s="103">
        <f>'Income Statement'!T14</f>
        <v>3786.37</v>
      </c>
      <c r="W7" s="101">
        <f>'Key Assumptions'!R15</f>
        <v>7.2827974104093099E-2</v>
      </c>
      <c r="X7" s="103">
        <f>X3*$W$7</f>
        <v>5585.9776942001536</v>
      </c>
      <c r="Y7" s="103">
        <f t="shared" ref="Y7:AC7" si="14">Y3*$W$7</f>
        <v>6771.5237529525693</v>
      </c>
      <c r="Z7" s="103">
        <f t="shared" si="14"/>
        <v>8208.6854704790458</v>
      </c>
      <c r="AA7" s="103">
        <f t="shared" si="14"/>
        <v>9950.8647701151713</v>
      </c>
      <c r="AB7" s="103">
        <f t="shared" si="14"/>
        <v>12062.797390547434</v>
      </c>
      <c r="AC7" s="103">
        <f t="shared" si="14"/>
        <v>14622.95833045612</v>
      </c>
      <c r="AE7" s="79" t="s">
        <v>587</v>
      </c>
      <c r="AF7" s="103">
        <f>'Income Statement'!AA13</f>
        <v>1633.41</v>
      </c>
      <c r="AG7" s="101">
        <f>'Key Assumptions'!Z15</f>
        <v>0.13465778710344045</v>
      </c>
      <c r="AH7" s="103">
        <f>AH3*$AG$7</f>
        <v>1766.3067293403076</v>
      </c>
      <c r="AI7" s="103">
        <f t="shared" ref="AI7:AM7" si="15">AI3*$AG$7</f>
        <v>1940.0429395091751</v>
      </c>
      <c r="AJ7" s="103">
        <f t="shared" si="15"/>
        <v>2130.8680676006475</v>
      </c>
      <c r="AK7" s="103">
        <f t="shared" si="15"/>
        <v>2340.4630016430847</v>
      </c>
      <c r="AL7" s="103">
        <f t="shared" si="15"/>
        <v>2570.6739639813131</v>
      </c>
      <c r="AM7" s="103">
        <f t="shared" si="15"/>
        <v>2823.5287737734379</v>
      </c>
      <c r="AO7" s="79" t="s">
        <v>587</v>
      </c>
      <c r="AP7" s="103">
        <f>'Income Statement'!AH12</f>
        <v>16203.63</v>
      </c>
      <c r="AQ7" s="101">
        <f>'Key Assumptions'!AH15</f>
        <v>9.4920175638724236E-2</v>
      </c>
      <c r="AR7" s="22">
        <f>AR3*$AQ$7</f>
        <v>19487.172895869269</v>
      </c>
      <c r="AS7" s="22">
        <f t="shared" ref="AS7:AV7" si="16">AS3*$AQ$7</f>
        <v>22083.239554329699</v>
      </c>
      <c r="AT7" s="22">
        <f t="shared" si="16"/>
        <v>25025.152279389073</v>
      </c>
      <c r="AU7" s="22">
        <f t="shared" si="16"/>
        <v>28358.984426441464</v>
      </c>
      <c r="AV7" s="22">
        <f t="shared" si="16"/>
        <v>32136.947208969505</v>
      </c>
      <c r="AW7" s="22">
        <f t="shared" ref="AW7" si="17">AW3*$AQ$7</f>
        <v>36418.207379427244</v>
      </c>
    </row>
    <row r="8" spans="1:49" x14ac:dyDescent="0.3">
      <c r="A8" s="63" t="s">
        <v>588</v>
      </c>
      <c r="B8" s="103">
        <f>-'Cash Flow Statement'!F31</f>
        <v>2602.4499999999998</v>
      </c>
      <c r="C8" s="97">
        <f>'Key Assumptions'!B16</f>
        <v>8.7082379687337896E-2</v>
      </c>
      <c r="D8" s="22">
        <f>D3*$C$8</f>
        <v>6424.8077209285366</v>
      </c>
      <c r="E8" s="22">
        <f t="shared" ref="E8:I8" si="18">E3*$C$8</f>
        <v>7863.3222645266651</v>
      </c>
      <c r="F8" s="22">
        <f t="shared" si="18"/>
        <v>9623.9202356805472</v>
      </c>
      <c r="G8" s="22">
        <f t="shared" si="18"/>
        <v>11778.716118576476</v>
      </c>
      <c r="H8" s="22">
        <f t="shared" si="18"/>
        <v>14415.970831475053</v>
      </c>
      <c r="I8" s="22">
        <f t="shared" si="18"/>
        <v>17643.706913538877</v>
      </c>
      <c r="K8" s="64" t="s">
        <v>588</v>
      </c>
      <c r="L8" s="22">
        <f>'Cash Flow Statement'!M33</f>
        <v>51.46</v>
      </c>
      <c r="M8" s="113">
        <f>'Key Assumptions'!J16</f>
        <v>2.5239022944248752E-2</v>
      </c>
      <c r="N8" s="22">
        <f>N3*$M$8</f>
        <v>213.54112008485981</v>
      </c>
      <c r="O8" s="22">
        <f t="shared" ref="O8:S8" si="19">O3*$M$8</f>
        <v>218.72496426387349</v>
      </c>
      <c r="P8" s="22">
        <f t="shared" si="19"/>
        <v>224.03464950086055</v>
      </c>
      <c r="Q8" s="22">
        <f t="shared" si="19"/>
        <v>229.47323066616909</v>
      </c>
      <c r="R8" s="22">
        <f t="shared" si="19"/>
        <v>235.04383678903463</v>
      </c>
      <c r="S8" s="22">
        <f t="shared" si="19"/>
        <v>240.74967285783342</v>
      </c>
      <c r="U8" s="63" t="s">
        <v>588</v>
      </c>
      <c r="V8" s="103">
        <f>-'Cash Flow Statement'!T55</f>
        <v>13332.75</v>
      </c>
      <c r="W8" s="101">
        <f>'Key Assumptions'!R16</f>
        <v>0.13772075748760371</v>
      </c>
      <c r="X8" s="103">
        <f>X3*$W$8</f>
        <v>10563.318406393326</v>
      </c>
      <c r="Y8" s="103">
        <f t="shared" ref="Y8:AC8" si="20">Y3*$W$8</f>
        <v>12805.235791249557</v>
      </c>
      <c r="Z8" s="103">
        <f t="shared" si="20"/>
        <v>15522.968953606025</v>
      </c>
      <c r="AA8" s="103">
        <f t="shared" si="20"/>
        <v>18817.503173137822</v>
      </c>
      <c r="AB8" s="103">
        <f t="shared" si="20"/>
        <v>22811.256450319317</v>
      </c>
      <c r="AC8" s="103">
        <f t="shared" si="20"/>
        <v>27652.628303262067</v>
      </c>
      <c r="AE8" s="63" t="s">
        <v>588</v>
      </c>
      <c r="AF8" s="103">
        <f>-'Cash Flow Statement'!AA32</f>
        <v>8032.77</v>
      </c>
      <c r="AG8" s="101">
        <f>'Key Assumptions'!Z16</f>
        <v>0.28001553274803942</v>
      </c>
      <c r="AH8" s="103">
        <f>AH3*$AG$8</f>
        <v>3672.9648574481635</v>
      </c>
      <c r="AI8" s="103">
        <f t="shared" ref="AI8:AM8" si="21">AI3*$AG$8</f>
        <v>4034.2424225598643</v>
      </c>
      <c r="AJ8" s="103">
        <f t="shared" si="21"/>
        <v>4431.0557153789414</v>
      </c>
      <c r="AK8" s="103">
        <f t="shared" si="21"/>
        <v>4866.9000759586925</v>
      </c>
      <c r="AL8" s="103">
        <f t="shared" si="21"/>
        <v>5345.6146505124798</v>
      </c>
      <c r="AM8" s="103">
        <f t="shared" si="21"/>
        <v>5871.4162086314827</v>
      </c>
      <c r="AO8" s="63" t="s">
        <v>588</v>
      </c>
      <c r="AP8" s="103">
        <f>-'Cash Flow Statement'!AH36</f>
        <v>30815.919999999998</v>
      </c>
      <c r="AQ8" s="101">
        <f>'Key Assumptions'!AH16</f>
        <v>0.17092235127984953</v>
      </c>
      <c r="AR8" s="22">
        <f>AR3*$AQ$8</f>
        <v>35090.468267107564</v>
      </c>
      <c r="AS8" s="22">
        <f t="shared" ref="AS8:AV8" si="22">AS3*$AQ$8</f>
        <v>39765.194313044776</v>
      </c>
      <c r="AT8" s="22">
        <f t="shared" si="22"/>
        <v>45062.683880922443</v>
      </c>
      <c r="AU8" s="22">
        <f t="shared" si="22"/>
        <v>51065.901063277452</v>
      </c>
      <c r="AV8" s="22">
        <f t="shared" si="22"/>
        <v>57868.86236725987</v>
      </c>
      <c r="AW8" s="22">
        <f t="shared" ref="AW8" si="23">AW3*$AQ$8</f>
        <v>65578.109109075536</v>
      </c>
    </row>
    <row r="9" spans="1:49" x14ac:dyDescent="0.3">
      <c r="A9" s="63" t="s">
        <v>589</v>
      </c>
      <c r="B9" s="103">
        <f>'Key Assumptions'!F9-'Key Assumptions'!E9</f>
        <v>7989.5000000000073</v>
      </c>
      <c r="C9" s="97">
        <f>'Key Assumptions'!B17</f>
        <v>7.180658427532495E-2</v>
      </c>
      <c r="D9" s="22">
        <f>D3*$C$9</f>
        <v>5297.7823840141846</v>
      </c>
      <c r="E9" s="22">
        <f t="shared" ref="E9:I9" si="24">E3*$C$9</f>
        <v>6483.9559380331621</v>
      </c>
      <c r="F9" s="22">
        <f t="shared" si="24"/>
        <v>7935.7137683145238</v>
      </c>
      <c r="G9" s="22">
        <f t="shared" si="24"/>
        <v>9712.520198235592</v>
      </c>
      <c r="H9" s="22">
        <f t="shared" si="24"/>
        <v>11887.153614056049</v>
      </c>
      <c r="I9" s="22">
        <f t="shared" si="24"/>
        <v>14548.687483793921</v>
      </c>
      <c r="K9" s="64" t="s">
        <v>589</v>
      </c>
      <c r="L9" s="22">
        <f>'Key Assumptions'!N9-'Key Assumptions'!M9</f>
        <v>79.290000000000873</v>
      </c>
      <c r="M9" s="113">
        <f>'Key Assumptions'!J17</f>
        <v>-7.1683271868868192E-2</v>
      </c>
      <c r="N9" s="22">
        <f>N3*$M$9</f>
        <v>-606.49440352895022</v>
      </c>
      <c r="O9" s="22">
        <f t="shared" ref="O9:S9" si="25">O3*$M$9</f>
        <v>-621.21743430676258</v>
      </c>
      <c r="P9" s="22">
        <f t="shared" si="25"/>
        <v>-636.29787586037639</v>
      </c>
      <c r="Q9" s="22">
        <f t="shared" si="25"/>
        <v>-651.7444045597988</v>
      </c>
      <c r="R9" s="22">
        <f t="shared" si="25"/>
        <v>-667.5659073993429</v>
      </c>
      <c r="S9" s="22">
        <f t="shared" si="25"/>
        <v>-683.77148711066445</v>
      </c>
      <c r="U9" s="63" t="s">
        <v>589</v>
      </c>
      <c r="V9" s="103">
        <f>'Key Assumptions'!V9-'Key Assumptions'!U9</f>
        <v>2314.0099999999984</v>
      </c>
      <c r="W9" s="101">
        <f>'Key Assumptions'!R17</f>
        <v>-1.4071600090923824E-3</v>
      </c>
      <c r="X9" s="103">
        <f>X3*$W$9</f>
        <v>-107.93056541330817</v>
      </c>
      <c r="Y9" s="103">
        <f t="shared" ref="Y9:AC9" si="26">Y3*$W$9</f>
        <v>-130.83732649427756</v>
      </c>
      <c r="Z9" s="103">
        <f t="shared" si="26"/>
        <v>-158.60572895747504</v>
      </c>
      <c r="AA9" s="103">
        <f t="shared" si="26"/>
        <v>-192.26758855571904</v>
      </c>
      <c r="AB9" s="103">
        <f t="shared" si="26"/>
        <v>-233.07370958171825</v>
      </c>
      <c r="AC9" s="103">
        <f t="shared" si="26"/>
        <v>-282.54036213930186</v>
      </c>
      <c r="AE9" s="63" t="s">
        <v>589</v>
      </c>
      <c r="AF9" s="103">
        <f>'Key Assumptions'!AD9-'Key Assumptions'!AC9</f>
        <v>878.48999999999796</v>
      </c>
      <c r="AG9" s="101">
        <f>'Key Assumptions'!Z17</f>
        <v>2.9772947118012663E-2</v>
      </c>
      <c r="AH9" s="103">
        <f>AH3*$AG$9</f>
        <v>390.53186583589178</v>
      </c>
      <c r="AI9" s="103">
        <f t="shared" ref="AI9:AM9" si="27">AI3*$AG$9</f>
        <v>428.94508432928751</v>
      </c>
      <c r="AJ9" s="103">
        <f t="shared" si="27"/>
        <v>471.13667658448389</v>
      </c>
      <c r="AK9" s="103">
        <f t="shared" si="27"/>
        <v>517.4782883225057</v>
      </c>
      <c r="AL9" s="103">
        <f t="shared" si="27"/>
        <v>568.37812081728578</v>
      </c>
      <c r="AM9" s="103">
        <f t="shared" si="27"/>
        <v>624.28452654704211</v>
      </c>
      <c r="AO9" s="63" t="s">
        <v>589</v>
      </c>
      <c r="AP9" s="103">
        <f>'Key Assumptions'!AL9-'Key Assumptions'!AK9</f>
        <v>667.41000000000349</v>
      </c>
      <c r="AQ9" s="66">
        <f>'Key Assumptions'!AH17</f>
        <v>-1.7023727693513967E-2</v>
      </c>
      <c r="AR9" s="22">
        <f>AR3*$AQ$9</f>
        <v>-3494.9822065053568</v>
      </c>
      <c r="AS9" s="22">
        <f t="shared" ref="AS9:AV9" si="28">AS3*$AQ$9</f>
        <v>-3960.5811328711347</v>
      </c>
      <c r="AT9" s="22">
        <f t="shared" si="28"/>
        <v>-4488.2068014130127</v>
      </c>
      <c r="AU9" s="22">
        <f t="shared" si="28"/>
        <v>-5086.1223685240075</v>
      </c>
      <c r="AV9" s="22">
        <f t="shared" si="28"/>
        <v>-5763.6918021371212</v>
      </c>
      <c r="AW9" s="22">
        <f t="shared" ref="AW9" si="29">AW3*$AQ$9</f>
        <v>-6531.5265310187851</v>
      </c>
    </row>
    <row r="10" spans="1:49" x14ac:dyDescent="0.3">
      <c r="A10" s="63" t="s">
        <v>590</v>
      </c>
      <c r="B10" s="103">
        <f>B6+B7-B8-B9</f>
        <v>14168.169999999987</v>
      </c>
      <c r="C10" s="97"/>
      <c r="D10" s="22">
        <f>D6+D7-D8-D9</f>
        <v>12714.25772301568</v>
      </c>
      <c r="E10" s="22">
        <f t="shared" ref="E10:I10" si="30">E6+E7-E8-E9</f>
        <v>14318.067467936024</v>
      </c>
      <c r="F10" s="22">
        <f t="shared" si="30"/>
        <v>16090.364455273182</v>
      </c>
      <c r="G10" s="22">
        <f t="shared" si="30"/>
        <v>18039.642800084701</v>
      </c>
      <c r="H10" s="22">
        <f t="shared" si="30"/>
        <v>20171.815881403149</v>
      </c>
      <c r="I10" s="22">
        <f t="shared" si="30"/>
        <v>22488.951095079163</v>
      </c>
      <c r="K10" s="64" t="s">
        <v>590</v>
      </c>
      <c r="L10" s="22">
        <f>L6+L7-L8-L9</f>
        <v>-1311.1800000000012</v>
      </c>
      <c r="M10" s="22"/>
      <c r="N10" s="22">
        <f>N6+N7-N8-N9</f>
        <v>687.169713798109</v>
      </c>
      <c r="O10" s="22">
        <f t="shared" ref="O10:S10" si="31">O6+O7-O8-O9</f>
        <v>703.8511881645037</v>
      </c>
      <c r="P10" s="22">
        <f t="shared" si="31"/>
        <v>720.93761574907626</v>
      </c>
      <c r="Q10" s="22">
        <f t="shared" si="31"/>
        <v>738.43882704434202</v>
      </c>
      <c r="R10" s="22">
        <f t="shared" si="31"/>
        <v>756.36489118416807</v>
      </c>
      <c r="S10" s="22">
        <f t="shared" si="31"/>
        <v>774.72612173694063</v>
      </c>
      <c r="U10" s="63" t="s">
        <v>590</v>
      </c>
      <c r="V10" s="103">
        <f>V6+V7-V8-V9</f>
        <v>-7580.2899999999954</v>
      </c>
      <c r="W10" s="103"/>
      <c r="X10" s="103">
        <f t="shared" ref="X10:AC10" si="32">X6+X7-X8-X9</f>
        <v>-428.4578596054248</v>
      </c>
      <c r="Y10" s="103">
        <f t="shared" si="32"/>
        <v>-1295.0250781586665</v>
      </c>
      <c r="Z10" s="103">
        <f t="shared" si="32"/>
        <v>-2374.6585327757507</v>
      </c>
      <c r="AA10" s="103">
        <f t="shared" si="32"/>
        <v>-3713.6740442341024</v>
      </c>
      <c r="AB10" s="103">
        <f t="shared" si="32"/>
        <v>-5368.2584915316456</v>
      </c>
      <c r="AC10" s="103">
        <f t="shared" si="32"/>
        <v>-7406.566353888411</v>
      </c>
      <c r="AE10" s="63" t="s">
        <v>590</v>
      </c>
      <c r="AF10" s="103">
        <f>AF6+AF7-AF8-AF9</f>
        <v>-5552.1999999999989</v>
      </c>
      <c r="AG10" s="103"/>
      <c r="AH10" s="103">
        <f t="shared" ref="AH10:AM10" si="33">AH6+AH7-AH8-AH9</f>
        <v>-267.1626918095306</v>
      </c>
      <c r="AI10" s="103">
        <f t="shared" si="33"/>
        <v>-135.05263250886901</v>
      </c>
      <c r="AJ10" s="103">
        <f t="shared" si="33"/>
        <v>37.989167825601953</v>
      </c>
      <c r="AK10" s="103">
        <f t="shared" si="33"/>
        <v>260.91649167558307</v>
      </c>
      <c r="AL10" s="103">
        <f t="shared" si="33"/>
        <v>544.43299239057626</v>
      </c>
      <c r="AM10" s="103">
        <f t="shared" si="33"/>
        <v>901.31762071855724</v>
      </c>
      <c r="AO10" s="63" t="s">
        <v>590</v>
      </c>
      <c r="AP10" s="103">
        <f>AP6+AP7-AP8-AP9</f>
        <v>5052.5500000000029</v>
      </c>
      <c r="AQ10" s="103"/>
      <c r="AR10" s="22">
        <f t="shared" ref="AR10:AV10" si="34">AR6+AR7-AR8-AR9</f>
        <v>11198.115662604741</v>
      </c>
      <c r="AS10" s="22">
        <f t="shared" si="34"/>
        <v>12994.293586774271</v>
      </c>
      <c r="AT10" s="22">
        <f t="shared" si="34"/>
        <v>15074.280382076657</v>
      </c>
      <c r="AU10" s="22">
        <f t="shared" si="34"/>
        <v>17482.397686113323</v>
      </c>
      <c r="AV10" s="22">
        <f t="shared" si="34"/>
        <v>20269.824321707583</v>
      </c>
      <c r="AW10" s="22">
        <f t="shared" ref="AW10" si="35">AW6+AW7-AW8-AW9</f>
        <v>23495.649164393941</v>
      </c>
    </row>
    <row r="11" spans="1:49" s="2" customFormat="1" x14ac:dyDescent="0.3">
      <c r="A11" s="155" t="s">
        <v>591</v>
      </c>
      <c r="B11" s="157"/>
      <c r="C11" s="131"/>
      <c r="D11" s="23">
        <f ca="1">D10/(1+'Weighted Avg Cost of Capital'!$B$7)^1</f>
        <v>11482.817208475855</v>
      </c>
      <c r="E11" s="23">
        <f ca="1">E10/(1+'Weighted Avg Cost of Capital'!$B$7)^2</f>
        <v>11678.828646807093</v>
      </c>
      <c r="F11" s="23">
        <f ca="1">F10/(1+'Weighted Avg Cost of Capital'!$B$7)^3</f>
        <v>11853.270737620449</v>
      </c>
      <c r="G11" s="23">
        <f ca="1">G10/(1+'Weighted Avg Cost of Capital'!$B$7)^4</f>
        <v>12002.112625608674</v>
      </c>
      <c r="H11" s="23">
        <f ca="1">H10/(1+'Weighted Avg Cost of Capital'!$B$7)^5</f>
        <v>12120.825541088103</v>
      </c>
      <c r="I11" s="23">
        <f ca="1">I10/(1+'Weighted Avg Cost of Capital'!$B$7)^6</f>
        <v>12204.327290588189</v>
      </c>
      <c r="K11" s="128" t="s">
        <v>591</v>
      </c>
      <c r="L11" s="23"/>
      <c r="M11" s="23"/>
      <c r="N11" s="23">
        <f ca="1">N10/(1+'Weighted Avg Cost of Capital'!$C$7)^1</f>
        <v>599.91291153113275</v>
      </c>
      <c r="O11" s="23">
        <f ca="1">O10/(1+'Weighted Avg Cost of Capital'!$C$7)^2</f>
        <v>536.44999524116258</v>
      </c>
      <c r="P11" s="23">
        <f ca="1">P10/(1+'Weighted Avg Cost of Capital'!$C$7)^3</f>
        <v>479.70062297835557</v>
      </c>
      <c r="Q11" s="23">
        <f ca="1">Q10/(1+'Weighted Avg Cost of Capital'!$C$7)^4</f>
        <v>428.95458985394276</v>
      </c>
      <c r="R11" s="23">
        <f ca="1">R10/(1+'Weighted Avg Cost of Capital'!$C$7)^5</f>
        <v>383.5768213398099</v>
      </c>
      <c r="S11" s="23">
        <f ca="1">S10/(1+'Weighted Avg Cost of Capital'!$C$7)^6</f>
        <v>342.99942546191204</v>
      </c>
      <c r="U11" s="129" t="s">
        <v>591</v>
      </c>
      <c r="V11" s="5"/>
      <c r="W11" s="5"/>
      <c r="X11" s="132">
        <f ca="1">X10/(1+'Weighted Avg Cost of Capital'!$D$7)^1</f>
        <v>-381.55857528068668</v>
      </c>
      <c r="Y11" s="132">
        <f ca="1">Y10/(1+'Weighted Avg Cost of Capital'!$D$7)^2</f>
        <v>-1027.0329750535689</v>
      </c>
      <c r="Z11" s="132">
        <f ca="1">Z10/(1+'Weighted Avg Cost of Capital'!$D$7)^3</f>
        <v>-1677.105882375226</v>
      </c>
      <c r="AA11" s="132">
        <f ca="1">AA10/(1+'Weighted Avg Cost of Capital'!$D$7)^4</f>
        <v>-2335.6953739169981</v>
      </c>
      <c r="AB11" s="132">
        <f ca="1">AB10/(1+'Weighted Avg Cost of Capital'!$D$7)^5</f>
        <v>-3006.7612363363983</v>
      </c>
      <c r="AC11" s="132">
        <f ca="1">AC10/(1+'Weighted Avg Cost of Capital'!$D$7)^5</f>
        <v>-4148.4173391343502</v>
      </c>
      <c r="AE11" s="129" t="s">
        <v>591</v>
      </c>
      <c r="AF11" s="5"/>
      <c r="AG11" s="5"/>
      <c r="AH11" s="132">
        <f ca="1">AH10/(1+'Weighted Avg Cost of Capital'!$E$7)^1</f>
        <v>-240.32806620774633</v>
      </c>
      <c r="AI11" s="132">
        <f ca="1">AI10/(1+'Weighted Avg Cost of Capital'!$E$7)^2</f>
        <v>-109.28496482175001</v>
      </c>
      <c r="AJ11" s="132">
        <f ca="1">AJ10/(1+'Weighted Avg Cost of Capital'!$E$7)^3</f>
        <v>27.653227355864328</v>
      </c>
      <c r="AK11" s="132">
        <f ca="1">AK10/(1+'Weighted Avg Cost of Capital'!$E$7)^4</f>
        <v>170.85050064664236</v>
      </c>
      <c r="AL11" s="132">
        <f ca="1">AL10/(1+'Weighted Avg Cost of Capital'!$E$7)^5</f>
        <v>320.69179034202403</v>
      </c>
      <c r="AM11" s="132">
        <f ca="1">AM10/(1+'Weighted Avg Cost of Capital'!$E$7)^6</f>
        <v>477.58419918437215</v>
      </c>
      <c r="AO11" s="129" t="s">
        <v>591</v>
      </c>
      <c r="AP11" s="5"/>
      <c r="AQ11" s="5"/>
      <c r="AR11" s="23">
        <f ca="1">AR10/(1+'Weighted Avg Cost of Capital'!$F$7)^1</f>
        <v>10291.617868719577</v>
      </c>
      <c r="AS11" s="23">
        <f ca="1">AS10/(1+'Weighted Avg Cost of Capital'!$F$7)^2</f>
        <v>10975.645758709887</v>
      </c>
      <c r="AT11" s="23">
        <f ca="1">AT10/(1+'Weighted Avg Cost of Capital'!$F$7)^3</f>
        <v>11701.800755886765</v>
      </c>
      <c r="AU11" s="23">
        <f ca="1">AU10/(1+'Weighted Avg Cost of Capital'!$F$7)^4</f>
        <v>12472.565949673701</v>
      </c>
      <c r="AV11" s="23">
        <f ca="1">AV10/(1+'Weighted Avg Cost of Capital'!$F$7)^5</f>
        <v>13290.566776744503</v>
      </c>
      <c r="AW11" s="23">
        <f ca="1">AW10/(1+'Weighted Avg Cost of Capital'!$F$7)^5</f>
        <v>15405.683306683557</v>
      </c>
    </row>
    <row r="12" spans="1:49" x14ac:dyDescent="0.3">
      <c r="C12" s="1"/>
      <c r="G12" s="1"/>
    </row>
    <row r="13" spans="1:49" x14ac:dyDescent="0.3">
      <c r="C13" s="1"/>
      <c r="G13" s="1"/>
    </row>
    <row r="14" spans="1:49" x14ac:dyDescent="0.3">
      <c r="A14" s="63" t="s">
        <v>626</v>
      </c>
      <c r="B14" s="21" t="s">
        <v>627</v>
      </c>
      <c r="C14" s="98">
        <f>(I3/D3)^(1/6)-1</f>
        <v>0.18337289252173017</v>
      </c>
      <c r="G14" s="1"/>
    </row>
    <row r="15" spans="1:49" x14ac:dyDescent="0.3">
      <c r="A15" s="63" t="s">
        <v>626</v>
      </c>
      <c r="B15" s="21" t="s">
        <v>628</v>
      </c>
      <c r="C15" s="98">
        <f>(S3/N3)^(1/6)-1</f>
        <v>2.0189144915241375E-2</v>
      </c>
      <c r="G15" s="1"/>
    </row>
    <row r="16" spans="1:49" x14ac:dyDescent="0.3">
      <c r="A16" s="63" t="s">
        <v>626</v>
      </c>
      <c r="B16" s="21" t="s">
        <v>629</v>
      </c>
      <c r="C16" s="98">
        <f>(AC3/X3)^(1/6)-1</f>
        <v>0.17396732006093285</v>
      </c>
      <c r="E16" s="21" t="s">
        <v>633</v>
      </c>
      <c r="F16" s="48">
        <v>2020</v>
      </c>
      <c r="G16" s="98">
        <f>AVERAGE(-5.8%,9.7%)</f>
        <v>1.9499999999999997E-2</v>
      </c>
    </row>
    <row r="17" spans="1:7" x14ac:dyDescent="0.3">
      <c r="A17" s="63" t="s">
        <v>626</v>
      </c>
      <c r="B17" s="21" t="s">
        <v>630</v>
      </c>
      <c r="C17" s="98">
        <f>(AM3/AH3)^(1/6)-1</f>
        <v>8.132028214458864E-2</v>
      </c>
      <c r="E17" s="21" t="s">
        <v>633</v>
      </c>
      <c r="F17" s="48">
        <v>2025</v>
      </c>
      <c r="G17" s="98">
        <v>7.8E-2</v>
      </c>
    </row>
    <row r="18" spans="1:7" x14ac:dyDescent="0.3">
      <c r="A18" s="63" t="s">
        <v>626</v>
      </c>
      <c r="B18" s="21" t="s">
        <v>230</v>
      </c>
      <c r="C18" s="98">
        <f>(AW3/AR3)^(1/6)-1</f>
        <v>0.10984318869700971</v>
      </c>
      <c r="E18" s="5" t="s">
        <v>633</v>
      </c>
      <c r="F18" s="6" t="s">
        <v>634</v>
      </c>
      <c r="G18" s="141">
        <f>G17-G16</f>
        <v>5.8500000000000003E-2</v>
      </c>
    </row>
    <row r="19" spans="1:7" x14ac:dyDescent="0.3">
      <c r="A19" s="129" t="s">
        <v>626</v>
      </c>
      <c r="B19" s="5" t="s">
        <v>578</v>
      </c>
      <c r="C19" s="141">
        <f>AVERAGE(C14:C18)</f>
        <v>0.11373856566790055</v>
      </c>
      <c r="E19" s="5" t="s">
        <v>633</v>
      </c>
      <c r="F19" s="6" t="s">
        <v>635</v>
      </c>
      <c r="G19" s="142">
        <f>C25/G18</f>
        <v>156.4424941941773</v>
      </c>
    </row>
    <row r="20" spans="1:7" x14ac:dyDescent="0.3">
      <c r="A20" s="63" t="s">
        <v>631</v>
      </c>
      <c r="B20" s="21" t="str">
        <f>B14</f>
        <v>Adani</v>
      </c>
      <c r="C20" s="98">
        <f>('Income Statement'!F25-(AVERAGE('Income Statement'!B25:C25)))/ABS(AVERAGE('Income Statement'!B25:C25))</f>
        <v>42.458991431045497</v>
      </c>
    </row>
    <row r="21" spans="1:7" x14ac:dyDescent="0.3">
      <c r="A21" s="63" t="s">
        <v>631</v>
      </c>
      <c r="B21" s="21" t="str">
        <f t="shared" ref="B21:B25" si="36">B15</f>
        <v>Reliance</v>
      </c>
      <c r="C21" s="98">
        <f>('Income Statement'!M32-'Income Statement'!I32)/ABS('Income Statement'!I32)</f>
        <v>0.4926200574499765</v>
      </c>
    </row>
    <row r="22" spans="1:7" x14ac:dyDescent="0.3">
      <c r="A22" s="63" t="s">
        <v>631</v>
      </c>
      <c r="B22" s="21" t="str">
        <f t="shared" si="36"/>
        <v>Tata</v>
      </c>
      <c r="C22" s="98">
        <f>('Income Statement'!T29-'Income Statement'!P29)/'Income Statement'!P29</f>
        <v>1.4204530099317634</v>
      </c>
    </row>
    <row r="23" spans="1:7" x14ac:dyDescent="0.3">
      <c r="A23" s="63" t="s">
        <v>631</v>
      </c>
      <c r="B23" s="21" t="str">
        <f t="shared" si="36"/>
        <v>JSW</v>
      </c>
      <c r="C23" s="98">
        <f>('Income Statement'!AA24-'Income Statement'!W24)/'Income Statement'!W24</f>
        <v>0.59608020866090961</v>
      </c>
    </row>
    <row r="24" spans="1:7" x14ac:dyDescent="0.3">
      <c r="A24" s="63" t="s">
        <v>631</v>
      </c>
      <c r="B24" s="21" t="str">
        <f t="shared" si="36"/>
        <v>NTPC</v>
      </c>
      <c r="C24" s="98">
        <f>('Income Statement'!AH27-'Income Statement'!AD27)/'Income Statement'!AD27</f>
        <v>0.79128484470871363</v>
      </c>
    </row>
    <row r="25" spans="1:7" x14ac:dyDescent="0.3">
      <c r="A25" s="129" t="s">
        <v>631</v>
      </c>
      <c r="B25" s="5" t="str">
        <f t="shared" si="36"/>
        <v>Average</v>
      </c>
      <c r="C25" s="141">
        <f>AVERAGE(C20:C24)</f>
        <v>9.1518859103593719</v>
      </c>
    </row>
    <row r="26" spans="1:7" x14ac:dyDescent="0.3">
      <c r="A26" s="63" t="s">
        <v>632</v>
      </c>
      <c r="B26" s="21" t="str">
        <f>B20</f>
        <v>Adani</v>
      </c>
      <c r="C26" s="98">
        <f>AVERAGE(D8:I8)/AVERAGE(D3:I3)</f>
        <v>8.7082379687337896E-2</v>
      </c>
    </row>
    <row r="27" spans="1:7" x14ac:dyDescent="0.3">
      <c r="A27" s="63" t="s">
        <v>632</v>
      </c>
      <c r="B27" s="21" t="str">
        <f t="shared" ref="B27:B31" si="37">B21</f>
        <v>Reliance</v>
      </c>
      <c r="C27" s="98">
        <f>AVERAGE(N8:S8)/AVERAGE(N3:S3)</f>
        <v>2.5239022944248755E-2</v>
      </c>
    </row>
    <row r="28" spans="1:7" x14ac:dyDescent="0.3">
      <c r="A28" s="63" t="s">
        <v>632</v>
      </c>
      <c r="B28" s="21" t="str">
        <f t="shared" si="37"/>
        <v>Tata</v>
      </c>
      <c r="C28" s="98">
        <f>AVERAGE(X8:AC8)/AVERAGE(X3:AC3)</f>
        <v>0.13772075748760371</v>
      </c>
    </row>
    <row r="29" spans="1:7" x14ac:dyDescent="0.3">
      <c r="A29" s="63" t="s">
        <v>632</v>
      </c>
      <c r="B29" s="21" t="str">
        <f t="shared" si="37"/>
        <v>JSW</v>
      </c>
      <c r="C29" s="98">
        <f>AVERAGE(AH8:AM8)/AVERAGE(AH3:AM3)</f>
        <v>0.28001553274803936</v>
      </c>
    </row>
    <row r="30" spans="1:7" x14ac:dyDescent="0.3">
      <c r="A30" s="63" t="s">
        <v>632</v>
      </c>
      <c r="B30" s="21" t="str">
        <f t="shared" si="37"/>
        <v>NTPC</v>
      </c>
      <c r="C30" s="98">
        <f>AVERAGE(AR8:AW8)/AVERAGE(AR3:AW3)</f>
        <v>0.1709223512798495</v>
      </c>
    </row>
    <row r="31" spans="1:7" x14ac:dyDescent="0.3">
      <c r="A31" s="129" t="s">
        <v>632</v>
      </c>
      <c r="B31" s="5" t="str">
        <f t="shared" si="37"/>
        <v>Average</v>
      </c>
      <c r="C31" s="141">
        <f>AVERAGE(C26:C30)</f>
        <v>0.14019600882941585</v>
      </c>
    </row>
  </sheetData>
  <mergeCells count="6">
    <mergeCell ref="AO1:AT1"/>
    <mergeCell ref="A11:B11"/>
    <mergeCell ref="A1:F1"/>
    <mergeCell ref="K1:P1"/>
    <mergeCell ref="U1:Z1"/>
    <mergeCell ref="AE1:A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4260-65CD-433C-BB0F-3D6BA1E721EC}">
  <dimension ref="A1:F8"/>
  <sheetViews>
    <sheetView workbookViewId="0">
      <selection activeCell="B4" sqref="B4"/>
    </sheetView>
  </sheetViews>
  <sheetFormatPr defaultRowHeight="14.4" x14ac:dyDescent="0.3"/>
  <cols>
    <col min="1" max="1" width="29.5546875" style="1" bestFit="1" customWidth="1"/>
    <col min="2" max="2" width="11.21875" style="1" bestFit="1" customWidth="1"/>
    <col min="3" max="3" width="13.6640625" style="1" bestFit="1" customWidth="1"/>
    <col min="4" max="4" width="10.88671875" style="1" bestFit="1" customWidth="1"/>
    <col min="5" max="5" width="10.21875" style="1" bestFit="1" customWidth="1"/>
    <col min="6" max="6" width="11" style="1" customWidth="1"/>
    <col min="7" max="16384" width="8.88671875" style="1"/>
  </cols>
  <sheetData>
    <row r="1" spans="1:6" ht="47.4" customHeight="1" x14ac:dyDescent="0.3">
      <c r="A1" s="115" t="s">
        <v>607</v>
      </c>
      <c r="B1" s="116" t="e" vm="1">
        <v>#VALUE!</v>
      </c>
      <c r="C1" s="116" t="e" vm="2">
        <v>#VALUE!</v>
      </c>
      <c r="D1" s="117" t="e" vm="13">
        <v>#VALUE!</v>
      </c>
      <c r="E1" s="117" t="e" vm="4">
        <v>#VALUE!</v>
      </c>
      <c r="F1" s="118" t="e" vm="5">
        <v>#VALUE!</v>
      </c>
    </row>
    <row r="2" spans="1:6" x14ac:dyDescent="0.3">
      <c r="A2" s="119" t="s">
        <v>602</v>
      </c>
      <c r="B2" s="120" t="s">
        <v>15</v>
      </c>
      <c r="C2" s="120" t="s">
        <v>16</v>
      </c>
      <c r="D2" s="120" t="s">
        <v>17</v>
      </c>
      <c r="E2" s="120" t="s">
        <v>229</v>
      </c>
      <c r="F2" s="120" t="s">
        <v>230</v>
      </c>
    </row>
    <row r="3" spans="1:6" x14ac:dyDescent="0.3">
      <c r="A3" s="21" t="s">
        <v>603</v>
      </c>
      <c r="B3" s="101">
        <f ca="1">'Key Assumptions'!B19+'Key Assumptions'!B21*'Key Assumptions'!B20</f>
        <v>0.12718499999999999</v>
      </c>
      <c r="C3" s="101">
        <f ca="1">'Key Assumptions'!J19+'Key Assumptions'!J21*'Key Assumptions'!J20</f>
        <v>0.19782999999999998</v>
      </c>
      <c r="D3" s="101">
        <f ca="1">'Key Assumptions'!R19+'Key Assumptions'!R21*'Key Assumptions'!R20</f>
        <v>0.14351999999999998</v>
      </c>
      <c r="E3" s="101">
        <f ca="1">'Key Assumptions'!Z19+'Key Assumptions'!Z21*'Key Assumptions'!Z20</f>
        <v>0.133135</v>
      </c>
      <c r="F3" s="101">
        <f ca="1">'Key Assumptions'!AH19+'Key Assumptions'!AH21*'Key Assumptions'!AH20</f>
        <v>0.12504999999999999</v>
      </c>
    </row>
    <row r="4" spans="1:6" x14ac:dyDescent="0.3">
      <c r="A4" s="21" t="s">
        <v>604</v>
      </c>
      <c r="B4" s="101">
        <f>('Income Statement'!F12/('Balance Sheet'!F41+'Balance Sheet'!F50))*(1-0.25)</f>
        <v>7.3746345430198812E-2</v>
      </c>
      <c r="C4" s="101">
        <f>('Income Statement'!M10/('Balance Sheet'!M41+'Balance Sheet'!M49))*(1-0.25)</f>
        <v>9.796888813337859E-2</v>
      </c>
      <c r="D4" s="101">
        <f>('Income Statement'!T13/('Balance Sheet'!T49+'Balance Sheet'!T60))*(1-0.25)</f>
        <v>7.0228947928458102E-2</v>
      </c>
      <c r="E4" s="101">
        <f>('Income Statement'!AA12/('Balance Sheet'!AA41+'Balance Sheet'!AA50))*(1-0.25)</f>
        <v>4.9161080627619771E-2</v>
      </c>
      <c r="F4" s="101">
        <f>('Income Statement'!AH11/('Balance Sheet'!AH42+'Balance Sheet'!AH51))*(1-0.25)</f>
        <v>3.844514110984372E-2</v>
      </c>
    </row>
    <row r="5" spans="1:6" x14ac:dyDescent="0.3">
      <c r="A5" s="21" t="s">
        <v>605</v>
      </c>
      <c r="B5" s="81">
        <f ca="1">'Key Assumptions'!B25/('Key Assumptions'!B25+'Key Assumptions'!B26)</f>
        <v>0.62680610126252578</v>
      </c>
      <c r="C5" s="81">
        <f ca="1">'Key Assumptions'!J25/('Key Assumptions'!J25+'Key Assumptions'!J26)</f>
        <v>0.47546263330468852</v>
      </c>
      <c r="D5" s="81">
        <f ca="1">'Key Assumptions'!R25/('Key Assumptions'!R26+'Key Assumptions'!R25)</f>
        <v>0.71886106349898682</v>
      </c>
      <c r="E5" s="81">
        <f ca="1">'Key Assumptions'!Z25/('Key Assumptions'!Z25+'Key Assumptions'!Z26)</f>
        <v>0.74424570574482884</v>
      </c>
      <c r="F5" s="81">
        <f ca="1">'Key Assumptions'!AH25/('Key Assumptions'!AH25+'Key Assumptions'!AH26)</f>
        <v>0.57313220601937787</v>
      </c>
    </row>
    <row r="6" spans="1:6" x14ac:dyDescent="0.3">
      <c r="A6" s="21" t="s">
        <v>606</v>
      </c>
      <c r="B6" s="81">
        <f ca="1">'Key Assumptions'!B26/('Key Assumptions'!B25+'Key Assumptions'!B26)</f>
        <v>0.37319389873747433</v>
      </c>
      <c r="C6" s="81">
        <f ca="1">'Key Assumptions'!J26/('Key Assumptions'!J25+'Key Assumptions'!J26)</f>
        <v>0.52453736669531159</v>
      </c>
      <c r="D6" s="81">
        <f ca="1">'Key Assumptions'!R26/('Key Assumptions'!R25+'Key Assumptions'!R26)</f>
        <v>0.28113893650101313</v>
      </c>
      <c r="E6" s="81">
        <f ca="1">'Key Assumptions'!Z26/('Key Assumptions'!Z25+'Key Assumptions'!Z26)</f>
        <v>0.25575429425517121</v>
      </c>
      <c r="F6" s="81">
        <f ca="1">'Key Assumptions'!AH26/('Key Assumptions'!AH25+'Key Assumptions'!AH26)</f>
        <v>0.4268677939806223</v>
      </c>
    </row>
    <row r="7" spans="1:6" x14ac:dyDescent="0.3">
      <c r="A7" s="21" t="s">
        <v>601</v>
      </c>
      <c r="B7" s="131">
        <f ca="1">(B3*B5)+(B4*B6)</f>
        <v>0.10724202015781076</v>
      </c>
      <c r="C7" s="131">
        <f t="shared" ref="C7:F7" ca="1" si="0">(C3*C5)+(C4*C6)</f>
        <v>0.14544911534621649</v>
      </c>
      <c r="D7" s="131">
        <f t="shared" ca="1" si="0"/>
        <v>0.12291503156556632</v>
      </c>
      <c r="E7" s="131">
        <f t="shared" ca="1" si="0"/>
        <v>0.11165830951507626</v>
      </c>
      <c r="F7" s="131">
        <f t="shared" ca="1" si="0"/>
        <v>8.808117493755592E-2</v>
      </c>
    </row>
    <row r="8" spans="1:6" x14ac:dyDescent="0.3">
      <c r="A8" s="21" t="s">
        <v>622</v>
      </c>
      <c r="B8" s="97">
        <v>3.5000000000000003E-2</v>
      </c>
      <c r="C8" s="97">
        <v>3.5000000000000003E-2</v>
      </c>
      <c r="D8" s="97">
        <v>3.5000000000000003E-2</v>
      </c>
      <c r="E8" s="97">
        <v>3.5000000000000003E-2</v>
      </c>
      <c r="F8" s="97">
        <v>3.5000000000000003E-2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F2E4-C9CA-413C-AB44-6EF7172BFC68}">
  <dimension ref="A1:F13"/>
  <sheetViews>
    <sheetView workbookViewId="0">
      <selection activeCell="C18" sqref="C18"/>
    </sheetView>
  </sheetViews>
  <sheetFormatPr defaultRowHeight="14.4" x14ac:dyDescent="0.3"/>
  <cols>
    <col min="1" max="1" width="25.21875" style="1" bestFit="1" customWidth="1"/>
    <col min="2" max="6" width="11.44140625" style="1" customWidth="1"/>
    <col min="7" max="16384" width="8.88671875" style="1"/>
  </cols>
  <sheetData>
    <row r="1" spans="1:6" s="122" customFormat="1" ht="45" customHeight="1" x14ac:dyDescent="0.3">
      <c r="A1" s="197" t="s">
        <v>615</v>
      </c>
      <c r="B1" s="197"/>
      <c r="C1" s="197"/>
      <c r="D1" s="197"/>
      <c r="E1" s="197"/>
      <c r="F1" s="197"/>
    </row>
    <row r="2" spans="1:6" s="121" customFormat="1" ht="37.799999999999997" customHeight="1" x14ac:dyDescent="0.3">
      <c r="A2" s="123" t="s">
        <v>608</v>
      </c>
      <c r="B2" s="124" t="e" vm="1">
        <v>#VALUE!</v>
      </c>
      <c r="C2" s="125" t="e" vm="2">
        <v>#VALUE!</v>
      </c>
      <c r="D2" s="125" t="e" vm="3">
        <v>#VALUE!</v>
      </c>
      <c r="E2" s="125" t="e" vm="4">
        <v>#VALUE!</v>
      </c>
      <c r="F2" s="126" t="e" vm="5">
        <v>#VALUE!</v>
      </c>
    </row>
    <row r="3" spans="1:6" x14ac:dyDescent="0.3">
      <c r="A3" s="133" t="s">
        <v>609</v>
      </c>
      <c r="B3" s="103">
        <f ca="1">'FCFF Projections (5y )'!I10/('Weighted Avg Cost of Capital'!B7-'Weighted Avg Cost of Capital'!B8)</f>
        <v>311300.141468257</v>
      </c>
      <c r="C3" s="103">
        <f ca="1">'FCFF Projections (5y )'!S11/('Weighted Avg Cost of Capital'!B7-'Weighted Avg Cost of Capital'!B8)</f>
        <v>4747.9212889207556</v>
      </c>
      <c r="D3" s="103">
        <f ca="1">'FCFF Projections (5y )'!X10/('Weighted Avg Cost of Capital'!D7-'Weighted Avg Cost of Capital'!D8)</f>
        <v>-4873.5449669478239</v>
      </c>
      <c r="E3" s="103">
        <f ca="1">'FCFF Projections (5y )'!AM10/('Weighted Avg Cost of Capital'!E7-'Weighted Avg Cost of Capital'!E8)</f>
        <v>11757.598444579537</v>
      </c>
      <c r="F3" s="103">
        <f ca="1">'FCFF Projections (5y )'!AW10/('Weighted Avg Cost of Capital'!F7-'Weighted Avg Cost of Capital'!F8)</f>
        <v>442636.19243609346</v>
      </c>
    </row>
    <row r="4" spans="1:6" x14ac:dyDescent="0.3">
      <c r="A4" s="21" t="s">
        <v>610</v>
      </c>
      <c r="B4" s="103">
        <f ca="1">B3/(1+'Weighted Avg Cost of Capital'!B7)^6</f>
        <v>168936.68344168898</v>
      </c>
      <c r="C4" s="103">
        <f ca="1">C3/(1+'Weighted Avg Cost of Capital'!C7)^6</f>
        <v>2102.0774032854556</v>
      </c>
      <c r="D4" s="103">
        <f ca="1">D3/(1+'Weighted Avg Cost of Capital'!D7)^6</f>
        <v>-2430.8804729274352</v>
      </c>
      <c r="E4" s="103">
        <f ca="1">E3/(1+'Weighted Avg Cost of Capital'!E7)^6</f>
        <v>6230.0382333691632</v>
      </c>
      <c r="F4" s="103">
        <f ca="1">F3/(1+'Weighted Avg Cost of Capital'!F7)^6</f>
        <v>266734.46936524392</v>
      </c>
    </row>
    <row r="5" spans="1:6" x14ac:dyDescent="0.3">
      <c r="A5" s="21" t="s">
        <v>591</v>
      </c>
      <c r="B5" s="103">
        <f ca="1">SUM('FCFF Projections (5y )'!D11:I11)</f>
        <v>71342.182050188363</v>
      </c>
      <c r="C5" s="103">
        <f ca="1">SUM('FCFF Projections (5y )'!N11:S11)</f>
        <v>2771.5943664063157</v>
      </c>
      <c r="D5" s="103">
        <f ca="1">SUM('FCFF Projections (5y )'!X11:AC11)</f>
        <v>-12576.571382097229</v>
      </c>
      <c r="E5" s="103">
        <f ca="1">SUM('FCFF Projections (5y )'!AH11:AM11)</f>
        <v>647.16668649940652</v>
      </c>
      <c r="F5" s="103">
        <f ca="1">SUM('FCFF Projections (5y )'!AR11:AW11)</f>
        <v>74137.880416417989</v>
      </c>
    </row>
    <row r="6" spans="1:6" x14ac:dyDescent="0.3">
      <c r="A6" s="21" t="s">
        <v>623</v>
      </c>
      <c r="B6" s="103">
        <f ca="1">B4+B5</f>
        <v>240278.86549187734</v>
      </c>
      <c r="C6" s="103">
        <f t="shared" ref="C6:F6" ca="1" si="0">C4+C5</f>
        <v>4873.6717696917713</v>
      </c>
      <c r="D6" s="103">
        <f t="shared" ca="1" si="0"/>
        <v>-15007.451855024665</v>
      </c>
      <c r="E6" s="103">
        <f t="shared" ca="1" si="0"/>
        <v>6877.20491986857</v>
      </c>
      <c r="F6" s="103">
        <f t="shared" ca="1" si="0"/>
        <v>340872.34978166188</v>
      </c>
    </row>
    <row r="7" spans="1:6" x14ac:dyDescent="0.3">
      <c r="A7" s="21" t="s">
        <v>620</v>
      </c>
      <c r="B7" s="103">
        <f>'Key Assumptions'!B26</f>
        <v>34456.86</v>
      </c>
      <c r="C7" s="103">
        <f>'Key Assumptions'!J26</f>
        <v>18765.830000000002</v>
      </c>
      <c r="D7" s="103">
        <f>'Key Assumptions'!R26</f>
        <v>49479.81</v>
      </c>
      <c r="E7" s="103">
        <f>'Key Assumptions'!Z26</f>
        <v>31326.61</v>
      </c>
      <c r="F7" s="103">
        <f>'Key Assumptions'!AH26</f>
        <v>235040.3</v>
      </c>
    </row>
    <row r="8" spans="1:6" x14ac:dyDescent="0.3">
      <c r="A8" s="21" t="s">
        <v>621</v>
      </c>
      <c r="B8" s="103">
        <f>'Balance Sheet'!F22</f>
        <v>1136.25</v>
      </c>
      <c r="C8" s="103">
        <f>'Balance Sheet'!M22</f>
        <v>486.15</v>
      </c>
      <c r="D8" s="103">
        <f>'Balance Sheet'!T26</f>
        <v>3324.34</v>
      </c>
      <c r="E8" s="103">
        <f>'Balance Sheet'!AA24</f>
        <v>3091.74</v>
      </c>
      <c r="F8" s="103">
        <f>'Balance Sheet'!AH23</f>
        <v>863.34</v>
      </c>
    </row>
    <row r="9" spans="1:6" x14ac:dyDescent="0.3">
      <c r="A9" s="21" t="s">
        <v>655</v>
      </c>
      <c r="B9" s="103">
        <f ca="1">B6+B7-B8</f>
        <v>273599.47549187735</v>
      </c>
      <c r="C9" s="103">
        <f ca="1">C6+C7-C8</f>
        <v>23153.35176969177</v>
      </c>
      <c r="D9" s="103">
        <f t="shared" ref="D9:F9" ca="1" si="1">D6+D7-D8</f>
        <v>31148.018144975333</v>
      </c>
      <c r="E9" s="103">
        <f t="shared" ca="1" si="1"/>
        <v>35112.074919868573</v>
      </c>
      <c r="F9" s="103">
        <f t="shared" ca="1" si="1"/>
        <v>575049.30978166184</v>
      </c>
    </row>
    <row r="10" spans="1:6" x14ac:dyDescent="0.3">
      <c r="A10" s="21" t="s">
        <v>611</v>
      </c>
      <c r="B10" s="21">
        <f>'Key Assumptions'!B23</f>
        <v>385.69</v>
      </c>
      <c r="C10" s="81">
        <f>'Key Assumptions'!J23</f>
        <v>413.57</v>
      </c>
      <c r="D10" s="81">
        <f>'Key Assumptions'!R23</f>
        <v>319.52999999999997</v>
      </c>
      <c r="E10" s="81">
        <f>'Key Assumptions'!Z23</f>
        <v>174.52</v>
      </c>
      <c r="F10" s="81">
        <f>'Key Assumptions'!AH23</f>
        <v>969.66</v>
      </c>
    </row>
    <row r="11" spans="1:6" x14ac:dyDescent="0.3">
      <c r="A11" s="21" t="s">
        <v>612</v>
      </c>
      <c r="B11" s="103">
        <f ca="1">B9/B10</f>
        <v>709.37663795244202</v>
      </c>
      <c r="C11" s="103">
        <f t="shared" ref="C11:F11" ca="1" si="2">C9/C10</f>
        <v>55.984118213825397</v>
      </c>
      <c r="D11" s="103">
        <f t="shared" ca="1" si="2"/>
        <v>97.480731527478909</v>
      </c>
      <c r="E11" s="103">
        <f t="shared" ca="1" si="2"/>
        <v>201.19226976775482</v>
      </c>
      <c r="F11" s="103">
        <f t="shared" ca="1" si="2"/>
        <v>593.0422104466121</v>
      </c>
    </row>
    <row r="12" spans="1:6" x14ac:dyDescent="0.3">
      <c r="A12" s="21" t="s">
        <v>613</v>
      </c>
      <c r="B12" s="22">
        <f ca="1">'Key Assumptions'!B24</f>
        <v>150.05000000000001</v>
      </c>
      <c r="C12" s="22">
        <f ca="1">'Key Assumptions'!J24</f>
        <v>41.13</v>
      </c>
      <c r="D12" s="22">
        <f ca="1">'Key Assumptions'!R24</f>
        <v>395.95</v>
      </c>
      <c r="E12" s="22">
        <f ca="1">'Key Assumptions'!Z24</f>
        <v>522.35</v>
      </c>
      <c r="F12" s="22">
        <f ca="1">'Key Assumptions'!AH24</f>
        <v>325.45</v>
      </c>
    </row>
    <row r="13" spans="1:6" x14ac:dyDescent="0.3">
      <c r="A13" s="21" t="s">
        <v>614</v>
      </c>
      <c r="B13" s="96">
        <f ca="1">(B11-B12)/B12</f>
        <v>3.7276017191099102</v>
      </c>
      <c r="C13" s="96">
        <f t="shared" ref="C13:F13" ca="1" si="3">(C11-C12)/C12</f>
        <v>0.36115045499210779</v>
      </c>
      <c r="D13" s="96">
        <f t="shared" ca="1" si="3"/>
        <v>-0.75380545137648969</v>
      </c>
      <c r="E13" s="96">
        <f t="shared" ca="1" si="3"/>
        <v>-0.61483244995165154</v>
      </c>
      <c r="F13" s="96">
        <f t="shared" ca="1" si="3"/>
        <v>0.82222218603967467</v>
      </c>
    </row>
  </sheetData>
  <mergeCells count="1">
    <mergeCell ref="A1:F1"/>
  </mergeCells>
  <conditionalFormatting sqref="B13:F13">
    <cfRule type="cellIs" dxfId="1" priority="1" operator="lessThan">
      <formula>0</formula>
    </cfRule>
    <cfRule type="cellIs" dxfId="0" priority="2" operator="greater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39917-F271-48C9-8531-C9295BE2020A}">
  <dimension ref="A1:P25"/>
  <sheetViews>
    <sheetView topLeftCell="K1" workbookViewId="0">
      <selection activeCell="P12" sqref="P12"/>
    </sheetView>
  </sheetViews>
  <sheetFormatPr defaultRowHeight="14.4" x14ac:dyDescent="0.3"/>
  <cols>
    <col min="1" max="1" width="8.88671875" style="1"/>
    <col min="2" max="2" width="12.77734375" style="1" bestFit="1" customWidth="1"/>
    <col min="3" max="3" width="13.6640625" style="1" bestFit="1" customWidth="1"/>
    <col min="4" max="4" width="9.88671875" style="140" bestFit="1" customWidth="1"/>
    <col min="5" max="6" width="8.88671875" style="1"/>
    <col min="7" max="7" width="13.6640625" style="1" bestFit="1" customWidth="1"/>
    <col min="8" max="16" width="11.44140625" style="1" customWidth="1"/>
    <col min="17" max="16384" width="8.88671875" style="1"/>
  </cols>
  <sheetData>
    <row r="1" spans="1:16" s="2" customFormat="1" ht="43.2" x14ac:dyDescent="0.3">
      <c r="A1" s="5" t="s">
        <v>636</v>
      </c>
      <c r="B1" s="5" t="s">
        <v>592</v>
      </c>
      <c r="C1" s="5" t="s">
        <v>637</v>
      </c>
      <c r="D1" s="5" t="s">
        <v>638</v>
      </c>
      <c r="G1" s="143" t="s">
        <v>637</v>
      </c>
      <c r="H1" s="143" t="s">
        <v>645</v>
      </c>
      <c r="I1" s="143" t="s">
        <v>646</v>
      </c>
      <c r="J1" s="143" t="s">
        <v>647</v>
      </c>
      <c r="K1" s="143" t="s">
        <v>648</v>
      </c>
      <c r="L1" s="6" t="s">
        <v>649</v>
      </c>
      <c r="M1" s="6" t="s">
        <v>650</v>
      </c>
      <c r="N1" s="143" t="s">
        <v>651</v>
      </c>
      <c r="O1" s="143" t="s">
        <v>652</v>
      </c>
      <c r="P1" s="143" t="s">
        <v>653</v>
      </c>
    </row>
    <row r="2" spans="1:16" x14ac:dyDescent="0.3">
      <c r="A2" s="21" t="s">
        <v>639</v>
      </c>
      <c r="B2" s="21" t="s">
        <v>641</v>
      </c>
      <c r="C2" s="21" t="s">
        <v>15</v>
      </c>
      <c r="D2" s="22">
        <f>ABS(AVERAGE('Cash Flow Statement'!B31:F31))</f>
        <v>3024.9700000000003</v>
      </c>
      <c r="G2" s="21" t="str">
        <f>C2</f>
        <v>Adani Power</v>
      </c>
      <c r="H2" s="103">
        <f>(('Income Statement'!F16+'Income Statement'!F12)-('Income Statement'!B16+'Income Statement'!B12))</f>
        <v>20126.709999999992</v>
      </c>
      <c r="I2" s="103">
        <f>(('Balance Sheet'!F29-'Balance Sheet'!F57)-('Balance Sheet'!B29-'Balance Sheet'!B57))</f>
        <v>19700.250000000007</v>
      </c>
      <c r="J2" s="98">
        <f>H2/I2</f>
        <v>1.0216474410223213</v>
      </c>
      <c r="K2" s="103">
        <f>'FCFF Projections (5y )'!I4-'FCFF Projections (5y )'!D4</f>
        <v>24959.810162181082</v>
      </c>
      <c r="L2" s="103">
        <f>D8</f>
        <v>11291.740680787692</v>
      </c>
      <c r="M2" s="103">
        <f>AVERAGE('FCFF Projections (5y )'!D7:I7)</f>
        <v>11983.401166051621</v>
      </c>
      <c r="N2" s="22">
        <f>IF(L2-M2&lt;=0,L2,MAX(L2-M2,0.1*L2))</f>
        <v>11291.740680787692</v>
      </c>
      <c r="O2" s="66">
        <f>K2/N2</f>
        <v>2.2104484036415126</v>
      </c>
      <c r="P2" s="101">
        <f>MIN(MAX(O2,0.06),0.15)</f>
        <v>0.15</v>
      </c>
    </row>
    <row r="3" spans="1:16" x14ac:dyDescent="0.3">
      <c r="A3" s="21" t="s">
        <v>639</v>
      </c>
      <c r="B3" s="21" t="s">
        <v>641</v>
      </c>
      <c r="C3" s="21" t="s">
        <v>16</v>
      </c>
      <c r="D3" s="22">
        <f>ABS(AVERAGE('Cash Flow Statement'!I33:M33))</f>
        <v>201.792</v>
      </c>
      <c r="G3" s="21" t="str">
        <f t="shared" ref="G3:G7" si="0">C3</f>
        <v>Reliance Power</v>
      </c>
      <c r="H3" s="103">
        <f>(('Income Statement'!M14+'Income Statement'!M10)-('Income Statement'!I14+'Income Statement'!I10))</f>
        <v>-2363.2800000000002</v>
      </c>
      <c r="I3" s="103">
        <f>(('Balance Sheet'!M30-'Balance Sheet'!M55)-('Balance Sheet'!I30-'Balance Sheet'!I55))</f>
        <v>-11511.259999999984</v>
      </c>
      <c r="J3" s="98">
        <f t="shared" ref="J3:J6" si="1">H3/I3</f>
        <v>0.2053015916589499</v>
      </c>
      <c r="K3" s="103">
        <f>'FCFF Projections (5y )'!S4-'FCFF Projections (5y )'!N4</f>
        <v>-98.51354183329272</v>
      </c>
      <c r="L3" s="103">
        <f t="shared" ref="L3:L6" si="2">D9</f>
        <v>226.92791236043851</v>
      </c>
      <c r="M3" s="103">
        <f>AVERAGE('FCFF Projections (5y )'!N7:S7)</f>
        <v>1134.2947322826342</v>
      </c>
      <c r="N3" s="22">
        <f t="shared" ref="N3:N6" si="3">IF(L3-M3&lt;=0,L3,MAX(L3-M3,0.1*L3))</f>
        <v>226.92791236043851</v>
      </c>
      <c r="O3" s="66">
        <f t="shared" ref="O3:O6" si="4">K3/N3</f>
        <v>-0.43411822198769356</v>
      </c>
      <c r="P3" s="101">
        <f t="shared" ref="P3:P6" si="5">MIN(MAX(O3,0.06),0.15)</f>
        <v>0.06</v>
      </c>
    </row>
    <row r="4" spans="1:16" x14ac:dyDescent="0.3">
      <c r="A4" s="21" t="s">
        <v>639</v>
      </c>
      <c r="B4" s="21" t="s">
        <v>641</v>
      </c>
      <c r="C4" s="21" t="s">
        <v>643</v>
      </c>
      <c r="D4" s="22">
        <f>ABS(AVERAGE('Cash Flow Statement'!P55:T55))</f>
        <v>6763.6440000000002</v>
      </c>
      <c r="G4" s="21" t="str">
        <f t="shared" si="0"/>
        <v>Tata Power</v>
      </c>
      <c r="H4" s="103">
        <f>(('Income Statement'!T17+'Income Statement'!T13)-('Income Statement'!P17+'Income Statement'!P13))</f>
        <v>2949.0100000000057</v>
      </c>
      <c r="I4" s="103">
        <f>(('Balance Sheet'!T37-'Balance Sheet'!T67)-('Balance Sheet'!P37-'Balance Sheet'!P67))</f>
        <v>35188.80000000001</v>
      </c>
      <c r="J4" s="98">
        <f t="shared" si="1"/>
        <v>8.3805358523166604E-2</v>
      </c>
      <c r="K4" s="103">
        <f>'FCFF Projections (5y )'!AC4-'FCFF Projections (5y )'!X4</f>
        <v>1204.7821476106501</v>
      </c>
      <c r="L4" s="103">
        <f t="shared" si="2"/>
        <v>18028.818512994687</v>
      </c>
      <c r="M4" s="103">
        <f>AVERAGE('FCFF Projections (5y )'!X7:AC7)</f>
        <v>9533.8012347917484</v>
      </c>
      <c r="N4" s="22">
        <f t="shared" si="3"/>
        <v>8495.0172782029385</v>
      </c>
      <c r="O4" s="66">
        <f t="shared" si="4"/>
        <v>0.14182221273427631</v>
      </c>
      <c r="P4" s="101">
        <f t="shared" si="5"/>
        <v>0.14182221273427631</v>
      </c>
    </row>
    <row r="5" spans="1:16" x14ac:dyDescent="0.3">
      <c r="A5" s="21" t="s">
        <v>639</v>
      </c>
      <c r="B5" s="21" t="s">
        <v>641</v>
      </c>
      <c r="C5" s="21" t="s">
        <v>644</v>
      </c>
      <c r="D5" s="22">
        <f>ABS(AVERAGE('Cash Flow Statement'!W32:AA32))</f>
        <v>3024.018</v>
      </c>
      <c r="G5" s="21" t="str">
        <f t="shared" si="0"/>
        <v>JSW energy</v>
      </c>
      <c r="H5" s="103">
        <f>(('Income Statement'!AA17+'Income Statement'!AA12)-('Income Statement'!W17+'Income Statement'!W12))</f>
        <v>2117.4800000000014</v>
      </c>
      <c r="I5" s="103">
        <f>(('Balance Sheet'!AA30-'Balance Sheet'!AA58)-('Balance Sheet'!W30-'Balance Sheet'!W58))</f>
        <v>30262.789999999997</v>
      </c>
      <c r="J5" s="98">
        <f t="shared" si="1"/>
        <v>6.9969754936673109E-2</v>
      </c>
      <c r="K5" s="103">
        <f>'FCFF Projections (5y )'!AM4-'FCFF Projections (5y )'!AH4</f>
        <v>3195.3161483567819</v>
      </c>
      <c r="L5" s="103">
        <f t="shared" si="2"/>
        <v>4703.698988414937</v>
      </c>
      <c r="M5" s="103">
        <f>AVERAGE('FCFF Projections (5y )'!AH7:AM7)</f>
        <v>2261.9805793079945</v>
      </c>
      <c r="N5" s="22">
        <f t="shared" si="3"/>
        <v>2441.7184091069425</v>
      </c>
      <c r="O5" s="66">
        <f t="shared" si="4"/>
        <v>1.3086341719172554</v>
      </c>
      <c r="P5" s="101">
        <f t="shared" si="5"/>
        <v>0.15</v>
      </c>
    </row>
    <row r="6" spans="1:16" x14ac:dyDescent="0.3">
      <c r="A6" s="21" t="s">
        <v>639</v>
      </c>
      <c r="B6" s="21" t="s">
        <v>641</v>
      </c>
      <c r="C6" s="21" t="s">
        <v>230</v>
      </c>
      <c r="D6" s="22">
        <f>ABS(AVERAGE('Cash Flow Statement'!AD36:AH36))</f>
        <v>24324.328000000001</v>
      </c>
      <c r="G6" s="21" t="str">
        <f t="shared" si="0"/>
        <v>NTPC</v>
      </c>
      <c r="H6" s="103">
        <f>(('Income Statement'!AH15+'Income Statement'!AH11)-('Income Statement'!AD15+'Income Statement'!AD11))</f>
        <v>13465.170000000027</v>
      </c>
      <c r="I6" s="103">
        <f>(('Balance Sheet'!AH31-'Balance Sheet'!AH60)-('Balance Sheet'!AD31-'Balance Sheet'!AD60))</f>
        <v>67848.520000000019</v>
      </c>
      <c r="J6" s="98">
        <f t="shared" si="1"/>
        <v>0.19845930316534574</v>
      </c>
      <c r="K6" s="103">
        <f>'FCFF Projections (5y )'!AW4-'FCFF Projections (5y )'!AR4</f>
        <v>30459.129134849238</v>
      </c>
      <c r="L6" s="103">
        <f t="shared" si="2"/>
        <v>49071.869833447934</v>
      </c>
      <c r="M6" s="103">
        <f>AVERAGE('FCFF Projections (5y )'!AR7:AW7)</f>
        <v>27251.617290737708</v>
      </c>
      <c r="N6" s="22">
        <f t="shared" si="3"/>
        <v>21820.252542710226</v>
      </c>
      <c r="O6" s="66">
        <f t="shared" si="4"/>
        <v>1.3959109352758208</v>
      </c>
      <c r="P6" s="101">
        <f t="shared" si="5"/>
        <v>0.15</v>
      </c>
    </row>
    <row r="7" spans="1:16" s="2" customFormat="1" x14ac:dyDescent="0.3">
      <c r="A7" s="5" t="s">
        <v>639</v>
      </c>
      <c r="B7" s="5" t="s">
        <v>641</v>
      </c>
      <c r="C7" s="5" t="s">
        <v>578</v>
      </c>
      <c r="D7" s="23">
        <f>AVERAGE(D2:D6)</f>
        <v>7467.7503999999999</v>
      </c>
      <c r="E7" s="1"/>
      <c r="F7" s="1"/>
      <c r="G7" s="5" t="str">
        <f t="shared" si="0"/>
        <v>Average</v>
      </c>
      <c r="H7" s="5"/>
      <c r="I7" s="5"/>
      <c r="J7" s="145">
        <f>AVERAGE(J2:J6)</f>
        <v>0.31583668986129132</v>
      </c>
      <c r="K7" s="5"/>
      <c r="L7" s="5"/>
      <c r="M7" s="5"/>
      <c r="N7" s="5"/>
      <c r="O7" s="144">
        <f>AVERAGE(O2:O6)</f>
        <v>0.92453950031623433</v>
      </c>
      <c r="P7" s="144">
        <f>AVERAGE(P2:P6)</f>
        <v>0.13036444254685525</v>
      </c>
    </row>
    <row r="8" spans="1:16" x14ac:dyDescent="0.3">
      <c r="A8" s="21" t="s">
        <v>640</v>
      </c>
      <c r="B8" s="21" t="s">
        <v>641</v>
      </c>
      <c r="C8" s="21" t="str">
        <f>C2</f>
        <v>Adani Power</v>
      </c>
      <c r="D8" s="22">
        <f>AVERAGE('FCFF Projections (5y )'!D8:I8)</f>
        <v>11291.740680787692</v>
      </c>
    </row>
    <row r="9" spans="1:16" x14ac:dyDescent="0.3">
      <c r="A9" s="21" t="s">
        <v>640</v>
      </c>
      <c r="B9" s="21" t="s">
        <v>641</v>
      </c>
      <c r="C9" s="21" t="str">
        <f t="shared" ref="C9:C13" si="6">C3</f>
        <v>Reliance Power</v>
      </c>
      <c r="D9" s="22">
        <f>AVERAGE('FCFF Projections (5y )'!N8:S8)</f>
        <v>226.92791236043851</v>
      </c>
    </row>
    <row r="10" spans="1:16" x14ac:dyDescent="0.3">
      <c r="A10" s="21" t="s">
        <v>640</v>
      </c>
      <c r="B10" s="21" t="s">
        <v>641</v>
      </c>
      <c r="C10" s="21" t="str">
        <f t="shared" si="6"/>
        <v>Tata Power</v>
      </c>
      <c r="D10" s="22">
        <f>AVERAGE('FCFF Projections (5y )'!X8:AC8)</f>
        <v>18028.818512994687</v>
      </c>
    </row>
    <row r="11" spans="1:16" x14ac:dyDescent="0.3">
      <c r="A11" s="21" t="s">
        <v>640</v>
      </c>
      <c r="B11" s="21" t="s">
        <v>641</v>
      </c>
      <c r="C11" s="21" t="str">
        <f t="shared" si="6"/>
        <v>JSW energy</v>
      </c>
      <c r="D11" s="22">
        <f>AVERAGE('FCFF Projections (5y )'!AH8:AM8)</f>
        <v>4703.698988414937</v>
      </c>
    </row>
    <row r="12" spans="1:16" x14ac:dyDescent="0.3">
      <c r="A12" s="21" t="s">
        <v>640</v>
      </c>
      <c r="B12" s="21" t="s">
        <v>641</v>
      </c>
      <c r="C12" s="21" t="str">
        <f t="shared" si="6"/>
        <v>NTPC</v>
      </c>
      <c r="D12" s="22">
        <f>AVERAGE('FCFF Projections (5y )'!AR8:AW8)</f>
        <v>49071.869833447934</v>
      </c>
    </row>
    <row r="13" spans="1:16" x14ac:dyDescent="0.3">
      <c r="A13" s="5" t="s">
        <v>640</v>
      </c>
      <c r="B13" s="5" t="s">
        <v>641</v>
      </c>
      <c r="C13" s="5" t="str">
        <f t="shared" si="6"/>
        <v>Average</v>
      </c>
      <c r="D13" s="23">
        <f>AVERAGE(D8:D12)</f>
        <v>16664.611185601138</v>
      </c>
    </row>
    <row r="14" spans="1:16" x14ac:dyDescent="0.3">
      <c r="A14" s="21" t="str">
        <f>A8</f>
        <v>2025-30</v>
      </c>
      <c r="B14" s="21" t="s">
        <v>642</v>
      </c>
      <c r="C14" s="21" t="str">
        <f>C8</f>
        <v>Adani Power</v>
      </c>
      <c r="D14" s="98">
        <f>('FCFF Projections (5y )'!I8/'FCFF Projections (5y )'!D8)^(1/6)-1</f>
        <v>0.18337289252173017</v>
      </c>
    </row>
    <row r="15" spans="1:16" x14ac:dyDescent="0.3">
      <c r="A15" s="21" t="str">
        <f t="shared" ref="A15:A19" si="7">A9</f>
        <v>2025-30</v>
      </c>
      <c r="B15" s="21" t="s">
        <v>642</v>
      </c>
      <c r="C15" s="21" t="str">
        <f t="shared" ref="C15:C19" si="8">C9</f>
        <v>Reliance Power</v>
      </c>
      <c r="D15" s="98">
        <f>('FCFF Projections (5y )'!S8/'FCFF Projections (5y )'!N8)^(1/6)-1</f>
        <v>2.0189144915241375E-2</v>
      </c>
    </row>
    <row r="16" spans="1:16" x14ac:dyDescent="0.3">
      <c r="A16" s="21" t="str">
        <f t="shared" si="7"/>
        <v>2025-30</v>
      </c>
      <c r="B16" s="21" t="s">
        <v>642</v>
      </c>
      <c r="C16" s="21" t="str">
        <f t="shared" si="8"/>
        <v>Tata Power</v>
      </c>
      <c r="D16" s="98">
        <f>('FCFF Projections (5y )'!AC8/'FCFF Projections (5y )'!X8)^(1/6)-1</f>
        <v>0.17396732006093285</v>
      </c>
    </row>
    <row r="17" spans="1:4" x14ac:dyDescent="0.3">
      <c r="A17" s="21" t="str">
        <f t="shared" si="7"/>
        <v>2025-30</v>
      </c>
      <c r="B17" s="21" t="s">
        <v>642</v>
      </c>
      <c r="C17" s="21" t="str">
        <f t="shared" si="8"/>
        <v>JSW energy</v>
      </c>
      <c r="D17" s="98">
        <f>('FCFF Projections (5y )'!AM8/'FCFF Projections (5y )'!AH8)^(1/6)-1</f>
        <v>8.132028214458864E-2</v>
      </c>
    </row>
    <row r="18" spans="1:4" x14ac:dyDescent="0.3">
      <c r="A18" s="21" t="str">
        <f t="shared" si="7"/>
        <v>2025-30</v>
      </c>
      <c r="B18" s="21" t="s">
        <v>642</v>
      </c>
      <c r="C18" s="21" t="str">
        <f t="shared" si="8"/>
        <v>NTPC</v>
      </c>
      <c r="D18" s="98">
        <f>('FCFF Projections (5y )'!AW8/'FCFF Projections (5y )'!AR8)^(1/6)-1</f>
        <v>0.10984318869700971</v>
      </c>
    </row>
    <row r="19" spans="1:4" x14ac:dyDescent="0.3">
      <c r="A19" s="5" t="str">
        <f t="shared" si="7"/>
        <v>2025-30</v>
      </c>
      <c r="B19" s="5" t="s">
        <v>642</v>
      </c>
      <c r="C19" s="5" t="str">
        <f t="shared" si="8"/>
        <v>Average</v>
      </c>
      <c r="D19" s="141">
        <f>AVERAGE(D14:D18)</f>
        <v>0.11373856566790055</v>
      </c>
    </row>
    <row r="20" spans="1:4" x14ac:dyDescent="0.3">
      <c r="A20" s="1" t="str">
        <f>A14</f>
        <v>2025-30</v>
      </c>
      <c r="B20" s="1" t="s">
        <v>654</v>
      </c>
      <c r="C20" s="1" t="str">
        <f>C14</f>
        <v>Adani Power</v>
      </c>
      <c r="D20" s="140">
        <f>('FCFF Projections (5y )'!I6/'FCFF Projections (5y )'!D6)^(1/6)-1</f>
        <v>0.12625195429793457</v>
      </c>
    </row>
    <row r="21" spans="1:4" x14ac:dyDescent="0.3">
      <c r="A21" s="1" t="str">
        <f t="shared" ref="A21:A25" si="9">A15</f>
        <v>2025-30</v>
      </c>
      <c r="B21" s="1" t="s">
        <v>654</v>
      </c>
      <c r="C21" s="1" t="str">
        <f t="shared" ref="C21:C25" si="10">C15</f>
        <v>Reliance Power</v>
      </c>
      <c r="D21" s="140">
        <f>('FCFF Projections (5y )'!S6/'FCFF Projections (5y )'!Q6)^(1/6)-1</f>
        <v>8.0272656290998334E-3</v>
      </c>
    </row>
    <row r="22" spans="1:4" x14ac:dyDescent="0.3">
      <c r="A22" s="1" t="str">
        <f t="shared" si="9"/>
        <v>2025-30</v>
      </c>
      <c r="B22" s="1" t="s">
        <v>654</v>
      </c>
      <c r="C22" s="1" t="str">
        <f t="shared" si="10"/>
        <v>Tata Power</v>
      </c>
      <c r="D22" s="140">
        <f>('FCFF Projections (5y )'!AC6/'FCFF Projections (5y )'!X6)^(1/6)-1</f>
        <v>3.1221184126513313E-2</v>
      </c>
    </row>
    <row r="23" spans="1:4" x14ac:dyDescent="0.3">
      <c r="A23" s="1" t="str">
        <f t="shared" si="9"/>
        <v>2025-30</v>
      </c>
      <c r="B23" s="1" t="s">
        <v>654</v>
      </c>
      <c r="C23" s="1" t="str">
        <f t="shared" si="10"/>
        <v>JSW energy</v>
      </c>
      <c r="D23" s="140">
        <f>('FCFF Projections (5y )'!AM6/'FCFF Projections (5y )'!AH6)^(1/6)-1</f>
        <v>0.14496172594338597</v>
      </c>
    </row>
    <row r="24" spans="1:4" x14ac:dyDescent="0.3">
      <c r="A24" s="1" t="str">
        <f t="shared" si="9"/>
        <v>2025-30</v>
      </c>
      <c r="B24" s="1" t="s">
        <v>654</v>
      </c>
      <c r="C24" s="1" t="str">
        <f t="shared" si="10"/>
        <v>NTPC</v>
      </c>
      <c r="D24" s="140">
        <f>('FCFF Projections (5y )'!AW6/'FCFF Projections (5y )'!AR6)^(1/6)-1</f>
        <v>0.12049152657056927</v>
      </c>
    </row>
    <row r="25" spans="1:4" x14ac:dyDescent="0.3">
      <c r="A25" s="2" t="str">
        <f t="shared" si="9"/>
        <v>2025-30</v>
      </c>
      <c r="B25" s="2" t="s">
        <v>654</v>
      </c>
      <c r="C25" s="2" t="str">
        <f t="shared" si="10"/>
        <v>Average</v>
      </c>
      <c r="D25" s="146">
        <f>AVERAGE(D20:D24)</f>
        <v>8.6190731313500593E-2</v>
      </c>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Company Profile</vt:lpstr>
      <vt:lpstr>Balance Sheet</vt:lpstr>
      <vt:lpstr>Income Statement</vt:lpstr>
      <vt:lpstr>Cash Flow Statement</vt:lpstr>
      <vt:lpstr>Financial Ratio</vt:lpstr>
      <vt:lpstr>Key Assumptions</vt:lpstr>
      <vt:lpstr>FCFF Projections (5y )</vt:lpstr>
      <vt:lpstr>Weighted Avg Cost of Capital</vt:lpstr>
      <vt:lpstr>Intrinsic Value calculation</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2025-11-10T17:15:35Z</dcterms:modified>
</cp:coreProperties>
</file>